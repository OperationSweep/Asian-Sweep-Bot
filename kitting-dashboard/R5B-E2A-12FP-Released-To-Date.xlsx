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Kitting Plan" sheetId="2" state="visible" r:id="rId4"/>
    <sheet name="Work Orders" sheetId="3" state="visible" r:id="rId5"/>
    <sheet name="Lists" sheetId="4" state="hidden" r:id="rId6"/>
    <sheet name="How To Use" sheetId="5" state="visible" r:id="rId7"/>
  </sheets>
  <definedNames>
    <definedName function="false" hidden="false" localSheetId="0" name="_xlnm.Print_Area" vbProcedure="false">Dashboard!$A$1:$N$34</definedName>
    <definedName function="false" hidden="true" localSheetId="2" name="_xlnm._FilterDatabase" vbProcedure="false">'Work Orders'!$A$5:$L$1005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<sst xmlns="http://schemas.openxmlformats.org/spreadsheetml/2006/main" count="2257" uniqueCount="138">
  <si>
    <t xml:space="preserve">R5B E2A 12FP COLD T5  ·  RELEASED TO DATE</t>
  </si>
  <si>
    <t xml:space="preserve">VIEW REPEATER ▸</t>
  </si>
  <si>
    <t xml:space="preserve">All</t>
  </si>
  <si>
    <t xml:space="preserve">Pick All or 1–13</t>
  </si>
  <si>
    <t xml:space="preserve">ASSEMBLIES</t>
  </si>
  <si>
    <t xml:space="preserve">REQUIRED QTY</t>
  </si>
  <si>
    <t xml:space="preserve">WO COVERAGE</t>
  </si>
  <si>
    <t xml:space="preserve">WORK ORDERS</t>
  </si>
  <si>
    <t xml:space="preserve">SHORT / OVER</t>
  </si>
  <si>
    <t xml:space="preserve">REPEATER SETS</t>
  </si>
  <si>
    <t xml:space="preserve">COVERAGE BY SEQUENCE</t>
  </si>
  <si>
    <t xml:space="preserve">WORK-ORDER PIPELINE</t>
  </si>
  <si>
    <t xml:space="preserve">Sequence</t>
  </si>
  <si>
    <t xml:space="preserve">Codes</t>
  </si>
  <si>
    <t xml:space="preserve">Coverage</t>
  </si>
  <si>
    <t xml:space="preserve">Required</t>
  </si>
  <si>
    <t xml:space="preserve">WO Qty</t>
  </si>
  <si>
    <t xml:space="preserve">%</t>
  </si>
  <si>
    <t xml:space="preserve">Status</t>
  </si>
  <si>
    <t xml:space="preserve">WOs</t>
  </si>
  <si>
    <t xml:space="preserve">Qty</t>
  </si>
  <si>
    <t xml:space="preserve">Share of WOs</t>
  </si>
  <si>
    <t xml:space="preserve">LASER ASSY</t>
  </si>
  <si>
    <t xml:space="preserve">Planned</t>
  </si>
  <si>
    <t xml:space="preserve">PSB ASSY</t>
  </si>
  <si>
    <t xml:space="preserve">Released</t>
  </si>
  <si>
    <t xml:space="preserve">OPF ASSY</t>
  </si>
  <si>
    <t xml:space="preserve">In Progress</t>
  </si>
  <si>
    <t xml:space="preserve">POB ASSY</t>
  </si>
  <si>
    <t xml:space="preserve">Delivered</t>
  </si>
  <si>
    <t xml:space="preserve">ERBIUM ASSY</t>
  </si>
  <si>
    <t xml:space="preserve">Total</t>
  </si>
  <si>
    <t xml:space="preserve">BOAT ASSY</t>
  </si>
  <si>
    <t xml:space="preserve">ASSEMBLY LEDGER</t>
  </si>
  <si>
    <t xml:space="preserve">Coverage = WO qty ÷ required qty for the selected view. Repeater views count each 'All' WO split evenly across the repeaters being released.</t>
  </si>
  <si>
    <t xml:space="preserve">Assy Code</t>
  </si>
  <si>
    <t xml:space="preserve">Description</t>
  </si>
  <si>
    <t xml:space="preserve">Release</t>
  </si>
  <si>
    <t xml:space="preserve">Default / Rep</t>
  </si>
  <si>
    <t xml:space="preserve">Open WOs</t>
  </si>
  <si>
    <t xml:space="preserve">Latest WO</t>
  </si>
  <si>
    <t xml:space="preserve">KITTING PLAN — MASTER DATA</t>
  </si>
  <si>
    <t xml:space="preserve">Source: kitting plan table supplied by the user (R5B · E2A 12FP Cold T5 · 92ERP12548A++ · 12FP · COOIS 03-Oct-26). Blue cells are inputs; edit them when the plan changes.</t>
  </si>
  <si>
    <t xml:space="preserve">Contract</t>
  </si>
  <si>
    <t xml:space="preserve">Assy Description</t>
  </si>
  <si>
    <t xml:space="preserve">Repeater No.</t>
  </si>
  <si>
    <t xml:space="preserve">No. of Rep to Rel</t>
  </si>
  <si>
    <t xml:space="preserve">Default Qty</t>
  </si>
  <si>
    <t xml:space="preserve">Check</t>
  </si>
  <si>
    <t xml:space="preserve">R5B</t>
  </si>
  <si>
    <t xml:space="preserve">92YLS00548BAA</t>
  </si>
  <si>
    <t xml:space="preserve">R5B LASER ASSEMBLY 4P BOAT 1 - E2A</t>
  </si>
  <si>
    <t xml:space="preserve">1-13</t>
  </si>
  <si>
    <t xml:space="preserve">92YLS00548BBA</t>
  </si>
  <si>
    <t xml:space="preserve">R5B LASER ASSEMBLY 4P BOAT 2/3 - E2A</t>
  </si>
  <si>
    <t xml:space="preserve">91YAF03404AAA</t>
  </si>
  <si>
    <t xml:space="preserve">R5B PSB SUB ASSEMBLY 4P-4FP</t>
  </si>
  <si>
    <t xml:space="preserve">92YFD04548BAA</t>
  </si>
  <si>
    <t xml:space="preserve">R5B OPF ASSEMBLY (4P-4FP) BOAT 1 - E2A</t>
  </si>
  <si>
    <t xml:space="preserve">92YFD04548BBA</t>
  </si>
  <si>
    <t xml:space="preserve">R5B OPF ASSEMBLY (4P-4FP) BOAT 2/3 - E2A</t>
  </si>
  <si>
    <t xml:space="preserve">92YWS04548AAA</t>
  </si>
  <si>
    <t xml:space="preserve">R5B 4FP POB LUMENTUM SUB ASSEMBLY - E2A</t>
  </si>
  <si>
    <t xml:space="preserve">92RRA00548AAA</t>
  </si>
  <si>
    <t xml:space="preserve">R5B ERBIUM SPOOL ASSEMBLY - E2A</t>
  </si>
  <si>
    <t xml:space="preserve">92YRA01548AAA</t>
  </si>
  <si>
    <t xml:space="preserve">R5B ERBIUM ASSEMBLY POSITION 1</t>
  </si>
  <si>
    <t xml:space="preserve">92YRA02548AAA</t>
  </si>
  <si>
    <t xml:space="preserve">R5B ERBIUM ASSEMBLY POSITION 2</t>
  </si>
  <si>
    <t xml:space="preserve">92YRA03548AAA</t>
  </si>
  <si>
    <t xml:space="preserve">R5B ERBIUM ASSEMBLY POSITION 3</t>
  </si>
  <si>
    <t xml:space="preserve">92YRA04548AAA</t>
  </si>
  <si>
    <t xml:space="preserve">R5B ERBIUM ASSEMBLY POSITION 4</t>
  </si>
  <si>
    <t xml:space="preserve">92UAP04548BAA</t>
  </si>
  <si>
    <t xml:space="preserve">R5B BOAT 1 ASSY (4P-4FP)</t>
  </si>
  <si>
    <t xml:space="preserve">92UAP04548BBA</t>
  </si>
  <si>
    <t xml:space="preserve">R5B BOAT 2 ASSY (4P-4FP)</t>
  </si>
  <si>
    <t xml:space="preserve">92UAP04548BCA</t>
  </si>
  <si>
    <t xml:space="preserve">R5B BOAT 3 ASSY (4P-4FP)</t>
  </si>
  <si>
    <t xml:space="preserve">Contract details shown on the Dashboard</t>
  </si>
  <si>
    <t xml:space="preserve">Program</t>
  </si>
  <si>
    <t xml:space="preserve">E2A 12FP Cold T5</t>
  </si>
  <si>
    <t xml:space="preserve">ERP item</t>
  </si>
  <si>
    <t xml:space="preserve">92ERP12548A++</t>
  </si>
  <si>
    <t xml:space="preserve">Config</t>
  </si>
  <si>
    <t xml:space="preserve">12FP</t>
  </si>
  <si>
    <t xml:space="preserve">Kitting week</t>
  </si>
  <si>
    <t xml:space="preserve">COOIS 03-Oct-26</t>
  </si>
  <si>
    <t xml:space="preserve">Repeaters</t>
  </si>
  <si>
    <t xml:space="preserve">1-13 · 13 to release</t>
  </si>
  <si>
    <t xml:space="preserve">Type the WO number and pick the assy code. Quantity fills in automatically from the kitting plan (release qty, or default qty when a single repeater is chosen).</t>
  </si>
  <si>
    <t xml:space="preserve">Blue columns = you type. Grey columns = automatic. Use 'Qty Override' only when the WO quantity differs from the plan.</t>
  </si>
  <si>
    <t xml:space="preserve">Blank = All</t>
  </si>
  <si>
    <t xml:space="preserve">Leave blank to use Listed Qty</t>
  </si>
  <si>
    <t xml:space="preserve">Blank = Planned</t>
  </si>
  <si>
    <t xml:space="preserve">WO No.</t>
  </si>
  <si>
    <t xml:space="preserve">Repeater</t>
  </si>
  <si>
    <t xml:space="preserve">Listed Qty</t>
  </si>
  <si>
    <t xml:space="preserve">Qty Override</t>
  </si>
  <si>
    <t xml:space="preserve">Release Date</t>
  </si>
  <si>
    <t xml:space="preserve">Remarks</t>
  </si>
  <si>
    <t xml:space="preserve">Flag</t>
  </si>
  <si>
    <t xml:space="preserve">SAP: REL PRT CNF DLV PRC GMPS MANC RESA*</t>
  </si>
  <si>
    <t xml:space="preserve">SAP: REL PRT CNF DLV PRC GMPS MANC SETC*</t>
  </si>
  <si>
    <t xml:space="preserve">SAP: REL PRT CNF DLV PRC GMPS MANC SETC</t>
  </si>
  <si>
    <t xml:space="preserve">SAP: REL PRT PCNF PRC MANC RESA SETC</t>
  </si>
  <si>
    <t xml:space="preserve">SAP: REL PRT PRC MANC SETC</t>
  </si>
  <si>
    <t xml:space="preserve">SAP: REL PRT PCNF PRC MANC SETC</t>
  </si>
  <si>
    <t xml:space="preserve">SAP: REL PRT PCNF PRC GMPS MANC RESA SETC</t>
  </si>
  <si>
    <t xml:space="preserve">SAP: REL PRT PCNF PRC GMPS MANC SETC</t>
  </si>
  <si>
    <t xml:space="preserve">SAP: REL PRT PCNF DLV PRC GMPS MANC RESA*</t>
  </si>
  <si>
    <t xml:space="preserve">SAP: REL PPRT CNF DLV PRC GMPS MANC RESA*</t>
  </si>
  <si>
    <t xml:space="preserve">SAP: REL PPRT CNF DLV PRC GMPS MANC SETC</t>
  </si>
  <si>
    <t xml:space="preserve">SAP: REL PPRT PCNF PRC GMPS MANC RESA SETC</t>
  </si>
  <si>
    <t xml:space="preserve">SAP: REL PPRT CNF DLV PRC GMPS MANC SETC*</t>
  </si>
  <si>
    <t xml:space="preserve">HOW TO USE THIS WORKBOOK</t>
  </si>
  <si>
    <t xml:space="preserve">Where the numbers come from</t>
  </si>
  <si>
    <t xml:space="preserve">Source</t>
  </si>
  <si>
    <t xml:space="preserve">SAP COOIS export (new_e2a) run on the 14 E2A assy codes, all orders released to date (20-Apr-26 to 03-Oct-26). 691 work orders, 1 EA each. Each SAP Order number is a WO on the 'Work Orders' tab.</t>
  </si>
  <si>
    <t xml:space="preserve">Required qty</t>
  </si>
  <si>
    <t xml:space="preserve">Release per repeater from the kitting plan × 13 repeaters (1–13). Example: erbium spool 24 × 13 = 312.</t>
  </si>
  <si>
    <t xml:space="preserve">Status mapping</t>
  </si>
  <si>
    <t xml:space="preserve">SAP system status → dashboard: DLV (delivered) = Delivered · CNF/PCNF (confirmed / partly confirmed) = In Progress · REL only = Released. The full SAP status is kept in the Remarks column.</t>
  </si>
  <si>
    <t xml:space="preserve">Reading the dashboard</t>
  </si>
  <si>
    <t xml:space="preserve">Status column</t>
  </si>
  <si>
    <t xml:space="preserve">COVERED = WOs released match the contract qty · OVER = more WOs than the 13-repeater qty (check for scrap/re-work replacements) · SHORT n = n units still to release · NO WO = nothing released.</t>
  </si>
  <si>
    <t xml:space="preserve">Repeater sets</t>
  </si>
  <si>
    <t xml:space="preserve">Full repeater sets released = the lowest number of complete repeaters across all 14 codes. 'Fully delivered' does the same using delivered WOs only.</t>
  </si>
  <si>
    <t xml:space="preserve">WOs released but not yet delivered (Released + In Progress). These are the ones to chase.</t>
  </si>
  <si>
    <t xml:space="preserve">Trace a WO</t>
  </si>
  <si>
    <t xml:space="preserve">'Latest WO' shows the newest order number per code. For the full list filter column B on 'Work Orders'.</t>
  </si>
  <si>
    <t xml:space="preserve">Switch repeater view</t>
  </si>
  <si>
    <t xml:space="preserve">Pick a repeater 1–13 in the pink cell to see the per-repeater requirement (default qty) against an even share of released WOs.</t>
  </si>
  <si>
    <t xml:space="preserve">Keeping it current</t>
  </si>
  <si>
    <t xml:space="preserve">Adding new WOs</t>
  </si>
  <si>
    <t xml:space="preserve">Add new COOIS orders at the bottom of 'Work Orders': WO No., Assy Code, Qty Override = order qty (1), Status. Or send the new export and it can be reloaded.</t>
  </si>
  <si>
    <t xml:space="preserve">Projecting on a screen</t>
  </si>
  <si>
    <t xml:space="preserve">Open the Dashboard tab and press Ctrl+F1 to hide the ribbon. It fits one landscape screen.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</si>
</sst>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%"/>
    <numFmt numFmtId="168" formatCode="General"/>
    <numFmt numFmtId="169" formatCode=";;;"/>
    <numFmt numFmtId="170" formatCode="#,##0.#;\-#,##0.#;0"/>
    <numFmt numFmtId="171" formatCode="dd\-mmm\-yy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b val="true"/>
      <sz val="11"/>
      <color rgb="FFAEB6C6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AEB6C6"/>
      <name val="Arial"/>
      <family val="0"/>
      <charset val="1"/>
    </font>
    <font>
      <sz val="12"/>
      <color rgb="FFAEB6C6"/>
      <name val="Arial"/>
      <family val="0"/>
      <charset val="1"/>
    </font>
    <font>
      <i val="true"/>
      <sz val="9"/>
      <color rgb="FFAEB6C6"/>
      <name val="Arial"/>
      <family val="0"/>
      <charset val="1"/>
    </font>
    <font>
      <b val="true"/>
      <sz val="10"/>
      <color rgb="FF5D6576"/>
      <name val="Arial"/>
      <family val="0"/>
      <charset val="1"/>
    </font>
    <font>
      <b val="true"/>
      <sz val="30"/>
      <color rgb="FF141A26"/>
      <name val="Arial"/>
      <family val="0"/>
      <charset val="1"/>
    </font>
    <font>
      <sz val="9"/>
      <color rgb="FF5D6576"/>
      <name val="Arial"/>
      <family val="0"/>
      <charset val="1"/>
    </font>
    <font>
      <b val="true"/>
      <sz val="14"/>
      <color rgb="FF141A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E2433"/>
      <name val="Arial"/>
      <family val="0"/>
      <charset val="1"/>
    </font>
    <font>
      <sz val="11"/>
      <color rgb="FF1E2433"/>
      <name val="Arial"/>
      <family val="0"/>
      <charset val="1"/>
    </font>
    <font>
      <b val="true"/>
      <sz val="11"/>
      <color rgb="FF5D6576"/>
      <name val="Arial"/>
      <family val="0"/>
      <charset val="1"/>
    </font>
    <font>
      <sz val="11"/>
      <color rgb="FF5D6576"/>
      <name val="Arial"/>
      <family val="0"/>
      <charset val="1"/>
    </font>
    <font>
      <sz val="10"/>
      <color rgb="FF5D6576"/>
      <name val="Arial"/>
      <family val="0"/>
      <charset val="1"/>
    </font>
    <font>
      <b val="true"/>
      <sz val="11"/>
      <color rgb="FF3558B8"/>
      <name val="Arial"/>
      <family val="0"/>
      <charset val="1"/>
    </font>
    <font>
      <b val="true"/>
      <sz val="11"/>
      <color rgb="FFA8660B"/>
      <name val="Arial"/>
      <family val="0"/>
      <charset val="1"/>
    </font>
    <font>
      <b val="true"/>
      <sz val="11"/>
      <color rgb="FF1F8A5B"/>
      <name val="Arial"/>
      <family val="0"/>
      <charset val="1"/>
    </font>
    <font>
      <b val="true"/>
      <sz val="10"/>
      <color rgb="FFA8660B"/>
      <name val="Arial"/>
      <family val="0"/>
      <charset val="1"/>
    </font>
    <font>
      <i val="true"/>
      <sz val="9"/>
      <color rgb="FF5D6576"/>
      <name val="Arial"/>
      <family val="0"/>
      <charset val="1"/>
    </font>
    <font>
      <b val="true"/>
      <sz val="12"/>
      <color rgb="FF1E2433"/>
      <name val="Arial"/>
      <family val="0"/>
      <charset val="1"/>
    </font>
    <font>
      <sz val="10"/>
      <color rgb="FF1E2433"/>
      <name val="Arial"/>
      <family val="0"/>
      <charset val="1"/>
    </font>
    <font>
      <b val="true"/>
      <sz val="16"/>
      <color rgb="FF141A26"/>
      <name val="Arial"/>
      <family val="0"/>
      <charset val="1"/>
    </font>
    <font>
      <i val="true"/>
      <sz val="10"/>
      <color rgb="FF5D657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41A26"/>
      <name val="Arial"/>
      <family val="0"/>
      <charset val="1"/>
    </font>
    <font>
      <i val="true"/>
      <sz val="8"/>
      <color rgb="FF5D6576"/>
      <name val="Arial"/>
      <family val="0"/>
      <charset val="1"/>
    </font>
    <font>
      <b val="true"/>
      <sz val="10"/>
      <color rgb="FF1E2433"/>
      <name val="Arial"/>
      <family val="0"/>
      <charset val="1"/>
    </font>
    <font>
      <b val="true"/>
      <sz val="18"/>
      <color rgb="FF141A26"/>
      <name val="Arial"/>
      <family val="0"/>
      <charset val="1"/>
    </font>
    <font>
      <b val="true"/>
      <sz val="12"/>
      <color rgb="FFB0245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41A26"/>
        <bgColor rgb="FF1E2433"/>
      </patternFill>
    </fill>
    <fill>
      <patternFill patternType="solid">
        <fgColor rgb="FFB0245E"/>
        <bgColor rgb="FF993366"/>
      </patternFill>
    </fill>
    <fill>
      <patternFill patternType="solid">
        <fgColor rgb="FFF3F4F7"/>
        <bgColor rgb="FFECEEF3"/>
      </patternFill>
    </fill>
    <fill>
      <patternFill patternType="solid">
        <fgColor rgb="FF1E2433"/>
        <bgColor rgb="FF141A26"/>
      </patternFill>
    </fill>
    <fill>
      <patternFill patternType="solid">
        <fgColor rgb="FFECEEF3"/>
        <bgColor rgb="FFE6ECFA"/>
      </patternFill>
    </fill>
    <fill>
      <patternFill patternType="solid">
        <fgColor rgb="FFE6ECFA"/>
        <bgColor rgb="FFECEEF3"/>
      </patternFill>
    </fill>
    <fill>
      <patternFill patternType="solid">
        <fgColor rgb="FFFBF0DC"/>
        <bgColor rgb="FFFBE6E3"/>
      </patternFill>
    </fill>
    <fill>
      <patternFill patternType="solid">
        <fgColor rgb="FFE3F4EC"/>
        <bgColor rgb="FFECEE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B0245E"/>
      </left>
      <right/>
      <top/>
      <bottom/>
      <diagonal/>
    </border>
    <border diagonalUp="false" diagonalDown="false">
      <left/>
      <right/>
      <top/>
      <bottom style="thin">
        <color rgb="FFD9DDE5"/>
      </bottom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name val="Arial"/>
        <charset val="1"/>
        <family val="0"/>
        <b val="1"/>
        <color rgb="FF5D6576"/>
      </font>
      <fill>
        <patternFill>
          <bgColor rgb="FFECEEF3"/>
        </patternFill>
      </fill>
    </dxf>
    <dxf>
      <font>
        <name val="Arial"/>
        <charset val="1"/>
        <family val="0"/>
        <b val="1"/>
        <color rgb="FFA8660B"/>
      </font>
      <fill>
        <patternFill>
          <bgColor rgb="FFFBF0DC"/>
        </patternFill>
      </fill>
    </dxf>
    <dxf>
      <font>
        <name val="Arial"/>
        <charset val="1"/>
        <family val="0"/>
        <b val="1"/>
        <color rgb="FF1F8A5B"/>
      </font>
      <fill>
        <patternFill>
          <bgColor rgb="FFE3F4EC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BE6E3"/>
        </patternFill>
      </fill>
    </dxf>
    <dxf>
      <font>
        <name val="Arial"/>
        <charset val="1"/>
        <family val="0"/>
        <b val="1"/>
        <color rgb="FFA8660B"/>
        <sz val="11"/>
      </font>
    </dxf>
    <dxf>
      <font>
        <name val="Arial"/>
        <charset val="1"/>
        <family val="0"/>
        <color rgb="FFC3C8D2"/>
      </font>
    </dxf>
    <dxf>
      <font>
        <name val="Arial"/>
        <charset val="1"/>
        <family val="0"/>
        <b val="1"/>
        <color rgb="FFA8660B"/>
        <sz val="30"/>
      </font>
    </dxf>
    <dxf>
      <fill>
        <patternFill patternType="solid">
          <fgColor rgb="FFB024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1A26"/>
          <bgColor rgb="FF000000"/>
        </patternFill>
      </fill>
    </dxf>
    <dxf>
      <fill>
        <patternFill patternType="solid">
          <fgColor rgb="FF5D6576"/>
          <bgColor rgb="FF000000"/>
        </patternFill>
      </fill>
    </dxf>
    <dxf>
      <fill>
        <patternFill patternType="solid">
          <fgColor rgb="FF1E2433"/>
          <bgColor rgb="FF000000"/>
        </patternFill>
      </fill>
    </dxf>
    <dxf>
      <fill>
        <patternFill patternType="solid">
          <fgColor rgb="FFE3F4EC"/>
          <bgColor rgb="FF000000"/>
        </patternFill>
      </fill>
    </dxf>
    <dxf>
      <fill>
        <patternFill patternType="solid">
          <fgColor rgb="FFE6ECFA"/>
          <bgColor rgb="FF000000"/>
        </patternFill>
      </fill>
    </dxf>
    <dxf>
      <fill>
        <patternFill patternType="solid">
          <fgColor rgb="FFFBF0DC"/>
          <bgColor rgb="FF000000"/>
        </patternFill>
      </fill>
    </dxf>
    <dxf>
      <fill>
        <patternFill patternType="solid">
          <fgColor rgb="FF1F8A5B"/>
          <bgColor rgb="FF000000"/>
        </patternFill>
      </fill>
    </dxf>
    <dxf>
      <fill>
        <patternFill patternType="solid">
          <fgColor rgb="FF3558B8"/>
          <bgColor rgb="FF000000"/>
        </patternFill>
      </fill>
    </dxf>
    <dxf>
      <fill>
        <patternFill patternType="solid">
          <fgColor rgb="FFA8660B"/>
          <bgColor rgb="FF000000"/>
        </patternFill>
      </fill>
    </dxf>
    <dxf>
      <font>
        <name val="Arial"/>
        <charset val="1"/>
        <family val="0"/>
        <b val="1"/>
        <color rgb="FF3558B8"/>
      </font>
      <fill>
        <patternFill>
          <bgColor rgb="FFE6EC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60B"/>
      <rgbColor rgb="FF800080"/>
      <rgbColor rgb="FF008080"/>
      <rgbColor rgb="FFC3C8D2"/>
      <rgbColor rgb="FF808080"/>
      <rgbColor rgb="FF9999FF"/>
      <rgbColor rgb="FFB0245E"/>
      <rgbColor rgb="FFFBF0DC"/>
      <rgbColor rgb="FFE3F4EC"/>
      <rgbColor rgb="FF660066"/>
      <rgbColor rgb="FFFF8080"/>
      <rgbColor rgb="FF0066CC"/>
      <rgbColor rgb="FFD9D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CFA"/>
      <rgbColor rgb="FFECEEF3"/>
      <rgbColor rgb="FFFBE6E3"/>
      <rgbColor rgb="FFAEB6C6"/>
      <rgbColor rgb="FFFF99CC"/>
      <rgbColor rgb="FFCC99FF"/>
      <rgbColor rgb="FFF3F4F7"/>
      <rgbColor rgb="FF3558B8"/>
      <rgbColor rgb="FF33CCCC"/>
      <rgbColor rgb="FF99CC00"/>
      <rgbColor rgb="FFFFCC00"/>
      <rgbColor rgb="FFFF9900"/>
      <rgbColor rgb="FFFF6600"/>
      <rgbColor rgb="FF5D6576"/>
      <rgbColor rgb="FF969696"/>
      <rgbColor rgb="FF003366"/>
      <rgbColor rgb="FF1F8A5B"/>
      <rgbColor rgb="FF141A26"/>
      <rgbColor rgb="FF333300"/>
      <rgbColor rgb="FFC0392B"/>
      <rgbColor rgb="FF993366"/>
      <rgbColor rgb="FF333399"/>
      <rgbColor rgb="FF1E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R34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34"/>
    <col collapsed="false" customWidth="true" hidden="false" outlineLevel="0" max="14" min="14" style="0" width="24"/>
    <col collapsed="false" customWidth="true" hidden="false" outlineLevel="0" max="15" min="15" style="0" width="3"/>
    <col collapsed="false" customWidth="true" hidden="true" outlineLevel="0" max="16" min="16" style="0" width="3"/>
    <col collapsed="false" customWidth="true" hidden="true" outlineLevel="0" max="18" min="17" style="0" width="1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9.75" hidden="false" customHeight="true" outlineLevel="0" collapsed="false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3" t="s">
        <v>1</v>
      </c>
      <c r="M2" s="4" t="s">
        <v>2</v>
      </c>
      <c r="N2" s="5" t="str">
        <f aca="false">IF(M2="All","Required = release qty","Required = default qty for rep "&amp;M2)</f>
        <v>Required = release qty</v>
      </c>
    </row>
    <row r="3" customFormat="false" ht="21.75" hidden="false" customHeight="true" outlineLevel="0" collapsed="false">
      <c r="B3" s="6" t="str">
        <f aca="false">"Contract "&amp;'Kitting Plan'!B21&amp;"   ·   "&amp;'Kitting Plan'!B22&amp;"   ·   "&amp;'Kitting Plan'!B23&amp;"   ·   "&amp;'Kitting Plan'!B24&amp;"   ·   Repeaters "&amp;'Kitting Plan'!B26</f>
        <v>Contract R5B   ·   E2A 12FP Cold T5   ·   92ERP12548A++   ·   12FP   ·   Repeaters 1-13 · 13 to release</v>
      </c>
      <c r="C3" s="1"/>
      <c r="D3" s="1"/>
      <c r="E3" s="1"/>
      <c r="F3" s="1"/>
      <c r="G3" s="1"/>
      <c r="H3" s="1"/>
      <c r="I3" s="1"/>
      <c r="J3" s="1"/>
      <c r="K3" s="1"/>
      <c r="L3" s="1"/>
      <c r="M3" s="7" t="s">
        <v>3</v>
      </c>
      <c r="N3" s="1"/>
    </row>
    <row r="4" customFormat="false" ht="15" hidden="false" customHeight="fals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6" customFormat="false" ht="21.75" hidden="false" customHeight="true" outlineLevel="0" collapsed="false">
      <c r="B6" s="8" t="s">
        <v>4</v>
      </c>
      <c r="C6" s="8"/>
      <c r="D6" s="8" t="s">
        <v>5</v>
      </c>
      <c r="E6" s="8" t="s">
        <v>6</v>
      </c>
      <c r="F6" s="8"/>
      <c r="G6" s="8"/>
      <c r="H6" s="8" t="s">
        <v>7</v>
      </c>
      <c r="I6" s="8"/>
      <c r="J6" s="8" t="s">
        <v>8</v>
      </c>
      <c r="K6" s="8"/>
      <c r="L6" s="8" t="s">
        <v>9</v>
      </c>
      <c r="M6" s="8"/>
      <c r="N6" s="8"/>
    </row>
    <row r="7" customFormat="false" ht="45.75" hidden="false" customHeight="true" outlineLevel="0" collapsed="false">
      <c r="B7" s="9" t="n">
        <f aca="false">COUNTA(C21:C34)</f>
        <v>14</v>
      </c>
      <c r="C7" s="9"/>
      <c r="D7" s="10" t="n">
        <f aca="false">SUM(G21:G34)</f>
        <v>663</v>
      </c>
      <c r="E7" s="11" t="n">
        <f aca="false">IF(SUM(G21:G34)=0,0,SUM(P21:P34)/SUM(G21:G34))</f>
        <v>1</v>
      </c>
      <c r="F7" s="11"/>
      <c r="G7" s="11"/>
      <c r="H7" s="9" t="n">
        <f aca="false">COUNTIF('Work Orders'!$A$6:$A$1005,"?*")</f>
        <v>691</v>
      </c>
      <c r="I7" s="9"/>
      <c r="J7" s="9" t="n">
        <f aca="false">COUNTIF(J21:J34,"SHORT*")+COUNTIF(J21:J34,"OVER")</f>
        <v>6</v>
      </c>
      <c r="K7" s="9"/>
      <c r="L7" s="9" t="n">
        <f aca="false">MIN(Q21:Q34)</f>
        <v>13</v>
      </c>
      <c r="M7" s="9"/>
      <c r="N7" s="9"/>
    </row>
    <row r="8" customFormat="false" ht="21.75" hidden="false" customHeight="true" outlineLevel="0" collapsed="false">
      <c r="B8" s="12" t="str">
        <f aca="false">"6 sequences · "&amp;(COUNTIF(J21:J34,"COVERED")+COUNTIF(J21:J34,"OVER"))&amp;" fully covered"</f>
        <v>6 sequences · 14 fully covered</v>
      </c>
      <c r="C8" s="12"/>
      <c r="D8" s="12" t="str">
        <f aca="false">IF($M$2="All","units · release across 13 repeaters","units · default qty, repeater "&amp;$M$2)</f>
        <v>units · release across 13 repeaters</v>
      </c>
      <c r="E8" s="12" t="str">
        <f aca="false">TEXT(SUM(P21:P34),"#,##0")&amp;" of "&amp;TEXT(SUM(G21:G34),"#,##0")&amp;" units on WOs"</f>
        <v>663 of 663 units on WOs</v>
      </c>
      <c r="F8" s="12"/>
      <c r="G8" s="12"/>
      <c r="H8" s="12" t="str">
        <f aca="false">COUNTIFS('Work Orders'!$A$6:$A$1005,"?*",'Work Orders'!$I$6:$I$1005,"Delivered")&amp;" delivered · "&amp;(COUNTIF('Work Orders'!$A$6:$A$1005,"?*")-COUNTIFS('Work Orders'!$A$6:$A$1005,"?*",'Work Orders'!$I$6:$I$1005,"Delivered"))&amp;" open"</f>
        <v>414 delivered · 277 open</v>
      </c>
      <c r="I8" s="12"/>
      <c r="J8" s="12" t="str">
        <f aca="false">COUNTIF(J21:J34,"SHORT*")&amp;" short · "&amp;COUNTIF(J21:J34,"OVER")&amp;" over"</f>
        <v>0 short · 6 over</v>
      </c>
      <c r="K8" s="12"/>
      <c r="L8" s="12" t="str">
        <f aca="false">"full sets released (of 13) · "&amp;MIN(R21:R34)&amp;" fully delivered"</f>
        <v>full sets released (of 13) · 5 fully delivered</v>
      </c>
      <c r="M8" s="12"/>
      <c r="N8" s="12"/>
    </row>
    <row r="10" customFormat="false" ht="17.35" hidden="false" customHeight="false" outlineLevel="0" collapsed="false">
      <c r="B10" s="13" t="s">
        <v>10</v>
      </c>
      <c r="I10" s="13" t="s">
        <v>11</v>
      </c>
    </row>
    <row r="11" customFormat="false" ht="15" hidden="false" customHeight="true" outlineLevel="0" collapsed="false"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16</v>
      </c>
      <c r="G11" s="14" t="s">
        <v>17</v>
      </c>
      <c r="I11" s="14" t="s">
        <v>18</v>
      </c>
      <c r="J11" s="14" t="s">
        <v>19</v>
      </c>
      <c r="K11" s="14" t="s">
        <v>20</v>
      </c>
      <c r="L11" s="15" t="s">
        <v>21</v>
      </c>
      <c r="M11" s="15"/>
      <c r="N11" s="15"/>
    </row>
    <row r="12" customFormat="false" ht="21.75" hidden="false" customHeight="true" outlineLevel="0" collapsed="false">
      <c r="B12" s="16" t="s">
        <v>22</v>
      </c>
      <c r="C12" s="17" t="n">
        <f aca="false">COUNTIF($B$21:$B$34,B12)</f>
        <v>2</v>
      </c>
      <c r="D12" s="18" t="n">
        <f aca="false">G12</f>
        <v>1</v>
      </c>
      <c r="E12" s="17" t="n">
        <f aca="false">SUMIFS($G$21:$G$34,$B$21:$B$34,B12)</f>
        <v>39</v>
      </c>
      <c r="F12" s="19" t="n">
        <f aca="false">SUMIFS($P$21:$P$34,$B$21:$B$34,B12)</f>
        <v>39</v>
      </c>
      <c r="G12" s="20" t="n">
        <f aca="false">IF(E12=0,0,F12/E12)</f>
        <v>1</v>
      </c>
      <c r="I12" s="21" t="s">
        <v>23</v>
      </c>
      <c r="J12" s="22" t="n">
        <f aca="false">COUNTIFS('Work Orders'!$A$6:$A$1005,"?*",'Work Orders'!$I$6:$I$1005,"Planned")+COUNTIFS('Work Orders'!$A$6:$A$1005,"?*",'Work Orders'!$I$6:$I$1005,"")</f>
        <v>0</v>
      </c>
      <c r="K12" s="23" t="n">
        <f aca="false">SUMIFS('Work Orders'!$H$6:$H$1005,'Work Orders'!$A$6:$A$1005,"?*",'Work Orders'!$I$6:$I$1005,"Planned")+SUMIFS('Work Orders'!$H$6:$H$1005,'Work Orders'!$A$6:$A$1005,"?*",'Work Orders'!$I$6:$I$1005,"")</f>
        <v>0</v>
      </c>
      <c r="L12" s="24" t="n">
        <f aca="false">IF($H$7=0,0,J12/$H$7)</f>
        <v>0</v>
      </c>
      <c r="M12" s="24"/>
      <c r="N12" s="24"/>
    </row>
    <row r="13" customFormat="false" ht="21.75" hidden="false" customHeight="true" outlineLevel="0" collapsed="false">
      <c r="B13" s="16" t="s">
        <v>24</v>
      </c>
      <c r="C13" s="17" t="n">
        <f aca="false">COUNTIF($B$21:$B$34,B13)</f>
        <v>1</v>
      </c>
      <c r="D13" s="18" t="n">
        <f aca="false">G13</f>
        <v>1</v>
      </c>
      <c r="E13" s="17" t="n">
        <f aca="false">SUMIFS($G$21:$G$34,$B$21:$B$34,B13)</f>
        <v>39</v>
      </c>
      <c r="F13" s="19" t="n">
        <f aca="false">SUMIFS($P$21:$P$34,$B$21:$B$34,B13)</f>
        <v>39</v>
      </c>
      <c r="G13" s="20" t="n">
        <f aca="false">IF(E13=0,0,F13/E13)</f>
        <v>1</v>
      </c>
      <c r="I13" s="25" t="s">
        <v>25</v>
      </c>
      <c r="J13" s="22" t="n">
        <f aca="false">COUNTIFS('Work Orders'!$A$6:$A$1005,"?*",'Work Orders'!$I$6:$I$1005,"Released")</f>
        <v>93</v>
      </c>
      <c r="K13" s="23" t="n">
        <f aca="false">SUMIFS('Work Orders'!$H$6:$H$1005,'Work Orders'!$A$6:$A$1005,"?*",'Work Orders'!$I$6:$I$1005,"Released")</f>
        <v>93</v>
      </c>
      <c r="L13" s="24" t="n">
        <f aca="false">IF($H$7=0,0,J13/$H$7)</f>
        <v>0.134587554269175</v>
      </c>
      <c r="M13" s="24"/>
      <c r="N13" s="24"/>
    </row>
    <row r="14" customFormat="false" ht="21.75" hidden="false" customHeight="true" outlineLevel="0" collapsed="false">
      <c r="B14" s="16" t="s">
        <v>26</v>
      </c>
      <c r="C14" s="17" t="n">
        <f aca="false">COUNTIF($B$21:$B$34,B14)</f>
        <v>2</v>
      </c>
      <c r="D14" s="18" t="n">
        <f aca="false">G14</f>
        <v>1</v>
      </c>
      <c r="E14" s="17" t="n">
        <f aca="false">SUMIFS($G$21:$G$34,$B$21:$B$34,B14)</f>
        <v>39</v>
      </c>
      <c r="F14" s="19" t="n">
        <f aca="false">SUMIFS($P$21:$P$34,$B$21:$B$34,B14)</f>
        <v>39</v>
      </c>
      <c r="G14" s="20" t="n">
        <f aca="false">IF(E14=0,0,F14/E14)</f>
        <v>1</v>
      </c>
      <c r="I14" s="26" t="s">
        <v>27</v>
      </c>
      <c r="J14" s="22" t="n">
        <f aca="false">COUNTIFS('Work Orders'!$A$6:$A$1005,"?*",'Work Orders'!$I$6:$I$1005,"In Progress")</f>
        <v>184</v>
      </c>
      <c r="K14" s="23" t="n">
        <f aca="false">SUMIFS('Work Orders'!$H$6:$H$1005,'Work Orders'!$A$6:$A$1005,"?*",'Work Orders'!$I$6:$I$1005,"In Progress")</f>
        <v>184</v>
      </c>
      <c r="L14" s="24" t="n">
        <f aca="false">IF($H$7=0,0,J14/$H$7)</f>
        <v>0.266280752532562</v>
      </c>
      <c r="M14" s="24"/>
      <c r="N14" s="24"/>
    </row>
    <row r="15" customFormat="false" ht="21.75" hidden="false" customHeight="true" outlineLevel="0" collapsed="false">
      <c r="B15" s="16" t="s">
        <v>28</v>
      </c>
      <c r="C15" s="17" t="n">
        <f aca="false">COUNTIF($B$21:$B$34,B15)</f>
        <v>1</v>
      </c>
      <c r="D15" s="18" t="n">
        <f aca="false">G15</f>
        <v>1</v>
      </c>
      <c r="E15" s="17" t="n">
        <f aca="false">SUMIFS($G$21:$G$34,$B$21:$B$34,B15)</f>
        <v>39</v>
      </c>
      <c r="F15" s="19" t="n">
        <f aca="false">SUMIFS($P$21:$P$34,$B$21:$B$34,B15)</f>
        <v>39</v>
      </c>
      <c r="G15" s="20" t="n">
        <f aca="false">IF(E15=0,0,F15/E15)</f>
        <v>1</v>
      </c>
      <c r="I15" s="27" t="s">
        <v>29</v>
      </c>
      <c r="J15" s="22" t="n">
        <f aca="false">COUNTIFS('Work Orders'!$A$6:$A$1005,"?*",'Work Orders'!$I$6:$I$1005,"Delivered")</f>
        <v>414</v>
      </c>
      <c r="K15" s="23" t="n">
        <f aca="false">SUMIFS('Work Orders'!$H$6:$H$1005,'Work Orders'!$A$6:$A$1005,"?*",'Work Orders'!$I$6:$I$1005,"Delivered")</f>
        <v>414</v>
      </c>
      <c r="L15" s="24" t="n">
        <f aca="false">IF($H$7=0,0,J15/$H$7)</f>
        <v>0.599131693198263</v>
      </c>
      <c r="M15" s="24"/>
      <c r="N15" s="24"/>
    </row>
    <row r="16" customFormat="false" ht="21.75" hidden="false" customHeight="true" outlineLevel="0" collapsed="false">
      <c r="B16" s="16" t="s">
        <v>30</v>
      </c>
      <c r="C16" s="17" t="n">
        <f aca="false">COUNTIF($B$21:$B$34,B16)</f>
        <v>5</v>
      </c>
      <c r="D16" s="18" t="n">
        <f aca="false">G16</f>
        <v>1</v>
      </c>
      <c r="E16" s="17" t="n">
        <f aca="false">SUMIFS($G$21:$G$34,$B$21:$B$34,B16)</f>
        <v>468</v>
      </c>
      <c r="F16" s="19" t="n">
        <f aca="false">SUMIFS($P$21:$P$34,$B$21:$B$34,B16)</f>
        <v>468</v>
      </c>
      <c r="G16" s="20" t="n">
        <f aca="false">IF(E16=0,0,F16/E16)</f>
        <v>1</v>
      </c>
      <c r="I16" s="28" t="s">
        <v>31</v>
      </c>
      <c r="J16" s="29" t="n">
        <f aca="false">SUM(J12:J15)</f>
        <v>691</v>
      </c>
      <c r="K16" s="29" t="n">
        <f aca="false">SUM(K12:K15)</f>
        <v>691</v>
      </c>
    </row>
    <row r="17" customFormat="false" ht="24" hidden="false" customHeight="true" outlineLevel="0" collapsed="false">
      <c r="B17" s="16" t="s">
        <v>32</v>
      </c>
      <c r="C17" s="17" t="n">
        <f aca="false">COUNTIF($B$21:$B$34,B17)</f>
        <v>3</v>
      </c>
      <c r="D17" s="18" t="n">
        <f aca="false">G17</f>
        <v>1</v>
      </c>
      <c r="E17" s="17" t="n">
        <f aca="false">SUMIFS($G$21:$G$34,$B$21:$B$34,B17)</f>
        <v>39</v>
      </c>
      <c r="F17" s="19" t="n">
        <f aca="false">SUMIFS($P$21:$P$34,$B$21:$B$34,B17)</f>
        <v>39</v>
      </c>
      <c r="G17" s="20" t="n">
        <f aca="false">IF(E17=0,0,F17/E17)</f>
        <v>1</v>
      </c>
      <c r="I17" s="30" t="str">
        <f aca="false">IF(COUNTIF('Kitting Plan'!I5:I18,"CHECK*")=0,"✓ Every release qty = default qty × repeaters","⚠ "&amp;COUNTIF('Kitting Plan'!I5:I18,"CHECK*")&amp;" code(s): release qty ≠ default × repeaters — see Kitting Plan")</f>
        <v>✓ Every release qty = default qty × repeaters</v>
      </c>
      <c r="J17" s="30"/>
      <c r="K17" s="30"/>
      <c r="L17" s="30"/>
      <c r="M17" s="30"/>
      <c r="N17" s="30"/>
    </row>
    <row r="19" customFormat="false" ht="25.5" hidden="false" customHeight="true" outlineLevel="0" collapsed="false">
      <c r="B19" s="13" t="s">
        <v>33</v>
      </c>
      <c r="D19" s="31" t="s">
        <v>34</v>
      </c>
    </row>
    <row r="20" customFormat="false" ht="30" hidden="false" customHeight="true" outlineLevel="0" collapsed="false">
      <c r="B20" s="32" t="s">
        <v>12</v>
      </c>
      <c r="C20" s="32" t="s">
        <v>35</v>
      </c>
      <c r="D20" s="32" t="s">
        <v>36</v>
      </c>
      <c r="E20" s="32" t="s">
        <v>37</v>
      </c>
      <c r="F20" s="32" t="s">
        <v>38</v>
      </c>
      <c r="G20" s="32" t="s">
        <v>15</v>
      </c>
      <c r="H20" s="32" t="s">
        <v>16</v>
      </c>
      <c r="I20" s="32" t="s">
        <v>14</v>
      </c>
      <c r="J20" s="32" t="s">
        <v>18</v>
      </c>
      <c r="K20" s="32" t="s">
        <v>19</v>
      </c>
      <c r="L20" s="32" t="s">
        <v>29</v>
      </c>
      <c r="M20" s="32" t="s">
        <v>39</v>
      </c>
      <c r="N20" s="32" t="s">
        <v>40</v>
      </c>
    </row>
    <row r="21" customFormat="false" ht="24" hidden="false" customHeight="true" outlineLevel="0" collapsed="false">
      <c r="B21" s="33" t="str">
        <f aca="false">'Kitting Plan'!B5</f>
        <v>LASER ASSY</v>
      </c>
      <c r="C21" s="16" t="str">
        <f aca="false">'Kitting Plan'!C5</f>
        <v>92YLS00548BAA</v>
      </c>
      <c r="D21" s="34" t="str">
        <f aca="false">'Kitting Plan'!D5</f>
        <v>R5B LASER ASSEMBLY 4P BOAT 1 - E2A</v>
      </c>
      <c r="E21" s="17" t="n">
        <f aca="false">'Kitting Plan'!E5</f>
        <v>13</v>
      </c>
      <c r="F21" s="17" t="n">
        <f aca="false">'Kitting Plan'!H5</f>
        <v>1</v>
      </c>
      <c r="G21" s="35" t="n">
        <f aca="false">IF($M$2="All",E21,F21)</f>
        <v>13</v>
      </c>
      <c r="H21" s="36" t="n">
        <f aca="false">IF($M$2="All",SUMIFS('Work Orders'!$H$6:$H$1005,'Work Orders'!$B$6:$B$1005,C21),SUMIFS('Work Orders'!$H$6:$H$1005,'Work Orders'!$B$6:$B$1005,C21,'Work Orders'!$E$6:$E$1005,$M$2)+(SUMIFS('Work Orders'!$H$6:$H$1005,'Work Orders'!$B$6:$B$1005,C21,'Work Orders'!$E$6:$E$1005,"All")+SUMIFS('Work Orders'!$H$6:$H$1005,'Work Orders'!$B$6:$B$1005,C21,'Work Orders'!$E$6:$E$1005,""))/'Kitting Plan'!G5)</f>
        <v>14</v>
      </c>
      <c r="I21" s="37" t="n">
        <f aca="false">IF(G21=0,0,H21/G21)</f>
        <v>1.07692307692308</v>
      </c>
      <c r="J21" s="38" t="str">
        <f aca="false">IF(H21=0,"NO WO",IF(H21&gt;G21+0.0001,"OVER",IF(H21&gt;=G21-0.0001,"COVERED","SHORT "&amp;ROUND(G21-H21,1))))</f>
        <v>OVER</v>
      </c>
      <c r="K21" s="17" t="n">
        <f aca="false">COUNTIFS('Work Orders'!$B$6:$B$1005,C21,'Work Orders'!$A$6:$A$1005,"?*")</f>
        <v>14</v>
      </c>
      <c r="L21" s="17" t="n">
        <f aca="false">SUMIFS('Work Orders'!$H$6:$H$1005,'Work Orders'!$B$6:$B$1005,C21,'Work Orders'!$I$6:$I$1005,"Delivered")</f>
        <v>9</v>
      </c>
      <c r="M21" s="39" t="n">
        <f aca="false">K21-COUNTIFS('Work Orders'!$B$6:$B$1005,C21,'Work Orders'!$A$6:$A$1005,"?*",'Work Orders'!$I$6:$I$1005,"Delivered")</f>
        <v>5</v>
      </c>
      <c r="N21" s="40" t="n">
        <f aca="false">IF(K21=0,"–",_xlfn.MAXIFS('Work Orders'!$A$6:$A$1005,'Work Orders'!$B$6:$B$1005,C21))</f>
        <v>100880245</v>
      </c>
      <c r="P21" s="41" t="n">
        <f aca="false">MIN(H21,G21)</f>
        <v>13</v>
      </c>
      <c r="Q21" s="41" t="n">
        <f aca="false">IF(F21=0,0,INT(H21/F21))</f>
        <v>14</v>
      </c>
      <c r="R21" s="41" t="n">
        <f aca="false">IF(F21=0,0,INT(L21/F21))</f>
        <v>9</v>
      </c>
    </row>
    <row r="22" customFormat="false" ht="24" hidden="false" customHeight="true" outlineLevel="0" collapsed="false">
      <c r="B22" s="33" t="str">
        <f aca="false">'Kitting Plan'!B6</f>
        <v>LASER ASSY</v>
      </c>
      <c r="C22" s="16" t="str">
        <f aca="false">'Kitting Plan'!C6</f>
        <v>92YLS00548BBA</v>
      </c>
      <c r="D22" s="34" t="str">
        <f aca="false">'Kitting Plan'!D6</f>
        <v>R5B LASER ASSEMBLY 4P BOAT 2/3 - E2A</v>
      </c>
      <c r="E22" s="17" t="n">
        <f aca="false">'Kitting Plan'!E6</f>
        <v>26</v>
      </c>
      <c r="F22" s="17" t="n">
        <f aca="false">'Kitting Plan'!H6</f>
        <v>2</v>
      </c>
      <c r="G22" s="35" t="n">
        <f aca="false">IF($M$2="All",E22,F22)</f>
        <v>26</v>
      </c>
      <c r="H22" s="36" t="n">
        <f aca="false">IF($M$2="All",SUMIFS('Work Orders'!$H$6:$H$1005,'Work Orders'!$B$6:$B$1005,C22),SUMIFS('Work Orders'!$H$6:$H$1005,'Work Orders'!$B$6:$B$1005,C22,'Work Orders'!$E$6:$E$1005,$M$2)+(SUMIFS('Work Orders'!$H$6:$H$1005,'Work Orders'!$B$6:$B$1005,C22,'Work Orders'!$E$6:$E$1005,"All")+SUMIFS('Work Orders'!$H$6:$H$1005,'Work Orders'!$B$6:$B$1005,C22,'Work Orders'!$E$6:$E$1005,""))/'Kitting Plan'!G6)</f>
        <v>26</v>
      </c>
      <c r="I22" s="37" t="n">
        <f aca="false">IF(G22=0,0,H22/G22)</f>
        <v>1</v>
      </c>
      <c r="J22" s="38" t="str">
        <f aca="false">IF(H22=0,"NO WO",IF(H22&gt;G22+0.0001,"OVER",IF(H22&gt;=G22-0.0001,"COVERED","SHORT "&amp;ROUND(G22-H22,1))))</f>
        <v>COVERED</v>
      </c>
      <c r="K22" s="17" t="n">
        <f aca="false">COUNTIFS('Work Orders'!$B$6:$B$1005,C22,'Work Orders'!$A$6:$A$1005,"?*")</f>
        <v>26</v>
      </c>
      <c r="L22" s="17" t="n">
        <f aca="false">SUMIFS('Work Orders'!$H$6:$H$1005,'Work Orders'!$B$6:$B$1005,C22,'Work Orders'!$I$6:$I$1005,"Delivered")</f>
        <v>17</v>
      </c>
      <c r="M22" s="39" t="n">
        <f aca="false">K22-COUNTIFS('Work Orders'!$B$6:$B$1005,C22,'Work Orders'!$A$6:$A$1005,"?*",'Work Orders'!$I$6:$I$1005,"Delivered")</f>
        <v>9</v>
      </c>
      <c r="N22" s="40" t="n">
        <f aca="false">IF(K22=0,"–",_xlfn.MAXIFS('Work Orders'!$A$6:$A$1005,'Work Orders'!$B$6:$B$1005,C22))</f>
        <v>100880247</v>
      </c>
      <c r="P22" s="41" t="n">
        <f aca="false">MIN(H22,G22)</f>
        <v>26</v>
      </c>
      <c r="Q22" s="41" t="n">
        <f aca="false">IF(F22=0,0,INT(H22/F22))</f>
        <v>13</v>
      </c>
      <c r="R22" s="41" t="n">
        <f aca="false">IF(F22=0,0,INT(L22/F22))</f>
        <v>8</v>
      </c>
    </row>
    <row r="23" customFormat="false" ht="24" hidden="false" customHeight="true" outlineLevel="0" collapsed="false">
      <c r="B23" s="33" t="str">
        <f aca="false">'Kitting Plan'!B7</f>
        <v>PSB ASSY</v>
      </c>
      <c r="C23" s="16" t="str">
        <f aca="false">'Kitting Plan'!C7</f>
        <v>91YAF03404AAA</v>
      </c>
      <c r="D23" s="34" t="str">
        <f aca="false">'Kitting Plan'!D7</f>
        <v>R5B PSB SUB ASSEMBLY 4P-4FP</v>
      </c>
      <c r="E23" s="17" t="n">
        <f aca="false">'Kitting Plan'!E7</f>
        <v>39</v>
      </c>
      <c r="F23" s="17" t="n">
        <f aca="false">'Kitting Plan'!H7</f>
        <v>3</v>
      </c>
      <c r="G23" s="35" t="n">
        <f aca="false">IF($M$2="All",E23,F23)</f>
        <v>39</v>
      </c>
      <c r="H23" s="36" t="n">
        <f aca="false">IF($M$2="All",SUMIFS('Work Orders'!$H$6:$H$1005,'Work Orders'!$B$6:$B$1005,C23),SUMIFS('Work Orders'!$H$6:$H$1005,'Work Orders'!$B$6:$B$1005,C23,'Work Orders'!$E$6:$E$1005,$M$2)+(SUMIFS('Work Orders'!$H$6:$H$1005,'Work Orders'!$B$6:$B$1005,C23,'Work Orders'!$E$6:$E$1005,"All")+SUMIFS('Work Orders'!$H$6:$H$1005,'Work Orders'!$B$6:$B$1005,C23,'Work Orders'!$E$6:$E$1005,""))/'Kitting Plan'!G7)</f>
        <v>51</v>
      </c>
      <c r="I23" s="37" t="n">
        <f aca="false">IF(G23=0,0,H23/G23)</f>
        <v>1.30769230769231</v>
      </c>
      <c r="J23" s="38" t="str">
        <f aca="false">IF(H23=0,"NO WO",IF(H23&gt;G23+0.0001,"OVER",IF(H23&gt;=G23-0.0001,"COVERED","SHORT "&amp;ROUND(G23-H23,1))))</f>
        <v>OVER</v>
      </c>
      <c r="K23" s="17" t="n">
        <f aca="false">COUNTIFS('Work Orders'!$B$6:$B$1005,C23,'Work Orders'!$A$6:$A$1005,"?*")</f>
        <v>51</v>
      </c>
      <c r="L23" s="17" t="n">
        <f aca="false">SUMIFS('Work Orders'!$H$6:$H$1005,'Work Orders'!$B$6:$B$1005,C23,'Work Orders'!$I$6:$I$1005,"Delivered")</f>
        <v>38</v>
      </c>
      <c r="M23" s="39" t="n">
        <f aca="false">K23-COUNTIFS('Work Orders'!$B$6:$B$1005,C23,'Work Orders'!$A$6:$A$1005,"?*",'Work Orders'!$I$6:$I$1005,"Delivered")</f>
        <v>13</v>
      </c>
      <c r="N23" s="40" t="n">
        <f aca="false">IF(K23=0,"–",_xlfn.MAXIFS('Work Orders'!$A$6:$A$1005,'Work Orders'!$B$6:$B$1005,C23))</f>
        <v>100880250</v>
      </c>
      <c r="P23" s="41" t="n">
        <f aca="false">MIN(H23,G23)</f>
        <v>39</v>
      </c>
      <c r="Q23" s="41" t="n">
        <f aca="false">IF(F23=0,0,INT(H23/F23))</f>
        <v>17</v>
      </c>
      <c r="R23" s="41" t="n">
        <f aca="false">IF(F23=0,0,INT(L23/F23))</f>
        <v>12</v>
      </c>
    </row>
    <row r="24" customFormat="false" ht="24" hidden="false" customHeight="true" outlineLevel="0" collapsed="false">
      <c r="B24" s="33" t="str">
        <f aca="false">'Kitting Plan'!B8</f>
        <v>OPF ASSY</v>
      </c>
      <c r="C24" s="16" t="str">
        <f aca="false">'Kitting Plan'!C8</f>
        <v>92YFD04548BAA</v>
      </c>
      <c r="D24" s="34" t="str">
        <f aca="false">'Kitting Plan'!D8</f>
        <v>R5B OPF ASSEMBLY (4P-4FP) BOAT 1 - E2A</v>
      </c>
      <c r="E24" s="17" t="n">
        <f aca="false">'Kitting Plan'!E8</f>
        <v>13</v>
      </c>
      <c r="F24" s="17" t="n">
        <f aca="false">'Kitting Plan'!H8</f>
        <v>1</v>
      </c>
      <c r="G24" s="35" t="n">
        <f aca="false">IF($M$2="All",E24,F24)</f>
        <v>13</v>
      </c>
      <c r="H24" s="36" t="n">
        <f aca="false">IF($M$2="All",SUMIFS('Work Orders'!$H$6:$H$1005,'Work Orders'!$B$6:$B$1005,C24),SUMIFS('Work Orders'!$H$6:$H$1005,'Work Orders'!$B$6:$B$1005,C24,'Work Orders'!$E$6:$E$1005,$M$2)+(SUMIFS('Work Orders'!$H$6:$H$1005,'Work Orders'!$B$6:$B$1005,C24,'Work Orders'!$E$6:$E$1005,"All")+SUMIFS('Work Orders'!$H$6:$H$1005,'Work Orders'!$B$6:$B$1005,C24,'Work Orders'!$E$6:$E$1005,""))/'Kitting Plan'!G8)</f>
        <v>14</v>
      </c>
      <c r="I24" s="37" t="n">
        <f aca="false">IF(G24=0,0,H24/G24)</f>
        <v>1.07692307692308</v>
      </c>
      <c r="J24" s="38" t="str">
        <f aca="false">IF(H24=0,"NO WO",IF(H24&gt;G24+0.0001,"OVER",IF(H24&gt;=G24-0.0001,"COVERED","SHORT "&amp;ROUND(G24-H24,1))))</f>
        <v>OVER</v>
      </c>
      <c r="K24" s="17" t="n">
        <f aca="false">COUNTIFS('Work Orders'!$B$6:$B$1005,C24,'Work Orders'!$A$6:$A$1005,"?*")</f>
        <v>14</v>
      </c>
      <c r="L24" s="17" t="n">
        <f aca="false">SUMIFS('Work Orders'!$H$6:$H$1005,'Work Orders'!$B$6:$B$1005,C24,'Work Orders'!$I$6:$I$1005,"Delivered")</f>
        <v>8</v>
      </c>
      <c r="M24" s="39" t="n">
        <f aca="false">K24-COUNTIFS('Work Orders'!$B$6:$B$1005,C24,'Work Orders'!$A$6:$A$1005,"?*",'Work Orders'!$I$6:$I$1005,"Delivered")</f>
        <v>6</v>
      </c>
      <c r="N24" s="40" t="n">
        <f aca="false">IF(K24=0,"–",_xlfn.MAXIFS('Work Orders'!$A$6:$A$1005,'Work Orders'!$B$6:$B$1005,C24))</f>
        <v>100880251</v>
      </c>
      <c r="P24" s="41" t="n">
        <f aca="false">MIN(H24,G24)</f>
        <v>13</v>
      </c>
      <c r="Q24" s="41" t="n">
        <f aca="false">IF(F24=0,0,INT(H24/F24))</f>
        <v>14</v>
      </c>
      <c r="R24" s="41" t="n">
        <f aca="false">IF(F24=0,0,INT(L24/F24))</f>
        <v>8</v>
      </c>
    </row>
    <row r="25" customFormat="false" ht="24" hidden="false" customHeight="true" outlineLevel="0" collapsed="false">
      <c r="B25" s="33" t="str">
        <f aca="false">'Kitting Plan'!B9</f>
        <v>OPF ASSY</v>
      </c>
      <c r="C25" s="16" t="str">
        <f aca="false">'Kitting Plan'!C9</f>
        <v>92YFD04548BBA</v>
      </c>
      <c r="D25" s="34" t="str">
        <f aca="false">'Kitting Plan'!D9</f>
        <v>R5B OPF ASSEMBLY (4P-4FP) BOAT 2/3 - E2A</v>
      </c>
      <c r="E25" s="17" t="n">
        <f aca="false">'Kitting Plan'!E9</f>
        <v>26</v>
      </c>
      <c r="F25" s="17" t="n">
        <f aca="false">'Kitting Plan'!H9</f>
        <v>2</v>
      </c>
      <c r="G25" s="35" t="n">
        <f aca="false">IF($M$2="All",E25,F25)</f>
        <v>26</v>
      </c>
      <c r="H25" s="36" t="n">
        <f aca="false">IF($M$2="All",SUMIFS('Work Orders'!$H$6:$H$1005,'Work Orders'!$B$6:$B$1005,C25),SUMIFS('Work Orders'!$H$6:$H$1005,'Work Orders'!$B$6:$B$1005,C25,'Work Orders'!$E$6:$E$1005,$M$2)+(SUMIFS('Work Orders'!$H$6:$H$1005,'Work Orders'!$B$6:$B$1005,C25,'Work Orders'!$E$6:$E$1005,"All")+SUMIFS('Work Orders'!$H$6:$H$1005,'Work Orders'!$B$6:$B$1005,C25,'Work Orders'!$E$6:$E$1005,""))/'Kitting Plan'!G9)</f>
        <v>26</v>
      </c>
      <c r="I25" s="37" t="n">
        <f aca="false">IF(G25=0,0,H25/G25)</f>
        <v>1</v>
      </c>
      <c r="J25" s="38" t="str">
        <f aca="false">IF(H25=0,"NO WO",IF(H25&gt;G25+0.0001,"OVER",IF(H25&gt;=G25-0.0001,"COVERED","SHORT "&amp;ROUND(G25-H25,1))))</f>
        <v>COVERED</v>
      </c>
      <c r="K25" s="17" t="n">
        <f aca="false">COUNTIFS('Work Orders'!$B$6:$B$1005,C25,'Work Orders'!$A$6:$A$1005,"?*")</f>
        <v>26</v>
      </c>
      <c r="L25" s="17" t="n">
        <f aca="false">SUMIFS('Work Orders'!$H$6:$H$1005,'Work Orders'!$B$6:$B$1005,C25,'Work Orders'!$I$6:$I$1005,"Delivered")</f>
        <v>15</v>
      </c>
      <c r="M25" s="39" t="n">
        <f aca="false">K25-COUNTIFS('Work Orders'!$B$6:$B$1005,C25,'Work Orders'!$A$6:$A$1005,"?*",'Work Orders'!$I$6:$I$1005,"Delivered")</f>
        <v>11</v>
      </c>
      <c r="N25" s="40" t="n">
        <f aca="false">IF(K25=0,"–",_xlfn.MAXIFS('Work Orders'!$A$6:$A$1005,'Work Orders'!$B$6:$B$1005,C25))</f>
        <v>100880253</v>
      </c>
      <c r="P25" s="41" t="n">
        <f aca="false">MIN(H25,G25)</f>
        <v>26</v>
      </c>
      <c r="Q25" s="41" t="n">
        <f aca="false">IF(F25=0,0,INT(H25/F25))</f>
        <v>13</v>
      </c>
      <c r="R25" s="41" t="n">
        <f aca="false">IF(F25=0,0,INT(L25/F25))</f>
        <v>7</v>
      </c>
    </row>
    <row r="26" customFormat="false" ht="24" hidden="false" customHeight="true" outlineLevel="0" collapsed="false">
      <c r="B26" s="33" t="str">
        <f aca="false">'Kitting Plan'!B10</f>
        <v>POB ASSY</v>
      </c>
      <c r="C26" s="16" t="str">
        <f aca="false">'Kitting Plan'!C10</f>
        <v>92YWS04548AAA</v>
      </c>
      <c r="D26" s="34" t="str">
        <f aca="false">'Kitting Plan'!D10</f>
        <v>R5B 4FP POB LUMENTUM SUB ASSEMBLY - E2A</v>
      </c>
      <c r="E26" s="17" t="n">
        <f aca="false">'Kitting Plan'!E10</f>
        <v>39</v>
      </c>
      <c r="F26" s="17" t="n">
        <f aca="false">'Kitting Plan'!H10</f>
        <v>3</v>
      </c>
      <c r="G26" s="35" t="n">
        <f aca="false">IF($M$2="All",E26,F26)</f>
        <v>39</v>
      </c>
      <c r="H26" s="36" t="n">
        <f aca="false">IF($M$2="All",SUMIFS('Work Orders'!$H$6:$H$1005,'Work Orders'!$B$6:$B$1005,C26),SUMIFS('Work Orders'!$H$6:$H$1005,'Work Orders'!$B$6:$B$1005,C26,'Work Orders'!$E$6:$E$1005,$M$2)+(SUMIFS('Work Orders'!$H$6:$H$1005,'Work Orders'!$B$6:$B$1005,C26,'Work Orders'!$E$6:$E$1005,"All")+SUMIFS('Work Orders'!$H$6:$H$1005,'Work Orders'!$B$6:$B$1005,C26,'Work Orders'!$E$6:$E$1005,""))/'Kitting Plan'!G10)</f>
        <v>39</v>
      </c>
      <c r="I26" s="37" t="n">
        <f aca="false">IF(G26=0,0,H26/G26)</f>
        <v>1</v>
      </c>
      <c r="J26" s="38" t="str">
        <f aca="false">IF(H26=0,"NO WO",IF(H26&gt;G26+0.0001,"OVER",IF(H26&gt;=G26-0.0001,"COVERED","SHORT "&amp;ROUND(G26-H26,1))))</f>
        <v>COVERED</v>
      </c>
      <c r="K26" s="17" t="n">
        <f aca="false">COUNTIFS('Work Orders'!$B$6:$B$1005,C26,'Work Orders'!$A$6:$A$1005,"?*")</f>
        <v>39</v>
      </c>
      <c r="L26" s="17" t="n">
        <f aca="false">SUMIFS('Work Orders'!$H$6:$H$1005,'Work Orders'!$B$6:$B$1005,C26,'Work Orders'!$I$6:$I$1005,"Delivered")</f>
        <v>27</v>
      </c>
      <c r="M26" s="39" t="n">
        <f aca="false">K26-COUNTIFS('Work Orders'!$B$6:$B$1005,C26,'Work Orders'!$A$6:$A$1005,"?*",'Work Orders'!$I$6:$I$1005,"Delivered")</f>
        <v>12</v>
      </c>
      <c r="N26" s="40" t="n">
        <f aca="false">IF(K26=0,"–",_xlfn.MAXIFS('Work Orders'!$A$6:$A$1005,'Work Orders'!$B$6:$B$1005,C26))</f>
        <v>100880256</v>
      </c>
      <c r="P26" s="41" t="n">
        <f aca="false">MIN(H26,G26)</f>
        <v>39</v>
      </c>
      <c r="Q26" s="41" t="n">
        <f aca="false">IF(F26=0,0,INT(H26/F26))</f>
        <v>13</v>
      </c>
      <c r="R26" s="41" t="n">
        <f aca="false">IF(F26=0,0,INT(L26/F26))</f>
        <v>9</v>
      </c>
    </row>
    <row r="27" customFormat="false" ht="24" hidden="false" customHeight="true" outlineLevel="0" collapsed="false">
      <c r="B27" s="33" t="str">
        <f aca="false">'Kitting Plan'!B11</f>
        <v>ERBIUM ASSY</v>
      </c>
      <c r="C27" s="16" t="str">
        <f aca="false">'Kitting Plan'!C11</f>
        <v>92RRA00548AAA</v>
      </c>
      <c r="D27" s="34" t="str">
        <f aca="false">'Kitting Plan'!D11</f>
        <v>R5B ERBIUM SPOOL ASSEMBLY - E2A</v>
      </c>
      <c r="E27" s="17" t="n">
        <f aca="false">'Kitting Plan'!E11</f>
        <v>312</v>
      </c>
      <c r="F27" s="17" t="n">
        <f aca="false">'Kitting Plan'!H11</f>
        <v>24</v>
      </c>
      <c r="G27" s="35" t="n">
        <f aca="false">IF($M$2="All",E27,F27)</f>
        <v>312</v>
      </c>
      <c r="H27" s="36" t="n">
        <f aca="false">IF($M$2="All",SUMIFS('Work Orders'!$H$6:$H$1005,'Work Orders'!$B$6:$B$1005,C27),SUMIFS('Work Orders'!$H$6:$H$1005,'Work Orders'!$B$6:$B$1005,C27,'Work Orders'!$E$6:$E$1005,$M$2)+(SUMIFS('Work Orders'!$H$6:$H$1005,'Work Orders'!$B$6:$B$1005,C27,'Work Orders'!$E$6:$E$1005,"All")+SUMIFS('Work Orders'!$H$6:$H$1005,'Work Orders'!$B$6:$B$1005,C27,'Work Orders'!$E$6:$E$1005,""))/'Kitting Plan'!G11)</f>
        <v>322</v>
      </c>
      <c r="I27" s="37" t="n">
        <f aca="false">IF(G27=0,0,H27/G27)</f>
        <v>1.03205128205128</v>
      </c>
      <c r="J27" s="38" t="str">
        <f aca="false">IF(H27=0,"NO WO",IF(H27&gt;G27+0.0001,"OVER",IF(H27&gt;=G27-0.0001,"COVERED","SHORT "&amp;ROUND(G27-H27,1))))</f>
        <v>OVER</v>
      </c>
      <c r="K27" s="17" t="n">
        <f aca="false">COUNTIFS('Work Orders'!$B$6:$B$1005,C27,'Work Orders'!$A$6:$A$1005,"?*")</f>
        <v>322</v>
      </c>
      <c r="L27" s="17" t="n">
        <f aca="false">SUMIFS('Work Orders'!$H$6:$H$1005,'Work Orders'!$B$6:$B$1005,C27,'Work Orders'!$I$6:$I$1005,"Delivered")</f>
        <v>202</v>
      </c>
      <c r="M27" s="39" t="n">
        <f aca="false">K27-COUNTIFS('Work Orders'!$B$6:$B$1005,C27,'Work Orders'!$A$6:$A$1005,"?*",'Work Orders'!$I$6:$I$1005,"Delivered")</f>
        <v>120</v>
      </c>
      <c r="N27" s="40" t="n">
        <f aca="false">IF(K27=0,"–",_xlfn.MAXIFS('Work Orders'!$A$6:$A$1005,'Work Orders'!$B$6:$B$1005,C27))</f>
        <v>100880280</v>
      </c>
      <c r="P27" s="41" t="n">
        <f aca="false">MIN(H27,G27)</f>
        <v>312</v>
      </c>
      <c r="Q27" s="41" t="n">
        <f aca="false">IF(F27=0,0,INT(H27/F27))</f>
        <v>13</v>
      </c>
      <c r="R27" s="41" t="n">
        <f aca="false">IF(F27=0,0,INT(L27/F27))</f>
        <v>8</v>
      </c>
    </row>
    <row r="28" customFormat="false" ht="24" hidden="false" customHeight="true" outlineLevel="0" collapsed="false">
      <c r="B28" s="33" t="str">
        <f aca="false">'Kitting Plan'!B12</f>
        <v>ERBIUM ASSY</v>
      </c>
      <c r="C28" s="16" t="str">
        <f aca="false">'Kitting Plan'!C12</f>
        <v>92YRA01548AAA</v>
      </c>
      <c r="D28" s="34" t="str">
        <f aca="false">'Kitting Plan'!D12</f>
        <v>R5B ERBIUM ASSEMBLY POSITION 1</v>
      </c>
      <c r="E28" s="17" t="n">
        <f aca="false">'Kitting Plan'!E12</f>
        <v>39</v>
      </c>
      <c r="F28" s="17" t="n">
        <f aca="false">'Kitting Plan'!H12</f>
        <v>3</v>
      </c>
      <c r="G28" s="35" t="n">
        <f aca="false">IF($M$2="All",E28,F28)</f>
        <v>39</v>
      </c>
      <c r="H28" s="36" t="n">
        <f aca="false">IF($M$2="All",SUMIFS('Work Orders'!$H$6:$H$1005,'Work Orders'!$B$6:$B$1005,C28),SUMIFS('Work Orders'!$H$6:$H$1005,'Work Orders'!$B$6:$B$1005,C28,'Work Orders'!$E$6:$E$1005,$M$2)+(SUMIFS('Work Orders'!$H$6:$H$1005,'Work Orders'!$B$6:$B$1005,C28,'Work Orders'!$E$6:$E$1005,"All")+SUMIFS('Work Orders'!$H$6:$H$1005,'Work Orders'!$B$6:$B$1005,C28,'Work Orders'!$E$6:$E$1005,""))/'Kitting Plan'!G12)</f>
        <v>40</v>
      </c>
      <c r="I28" s="37" t="n">
        <f aca="false">IF(G28=0,0,H28/G28)</f>
        <v>1.02564102564103</v>
      </c>
      <c r="J28" s="38" t="str">
        <f aca="false">IF(H28=0,"NO WO",IF(H28&gt;G28+0.0001,"OVER",IF(H28&gt;=G28-0.0001,"COVERED","SHORT "&amp;ROUND(G28-H28,1))))</f>
        <v>OVER</v>
      </c>
      <c r="K28" s="17" t="n">
        <f aca="false">COUNTIFS('Work Orders'!$B$6:$B$1005,C28,'Work Orders'!$A$6:$A$1005,"?*")</f>
        <v>40</v>
      </c>
      <c r="L28" s="17" t="n">
        <f aca="false">SUMIFS('Work Orders'!$H$6:$H$1005,'Work Orders'!$B$6:$B$1005,C28,'Work Orders'!$I$6:$I$1005,"Delivered")</f>
        <v>22</v>
      </c>
      <c r="M28" s="39" t="n">
        <f aca="false">K28-COUNTIFS('Work Orders'!$B$6:$B$1005,C28,'Work Orders'!$A$6:$A$1005,"?*",'Work Orders'!$I$6:$I$1005,"Delivered")</f>
        <v>18</v>
      </c>
      <c r="N28" s="40" t="n">
        <f aca="false">IF(K28=0,"–",_xlfn.MAXIFS('Work Orders'!$A$6:$A$1005,'Work Orders'!$B$6:$B$1005,C28))</f>
        <v>100880307</v>
      </c>
      <c r="P28" s="41" t="n">
        <f aca="false">MIN(H28,G28)</f>
        <v>39</v>
      </c>
      <c r="Q28" s="41" t="n">
        <f aca="false">IF(F28=0,0,INT(H28/F28))</f>
        <v>13</v>
      </c>
      <c r="R28" s="41" t="n">
        <f aca="false">IF(F28=0,0,INT(L28/F28))</f>
        <v>7</v>
      </c>
    </row>
    <row r="29" customFormat="false" ht="24" hidden="false" customHeight="true" outlineLevel="0" collapsed="false">
      <c r="B29" s="33" t="str">
        <f aca="false">'Kitting Plan'!B13</f>
        <v>ERBIUM ASSY</v>
      </c>
      <c r="C29" s="16" t="str">
        <f aca="false">'Kitting Plan'!C13</f>
        <v>92YRA02548AAA</v>
      </c>
      <c r="D29" s="34" t="str">
        <f aca="false">'Kitting Plan'!D13</f>
        <v>R5B ERBIUM ASSEMBLY POSITION 2</v>
      </c>
      <c r="E29" s="17" t="n">
        <f aca="false">'Kitting Plan'!E13</f>
        <v>39</v>
      </c>
      <c r="F29" s="17" t="n">
        <f aca="false">'Kitting Plan'!H13</f>
        <v>3</v>
      </c>
      <c r="G29" s="35" t="n">
        <f aca="false">IF($M$2="All",E29,F29)</f>
        <v>39</v>
      </c>
      <c r="H29" s="36" t="n">
        <f aca="false">IF($M$2="All",SUMIFS('Work Orders'!$H$6:$H$1005,'Work Orders'!$B$6:$B$1005,C29),SUMIFS('Work Orders'!$H$6:$H$1005,'Work Orders'!$B$6:$B$1005,C29,'Work Orders'!$E$6:$E$1005,$M$2)+(SUMIFS('Work Orders'!$H$6:$H$1005,'Work Orders'!$B$6:$B$1005,C29,'Work Orders'!$E$6:$E$1005,"All")+SUMIFS('Work Orders'!$H$6:$H$1005,'Work Orders'!$B$6:$B$1005,C29,'Work Orders'!$E$6:$E$1005,""))/'Kitting Plan'!G13)</f>
        <v>39</v>
      </c>
      <c r="I29" s="37" t="n">
        <f aca="false">IF(G29=0,0,H29/G29)</f>
        <v>1</v>
      </c>
      <c r="J29" s="38" t="str">
        <f aca="false">IF(H29=0,"NO WO",IF(H29&gt;G29+0.0001,"OVER",IF(H29&gt;=G29-0.0001,"COVERED","SHORT "&amp;ROUND(G29-H29,1))))</f>
        <v>COVERED</v>
      </c>
      <c r="K29" s="17" t="n">
        <f aca="false">COUNTIFS('Work Orders'!$B$6:$B$1005,C29,'Work Orders'!$A$6:$A$1005,"?*")</f>
        <v>39</v>
      </c>
      <c r="L29" s="17" t="n">
        <f aca="false">SUMIFS('Work Orders'!$H$6:$H$1005,'Work Orders'!$B$6:$B$1005,C29,'Work Orders'!$I$6:$I$1005,"Delivered")</f>
        <v>20</v>
      </c>
      <c r="M29" s="39" t="n">
        <f aca="false">K29-COUNTIFS('Work Orders'!$B$6:$B$1005,C29,'Work Orders'!$A$6:$A$1005,"?*",'Work Orders'!$I$6:$I$1005,"Delivered")</f>
        <v>19</v>
      </c>
      <c r="N29" s="40" t="n">
        <f aca="false">IF(K29=0,"–",_xlfn.MAXIFS('Work Orders'!$A$6:$A$1005,'Work Orders'!$B$6:$B$1005,C29))</f>
        <v>100880286</v>
      </c>
      <c r="P29" s="41" t="n">
        <f aca="false">MIN(H29,G29)</f>
        <v>39</v>
      </c>
      <c r="Q29" s="41" t="n">
        <f aca="false">IF(F29=0,0,INT(H29/F29))</f>
        <v>13</v>
      </c>
      <c r="R29" s="41" t="n">
        <f aca="false">IF(F29=0,0,INT(L29/F29))</f>
        <v>6</v>
      </c>
    </row>
    <row r="30" customFormat="false" ht="24" hidden="false" customHeight="true" outlineLevel="0" collapsed="false">
      <c r="B30" s="33" t="str">
        <f aca="false">'Kitting Plan'!B14</f>
        <v>ERBIUM ASSY</v>
      </c>
      <c r="C30" s="16" t="str">
        <f aca="false">'Kitting Plan'!C14</f>
        <v>92YRA03548AAA</v>
      </c>
      <c r="D30" s="34" t="str">
        <f aca="false">'Kitting Plan'!D14</f>
        <v>R5B ERBIUM ASSEMBLY POSITION 3</v>
      </c>
      <c r="E30" s="17" t="n">
        <f aca="false">'Kitting Plan'!E14</f>
        <v>39</v>
      </c>
      <c r="F30" s="17" t="n">
        <f aca="false">'Kitting Plan'!H14</f>
        <v>3</v>
      </c>
      <c r="G30" s="35" t="n">
        <f aca="false">IF($M$2="All",E30,F30)</f>
        <v>39</v>
      </c>
      <c r="H30" s="36" t="n">
        <f aca="false">IF($M$2="All",SUMIFS('Work Orders'!$H$6:$H$1005,'Work Orders'!$B$6:$B$1005,C30),SUMIFS('Work Orders'!$H$6:$H$1005,'Work Orders'!$B$6:$B$1005,C30,'Work Orders'!$E$6:$E$1005,$M$2)+(SUMIFS('Work Orders'!$H$6:$H$1005,'Work Orders'!$B$6:$B$1005,C30,'Work Orders'!$E$6:$E$1005,"All")+SUMIFS('Work Orders'!$H$6:$H$1005,'Work Orders'!$B$6:$B$1005,C30,'Work Orders'!$E$6:$E$1005,""))/'Kitting Plan'!G14)</f>
        <v>42</v>
      </c>
      <c r="I30" s="37" t="n">
        <f aca="false">IF(G30=0,0,H30/G30)</f>
        <v>1.07692307692308</v>
      </c>
      <c r="J30" s="38" t="str">
        <f aca="false">IF(H30=0,"NO WO",IF(H30&gt;G30+0.0001,"OVER",IF(H30&gt;=G30-0.0001,"COVERED","SHORT "&amp;ROUND(G30-H30,1))))</f>
        <v>OVER</v>
      </c>
      <c r="K30" s="17" t="n">
        <f aca="false">COUNTIFS('Work Orders'!$B$6:$B$1005,C30,'Work Orders'!$A$6:$A$1005,"?*")</f>
        <v>42</v>
      </c>
      <c r="L30" s="17" t="n">
        <f aca="false">SUMIFS('Work Orders'!$H$6:$H$1005,'Work Orders'!$B$6:$B$1005,C30,'Work Orders'!$I$6:$I$1005,"Delivered")</f>
        <v>20</v>
      </c>
      <c r="M30" s="39" t="n">
        <f aca="false">K30-COUNTIFS('Work Orders'!$B$6:$B$1005,C30,'Work Orders'!$A$6:$A$1005,"?*",'Work Orders'!$I$6:$I$1005,"Delivered")</f>
        <v>22</v>
      </c>
      <c r="N30" s="40" t="n">
        <f aca="false">IF(K30=0,"–",_xlfn.MAXIFS('Work Orders'!$A$6:$A$1005,'Work Orders'!$B$6:$B$1005,C30))</f>
        <v>100880289</v>
      </c>
      <c r="P30" s="41" t="n">
        <f aca="false">MIN(H30,G30)</f>
        <v>39</v>
      </c>
      <c r="Q30" s="41" t="n">
        <f aca="false">IF(F30=0,0,INT(H30/F30))</f>
        <v>14</v>
      </c>
      <c r="R30" s="41" t="n">
        <f aca="false">IF(F30=0,0,INT(L30/F30))</f>
        <v>6</v>
      </c>
    </row>
    <row r="31" customFormat="false" ht="24" hidden="false" customHeight="true" outlineLevel="0" collapsed="false">
      <c r="B31" s="33" t="str">
        <f aca="false">'Kitting Plan'!B15</f>
        <v>ERBIUM ASSY</v>
      </c>
      <c r="C31" s="16" t="str">
        <f aca="false">'Kitting Plan'!C15</f>
        <v>92YRA04548AAA</v>
      </c>
      <c r="D31" s="34" t="str">
        <f aca="false">'Kitting Plan'!D15</f>
        <v>R5B ERBIUM ASSEMBLY POSITION 4</v>
      </c>
      <c r="E31" s="17" t="n">
        <f aca="false">'Kitting Plan'!E15</f>
        <v>39</v>
      </c>
      <c r="F31" s="17" t="n">
        <f aca="false">'Kitting Plan'!H15</f>
        <v>3</v>
      </c>
      <c r="G31" s="35" t="n">
        <f aca="false">IF($M$2="All",E31,F31)</f>
        <v>39</v>
      </c>
      <c r="H31" s="36" t="n">
        <f aca="false">IF($M$2="All",SUMIFS('Work Orders'!$H$6:$H$1005,'Work Orders'!$B$6:$B$1005,C31),SUMIFS('Work Orders'!$H$6:$H$1005,'Work Orders'!$B$6:$B$1005,C31,'Work Orders'!$E$6:$E$1005,$M$2)+(SUMIFS('Work Orders'!$H$6:$H$1005,'Work Orders'!$B$6:$B$1005,C31,'Work Orders'!$E$6:$E$1005,"All")+SUMIFS('Work Orders'!$H$6:$H$1005,'Work Orders'!$B$6:$B$1005,C31,'Work Orders'!$E$6:$E$1005,""))/'Kitting Plan'!G15)</f>
        <v>39</v>
      </c>
      <c r="I31" s="37" t="n">
        <f aca="false">IF(G31=0,0,H31/G31)</f>
        <v>1</v>
      </c>
      <c r="J31" s="38" t="str">
        <f aca="false">IF(H31=0,"NO WO",IF(H31&gt;G31+0.0001,"OVER",IF(H31&gt;=G31-0.0001,"COVERED","SHORT "&amp;ROUND(G31-H31,1))))</f>
        <v>COVERED</v>
      </c>
      <c r="K31" s="17" t="n">
        <f aca="false">COUNTIFS('Work Orders'!$B$6:$B$1005,C31,'Work Orders'!$A$6:$A$1005,"?*")</f>
        <v>39</v>
      </c>
      <c r="L31" s="17" t="n">
        <f aca="false">SUMIFS('Work Orders'!$H$6:$H$1005,'Work Orders'!$B$6:$B$1005,C31,'Work Orders'!$I$6:$I$1005,"Delivered")</f>
        <v>20</v>
      </c>
      <c r="M31" s="39" t="n">
        <f aca="false">K31-COUNTIFS('Work Orders'!$B$6:$B$1005,C31,'Work Orders'!$A$6:$A$1005,"?*",'Work Orders'!$I$6:$I$1005,"Delivered")</f>
        <v>19</v>
      </c>
      <c r="N31" s="40" t="n">
        <f aca="false">IF(K31=0,"–",_xlfn.MAXIFS('Work Orders'!$A$6:$A$1005,'Work Orders'!$B$6:$B$1005,C31))</f>
        <v>100880292</v>
      </c>
      <c r="P31" s="41" t="n">
        <f aca="false">MIN(H31,G31)</f>
        <v>39</v>
      </c>
      <c r="Q31" s="41" t="n">
        <f aca="false">IF(F31=0,0,INT(H31/F31))</f>
        <v>13</v>
      </c>
      <c r="R31" s="41" t="n">
        <f aca="false">IF(F31=0,0,INT(L31/F31))</f>
        <v>6</v>
      </c>
    </row>
    <row r="32" customFormat="false" ht="24" hidden="false" customHeight="true" outlineLevel="0" collapsed="false">
      <c r="B32" s="33" t="str">
        <f aca="false">'Kitting Plan'!B16</f>
        <v>BOAT ASSY</v>
      </c>
      <c r="C32" s="16" t="str">
        <f aca="false">'Kitting Plan'!C16</f>
        <v>92UAP04548BAA</v>
      </c>
      <c r="D32" s="34" t="str">
        <f aca="false">'Kitting Plan'!D16</f>
        <v>R5B BOAT 1 ASSY (4P-4FP)</v>
      </c>
      <c r="E32" s="17" t="n">
        <f aca="false">'Kitting Plan'!E16</f>
        <v>13</v>
      </c>
      <c r="F32" s="17" t="n">
        <f aca="false">'Kitting Plan'!H16</f>
        <v>1</v>
      </c>
      <c r="G32" s="35" t="n">
        <f aca="false">IF($M$2="All",E32,F32)</f>
        <v>13</v>
      </c>
      <c r="H32" s="36" t="n">
        <f aca="false">IF($M$2="All",SUMIFS('Work Orders'!$H$6:$H$1005,'Work Orders'!$B$6:$B$1005,C32),SUMIFS('Work Orders'!$H$6:$H$1005,'Work Orders'!$B$6:$B$1005,C32,'Work Orders'!$E$6:$E$1005,$M$2)+(SUMIFS('Work Orders'!$H$6:$H$1005,'Work Orders'!$B$6:$B$1005,C32,'Work Orders'!$E$6:$E$1005,"All")+SUMIFS('Work Orders'!$H$6:$H$1005,'Work Orders'!$B$6:$B$1005,C32,'Work Orders'!$E$6:$E$1005,""))/'Kitting Plan'!G16)</f>
        <v>13</v>
      </c>
      <c r="I32" s="37" t="n">
        <f aca="false">IF(G32=0,0,H32/G32)</f>
        <v>1</v>
      </c>
      <c r="J32" s="38" t="str">
        <f aca="false">IF(H32=0,"NO WO",IF(H32&gt;G32+0.0001,"OVER",IF(H32&gt;=G32-0.0001,"COVERED","SHORT "&amp;ROUND(G32-H32,1))))</f>
        <v>COVERED</v>
      </c>
      <c r="K32" s="17" t="n">
        <f aca="false">COUNTIFS('Work Orders'!$B$6:$B$1005,C32,'Work Orders'!$A$6:$A$1005,"?*")</f>
        <v>13</v>
      </c>
      <c r="L32" s="17" t="n">
        <f aca="false">SUMIFS('Work Orders'!$H$6:$H$1005,'Work Orders'!$B$6:$B$1005,C32,'Work Orders'!$I$6:$I$1005,"Delivered")</f>
        <v>5</v>
      </c>
      <c r="M32" s="39" t="n">
        <f aca="false">K32-COUNTIFS('Work Orders'!$B$6:$B$1005,C32,'Work Orders'!$A$6:$A$1005,"?*",'Work Orders'!$I$6:$I$1005,"Delivered")</f>
        <v>8</v>
      </c>
      <c r="N32" s="40" t="n">
        <f aca="false">IF(K32=0,"–",_xlfn.MAXIFS('Work Orders'!$A$6:$A$1005,'Work Orders'!$B$6:$B$1005,C32))</f>
        <v>100880293</v>
      </c>
      <c r="P32" s="41" t="n">
        <f aca="false">MIN(H32,G32)</f>
        <v>13</v>
      </c>
      <c r="Q32" s="41" t="n">
        <f aca="false">IF(F32=0,0,INT(H32/F32))</f>
        <v>13</v>
      </c>
      <c r="R32" s="41" t="n">
        <f aca="false">IF(F32=0,0,INT(L32/F32))</f>
        <v>5</v>
      </c>
    </row>
    <row r="33" customFormat="false" ht="24" hidden="false" customHeight="true" outlineLevel="0" collapsed="false">
      <c r="B33" s="33" t="str">
        <f aca="false">'Kitting Plan'!B17</f>
        <v>BOAT ASSY</v>
      </c>
      <c r="C33" s="16" t="str">
        <f aca="false">'Kitting Plan'!C17</f>
        <v>92UAP04548BBA</v>
      </c>
      <c r="D33" s="34" t="str">
        <f aca="false">'Kitting Plan'!D17</f>
        <v>R5B BOAT 2 ASSY (4P-4FP)</v>
      </c>
      <c r="E33" s="17" t="n">
        <f aca="false">'Kitting Plan'!E17</f>
        <v>13</v>
      </c>
      <c r="F33" s="17" t="n">
        <f aca="false">'Kitting Plan'!H17</f>
        <v>1</v>
      </c>
      <c r="G33" s="35" t="n">
        <f aca="false">IF($M$2="All",E33,F33)</f>
        <v>13</v>
      </c>
      <c r="H33" s="36" t="n">
        <f aca="false">IF($M$2="All",SUMIFS('Work Orders'!$H$6:$H$1005,'Work Orders'!$B$6:$B$1005,C33),SUMIFS('Work Orders'!$H$6:$H$1005,'Work Orders'!$B$6:$B$1005,C33,'Work Orders'!$E$6:$E$1005,$M$2)+(SUMIFS('Work Orders'!$H$6:$H$1005,'Work Orders'!$B$6:$B$1005,C33,'Work Orders'!$E$6:$E$1005,"All")+SUMIFS('Work Orders'!$H$6:$H$1005,'Work Orders'!$B$6:$B$1005,C33,'Work Orders'!$E$6:$E$1005,""))/'Kitting Plan'!G17)</f>
        <v>13</v>
      </c>
      <c r="I33" s="37" t="n">
        <f aca="false">IF(G33=0,0,H33/G33)</f>
        <v>1</v>
      </c>
      <c r="J33" s="38" t="str">
        <f aca="false">IF(H33=0,"NO WO",IF(H33&gt;G33+0.0001,"OVER",IF(H33&gt;=G33-0.0001,"COVERED","SHORT "&amp;ROUND(G33-H33,1))))</f>
        <v>COVERED</v>
      </c>
      <c r="K33" s="17" t="n">
        <f aca="false">COUNTIFS('Work Orders'!$B$6:$B$1005,C33,'Work Orders'!$A$6:$A$1005,"?*")</f>
        <v>13</v>
      </c>
      <c r="L33" s="17" t="n">
        <f aca="false">SUMIFS('Work Orders'!$H$6:$H$1005,'Work Orders'!$B$6:$B$1005,C33,'Work Orders'!$I$6:$I$1005,"Delivered")</f>
        <v>5</v>
      </c>
      <c r="M33" s="39" t="n">
        <f aca="false">K33-COUNTIFS('Work Orders'!$B$6:$B$1005,C33,'Work Orders'!$A$6:$A$1005,"?*",'Work Orders'!$I$6:$I$1005,"Delivered")</f>
        <v>8</v>
      </c>
      <c r="N33" s="40" t="n">
        <f aca="false">IF(K33=0,"–",_xlfn.MAXIFS('Work Orders'!$A$6:$A$1005,'Work Orders'!$B$6:$B$1005,C33))</f>
        <v>100880294</v>
      </c>
      <c r="P33" s="41" t="n">
        <f aca="false">MIN(H33,G33)</f>
        <v>13</v>
      </c>
      <c r="Q33" s="41" t="n">
        <f aca="false">IF(F33=0,0,INT(H33/F33))</f>
        <v>13</v>
      </c>
      <c r="R33" s="41" t="n">
        <f aca="false">IF(F33=0,0,INT(L33/F33))</f>
        <v>5</v>
      </c>
    </row>
    <row r="34" customFormat="false" ht="24" hidden="false" customHeight="true" outlineLevel="0" collapsed="false">
      <c r="B34" s="33" t="str">
        <f aca="false">'Kitting Plan'!B18</f>
        <v>BOAT ASSY</v>
      </c>
      <c r="C34" s="16" t="str">
        <f aca="false">'Kitting Plan'!C18</f>
        <v>92UAP04548BCA</v>
      </c>
      <c r="D34" s="34" t="str">
        <f aca="false">'Kitting Plan'!D18</f>
        <v>R5B BOAT 3 ASSY (4P-4FP)</v>
      </c>
      <c r="E34" s="17" t="n">
        <f aca="false">'Kitting Plan'!E18</f>
        <v>13</v>
      </c>
      <c r="F34" s="17" t="n">
        <f aca="false">'Kitting Plan'!H18</f>
        <v>1</v>
      </c>
      <c r="G34" s="35" t="n">
        <f aca="false">IF($M$2="All",E34,F34)</f>
        <v>13</v>
      </c>
      <c r="H34" s="36" t="n">
        <f aca="false">IF($M$2="All",SUMIFS('Work Orders'!$H$6:$H$1005,'Work Orders'!$B$6:$B$1005,C34),SUMIFS('Work Orders'!$H$6:$H$1005,'Work Orders'!$B$6:$B$1005,C34,'Work Orders'!$E$6:$E$1005,$M$2)+(SUMIFS('Work Orders'!$H$6:$H$1005,'Work Orders'!$B$6:$B$1005,C34,'Work Orders'!$E$6:$E$1005,"All")+SUMIFS('Work Orders'!$H$6:$H$1005,'Work Orders'!$B$6:$B$1005,C34,'Work Orders'!$E$6:$E$1005,""))/'Kitting Plan'!G18)</f>
        <v>13</v>
      </c>
      <c r="I34" s="37" t="n">
        <f aca="false">IF(G34=0,0,H34/G34)</f>
        <v>1</v>
      </c>
      <c r="J34" s="38" t="str">
        <f aca="false">IF(H34=0,"NO WO",IF(H34&gt;G34+0.0001,"OVER",IF(H34&gt;=G34-0.0001,"COVERED","SHORT "&amp;ROUND(G34-H34,1))))</f>
        <v>COVERED</v>
      </c>
      <c r="K34" s="17" t="n">
        <f aca="false">COUNTIFS('Work Orders'!$B$6:$B$1005,C34,'Work Orders'!$A$6:$A$1005,"?*")</f>
        <v>13</v>
      </c>
      <c r="L34" s="17" t="n">
        <f aca="false">SUMIFS('Work Orders'!$H$6:$H$1005,'Work Orders'!$B$6:$B$1005,C34,'Work Orders'!$I$6:$I$1005,"Delivered")</f>
        <v>6</v>
      </c>
      <c r="M34" s="39" t="n">
        <f aca="false">K34-COUNTIFS('Work Orders'!$B$6:$B$1005,C34,'Work Orders'!$A$6:$A$1005,"?*",'Work Orders'!$I$6:$I$1005,"Delivered")</f>
        <v>7</v>
      </c>
      <c r="N34" s="40" t="n">
        <f aca="false">IF(K34=0,"–",_xlfn.MAXIFS('Work Orders'!$A$6:$A$1005,'Work Orders'!$B$6:$B$1005,C34))</f>
        <v>100880295</v>
      </c>
      <c r="P34" s="41" t="n">
        <f aca="false">MIN(H34,G34)</f>
        <v>13</v>
      </c>
      <c r="Q34" s="41" t="n">
        <f aca="false">IF(F34=0,0,INT(H34/F34))</f>
        <v>13</v>
      </c>
      <c r="R34" s="41" t="n">
        <f aca="false">IF(F34=0,0,INT(L34/F34))</f>
        <v>6</v>
      </c>
    </row>
  </sheetData>
  <mergeCells count="21">
    <mergeCell ref="B6:C6"/>
    <mergeCell ref="E6:G6"/>
    <mergeCell ref="H6:I6"/>
    <mergeCell ref="J6:K6"/>
    <mergeCell ref="L6:N6"/>
    <mergeCell ref="B7:C7"/>
    <mergeCell ref="E7:G7"/>
    <mergeCell ref="H7:I7"/>
    <mergeCell ref="J7:K7"/>
    <mergeCell ref="L7:N7"/>
    <mergeCell ref="B8:C8"/>
    <mergeCell ref="E8:G8"/>
    <mergeCell ref="H8:I8"/>
    <mergeCell ref="J8:K8"/>
    <mergeCell ref="L8:N8"/>
    <mergeCell ref="L11:N11"/>
    <mergeCell ref="L12:N12"/>
    <mergeCell ref="L13:N13"/>
    <mergeCell ref="L14:N14"/>
    <mergeCell ref="L15:N15"/>
    <mergeCell ref="I17:N17"/>
  </mergeCells>
  <conditionalFormatting sqref="I21:I34">
    <cfRule type="dataBar" priority="2">
      <dataBar showValue="1" minLength="10" maxLength="90">
        <cfvo type="num" val="0"/>
        <cfvo type="num" val="1"/>
        <color rgb="FFB0245E"/>
      </dataBar>
      <extLst>
        <ext xmlns:x14="http://schemas.microsoft.com/office/spreadsheetml/2009/9/main" uri="{B025F937-C7B1-47D3-B67F-A62EFF666E3E}">
          <x14:id>{C3EA53D0-847D-4281-B534-1796406A92AB}</x14:id>
        </ext>
      </extLst>
    </cfRule>
  </conditionalFormatting>
  <conditionalFormatting sqref="J21:J34">
    <cfRule type="expression" priority="3" aboveAverage="0" equalAverage="0" bottom="0" percent="0" rank="0" text="" dxfId="0">
      <formula>$J21="NO WO"</formula>
    </cfRule>
    <cfRule type="expression" priority="4" aboveAverage="0" equalAverage="0" bottom="0" percent="0" rank="0" text="" dxfId="1">
      <formula>LEFT($J21,5)="SHORT"</formula>
    </cfRule>
    <cfRule type="expression" priority="5" aboveAverage="0" equalAverage="0" bottom="0" percent="0" rank="0" text="" dxfId="2">
      <formula>$J21="COVERED"</formula>
    </cfRule>
    <cfRule type="expression" priority="6" aboveAverage="0" equalAverage="0" bottom="0" percent="0" rank="0" text="" dxfId="3">
      <formula>$J21="OVER"</formula>
    </cfRule>
  </conditionalFormatting>
  <conditionalFormatting sqref="M21:M34">
    <cfRule type="cellIs" priority="7" operator="greaterThan" aboveAverage="0" equalAverage="0" bottom="0" percent="0" rank="0" text="" dxfId="4">
      <formula>0</formula>
    </cfRule>
  </conditionalFormatting>
  <conditionalFormatting sqref="B21:B34">
    <cfRule type="expression" priority="8" aboveAverage="0" equalAverage="0" bottom="0" percent="0" rank="0" text="" dxfId="5">
      <formula>$B21=$B20</formula>
    </cfRule>
  </conditionalFormatting>
  <conditionalFormatting sqref="L7">
    <cfRule type="cellIs" priority="9" operator="greaterThan" aboveAverage="0" equalAverage="0" bottom="0" percent="0" rank="0" text="" dxfId="6">
      <formula>0</formula>
    </cfRule>
  </conditionalFormatting>
  <conditionalFormatting sqref="J7">
    <cfRule type="cellIs" priority="10" operator="greaterThan" aboveAverage="0" equalAverage="0" bottom="0" percent="0" rank="0" text="" dxfId="6">
      <formula>0</formula>
    </cfRule>
  </conditionalFormatting>
  <conditionalFormatting sqref="D12:D17">
    <cfRule type="dataBar" priority="11">
      <dataBar showValue="0" minLength="10" maxLength="90">
        <cfvo type="num" val="0"/>
        <cfvo type="num" val="1"/>
        <color rgb="FFB0245E"/>
      </dataBar>
      <extLst>
        <ext xmlns:x14="http://schemas.microsoft.com/office/spreadsheetml/2009/9/main" uri="{B025F937-C7B1-47D3-B67F-A62EFF666E3E}">
          <x14:id>{1C33CEA4-9830-48CD-967F-E2729F5E76E5}</x14:id>
        </ext>
      </extLst>
    </cfRule>
  </conditionalFormatting>
  <conditionalFormatting sqref="L12:L15">
    <cfRule type="dataBar" priority="12">
      <dataBar showValue="1" minLength="10" maxLength="90">
        <cfvo type="num" val="0"/>
        <cfvo type="num" val="1"/>
        <color rgb="FF8A91A0"/>
      </dataBar>
      <extLst>
        <ext xmlns:x14="http://schemas.microsoft.com/office/spreadsheetml/2009/9/main" uri="{B025F937-C7B1-47D3-B67F-A62EFF666E3E}">
          <x14:id>{2D271132-34A6-4AF3-8B1D-80B0A6A1B070}</x14:id>
        </ext>
      </extLst>
    </cfRule>
  </conditionalFormatting>
  <dataValidations count="1">
    <dataValidation allowBlank="false" errorStyle="stop" operator="between" showDropDown="false" showErrorMessage="false" showInputMessage="false" sqref="M2" type="list">
      <formula1>"All,1,2,3,4,5,6,7,8,9,10,11,12,13"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EA53D0-847D-4281-B534-1796406A92AB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0245E"/>
              <x14:axisColor rgb="FF000000"/>
            </x14:dataBar>
          </x14:cfRule>
          <xm:sqref>I21:I34</xm:sqref>
        </x14:conditionalFormatting>
        <x14:conditionalFormatting xmlns:xm="http://schemas.microsoft.com/office/excel/2006/main">
          <x14:cfRule type="dataBar" id="{1C33CEA4-9830-48CD-967F-E2729F5E76E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0245E"/>
              <x14:axisColor rgb="FF000000"/>
            </x14:dataBar>
          </x14:cfRule>
          <xm:sqref>D12:D17</xm:sqref>
        </x14:conditionalFormatting>
        <x14:conditionalFormatting xmlns:xm="http://schemas.microsoft.com/office/excel/2006/main">
          <x14:cfRule type="dataBar" id="{2D271132-34A6-4AF3-8B1D-80B0A6A1B07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A91A0"/>
              <x14:axisColor rgb="FF000000"/>
            </x14:dataBar>
          </x14:cfRule>
          <xm:sqref>L12:L15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36"/>
  </cols>
  <sheetData>
    <row r="1" customFormat="false" ht="19.7" hidden="false" customHeight="false" outlineLevel="0" collapsed="false">
      <c r="A1" s="42" t="s">
        <v>41</v>
      </c>
    </row>
    <row r="2" customFormat="false" ht="15" hidden="false" customHeight="false" outlineLevel="0" collapsed="false">
      <c r="A2" s="43" t="s">
        <v>42</v>
      </c>
    </row>
    <row r="4" customFormat="false" ht="15" hidden="false" customHeight="false" outlineLevel="0" collapsed="false">
      <c r="A4" s="44" t="s">
        <v>43</v>
      </c>
      <c r="B4" s="44" t="s">
        <v>12</v>
      </c>
      <c r="C4" s="44" t="s">
        <v>35</v>
      </c>
      <c r="D4" s="44" t="s">
        <v>44</v>
      </c>
      <c r="E4" s="44" t="s">
        <v>37</v>
      </c>
      <c r="F4" s="44" t="s">
        <v>45</v>
      </c>
      <c r="G4" s="44" t="s">
        <v>46</v>
      </c>
      <c r="H4" s="44" t="s">
        <v>47</v>
      </c>
      <c r="I4" s="44" t="s">
        <v>48</v>
      </c>
    </row>
    <row r="5" customFormat="false" ht="15" hidden="false" customHeight="false" outlineLevel="0" collapsed="false">
      <c r="A5" s="45" t="s">
        <v>49</v>
      </c>
      <c r="B5" s="46" t="s">
        <v>22</v>
      </c>
      <c r="C5" s="46" t="s">
        <v>50</v>
      </c>
      <c r="D5" s="46" t="s">
        <v>51</v>
      </c>
      <c r="E5" s="45" t="n">
        <v>13</v>
      </c>
      <c r="F5" s="45" t="s">
        <v>52</v>
      </c>
      <c r="G5" s="45" t="n">
        <v>13</v>
      </c>
      <c r="H5" s="45" t="n">
        <v>1</v>
      </c>
      <c r="I5" s="47" t="str">
        <f aca="false">IF(E5=H5*G5,"OK","CHECK: release ≠ default × reps ("&amp;H5*G5&amp;")")</f>
        <v>OK</v>
      </c>
    </row>
    <row r="6" customFormat="false" ht="15" hidden="false" customHeight="false" outlineLevel="0" collapsed="false">
      <c r="A6" s="45" t="s">
        <v>49</v>
      </c>
      <c r="B6" s="46" t="s">
        <v>22</v>
      </c>
      <c r="C6" s="46" t="s">
        <v>53</v>
      </c>
      <c r="D6" s="46" t="s">
        <v>54</v>
      </c>
      <c r="E6" s="45" t="n">
        <v>26</v>
      </c>
      <c r="F6" s="45" t="s">
        <v>52</v>
      </c>
      <c r="G6" s="45" t="n">
        <v>13</v>
      </c>
      <c r="H6" s="45" t="n">
        <v>2</v>
      </c>
      <c r="I6" s="47" t="str">
        <f aca="false">IF(E6=H6*G6,"OK","CHECK: release ≠ default × reps ("&amp;H6*G6&amp;")")</f>
        <v>OK</v>
      </c>
    </row>
    <row r="7" customFormat="false" ht="15" hidden="false" customHeight="false" outlineLevel="0" collapsed="false">
      <c r="A7" s="45" t="s">
        <v>49</v>
      </c>
      <c r="B7" s="46" t="s">
        <v>24</v>
      </c>
      <c r="C7" s="46" t="s">
        <v>55</v>
      </c>
      <c r="D7" s="46" t="s">
        <v>56</v>
      </c>
      <c r="E7" s="45" t="n">
        <v>39</v>
      </c>
      <c r="F7" s="45" t="s">
        <v>52</v>
      </c>
      <c r="G7" s="45" t="n">
        <v>13</v>
      </c>
      <c r="H7" s="45" t="n">
        <v>3</v>
      </c>
      <c r="I7" s="47" t="str">
        <f aca="false">IF(E7=H7*G7,"OK","CHECK: release ≠ default × reps ("&amp;H7*G7&amp;")")</f>
        <v>OK</v>
      </c>
    </row>
    <row r="8" customFormat="false" ht="15" hidden="false" customHeight="false" outlineLevel="0" collapsed="false">
      <c r="A8" s="45" t="s">
        <v>49</v>
      </c>
      <c r="B8" s="46" t="s">
        <v>26</v>
      </c>
      <c r="C8" s="46" t="s">
        <v>57</v>
      </c>
      <c r="D8" s="46" t="s">
        <v>58</v>
      </c>
      <c r="E8" s="45" t="n">
        <v>13</v>
      </c>
      <c r="F8" s="45" t="s">
        <v>52</v>
      </c>
      <c r="G8" s="45" t="n">
        <v>13</v>
      </c>
      <c r="H8" s="45" t="n">
        <v>1</v>
      </c>
      <c r="I8" s="47" t="str">
        <f aca="false">IF(E8=H8*G8,"OK","CHECK: release ≠ default × reps ("&amp;H8*G8&amp;")")</f>
        <v>OK</v>
      </c>
    </row>
    <row r="9" customFormat="false" ht="15" hidden="false" customHeight="false" outlineLevel="0" collapsed="false">
      <c r="A9" s="45" t="s">
        <v>49</v>
      </c>
      <c r="B9" s="46" t="s">
        <v>26</v>
      </c>
      <c r="C9" s="46" t="s">
        <v>59</v>
      </c>
      <c r="D9" s="46" t="s">
        <v>60</v>
      </c>
      <c r="E9" s="45" t="n">
        <v>26</v>
      </c>
      <c r="F9" s="45" t="s">
        <v>52</v>
      </c>
      <c r="G9" s="45" t="n">
        <v>13</v>
      </c>
      <c r="H9" s="45" t="n">
        <v>2</v>
      </c>
      <c r="I9" s="47" t="str">
        <f aca="false">IF(E9=H9*G9,"OK","CHECK: release ≠ default × reps ("&amp;H9*G9&amp;")")</f>
        <v>OK</v>
      </c>
    </row>
    <row r="10" customFormat="false" ht="15" hidden="false" customHeight="false" outlineLevel="0" collapsed="false">
      <c r="A10" s="45" t="s">
        <v>49</v>
      </c>
      <c r="B10" s="46" t="s">
        <v>28</v>
      </c>
      <c r="C10" s="46" t="s">
        <v>61</v>
      </c>
      <c r="D10" s="46" t="s">
        <v>62</v>
      </c>
      <c r="E10" s="45" t="n">
        <v>39</v>
      </c>
      <c r="F10" s="45" t="s">
        <v>52</v>
      </c>
      <c r="G10" s="45" t="n">
        <v>13</v>
      </c>
      <c r="H10" s="45" t="n">
        <v>3</v>
      </c>
      <c r="I10" s="47" t="str">
        <f aca="false">IF(E10=H10*G10,"OK","CHECK: release ≠ default × reps ("&amp;H10*G10&amp;")")</f>
        <v>OK</v>
      </c>
    </row>
    <row r="11" customFormat="false" ht="15" hidden="false" customHeight="false" outlineLevel="0" collapsed="false">
      <c r="A11" s="45" t="s">
        <v>49</v>
      </c>
      <c r="B11" s="46" t="s">
        <v>30</v>
      </c>
      <c r="C11" s="46" t="s">
        <v>63</v>
      </c>
      <c r="D11" s="46" t="s">
        <v>64</v>
      </c>
      <c r="E11" s="45" t="n">
        <v>312</v>
      </c>
      <c r="F11" s="45" t="s">
        <v>52</v>
      </c>
      <c r="G11" s="45" t="n">
        <v>13</v>
      </c>
      <c r="H11" s="45" t="n">
        <v>24</v>
      </c>
      <c r="I11" s="47" t="str">
        <f aca="false">IF(E11=H11*G11,"OK","CHECK: release ≠ default × reps ("&amp;H11*G11&amp;")")</f>
        <v>OK</v>
      </c>
    </row>
    <row r="12" customFormat="false" ht="15" hidden="false" customHeight="false" outlineLevel="0" collapsed="false">
      <c r="A12" s="45" t="s">
        <v>49</v>
      </c>
      <c r="B12" s="46" t="s">
        <v>30</v>
      </c>
      <c r="C12" s="46" t="s">
        <v>65</v>
      </c>
      <c r="D12" s="46" t="s">
        <v>66</v>
      </c>
      <c r="E12" s="45" t="n">
        <v>39</v>
      </c>
      <c r="F12" s="45" t="s">
        <v>52</v>
      </c>
      <c r="G12" s="45" t="n">
        <v>13</v>
      </c>
      <c r="H12" s="45" t="n">
        <v>3</v>
      </c>
      <c r="I12" s="47" t="str">
        <f aca="false">IF(E12=H12*G12,"OK","CHECK: release ≠ default × reps ("&amp;H12*G12&amp;")")</f>
        <v>OK</v>
      </c>
    </row>
    <row r="13" customFormat="false" ht="15" hidden="false" customHeight="false" outlineLevel="0" collapsed="false">
      <c r="A13" s="45" t="s">
        <v>49</v>
      </c>
      <c r="B13" s="46" t="s">
        <v>30</v>
      </c>
      <c r="C13" s="46" t="s">
        <v>67</v>
      </c>
      <c r="D13" s="46" t="s">
        <v>68</v>
      </c>
      <c r="E13" s="45" t="n">
        <v>39</v>
      </c>
      <c r="F13" s="45" t="s">
        <v>52</v>
      </c>
      <c r="G13" s="45" t="n">
        <v>13</v>
      </c>
      <c r="H13" s="45" t="n">
        <v>3</v>
      </c>
      <c r="I13" s="47" t="str">
        <f aca="false">IF(E13=H13*G13,"OK","CHECK: release ≠ default × reps ("&amp;H13*G13&amp;")")</f>
        <v>OK</v>
      </c>
    </row>
    <row r="14" customFormat="false" ht="15" hidden="false" customHeight="false" outlineLevel="0" collapsed="false">
      <c r="A14" s="45" t="s">
        <v>49</v>
      </c>
      <c r="B14" s="46" t="s">
        <v>30</v>
      </c>
      <c r="C14" s="46" t="s">
        <v>69</v>
      </c>
      <c r="D14" s="46" t="s">
        <v>70</v>
      </c>
      <c r="E14" s="45" t="n">
        <v>39</v>
      </c>
      <c r="F14" s="45" t="s">
        <v>52</v>
      </c>
      <c r="G14" s="45" t="n">
        <v>13</v>
      </c>
      <c r="H14" s="45" t="n">
        <v>3</v>
      </c>
      <c r="I14" s="47" t="str">
        <f aca="false">IF(E14=H14*G14,"OK","CHECK: release ≠ default × reps ("&amp;H14*G14&amp;")")</f>
        <v>OK</v>
      </c>
    </row>
    <row r="15" customFormat="false" ht="15" hidden="false" customHeight="false" outlineLevel="0" collapsed="false">
      <c r="A15" s="45" t="s">
        <v>49</v>
      </c>
      <c r="B15" s="46" t="s">
        <v>30</v>
      </c>
      <c r="C15" s="46" t="s">
        <v>71</v>
      </c>
      <c r="D15" s="46" t="s">
        <v>72</v>
      </c>
      <c r="E15" s="45" t="n">
        <v>39</v>
      </c>
      <c r="F15" s="45" t="s">
        <v>52</v>
      </c>
      <c r="G15" s="45" t="n">
        <v>13</v>
      </c>
      <c r="H15" s="45" t="n">
        <v>3</v>
      </c>
      <c r="I15" s="47" t="str">
        <f aca="false">IF(E15=H15*G15,"OK","CHECK: release ≠ default × reps ("&amp;H15*G15&amp;")")</f>
        <v>OK</v>
      </c>
    </row>
    <row r="16" customFormat="false" ht="15" hidden="false" customHeight="false" outlineLevel="0" collapsed="false">
      <c r="A16" s="45" t="s">
        <v>49</v>
      </c>
      <c r="B16" s="46" t="s">
        <v>32</v>
      </c>
      <c r="C16" s="46" t="s">
        <v>73</v>
      </c>
      <c r="D16" s="46" t="s">
        <v>74</v>
      </c>
      <c r="E16" s="45" t="n">
        <v>13</v>
      </c>
      <c r="F16" s="45" t="s">
        <v>52</v>
      </c>
      <c r="G16" s="45" t="n">
        <v>13</v>
      </c>
      <c r="H16" s="45" t="n">
        <v>1</v>
      </c>
      <c r="I16" s="47" t="str">
        <f aca="false">IF(E16=H16*G16,"OK","CHECK: release ≠ default × reps ("&amp;H16*G16&amp;")")</f>
        <v>OK</v>
      </c>
    </row>
    <row r="17" customFormat="false" ht="15" hidden="false" customHeight="false" outlineLevel="0" collapsed="false">
      <c r="A17" s="45" t="s">
        <v>49</v>
      </c>
      <c r="B17" s="46" t="s">
        <v>32</v>
      </c>
      <c r="C17" s="46" t="s">
        <v>75</v>
      </c>
      <c r="D17" s="46" t="s">
        <v>76</v>
      </c>
      <c r="E17" s="45" t="n">
        <v>13</v>
      </c>
      <c r="F17" s="45" t="s">
        <v>52</v>
      </c>
      <c r="G17" s="45" t="n">
        <v>13</v>
      </c>
      <c r="H17" s="45" t="n">
        <v>1</v>
      </c>
      <c r="I17" s="47" t="str">
        <f aca="false">IF(E17=H17*G17,"OK","CHECK: release ≠ default × reps ("&amp;H17*G17&amp;")")</f>
        <v>OK</v>
      </c>
    </row>
    <row r="18" customFormat="false" ht="15" hidden="false" customHeight="false" outlineLevel="0" collapsed="false">
      <c r="A18" s="45" t="s">
        <v>49</v>
      </c>
      <c r="B18" s="46" t="s">
        <v>32</v>
      </c>
      <c r="C18" s="46" t="s">
        <v>77</v>
      </c>
      <c r="D18" s="46" t="s">
        <v>78</v>
      </c>
      <c r="E18" s="45" t="n">
        <v>13</v>
      </c>
      <c r="F18" s="45" t="s">
        <v>52</v>
      </c>
      <c r="G18" s="45" t="n">
        <v>13</v>
      </c>
      <c r="H18" s="45" t="n">
        <v>1</v>
      </c>
      <c r="I18" s="47" t="str">
        <f aca="false">IF(E18=H18*G18,"OK","CHECK: release ≠ default × reps ("&amp;H18*G18&amp;")")</f>
        <v>OK</v>
      </c>
    </row>
    <row r="20" customFormat="false" ht="15" hidden="false" customHeight="false" outlineLevel="0" collapsed="false">
      <c r="A20" s="48" t="s">
        <v>79</v>
      </c>
    </row>
    <row r="21" customFormat="false" ht="15" hidden="false" customHeight="false" outlineLevel="0" collapsed="false">
      <c r="A21" s="49" t="s">
        <v>43</v>
      </c>
      <c r="B21" s="50" t="s">
        <v>49</v>
      </c>
    </row>
    <row r="22" customFormat="false" ht="15" hidden="false" customHeight="false" outlineLevel="0" collapsed="false">
      <c r="A22" s="49" t="s">
        <v>80</v>
      </c>
      <c r="B22" s="50" t="s">
        <v>81</v>
      </c>
    </row>
    <row r="23" customFormat="false" ht="15" hidden="false" customHeight="false" outlineLevel="0" collapsed="false">
      <c r="A23" s="49" t="s">
        <v>82</v>
      </c>
      <c r="B23" s="50" t="s">
        <v>83</v>
      </c>
    </row>
    <row r="24" customFormat="false" ht="15" hidden="false" customHeight="false" outlineLevel="0" collapsed="false">
      <c r="A24" s="49" t="s">
        <v>84</v>
      </c>
      <c r="B24" s="50" t="s">
        <v>85</v>
      </c>
    </row>
    <row r="25" customFormat="false" ht="15" hidden="false" customHeight="false" outlineLevel="0" collapsed="false">
      <c r="A25" s="49" t="s">
        <v>86</v>
      </c>
      <c r="B25" s="50" t="s">
        <v>87</v>
      </c>
    </row>
    <row r="26" customFormat="false" ht="15" hidden="false" customHeight="false" outlineLevel="0" collapsed="false">
      <c r="A26" s="49" t="s">
        <v>88</v>
      </c>
      <c r="B26" s="50" t="s">
        <v>89</v>
      </c>
    </row>
  </sheetData>
  <conditionalFormatting sqref="I5:I18">
    <cfRule type="expression" priority="2" aboveAverage="0" equalAverage="0" bottom="0" percent="0" rank="0" text="" dxfId="1">
      <formula>LEFT($I5,5)="CHECK"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42"/>
    <col collapsed="false" customWidth="true" hidden="false" outlineLevel="0" max="4" min="4" style="0" width="15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28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42" t="s">
        <v>7</v>
      </c>
    </row>
    <row r="2" customFormat="false" ht="15" hidden="false" customHeight="false" outlineLevel="0" collapsed="false">
      <c r="A2" s="43" t="s">
        <v>90</v>
      </c>
    </row>
    <row r="3" customFormat="false" ht="15" hidden="false" customHeight="false" outlineLevel="0" collapsed="false">
      <c r="A3" s="43" t="s">
        <v>91</v>
      </c>
    </row>
    <row r="4" customFormat="false" ht="19.4" hidden="false" customHeight="false" outlineLevel="0" collapsed="false">
      <c r="E4" s="51" t="s">
        <v>92</v>
      </c>
      <c r="G4" s="51" t="s">
        <v>93</v>
      </c>
      <c r="I4" s="51" t="s">
        <v>94</v>
      </c>
    </row>
    <row r="5" customFormat="false" ht="15" hidden="false" customHeight="false" outlineLevel="0" collapsed="false">
      <c r="A5" s="52" t="s">
        <v>95</v>
      </c>
      <c r="B5" s="52" t="s">
        <v>35</v>
      </c>
      <c r="C5" s="44" t="s">
        <v>36</v>
      </c>
      <c r="D5" s="44" t="s">
        <v>12</v>
      </c>
      <c r="E5" s="52" t="s">
        <v>96</v>
      </c>
      <c r="F5" s="44" t="s">
        <v>97</v>
      </c>
      <c r="G5" s="52" t="s">
        <v>98</v>
      </c>
      <c r="H5" s="44" t="s">
        <v>16</v>
      </c>
      <c r="I5" s="52" t="s">
        <v>18</v>
      </c>
      <c r="J5" s="52" t="s">
        <v>99</v>
      </c>
      <c r="K5" s="52" t="s">
        <v>100</v>
      </c>
      <c r="L5" s="44" t="s">
        <v>101</v>
      </c>
    </row>
    <row r="6" customFormat="false" ht="23.85" hidden="false" customHeight="false" outlineLevel="0" collapsed="false">
      <c r="A6" s="53" t="n">
        <v>100859014</v>
      </c>
      <c r="B6" s="46" t="s">
        <v>55</v>
      </c>
      <c r="C6" s="54" t="str">
        <f aca="false">IF(B6="","",IFERROR(INDEX('Kitting Plan'!$D$5:$D$18,MATCH(B6,'Kitting Plan'!$C$5:$C$18,0)),"Unknown code"))</f>
        <v>R5B PSB SUB ASSEMBLY 4P-4FP</v>
      </c>
      <c r="D6" s="54" t="str">
        <f aca="false">IF(B6="","",IFERROR(INDEX('Kitting Plan'!$B$5:$B$18,MATCH(B6,'Kitting Plan'!$C$5:$C$18,0)),""))</f>
        <v>PSB ASSY</v>
      </c>
      <c r="E6" s="45"/>
      <c r="F6" s="55" t="n">
        <f aca="false">IF(B6="","",IFERROR(INDEX('Kitting Plan'!$H$5:$H$18,MATCH(B6,'Kitting Plan'!$C$5:$C$18,0)),""))</f>
        <v>3</v>
      </c>
      <c r="G6" s="45" t="n">
        <v>1</v>
      </c>
      <c r="H6" s="56" t="n">
        <f aca="false">IF(B6="","",IF(G6="",F6,G6))</f>
        <v>1</v>
      </c>
      <c r="I6" s="45" t="s">
        <v>29</v>
      </c>
      <c r="J6" s="57" t="n">
        <v>46132</v>
      </c>
      <c r="K6" s="46" t="s">
        <v>102</v>
      </c>
      <c r="L6" s="54" t="str">
        <f aca="false">IF(A6="","",IF(B6="","Missing code",IF(C6="Unknown code","Unknown code",IF(COUNTIF($A$6:$A$1005,A6)&gt;1,"Duplicate WO",""))))</f>
        <v/>
      </c>
    </row>
    <row r="7" customFormat="false" ht="23.85" hidden="false" customHeight="false" outlineLevel="0" collapsed="false">
      <c r="A7" s="53" t="n">
        <v>100859015</v>
      </c>
      <c r="B7" s="46" t="s">
        <v>55</v>
      </c>
      <c r="C7" s="54" t="str">
        <f aca="false">IF(B7="","",IFERROR(INDEX('Kitting Plan'!$D$5:$D$18,MATCH(B7,'Kitting Plan'!$C$5:$C$18,0)),"Unknown code"))</f>
        <v>R5B PSB SUB ASSEMBLY 4P-4FP</v>
      </c>
      <c r="D7" s="54" t="str">
        <f aca="false">IF(B7="","",IFERROR(INDEX('Kitting Plan'!$B$5:$B$18,MATCH(B7,'Kitting Plan'!$C$5:$C$18,0)),""))</f>
        <v>PSB ASSY</v>
      </c>
      <c r="E7" s="45"/>
      <c r="F7" s="55" t="n">
        <f aca="false">IF(B7="","",IFERROR(INDEX('Kitting Plan'!$H$5:$H$18,MATCH(B7,'Kitting Plan'!$C$5:$C$18,0)),""))</f>
        <v>3</v>
      </c>
      <c r="G7" s="45" t="n">
        <v>1</v>
      </c>
      <c r="H7" s="56" t="n">
        <f aca="false">IF(B7="","",IF(G7="",F7,G7))</f>
        <v>1</v>
      </c>
      <c r="I7" s="45" t="s">
        <v>29</v>
      </c>
      <c r="J7" s="57" t="n">
        <v>46132</v>
      </c>
      <c r="K7" s="46" t="s">
        <v>102</v>
      </c>
      <c r="L7" s="54" t="str">
        <f aca="false">IF(A7="","",IF(B7="","Missing code",IF(C7="Unknown code","Unknown code",IF(COUNTIF($A$6:$A$1005,A7)&gt;1,"Duplicate WO",""))))</f>
        <v/>
      </c>
    </row>
    <row r="8" customFormat="false" ht="23.85" hidden="false" customHeight="false" outlineLevel="0" collapsed="false">
      <c r="A8" s="53" t="n">
        <v>100859016</v>
      </c>
      <c r="B8" s="46" t="s">
        <v>55</v>
      </c>
      <c r="C8" s="54" t="str">
        <f aca="false">IF(B8="","",IFERROR(INDEX('Kitting Plan'!$D$5:$D$18,MATCH(B8,'Kitting Plan'!$C$5:$C$18,0)),"Unknown code"))</f>
        <v>R5B PSB SUB ASSEMBLY 4P-4FP</v>
      </c>
      <c r="D8" s="54" t="str">
        <f aca="false">IF(B8="","",IFERROR(INDEX('Kitting Plan'!$B$5:$B$18,MATCH(B8,'Kitting Plan'!$C$5:$C$18,0)),""))</f>
        <v>PSB ASSY</v>
      </c>
      <c r="E8" s="45"/>
      <c r="F8" s="55" t="n">
        <f aca="false">IF(B8="","",IFERROR(INDEX('Kitting Plan'!$H$5:$H$18,MATCH(B8,'Kitting Plan'!$C$5:$C$18,0)),""))</f>
        <v>3</v>
      </c>
      <c r="G8" s="45" t="n">
        <v>1</v>
      </c>
      <c r="H8" s="56" t="n">
        <f aca="false">IF(B8="","",IF(G8="",F8,G8))</f>
        <v>1</v>
      </c>
      <c r="I8" s="45" t="s">
        <v>29</v>
      </c>
      <c r="J8" s="57" t="n">
        <v>46132</v>
      </c>
      <c r="K8" s="46" t="s">
        <v>102</v>
      </c>
      <c r="L8" s="54" t="str">
        <f aca="false">IF(A8="","",IF(B8="","Missing code",IF(C8="Unknown code","Unknown code",IF(COUNTIF($A$6:$A$1005,A8)&gt;1,"Duplicate WO",""))))</f>
        <v/>
      </c>
    </row>
    <row r="9" customFormat="false" ht="23.85" hidden="false" customHeight="false" outlineLevel="0" collapsed="false">
      <c r="A9" s="53" t="n">
        <v>100862602</v>
      </c>
      <c r="B9" s="46" t="s">
        <v>55</v>
      </c>
      <c r="C9" s="54" t="str">
        <f aca="false">IF(B9="","",IFERROR(INDEX('Kitting Plan'!$D$5:$D$18,MATCH(B9,'Kitting Plan'!$C$5:$C$18,0)),"Unknown code"))</f>
        <v>R5B PSB SUB ASSEMBLY 4P-4FP</v>
      </c>
      <c r="D9" s="54" t="str">
        <f aca="false">IF(B9="","",IFERROR(INDEX('Kitting Plan'!$B$5:$B$18,MATCH(B9,'Kitting Plan'!$C$5:$C$18,0)),""))</f>
        <v>PSB ASSY</v>
      </c>
      <c r="E9" s="45"/>
      <c r="F9" s="55" t="n">
        <f aca="false">IF(B9="","",IFERROR(INDEX('Kitting Plan'!$H$5:$H$18,MATCH(B9,'Kitting Plan'!$C$5:$C$18,0)),""))</f>
        <v>3</v>
      </c>
      <c r="G9" s="45" t="n">
        <v>1</v>
      </c>
      <c r="H9" s="56" t="n">
        <f aca="false">IF(B9="","",IF(G9="",F9,G9))</f>
        <v>1</v>
      </c>
      <c r="I9" s="45" t="s">
        <v>29</v>
      </c>
      <c r="J9" s="57" t="n">
        <v>46160</v>
      </c>
      <c r="K9" s="46" t="s">
        <v>103</v>
      </c>
      <c r="L9" s="54" t="str">
        <f aca="false">IF(A9="","",IF(B9="","Missing code",IF(C9="Unknown code","Unknown code",IF(COUNTIF($A$6:$A$1005,A9)&gt;1,"Duplicate WO",""))))</f>
        <v/>
      </c>
    </row>
    <row r="10" customFormat="false" ht="23.85" hidden="false" customHeight="false" outlineLevel="0" collapsed="false">
      <c r="A10" s="53" t="n">
        <v>100862603</v>
      </c>
      <c r="B10" s="46" t="s">
        <v>55</v>
      </c>
      <c r="C10" s="54" t="str">
        <f aca="false">IF(B10="","",IFERROR(INDEX('Kitting Plan'!$D$5:$D$18,MATCH(B10,'Kitting Plan'!$C$5:$C$18,0)),"Unknown code"))</f>
        <v>R5B PSB SUB ASSEMBLY 4P-4FP</v>
      </c>
      <c r="D10" s="54" t="str">
        <f aca="false">IF(B10="","",IFERROR(INDEX('Kitting Plan'!$B$5:$B$18,MATCH(B10,'Kitting Plan'!$C$5:$C$18,0)),""))</f>
        <v>PSB ASSY</v>
      </c>
      <c r="E10" s="45"/>
      <c r="F10" s="55" t="n">
        <f aca="false">IF(B10="","",IFERROR(INDEX('Kitting Plan'!$H$5:$H$18,MATCH(B10,'Kitting Plan'!$C$5:$C$18,0)),""))</f>
        <v>3</v>
      </c>
      <c r="G10" s="45" t="n">
        <v>1</v>
      </c>
      <c r="H10" s="56" t="n">
        <f aca="false">IF(B10="","",IF(G10="",F10,G10))</f>
        <v>1</v>
      </c>
      <c r="I10" s="45" t="s">
        <v>29</v>
      </c>
      <c r="J10" s="57" t="n">
        <v>46160</v>
      </c>
      <c r="K10" s="46" t="s">
        <v>103</v>
      </c>
      <c r="L10" s="54" t="str">
        <f aca="false">IF(A10="","",IF(B10="","Missing code",IF(C10="Unknown code","Unknown code",IF(COUNTIF($A$6:$A$1005,A10)&gt;1,"Duplicate WO",""))))</f>
        <v/>
      </c>
    </row>
    <row r="11" customFormat="false" ht="23.85" hidden="false" customHeight="false" outlineLevel="0" collapsed="false">
      <c r="A11" s="53" t="n">
        <v>100862604</v>
      </c>
      <c r="B11" s="46" t="s">
        <v>55</v>
      </c>
      <c r="C11" s="54" t="str">
        <f aca="false">IF(B11="","",IFERROR(INDEX('Kitting Plan'!$D$5:$D$18,MATCH(B11,'Kitting Plan'!$C$5:$C$18,0)),"Unknown code"))</f>
        <v>R5B PSB SUB ASSEMBLY 4P-4FP</v>
      </c>
      <c r="D11" s="54" t="str">
        <f aca="false">IF(B11="","",IFERROR(INDEX('Kitting Plan'!$B$5:$B$18,MATCH(B11,'Kitting Plan'!$C$5:$C$18,0)),""))</f>
        <v>PSB ASSY</v>
      </c>
      <c r="E11" s="45"/>
      <c r="F11" s="55" t="n">
        <f aca="false">IF(B11="","",IFERROR(INDEX('Kitting Plan'!$H$5:$H$18,MATCH(B11,'Kitting Plan'!$C$5:$C$18,0)),""))</f>
        <v>3</v>
      </c>
      <c r="G11" s="45" t="n">
        <v>1</v>
      </c>
      <c r="H11" s="56" t="n">
        <f aca="false">IF(B11="","",IF(G11="",F11,G11))</f>
        <v>1</v>
      </c>
      <c r="I11" s="45" t="s">
        <v>29</v>
      </c>
      <c r="J11" s="57" t="n">
        <v>46160</v>
      </c>
      <c r="K11" s="46" t="s">
        <v>103</v>
      </c>
      <c r="L11" s="54" t="str">
        <f aca="false">IF(A11="","",IF(B11="","Missing code",IF(C11="Unknown code","Unknown code",IF(COUNTIF($A$6:$A$1005,A11)&gt;1,"Duplicate WO",""))))</f>
        <v/>
      </c>
    </row>
    <row r="12" customFormat="false" ht="23.85" hidden="false" customHeight="false" outlineLevel="0" collapsed="false">
      <c r="A12" s="53" t="n">
        <v>100864155</v>
      </c>
      <c r="B12" s="46" t="s">
        <v>55</v>
      </c>
      <c r="C12" s="54" t="str">
        <f aca="false">IF(B12="","",IFERROR(INDEX('Kitting Plan'!$D$5:$D$18,MATCH(B12,'Kitting Plan'!$C$5:$C$18,0)),"Unknown code"))</f>
        <v>R5B PSB SUB ASSEMBLY 4P-4FP</v>
      </c>
      <c r="D12" s="54" t="str">
        <f aca="false">IF(B12="","",IFERROR(INDEX('Kitting Plan'!$B$5:$B$18,MATCH(B12,'Kitting Plan'!$C$5:$C$18,0)),""))</f>
        <v>PSB ASSY</v>
      </c>
      <c r="E12" s="45"/>
      <c r="F12" s="55" t="n">
        <f aca="false">IF(B12="","",IFERROR(INDEX('Kitting Plan'!$H$5:$H$18,MATCH(B12,'Kitting Plan'!$C$5:$C$18,0)),""))</f>
        <v>3</v>
      </c>
      <c r="G12" s="45" t="n">
        <v>1</v>
      </c>
      <c r="H12" s="56" t="n">
        <f aca="false">IF(B12="","",IF(G12="",F12,G12))</f>
        <v>1</v>
      </c>
      <c r="I12" s="45" t="s">
        <v>29</v>
      </c>
      <c r="J12" s="57" t="n">
        <v>46170</v>
      </c>
      <c r="K12" s="46" t="s">
        <v>102</v>
      </c>
      <c r="L12" s="54" t="str">
        <f aca="false">IF(A12="","",IF(B12="","Missing code",IF(C12="Unknown code","Unknown code",IF(COUNTIF($A$6:$A$1005,A12)&gt;1,"Duplicate WO",""))))</f>
        <v/>
      </c>
    </row>
    <row r="13" customFormat="false" ht="23.85" hidden="false" customHeight="false" outlineLevel="0" collapsed="false">
      <c r="A13" s="53" t="n">
        <v>100864156</v>
      </c>
      <c r="B13" s="46" t="s">
        <v>55</v>
      </c>
      <c r="C13" s="54" t="str">
        <f aca="false">IF(B13="","",IFERROR(INDEX('Kitting Plan'!$D$5:$D$18,MATCH(B13,'Kitting Plan'!$C$5:$C$18,0)),"Unknown code"))</f>
        <v>R5B PSB SUB ASSEMBLY 4P-4FP</v>
      </c>
      <c r="D13" s="54" t="str">
        <f aca="false">IF(B13="","",IFERROR(INDEX('Kitting Plan'!$B$5:$B$18,MATCH(B13,'Kitting Plan'!$C$5:$C$18,0)),""))</f>
        <v>PSB ASSY</v>
      </c>
      <c r="E13" s="45"/>
      <c r="F13" s="55" t="n">
        <f aca="false">IF(B13="","",IFERROR(INDEX('Kitting Plan'!$H$5:$H$18,MATCH(B13,'Kitting Plan'!$C$5:$C$18,0)),""))</f>
        <v>3</v>
      </c>
      <c r="G13" s="45" t="n">
        <v>1</v>
      </c>
      <c r="H13" s="56" t="n">
        <f aca="false">IF(B13="","",IF(G13="",F13,G13))</f>
        <v>1</v>
      </c>
      <c r="I13" s="45" t="s">
        <v>29</v>
      </c>
      <c r="J13" s="57" t="n">
        <v>46170</v>
      </c>
      <c r="K13" s="46" t="s">
        <v>102</v>
      </c>
      <c r="L13" s="54" t="str">
        <f aca="false">IF(A13="","",IF(B13="","Missing code",IF(C13="Unknown code","Unknown code",IF(COUNTIF($A$6:$A$1005,A13)&gt;1,"Duplicate WO",""))))</f>
        <v/>
      </c>
    </row>
    <row r="14" customFormat="false" ht="23.85" hidden="false" customHeight="false" outlineLevel="0" collapsed="false">
      <c r="A14" s="53" t="n">
        <v>100864157</v>
      </c>
      <c r="B14" s="46" t="s">
        <v>55</v>
      </c>
      <c r="C14" s="54" t="str">
        <f aca="false">IF(B14="","",IFERROR(INDEX('Kitting Plan'!$D$5:$D$18,MATCH(B14,'Kitting Plan'!$C$5:$C$18,0)),"Unknown code"))</f>
        <v>R5B PSB SUB ASSEMBLY 4P-4FP</v>
      </c>
      <c r="D14" s="54" t="str">
        <f aca="false">IF(B14="","",IFERROR(INDEX('Kitting Plan'!$B$5:$B$18,MATCH(B14,'Kitting Plan'!$C$5:$C$18,0)),""))</f>
        <v>PSB ASSY</v>
      </c>
      <c r="E14" s="45"/>
      <c r="F14" s="55" t="n">
        <f aca="false">IF(B14="","",IFERROR(INDEX('Kitting Plan'!$H$5:$H$18,MATCH(B14,'Kitting Plan'!$C$5:$C$18,0)),""))</f>
        <v>3</v>
      </c>
      <c r="G14" s="45" t="n">
        <v>1</v>
      </c>
      <c r="H14" s="56" t="n">
        <f aca="false">IF(B14="","",IF(G14="",F14,G14))</f>
        <v>1</v>
      </c>
      <c r="I14" s="45" t="s">
        <v>29</v>
      </c>
      <c r="J14" s="57" t="n">
        <v>46170</v>
      </c>
      <c r="K14" s="46" t="s">
        <v>102</v>
      </c>
      <c r="L14" s="54" t="str">
        <f aca="false">IF(A14="","",IF(B14="","Missing code",IF(C14="Unknown code","Unknown code",IF(COUNTIF($A$6:$A$1005,A14)&gt;1,"Duplicate WO",""))))</f>
        <v/>
      </c>
    </row>
    <row r="15" customFormat="false" ht="23.85" hidden="false" customHeight="false" outlineLevel="0" collapsed="false">
      <c r="A15" s="53" t="n">
        <v>100864894</v>
      </c>
      <c r="B15" s="46" t="s">
        <v>55</v>
      </c>
      <c r="C15" s="54" t="str">
        <f aca="false">IF(B15="","",IFERROR(INDEX('Kitting Plan'!$D$5:$D$18,MATCH(B15,'Kitting Plan'!$C$5:$C$18,0)),"Unknown code"))</f>
        <v>R5B PSB SUB ASSEMBLY 4P-4FP</v>
      </c>
      <c r="D15" s="54" t="str">
        <f aca="false">IF(B15="","",IFERROR(INDEX('Kitting Plan'!$B$5:$B$18,MATCH(B15,'Kitting Plan'!$C$5:$C$18,0)),""))</f>
        <v>PSB ASSY</v>
      </c>
      <c r="E15" s="45"/>
      <c r="F15" s="55" t="n">
        <f aca="false">IF(B15="","",IFERROR(INDEX('Kitting Plan'!$H$5:$H$18,MATCH(B15,'Kitting Plan'!$C$5:$C$18,0)),""))</f>
        <v>3</v>
      </c>
      <c r="G15" s="45" t="n">
        <v>1</v>
      </c>
      <c r="H15" s="56" t="n">
        <f aca="false">IF(B15="","",IF(G15="",F15,G15))</f>
        <v>1</v>
      </c>
      <c r="I15" s="45" t="s">
        <v>29</v>
      </c>
      <c r="J15" s="57" t="n">
        <v>46174</v>
      </c>
      <c r="K15" s="46" t="s">
        <v>103</v>
      </c>
      <c r="L15" s="54" t="str">
        <f aca="false">IF(A15="","",IF(B15="","Missing code",IF(C15="Unknown code","Unknown code",IF(COUNTIF($A$6:$A$1005,A15)&gt;1,"Duplicate WO",""))))</f>
        <v/>
      </c>
    </row>
    <row r="16" customFormat="false" ht="23.85" hidden="false" customHeight="false" outlineLevel="0" collapsed="false">
      <c r="A16" s="53" t="n">
        <v>100866605</v>
      </c>
      <c r="B16" s="46" t="s">
        <v>55</v>
      </c>
      <c r="C16" s="54" t="str">
        <f aca="false">IF(B16="","",IFERROR(INDEX('Kitting Plan'!$D$5:$D$18,MATCH(B16,'Kitting Plan'!$C$5:$C$18,0)),"Unknown code"))</f>
        <v>R5B PSB SUB ASSEMBLY 4P-4FP</v>
      </c>
      <c r="D16" s="54" t="str">
        <f aca="false">IF(B16="","",IFERROR(INDEX('Kitting Plan'!$B$5:$B$18,MATCH(B16,'Kitting Plan'!$C$5:$C$18,0)),""))</f>
        <v>PSB ASSY</v>
      </c>
      <c r="E16" s="45"/>
      <c r="F16" s="55" t="n">
        <f aca="false">IF(B16="","",IFERROR(INDEX('Kitting Plan'!$H$5:$H$18,MATCH(B16,'Kitting Plan'!$C$5:$C$18,0)),""))</f>
        <v>3</v>
      </c>
      <c r="G16" s="45" t="n">
        <v>1</v>
      </c>
      <c r="H16" s="56" t="n">
        <f aca="false">IF(B16="","",IF(G16="",F16,G16))</f>
        <v>1</v>
      </c>
      <c r="I16" s="45" t="s">
        <v>29</v>
      </c>
      <c r="J16" s="57" t="n">
        <v>46188</v>
      </c>
      <c r="K16" s="46" t="s">
        <v>102</v>
      </c>
      <c r="L16" s="54" t="str">
        <f aca="false">IF(A16="","",IF(B16="","Missing code",IF(C16="Unknown code","Unknown code",IF(COUNTIF($A$6:$A$1005,A16)&gt;1,"Duplicate WO",""))))</f>
        <v/>
      </c>
    </row>
    <row r="17" customFormat="false" ht="23.85" hidden="false" customHeight="false" outlineLevel="0" collapsed="false">
      <c r="A17" s="53" t="n">
        <v>100866606</v>
      </c>
      <c r="B17" s="46" t="s">
        <v>55</v>
      </c>
      <c r="C17" s="54" t="str">
        <f aca="false">IF(B17="","",IFERROR(INDEX('Kitting Plan'!$D$5:$D$18,MATCH(B17,'Kitting Plan'!$C$5:$C$18,0)),"Unknown code"))</f>
        <v>R5B PSB SUB ASSEMBLY 4P-4FP</v>
      </c>
      <c r="D17" s="54" t="str">
        <f aca="false">IF(B17="","",IFERROR(INDEX('Kitting Plan'!$B$5:$B$18,MATCH(B17,'Kitting Plan'!$C$5:$C$18,0)),""))</f>
        <v>PSB ASSY</v>
      </c>
      <c r="E17" s="45"/>
      <c r="F17" s="55" t="n">
        <f aca="false">IF(B17="","",IFERROR(INDEX('Kitting Plan'!$H$5:$H$18,MATCH(B17,'Kitting Plan'!$C$5:$C$18,0)),""))</f>
        <v>3</v>
      </c>
      <c r="G17" s="45" t="n">
        <v>1</v>
      </c>
      <c r="H17" s="56" t="n">
        <f aca="false">IF(B17="","",IF(G17="",F17,G17))</f>
        <v>1</v>
      </c>
      <c r="I17" s="45" t="s">
        <v>29</v>
      </c>
      <c r="J17" s="57" t="n">
        <v>46188</v>
      </c>
      <c r="K17" s="46" t="s">
        <v>102</v>
      </c>
      <c r="L17" s="54" t="str">
        <f aca="false">IF(A17="","",IF(B17="","Missing code",IF(C17="Unknown code","Unknown code",IF(COUNTIF($A$6:$A$1005,A17)&gt;1,"Duplicate WO",""))))</f>
        <v/>
      </c>
    </row>
    <row r="18" customFormat="false" ht="23.85" hidden="false" customHeight="false" outlineLevel="0" collapsed="false">
      <c r="A18" s="53" t="n">
        <v>100871244</v>
      </c>
      <c r="B18" s="46" t="s">
        <v>55</v>
      </c>
      <c r="C18" s="54" t="str">
        <f aca="false">IF(B18="","",IFERROR(INDEX('Kitting Plan'!$D$5:$D$18,MATCH(B18,'Kitting Plan'!$C$5:$C$18,0)),"Unknown code"))</f>
        <v>R5B PSB SUB ASSEMBLY 4P-4FP</v>
      </c>
      <c r="D18" s="54" t="str">
        <f aca="false">IF(B18="","",IFERROR(INDEX('Kitting Plan'!$B$5:$B$18,MATCH(B18,'Kitting Plan'!$C$5:$C$18,0)),""))</f>
        <v>PSB ASSY</v>
      </c>
      <c r="E18" s="45"/>
      <c r="F18" s="55" t="n">
        <f aca="false">IF(B18="","",IFERROR(INDEX('Kitting Plan'!$H$5:$H$18,MATCH(B18,'Kitting Plan'!$C$5:$C$18,0)),""))</f>
        <v>3</v>
      </c>
      <c r="G18" s="45" t="n">
        <v>1</v>
      </c>
      <c r="H18" s="56" t="n">
        <f aca="false">IF(B18="","",IF(G18="",F18,G18))</f>
        <v>1</v>
      </c>
      <c r="I18" s="45" t="s">
        <v>29</v>
      </c>
      <c r="J18" s="57" t="n">
        <v>46225</v>
      </c>
      <c r="K18" s="46" t="s">
        <v>102</v>
      </c>
      <c r="L18" s="54" t="str">
        <f aca="false">IF(A18="","",IF(B18="","Missing code",IF(C18="Unknown code","Unknown code",IF(COUNTIF($A$6:$A$1005,A18)&gt;1,"Duplicate WO",""))))</f>
        <v/>
      </c>
    </row>
    <row r="19" customFormat="false" ht="23.85" hidden="false" customHeight="false" outlineLevel="0" collapsed="false">
      <c r="A19" s="53" t="n">
        <v>100871245</v>
      </c>
      <c r="B19" s="46" t="s">
        <v>55</v>
      </c>
      <c r="C19" s="54" t="str">
        <f aca="false">IF(B19="","",IFERROR(INDEX('Kitting Plan'!$D$5:$D$18,MATCH(B19,'Kitting Plan'!$C$5:$C$18,0)),"Unknown code"))</f>
        <v>R5B PSB SUB ASSEMBLY 4P-4FP</v>
      </c>
      <c r="D19" s="54" t="str">
        <f aca="false">IF(B19="","",IFERROR(INDEX('Kitting Plan'!$B$5:$B$18,MATCH(B19,'Kitting Plan'!$C$5:$C$18,0)),""))</f>
        <v>PSB ASSY</v>
      </c>
      <c r="E19" s="45"/>
      <c r="F19" s="55" t="n">
        <f aca="false">IF(B19="","",IFERROR(INDEX('Kitting Plan'!$H$5:$H$18,MATCH(B19,'Kitting Plan'!$C$5:$C$18,0)),""))</f>
        <v>3</v>
      </c>
      <c r="G19" s="45" t="n">
        <v>1</v>
      </c>
      <c r="H19" s="56" t="n">
        <f aca="false">IF(B19="","",IF(G19="",F19,G19))</f>
        <v>1</v>
      </c>
      <c r="I19" s="45" t="s">
        <v>29</v>
      </c>
      <c r="J19" s="57" t="n">
        <v>46225</v>
      </c>
      <c r="K19" s="46" t="s">
        <v>102</v>
      </c>
      <c r="L19" s="54" t="str">
        <f aca="false">IF(A19="","",IF(B19="","Missing code",IF(C19="Unknown code","Unknown code",IF(COUNTIF($A$6:$A$1005,A19)&gt;1,"Duplicate WO",""))))</f>
        <v/>
      </c>
    </row>
    <row r="20" customFormat="false" ht="23.85" hidden="false" customHeight="false" outlineLevel="0" collapsed="false">
      <c r="A20" s="53" t="n">
        <v>100871246</v>
      </c>
      <c r="B20" s="46" t="s">
        <v>55</v>
      </c>
      <c r="C20" s="54" t="str">
        <f aca="false">IF(B20="","",IFERROR(INDEX('Kitting Plan'!$D$5:$D$18,MATCH(B20,'Kitting Plan'!$C$5:$C$18,0)),"Unknown code"))</f>
        <v>R5B PSB SUB ASSEMBLY 4P-4FP</v>
      </c>
      <c r="D20" s="54" t="str">
        <f aca="false">IF(B20="","",IFERROR(INDEX('Kitting Plan'!$B$5:$B$18,MATCH(B20,'Kitting Plan'!$C$5:$C$18,0)),""))</f>
        <v>PSB ASSY</v>
      </c>
      <c r="E20" s="45"/>
      <c r="F20" s="55" t="n">
        <f aca="false">IF(B20="","",IFERROR(INDEX('Kitting Plan'!$H$5:$H$18,MATCH(B20,'Kitting Plan'!$C$5:$C$18,0)),""))</f>
        <v>3</v>
      </c>
      <c r="G20" s="45" t="n">
        <v>1</v>
      </c>
      <c r="H20" s="56" t="n">
        <f aca="false">IF(B20="","",IF(G20="",F20,G20))</f>
        <v>1</v>
      </c>
      <c r="I20" s="45" t="s">
        <v>29</v>
      </c>
      <c r="J20" s="57" t="n">
        <v>46225</v>
      </c>
      <c r="K20" s="46" t="s">
        <v>102</v>
      </c>
      <c r="L20" s="54" t="str">
        <f aca="false">IF(A20="","",IF(B20="","Missing code",IF(C20="Unknown code","Unknown code",IF(COUNTIF($A$6:$A$1005,A20)&gt;1,"Duplicate WO",""))))</f>
        <v/>
      </c>
    </row>
    <row r="21" customFormat="false" ht="23.85" hidden="false" customHeight="false" outlineLevel="0" collapsed="false">
      <c r="A21" s="53" t="n">
        <v>100873284</v>
      </c>
      <c r="B21" s="46" t="s">
        <v>55</v>
      </c>
      <c r="C21" s="54" t="str">
        <f aca="false">IF(B21="","",IFERROR(INDEX('Kitting Plan'!$D$5:$D$18,MATCH(B21,'Kitting Plan'!$C$5:$C$18,0)),"Unknown code"))</f>
        <v>R5B PSB SUB ASSEMBLY 4P-4FP</v>
      </c>
      <c r="D21" s="54" t="str">
        <f aca="false">IF(B21="","",IFERROR(INDEX('Kitting Plan'!$B$5:$B$18,MATCH(B21,'Kitting Plan'!$C$5:$C$18,0)),""))</f>
        <v>PSB ASSY</v>
      </c>
      <c r="E21" s="45"/>
      <c r="F21" s="55" t="n">
        <f aca="false">IF(B21="","",IFERROR(INDEX('Kitting Plan'!$H$5:$H$18,MATCH(B21,'Kitting Plan'!$C$5:$C$18,0)),""))</f>
        <v>3</v>
      </c>
      <c r="G21" s="45" t="n">
        <v>1</v>
      </c>
      <c r="H21" s="56" t="n">
        <f aca="false">IF(B21="","",IF(G21="",F21,G21))</f>
        <v>1</v>
      </c>
      <c r="I21" s="45" t="s">
        <v>29</v>
      </c>
      <c r="J21" s="57" t="n">
        <v>46240</v>
      </c>
      <c r="K21" s="46" t="s">
        <v>102</v>
      </c>
      <c r="L21" s="54" t="str">
        <f aca="false">IF(A21="","",IF(B21="","Missing code",IF(C21="Unknown code","Unknown code",IF(COUNTIF($A$6:$A$1005,A21)&gt;1,"Duplicate WO",""))))</f>
        <v/>
      </c>
    </row>
    <row r="22" customFormat="false" ht="23.85" hidden="false" customHeight="false" outlineLevel="0" collapsed="false">
      <c r="A22" s="53" t="n">
        <v>100873342</v>
      </c>
      <c r="B22" s="46" t="s">
        <v>55</v>
      </c>
      <c r="C22" s="54" t="str">
        <f aca="false">IF(B22="","",IFERROR(INDEX('Kitting Plan'!$D$5:$D$18,MATCH(B22,'Kitting Plan'!$C$5:$C$18,0)),"Unknown code"))</f>
        <v>R5B PSB SUB ASSEMBLY 4P-4FP</v>
      </c>
      <c r="D22" s="54" t="str">
        <f aca="false">IF(B22="","",IFERROR(INDEX('Kitting Plan'!$B$5:$B$18,MATCH(B22,'Kitting Plan'!$C$5:$C$18,0)),""))</f>
        <v>PSB ASSY</v>
      </c>
      <c r="E22" s="45"/>
      <c r="F22" s="55" t="n">
        <f aca="false">IF(B22="","",IFERROR(INDEX('Kitting Plan'!$H$5:$H$18,MATCH(B22,'Kitting Plan'!$C$5:$C$18,0)),""))</f>
        <v>3</v>
      </c>
      <c r="G22" s="45" t="n">
        <v>1</v>
      </c>
      <c r="H22" s="56" t="n">
        <f aca="false">IF(B22="","",IF(G22="",F22,G22))</f>
        <v>1</v>
      </c>
      <c r="I22" s="45" t="s">
        <v>29</v>
      </c>
      <c r="J22" s="57" t="n">
        <v>46242</v>
      </c>
      <c r="K22" s="46" t="s">
        <v>104</v>
      </c>
      <c r="L22" s="54" t="str">
        <f aca="false">IF(A22="","",IF(B22="","Missing code",IF(C22="Unknown code","Unknown code",IF(COUNTIF($A$6:$A$1005,A22)&gt;1,"Duplicate WO",""))))</f>
        <v/>
      </c>
    </row>
    <row r="23" customFormat="false" ht="23.85" hidden="false" customHeight="false" outlineLevel="0" collapsed="false">
      <c r="A23" s="53" t="n">
        <v>100873359</v>
      </c>
      <c r="B23" s="46" t="s">
        <v>55</v>
      </c>
      <c r="C23" s="54" t="str">
        <f aca="false">IF(B23="","",IFERROR(INDEX('Kitting Plan'!$D$5:$D$18,MATCH(B23,'Kitting Plan'!$C$5:$C$18,0)),"Unknown code"))</f>
        <v>R5B PSB SUB ASSEMBLY 4P-4FP</v>
      </c>
      <c r="D23" s="54" t="str">
        <f aca="false">IF(B23="","",IFERROR(INDEX('Kitting Plan'!$B$5:$B$18,MATCH(B23,'Kitting Plan'!$C$5:$C$18,0)),""))</f>
        <v>PSB ASSY</v>
      </c>
      <c r="E23" s="45"/>
      <c r="F23" s="55" t="n">
        <f aca="false">IF(B23="","",IFERROR(INDEX('Kitting Plan'!$H$5:$H$18,MATCH(B23,'Kitting Plan'!$C$5:$C$18,0)),""))</f>
        <v>3</v>
      </c>
      <c r="G23" s="45" t="n">
        <v>1</v>
      </c>
      <c r="H23" s="56" t="n">
        <f aca="false">IF(B23="","",IF(G23="",F23,G23))</f>
        <v>1</v>
      </c>
      <c r="I23" s="45" t="s">
        <v>29</v>
      </c>
      <c r="J23" s="57" t="n">
        <v>46243</v>
      </c>
      <c r="K23" s="46" t="s">
        <v>104</v>
      </c>
      <c r="L23" s="54" t="str">
        <f aca="false">IF(A23="","",IF(B23="","Missing code",IF(C23="Unknown code","Unknown code",IF(COUNTIF($A$6:$A$1005,A23)&gt;1,"Duplicate WO",""))))</f>
        <v/>
      </c>
    </row>
    <row r="24" customFormat="false" ht="23.85" hidden="false" customHeight="false" outlineLevel="0" collapsed="false">
      <c r="A24" s="53" t="n">
        <v>100873360</v>
      </c>
      <c r="B24" s="46" t="s">
        <v>55</v>
      </c>
      <c r="C24" s="54" t="str">
        <f aca="false">IF(B24="","",IFERROR(INDEX('Kitting Plan'!$D$5:$D$18,MATCH(B24,'Kitting Plan'!$C$5:$C$18,0)),"Unknown code"))</f>
        <v>R5B PSB SUB ASSEMBLY 4P-4FP</v>
      </c>
      <c r="D24" s="54" t="str">
        <f aca="false">IF(B24="","",IFERROR(INDEX('Kitting Plan'!$B$5:$B$18,MATCH(B24,'Kitting Plan'!$C$5:$C$18,0)),""))</f>
        <v>PSB ASSY</v>
      </c>
      <c r="E24" s="45"/>
      <c r="F24" s="55" t="n">
        <f aca="false">IF(B24="","",IFERROR(INDEX('Kitting Plan'!$H$5:$H$18,MATCH(B24,'Kitting Plan'!$C$5:$C$18,0)),""))</f>
        <v>3</v>
      </c>
      <c r="G24" s="45" t="n">
        <v>1</v>
      </c>
      <c r="H24" s="56" t="n">
        <f aca="false">IF(B24="","",IF(G24="",F24,G24))</f>
        <v>1</v>
      </c>
      <c r="I24" s="45" t="s">
        <v>29</v>
      </c>
      <c r="J24" s="57" t="n">
        <v>46243</v>
      </c>
      <c r="K24" s="46" t="s">
        <v>104</v>
      </c>
      <c r="L24" s="54" t="str">
        <f aca="false">IF(A24="","",IF(B24="","Missing code",IF(C24="Unknown code","Unknown code",IF(COUNTIF($A$6:$A$1005,A24)&gt;1,"Duplicate WO",""))))</f>
        <v/>
      </c>
    </row>
    <row r="25" customFormat="false" ht="23.85" hidden="false" customHeight="false" outlineLevel="0" collapsed="false">
      <c r="A25" s="53" t="n">
        <v>100873361</v>
      </c>
      <c r="B25" s="46" t="s">
        <v>55</v>
      </c>
      <c r="C25" s="54" t="str">
        <f aca="false">IF(B25="","",IFERROR(INDEX('Kitting Plan'!$D$5:$D$18,MATCH(B25,'Kitting Plan'!$C$5:$C$18,0)),"Unknown code"))</f>
        <v>R5B PSB SUB ASSEMBLY 4P-4FP</v>
      </c>
      <c r="D25" s="54" t="str">
        <f aca="false">IF(B25="","",IFERROR(INDEX('Kitting Plan'!$B$5:$B$18,MATCH(B25,'Kitting Plan'!$C$5:$C$18,0)),""))</f>
        <v>PSB ASSY</v>
      </c>
      <c r="E25" s="45"/>
      <c r="F25" s="55" t="n">
        <f aca="false">IF(B25="","",IFERROR(INDEX('Kitting Plan'!$H$5:$H$18,MATCH(B25,'Kitting Plan'!$C$5:$C$18,0)),""))</f>
        <v>3</v>
      </c>
      <c r="G25" s="45" t="n">
        <v>1</v>
      </c>
      <c r="H25" s="56" t="n">
        <f aca="false">IF(B25="","",IF(G25="",F25,G25))</f>
        <v>1</v>
      </c>
      <c r="I25" s="45" t="s">
        <v>29</v>
      </c>
      <c r="J25" s="57" t="n">
        <v>46243</v>
      </c>
      <c r="K25" s="46" t="s">
        <v>104</v>
      </c>
      <c r="L25" s="54" t="str">
        <f aca="false">IF(A25="","",IF(B25="","Missing code",IF(C25="Unknown code","Unknown code",IF(COUNTIF($A$6:$A$1005,A25)&gt;1,"Duplicate WO",""))))</f>
        <v/>
      </c>
    </row>
    <row r="26" customFormat="false" ht="23.85" hidden="false" customHeight="false" outlineLevel="0" collapsed="false">
      <c r="A26" s="53" t="n">
        <v>100874670</v>
      </c>
      <c r="B26" s="46" t="s">
        <v>55</v>
      </c>
      <c r="C26" s="54" t="str">
        <f aca="false">IF(B26="","",IFERROR(INDEX('Kitting Plan'!$D$5:$D$18,MATCH(B26,'Kitting Plan'!$C$5:$C$18,0)),"Unknown code"))</f>
        <v>R5B PSB SUB ASSEMBLY 4P-4FP</v>
      </c>
      <c r="D26" s="54" t="str">
        <f aca="false">IF(B26="","",IFERROR(INDEX('Kitting Plan'!$B$5:$B$18,MATCH(B26,'Kitting Plan'!$C$5:$C$18,0)),""))</f>
        <v>PSB ASSY</v>
      </c>
      <c r="E26" s="45"/>
      <c r="F26" s="55" t="n">
        <f aca="false">IF(B26="","",IFERROR(INDEX('Kitting Plan'!$H$5:$H$18,MATCH(B26,'Kitting Plan'!$C$5:$C$18,0)),""))</f>
        <v>3</v>
      </c>
      <c r="G26" s="45" t="n">
        <v>1</v>
      </c>
      <c r="H26" s="56" t="n">
        <f aca="false">IF(B26="","",IF(G26="",F26,G26))</f>
        <v>1</v>
      </c>
      <c r="I26" s="45" t="s">
        <v>29</v>
      </c>
      <c r="J26" s="57" t="n">
        <v>46253</v>
      </c>
      <c r="K26" s="46" t="s">
        <v>104</v>
      </c>
      <c r="L26" s="54" t="str">
        <f aca="false">IF(A26="","",IF(B26="","Missing code",IF(C26="Unknown code","Unknown code",IF(COUNTIF($A$6:$A$1005,A26)&gt;1,"Duplicate WO",""))))</f>
        <v/>
      </c>
    </row>
    <row r="27" customFormat="false" ht="23.85" hidden="false" customHeight="false" outlineLevel="0" collapsed="false">
      <c r="A27" s="53" t="n">
        <v>100874671</v>
      </c>
      <c r="B27" s="46" t="s">
        <v>55</v>
      </c>
      <c r="C27" s="54" t="str">
        <f aca="false">IF(B27="","",IFERROR(INDEX('Kitting Plan'!$D$5:$D$18,MATCH(B27,'Kitting Plan'!$C$5:$C$18,0)),"Unknown code"))</f>
        <v>R5B PSB SUB ASSEMBLY 4P-4FP</v>
      </c>
      <c r="D27" s="54" t="str">
        <f aca="false">IF(B27="","",IFERROR(INDEX('Kitting Plan'!$B$5:$B$18,MATCH(B27,'Kitting Plan'!$C$5:$C$18,0)),""))</f>
        <v>PSB ASSY</v>
      </c>
      <c r="E27" s="45"/>
      <c r="F27" s="55" t="n">
        <f aca="false">IF(B27="","",IFERROR(INDEX('Kitting Plan'!$H$5:$H$18,MATCH(B27,'Kitting Plan'!$C$5:$C$18,0)),""))</f>
        <v>3</v>
      </c>
      <c r="G27" s="45" t="n">
        <v>1</v>
      </c>
      <c r="H27" s="56" t="n">
        <f aca="false">IF(B27="","",IF(G27="",F27,G27))</f>
        <v>1</v>
      </c>
      <c r="I27" s="45" t="s">
        <v>29</v>
      </c>
      <c r="J27" s="57" t="n">
        <v>46253</v>
      </c>
      <c r="K27" s="46" t="s">
        <v>104</v>
      </c>
      <c r="L27" s="54" t="str">
        <f aca="false">IF(A27="","",IF(B27="","Missing code",IF(C27="Unknown code","Unknown code",IF(COUNTIF($A$6:$A$1005,A27)&gt;1,"Duplicate WO",""))))</f>
        <v/>
      </c>
    </row>
    <row r="28" customFormat="false" ht="23.85" hidden="false" customHeight="false" outlineLevel="0" collapsed="false">
      <c r="A28" s="53" t="n">
        <v>100874672</v>
      </c>
      <c r="B28" s="46" t="s">
        <v>55</v>
      </c>
      <c r="C28" s="54" t="str">
        <f aca="false">IF(B28="","",IFERROR(INDEX('Kitting Plan'!$D$5:$D$18,MATCH(B28,'Kitting Plan'!$C$5:$C$18,0)),"Unknown code"))</f>
        <v>R5B PSB SUB ASSEMBLY 4P-4FP</v>
      </c>
      <c r="D28" s="54" t="str">
        <f aca="false">IF(B28="","",IFERROR(INDEX('Kitting Plan'!$B$5:$B$18,MATCH(B28,'Kitting Plan'!$C$5:$C$18,0)),""))</f>
        <v>PSB ASSY</v>
      </c>
      <c r="E28" s="45"/>
      <c r="F28" s="55" t="n">
        <f aca="false">IF(B28="","",IFERROR(INDEX('Kitting Plan'!$H$5:$H$18,MATCH(B28,'Kitting Plan'!$C$5:$C$18,0)),""))</f>
        <v>3</v>
      </c>
      <c r="G28" s="45" t="n">
        <v>1</v>
      </c>
      <c r="H28" s="56" t="n">
        <f aca="false">IF(B28="","",IF(G28="",F28,G28))</f>
        <v>1</v>
      </c>
      <c r="I28" s="45" t="s">
        <v>29</v>
      </c>
      <c r="J28" s="57" t="n">
        <v>46253</v>
      </c>
      <c r="K28" s="46" t="s">
        <v>104</v>
      </c>
      <c r="L28" s="54" t="str">
        <f aca="false">IF(A28="","",IF(B28="","Missing code",IF(C28="Unknown code","Unknown code",IF(COUNTIF($A$6:$A$1005,A28)&gt;1,"Duplicate WO",""))))</f>
        <v/>
      </c>
    </row>
    <row r="29" customFormat="false" ht="23.85" hidden="false" customHeight="false" outlineLevel="0" collapsed="false">
      <c r="A29" s="53" t="n">
        <v>100875463</v>
      </c>
      <c r="B29" s="46" t="s">
        <v>55</v>
      </c>
      <c r="C29" s="54" t="str">
        <f aca="false">IF(B29="","",IFERROR(INDEX('Kitting Plan'!$D$5:$D$18,MATCH(B29,'Kitting Plan'!$C$5:$C$18,0)),"Unknown code"))</f>
        <v>R5B PSB SUB ASSEMBLY 4P-4FP</v>
      </c>
      <c r="D29" s="54" t="str">
        <f aca="false">IF(B29="","",IFERROR(INDEX('Kitting Plan'!$B$5:$B$18,MATCH(B29,'Kitting Plan'!$C$5:$C$18,0)),""))</f>
        <v>PSB ASSY</v>
      </c>
      <c r="E29" s="45"/>
      <c r="F29" s="55" t="n">
        <f aca="false">IF(B29="","",IFERROR(INDEX('Kitting Plan'!$H$5:$H$18,MATCH(B29,'Kitting Plan'!$C$5:$C$18,0)),""))</f>
        <v>3</v>
      </c>
      <c r="G29" s="45" t="n">
        <v>1</v>
      </c>
      <c r="H29" s="56" t="n">
        <f aca="false">IF(B29="","",IF(G29="",F29,G29))</f>
        <v>1</v>
      </c>
      <c r="I29" s="45" t="s">
        <v>29</v>
      </c>
      <c r="J29" s="57" t="n">
        <v>46259</v>
      </c>
      <c r="K29" s="46" t="s">
        <v>104</v>
      </c>
      <c r="L29" s="54" t="str">
        <f aca="false">IF(A29="","",IF(B29="","Missing code",IF(C29="Unknown code","Unknown code",IF(COUNTIF($A$6:$A$1005,A29)&gt;1,"Duplicate WO",""))))</f>
        <v/>
      </c>
    </row>
    <row r="30" customFormat="false" ht="23.85" hidden="false" customHeight="false" outlineLevel="0" collapsed="false">
      <c r="A30" s="53" t="n">
        <v>100875464</v>
      </c>
      <c r="B30" s="46" t="s">
        <v>55</v>
      </c>
      <c r="C30" s="54" t="str">
        <f aca="false">IF(B30="","",IFERROR(INDEX('Kitting Plan'!$D$5:$D$18,MATCH(B30,'Kitting Plan'!$C$5:$C$18,0)),"Unknown code"))</f>
        <v>R5B PSB SUB ASSEMBLY 4P-4FP</v>
      </c>
      <c r="D30" s="54" t="str">
        <f aca="false">IF(B30="","",IFERROR(INDEX('Kitting Plan'!$B$5:$B$18,MATCH(B30,'Kitting Plan'!$C$5:$C$18,0)),""))</f>
        <v>PSB ASSY</v>
      </c>
      <c r="E30" s="45"/>
      <c r="F30" s="55" t="n">
        <f aca="false">IF(B30="","",IFERROR(INDEX('Kitting Plan'!$H$5:$H$18,MATCH(B30,'Kitting Plan'!$C$5:$C$18,0)),""))</f>
        <v>3</v>
      </c>
      <c r="G30" s="45" t="n">
        <v>1</v>
      </c>
      <c r="H30" s="56" t="n">
        <f aca="false">IF(B30="","",IF(G30="",F30,G30))</f>
        <v>1</v>
      </c>
      <c r="I30" s="45" t="s">
        <v>29</v>
      </c>
      <c r="J30" s="57" t="n">
        <v>46259</v>
      </c>
      <c r="K30" s="46" t="s">
        <v>104</v>
      </c>
      <c r="L30" s="54" t="str">
        <f aca="false">IF(A30="","",IF(B30="","Missing code",IF(C30="Unknown code","Unknown code",IF(COUNTIF($A$6:$A$1005,A30)&gt;1,"Duplicate WO",""))))</f>
        <v/>
      </c>
    </row>
    <row r="31" customFormat="false" ht="23.85" hidden="false" customHeight="false" outlineLevel="0" collapsed="false">
      <c r="A31" s="53" t="n">
        <v>100875465</v>
      </c>
      <c r="B31" s="46" t="s">
        <v>55</v>
      </c>
      <c r="C31" s="54" t="str">
        <f aca="false">IF(B31="","",IFERROR(INDEX('Kitting Plan'!$D$5:$D$18,MATCH(B31,'Kitting Plan'!$C$5:$C$18,0)),"Unknown code"))</f>
        <v>R5B PSB SUB ASSEMBLY 4P-4FP</v>
      </c>
      <c r="D31" s="54" t="str">
        <f aca="false">IF(B31="","",IFERROR(INDEX('Kitting Plan'!$B$5:$B$18,MATCH(B31,'Kitting Plan'!$C$5:$C$18,0)),""))</f>
        <v>PSB ASSY</v>
      </c>
      <c r="E31" s="45"/>
      <c r="F31" s="55" t="n">
        <f aca="false">IF(B31="","",IFERROR(INDEX('Kitting Plan'!$H$5:$H$18,MATCH(B31,'Kitting Plan'!$C$5:$C$18,0)),""))</f>
        <v>3</v>
      </c>
      <c r="G31" s="45" t="n">
        <v>1</v>
      </c>
      <c r="H31" s="56" t="n">
        <f aca="false">IF(B31="","",IF(G31="",F31,G31))</f>
        <v>1</v>
      </c>
      <c r="I31" s="45" t="s">
        <v>29</v>
      </c>
      <c r="J31" s="57" t="n">
        <v>46259</v>
      </c>
      <c r="K31" s="46" t="s">
        <v>102</v>
      </c>
      <c r="L31" s="54" t="str">
        <f aca="false">IF(A31="","",IF(B31="","Missing code",IF(C31="Unknown code","Unknown code",IF(COUNTIF($A$6:$A$1005,A31)&gt;1,"Duplicate WO",""))))</f>
        <v/>
      </c>
    </row>
    <row r="32" customFormat="false" ht="23.85" hidden="false" customHeight="false" outlineLevel="0" collapsed="false">
      <c r="A32" s="53" t="n">
        <v>100876655</v>
      </c>
      <c r="B32" s="46" t="s">
        <v>55</v>
      </c>
      <c r="C32" s="54" t="str">
        <f aca="false">IF(B32="","",IFERROR(INDEX('Kitting Plan'!$D$5:$D$18,MATCH(B32,'Kitting Plan'!$C$5:$C$18,0)),"Unknown code"))</f>
        <v>R5B PSB SUB ASSEMBLY 4P-4FP</v>
      </c>
      <c r="D32" s="54" t="str">
        <f aca="false">IF(B32="","",IFERROR(INDEX('Kitting Plan'!$B$5:$B$18,MATCH(B32,'Kitting Plan'!$C$5:$C$18,0)),""))</f>
        <v>PSB ASSY</v>
      </c>
      <c r="E32" s="45"/>
      <c r="F32" s="55" t="n">
        <f aca="false">IF(B32="","",IFERROR(INDEX('Kitting Plan'!$H$5:$H$18,MATCH(B32,'Kitting Plan'!$C$5:$C$18,0)),""))</f>
        <v>3</v>
      </c>
      <c r="G32" s="45" t="n">
        <v>1</v>
      </c>
      <c r="H32" s="56" t="n">
        <f aca="false">IF(B32="","",IF(G32="",F32,G32))</f>
        <v>1</v>
      </c>
      <c r="I32" s="45" t="s">
        <v>29</v>
      </c>
      <c r="J32" s="57" t="n">
        <v>46273</v>
      </c>
      <c r="K32" s="46" t="s">
        <v>104</v>
      </c>
      <c r="L32" s="54" t="str">
        <f aca="false">IF(A32="","",IF(B32="","Missing code",IF(C32="Unknown code","Unknown code",IF(COUNTIF($A$6:$A$1005,A32)&gt;1,"Duplicate WO",""))))</f>
        <v/>
      </c>
    </row>
    <row r="33" customFormat="false" ht="23.85" hidden="false" customHeight="false" outlineLevel="0" collapsed="false">
      <c r="A33" s="53" t="n">
        <v>100876656</v>
      </c>
      <c r="B33" s="46" t="s">
        <v>55</v>
      </c>
      <c r="C33" s="54" t="str">
        <f aca="false">IF(B33="","",IFERROR(INDEX('Kitting Plan'!$D$5:$D$18,MATCH(B33,'Kitting Plan'!$C$5:$C$18,0)),"Unknown code"))</f>
        <v>R5B PSB SUB ASSEMBLY 4P-4FP</v>
      </c>
      <c r="D33" s="54" t="str">
        <f aca="false">IF(B33="","",IFERROR(INDEX('Kitting Plan'!$B$5:$B$18,MATCH(B33,'Kitting Plan'!$C$5:$C$18,0)),""))</f>
        <v>PSB ASSY</v>
      </c>
      <c r="E33" s="45"/>
      <c r="F33" s="55" t="n">
        <f aca="false">IF(B33="","",IFERROR(INDEX('Kitting Plan'!$H$5:$H$18,MATCH(B33,'Kitting Plan'!$C$5:$C$18,0)),""))</f>
        <v>3</v>
      </c>
      <c r="G33" s="45" t="n">
        <v>1</v>
      </c>
      <c r="H33" s="56" t="n">
        <f aca="false">IF(B33="","",IF(G33="",F33,G33))</f>
        <v>1</v>
      </c>
      <c r="I33" s="45" t="s">
        <v>29</v>
      </c>
      <c r="J33" s="57" t="n">
        <v>46273</v>
      </c>
      <c r="K33" s="46" t="s">
        <v>104</v>
      </c>
      <c r="L33" s="54" t="str">
        <f aca="false">IF(A33="","",IF(B33="","Missing code",IF(C33="Unknown code","Unknown code",IF(COUNTIF($A$6:$A$1005,A33)&gt;1,"Duplicate WO",""))))</f>
        <v/>
      </c>
    </row>
    <row r="34" customFormat="false" ht="23.85" hidden="false" customHeight="false" outlineLevel="0" collapsed="false">
      <c r="A34" s="53" t="n">
        <v>100876657</v>
      </c>
      <c r="B34" s="46" t="s">
        <v>55</v>
      </c>
      <c r="C34" s="54" t="str">
        <f aca="false">IF(B34="","",IFERROR(INDEX('Kitting Plan'!$D$5:$D$18,MATCH(B34,'Kitting Plan'!$C$5:$C$18,0)),"Unknown code"))</f>
        <v>R5B PSB SUB ASSEMBLY 4P-4FP</v>
      </c>
      <c r="D34" s="54" t="str">
        <f aca="false">IF(B34="","",IFERROR(INDEX('Kitting Plan'!$B$5:$B$18,MATCH(B34,'Kitting Plan'!$C$5:$C$18,0)),""))</f>
        <v>PSB ASSY</v>
      </c>
      <c r="E34" s="45"/>
      <c r="F34" s="55" t="n">
        <f aca="false">IF(B34="","",IFERROR(INDEX('Kitting Plan'!$H$5:$H$18,MATCH(B34,'Kitting Plan'!$C$5:$C$18,0)),""))</f>
        <v>3</v>
      </c>
      <c r="G34" s="45" t="n">
        <v>1</v>
      </c>
      <c r="H34" s="56" t="n">
        <f aca="false">IF(B34="","",IF(G34="",F34,G34))</f>
        <v>1</v>
      </c>
      <c r="I34" s="45" t="s">
        <v>29</v>
      </c>
      <c r="J34" s="57" t="n">
        <v>46273</v>
      </c>
      <c r="K34" s="46" t="s">
        <v>104</v>
      </c>
      <c r="L34" s="54" t="str">
        <f aca="false">IF(A34="","",IF(B34="","Missing code",IF(C34="Unknown code","Unknown code",IF(COUNTIF($A$6:$A$1005,A34)&gt;1,"Duplicate WO",""))))</f>
        <v/>
      </c>
    </row>
    <row r="35" customFormat="false" ht="23.85" hidden="false" customHeight="false" outlineLevel="0" collapsed="false">
      <c r="A35" s="53" t="n">
        <v>100876671</v>
      </c>
      <c r="B35" s="46" t="s">
        <v>55</v>
      </c>
      <c r="C35" s="54" t="str">
        <f aca="false">IF(B35="","",IFERROR(INDEX('Kitting Plan'!$D$5:$D$18,MATCH(B35,'Kitting Plan'!$C$5:$C$18,0)),"Unknown code"))</f>
        <v>R5B PSB SUB ASSEMBLY 4P-4FP</v>
      </c>
      <c r="D35" s="54" t="str">
        <f aca="false">IF(B35="","",IFERROR(INDEX('Kitting Plan'!$B$5:$B$18,MATCH(B35,'Kitting Plan'!$C$5:$C$18,0)),""))</f>
        <v>PSB ASSY</v>
      </c>
      <c r="E35" s="45"/>
      <c r="F35" s="55" t="n">
        <f aca="false">IF(B35="","",IFERROR(INDEX('Kitting Plan'!$H$5:$H$18,MATCH(B35,'Kitting Plan'!$C$5:$C$18,0)),""))</f>
        <v>3</v>
      </c>
      <c r="G35" s="45" t="n">
        <v>1</v>
      </c>
      <c r="H35" s="56" t="n">
        <f aca="false">IF(B35="","",IF(G35="",F35,G35))</f>
        <v>1</v>
      </c>
      <c r="I35" s="45" t="s">
        <v>29</v>
      </c>
      <c r="J35" s="57" t="n">
        <v>46273</v>
      </c>
      <c r="K35" s="46" t="s">
        <v>104</v>
      </c>
      <c r="L35" s="54" t="str">
        <f aca="false">IF(A35="","",IF(B35="","Missing code",IF(C35="Unknown code","Unknown code",IF(COUNTIF($A$6:$A$1005,A35)&gt;1,"Duplicate WO",""))))</f>
        <v/>
      </c>
    </row>
    <row r="36" customFormat="false" ht="23.85" hidden="false" customHeight="false" outlineLevel="0" collapsed="false">
      <c r="A36" s="53" t="n">
        <v>100876672</v>
      </c>
      <c r="B36" s="46" t="s">
        <v>55</v>
      </c>
      <c r="C36" s="54" t="str">
        <f aca="false">IF(B36="","",IFERROR(INDEX('Kitting Plan'!$D$5:$D$18,MATCH(B36,'Kitting Plan'!$C$5:$C$18,0)),"Unknown code"))</f>
        <v>R5B PSB SUB ASSEMBLY 4P-4FP</v>
      </c>
      <c r="D36" s="54" t="str">
        <f aca="false">IF(B36="","",IFERROR(INDEX('Kitting Plan'!$B$5:$B$18,MATCH(B36,'Kitting Plan'!$C$5:$C$18,0)),""))</f>
        <v>PSB ASSY</v>
      </c>
      <c r="E36" s="45"/>
      <c r="F36" s="55" t="n">
        <f aca="false">IF(B36="","",IFERROR(INDEX('Kitting Plan'!$H$5:$H$18,MATCH(B36,'Kitting Plan'!$C$5:$C$18,0)),""))</f>
        <v>3</v>
      </c>
      <c r="G36" s="45" t="n">
        <v>1</v>
      </c>
      <c r="H36" s="56" t="n">
        <f aca="false">IF(B36="","",IF(G36="",F36,G36))</f>
        <v>1</v>
      </c>
      <c r="I36" s="45" t="s">
        <v>27</v>
      </c>
      <c r="J36" s="57" t="n">
        <v>46273</v>
      </c>
      <c r="K36" s="46" t="s">
        <v>105</v>
      </c>
      <c r="L36" s="54" t="str">
        <f aca="false">IF(A36="","",IF(B36="","Missing code",IF(C36="Unknown code","Unknown code",IF(COUNTIF($A$6:$A$1005,A36)&gt;1,"Duplicate WO",""))))</f>
        <v/>
      </c>
    </row>
    <row r="37" customFormat="false" ht="23.85" hidden="false" customHeight="false" outlineLevel="0" collapsed="false">
      <c r="A37" s="53" t="n">
        <v>100876673</v>
      </c>
      <c r="B37" s="46" t="s">
        <v>55</v>
      </c>
      <c r="C37" s="54" t="str">
        <f aca="false">IF(B37="","",IFERROR(INDEX('Kitting Plan'!$D$5:$D$18,MATCH(B37,'Kitting Plan'!$C$5:$C$18,0)),"Unknown code"))</f>
        <v>R5B PSB SUB ASSEMBLY 4P-4FP</v>
      </c>
      <c r="D37" s="54" t="str">
        <f aca="false">IF(B37="","",IFERROR(INDEX('Kitting Plan'!$B$5:$B$18,MATCH(B37,'Kitting Plan'!$C$5:$C$18,0)),""))</f>
        <v>PSB ASSY</v>
      </c>
      <c r="E37" s="45"/>
      <c r="F37" s="55" t="n">
        <f aca="false">IF(B37="","",IFERROR(INDEX('Kitting Plan'!$H$5:$H$18,MATCH(B37,'Kitting Plan'!$C$5:$C$18,0)),""))</f>
        <v>3</v>
      </c>
      <c r="G37" s="45" t="n">
        <v>1</v>
      </c>
      <c r="H37" s="56" t="n">
        <f aca="false">IF(B37="","",IF(G37="",F37,G37))</f>
        <v>1</v>
      </c>
      <c r="I37" s="45" t="s">
        <v>29</v>
      </c>
      <c r="J37" s="57" t="n">
        <v>46273</v>
      </c>
      <c r="K37" s="46" t="s">
        <v>104</v>
      </c>
      <c r="L37" s="54" t="str">
        <f aca="false">IF(A37="","",IF(B37="","Missing code",IF(C37="Unknown code","Unknown code",IF(COUNTIF($A$6:$A$1005,A37)&gt;1,"Duplicate WO",""))))</f>
        <v/>
      </c>
    </row>
    <row r="38" customFormat="false" ht="23.85" hidden="false" customHeight="false" outlineLevel="0" collapsed="false">
      <c r="A38" s="53" t="n">
        <v>100876674</v>
      </c>
      <c r="B38" s="46" t="s">
        <v>55</v>
      </c>
      <c r="C38" s="54" t="str">
        <f aca="false">IF(B38="","",IFERROR(INDEX('Kitting Plan'!$D$5:$D$18,MATCH(B38,'Kitting Plan'!$C$5:$C$18,0)),"Unknown code"))</f>
        <v>R5B PSB SUB ASSEMBLY 4P-4FP</v>
      </c>
      <c r="D38" s="54" t="str">
        <f aca="false">IF(B38="","",IFERROR(INDEX('Kitting Plan'!$B$5:$B$18,MATCH(B38,'Kitting Plan'!$C$5:$C$18,0)),""))</f>
        <v>PSB ASSY</v>
      </c>
      <c r="E38" s="45"/>
      <c r="F38" s="55" t="n">
        <f aca="false">IF(B38="","",IFERROR(INDEX('Kitting Plan'!$H$5:$H$18,MATCH(B38,'Kitting Plan'!$C$5:$C$18,0)),""))</f>
        <v>3</v>
      </c>
      <c r="G38" s="45" t="n">
        <v>1</v>
      </c>
      <c r="H38" s="56" t="n">
        <f aca="false">IF(B38="","",IF(G38="",F38,G38))</f>
        <v>1</v>
      </c>
      <c r="I38" s="45" t="s">
        <v>27</v>
      </c>
      <c r="J38" s="57" t="n">
        <v>46273</v>
      </c>
      <c r="K38" s="46" t="s">
        <v>105</v>
      </c>
      <c r="L38" s="54" t="str">
        <f aca="false">IF(A38="","",IF(B38="","Missing code",IF(C38="Unknown code","Unknown code",IF(COUNTIF($A$6:$A$1005,A38)&gt;1,"Duplicate WO",""))))</f>
        <v/>
      </c>
    </row>
    <row r="39" customFormat="false" ht="23.85" hidden="false" customHeight="false" outlineLevel="0" collapsed="false">
      <c r="A39" s="53" t="n">
        <v>100876675</v>
      </c>
      <c r="B39" s="46" t="s">
        <v>55</v>
      </c>
      <c r="C39" s="54" t="str">
        <f aca="false">IF(B39="","",IFERROR(INDEX('Kitting Plan'!$D$5:$D$18,MATCH(B39,'Kitting Plan'!$C$5:$C$18,0)),"Unknown code"))</f>
        <v>R5B PSB SUB ASSEMBLY 4P-4FP</v>
      </c>
      <c r="D39" s="54" t="str">
        <f aca="false">IF(B39="","",IFERROR(INDEX('Kitting Plan'!$B$5:$B$18,MATCH(B39,'Kitting Plan'!$C$5:$C$18,0)),""))</f>
        <v>PSB ASSY</v>
      </c>
      <c r="E39" s="45"/>
      <c r="F39" s="55" t="n">
        <f aca="false">IF(B39="","",IFERROR(INDEX('Kitting Plan'!$H$5:$H$18,MATCH(B39,'Kitting Plan'!$C$5:$C$18,0)),""))</f>
        <v>3</v>
      </c>
      <c r="G39" s="45" t="n">
        <v>1</v>
      </c>
      <c r="H39" s="56" t="n">
        <f aca="false">IF(B39="","",IF(G39="",F39,G39))</f>
        <v>1</v>
      </c>
      <c r="I39" s="45" t="s">
        <v>27</v>
      </c>
      <c r="J39" s="57" t="n">
        <v>46273</v>
      </c>
      <c r="K39" s="46" t="s">
        <v>105</v>
      </c>
      <c r="L39" s="54" t="str">
        <f aca="false">IF(A39="","",IF(B39="","Missing code",IF(C39="Unknown code","Unknown code",IF(COUNTIF($A$6:$A$1005,A39)&gt;1,"Duplicate WO",""))))</f>
        <v/>
      </c>
    </row>
    <row r="40" customFormat="false" ht="23.85" hidden="false" customHeight="false" outlineLevel="0" collapsed="false">
      <c r="A40" s="53" t="n">
        <v>100876677</v>
      </c>
      <c r="B40" s="46" t="s">
        <v>55</v>
      </c>
      <c r="C40" s="54" t="str">
        <f aca="false">IF(B40="","",IFERROR(INDEX('Kitting Plan'!$D$5:$D$18,MATCH(B40,'Kitting Plan'!$C$5:$C$18,0)),"Unknown code"))</f>
        <v>R5B PSB SUB ASSEMBLY 4P-4FP</v>
      </c>
      <c r="D40" s="54" t="str">
        <f aca="false">IF(B40="","",IFERROR(INDEX('Kitting Plan'!$B$5:$B$18,MATCH(B40,'Kitting Plan'!$C$5:$C$18,0)),""))</f>
        <v>PSB ASSY</v>
      </c>
      <c r="E40" s="45"/>
      <c r="F40" s="55" t="n">
        <f aca="false">IF(B40="","",IFERROR(INDEX('Kitting Plan'!$H$5:$H$18,MATCH(B40,'Kitting Plan'!$C$5:$C$18,0)),""))</f>
        <v>3</v>
      </c>
      <c r="G40" s="45" t="n">
        <v>1</v>
      </c>
      <c r="H40" s="56" t="n">
        <f aca="false">IF(B40="","",IF(G40="",F40,G40))</f>
        <v>1</v>
      </c>
      <c r="I40" s="45" t="s">
        <v>27</v>
      </c>
      <c r="J40" s="57" t="n">
        <v>46273</v>
      </c>
      <c r="K40" s="46" t="s">
        <v>105</v>
      </c>
      <c r="L40" s="54" t="str">
        <f aca="false">IF(A40="","",IF(B40="","Missing code",IF(C40="Unknown code","Unknown code",IF(COUNTIF($A$6:$A$1005,A40)&gt;1,"Duplicate WO",""))))</f>
        <v/>
      </c>
    </row>
    <row r="41" customFormat="false" ht="23.85" hidden="false" customHeight="false" outlineLevel="0" collapsed="false">
      <c r="A41" s="53" t="n">
        <v>100877052</v>
      </c>
      <c r="B41" s="46" t="s">
        <v>55</v>
      </c>
      <c r="C41" s="54" t="str">
        <f aca="false">IF(B41="","",IFERROR(INDEX('Kitting Plan'!$D$5:$D$18,MATCH(B41,'Kitting Plan'!$C$5:$C$18,0)),"Unknown code"))</f>
        <v>R5B PSB SUB ASSEMBLY 4P-4FP</v>
      </c>
      <c r="D41" s="54" t="str">
        <f aca="false">IF(B41="","",IFERROR(INDEX('Kitting Plan'!$B$5:$B$18,MATCH(B41,'Kitting Plan'!$C$5:$C$18,0)),""))</f>
        <v>PSB ASSY</v>
      </c>
      <c r="E41" s="45"/>
      <c r="F41" s="55" t="n">
        <f aca="false">IF(B41="","",IFERROR(INDEX('Kitting Plan'!$H$5:$H$18,MATCH(B41,'Kitting Plan'!$C$5:$C$18,0)),""))</f>
        <v>3</v>
      </c>
      <c r="G41" s="45" t="n">
        <v>1</v>
      </c>
      <c r="H41" s="56" t="n">
        <f aca="false">IF(B41="","",IF(G41="",F41,G41))</f>
        <v>1</v>
      </c>
      <c r="I41" s="45" t="s">
        <v>29</v>
      </c>
      <c r="J41" s="57" t="n">
        <v>46276</v>
      </c>
      <c r="K41" s="46" t="s">
        <v>104</v>
      </c>
      <c r="L41" s="54" t="str">
        <f aca="false">IF(A41="","",IF(B41="","Missing code",IF(C41="Unknown code","Unknown code",IF(COUNTIF($A$6:$A$1005,A41)&gt;1,"Duplicate WO",""))))</f>
        <v/>
      </c>
    </row>
    <row r="42" customFormat="false" ht="23.85" hidden="false" customHeight="false" outlineLevel="0" collapsed="false">
      <c r="A42" s="53" t="n">
        <v>100877053</v>
      </c>
      <c r="B42" s="46" t="s">
        <v>55</v>
      </c>
      <c r="C42" s="54" t="str">
        <f aca="false">IF(B42="","",IFERROR(INDEX('Kitting Plan'!$D$5:$D$18,MATCH(B42,'Kitting Plan'!$C$5:$C$18,0)),"Unknown code"))</f>
        <v>R5B PSB SUB ASSEMBLY 4P-4FP</v>
      </c>
      <c r="D42" s="54" t="str">
        <f aca="false">IF(B42="","",IFERROR(INDEX('Kitting Plan'!$B$5:$B$18,MATCH(B42,'Kitting Plan'!$C$5:$C$18,0)),""))</f>
        <v>PSB ASSY</v>
      </c>
      <c r="E42" s="45"/>
      <c r="F42" s="55" t="n">
        <f aca="false">IF(B42="","",IFERROR(INDEX('Kitting Plan'!$H$5:$H$18,MATCH(B42,'Kitting Plan'!$C$5:$C$18,0)),""))</f>
        <v>3</v>
      </c>
      <c r="G42" s="45" t="n">
        <v>1</v>
      </c>
      <c r="H42" s="56" t="n">
        <f aca="false">IF(B42="","",IF(G42="",F42,G42))</f>
        <v>1</v>
      </c>
      <c r="I42" s="45" t="s">
        <v>29</v>
      </c>
      <c r="J42" s="57" t="n">
        <v>46276</v>
      </c>
      <c r="K42" s="46" t="s">
        <v>102</v>
      </c>
      <c r="L42" s="54" t="str">
        <f aca="false">IF(A42="","",IF(B42="","Missing code",IF(C42="Unknown code","Unknown code",IF(COUNTIF($A$6:$A$1005,A42)&gt;1,"Duplicate WO",""))))</f>
        <v/>
      </c>
    </row>
    <row r="43" customFormat="false" ht="23.85" hidden="false" customHeight="false" outlineLevel="0" collapsed="false">
      <c r="A43" s="53" t="n">
        <v>100877054</v>
      </c>
      <c r="B43" s="46" t="s">
        <v>55</v>
      </c>
      <c r="C43" s="54" t="str">
        <f aca="false">IF(B43="","",IFERROR(INDEX('Kitting Plan'!$D$5:$D$18,MATCH(B43,'Kitting Plan'!$C$5:$C$18,0)),"Unknown code"))</f>
        <v>R5B PSB SUB ASSEMBLY 4P-4FP</v>
      </c>
      <c r="D43" s="54" t="str">
        <f aca="false">IF(B43="","",IFERROR(INDEX('Kitting Plan'!$B$5:$B$18,MATCH(B43,'Kitting Plan'!$C$5:$C$18,0)),""))</f>
        <v>PSB ASSY</v>
      </c>
      <c r="E43" s="45"/>
      <c r="F43" s="55" t="n">
        <f aca="false">IF(B43="","",IFERROR(INDEX('Kitting Plan'!$H$5:$H$18,MATCH(B43,'Kitting Plan'!$C$5:$C$18,0)),""))</f>
        <v>3</v>
      </c>
      <c r="G43" s="45" t="n">
        <v>1</v>
      </c>
      <c r="H43" s="56" t="n">
        <f aca="false">IF(B43="","",IF(G43="",F43,G43))</f>
        <v>1</v>
      </c>
      <c r="I43" s="45" t="s">
        <v>29</v>
      </c>
      <c r="J43" s="57" t="n">
        <v>46276</v>
      </c>
      <c r="K43" s="46" t="s">
        <v>104</v>
      </c>
      <c r="L43" s="54" t="str">
        <f aca="false">IF(A43="","",IF(B43="","Missing code",IF(C43="Unknown code","Unknown code",IF(COUNTIF($A$6:$A$1005,A43)&gt;1,"Duplicate WO",""))))</f>
        <v/>
      </c>
    </row>
    <row r="44" customFormat="false" ht="23.85" hidden="false" customHeight="false" outlineLevel="0" collapsed="false">
      <c r="A44" s="53" t="n">
        <v>100877055</v>
      </c>
      <c r="B44" s="46" t="s">
        <v>55</v>
      </c>
      <c r="C44" s="54" t="str">
        <f aca="false">IF(B44="","",IFERROR(INDEX('Kitting Plan'!$D$5:$D$18,MATCH(B44,'Kitting Plan'!$C$5:$C$18,0)),"Unknown code"))</f>
        <v>R5B PSB SUB ASSEMBLY 4P-4FP</v>
      </c>
      <c r="D44" s="54" t="str">
        <f aca="false">IF(B44="","",IFERROR(INDEX('Kitting Plan'!$B$5:$B$18,MATCH(B44,'Kitting Plan'!$C$5:$C$18,0)),""))</f>
        <v>PSB ASSY</v>
      </c>
      <c r="E44" s="45"/>
      <c r="F44" s="55" t="n">
        <f aca="false">IF(B44="","",IFERROR(INDEX('Kitting Plan'!$H$5:$H$18,MATCH(B44,'Kitting Plan'!$C$5:$C$18,0)),""))</f>
        <v>3</v>
      </c>
      <c r="G44" s="45" t="n">
        <v>1</v>
      </c>
      <c r="H44" s="56" t="n">
        <f aca="false">IF(B44="","",IF(G44="",F44,G44))</f>
        <v>1</v>
      </c>
      <c r="I44" s="45" t="s">
        <v>29</v>
      </c>
      <c r="J44" s="57" t="n">
        <v>46276</v>
      </c>
      <c r="K44" s="46" t="s">
        <v>104</v>
      </c>
      <c r="L44" s="54" t="str">
        <f aca="false">IF(A44="","",IF(B44="","Missing code",IF(C44="Unknown code","Unknown code",IF(COUNTIF($A$6:$A$1005,A44)&gt;1,"Duplicate WO",""))))</f>
        <v/>
      </c>
    </row>
    <row r="45" customFormat="false" ht="23.85" hidden="false" customHeight="false" outlineLevel="0" collapsed="false">
      <c r="A45" s="53" t="n">
        <v>100877056</v>
      </c>
      <c r="B45" s="46" t="s">
        <v>55</v>
      </c>
      <c r="C45" s="54" t="str">
        <f aca="false">IF(B45="","",IFERROR(INDEX('Kitting Plan'!$D$5:$D$18,MATCH(B45,'Kitting Plan'!$C$5:$C$18,0)),"Unknown code"))</f>
        <v>R5B PSB SUB ASSEMBLY 4P-4FP</v>
      </c>
      <c r="D45" s="54" t="str">
        <f aca="false">IF(B45="","",IFERROR(INDEX('Kitting Plan'!$B$5:$B$18,MATCH(B45,'Kitting Plan'!$C$5:$C$18,0)),""))</f>
        <v>PSB ASSY</v>
      </c>
      <c r="E45" s="45"/>
      <c r="F45" s="55" t="n">
        <f aca="false">IF(B45="","",IFERROR(INDEX('Kitting Plan'!$H$5:$H$18,MATCH(B45,'Kitting Plan'!$C$5:$C$18,0)),""))</f>
        <v>3</v>
      </c>
      <c r="G45" s="45" t="n">
        <v>1</v>
      </c>
      <c r="H45" s="56" t="n">
        <f aca="false">IF(B45="","",IF(G45="",F45,G45))</f>
        <v>1</v>
      </c>
      <c r="I45" s="45" t="s">
        <v>29</v>
      </c>
      <c r="J45" s="57" t="n">
        <v>46276</v>
      </c>
      <c r="K45" s="46" t="s">
        <v>104</v>
      </c>
      <c r="L45" s="54" t="str">
        <f aca="false">IF(A45="","",IF(B45="","Missing code",IF(C45="Unknown code","Unknown code",IF(COUNTIF($A$6:$A$1005,A45)&gt;1,"Duplicate WO",""))))</f>
        <v/>
      </c>
    </row>
    <row r="46" customFormat="false" ht="23.85" hidden="false" customHeight="false" outlineLevel="0" collapsed="false">
      <c r="A46" s="53" t="n">
        <v>100877057</v>
      </c>
      <c r="B46" s="46" t="s">
        <v>55</v>
      </c>
      <c r="C46" s="54" t="str">
        <f aca="false">IF(B46="","",IFERROR(INDEX('Kitting Plan'!$D$5:$D$18,MATCH(B46,'Kitting Plan'!$C$5:$C$18,0)),"Unknown code"))</f>
        <v>R5B PSB SUB ASSEMBLY 4P-4FP</v>
      </c>
      <c r="D46" s="54" t="str">
        <f aca="false">IF(B46="","",IFERROR(INDEX('Kitting Plan'!$B$5:$B$18,MATCH(B46,'Kitting Plan'!$C$5:$C$18,0)),""))</f>
        <v>PSB ASSY</v>
      </c>
      <c r="E46" s="45"/>
      <c r="F46" s="55" t="n">
        <f aca="false">IF(B46="","",IFERROR(INDEX('Kitting Plan'!$H$5:$H$18,MATCH(B46,'Kitting Plan'!$C$5:$C$18,0)),""))</f>
        <v>3</v>
      </c>
      <c r="G46" s="45" t="n">
        <v>1</v>
      </c>
      <c r="H46" s="56" t="n">
        <f aca="false">IF(B46="","",IF(G46="",F46,G46))</f>
        <v>1</v>
      </c>
      <c r="I46" s="45" t="s">
        <v>29</v>
      </c>
      <c r="J46" s="57" t="n">
        <v>46276</v>
      </c>
      <c r="K46" s="46" t="s">
        <v>104</v>
      </c>
      <c r="L46" s="54" t="str">
        <f aca="false">IF(A46="","",IF(B46="","Missing code",IF(C46="Unknown code","Unknown code",IF(COUNTIF($A$6:$A$1005,A46)&gt;1,"Duplicate WO",""))))</f>
        <v/>
      </c>
    </row>
    <row r="47" customFormat="false" ht="23.85" hidden="false" customHeight="false" outlineLevel="0" collapsed="false">
      <c r="A47" s="53" t="n">
        <v>100877377</v>
      </c>
      <c r="B47" s="46" t="s">
        <v>55</v>
      </c>
      <c r="C47" s="54" t="str">
        <f aca="false">IF(B47="","",IFERROR(INDEX('Kitting Plan'!$D$5:$D$18,MATCH(B47,'Kitting Plan'!$C$5:$C$18,0)),"Unknown code"))</f>
        <v>R5B PSB SUB ASSEMBLY 4P-4FP</v>
      </c>
      <c r="D47" s="54" t="str">
        <f aca="false">IF(B47="","",IFERROR(INDEX('Kitting Plan'!$B$5:$B$18,MATCH(B47,'Kitting Plan'!$C$5:$C$18,0)),""))</f>
        <v>PSB ASSY</v>
      </c>
      <c r="E47" s="45"/>
      <c r="F47" s="55" t="n">
        <f aca="false">IF(B47="","",IFERROR(INDEX('Kitting Plan'!$H$5:$H$18,MATCH(B47,'Kitting Plan'!$C$5:$C$18,0)),""))</f>
        <v>3</v>
      </c>
      <c r="G47" s="45" t="n">
        <v>1</v>
      </c>
      <c r="H47" s="56" t="n">
        <f aca="false">IF(B47="","",IF(G47="",F47,G47))</f>
        <v>1</v>
      </c>
      <c r="I47" s="45" t="s">
        <v>29</v>
      </c>
      <c r="J47" s="57" t="n">
        <v>46278</v>
      </c>
      <c r="K47" s="46" t="s">
        <v>104</v>
      </c>
      <c r="L47" s="54" t="str">
        <f aca="false">IF(A47="","",IF(B47="","Missing code",IF(C47="Unknown code","Unknown code",IF(COUNTIF($A$6:$A$1005,A47)&gt;1,"Duplicate WO",""))))</f>
        <v/>
      </c>
    </row>
    <row r="48" customFormat="false" ht="15" hidden="false" customHeight="false" outlineLevel="0" collapsed="false">
      <c r="A48" s="53" t="n">
        <v>100880077</v>
      </c>
      <c r="B48" s="46" t="s">
        <v>55</v>
      </c>
      <c r="C48" s="54" t="str">
        <f aca="false">IF(B48="","",IFERROR(INDEX('Kitting Plan'!$D$5:$D$18,MATCH(B48,'Kitting Plan'!$C$5:$C$18,0)),"Unknown code"))</f>
        <v>R5B PSB SUB ASSEMBLY 4P-4FP</v>
      </c>
      <c r="D48" s="54" t="str">
        <f aca="false">IF(B48="","",IFERROR(INDEX('Kitting Plan'!$B$5:$B$18,MATCH(B48,'Kitting Plan'!$C$5:$C$18,0)),""))</f>
        <v>PSB ASSY</v>
      </c>
      <c r="E48" s="45"/>
      <c r="F48" s="55" t="n">
        <f aca="false">IF(B48="","",IFERROR(INDEX('Kitting Plan'!$H$5:$H$18,MATCH(B48,'Kitting Plan'!$C$5:$C$18,0)),""))</f>
        <v>3</v>
      </c>
      <c r="G48" s="45" t="n">
        <v>1</v>
      </c>
      <c r="H48" s="56" t="n">
        <f aca="false">IF(B48="","",IF(G48="",F48,G48))</f>
        <v>1</v>
      </c>
      <c r="I48" s="45" t="s">
        <v>25</v>
      </c>
      <c r="J48" s="57" t="n">
        <v>46296</v>
      </c>
      <c r="K48" s="46" t="s">
        <v>106</v>
      </c>
      <c r="L48" s="54" t="str">
        <f aca="false">IF(A48="","",IF(B48="","Missing code",IF(C48="Unknown code","Unknown code",IF(COUNTIF($A$6:$A$1005,A48)&gt;1,"Duplicate WO",""))))</f>
        <v/>
      </c>
    </row>
    <row r="49" customFormat="false" ht="15" hidden="false" customHeight="false" outlineLevel="0" collapsed="false">
      <c r="A49" s="53" t="n">
        <v>100880078</v>
      </c>
      <c r="B49" s="46" t="s">
        <v>55</v>
      </c>
      <c r="C49" s="54" t="str">
        <f aca="false">IF(B49="","",IFERROR(INDEX('Kitting Plan'!$D$5:$D$18,MATCH(B49,'Kitting Plan'!$C$5:$C$18,0)),"Unknown code"))</f>
        <v>R5B PSB SUB ASSEMBLY 4P-4FP</v>
      </c>
      <c r="D49" s="54" t="str">
        <f aca="false">IF(B49="","",IFERROR(INDEX('Kitting Plan'!$B$5:$B$18,MATCH(B49,'Kitting Plan'!$C$5:$C$18,0)),""))</f>
        <v>PSB ASSY</v>
      </c>
      <c r="E49" s="45"/>
      <c r="F49" s="55" t="n">
        <f aca="false">IF(B49="","",IFERROR(INDEX('Kitting Plan'!$H$5:$H$18,MATCH(B49,'Kitting Plan'!$C$5:$C$18,0)),""))</f>
        <v>3</v>
      </c>
      <c r="G49" s="45" t="n">
        <v>1</v>
      </c>
      <c r="H49" s="56" t="n">
        <f aca="false">IF(B49="","",IF(G49="",F49,G49))</f>
        <v>1</v>
      </c>
      <c r="I49" s="45" t="s">
        <v>25</v>
      </c>
      <c r="J49" s="57" t="n">
        <v>46296</v>
      </c>
      <c r="K49" s="46" t="s">
        <v>106</v>
      </c>
      <c r="L49" s="54" t="str">
        <f aca="false">IF(A49="","",IF(B49="","Missing code",IF(C49="Unknown code","Unknown code",IF(COUNTIF($A$6:$A$1005,A49)&gt;1,"Duplicate WO",""))))</f>
        <v/>
      </c>
    </row>
    <row r="50" customFormat="false" ht="15" hidden="false" customHeight="false" outlineLevel="0" collapsed="false">
      <c r="A50" s="53" t="n">
        <v>100880079</v>
      </c>
      <c r="B50" s="46" t="s">
        <v>55</v>
      </c>
      <c r="C50" s="54" t="str">
        <f aca="false">IF(B50="","",IFERROR(INDEX('Kitting Plan'!$D$5:$D$18,MATCH(B50,'Kitting Plan'!$C$5:$C$18,0)),"Unknown code"))</f>
        <v>R5B PSB SUB ASSEMBLY 4P-4FP</v>
      </c>
      <c r="D50" s="54" t="str">
        <f aca="false">IF(B50="","",IFERROR(INDEX('Kitting Plan'!$B$5:$B$18,MATCH(B50,'Kitting Plan'!$C$5:$C$18,0)),""))</f>
        <v>PSB ASSY</v>
      </c>
      <c r="E50" s="45"/>
      <c r="F50" s="55" t="n">
        <f aca="false">IF(B50="","",IFERROR(INDEX('Kitting Plan'!$H$5:$H$18,MATCH(B50,'Kitting Plan'!$C$5:$C$18,0)),""))</f>
        <v>3</v>
      </c>
      <c r="G50" s="45" t="n">
        <v>1</v>
      </c>
      <c r="H50" s="56" t="n">
        <f aca="false">IF(B50="","",IF(G50="",F50,G50))</f>
        <v>1</v>
      </c>
      <c r="I50" s="45" t="s">
        <v>25</v>
      </c>
      <c r="J50" s="57" t="n">
        <v>46296</v>
      </c>
      <c r="K50" s="46" t="s">
        <v>106</v>
      </c>
      <c r="L50" s="54" t="str">
        <f aca="false">IF(A50="","",IF(B50="","Missing code",IF(C50="Unknown code","Unknown code",IF(COUNTIF($A$6:$A$1005,A50)&gt;1,"Duplicate WO",""))))</f>
        <v/>
      </c>
    </row>
    <row r="51" customFormat="false" ht="15" hidden="false" customHeight="false" outlineLevel="0" collapsed="false">
      <c r="A51" s="53" t="n">
        <v>100880187</v>
      </c>
      <c r="B51" s="46" t="s">
        <v>55</v>
      </c>
      <c r="C51" s="54" t="str">
        <f aca="false">IF(B51="","",IFERROR(INDEX('Kitting Plan'!$D$5:$D$18,MATCH(B51,'Kitting Plan'!$C$5:$C$18,0)),"Unknown code"))</f>
        <v>R5B PSB SUB ASSEMBLY 4P-4FP</v>
      </c>
      <c r="D51" s="54" t="str">
        <f aca="false">IF(B51="","",IFERROR(INDEX('Kitting Plan'!$B$5:$B$18,MATCH(B51,'Kitting Plan'!$C$5:$C$18,0)),""))</f>
        <v>PSB ASSY</v>
      </c>
      <c r="E51" s="45"/>
      <c r="F51" s="55" t="n">
        <f aca="false">IF(B51="","",IFERROR(INDEX('Kitting Plan'!$H$5:$H$18,MATCH(B51,'Kitting Plan'!$C$5:$C$18,0)),""))</f>
        <v>3</v>
      </c>
      <c r="G51" s="45" t="n">
        <v>1</v>
      </c>
      <c r="H51" s="56" t="n">
        <f aca="false">IF(B51="","",IF(G51="",F51,G51))</f>
        <v>1</v>
      </c>
      <c r="I51" s="45" t="s">
        <v>25</v>
      </c>
      <c r="J51" s="57" t="n">
        <v>46297</v>
      </c>
      <c r="K51" s="46" t="s">
        <v>106</v>
      </c>
      <c r="L51" s="54" t="str">
        <f aca="false">IF(A51="","",IF(B51="","Missing code",IF(C51="Unknown code","Unknown code",IF(COUNTIF($A$6:$A$1005,A51)&gt;1,"Duplicate WO",""))))</f>
        <v/>
      </c>
    </row>
    <row r="52" customFormat="false" ht="15" hidden="false" customHeight="false" outlineLevel="0" collapsed="false">
      <c r="A52" s="53" t="n">
        <v>100880188</v>
      </c>
      <c r="B52" s="46" t="s">
        <v>55</v>
      </c>
      <c r="C52" s="54" t="str">
        <f aca="false">IF(B52="","",IFERROR(INDEX('Kitting Plan'!$D$5:$D$18,MATCH(B52,'Kitting Plan'!$C$5:$C$18,0)),"Unknown code"))</f>
        <v>R5B PSB SUB ASSEMBLY 4P-4FP</v>
      </c>
      <c r="D52" s="54" t="str">
        <f aca="false">IF(B52="","",IFERROR(INDEX('Kitting Plan'!$B$5:$B$18,MATCH(B52,'Kitting Plan'!$C$5:$C$18,0)),""))</f>
        <v>PSB ASSY</v>
      </c>
      <c r="E52" s="45"/>
      <c r="F52" s="55" t="n">
        <f aca="false">IF(B52="","",IFERROR(INDEX('Kitting Plan'!$H$5:$H$18,MATCH(B52,'Kitting Plan'!$C$5:$C$18,0)),""))</f>
        <v>3</v>
      </c>
      <c r="G52" s="45" t="n">
        <v>1</v>
      </c>
      <c r="H52" s="56" t="n">
        <f aca="false">IF(B52="","",IF(G52="",F52,G52))</f>
        <v>1</v>
      </c>
      <c r="I52" s="45" t="s">
        <v>25</v>
      </c>
      <c r="J52" s="57" t="n">
        <v>46297</v>
      </c>
      <c r="K52" s="46" t="s">
        <v>106</v>
      </c>
      <c r="L52" s="54" t="str">
        <f aca="false">IF(A52="","",IF(B52="","Missing code",IF(C52="Unknown code","Unknown code",IF(COUNTIF($A$6:$A$1005,A52)&gt;1,"Duplicate WO",""))))</f>
        <v/>
      </c>
    </row>
    <row r="53" customFormat="false" ht="15" hidden="false" customHeight="false" outlineLevel="0" collapsed="false">
      <c r="A53" s="53" t="n">
        <v>100880189</v>
      </c>
      <c r="B53" s="46" t="s">
        <v>55</v>
      </c>
      <c r="C53" s="54" t="str">
        <f aca="false">IF(B53="","",IFERROR(INDEX('Kitting Plan'!$D$5:$D$18,MATCH(B53,'Kitting Plan'!$C$5:$C$18,0)),"Unknown code"))</f>
        <v>R5B PSB SUB ASSEMBLY 4P-4FP</v>
      </c>
      <c r="D53" s="54" t="str">
        <f aca="false">IF(B53="","",IFERROR(INDEX('Kitting Plan'!$B$5:$B$18,MATCH(B53,'Kitting Plan'!$C$5:$C$18,0)),""))</f>
        <v>PSB ASSY</v>
      </c>
      <c r="E53" s="45"/>
      <c r="F53" s="55" t="n">
        <f aca="false">IF(B53="","",IFERROR(INDEX('Kitting Plan'!$H$5:$H$18,MATCH(B53,'Kitting Plan'!$C$5:$C$18,0)),""))</f>
        <v>3</v>
      </c>
      <c r="G53" s="45" t="n">
        <v>1</v>
      </c>
      <c r="H53" s="56" t="n">
        <f aca="false">IF(B53="","",IF(G53="",F53,G53))</f>
        <v>1</v>
      </c>
      <c r="I53" s="45" t="s">
        <v>25</v>
      </c>
      <c r="J53" s="57" t="n">
        <v>46297</v>
      </c>
      <c r="K53" s="46" t="s">
        <v>106</v>
      </c>
      <c r="L53" s="54" t="str">
        <f aca="false">IF(A53="","",IF(B53="","Missing code",IF(C53="Unknown code","Unknown code",IF(COUNTIF($A$6:$A$1005,A53)&gt;1,"Duplicate WO",""))))</f>
        <v/>
      </c>
    </row>
    <row r="54" customFormat="false" ht="15" hidden="false" customHeight="false" outlineLevel="0" collapsed="false">
      <c r="A54" s="53" t="n">
        <v>100880248</v>
      </c>
      <c r="B54" s="46" t="s">
        <v>55</v>
      </c>
      <c r="C54" s="54" t="str">
        <f aca="false">IF(B54="","",IFERROR(INDEX('Kitting Plan'!$D$5:$D$18,MATCH(B54,'Kitting Plan'!$C$5:$C$18,0)),"Unknown code"))</f>
        <v>R5B PSB SUB ASSEMBLY 4P-4FP</v>
      </c>
      <c r="D54" s="54" t="str">
        <f aca="false">IF(B54="","",IFERROR(INDEX('Kitting Plan'!$B$5:$B$18,MATCH(B54,'Kitting Plan'!$C$5:$C$18,0)),""))</f>
        <v>PSB ASSY</v>
      </c>
      <c r="E54" s="45"/>
      <c r="F54" s="55" t="n">
        <f aca="false">IF(B54="","",IFERROR(INDEX('Kitting Plan'!$H$5:$H$18,MATCH(B54,'Kitting Plan'!$C$5:$C$18,0)),""))</f>
        <v>3</v>
      </c>
      <c r="G54" s="45" t="n">
        <v>1</v>
      </c>
      <c r="H54" s="56" t="n">
        <f aca="false">IF(B54="","",IF(G54="",F54,G54))</f>
        <v>1</v>
      </c>
      <c r="I54" s="45" t="s">
        <v>25</v>
      </c>
      <c r="J54" s="57" t="n">
        <v>46297</v>
      </c>
      <c r="K54" s="46" t="s">
        <v>106</v>
      </c>
      <c r="L54" s="54" t="str">
        <f aca="false">IF(A54="","",IF(B54="","Missing code",IF(C54="Unknown code","Unknown code",IF(COUNTIF($A$6:$A$1005,A54)&gt;1,"Duplicate WO",""))))</f>
        <v/>
      </c>
    </row>
    <row r="55" customFormat="false" ht="15" hidden="false" customHeight="false" outlineLevel="0" collapsed="false">
      <c r="A55" s="53" t="n">
        <v>100880249</v>
      </c>
      <c r="B55" s="46" t="s">
        <v>55</v>
      </c>
      <c r="C55" s="54" t="str">
        <f aca="false">IF(B55="","",IFERROR(INDEX('Kitting Plan'!$D$5:$D$18,MATCH(B55,'Kitting Plan'!$C$5:$C$18,0)),"Unknown code"))</f>
        <v>R5B PSB SUB ASSEMBLY 4P-4FP</v>
      </c>
      <c r="D55" s="54" t="str">
        <f aca="false">IF(B55="","",IFERROR(INDEX('Kitting Plan'!$B$5:$B$18,MATCH(B55,'Kitting Plan'!$C$5:$C$18,0)),""))</f>
        <v>PSB ASSY</v>
      </c>
      <c r="E55" s="45"/>
      <c r="F55" s="55" t="n">
        <f aca="false">IF(B55="","",IFERROR(INDEX('Kitting Plan'!$H$5:$H$18,MATCH(B55,'Kitting Plan'!$C$5:$C$18,0)),""))</f>
        <v>3</v>
      </c>
      <c r="G55" s="45" t="n">
        <v>1</v>
      </c>
      <c r="H55" s="56" t="n">
        <f aca="false">IF(B55="","",IF(G55="",F55,G55))</f>
        <v>1</v>
      </c>
      <c r="I55" s="45" t="s">
        <v>25</v>
      </c>
      <c r="J55" s="57" t="n">
        <v>46297</v>
      </c>
      <c r="K55" s="46" t="s">
        <v>106</v>
      </c>
      <c r="L55" s="54" t="str">
        <f aca="false">IF(A55="","",IF(B55="","Missing code",IF(C55="Unknown code","Unknown code",IF(COUNTIF($A$6:$A$1005,A55)&gt;1,"Duplicate WO",""))))</f>
        <v/>
      </c>
    </row>
    <row r="56" customFormat="false" ht="15" hidden="false" customHeight="false" outlineLevel="0" collapsed="false">
      <c r="A56" s="53" t="n">
        <v>100880250</v>
      </c>
      <c r="B56" s="46" t="s">
        <v>55</v>
      </c>
      <c r="C56" s="54" t="str">
        <f aca="false">IF(B56="","",IFERROR(INDEX('Kitting Plan'!$D$5:$D$18,MATCH(B56,'Kitting Plan'!$C$5:$C$18,0)),"Unknown code"))</f>
        <v>R5B PSB SUB ASSEMBLY 4P-4FP</v>
      </c>
      <c r="D56" s="54" t="str">
        <f aca="false">IF(B56="","",IFERROR(INDEX('Kitting Plan'!$B$5:$B$18,MATCH(B56,'Kitting Plan'!$C$5:$C$18,0)),""))</f>
        <v>PSB ASSY</v>
      </c>
      <c r="E56" s="45"/>
      <c r="F56" s="55" t="n">
        <f aca="false">IF(B56="","",IFERROR(INDEX('Kitting Plan'!$H$5:$H$18,MATCH(B56,'Kitting Plan'!$C$5:$C$18,0)),""))</f>
        <v>3</v>
      </c>
      <c r="G56" s="45" t="n">
        <v>1</v>
      </c>
      <c r="H56" s="56" t="n">
        <f aca="false">IF(B56="","",IF(G56="",F56,G56))</f>
        <v>1</v>
      </c>
      <c r="I56" s="45" t="s">
        <v>25</v>
      </c>
      <c r="J56" s="57" t="n">
        <v>46297</v>
      </c>
      <c r="K56" s="46" t="s">
        <v>106</v>
      </c>
      <c r="L56" s="54" t="str">
        <f aca="false">IF(A56="","",IF(B56="","Missing code",IF(C56="Unknown code","Unknown code",IF(COUNTIF($A$6:$A$1005,A56)&gt;1,"Duplicate WO",""))))</f>
        <v/>
      </c>
    </row>
    <row r="57" customFormat="false" ht="23.85" hidden="false" customHeight="false" outlineLevel="0" collapsed="false">
      <c r="A57" s="53" t="n">
        <v>100863682</v>
      </c>
      <c r="B57" s="46" t="s">
        <v>63</v>
      </c>
      <c r="C57" s="54" t="str">
        <f aca="false">IF(B57="","",IFERROR(INDEX('Kitting Plan'!$D$5:$D$18,MATCH(B57,'Kitting Plan'!$C$5:$C$18,0)),"Unknown code"))</f>
        <v>R5B ERBIUM SPOOL ASSEMBLY - E2A</v>
      </c>
      <c r="D57" s="54" t="str">
        <f aca="false">IF(B57="","",IFERROR(INDEX('Kitting Plan'!$B$5:$B$18,MATCH(B57,'Kitting Plan'!$C$5:$C$18,0)),""))</f>
        <v>ERBIUM ASSY</v>
      </c>
      <c r="E57" s="45"/>
      <c r="F57" s="55" t="n">
        <f aca="false">IF(B57="","",IFERROR(INDEX('Kitting Plan'!$H$5:$H$18,MATCH(B57,'Kitting Plan'!$C$5:$C$18,0)),""))</f>
        <v>24</v>
      </c>
      <c r="G57" s="45" t="n">
        <v>1</v>
      </c>
      <c r="H57" s="56" t="n">
        <f aca="false">IF(B57="","",IF(G57="",F57,G57))</f>
        <v>1</v>
      </c>
      <c r="I57" s="45" t="s">
        <v>29</v>
      </c>
      <c r="J57" s="57" t="n">
        <v>46165</v>
      </c>
      <c r="K57" s="46" t="s">
        <v>103</v>
      </c>
      <c r="L57" s="54" t="str">
        <f aca="false">IF(A57="","",IF(B57="","Missing code",IF(C57="Unknown code","Unknown code",IF(COUNTIF($A$6:$A$1005,A57)&gt;1,"Duplicate WO",""))))</f>
        <v/>
      </c>
    </row>
    <row r="58" customFormat="false" ht="23.85" hidden="false" customHeight="false" outlineLevel="0" collapsed="false">
      <c r="A58" s="53" t="n">
        <v>100863685</v>
      </c>
      <c r="B58" s="46" t="s">
        <v>63</v>
      </c>
      <c r="C58" s="54" t="str">
        <f aca="false">IF(B58="","",IFERROR(INDEX('Kitting Plan'!$D$5:$D$18,MATCH(B58,'Kitting Plan'!$C$5:$C$18,0)),"Unknown code"))</f>
        <v>R5B ERBIUM SPOOL ASSEMBLY - E2A</v>
      </c>
      <c r="D58" s="54" t="str">
        <f aca="false">IF(B58="","",IFERROR(INDEX('Kitting Plan'!$B$5:$B$18,MATCH(B58,'Kitting Plan'!$C$5:$C$18,0)),""))</f>
        <v>ERBIUM ASSY</v>
      </c>
      <c r="E58" s="45"/>
      <c r="F58" s="55" t="n">
        <f aca="false">IF(B58="","",IFERROR(INDEX('Kitting Plan'!$H$5:$H$18,MATCH(B58,'Kitting Plan'!$C$5:$C$18,0)),""))</f>
        <v>24</v>
      </c>
      <c r="G58" s="45" t="n">
        <v>1</v>
      </c>
      <c r="H58" s="56" t="n">
        <f aca="false">IF(B58="","",IF(G58="",F58,G58))</f>
        <v>1</v>
      </c>
      <c r="I58" s="45" t="s">
        <v>29</v>
      </c>
      <c r="J58" s="57" t="n">
        <v>46165</v>
      </c>
      <c r="K58" s="46" t="s">
        <v>102</v>
      </c>
      <c r="L58" s="54" t="str">
        <f aca="false">IF(A58="","",IF(B58="","Missing code",IF(C58="Unknown code","Unknown code",IF(COUNTIF($A$6:$A$1005,A58)&gt;1,"Duplicate WO",""))))</f>
        <v/>
      </c>
    </row>
    <row r="59" customFormat="false" ht="23.85" hidden="false" customHeight="false" outlineLevel="0" collapsed="false">
      <c r="A59" s="53" t="n">
        <v>100863686</v>
      </c>
      <c r="B59" s="46" t="s">
        <v>63</v>
      </c>
      <c r="C59" s="54" t="str">
        <f aca="false">IF(B59="","",IFERROR(INDEX('Kitting Plan'!$D$5:$D$18,MATCH(B59,'Kitting Plan'!$C$5:$C$18,0)),"Unknown code"))</f>
        <v>R5B ERBIUM SPOOL ASSEMBLY - E2A</v>
      </c>
      <c r="D59" s="54" t="str">
        <f aca="false">IF(B59="","",IFERROR(INDEX('Kitting Plan'!$B$5:$B$18,MATCH(B59,'Kitting Plan'!$C$5:$C$18,0)),""))</f>
        <v>ERBIUM ASSY</v>
      </c>
      <c r="E59" s="45"/>
      <c r="F59" s="55" t="n">
        <f aca="false">IF(B59="","",IFERROR(INDEX('Kitting Plan'!$H$5:$H$18,MATCH(B59,'Kitting Plan'!$C$5:$C$18,0)),""))</f>
        <v>24</v>
      </c>
      <c r="G59" s="45" t="n">
        <v>1</v>
      </c>
      <c r="H59" s="56" t="n">
        <f aca="false">IF(B59="","",IF(G59="",F59,G59))</f>
        <v>1</v>
      </c>
      <c r="I59" s="45" t="s">
        <v>29</v>
      </c>
      <c r="J59" s="57" t="n">
        <v>46165</v>
      </c>
      <c r="K59" s="46" t="s">
        <v>102</v>
      </c>
      <c r="L59" s="54" t="str">
        <f aca="false">IF(A59="","",IF(B59="","Missing code",IF(C59="Unknown code","Unknown code",IF(COUNTIF($A$6:$A$1005,A59)&gt;1,"Duplicate WO",""))))</f>
        <v/>
      </c>
    </row>
    <row r="60" customFormat="false" ht="23.85" hidden="false" customHeight="false" outlineLevel="0" collapsed="false">
      <c r="A60" s="53" t="n">
        <v>100863687</v>
      </c>
      <c r="B60" s="46" t="s">
        <v>63</v>
      </c>
      <c r="C60" s="54" t="str">
        <f aca="false">IF(B60="","",IFERROR(INDEX('Kitting Plan'!$D$5:$D$18,MATCH(B60,'Kitting Plan'!$C$5:$C$18,0)),"Unknown code"))</f>
        <v>R5B ERBIUM SPOOL ASSEMBLY - E2A</v>
      </c>
      <c r="D60" s="54" t="str">
        <f aca="false">IF(B60="","",IFERROR(INDEX('Kitting Plan'!$B$5:$B$18,MATCH(B60,'Kitting Plan'!$C$5:$C$18,0)),""))</f>
        <v>ERBIUM ASSY</v>
      </c>
      <c r="E60" s="45"/>
      <c r="F60" s="55" t="n">
        <f aca="false">IF(B60="","",IFERROR(INDEX('Kitting Plan'!$H$5:$H$18,MATCH(B60,'Kitting Plan'!$C$5:$C$18,0)),""))</f>
        <v>24</v>
      </c>
      <c r="G60" s="45" t="n">
        <v>1</v>
      </c>
      <c r="H60" s="56" t="n">
        <f aca="false">IF(B60="","",IF(G60="",F60,G60))</f>
        <v>1</v>
      </c>
      <c r="I60" s="45" t="s">
        <v>29</v>
      </c>
      <c r="J60" s="57" t="n">
        <v>46165</v>
      </c>
      <c r="K60" s="46" t="s">
        <v>102</v>
      </c>
      <c r="L60" s="54" t="str">
        <f aca="false">IF(A60="","",IF(B60="","Missing code",IF(C60="Unknown code","Unknown code",IF(COUNTIF($A$6:$A$1005,A60)&gt;1,"Duplicate WO",""))))</f>
        <v/>
      </c>
    </row>
    <row r="61" customFormat="false" ht="23.85" hidden="false" customHeight="false" outlineLevel="0" collapsed="false">
      <c r="A61" s="53" t="n">
        <v>100863692</v>
      </c>
      <c r="B61" s="46" t="s">
        <v>63</v>
      </c>
      <c r="C61" s="54" t="str">
        <f aca="false">IF(B61="","",IFERROR(INDEX('Kitting Plan'!$D$5:$D$18,MATCH(B61,'Kitting Plan'!$C$5:$C$18,0)),"Unknown code"))</f>
        <v>R5B ERBIUM SPOOL ASSEMBLY - E2A</v>
      </c>
      <c r="D61" s="54" t="str">
        <f aca="false">IF(B61="","",IFERROR(INDEX('Kitting Plan'!$B$5:$B$18,MATCH(B61,'Kitting Plan'!$C$5:$C$18,0)),""))</f>
        <v>ERBIUM ASSY</v>
      </c>
      <c r="E61" s="45"/>
      <c r="F61" s="55" t="n">
        <f aca="false">IF(B61="","",IFERROR(INDEX('Kitting Plan'!$H$5:$H$18,MATCH(B61,'Kitting Plan'!$C$5:$C$18,0)),""))</f>
        <v>24</v>
      </c>
      <c r="G61" s="45" t="n">
        <v>1</v>
      </c>
      <c r="H61" s="56" t="n">
        <f aca="false">IF(B61="","",IF(G61="",F61,G61))</f>
        <v>1</v>
      </c>
      <c r="I61" s="45" t="s">
        <v>29</v>
      </c>
      <c r="J61" s="57" t="n">
        <v>46165</v>
      </c>
      <c r="K61" s="46" t="s">
        <v>102</v>
      </c>
      <c r="L61" s="54" t="str">
        <f aca="false">IF(A61="","",IF(B61="","Missing code",IF(C61="Unknown code","Unknown code",IF(COUNTIF($A$6:$A$1005,A61)&gt;1,"Duplicate WO",""))))</f>
        <v/>
      </c>
    </row>
    <row r="62" customFormat="false" ht="23.85" hidden="false" customHeight="false" outlineLevel="0" collapsed="false">
      <c r="A62" s="53" t="n">
        <v>100863693</v>
      </c>
      <c r="B62" s="46" t="s">
        <v>63</v>
      </c>
      <c r="C62" s="54" t="str">
        <f aca="false">IF(B62="","",IFERROR(INDEX('Kitting Plan'!$D$5:$D$18,MATCH(B62,'Kitting Plan'!$C$5:$C$18,0)),"Unknown code"))</f>
        <v>R5B ERBIUM SPOOL ASSEMBLY - E2A</v>
      </c>
      <c r="D62" s="54" t="str">
        <f aca="false">IF(B62="","",IFERROR(INDEX('Kitting Plan'!$B$5:$B$18,MATCH(B62,'Kitting Plan'!$C$5:$C$18,0)),""))</f>
        <v>ERBIUM ASSY</v>
      </c>
      <c r="E62" s="45"/>
      <c r="F62" s="55" t="n">
        <f aca="false">IF(B62="","",IFERROR(INDEX('Kitting Plan'!$H$5:$H$18,MATCH(B62,'Kitting Plan'!$C$5:$C$18,0)),""))</f>
        <v>24</v>
      </c>
      <c r="G62" s="45" t="n">
        <v>1</v>
      </c>
      <c r="H62" s="56" t="n">
        <f aca="false">IF(B62="","",IF(G62="",F62,G62))</f>
        <v>1</v>
      </c>
      <c r="I62" s="45" t="s">
        <v>29</v>
      </c>
      <c r="J62" s="57" t="n">
        <v>46165</v>
      </c>
      <c r="K62" s="46" t="s">
        <v>102</v>
      </c>
      <c r="L62" s="54" t="str">
        <f aca="false">IF(A62="","",IF(B62="","Missing code",IF(C62="Unknown code","Unknown code",IF(COUNTIF($A$6:$A$1005,A62)&gt;1,"Duplicate WO",""))))</f>
        <v/>
      </c>
    </row>
    <row r="63" customFormat="false" ht="23.85" hidden="false" customHeight="false" outlineLevel="0" collapsed="false">
      <c r="A63" s="53" t="n">
        <v>100863694</v>
      </c>
      <c r="B63" s="46" t="s">
        <v>63</v>
      </c>
      <c r="C63" s="54" t="str">
        <f aca="false">IF(B63="","",IFERROR(INDEX('Kitting Plan'!$D$5:$D$18,MATCH(B63,'Kitting Plan'!$C$5:$C$18,0)),"Unknown code"))</f>
        <v>R5B ERBIUM SPOOL ASSEMBLY - E2A</v>
      </c>
      <c r="D63" s="54" t="str">
        <f aca="false">IF(B63="","",IFERROR(INDEX('Kitting Plan'!$B$5:$B$18,MATCH(B63,'Kitting Plan'!$C$5:$C$18,0)),""))</f>
        <v>ERBIUM ASSY</v>
      </c>
      <c r="E63" s="45"/>
      <c r="F63" s="55" t="n">
        <f aca="false">IF(B63="","",IFERROR(INDEX('Kitting Plan'!$H$5:$H$18,MATCH(B63,'Kitting Plan'!$C$5:$C$18,0)),""))</f>
        <v>24</v>
      </c>
      <c r="G63" s="45" t="n">
        <v>1</v>
      </c>
      <c r="H63" s="56" t="n">
        <f aca="false">IF(B63="","",IF(G63="",F63,G63))</f>
        <v>1</v>
      </c>
      <c r="I63" s="45" t="s">
        <v>29</v>
      </c>
      <c r="J63" s="57" t="n">
        <v>46165</v>
      </c>
      <c r="K63" s="46" t="s">
        <v>102</v>
      </c>
      <c r="L63" s="54" t="str">
        <f aca="false">IF(A63="","",IF(B63="","Missing code",IF(C63="Unknown code","Unknown code",IF(COUNTIF($A$6:$A$1005,A63)&gt;1,"Duplicate WO",""))))</f>
        <v/>
      </c>
    </row>
    <row r="64" customFormat="false" ht="23.85" hidden="false" customHeight="false" outlineLevel="0" collapsed="false">
      <c r="A64" s="53" t="n">
        <v>100863695</v>
      </c>
      <c r="B64" s="46" t="s">
        <v>63</v>
      </c>
      <c r="C64" s="54" t="str">
        <f aca="false">IF(B64="","",IFERROR(INDEX('Kitting Plan'!$D$5:$D$18,MATCH(B64,'Kitting Plan'!$C$5:$C$18,0)),"Unknown code"))</f>
        <v>R5B ERBIUM SPOOL ASSEMBLY - E2A</v>
      </c>
      <c r="D64" s="54" t="str">
        <f aca="false">IF(B64="","",IFERROR(INDEX('Kitting Plan'!$B$5:$B$18,MATCH(B64,'Kitting Plan'!$C$5:$C$18,0)),""))</f>
        <v>ERBIUM ASSY</v>
      </c>
      <c r="E64" s="45"/>
      <c r="F64" s="55" t="n">
        <f aca="false">IF(B64="","",IFERROR(INDEX('Kitting Plan'!$H$5:$H$18,MATCH(B64,'Kitting Plan'!$C$5:$C$18,0)),""))</f>
        <v>24</v>
      </c>
      <c r="G64" s="45" t="n">
        <v>1</v>
      </c>
      <c r="H64" s="56" t="n">
        <f aca="false">IF(B64="","",IF(G64="",F64,G64))</f>
        <v>1</v>
      </c>
      <c r="I64" s="45" t="s">
        <v>29</v>
      </c>
      <c r="J64" s="57" t="n">
        <v>46165</v>
      </c>
      <c r="K64" s="46" t="s">
        <v>102</v>
      </c>
      <c r="L64" s="54" t="str">
        <f aca="false">IF(A64="","",IF(B64="","Missing code",IF(C64="Unknown code","Unknown code",IF(COUNTIF($A$6:$A$1005,A64)&gt;1,"Duplicate WO",""))))</f>
        <v/>
      </c>
    </row>
    <row r="65" customFormat="false" ht="23.85" hidden="false" customHeight="false" outlineLevel="0" collapsed="false">
      <c r="A65" s="53" t="n">
        <v>100863696</v>
      </c>
      <c r="B65" s="46" t="s">
        <v>63</v>
      </c>
      <c r="C65" s="54" t="str">
        <f aca="false">IF(B65="","",IFERROR(INDEX('Kitting Plan'!$D$5:$D$18,MATCH(B65,'Kitting Plan'!$C$5:$C$18,0)),"Unknown code"))</f>
        <v>R5B ERBIUM SPOOL ASSEMBLY - E2A</v>
      </c>
      <c r="D65" s="54" t="str">
        <f aca="false">IF(B65="","",IFERROR(INDEX('Kitting Plan'!$B$5:$B$18,MATCH(B65,'Kitting Plan'!$C$5:$C$18,0)),""))</f>
        <v>ERBIUM ASSY</v>
      </c>
      <c r="E65" s="45"/>
      <c r="F65" s="55" t="n">
        <f aca="false">IF(B65="","",IFERROR(INDEX('Kitting Plan'!$H$5:$H$18,MATCH(B65,'Kitting Plan'!$C$5:$C$18,0)),""))</f>
        <v>24</v>
      </c>
      <c r="G65" s="45" t="n">
        <v>1</v>
      </c>
      <c r="H65" s="56" t="n">
        <f aca="false">IF(B65="","",IF(G65="",F65,G65))</f>
        <v>1</v>
      </c>
      <c r="I65" s="45" t="s">
        <v>29</v>
      </c>
      <c r="J65" s="57" t="n">
        <v>46165</v>
      </c>
      <c r="K65" s="46" t="s">
        <v>102</v>
      </c>
      <c r="L65" s="54" t="str">
        <f aca="false">IF(A65="","",IF(B65="","Missing code",IF(C65="Unknown code","Unknown code",IF(COUNTIF($A$6:$A$1005,A65)&gt;1,"Duplicate WO",""))))</f>
        <v/>
      </c>
    </row>
    <row r="66" customFormat="false" ht="23.85" hidden="false" customHeight="false" outlineLevel="0" collapsed="false">
      <c r="A66" s="53" t="n">
        <v>100863698</v>
      </c>
      <c r="B66" s="46" t="s">
        <v>63</v>
      </c>
      <c r="C66" s="54" t="str">
        <f aca="false">IF(B66="","",IFERROR(INDEX('Kitting Plan'!$D$5:$D$18,MATCH(B66,'Kitting Plan'!$C$5:$C$18,0)),"Unknown code"))</f>
        <v>R5B ERBIUM SPOOL ASSEMBLY - E2A</v>
      </c>
      <c r="D66" s="54" t="str">
        <f aca="false">IF(B66="","",IFERROR(INDEX('Kitting Plan'!$B$5:$B$18,MATCH(B66,'Kitting Plan'!$C$5:$C$18,0)),""))</f>
        <v>ERBIUM ASSY</v>
      </c>
      <c r="E66" s="45"/>
      <c r="F66" s="55" t="n">
        <f aca="false">IF(B66="","",IFERROR(INDEX('Kitting Plan'!$H$5:$H$18,MATCH(B66,'Kitting Plan'!$C$5:$C$18,0)),""))</f>
        <v>24</v>
      </c>
      <c r="G66" s="45" t="n">
        <v>1</v>
      </c>
      <c r="H66" s="56" t="n">
        <f aca="false">IF(B66="","",IF(G66="",F66,G66))</f>
        <v>1</v>
      </c>
      <c r="I66" s="45" t="s">
        <v>29</v>
      </c>
      <c r="J66" s="57" t="n">
        <v>46165</v>
      </c>
      <c r="K66" s="46" t="s">
        <v>102</v>
      </c>
      <c r="L66" s="54" t="str">
        <f aca="false">IF(A66="","",IF(B66="","Missing code",IF(C66="Unknown code","Unknown code",IF(COUNTIF($A$6:$A$1005,A66)&gt;1,"Duplicate WO",""))))</f>
        <v/>
      </c>
    </row>
    <row r="67" customFormat="false" ht="23.85" hidden="false" customHeight="false" outlineLevel="0" collapsed="false">
      <c r="A67" s="53" t="n">
        <v>100863699</v>
      </c>
      <c r="B67" s="46" t="s">
        <v>63</v>
      </c>
      <c r="C67" s="54" t="str">
        <f aca="false">IF(B67="","",IFERROR(INDEX('Kitting Plan'!$D$5:$D$18,MATCH(B67,'Kitting Plan'!$C$5:$C$18,0)),"Unknown code"))</f>
        <v>R5B ERBIUM SPOOL ASSEMBLY - E2A</v>
      </c>
      <c r="D67" s="54" t="str">
        <f aca="false">IF(B67="","",IFERROR(INDEX('Kitting Plan'!$B$5:$B$18,MATCH(B67,'Kitting Plan'!$C$5:$C$18,0)),""))</f>
        <v>ERBIUM ASSY</v>
      </c>
      <c r="E67" s="45"/>
      <c r="F67" s="55" t="n">
        <f aca="false">IF(B67="","",IFERROR(INDEX('Kitting Plan'!$H$5:$H$18,MATCH(B67,'Kitting Plan'!$C$5:$C$18,0)),""))</f>
        <v>24</v>
      </c>
      <c r="G67" s="45" t="n">
        <v>1</v>
      </c>
      <c r="H67" s="56" t="n">
        <f aca="false">IF(B67="","",IF(G67="",F67,G67))</f>
        <v>1</v>
      </c>
      <c r="I67" s="45" t="s">
        <v>29</v>
      </c>
      <c r="J67" s="57" t="n">
        <v>46165</v>
      </c>
      <c r="K67" s="46" t="s">
        <v>102</v>
      </c>
      <c r="L67" s="54" t="str">
        <f aca="false">IF(A67="","",IF(B67="","Missing code",IF(C67="Unknown code","Unknown code",IF(COUNTIF($A$6:$A$1005,A67)&gt;1,"Duplicate WO",""))))</f>
        <v/>
      </c>
    </row>
    <row r="68" customFormat="false" ht="23.85" hidden="false" customHeight="false" outlineLevel="0" collapsed="false">
      <c r="A68" s="53" t="n">
        <v>100863700</v>
      </c>
      <c r="B68" s="46" t="s">
        <v>63</v>
      </c>
      <c r="C68" s="54" t="str">
        <f aca="false">IF(B68="","",IFERROR(INDEX('Kitting Plan'!$D$5:$D$18,MATCH(B68,'Kitting Plan'!$C$5:$C$18,0)),"Unknown code"))</f>
        <v>R5B ERBIUM SPOOL ASSEMBLY - E2A</v>
      </c>
      <c r="D68" s="54" t="str">
        <f aca="false">IF(B68="","",IFERROR(INDEX('Kitting Plan'!$B$5:$B$18,MATCH(B68,'Kitting Plan'!$C$5:$C$18,0)),""))</f>
        <v>ERBIUM ASSY</v>
      </c>
      <c r="E68" s="45"/>
      <c r="F68" s="55" t="n">
        <f aca="false">IF(B68="","",IFERROR(INDEX('Kitting Plan'!$H$5:$H$18,MATCH(B68,'Kitting Plan'!$C$5:$C$18,0)),""))</f>
        <v>24</v>
      </c>
      <c r="G68" s="45" t="n">
        <v>1</v>
      </c>
      <c r="H68" s="56" t="n">
        <f aca="false">IF(B68="","",IF(G68="",F68,G68))</f>
        <v>1</v>
      </c>
      <c r="I68" s="45" t="s">
        <v>29</v>
      </c>
      <c r="J68" s="57" t="n">
        <v>46165</v>
      </c>
      <c r="K68" s="46" t="s">
        <v>102</v>
      </c>
      <c r="L68" s="54" t="str">
        <f aca="false">IF(A68="","",IF(B68="","Missing code",IF(C68="Unknown code","Unknown code",IF(COUNTIF($A$6:$A$1005,A68)&gt;1,"Duplicate WO",""))))</f>
        <v/>
      </c>
    </row>
    <row r="69" customFormat="false" ht="23.85" hidden="false" customHeight="false" outlineLevel="0" collapsed="false">
      <c r="A69" s="53" t="n">
        <v>100863701</v>
      </c>
      <c r="B69" s="46" t="s">
        <v>63</v>
      </c>
      <c r="C69" s="54" t="str">
        <f aca="false">IF(B69="","",IFERROR(INDEX('Kitting Plan'!$D$5:$D$18,MATCH(B69,'Kitting Plan'!$C$5:$C$18,0)),"Unknown code"))</f>
        <v>R5B ERBIUM SPOOL ASSEMBLY - E2A</v>
      </c>
      <c r="D69" s="54" t="str">
        <f aca="false">IF(B69="","",IFERROR(INDEX('Kitting Plan'!$B$5:$B$18,MATCH(B69,'Kitting Plan'!$C$5:$C$18,0)),""))</f>
        <v>ERBIUM ASSY</v>
      </c>
      <c r="E69" s="45"/>
      <c r="F69" s="55" t="n">
        <f aca="false">IF(B69="","",IFERROR(INDEX('Kitting Plan'!$H$5:$H$18,MATCH(B69,'Kitting Plan'!$C$5:$C$18,0)),""))</f>
        <v>24</v>
      </c>
      <c r="G69" s="45" t="n">
        <v>1</v>
      </c>
      <c r="H69" s="56" t="n">
        <f aca="false">IF(B69="","",IF(G69="",F69,G69))</f>
        <v>1</v>
      </c>
      <c r="I69" s="45" t="s">
        <v>29</v>
      </c>
      <c r="J69" s="57" t="n">
        <v>46165</v>
      </c>
      <c r="K69" s="46" t="s">
        <v>102</v>
      </c>
      <c r="L69" s="54" t="str">
        <f aca="false">IF(A69="","",IF(B69="","Missing code",IF(C69="Unknown code","Unknown code",IF(COUNTIF($A$6:$A$1005,A69)&gt;1,"Duplicate WO",""))))</f>
        <v/>
      </c>
    </row>
    <row r="70" customFormat="false" ht="23.85" hidden="false" customHeight="false" outlineLevel="0" collapsed="false">
      <c r="A70" s="53" t="n">
        <v>100863702</v>
      </c>
      <c r="B70" s="46" t="s">
        <v>63</v>
      </c>
      <c r="C70" s="54" t="str">
        <f aca="false">IF(B70="","",IFERROR(INDEX('Kitting Plan'!$D$5:$D$18,MATCH(B70,'Kitting Plan'!$C$5:$C$18,0)),"Unknown code"))</f>
        <v>R5B ERBIUM SPOOL ASSEMBLY - E2A</v>
      </c>
      <c r="D70" s="54" t="str">
        <f aca="false">IF(B70="","",IFERROR(INDEX('Kitting Plan'!$B$5:$B$18,MATCH(B70,'Kitting Plan'!$C$5:$C$18,0)),""))</f>
        <v>ERBIUM ASSY</v>
      </c>
      <c r="E70" s="45"/>
      <c r="F70" s="55" t="n">
        <f aca="false">IF(B70="","",IFERROR(INDEX('Kitting Plan'!$H$5:$H$18,MATCH(B70,'Kitting Plan'!$C$5:$C$18,0)),""))</f>
        <v>24</v>
      </c>
      <c r="G70" s="45" t="n">
        <v>1</v>
      </c>
      <c r="H70" s="56" t="n">
        <f aca="false">IF(B70="","",IF(G70="",F70,G70))</f>
        <v>1</v>
      </c>
      <c r="I70" s="45" t="s">
        <v>29</v>
      </c>
      <c r="J70" s="57" t="n">
        <v>46165</v>
      </c>
      <c r="K70" s="46" t="s">
        <v>102</v>
      </c>
      <c r="L70" s="54" t="str">
        <f aca="false">IF(A70="","",IF(B70="","Missing code",IF(C70="Unknown code","Unknown code",IF(COUNTIF($A$6:$A$1005,A70)&gt;1,"Duplicate WO",""))))</f>
        <v/>
      </c>
    </row>
    <row r="71" customFormat="false" ht="23.85" hidden="false" customHeight="false" outlineLevel="0" collapsed="false">
      <c r="A71" s="53" t="n">
        <v>100863703</v>
      </c>
      <c r="B71" s="46" t="s">
        <v>63</v>
      </c>
      <c r="C71" s="54" t="str">
        <f aca="false">IF(B71="","",IFERROR(INDEX('Kitting Plan'!$D$5:$D$18,MATCH(B71,'Kitting Plan'!$C$5:$C$18,0)),"Unknown code"))</f>
        <v>R5B ERBIUM SPOOL ASSEMBLY - E2A</v>
      </c>
      <c r="D71" s="54" t="str">
        <f aca="false">IF(B71="","",IFERROR(INDEX('Kitting Plan'!$B$5:$B$18,MATCH(B71,'Kitting Plan'!$C$5:$C$18,0)),""))</f>
        <v>ERBIUM ASSY</v>
      </c>
      <c r="E71" s="45"/>
      <c r="F71" s="55" t="n">
        <f aca="false">IF(B71="","",IFERROR(INDEX('Kitting Plan'!$H$5:$H$18,MATCH(B71,'Kitting Plan'!$C$5:$C$18,0)),""))</f>
        <v>24</v>
      </c>
      <c r="G71" s="45" t="n">
        <v>1</v>
      </c>
      <c r="H71" s="56" t="n">
        <f aca="false">IF(B71="","",IF(G71="",F71,G71))</f>
        <v>1</v>
      </c>
      <c r="I71" s="45" t="s">
        <v>29</v>
      </c>
      <c r="J71" s="57" t="n">
        <v>46165</v>
      </c>
      <c r="K71" s="46" t="s">
        <v>102</v>
      </c>
      <c r="L71" s="54" t="str">
        <f aca="false">IF(A71="","",IF(B71="","Missing code",IF(C71="Unknown code","Unknown code",IF(COUNTIF($A$6:$A$1005,A71)&gt;1,"Duplicate WO",""))))</f>
        <v/>
      </c>
    </row>
    <row r="72" customFormat="false" ht="23.85" hidden="false" customHeight="false" outlineLevel="0" collapsed="false">
      <c r="A72" s="53" t="n">
        <v>100863704</v>
      </c>
      <c r="B72" s="46" t="s">
        <v>63</v>
      </c>
      <c r="C72" s="54" t="str">
        <f aca="false">IF(B72="","",IFERROR(INDEX('Kitting Plan'!$D$5:$D$18,MATCH(B72,'Kitting Plan'!$C$5:$C$18,0)),"Unknown code"))</f>
        <v>R5B ERBIUM SPOOL ASSEMBLY - E2A</v>
      </c>
      <c r="D72" s="54" t="str">
        <f aca="false">IF(B72="","",IFERROR(INDEX('Kitting Plan'!$B$5:$B$18,MATCH(B72,'Kitting Plan'!$C$5:$C$18,0)),""))</f>
        <v>ERBIUM ASSY</v>
      </c>
      <c r="E72" s="45"/>
      <c r="F72" s="55" t="n">
        <f aca="false">IF(B72="","",IFERROR(INDEX('Kitting Plan'!$H$5:$H$18,MATCH(B72,'Kitting Plan'!$C$5:$C$18,0)),""))</f>
        <v>24</v>
      </c>
      <c r="G72" s="45" t="n">
        <v>1</v>
      </c>
      <c r="H72" s="56" t="n">
        <f aca="false">IF(B72="","",IF(G72="",F72,G72))</f>
        <v>1</v>
      </c>
      <c r="I72" s="45" t="s">
        <v>29</v>
      </c>
      <c r="J72" s="57" t="n">
        <v>46165</v>
      </c>
      <c r="K72" s="46" t="s">
        <v>102</v>
      </c>
      <c r="L72" s="54" t="str">
        <f aca="false">IF(A72="","",IF(B72="","Missing code",IF(C72="Unknown code","Unknown code",IF(COUNTIF($A$6:$A$1005,A72)&gt;1,"Duplicate WO",""))))</f>
        <v/>
      </c>
    </row>
    <row r="73" customFormat="false" ht="23.85" hidden="false" customHeight="false" outlineLevel="0" collapsed="false">
      <c r="A73" s="53" t="n">
        <v>100863705</v>
      </c>
      <c r="B73" s="46" t="s">
        <v>63</v>
      </c>
      <c r="C73" s="54" t="str">
        <f aca="false">IF(B73="","",IFERROR(INDEX('Kitting Plan'!$D$5:$D$18,MATCH(B73,'Kitting Plan'!$C$5:$C$18,0)),"Unknown code"))</f>
        <v>R5B ERBIUM SPOOL ASSEMBLY - E2A</v>
      </c>
      <c r="D73" s="54" t="str">
        <f aca="false">IF(B73="","",IFERROR(INDEX('Kitting Plan'!$B$5:$B$18,MATCH(B73,'Kitting Plan'!$C$5:$C$18,0)),""))</f>
        <v>ERBIUM ASSY</v>
      </c>
      <c r="E73" s="45"/>
      <c r="F73" s="55" t="n">
        <f aca="false">IF(B73="","",IFERROR(INDEX('Kitting Plan'!$H$5:$H$18,MATCH(B73,'Kitting Plan'!$C$5:$C$18,0)),""))</f>
        <v>24</v>
      </c>
      <c r="G73" s="45" t="n">
        <v>1</v>
      </c>
      <c r="H73" s="56" t="n">
        <f aca="false">IF(B73="","",IF(G73="",F73,G73))</f>
        <v>1</v>
      </c>
      <c r="I73" s="45" t="s">
        <v>29</v>
      </c>
      <c r="J73" s="57" t="n">
        <v>46165</v>
      </c>
      <c r="K73" s="46" t="s">
        <v>102</v>
      </c>
      <c r="L73" s="54" t="str">
        <f aca="false">IF(A73="","",IF(B73="","Missing code",IF(C73="Unknown code","Unknown code",IF(COUNTIF($A$6:$A$1005,A73)&gt;1,"Duplicate WO",""))))</f>
        <v/>
      </c>
    </row>
    <row r="74" customFormat="false" ht="23.85" hidden="false" customHeight="false" outlineLevel="0" collapsed="false">
      <c r="A74" s="53" t="n">
        <v>100865001</v>
      </c>
      <c r="B74" s="46" t="s">
        <v>63</v>
      </c>
      <c r="C74" s="54" t="str">
        <f aca="false">IF(B74="","",IFERROR(INDEX('Kitting Plan'!$D$5:$D$18,MATCH(B74,'Kitting Plan'!$C$5:$C$18,0)),"Unknown code"))</f>
        <v>R5B ERBIUM SPOOL ASSEMBLY - E2A</v>
      </c>
      <c r="D74" s="54" t="str">
        <f aca="false">IF(B74="","",IFERROR(INDEX('Kitting Plan'!$B$5:$B$18,MATCH(B74,'Kitting Plan'!$C$5:$C$18,0)),""))</f>
        <v>ERBIUM ASSY</v>
      </c>
      <c r="E74" s="45"/>
      <c r="F74" s="55" t="n">
        <f aca="false">IF(B74="","",IFERROR(INDEX('Kitting Plan'!$H$5:$H$18,MATCH(B74,'Kitting Plan'!$C$5:$C$18,0)),""))</f>
        <v>24</v>
      </c>
      <c r="G74" s="45" t="n">
        <v>1</v>
      </c>
      <c r="H74" s="56" t="n">
        <f aca="false">IF(B74="","",IF(G74="",F74,G74))</f>
        <v>1</v>
      </c>
      <c r="I74" s="45" t="s">
        <v>29</v>
      </c>
      <c r="J74" s="57" t="n">
        <v>46176</v>
      </c>
      <c r="K74" s="46" t="s">
        <v>104</v>
      </c>
      <c r="L74" s="54" t="str">
        <f aca="false">IF(A74="","",IF(B74="","Missing code",IF(C74="Unknown code","Unknown code",IF(COUNTIF($A$6:$A$1005,A74)&gt;1,"Duplicate WO",""))))</f>
        <v/>
      </c>
    </row>
    <row r="75" customFormat="false" ht="23.85" hidden="false" customHeight="false" outlineLevel="0" collapsed="false">
      <c r="A75" s="53" t="n">
        <v>100865002</v>
      </c>
      <c r="B75" s="46" t="s">
        <v>63</v>
      </c>
      <c r="C75" s="54" t="str">
        <f aca="false">IF(B75="","",IFERROR(INDEX('Kitting Plan'!$D$5:$D$18,MATCH(B75,'Kitting Plan'!$C$5:$C$18,0)),"Unknown code"))</f>
        <v>R5B ERBIUM SPOOL ASSEMBLY - E2A</v>
      </c>
      <c r="D75" s="54" t="str">
        <f aca="false">IF(B75="","",IFERROR(INDEX('Kitting Plan'!$B$5:$B$18,MATCH(B75,'Kitting Plan'!$C$5:$C$18,0)),""))</f>
        <v>ERBIUM ASSY</v>
      </c>
      <c r="E75" s="45"/>
      <c r="F75" s="55" t="n">
        <f aca="false">IF(B75="","",IFERROR(INDEX('Kitting Plan'!$H$5:$H$18,MATCH(B75,'Kitting Plan'!$C$5:$C$18,0)),""))</f>
        <v>24</v>
      </c>
      <c r="G75" s="45" t="n">
        <v>1</v>
      </c>
      <c r="H75" s="56" t="n">
        <f aca="false">IF(B75="","",IF(G75="",F75,G75))</f>
        <v>1</v>
      </c>
      <c r="I75" s="45" t="s">
        <v>29</v>
      </c>
      <c r="J75" s="57" t="n">
        <v>46176</v>
      </c>
      <c r="K75" s="46" t="s">
        <v>104</v>
      </c>
      <c r="L75" s="54" t="str">
        <f aca="false">IF(A75="","",IF(B75="","Missing code",IF(C75="Unknown code","Unknown code",IF(COUNTIF($A$6:$A$1005,A75)&gt;1,"Duplicate WO",""))))</f>
        <v/>
      </c>
    </row>
    <row r="76" customFormat="false" ht="23.85" hidden="false" customHeight="false" outlineLevel="0" collapsed="false">
      <c r="A76" s="53" t="n">
        <v>100865003</v>
      </c>
      <c r="B76" s="46" t="s">
        <v>63</v>
      </c>
      <c r="C76" s="54" t="str">
        <f aca="false">IF(B76="","",IFERROR(INDEX('Kitting Plan'!$D$5:$D$18,MATCH(B76,'Kitting Plan'!$C$5:$C$18,0)),"Unknown code"))</f>
        <v>R5B ERBIUM SPOOL ASSEMBLY - E2A</v>
      </c>
      <c r="D76" s="54" t="str">
        <f aca="false">IF(B76="","",IFERROR(INDEX('Kitting Plan'!$B$5:$B$18,MATCH(B76,'Kitting Plan'!$C$5:$C$18,0)),""))</f>
        <v>ERBIUM ASSY</v>
      </c>
      <c r="E76" s="45"/>
      <c r="F76" s="55" t="n">
        <f aca="false">IF(B76="","",IFERROR(INDEX('Kitting Plan'!$H$5:$H$18,MATCH(B76,'Kitting Plan'!$C$5:$C$18,0)),""))</f>
        <v>24</v>
      </c>
      <c r="G76" s="45" t="n">
        <v>1</v>
      </c>
      <c r="H76" s="56" t="n">
        <f aca="false">IF(B76="","",IF(G76="",F76,G76))</f>
        <v>1</v>
      </c>
      <c r="I76" s="45" t="s">
        <v>29</v>
      </c>
      <c r="J76" s="57" t="n">
        <v>46176</v>
      </c>
      <c r="K76" s="46" t="s">
        <v>104</v>
      </c>
      <c r="L76" s="54" t="str">
        <f aca="false">IF(A76="","",IF(B76="","Missing code",IF(C76="Unknown code","Unknown code",IF(COUNTIF($A$6:$A$1005,A76)&gt;1,"Duplicate WO",""))))</f>
        <v/>
      </c>
    </row>
    <row r="77" customFormat="false" ht="23.85" hidden="false" customHeight="false" outlineLevel="0" collapsed="false">
      <c r="A77" s="53" t="n">
        <v>100865004</v>
      </c>
      <c r="B77" s="46" t="s">
        <v>63</v>
      </c>
      <c r="C77" s="54" t="str">
        <f aca="false">IF(B77="","",IFERROR(INDEX('Kitting Plan'!$D$5:$D$18,MATCH(B77,'Kitting Plan'!$C$5:$C$18,0)),"Unknown code"))</f>
        <v>R5B ERBIUM SPOOL ASSEMBLY - E2A</v>
      </c>
      <c r="D77" s="54" t="str">
        <f aca="false">IF(B77="","",IFERROR(INDEX('Kitting Plan'!$B$5:$B$18,MATCH(B77,'Kitting Plan'!$C$5:$C$18,0)),""))</f>
        <v>ERBIUM ASSY</v>
      </c>
      <c r="E77" s="45"/>
      <c r="F77" s="55" t="n">
        <f aca="false">IF(B77="","",IFERROR(INDEX('Kitting Plan'!$H$5:$H$18,MATCH(B77,'Kitting Plan'!$C$5:$C$18,0)),""))</f>
        <v>24</v>
      </c>
      <c r="G77" s="45" t="n">
        <v>1</v>
      </c>
      <c r="H77" s="56" t="n">
        <f aca="false">IF(B77="","",IF(G77="",F77,G77))</f>
        <v>1</v>
      </c>
      <c r="I77" s="45" t="s">
        <v>29</v>
      </c>
      <c r="J77" s="57" t="n">
        <v>46176</v>
      </c>
      <c r="K77" s="46" t="s">
        <v>104</v>
      </c>
      <c r="L77" s="54" t="str">
        <f aca="false">IF(A77="","",IF(B77="","Missing code",IF(C77="Unknown code","Unknown code",IF(COUNTIF($A$6:$A$1005,A77)&gt;1,"Duplicate WO",""))))</f>
        <v/>
      </c>
    </row>
    <row r="78" customFormat="false" ht="23.85" hidden="false" customHeight="false" outlineLevel="0" collapsed="false">
      <c r="A78" s="53" t="n">
        <v>100865005</v>
      </c>
      <c r="B78" s="46" t="s">
        <v>63</v>
      </c>
      <c r="C78" s="54" t="str">
        <f aca="false">IF(B78="","",IFERROR(INDEX('Kitting Plan'!$D$5:$D$18,MATCH(B78,'Kitting Plan'!$C$5:$C$18,0)),"Unknown code"))</f>
        <v>R5B ERBIUM SPOOL ASSEMBLY - E2A</v>
      </c>
      <c r="D78" s="54" t="str">
        <f aca="false">IF(B78="","",IFERROR(INDEX('Kitting Plan'!$B$5:$B$18,MATCH(B78,'Kitting Plan'!$C$5:$C$18,0)),""))</f>
        <v>ERBIUM ASSY</v>
      </c>
      <c r="E78" s="45"/>
      <c r="F78" s="55" t="n">
        <f aca="false">IF(B78="","",IFERROR(INDEX('Kitting Plan'!$H$5:$H$18,MATCH(B78,'Kitting Plan'!$C$5:$C$18,0)),""))</f>
        <v>24</v>
      </c>
      <c r="G78" s="45" t="n">
        <v>1</v>
      </c>
      <c r="H78" s="56" t="n">
        <f aca="false">IF(B78="","",IF(G78="",F78,G78))</f>
        <v>1</v>
      </c>
      <c r="I78" s="45" t="s">
        <v>29</v>
      </c>
      <c r="J78" s="57" t="n">
        <v>46176</v>
      </c>
      <c r="K78" s="46" t="s">
        <v>104</v>
      </c>
      <c r="L78" s="54" t="str">
        <f aca="false">IF(A78="","",IF(B78="","Missing code",IF(C78="Unknown code","Unknown code",IF(COUNTIF($A$6:$A$1005,A78)&gt;1,"Duplicate WO",""))))</f>
        <v/>
      </c>
    </row>
    <row r="79" customFormat="false" ht="23.85" hidden="false" customHeight="false" outlineLevel="0" collapsed="false">
      <c r="A79" s="53" t="n">
        <v>100865006</v>
      </c>
      <c r="B79" s="46" t="s">
        <v>63</v>
      </c>
      <c r="C79" s="54" t="str">
        <f aca="false">IF(B79="","",IFERROR(INDEX('Kitting Plan'!$D$5:$D$18,MATCH(B79,'Kitting Plan'!$C$5:$C$18,0)),"Unknown code"))</f>
        <v>R5B ERBIUM SPOOL ASSEMBLY - E2A</v>
      </c>
      <c r="D79" s="54" t="str">
        <f aca="false">IF(B79="","",IFERROR(INDEX('Kitting Plan'!$B$5:$B$18,MATCH(B79,'Kitting Plan'!$C$5:$C$18,0)),""))</f>
        <v>ERBIUM ASSY</v>
      </c>
      <c r="E79" s="45"/>
      <c r="F79" s="55" t="n">
        <f aca="false">IF(B79="","",IFERROR(INDEX('Kitting Plan'!$H$5:$H$18,MATCH(B79,'Kitting Plan'!$C$5:$C$18,0)),""))</f>
        <v>24</v>
      </c>
      <c r="G79" s="45" t="n">
        <v>1</v>
      </c>
      <c r="H79" s="56" t="n">
        <f aca="false">IF(B79="","",IF(G79="",F79,G79))</f>
        <v>1</v>
      </c>
      <c r="I79" s="45" t="s">
        <v>29</v>
      </c>
      <c r="J79" s="57" t="n">
        <v>46176</v>
      </c>
      <c r="K79" s="46" t="s">
        <v>104</v>
      </c>
      <c r="L79" s="54" t="str">
        <f aca="false">IF(A79="","",IF(B79="","Missing code",IF(C79="Unknown code","Unknown code",IF(COUNTIF($A$6:$A$1005,A79)&gt;1,"Duplicate WO",""))))</f>
        <v/>
      </c>
    </row>
    <row r="80" customFormat="false" ht="23.85" hidden="false" customHeight="false" outlineLevel="0" collapsed="false">
      <c r="A80" s="53" t="n">
        <v>100865007</v>
      </c>
      <c r="B80" s="46" t="s">
        <v>63</v>
      </c>
      <c r="C80" s="54" t="str">
        <f aca="false">IF(B80="","",IFERROR(INDEX('Kitting Plan'!$D$5:$D$18,MATCH(B80,'Kitting Plan'!$C$5:$C$18,0)),"Unknown code"))</f>
        <v>R5B ERBIUM SPOOL ASSEMBLY - E2A</v>
      </c>
      <c r="D80" s="54" t="str">
        <f aca="false">IF(B80="","",IFERROR(INDEX('Kitting Plan'!$B$5:$B$18,MATCH(B80,'Kitting Plan'!$C$5:$C$18,0)),""))</f>
        <v>ERBIUM ASSY</v>
      </c>
      <c r="E80" s="45"/>
      <c r="F80" s="55" t="n">
        <f aca="false">IF(B80="","",IFERROR(INDEX('Kitting Plan'!$H$5:$H$18,MATCH(B80,'Kitting Plan'!$C$5:$C$18,0)),""))</f>
        <v>24</v>
      </c>
      <c r="G80" s="45" t="n">
        <v>1</v>
      </c>
      <c r="H80" s="56" t="n">
        <f aca="false">IF(B80="","",IF(G80="",F80,G80))</f>
        <v>1</v>
      </c>
      <c r="I80" s="45" t="s">
        <v>29</v>
      </c>
      <c r="J80" s="57" t="n">
        <v>46176</v>
      </c>
      <c r="K80" s="46" t="s">
        <v>104</v>
      </c>
      <c r="L80" s="54" t="str">
        <f aca="false">IF(A80="","",IF(B80="","Missing code",IF(C80="Unknown code","Unknown code",IF(COUNTIF($A$6:$A$1005,A80)&gt;1,"Duplicate WO",""))))</f>
        <v/>
      </c>
    </row>
    <row r="81" customFormat="false" ht="23.85" hidden="false" customHeight="false" outlineLevel="0" collapsed="false">
      <c r="A81" s="53" t="n">
        <v>100865008</v>
      </c>
      <c r="B81" s="46" t="s">
        <v>63</v>
      </c>
      <c r="C81" s="54" t="str">
        <f aca="false">IF(B81="","",IFERROR(INDEX('Kitting Plan'!$D$5:$D$18,MATCH(B81,'Kitting Plan'!$C$5:$C$18,0)),"Unknown code"))</f>
        <v>R5B ERBIUM SPOOL ASSEMBLY - E2A</v>
      </c>
      <c r="D81" s="54" t="str">
        <f aca="false">IF(B81="","",IFERROR(INDEX('Kitting Plan'!$B$5:$B$18,MATCH(B81,'Kitting Plan'!$C$5:$C$18,0)),""))</f>
        <v>ERBIUM ASSY</v>
      </c>
      <c r="E81" s="45"/>
      <c r="F81" s="55" t="n">
        <f aca="false">IF(B81="","",IFERROR(INDEX('Kitting Plan'!$H$5:$H$18,MATCH(B81,'Kitting Plan'!$C$5:$C$18,0)),""))</f>
        <v>24</v>
      </c>
      <c r="G81" s="45" t="n">
        <v>1</v>
      </c>
      <c r="H81" s="56" t="n">
        <f aca="false">IF(B81="","",IF(G81="",F81,G81))</f>
        <v>1</v>
      </c>
      <c r="I81" s="45" t="s">
        <v>29</v>
      </c>
      <c r="J81" s="57" t="n">
        <v>46176</v>
      </c>
      <c r="K81" s="46" t="s">
        <v>104</v>
      </c>
      <c r="L81" s="54" t="str">
        <f aca="false">IF(A81="","",IF(B81="","Missing code",IF(C81="Unknown code","Unknown code",IF(COUNTIF($A$6:$A$1005,A81)&gt;1,"Duplicate WO",""))))</f>
        <v/>
      </c>
    </row>
    <row r="82" customFormat="false" ht="23.85" hidden="false" customHeight="false" outlineLevel="0" collapsed="false">
      <c r="A82" s="53" t="n">
        <v>100865009</v>
      </c>
      <c r="B82" s="46" t="s">
        <v>63</v>
      </c>
      <c r="C82" s="54" t="str">
        <f aca="false">IF(B82="","",IFERROR(INDEX('Kitting Plan'!$D$5:$D$18,MATCH(B82,'Kitting Plan'!$C$5:$C$18,0)),"Unknown code"))</f>
        <v>R5B ERBIUM SPOOL ASSEMBLY - E2A</v>
      </c>
      <c r="D82" s="54" t="str">
        <f aca="false">IF(B82="","",IFERROR(INDEX('Kitting Plan'!$B$5:$B$18,MATCH(B82,'Kitting Plan'!$C$5:$C$18,0)),""))</f>
        <v>ERBIUM ASSY</v>
      </c>
      <c r="E82" s="45"/>
      <c r="F82" s="55" t="n">
        <f aca="false">IF(B82="","",IFERROR(INDEX('Kitting Plan'!$H$5:$H$18,MATCH(B82,'Kitting Plan'!$C$5:$C$18,0)),""))</f>
        <v>24</v>
      </c>
      <c r="G82" s="45" t="n">
        <v>1</v>
      </c>
      <c r="H82" s="56" t="n">
        <f aca="false">IF(B82="","",IF(G82="",F82,G82))</f>
        <v>1</v>
      </c>
      <c r="I82" s="45" t="s">
        <v>29</v>
      </c>
      <c r="J82" s="57" t="n">
        <v>46176</v>
      </c>
      <c r="K82" s="46" t="s">
        <v>104</v>
      </c>
      <c r="L82" s="54" t="str">
        <f aca="false">IF(A82="","",IF(B82="","Missing code",IF(C82="Unknown code","Unknown code",IF(COUNTIF($A$6:$A$1005,A82)&gt;1,"Duplicate WO",""))))</f>
        <v/>
      </c>
    </row>
    <row r="83" customFormat="false" ht="23.85" hidden="false" customHeight="false" outlineLevel="0" collapsed="false">
      <c r="A83" s="53" t="n">
        <v>100865010</v>
      </c>
      <c r="B83" s="46" t="s">
        <v>63</v>
      </c>
      <c r="C83" s="54" t="str">
        <f aca="false">IF(B83="","",IFERROR(INDEX('Kitting Plan'!$D$5:$D$18,MATCH(B83,'Kitting Plan'!$C$5:$C$18,0)),"Unknown code"))</f>
        <v>R5B ERBIUM SPOOL ASSEMBLY - E2A</v>
      </c>
      <c r="D83" s="54" t="str">
        <f aca="false">IF(B83="","",IFERROR(INDEX('Kitting Plan'!$B$5:$B$18,MATCH(B83,'Kitting Plan'!$C$5:$C$18,0)),""))</f>
        <v>ERBIUM ASSY</v>
      </c>
      <c r="E83" s="45"/>
      <c r="F83" s="55" t="n">
        <f aca="false">IF(B83="","",IFERROR(INDEX('Kitting Plan'!$H$5:$H$18,MATCH(B83,'Kitting Plan'!$C$5:$C$18,0)),""))</f>
        <v>24</v>
      </c>
      <c r="G83" s="45" t="n">
        <v>1</v>
      </c>
      <c r="H83" s="56" t="n">
        <f aca="false">IF(B83="","",IF(G83="",F83,G83))</f>
        <v>1</v>
      </c>
      <c r="I83" s="45" t="s">
        <v>29</v>
      </c>
      <c r="J83" s="57" t="n">
        <v>46176</v>
      </c>
      <c r="K83" s="46" t="s">
        <v>104</v>
      </c>
      <c r="L83" s="54" t="str">
        <f aca="false">IF(A83="","",IF(B83="","Missing code",IF(C83="Unknown code","Unknown code",IF(COUNTIF($A$6:$A$1005,A83)&gt;1,"Duplicate WO",""))))</f>
        <v/>
      </c>
    </row>
    <row r="84" customFormat="false" ht="23.85" hidden="false" customHeight="false" outlineLevel="0" collapsed="false">
      <c r="A84" s="53" t="n">
        <v>100865011</v>
      </c>
      <c r="B84" s="46" t="s">
        <v>63</v>
      </c>
      <c r="C84" s="54" t="str">
        <f aca="false">IF(B84="","",IFERROR(INDEX('Kitting Plan'!$D$5:$D$18,MATCH(B84,'Kitting Plan'!$C$5:$C$18,0)),"Unknown code"))</f>
        <v>R5B ERBIUM SPOOL ASSEMBLY - E2A</v>
      </c>
      <c r="D84" s="54" t="str">
        <f aca="false">IF(B84="","",IFERROR(INDEX('Kitting Plan'!$B$5:$B$18,MATCH(B84,'Kitting Plan'!$C$5:$C$18,0)),""))</f>
        <v>ERBIUM ASSY</v>
      </c>
      <c r="E84" s="45"/>
      <c r="F84" s="55" t="n">
        <f aca="false">IF(B84="","",IFERROR(INDEX('Kitting Plan'!$H$5:$H$18,MATCH(B84,'Kitting Plan'!$C$5:$C$18,0)),""))</f>
        <v>24</v>
      </c>
      <c r="G84" s="45" t="n">
        <v>1</v>
      </c>
      <c r="H84" s="56" t="n">
        <f aca="false">IF(B84="","",IF(G84="",F84,G84))</f>
        <v>1</v>
      </c>
      <c r="I84" s="45" t="s">
        <v>29</v>
      </c>
      <c r="J84" s="57" t="n">
        <v>46176</v>
      </c>
      <c r="K84" s="46" t="s">
        <v>104</v>
      </c>
      <c r="L84" s="54" t="str">
        <f aca="false">IF(A84="","",IF(B84="","Missing code",IF(C84="Unknown code","Unknown code",IF(COUNTIF($A$6:$A$1005,A84)&gt;1,"Duplicate WO",""))))</f>
        <v/>
      </c>
    </row>
    <row r="85" customFormat="false" ht="23.85" hidden="false" customHeight="false" outlineLevel="0" collapsed="false">
      <c r="A85" s="53" t="n">
        <v>100865012</v>
      </c>
      <c r="B85" s="46" t="s">
        <v>63</v>
      </c>
      <c r="C85" s="54" t="str">
        <f aca="false">IF(B85="","",IFERROR(INDEX('Kitting Plan'!$D$5:$D$18,MATCH(B85,'Kitting Plan'!$C$5:$C$18,0)),"Unknown code"))</f>
        <v>R5B ERBIUM SPOOL ASSEMBLY - E2A</v>
      </c>
      <c r="D85" s="54" t="str">
        <f aca="false">IF(B85="","",IFERROR(INDEX('Kitting Plan'!$B$5:$B$18,MATCH(B85,'Kitting Plan'!$C$5:$C$18,0)),""))</f>
        <v>ERBIUM ASSY</v>
      </c>
      <c r="E85" s="45"/>
      <c r="F85" s="55" t="n">
        <f aca="false">IF(B85="","",IFERROR(INDEX('Kitting Plan'!$H$5:$H$18,MATCH(B85,'Kitting Plan'!$C$5:$C$18,0)),""))</f>
        <v>24</v>
      </c>
      <c r="G85" s="45" t="n">
        <v>1</v>
      </c>
      <c r="H85" s="56" t="n">
        <f aca="false">IF(B85="","",IF(G85="",F85,G85))</f>
        <v>1</v>
      </c>
      <c r="I85" s="45" t="s">
        <v>29</v>
      </c>
      <c r="J85" s="57" t="n">
        <v>46176</v>
      </c>
      <c r="K85" s="46" t="s">
        <v>104</v>
      </c>
      <c r="L85" s="54" t="str">
        <f aca="false">IF(A85="","",IF(B85="","Missing code",IF(C85="Unknown code","Unknown code",IF(COUNTIF($A$6:$A$1005,A85)&gt;1,"Duplicate WO",""))))</f>
        <v/>
      </c>
    </row>
    <row r="86" customFormat="false" ht="23.85" hidden="false" customHeight="false" outlineLevel="0" collapsed="false">
      <c r="A86" s="53" t="n">
        <v>100865013</v>
      </c>
      <c r="B86" s="46" t="s">
        <v>63</v>
      </c>
      <c r="C86" s="54" t="str">
        <f aca="false">IF(B86="","",IFERROR(INDEX('Kitting Plan'!$D$5:$D$18,MATCH(B86,'Kitting Plan'!$C$5:$C$18,0)),"Unknown code"))</f>
        <v>R5B ERBIUM SPOOL ASSEMBLY - E2A</v>
      </c>
      <c r="D86" s="54" t="str">
        <f aca="false">IF(B86="","",IFERROR(INDEX('Kitting Plan'!$B$5:$B$18,MATCH(B86,'Kitting Plan'!$C$5:$C$18,0)),""))</f>
        <v>ERBIUM ASSY</v>
      </c>
      <c r="E86" s="45"/>
      <c r="F86" s="55" t="n">
        <f aca="false">IF(B86="","",IFERROR(INDEX('Kitting Plan'!$H$5:$H$18,MATCH(B86,'Kitting Plan'!$C$5:$C$18,0)),""))</f>
        <v>24</v>
      </c>
      <c r="G86" s="45" t="n">
        <v>1</v>
      </c>
      <c r="H86" s="56" t="n">
        <f aca="false">IF(B86="","",IF(G86="",F86,G86))</f>
        <v>1</v>
      </c>
      <c r="I86" s="45" t="s">
        <v>29</v>
      </c>
      <c r="J86" s="57" t="n">
        <v>46176</v>
      </c>
      <c r="K86" s="46" t="s">
        <v>104</v>
      </c>
      <c r="L86" s="54" t="str">
        <f aca="false">IF(A86="","",IF(B86="","Missing code",IF(C86="Unknown code","Unknown code",IF(COUNTIF($A$6:$A$1005,A86)&gt;1,"Duplicate WO",""))))</f>
        <v/>
      </c>
    </row>
    <row r="87" customFormat="false" ht="23.85" hidden="false" customHeight="false" outlineLevel="0" collapsed="false">
      <c r="A87" s="53" t="n">
        <v>100865014</v>
      </c>
      <c r="B87" s="46" t="s">
        <v>63</v>
      </c>
      <c r="C87" s="54" t="str">
        <f aca="false">IF(B87="","",IFERROR(INDEX('Kitting Plan'!$D$5:$D$18,MATCH(B87,'Kitting Plan'!$C$5:$C$18,0)),"Unknown code"))</f>
        <v>R5B ERBIUM SPOOL ASSEMBLY - E2A</v>
      </c>
      <c r="D87" s="54" t="str">
        <f aca="false">IF(B87="","",IFERROR(INDEX('Kitting Plan'!$B$5:$B$18,MATCH(B87,'Kitting Plan'!$C$5:$C$18,0)),""))</f>
        <v>ERBIUM ASSY</v>
      </c>
      <c r="E87" s="45"/>
      <c r="F87" s="55" t="n">
        <f aca="false">IF(B87="","",IFERROR(INDEX('Kitting Plan'!$H$5:$H$18,MATCH(B87,'Kitting Plan'!$C$5:$C$18,0)),""))</f>
        <v>24</v>
      </c>
      <c r="G87" s="45" t="n">
        <v>1</v>
      </c>
      <c r="H87" s="56" t="n">
        <f aca="false">IF(B87="","",IF(G87="",F87,G87))</f>
        <v>1</v>
      </c>
      <c r="I87" s="45" t="s">
        <v>29</v>
      </c>
      <c r="J87" s="57" t="n">
        <v>46176</v>
      </c>
      <c r="K87" s="46" t="s">
        <v>104</v>
      </c>
      <c r="L87" s="54" t="str">
        <f aca="false">IF(A87="","",IF(B87="","Missing code",IF(C87="Unknown code","Unknown code",IF(COUNTIF($A$6:$A$1005,A87)&gt;1,"Duplicate WO",""))))</f>
        <v/>
      </c>
    </row>
    <row r="88" customFormat="false" ht="23.85" hidden="false" customHeight="false" outlineLevel="0" collapsed="false">
      <c r="A88" s="53" t="n">
        <v>100865015</v>
      </c>
      <c r="B88" s="46" t="s">
        <v>63</v>
      </c>
      <c r="C88" s="54" t="str">
        <f aca="false">IF(B88="","",IFERROR(INDEX('Kitting Plan'!$D$5:$D$18,MATCH(B88,'Kitting Plan'!$C$5:$C$18,0)),"Unknown code"))</f>
        <v>R5B ERBIUM SPOOL ASSEMBLY - E2A</v>
      </c>
      <c r="D88" s="54" t="str">
        <f aca="false">IF(B88="","",IFERROR(INDEX('Kitting Plan'!$B$5:$B$18,MATCH(B88,'Kitting Plan'!$C$5:$C$18,0)),""))</f>
        <v>ERBIUM ASSY</v>
      </c>
      <c r="E88" s="45"/>
      <c r="F88" s="55" t="n">
        <f aca="false">IF(B88="","",IFERROR(INDEX('Kitting Plan'!$H$5:$H$18,MATCH(B88,'Kitting Plan'!$C$5:$C$18,0)),""))</f>
        <v>24</v>
      </c>
      <c r="G88" s="45" t="n">
        <v>1</v>
      </c>
      <c r="H88" s="56" t="n">
        <f aca="false">IF(B88="","",IF(G88="",F88,G88))</f>
        <v>1</v>
      </c>
      <c r="I88" s="45" t="s">
        <v>29</v>
      </c>
      <c r="J88" s="57" t="n">
        <v>46176</v>
      </c>
      <c r="K88" s="46" t="s">
        <v>104</v>
      </c>
      <c r="L88" s="54" t="str">
        <f aca="false">IF(A88="","",IF(B88="","Missing code",IF(C88="Unknown code","Unknown code",IF(COUNTIF($A$6:$A$1005,A88)&gt;1,"Duplicate WO",""))))</f>
        <v/>
      </c>
    </row>
    <row r="89" customFormat="false" ht="23.85" hidden="false" customHeight="false" outlineLevel="0" collapsed="false">
      <c r="A89" s="53" t="n">
        <v>100865016</v>
      </c>
      <c r="B89" s="46" t="s">
        <v>63</v>
      </c>
      <c r="C89" s="54" t="str">
        <f aca="false">IF(B89="","",IFERROR(INDEX('Kitting Plan'!$D$5:$D$18,MATCH(B89,'Kitting Plan'!$C$5:$C$18,0)),"Unknown code"))</f>
        <v>R5B ERBIUM SPOOL ASSEMBLY - E2A</v>
      </c>
      <c r="D89" s="54" t="str">
        <f aca="false">IF(B89="","",IFERROR(INDEX('Kitting Plan'!$B$5:$B$18,MATCH(B89,'Kitting Plan'!$C$5:$C$18,0)),""))</f>
        <v>ERBIUM ASSY</v>
      </c>
      <c r="E89" s="45"/>
      <c r="F89" s="55" t="n">
        <f aca="false">IF(B89="","",IFERROR(INDEX('Kitting Plan'!$H$5:$H$18,MATCH(B89,'Kitting Plan'!$C$5:$C$18,0)),""))</f>
        <v>24</v>
      </c>
      <c r="G89" s="45" t="n">
        <v>1</v>
      </c>
      <c r="H89" s="56" t="n">
        <f aca="false">IF(B89="","",IF(G89="",F89,G89))</f>
        <v>1</v>
      </c>
      <c r="I89" s="45" t="s">
        <v>29</v>
      </c>
      <c r="J89" s="57" t="n">
        <v>46176</v>
      </c>
      <c r="K89" s="46" t="s">
        <v>104</v>
      </c>
      <c r="L89" s="54" t="str">
        <f aca="false">IF(A89="","",IF(B89="","Missing code",IF(C89="Unknown code","Unknown code",IF(COUNTIF($A$6:$A$1005,A89)&gt;1,"Duplicate WO",""))))</f>
        <v/>
      </c>
    </row>
    <row r="90" customFormat="false" ht="23.85" hidden="false" customHeight="false" outlineLevel="0" collapsed="false">
      <c r="A90" s="53" t="n">
        <v>100865017</v>
      </c>
      <c r="B90" s="46" t="s">
        <v>63</v>
      </c>
      <c r="C90" s="54" t="str">
        <f aca="false">IF(B90="","",IFERROR(INDEX('Kitting Plan'!$D$5:$D$18,MATCH(B90,'Kitting Plan'!$C$5:$C$18,0)),"Unknown code"))</f>
        <v>R5B ERBIUM SPOOL ASSEMBLY - E2A</v>
      </c>
      <c r="D90" s="54" t="str">
        <f aca="false">IF(B90="","",IFERROR(INDEX('Kitting Plan'!$B$5:$B$18,MATCH(B90,'Kitting Plan'!$C$5:$C$18,0)),""))</f>
        <v>ERBIUM ASSY</v>
      </c>
      <c r="E90" s="45"/>
      <c r="F90" s="55" t="n">
        <f aca="false">IF(B90="","",IFERROR(INDEX('Kitting Plan'!$H$5:$H$18,MATCH(B90,'Kitting Plan'!$C$5:$C$18,0)),""))</f>
        <v>24</v>
      </c>
      <c r="G90" s="45" t="n">
        <v>1</v>
      </c>
      <c r="H90" s="56" t="n">
        <f aca="false">IF(B90="","",IF(G90="",F90,G90))</f>
        <v>1</v>
      </c>
      <c r="I90" s="45" t="s">
        <v>29</v>
      </c>
      <c r="J90" s="57" t="n">
        <v>46176</v>
      </c>
      <c r="K90" s="46" t="s">
        <v>104</v>
      </c>
      <c r="L90" s="54" t="str">
        <f aca="false">IF(A90="","",IF(B90="","Missing code",IF(C90="Unknown code","Unknown code",IF(COUNTIF($A$6:$A$1005,A90)&gt;1,"Duplicate WO",""))))</f>
        <v/>
      </c>
    </row>
    <row r="91" customFormat="false" ht="23.85" hidden="false" customHeight="false" outlineLevel="0" collapsed="false">
      <c r="A91" s="53" t="n">
        <v>100865018</v>
      </c>
      <c r="B91" s="46" t="s">
        <v>63</v>
      </c>
      <c r="C91" s="54" t="str">
        <f aca="false">IF(B91="","",IFERROR(INDEX('Kitting Plan'!$D$5:$D$18,MATCH(B91,'Kitting Plan'!$C$5:$C$18,0)),"Unknown code"))</f>
        <v>R5B ERBIUM SPOOL ASSEMBLY - E2A</v>
      </c>
      <c r="D91" s="54" t="str">
        <f aca="false">IF(B91="","",IFERROR(INDEX('Kitting Plan'!$B$5:$B$18,MATCH(B91,'Kitting Plan'!$C$5:$C$18,0)),""))</f>
        <v>ERBIUM ASSY</v>
      </c>
      <c r="E91" s="45"/>
      <c r="F91" s="55" t="n">
        <f aca="false">IF(B91="","",IFERROR(INDEX('Kitting Plan'!$H$5:$H$18,MATCH(B91,'Kitting Plan'!$C$5:$C$18,0)),""))</f>
        <v>24</v>
      </c>
      <c r="G91" s="45" t="n">
        <v>1</v>
      </c>
      <c r="H91" s="56" t="n">
        <f aca="false">IF(B91="","",IF(G91="",F91,G91))</f>
        <v>1</v>
      </c>
      <c r="I91" s="45" t="s">
        <v>29</v>
      </c>
      <c r="J91" s="57" t="n">
        <v>46176</v>
      </c>
      <c r="K91" s="46" t="s">
        <v>104</v>
      </c>
      <c r="L91" s="54" t="str">
        <f aca="false">IF(A91="","",IF(B91="","Missing code",IF(C91="Unknown code","Unknown code",IF(COUNTIF($A$6:$A$1005,A91)&gt;1,"Duplicate WO",""))))</f>
        <v/>
      </c>
    </row>
    <row r="92" customFormat="false" ht="23.85" hidden="false" customHeight="false" outlineLevel="0" collapsed="false">
      <c r="A92" s="53" t="n">
        <v>100865019</v>
      </c>
      <c r="B92" s="46" t="s">
        <v>63</v>
      </c>
      <c r="C92" s="54" t="str">
        <f aca="false">IF(B92="","",IFERROR(INDEX('Kitting Plan'!$D$5:$D$18,MATCH(B92,'Kitting Plan'!$C$5:$C$18,0)),"Unknown code"))</f>
        <v>R5B ERBIUM SPOOL ASSEMBLY - E2A</v>
      </c>
      <c r="D92" s="54" t="str">
        <f aca="false">IF(B92="","",IFERROR(INDEX('Kitting Plan'!$B$5:$B$18,MATCH(B92,'Kitting Plan'!$C$5:$C$18,0)),""))</f>
        <v>ERBIUM ASSY</v>
      </c>
      <c r="E92" s="45"/>
      <c r="F92" s="55" t="n">
        <f aca="false">IF(B92="","",IFERROR(INDEX('Kitting Plan'!$H$5:$H$18,MATCH(B92,'Kitting Plan'!$C$5:$C$18,0)),""))</f>
        <v>24</v>
      </c>
      <c r="G92" s="45" t="n">
        <v>1</v>
      </c>
      <c r="H92" s="56" t="n">
        <f aca="false">IF(B92="","",IF(G92="",F92,G92))</f>
        <v>1</v>
      </c>
      <c r="I92" s="45" t="s">
        <v>29</v>
      </c>
      <c r="J92" s="57" t="n">
        <v>46176</v>
      </c>
      <c r="K92" s="46" t="s">
        <v>104</v>
      </c>
      <c r="L92" s="54" t="str">
        <f aca="false">IF(A92="","",IF(B92="","Missing code",IF(C92="Unknown code","Unknown code",IF(COUNTIF($A$6:$A$1005,A92)&gt;1,"Duplicate WO",""))))</f>
        <v/>
      </c>
    </row>
    <row r="93" customFormat="false" ht="23.85" hidden="false" customHeight="false" outlineLevel="0" collapsed="false">
      <c r="A93" s="53" t="n">
        <v>100865020</v>
      </c>
      <c r="B93" s="46" t="s">
        <v>63</v>
      </c>
      <c r="C93" s="54" t="str">
        <f aca="false">IF(B93="","",IFERROR(INDEX('Kitting Plan'!$D$5:$D$18,MATCH(B93,'Kitting Plan'!$C$5:$C$18,0)),"Unknown code"))</f>
        <v>R5B ERBIUM SPOOL ASSEMBLY - E2A</v>
      </c>
      <c r="D93" s="54" t="str">
        <f aca="false">IF(B93="","",IFERROR(INDEX('Kitting Plan'!$B$5:$B$18,MATCH(B93,'Kitting Plan'!$C$5:$C$18,0)),""))</f>
        <v>ERBIUM ASSY</v>
      </c>
      <c r="E93" s="45"/>
      <c r="F93" s="55" t="n">
        <f aca="false">IF(B93="","",IFERROR(INDEX('Kitting Plan'!$H$5:$H$18,MATCH(B93,'Kitting Plan'!$C$5:$C$18,0)),""))</f>
        <v>24</v>
      </c>
      <c r="G93" s="45" t="n">
        <v>1</v>
      </c>
      <c r="H93" s="56" t="n">
        <f aca="false">IF(B93="","",IF(G93="",F93,G93))</f>
        <v>1</v>
      </c>
      <c r="I93" s="45" t="s">
        <v>29</v>
      </c>
      <c r="J93" s="57" t="n">
        <v>46176</v>
      </c>
      <c r="K93" s="46" t="s">
        <v>104</v>
      </c>
      <c r="L93" s="54" t="str">
        <f aca="false">IF(A93="","",IF(B93="","Missing code",IF(C93="Unknown code","Unknown code",IF(COUNTIF($A$6:$A$1005,A93)&gt;1,"Duplicate WO",""))))</f>
        <v/>
      </c>
    </row>
    <row r="94" customFormat="false" ht="23.85" hidden="false" customHeight="false" outlineLevel="0" collapsed="false">
      <c r="A94" s="53" t="n">
        <v>100865021</v>
      </c>
      <c r="B94" s="46" t="s">
        <v>63</v>
      </c>
      <c r="C94" s="54" t="str">
        <f aca="false">IF(B94="","",IFERROR(INDEX('Kitting Plan'!$D$5:$D$18,MATCH(B94,'Kitting Plan'!$C$5:$C$18,0)),"Unknown code"))</f>
        <v>R5B ERBIUM SPOOL ASSEMBLY - E2A</v>
      </c>
      <c r="D94" s="54" t="str">
        <f aca="false">IF(B94="","",IFERROR(INDEX('Kitting Plan'!$B$5:$B$18,MATCH(B94,'Kitting Plan'!$C$5:$C$18,0)),""))</f>
        <v>ERBIUM ASSY</v>
      </c>
      <c r="E94" s="45"/>
      <c r="F94" s="55" t="n">
        <f aca="false">IF(B94="","",IFERROR(INDEX('Kitting Plan'!$H$5:$H$18,MATCH(B94,'Kitting Plan'!$C$5:$C$18,0)),""))</f>
        <v>24</v>
      </c>
      <c r="G94" s="45" t="n">
        <v>1</v>
      </c>
      <c r="H94" s="56" t="n">
        <f aca="false">IF(B94="","",IF(G94="",F94,G94))</f>
        <v>1</v>
      </c>
      <c r="I94" s="45" t="s">
        <v>29</v>
      </c>
      <c r="J94" s="57" t="n">
        <v>46176</v>
      </c>
      <c r="K94" s="46" t="s">
        <v>104</v>
      </c>
      <c r="L94" s="54" t="str">
        <f aca="false">IF(A94="","",IF(B94="","Missing code",IF(C94="Unknown code","Unknown code",IF(COUNTIF($A$6:$A$1005,A94)&gt;1,"Duplicate WO",""))))</f>
        <v/>
      </c>
    </row>
    <row r="95" customFormat="false" ht="23.85" hidden="false" customHeight="false" outlineLevel="0" collapsed="false">
      <c r="A95" s="53" t="n">
        <v>100865022</v>
      </c>
      <c r="B95" s="46" t="s">
        <v>63</v>
      </c>
      <c r="C95" s="54" t="str">
        <f aca="false">IF(B95="","",IFERROR(INDEX('Kitting Plan'!$D$5:$D$18,MATCH(B95,'Kitting Plan'!$C$5:$C$18,0)),"Unknown code"))</f>
        <v>R5B ERBIUM SPOOL ASSEMBLY - E2A</v>
      </c>
      <c r="D95" s="54" t="str">
        <f aca="false">IF(B95="","",IFERROR(INDEX('Kitting Plan'!$B$5:$B$18,MATCH(B95,'Kitting Plan'!$C$5:$C$18,0)),""))</f>
        <v>ERBIUM ASSY</v>
      </c>
      <c r="E95" s="45"/>
      <c r="F95" s="55" t="n">
        <f aca="false">IF(B95="","",IFERROR(INDEX('Kitting Plan'!$H$5:$H$18,MATCH(B95,'Kitting Plan'!$C$5:$C$18,0)),""))</f>
        <v>24</v>
      </c>
      <c r="G95" s="45" t="n">
        <v>1</v>
      </c>
      <c r="H95" s="56" t="n">
        <f aca="false">IF(B95="","",IF(G95="",F95,G95))</f>
        <v>1</v>
      </c>
      <c r="I95" s="45" t="s">
        <v>29</v>
      </c>
      <c r="J95" s="57" t="n">
        <v>46176</v>
      </c>
      <c r="K95" s="46" t="s">
        <v>104</v>
      </c>
      <c r="L95" s="54" t="str">
        <f aca="false">IF(A95="","",IF(B95="","Missing code",IF(C95="Unknown code","Unknown code",IF(COUNTIF($A$6:$A$1005,A95)&gt;1,"Duplicate WO",""))))</f>
        <v/>
      </c>
    </row>
    <row r="96" customFormat="false" ht="23.85" hidden="false" customHeight="false" outlineLevel="0" collapsed="false">
      <c r="A96" s="53" t="n">
        <v>100865023</v>
      </c>
      <c r="B96" s="46" t="s">
        <v>63</v>
      </c>
      <c r="C96" s="54" t="str">
        <f aca="false">IF(B96="","",IFERROR(INDEX('Kitting Plan'!$D$5:$D$18,MATCH(B96,'Kitting Plan'!$C$5:$C$18,0)),"Unknown code"))</f>
        <v>R5B ERBIUM SPOOL ASSEMBLY - E2A</v>
      </c>
      <c r="D96" s="54" t="str">
        <f aca="false">IF(B96="","",IFERROR(INDEX('Kitting Plan'!$B$5:$B$18,MATCH(B96,'Kitting Plan'!$C$5:$C$18,0)),""))</f>
        <v>ERBIUM ASSY</v>
      </c>
      <c r="E96" s="45"/>
      <c r="F96" s="55" t="n">
        <f aca="false">IF(B96="","",IFERROR(INDEX('Kitting Plan'!$H$5:$H$18,MATCH(B96,'Kitting Plan'!$C$5:$C$18,0)),""))</f>
        <v>24</v>
      </c>
      <c r="G96" s="45" t="n">
        <v>1</v>
      </c>
      <c r="H96" s="56" t="n">
        <f aca="false">IF(B96="","",IF(G96="",F96,G96))</f>
        <v>1</v>
      </c>
      <c r="I96" s="45" t="s">
        <v>29</v>
      </c>
      <c r="J96" s="57" t="n">
        <v>46176</v>
      </c>
      <c r="K96" s="46" t="s">
        <v>104</v>
      </c>
      <c r="L96" s="54" t="str">
        <f aca="false">IF(A96="","",IF(B96="","Missing code",IF(C96="Unknown code","Unknown code",IF(COUNTIF($A$6:$A$1005,A96)&gt;1,"Duplicate WO",""))))</f>
        <v/>
      </c>
    </row>
    <row r="97" customFormat="false" ht="23.85" hidden="false" customHeight="false" outlineLevel="0" collapsed="false">
      <c r="A97" s="53" t="n">
        <v>100865024</v>
      </c>
      <c r="B97" s="46" t="s">
        <v>63</v>
      </c>
      <c r="C97" s="54" t="str">
        <f aca="false">IF(B97="","",IFERROR(INDEX('Kitting Plan'!$D$5:$D$18,MATCH(B97,'Kitting Plan'!$C$5:$C$18,0)),"Unknown code"))</f>
        <v>R5B ERBIUM SPOOL ASSEMBLY - E2A</v>
      </c>
      <c r="D97" s="54" t="str">
        <f aca="false">IF(B97="","",IFERROR(INDEX('Kitting Plan'!$B$5:$B$18,MATCH(B97,'Kitting Plan'!$C$5:$C$18,0)),""))</f>
        <v>ERBIUM ASSY</v>
      </c>
      <c r="E97" s="45"/>
      <c r="F97" s="55" t="n">
        <f aca="false">IF(B97="","",IFERROR(INDEX('Kitting Plan'!$H$5:$H$18,MATCH(B97,'Kitting Plan'!$C$5:$C$18,0)),""))</f>
        <v>24</v>
      </c>
      <c r="G97" s="45" t="n">
        <v>1</v>
      </c>
      <c r="H97" s="56" t="n">
        <f aca="false">IF(B97="","",IF(G97="",F97,G97))</f>
        <v>1</v>
      </c>
      <c r="I97" s="45" t="s">
        <v>29</v>
      </c>
      <c r="J97" s="57" t="n">
        <v>46176</v>
      </c>
      <c r="K97" s="46" t="s">
        <v>104</v>
      </c>
      <c r="L97" s="54" t="str">
        <f aca="false">IF(A97="","",IF(B97="","Missing code",IF(C97="Unknown code","Unknown code",IF(COUNTIF($A$6:$A$1005,A97)&gt;1,"Duplicate WO",""))))</f>
        <v/>
      </c>
    </row>
    <row r="98" customFormat="false" ht="23.85" hidden="false" customHeight="false" outlineLevel="0" collapsed="false">
      <c r="A98" s="53" t="n">
        <v>100865326</v>
      </c>
      <c r="B98" s="46" t="s">
        <v>63</v>
      </c>
      <c r="C98" s="54" t="str">
        <f aca="false">IF(B98="","",IFERROR(INDEX('Kitting Plan'!$D$5:$D$18,MATCH(B98,'Kitting Plan'!$C$5:$C$18,0)),"Unknown code"))</f>
        <v>R5B ERBIUM SPOOL ASSEMBLY - E2A</v>
      </c>
      <c r="D98" s="54" t="str">
        <f aca="false">IF(B98="","",IFERROR(INDEX('Kitting Plan'!$B$5:$B$18,MATCH(B98,'Kitting Plan'!$C$5:$C$18,0)),""))</f>
        <v>ERBIUM ASSY</v>
      </c>
      <c r="E98" s="45"/>
      <c r="F98" s="55" t="n">
        <f aca="false">IF(B98="","",IFERROR(INDEX('Kitting Plan'!$H$5:$H$18,MATCH(B98,'Kitting Plan'!$C$5:$C$18,0)),""))</f>
        <v>24</v>
      </c>
      <c r="G98" s="45" t="n">
        <v>1</v>
      </c>
      <c r="H98" s="56" t="n">
        <f aca="false">IF(B98="","",IF(G98="",F98,G98))</f>
        <v>1</v>
      </c>
      <c r="I98" s="45" t="s">
        <v>29</v>
      </c>
      <c r="J98" s="57" t="n">
        <v>46177</v>
      </c>
      <c r="K98" s="46" t="s">
        <v>104</v>
      </c>
      <c r="L98" s="54" t="str">
        <f aca="false">IF(A98="","",IF(B98="","Missing code",IF(C98="Unknown code","Unknown code",IF(COUNTIF($A$6:$A$1005,A98)&gt;1,"Duplicate WO",""))))</f>
        <v/>
      </c>
    </row>
    <row r="99" customFormat="false" ht="23.85" hidden="false" customHeight="false" outlineLevel="0" collapsed="false">
      <c r="A99" s="53" t="n">
        <v>100865327</v>
      </c>
      <c r="B99" s="46" t="s">
        <v>63</v>
      </c>
      <c r="C99" s="54" t="str">
        <f aca="false">IF(B99="","",IFERROR(INDEX('Kitting Plan'!$D$5:$D$18,MATCH(B99,'Kitting Plan'!$C$5:$C$18,0)),"Unknown code"))</f>
        <v>R5B ERBIUM SPOOL ASSEMBLY - E2A</v>
      </c>
      <c r="D99" s="54" t="str">
        <f aca="false">IF(B99="","",IFERROR(INDEX('Kitting Plan'!$B$5:$B$18,MATCH(B99,'Kitting Plan'!$C$5:$C$18,0)),""))</f>
        <v>ERBIUM ASSY</v>
      </c>
      <c r="E99" s="45"/>
      <c r="F99" s="55" t="n">
        <f aca="false">IF(B99="","",IFERROR(INDEX('Kitting Plan'!$H$5:$H$18,MATCH(B99,'Kitting Plan'!$C$5:$C$18,0)),""))</f>
        <v>24</v>
      </c>
      <c r="G99" s="45" t="n">
        <v>1</v>
      </c>
      <c r="H99" s="56" t="n">
        <f aca="false">IF(B99="","",IF(G99="",F99,G99))</f>
        <v>1</v>
      </c>
      <c r="I99" s="45" t="s">
        <v>29</v>
      </c>
      <c r="J99" s="57" t="n">
        <v>46177</v>
      </c>
      <c r="K99" s="46" t="s">
        <v>104</v>
      </c>
      <c r="L99" s="54" t="str">
        <f aca="false">IF(A99="","",IF(B99="","Missing code",IF(C99="Unknown code","Unknown code",IF(COUNTIF($A$6:$A$1005,A99)&gt;1,"Duplicate WO",""))))</f>
        <v/>
      </c>
    </row>
    <row r="100" customFormat="false" ht="23.85" hidden="false" customHeight="false" outlineLevel="0" collapsed="false">
      <c r="A100" s="53" t="n">
        <v>100865481</v>
      </c>
      <c r="B100" s="46" t="s">
        <v>63</v>
      </c>
      <c r="C100" s="54" t="str">
        <f aca="false">IF(B100="","",IFERROR(INDEX('Kitting Plan'!$D$5:$D$18,MATCH(B100,'Kitting Plan'!$C$5:$C$18,0)),"Unknown code"))</f>
        <v>R5B ERBIUM SPOOL ASSEMBLY - E2A</v>
      </c>
      <c r="D100" s="54" t="str">
        <f aca="false">IF(B100="","",IFERROR(INDEX('Kitting Plan'!$B$5:$B$18,MATCH(B100,'Kitting Plan'!$C$5:$C$18,0)),""))</f>
        <v>ERBIUM ASSY</v>
      </c>
      <c r="E100" s="45"/>
      <c r="F100" s="55" t="n">
        <f aca="false">IF(B100="","",IFERROR(INDEX('Kitting Plan'!$H$5:$H$18,MATCH(B100,'Kitting Plan'!$C$5:$C$18,0)),""))</f>
        <v>24</v>
      </c>
      <c r="G100" s="45" t="n">
        <v>1</v>
      </c>
      <c r="H100" s="56" t="n">
        <f aca="false">IF(B100="","",IF(G100="",F100,G100))</f>
        <v>1</v>
      </c>
      <c r="I100" s="45" t="s">
        <v>29</v>
      </c>
      <c r="J100" s="57" t="n">
        <v>46179</v>
      </c>
      <c r="K100" s="46" t="s">
        <v>104</v>
      </c>
      <c r="L100" s="54" t="str">
        <f aca="false">IF(A100="","",IF(B100="","Missing code",IF(C100="Unknown code","Unknown code",IF(COUNTIF($A$6:$A$1005,A100)&gt;1,"Duplicate WO",""))))</f>
        <v/>
      </c>
    </row>
    <row r="101" customFormat="false" ht="23.85" hidden="false" customHeight="false" outlineLevel="0" collapsed="false">
      <c r="A101" s="53" t="n">
        <v>100865482</v>
      </c>
      <c r="B101" s="46" t="s">
        <v>63</v>
      </c>
      <c r="C101" s="54" t="str">
        <f aca="false">IF(B101="","",IFERROR(INDEX('Kitting Plan'!$D$5:$D$18,MATCH(B101,'Kitting Plan'!$C$5:$C$18,0)),"Unknown code"))</f>
        <v>R5B ERBIUM SPOOL ASSEMBLY - E2A</v>
      </c>
      <c r="D101" s="54" t="str">
        <f aca="false">IF(B101="","",IFERROR(INDEX('Kitting Plan'!$B$5:$B$18,MATCH(B101,'Kitting Plan'!$C$5:$C$18,0)),""))</f>
        <v>ERBIUM ASSY</v>
      </c>
      <c r="E101" s="45"/>
      <c r="F101" s="55" t="n">
        <f aca="false">IF(B101="","",IFERROR(INDEX('Kitting Plan'!$H$5:$H$18,MATCH(B101,'Kitting Plan'!$C$5:$C$18,0)),""))</f>
        <v>24</v>
      </c>
      <c r="G101" s="45" t="n">
        <v>1</v>
      </c>
      <c r="H101" s="56" t="n">
        <f aca="false">IF(B101="","",IF(G101="",F101,G101))</f>
        <v>1</v>
      </c>
      <c r="I101" s="45" t="s">
        <v>29</v>
      </c>
      <c r="J101" s="57" t="n">
        <v>46179</v>
      </c>
      <c r="K101" s="46" t="s">
        <v>104</v>
      </c>
      <c r="L101" s="54" t="str">
        <f aca="false">IF(A101="","",IF(B101="","Missing code",IF(C101="Unknown code","Unknown code",IF(COUNTIF($A$6:$A$1005,A101)&gt;1,"Duplicate WO",""))))</f>
        <v/>
      </c>
    </row>
    <row r="102" customFormat="false" ht="23.85" hidden="false" customHeight="false" outlineLevel="0" collapsed="false">
      <c r="A102" s="53" t="n">
        <v>100865485</v>
      </c>
      <c r="B102" s="46" t="s">
        <v>63</v>
      </c>
      <c r="C102" s="54" t="str">
        <f aca="false">IF(B102="","",IFERROR(INDEX('Kitting Plan'!$D$5:$D$18,MATCH(B102,'Kitting Plan'!$C$5:$C$18,0)),"Unknown code"))</f>
        <v>R5B ERBIUM SPOOL ASSEMBLY - E2A</v>
      </c>
      <c r="D102" s="54" t="str">
        <f aca="false">IF(B102="","",IFERROR(INDEX('Kitting Plan'!$B$5:$B$18,MATCH(B102,'Kitting Plan'!$C$5:$C$18,0)),""))</f>
        <v>ERBIUM ASSY</v>
      </c>
      <c r="E102" s="45"/>
      <c r="F102" s="55" t="n">
        <f aca="false">IF(B102="","",IFERROR(INDEX('Kitting Plan'!$H$5:$H$18,MATCH(B102,'Kitting Plan'!$C$5:$C$18,0)),""))</f>
        <v>24</v>
      </c>
      <c r="G102" s="45" t="n">
        <v>1</v>
      </c>
      <c r="H102" s="56" t="n">
        <f aca="false">IF(B102="","",IF(G102="",F102,G102))</f>
        <v>1</v>
      </c>
      <c r="I102" s="45" t="s">
        <v>29</v>
      </c>
      <c r="J102" s="57" t="n">
        <v>46180</v>
      </c>
      <c r="K102" s="46" t="s">
        <v>104</v>
      </c>
      <c r="L102" s="54" t="str">
        <f aca="false">IF(A102="","",IF(B102="","Missing code",IF(C102="Unknown code","Unknown code",IF(COUNTIF($A$6:$A$1005,A102)&gt;1,"Duplicate WO",""))))</f>
        <v/>
      </c>
    </row>
    <row r="103" customFormat="false" ht="23.85" hidden="false" customHeight="false" outlineLevel="0" collapsed="false">
      <c r="A103" s="53" t="n">
        <v>100865486</v>
      </c>
      <c r="B103" s="46" t="s">
        <v>63</v>
      </c>
      <c r="C103" s="54" t="str">
        <f aca="false">IF(B103="","",IFERROR(INDEX('Kitting Plan'!$D$5:$D$18,MATCH(B103,'Kitting Plan'!$C$5:$C$18,0)),"Unknown code"))</f>
        <v>R5B ERBIUM SPOOL ASSEMBLY - E2A</v>
      </c>
      <c r="D103" s="54" t="str">
        <f aca="false">IF(B103="","",IFERROR(INDEX('Kitting Plan'!$B$5:$B$18,MATCH(B103,'Kitting Plan'!$C$5:$C$18,0)),""))</f>
        <v>ERBIUM ASSY</v>
      </c>
      <c r="E103" s="45"/>
      <c r="F103" s="55" t="n">
        <f aca="false">IF(B103="","",IFERROR(INDEX('Kitting Plan'!$H$5:$H$18,MATCH(B103,'Kitting Plan'!$C$5:$C$18,0)),""))</f>
        <v>24</v>
      </c>
      <c r="G103" s="45" t="n">
        <v>1</v>
      </c>
      <c r="H103" s="56" t="n">
        <f aca="false">IF(B103="","",IF(G103="",F103,G103))</f>
        <v>1</v>
      </c>
      <c r="I103" s="45" t="s">
        <v>29</v>
      </c>
      <c r="J103" s="57" t="n">
        <v>46180</v>
      </c>
      <c r="K103" s="46" t="s">
        <v>104</v>
      </c>
      <c r="L103" s="54" t="str">
        <f aca="false">IF(A103="","",IF(B103="","Missing code",IF(C103="Unknown code","Unknown code",IF(COUNTIF($A$6:$A$1005,A103)&gt;1,"Duplicate WO",""))))</f>
        <v/>
      </c>
    </row>
    <row r="104" customFormat="false" ht="23.85" hidden="false" customHeight="false" outlineLevel="0" collapsed="false">
      <c r="A104" s="53" t="n">
        <v>100865487</v>
      </c>
      <c r="B104" s="46" t="s">
        <v>63</v>
      </c>
      <c r="C104" s="54" t="str">
        <f aca="false">IF(B104="","",IFERROR(INDEX('Kitting Plan'!$D$5:$D$18,MATCH(B104,'Kitting Plan'!$C$5:$C$18,0)),"Unknown code"))</f>
        <v>R5B ERBIUM SPOOL ASSEMBLY - E2A</v>
      </c>
      <c r="D104" s="54" t="str">
        <f aca="false">IF(B104="","",IFERROR(INDEX('Kitting Plan'!$B$5:$B$18,MATCH(B104,'Kitting Plan'!$C$5:$C$18,0)),""))</f>
        <v>ERBIUM ASSY</v>
      </c>
      <c r="E104" s="45"/>
      <c r="F104" s="55" t="n">
        <f aca="false">IF(B104="","",IFERROR(INDEX('Kitting Plan'!$H$5:$H$18,MATCH(B104,'Kitting Plan'!$C$5:$C$18,0)),""))</f>
        <v>24</v>
      </c>
      <c r="G104" s="45" t="n">
        <v>1</v>
      </c>
      <c r="H104" s="56" t="n">
        <f aca="false">IF(B104="","",IF(G104="",F104,G104))</f>
        <v>1</v>
      </c>
      <c r="I104" s="45" t="s">
        <v>29</v>
      </c>
      <c r="J104" s="57" t="n">
        <v>46180</v>
      </c>
      <c r="K104" s="46" t="s">
        <v>104</v>
      </c>
      <c r="L104" s="54" t="str">
        <f aca="false">IF(A104="","",IF(B104="","Missing code",IF(C104="Unknown code","Unknown code",IF(COUNTIF($A$6:$A$1005,A104)&gt;1,"Duplicate WO",""))))</f>
        <v/>
      </c>
    </row>
    <row r="105" customFormat="false" ht="23.85" hidden="false" customHeight="false" outlineLevel="0" collapsed="false">
      <c r="A105" s="53" t="n">
        <v>100865488</v>
      </c>
      <c r="B105" s="46" t="s">
        <v>63</v>
      </c>
      <c r="C105" s="54" t="str">
        <f aca="false">IF(B105="","",IFERROR(INDEX('Kitting Plan'!$D$5:$D$18,MATCH(B105,'Kitting Plan'!$C$5:$C$18,0)),"Unknown code"))</f>
        <v>R5B ERBIUM SPOOL ASSEMBLY - E2A</v>
      </c>
      <c r="D105" s="54" t="str">
        <f aca="false">IF(B105="","",IFERROR(INDEX('Kitting Plan'!$B$5:$B$18,MATCH(B105,'Kitting Plan'!$C$5:$C$18,0)),""))</f>
        <v>ERBIUM ASSY</v>
      </c>
      <c r="E105" s="45"/>
      <c r="F105" s="55" t="n">
        <f aca="false">IF(B105="","",IFERROR(INDEX('Kitting Plan'!$H$5:$H$18,MATCH(B105,'Kitting Plan'!$C$5:$C$18,0)),""))</f>
        <v>24</v>
      </c>
      <c r="G105" s="45" t="n">
        <v>1</v>
      </c>
      <c r="H105" s="56" t="n">
        <f aca="false">IF(B105="","",IF(G105="",F105,G105))</f>
        <v>1</v>
      </c>
      <c r="I105" s="45" t="s">
        <v>29</v>
      </c>
      <c r="J105" s="57" t="n">
        <v>46180</v>
      </c>
      <c r="K105" s="46" t="s">
        <v>104</v>
      </c>
      <c r="L105" s="54" t="str">
        <f aca="false">IF(A105="","",IF(B105="","Missing code",IF(C105="Unknown code","Unknown code",IF(COUNTIF($A$6:$A$1005,A105)&gt;1,"Duplicate WO",""))))</f>
        <v/>
      </c>
    </row>
    <row r="106" customFormat="false" ht="23.85" hidden="false" customHeight="false" outlineLevel="0" collapsed="false">
      <c r="A106" s="53" t="n">
        <v>100865489</v>
      </c>
      <c r="B106" s="46" t="s">
        <v>63</v>
      </c>
      <c r="C106" s="54" t="str">
        <f aca="false">IF(B106="","",IFERROR(INDEX('Kitting Plan'!$D$5:$D$18,MATCH(B106,'Kitting Plan'!$C$5:$C$18,0)),"Unknown code"))</f>
        <v>R5B ERBIUM SPOOL ASSEMBLY - E2A</v>
      </c>
      <c r="D106" s="54" t="str">
        <f aca="false">IF(B106="","",IFERROR(INDEX('Kitting Plan'!$B$5:$B$18,MATCH(B106,'Kitting Plan'!$C$5:$C$18,0)),""))</f>
        <v>ERBIUM ASSY</v>
      </c>
      <c r="E106" s="45"/>
      <c r="F106" s="55" t="n">
        <f aca="false">IF(B106="","",IFERROR(INDEX('Kitting Plan'!$H$5:$H$18,MATCH(B106,'Kitting Plan'!$C$5:$C$18,0)),""))</f>
        <v>24</v>
      </c>
      <c r="G106" s="45" t="n">
        <v>1</v>
      </c>
      <c r="H106" s="56" t="n">
        <f aca="false">IF(B106="","",IF(G106="",F106,G106))</f>
        <v>1</v>
      </c>
      <c r="I106" s="45" t="s">
        <v>29</v>
      </c>
      <c r="J106" s="57" t="n">
        <v>46180</v>
      </c>
      <c r="K106" s="46" t="s">
        <v>104</v>
      </c>
      <c r="L106" s="54" t="str">
        <f aca="false">IF(A106="","",IF(B106="","Missing code",IF(C106="Unknown code","Unknown code",IF(COUNTIF($A$6:$A$1005,A106)&gt;1,"Duplicate WO",""))))</f>
        <v/>
      </c>
    </row>
    <row r="107" customFormat="false" ht="23.85" hidden="false" customHeight="false" outlineLevel="0" collapsed="false">
      <c r="A107" s="53" t="n">
        <v>100866548</v>
      </c>
      <c r="B107" s="46" t="s">
        <v>63</v>
      </c>
      <c r="C107" s="54" t="str">
        <f aca="false">IF(B107="","",IFERROR(INDEX('Kitting Plan'!$D$5:$D$18,MATCH(B107,'Kitting Plan'!$C$5:$C$18,0)),"Unknown code"))</f>
        <v>R5B ERBIUM SPOOL ASSEMBLY - E2A</v>
      </c>
      <c r="D107" s="54" t="str">
        <f aca="false">IF(B107="","",IFERROR(INDEX('Kitting Plan'!$B$5:$B$18,MATCH(B107,'Kitting Plan'!$C$5:$C$18,0)),""))</f>
        <v>ERBIUM ASSY</v>
      </c>
      <c r="E107" s="45"/>
      <c r="F107" s="55" t="n">
        <f aca="false">IF(B107="","",IFERROR(INDEX('Kitting Plan'!$H$5:$H$18,MATCH(B107,'Kitting Plan'!$C$5:$C$18,0)),""))</f>
        <v>24</v>
      </c>
      <c r="G107" s="45" t="n">
        <v>1</v>
      </c>
      <c r="H107" s="56" t="n">
        <f aca="false">IF(B107="","",IF(G107="",F107,G107))</f>
        <v>1</v>
      </c>
      <c r="I107" s="45" t="s">
        <v>29</v>
      </c>
      <c r="J107" s="57" t="n">
        <v>46187</v>
      </c>
      <c r="K107" s="46" t="s">
        <v>104</v>
      </c>
      <c r="L107" s="54" t="str">
        <f aca="false">IF(A107="","",IF(B107="","Missing code",IF(C107="Unknown code","Unknown code",IF(COUNTIF($A$6:$A$1005,A107)&gt;1,"Duplicate WO",""))))</f>
        <v/>
      </c>
    </row>
    <row r="108" customFormat="false" ht="23.85" hidden="false" customHeight="false" outlineLevel="0" collapsed="false">
      <c r="A108" s="53" t="n">
        <v>100866549</v>
      </c>
      <c r="B108" s="46" t="s">
        <v>63</v>
      </c>
      <c r="C108" s="54" t="str">
        <f aca="false">IF(B108="","",IFERROR(INDEX('Kitting Plan'!$D$5:$D$18,MATCH(B108,'Kitting Plan'!$C$5:$C$18,0)),"Unknown code"))</f>
        <v>R5B ERBIUM SPOOL ASSEMBLY - E2A</v>
      </c>
      <c r="D108" s="54" t="str">
        <f aca="false">IF(B108="","",IFERROR(INDEX('Kitting Plan'!$B$5:$B$18,MATCH(B108,'Kitting Plan'!$C$5:$C$18,0)),""))</f>
        <v>ERBIUM ASSY</v>
      </c>
      <c r="E108" s="45"/>
      <c r="F108" s="55" t="n">
        <f aca="false">IF(B108="","",IFERROR(INDEX('Kitting Plan'!$H$5:$H$18,MATCH(B108,'Kitting Plan'!$C$5:$C$18,0)),""))</f>
        <v>24</v>
      </c>
      <c r="G108" s="45" t="n">
        <v>1</v>
      </c>
      <c r="H108" s="56" t="n">
        <f aca="false">IF(B108="","",IF(G108="",F108,G108))</f>
        <v>1</v>
      </c>
      <c r="I108" s="45" t="s">
        <v>29</v>
      </c>
      <c r="J108" s="57" t="n">
        <v>46187</v>
      </c>
      <c r="K108" s="46" t="s">
        <v>104</v>
      </c>
      <c r="L108" s="54" t="str">
        <f aca="false">IF(A108="","",IF(B108="","Missing code",IF(C108="Unknown code","Unknown code",IF(COUNTIF($A$6:$A$1005,A108)&gt;1,"Duplicate WO",""))))</f>
        <v/>
      </c>
    </row>
    <row r="109" customFormat="false" ht="23.85" hidden="false" customHeight="false" outlineLevel="0" collapsed="false">
      <c r="A109" s="53" t="n">
        <v>100869317</v>
      </c>
      <c r="B109" s="46" t="s">
        <v>63</v>
      </c>
      <c r="C109" s="54" t="str">
        <f aca="false">IF(B109="","",IFERROR(INDEX('Kitting Plan'!$D$5:$D$18,MATCH(B109,'Kitting Plan'!$C$5:$C$18,0)),"Unknown code"))</f>
        <v>R5B ERBIUM SPOOL ASSEMBLY - E2A</v>
      </c>
      <c r="D109" s="54" t="str">
        <f aca="false">IF(B109="","",IFERROR(INDEX('Kitting Plan'!$B$5:$B$18,MATCH(B109,'Kitting Plan'!$C$5:$C$18,0)),""))</f>
        <v>ERBIUM ASSY</v>
      </c>
      <c r="E109" s="45"/>
      <c r="F109" s="55" t="n">
        <f aca="false">IF(B109="","",IFERROR(INDEX('Kitting Plan'!$H$5:$H$18,MATCH(B109,'Kitting Plan'!$C$5:$C$18,0)),""))</f>
        <v>24</v>
      </c>
      <c r="G109" s="45" t="n">
        <v>1</v>
      </c>
      <c r="H109" s="56" t="n">
        <f aca="false">IF(B109="","",IF(G109="",F109,G109))</f>
        <v>1</v>
      </c>
      <c r="I109" s="45" t="s">
        <v>29</v>
      </c>
      <c r="J109" s="57" t="n">
        <v>46210</v>
      </c>
      <c r="K109" s="46" t="s">
        <v>104</v>
      </c>
      <c r="L109" s="54" t="str">
        <f aca="false">IF(A109="","",IF(B109="","Missing code",IF(C109="Unknown code","Unknown code",IF(COUNTIF($A$6:$A$1005,A109)&gt;1,"Duplicate WO",""))))</f>
        <v/>
      </c>
    </row>
    <row r="110" customFormat="false" ht="23.85" hidden="false" customHeight="false" outlineLevel="0" collapsed="false">
      <c r="A110" s="53" t="n">
        <v>100869318</v>
      </c>
      <c r="B110" s="46" t="s">
        <v>63</v>
      </c>
      <c r="C110" s="54" t="str">
        <f aca="false">IF(B110="","",IFERROR(INDEX('Kitting Plan'!$D$5:$D$18,MATCH(B110,'Kitting Plan'!$C$5:$C$18,0)),"Unknown code"))</f>
        <v>R5B ERBIUM SPOOL ASSEMBLY - E2A</v>
      </c>
      <c r="D110" s="54" t="str">
        <f aca="false">IF(B110="","",IFERROR(INDEX('Kitting Plan'!$B$5:$B$18,MATCH(B110,'Kitting Plan'!$C$5:$C$18,0)),""))</f>
        <v>ERBIUM ASSY</v>
      </c>
      <c r="E110" s="45"/>
      <c r="F110" s="55" t="n">
        <f aca="false">IF(B110="","",IFERROR(INDEX('Kitting Plan'!$H$5:$H$18,MATCH(B110,'Kitting Plan'!$C$5:$C$18,0)),""))</f>
        <v>24</v>
      </c>
      <c r="G110" s="45" t="n">
        <v>1</v>
      </c>
      <c r="H110" s="56" t="n">
        <f aca="false">IF(B110="","",IF(G110="",F110,G110))</f>
        <v>1</v>
      </c>
      <c r="I110" s="45" t="s">
        <v>29</v>
      </c>
      <c r="J110" s="57" t="n">
        <v>46210</v>
      </c>
      <c r="K110" s="46" t="s">
        <v>104</v>
      </c>
      <c r="L110" s="54" t="str">
        <f aca="false">IF(A110="","",IF(B110="","Missing code",IF(C110="Unknown code","Unknown code",IF(COUNTIF($A$6:$A$1005,A110)&gt;1,"Duplicate WO",""))))</f>
        <v/>
      </c>
    </row>
    <row r="111" customFormat="false" ht="23.85" hidden="false" customHeight="false" outlineLevel="0" collapsed="false">
      <c r="A111" s="53" t="n">
        <v>100870801</v>
      </c>
      <c r="B111" s="46" t="s">
        <v>63</v>
      </c>
      <c r="C111" s="54" t="str">
        <f aca="false">IF(B111="","",IFERROR(INDEX('Kitting Plan'!$D$5:$D$18,MATCH(B111,'Kitting Plan'!$C$5:$C$18,0)),"Unknown code"))</f>
        <v>R5B ERBIUM SPOOL ASSEMBLY - E2A</v>
      </c>
      <c r="D111" s="54" t="str">
        <f aca="false">IF(B111="","",IFERROR(INDEX('Kitting Plan'!$B$5:$B$18,MATCH(B111,'Kitting Plan'!$C$5:$C$18,0)),""))</f>
        <v>ERBIUM ASSY</v>
      </c>
      <c r="E111" s="45"/>
      <c r="F111" s="55" t="n">
        <f aca="false">IF(B111="","",IFERROR(INDEX('Kitting Plan'!$H$5:$H$18,MATCH(B111,'Kitting Plan'!$C$5:$C$18,0)),""))</f>
        <v>24</v>
      </c>
      <c r="G111" s="45" t="n">
        <v>1</v>
      </c>
      <c r="H111" s="56" t="n">
        <f aca="false">IF(B111="","",IF(G111="",F111,G111))</f>
        <v>1</v>
      </c>
      <c r="I111" s="45" t="s">
        <v>29</v>
      </c>
      <c r="J111" s="57" t="n">
        <v>46223</v>
      </c>
      <c r="K111" s="46" t="s">
        <v>104</v>
      </c>
      <c r="L111" s="54" t="str">
        <f aca="false">IF(A111="","",IF(B111="","Missing code",IF(C111="Unknown code","Unknown code",IF(COUNTIF($A$6:$A$1005,A111)&gt;1,"Duplicate WO",""))))</f>
        <v/>
      </c>
    </row>
    <row r="112" customFormat="false" ht="23.85" hidden="false" customHeight="false" outlineLevel="0" collapsed="false">
      <c r="A112" s="53" t="n">
        <v>100870802</v>
      </c>
      <c r="B112" s="46" t="s">
        <v>63</v>
      </c>
      <c r="C112" s="54" t="str">
        <f aca="false">IF(B112="","",IFERROR(INDEX('Kitting Plan'!$D$5:$D$18,MATCH(B112,'Kitting Plan'!$C$5:$C$18,0)),"Unknown code"))</f>
        <v>R5B ERBIUM SPOOL ASSEMBLY - E2A</v>
      </c>
      <c r="D112" s="54" t="str">
        <f aca="false">IF(B112="","",IFERROR(INDEX('Kitting Plan'!$B$5:$B$18,MATCH(B112,'Kitting Plan'!$C$5:$C$18,0)),""))</f>
        <v>ERBIUM ASSY</v>
      </c>
      <c r="E112" s="45"/>
      <c r="F112" s="55" t="n">
        <f aca="false">IF(B112="","",IFERROR(INDEX('Kitting Plan'!$H$5:$H$18,MATCH(B112,'Kitting Plan'!$C$5:$C$18,0)),""))</f>
        <v>24</v>
      </c>
      <c r="G112" s="45" t="n">
        <v>1</v>
      </c>
      <c r="H112" s="56" t="n">
        <f aca="false">IF(B112="","",IF(G112="",F112,G112))</f>
        <v>1</v>
      </c>
      <c r="I112" s="45" t="s">
        <v>29</v>
      </c>
      <c r="J112" s="57" t="n">
        <v>46223</v>
      </c>
      <c r="K112" s="46" t="s">
        <v>104</v>
      </c>
      <c r="L112" s="54" t="str">
        <f aca="false">IF(A112="","",IF(B112="","Missing code",IF(C112="Unknown code","Unknown code",IF(COUNTIF($A$6:$A$1005,A112)&gt;1,"Duplicate WO",""))))</f>
        <v/>
      </c>
    </row>
    <row r="113" customFormat="false" ht="23.85" hidden="false" customHeight="false" outlineLevel="0" collapsed="false">
      <c r="A113" s="53" t="n">
        <v>100870803</v>
      </c>
      <c r="B113" s="46" t="s">
        <v>63</v>
      </c>
      <c r="C113" s="54" t="str">
        <f aca="false">IF(B113="","",IFERROR(INDEX('Kitting Plan'!$D$5:$D$18,MATCH(B113,'Kitting Plan'!$C$5:$C$18,0)),"Unknown code"))</f>
        <v>R5B ERBIUM SPOOL ASSEMBLY - E2A</v>
      </c>
      <c r="D113" s="54" t="str">
        <f aca="false">IF(B113="","",IFERROR(INDEX('Kitting Plan'!$B$5:$B$18,MATCH(B113,'Kitting Plan'!$C$5:$C$18,0)),""))</f>
        <v>ERBIUM ASSY</v>
      </c>
      <c r="E113" s="45"/>
      <c r="F113" s="55" t="n">
        <f aca="false">IF(B113="","",IFERROR(INDEX('Kitting Plan'!$H$5:$H$18,MATCH(B113,'Kitting Plan'!$C$5:$C$18,0)),""))</f>
        <v>24</v>
      </c>
      <c r="G113" s="45" t="n">
        <v>1</v>
      </c>
      <c r="H113" s="56" t="n">
        <f aca="false">IF(B113="","",IF(G113="",F113,G113))</f>
        <v>1</v>
      </c>
      <c r="I113" s="45" t="s">
        <v>29</v>
      </c>
      <c r="J113" s="57" t="n">
        <v>46223</v>
      </c>
      <c r="K113" s="46" t="s">
        <v>104</v>
      </c>
      <c r="L113" s="54" t="str">
        <f aca="false">IF(A113="","",IF(B113="","Missing code",IF(C113="Unknown code","Unknown code",IF(COUNTIF($A$6:$A$1005,A113)&gt;1,"Duplicate WO",""))))</f>
        <v/>
      </c>
    </row>
    <row r="114" customFormat="false" ht="23.85" hidden="false" customHeight="false" outlineLevel="0" collapsed="false">
      <c r="A114" s="53" t="n">
        <v>100870804</v>
      </c>
      <c r="B114" s="46" t="s">
        <v>63</v>
      </c>
      <c r="C114" s="54" t="str">
        <f aca="false">IF(B114="","",IFERROR(INDEX('Kitting Plan'!$D$5:$D$18,MATCH(B114,'Kitting Plan'!$C$5:$C$18,0)),"Unknown code"))</f>
        <v>R5B ERBIUM SPOOL ASSEMBLY - E2A</v>
      </c>
      <c r="D114" s="54" t="str">
        <f aca="false">IF(B114="","",IFERROR(INDEX('Kitting Plan'!$B$5:$B$18,MATCH(B114,'Kitting Plan'!$C$5:$C$18,0)),""))</f>
        <v>ERBIUM ASSY</v>
      </c>
      <c r="E114" s="45"/>
      <c r="F114" s="55" t="n">
        <f aca="false">IF(B114="","",IFERROR(INDEX('Kitting Plan'!$H$5:$H$18,MATCH(B114,'Kitting Plan'!$C$5:$C$18,0)),""))</f>
        <v>24</v>
      </c>
      <c r="G114" s="45" t="n">
        <v>1</v>
      </c>
      <c r="H114" s="56" t="n">
        <f aca="false">IF(B114="","",IF(G114="",F114,G114))</f>
        <v>1</v>
      </c>
      <c r="I114" s="45" t="s">
        <v>29</v>
      </c>
      <c r="J114" s="57" t="n">
        <v>46223</v>
      </c>
      <c r="K114" s="46" t="s">
        <v>104</v>
      </c>
      <c r="L114" s="54" t="str">
        <f aca="false">IF(A114="","",IF(B114="","Missing code",IF(C114="Unknown code","Unknown code",IF(COUNTIF($A$6:$A$1005,A114)&gt;1,"Duplicate WO",""))))</f>
        <v/>
      </c>
    </row>
    <row r="115" customFormat="false" ht="23.85" hidden="false" customHeight="false" outlineLevel="0" collapsed="false">
      <c r="A115" s="53" t="n">
        <v>100870805</v>
      </c>
      <c r="B115" s="46" t="s">
        <v>63</v>
      </c>
      <c r="C115" s="54" t="str">
        <f aca="false">IF(B115="","",IFERROR(INDEX('Kitting Plan'!$D$5:$D$18,MATCH(B115,'Kitting Plan'!$C$5:$C$18,0)),"Unknown code"))</f>
        <v>R5B ERBIUM SPOOL ASSEMBLY - E2A</v>
      </c>
      <c r="D115" s="54" t="str">
        <f aca="false">IF(B115="","",IFERROR(INDEX('Kitting Plan'!$B$5:$B$18,MATCH(B115,'Kitting Plan'!$C$5:$C$18,0)),""))</f>
        <v>ERBIUM ASSY</v>
      </c>
      <c r="E115" s="45"/>
      <c r="F115" s="55" t="n">
        <f aca="false">IF(B115="","",IFERROR(INDEX('Kitting Plan'!$H$5:$H$18,MATCH(B115,'Kitting Plan'!$C$5:$C$18,0)),""))</f>
        <v>24</v>
      </c>
      <c r="G115" s="45" t="n">
        <v>1</v>
      </c>
      <c r="H115" s="56" t="n">
        <f aca="false">IF(B115="","",IF(G115="",F115,G115))</f>
        <v>1</v>
      </c>
      <c r="I115" s="45" t="s">
        <v>29</v>
      </c>
      <c r="J115" s="57" t="n">
        <v>46223</v>
      </c>
      <c r="K115" s="46" t="s">
        <v>104</v>
      </c>
      <c r="L115" s="54" t="str">
        <f aca="false">IF(A115="","",IF(B115="","Missing code",IF(C115="Unknown code","Unknown code",IF(COUNTIF($A$6:$A$1005,A115)&gt;1,"Duplicate WO",""))))</f>
        <v/>
      </c>
    </row>
    <row r="116" customFormat="false" ht="23.85" hidden="false" customHeight="false" outlineLevel="0" collapsed="false">
      <c r="A116" s="53" t="n">
        <v>100870806</v>
      </c>
      <c r="B116" s="46" t="s">
        <v>63</v>
      </c>
      <c r="C116" s="54" t="str">
        <f aca="false">IF(B116="","",IFERROR(INDEX('Kitting Plan'!$D$5:$D$18,MATCH(B116,'Kitting Plan'!$C$5:$C$18,0)),"Unknown code"))</f>
        <v>R5B ERBIUM SPOOL ASSEMBLY - E2A</v>
      </c>
      <c r="D116" s="54" t="str">
        <f aca="false">IF(B116="","",IFERROR(INDEX('Kitting Plan'!$B$5:$B$18,MATCH(B116,'Kitting Plan'!$C$5:$C$18,0)),""))</f>
        <v>ERBIUM ASSY</v>
      </c>
      <c r="E116" s="45"/>
      <c r="F116" s="55" t="n">
        <f aca="false">IF(B116="","",IFERROR(INDEX('Kitting Plan'!$H$5:$H$18,MATCH(B116,'Kitting Plan'!$C$5:$C$18,0)),""))</f>
        <v>24</v>
      </c>
      <c r="G116" s="45" t="n">
        <v>1</v>
      </c>
      <c r="H116" s="56" t="n">
        <f aca="false">IF(B116="","",IF(G116="",F116,G116))</f>
        <v>1</v>
      </c>
      <c r="I116" s="45" t="s">
        <v>29</v>
      </c>
      <c r="J116" s="57" t="n">
        <v>46223</v>
      </c>
      <c r="K116" s="46" t="s">
        <v>104</v>
      </c>
      <c r="L116" s="54" t="str">
        <f aca="false">IF(A116="","",IF(B116="","Missing code",IF(C116="Unknown code","Unknown code",IF(COUNTIF($A$6:$A$1005,A116)&gt;1,"Duplicate WO",""))))</f>
        <v/>
      </c>
    </row>
    <row r="117" customFormat="false" ht="23.85" hidden="false" customHeight="false" outlineLevel="0" collapsed="false">
      <c r="A117" s="53" t="n">
        <v>100870807</v>
      </c>
      <c r="B117" s="46" t="s">
        <v>63</v>
      </c>
      <c r="C117" s="54" t="str">
        <f aca="false">IF(B117="","",IFERROR(INDEX('Kitting Plan'!$D$5:$D$18,MATCH(B117,'Kitting Plan'!$C$5:$C$18,0)),"Unknown code"))</f>
        <v>R5B ERBIUM SPOOL ASSEMBLY - E2A</v>
      </c>
      <c r="D117" s="54" t="str">
        <f aca="false">IF(B117="","",IFERROR(INDEX('Kitting Plan'!$B$5:$B$18,MATCH(B117,'Kitting Plan'!$C$5:$C$18,0)),""))</f>
        <v>ERBIUM ASSY</v>
      </c>
      <c r="E117" s="45"/>
      <c r="F117" s="55" t="n">
        <f aca="false">IF(B117="","",IFERROR(INDEX('Kitting Plan'!$H$5:$H$18,MATCH(B117,'Kitting Plan'!$C$5:$C$18,0)),""))</f>
        <v>24</v>
      </c>
      <c r="G117" s="45" t="n">
        <v>1</v>
      </c>
      <c r="H117" s="56" t="n">
        <f aca="false">IF(B117="","",IF(G117="",F117,G117))</f>
        <v>1</v>
      </c>
      <c r="I117" s="45" t="s">
        <v>29</v>
      </c>
      <c r="J117" s="57" t="n">
        <v>46223</v>
      </c>
      <c r="K117" s="46" t="s">
        <v>104</v>
      </c>
      <c r="L117" s="54" t="str">
        <f aca="false">IF(A117="","",IF(B117="","Missing code",IF(C117="Unknown code","Unknown code",IF(COUNTIF($A$6:$A$1005,A117)&gt;1,"Duplicate WO",""))))</f>
        <v/>
      </c>
    </row>
    <row r="118" customFormat="false" ht="23.85" hidden="false" customHeight="false" outlineLevel="0" collapsed="false">
      <c r="A118" s="53" t="n">
        <v>100870808</v>
      </c>
      <c r="B118" s="46" t="s">
        <v>63</v>
      </c>
      <c r="C118" s="54" t="str">
        <f aca="false">IF(B118="","",IFERROR(INDEX('Kitting Plan'!$D$5:$D$18,MATCH(B118,'Kitting Plan'!$C$5:$C$18,0)),"Unknown code"))</f>
        <v>R5B ERBIUM SPOOL ASSEMBLY - E2A</v>
      </c>
      <c r="D118" s="54" t="str">
        <f aca="false">IF(B118="","",IFERROR(INDEX('Kitting Plan'!$B$5:$B$18,MATCH(B118,'Kitting Plan'!$C$5:$C$18,0)),""))</f>
        <v>ERBIUM ASSY</v>
      </c>
      <c r="E118" s="45"/>
      <c r="F118" s="55" t="n">
        <f aca="false">IF(B118="","",IFERROR(INDEX('Kitting Plan'!$H$5:$H$18,MATCH(B118,'Kitting Plan'!$C$5:$C$18,0)),""))</f>
        <v>24</v>
      </c>
      <c r="G118" s="45" t="n">
        <v>1</v>
      </c>
      <c r="H118" s="56" t="n">
        <f aca="false">IF(B118="","",IF(G118="",F118,G118))</f>
        <v>1</v>
      </c>
      <c r="I118" s="45" t="s">
        <v>29</v>
      </c>
      <c r="J118" s="57" t="n">
        <v>46223</v>
      </c>
      <c r="K118" s="46" t="s">
        <v>104</v>
      </c>
      <c r="L118" s="54" t="str">
        <f aca="false">IF(A118="","",IF(B118="","Missing code",IF(C118="Unknown code","Unknown code",IF(COUNTIF($A$6:$A$1005,A118)&gt;1,"Duplicate WO",""))))</f>
        <v/>
      </c>
    </row>
    <row r="119" customFormat="false" ht="23.85" hidden="false" customHeight="false" outlineLevel="0" collapsed="false">
      <c r="A119" s="53" t="n">
        <v>100870809</v>
      </c>
      <c r="B119" s="46" t="s">
        <v>63</v>
      </c>
      <c r="C119" s="54" t="str">
        <f aca="false">IF(B119="","",IFERROR(INDEX('Kitting Plan'!$D$5:$D$18,MATCH(B119,'Kitting Plan'!$C$5:$C$18,0)),"Unknown code"))</f>
        <v>R5B ERBIUM SPOOL ASSEMBLY - E2A</v>
      </c>
      <c r="D119" s="54" t="str">
        <f aca="false">IF(B119="","",IFERROR(INDEX('Kitting Plan'!$B$5:$B$18,MATCH(B119,'Kitting Plan'!$C$5:$C$18,0)),""))</f>
        <v>ERBIUM ASSY</v>
      </c>
      <c r="E119" s="45"/>
      <c r="F119" s="55" t="n">
        <f aca="false">IF(B119="","",IFERROR(INDEX('Kitting Plan'!$H$5:$H$18,MATCH(B119,'Kitting Plan'!$C$5:$C$18,0)),""))</f>
        <v>24</v>
      </c>
      <c r="G119" s="45" t="n">
        <v>1</v>
      </c>
      <c r="H119" s="56" t="n">
        <f aca="false">IF(B119="","",IF(G119="",F119,G119))</f>
        <v>1</v>
      </c>
      <c r="I119" s="45" t="s">
        <v>29</v>
      </c>
      <c r="J119" s="57" t="n">
        <v>46223</v>
      </c>
      <c r="K119" s="46" t="s">
        <v>104</v>
      </c>
      <c r="L119" s="54" t="str">
        <f aca="false">IF(A119="","",IF(B119="","Missing code",IF(C119="Unknown code","Unknown code",IF(COUNTIF($A$6:$A$1005,A119)&gt;1,"Duplicate WO",""))))</f>
        <v/>
      </c>
    </row>
    <row r="120" customFormat="false" ht="23.85" hidden="false" customHeight="false" outlineLevel="0" collapsed="false">
      <c r="A120" s="53" t="n">
        <v>100870810</v>
      </c>
      <c r="B120" s="46" t="s">
        <v>63</v>
      </c>
      <c r="C120" s="54" t="str">
        <f aca="false">IF(B120="","",IFERROR(INDEX('Kitting Plan'!$D$5:$D$18,MATCH(B120,'Kitting Plan'!$C$5:$C$18,0)),"Unknown code"))</f>
        <v>R5B ERBIUM SPOOL ASSEMBLY - E2A</v>
      </c>
      <c r="D120" s="54" t="str">
        <f aca="false">IF(B120="","",IFERROR(INDEX('Kitting Plan'!$B$5:$B$18,MATCH(B120,'Kitting Plan'!$C$5:$C$18,0)),""))</f>
        <v>ERBIUM ASSY</v>
      </c>
      <c r="E120" s="45"/>
      <c r="F120" s="55" t="n">
        <f aca="false">IF(B120="","",IFERROR(INDEX('Kitting Plan'!$H$5:$H$18,MATCH(B120,'Kitting Plan'!$C$5:$C$18,0)),""))</f>
        <v>24</v>
      </c>
      <c r="G120" s="45" t="n">
        <v>1</v>
      </c>
      <c r="H120" s="56" t="n">
        <f aca="false">IF(B120="","",IF(G120="",F120,G120))</f>
        <v>1</v>
      </c>
      <c r="I120" s="45" t="s">
        <v>29</v>
      </c>
      <c r="J120" s="57" t="n">
        <v>46223</v>
      </c>
      <c r="K120" s="46" t="s">
        <v>104</v>
      </c>
      <c r="L120" s="54" t="str">
        <f aca="false">IF(A120="","",IF(B120="","Missing code",IF(C120="Unknown code","Unknown code",IF(COUNTIF($A$6:$A$1005,A120)&gt;1,"Duplicate WO",""))))</f>
        <v/>
      </c>
    </row>
    <row r="121" customFormat="false" ht="23.85" hidden="false" customHeight="false" outlineLevel="0" collapsed="false">
      <c r="A121" s="53" t="n">
        <v>100870811</v>
      </c>
      <c r="B121" s="46" t="s">
        <v>63</v>
      </c>
      <c r="C121" s="54" t="str">
        <f aca="false">IF(B121="","",IFERROR(INDEX('Kitting Plan'!$D$5:$D$18,MATCH(B121,'Kitting Plan'!$C$5:$C$18,0)),"Unknown code"))</f>
        <v>R5B ERBIUM SPOOL ASSEMBLY - E2A</v>
      </c>
      <c r="D121" s="54" t="str">
        <f aca="false">IF(B121="","",IFERROR(INDEX('Kitting Plan'!$B$5:$B$18,MATCH(B121,'Kitting Plan'!$C$5:$C$18,0)),""))</f>
        <v>ERBIUM ASSY</v>
      </c>
      <c r="E121" s="45"/>
      <c r="F121" s="55" t="n">
        <f aca="false">IF(B121="","",IFERROR(INDEX('Kitting Plan'!$H$5:$H$18,MATCH(B121,'Kitting Plan'!$C$5:$C$18,0)),""))</f>
        <v>24</v>
      </c>
      <c r="G121" s="45" t="n">
        <v>1</v>
      </c>
      <c r="H121" s="56" t="n">
        <f aca="false">IF(B121="","",IF(G121="",F121,G121))</f>
        <v>1</v>
      </c>
      <c r="I121" s="45" t="s">
        <v>29</v>
      </c>
      <c r="J121" s="57" t="n">
        <v>46223</v>
      </c>
      <c r="K121" s="46" t="s">
        <v>104</v>
      </c>
      <c r="L121" s="54" t="str">
        <f aca="false">IF(A121="","",IF(B121="","Missing code",IF(C121="Unknown code","Unknown code",IF(COUNTIF($A$6:$A$1005,A121)&gt;1,"Duplicate WO",""))))</f>
        <v/>
      </c>
    </row>
    <row r="122" customFormat="false" ht="23.85" hidden="false" customHeight="false" outlineLevel="0" collapsed="false">
      <c r="A122" s="53" t="n">
        <v>100870812</v>
      </c>
      <c r="B122" s="46" t="s">
        <v>63</v>
      </c>
      <c r="C122" s="54" t="str">
        <f aca="false">IF(B122="","",IFERROR(INDEX('Kitting Plan'!$D$5:$D$18,MATCH(B122,'Kitting Plan'!$C$5:$C$18,0)),"Unknown code"))</f>
        <v>R5B ERBIUM SPOOL ASSEMBLY - E2A</v>
      </c>
      <c r="D122" s="54" t="str">
        <f aca="false">IF(B122="","",IFERROR(INDEX('Kitting Plan'!$B$5:$B$18,MATCH(B122,'Kitting Plan'!$C$5:$C$18,0)),""))</f>
        <v>ERBIUM ASSY</v>
      </c>
      <c r="E122" s="45"/>
      <c r="F122" s="55" t="n">
        <f aca="false">IF(B122="","",IFERROR(INDEX('Kitting Plan'!$H$5:$H$18,MATCH(B122,'Kitting Plan'!$C$5:$C$18,0)),""))</f>
        <v>24</v>
      </c>
      <c r="G122" s="45" t="n">
        <v>1</v>
      </c>
      <c r="H122" s="56" t="n">
        <f aca="false">IF(B122="","",IF(G122="",F122,G122))</f>
        <v>1</v>
      </c>
      <c r="I122" s="45" t="s">
        <v>29</v>
      </c>
      <c r="J122" s="57" t="n">
        <v>46223</v>
      </c>
      <c r="K122" s="46" t="s">
        <v>104</v>
      </c>
      <c r="L122" s="54" t="str">
        <f aca="false">IF(A122="","",IF(B122="","Missing code",IF(C122="Unknown code","Unknown code",IF(COUNTIF($A$6:$A$1005,A122)&gt;1,"Duplicate WO",""))))</f>
        <v/>
      </c>
    </row>
    <row r="123" customFormat="false" ht="23.85" hidden="false" customHeight="false" outlineLevel="0" collapsed="false">
      <c r="A123" s="53" t="n">
        <v>100870813</v>
      </c>
      <c r="B123" s="46" t="s">
        <v>63</v>
      </c>
      <c r="C123" s="54" t="str">
        <f aca="false">IF(B123="","",IFERROR(INDEX('Kitting Plan'!$D$5:$D$18,MATCH(B123,'Kitting Plan'!$C$5:$C$18,0)),"Unknown code"))</f>
        <v>R5B ERBIUM SPOOL ASSEMBLY - E2A</v>
      </c>
      <c r="D123" s="54" t="str">
        <f aca="false">IF(B123="","",IFERROR(INDEX('Kitting Plan'!$B$5:$B$18,MATCH(B123,'Kitting Plan'!$C$5:$C$18,0)),""))</f>
        <v>ERBIUM ASSY</v>
      </c>
      <c r="E123" s="45"/>
      <c r="F123" s="55" t="n">
        <f aca="false">IF(B123="","",IFERROR(INDEX('Kitting Plan'!$H$5:$H$18,MATCH(B123,'Kitting Plan'!$C$5:$C$18,0)),""))</f>
        <v>24</v>
      </c>
      <c r="G123" s="45" t="n">
        <v>1</v>
      </c>
      <c r="H123" s="56" t="n">
        <f aca="false">IF(B123="","",IF(G123="",F123,G123))</f>
        <v>1</v>
      </c>
      <c r="I123" s="45" t="s">
        <v>29</v>
      </c>
      <c r="J123" s="57" t="n">
        <v>46223</v>
      </c>
      <c r="K123" s="46" t="s">
        <v>104</v>
      </c>
      <c r="L123" s="54" t="str">
        <f aca="false">IF(A123="","",IF(B123="","Missing code",IF(C123="Unknown code","Unknown code",IF(COUNTIF($A$6:$A$1005,A123)&gt;1,"Duplicate WO",""))))</f>
        <v/>
      </c>
    </row>
    <row r="124" customFormat="false" ht="23.85" hidden="false" customHeight="false" outlineLevel="0" collapsed="false">
      <c r="A124" s="53" t="n">
        <v>100870814</v>
      </c>
      <c r="B124" s="46" t="s">
        <v>63</v>
      </c>
      <c r="C124" s="54" t="str">
        <f aca="false">IF(B124="","",IFERROR(INDEX('Kitting Plan'!$D$5:$D$18,MATCH(B124,'Kitting Plan'!$C$5:$C$18,0)),"Unknown code"))</f>
        <v>R5B ERBIUM SPOOL ASSEMBLY - E2A</v>
      </c>
      <c r="D124" s="54" t="str">
        <f aca="false">IF(B124="","",IFERROR(INDEX('Kitting Plan'!$B$5:$B$18,MATCH(B124,'Kitting Plan'!$C$5:$C$18,0)),""))</f>
        <v>ERBIUM ASSY</v>
      </c>
      <c r="E124" s="45"/>
      <c r="F124" s="55" t="n">
        <f aca="false">IF(B124="","",IFERROR(INDEX('Kitting Plan'!$H$5:$H$18,MATCH(B124,'Kitting Plan'!$C$5:$C$18,0)),""))</f>
        <v>24</v>
      </c>
      <c r="G124" s="45" t="n">
        <v>1</v>
      </c>
      <c r="H124" s="56" t="n">
        <f aca="false">IF(B124="","",IF(G124="",F124,G124))</f>
        <v>1</v>
      </c>
      <c r="I124" s="45" t="s">
        <v>29</v>
      </c>
      <c r="J124" s="57" t="n">
        <v>46223</v>
      </c>
      <c r="K124" s="46" t="s">
        <v>104</v>
      </c>
      <c r="L124" s="54" t="str">
        <f aca="false">IF(A124="","",IF(B124="","Missing code",IF(C124="Unknown code","Unknown code",IF(COUNTIF($A$6:$A$1005,A124)&gt;1,"Duplicate WO",""))))</f>
        <v/>
      </c>
    </row>
    <row r="125" customFormat="false" ht="23.85" hidden="false" customHeight="false" outlineLevel="0" collapsed="false">
      <c r="A125" s="53" t="n">
        <v>100870815</v>
      </c>
      <c r="B125" s="46" t="s">
        <v>63</v>
      </c>
      <c r="C125" s="54" t="str">
        <f aca="false">IF(B125="","",IFERROR(INDEX('Kitting Plan'!$D$5:$D$18,MATCH(B125,'Kitting Plan'!$C$5:$C$18,0)),"Unknown code"))</f>
        <v>R5B ERBIUM SPOOL ASSEMBLY - E2A</v>
      </c>
      <c r="D125" s="54" t="str">
        <f aca="false">IF(B125="","",IFERROR(INDEX('Kitting Plan'!$B$5:$B$18,MATCH(B125,'Kitting Plan'!$C$5:$C$18,0)),""))</f>
        <v>ERBIUM ASSY</v>
      </c>
      <c r="E125" s="45"/>
      <c r="F125" s="55" t="n">
        <f aca="false">IF(B125="","",IFERROR(INDEX('Kitting Plan'!$H$5:$H$18,MATCH(B125,'Kitting Plan'!$C$5:$C$18,0)),""))</f>
        <v>24</v>
      </c>
      <c r="G125" s="45" t="n">
        <v>1</v>
      </c>
      <c r="H125" s="56" t="n">
        <f aca="false">IF(B125="","",IF(G125="",F125,G125))</f>
        <v>1</v>
      </c>
      <c r="I125" s="45" t="s">
        <v>29</v>
      </c>
      <c r="J125" s="57" t="n">
        <v>46223</v>
      </c>
      <c r="K125" s="46" t="s">
        <v>104</v>
      </c>
      <c r="L125" s="54" t="str">
        <f aca="false">IF(A125="","",IF(B125="","Missing code",IF(C125="Unknown code","Unknown code",IF(COUNTIF($A$6:$A$1005,A125)&gt;1,"Duplicate WO",""))))</f>
        <v/>
      </c>
    </row>
    <row r="126" customFormat="false" ht="23.85" hidden="false" customHeight="false" outlineLevel="0" collapsed="false">
      <c r="A126" s="53" t="n">
        <v>100870816</v>
      </c>
      <c r="B126" s="46" t="s">
        <v>63</v>
      </c>
      <c r="C126" s="54" t="str">
        <f aca="false">IF(B126="","",IFERROR(INDEX('Kitting Plan'!$D$5:$D$18,MATCH(B126,'Kitting Plan'!$C$5:$C$18,0)),"Unknown code"))</f>
        <v>R5B ERBIUM SPOOL ASSEMBLY - E2A</v>
      </c>
      <c r="D126" s="54" t="str">
        <f aca="false">IF(B126="","",IFERROR(INDEX('Kitting Plan'!$B$5:$B$18,MATCH(B126,'Kitting Plan'!$C$5:$C$18,0)),""))</f>
        <v>ERBIUM ASSY</v>
      </c>
      <c r="E126" s="45"/>
      <c r="F126" s="55" t="n">
        <f aca="false">IF(B126="","",IFERROR(INDEX('Kitting Plan'!$H$5:$H$18,MATCH(B126,'Kitting Plan'!$C$5:$C$18,0)),""))</f>
        <v>24</v>
      </c>
      <c r="G126" s="45" t="n">
        <v>1</v>
      </c>
      <c r="H126" s="56" t="n">
        <f aca="false">IF(B126="","",IF(G126="",F126,G126))</f>
        <v>1</v>
      </c>
      <c r="I126" s="45" t="s">
        <v>29</v>
      </c>
      <c r="J126" s="57" t="n">
        <v>46223</v>
      </c>
      <c r="K126" s="46" t="s">
        <v>104</v>
      </c>
      <c r="L126" s="54" t="str">
        <f aca="false">IF(A126="","",IF(B126="","Missing code",IF(C126="Unknown code","Unknown code",IF(COUNTIF($A$6:$A$1005,A126)&gt;1,"Duplicate WO",""))))</f>
        <v/>
      </c>
    </row>
    <row r="127" customFormat="false" ht="23.85" hidden="false" customHeight="false" outlineLevel="0" collapsed="false">
      <c r="A127" s="53" t="n">
        <v>100870817</v>
      </c>
      <c r="B127" s="46" t="s">
        <v>63</v>
      </c>
      <c r="C127" s="54" t="str">
        <f aca="false">IF(B127="","",IFERROR(INDEX('Kitting Plan'!$D$5:$D$18,MATCH(B127,'Kitting Plan'!$C$5:$C$18,0)),"Unknown code"))</f>
        <v>R5B ERBIUM SPOOL ASSEMBLY - E2A</v>
      </c>
      <c r="D127" s="54" t="str">
        <f aca="false">IF(B127="","",IFERROR(INDEX('Kitting Plan'!$B$5:$B$18,MATCH(B127,'Kitting Plan'!$C$5:$C$18,0)),""))</f>
        <v>ERBIUM ASSY</v>
      </c>
      <c r="E127" s="45"/>
      <c r="F127" s="55" t="n">
        <f aca="false">IF(B127="","",IFERROR(INDEX('Kitting Plan'!$H$5:$H$18,MATCH(B127,'Kitting Plan'!$C$5:$C$18,0)),""))</f>
        <v>24</v>
      </c>
      <c r="G127" s="45" t="n">
        <v>1</v>
      </c>
      <c r="H127" s="56" t="n">
        <f aca="false">IF(B127="","",IF(G127="",F127,G127))</f>
        <v>1</v>
      </c>
      <c r="I127" s="45" t="s">
        <v>29</v>
      </c>
      <c r="J127" s="57" t="n">
        <v>46223</v>
      </c>
      <c r="K127" s="46" t="s">
        <v>104</v>
      </c>
      <c r="L127" s="54" t="str">
        <f aca="false">IF(A127="","",IF(B127="","Missing code",IF(C127="Unknown code","Unknown code",IF(COUNTIF($A$6:$A$1005,A127)&gt;1,"Duplicate WO",""))))</f>
        <v/>
      </c>
    </row>
    <row r="128" customFormat="false" ht="23.85" hidden="false" customHeight="false" outlineLevel="0" collapsed="false">
      <c r="A128" s="53" t="n">
        <v>100870818</v>
      </c>
      <c r="B128" s="46" t="s">
        <v>63</v>
      </c>
      <c r="C128" s="54" t="str">
        <f aca="false">IF(B128="","",IFERROR(INDEX('Kitting Plan'!$D$5:$D$18,MATCH(B128,'Kitting Plan'!$C$5:$C$18,0)),"Unknown code"))</f>
        <v>R5B ERBIUM SPOOL ASSEMBLY - E2A</v>
      </c>
      <c r="D128" s="54" t="str">
        <f aca="false">IF(B128="","",IFERROR(INDEX('Kitting Plan'!$B$5:$B$18,MATCH(B128,'Kitting Plan'!$C$5:$C$18,0)),""))</f>
        <v>ERBIUM ASSY</v>
      </c>
      <c r="E128" s="45"/>
      <c r="F128" s="55" t="n">
        <f aca="false">IF(B128="","",IFERROR(INDEX('Kitting Plan'!$H$5:$H$18,MATCH(B128,'Kitting Plan'!$C$5:$C$18,0)),""))</f>
        <v>24</v>
      </c>
      <c r="G128" s="45" t="n">
        <v>1</v>
      </c>
      <c r="H128" s="56" t="n">
        <f aca="false">IF(B128="","",IF(G128="",F128,G128))</f>
        <v>1</v>
      </c>
      <c r="I128" s="45" t="s">
        <v>29</v>
      </c>
      <c r="J128" s="57" t="n">
        <v>46223</v>
      </c>
      <c r="K128" s="46" t="s">
        <v>104</v>
      </c>
      <c r="L128" s="54" t="str">
        <f aca="false">IF(A128="","",IF(B128="","Missing code",IF(C128="Unknown code","Unknown code",IF(COUNTIF($A$6:$A$1005,A128)&gt;1,"Duplicate WO",""))))</f>
        <v/>
      </c>
    </row>
    <row r="129" customFormat="false" ht="23.85" hidden="false" customHeight="false" outlineLevel="0" collapsed="false">
      <c r="A129" s="53" t="n">
        <v>100870819</v>
      </c>
      <c r="B129" s="46" t="s">
        <v>63</v>
      </c>
      <c r="C129" s="54" t="str">
        <f aca="false">IF(B129="","",IFERROR(INDEX('Kitting Plan'!$D$5:$D$18,MATCH(B129,'Kitting Plan'!$C$5:$C$18,0)),"Unknown code"))</f>
        <v>R5B ERBIUM SPOOL ASSEMBLY - E2A</v>
      </c>
      <c r="D129" s="54" t="str">
        <f aca="false">IF(B129="","",IFERROR(INDEX('Kitting Plan'!$B$5:$B$18,MATCH(B129,'Kitting Plan'!$C$5:$C$18,0)),""))</f>
        <v>ERBIUM ASSY</v>
      </c>
      <c r="E129" s="45"/>
      <c r="F129" s="55" t="n">
        <f aca="false">IF(B129="","",IFERROR(INDEX('Kitting Plan'!$H$5:$H$18,MATCH(B129,'Kitting Plan'!$C$5:$C$18,0)),""))</f>
        <v>24</v>
      </c>
      <c r="G129" s="45" t="n">
        <v>1</v>
      </c>
      <c r="H129" s="56" t="n">
        <f aca="false">IF(B129="","",IF(G129="",F129,G129))</f>
        <v>1</v>
      </c>
      <c r="I129" s="45" t="s">
        <v>29</v>
      </c>
      <c r="J129" s="57" t="n">
        <v>46223</v>
      </c>
      <c r="K129" s="46" t="s">
        <v>104</v>
      </c>
      <c r="L129" s="54" t="str">
        <f aca="false">IF(A129="","",IF(B129="","Missing code",IF(C129="Unknown code","Unknown code",IF(COUNTIF($A$6:$A$1005,A129)&gt;1,"Duplicate WO",""))))</f>
        <v/>
      </c>
    </row>
    <row r="130" customFormat="false" ht="23.85" hidden="false" customHeight="false" outlineLevel="0" collapsed="false">
      <c r="A130" s="53" t="n">
        <v>100870820</v>
      </c>
      <c r="B130" s="46" t="s">
        <v>63</v>
      </c>
      <c r="C130" s="54" t="str">
        <f aca="false">IF(B130="","",IFERROR(INDEX('Kitting Plan'!$D$5:$D$18,MATCH(B130,'Kitting Plan'!$C$5:$C$18,0)),"Unknown code"))</f>
        <v>R5B ERBIUM SPOOL ASSEMBLY - E2A</v>
      </c>
      <c r="D130" s="54" t="str">
        <f aca="false">IF(B130="","",IFERROR(INDEX('Kitting Plan'!$B$5:$B$18,MATCH(B130,'Kitting Plan'!$C$5:$C$18,0)),""))</f>
        <v>ERBIUM ASSY</v>
      </c>
      <c r="E130" s="45"/>
      <c r="F130" s="55" t="n">
        <f aca="false">IF(B130="","",IFERROR(INDEX('Kitting Plan'!$H$5:$H$18,MATCH(B130,'Kitting Plan'!$C$5:$C$18,0)),""))</f>
        <v>24</v>
      </c>
      <c r="G130" s="45" t="n">
        <v>1</v>
      </c>
      <c r="H130" s="56" t="n">
        <f aca="false">IF(B130="","",IF(G130="",F130,G130))</f>
        <v>1</v>
      </c>
      <c r="I130" s="45" t="s">
        <v>29</v>
      </c>
      <c r="J130" s="57" t="n">
        <v>46223</v>
      </c>
      <c r="K130" s="46" t="s">
        <v>104</v>
      </c>
      <c r="L130" s="54" t="str">
        <f aca="false">IF(A130="","",IF(B130="","Missing code",IF(C130="Unknown code","Unknown code",IF(COUNTIF($A$6:$A$1005,A130)&gt;1,"Duplicate WO",""))))</f>
        <v/>
      </c>
    </row>
    <row r="131" customFormat="false" ht="23.85" hidden="false" customHeight="false" outlineLevel="0" collapsed="false">
      <c r="A131" s="53" t="n">
        <v>100870821</v>
      </c>
      <c r="B131" s="46" t="s">
        <v>63</v>
      </c>
      <c r="C131" s="54" t="str">
        <f aca="false">IF(B131="","",IFERROR(INDEX('Kitting Plan'!$D$5:$D$18,MATCH(B131,'Kitting Plan'!$C$5:$C$18,0)),"Unknown code"))</f>
        <v>R5B ERBIUM SPOOL ASSEMBLY - E2A</v>
      </c>
      <c r="D131" s="54" t="str">
        <f aca="false">IF(B131="","",IFERROR(INDEX('Kitting Plan'!$B$5:$B$18,MATCH(B131,'Kitting Plan'!$C$5:$C$18,0)),""))</f>
        <v>ERBIUM ASSY</v>
      </c>
      <c r="E131" s="45"/>
      <c r="F131" s="55" t="n">
        <f aca="false">IF(B131="","",IFERROR(INDEX('Kitting Plan'!$H$5:$H$18,MATCH(B131,'Kitting Plan'!$C$5:$C$18,0)),""))</f>
        <v>24</v>
      </c>
      <c r="G131" s="45" t="n">
        <v>1</v>
      </c>
      <c r="H131" s="56" t="n">
        <f aca="false">IF(B131="","",IF(G131="",F131,G131))</f>
        <v>1</v>
      </c>
      <c r="I131" s="45" t="s">
        <v>29</v>
      </c>
      <c r="J131" s="57" t="n">
        <v>46223</v>
      </c>
      <c r="K131" s="46" t="s">
        <v>104</v>
      </c>
      <c r="L131" s="54" t="str">
        <f aca="false">IF(A131="","",IF(B131="","Missing code",IF(C131="Unknown code","Unknown code",IF(COUNTIF($A$6:$A$1005,A131)&gt;1,"Duplicate WO",""))))</f>
        <v/>
      </c>
    </row>
    <row r="132" customFormat="false" ht="23.85" hidden="false" customHeight="false" outlineLevel="0" collapsed="false">
      <c r="A132" s="53" t="n">
        <v>100870822</v>
      </c>
      <c r="B132" s="46" t="s">
        <v>63</v>
      </c>
      <c r="C132" s="54" t="str">
        <f aca="false">IF(B132="","",IFERROR(INDEX('Kitting Plan'!$D$5:$D$18,MATCH(B132,'Kitting Plan'!$C$5:$C$18,0)),"Unknown code"))</f>
        <v>R5B ERBIUM SPOOL ASSEMBLY - E2A</v>
      </c>
      <c r="D132" s="54" t="str">
        <f aca="false">IF(B132="","",IFERROR(INDEX('Kitting Plan'!$B$5:$B$18,MATCH(B132,'Kitting Plan'!$C$5:$C$18,0)),""))</f>
        <v>ERBIUM ASSY</v>
      </c>
      <c r="E132" s="45"/>
      <c r="F132" s="55" t="n">
        <f aca="false">IF(B132="","",IFERROR(INDEX('Kitting Plan'!$H$5:$H$18,MATCH(B132,'Kitting Plan'!$C$5:$C$18,0)),""))</f>
        <v>24</v>
      </c>
      <c r="G132" s="45" t="n">
        <v>1</v>
      </c>
      <c r="H132" s="56" t="n">
        <f aca="false">IF(B132="","",IF(G132="",F132,G132))</f>
        <v>1</v>
      </c>
      <c r="I132" s="45" t="s">
        <v>29</v>
      </c>
      <c r="J132" s="57" t="n">
        <v>46223</v>
      </c>
      <c r="K132" s="46" t="s">
        <v>104</v>
      </c>
      <c r="L132" s="54" t="str">
        <f aca="false">IF(A132="","",IF(B132="","Missing code",IF(C132="Unknown code","Unknown code",IF(COUNTIF($A$6:$A$1005,A132)&gt;1,"Duplicate WO",""))))</f>
        <v/>
      </c>
    </row>
    <row r="133" customFormat="false" ht="23.85" hidden="false" customHeight="false" outlineLevel="0" collapsed="false">
      <c r="A133" s="53" t="n">
        <v>100870823</v>
      </c>
      <c r="B133" s="46" t="s">
        <v>63</v>
      </c>
      <c r="C133" s="54" t="str">
        <f aca="false">IF(B133="","",IFERROR(INDEX('Kitting Plan'!$D$5:$D$18,MATCH(B133,'Kitting Plan'!$C$5:$C$18,0)),"Unknown code"))</f>
        <v>R5B ERBIUM SPOOL ASSEMBLY - E2A</v>
      </c>
      <c r="D133" s="54" t="str">
        <f aca="false">IF(B133="","",IFERROR(INDEX('Kitting Plan'!$B$5:$B$18,MATCH(B133,'Kitting Plan'!$C$5:$C$18,0)),""))</f>
        <v>ERBIUM ASSY</v>
      </c>
      <c r="E133" s="45"/>
      <c r="F133" s="55" t="n">
        <f aca="false">IF(B133="","",IFERROR(INDEX('Kitting Plan'!$H$5:$H$18,MATCH(B133,'Kitting Plan'!$C$5:$C$18,0)),""))</f>
        <v>24</v>
      </c>
      <c r="G133" s="45" t="n">
        <v>1</v>
      </c>
      <c r="H133" s="56" t="n">
        <f aca="false">IF(B133="","",IF(G133="",F133,G133))</f>
        <v>1</v>
      </c>
      <c r="I133" s="45" t="s">
        <v>29</v>
      </c>
      <c r="J133" s="57" t="n">
        <v>46223</v>
      </c>
      <c r="K133" s="46" t="s">
        <v>104</v>
      </c>
      <c r="L133" s="54" t="str">
        <f aca="false">IF(A133="","",IF(B133="","Missing code",IF(C133="Unknown code","Unknown code",IF(COUNTIF($A$6:$A$1005,A133)&gt;1,"Duplicate WO",""))))</f>
        <v/>
      </c>
    </row>
    <row r="134" customFormat="false" ht="23.85" hidden="false" customHeight="false" outlineLevel="0" collapsed="false">
      <c r="A134" s="53" t="n">
        <v>100870824</v>
      </c>
      <c r="B134" s="46" t="s">
        <v>63</v>
      </c>
      <c r="C134" s="54" t="str">
        <f aca="false">IF(B134="","",IFERROR(INDEX('Kitting Plan'!$D$5:$D$18,MATCH(B134,'Kitting Plan'!$C$5:$C$18,0)),"Unknown code"))</f>
        <v>R5B ERBIUM SPOOL ASSEMBLY - E2A</v>
      </c>
      <c r="D134" s="54" t="str">
        <f aca="false">IF(B134="","",IFERROR(INDEX('Kitting Plan'!$B$5:$B$18,MATCH(B134,'Kitting Plan'!$C$5:$C$18,0)),""))</f>
        <v>ERBIUM ASSY</v>
      </c>
      <c r="E134" s="45"/>
      <c r="F134" s="55" t="n">
        <f aca="false">IF(B134="","",IFERROR(INDEX('Kitting Plan'!$H$5:$H$18,MATCH(B134,'Kitting Plan'!$C$5:$C$18,0)),""))</f>
        <v>24</v>
      </c>
      <c r="G134" s="45" t="n">
        <v>1</v>
      </c>
      <c r="H134" s="56" t="n">
        <f aca="false">IF(B134="","",IF(G134="",F134,G134))</f>
        <v>1</v>
      </c>
      <c r="I134" s="45" t="s">
        <v>29</v>
      </c>
      <c r="J134" s="57" t="n">
        <v>46223</v>
      </c>
      <c r="K134" s="46" t="s">
        <v>104</v>
      </c>
      <c r="L134" s="54" t="str">
        <f aca="false">IF(A134="","",IF(B134="","Missing code",IF(C134="Unknown code","Unknown code",IF(COUNTIF($A$6:$A$1005,A134)&gt;1,"Duplicate WO",""))))</f>
        <v/>
      </c>
    </row>
    <row r="135" customFormat="false" ht="23.85" hidden="false" customHeight="false" outlineLevel="0" collapsed="false">
      <c r="A135" s="53" t="n">
        <v>100872715</v>
      </c>
      <c r="B135" s="46" t="s">
        <v>63</v>
      </c>
      <c r="C135" s="54" t="str">
        <f aca="false">IF(B135="","",IFERROR(INDEX('Kitting Plan'!$D$5:$D$18,MATCH(B135,'Kitting Plan'!$C$5:$C$18,0)),"Unknown code"))</f>
        <v>R5B ERBIUM SPOOL ASSEMBLY - E2A</v>
      </c>
      <c r="D135" s="54" t="str">
        <f aca="false">IF(B135="","",IFERROR(INDEX('Kitting Plan'!$B$5:$B$18,MATCH(B135,'Kitting Plan'!$C$5:$C$18,0)),""))</f>
        <v>ERBIUM ASSY</v>
      </c>
      <c r="E135" s="45"/>
      <c r="F135" s="55" t="n">
        <f aca="false">IF(B135="","",IFERROR(INDEX('Kitting Plan'!$H$5:$H$18,MATCH(B135,'Kitting Plan'!$C$5:$C$18,0)),""))</f>
        <v>24</v>
      </c>
      <c r="G135" s="45" t="n">
        <v>1</v>
      </c>
      <c r="H135" s="56" t="n">
        <f aca="false">IF(B135="","",IF(G135="",F135,G135))</f>
        <v>1</v>
      </c>
      <c r="I135" s="45" t="s">
        <v>29</v>
      </c>
      <c r="J135" s="57" t="n">
        <v>46238</v>
      </c>
      <c r="K135" s="46" t="s">
        <v>104</v>
      </c>
      <c r="L135" s="54" t="str">
        <f aca="false">IF(A135="","",IF(B135="","Missing code",IF(C135="Unknown code","Unknown code",IF(COUNTIF($A$6:$A$1005,A135)&gt;1,"Duplicate WO",""))))</f>
        <v/>
      </c>
    </row>
    <row r="136" customFormat="false" ht="23.85" hidden="false" customHeight="false" outlineLevel="0" collapsed="false">
      <c r="A136" s="53" t="n">
        <v>100872716</v>
      </c>
      <c r="B136" s="46" t="s">
        <v>63</v>
      </c>
      <c r="C136" s="54" t="str">
        <f aca="false">IF(B136="","",IFERROR(INDEX('Kitting Plan'!$D$5:$D$18,MATCH(B136,'Kitting Plan'!$C$5:$C$18,0)),"Unknown code"))</f>
        <v>R5B ERBIUM SPOOL ASSEMBLY - E2A</v>
      </c>
      <c r="D136" s="54" t="str">
        <f aca="false">IF(B136="","",IFERROR(INDEX('Kitting Plan'!$B$5:$B$18,MATCH(B136,'Kitting Plan'!$C$5:$C$18,0)),""))</f>
        <v>ERBIUM ASSY</v>
      </c>
      <c r="E136" s="45"/>
      <c r="F136" s="55" t="n">
        <f aca="false">IF(B136="","",IFERROR(INDEX('Kitting Plan'!$H$5:$H$18,MATCH(B136,'Kitting Plan'!$C$5:$C$18,0)),""))</f>
        <v>24</v>
      </c>
      <c r="G136" s="45" t="n">
        <v>1</v>
      </c>
      <c r="H136" s="56" t="n">
        <f aca="false">IF(B136="","",IF(G136="",F136,G136))</f>
        <v>1</v>
      </c>
      <c r="I136" s="45" t="s">
        <v>29</v>
      </c>
      <c r="J136" s="57" t="n">
        <v>46238</v>
      </c>
      <c r="K136" s="46" t="s">
        <v>104</v>
      </c>
      <c r="L136" s="54" t="str">
        <f aca="false">IF(A136="","",IF(B136="","Missing code",IF(C136="Unknown code","Unknown code",IF(COUNTIF($A$6:$A$1005,A136)&gt;1,"Duplicate WO",""))))</f>
        <v/>
      </c>
    </row>
    <row r="137" customFormat="false" ht="23.85" hidden="false" customHeight="false" outlineLevel="0" collapsed="false">
      <c r="A137" s="53" t="n">
        <v>100872717</v>
      </c>
      <c r="B137" s="46" t="s">
        <v>63</v>
      </c>
      <c r="C137" s="54" t="str">
        <f aca="false">IF(B137="","",IFERROR(INDEX('Kitting Plan'!$D$5:$D$18,MATCH(B137,'Kitting Plan'!$C$5:$C$18,0)),"Unknown code"))</f>
        <v>R5B ERBIUM SPOOL ASSEMBLY - E2A</v>
      </c>
      <c r="D137" s="54" t="str">
        <f aca="false">IF(B137="","",IFERROR(INDEX('Kitting Plan'!$B$5:$B$18,MATCH(B137,'Kitting Plan'!$C$5:$C$18,0)),""))</f>
        <v>ERBIUM ASSY</v>
      </c>
      <c r="E137" s="45"/>
      <c r="F137" s="55" t="n">
        <f aca="false">IF(B137="","",IFERROR(INDEX('Kitting Plan'!$H$5:$H$18,MATCH(B137,'Kitting Plan'!$C$5:$C$18,0)),""))</f>
        <v>24</v>
      </c>
      <c r="G137" s="45" t="n">
        <v>1</v>
      </c>
      <c r="H137" s="56" t="n">
        <f aca="false">IF(B137="","",IF(G137="",F137,G137))</f>
        <v>1</v>
      </c>
      <c r="I137" s="45" t="s">
        <v>29</v>
      </c>
      <c r="J137" s="57" t="n">
        <v>46238</v>
      </c>
      <c r="K137" s="46" t="s">
        <v>104</v>
      </c>
      <c r="L137" s="54" t="str">
        <f aca="false">IF(A137="","",IF(B137="","Missing code",IF(C137="Unknown code","Unknown code",IF(COUNTIF($A$6:$A$1005,A137)&gt;1,"Duplicate WO",""))))</f>
        <v/>
      </c>
    </row>
    <row r="138" customFormat="false" ht="23.85" hidden="false" customHeight="false" outlineLevel="0" collapsed="false">
      <c r="A138" s="53" t="n">
        <v>100872718</v>
      </c>
      <c r="B138" s="46" t="s">
        <v>63</v>
      </c>
      <c r="C138" s="54" t="str">
        <f aca="false">IF(B138="","",IFERROR(INDEX('Kitting Plan'!$D$5:$D$18,MATCH(B138,'Kitting Plan'!$C$5:$C$18,0)),"Unknown code"))</f>
        <v>R5B ERBIUM SPOOL ASSEMBLY - E2A</v>
      </c>
      <c r="D138" s="54" t="str">
        <f aca="false">IF(B138="","",IFERROR(INDEX('Kitting Plan'!$B$5:$B$18,MATCH(B138,'Kitting Plan'!$C$5:$C$18,0)),""))</f>
        <v>ERBIUM ASSY</v>
      </c>
      <c r="E138" s="45"/>
      <c r="F138" s="55" t="n">
        <f aca="false">IF(B138="","",IFERROR(INDEX('Kitting Plan'!$H$5:$H$18,MATCH(B138,'Kitting Plan'!$C$5:$C$18,0)),""))</f>
        <v>24</v>
      </c>
      <c r="G138" s="45" t="n">
        <v>1</v>
      </c>
      <c r="H138" s="56" t="n">
        <f aca="false">IF(B138="","",IF(G138="",F138,G138))</f>
        <v>1</v>
      </c>
      <c r="I138" s="45" t="s">
        <v>29</v>
      </c>
      <c r="J138" s="57" t="n">
        <v>46238</v>
      </c>
      <c r="K138" s="46" t="s">
        <v>104</v>
      </c>
      <c r="L138" s="54" t="str">
        <f aca="false">IF(A138="","",IF(B138="","Missing code",IF(C138="Unknown code","Unknown code",IF(COUNTIF($A$6:$A$1005,A138)&gt;1,"Duplicate WO",""))))</f>
        <v/>
      </c>
    </row>
    <row r="139" customFormat="false" ht="23.85" hidden="false" customHeight="false" outlineLevel="0" collapsed="false">
      <c r="A139" s="53" t="n">
        <v>100872719</v>
      </c>
      <c r="B139" s="46" t="s">
        <v>63</v>
      </c>
      <c r="C139" s="54" t="str">
        <f aca="false">IF(B139="","",IFERROR(INDEX('Kitting Plan'!$D$5:$D$18,MATCH(B139,'Kitting Plan'!$C$5:$C$18,0)),"Unknown code"))</f>
        <v>R5B ERBIUM SPOOL ASSEMBLY - E2A</v>
      </c>
      <c r="D139" s="54" t="str">
        <f aca="false">IF(B139="","",IFERROR(INDEX('Kitting Plan'!$B$5:$B$18,MATCH(B139,'Kitting Plan'!$C$5:$C$18,0)),""))</f>
        <v>ERBIUM ASSY</v>
      </c>
      <c r="E139" s="45"/>
      <c r="F139" s="55" t="n">
        <f aca="false">IF(B139="","",IFERROR(INDEX('Kitting Plan'!$H$5:$H$18,MATCH(B139,'Kitting Plan'!$C$5:$C$18,0)),""))</f>
        <v>24</v>
      </c>
      <c r="G139" s="45" t="n">
        <v>1</v>
      </c>
      <c r="H139" s="56" t="n">
        <f aca="false">IF(B139="","",IF(G139="",F139,G139))</f>
        <v>1</v>
      </c>
      <c r="I139" s="45" t="s">
        <v>29</v>
      </c>
      <c r="J139" s="57" t="n">
        <v>46238</v>
      </c>
      <c r="K139" s="46" t="s">
        <v>104</v>
      </c>
      <c r="L139" s="54" t="str">
        <f aca="false">IF(A139="","",IF(B139="","Missing code",IF(C139="Unknown code","Unknown code",IF(COUNTIF($A$6:$A$1005,A139)&gt;1,"Duplicate WO",""))))</f>
        <v/>
      </c>
    </row>
    <row r="140" customFormat="false" ht="23.85" hidden="false" customHeight="false" outlineLevel="0" collapsed="false">
      <c r="A140" s="53" t="n">
        <v>100872720</v>
      </c>
      <c r="B140" s="46" t="s">
        <v>63</v>
      </c>
      <c r="C140" s="54" t="str">
        <f aca="false">IF(B140="","",IFERROR(INDEX('Kitting Plan'!$D$5:$D$18,MATCH(B140,'Kitting Plan'!$C$5:$C$18,0)),"Unknown code"))</f>
        <v>R5B ERBIUM SPOOL ASSEMBLY - E2A</v>
      </c>
      <c r="D140" s="54" t="str">
        <f aca="false">IF(B140="","",IFERROR(INDEX('Kitting Plan'!$B$5:$B$18,MATCH(B140,'Kitting Plan'!$C$5:$C$18,0)),""))</f>
        <v>ERBIUM ASSY</v>
      </c>
      <c r="E140" s="45"/>
      <c r="F140" s="55" t="n">
        <f aca="false">IF(B140="","",IFERROR(INDEX('Kitting Plan'!$H$5:$H$18,MATCH(B140,'Kitting Plan'!$C$5:$C$18,0)),""))</f>
        <v>24</v>
      </c>
      <c r="G140" s="45" t="n">
        <v>1</v>
      </c>
      <c r="H140" s="56" t="n">
        <f aca="false">IF(B140="","",IF(G140="",F140,G140))</f>
        <v>1</v>
      </c>
      <c r="I140" s="45" t="s">
        <v>29</v>
      </c>
      <c r="J140" s="57" t="n">
        <v>46238</v>
      </c>
      <c r="K140" s="46" t="s">
        <v>104</v>
      </c>
      <c r="L140" s="54" t="str">
        <f aca="false">IF(A140="","",IF(B140="","Missing code",IF(C140="Unknown code","Unknown code",IF(COUNTIF($A$6:$A$1005,A140)&gt;1,"Duplicate WO",""))))</f>
        <v/>
      </c>
    </row>
    <row r="141" customFormat="false" ht="23.85" hidden="false" customHeight="false" outlineLevel="0" collapsed="false">
      <c r="A141" s="53" t="n">
        <v>100872721</v>
      </c>
      <c r="B141" s="46" t="s">
        <v>63</v>
      </c>
      <c r="C141" s="54" t="str">
        <f aca="false">IF(B141="","",IFERROR(INDEX('Kitting Plan'!$D$5:$D$18,MATCH(B141,'Kitting Plan'!$C$5:$C$18,0)),"Unknown code"))</f>
        <v>R5B ERBIUM SPOOL ASSEMBLY - E2A</v>
      </c>
      <c r="D141" s="54" t="str">
        <f aca="false">IF(B141="","",IFERROR(INDEX('Kitting Plan'!$B$5:$B$18,MATCH(B141,'Kitting Plan'!$C$5:$C$18,0)),""))</f>
        <v>ERBIUM ASSY</v>
      </c>
      <c r="E141" s="45"/>
      <c r="F141" s="55" t="n">
        <f aca="false">IF(B141="","",IFERROR(INDEX('Kitting Plan'!$H$5:$H$18,MATCH(B141,'Kitting Plan'!$C$5:$C$18,0)),""))</f>
        <v>24</v>
      </c>
      <c r="G141" s="45" t="n">
        <v>1</v>
      </c>
      <c r="H141" s="56" t="n">
        <f aca="false">IF(B141="","",IF(G141="",F141,G141))</f>
        <v>1</v>
      </c>
      <c r="I141" s="45" t="s">
        <v>29</v>
      </c>
      <c r="J141" s="57" t="n">
        <v>46238</v>
      </c>
      <c r="K141" s="46" t="s">
        <v>104</v>
      </c>
      <c r="L141" s="54" t="str">
        <f aca="false">IF(A141="","",IF(B141="","Missing code",IF(C141="Unknown code","Unknown code",IF(COUNTIF($A$6:$A$1005,A141)&gt;1,"Duplicate WO",""))))</f>
        <v/>
      </c>
    </row>
    <row r="142" customFormat="false" ht="23.85" hidden="false" customHeight="false" outlineLevel="0" collapsed="false">
      <c r="A142" s="53" t="n">
        <v>100872722</v>
      </c>
      <c r="B142" s="46" t="s">
        <v>63</v>
      </c>
      <c r="C142" s="54" t="str">
        <f aca="false">IF(B142="","",IFERROR(INDEX('Kitting Plan'!$D$5:$D$18,MATCH(B142,'Kitting Plan'!$C$5:$C$18,0)),"Unknown code"))</f>
        <v>R5B ERBIUM SPOOL ASSEMBLY - E2A</v>
      </c>
      <c r="D142" s="54" t="str">
        <f aca="false">IF(B142="","",IFERROR(INDEX('Kitting Plan'!$B$5:$B$18,MATCH(B142,'Kitting Plan'!$C$5:$C$18,0)),""))</f>
        <v>ERBIUM ASSY</v>
      </c>
      <c r="E142" s="45"/>
      <c r="F142" s="55" t="n">
        <f aca="false">IF(B142="","",IFERROR(INDEX('Kitting Plan'!$H$5:$H$18,MATCH(B142,'Kitting Plan'!$C$5:$C$18,0)),""))</f>
        <v>24</v>
      </c>
      <c r="G142" s="45" t="n">
        <v>1</v>
      </c>
      <c r="H142" s="56" t="n">
        <f aca="false">IF(B142="","",IF(G142="",F142,G142))</f>
        <v>1</v>
      </c>
      <c r="I142" s="45" t="s">
        <v>29</v>
      </c>
      <c r="J142" s="57" t="n">
        <v>46238</v>
      </c>
      <c r="K142" s="46" t="s">
        <v>104</v>
      </c>
      <c r="L142" s="54" t="str">
        <f aca="false">IF(A142="","",IF(B142="","Missing code",IF(C142="Unknown code","Unknown code",IF(COUNTIF($A$6:$A$1005,A142)&gt;1,"Duplicate WO",""))))</f>
        <v/>
      </c>
    </row>
    <row r="143" customFormat="false" ht="23.85" hidden="false" customHeight="false" outlineLevel="0" collapsed="false">
      <c r="A143" s="53" t="n">
        <v>100872723</v>
      </c>
      <c r="B143" s="46" t="s">
        <v>63</v>
      </c>
      <c r="C143" s="54" t="str">
        <f aca="false">IF(B143="","",IFERROR(INDEX('Kitting Plan'!$D$5:$D$18,MATCH(B143,'Kitting Plan'!$C$5:$C$18,0)),"Unknown code"))</f>
        <v>R5B ERBIUM SPOOL ASSEMBLY - E2A</v>
      </c>
      <c r="D143" s="54" t="str">
        <f aca="false">IF(B143="","",IFERROR(INDEX('Kitting Plan'!$B$5:$B$18,MATCH(B143,'Kitting Plan'!$C$5:$C$18,0)),""))</f>
        <v>ERBIUM ASSY</v>
      </c>
      <c r="E143" s="45"/>
      <c r="F143" s="55" t="n">
        <f aca="false">IF(B143="","",IFERROR(INDEX('Kitting Plan'!$H$5:$H$18,MATCH(B143,'Kitting Plan'!$C$5:$C$18,0)),""))</f>
        <v>24</v>
      </c>
      <c r="G143" s="45" t="n">
        <v>1</v>
      </c>
      <c r="H143" s="56" t="n">
        <f aca="false">IF(B143="","",IF(G143="",F143,G143))</f>
        <v>1</v>
      </c>
      <c r="I143" s="45" t="s">
        <v>29</v>
      </c>
      <c r="J143" s="57" t="n">
        <v>46238</v>
      </c>
      <c r="K143" s="46" t="s">
        <v>104</v>
      </c>
      <c r="L143" s="54" t="str">
        <f aca="false">IF(A143="","",IF(B143="","Missing code",IF(C143="Unknown code","Unknown code",IF(COUNTIF($A$6:$A$1005,A143)&gt;1,"Duplicate WO",""))))</f>
        <v/>
      </c>
    </row>
    <row r="144" customFormat="false" ht="23.85" hidden="false" customHeight="false" outlineLevel="0" collapsed="false">
      <c r="A144" s="53" t="n">
        <v>100872724</v>
      </c>
      <c r="B144" s="46" t="s">
        <v>63</v>
      </c>
      <c r="C144" s="54" t="str">
        <f aca="false">IF(B144="","",IFERROR(INDEX('Kitting Plan'!$D$5:$D$18,MATCH(B144,'Kitting Plan'!$C$5:$C$18,0)),"Unknown code"))</f>
        <v>R5B ERBIUM SPOOL ASSEMBLY - E2A</v>
      </c>
      <c r="D144" s="54" t="str">
        <f aca="false">IF(B144="","",IFERROR(INDEX('Kitting Plan'!$B$5:$B$18,MATCH(B144,'Kitting Plan'!$C$5:$C$18,0)),""))</f>
        <v>ERBIUM ASSY</v>
      </c>
      <c r="E144" s="45"/>
      <c r="F144" s="55" t="n">
        <f aca="false">IF(B144="","",IFERROR(INDEX('Kitting Plan'!$H$5:$H$18,MATCH(B144,'Kitting Plan'!$C$5:$C$18,0)),""))</f>
        <v>24</v>
      </c>
      <c r="G144" s="45" t="n">
        <v>1</v>
      </c>
      <c r="H144" s="56" t="n">
        <f aca="false">IF(B144="","",IF(G144="",F144,G144))</f>
        <v>1</v>
      </c>
      <c r="I144" s="45" t="s">
        <v>29</v>
      </c>
      <c r="J144" s="57" t="n">
        <v>46238</v>
      </c>
      <c r="K144" s="46" t="s">
        <v>104</v>
      </c>
      <c r="L144" s="54" t="str">
        <f aca="false">IF(A144="","",IF(B144="","Missing code",IF(C144="Unknown code","Unknown code",IF(COUNTIF($A$6:$A$1005,A144)&gt;1,"Duplicate WO",""))))</f>
        <v/>
      </c>
    </row>
    <row r="145" customFormat="false" ht="23.85" hidden="false" customHeight="false" outlineLevel="0" collapsed="false">
      <c r="A145" s="53" t="n">
        <v>100872725</v>
      </c>
      <c r="B145" s="46" t="s">
        <v>63</v>
      </c>
      <c r="C145" s="54" t="str">
        <f aca="false">IF(B145="","",IFERROR(INDEX('Kitting Plan'!$D$5:$D$18,MATCH(B145,'Kitting Plan'!$C$5:$C$18,0)),"Unknown code"))</f>
        <v>R5B ERBIUM SPOOL ASSEMBLY - E2A</v>
      </c>
      <c r="D145" s="54" t="str">
        <f aca="false">IF(B145="","",IFERROR(INDEX('Kitting Plan'!$B$5:$B$18,MATCH(B145,'Kitting Plan'!$C$5:$C$18,0)),""))</f>
        <v>ERBIUM ASSY</v>
      </c>
      <c r="E145" s="45"/>
      <c r="F145" s="55" t="n">
        <f aca="false">IF(B145="","",IFERROR(INDEX('Kitting Plan'!$H$5:$H$18,MATCH(B145,'Kitting Plan'!$C$5:$C$18,0)),""))</f>
        <v>24</v>
      </c>
      <c r="G145" s="45" t="n">
        <v>1</v>
      </c>
      <c r="H145" s="56" t="n">
        <f aca="false">IF(B145="","",IF(G145="",F145,G145))</f>
        <v>1</v>
      </c>
      <c r="I145" s="45" t="s">
        <v>29</v>
      </c>
      <c r="J145" s="57" t="n">
        <v>46238</v>
      </c>
      <c r="K145" s="46" t="s">
        <v>104</v>
      </c>
      <c r="L145" s="54" t="str">
        <f aca="false">IF(A145="","",IF(B145="","Missing code",IF(C145="Unknown code","Unknown code",IF(COUNTIF($A$6:$A$1005,A145)&gt;1,"Duplicate WO",""))))</f>
        <v/>
      </c>
    </row>
    <row r="146" customFormat="false" ht="23.85" hidden="false" customHeight="false" outlineLevel="0" collapsed="false">
      <c r="A146" s="53" t="n">
        <v>100872726</v>
      </c>
      <c r="B146" s="46" t="s">
        <v>63</v>
      </c>
      <c r="C146" s="54" t="str">
        <f aca="false">IF(B146="","",IFERROR(INDEX('Kitting Plan'!$D$5:$D$18,MATCH(B146,'Kitting Plan'!$C$5:$C$18,0)),"Unknown code"))</f>
        <v>R5B ERBIUM SPOOL ASSEMBLY - E2A</v>
      </c>
      <c r="D146" s="54" t="str">
        <f aca="false">IF(B146="","",IFERROR(INDEX('Kitting Plan'!$B$5:$B$18,MATCH(B146,'Kitting Plan'!$C$5:$C$18,0)),""))</f>
        <v>ERBIUM ASSY</v>
      </c>
      <c r="E146" s="45"/>
      <c r="F146" s="55" t="n">
        <f aca="false">IF(B146="","",IFERROR(INDEX('Kitting Plan'!$H$5:$H$18,MATCH(B146,'Kitting Plan'!$C$5:$C$18,0)),""))</f>
        <v>24</v>
      </c>
      <c r="G146" s="45" t="n">
        <v>1</v>
      </c>
      <c r="H146" s="56" t="n">
        <f aca="false">IF(B146="","",IF(G146="",F146,G146))</f>
        <v>1</v>
      </c>
      <c r="I146" s="45" t="s">
        <v>29</v>
      </c>
      <c r="J146" s="57" t="n">
        <v>46238</v>
      </c>
      <c r="K146" s="46" t="s">
        <v>104</v>
      </c>
      <c r="L146" s="54" t="str">
        <f aca="false">IF(A146="","",IF(B146="","Missing code",IF(C146="Unknown code","Unknown code",IF(COUNTIF($A$6:$A$1005,A146)&gt;1,"Duplicate WO",""))))</f>
        <v/>
      </c>
    </row>
    <row r="147" customFormat="false" ht="23.85" hidden="false" customHeight="false" outlineLevel="0" collapsed="false">
      <c r="A147" s="53" t="n">
        <v>100872727</v>
      </c>
      <c r="B147" s="46" t="s">
        <v>63</v>
      </c>
      <c r="C147" s="54" t="str">
        <f aca="false">IF(B147="","",IFERROR(INDEX('Kitting Plan'!$D$5:$D$18,MATCH(B147,'Kitting Plan'!$C$5:$C$18,0)),"Unknown code"))</f>
        <v>R5B ERBIUM SPOOL ASSEMBLY - E2A</v>
      </c>
      <c r="D147" s="54" t="str">
        <f aca="false">IF(B147="","",IFERROR(INDEX('Kitting Plan'!$B$5:$B$18,MATCH(B147,'Kitting Plan'!$C$5:$C$18,0)),""))</f>
        <v>ERBIUM ASSY</v>
      </c>
      <c r="E147" s="45"/>
      <c r="F147" s="55" t="n">
        <f aca="false">IF(B147="","",IFERROR(INDEX('Kitting Plan'!$H$5:$H$18,MATCH(B147,'Kitting Plan'!$C$5:$C$18,0)),""))</f>
        <v>24</v>
      </c>
      <c r="G147" s="45" t="n">
        <v>1</v>
      </c>
      <c r="H147" s="56" t="n">
        <f aca="false">IF(B147="","",IF(G147="",F147,G147))</f>
        <v>1</v>
      </c>
      <c r="I147" s="45" t="s">
        <v>29</v>
      </c>
      <c r="J147" s="57" t="n">
        <v>46238</v>
      </c>
      <c r="K147" s="46" t="s">
        <v>104</v>
      </c>
      <c r="L147" s="54" t="str">
        <f aca="false">IF(A147="","",IF(B147="","Missing code",IF(C147="Unknown code","Unknown code",IF(COUNTIF($A$6:$A$1005,A147)&gt;1,"Duplicate WO",""))))</f>
        <v/>
      </c>
    </row>
    <row r="148" customFormat="false" ht="23.85" hidden="false" customHeight="false" outlineLevel="0" collapsed="false">
      <c r="A148" s="53" t="n">
        <v>100872728</v>
      </c>
      <c r="B148" s="46" t="s">
        <v>63</v>
      </c>
      <c r="C148" s="54" t="str">
        <f aca="false">IF(B148="","",IFERROR(INDEX('Kitting Plan'!$D$5:$D$18,MATCH(B148,'Kitting Plan'!$C$5:$C$18,0)),"Unknown code"))</f>
        <v>R5B ERBIUM SPOOL ASSEMBLY - E2A</v>
      </c>
      <c r="D148" s="54" t="str">
        <f aca="false">IF(B148="","",IFERROR(INDEX('Kitting Plan'!$B$5:$B$18,MATCH(B148,'Kitting Plan'!$C$5:$C$18,0)),""))</f>
        <v>ERBIUM ASSY</v>
      </c>
      <c r="E148" s="45"/>
      <c r="F148" s="55" t="n">
        <f aca="false">IF(B148="","",IFERROR(INDEX('Kitting Plan'!$H$5:$H$18,MATCH(B148,'Kitting Plan'!$C$5:$C$18,0)),""))</f>
        <v>24</v>
      </c>
      <c r="G148" s="45" t="n">
        <v>1</v>
      </c>
      <c r="H148" s="56" t="n">
        <f aca="false">IF(B148="","",IF(G148="",F148,G148))</f>
        <v>1</v>
      </c>
      <c r="I148" s="45" t="s">
        <v>29</v>
      </c>
      <c r="J148" s="57" t="n">
        <v>46238</v>
      </c>
      <c r="K148" s="46" t="s">
        <v>104</v>
      </c>
      <c r="L148" s="54" t="str">
        <f aca="false">IF(A148="","",IF(B148="","Missing code",IF(C148="Unknown code","Unknown code",IF(COUNTIF($A$6:$A$1005,A148)&gt;1,"Duplicate WO",""))))</f>
        <v/>
      </c>
    </row>
    <row r="149" customFormat="false" ht="23.85" hidden="false" customHeight="false" outlineLevel="0" collapsed="false">
      <c r="A149" s="53" t="n">
        <v>100872729</v>
      </c>
      <c r="B149" s="46" t="s">
        <v>63</v>
      </c>
      <c r="C149" s="54" t="str">
        <f aca="false">IF(B149="","",IFERROR(INDEX('Kitting Plan'!$D$5:$D$18,MATCH(B149,'Kitting Plan'!$C$5:$C$18,0)),"Unknown code"))</f>
        <v>R5B ERBIUM SPOOL ASSEMBLY - E2A</v>
      </c>
      <c r="D149" s="54" t="str">
        <f aca="false">IF(B149="","",IFERROR(INDEX('Kitting Plan'!$B$5:$B$18,MATCH(B149,'Kitting Plan'!$C$5:$C$18,0)),""))</f>
        <v>ERBIUM ASSY</v>
      </c>
      <c r="E149" s="45"/>
      <c r="F149" s="55" t="n">
        <f aca="false">IF(B149="","",IFERROR(INDEX('Kitting Plan'!$H$5:$H$18,MATCH(B149,'Kitting Plan'!$C$5:$C$18,0)),""))</f>
        <v>24</v>
      </c>
      <c r="G149" s="45" t="n">
        <v>1</v>
      </c>
      <c r="H149" s="56" t="n">
        <f aca="false">IF(B149="","",IF(G149="",F149,G149))</f>
        <v>1</v>
      </c>
      <c r="I149" s="45" t="s">
        <v>29</v>
      </c>
      <c r="J149" s="57" t="n">
        <v>46238</v>
      </c>
      <c r="K149" s="46" t="s">
        <v>104</v>
      </c>
      <c r="L149" s="54" t="str">
        <f aca="false">IF(A149="","",IF(B149="","Missing code",IF(C149="Unknown code","Unknown code",IF(COUNTIF($A$6:$A$1005,A149)&gt;1,"Duplicate WO",""))))</f>
        <v/>
      </c>
    </row>
    <row r="150" customFormat="false" ht="23.85" hidden="false" customHeight="false" outlineLevel="0" collapsed="false">
      <c r="A150" s="53" t="n">
        <v>100872730</v>
      </c>
      <c r="B150" s="46" t="s">
        <v>63</v>
      </c>
      <c r="C150" s="54" t="str">
        <f aca="false">IF(B150="","",IFERROR(INDEX('Kitting Plan'!$D$5:$D$18,MATCH(B150,'Kitting Plan'!$C$5:$C$18,0)),"Unknown code"))</f>
        <v>R5B ERBIUM SPOOL ASSEMBLY - E2A</v>
      </c>
      <c r="D150" s="54" t="str">
        <f aca="false">IF(B150="","",IFERROR(INDEX('Kitting Plan'!$B$5:$B$18,MATCH(B150,'Kitting Plan'!$C$5:$C$18,0)),""))</f>
        <v>ERBIUM ASSY</v>
      </c>
      <c r="E150" s="45"/>
      <c r="F150" s="55" t="n">
        <f aca="false">IF(B150="","",IFERROR(INDEX('Kitting Plan'!$H$5:$H$18,MATCH(B150,'Kitting Plan'!$C$5:$C$18,0)),""))</f>
        <v>24</v>
      </c>
      <c r="G150" s="45" t="n">
        <v>1</v>
      </c>
      <c r="H150" s="56" t="n">
        <f aca="false">IF(B150="","",IF(G150="",F150,G150))</f>
        <v>1</v>
      </c>
      <c r="I150" s="45" t="s">
        <v>29</v>
      </c>
      <c r="J150" s="57" t="n">
        <v>46238</v>
      </c>
      <c r="K150" s="46" t="s">
        <v>104</v>
      </c>
      <c r="L150" s="54" t="str">
        <f aca="false">IF(A150="","",IF(B150="","Missing code",IF(C150="Unknown code","Unknown code",IF(COUNTIF($A$6:$A$1005,A150)&gt;1,"Duplicate WO",""))))</f>
        <v/>
      </c>
    </row>
    <row r="151" customFormat="false" ht="23.85" hidden="false" customHeight="false" outlineLevel="0" collapsed="false">
      <c r="A151" s="53" t="n">
        <v>100872731</v>
      </c>
      <c r="B151" s="46" t="s">
        <v>63</v>
      </c>
      <c r="C151" s="54" t="str">
        <f aca="false">IF(B151="","",IFERROR(INDEX('Kitting Plan'!$D$5:$D$18,MATCH(B151,'Kitting Plan'!$C$5:$C$18,0)),"Unknown code"))</f>
        <v>R5B ERBIUM SPOOL ASSEMBLY - E2A</v>
      </c>
      <c r="D151" s="54" t="str">
        <f aca="false">IF(B151="","",IFERROR(INDEX('Kitting Plan'!$B$5:$B$18,MATCH(B151,'Kitting Plan'!$C$5:$C$18,0)),""))</f>
        <v>ERBIUM ASSY</v>
      </c>
      <c r="E151" s="45"/>
      <c r="F151" s="55" t="n">
        <f aca="false">IF(B151="","",IFERROR(INDEX('Kitting Plan'!$H$5:$H$18,MATCH(B151,'Kitting Plan'!$C$5:$C$18,0)),""))</f>
        <v>24</v>
      </c>
      <c r="G151" s="45" t="n">
        <v>1</v>
      </c>
      <c r="H151" s="56" t="n">
        <f aca="false">IF(B151="","",IF(G151="",F151,G151))</f>
        <v>1</v>
      </c>
      <c r="I151" s="45" t="s">
        <v>29</v>
      </c>
      <c r="J151" s="57" t="n">
        <v>46238</v>
      </c>
      <c r="K151" s="46" t="s">
        <v>104</v>
      </c>
      <c r="L151" s="54" t="str">
        <f aca="false">IF(A151="","",IF(B151="","Missing code",IF(C151="Unknown code","Unknown code",IF(COUNTIF($A$6:$A$1005,A151)&gt;1,"Duplicate WO",""))))</f>
        <v/>
      </c>
    </row>
    <row r="152" customFormat="false" ht="23.85" hidden="false" customHeight="false" outlineLevel="0" collapsed="false">
      <c r="A152" s="53" t="n">
        <v>100872732</v>
      </c>
      <c r="B152" s="46" t="s">
        <v>63</v>
      </c>
      <c r="C152" s="54" t="str">
        <f aca="false">IF(B152="","",IFERROR(INDEX('Kitting Plan'!$D$5:$D$18,MATCH(B152,'Kitting Plan'!$C$5:$C$18,0)),"Unknown code"))</f>
        <v>R5B ERBIUM SPOOL ASSEMBLY - E2A</v>
      </c>
      <c r="D152" s="54" t="str">
        <f aca="false">IF(B152="","",IFERROR(INDEX('Kitting Plan'!$B$5:$B$18,MATCH(B152,'Kitting Plan'!$C$5:$C$18,0)),""))</f>
        <v>ERBIUM ASSY</v>
      </c>
      <c r="E152" s="45"/>
      <c r="F152" s="55" t="n">
        <f aca="false">IF(B152="","",IFERROR(INDEX('Kitting Plan'!$H$5:$H$18,MATCH(B152,'Kitting Plan'!$C$5:$C$18,0)),""))</f>
        <v>24</v>
      </c>
      <c r="G152" s="45" t="n">
        <v>1</v>
      </c>
      <c r="H152" s="56" t="n">
        <f aca="false">IF(B152="","",IF(G152="",F152,G152))</f>
        <v>1</v>
      </c>
      <c r="I152" s="45" t="s">
        <v>29</v>
      </c>
      <c r="J152" s="57" t="n">
        <v>46238</v>
      </c>
      <c r="K152" s="46" t="s">
        <v>104</v>
      </c>
      <c r="L152" s="54" t="str">
        <f aca="false">IF(A152="","",IF(B152="","Missing code",IF(C152="Unknown code","Unknown code",IF(COUNTIF($A$6:$A$1005,A152)&gt;1,"Duplicate WO",""))))</f>
        <v/>
      </c>
    </row>
    <row r="153" customFormat="false" ht="23.85" hidden="false" customHeight="false" outlineLevel="0" collapsed="false">
      <c r="A153" s="53" t="n">
        <v>100872733</v>
      </c>
      <c r="B153" s="46" t="s">
        <v>63</v>
      </c>
      <c r="C153" s="54" t="str">
        <f aca="false">IF(B153="","",IFERROR(INDEX('Kitting Plan'!$D$5:$D$18,MATCH(B153,'Kitting Plan'!$C$5:$C$18,0)),"Unknown code"))</f>
        <v>R5B ERBIUM SPOOL ASSEMBLY - E2A</v>
      </c>
      <c r="D153" s="54" t="str">
        <f aca="false">IF(B153="","",IFERROR(INDEX('Kitting Plan'!$B$5:$B$18,MATCH(B153,'Kitting Plan'!$C$5:$C$18,0)),""))</f>
        <v>ERBIUM ASSY</v>
      </c>
      <c r="E153" s="45"/>
      <c r="F153" s="55" t="n">
        <f aca="false">IF(B153="","",IFERROR(INDEX('Kitting Plan'!$H$5:$H$18,MATCH(B153,'Kitting Plan'!$C$5:$C$18,0)),""))</f>
        <v>24</v>
      </c>
      <c r="G153" s="45" t="n">
        <v>1</v>
      </c>
      <c r="H153" s="56" t="n">
        <f aca="false">IF(B153="","",IF(G153="",F153,G153))</f>
        <v>1</v>
      </c>
      <c r="I153" s="45" t="s">
        <v>29</v>
      </c>
      <c r="J153" s="57" t="n">
        <v>46238</v>
      </c>
      <c r="K153" s="46" t="s">
        <v>104</v>
      </c>
      <c r="L153" s="54" t="str">
        <f aca="false">IF(A153="","",IF(B153="","Missing code",IF(C153="Unknown code","Unknown code",IF(COUNTIF($A$6:$A$1005,A153)&gt;1,"Duplicate WO",""))))</f>
        <v/>
      </c>
    </row>
    <row r="154" customFormat="false" ht="23.85" hidden="false" customHeight="false" outlineLevel="0" collapsed="false">
      <c r="A154" s="53" t="n">
        <v>100872734</v>
      </c>
      <c r="B154" s="46" t="s">
        <v>63</v>
      </c>
      <c r="C154" s="54" t="str">
        <f aca="false">IF(B154="","",IFERROR(INDEX('Kitting Plan'!$D$5:$D$18,MATCH(B154,'Kitting Plan'!$C$5:$C$18,0)),"Unknown code"))</f>
        <v>R5B ERBIUM SPOOL ASSEMBLY - E2A</v>
      </c>
      <c r="D154" s="54" t="str">
        <f aca="false">IF(B154="","",IFERROR(INDEX('Kitting Plan'!$B$5:$B$18,MATCH(B154,'Kitting Plan'!$C$5:$C$18,0)),""))</f>
        <v>ERBIUM ASSY</v>
      </c>
      <c r="E154" s="45"/>
      <c r="F154" s="55" t="n">
        <f aca="false">IF(B154="","",IFERROR(INDEX('Kitting Plan'!$H$5:$H$18,MATCH(B154,'Kitting Plan'!$C$5:$C$18,0)),""))</f>
        <v>24</v>
      </c>
      <c r="G154" s="45" t="n">
        <v>1</v>
      </c>
      <c r="H154" s="56" t="n">
        <f aca="false">IF(B154="","",IF(G154="",F154,G154))</f>
        <v>1</v>
      </c>
      <c r="I154" s="45" t="s">
        <v>29</v>
      </c>
      <c r="J154" s="57" t="n">
        <v>46238</v>
      </c>
      <c r="K154" s="46" t="s">
        <v>104</v>
      </c>
      <c r="L154" s="54" t="str">
        <f aca="false">IF(A154="","",IF(B154="","Missing code",IF(C154="Unknown code","Unknown code",IF(COUNTIF($A$6:$A$1005,A154)&gt;1,"Duplicate WO",""))))</f>
        <v/>
      </c>
    </row>
    <row r="155" customFormat="false" ht="23.85" hidden="false" customHeight="false" outlineLevel="0" collapsed="false">
      <c r="A155" s="53" t="n">
        <v>100872735</v>
      </c>
      <c r="B155" s="46" t="s">
        <v>63</v>
      </c>
      <c r="C155" s="54" t="str">
        <f aca="false">IF(B155="","",IFERROR(INDEX('Kitting Plan'!$D$5:$D$18,MATCH(B155,'Kitting Plan'!$C$5:$C$18,0)),"Unknown code"))</f>
        <v>R5B ERBIUM SPOOL ASSEMBLY - E2A</v>
      </c>
      <c r="D155" s="54" t="str">
        <f aca="false">IF(B155="","",IFERROR(INDEX('Kitting Plan'!$B$5:$B$18,MATCH(B155,'Kitting Plan'!$C$5:$C$18,0)),""))</f>
        <v>ERBIUM ASSY</v>
      </c>
      <c r="E155" s="45"/>
      <c r="F155" s="55" t="n">
        <f aca="false">IF(B155="","",IFERROR(INDEX('Kitting Plan'!$H$5:$H$18,MATCH(B155,'Kitting Plan'!$C$5:$C$18,0)),""))</f>
        <v>24</v>
      </c>
      <c r="G155" s="45" t="n">
        <v>1</v>
      </c>
      <c r="H155" s="56" t="n">
        <f aca="false">IF(B155="","",IF(G155="",F155,G155))</f>
        <v>1</v>
      </c>
      <c r="I155" s="45" t="s">
        <v>29</v>
      </c>
      <c r="J155" s="57" t="n">
        <v>46238</v>
      </c>
      <c r="K155" s="46" t="s">
        <v>104</v>
      </c>
      <c r="L155" s="54" t="str">
        <f aca="false">IF(A155="","",IF(B155="","Missing code",IF(C155="Unknown code","Unknown code",IF(COUNTIF($A$6:$A$1005,A155)&gt;1,"Duplicate WO",""))))</f>
        <v/>
      </c>
    </row>
    <row r="156" customFormat="false" ht="23.85" hidden="false" customHeight="false" outlineLevel="0" collapsed="false">
      <c r="A156" s="53" t="n">
        <v>100872736</v>
      </c>
      <c r="B156" s="46" t="s">
        <v>63</v>
      </c>
      <c r="C156" s="54" t="str">
        <f aca="false">IF(B156="","",IFERROR(INDEX('Kitting Plan'!$D$5:$D$18,MATCH(B156,'Kitting Plan'!$C$5:$C$18,0)),"Unknown code"))</f>
        <v>R5B ERBIUM SPOOL ASSEMBLY - E2A</v>
      </c>
      <c r="D156" s="54" t="str">
        <f aca="false">IF(B156="","",IFERROR(INDEX('Kitting Plan'!$B$5:$B$18,MATCH(B156,'Kitting Plan'!$C$5:$C$18,0)),""))</f>
        <v>ERBIUM ASSY</v>
      </c>
      <c r="E156" s="45"/>
      <c r="F156" s="55" t="n">
        <f aca="false">IF(B156="","",IFERROR(INDEX('Kitting Plan'!$H$5:$H$18,MATCH(B156,'Kitting Plan'!$C$5:$C$18,0)),""))</f>
        <v>24</v>
      </c>
      <c r="G156" s="45" t="n">
        <v>1</v>
      </c>
      <c r="H156" s="56" t="n">
        <f aca="false">IF(B156="","",IF(G156="",F156,G156))</f>
        <v>1</v>
      </c>
      <c r="I156" s="45" t="s">
        <v>29</v>
      </c>
      <c r="J156" s="57" t="n">
        <v>46238</v>
      </c>
      <c r="K156" s="46" t="s">
        <v>104</v>
      </c>
      <c r="L156" s="54" t="str">
        <f aca="false">IF(A156="","",IF(B156="","Missing code",IF(C156="Unknown code","Unknown code",IF(COUNTIF($A$6:$A$1005,A156)&gt;1,"Duplicate WO",""))))</f>
        <v/>
      </c>
    </row>
    <row r="157" customFormat="false" ht="23.85" hidden="false" customHeight="false" outlineLevel="0" collapsed="false">
      <c r="A157" s="53" t="n">
        <v>100872737</v>
      </c>
      <c r="B157" s="46" t="s">
        <v>63</v>
      </c>
      <c r="C157" s="54" t="str">
        <f aca="false">IF(B157="","",IFERROR(INDEX('Kitting Plan'!$D$5:$D$18,MATCH(B157,'Kitting Plan'!$C$5:$C$18,0)),"Unknown code"))</f>
        <v>R5B ERBIUM SPOOL ASSEMBLY - E2A</v>
      </c>
      <c r="D157" s="54" t="str">
        <f aca="false">IF(B157="","",IFERROR(INDEX('Kitting Plan'!$B$5:$B$18,MATCH(B157,'Kitting Plan'!$C$5:$C$18,0)),""))</f>
        <v>ERBIUM ASSY</v>
      </c>
      <c r="E157" s="45"/>
      <c r="F157" s="55" t="n">
        <f aca="false">IF(B157="","",IFERROR(INDEX('Kitting Plan'!$H$5:$H$18,MATCH(B157,'Kitting Plan'!$C$5:$C$18,0)),""))</f>
        <v>24</v>
      </c>
      <c r="G157" s="45" t="n">
        <v>1</v>
      </c>
      <c r="H157" s="56" t="n">
        <f aca="false">IF(B157="","",IF(G157="",F157,G157))</f>
        <v>1</v>
      </c>
      <c r="I157" s="45" t="s">
        <v>29</v>
      </c>
      <c r="J157" s="57" t="n">
        <v>46238</v>
      </c>
      <c r="K157" s="46" t="s">
        <v>104</v>
      </c>
      <c r="L157" s="54" t="str">
        <f aca="false">IF(A157="","",IF(B157="","Missing code",IF(C157="Unknown code","Unknown code",IF(COUNTIF($A$6:$A$1005,A157)&gt;1,"Duplicate WO",""))))</f>
        <v/>
      </c>
    </row>
    <row r="158" customFormat="false" ht="23.85" hidden="false" customHeight="false" outlineLevel="0" collapsed="false">
      <c r="A158" s="53" t="n">
        <v>100872738</v>
      </c>
      <c r="B158" s="46" t="s">
        <v>63</v>
      </c>
      <c r="C158" s="54" t="str">
        <f aca="false">IF(B158="","",IFERROR(INDEX('Kitting Plan'!$D$5:$D$18,MATCH(B158,'Kitting Plan'!$C$5:$C$18,0)),"Unknown code"))</f>
        <v>R5B ERBIUM SPOOL ASSEMBLY - E2A</v>
      </c>
      <c r="D158" s="54" t="str">
        <f aca="false">IF(B158="","",IFERROR(INDEX('Kitting Plan'!$B$5:$B$18,MATCH(B158,'Kitting Plan'!$C$5:$C$18,0)),""))</f>
        <v>ERBIUM ASSY</v>
      </c>
      <c r="E158" s="45"/>
      <c r="F158" s="55" t="n">
        <f aca="false">IF(B158="","",IFERROR(INDEX('Kitting Plan'!$H$5:$H$18,MATCH(B158,'Kitting Plan'!$C$5:$C$18,0)),""))</f>
        <v>24</v>
      </c>
      <c r="G158" s="45" t="n">
        <v>1</v>
      </c>
      <c r="H158" s="56" t="n">
        <f aca="false">IF(B158="","",IF(G158="",F158,G158))</f>
        <v>1</v>
      </c>
      <c r="I158" s="45" t="s">
        <v>29</v>
      </c>
      <c r="J158" s="57" t="n">
        <v>46238</v>
      </c>
      <c r="K158" s="46" t="s">
        <v>104</v>
      </c>
      <c r="L158" s="54" t="str">
        <f aca="false">IF(A158="","",IF(B158="","Missing code",IF(C158="Unknown code","Unknown code",IF(COUNTIF($A$6:$A$1005,A158)&gt;1,"Duplicate WO",""))))</f>
        <v/>
      </c>
    </row>
    <row r="159" customFormat="false" ht="23.85" hidden="false" customHeight="false" outlineLevel="0" collapsed="false">
      <c r="A159" s="53" t="n">
        <v>100874141</v>
      </c>
      <c r="B159" s="46" t="s">
        <v>63</v>
      </c>
      <c r="C159" s="54" t="str">
        <f aca="false">IF(B159="","",IFERROR(INDEX('Kitting Plan'!$D$5:$D$18,MATCH(B159,'Kitting Plan'!$C$5:$C$18,0)),"Unknown code"))</f>
        <v>R5B ERBIUM SPOOL ASSEMBLY - E2A</v>
      </c>
      <c r="D159" s="54" t="str">
        <f aca="false">IF(B159="","",IFERROR(INDEX('Kitting Plan'!$B$5:$B$18,MATCH(B159,'Kitting Plan'!$C$5:$C$18,0)),""))</f>
        <v>ERBIUM ASSY</v>
      </c>
      <c r="E159" s="45"/>
      <c r="F159" s="55" t="n">
        <f aca="false">IF(B159="","",IFERROR(INDEX('Kitting Plan'!$H$5:$H$18,MATCH(B159,'Kitting Plan'!$C$5:$C$18,0)),""))</f>
        <v>24</v>
      </c>
      <c r="G159" s="45" t="n">
        <v>1</v>
      </c>
      <c r="H159" s="56" t="n">
        <f aca="false">IF(B159="","",IF(G159="",F159,G159))</f>
        <v>1</v>
      </c>
      <c r="I159" s="45" t="s">
        <v>29</v>
      </c>
      <c r="J159" s="57" t="n">
        <v>46246</v>
      </c>
      <c r="K159" s="46" t="s">
        <v>104</v>
      </c>
      <c r="L159" s="54" t="str">
        <f aca="false">IF(A159="","",IF(B159="","Missing code",IF(C159="Unknown code","Unknown code",IF(COUNTIF($A$6:$A$1005,A159)&gt;1,"Duplicate WO",""))))</f>
        <v/>
      </c>
    </row>
    <row r="160" customFormat="false" ht="23.85" hidden="false" customHeight="false" outlineLevel="0" collapsed="false">
      <c r="A160" s="53" t="n">
        <v>100874142</v>
      </c>
      <c r="B160" s="46" t="s">
        <v>63</v>
      </c>
      <c r="C160" s="54" t="str">
        <f aca="false">IF(B160="","",IFERROR(INDEX('Kitting Plan'!$D$5:$D$18,MATCH(B160,'Kitting Plan'!$C$5:$C$18,0)),"Unknown code"))</f>
        <v>R5B ERBIUM SPOOL ASSEMBLY - E2A</v>
      </c>
      <c r="D160" s="54" t="str">
        <f aca="false">IF(B160="","",IFERROR(INDEX('Kitting Plan'!$B$5:$B$18,MATCH(B160,'Kitting Plan'!$C$5:$C$18,0)),""))</f>
        <v>ERBIUM ASSY</v>
      </c>
      <c r="E160" s="45"/>
      <c r="F160" s="55" t="n">
        <f aca="false">IF(B160="","",IFERROR(INDEX('Kitting Plan'!$H$5:$H$18,MATCH(B160,'Kitting Plan'!$C$5:$C$18,0)),""))</f>
        <v>24</v>
      </c>
      <c r="G160" s="45" t="n">
        <v>1</v>
      </c>
      <c r="H160" s="56" t="n">
        <f aca="false">IF(B160="","",IF(G160="",F160,G160))</f>
        <v>1</v>
      </c>
      <c r="I160" s="45" t="s">
        <v>29</v>
      </c>
      <c r="J160" s="57" t="n">
        <v>46246</v>
      </c>
      <c r="K160" s="46" t="s">
        <v>102</v>
      </c>
      <c r="L160" s="54" t="str">
        <f aca="false">IF(A160="","",IF(B160="","Missing code",IF(C160="Unknown code","Unknown code",IF(COUNTIF($A$6:$A$1005,A160)&gt;1,"Duplicate WO",""))))</f>
        <v/>
      </c>
    </row>
    <row r="161" customFormat="false" ht="23.85" hidden="false" customHeight="false" outlineLevel="0" collapsed="false">
      <c r="A161" s="53" t="n">
        <v>100874143</v>
      </c>
      <c r="B161" s="46" t="s">
        <v>63</v>
      </c>
      <c r="C161" s="54" t="str">
        <f aca="false">IF(B161="","",IFERROR(INDEX('Kitting Plan'!$D$5:$D$18,MATCH(B161,'Kitting Plan'!$C$5:$C$18,0)),"Unknown code"))</f>
        <v>R5B ERBIUM SPOOL ASSEMBLY - E2A</v>
      </c>
      <c r="D161" s="54" t="str">
        <f aca="false">IF(B161="","",IFERROR(INDEX('Kitting Plan'!$B$5:$B$18,MATCH(B161,'Kitting Plan'!$C$5:$C$18,0)),""))</f>
        <v>ERBIUM ASSY</v>
      </c>
      <c r="E161" s="45"/>
      <c r="F161" s="55" t="n">
        <f aca="false">IF(B161="","",IFERROR(INDEX('Kitting Plan'!$H$5:$H$18,MATCH(B161,'Kitting Plan'!$C$5:$C$18,0)),""))</f>
        <v>24</v>
      </c>
      <c r="G161" s="45" t="n">
        <v>1</v>
      </c>
      <c r="H161" s="56" t="n">
        <f aca="false">IF(B161="","",IF(G161="",F161,G161))</f>
        <v>1</v>
      </c>
      <c r="I161" s="45" t="s">
        <v>29</v>
      </c>
      <c r="J161" s="57" t="n">
        <v>46246</v>
      </c>
      <c r="K161" s="46" t="s">
        <v>102</v>
      </c>
      <c r="L161" s="54" t="str">
        <f aca="false">IF(A161="","",IF(B161="","Missing code",IF(C161="Unknown code","Unknown code",IF(COUNTIF($A$6:$A$1005,A161)&gt;1,"Duplicate WO",""))))</f>
        <v/>
      </c>
    </row>
    <row r="162" customFormat="false" ht="23.85" hidden="false" customHeight="false" outlineLevel="0" collapsed="false">
      <c r="A162" s="53" t="n">
        <v>100874144</v>
      </c>
      <c r="B162" s="46" t="s">
        <v>63</v>
      </c>
      <c r="C162" s="54" t="str">
        <f aca="false">IF(B162="","",IFERROR(INDEX('Kitting Plan'!$D$5:$D$18,MATCH(B162,'Kitting Plan'!$C$5:$C$18,0)),"Unknown code"))</f>
        <v>R5B ERBIUM SPOOL ASSEMBLY - E2A</v>
      </c>
      <c r="D162" s="54" t="str">
        <f aca="false">IF(B162="","",IFERROR(INDEX('Kitting Plan'!$B$5:$B$18,MATCH(B162,'Kitting Plan'!$C$5:$C$18,0)),""))</f>
        <v>ERBIUM ASSY</v>
      </c>
      <c r="E162" s="45"/>
      <c r="F162" s="55" t="n">
        <f aca="false">IF(B162="","",IFERROR(INDEX('Kitting Plan'!$H$5:$H$18,MATCH(B162,'Kitting Plan'!$C$5:$C$18,0)),""))</f>
        <v>24</v>
      </c>
      <c r="G162" s="45" t="n">
        <v>1</v>
      </c>
      <c r="H162" s="56" t="n">
        <f aca="false">IF(B162="","",IF(G162="",F162,G162))</f>
        <v>1</v>
      </c>
      <c r="I162" s="45" t="s">
        <v>29</v>
      </c>
      <c r="J162" s="57" t="n">
        <v>46246</v>
      </c>
      <c r="K162" s="46" t="s">
        <v>102</v>
      </c>
      <c r="L162" s="54" t="str">
        <f aca="false">IF(A162="","",IF(B162="","Missing code",IF(C162="Unknown code","Unknown code",IF(COUNTIF($A$6:$A$1005,A162)&gt;1,"Duplicate WO",""))))</f>
        <v/>
      </c>
    </row>
    <row r="163" customFormat="false" ht="23.85" hidden="false" customHeight="false" outlineLevel="0" collapsed="false">
      <c r="A163" s="53" t="n">
        <v>100874145</v>
      </c>
      <c r="B163" s="46" t="s">
        <v>63</v>
      </c>
      <c r="C163" s="54" t="str">
        <f aca="false">IF(B163="","",IFERROR(INDEX('Kitting Plan'!$D$5:$D$18,MATCH(B163,'Kitting Plan'!$C$5:$C$18,0)),"Unknown code"))</f>
        <v>R5B ERBIUM SPOOL ASSEMBLY - E2A</v>
      </c>
      <c r="D163" s="54" t="str">
        <f aca="false">IF(B163="","",IFERROR(INDEX('Kitting Plan'!$B$5:$B$18,MATCH(B163,'Kitting Plan'!$C$5:$C$18,0)),""))</f>
        <v>ERBIUM ASSY</v>
      </c>
      <c r="E163" s="45"/>
      <c r="F163" s="55" t="n">
        <f aca="false">IF(B163="","",IFERROR(INDEX('Kitting Plan'!$H$5:$H$18,MATCH(B163,'Kitting Plan'!$C$5:$C$18,0)),""))</f>
        <v>24</v>
      </c>
      <c r="G163" s="45" t="n">
        <v>1</v>
      </c>
      <c r="H163" s="56" t="n">
        <f aca="false">IF(B163="","",IF(G163="",F163,G163))</f>
        <v>1</v>
      </c>
      <c r="I163" s="45" t="s">
        <v>29</v>
      </c>
      <c r="J163" s="57" t="n">
        <v>46246</v>
      </c>
      <c r="K163" s="46" t="s">
        <v>102</v>
      </c>
      <c r="L163" s="54" t="str">
        <f aca="false">IF(A163="","",IF(B163="","Missing code",IF(C163="Unknown code","Unknown code",IF(COUNTIF($A$6:$A$1005,A163)&gt;1,"Duplicate WO",""))))</f>
        <v/>
      </c>
    </row>
    <row r="164" customFormat="false" ht="23.85" hidden="false" customHeight="false" outlineLevel="0" collapsed="false">
      <c r="A164" s="53" t="n">
        <v>100874146</v>
      </c>
      <c r="B164" s="46" t="s">
        <v>63</v>
      </c>
      <c r="C164" s="54" t="str">
        <f aca="false">IF(B164="","",IFERROR(INDEX('Kitting Plan'!$D$5:$D$18,MATCH(B164,'Kitting Plan'!$C$5:$C$18,0)),"Unknown code"))</f>
        <v>R5B ERBIUM SPOOL ASSEMBLY - E2A</v>
      </c>
      <c r="D164" s="54" t="str">
        <f aca="false">IF(B164="","",IFERROR(INDEX('Kitting Plan'!$B$5:$B$18,MATCH(B164,'Kitting Plan'!$C$5:$C$18,0)),""))</f>
        <v>ERBIUM ASSY</v>
      </c>
      <c r="E164" s="45"/>
      <c r="F164" s="55" t="n">
        <f aca="false">IF(B164="","",IFERROR(INDEX('Kitting Plan'!$H$5:$H$18,MATCH(B164,'Kitting Plan'!$C$5:$C$18,0)),""))</f>
        <v>24</v>
      </c>
      <c r="G164" s="45" t="n">
        <v>1</v>
      </c>
      <c r="H164" s="56" t="n">
        <f aca="false">IF(B164="","",IF(G164="",F164,G164))</f>
        <v>1</v>
      </c>
      <c r="I164" s="45" t="s">
        <v>29</v>
      </c>
      <c r="J164" s="57" t="n">
        <v>46246</v>
      </c>
      <c r="K164" s="46" t="s">
        <v>102</v>
      </c>
      <c r="L164" s="54" t="str">
        <f aca="false">IF(A164="","",IF(B164="","Missing code",IF(C164="Unknown code","Unknown code",IF(COUNTIF($A$6:$A$1005,A164)&gt;1,"Duplicate WO",""))))</f>
        <v/>
      </c>
    </row>
    <row r="165" customFormat="false" ht="23.85" hidden="false" customHeight="false" outlineLevel="0" collapsed="false">
      <c r="A165" s="53" t="n">
        <v>100874147</v>
      </c>
      <c r="B165" s="46" t="s">
        <v>63</v>
      </c>
      <c r="C165" s="54" t="str">
        <f aca="false">IF(B165="","",IFERROR(INDEX('Kitting Plan'!$D$5:$D$18,MATCH(B165,'Kitting Plan'!$C$5:$C$18,0)),"Unknown code"))</f>
        <v>R5B ERBIUM SPOOL ASSEMBLY - E2A</v>
      </c>
      <c r="D165" s="54" t="str">
        <f aca="false">IF(B165="","",IFERROR(INDEX('Kitting Plan'!$B$5:$B$18,MATCH(B165,'Kitting Plan'!$C$5:$C$18,0)),""))</f>
        <v>ERBIUM ASSY</v>
      </c>
      <c r="E165" s="45"/>
      <c r="F165" s="55" t="n">
        <f aca="false">IF(B165="","",IFERROR(INDEX('Kitting Plan'!$H$5:$H$18,MATCH(B165,'Kitting Plan'!$C$5:$C$18,0)),""))</f>
        <v>24</v>
      </c>
      <c r="G165" s="45" t="n">
        <v>1</v>
      </c>
      <c r="H165" s="56" t="n">
        <f aca="false">IF(B165="","",IF(G165="",F165,G165))</f>
        <v>1</v>
      </c>
      <c r="I165" s="45" t="s">
        <v>29</v>
      </c>
      <c r="J165" s="57" t="n">
        <v>46246</v>
      </c>
      <c r="K165" s="46" t="s">
        <v>102</v>
      </c>
      <c r="L165" s="54" t="str">
        <f aca="false">IF(A165="","",IF(B165="","Missing code",IF(C165="Unknown code","Unknown code",IF(COUNTIF($A$6:$A$1005,A165)&gt;1,"Duplicate WO",""))))</f>
        <v/>
      </c>
    </row>
    <row r="166" customFormat="false" ht="23.85" hidden="false" customHeight="false" outlineLevel="0" collapsed="false">
      <c r="A166" s="53" t="n">
        <v>100874148</v>
      </c>
      <c r="B166" s="46" t="s">
        <v>63</v>
      </c>
      <c r="C166" s="54" t="str">
        <f aca="false">IF(B166="","",IFERROR(INDEX('Kitting Plan'!$D$5:$D$18,MATCH(B166,'Kitting Plan'!$C$5:$C$18,0)),"Unknown code"))</f>
        <v>R5B ERBIUM SPOOL ASSEMBLY - E2A</v>
      </c>
      <c r="D166" s="54" t="str">
        <f aca="false">IF(B166="","",IFERROR(INDEX('Kitting Plan'!$B$5:$B$18,MATCH(B166,'Kitting Plan'!$C$5:$C$18,0)),""))</f>
        <v>ERBIUM ASSY</v>
      </c>
      <c r="E166" s="45"/>
      <c r="F166" s="55" t="n">
        <f aca="false">IF(B166="","",IFERROR(INDEX('Kitting Plan'!$H$5:$H$18,MATCH(B166,'Kitting Plan'!$C$5:$C$18,0)),""))</f>
        <v>24</v>
      </c>
      <c r="G166" s="45" t="n">
        <v>1</v>
      </c>
      <c r="H166" s="56" t="n">
        <f aca="false">IF(B166="","",IF(G166="",F166,G166))</f>
        <v>1</v>
      </c>
      <c r="I166" s="45" t="s">
        <v>29</v>
      </c>
      <c r="J166" s="57" t="n">
        <v>46246</v>
      </c>
      <c r="K166" s="46" t="s">
        <v>102</v>
      </c>
      <c r="L166" s="54" t="str">
        <f aca="false">IF(A166="","",IF(B166="","Missing code",IF(C166="Unknown code","Unknown code",IF(COUNTIF($A$6:$A$1005,A166)&gt;1,"Duplicate WO",""))))</f>
        <v/>
      </c>
    </row>
    <row r="167" customFormat="false" ht="23.85" hidden="false" customHeight="false" outlineLevel="0" collapsed="false">
      <c r="A167" s="53" t="n">
        <v>100874149</v>
      </c>
      <c r="B167" s="46" t="s">
        <v>63</v>
      </c>
      <c r="C167" s="54" t="str">
        <f aca="false">IF(B167="","",IFERROR(INDEX('Kitting Plan'!$D$5:$D$18,MATCH(B167,'Kitting Plan'!$C$5:$C$18,0)),"Unknown code"))</f>
        <v>R5B ERBIUM SPOOL ASSEMBLY - E2A</v>
      </c>
      <c r="D167" s="54" t="str">
        <f aca="false">IF(B167="","",IFERROR(INDEX('Kitting Plan'!$B$5:$B$18,MATCH(B167,'Kitting Plan'!$C$5:$C$18,0)),""))</f>
        <v>ERBIUM ASSY</v>
      </c>
      <c r="E167" s="45"/>
      <c r="F167" s="55" t="n">
        <f aca="false">IF(B167="","",IFERROR(INDEX('Kitting Plan'!$H$5:$H$18,MATCH(B167,'Kitting Plan'!$C$5:$C$18,0)),""))</f>
        <v>24</v>
      </c>
      <c r="G167" s="45" t="n">
        <v>1</v>
      </c>
      <c r="H167" s="56" t="n">
        <f aca="false">IF(B167="","",IF(G167="",F167,G167))</f>
        <v>1</v>
      </c>
      <c r="I167" s="45" t="s">
        <v>29</v>
      </c>
      <c r="J167" s="57" t="n">
        <v>46246</v>
      </c>
      <c r="K167" s="46" t="s">
        <v>102</v>
      </c>
      <c r="L167" s="54" t="str">
        <f aca="false">IF(A167="","",IF(B167="","Missing code",IF(C167="Unknown code","Unknown code",IF(COUNTIF($A$6:$A$1005,A167)&gt;1,"Duplicate WO",""))))</f>
        <v/>
      </c>
    </row>
    <row r="168" customFormat="false" ht="23.85" hidden="false" customHeight="false" outlineLevel="0" collapsed="false">
      <c r="A168" s="53" t="n">
        <v>100874150</v>
      </c>
      <c r="B168" s="46" t="s">
        <v>63</v>
      </c>
      <c r="C168" s="54" t="str">
        <f aca="false">IF(B168="","",IFERROR(INDEX('Kitting Plan'!$D$5:$D$18,MATCH(B168,'Kitting Plan'!$C$5:$C$18,0)),"Unknown code"))</f>
        <v>R5B ERBIUM SPOOL ASSEMBLY - E2A</v>
      </c>
      <c r="D168" s="54" t="str">
        <f aca="false">IF(B168="","",IFERROR(INDEX('Kitting Plan'!$B$5:$B$18,MATCH(B168,'Kitting Plan'!$C$5:$C$18,0)),""))</f>
        <v>ERBIUM ASSY</v>
      </c>
      <c r="E168" s="45"/>
      <c r="F168" s="55" t="n">
        <f aca="false">IF(B168="","",IFERROR(INDEX('Kitting Plan'!$H$5:$H$18,MATCH(B168,'Kitting Plan'!$C$5:$C$18,0)),""))</f>
        <v>24</v>
      </c>
      <c r="G168" s="45" t="n">
        <v>1</v>
      </c>
      <c r="H168" s="56" t="n">
        <f aca="false">IF(B168="","",IF(G168="",F168,G168))</f>
        <v>1</v>
      </c>
      <c r="I168" s="45" t="s">
        <v>29</v>
      </c>
      <c r="J168" s="57" t="n">
        <v>46246</v>
      </c>
      <c r="K168" s="46" t="s">
        <v>102</v>
      </c>
      <c r="L168" s="54" t="str">
        <f aca="false">IF(A168="","",IF(B168="","Missing code",IF(C168="Unknown code","Unknown code",IF(COUNTIF($A$6:$A$1005,A168)&gt;1,"Duplicate WO",""))))</f>
        <v/>
      </c>
    </row>
    <row r="169" customFormat="false" ht="23.85" hidden="false" customHeight="false" outlineLevel="0" collapsed="false">
      <c r="A169" s="53" t="n">
        <v>100874151</v>
      </c>
      <c r="B169" s="46" t="s">
        <v>63</v>
      </c>
      <c r="C169" s="54" t="str">
        <f aca="false">IF(B169="","",IFERROR(INDEX('Kitting Plan'!$D$5:$D$18,MATCH(B169,'Kitting Plan'!$C$5:$C$18,0)),"Unknown code"))</f>
        <v>R5B ERBIUM SPOOL ASSEMBLY - E2A</v>
      </c>
      <c r="D169" s="54" t="str">
        <f aca="false">IF(B169="","",IFERROR(INDEX('Kitting Plan'!$B$5:$B$18,MATCH(B169,'Kitting Plan'!$C$5:$C$18,0)),""))</f>
        <v>ERBIUM ASSY</v>
      </c>
      <c r="E169" s="45"/>
      <c r="F169" s="55" t="n">
        <f aca="false">IF(B169="","",IFERROR(INDEX('Kitting Plan'!$H$5:$H$18,MATCH(B169,'Kitting Plan'!$C$5:$C$18,0)),""))</f>
        <v>24</v>
      </c>
      <c r="G169" s="45" t="n">
        <v>1</v>
      </c>
      <c r="H169" s="56" t="n">
        <f aca="false">IF(B169="","",IF(G169="",F169,G169))</f>
        <v>1</v>
      </c>
      <c r="I169" s="45" t="s">
        <v>29</v>
      </c>
      <c r="J169" s="57" t="n">
        <v>46246</v>
      </c>
      <c r="K169" s="46" t="s">
        <v>102</v>
      </c>
      <c r="L169" s="54" t="str">
        <f aca="false">IF(A169="","",IF(B169="","Missing code",IF(C169="Unknown code","Unknown code",IF(COUNTIF($A$6:$A$1005,A169)&gt;1,"Duplicate WO",""))))</f>
        <v/>
      </c>
    </row>
    <row r="170" customFormat="false" ht="23.85" hidden="false" customHeight="false" outlineLevel="0" collapsed="false">
      <c r="A170" s="53" t="n">
        <v>100874152</v>
      </c>
      <c r="B170" s="46" t="s">
        <v>63</v>
      </c>
      <c r="C170" s="54" t="str">
        <f aca="false">IF(B170="","",IFERROR(INDEX('Kitting Plan'!$D$5:$D$18,MATCH(B170,'Kitting Plan'!$C$5:$C$18,0)),"Unknown code"))</f>
        <v>R5B ERBIUM SPOOL ASSEMBLY - E2A</v>
      </c>
      <c r="D170" s="54" t="str">
        <f aca="false">IF(B170="","",IFERROR(INDEX('Kitting Plan'!$B$5:$B$18,MATCH(B170,'Kitting Plan'!$C$5:$C$18,0)),""))</f>
        <v>ERBIUM ASSY</v>
      </c>
      <c r="E170" s="45"/>
      <c r="F170" s="55" t="n">
        <f aca="false">IF(B170="","",IFERROR(INDEX('Kitting Plan'!$H$5:$H$18,MATCH(B170,'Kitting Plan'!$C$5:$C$18,0)),""))</f>
        <v>24</v>
      </c>
      <c r="G170" s="45" t="n">
        <v>1</v>
      </c>
      <c r="H170" s="56" t="n">
        <f aca="false">IF(B170="","",IF(G170="",F170,G170))</f>
        <v>1</v>
      </c>
      <c r="I170" s="45" t="s">
        <v>29</v>
      </c>
      <c r="J170" s="57" t="n">
        <v>46246</v>
      </c>
      <c r="K170" s="46" t="s">
        <v>102</v>
      </c>
      <c r="L170" s="54" t="str">
        <f aca="false">IF(A170="","",IF(B170="","Missing code",IF(C170="Unknown code","Unknown code",IF(COUNTIF($A$6:$A$1005,A170)&gt;1,"Duplicate WO",""))))</f>
        <v/>
      </c>
    </row>
    <row r="171" customFormat="false" ht="23.85" hidden="false" customHeight="false" outlineLevel="0" collapsed="false">
      <c r="A171" s="53" t="n">
        <v>100874153</v>
      </c>
      <c r="B171" s="46" t="s">
        <v>63</v>
      </c>
      <c r="C171" s="54" t="str">
        <f aca="false">IF(B171="","",IFERROR(INDEX('Kitting Plan'!$D$5:$D$18,MATCH(B171,'Kitting Plan'!$C$5:$C$18,0)),"Unknown code"))</f>
        <v>R5B ERBIUM SPOOL ASSEMBLY - E2A</v>
      </c>
      <c r="D171" s="54" t="str">
        <f aca="false">IF(B171="","",IFERROR(INDEX('Kitting Plan'!$B$5:$B$18,MATCH(B171,'Kitting Plan'!$C$5:$C$18,0)),""))</f>
        <v>ERBIUM ASSY</v>
      </c>
      <c r="E171" s="45"/>
      <c r="F171" s="55" t="n">
        <f aca="false">IF(B171="","",IFERROR(INDEX('Kitting Plan'!$H$5:$H$18,MATCH(B171,'Kitting Plan'!$C$5:$C$18,0)),""))</f>
        <v>24</v>
      </c>
      <c r="G171" s="45" t="n">
        <v>1</v>
      </c>
      <c r="H171" s="56" t="n">
        <f aca="false">IF(B171="","",IF(G171="",F171,G171))</f>
        <v>1</v>
      </c>
      <c r="I171" s="45" t="s">
        <v>29</v>
      </c>
      <c r="J171" s="57" t="n">
        <v>46246</v>
      </c>
      <c r="K171" s="46" t="s">
        <v>102</v>
      </c>
      <c r="L171" s="54" t="str">
        <f aca="false">IF(A171="","",IF(B171="","Missing code",IF(C171="Unknown code","Unknown code",IF(COUNTIF($A$6:$A$1005,A171)&gt;1,"Duplicate WO",""))))</f>
        <v/>
      </c>
    </row>
    <row r="172" customFormat="false" ht="23.85" hidden="false" customHeight="false" outlineLevel="0" collapsed="false">
      <c r="A172" s="53" t="n">
        <v>100874154</v>
      </c>
      <c r="B172" s="46" t="s">
        <v>63</v>
      </c>
      <c r="C172" s="54" t="str">
        <f aca="false">IF(B172="","",IFERROR(INDEX('Kitting Plan'!$D$5:$D$18,MATCH(B172,'Kitting Plan'!$C$5:$C$18,0)),"Unknown code"))</f>
        <v>R5B ERBIUM SPOOL ASSEMBLY - E2A</v>
      </c>
      <c r="D172" s="54" t="str">
        <f aca="false">IF(B172="","",IFERROR(INDEX('Kitting Plan'!$B$5:$B$18,MATCH(B172,'Kitting Plan'!$C$5:$C$18,0)),""))</f>
        <v>ERBIUM ASSY</v>
      </c>
      <c r="E172" s="45"/>
      <c r="F172" s="55" t="n">
        <f aca="false">IF(B172="","",IFERROR(INDEX('Kitting Plan'!$H$5:$H$18,MATCH(B172,'Kitting Plan'!$C$5:$C$18,0)),""))</f>
        <v>24</v>
      </c>
      <c r="G172" s="45" t="n">
        <v>1</v>
      </c>
      <c r="H172" s="56" t="n">
        <f aca="false">IF(B172="","",IF(G172="",F172,G172))</f>
        <v>1</v>
      </c>
      <c r="I172" s="45" t="s">
        <v>29</v>
      </c>
      <c r="J172" s="57" t="n">
        <v>46246</v>
      </c>
      <c r="K172" s="46" t="s">
        <v>102</v>
      </c>
      <c r="L172" s="54" t="str">
        <f aca="false">IF(A172="","",IF(B172="","Missing code",IF(C172="Unknown code","Unknown code",IF(COUNTIF($A$6:$A$1005,A172)&gt;1,"Duplicate WO",""))))</f>
        <v/>
      </c>
    </row>
    <row r="173" customFormat="false" ht="23.85" hidden="false" customHeight="false" outlineLevel="0" collapsed="false">
      <c r="A173" s="53" t="n">
        <v>100874155</v>
      </c>
      <c r="B173" s="46" t="s">
        <v>63</v>
      </c>
      <c r="C173" s="54" t="str">
        <f aca="false">IF(B173="","",IFERROR(INDEX('Kitting Plan'!$D$5:$D$18,MATCH(B173,'Kitting Plan'!$C$5:$C$18,0)),"Unknown code"))</f>
        <v>R5B ERBIUM SPOOL ASSEMBLY - E2A</v>
      </c>
      <c r="D173" s="54" t="str">
        <f aca="false">IF(B173="","",IFERROR(INDEX('Kitting Plan'!$B$5:$B$18,MATCH(B173,'Kitting Plan'!$C$5:$C$18,0)),""))</f>
        <v>ERBIUM ASSY</v>
      </c>
      <c r="E173" s="45"/>
      <c r="F173" s="55" t="n">
        <f aca="false">IF(B173="","",IFERROR(INDEX('Kitting Plan'!$H$5:$H$18,MATCH(B173,'Kitting Plan'!$C$5:$C$18,0)),""))</f>
        <v>24</v>
      </c>
      <c r="G173" s="45" t="n">
        <v>1</v>
      </c>
      <c r="H173" s="56" t="n">
        <f aca="false">IF(B173="","",IF(G173="",F173,G173))</f>
        <v>1</v>
      </c>
      <c r="I173" s="45" t="s">
        <v>29</v>
      </c>
      <c r="J173" s="57" t="n">
        <v>46246</v>
      </c>
      <c r="K173" s="46" t="s">
        <v>102</v>
      </c>
      <c r="L173" s="54" t="str">
        <f aca="false">IF(A173="","",IF(B173="","Missing code",IF(C173="Unknown code","Unknown code",IF(COUNTIF($A$6:$A$1005,A173)&gt;1,"Duplicate WO",""))))</f>
        <v/>
      </c>
    </row>
    <row r="174" customFormat="false" ht="23.85" hidden="false" customHeight="false" outlineLevel="0" collapsed="false">
      <c r="A174" s="53" t="n">
        <v>100874156</v>
      </c>
      <c r="B174" s="46" t="s">
        <v>63</v>
      </c>
      <c r="C174" s="54" t="str">
        <f aca="false">IF(B174="","",IFERROR(INDEX('Kitting Plan'!$D$5:$D$18,MATCH(B174,'Kitting Plan'!$C$5:$C$18,0)),"Unknown code"))</f>
        <v>R5B ERBIUM SPOOL ASSEMBLY - E2A</v>
      </c>
      <c r="D174" s="54" t="str">
        <f aca="false">IF(B174="","",IFERROR(INDEX('Kitting Plan'!$B$5:$B$18,MATCH(B174,'Kitting Plan'!$C$5:$C$18,0)),""))</f>
        <v>ERBIUM ASSY</v>
      </c>
      <c r="E174" s="45"/>
      <c r="F174" s="55" t="n">
        <f aca="false">IF(B174="","",IFERROR(INDEX('Kitting Plan'!$H$5:$H$18,MATCH(B174,'Kitting Plan'!$C$5:$C$18,0)),""))</f>
        <v>24</v>
      </c>
      <c r="G174" s="45" t="n">
        <v>1</v>
      </c>
      <c r="H174" s="56" t="n">
        <f aca="false">IF(B174="","",IF(G174="",F174,G174))</f>
        <v>1</v>
      </c>
      <c r="I174" s="45" t="s">
        <v>29</v>
      </c>
      <c r="J174" s="57" t="n">
        <v>46246</v>
      </c>
      <c r="K174" s="46" t="s">
        <v>102</v>
      </c>
      <c r="L174" s="54" t="str">
        <f aca="false">IF(A174="","",IF(B174="","Missing code",IF(C174="Unknown code","Unknown code",IF(COUNTIF($A$6:$A$1005,A174)&gt;1,"Duplicate WO",""))))</f>
        <v/>
      </c>
    </row>
    <row r="175" customFormat="false" ht="23.85" hidden="false" customHeight="false" outlineLevel="0" collapsed="false">
      <c r="A175" s="53" t="n">
        <v>100874157</v>
      </c>
      <c r="B175" s="46" t="s">
        <v>63</v>
      </c>
      <c r="C175" s="54" t="str">
        <f aca="false">IF(B175="","",IFERROR(INDEX('Kitting Plan'!$D$5:$D$18,MATCH(B175,'Kitting Plan'!$C$5:$C$18,0)),"Unknown code"))</f>
        <v>R5B ERBIUM SPOOL ASSEMBLY - E2A</v>
      </c>
      <c r="D175" s="54" t="str">
        <f aca="false">IF(B175="","",IFERROR(INDEX('Kitting Plan'!$B$5:$B$18,MATCH(B175,'Kitting Plan'!$C$5:$C$18,0)),""))</f>
        <v>ERBIUM ASSY</v>
      </c>
      <c r="E175" s="45"/>
      <c r="F175" s="55" t="n">
        <f aca="false">IF(B175="","",IFERROR(INDEX('Kitting Plan'!$H$5:$H$18,MATCH(B175,'Kitting Plan'!$C$5:$C$18,0)),""))</f>
        <v>24</v>
      </c>
      <c r="G175" s="45" t="n">
        <v>1</v>
      </c>
      <c r="H175" s="56" t="n">
        <f aca="false">IF(B175="","",IF(G175="",F175,G175))</f>
        <v>1</v>
      </c>
      <c r="I175" s="45" t="s">
        <v>29</v>
      </c>
      <c r="J175" s="57" t="n">
        <v>46246</v>
      </c>
      <c r="K175" s="46" t="s">
        <v>102</v>
      </c>
      <c r="L175" s="54" t="str">
        <f aca="false">IF(A175="","",IF(B175="","Missing code",IF(C175="Unknown code","Unknown code",IF(COUNTIF($A$6:$A$1005,A175)&gt;1,"Duplicate WO",""))))</f>
        <v/>
      </c>
    </row>
    <row r="176" customFormat="false" ht="23.85" hidden="false" customHeight="false" outlineLevel="0" collapsed="false">
      <c r="A176" s="53" t="n">
        <v>100874158</v>
      </c>
      <c r="B176" s="46" t="s">
        <v>63</v>
      </c>
      <c r="C176" s="54" t="str">
        <f aca="false">IF(B176="","",IFERROR(INDEX('Kitting Plan'!$D$5:$D$18,MATCH(B176,'Kitting Plan'!$C$5:$C$18,0)),"Unknown code"))</f>
        <v>R5B ERBIUM SPOOL ASSEMBLY - E2A</v>
      </c>
      <c r="D176" s="54" t="str">
        <f aca="false">IF(B176="","",IFERROR(INDEX('Kitting Plan'!$B$5:$B$18,MATCH(B176,'Kitting Plan'!$C$5:$C$18,0)),""))</f>
        <v>ERBIUM ASSY</v>
      </c>
      <c r="E176" s="45"/>
      <c r="F176" s="55" t="n">
        <f aca="false">IF(B176="","",IFERROR(INDEX('Kitting Plan'!$H$5:$H$18,MATCH(B176,'Kitting Plan'!$C$5:$C$18,0)),""))</f>
        <v>24</v>
      </c>
      <c r="G176" s="45" t="n">
        <v>1</v>
      </c>
      <c r="H176" s="56" t="n">
        <f aca="false">IF(B176="","",IF(G176="",F176,G176))</f>
        <v>1</v>
      </c>
      <c r="I176" s="45" t="s">
        <v>29</v>
      </c>
      <c r="J176" s="57" t="n">
        <v>46246</v>
      </c>
      <c r="K176" s="46" t="s">
        <v>102</v>
      </c>
      <c r="L176" s="54" t="str">
        <f aca="false">IF(A176="","",IF(B176="","Missing code",IF(C176="Unknown code","Unknown code",IF(COUNTIF($A$6:$A$1005,A176)&gt;1,"Duplicate WO",""))))</f>
        <v/>
      </c>
    </row>
    <row r="177" customFormat="false" ht="23.85" hidden="false" customHeight="false" outlineLevel="0" collapsed="false">
      <c r="A177" s="53" t="n">
        <v>100874161</v>
      </c>
      <c r="B177" s="46" t="s">
        <v>63</v>
      </c>
      <c r="C177" s="54" t="str">
        <f aca="false">IF(B177="","",IFERROR(INDEX('Kitting Plan'!$D$5:$D$18,MATCH(B177,'Kitting Plan'!$C$5:$C$18,0)),"Unknown code"))</f>
        <v>R5B ERBIUM SPOOL ASSEMBLY - E2A</v>
      </c>
      <c r="D177" s="54" t="str">
        <f aca="false">IF(B177="","",IFERROR(INDEX('Kitting Plan'!$B$5:$B$18,MATCH(B177,'Kitting Plan'!$C$5:$C$18,0)),""))</f>
        <v>ERBIUM ASSY</v>
      </c>
      <c r="E177" s="45"/>
      <c r="F177" s="55" t="n">
        <f aca="false">IF(B177="","",IFERROR(INDEX('Kitting Plan'!$H$5:$H$18,MATCH(B177,'Kitting Plan'!$C$5:$C$18,0)),""))</f>
        <v>24</v>
      </c>
      <c r="G177" s="45" t="n">
        <v>1</v>
      </c>
      <c r="H177" s="56" t="n">
        <f aca="false">IF(B177="","",IF(G177="",F177,G177))</f>
        <v>1</v>
      </c>
      <c r="I177" s="45" t="s">
        <v>29</v>
      </c>
      <c r="J177" s="57" t="n">
        <v>46246</v>
      </c>
      <c r="K177" s="46" t="s">
        <v>102</v>
      </c>
      <c r="L177" s="54" t="str">
        <f aca="false">IF(A177="","",IF(B177="","Missing code",IF(C177="Unknown code","Unknown code",IF(COUNTIF($A$6:$A$1005,A177)&gt;1,"Duplicate WO",""))))</f>
        <v/>
      </c>
    </row>
    <row r="178" customFormat="false" ht="23.85" hidden="false" customHeight="false" outlineLevel="0" collapsed="false">
      <c r="A178" s="53" t="n">
        <v>100874162</v>
      </c>
      <c r="B178" s="46" t="s">
        <v>63</v>
      </c>
      <c r="C178" s="54" t="str">
        <f aca="false">IF(B178="","",IFERROR(INDEX('Kitting Plan'!$D$5:$D$18,MATCH(B178,'Kitting Plan'!$C$5:$C$18,0)),"Unknown code"))</f>
        <v>R5B ERBIUM SPOOL ASSEMBLY - E2A</v>
      </c>
      <c r="D178" s="54" t="str">
        <f aca="false">IF(B178="","",IFERROR(INDEX('Kitting Plan'!$B$5:$B$18,MATCH(B178,'Kitting Plan'!$C$5:$C$18,0)),""))</f>
        <v>ERBIUM ASSY</v>
      </c>
      <c r="E178" s="45"/>
      <c r="F178" s="55" t="n">
        <f aca="false">IF(B178="","",IFERROR(INDEX('Kitting Plan'!$H$5:$H$18,MATCH(B178,'Kitting Plan'!$C$5:$C$18,0)),""))</f>
        <v>24</v>
      </c>
      <c r="G178" s="45" t="n">
        <v>1</v>
      </c>
      <c r="H178" s="56" t="n">
        <f aca="false">IF(B178="","",IF(G178="",F178,G178))</f>
        <v>1</v>
      </c>
      <c r="I178" s="45" t="s">
        <v>29</v>
      </c>
      <c r="J178" s="57" t="n">
        <v>46246</v>
      </c>
      <c r="K178" s="46" t="s">
        <v>102</v>
      </c>
      <c r="L178" s="54" t="str">
        <f aca="false">IF(A178="","",IF(B178="","Missing code",IF(C178="Unknown code","Unknown code",IF(COUNTIF($A$6:$A$1005,A178)&gt;1,"Duplicate WO",""))))</f>
        <v/>
      </c>
    </row>
    <row r="179" customFormat="false" ht="23.85" hidden="false" customHeight="false" outlineLevel="0" collapsed="false">
      <c r="A179" s="53" t="n">
        <v>100874163</v>
      </c>
      <c r="B179" s="46" t="s">
        <v>63</v>
      </c>
      <c r="C179" s="54" t="str">
        <f aca="false">IF(B179="","",IFERROR(INDEX('Kitting Plan'!$D$5:$D$18,MATCH(B179,'Kitting Plan'!$C$5:$C$18,0)),"Unknown code"))</f>
        <v>R5B ERBIUM SPOOL ASSEMBLY - E2A</v>
      </c>
      <c r="D179" s="54" t="str">
        <f aca="false">IF(B179="","",IFERROR(INDEX('Kitting Plan'!$B$5:$B$18,MATCH(B179,'Kitting Plan'!$C$5:$C$18,0)),""))</f>
        <v>ERBIUM ASSY</v>
      </c>
      <c r="E179" s="45"/>
      <c r="F179" s="55" t="n">
        <f aca="false">IF(B179="","",IFERROR(INDEX('Kitting Plan'!$H$5:$H$18,MATCH(B179,'Kitting Plan'!$C$5:$C$18,0)),""))</f>
        <v>24</v>
      </c>
      <c r="G179" s="45" t="n">
        <v>1</v>
      </c>
      <c r="H179" s="56" t="n">
        <f aca="false">IF(B179="","",IF(G179="",F179,G179))</f>
        <v>1</v>
      </c>
      <c r="I179" s="45" t="s">
        <v>29</v>
      </c>
      <c r="J179" s="57" t="n">
        <v>46246</v>
      </c>
      <c r="K179" s="46" t="s">
        <v>102</v>
      </c>
      <c r="L179" s="54" t="str">
        <f aca="false">IF(A179="","",IF(B179="","Missing code",IF(C179="Unknown code","Unknown code",IF(COUNTIF($A$6:$A$1005,A179)&gt;1,"Duplicate WO",""))))</f>
        <v/>
      </c>
    </row>
    <row r="180" customFormat="false" ht="23.85" hidden="false" customHeight="false" outlineLevel="0" collapsed="false">
      <c r="A180" s="53" t="n">
        <v>100874164</v>
      </c>
      <c r="B180" s="46" t="s">
        <v>63</v>
      </c>
      <c r="C180" s="54" t="str">
        <f aca="false">IF(B180="","",IFERROR(INDEX('Kitting Plan'!$D$5:$D$18,MATCH(B180,'Kitting Plan'!$C$5:$C$18,0)),"Unknown code"))</f>
        <v>R5B ERBIUM SPOOL ASSEMBLY - E2A</v>
      </c>
      <c r="D180" s="54" t="str">
        <f aca="false">IF(B180="","",IFERROR(INDEX('Kitting Plan'!$B$5:$B$18,MATCH(B180,'Kitting Plan'!$C$5:$C$18,0)),""))</f>
        <v>ERBIUM ASSY</v>
      </c>
      <c r="E180" s="45"/>
      <c r="F180" s="55" t="n">
        <f aca="false">IF(B180="","",IFERROR(INDEX('Kitting Plan'!$H$5:$H$18,MATCH(B180,'Kitting Plan'!$C$5:$C$18,0)),""))</f>
        <v>24</v>
      </c>
      <c r="G180" s="45" t="n">
        <v>1</v>
      </c>
      <c r="H180" s="56" t="n">
        <f aca="false">IF(B180="","",IF(G180="",F180,G180))</f>
        <v>1</v>
      </c>
      <c r="I180" s="45" t="s">
        <v>29</v>
      </c>
      <c r="J180" s="57" t="n">
        <v>46246</v>
      </c>
      <c r="K180" s="46" t="s">
        <v>102</v>
      </c>
      <c r="L180" s="54" t="str">
        <f aca="false">IF(A180="","",IF(B180="","Missing code",IF(C180="Unknown code","Unknown code",IF(COUNTIF($A$6:$A$1005,A180)&gt;1,"Duplicate WO",""))))</f>
        <v/>
      </c>
    </row>
    <row r="181" customFormat="false" ht="23.85" hidden="false" customHeight="false" outlineLevel="0" collapsed="false">
      <c r="A181" s="53" t="n">
        <v>100874165</v>
      </c>
      <c r="B181" s="46" t="s">
        <v>63</v>
      </c>
      <c r="C181" s="54" t="str">
        <f aca="false">IF(B181="","",IFERROR(INDEX('Kitting Plan'!$D$5:$D$18,MATCH(B181,'Kitting Plan'!$C$5:$C$18,0)),"Unknown code"))</f>
        <v>R5B ERBIUM SPOOL ASSEMBLY - E2A</v>
      </c>
      <c r="D181" s="54" t="str">
        <f aca="false">IF(B181="","",IFERROR(INDEX('Kitting Plan'!$B$5:$B$18,MATCH(B181,'Kitting Plan'!$C$5:$C$18,0)),""))</f>
        <v>ERBIUM ASSY</v>
      </c>
      <c r="E181" s="45"/>
      <c r="F181" s="55" t="n">
        <f aca="false">IF(B181="","",IFERROR(INDEX('Kitting Plan'!$H$5:$H$18,MATCH(B181,'Kitting Plan'!$C$5:$C$18,0)),""))</f>
        <v>24</v>
      </c>
      <c r="G181" s="45" t="n">
        <v>1</v>
      </c>
      <c r="H181" s="56" t="n">
        <f aca="false">IF(B181="","",IF(G181="",F181,G181))</f>
        <v>1</v>
      </c>
      <c r="I181" s="45" t="s">
        <v>29</v>
      </c>
      <c r="J181" s="57" t="n">
        <v>46246</v>
      </c>
      <c r="K181" s="46" t="s">
        <v>102</v>
      </c>
      <c r="L181" s="54" t="str">
        <f aca="false">IF(A181="","",IF(B181="","Missing code",IF(C181="Unknown code","Unknown code",IF(COUNTIF($A$6:$A$1005,A181)&gt;1,"Duplicate WO",""))))</f>
        <v/>
      </c>
    </row>
    <row r="182" customFormat="false" ht="23.85" hidden="false" customHeight="false" outlineLevel="0" collapsed="false">
      <c r="A182" s="53" t="n">
        <v>100874166</v>
      </c>
      <c r="B182" s="46" t="s">
        <v>63</v>
      </c>
      <c r="C182" s="54" t="str">
        <f aca="false">IF(B182="","",IFERROR(INDEX('Kitting Plan'!$D$5:$D$18,MATCH(B182,'Kitting Plan'!$C$5:$C$18,0)),"Unknown code"))</f>
        <v>R5B ERBIUM SPOOL ASSEMBLY - E2A</v>
      </c>
      <c r="D182" s="54" t="str">
        <f aca="false">IF(B182="","",IFERROR(INDEX('Kitting Plan'!$B$5:$B$18,MATCH(B182,'Kitting Plan'!$C$5:$C$18,0)),""))</f>
        <v>ERBIUM ASSY</v>
      </c>
      <c r="E182" s="45"/>
      <c r="F182" s="55" t="n">
        <f aca="false">IF(B182="","",IFERROR(INDEX('Kitting Plan'!$H$5:$H$18,MATCH(B182,'Kitting Plan'!$C$5:$C$18,0)),""))</f>
        <v>24</v>
      </c>
      <c r="G182" s="45" t="n">
        <v>1</v>
      </c>
      <c r="H182" s="56" t="n">
        <f aca="false">IF(B182="","",IF(G182="",F182,G182))</f>
        <v>1</v>
      </c>
      <c r="I182" s="45" t="s">
        <v>29</v>
      </c>
      <c r="J182" s="57" t="n">
        <v>46246</v>
      </c>
      <c r="K182" s="46" t="s">
        <v>102</v>
      </c>
      <c r="L182" s="54" t="str">
        <f aca="false">IF(A182="","",IF(B182="","Missing code",IF(C182="Unknown code","Unknown code",IF(COUNTIF($A$6:$A$1005,A182)&gt;1,"Duplicate WO",""))))</f>
        <v/>
      </c>
    </row>
    <row r="183" customFormat="false" ht="23.85" hidden="false" customHeight="false" outlineLevel="0" collapsed="false">
      <c r="A183" s="53" t="n">
        <v>100874815</v>
      </c>
      <c r="B183" s="46" t="s">
        <v>63</v>
      </c>
      <c r="C183" s="54" t="str">
        <f aca="false">IF(B183="","",IFERROR(INDEX('Kitting Plan'!$D$5:$D$18,MATCH(B183,'Kitting Plan'!$C$5:$C$18,0)),"Unknown code"))</f>
        <v>R5B ERBIUM SPOOL ASSEMBLY - E2A</v>
      </c>
      <c r="D183" s="54" t="str">
        <f aca="false">IF(B183="","",IFERROR(INDEX('Kitting Plan'!$B$5:$B$18,MATCH(B183,'Kitting Plan'!$C$5:$C$18,0)),""))</f>
        <v>ERBIUM ASSY</v>
      </c>
      <c r="E183" s="45"/>
      <c r="F183" s="55" t="n">
        <f aca="false">IF(B183="","",IFERROR(INDEX('Kitting Plan'!$H$5:$H$18,MATCH(B183,'Kitting Plan'!$C$5:$C$18,0)),""))</f>
        <v>24</v>
      </c>
      <c r="G183" s="45" t="n">
        <v>1</v>
      </c>
      <c r="H183" s="56" t="n">
        <f aca="false">IF(B183="","",IF(G183="",F183,G183))</f>
        <v>1</v>
      </c>
      <c r="I183" s="45" t="s">
        <v>29</v>
      </c>
      <c r="J183" s="57" t="n">
        <v>46256</v>
      </c>
      <c r="K183" s="46" t="s">
        <v>102</v>
      </c>
      <c r="L183" s="54" t="str">
        <f aca="false">IF(A183="","",IF(B183="","Missing code",IF(C183="Unknown code","Unknown code",IF(COUNTIF($A$6:$A$1005,A183)&gt;1,"Duplicate WO",""))))</f>
        <v/>
      </c>
    </row>
    <row r="184" customFormat="false" ht="23.85" hidden="false" customHeight="false" outlineLevel="0" collapsed="false">
      <c r="A184" s="53" t="n">
        <v>100874816</v>
      </c>
      <c r="B184" s="46" t="s">
        <v>63</v>
      </c>
      <c r="C184" s="54" t="str">
        <f aca="false">IF(B184="","",IFERROR(INDEX('Kitting Plan'!$D$5:$D$18,MATCH(B184,'Kitting Plan'!$C$5:$C$18,0)),"Unknown code"))</f>
        <v>R5B ERBIUM SPOOL ASSEMBLY - E2A</v>
      </c>
      <c r="D184" s="54" t="str">
        <f aca="false">IF(B184="","",IFERROR(INDEX('Kitting Plan'!$B$5:$B$18,MATCH(B184,'Kitting Plan'!$C$5:$C$18,0)),""))</f>
        <v>ERBIUM ASSY</v>
      </c>
      <c r="E184" s="45"/>
      <c r="F184" s="55" t="n">
        <f aca="false">IF(B184="","",IFERROR(INDEX('Kitting Plan'!$H$5:$H$18,MATCH(B184,'Kitting Plan'!$C$5:$C$18,0)),""))</f>
        <v>24</v>
      </c>
      <c r="G184" s="45" t="n">
        <v>1</v>
      </c>
      <c r="H184" s="56" t="n">
        <f aca="false">IF(B184="","",IF(G184="",F184,G184))</f>
        <v>1</v>
      </c>
      <c r="I184" s="45" t="s">
        <v>29</v>
      </c>
      <c r="J184" s="57" t="n">
        <v>46256</v>
      </c>
      <c r="K184" s="46" t="s">
        <v>102</v>
      </c>
      <c r="L184" s="54" t="str">
        <f aca="false">IF(A184="","",IF(B184="","Missing code",IF(C184="Unknown code","Unknown code",IF(COUNTIF($A$6:$A$1005,A184)&gt;1,"Duplicate WO",""))))</f>
        <v/>
      </c>
    </row>
    <row r="185" customFormat="false" ht="23.85" hidden="false" customHeight="false" outlineLevel="0" collapsed="false">
      <c r="A185" s="53" t="n">
        <v>100874817</v>
      </c>
      <c r="B185" s="46" t="s">
        <v>63</v>
      </c>
      <c r="C185" s="54" t="str">
        <f aca="false">IF(B185="","",IFERROR(INDEX('Kitting Plan'!$D$5:$D$18,MATCH(B185,'Kitting Plan'!$C$5:$C$18,0)),"Unknown code"))</f>
        <v>R5B ERBIUM SPOOL ASSEMBLY - E2A</v>
      </c>
      <c r="D185" s="54" t="str">
        <f aca="false">IF(B185="","",IFERROR(INDEX('Kitting Plan'!$B$5:$B$18,MATCH(B185,'Kitting Plan'!$C$5:$C$18,0)),""))</f>
        <v>ERBIUM ASSY</v>
      </c>
      <c r="E185" s="45"/>
      <c r="F185" s="55" t="n">
        <f aca="false">IF(B185="","",IFERROR(INDEX('Kitting Plan'!$H$5:$H$18,MATCH(B185,'Kitting Plan'!$C$5:$C$18,0)),""))</f>
        <v>24</v>
      </c>
      <c r="G185" s="45" t="n">
        <v>1</v>
      </c>
      <c r="H185" s="56" t="n">
        <f aca="false">IF(B185="","",IF(G185="",F185,G185))</f>
        <v>1</v>
      </c>
      <c r="I185" s="45" t="s">
        <v>29</v>
      </c>
      <c r="J185" s="57" t="n">
        <v>46256</v>
      </c>
      <c r="K185" s="46" t="s">
        <v>102</v>
      </c>
      <c r="L185" s="54" t="str">
        <f aca="false">IF(A185="","",IF(B185="","Missing code",IF(C185="Unknown code","Unknown code",IF(COUNTIF($A$6:$A$1005,A185)&gt;1,"Duplicate WO",""))))</f>
        <v/>
      </c>
    </row>
    <row r="186" customFormat="false" ht="23.85" hidden="false" customHeight="false" outlineLevel="0" collapsed="false">
      <c r="A186" s="53" t="n">
        <v>100874818</v>
      </c>
      <c r="B186" s="46" t="s">
        <v>63</v>
      </c>
      <c r="C186" s="54" t="str">
        <f aca="false">IF(B186="","",IFERROR(INDEX('Kitting Plan'!$D$5:$D$18,MATCH(B186,'Kitting Plan'!$C$5:$C$18,0)),"Unknown code"))</f>
        <v>R5B ERBIUM SPOOL ASSEMBLY - E2A</v>
      </c>
      <c r="D186" s="54" t="str">
        <f aca="false">IF(B186="","",IFERROR(INDEX('Kitting Plan'!$B$5:$B$18,MATCH(B186,'Kitting Plan'!$C$5:$C$18,0)),""))</f>
        <v>ERBIUM ASSY</v>
      </c>
      <c r="E186" s="45"/>
      <c r="F186" s="55" t="n">
        <f aca="false">IF(B186="","",IFERROR(INDEX('Kitting Plan'!$H$5:$H$18,MATCH(B186,'Kitting Plan'!$C$5:$C$18,0)),""))</f>
        <v>24</v>
      </c>
      <c r="G186" s="45" t="n">
        <v>1</v>
      </c>
      <c r="H186" s="56" t="n">
        <f aca="false">IF(B186="","",IF(G186="",F186,G186))</f>
        <v>1</v>
      </c>
      <c r="I186" s="45" t="s">
        <v>29</v>
      </c>
      <c r="J186" s="57" t="n">
        <v>46256</v>
      </c>
      <c r="K186" s="46" t="s">
        <v>102</v>
      </c>
      <c r="L186" s="54" t="str">
        <f aca="false">IF(A186="","",IF(B186="","Missing code",IF(C186="Unknown code","Unknown code",IF(COUNTIF($A$6:$A$1005,A186)&gt;1,"Duplicate WO",""))))</f>
        <v/>
      </c>
    </row>
    <row r="187" customFormat="false" ht="23.85" hidden="false" customHeight="false" outlineLevel="0" collapsed="false">
      <c r="A187" s="53" t="n">
        <v>100874819</v>
      </c>
      <c r="B187" s="46" t="s">
        <v>63</v>
      </c>
      <c r="C187" s="54" t="str">
        <f aca="false">IF(B187="","",IFERROR(INDEX('Kitting Plan'!$D$5:$D$18,MATCH(B187,'Kitting Plan'!$C$5:$C$18,0)),"Unknown code"))</f>
        <v>R5B ERBIUM SPOOL ASSEMBLY - E2A</v>
      </c>
      <c r="D187" s="54" t="str">
        <f aca="false">IF(B187="","",IFERROR(INDEX('Kitting Plan'!$B$5:$B$18,MATCH(B187,'Kitting Plan'!$C$5:$C$18,0)),""))</f>
        <v>ERBIUM ASSY</v>
      </c>
      <c r="E187" s="45"/>
      <c r="F187" s="55" t="n">
        <f aca="false">IF(B187="","",IFERROR(INDEX('Kitting Plan'!$H$5:$H$18,MATCH(B187,'Kitting Plan'!$C$5:$C$18,0)),""))</f>
        <v>24</v>
      </c>
      <c r="G187" s="45" t="n">
        <v>1</v>
      </c>
      <c r="H187" s="56" t="n">
        <f aca="false">IF(B187="","",IF(G187="",F187,G187))</f>
        <v>1</v>
      </c>
      <c r="I187" s="45" t="s">
        <v>29</v>
      </c>
      <c r="J187" s="57" t="n">
        <v>46256</v>
      </c>
      <c r="K187" s="46" t="s">
        <v>102</v>
      </c>
      <c r="L187" s="54" t="str">
        <f aca="false">IF(A187="","",IF(B187="","Missing code",IF(C187="Unknown code","Unknown code",IF(COUNTIF($A$6:$A$1005,A187)&gt;1,"Duplicate WO",""))))</f>
        <v/>
      </c>
    </row>
    <row r="188" customFormat="false" ht="23.85" hidden="false" customHeight="false" outlineLevel="0" collapsed="false">
      <c r="A188" s="53" t="n">
        <v>100874820</v>
      </c>
      <c r="B188" s="46" t="s">
        <v>63</v>
      </c>
      <c r="C188" s="54" t="str">
        <f aca="false">IF(B188="","",IFERROR(INDEX('Kitting Plan'!$D$5:$D$18,MATCH(B188,'Kitting Plan'!$C$5:$C$18,0)),"Unknown code"))</f>
        <v>R5B ERBIUM SPOOL ASSEMBLY - E2A</v>
      </c>
      <c r="D188" s="54" t="str">
        <f aca="false">IF(B188="","",IFERROR(INDEX('Kitting Plan'!$B$5:$B$18,MATCH(B188,'Kitting Plan'!$C$5:$C$18,0)),""))</f>
        <v>ERBIUM ASSY</v>
      </c>
      <c r="E188" s="45"/>
      <c r="F188" s="55" t="n">
        <f aca="false">IF(B188="","",IFERROR(INDEX('Kitting Plan'!$H$5:$H$18,MATCH(B188,'Kitting Plan'!$C$5:$C$18,0)),""))</f>
        <v>24</v>
      </c>
      <c r="G188" s="45" t="n">
        <v>1</v>
      </c>
      <c r="H188" s="56" t="n">
        <f aca="false">IF(B188="","",IF(G188="",F188,G188))</f>
        <v>1</v>
      </c>
      <c r="I188" s="45" t="s">
        <v>29</v>
      </c>
      <c r="J188" s="57" t="n">
        <v>46256</v>
      </c>
      <c r="K188" s="46" t="s">
        <v>102</v>
      </c>
      <c r="L188" s="54" t="str">
        <f aca="false">IF(A188="","",IF(B188="","Missing code",IF(C188="Unknown code","Unknown code",IF(COUNTIF($A$6:$A$1005,A188)&gt;1,"Duplicate WO",""))))</f>
        <v/>
      </c>
    </row>
    <row r="189" customFormat="false" ht="23.85" hidden="false" customHeight="false" outlineLevel="0" collapsed="false">
      <c r="A189" s="53" t="n">
        <v>100874821</v>
      </c>
      <c r="B189" s="46" t="s">
        <v>63</v>
      </c>
      <c r="C189" s="54" t="str">
        <f aca="false">IF(B189="","",IFERROR(INDEX('Kitting Plan'!$D$5:$D$18,MATCH(B189,'Kitting Plan'!$C$5:$C$18,0)),"Unknown code"))</f>
        <v>R5B ERBIUM SPOOL ASSEMBLY - E2A</v>
      </c>
      <c r="D189" s="54" t="str">
        <f aca="false">IF(B189="","",IFERROR(INDEX('Kitting Plan'!$B$5:$B$18,MATCH(B189,'Kitting Plan'!$C$5:$C$18,0)),""))</f>
        <v>ERBIUM ASSY</v>
      </c>
      <c r="E189" s="45"/>
      <c r="F189" s="55" t="n">
        <f aca="false">IF(B189="","",IFERROR(INDEX('Kitting Plan'!$H$5:$H$18,MATCH(B189,'Kitting Plan'!$C$5:$C$18,0)),""))</f>
        <v>24</v>
      </c>
      <c r="G189" s="45" t="n">
        <v>1</v>
      </c>
      <c r="H189" s="56" t="n">
        <f aca="false">IF(B189="","",IF(G189="",F189,G189))</f>
        <v>1</v>
      </c>
      <c r="I189" s="45" t="s">
        <v>29</v>
      </c>
      <c r="J189" s="57" t="n">
        <v>46256</v>
      </c>
      <c r="K189" s="46" t="s">
        <v>102</v>
      </c>
      <c r="L189" s="54" t="str">
        <f aca="false">IF(A189="","",IF(B189="","Missing code",IF(C189="Unknown code","Unknown code",IF(COUNTIF($A$6:$A$1005,A189)&gt;1,"Duplicate WO",""))))</f>
        <v/>
      </c>
    </row>
    <row r="190" customFormat="false" ht="23.85" hidden="false" customHeight="false" outlineLevel="0" collapsed="false">
      <c r="A190" s="53" t="n">
        <v>100874822</v>
      </c>
      <c r="B190" s="46" t="s">
        <v>63</v>
      </c>
      <c r="C190" s="54" t="str">
        <f aca="false">IF(B190="","",IFERROR(INDEX('Kitting Plan'!$D$5:$D$18,MATCH(B190,'Kitting Plan'!$C$5:$C$18,0)),"Unknown code"))</f>
        <v>R5B ERBIUM SPOOL ASSEMBLY - E2A</v>
      </c>
      <c r="D190" s="54" t="str">
        <f aca="false">IF(B190="","",IFERROR(INDEX('Kitting Plan'!$B$5:$B$18,MATCH(B190,'Kitting Plan'!$C$5:$C$18,0)),""))</f>
        <v>ERBIUM ASSY</v>
      </c>
      <c r="E190" s="45"/>
      <c r="F190" s="55" t="n">
        <f aca="false">IF(B190="","",IFERROR(INDEX('Kitting Plan'!$H$5:$H$18,MATCH(B190,'Kitting Plan'!$C$5:$C$18,0)),""))</f>
        <v>24</v>
      </c>
      <c r="G190" s="45" t="n">
        <v>1</v>
      </c>
      <c r="H190" s="56" t="n">
        <f aca="false">IF(B190="","",IF(G190="",F190,G190))</f>
        <v>1</v>
      </c>
      <c r="I190" s="45" t="s">
        <v>29</v>
      </c>
      <c r="J190" s="57" t="n">
        <v>46256</v>
      </c>
      <c r="K190" s="46" t="s">
        <v>102</v>
      </c>
      <c r="L190" s="54" t="str">
        <f aca="false">IF(A190="","",IF(B190="","Missing code",IF(C190="Unknown code","Unknown code",IF(COUNTIF($A$6:$A$1005,A190)&gt;1,"Duplicate WO",""))))</f>
        <v/>
      </c>
    </row>
    <row r="191" customFormat="false" ht="23.85" hidden="false" customHeight="false" outlineLevel="0" collapsed="false">
      <c r="A191" s="53" t="n">
        <v>100874823</v>
      </c>
      <c r="B191" s="46" t="s">
        <v>63</v>
      </c>
      <c r="C191" s="54" t="str">
        <f aca="false">IF(B191="","",IFERROR(INDEX('Kitting Plan'!$D$5:$D$18,MATCH(B191,'Kitting Plan'!$C$5:$C$18,0)),"Unknown code"))</f>
        <v>R5B ERBIUM SPOOL ASSEMBLY - E2A</v>
      </c>
      <c r="D191" s="54" t="str">
        <f aca="false">IF(B191="","",IFERROR(INDEX('Kitting Plan'!$B$5:$B$18,MATCH(B191,'Kitting Plan'!$C$5:$C$18,0)),""))</f>
        <v>ERBIUM ASSY</v>
      </c>
      <c r="E191" s="45"/>
      <c r="F191" s="55" t="n">
        <f aca="false">IF(B191="","",IFERROR(INDEX('Kitting Plan'!$H$5:$H$18,MATCH(B191,'Kitting Plan'!$C$5:$C$18,0)),""))</f>
        <v>24</v>
      </c>
      <c r="G191" s="45" t="n">
        <v>1</v>
      </c>
      <c r="H191" s="56" t="n">
        <f aca="false">IF(B191="","",IF(G191="",F191,G191))</f>
        <v>1</v>
      </c>
      <c r="I191" s="45" t="s">
        <v>29</v>
      </c>
      <c r="J191" s="57" t="n">
        <v>46256</v>
      </c>
      <c r="K191" s="46" t="s">
        <v>102</v>
      </c>
      <c r="L191" s="54" t="str">
        <f aca="false">IF(A191="","",IF(B191="","Missing code",IF(C191="Unknown code","Unknown code",IF(COUNTIF($A$6:$A$1005,A191)&gt;1,"Duplicate WO",""))))</f>
        <v/>
      </c>
    </row>
    <row r="192" customFormat="false" ht="23.85" hidden="false" customHeight="false" outlineLevel="0" collapsed="false">
      <c r="A192" s="53" t="n">
        <v>100874824</v>
      </c>
      <c r="B192" s="46" t="s">
        <v>63</v>
      </c>
      <c r="C192" s="54" t="str">
        <f aca="false">IF(B192="","",IFERROR(INDEX('Kitting Plan'!$D$5:$D$18,MATCH(B192,'Kitting Plan'!$C$5:$C$18,0)),"Unknown code"))</f>
        <v>R5B ERBIUM SPOOL ASSEMBLY - E2A</v>
      </c>
      <c r="D192" s="54" t="str">
        <f aca="false">IF(B192="","",IFERROR(INDEX('Kitting Plan'!$B$5:$B$18,MATCH(B192,'Kitting Plan'!$C$5:$C$18,0)),""))</f>
        <v>ERBIUM ASSY</v>
      </c>
      <c r="E192" s="45"/>
      <c r="F192" s="55" t="n">
        <f aca="false">IF(B192="","",IFERROR(INDEX('Kitting Plan'!$H$5:$H$18,MATCH(B192,'Kitting Plan'!$C$5:$C$18,0)),""))</f>
        <v>24</v>
      </c>
      <c r="G192" s="45" t="n">
        <v>1</v>
      </c>
      <c r="H192" s="56" t="n">
        <f aca="false">IF(B192="","",IF(G192="",F192,G192))</f>
        <v>1</v>
      </c>
      <c r="I192" s="45" t="s">
        <v>29</v>
      </c>
      <c r="J192" s="57" t="n">
        <v>46256</v>
      </c>
      <c r="K192" s="46" t="s">
        <v>102</v>
      </c>
      <c r="L192" s="54" t="str">
        <f aca="false">IF(A192="","",IF(B192="","Missing code",IF(C192="Unknown code","Unknown code",IF(COUNTIF($A$6:$A$1005,A192)&gt;1,"Duplicate WO",""))))</f>
        <v/>
      </c>
    </row>
    <row r="193" customFormat="false" ht="23.85" hidden="false" customHeight="false" outlineLevel="0" collapsed="false">
      <c r="A193" s="53" t="n">
        <v>100874825</v>
      </c>
      <c r="B193" s="46" t="s">
        <v>63</v>
      </c>
      <c r="C193" s="54" t="str">
        <f aca="false">IF(B193="","",IFERROR(INDEX('Kitting Plan'!$D$5:$D$18,MATCH(B193,'Kitting Plan'!$C$5:$C$18,0)),"Unknown code"))</f>
        <v>R5B ERBIUM SPOOL ASSEMBLY - E2A</v>
      </c>
      <c r="D193" s="54" t="str">
        <f aca="false">IF(B193="","",IFERROR(INDEX('Kitting Plan'!$B$5:$B$18,MATCH(B193,'Kitting Plan'!$C$5:$C$18,0)),""))</f>
        <v>ERBIUM ASSY</v>
      </c>
      <c r="E193" s="45"/>
      <c r="F193" s="55" t="n">
        <f aca="false">IF(B193="","",IFERROR(INDEX('Kitting Plan'!$H$5:$H$18,MATCH(B193,'Kitting Plan'!$C$5:$C$18,0)),""))</f>
        <v>24</v>
      </c>
      <c r="G193" s="45" t="n">
        <v>1</v>
      </c>
      <c r="H193" s="56" t="n">
        <f aca="false">IF(B193="","",IF(G193="",F193,G193))</f>
        <v>1</v>
      </c>
      <c r="I193" s="45" t="s">
        <v>29</v>
      </c>
      <c r="J193" s="57" t="n">
        <v>46256</v>
      </c>
      <c r="K193" s="46" t="s">
        <v>102</v>
      </c>
      <c r="L193" s="54" t="str">
        <f aca="false">IF(A193="","",IF(B193="","Missing code",IF(C193="Unknown code","Unknown code",IF(COUNTIF($A$6:$A$1005,A193)&gt;1,"Duplicate WO",""))))</f>
        <v/>
      </c>
    </row>
    <row r="194" customFormat="false" ht="23.85" hidden="false" customHeight="false" outlineLevel="0" collapsed="false">
      <c r="A194" s="53" t="n">
        <v>100874826</v>
      </c>
      <c r="B194" s="46" t="s">
        <v>63</v>
      </c>
      <c r="C194" s="54" t="str">
        <f aca="false">IF(B194="","",IFERROR(INDEX('Kitting Plan'!$D$5:$D$18,MATCH(B194,'Kitting Plan'!$C$5:$C$18,0)),"Unknown code"))</f>
        <v>R5B ERBIUM SPOOL ASSEMBLY - E2A</v>
      </c>
      <c r="D194" s="54" t="str">
        <f aca="false">IF(B194="","",IFERROR(INDEX('Kitting Plan'!$B$5:$B$18,MATCH(B194,'Kitting Plan'!$C$5:$C$18,0)),""))</f>
        <v>ERBIUM ASSY</v>
      </c>
      <c r="E194" s="45"/>
      <c r="F194" s="55" t="n">
        <f aca="false">IF(B194="","",IFERROR(INDEX('Kitting Plan'!$H$5:$H$18,MATCH(B194,'Kitting Plan'!$C$5:$C$18,0)),""))</f>
        <v>24</v>
      </c>
      <c r="G194" s="45" t="n">
        <v>1</v>
      </c>
      <c r="H194" s="56" t="n">
        <f aca="false">IF(B194="","",IF(G194="",F194,G194))</f>
        <v>1</v>
      </c>
      <c r="I194" s="45" t="s">
        <v>29</v>
      </c>
      <c r="J194" s="57" t="n">
        <v>46256</v>
      </c>
      <c r="K194" s="46" t="s">
        <v>102</v>
      </c>
      <c r="L194" s="54" t="str">
        <f aca="false">IF(A194="","",IF(B194="","Missing code",IF(C194="Unknown code","Unknown code",IF(COUNTIF($A$6:$A$1005,A194)&gt;1,"Duplicate WO",""))))</f>
        <v/>
      </c>
    </row>
    <row r="195" customFormat="false" ht="23.85" hidden="false" customHeight="false" outlineLevel="0" collapsed="false">
      <c r="A195" s="53" t="n">
        <v>100874827</v>
      </c>
      <c r="B195" s="46" t="s">
        <v>63</v>
      </c>
      <c r="C195" s="54" t="str">
        <f aca="false">IF(B195="","",IFERROR(INDEX('Kitting Plan'!$D$5:$D$18,MATCH(B195,'Kitting Plan'!$C$5:$C$18,0)),"Unknown code"))</f>
        <v>R5B ERBIUM SPOOL ASSEMBLY - E2A</v>
      </c>
      <c r="D195" s="54" t="str">
        <f aca="false">IF(B195="","",IFERROR(INDEX('Kitting Plan'!$B$5:$B$18,MATCH(B195,'Kitting Plan'!$C$5:$C$18,0)),""))</f>
        <v>ERBIUM ASSY</v>
      </c>
      <c r="E195" s="45"/>
      <c r="F195" s="55" t="n">
        <f aca="false">IF(B195="","",IFERROR(INDEX('Kitting Plan'!$H$5:$H$18,MATCH(B195,'Kitting Plan'!$C$5:$C$18,0)),""))</f>
        <v>24</v>
      </c>
      <c r="G195" s="45" t="n">
        <v>1</v>
      </c>
      <c r="H195" s="56" t="n">
        <f aca="false">IF(B195="","",IF(G195="",F195,G195))</f>
        <v>1</v>
      </c>
      <c r="I195" s="45" t="s">
        <v>29</v>
      </c>
      <c r="J195" s="57" t="n">
        <v>46256</v>
      </c>
      <c r="K195" s="46" t="s">
        <v>102</v>
      </c>
      <c r="L195" s="54" t="str">
        <f aca="false">IF(A195="","",IF(B195="","Missing code",IF(C195="Unknown code","Unknown code",IF(COUNTIF($A$6:$A$1005,A195)&gt;1,"Duplicate WO",""))))</f>
        <v/>
      </c>
    </row>
    <row r="196" customFormat="false" ht="23.85" hidden="false" customHeight="false" outlineLevel="0" collapsed="false">
      <c r="A196" s="53" t="n">
        <v>100874828</v>
      </c>
      <c r="B196" s="46" t="s">
        <v>63</v>
      </c>
      <c r="C196" s="54" t="str">
        <f aca="false">IF(B196="","",IFERROR(INDEX('Kitting Plan'!$D$5:$D$18,MATCH(B196,'Kitting Plan'!$C$5:$C$18,0)),"Unknown code"))</f>
        <v>R5B ERBIUM SPOOL ASSEMBLY - E2A</v>
      </c>
      <c r="D196" s="54" t="str">
        <f aca="false">IF(B196="","",IFERROR(INDEX('Kitting Plan'!$B$5:$B$18,MATCH(B196,'Kitting Plan'!$C$5:$C$18,0)),""))</f>
        <v>ERBIUM ASSY</v>
      </c>
      <c r="E196" s="45"/>
      <c r="F196" s="55" t="n">
        <f aca="false">IF(B196="","",IFERROR(INDEX('Kitting Plan'!$H$5:$H$18,MATCH(B196,'Kitting Plan'!$C$5:$C$18,0)),""))</f>
        <v>24</v>
      </c>
      <c r="G196" s="45" t="n">
        <v>1</v>
      </c>
      <c r="H196" s="56" t="n">
        <f aca="false">IF(B196="","",IF(G196="",F196,G196))</f>
        <v>1</v>
      </c>
      <c r="I196" s="45" t="s">
        <v>29</v>
      </c>
      <c r="J196" s="57" t="n">
        <v>46256</v>
      </c>
      <c r="K196" s="46" t="s">
        <v>102</v>
      </c>
      <c r="L196" s="54" t="str">
        <f aca="false">IF(A196="","",IF(B196="","Missing code",IF(C196="Unknown code","Unknown code",IF(COUNTIF($A$6:$A$1005,A196)&gt;1,"Duplicate WO",""))))</f>
        <v/>
      </c>
    </row>
    <row r="197" customFormat="false" ht="23.85" hidden="false" customHeight="false" outlineLevel="0" collapsed="false">
      <c r="A197" s="53" t="n">
        <v>100874829</v>
      </c>
      <c r="B197" s="46" t="s">
        <v>63</v>
      </c>
      <c r="C197" s="54" t="str">
        <f aca="false">IF(B197="","",IFERROR(INDEX('Kitting Plan'!$D$5:$D$18,MATCH(B197,'Kitting Plan'!$C$5:$C$18,0)),"Unknown code"))</f>
        <v>R5B ERBIUM SPOOL ASSEMBLY - E2A</v>
      </c>
      <c r="D197" s="54" t="str">
        <f aca="false">IF(B197="","",IFERROR(INDEX('Kitting Plan'!$B$5:$B$18,MATCH(B197,'Kitting Plan'!$C$5:$C$18,0)),""))</f>
        <v>ERBIUM ASSY</v>
      </c>
      <c r="E197" s="45"/>
      <c r="F197" s="55" t="n">
        <f aca="false">IF(B197="","",IFERROR(INDEX('Kitting Plan'!$H$5:$H$18,MATCH(B197,'Kitting Plan'!$C$5:$C$18,0)),""))</f>
        <v>24</v>
      </c>
      <c r="G197" s="45" t="n">
        <v>1</v>
      </c>
      <c r="H197" s="56" t="n">
        <f aca="false">IF(B197="","",IF(G197="",F197,G197))</f>
        <v>1</v>
      </c>
      <c r="I197" s="45" t="s">
        <v>29</v>
      </c>
      <c r="J197" s="57" t="n">
        <v>46256</v>
      </c>
      <c r="K197" s="46" t="s">
        <v>102</v>
      </c>
      <c r="L197" s="54" t="str">
        <f aca="false">IF(A197="","",IF(B197="","Missing code",IF(C197="Unknown code","Unknown code",IF(COUNTIF($A$6:$A$1005,A197)&gt;1,"Duplicate WO",""))))</f>
        <v/>
      </c>
    </row>
    <row r="198" customFormat="false" ht="23.85" hidden="false" customHeight="false" outlineLevel="0" collapsed="false">
      <c r="A198" s="53" t="n">
        <v>100874830</v>
      </c>
      <c r="B198" s="46" t="s">
        <v>63</v>
      </c>
      <c r="C198" s="54" t="str">
        <f aca="false">IF(B198="","",IFERROR(INDEX('Kitting Plan'!$D$5:$D$18,MATCH(B198,'Kitting Plan'!$C$5:$C$18,0)),"Unknown code"))</f>
        <v>R5B ERBIUM SPOOL ASSEMBLY - E2A</v>
      </c>
      <c r="D198" s="54" t="str">
        <f aca="false">IF(B198="","",IFERROR(INDEX('Kitting Plan'!$B$5:$B$18,MATCH(B198,'Kitting Plan'!$C$5:$C$18,0)),""))</f>
        <v>ERBIUM ASSY</v>
      </c>
      <c r="E198" s="45"/>
      <c r="F198" s="55" t="n">
        <f aca="false">IF(B198="","",IFERROR(INDEX('Kitting Plan'!$H$5:$H$18,MATCH(B198,'Kitting Plan'!$C$5:$C$18,0)),""))</f>
        <v>24</v>
      </c>
      <c r="G198" s="45" t="n">
        <v>1</v>
      </c>
      <c r="H198" s="56" t="n">
        <f aca="false">IF(B198="","",IF(G198="",F198,G198))</f>
        <v>1</v>
      </c>
      <c r="I198" s="45" t="s">
        <v>29</v>
      </c>
      <c r="J198" s="57" t="n">
        <v>46256</v>
      </c>
      <c r="K198" s="46" t="s">
        <v>102</v>
      </c>
      <c r="L198" s="54" t="str">
        <f aca="false">IF(A198="","",IF(B198="","Missing code",IF(C198="Unknown code","Unknown code",IF(COUNTIF($A$6:$A$1005,A198)&gt;1,"Duplicate WO",""))))</f>
        <v/>
      </c>
    </row>
    <row r="199" customFormat="false" ht="23.85" hidden="false" customHeight="false" outlineLevel="0" collapsed="false">
      <c r="A199" s="53" t="n">
        <v>100874831</v>
      </c>
      <c r="B199" s="46" t="s">
        <v>63</v>
      </c>
      <c r="C199" s="54" t="str">
        <f aca="false">IF(B199="","",IFERROR(INDEX('Kitting Plan'!$D$5:$D$18,MATCH(B199,'Kitting Plan'!$C$5:$C$18,0)),"Unknown code"))</f>
        <v>R5B ERBIUM SPOOL ASSEMBLY - E2A</v>
      </c>
      <c r="D199" s="54" t="str">
        <f aca="false">IF(B199="","",IFERROR(INDEX('Kitting Plan'!$B$5:$B$18,MATCH(B199,'Kitting Plan'!$C$5:$C$18,0)),""))</f>
        <v>ERBIUM ASSY</v>
      </c>
      <c r="E199" s="45"/>
      <c r="F199" s="55" t="n">
        <f aca="false">IF(B199="","",IFERROR(INDEX('Kitting Plan'!$H$5:$H$18,MATCH(B199,'Kitting Plan'!$C$5:$C$18,0)),""))</f>
        <v>24</v>
      </c>
      <c r="G199" s="45" t="n">
        <v>1</v>
      </c>
      <c r="H199" s="56" t="n">
        <f aca="false">IF(B199="","",IF(G199="",F199,G199))</f>
        <v>1</v>
      </c>
      <c r="I199" s="45" t="s">
        <v>29</v>
      </c>
      <c r="J199" s="57" t="n">
        <v>46256</v>
      </c>
      <c r="K199" s="46" t="s">
        <v>102</v>
      </c>
      <c r="L199" s="54" t="str">
        <f aca="false">IF(A199="","",IF(B199="","Missing code",IF(C199="Unknown code","Unknown code",IF(COUNTIF($A$6:$A$1005,A199)&gt;1,"Duplicate WO",""))))</f>
        <v/>
      </c>
    </row>
    <row r="200" customFormat="false" ht="23.85" hidden="false" customHeight="false" outlineLevel="0" collapsed="false">
      <c r="A200" s="53" t="n">
        <v>100874832</v>
      </c>
      <c r="B200" s="46" t="s">
        <v>63</v>
      </c>
      <c r="C200" s="54" t="str">
        <f aca="false">IF(B200="","",IFERROR(INDEX('Kitting Plan'!$D$5:$D$18,MATCH(B200,'Kitting Plan'!$C$5:$C$18,0)),"Unknown code"))</f>
        <v>R5B ERBIUM SPOOL ASSEMBLY - E2A</v>
      </c>
      <c r="D200" s="54" t="str">
        <f aca="false">IF(B200="","",IFERROR(INDEX('Kitting Plan'!$B$5:$B$18,MATCH(B200,'Kitting Plan'!$C$5:$C$18,0)),""))</f>
        <v>ERBIUM ASSY</v>
      </c>
      <c r="E200" s="45"/>
      <c r="F200" s="55" t="n">
        <f aca="false">IF(B200="","",IFERROR(INDEX('Kitting Plan'!$H$5:$H$18,MATCH(B200,'Kitting Plan'!$C$5:$C$18,0)),""))</f>
        <v>24</v>
      </c>
      <c r="G200" s="45" t="n">
        <v>1</v>
      </c>
      <c r="H200" s="56" t="n">
        <f aca="false">IF(B200="","",IF(G200="",F200,G200))</f>
        <v>1</v>
      </c>
      <c r="I200" s="45" t="s">
        <v>29</v>
      </c>
      <c r="J200" s="57" t="n">
        <v>46256</v>
      </c>
      <c r="K200" s="46" t="s">
        <v>102</v>
      </c>
      <c r="L200" s="54" t="str">
        <f aca="false">IF(A200="","",IF(B200="","Missing code",IF(C200="Unknown code","Unknown code",IF(COUNTIF($A$6:$A$1005,A200)&gt;1,"Duplicate WO",""))))</f>
        <v/>
      </c>
    </row>
    <row r="201" customFormat="false" ht="23.85" hidden="false" customHeight="false" outlineLevel="0" collapsed="false">
      <c r="A201" s="53" t="n">
        <v>100874833</v>
      </c>
      <c r="B201" s="46" t="s">
        <v>63</v>
      </c>
      <c r="C201" s="54" t="str">
        <f aca="false">IF(B201="","",IFERROR(INDEX('Kitting Plan'!$D$5:$D$18,MATCH(B201,'Kitting Plan'!$C$5:$C$18,0)),"Unknown code"))</f>
        <v>R5B ERBIUM SPOOL ASSEMBLY - E2A</v>
      </c>
      <c r="D201" s="54" t="str">
        <f aca="false">IF(B201="","",IFERROR(INDEX('Kitting Plan'!$B$5:$B$18,MATCH(B201,'Kitting Plan'!$C$5:$C$18,0)),""))</f>
        <v>ERBIUM ASSY</v>
      </c>
      <c r="E201" s="45"/>
      <c r="F201" s="55" t="n">
        <f aca="false">IF(B201="","",IFERROR(INDEX('Kitting Plan'!$H$5:$H$18,MATCH(B201,'Kitting Plan'!$C$5:$C$18,0)),""))</f>
        <v>24</v>
      </c>
      <c r="G201" s="45" t="n">
        <v>1</v>
      </c>
      <c r="H201" s="56" t="n">
        <f aca="false">IF(B201="","",IF(G201="",F201,G201))</f>
        <v>1</v>
      </c>
      <c r="I201" s="45" t="s">
        <v>29</v>
      </c>
      <c r="J201" s="57" t="n">
        <v>46256</v>
      </c>
      <c r="K201" s="46" t="s">
        <v>102</v>
      </c>
      <c r="L201" s="54" t="str">
        <f aca="false">IF(A201="","",IF(B201="","Missing code",IF(C201="Unknown code","Unknown code",IF(COUNTIF($A$6:$A$1005,A201)&gt;1,"Duplicate WO",""))))</f>
        <v/>
      </c>
    </row>
    <row r="202" customFormat="false" ht="23.85" hidden="false" customHeight="false" outlineLevel="0" collapsed="false">
      <c r="A202" s="53" t="n">
        <v>100874834</v>
      </c>
      <c r="B202" s="46" t="s">
        <v>63</v>
      </c>
      <c r="C202" s="54" t="str">
        <f aca="false">IF(B202="","",IFERROR(INDEX('Kitting Plan'!$D$5:$D$18,MATCH(B202,'Kitting Plan'!$C$5:$C$18,0)),"Unknown code"))</f>
        <v>R5B ERBIUM SPOOL ASSEMBLY - E2A</v>
      </c>
      <c r="D202" s="54" t="str">
        <f aca="false">IF(B202="","",IFERROR(INDEX('Kitting Plan'!$B$5:$B$18,MATCH(B202,'Kitting Plan'!$C$5:$C$18,0)),""))</f>
        <v>ERBIUM ASSY</v>
      </c>
      <c r="E202" s="45"/>
      <c r="F202" s="55" t="n">
        <f aca="false">IF(B202="","",IFERROR(INDEX('Kitting Plan'!$H$5:$H$18,MATCH(B202,'Kitting Plan'!$C$5:$C$18,0)),""))</f>
        <v>24</v>
      </c>
      <c r="G202" s="45" t="n">
        <v>1</v>
      </c>
      <c r="H202" s="56" t="n">
        <f aca="false">IF(B202="","",IF(G202="",F202,G202))</f>
        <v>1</v>
      </c>
      <c r="I202" s="45" t="s">
        <v>29</v>
      </c>
      <c r="J202" s="57" t="n">
        <v>46256</v>
      </c>
      <c r="K202" s="46" t="s">
        <v>102</v>
      </c>
      <c r="L202" s="54" t="str">
        <f aca="false">IF(A202="","",IF(B202="","Missing code",IF(C202="Unknown code","Unknown code",IF(COUNTIF($A$6:$A$1005,A202)&gt;1,"Duplicate WO",""))))</f>
        <v/>
      </c>
    </row>
    <row r="203" customFormat="false" ht="23.85" hidden="false" customHeight="false" outlineLevel="0" collapsed="false">
      <c r="A203" s="53" t="n">
        <v>100874835</v>
      </c>
      <c r="B203" s="46" t="s">
        <v>63</v>
      </c>
      <c r="C203" s="54" t="str">
        <f aca="false">IF(B203="","",IFERROR(INDEX('Kitting Plan'!$D$5:$D$18,MATCH(B203,'Kitting Plan'!$C$5:$C$18,0)),"Unknown code"))</f>
        <v>R5B ERBIUM SPOOL ASSEMBLY - E2A</v>
      </c>
      <c r="D203" s="54" t="str">
        <f aca="false">IF(B203="","",IFERROR(INDEX('Kitting Plan'!$B$5:$B$18,MATCH(B203,'Kitting Plan'!$C$5:$C$18,0)),""))</f>
        <v>ERBIUM ASSY</v>
      </c>
      <c r="E203" s="45"/>
      <c r="F203" s="55" t="n">
        <f aca="false">IF(B203="","",IFERROR(INDEX('Kitting Plan'!$H$5:$H$18,MATCH(B203,'Kitting Plan'!$C$5:$C$18,0)),""))</f>
        <v>24</v>
      </c>
      <c r="G203" s="45" t="n">
        <v>1</v>
      </c>
      <c r="H203" s="56" t="n">
        <f aca="false">IF(B203="","",IF(G203="",F203,G203))</f>
        <v>1</v>
      </c>
      <c r="I203" s="45" t="s">
        <v>29</v>
      </c>
      <c r="J203" s="57" t="n">
        <v>46256</v>
      </c>
      <c r="K203" s="46" t="s">
        <v>102</v>
      </c>
      <c r="L203" s="54" t="str">
        <f aca="false">IF(A203="","",IF(B203="","Missing code",IF(C203="Unknown code","Unknown code",IF(COUNTIF($A$6:$A$1005,A203)&gt;1,"Duplicate WO",""))))</f>
        <v/>
      </c>
    </row>
    <row r="204" customFormat="false" ht="23.85" hidden="false" customHeight="false" outlineLevel="0" collapsed="false">
      <c r="A204" s="53" t="n">
        <v>100874836</v>
      </c>
      <c r="B204" s="46" t="s">
        <v>63</v>
      </c>
      <c r="C204" s="54" t="str">
        <f aca="false">IF(B204="","",IFERROR(INDEX('Kitting Plan'!$D$5:$D$18,MATCH(B204,'Kitting Plan'!$C$5:$C$18,0)),"Unknown code"))</f>
        <v>R5B ERBIUM SPOOL ASSEMBLY - E2A</v>
      </c>
      <c r="D204" s="54" t="str">
        <f aca="false">IF(B204="","",IFERROR(INDEX('Kitting Plan'!$B$5:$B$18,MATCH(B204,'Kitting Plan'!$C$5:$C$18,0)),""))</f>
        <v>ERBIUM ASSY</v>
      </c>
      <c r="E204" s="45"/>
      <c r="F204" s="55" t="n">
        <f aca="false">IF(B204="","",IFERROR(INDEX('Kitting Plan'!$H$5:$H$18,MATCH(B204,'Kitting Plan'!$C$5:$C$18,0)),""))</f>
        <v>24</v>
      </c>
      <c r="G204" s="45" t="n">
        <v>1</v>
      </c>
      <c r="H204" s="56" t="n">
        <f aca="false">IF(B204="","",IF(G204="",F204,G204))</f>
        <v>1</v>
      </c>
      <c r="I204" s="45" t="s">
        <v>29</v>
      </c>
      <c r="J204" s="57" t="n">
        <v>46256</v>
      </c>
      <c r="K204" s="46" t="s">
        <v>102</v>
      </c>
      <c r="L204" s="54" t="str">
        <f aca="false">IF(A204="","",IF(B204="","Missing code",IF(C204="Unknown code","Unknown code",IF(COUNTIF($A$6:$A$1005,A204)&gt;1,"Duplicate WO",""))))</f>
        <v/>
      </c>
    </row>
    <row r="205" customFormat="false" ht="23.85" hidden="false" customHeight="false" outlineLevel="0" collapsed="false">
      <c r="A205" s="53" t="n">
        <v>100874837</v>
      </c>
      <c r="B205" s="46" t="s">
        <v>63</v>
      </c>
      <c r="C205" s="54" t="str">
        <f aca="false">IF(B205="","",IFERROR(INDEX('Kitting Plan'!$D$5:$D$18,MATCH(B205,'Kitting Plan'!$C$5:$C$18,0)),"Unknown code"))</f>
        <v>R5B ERBIUM SPOOL ASSEMBLY - E2A</v>
      </c>
      <c r="D205" s="54" t="str">
        <f aca="false">IF(B205="","",IFERROR(INDEX('Kitting Plan'!$B$5:$B$18,MATCH(B205,'Kitting Plan'!$C$5:$C$18,0)),""))</f>
        <v>ERBIUM ASSY</v>
      </c>
      <c r="E205" s="45"/>
      <c r="F205" s="55" t="n">
        <f aca="false">IF(B205="","",IFERROR(INDEX('Kitting Plan'!$H$5:$H$18,MATCH(B205,'Kitting Plan'!$C$5:$C$18,0)),""))</f>
        <v>24</v>
      </c>
      <c r="G205" s="45" t="n">
        <v>1</v>
      </c>
      <c r="H205" s="56" t="n">
        <f aca="false">IF(B205="","",IF(G205="",F205,G205))</f>
        <v>1</v>
      </c>
      <c r="I205" s="45" t="s">
        <v>29</v>
      </c>
      <c r="J205" s="57" t="n">
        <v>46256</v>
      </c>
      <c r="K205" s="46" t="s">
        <v>102</v>
      </c>
      <c r="L205" s="54" t="str">
        <f aca="false">IF(A205="","",IF(B205="","Missing code",IF(C205="Unknown code","Unknown code",IF(COUNTIF($A$6:$A$1005,A205)&gt;1,"Duplicate WO",""))))</f>
        <v/>
      </c>
    </row>
    <row r="206" customFormat="false" ht="23.85" hidden="false" customHeight="false" outlineLevel="0" collapsed="false">
      <c r="A206" s="53" t="n">
        <v>100874838</v>
      </c>
      <c r="B206" s="46" t="s">
        <v>63</v>
      </c>
      <c r="C206" s="54" t="str">
        <f aca="false">IF(B206="","",IFERROR(INDEX('Kitting Plan'!$D$5:$D$18,MATCH(B206,'Kitting Plan'!$C$5:$C$18,0)),"Unknown code"))</f>
        <v>R5B ERBIUM SPOOL ASSEMBLY - E2A</v>
      </c>
      <c r="D206" s="54" t="str">
        <f aca="false">IF(B206="","",IFERROR(INDEX('Kitting Plan'!$B$5:$B$18,MATCH(B206,'Kitting Plan'!$C$5:$C$18,0)),""))</f>
        <v>ERBIUM ASSY</v>
      </c>
      <c r="E206" s="45"/>
      <c r="F206" s="55" t="n">
        <f aca="false">IF(B206="","",IFERROR(INDEX('Kitting Plan'!$H$5:$H$18,MATCH(B206,'Kitting Plan'!$C$5:$C$18,0)),""))</f>
        <v>24</v>
      </c>
      <c r="G206" s="45" t="n">
        <v>1</v>
      </c>
      <c r="H206" s="56" t="n">
        <f aca="false">IF(B206="","",IF(G206="",F206,G206))</f>
        <v>1</v>
      </c>
      <c r="I206" s="45" t="s">
        <v>29</v>
      </c>
      <c r="J206" s="57" t="n">
        <v>46256</v>
      </c>
      <c r="K206" s="46" t="s">
        <v>102</v>
      </c>
      <c r="L206" s="54" t="str">
        <f aca="false">IF(A206="","",IF(B206="","Missing code",IF(C206="Unknown code","Unknown code",IF(COUNTIF($A$6:$A$1005,A206)&gt;1,"Duplicate WO",""))))</f>
        <v/>
      </c>
    </row>
    <row r="207" customFormat="false" ht="23.85" hidden="false" customHeight="false" outlineLevel="0" collapsed="false">
      <c r="A207" s="53" t="n">
        <v>100876443</v>
      </c>
      <c r="B207" s="46" t="s">
        <v>63</v>
      </c>
      <c r="C207" s="54" t="str">
        <f aca="false">IF(B207="","",IFERROR(INDEX('Kitting Plan'!$D$5:$D$18,MATCH(B207,'Kitting Plan'!$C$5:$C$18,0)),"Unknown code"))</f>
        <v>R5B ERBIUM SPOOL ASSEMBLY - E2A</v>
      </c>
      <c r="D207" s="54" t="str">
        <f aca="false">IF(B207="","",IFERROR(INDEX('Kitting Plan'!$B$5:$B$18,MATCH(B207,'Kitting Plan'!$C$5:$C$18,0)),""))</f>
        <v>ERBIUM ASSY</v>
      </c>
      <c r="E207" s="45"/>
      <c r="F207" s="55" t="n">
        <f aca="false">IF(B207="","",IFERROR(INDEX('Kitting Plan'!$H$5:$H$18,MATCH(B207,'Kitting Plan'!$C$5:$C$18,0)),""))</f>
        <v>24</v>
      </c>
      <c r="G207" s="45" t="n">
        <v>1</v>
      </c>
      <c r="H207" s="56" t="n">
        <f aca="false">IF(B207="","",IF(G207="",F207,G207))</f>
        <v>1</v>
      </c>
      <c r="I207" s="45" t="s">
        <v>29</v>
      </c>
      <c r="J207" s="57" t="n">
        <v>46272</v>
      </c>
      <c r="K207" s="46" t="s">
        <v>104</v>
      </c>
      <c r="L207" s="54" t="str">
        <f aca="false">IF(A207="","",IF(B207="","Missing code",IF(C207="Unknown code","Unknown code",IF(COUNTIF($A$6:$A$1005,A207)&gt;1,"Duplicate WO",""))))</f>
        <v/>
      </c>
    </row>
    <row r="208" customFormat="false" ht="23.85" hidden="false" customHeight="false" outlineLevel="0" collapsed="false">
      <c r="A208" s="53" t="n">
        <v>100876444</v>
      </c>
      <c r="B208" s="46" t="s">
        <v>63</v>
      </c>
      <c r="C208" s="54" t="str">
        <f aca="false">IF(B208="","",IFERROR(INDEX('Kitting Plan'!$D$5:$D$18,MATCH(B208,'Kitting Plan'!$C$5:$C$18,0)),"Unknown code"))</f>
        <v>R5B ERBIUM SPOOL ASSEMBLY - E2A</v>
      </c>
      <c r="D208" s="54" t="str">
        <f aca="false">IF(B208="","",IFERROR(INDEX('Kitting Plan'!$B$5:$B$18,MATCH(B208,'Kitting Plan'!$C$5:$C$18,0)),""))</f>
        <v>ERBIUM ASSY</v>
      </c>
      <c r="E208" s="45"/>
      <c r="F208" s="55" t="n">
        <f aca="false">IF(B208="","",IFERROR(INDEX('Kitting Plan'!$H$5:$H$18,MATCH(B208,'Kitting Plan'!$C$5:$C$18,0)),""))</f>
        <v>24</v>
      </c>
      <c r="G208" s="45" t="n">
        <v>1</v>
      </c>
      <c r="H208" s="56" t="n">
        <f aca="false">IF(B208="","",IF(G208="",F208,G208))</f>
        <v>1</v>
      </c>
      <c r="I208" s="45" t="s">
        <v>29</v>
      </c>
      <c r="J208" s="57" t="n">
        <v>46272</v>
      </c>
      <c r="K208" s="46" t="s">
        <v>104</v>
      </c>
      <c r="L208" s="54" t="str">
        <f aca="false">IF(A208="","",IF(B208="","Missing code",IF(C208="Unknown code","Unknown code",IF(COUNTIF($A$6:$A$1005,A208)&gt;1,"Duplicate WO",""))))</f>
        <v/>
      </c>
    </row>
    <row r="209" customFormat="false" ht="23.85" hidden="false" customHeight="false" outlineLevel="0" collapsed="false">
      <c r="A209" s="53" t="n">
        <v>100876479</v>
      </c>
      <c r="B209" s="46" t="s">
        <v>63</v>
      </c>
      <c r="C209" s="54" t="str">
        <f aca="false">IF(B209="","",IFERROR(INDEX('Kitting Plan'!$D$5:$D$18,MATCH(B209,'Kitting Plan'!$C$5:$C$18,0)),"Unknown code"))</f>
        <v>R5B ERBIUM SPOOL ASSEMBLY - E2A</v>
      </c>
      <c r="D209" s="54" t="str">
        <f aca="false">IF(B209="","",IFERROR(INDEX('Kitting Plan'!$B$5:$B$18,MATCH(B209,'Kitting Plan'!$C$5:$C$18,0)),""))</f>
        <v>ERBIUM ASSY</v>
      </c>
      <c r="E209" s="45"/>
      <c r="F209" s="55" t="n">
        <f aca="false">IF(B209="","",IFERROR(INDEX('Kitting Plan'!$H$5:$H$18,MATCH(B209,'Kitting Plan'!$C$5:$C$18,0)),""))</f>
        <v>24</v>
      </c>
      <c r="G209" s="45" t="n">
        <v>1</v>
      </c>
      <c r="H209" s="56" t="n">
        <f aca="false">IF(B209="","",IF(G209="",F209,G209))</f>
        <v>1</v>
      </c>
      <c r="I209" s="45" t="s">
        <v>29</v>
      </c>
      <c r="J209" s="57" t="n">
        <v>46272</v>
      </c>
      <c r="K209" s="46" t="s">
        <v>104</v>
      </c>
      <c r="L209" s="54" t="str">
        <f aca="false">IF(A209="","",IF(B209="","Missing code",IF(C209="Unknown code","Unknown code",IF(COUNTIF($A$6:$A$1005,A209)&gt;1,"Duplicate WO",""))))</f>
        <v/>
      </c>
    </row>
    <row r="210" customFormat="false" ht="23.85" hidden="false" customHeight="false" outlineLevel="0" collapsed="false">
      <c r="A210" s="53" t="n">
        <v>100876480</v>
      </c>
      <c r="B210" s="46" t="s">
        <v>63</v>
      </c>
      <c r="C210" s="54" t="str">
        <f aca="false">IF(B210="","",IFERROR(INDEX('Kitting Plan'!$D$5:$D$18,MATCH(B210,'Kitting Plan'!$C$5:$C$18,0)),"Unknown code"))</f>
        <v>R5B ERBIUM SPOOL ASSEMBLY - E2A</v>
      </c>
      <c r="D210" s="54" t="str">
        <f aca="false">IF(B210="","",IFERROR(INDEX('Kitting Plan'!$B$5:$B$18,MATCH(B210,'Kitting Plan'!$C$5:$C$18,0)),""))</f>
        <v>ERBIUM ASSY</v>
      </c>
      <c r="E210" s="45"/>
      <c r="F210" s="55" t="n">
        <f aca="false">IF(B210="","",IFERROR(INDEX('Kitting Plan'!$H$5:$H$18,MATCH(B210,'Kitting Plan'!$C$5:$C$18,0)),""))</f>
        <v>24</v>
      </c>
      <c r="G210" s="45" t="n">
        <v>1</v>
      </c>
      <c r="H210" s="56" t="n">
        <f aca="false">IF(B210="","",IF(G210="",F210,G210))</f>
        <v>1</v>
      </c>
      <c r="I210" s="45" t="s">
        <v>29</v>
      </c>
      <c r="J210" s="57" t="n">
        <v>46272</v>
      </c>
      <c r="K210" s="46" t="s">
        <v>104</v>
      </c>
      <c r="L210" s="54" t="str">
        <f aca="false">IF(A210="","",IF(B210="","Missing code",IF(C210="Unknown code","Unknown code",IF(COUNTIF($A$6:$A$1005,A210)&gt;1,"Duplicate WO",""))))</f>
        <v/>
      </c>
    </row>
    <row r="211" customFormat="false" ht="23.85" hidden="false" customHeight="false" outlineLevel="0" collapsed="false">
      <c r="A211" s="53" t="n">
        <v>100876481</v>
      </c>
      <c r="B211" s="46" t="s">
        <v>63</v>
      </c>
      <c r="C211" s="54" t="str">
        <f aca="false">IF(B211="","",IFERROR(INDEX('Kitting Plan'!$D$5:$D$18,MATCH(B211,'Kitting Plan'!$C$5:$C$18,0)),"Unknown code"))</f>
        <v>R5B ERBIUM SPOOL ASSEMBLY - E2A</v>
      </c>
      <c r="D211" s="54" t="str">
        <f aca="false">IF(B211="","",IFERROR(INDEX('Kitting Plan'!$B$5:$B$18,MATCH(B211,'Kitting Plan'!$C$5:$C$18,0)),""))</f>
        <v>ERBIUM ASSY</v>
      </c>
      <c r="E211" s="45"/>
      <c r="F211" s="55" t="n">
        <f aca="false">IF(B211="","",IFERROR(INDEX('Kitting Plan'!$H$5:$H$18,MATCH(B211,'Kitting Plan'!$C$5:$C$18,0)),""))</f>
        <v>24</v>
      </c>
      <c r="G211" s="45" t="n">
        <v>1</v>
      </c>
      <c r="H211" s="56" t="n">
        <f aca="false">IF(B211="","",IF(G211="",F211,G211))</f>
        <v>1</v>
      </c>
      <c r="I211" s="45" t="s">
        <v>29</v>
      </c>
      <c r="J211" s="57" t="n">
        <v>46272</v>
      </c>
      <c r="K211" s="46" t="s">
        <v>104</v>
      </c>
      <c r="L211" s="54" t="str">
        <f aca="false">IF(A211="","",IF(B211="","Missing code",IF(C211="Unknown code","Unknown code",IF(COUNTIF($A$6:$A$1005,A211)&gt;1,"Duplicate WO",""))))</f>
        <v/>
      </c>
    </row>
    <row r="212" customFormat="false" ht="23.85" hidden="false" customHeight="false" outlineLevel="0" collapsed="false">
      <c r="A212" s="53" t="n">
        <v>100876482</v>
      </c>
      <c r="B212" s="46" t="s">
        <v>63</v>
      </c>
      <c r="C212" s="54" t="str">
        <f aca="false">IF(B212="","",IFERROR(INDEX('Kitting Plan'!$D$5:$D$18,MATCH(B212,'Kitting Plan'!$C$5:$C$18,0)),"Unknown code"))</f>
        <v>R5B ERBIUM SPOOL ASSEMBLY - E2A</v>
      </c>
      <c r="D212" s="54" t="str">
        <f aca="false">IF(B212="","",IFERROR(INDEX('Kitting Plan'!$B$5:$B$18,MATCH(B212,'Kitting Plan'!$C$5:$C$18,0)),""))</f>
        <v>ERBIUM ASSY</v>
      </c>
      <c r="E212" s="45"/>
      <c r="F212" s="55" t="n">
        <f aca="false">IF(B212="","",IFERROR(INDEX('Kitting Plan'!$H$5:$H$18,MATCH(B212,'Kitting Plan'!$C$5:$C$18,0)),""))</f>
        <v>24</v>
      </c>
      <c r="G212" s="45" t="n">
        <v>1</v>
      </c>
      <c r="H212" s="56" t="n">
        <f aca="false">IF(B212="","",IF(G212="",F212,G212))</f>
        <v>1</v>
      </c>
      <c r="I212" s="45" t="s">
        <v>29</v>
      </c>
      <c r="J212" s="57" t="n">
        <v>46272</v>
      </c>
      <c r="K212" s="46" t="s">
        <v>104</v>
      </c>
      <c r="L212" s="54" t="str">
        <f aca="false">IF(A212="","",IF(B212="","Missing code",IF(C212="Unknown code","Unknown code",IF(COUNTIF($A$6:$A$1005,A212)&gt;1,"Duplicate WO",""))))</f>
        <v/>
      </c>
    </row>
    <row r="213" customFormat="false" ht="23.85" hidden="false" customHeight="false" outlineLevel="0" collapsed="false">
      <c r="A213" s="53" t="n">
        <v>100876483</v>
      </c>
      <c r="B213" s="46" t="s">
        <v>63</v>
      </c>
      <c r="C213" s="54" t="str">
        <f aca="false">IF(B213="","",IFERROR(INDEX('Kitting Plan'!$D$5:$D$18,MATCH(B213,'Kitting Plan'!$C$5:$C$18,0)),"Unknown code"))</f>
        <v>R5B ERBIUM SPOOL ASSEMBLY - E2A</v>
      </c>
      <c r="D213" s="54" t="str">
        <f aca="false">IF(B213="","",IFERROR(INDEX('Kitting Plan'!$B$5:$B$18,MATCH(B213,'Kitting Plan'!$C$5:$C$18,0)),""))</f>
        <v>ERBIUM ASSY</v>
      </c>
      <c r="E213" s="45"/>
      <c r="F213" s="55" t="n">
        <f aca="false">IF(B213="","",IFERROR(INDEX('Kitting Plan'!$H$5:$H$18,MATCH(B213,'Kitting Plan'!$C$5:$C$18,0)),""))</f>
        <v>24</v>
      </c>
      <c r="G213" s="45" t="n">
        <v>1</v>
      </c>
      <c r="H213" s="56" t="n">
        <f aca="false">IF(B213="","",IF(G213="",F213,G213))</f>
        <v>1</v>
      </c>
      <c r="I213" s="45" t="s">
        <v>29</v>
      </c>
      <c r="J213" s="57" t="n">
        <v>46272</v>
      </c>
      <c r="K213" s="46" t="s">
        <v>104</v>
      </c>
      <c r="L213" s="54" t="str">
        <f aca="false">IF(A213="","",IF(B213="","Missing code",IF(C213="Unknown code","Unknown code",IF(COUNTIF($A$6:$A$1005,A213)&gt;1,"Duplicate WO",""))))</f>
        <v/>
      </c>
    </row>
    <row r="214" customFormat="false" ht="23.85" hidden="false" customHeight="false" outlineLevel="0" collapsed="false">
      <c r="A214" s="53" t="n">
        <v>100876484</v>
      </c>
      <c r="B214" s="46" t="s">
        <v>63</v>
      </c>
      <c r="C214" s="54" t="str">
        <f aca="false">IF(B214="","",IFERROR(INDEX('Kitting Plan'!$D$5:$D$18,MATCH(B214,'Kitting Plan'!$C$5:$C$18,0)),"Unknown code"))</f>
        <v>R5B ERBIUM SPOOL ASSEMBLY - E2A</v>
      </c>
      <c r="D214" s="54" t="str">
        <f aca="false">IF(B214="","",IFERROR(INDEX('Kitting Plan'!$B$5:$B$18,MATCH(B214,'Kitting Plan'!$C$5:$C$18,0)),""))</f>
        <v>ERBIUM ASSY</v>
      </c>
      <c r="E214" s="45"/>
      <c r="F214" s="55" t="n">
        <f aca="false">IF(B214="","",IFERROR(INDEX('Kitting Plan'!$H$5:$H$18,MATCH(B214,'Kitting Plan'!$C$5:$C$18,0)),""))</f>
        <v>24</v>
      </c>
      <c r="G214" s="45" t="n">
        <v>1</v>
      </c>
      <c r="H214" s="56" t="n">
        <f aca="false">IF(B214="","",IF(G214="",F214,G214))</f>
        <v>1</v>
      </c>
      <c r="I214" s="45" t="s">
        <v>29</v>
      </c>
      <c r="J214" s="57" t="n">
        <v>46272</v>
      </c>
      <c r="K214" s="46" t="s">
        <v>104</v>
      </c>
      <c r="L214" s="54" t="str">
        <f aca="false">IF(A214="","",IF(B214="","Missing code",IF(C214="Unknown code","Unknown code",IF(COUNTIF($A$6:$A$1005,A214)&gt;1,"Duplicate WO",""))))</f>
        <v/>
      </c>
    </row>
    <row r="215" customFormat="false" ht="23.85" hidden="false" customHeight="false" outlineLevel="0" collapsed="false">
      <c r="A215" s="53" t="n">
        <v>100876485</v>
      </c>
      <c r="B215" s="46" t="s">
        <v>63</v>
      </c>
      <c r="C215" s="54" t="str">
        <f aca="false">IF(B215="","",IFERROR(INDEX('Kitting Plan'!$D$5:$D$18,MATCH(B215,'Kitting Plan'!$C$5:$C$18,0)),"Unknown code"))</f>
        <v>R5B ERBIUM SPOOL ASSEMBLY - E2A</v>
      </c>
      <c r="D215" s="54" t="str">
        <f aca="false">IF(B215="","",IFERROR(INDEX('Kitting Plan'!$B$5:$B$18,MATCH(B215,'Kitting Plan'!$C$5:$C$18,0)),""))</f>
        <v>ERBIUM ASSY</v>
      </c>
      <c r="E215" s="45"/>
      <c r="F215" s="55" t="n">
        <f aca="false">IF(B215="","",IFERROR(INDEX('Kitting Plan'!$H$5:$H$18,MATCH(B215,'Kitting Plan'!$C$5:$C$18,0)),""))</f>
        <v>24</v>
      </c>
      <c r="G215" s="45" t="n">
        <v>1</v>
      </c>
      <c r="H215" s="56" t="n">
        <f aca="false">IF(B215="","",IF(G215="",F215,G215))</f>
        <v>1</v>
      </c>
      <c r="I215" s="45" t="s">
        <v>29</v>
      </c>
      <c r="J215" s="57" t="n">
        <v>46272</v>
      </c>
      <c r="K215" s="46" t="s">
        <v>104</v>
      </c>
      <c r="L215" s="54" t="str">
        <f aca="false">IF(A215="","",IF(B215="","Missing code",IF(C215="Unknown code","Unknown code",IF(COUNTIF($A$6:$A$1005,A215)&gt;1,"Duplicate WO",""))))</f>
        <v/>
      </c>
    </row>
    <row r="216" customFormat="false" ht="23.85" hidden="false" customHeight="false" outlineLevel="0" collapsed="false">
      <c r="A216" s="53" t="n">
        <v>100876486</v>
      </c>
      <c r="B216" s="46" t="s">
        <v>63</v>
      </c>
      <c r="C216" s="54" t="str">
        <f aca="false">IF(B216="","",IFERROR(INDEX('Kitting Plan'!$D$5:$D$18,MATCH(B216,'Kitting Plan'!$C$5:$C$18,0)),"Unknown code"))</f>
        <v>R5B ERBIUM SPOOL ASSEMBLY - E2A</v>
      </c>
      <c r="D216" s="54" t="str">
        <f aca="false">IF(B216="","",IFERROR(INDEX('Kitting Plan'!$B$5:$B$18,MATCH(B216,'Kitting Plan'!$C$5:$C$18,0)),""))</f>
        <v>ERBIUM ASSY</v>
      </c>
      <c r="E216" s="45"/>
      <c r="F216" s="55" t="n">
        <f aca="false">IF(B216="","",IFERROR(INDEX('Kitting Plan'!$H$5:$H$18,MATCH(B216,'Kitting Plan'!$C$5:$C$18,0)),""))</f>
        <v>24</v>
      </c>
      <c r="G216" s="45" t="n">
        <v>1</v>
      </c>
      <c r="H216" s="56" t="n">
        <f aca="false">IF(B216="","",IF(G216="",F216,G216))</f>
        <v>1</v>
      </c>
      <c r="I216" s="45" t="s">
        <v>29</v>
      </c>
      <c r="J216" s="57" t="n">
        <v>46272</v>
      </c>
      <c r="K216" s="46" t="s">
        <v>104</v>
      </c>
      <c r="L216" s="54" t="str">
        <f aca="false">IF(A216="","",IF(B216="","Missing code",IF(C216="Unknown code","Unknown code",IF(COUNTIF($A$6:$A$1005,A216)&gt;1,"Duplicate WO",""))))</f>
        <v/>
      </c>
    </row>
    <row r="217" customFormat="false" ht="23.85" hidden="false" customHeight="false" outlineLevel="0" collapsed="false">
      <c r="A217" s="53" t="n">
        <v>100876487</v>
      </c>
      <c r="B217" s="46" t="s">
        <v>63</v>
      </c>
      <c r="C217" s="54" t="str">
        <f aca="false">IF(B217="","",IFERROR(INDEX('Kitting Plan'!$D$5:$D$18,MATCH(B217,'Kitting Plan'!$C$5:$C$18,0)),"Unknown code"))</f>
        <v>R5B ERBIUM SPOOL ASSEMBLY - E2A</v>
      </c>
      <c r="D217" s="54" t="str">
        <f aca="false">IF(B217="","",IFERROR(INDEX('Kitting Plan'!$B$5:$B$18,MATCH(B217,'Kitting Plan'!$C$5:$C$18,0)),""))</f>
        <v>ERBIUM ASSY</v>
      </c>
      <c r="E217" s="45"/>
      <c r="F217" s="55" t="n">
        <f aca="false">IF(B217="","",IFERROR(INDEX('Kitting Plan'!$H$5:$H$18,MATCH(B217,'Kitting Plan'!$C$5:$C$18,0)),""))</f>
        <v>24</v>
      </c>
      <c r="G217" s="45" t="n">
        <v>1</v>
      </c>
      <c r="H217" s="56" t="n">
        <f aca="false">IF(B217="","",IF(G217="",F217,G217))</f>
        <v>1</v>
      </c>
      <c r="I217" s="45" t="s">
        <v>29</v>
      </c>
      <c r="J217" s="57" t="n">
        <v>46272</v>
      </c>
      <c r="K217" s="46" t="s">
        <v>104</v>
      </c>
      <c r="L217" s="54" t="str">
        <f aca="false">IF(A217="","",IF(B217="","Missing code",IF(C217="Unknown code","Unknown code",IF(COUNTIF($A$6:$A$1005,A217)&gt;1,"Duplicate WO",""))))</f>
        <v/>
      </c>
    </row>
    <row r="218" customFormat="false" ht="23.85" hidden="false" customHeight="false" outlineLevel="0" collapsed="false">
      <c r="A218" s="53" t="n">
        <v>100876488</v>
      </c>
      <c r="B218" s="46" t="s">
        <v>63</v>
      </c>
      <c r="C218" s="54" t="str">
        <f aca="false">IF(B218="","",IFERROR(INDEX('Kitting Plan'!$D$5:$D$18,MATCH(B218,'Kitting Plan'!$C$5:$C$18,0)),"Unknown code"))</f>
        <v>R5B ERBIUM SPOOL ASSEMBLY - E2A</v>
      </c>
      <c r="D218" s="54" t="str">
        <f aca="false">IF(B218="","",IFERROR(INDEX('Kitting Plan'!$B$5:$B$18,MATCH(B218,'Kitting Plan'!$C$5:$C$18,0)),""))</f>
        <v>ERBIUM ASSY</v>
      </c>
      <c r="E218" s="45"/>
      <c r="F218" s="55" t="n">
        <f aca="false">IF(B218="","",IFERROR(INDEX('Kitting Plan'!$H$5:$H$18,MATCH(B218,'Kitting Plan'!$C$5:$C$18,0)),""))</f>
        <v>24</v>
      </c>
      <c r="G218" s="45" t="n">
        <v>1</v>
      </c>
      <c r="H218" s="56" t="n">
        <f aca="false">IF(B218="","",IF(G218="",F218,G218))</f>
        <v>1</v>
      </c>
      <c r="I218" s="45" t="s">
        <v>29</v>
      </c>
      <c r="J218" s="57" t="n">
        <v>46272</v>
      </c>
      <c r="K218" s="46" t="s">
        <v>104</v>
      </c>
      <c r="L218" s="54" t="str">
        <f aca="false">IF(A218="","",IF(B218="","Missing code",IF(C218="Unknown code","Unknown code",IF(COUNTIF($A$6:$A$1005,A218)&gt;1,"Duplicate WO",""))))</f>
        <v/>
      </c>
    </row>
    <row r="219" customFormat="false" ht="23.85" hidden="false" customHeight="false" outlineLevel="0" collapsed="false">
      <c r="A219" s="53" t="n">
        <v>100876489</v>
      </c>
      <c r="B219" s="46" t="s">
        <v>63</v>
      </c>
      <c r="C219" s="54" t="str">
        <f aca="false">IF(B219="","",IFERROR(INDEX('Kitting Plan'!$D$5:$D$18,MATCH(B219,'Kitting Plan'!$C$5:$C$18,0)),"Unknown code"))</f>
        <v>R5B ERBIUM SPOOL ASSEMBLY - E2A</v>
      </c>
      <c r="D219" s="54" t="str">
        <f aca="false">IF(B219="","",IFERROR(INDEX('Kitting Plan'!$B$5:$B$18,MATCH(B219,'Kitting Plan'!$C$5:$C$18,0)),""))</f>
        <v>ERBIUM ASSY</v>
      </c>
      <c r="E219" s="45"/>
      <c r="F219" s="55" t="n">
        <f aca="false">IF(B219="","",IFERROR(INDEX('Kitting Plan'!$H$5:$H$18,MATCH(B219,'Kitting Plan'!$C$5:$C$18,0)),""))</f>
        <v>24</v>
      </c>
      <c r="G219" s="45" t="n">
        <v>1</v>
      </c>
      <c r="H219" s="56" t="n">
        <f aca="false">IF(B219="","",IF(G219="",F219,G219))</f>
        <v>1</v>
      </c>
      <c r="I219" s="45" t="s">
        <v>29</v>
      </c>
      <c r="J219" s="57" t="n">
        <v>46272</v>
      </c>
      <c r="K219" s="46" t="s">
        <v>104</v>
      </c>
      <c r="L219" s="54" t="str">
        <f aca="false">IF(A219="","",IF(B219="","Missing code",IF(C219="Unknown code","Unknown code",IF(COUNTIF($A$6:$A$1005,A219)&gt;1,"Duplicate WO",""))))</f>
        <v/>
      </c>
    </row>
    <row r="220" customFormat="false" ht="23.85" hidden="false" customHeight="false" outlineLevel="0" collapsed="false">
      <c r="A220" s="53" t="n">
        <v>100876490</v>
      </c>
      <c r="B220" s="46" t="s">
        <v>63</v>
      </c>
      <c r="C220" s="54" t="str">
        <f aca="false">IF(B220="","",IFERROR(INDEX('Kitting Plan'!$D$5:$D$18,MATCH(B220,'Kitting Plan'!$C$5:$C$18,0)),"Unknown code"))</f>
        <v>R5B ERBIUM SPOOL ASSEMBLY - E2A</v>
      </c>
      <c r="D220" s="54" t="str">
        <f aca="false">IF(B220="","",IFERROR(INDEX('Kitting Plan'!$B$5:$B$18,MATCH(B220,'Kitting Plan'!$C$5:$C$18,0)),""))</f>
        <v>ERBIUM ASSY</v>
      </c>
      <c r="E220" s="45"/>
      <c r="F220" s="55" t="n">
        <f aca="false">IF(B220="","",IFERROR(INDEX('Kitting Plan'!$H$5:$H$18,MATCH(B220,'Kitting Plan'!$C$5:$C$18,0)),""))</f>
        <v>24</v>
      </c>
      <c r="G220" s="45" t="n">
        <v>1</v>
      </c>
      <c r="H220" s="56" t="n">
        <f aca="false">IF(B220="","",IF(G220="",F220,G220))</f>
        <v>1</v>
      </c>
      <c r="I220" s="45" t="s">
        <v>29</v>
      </c>
      <c r="J220" s="57" t="n">
        <v>46272</v>
      </c>
      <c r="K220" s="46" t="s">
        <v>104</v>
      </c>
      <c r="L220" s="54" t="str">
        <f aca="false">IF(A220="","",IF(B220="","Missing code",IF(C220="Unknown code","Unknown code",IF(COUNTIF($A$6:$A$1005,A220)&gt;1,"Duplicate WO",""))))</f>
        <v/>
      </c>
    </row>
    <row r="221" customFormat="false" ht="23.85" hidden="false" customHeight="false" outlineLevel="0" collapsed="false">
      <c r="A221" s="53" t="n">
        <v>100876491</v>
      </c>
      <c r="B221" s="46" t="s">
        <v>63</v>
      </c>
      <c r="C221" s="54" t="str">
        <f aca="false">IF(B221="","",IFERROR(INDEX('Kitting Plan'!$D$5:$D$18,MATCH(B221,'Kitting Plan'!$C$5:$C$18,0)),"Unknown code"))</f>
        <v>R5B ERBIUM SPOOL ASSEMBLY - E2A</v>
      </c>
      <c r="D221" s="54" t="str">
        <f aca="false">IF(B221="","",IFERROR(INDEX('Kitting Plan'!$B$5:$B$18,MATCH(B221,'Kitting Plan'!$C$5:$C$18,0)),""))</f>
        <v>ERBIUM ASSY</v>
      </c>
      <c r="E221" s="45"/>
      <c r="F221" s="55" t="n">
        <f aca="false">IF(B221="","",IFERROR(INDEX('Kitting Plan'!$H$5:$H$18,MATCH(B221,'Kitting Plan'!$C$5:$C$18,0)),""))</f>
        <v>24</v>
      </c>
      <c r="G221" s="45" t="n">
        <v>1</v>
      </c>
      <c r="H221" s="56" t="n">
        <f aca="false">IF(B221="","",IF(G221="",F221,G221))</f>
        <v>1</v>
      </c>
      <c r="I221" s="45" t="s">
        <v>29</v>
      </c>
      <c r="J221" s="57" t="n">
        <v>46272</v>
      </c>
      <c r="K221" s="46" t="s">
        <v>104</v>
      </c>
      <c r="L221" s="54" t="str">
        <f aca="false">IF(A221="","",IF(B221="","Missing code",IF(C221="Unknown code","Unknown code",IF(COUNTIF($A$6:$A$1005,A221)&gt;1,"Duplicate WO",""))))</f>
        <v/>
      </c>
    </row>
    <row r="222" customFormat="false" ht="23.85" hidden="false" customHeight="false" outlineLevel="0" collapsed="false">
      <c r="A222" s="53" t="n">
        <v>100876492</v>
      </c>
      <c r="B222" s="46" t="s">
        <v>63</v>
      </c>
      <c r="C222" s="54" t="str">
        <f aca="false">IF(B222="","",IFERROR(INDEX('Kitting Plan'!$D$5:$D$18,MATCH(B222,'Kitting Plan'!$C$5:$C$18,0)),"Unknown code"))</f>
        <v>R5B ERBIUM SPOOL ASSEMBLY - E2A</v>
      </c>
      <c r="D222" s="54" t="str">
        <f aca="false">IF(B222="","",IFERROR(INDEX('Kitting Plan'!$B$5:$B$18,MATCH(B222,'Kitting Plan'!$C$5:$C$18,0)),""))</f>
        <v>ERBIUM ASSY</v>
      </c>
      <c r="E222" s="45"/>
      <c r="F222" s="55" t="n">
        <f aca="false">IF(B222="","",IFERROR(INDEX('Kitting Plan'!$H$5:$H$18,MATCH(B222,'Kitting Plan'!$C$5:$C$18,0)),""))</f>
        <v>24</v>
      </c>
      <c r="G222" s="45" t="n">
        <v>1</v>
      </c>
      <c r="H222" s="56" t="n">
        <f aca="false">IF(B222="","",IF(G222="",F222,G222))</f>
        <v>1</v>
      </c>
      <c r="I222" s="45" t="s">
        <v>29</v>
      </c>
      <c r="J222" s="57" t="n">
        <v>46272</v>
      </c>
      <c r="K222" s="46" t="s">
        <v>104</v>
      </c>
      <c r="L222" s="54" t="str">
        <f aca="false">IF(A222="","",IF(B222="","Missing code",IF(C222="Unknown code","Unknown code",IF(COUNTIF($A$6:$A$1005,A222)&gt;1,"Duplicate WO",""))))</f>
        <v/>
      </c>
    </row>
    <row r="223" customFormat="false" ht="23.85" hidden="false" customHeight="false" outlineLevel="0" collapsed="false">
      <c r="A223" s="53" t="n">
        <v>100876493</v>
      </c>
      <c r="B223" s="46" t="s">
        <v>63</v>
      </c>
      <c r="C223" s="54" t="str">
        <f aca="false">IF(B223="","",IFERROR(INDEX('Kitting Plan'!$D$5:$D$18,MATCH(B223,'Kitting Plan'!$C$5:$C$18,0)),"Unknown code"))</f>
        <v>R5B ERBIUM SPOOL ASSEMBLY - E2A</v>
      </c>
      <c r="D223" s="54" t="str">
        <f aca="false">IF(B223="","",IFERROR(INDEX('Kitting Plan'!$B$5:$B$18,MATCH(B223,'Kitting Plan'!$C$5:$C$18,0)),""))</f>
        <v>ERBIUM ASSY</v>
      </c>
      <c r="E223" s="45"/>
      <c r="F223" s="55" t="n">
        <f aca="false">IF(B223="","",IFERROR(INDEX('Kitting Plan'!$H$5:$H$18,MATCH(B223,'Kitting Plan'!$C$5:$C$18,0)),""))</f>
        <v>24</v>
      </c>
      <c r="G223" s="45" t="n">
        <v>1</v>
      </c>
      <c r="H223" s="56" t="n">
        <f aca="false">IF(B223="","",IF(G223="",F223,G223))</f>
        <v>1</v>
      </c>
      <c r="I223" s="45" t="s">
        <v>29</v>
      </c>
      <c r="J223" s="57" t="n">
        <v>46272</v>
      </c>
      <c r="K223" s="46" t="s">
        <v>104</v>
      </c>
      <c r="L223" s="54" t="str">
        <f aca="false">IF(A223="","",IF(B223="","Missing code",IF(C223="Unknown code","Unknown code",IF(COUNTIF($A$6:$A$1005,A223)&gt;1,"Duplicate WO",""))))</f>
        <v/>
      </c>
    </row>
    <row r="224" customFormat="false" ht="23.85" hidden="false" customHeight="false" outlineLevel="0" collapsed="false">
      <c r="A224" s="53" t="n">
        <v>100876494</v>
      </c>
      <c r="B224" s="46" t="s">
        <v>63</v>
      </c>
      <c r="C224" s="54" t="str">
        <f aca="false">IF(B224="","",IFERROR(INDEX('Kitting Plan'!$D$5:$D$18,MATCH(B224,'Kitting Plan'!$C$5:$C$18,0)),"Unknown code"))</f>
        <v>R5B ERBIUM SPOOL ASSEMBLY - E2A</v>
      </c>
      <c r="D224" s="54" t="str">
        <f aca="false">IF(B224="","",IFERROR(INDEX('Kitting Plan'!$B$5:$B$18,MATCH(B224,'Kitting Plan'!$C$5:$C$18,0)),""))</f>
        <v>ERBIUM ASSY</v>
      </c>
      <c r="E224" s="45"/>
      <c r="F224" s="55" t="n">
        <f aca="false">IF(B224="","",IFERROR(INDEX('Kitting Plan'!$H$5:$H$18,MATCH(B224,'Kitting Plan'!$C$5:$C$18,0)),""))</f>
        <v>24</v>
      </c>
      <c r="G224" s="45" t="n">
        <v>1</v>
      </c>
      <c r="H224" s="56" t="n">
        <f aca="false">IF(B224="","",IF(G224="",F224,G224))</f>
        <v>1</v>
      </c>
      <c r="I224" s="45" t="s">
        <v>29</v>
      </c>
      <c r="J224" s="57" t="n">
        <v>46272</v>
      </c>
      <c r="K224" s="46" t="s">
        <v>104</v>
      </c>
      <c r="L224" s="54" t="str">
        <f aca="false">IF(A224="","",IF(B224="","Missing code",IF(C224="Unknown code","Unknown code",IF(COUNTIF($A$6:$A$1005,A224)&gt;1,"Duplicate WO",""))))</f>
        <v/>
      </c>
    </row>
    <row r="225" customFormat="false" ht="23.85" hidden="false" customHeight="false" outlineLevel="0" collapsed="false">
      <c r="A225" s="53" t="n">
        <v>100876495</v>
      </c>
      <c r="B225" s="46" t="s">
        <v>63</v>
      </c>
      <c r="C225" s="54" t="str">
        <f aca="false">IF(B225="","",IFERROR(INDEX('Kitting Plan'!$D$5:$D$18,MATCH(B225,'Kitting Plan'!$C$5:$C$18,0)),"Unknown code"))</f>
        <v>R5B ERBIUM SPOOL ASSEMBLY - E2A</v>
      </c>
      <c r="D225" s="54" t="str">
        <f aca="false">IF(B225="","",IFERROR(INDEX('Kitting Plan'!$B$5:$B$18,MATCH(B225,'Kitting Plan'!$C$5:$C$18,0)),""))</f>
        <v>ERBIUM ASSY</v>
      </c>
      <c r="E225" s="45"/>
      <c r="F225" s="55" t="n">
        <f aca="false">IF(B225="","",IFERROR(INDEX('Kitting Plan'!$H$5:$H$18,MATCH(B225,'Kitting Plan'!$C$5:$C$18,0)),""))</f>
        <v>24</v>
      </c>
      <c r="G225" s="45" t="n">
        <v>1</v>
      </c>
      <c r="H225" s="56" t="n">
        <f aca="false">IF(B225="","",IF(G225="",F225,G225))</f>
        <v>1</v>
      </c>
      <c r="I225" s="45" t="s">
        <v>29</v>
      </c>
      <c r="J225" s="57" t="n">
        <v>46272</v>
      </c>
      <c r="K225" s="46" t="s">
        <v>104</v>
      </c>
      <c r="L225" s="54" t="str">
        <f aca="false">IF(A225="","",IF(B225="","Missing code",IF(C225="Unknown code","Unknown code",IF(COUNTIF($A$6:$A$1005,A225)&gt;1,"Duplicate WO",""))))</f>
        <v/>
      </c>
    </row>
    <row r="226" customFormat="false" ht="23.85" hidden="false" customHeight="false" outlineLevel="0" collapsed="false">
      <c r="A226" s="53" t="n">
        <v>100876496</v>
      </c>
      <c r="B226" s="46" t="s">
        <v>63</v>
      </c>
      <c r="C226" s="54" t="str">
        <f aca="false">IF(B226="","",IFERROR(INDEX('Kitting Plan'!$D$5:$D$18,MATCH(B226,'Kitting Plan'!$C$5:$C$18,0)),"Unknown code"))</f>
        <v>R5B ERBIUM SPOOL ASSEMBLY - E2A</v>
      </c>
      <c r="D226" s="54" t="str">
        <f aca="false">IF(B226="","",IFERROR(INDEX('Kitting Plan'!$B$5:$B$18,MATCH(B226,'Kitting Plan'!$C$5:$C$18,0)),""))</f>
        <v>ERBIUM ASSY</v>
      </c>
      <c r="E226" s="45"/>
      <c r="F226" s="55" t="n">
        <f aca="false">IF(B226="","",IFERROR(INDEX('Kitting Plan'!$H$5:$H$18,MATCH(B226,'Kitting Plan'!$C$5:$C$18,0)),""))</f>
        <v>24</v>
      </c>
      <c r="G226" s="45" t="n">
        <v>1</v>
      </c>
      <c r="H226" s="56" t="n">
        <f aca="false">IF(B226="","",IF(G226="",F226,G226))</f>
        <v>1</v>
      </c>
      <c r="I226" s="45" t="s">
        <v>29</v>
      </c>
      <c r="J226" s="57" t="n">
        <v>46272</v>
      </c>
      <c r="K226" s="46" t="s">
        <v>104</v>
      </c>
      <c r="L226" s="54" t="str">
        <f aca="false">IF(A226="","",IF(B226="","Missing code",IF(C226="Unknown code","Unknown code",IF(COUNTIF($A$6:$A$1005,A226)&gt;1,"Duplicate WO",""))))</f>
        <v/>
      </c>
    </row>
    <row r="227" customFormat="false" ht="23.85" hidden="false" customHeight="false" outlineLevel="0" collapsed="false">
      <c r="A227" s="53" t="n">
        <v>100876497</v>
      </c>
      <c r="B227" s="46" t="s">
        <v>63</v>
      </c>
      <c r="C227" s="54" t="str">
        <f aca="false">IF(B227="","",IFERROR(INDEX('Kitting Plan'!$D$5:$D$18,MATCH(B227,'Kitting Plan'!$C$5:$C$18,0)),"Unknown code"))</f>
        <v>R5B ERBIUM SPOOL ASSEMBLY - E2A</v>
      </c>
      <c r="D227" s="54" t="str">
        <f aca="false">IF(B227="","",IFERROR(INDEX('Kitting Plan'!$B$5:$B$18,MATCH(B227,'Kitting Plan'!$C$5:$C$18,0)),""))</f>
        <v>ERBIUM ASSY</v>
      </c>
      <c r="E227" s="45"/>
      <c r="F227" s="55" t="n">
        <f aca="false">IF(B227="","",IFERROR(INDEX('Kitting Plan'!$H$5:$H$18,MATCH(B227,'Kitting Plan'!$C$5:$C$18,0)),""))</f>
        <v>24</v>
      </c>
      <c r="G227" s="45" t="n">
        <v>1</v>
      </c>
      <c r="H227" s="56" t="n">
        <f aca="false">IF(B227="","",IF(G227="",F227,G227))</f>
        <v>1</v>
      </c>
      <c r="I227" s="45" t="s">
        <v>29</v>
      </c>
      <c r="J227" s="57" t="n">
        <v>46272</v>
      </c>
      <c r="K227" s="46" t="s">
        <v>104</v>
      </c>
      <c r="L227" s="54" t="str">
        <f aca="false">IF(A227="","",IF(B227="","Missing code",IF(C227="Unknown code","Unknown code",IF(COUNTIF($A$6:$A$1005,A227)&gt;1,"Duplicate WO",""))))</f>
        <v/>
      </c>
    </row>
    <row r="228" customFormat="false" ht="23.85" hidden="false" customHeight="false" outlineLevel="0" collapsed="false">
      <c r="A228" s="53" t="n">
        <v>100876498</v>
      </c>
      <c r="B228" s="46" t="s">
        <v>63</v>
      </c>
      <c r="C228" s="54" t="str">
        <f aca="false">IF(B228="","",IFERROR(INDEX('Kitting Plan'!$D$5:$D$18,MATCH(B228,'Kitting Plan'!$C$5:$C$18,0)),"Unknown code"))</f>
        <v>R5B ERBIUM SPOOL ASSEMBLY - E2A</v>
      </c>
      <c r="D228" s="54" t="str">
        <f aca="false">IF(B228="","",IFERROR(INDEX('Kitting Plan'!$B$5:$B$18,MATCH(B228,'Kitting Plan'!$C$5:$C$18,0)),""))</f>
        <v>ERBIUM ASSY</v>
      </c>
      <c r="E228" s="45"/>
      <c r="F228" s="55" t="n">
        <f aca="false">IF(B228="","",IFERROR(INDEX('Kitting Plan'!$H$5:$H$18,MATCH(B228,'Kitting Plan'!$C$5:$C$18,0)),""))</f>
        <v>24</v>
      </c>
      <c r="G228" s="45" t="n">
        <v>1</v>
      </c>
      <c r="H228" s="56" t="n">
        <f aca="false">IF(B228="","",IF(G228="",F228,G228))</f>
        <v>1</v>
      </c>
      <c r="I228" s="45" t="s">
        <v>29</v>
      </c>
      <c r="J228" s="57" t="n">
        <v>46272</v>
      </c>
      <c r="K228" s="46" t="s">
        <v>104</v>
      </c>
      <c r="L228" s="54" t="str">
        <f aca="false">IF(A228="","",IF(B228="","Missing code",IF(C228="Unknown code","Unknown code",IF(COUNTIF($A$6:$A$1005,A228)&gt;1,"Duplicate WO",""))))</f>
        <v/>
      </c>
    </row>
    <row r="229" customFormat="false" ht="23.85" hidden="false" customHeight="false" outlineLevel="0" collapsed="false">
      <c r="A229" s="53" t="n">
        <v>100876499</v>
      </c>
      <c r="B229" s="46" t="s">
        <v>63</v>
      </c>
      <c r="C229" s="54" t="str">
        <f aca="false">IF(B229="","",IFERROR(INDEX('Kitting Plan'!$D$5:$D$18,MATCH(B229,'Kitting Plan'!$C$5:$C$18,0)),"Unknown code"))</f>
        <v>R5B ERBIUM SPOOL ASSEMBLY - E2A</v>
      </c>
      <c r="D229" s="54" t="str">
        <f aca="false">IF(B229="","",IFERROR(INDEX('Kitting Plan'!$B$5:$B$18,MATCH(B229,'Kitting Plan'!$C$5:$C$18,0)),""))</f>
        <v>ERBIUM ASSY</v>
      </c>
      <c r="E229" s="45"/>
      <c r="F229" s="55" t="n">
        <f aca="false">IF(B229="","",IFERROR(INDEX('Kitting Plan'!$H$5:$H$18,MATCH(B229,'Kitting Plan'!$C$5:$C$18,0)),""))</f>
        <v>24</v>
      </c>
      <c r="G229" s="45" t="n">
        <v>1</v>
      </c>
      <c r="H229" s="56" t="n">
        <f aca="false">IF(B229="","",IF(G229="",F229,G229))</f>
        <v>1</v>
      </c>
      <c r="I229" s="45" t="s">
        <v>29</v>
      </c>
      <c r="J229" s="57" t="n">
        <v>46272</v>
      </c>
      <c r="K229" s="46" t="s">
        <v>104</v>
      </c>
      <c r="L229" s="54" t="str">
        <f aca="false">IF(A229="","",IF(B229="","Missing code",IF(C229="Unknown code","Unknown code",IF(COUNTIF($A$6:$A$1005,A229)&gt;1,"Duplicate WO",""))))</f>
        <v/>
      </c>
    </row>
    <row r="230" customFormat="false" ht="23.85" hidden="false" customHeight="false" outlineLevel="0" collapsed="false">
      <c r="A230" s="53" t="n">
        <v>100876500</v>
      </c>
      <c r="B230" s="46" t="s">
        <v>63</v>
      </c>
      <c r="C230" s="54" t="str">
        <f aca="false">IF(B230="","",IFERROR(INDEX('Kitting Plan'!$D$5:$D$18,MATCH(B230,'Kitting Plan'!$C$5:$C$18,0)),"Unknown code"))</f>
        <v>R5B ERBIUM SPOOL ASSEMBLY - E2A</v>
      </c>
      <c r="D230" s="54" t="str">
        <f aca="false">IF(B230="","",IFERROR(INDEX('Kitting Plan'!$B$5:$B$18,MATCH(B230,'Kitting Plan'!$C$5:$C$18,0)),""))</f>
        <v>ERBIUM ASSY</v>
      </c>
      <c r="E230" s="45"/>
      <c r="F230" s="55" t="n">
        <f aca="false">IF(B230="","",IFERROR(INDEX('Kitting Plan'!$H$5:$H$18,MATCH(B230,'Kitting Plan'!$C$5:$C$18,0)),""))</f>
        <v>24</v>
      </c>
      <c r="G230" s="45" t="n">
        <v>1</v>
      </c>
      <c r="H230" s="56" t="n">
        <f aca="false">IF(B230="","",IF(G230="",F230,G230))</f>
        <v>1</v>
      </c>
      <c r="I230" s="45" t="s">
        <v>29</v>
      </c>
      <c r="J230" s="57" t="n">
        <v>46272</v>
      </c>
      <c r="K230" s="46" t="s">
        <v>104</v>
      </c>
      <c r="L230" s="54" t="str">
        <f aca="false">IF(A230="","",IF(B230="","Missing code",IF(C230="Unknown code","Unknown code",IF(COUNTIF($A$6:$A$1005,A230)&gt;1,"Duplicate WO",""))))</f>
        <v/>
      </c>
    </row>
    <row r="231" customFormat="false" ht="23.85" hidden="false" customHeight="false" outlineLevel="0" collapsed="false">
      <c r="A231" s="53" t="n">
        <v>100876501</v>
      </c>
      <c r="B231" s="46" t="s">
        <v>63</v>
      </c>
      <c r="C231" s="54" t="str">
        <f aca="false">IF(B231="","",IFERROR(INDEX('Kitting Plan'!$D$5:$D$18,MATCH(B231,'Kitting Plan'!$C$5:$C$18,0)),"Unknown code"))</f>
        <v>R5B ERBIUM SPOOL ASSEMBLY - E2A</v>
      </c>
      <c r="D231" s="54" t="str">
        <f aca="false">IF(B231="","",IFERROR(INDEX('Kitting Plan'!$B$5:$B$18,MATCH(B231,'Kitting Plan'!$C$5:$C$18,0)),""))</f>
        <v>ERBIUM ASSY</v>
      </c>
      <c r="E231" s="45"/>
      <c r="F231" s="55" t="n">
        <f aca="false">IF(B231="","",IFERROR(INDEX('Kitting Plan'!$H$5:$H$18,MATCH(B231,'Kitting Plan'!$C$5:$C$18,0)),""))</f>
        <v>24</v>
      </c>
      <c r="G231" s="45" t="n">
        <v>1</v>
      </c>
      <c r="H231" s="56" t="n">
        <f aca="false">IF(B231="","",IF(G231="",F231,G231))</f>
        <v>1</v>
      </c>
      <c r="I231" s="45" t="s">
        <v>29</v>
      </c>
      <c r="J231" s="57" t="n">
        <v>46272</v>
      </c>
      <c r="K231" s="46" t="s">
        <v>104</v>
      </c>
      <c r="L231" s="54" t="str">
        <f aca="false">IF(A231="","",IF(B231="","Missing code",IF(C231="Unknown code","Unknown code",IF(COUNTIF($A$6:$A$1005,A231)&gt;1,"Duplicate WO",""))))</f>
        <v/>
      </c>
    </row>
    <row r="232" customFormat="false" ht="23.85" hidden="false" customHeight="false" outlineLevel="0" collapsed="false">
      <c r="A232" s="53" t="n">
        <v>100876502</v>
      </c>
      <c r="B232" s="46" t="s">
        <v>63</v>
      </c>
      <c r="C232" s="54" t="str">
        <f aca="false">IF(B232="","",IFERROR(INDEX('Kitting Plan'!$D$5:$D$18,MATCH(B232,'Kitting Plan'!$C$5:$C$18,0)),"Unknown code"))</f>
        <v>R5B ERBIUM SPOOL ASSEMBLY - E2A</v>
      </c>
      <c r="D232" s="54" t="str">
        <f aca="false">IF(B232="","",IFERROR(INDEX('Kitting Plan'!$B$5:$B$18,MATCH(B232,'Kitting Plan'!$C$5:$C$18,0)),""))</f>
        <v>ERBIUM ASSY</v>
      </c>
      <c r="E232" s="45"/>
      <c r="F232" s="55" t="n">
        <f aca="false">IF(B232="","",IFERROR(INDEX('Kitting Plan'!$H$5:$H$18,MATCH(B232,'Kitting Plan'!$C$5:$C$18,0)),""))</f>
        <v>24</v>
      </c>
      <c r="G232" s="45" t="n">
        <v>1</v>
      </c>
      <c r="H232" s="56" t="n">
        <f aca="false">IF(B232="","",IF(G232="",F232,G232))</f>
        <v>1</v>
      </c>
      <c r="I232" s="45" t="s">
        <v>29</v>
      </c>
      <c r="J232" s="57" t="n">
        <v>46272</v>
      </c>
      <c r="K232" s="46" t="s">
        <v>104</v>
      </c>
      <c r="L232" s="54" t="str">
        <f aca="false">IF(A232="","",IF(B232="","Missing code",IF(C232="Unknown code","Unknown code",IF(COUNTIF($A$6:$A$1005,A232)&gt;1,"Duplicate WO",""))))</f>
        <v/>
      </c>
    </row>
    <row r="233" customFormat="false" ht="23.85" hidden="false" customHeight="false" outlineLevel="0" collapsed="false">
      <c r="A233" s="53" t="n">
        <v>100876940</v>
      </c>
      <c r="B233" s="46" t="s">
        <v>63</v>
      </c>
      <c r="C233" s="54" t="str">
        <f aca="false">IF(B233="","",IFERROR(INDEX('Kitting Plan'!$D$5:$D$18,MATCH(B233,'Kitting Plan'!$C$5:$C$18,0)),"Unknown code"))</f>
        <v>R5B ERBIUM SPOOL ASSEMBLY - E2A</v>
      </c>
      <c r="D233" s="54" t="str">
        <f aca="false">IF(B233="","",IFERROR(INDEX('Kitting Plan'!$B$5:$B$18,MATCH(B233,'Kitting Plan'!$C$5:$C$18,0)),""))</f>
        <v>ERBIUM ASSY</v>
      </c>
      <c r="E233" s="45"/>
      <c r="F233" s="55" t="n">
        <f aca="false">IF(B233="","",IFERROR(INDEX('Kitting Plan'!$H$5:$H$18,MATCH(B233,'Kitting Plan'!$C$5:$C$18,0)),""))</f>
        <v>24</v>
      </c>
      <c r="G233" s="45" t="n">
        <v>1</v>
      </c>
      <c r="H233" s="56" t="n">
        <f aca="false">IF(B233="","",IF(G233="",F233,G233))</f>
        <v>1</v>
      </c>
      <c r="I233" s="45" t="s">
        <v>29</v>
      </c>
      <c r="J233" s="57" t="n">
        <v>46274</v>
      </c>
      <c r="K233" s="46" t="s">
        <v>104</v>
      </c>
      <c r="L233" s="54" t="str">
        <f aca="false">IF(A233="","",IF(B233="","Missing code",IF(C233="Unknown code","Unknown code",IF(COUNTIF($A$6:$A$1005,A233)&gt;1,"Duplicate WO",""))))</f>
        <v/>
      </c>
    </row>
    <row r="234" customFormat="false" ht="23.85" hidden="false" customHeight="false" outlineLevel="0" collapsed="false">
      <c r="A234" s="53" t="n">
        <v>100876941</v>
      </c>
      <c r="B234" s="46" t="s">
        <v>63</v>
      </c>
      <c r="C234" s="54" t="str">
        <f aca="false">IF(B234="","",IFERROR(INDEX('Kitting Plan'!$D$5:$D$18,MATCH(B234,'Kitting Plan'!$C$5:$C$18,0)),"Unknown code"))</f>
        <v>R5B ERBIUM SPOOL ASSEMBLY - E2A</v>
      </c>
      <c r="D234" s="54" t="str">
        <f aca="false">IF(B234="","",IFERROR(INDEX('Kitting Plan'!$B$5:$B$18,MATCH(B234,'Kitting Plan'!$C$5:$C$18,0)),""))</f>
        <v>ERBIUM ASSY</v>
      </c>
      <c r="E234" s="45"/>
      <c r="F234" s="55" t="n">
        <f aca="false">IF(B234="","",IFERROR(INDEX('Kitting Plan'!$H$5:$H$18,MATCH(B234,'Kitting Plan'!$C$5:$C$18,0)),""))</f>
        <v>24</v>
      </c>
      <c r="G234" s="45" t="n">
        <v>1</v>
      </c>
      <c r="H234" s="56" t="n">
        <f aca="false">IF(B234="","",IF(G234="",F234,G234))</f>
        <v>1</v>
      </c>
      <c r="I234" s="45" t="s">
        <v>29</v>
      </c>
      <c r="J234" s="57" t="n">
        <v>46274</v>
      </c>
      <c r="K234" s="46" t="s">
        <v>104</v>
      </c>
      <c r="L234" s="54" t="str">
        <f aca="false">IF(A234="","",IF(B234="","Missing code",IF(C234="Unknown code","Unknown code",IF(COUNTIF($A$6:$A$1005,A234)&gt;1,"Duplicate WO",""))))</f>
        <v/>
      </c>
    </row>
    <row r="235" customFormat="false" ht="23.85" hidden="false" customHeight="false" outlineLevel="0" collapsed="false">
      <c r="A235" s="53" t="n">
        <v>100877353</v>
      </c>
      <c r="B235" s="46" t="s">
        <v>63</v>
      </c>
      <c r="C235" s="54" t="str">
        <f aca="false">IF(B235="","",IFERROR(INDEX('Kitting Plan'!$D$5:$D$18,MATCH(B235,'Kitting Plan'!$C$5:$C$18,0)),"Unknown code"))</f>
        <v>R5B ERBIUM SPOOL ASSEMBLY - E2A</v>
      </c>
      <c r="D235" s="54" t="str">
        <f aca="false">IF(B235="","",IFERROR(INDEX('Kitting Plan'!$B$5:$B$18,MATCH(B235,'Kitting Plan'!$C$5:$C$18,0)),""))</f>
        <v>ERBIUM ASSY</v>
      </c>
      <c r="E235" s="45"/>
      <c r="F235" s="55" t="n">
        <f aca="false">IF(B235="","",IFERROR(INDEX('Kitting Plan'!$H$5:$H$18,MATCH(B235,'Kitting Plan'!$C$5:$C$18,0)),""))</f>
        <v>24</v>
      </c>
      <c r="G235" s="45" t="n">
        <v>1</v>
      </c>
      <c r="H235" s="56" t="n">
        <f aca="false">IF(B235="","",IF(G235="",F235,G235))</f>
        <v>1</v>
      </c>
      <c r="I235" s="45" t="s">
        <v>29</v>
      </c>
      <c r="J235" s="57" t="n">
        <v>46278</v>
      </c>
      <c r="K235" s="46" t="s">
        <v>104</v>
      </c>
      <c r="L235" s="54" t="str">
        <f aca="false">IF(A235="","",IF(B235="","Missing code",IF(C235="Unknown code","Unknown code",IF(COUNTIF($A$6:$A$1005,A235)&gt;1,"Duplicate WO",""))))</f>
        <v/>
      </c>
    </row>
    <row r="236" customFormat="false" ht="23.85" hidden="false" customHeight="false" outlineLevel="0" collapsed="false">
      <c r="A236" s="53" t="n">
        <v>100877354</v>
      </c>
      <c r="B236" s="46" t="s">
        <v>63</v>
      </c>
      <c r="C236" s="54" t="str">
        <f aca="false">IF(B236="","",IFERROR(INDEX('Kitting Plan'!$D$5:$D$18,MATCH(B236,'Kitting Plan'!$C$5:$C$18,0)),"Unknown code"))</f>
        <v>R5B ERBIUM SPOOL ASSEMBLY - E2A</v>
      </c>
      <c r="D236" s="54" t="str">
        <f aca="false">IF(B236="","",IFERROR(INDEX('Kitting Plan'!$B$5:$B$18,MATCH(B236,'Kitting Plan'!$C$5:$C$18,0)),""))</f>
        <v>ERBIUM ASSY</v>
      </c>
      <c r="E236" s="45"/>
      <c r="F236" s="55" t="n">
        <f aca="false">IF(B236="","",IFERROR(INDEX('Kitting Plan'!$H$5:$H$18,MATCH(B236,'Kitting Plan'!$C$5:$C$18,0)),""))</f>
        <v>24</v>
      </c>
      <c r="G236" s="45" t="n">
        <v>1</v>
      </c>
      <c r="H236" s="56" t="n">
        <f aca="false">IF(B236="","",IF(G236="",F236,G236))</f>
        <v>1</v>
      </c>
      <c r="I236" s="45" t="s">
        <v>29</v>
      </c>
      <c r="J236" s="57" t="n">
        <v>46278</v>
      </c>
      <c r="K236" s="46" t="s">
        <v>104</v>
      </c>
      <c r="L236" s="54" t="str">
        <f aca="false">IF(A236="","",IF(B236="","Missing code",IF(C236="Unknown code","Unknown code",IF(COUNTIF($A$6:$A$1005,A236)&gt;1,"Duplicate WO",""))))</f>
        <v/>
      </c>
    </row>
    <row r="237" customFormat="false" ht="23.85" hidden="false" customHeight="false" outlineLevel="0" collapsed="false">
      <c r="A237" s="53" t="n">
        <v>100877355</v>
      </c>
      <c r="B237" s="46" t="s">
        <v>63</v>
      </c>
      <c r="C237" s="54" t="str">
        <f aca="false">IF(B237="","",IFERROR(INDEX('Kitting Plan'!$D$5:$D$18,MATCH(B237,'Kitting Plan'!$C$5:$C$18,0)),"Unknown code"))</f>
        <v>R5B ERBIUM SPOOL ASSEMBLY - E2A</v>
      </c>
      <c r="D237" s="54" t="str">
        <f aca="false">IF(B237="","",IFERROR(INDEX('Kitting Plan'!$B$5:$B$18,MATCH(B237,'Kitting Plan'!$C$5:$C$18,0)),""))</f>
        <v>ERBIUM ASSY</v>
      </c>
      <c r="E237" s="45"/>
      <c r="F237" s="55" t="n">
        <f aca="false">IF(B237="","",IFERROR(INDEX('Kitting Plan'!$H$5:$H$18,MATCH(B237,'Kitting Plan'!$C$5:$C$18,0)),""))</f>
        <v>24</v>
      </c>
      <c r="G237" s="45" t="n">
        <v>1</v>
      </c>
      <c r="H237" s="56" t="n">
        <f aca="false">IF(B237="","",IF(G237="",F237,G237))</f>
        <v>1</v>
      </c>
      <c r="I237" s="45" t="s">
        <v>29</v>
      </c>
      <c r="J237" s="57" t="n">
        <v>46278</v>
      </c>
      <c r="K237" s="46" t="s">
        <v>104</v>
      </c>
      <c r="L237" s="54" t="str">
        <f aca="false">IF(A237="","",IF(B237="","Missing code",IF(C237="Unknown code","Unknown code",IF(COUNTIF($A$6:$A$1005,A237)&gt;1,"Duplicate WO",""))))</f>
        <v/>
      </c>
    </row>
    <row r="238" customFormat="false" ht="23.85" hidden="false" customHeight="false" outlineLevel="0" collapsed="false">
      <c r="A238" s="53" t="n">
        <v>100877356</v>
      </c>
      <c r="B238" s="46" t="s">
        <v>63</v>
      </c>
      <c r="C238" s="54" t="str">
        <f aca="false">IF(B238="","",IFERROR(INDEX('Kitting Plan'!$D$5:$D$18,MATCH(B238,'Kitting Plan'!$C$5:$C$18,0)),"Unknown code"))</f>
        <v>R5B ERBIUM SPOOL ASSEMBLY - E2A</v>
      </c>
      <c r="D238" s="54" t="str">
        <f aca="false">IF(B238="","",IFERROR(INDEX('Kitting Plan'!$B$5:$B$18,MATCH(B238,'Kitting Plan'!$C$5:$C$18,0)),""))</f>
        <v>ERBIUM ASSY</v>
      </c>
      <c r="E238" s="45"/>
      <c r="F238" s="55" t="n">
        <f aca="false">IF(B238="","",IFERROR(INDEX('Kitting Plan'!$H$5:$H$18,MATCH(B238,'Kitting Plan'!$C$5:$C$18,0)),""))</f>
        <v>24</v>
      </c>
      <c r="G238" s="45" t="n">
        <v>1</v>
      </c>
      <c r="H238" s="56" t="n">
        <f aca="false">IF(B238="","",IF(G238="",F238,G238))</f>
        <v>1</v>
      </c>
      <c r="I238" s="45" t="s">
        <v>29</v>
      </c>
      <c r="J238" s="57" t="n">
        <v>46278</v>
      </c>
      <c r="K238" s="46" t="s">
        <v>104</v>
      </c>
      <c r="L238" s="54" t="str">
        <f aca="false">IF(A238="","",IF(B238="","Missing code",IF(C238="Unknown code","Unknown code",IF(COUNTIF($A$6:$A$1005,A238)&gt;1,"Duplicate WO",""))))</f>
        <v/>
      </c>
    </row>
    <row r="239" customFormat="false" ht="23.85" hidden="false" customHeight="false" outlineLevel="0" collapsed="false">
      <c r="A239" s="53" t="n">
        <v>100877357</v>
      </c>
      <c r="B239" s="46" t="s">
        <v>63</v>
      </c>
      <c r="C239" s="54" t="str">
        <f aca="false">IF(B239="","",IFERROR(INDEX('Kitting Plan'!$D$5:$D$18,MATCH(B239,'Kitting Plan'!$C$5:$C$18,0)),"Unknown code"))</f>
        <v>R5B ERBIUM SPOOL ASSEMBLY - E2A</v>
      </c>
      <c r="D239" s="54" t="str">
        <f aca="false">IF(B239="","",IFERROR(INDEX('Kitting Plan'!$B$5:$B$18,MATCH(B239,'Kitting Plan'!$C$5:$C$18,0)),""))</f>
        <v>ERBIUM ASSY</v>
      </c>
      <c r="E239" s="45"/>
      <c r="F239" s="55" t="n">
        <f aca="false">IF(B239="","",IFERROR(INDEX('Kitting Plan'!$H$5:$H$18,MATCH(B239,'Kitting Plan'!$C$5:$C$18,0)),""))</f>
        <v>24</v>
      </c>
      <c r="G239" s="45" t="n">
        <v>1</v>
      </c>
      <c r="H239" s="56" t="n">
        <f aca="false">IF(B239="","",IF(G239="",F239,G239))</f>
        <v>1</v>
      </c>
      <c r="I239" s="45" t="s">
        <v>29</v>
      </c>
      <c r="J239" s="57" t="n">
        <v>46278</v>
      </c>
      <c r="K239" s="46" t="s">
        <v>104</v>
      </c>
      <c r="L239" s="54" t="str">
        <f aca="false">IF(A239="","",IF(B239="","Missing code",IF(C239="Unknown code","Unknown code",IF(COUNTIF($A$6:$A$1005,A239)&gt;1,"Duplicate WO",""))))</f>
        <v/>
      </c>
    </row>
    <row r="240" customFormat="false" ht="23.85" hidden="false" customHeight="false" outlineLevel="0" collapsed="false">
      <c r="A240" s="53" t="n">
        <v>100877358</v>
      </c>
      <c r="B240" s="46" t="s">
        <v>63</v>
      </c>
      <c r="C240" s="54" t="str">
        <f aca="false">IF(B240="","",IFERROR(INDEX('Kitting Plan'!$D$5:$D$18,MATCH(B240,'Kitting Plan'!$C$5:$C$18,0)),"Unknown code"))</f>
        <v>R5B ERBIUM SPOOL ASSEMBLY - E2A</v>
      </c>
      <c r="D240" s="54" t="str">
        <f aca="false">IF(B240="","",IFERROR(INDEX('Kitting Plan'!$B$5:$B$18,MATCH(B240,'Kitting Plan'!$C$5:$C$18,0)),""))</f>
        <v>ERBIUM ASSY</v>
      </c>
      <c r="E240" s="45"/>
      <c r="F240" s="55" t="n">
        <f aca="false">IF(B240="","",IFERROR(INDEX('Kitting Plan'!$H$5:$H$18,MATCH(B240,'Kitting Plan'!$C$5:$C$18,0)),""))</f>
        <v>24</v>
      </c>
      <c r="G240" s="45" t="n">
        <v>1</v>
      </c>
      <c r="H240" s="56" t="n">
        <f aca="false">IF(B240="","",IF(G240="",F240,G240))</f>
        <v>1</v>
      </c>
      <c r="I240" s="45" t="s">
        <v>29</v>
      </c>
      <c r="J240" s="57" t="n">
        <v>46278</v>
      </c>
      <c r="K240" s="46" t="s">
        <v>104</v>
      </c>
      <c r="L240" s="54" t="str">
        <f aca="false">IF(A240="","",IF(B240="","Missing code",IF(C240="Unknown code","Unknown code",IF(COUNTIF($A$6:$A$1005,A240)&gt;1,"Duplicate WO",""))))</f>
        <v/>
      </c>
    </row>
    <row r="241" customFormat="false" ht="23.85" hidden="false" customHeight="false" outlineLevel="0" collapsed="false">
      <c r="A241" s="53" t="n">
        <v>100877359</v>
      </c>
      <c r="B241" s="46" t="s">
        <v>63</v>
      </c>
      <c r="C241" s="54" t="str">
        <f aca="false">IF(B241="","",IFERROR(INDEX('Kitting Plan'!$D$5:$D$18,MATCH(B241,'Kitting Plan'!$C$5:$C$18,0)),"Unknown code"))</f>
        <v>R5B ERBIUM SPOOL ASSEMBLY - E2A</v>
      </c>
      <c r="D241" s="54" t="str">
        <f aca="false">IF(B241="","",IFERROR(INDEX('Kitting Plan'!$B$5:$B$18,MATCH(B241,'Kitting Plan'!$C$5:$C$18,0)),""))</f>
        <v>ERBIUM ASSY</v>
      </c>
      <c r="E241" s="45"/>
      <c r="F241" s="55" t="n">
        <f aca="false">IF(B241="","",IFERROR(INDEX('Kitting Plan'!$H$5:$H$18,MATCH(B241,'Kitting Plan'!$C$5:$C$18,0)),""))</f>
        <v>24</v>
      </c>
      <c r="G241" s="45" t="n">
        <v>1</v>
      </c>
      <c r="H241" s="56" t="n">
        <f aca="false">IF(B241="","",IF(G241="",F241,G241))</f>
        <v>1</v>
      </c>
      <c r="I241" s="45" t="s">
        <v>29</v>
      </c>
      <c r="J241" s="57" t="n">
        <v>46278</v>
      </c>
      <c r="K241" s="46" t="s">
        <v>104</v>
      </c>
      <c r="L241" s="54" t="str">
        <f aca="false">IF(A241="","",IF(B241="","Missing code",IF(C241="Unknown code","Unknown code",IF(COUNTIF($A$6:$A$1005,A241)&gt;1,"Duplicate WO",""))))</f>
        <v/>
      </c>
    </row>
    <row r="242" customFormat="false" ht="23.85" hidden="false" customHeight="false" outlineLevel="0" collapsed="false">
      <c r="A242" s="53" t="n">
        <v>100877360</v>
      </c>
      <c r="B242" s="46" t="s">
        <v>63</v>
      </c>
      <c r="C242" s="54" t="str">
        <f aca="false">IF(B242="","",IFERROR(INDEX('Kitting Plan'!$D$5:$D$18,MATCH(B242,'Kitting Plan'!$C$5:$C$18,0)),"Unknown code"))</f>
        <v>R5B ERBIUM SPOOL ASSEMBLY - E2A</v>
      </c>
      <c r="D242" s="54" t="str">
        <f aca="false">IF(B242="","",IFERROR(INDEX('Kitting Plan'!$B$5:$B$18,MATCH(B242,'Kitting Plan'!$C$5:$C$18,0)),""))</f>
        <v>ERBIUM ASSY</v>
      </c>
      <c r="E242" s="45"/>
      <c r="F242" s="55" t="n">
        <f aca="false">IF(B242="","",IFERROR(INDEX('Kitting Plan'!$H$5:$H$18,MATCH(B242,'Kitting Plan'!$C$5:$C$18,0)),""))</f>
        <v>24</v>
      </c>
      <c r="G242" s="45" t="n">
        <v>1</v>
      </c>
      <c r="H242" s="56" t="n">
        <f aca="false">IF(B242="","",IF(G242="",F242,G242))</f>
        <v>1</v>
      </c>
      <c r="I242" s="45" t="s">
        <v>29</v>
      </c>
      <c r="J242" s="57" t="n">
        <v>46278</v>
      </c>
      <c r="K242" s="46" t="s">
        <v>104</v>
      </c>
      <c r="L242" s="54" t="str">
        <f aca="false">IF(A242="","",IF(B242="","Missing code",IF(C242="Unknown code","Unknown code",IF(COUNTIF($A$6:$A$1005,A242)&gt;1,"Duplicate WO",""))))</f>
        <v/>
      </c>
    </row>
    <row r="243" customFormat="false" ht="23.85" hidden="false" customHeight="false" outlineLevel="0" collapsed="false">
      <c r="A243" s="53" t="n">
        <v>100877361</v>
      </c>
      <c r="B243" s="46" t="s">
        <v>63</v>
      </c>
      <c r="C243" s="54" t="str">
        <f aca="false">IF(B243="","",IFERROR(INDEX('Kitting Plan'!$D$5:$D$18,MATCH(B243,'Kitting Plan'!$C$5:$C$18,0)),"Unknown code"))</f>
        <v>R5B ERBIUM SPOOL ASSEMBLY - E2A</v>
      </c>
      <c r="D243" s="54" t="str">
        <f aca="false">IF(B243="","",IFERROR(INDEX('Kitting Plan'!$B$5:$B$18,MATCH(B243,'Kitting Plan'!$C$5:$C$18,0)),""))</f>
        <v>ERBIUM ASSY</v>
      </c>
      <c r="E243" s="45"/>
      <c r="F243" s="55" t="n">
        <f aca="false">IF(B243="","",IFERROR(INDEX('Kitting Plan'!$H$5:$H$18,MATCH(B243,'Kitting Plan'!$C$5:$C$18,0)),""))</f>
        <v>24</v>
      </c>
      <c r="G243" s="45" t="n">
        <v>1</v>
      </c>
      <c r="H243" s="56" t="n">
        <f aca="false">IF(B243="","",IF(G243="",F243,G243))</f>
        <v>1</v>
      </c>
      <c r="I243" s="45" t="s">
        <v>29</v>
      </c>
      <c r="J243" s="57" t="n">
        <v>46278</v>
      </c>
      <c r="K243" s="46" t="s">
        <v>104</v>
      </c>
      <c r="L243" s="54" t="str">
        <f aca="false">IF(A243="","",IF(B243="","Missing code",IF(C243="Unknown code","Unknown code",IF(COUNTIF($A$6:$A$1005,A243)&gt;1,"Duplicate WO",""))))</f>
        <v/>
      </c>
    </row>
    <row r="244" customFormat="false" ht="23.85" hidden="false" customHeight="false" outlineLevel="0" collapsed="false">
      <c r="A244" s="53" t="n">
        <v>100877362</v>
      </c>
      <c r="B244" s="46" t="s">
        <v>63</v>
      </c>
      <c r="C244" s="54" t="str">
        <f aca="false">IF(B244="","",IFERROR(INDEX('Kitting Plan'!$D$5:$D$18,MATCH(B244,'Kitting Plan'!$C$5:$C$18,0)),"Unknown code"))</f>
        <v>R5B ERBIUM SPOOL ASSEMBLY - E2A</v>
      </c>
      <c r="D244" s="54" t="str">
        <f aca="false">IF(B244="","",IFERROR(INDEX('Kitting Plan'!$B$5:$B$18,MATCH(B244,'Kitting Plan'!$C$5:$C$18,0)),""))</f>
        <v>ERBIUM ASSY</v>
      </c>
      <c r="E244" s="45"/>
      <c r="F244" s="55" t="n">
        <f aca="false">IF(B244="","",IFERROR(INDEX('Kitting Plan'!$H$5:$H$18,MATCH(B244,'Kitting Plan'!$C$5:$C$18,0)),""))</f>
        <v>24</v>
      </c>
      <c r="G244" s="45" t="n">
        <v>1</v>
      </c>
      <c r="H244" s="56" t="n">
        <f aca="false">IF(B244="","",IF(G244="",F244,G244))</f>
        <v>1</v>
      </c>
      <c r="I244" s="45" t="s">
        <v>29</v>
      </c>
      <c r="J244" s="57" t="n">
        <v>46278</v>
      </c>
      <c r="K244" s="46" t="s">
        <v>104</v>
      </c>
      <c r="L244" s="54" t="str">
        <f aca="false">IF(A244="","",IF(B244="","Missing code",IF(C244="Unknown code","Unknown code",IF(COUNTIF($A$6:$A$1005,A244)&gt;1,"Duplicate WO",""))))</f>
        <v/>
      </c>
    </row>
    <row r="245" customFormat="false" ht="23.85" hidden="false" customHeight="false" outlineLevel="0" collapsed="false">
      <c r="A245" s="53" t="n">
        <v>100877363</v>
      </c>
      <c r="B245" s="46" t="s">
        <v>63</v>
      </c>
      <c r="C245" s="54" t="str">
        <f aca="false">IF(B245="","",IFERROR(INDEX('Kitting Plan'!$D$5:$D$18,MATCH(B245,'Kitting Plan'!$C$5:$C$18,0)),"Unknown code"))</f>
        <v>R5B ERBIUM SPOOL ASSEMBLY - E2A</v>
      </c>
      <c r="D245" s="54" t="str">
        <f aca="false">IF(B245="","",IFERROR(INDEX('Kitting Plan'!$B$5:$B$18,MATCH(B245,'Kitting Plan'!$C$5:$C$18,0)),""))</f>
        <v>ERBIUM ASSY</v>
      </c>
      <c r="E245" s="45"/>
      <c r="F245" s="55" t="n">
        <f aca="false">IF(B245="","",IFERROR(INDEX('Kitting Plan'!$H$5:$H$18,MATCH(B245,'Kitting Plan'!$C$5:$C$18,0)),""))</f>
        <v>24</v>
      </c>
      <c r="G245" s="45" t="n">
        <v>1</v>
      </c>
      <c r="H245" s="56" t="n">
        <f aca="false">IF(B245="","",IF(G245="",F245,G245))</f>
        <v>1</v>
      </c>
      <c r="I245" s="45" t="s">
        <v>29</v>
      </c>
      <c r="J245" s="57" t="n">
        <v>46278</v>
      </c>
      <c r="K245" s="46" t="s">
        <v>104</v>
      </c>
      <c r="L245" s="54" t="str">
        <f aca="false">IF(A245="","",IF(B245="","Missing code",IF(C245="Unknown code","Unknown code",IF(COUNTIF($A$6:$A$1005,A245)&gt;1,"Duplicate WO",""))))</f>
        <v/>
      </c>
    </row>
    <row r="246" customFormat="false" ht="23.85" hidden="false" customHeight="false" outlineLevel="0" collapsed="false">
      <c r="A246" s="53" t="n">
        <v>100877364</v>
      </c>
      <c r="B246" s="46" t="s">
        <v>63</v>
      </c>
      <c r="C246" s="54" t="str">
        <f aca="false">IF(B246="","",IFERROR(INDEX('Kitting Plan'!$D$5:$D$18,MATCH(B246,'Kitting Plan'!$C$5:$C$18,0)),"Unknown code"))</f>
        <v>R5B ERBIUM SPOOL ASSEMBLY - E2A</v>
      </c>
      <c r="D246" s="54" t="str">
        <f aca="false">IF(B246="","",IFERROR(INDEX('Kitting Plan'!$B$5:$B$18,MATCH(B246,'Kitting Plan'!$C$5:$C$18,0)),""))</f>
        <v>ERBIUM ASSY</v>
      </c>
      <c r="E246" s="45"/>
      <c r="F246" s="55" t="n">
        <f aca="false">IF(B246="","",IFERROR(INDEX('Kitting Plan'!$H$5:$H$18,MATCH(B246,'Kitting Plan'!$C$5:$C$18,0)),""))</f>
        <v>24</v>
      </c>
      <c r="G246" s="45" t="n">
        <v>1</v>
      </c>
      <c r="H246" s="56" t="n">
        <f aca="false">IF(B246="","",IF(G246="",F246,G246))</f>
        <v>1</v>
      </c>
      <c r="I246" s="45" t="s">
        <v>29</v>
      </c>
      <c r="J246" s="57" t="n">
        <v>46278</v>
      </c>
      <c r="K246" s="46" t="s">
        <v>104</v>
      </c>
      <c r="L246" s="54" t="str">
        <f aca="false">IF(A246="","",IF(B246="","Missing code",IF(C246="Unknown code","Unknown code",IF(COUNTIF($A$6:$A$1005,A246)&gt;1,"Duplicate WO",""))))</f>
        <v/>
      </c>
    </row>
    <row r="247" customFormat="false" ht="23.85" hidden="false" customHeight="false" outlineLevel="0" collapsed="false">
      <c r="A247" s="53" t="n">
        <v>100877365</v>
      </c>
      <c r="B247" s="46" t="s">
        <v>63</v>
      </c>
      <c r="C247" s="54" t="str">
        <f aca="false">IF(B247="","",IFERROR(INDEX('Kitting Plan'!$D$5:$D$18,MATCH(B247,'Kitting Plan'!$C$5:$C$18,0)),"Unknown code"))</f>
        <v>R5B ERBIUM SPOOL ASSEMBLY - E2A</v>
      </c>
      <c r="D247" s="54" t="str">
        <f aca="false">IF(B247="","",IFERROR(INDEX('Kitting Plan'!$B$5:$B$18,MATCH(B247,'Kitting Plan'!$C$5:$C$18,0)),""))</f>
        <v>ERBIUM ASSY</v>
      </c>
      <c r="E247" s="45"/>
      <c r="F247" s="55" t="n">
        <f aca="false">IF(B247="","",IFERROR(INDEX('Kitting Plan'!$H$5:$H$18,MATCH(B247,'Kitting Plan'!$C$5:$C$18,0)),""))</f>
        <v>24</v>
      </c>
      <c r="G247" s="45" t="n">
        <v>1</v>
      </c>
      <c r="H247" s="56" t="n">
        <f aca="false">IF(B247="","",IF(G247="",F247,G247))</f>
        <v>1</v>
      </c>
      <c r="I247" s="45" t="s">
        <v>29</v>
      </c>
      <c r="J247" s="57" t="n">
        <v>46278</v>
      </c>
      <c r="K247" s="46" t="s">
        <v>104</v>
      </c>
      <c r="L247" s="54" t="str">
        <f aca="false">IF(A247="","",IF(B247="","Missing code",IF(C247="Unknown code","Unknown code",IF(COUNTIF($A$6:$A$1005,A247)&gt;1,"Duplicate WO",""))))</f>
        <v/>
      </c>
    </row>
    <row r="248" customFormat="false" ht="23.85" hidden="false" customHeight="false" outlineLevel="0" collapsed="false">
      <c r="A248" s="53" t="n">
        <v>100877366</v>
      </c>
      <c r="B248" s="46" t="s">
        <v>63</v>
      </c>
      <c r="C248" s="54" t="str">
        <f aca="false">IF(B248="","",IFERROR(INDEX('Kitting Plan'!$D$5:$D$18,MATCH(B248,'Kitting Plan'!$C$5:$C$18,0)),"Unknown code"))</f>
        <v>R5B ERBIUM SPOOL ASSEMBLY - E2A</v>
      </c>
      <c r="D248" s="54" t="str">
        <f aca="false">IF(B248="","",IFERROR(INDEX('Kitting Plan'!$B$5:$B$18,MATCH(B248,'Kitting Plan'!$C$5:$C$18,0)),""))</f>
        <v>ERBIUM ASSY</v>
      </c>
      <c r="E248" s="45"/>
      <c r="F248" s="55" t="n">
        <f aca="false">IF(B248="","",IFERROR(INDEX('Kitting Plan'!$H$5:$H$18,MATCH(B248,'Kitting Plan'!$C$5:$C$18,0)),""))</f>
        <v>24</v>
      </c>
      <c r="G248" s="45" t="n">
        <v>1</v>
      </c>
      <c r="H248" s="56" t="n">
        <f aca="false">IF(B248="","",IF(G248="",F248,G248))</f>
        <v>1</v>
      </c>
      <c r="I248" s="45" t="s">
        <v>29</v>
      </c>
      <c r="J248" s="57" t="n">
        <v>46278</v>
      </c>
      <c r="K248" s="46" t="s">
        <v>104</v>
      </c>
      <c r="L248" s="54" t="str">
        <f aca="false">IF(A248="","",IF(B248="","Missing code",IF(C248="Unknown code","Unknown code",IF(COUNTIF($A$6:$A$1005,A248)&gt;1,"Duplicate WO",""))))</f>
        <v/>
      </c>
    </row>
    <row r="249" customFormat="false" ht="23.85" hidden="false" customHeight="false" outlineLevel="0" collapsed="false">
      <c r="A249" s="53" t="n">
        <v>100877367</v>
      </c>
      <c r="B249" s="46" t="s">
        <v>63</v>
      </c>
      <c r="C249" s="54" t="str">
        <f aca="false">IF(B249="","",IFERROR(INDEX('Kitting Plan'!$D$5:$D$18,MATCH(B249,'Kitting Plan'!$C$5:$C$18,0)),"Unknown code"))</f>
        <v>R5B ERBIUM SPOOL ASSEMBLY - E2A</v>
      </c>
      <c r="D249" s="54" t="str">
        <f aca="false">IF(B249="","",IFERROR(INDEX('Kitting Plan'!$B$5:$B$18,MATCH(B249,'Kitting Plan'!$C$5:$C$18,0)),""))</f>
        <v>ERBIUM ASSY</v>
      </c>
      <c r="E249" s="45"/>
      <c r="F249" s="55" t="n">
        <f aca="false">IF(B249="","",IFERROR(INDEX('Kitting Plan'!$H$5:$H$18,MATCH(B249,'Kitting Plan'!$C$5:$C$18,0)),""))</f>
        <v>24</v>
      </c>
      <c r="G249" s="45" t="n">
        <v>1</v>
      </c>
      <c r="H249" s="56" t="n">
        <f aca="false">IF(B249="","",IF(G249="",F249,G249))</f>
        <v>1</v>
      </c>
      <c r="I249" s="45" t="s">
        <v>29</v>
      </c>
      <c r="J249" s="57" t="n">
        <v>46278</v>
      </c>
      <c r="K249" s="46" t="s">
        <v>104</v>
      </c>
      <c r="L249" s="54" t="str">
        <f aca="false">IF(A249="","",IF(B249="","Missing code",IF(C249="Unknown code","Unknown code",IF(COUNTIF($A$6:$A$1005,A249)&gt;1,"Duplicate WO",""))))</f>
        <v/>
      </c>
    </row>
    <row r="250" customFormat="false" ht="23.85" hidden="false" customHeight="false" outlineLevel="0" collapsed="false">
      <c r="A250" s="53" t="n">
        <v>100877368</v>
      </c>
      <c r="B250" s="46" t="s">
        <v>63</v>
      </c>
      <c r="C250" s="54" t="str">
        <f aca="false">IF(B250="","",IFERROR(INDEX('Kitting Plan'!$D$5:$D$18,MATCH(B250,'Kitting Plan'!$C$5:$C$18,0)),"Unknown code"))</f>
        <v>R5B ERBIUM SPOOL ASSEMBLY - E2A</v>
      </c>
      <c r="D250" s="54" t="str">
        <f aca="false">IF(B250="","",IFERROR(INDEX('Kitting Plan'!$B$5:$B$18,MATCH(B250,'Kitting Plan'!$C$5:$C$18,0)),""))</f>
        <v>ERBIUM ASSY</v>
      </c>
      <c r="E250" s="45"/>
      <c r="F250" s="55" t="n">
        <f aca="false">IF(B250="","",IFERROR(INDEX('Kitting Plan'!$H$5:$H$18,MATCH(B250,'Kitting Plan'!$C$5:$C$18,0)),""))</f>
        <v>24</v>
      </c>
      <c r="G250" s="45" t="n">
        <v>1</v>
      </c>
      <c r="H250" s="56" t="n">
        <f aca="false">IF(B250="","",IF(G250="",F250,G250))</f>
        <v>1</v>
      </c>
      <c r="I250" s="45" t="s">
        <v>29</v>
      </c>
      <c r="J250" s="57" t="n">
        <v>46278</v>
      </c>
      <c r="K250" s="46" t="s">
        <v>104</v>
      </c>
      <c r="L250" s="54" t="str">
        <f aca="false">IF(A250="","",IF(B250="","Missing code",IF(C250="Unknown code","Unknown code",IF(COUNTIF($A$6:$A$1005,A250)&gt;1,"Duplicate WO",""))))</f>
        <v/>
      </c>
    </row>
    <row r="251" customFormat="false" ht="23.85" hidden="false" customHeight="false" outlineLevel="0" collapsed="false">
      <c r="A251" s="53" t="n">
        <v>100877369</v>
      </c>
      <c r="B251" s="46" t="s">
        <v>63</v>
      </c>
      <c r="C251" s="54" t="str">
        <f aca="false">IF(B251="","",IFERROR(INDEX('Kitting Plan'!$D$5:$D$18,MATCH(B251,'Kitting Plan'!$C$5:$C$18,0)),"Unknown code"))</f>
        <v>R5B ERBIUM SPOOL ASSEMBLY - E2A</v>
      </c>
      <c r="D251" s="54" t="str">
        <f aca="false">IF(B251="","",IFERROR(INDEX('Kitting Plan'!$B$5:$B$18,MATCH(B251,'Kitting Plan'!$C$5:$C$18,0)),""))</f>
        <v>ERBIUM ASSY</v>
      </c>
      <c r="E251" s="45"/>
      <c r="F251" s="55" t="n">
        <f aca="false">IF(B251="","",IFERROR(INDEX('Kitting Plan'!$H$5:$H$18,MATCH(B251,'Kitting Plan'!$C$5:$C$18,0)),""))</f>
        <v>24</v>
      </c>
      <c r="G251" s="45" t="n">
        <v>1</v>
      </c>
      <c r="H251" s="56" t="n">
        <f aca="false">IF(B251="","",IF(G251="",F251,G251))</f>
        <v>1</v>
      </c>
      <c r="I251" s="45" t="s">
        <v>29</v>
      </c>
      <c r="J251" s="57" t="n">
        <v>46278</v>
      </c>
      <c r="K251" s="46" t="s">
        <v>104</v>
      </c>
      <c r="L251" s="54" t="str">
        <f aca="false">IF(A251="","",IF(B251="","Missing code",IF(C251="Unknown code","Unknown code",IF(COUNTIF($A$6:$A$1005,A251)&gt;1,"Duplicate WO",""))))</f>
        <v/>
      </c>
    </row>
    <row r="252" customFormat="false" ht="23.85" hidden="false" customHeight="false" outlineLevel="0" collapsed="false">
      <c r="A252" s="53" t="n">
        <v>100877370</v>
      </c>
      <c r="B252" s="46" t="s">
        <v>63</v>
      </c>
      <c r="C252" s="54" t="str">
        <f aca="false">IF(B252="","",IFERROR(INDEX('Kitting Plan'!$D$5:$D$18,MATCH(B252,'Kitting Plan'!$C$5:$C$18,0)),"Unknown code"))</f>
        <v>R5B ERBIUM SPOOL ASSEMBLY - E2A</v>
      </c>
      <c r="D252" s="54" t="str">
        <f aca="false">IF(B252="","",IFERROR(INDEX('Kitting Plan'!$B$5:$B$18,MATCH(B252,'Kitting Plan'!$C$5:$C$18,0)),""))</f>
        <v>ERBIUM ASSY</v>
      </c>
      <c r="E252" s="45"/>
      <c r="F252" s="55" t="n">
        <f aca="false">IF(B252="","",IFERROR(INDEX('Kitting Plan'!$H$5:$H$18,MATCH(B252,'Kitting Plan'!$C$5:$C$18,0)),""))</f>
        <v>24</v>
      </c>
      <c r="G252" s="45" t="n">
        <v>1</v>
      </c>
      <c r="H252" s="56" t="n">
        <f aca="false">IF(B252="","",IF(G252="",F252,G252))</f>
        <v>1</v>
      </c>
      <c r="I252" s="45" t="s">
        <v>29</v>
      </c>
      <c r="J252" s="57" t="n">
        <v>46278</v>
      </c>
      <c r="K252" s="46" t="s">
        <v>104</v>
      </c>
      <c r="L252" s="54" t="str">
        <f aca="false">IF(A252="","",IF(B252="","Missing code",IF(C252="Unknown code","Unknown code",IF(COUNTIF($A$6:$A$1005,A252)&gt;1,"Duplicate WO",""))))</f>
        <v/>
      </c>
    </row>
    <row r="253" customFormat="false" ht="23.85" hidden="false" customHeight="false" outlineLevel="0" collapsed="false">
      <c r="A253" s="53" t="n">
        <v>100877371</v>
      </c>
      <c r="B253" s="46" t="s">
        <v>63</v>
      </c>
      <c r="C253" s="54" t="str">
        <f aca="false">IF(B253="","",IFERROR(INDEX('Kitting Plan'!$D$5:$D$18,MATCH(B253,'Kitting Plan'!$C$5:$C$18,0)),"Unknown code"))</f>
        <v>R5B ERBIUM SPOOL ASSEMBLY - E2A</v>
      </c>
      <c r="D253" s="54" t="str">
        <f aca="false">IF(B253="","",IFERROR(INDEX('Kitting Plan'!$B$5:$B$18,MATCH(B253,'Kitting Plan'!$C$5:$C$18,0)),""))</f>
        <v>ERBIUM ASSY</v>
      </c>
      <c r="E253" s="45"/>
      <c r="F253" s="55" t="n">
        <f aca="false">IF(B253="","",IFERROR(INDEX('Kitting Plan'!$H$5:$H$18,MATCH(B253,'Kitting Plan'!$C$5:$C$18,0)),""))</f>
        <v>24</v>
      </c>
      <c r="G253" s="45" t="n">
        <v>1</v>
      </c>
      <c r="H253" s="56" t="n">
        <f aca="false">IF(B253="","",IF(G253="",F253,G253))</f>
        <v>1</v>
      </c>
      <c r="I253" s="45" t="s">
        <v>29</v>
      </c>
      <c r="J253" s="57" t="n">
        <v>46278</v>
      </c>
      <c r="K253" s="46" t="s">
        <v>104</v>
      </c>
      <c r="L253" s="54" t="str">
        <f aca="false">IF(A253="","",IF(B253="","Missing code",IF(C253="Unknown code","Unknown code",IF(COUNTIF($A$6:$A$1005,A253)&gt;1,"Duplicate WO",""))))</f>
        <v/>
      </c>
    </row>
    <row r="254" customFormat="false" ht="23.85" hidden="false" customHeight="false" outlineLevel="0" collapsed="false">
      <c r="A254" s="53" t="n">
        <v>100877372</v>
      </c>
      <c r="B254" s="46" t="s">
        <v>63</v>
      </c>
      <c r="C254" s="54" t="str">
        <f aca="false">IF(B254="","",IFERROR(INDEX('Kitting Plan'!$D$5:$D$18,MATCH(B254,'Kitting Plan'!$C$5:$C$18,0)),"Unknown code"))</f>
        <v>R5B ERBIUM SPOOL ASSEMBLY - E2A</v>
      </c>
      <c r="D254" s="54" t="str">
        <f aca="false">IF(B254="","",IFERROR(INDEX('Kitting Plan'!$B$5:$B$18,MATCH(B254,'Kitting Plan'!$C$5:$C$18,0)),""))</f>
        <v>ERBIUM ASSY</v>
      </c>
      <c r="E254" s="45"/>
      <c r="F254" s="55" t="n">
        <f aca="false">IF(B254="","",IFERROR(INDEX('Kitting Plan'!$H$5:$H$18,MATCH(B254,'Kitting Plan'!$C$5:$C$18,0)),""))</f>
        <v>24</v>
      </c>
      <c r="G254" s="45" t="n">
        <v>1</v>
      </c>
      <c r="H254" s="56" t="n">
        <f aca="false">IF(B254="","",IF(G254="",F254,G254))</f>
        <v>1</v>
      </c>
      <c r="I254" s="45" t="s">
        <v>29</v>
      </c>
      <c r="J254" s="57" t="n">
        <v>46278</v>
      </c>
      <c r="K254" s="46" t="s">
        <v>104</v>
      </c>
      <c r="L254" s="54" t="str">
        <f aca="false">IF(A254="","",IF(B254="","Missing code",IF(C254="Unknown code","Unknown code",IF(COUNTIF($A$6:$A$1005,A254)&gt;1,"Duplicate WO",""))))</f>
        <v/>
      </c>
    </row>
    <row r="255" customFormat="false" ht="23.85" hidden="false" customHeight="false" outlineLevel="0" collapsed="false">
      <c r="A255" s="53" t="n">
        <v>100877373</v>
      </c>
      <c r="B255" s="46" t="s">
        <v>63</v>
      </c>
      <c r="C255" s="54" t="str">
        <f aca="false">IF(B255="","",IFERROR(INDEX('Kitting Plan'!$D$5:$D$18,MATCH(B255,'Kitting Plan'!$C$5:$C$18,0)),"Unknown code"))</f>
        <v>R5B ERBIUM SPOOL ASSEMBLY - E2A</v>
      </c>
      <c r="D255" s="54" t="str">
        <f aca="false">IF(B255="","",IFERROR(INDEX('Kitting Plan'!$B$5:$B$18,MATCH(B255,'Kitting Plan'!$C$5:$C$18,0)),""))</f>
        <v>ERBIUM ASSY</v>
      </c>
      <c r="E255" s="45"/>
      <c r="F255" s="55" t="n">
        <f aca="false">IF(B255="","",IFERROR(INDEX('Kitting Plan'!$H$5:$H$18,MATCH(B255,'Kitting Plan'!$C$5:$C$18,0)),""))</f>
        <v>24</v>
      </c>
      <c r="G255" s="45" t="n">
        <v>1</v>
      </c>
      <c r="H255" s="56" t="n">
        <f aca="false">IF(B255="","",IF(G255="",F255,G255))</f>
        <v>1</v>
      </c>
      <c r="I255" s="45" t="s">
        <v>29</v>
      </c>
      <c r="J255" s="57" t="n">
        <v>46278</v>
      </c>
      <c r="K255" s="46" t="s">
        <v>104</v>
      </c>
      <c r="L255" s="54" t="str">
        <f aca="false">IF(A255="","",IF(B255="","Missing code",IF(C255="Unknown code","Unknown code",IF(COUNTIF($A$6:$A$1005,A255)&gt;1,"Duplicate WO",""))))</f>
        <v/>
      </c>
    </row>
    <row r="256" customFormat="false" ht="23.85" hidden="false" customHeight="false" outlineLevel="0" collapsed="false">
      <c r="A256" s="53" t="n">
        <v>100877374</v>
      </c>
      <c r="B256" s="46" t="s">
        <v>63</v>
      </c>
      <c r="C256" s="54" t="str">
        <f aca="false">IF(B256="","",IFERROR(INDEX('Kitting Plan'!$D$5:$D$18,MATCH(B256,'Kitting Plan'!$C$5:$C$18,0)),"Unknown code"))</f>
        <v>R5B ERBIUM SPOOL ASSEMBLY - E2A</v>
      </c>
      <c r="D256" s="54" t="str">
        <f aca="false">IF(B256="","",IFERROR(INDEX('Kitting Plan'!$B$5:$B$18,MATCH(B256,'Kitting Plan'!$C$5:$C$18,0)),""))</f>
        <v>ERBIUM ASSY</v>
      </c>
      <c r="E256" s="45"/>
      <c r="F256" s="55" t="n">
        <f aca="false">IF(B256="","",IFERROR(INDEX('Kitting Plan'!$H$5:$H$18,MATCH(B256,'Kitting Plan'!$C$5:$C$18,0)),""))</f>
        <v>24</v>
      </c>
      <c r="G256" s="45" t="n">
        <v>1</v>
      </c>
      <c r="H256" s="56" t="n">
        <f aca="false">IF(B256="","",IF(G256="",F256,G256))</f>
        <v>1</v>
      </c>
      <c r="I256" s="45" t="s">
        <v>29</v>
      </c>
      <c r="J256" s="57" t="n">
        <v>46278</v>
      </c>
      <c r="K256" s="46" t="s">
        <v>104</v>
      </c>
      <c r="L256" s="54" t="str">
        <f aca="false">IF(A256="","",IF(B256="","Missing code",IF(C256="Unknown code","Unknown code",IF(COUNTIF($A$6:$A$1005,A256)&gt;1,"Duplicate WO",""))))</f>
        <v/>
      </c>
    </row>
    <row r="257" customFormat="false" ht="23.85" hidden="false" customHeight="false" outlineLevel="0" collapsed="false">
      <c r="A257" s="53" t="n">
        <v>100877375</v>
      </c>
      <c r="B257" s="46" t="s">
        <v>63</v>
      </c>
      <c r="C257" s="54" t="str">
        <f aca="false">IF(B257="","",IFERROR(INDEX('Kitting Plan'!$D$5:$D$18,MATCH(B257,'Kitting Plan'!$C$5:$C$18,0)),"Unknown code"))</f>
        <v>R5B ERBIUM SPOOL ASSEMBLY - E2A</v>
      </c>
      <c r="D257" s="54" t="str">
        <f aca="false">IF(B257="","",IFERROR(INDEX('Kitting Plan'!$B$5:$B$18,MATCH(B257,'Kitting Plan'!$C$5:$C$18,0)),""))</f>
        <v>ERBIUM ASSY</v>
      </c>
      <c r="E257" s="45"/>
      <c r="F257" s="55" t="n">
        <f aca="false">IF(B257="","",IFERROR(INDEX('Kitting Plan'!$H$5:$H$18,MATCH(B257,'Kitting Plan'!$C$5:$C$18,0)),""))</f>
        <v>24</v>
      </c>
      <c r="G257" s="45" t="n">
        <v>1</v>
      </c>
      <c r="H257" s="56" t="n">
        <f aca="false">IF(B257="","",IF(G257="",F257,G257))</f>
        <v>1</v>
      </c>
      <c r="I257" s="45" t="s">
        <v>29</v>
      </c>
      <c r="J257" s="57" t="n">
        <v>46278</v>
      </c>
      <c r="K257" s="46" t="s">
        <v>104</v>
      </c>
      <c r="L257" s="54" t="str">
        <f aca="false">IF(A257="","",IF(B257="","Missing code",IF(C257="Unknown code","Unknown code",IF(COUNTIF($A$6:$A$1005,A257)&gt;1,"Duplicate WO",""))))</f>
        <v/>
      </c>
    </row>
    <row r="258" customFormat="false" ht="23.85" hidden="false" customHeight="false" outlineLevel="0" collapsed="false">
      <c r="A258" s="53" t="n">
        <v>100877376</v>
      </c>
      <c r="B258" s="46" t="s">
        <v>63</v>
      </c>
      <c r="C258" s="54" t="str">
        <f aca="false">IF(B258="","",IFERROR(INDEX('Kitting Plan'!$D$5:$D$18,MATCH(B258,'Kitting Plan'!$C$5:$C$18,0)),"Unknown code"))</f>
        <v>R5B ERBIUM SPOOL ASSEMBLY - E2A</v>
      </c>
      <c r="D258" s="54" t="str">
        <f aca="false">IF(B258="","",IFERROR(INDEX('Kitting Plan'!$B$5:$B$18,MATCH(B258,'Kitting Plan'!$C$5:$C$18,0)),""))</f>
        <v>ERBIUM ASSY</v>
      </c>
      <c r="E258" s="45"/>
      <c r="F258" s="55" t="n">
        <f aca="false">IF(B258="","",IFERROR(INDEX('Kitting Plan'!$H$5:$H$18,MATCH(B258,'Kitting Plan'!$C$5:$C$18,0)),""))</f>
        <v>24</v>
      </c>
      <c r="G258" s="45" t="n">
        <v>1</v>
      </c>
      <c r="H258" s="56" t="n">
        <f aca="false">IF(B258="","",IF(G258="",F258,G258))</f>
        <v>1</v>
      </c>
      <c r="I258" s="45" t="s">
        <v>29</v>
      </c>
      <c r="J258" s="57" t="n">
        <v>46278</v>
      </c>
      <c r="K258" s="46" t="s">
        <v>104</v>
      </c>
      <c r="L258" s="54" t="str">
        <f aca="false">IF(A258="","",IF(B258="","Missing code",IF(C258="Unknown code","Unknown code",IF(COUNTIF($A$6:$A$1005,A258)&gt;1,"Duplicate WO",""))))</f>
        <v/>
      </c>
    </row>
    <row r="259" customFormat="false" ht="23.85" hidden="false" customHeight="false" outlineLevel="0" collapsed="false">
      <c r="A259" s="53" t="n">
        <v>100879409</v>
      </c>
      <c r="B259" s="46" t="s">
        <v>63</v>
      </c>
      <c r="C259" s="54" t="str">
        <f aca="false">IF(B259="","",IFERROR(INDEX('Kitting Plan'!$D$5:$D$18,MATCH(B259,'Kitting Plan'!$C$5:$C$18,0)),"Unknown code"))</f>
        <v>R5B ERBIUM SPOOL ASSEMBLY - E2A</v>
      </c>
      <c r="D259" s="54" t="str">
        <f aca="false">IF(B259="","",IFERROR(INDEX('Kitting Plan'!$B$5:$B$18,MATCH(B259,'Kitting Plan'!$C$5:$C$18,0)),""))</f>
        <v>ERBIUM ASSY</v>
      </c>
      <c r="E259" s="45"/>
      <c r="F259" s="55" t="n">
        <f aca="false">IF(B259="","",IFERROR(INDEX('Kitting Plan'!$H$5:$H$18,MATCH(B259,'Kitting Plan'!$C$5:$C$18,0)),""))</f>
        <v>24</v>
      </c>
      <c r="G259" s="45" t="n">
        <v>1</v>
      </c>
      <c r="H259" s="56" t="n">
        <f aca="false">IF(B259="","",IF(G259="",F259,G259))</f>
        <v>1</v>
      </c>
      <c r="I259" s="45" t="s">
        <v>27</v>
      </c>
      <c r="J259" s="57" t="n">
        <v>46293</v>
      </c>
      <c r="K259" s="46" t="s">
        <v>105</v>
      </c>
      <c r="L259" s="54" t="str">
        <f aca="false">IF(A259="","",IF(B259="","Missing code",IF(C259="Unknown code","Unknown code",IF(COUNTIF($A$6:$A$1005,A259)&gt;1,"Duplicate WO",""))))</f>
        <v/>
      </c>
    </row>
    <row r="260" customFormat="false" ht="23.85" hidden="false" customHeight="false" outlineLevel="0" collapsed="false">
      <c r="A260" s="53" t="n">
        <v>100879410</v>
      </c>
      <c r="B260" s="46" t="s">
        <v>63</v>
      </c>
      <c r="C260" s="54" t="str">
        <f aca="false">IF(B260="","",IFERROR(INDEX('Kitting Plan'!$D$5:$D$18,MATCH(B260,'Kitting Plan'!$C$5:$C$18,0)),"Unknown code"))</f>
        <v>R5B ERBIUM SPOOL ASSEMBLY - E2A</v>
      </c>
      <c r="D260" s="54" t="str">
        <f aca="false">IF(B260="","",IFERROR(INDEX('Kitting Plan'!$B$5:$B$18,MATCH(B260,'Kitting Plan'!$C$5:$C$18,0)),""))</f>
        <v>ERBIUM ASSY</v>
      </c>
      <c r="E260" s="45"/>
      <c r="F260" s="55" t="n">
        <f aca="false">IF(B260="","",IFERROR(INDEX('Kitting Plan'!$H$5:$H$18,MATCH(B260,'Kitting Plan'!$C$5:$C$18,0)),""))</f>
        <v>24</v>
      </c>
      <c r="G260" s="45" t="n">
        <v>1</v>
      </c>
      <c r="H260" s="56" t="n">
        <f aca="false">IF(B260="","",IF(G260="",F260,G260))</f>
        <v>1</v>
      </c>
      <c r="I260" s="45" t="s">
        <v>27</v>
      </c>
      <c r="J260" s="57" t="n">
        <v>46293</v>
      </c>
      <c r="K260" s="46" t="s">
        <v>105</v>
      </c>
      <c r="L260" s="54" t="str">
        <f aca="false">IF(A260="","",IF(B260="","Missing code",IF(C260="Unknown code","Unknown code",IF(COUNTIF($A$6:$A$1005,A260)&gt;1,"Duplicate WO",""))))</f>
        <v/>
      </c>
    </row>
    <row r="261" customFormat="false" ht="23.85" hidden="false" customHeight="false" outlineLevel="0" collapsed="false">
      <c r="A261" s="53" t="n">
        <v>100879411</v>
      </c>
      <c r="B261" s="46" t="s">
        <v>63</v>
      </c>
      <c r="C261" s="54" t="str">
        <f aca="false">IF(B261="","",IFERROR(INDEX('Kitting Plan'!$D$5:$D$18,MATCH(B261,'Kitting Plan'!$C$5:$C$18,0)),"Unknown code"))</f>
        <v>R5B ERBIUM SPOOL ASSEMBLY - E2A</v>
      </c>
      <c r="D261" s="54" t="str">
        <f aca="false">IF(B261="","",IFERROR(INDEX('Kitting Plan'!$B$5:$B$18,MATCH(B261,'Kitting Plan'!$C$5:$C$18,0)),""))</f>
        <v>ERBIUM ASSY</v>
      </c>
      <c r="E261" s="45"/>
      <c r="F261" s="55" t="n">
        <f aca="false">IF(B261="","",IFERROR(INDEX('Kitting Plan'!$H$5:$H$18,MATCH(B261,'Kitting Plan'!$C$5:$C$18,0)),""))</f>
        <v>24</v>
      </c>
      <c r="G261" s="45" t="n">
        <v>1</v>
      </c>
      <c r="H261" s="56" t="n">
        <f aca="false">IF(B261="","",IF(G261="",F261,G261))</f>
        <v>1</v>
      </c>
      <c r="I261" s="45" t="s">
        <v>27</v>
      </c>
      <c r="J261" s="57" t="n">
        <v>46293</v>
      </c>
      <c r="K261" s="46" t="s">
        <v>105</v>
      </c>
      <c r="L261" s="54" t="str">
        <f aca="false">IF(A261="","",IF(B261="","Missing code",IF(C261="Unknown code","Unknown code",IF(COUNTIF($A$6:$A$1005,A261)&gt;1,"Duplicate WO",""))))</f>
        <v/>
      </c>
    </row>
    <row r="262" customFormat="false" ht="23.85" hidden="false" customHeight="false" outlineLevel="0" collapsed="false">
      <c r="A262" s="53" t="n">
        <v>100879412</v>
      </c>
      <c r="B262" s="46" t="s">
        <v>63</v>
      </c>
      <c r="C262" s="54" t="str">
        <f aca="false">IF(B262="","",IFERROR(INDEX('Kitting Plan'!$D$5:$D$18,MATCH(B262,'Kitting Plan'!$C$5:$C$18,0)),"Unknown code"))</f>
        <v>R5B ERBIUM SPOOL ASSEMBLY - E2A</v>
      </c>
      <c r="D262" s="54" t="str">
        <f aca="false">IF(B262="","",IFERROR(INDEX('Kitting Plan'!$B$5:$B$18,MATCH(B262,'Kitting Plan'!$C$5:$C$18,0)),""))</f>
        <v>ERBIUM ASSY</v>
      </c>
      <c r="E262" s="45"/>
      <c r="F262" s="55" t="n">
        <f aca="false">IF(B262="","",IFERROR(INDEX('Kitting Plan'!$H$5:$H$18,MATCH(B262,'Kitting Plan'!$C$5:$C$18,0)),""))</f>
        <v>24</v>
      </c>
      <c r="G262" s="45" t="n">
        <v>1</v>
      </c>
      <c r="H262" s="56" t="n">
        <f aca="false">IF(B262="","",IF(G262="",F262,G262))</f>
        <v>1</v>
      </c>
      <c r="I262" s="45" t="s">
        <v>27</v>
      </c>
      <c r="J262" s="57" t="n">
        <v>46293</v>
      </c>
      <c r="K262" s="46" t="s">
        <v>105</v>
      </c>
      <c r="L262" s="54" t="str">
        <f aca="false">IF(A262="","",IF(B262="","Missing code",IF(C262="Unknown code","Unknown code",IF(COUNTIF($A$6:$A$1005,A262)&gt;1,"Duplicate WO",""))))</f>
        <v/>
      </c>
    </row>
    <row r="263" customFormat="false" ht="23.85" hidden="false" customHeight="false" outlineLevel="0" collapsed="false">
      <c r="A263" s="53" t="n">
        <v>100879413</v>
      </c>
      <c r="B263" s="46" t="s">
        <v>63</v>
      </c>
      <c r="C263" s="54" t="str">
        <f aca="false">IF(B263="","",IFERROR(INDEX('Kitting Plan'!$D$5:$D$18,MATCH(B263,'Kitting Plan'!$C$5:$C$18,0)),"Unknown code"))</f>
        <v>R5B ERBIUM SPOOL ASSEMBLY - E2A</v>
      </c>
      <c r="D263" s="54" t="str">
        <f aca="false">IF(B263="","",IFERROR(INDEX('Kitting Plan'!$B$5:$B$18,MATCH(B263,'Kitting Plan'!$C$5:$C$18,0)),""))</f>
        <v>ERBIUM ASSY</v>
      </c>
      <c r="E263" s="45"/>
      <c r="F263" s="55" t="n">
        <f aca="false">IF(B263="","",IFERROR(INDEX('Kitting Plan'!$H$5:$H$18,MATCH(B263,'Kitting Plan'!$C$5:$C$18,0)),""))</f>
        <v>24</v>
      </c>
      <c r="G263" s="45" t="n">
        <v>1</v>
      </c>
      <c r="H263" s="56" t="n">
        <f aca="false">IF(B263="","",IF(G263="",F263,G263))</f>
        <v>1</v>
      </c>
      <c r="I263" s="45" t="s">
        <v>27</v>
      </c>
      <c r="J263" s="57" t="n">
        <v>46293</v>
      </c>
      <c r="K263" s="46" t="s">
        <v>105</v>
      </c>
      <c r="L263" s="54" t="str">
        <f aca="false">IF(A263="","",IF(B263="","Missing code",IF(C263="Unknown code","Unknown code",IF(COUNTIF($A$6:$A$1005,A263)&gt;1,"Duplicate WO",""))))</f>
        <v/>
      </c>
    </row>
    <row r="264" customFormat="false" ht="23.85" hidden="false" customHeight="false" outlineLevel="0" collapsed="false">
      <c r="A264" s="53" t="n">
        <v>100879414</v>
      </c>
      <c r="B264" s="46" t="s">
        <v>63</v>
      </c>
      <c r="C264" s="54" t="str">
        <f aca="false">IF(B264="","",IFERROR(INDEX('Kitting Plan'!$D$5:$D$18,MATCH(B264,'Kitting Plan'!$C$5:$C$18,0)),"Unknown code"))</f>
        <v>R5B ERBIUM SPOOL ASSEMBLY - E2A</v>
      </c>
      <c r="D264" s="54" t="str">
        <f aca="false">IF(B264="","",IFERROR(INDEX('Kitting Plan'!$B$5:$B$18,MATCH(B264,'Kitting Plan'!$C$5:$C$18,0)),""))</f>
        <v>ERBIUM ASSY</v>
      </c>
      <c r="E264" s="45"/>
      <c r="F264" s="55" t="n">
        <f aca="false">IF(B264="","",IFERROR(INDEX('Kitting Plan'!$H$5:$H$18,MATCH(B264,'Kitting Plan'!$C$5:$C$18,0)),""))</f>
        <v>24</v>
      </c>
      <c r="G264" s="45" t="n">
        <v>1</v>
      </c>
      <c r="H264" s="56" t="n">
        <f aca="false">IF(B264="","",IF(G264="",F264,G264))</f>
        <v>1</v>
      </c>
      <c r="I264" s="45" t="s">
        <v>27</v>
      </c>
      <c r="J264" s="57" t="n">
        <v>46293</v>
      </c>
      <c r="K264" s="46" t="s">
        <v>105</v>
      </c>
      <c r="L264" s="54" t="str">
        <f aca="false">IF(A264="","",IF(B264="","Missing code",IF(C264="Unknown code","Unknown code",IF(COUNTIF($A$6:$A$1005,A264)&gt;1,"Duplicate WO",""))))</f>
        <v/>
      </c>
    </row>
    <row r="265" customFormat="false" ht="23.85" hidden="false" customHeight="false" outlineLevel="0" collapsed="false">
      <c r="A265" s="53" t="n">
        <v>100879415</v>
      </c>
      <c r="B265" s="46" t="s">
        <v>63</v>
      </c>
      <c r="C265" s="54" t="str">
        <f aca="false">IF(B265="","",IFERROR(INDEX('Kitting Plan'!$D$5:$D$18,MATCH(B265,'Kitting Plan'!$C$5:$C$18,0)),"Unknown code"))</f>
        <v>R5B ERBIUM SPOOL ASSEMBLY - E2A</v>
      </c>
      <c r="D265" s="54" t="str">
        <f aca="false">IF(B265="","",IFERROR(INDEX('Kitting Plan'!$B$5:$B$18,MATCH(B265,'Kitting Plan'!$C$5:$C$18,0)),""))</f>
        <v>ERBIUM ASSY</v>
      </c>
      <c r="E265" s="45"/>
      <c r="F265" s="55" t="n">
        <f aca="false">IF(B265="","",IFERROR(INDEX('Kitting Plan'!$H$5:$H$18,MATCH(B265,'Kitting Plan'!$C$5:$C$18,0)),""))</f>
        <v>24</v>
      </c>
      <c r="G265" s="45" t="n">
        <v>1</v>
      </c>
      <c r="H265" s="56" t="n">
        <f aca="false">IF(B265="","",IF(G265="",F265,G265))</f>
        <v>1</v>
      </c>
      <c r="I265" s="45" t="s">
        <v>27</v>
      </c>
      <c r="J265" s="57" t="n">
        <v>46293</v>
      </c>
      <c r="K265" s="46" t="s">
        <v>105</v>
      </c>
      <c r="L265" s="54" t="str">
        <f aca="false">IF(A265="","",IF(B265="","Missing code",IF(C265="Unknown code","Unknown code",IF(COUNTIF($A$6:$A$1005,A265)&gt;1,"Duplicate WO",""))))</f>
        <v/>
      </c>
    </row>
    <row r="266" customFormat="false" ht="23.85" hidden="false" customHeight="false" outlineLevel="0" collapsed="false">
      <c r="A266" s="53" t="n">
        <v>100879416</v>
      </c>
      <c r="B266" s="46" t="s">
        <v>63</v>
      </c>
      <c r="C266" s="54" t="str">
        <f aca="false">IF(B266="","",IFERROR(INDEX('Kitting Plan'!$D$5:$D$18,MATCH(B266,'Kitting Plan'!$C$5:$C$18,0)),"Unknown code"))</f>
        <v>R5B ERBIUM SPOOL ASSEMBLY - E2A</v>
      </c>
      <c r="D266" s="54" t="str">
        <f aca="false">IF(B266="","",IFERROR(INDEX('Kitting Plan'!$B$5:$B$18,MATCH(B266,'Kitting Plan'!$C$5:$C$18,0)),""))</f>
        <v>ERBIUM ASSY</v>
      </c>
      <c r="E266" s="45"/>
      <c r="F266" s="55" t="n">
        <f aca="false">IF(B266="","",IFERROR(INDEX('Kitting Plan'!$H$5:$H$18,MATCH(B266,'Kitting Plan'!$C$5:$C$18,0)),""))</f>
        <v>24</v>
      </c>
      <c r="G266" s="45" t="n">
        <v>1</v>
      </c>
      <c r="H266" s="56" t="n">
        <f aca="false">IF(B266="","",IF(G266="",F266,G266))</f>
        <v>1</v>
      </c>
      <c r="I266" s="45" t="s">
        <v>27</v>
      </c>
      <c r="J266" s="57" t="n">
        <v>46293</v>
      </c>
      <c r="K266" s="46" t="s">
        <v>105</v>
      </c>
      <c r="L266" s="54" t="str">
        <f aca="false">IF(A266="","",IF(B266="","Missing code",IF(C266="Unknown code","Unknown code",IF(COUNTIF($A$6:$A$1005,A266)&gt;1,"Duplicate WO",""))))</f>
        <v/>
      </c>
    </row>
    <row r="267" customFormat="false" ht="23.85" hidden="false" customHeight="false" outlineLevel="0" collapsed="false">
      <c r="A267" s="53" t="n">
        <v>100879417</v>
      </c>
      <c r="B267" s="46" t="s">
        <v>63</v>
      </c>
      <c r="C267" s="54" t="str">
        <f aca="false">IF(B267="","",IFERROR(INDEX('Kitting Plan'!$D$5:$D$18,MATCH(B267,'Kitting Plan'!$C$5:$C$18,0)),"Unknown code"))</f>
        <v>R5B ERBIUM SPOOL ASSEMBLY - E2A</v>
      </c>
      <c r="D267" s="54" t="str">
        <f aca="false">IF(B267="","",IFERROR(INDEX('Kitting Plan'!$B$5:$B$18,MATCH(B267,'Kitting Plan'!$C$5:$C$18,0)),""))</f>
        <v>ERBIUM ASSY</v>
      </c>
      <c r="E267" s="45"/>
      <c r="F267" s="55" t="n">
        <f aca="false">IF(B267="","",IFERROR(INDEX('Kitting Plan'!$H$5:$H$18,MATCH(B267,'Kitting Plan'!$C$5:$C$18,0)),""))</f>
        <v>24</v>
      </c>
      <c r="G267" s="45" t="n">
        <v>1</v>
      </c>
      <c r="H267" s="56" t="n">
        <f aca="false">IF(B267="","",IF(G267="",F267,G267))</f>
        <v>1</v>
      </c>
      <c r="I267" s="45" t="s">
        <v>27</v>
      </c>
      <c r="J267" s="57" t="n">
        <v>46293</v>
      </c>
      <c r="K267" s="46" t="s">
        <v>105</v>
      </c>
      <c r="L267" s="54" t="str">
        <f aca="false">IF(A267="","",IF(B267="","Missing code",IF(C267="Unknown code","Unknown code",IF(COUNTIF($A$6:$A$1005,A267)&gt;1,"Duplicate WO",""))))</f>
        <v/>
      </c>
    </row>
    <row r="268" customFormat="false" ht="23.85" hidden="false" customHeight="false" outlineLevel="0" collapsed="false">
      <c r="A268" s="53" t="n">
        <v>100879418</v>
      </c>
      <c r="B268" s="46" t="s">
        <v>63</v>
      </c>
      <c r="C268" s="54" t="str">
        <f aca="false">IF(B268="","",IFERROR(INDEX('Kitting Plan'!$D$5:$D$18,MATCH(B268,'Kitting Plan'!$C$5:$C$18,0)),"Unknown code"))</f>
        <v>R5B ERBIUM SPOOL ASSEMBLY - E2A</v>
      </c>
      <c r="D268" s="54" t="str">
        <f aca="false">IF(B268="","",IFERROR(INDEX('Kitting Plan'!$B$5:$B$18,MATCH(B268,'Kitting Plan'!$C$5:$C$18,0)),""))</f>
        <v>ERBIUM ASSY</v>
      </c>
      <c r="E268" s="45"/>
      <c r="F268" s="55" t="n">
        <f aca="false">IF(B268="","",IFERROR(INDEX('Kitting Plan'!$H$5:$H$18,MATCH(B268,'Kitting Plan'!$C$5:$C$18,0)),""))</f>
        <v>24</v>
      </c>
      <c r="G268" s="45" t="n">
        <v>1</v>
      </c>
      <c r="H268" s="56" t="n">
        <f aca="false">IF(B268="","",IF(G268="",F268,G268))</f>
        <v>1</v>
      </c>
      <c r="I268" s="45" t="s">
        <v>27</v>
      </c>
      <c r="J268" s="57" t="n">
        <v>46293</v>
      </c>
      <c r="K268" s="46" t="s">
        <v>105</v>
      </c>
      <c r="L268" s="54" t="str">
        <f aca="false">IF(A268="","",IF(B268="","Missing code",IF(C268="Unknown code","Unknown code",IF(COUNTIF($A$6:$A$1005,A268)&gt;1,"Duplicate WO",""))))</f>
        <v/>
      </c>
    </row>
    <row r="269" customFormat="false" ht="23.85" hidden="false" customHeight="false" outlineLevel="0" collapsed="false">
      <c r="A269" s="53" t="n">
        <v>100879419</v>
      </c>
      <c r="B269" s="46" t="s">
        <v>63</v>
      </c>
      <c r="C269" s="54" t="str">
        <f aca="false">IF(B269="","",IFERROR(INDEX('Kitting Plan'!$D$5:$D$18,MATCH(B269,'Kitting Plan'!$C$5:$C$18,0)),"Unknown code"))</f>
        <v>R5B ERBIUM SPOOL ASSEMBLY - E2A</v>
      </c>
      <c r="D269" s="54" t="str">
        <f aca="false">IF(B269="","",IFERROR(INDEX('Kitting Plan'!$B$5:$B$18,MATCH(B269,'Kitting Plan'!$C$5:$C$18,0)),""))</f>
        <v>ERBIUM ASSY</v>
      </c>
      <c r="E269" s="45"/>
      <c r="F269" s="55" t="n">
        <f aca="false">IF(B269="","",IFERROR(INDEX('Kitting Plan'!$H$5:$H$18,MATCH(B269,'Kitting Plan'!$C$5:$C$18,0)),""))</f>
        <v>24</v>
      </c>
      <c r="G269" s="45" t="n">
        <v>1</v>
      </c>
      <c r="H269" s="56" t="n">
        <f aca="false">IF(B269="","",IF(G269="",F269,G269))</f>
        <v>1</v>
      </c>
      <c r="I269" s="45" t="s">
        <v>27</v>
      </c>
      <c r="J269" s="57" t="n">
        <v>46293</v>
      </c>
      <c r="K269" s="46" t="s">
        <v>105</v>
      </c>
      <c r="L269" s="54" t="str">
        <f aca="false">IF(A269="","",IF(B269="","Missing code",IF(C269="Unknown code","Unknown code",IF(COUNTIF($A$6:$A$1005,A269)&gt;1,"Duplicate WO",""))))</f>
        <v/>
      </c>
    </row>
    <row r="270" customFormat="false" ht="23.85" hidden="false" customHeight="false" outlineLevel="0" collapsed="false">
      <c r="A270" s="53" t="n">
        <v>100879420</v>
      </c>
      <c r="B270" s="46" t="s">
        <v>63</v>
      </c>
      <c r="C270" s="54" t="str">
        <f aca="false">IF(B270="","",IFERROR(INDEX('Kitting Plan'!$D$5:$D$18,MATCH(B270,'Kitting Plan'!$C$5:$C$18,0)),"Unknown code"))</f>
        <v>R5B ERBIUM SPOOL ASSEMBLY - E2A</v>
      </c>
      <c r="D270" s="54" t="str">
        <f aca="false">IF(B270="","",IFERROR(INDEX('Kitting Plan'!$B$5:$B$18,MATCH(B270,'Kitting Plan'!$C$5:$C$18,0)),""))</f>
        <v>ERBIUM ASSY</v>
      </c>
      <c r="E270" s="45"/>
      <c r="F270" s="55" t="n">
        <f aca="false">IF(B270="","",IFERROR(INDEX('Kitting Plan'!$H$5:$H$18,MATCH(B270,'Kitting Plan'!$C$5:$C$18,0)),""))</f>
        <v>24</v>
      </c>
      <c r="G270" s="45" t="n">
        <v>1</v>
      </c>
      <c r="H270" s="56" t="n">
        <f aca="false">IF(B270="","",IF(G270="",F270,G270))</f>
        <v>1</v>
      </c>
      <c r="I270" s="45" t="s">
        <v>27</v>
      </c>
      <c r="J270" s="57" t="n">
        <v>46293</v>
      </c>
      <c r="K270" s="46" t="s">
        <v>105</v>
      </c>
      <c r="L270" s="54" t="str">
        <f aca="false">IF(A270="","",IF(B270="","Missing code",IF(C270="Unknown code","Unknown code",IF(COUNTIF($A$6:$A$1005,A270)&gt;1,"Duplicate WO",""))))</f>
        <v/>
      </c>
    </row>
    <row r="271" customFormat="false" ht="23.85" hidden="false" customHeight="false" outlineLevel="0" collapsed="false">
      <c r="A271" s="53" t="n">
        <v>100879421</v>
      </c>
      <c r="B271" s="46" t="s">
        <v>63</v>
      </c>
      <c r="C271" s="54" t="str">
        <f aca="false">IF(B271="","",IFERROR(INDEX('Kitting Plan'!$D$5:$D$18,MATCH(B271,'Kitting Plan'!$C$5:$C$18,0)),"Unknown code"))</f>
        <v>R5B ERBIUM SPOOL ASSEMBLY - E2A</v>
      </c>
      <c r="D271" s="54" t="str">
        <f aca="false">IF(B271="","",IFERROR(INDEX('Kitting Plan'!$B$5:$B$18,MATCH(B271,'Kitting Plan'!$C$5:$C$18,0)),""))</f>
        <v>ERBIUM ASSY</v>
      </c>
      <c r="E271" s="45"/>
      <c r="F271" s="55" t="n">
        <f aca="false">IF(B271="","",IFERROR(INDEX('Kitting Plan'!$H$5:$H$18,MATCH(B271,'Kitting Plan'!$C$5:$C$18,0)),""))</f>
        <v>24</v>
      </c>
      <c r="G271" s="45" t="n">
        <v>1</v>
      </c>
      <c r="H271" s="56" t="n">
        <f aca="false">IF(B271="","",IF(G271="",F271,G271))</f>
        <v>1</v>
      </c>
      <c r="I271" s="45" t="s">
        <v>27</v>
      </c>
      <c r="J271" s="57" t="n">
        <v>46293</v>
      </c>
      <c r="K271" s="46" t="s">
        <v>105</v>
      </c>
      <c r="L271" s="54" t="str">
        <f aca="false">IF(A271="","",IF(B271="","Missing code",IF(C271="Unknown code","Unknown code",IF(COUNTIF($A$6:$A$1005,A271)&gt;1,"Duplicate WO",""))))</f>
        <v/>
      </c>
    </row>
    <row r="272" customFormat="false" ht="23.85" hidden="false" customHeight="false" outlineLevel="0" collapsed="false">
      <c r="A272" s="53" t="n">
        <v>100879422</v>
      </c>
      <c r="B272" s="46" t="s">
        <v>63</v>
      </c>
      <c r="C272" s="54" t="str">
        <f aca="false">IF(B272="","",IFERROR(INDEX('Kitting Plan'!$D$5:$D$18,MATCH(B272,'Kitting Plan'!$C$5:$C$18,0)),"Unknown code"))</f>
        <v>R5B ERBIUM SPOOL ASSEMBLY - E2A</v>
      </c>
      <c r="D272" s="54" t="str">
        <f aca="false">IF(B272="","",IFERROR(INDEX('Kitting Plan'!$B$5:$B$18,MATCH(B272,'Kitting Plan'!$C$5:$C$18,0)),""))</f>
        <v>ERBIUM ASSY</v>
      </c>
      <c r="E272" s="45"/>
      <c r="F272" s="55" t="n">
        <f aca="false">IF(B272="","",IFERROR(INDEX('Kitting Plan'!$H$5:$H$18,MATCH(B272,'Kitting Plan'!$C$5:$C$18,0)),""))</f>
        <v>24</v>
      </c>
      <c r="G272" s="45" t="n">
        <v>1</v>
      </c>
      <c r="H272" s="56" t="n">
        <f aca="false">IF(B272="","",IF(G272="",F272,G272))</f>
        <v>1</v>
      </c>
      <c r="I272" s="45" t="s">
        <v>27</v>
      </c>
      <c r="J272" s="57" t="n">
        <v>46293</v>
      </c>
      <c r="K272" s="46" t="s">
        <v>105</v>
      </c>
      <c r="L272" s="54" t="str">
        <f aca="false">IF(A272="","",IF(B272="","Missing code",IF(C272="Unknown code","Unknown code",IF(COUNTIF($A$6:$A$1005,A272)&gt;1,"Duplicate WO",""))))</f>
        <v/>
      </c>
    </row>
    <row r="273" customFormat="false" ht="23.85" hidden="false" customHeight="false" outlineLevel="0" collapsed="false">
      <c r="A273" s="53" t="n">
        <v>100879423</v>
      </c>
      <c r="B273" s="46" t="s">
        <v>63</v>
      </c>
      <c r="C273" s="54" t="str">
        <f aca="false">IF(B273="","",IFERROR(INDEX('Kitting Plan'!$D$5:$D$18,MATCH(B273,'Kitting Plan'!$C$5:$C$18,0)),"Unknown code"))</f>
        <v>R5B ERBIUM SPOOL ASSEMBLY - E2A</v>
      </c>
      <c r="D273" s="54" t="str">
        <f aca="false">IF(B273="","",IFERROR(INDEX('Kitting Plan'!$B$5:$B$18,MATCH(B273,'Kitting Plan'!$C$5:$C$18,0)),""))</f>
        <v>ERBIUM ASSY</v>
      </c>
      <c r="E273" s="45"/>
      <c r="F273" s="55" t="n">
        <f aca="false">IF(B273="","",IFERROR(INDEX('Kitting Plan'!$H$5:$H$18,MATCH(B273,'Kitting Plan'!$C$5:$C$18,0)),""))</f>
        <v>24</v>
      </c>
      <c r="G273" s="45" t="n">
        <v>1</v>
      </c>
      <c r="H273" s="56" t="n">
        <f aca="false">IF(B273="","",IF(G273="",F273,G273))</f>
        <v>1</v>
      </c>
      <c r="I273" s="45" t="s">
        <v>27</v>
      </c>
      <c r="J273" s="57" t="n">
        <v>46293</v>
      </c>
      <c r="K273" s="46" t="s">
        <v>105</v>
      </c>
      <c r="L273" s="54" t="str">
        <f aca="false">IF(A273="","",IF(B273="","Missing code",IF(C273="Unknown code","Unknown code",IF(COUNTIF($A$6:$A$1005,A273)&gt;1,"Duplicate WO",""))))</f>
        <v/>
      </c>
    </row>
    <row r="274" customFormat="false" ht="23.85" hidden="false" customHeight="false" outlineLevel="0" collapsed="false">
      <c r="A274" s="53" t="n">
        <v>100879424</v>
      </c>
      <c r="B274" s="46" t="s">
        <v>63</v>
      </c>
      <c r="C274" s="54" t="str">
        <f aca="false">IF(B274="","",IFERROR(INDEX('Kitting Plan'!$D$5:$D$18,MATCH(B274,'Kitting Plan'!$C$5:$C$18,0)),"Unknown code"))</f>
        <v>R5B ERBIUM SPOOL ASSEMBLY - E2A</v>
      </c>
      <c r="D274" s="54" t="str">
        <f aca="false">IF(B274="","",IFERROR(INDEX('Kitting Plan'!$B$5:$B$18,MATCH(B274,'Kitting Plan'!$C$5:$C$18,0)),""))</f>
        <v>ERBIUM ASSY</v>
      </c>
      <c r="E274" s="45"/>
      <c r="F274" s="55" t="n">
        <f aca="false">IF(B274="","",IFERROR(INDEX('Kitting Plan'!$H$5:$H$18,MATCH(B274,'Kitting Plan'!$C$5:$C$18,0)),""))</f>
        <v>24</v>
      </c>
      <c r="G274" s="45" t="n">
        <v>1</v>
      </c>
      <c r="H274" s="56" t="n">
        <f aca="false">IF(B274="","",IF(G274="",F274,G274))</f>
        <v>1</v>
      </c>
      <c r="I274" s="45" t="s">
        <v>27</v>
      </c>
      <c r="J274" s="57" t="n">
        <v>46293</v>
      </c>
      <c r="K274" s="46" t="s">
        <v>105</v>
      </c>
      <c r="L274" s="54" t="str">
        <f aca="false">IF(A274="","",IF(B274="","Missing code",IF(C274="Unknown code","Unknown code",IF(COUNTIF($A$6:$A$1005,A274)&gt;1,"Duplicate WO",""))))</f>
        <v/>
      </c>
    </row>
    <row r="275" customFormat="false" ht="23.85" hidden="false" customHeight="false" outlineLevel="0" collapsed="false">
      <c r="A275" s="53" t="n">
        <v>100879425</v>
      </c>
      <c r="B275" s="46" t="s">
        <v>63</v>
      </c>
      <c r="C275" s="54" t="str">
        <f aca="false">IF(B275="","",IFERROR(INDEX('Kitting Plan'!$D$5:$D$18,MATCH(B275,'Kitting Plan'!$C$5:$C$18,0)),"Unknown code"))</f>
        <v>R5B ERBIUM SPOOL ASSEMBLY - E2A</v>
      </c>
      <c r="D275" s="54" t="str">
        <f aca="false">IF(B275="","",IFERROR(INDEX('Kitting Plan'!$B$5:$B$18,MATCH(B275,'Kitting Plan'!$C$5:$C$18,0)),""))</f>
        <v>ERBIUM ASSY</v>
      </c>
      <c r="E275" s="45"/>
      <c r="F275" s="55" t="n">
        <f aca="false">IF(B275="","",IFERROR(INDEX('Kitting Plan'!$H$5:$H$18,MATCH(B275,'Kitting Plan'!$C$5:$C$18,0)),""))</f>
        <v>24</v>
      </c>
      <c r="G275" s="45" t="n">
        <v>1</v>
      </c>
      <c r="H275" s="56" t="n">
        <f aca="false">IF(B275="","",IF(G275="",F275,G275))</f>
        <v>1</v>
      </c>
      <c r="I275" s="45" t="s">
        <v>27</v>
      </c>
      <c r="J275" s="57" t="n">
        <v>46293</v>
      </c>
      <c r="K275" s="46" t="s">
        <v>105</v>
      </c>
      <c r="L275" s="54" t="str">
        <f aca="false">IF(A275="","",IF(B275="","Missing code",IF(C275="Unknown code","Unknown code",IF(COUNTIF($A$6:$A$1005,A275)&gt;1,"Duplicate WO",""))))</f>
        <v/>
      </c>
    </row>
    <row r="276" customFormat="false" ht="23.85" hidden="false" customHeight="false" outlineLevel="0" collapsed="false">
      <c r="A276" s="53" t="n">
        <v>100879426</v>
      </c>
      <c r="B276" s="46" t="s">
        <v>63</v>
      </c>
      <c r="C276" s="54" t="str">
        <f aca="false">IF(B276="","",IFERROR(INDEX('Kitting Plan'!$D$5:$D$18,MATCH(B276,'Kitting Plan'!$C$5:$C$18,0)),"Unknown code"))</f>
        <v>R5B ERBIUM SPOOL ASSEMBLY - E2A</v>
      </c>
      <c r="D276" s="54" t="str">
        <f aca="false">IF(B276="","",IFERROR(INDEX('Kitting Plan'!$B$5:$B$18,MATCH(B276,'Kitting Plan'!$C$5:$C$18,0)),""))</f>
        <v>ERBIUM ASSY</v>
      </c>
      <c r="E276" s="45"/>
      <c r="F276" s="55" t="n">
        <f aca="false">IF(B276="","",IFERROR(INDEX('Kitting Plan'!$H$5:$H$18,MATCH(B276,'Kitting Plan'!$C$5:$C$18,0)),""))</f>
        <v>24</v>
      </c>
      <c r="G276" s="45" t="n">
        <v>1</v>
      </c>
      <c r="H276" s="56" t="n">
        <f aca="false">IF(B276="","",IF(G276="",F276,G276))</f>
        <v>1</v>
      </c>
      <c r="I276" s="45" t="s">
        <v>27</v>
      </c>
      <c r="J276" s="57" t="n">
        <v>46293</v>
      </c>
      <c r="K276" s="46" t="s">
        <v>105</v>
      </c>
      <c r="L276" s="54" t="str">
        <f aca="false">IF(A276="","",IF(B276="","Missing code",IF(C276="Unknown code","Unknown code",IF(COUNTIF($A$6:$A$1005,A276)&gt;1,"Duplicate WO",""))))</f>
        <v/>
      </c>
    </row>
    <row r="277" customFormat="false" ht="23.85" hidden="false" customHeight="false" outlineLevel="0" collapsed="false">
      <c r="A277" s="53" t="n">
        <v>100879427</v>
      </c>
      <c r="B277" s="46" t="s">
        <v>63</v>
      </c>
      <c r="C277" s="54" t="str">
        <f aca="false">IF(B277="","",IFERROR(INDEX('Kitting Plan'!$D$5:$D$18,MATCH(B277,'Kitting Plan'!$C$5:$C$18,0)),"Unknown code"))</f>
        <v>R5B ERBIUM SPOOL ASSEMBLY - E2A</v>
      </c>
      <c r="D277" s="54" t="str">
        <f aca="false">IF(B277="","",IFERROR(INDEX('Kitting Plan'!$B$5:$B$18,MATCH(B277,'Kitting Plan'!$C$5:$C$18,0)),""))</f>
        <v>ERBIUM ASSY</v>
      </c>
      <c r="E277" s="45"/>
      <c r="F277" s="55" t="n">
        <f aca="false">IF(B277="","",IFERROR(INDEX('Kitting Plan'!$H$5:$H$18,MATCH(B277,'Kitting Plan'!$C$5:$C$18,0)),""))</f>
        <v>24</v>
      </c>
      <c r="G277" s="45" t="n">
        <v>1</v>
      </c>
      <c r="H277" s="56" t="n">
        <f aca="false">IF(B277="","",IF(G277="",F277,G277))</f>
        <v>1</v>
      </c>
      <c r="I277" s="45" t="s">
        <v>27</v>
      </c>
      <c r="J277" s="57" t="n">
        <v>46293</v>
      </c>
      <c r="K277" s="46" t="s">
        <v>105</v>
      </c>
      <c r="L277" s="54" t="str">
        <f aca="false">IF(A277="","",IF(B277="","Missing code",IF(C277="Unknown code","Unknown code",IF(COUNTIF($A$6:$A$1005,A277)&gt;1,"Duplicate WO",""))))</f>
        <v/>
      </c>
    </row>
    <row r="278" customFormat="false" ht="23.85" hidden="false" customHeight="false" outlineLevel="0" collapsed="false">
      <c r="A278" s="53" t="n">
        <v>100879428</v>
      </c>
      <c r="B278" s="46" t="s">
        <v>63</v>
      </c>
      <c r="C278" s="54" t="str">
        <f aca="false">IF(B278="","",IFERROR(INDEX('Kitting Plan'!$D$5:$D$18,MATCH(B278,'Kitting Plan'!$C$5:$C$18,0)),"Unknown code"))</f>
        <v>R5B ERBIUM SPOOL ASSEMBLY - E2A</v>
      </c>
      <c r="D278" s="54" t="str">
        <f aca="false">IF(B278="","",IFERROR(INDEX('Kitting Plan'!$B$5:$B$18,MATCH(B278,'Kitting Plan'!$C$5:$C$18,0)),""))</f>
        <v>ERBIUM ASSY</v>
      </c>
      <c r="E278" s="45"/>
      <c r="F278" s="55" t="n">
        <f aca="false">IF(B278="","",IFERROR(INDEX('Kitting Plan'!$H$5:$H$18,MATCH(B278,'Kitting Plan'!$C$5:$C$18,0)),""))</f>
        <v>24</v>
      </c>
      <c r="G278" s="45" t="n">
        <v>1</v>
      </c>
      <c r="H278" s="56" t="n">
        <f aca="false">IF(B278="","",IF(G278="",F278,G278))</f>
        <v>1</v>
      </c>
      <c r="I278" s="45" t="s">
        <v>27</v>
      </c>
      <c r="J278" s="57" t="n">
        <v>46293</v>
      </c>
      <c r="K278" s="46" t="s">
        <v>105</v>
      </c>
      <c r="L278" s="54" t="str">
        <f aca="false">IF(A278="","",IF(B278="","Missing code",IF(C278="Unknown code","Unknown code",IF(COUNTIF($A$6:$A$1005,A278)&gt;1,"Duplicate WO",""))))</f>
        <v/>
      </c>
    </row>
    <row r="279" customFormat="false" ht="23.85" hidden="false" customHeight="false" outlineLevel="0" collapsed="false">
      <c r="A279" s="53" t="n">
        <v>100879429</v>
      </c>
      <c r="B279" s="46" t="s">
        <v>63</v>
      </c>
      <c r="C279" s="54" t="str">
        <f aca="false">IF(B279="","",IFERROR(INDEX('Kitting Plan'!$D$5:$D$18,MATCH(B279,'Kitting Plan'!$C$5:$C$18,0)),"Unknown code"))</f>
        <v>R5B ERBIUM SPOOL ASSEMBLY - E2A</v>
      </c>
      <c r="D279" s="54" t="str">
        <f aca="false">IF(B279="","",IFERROR(INDEX('Kitting Plan'!$B$5:$B$18,MATCH(B279,'Kitting Plan'!$C$5:$C$18,0)),""))</f>
        <v>ERBIUM ASSY</v>
      </c>
      <c r="E279" s="45"/>
      <c r="F279" s="55" t="n">
        <f aca="false">IF(B279="","",IFERROR(INDEX('Kitting Plan'!$H$5:$H$18,MATCH(B279,'Kitting Plan'!$C$5:$C$18,0)),""))</f>
        <v>24</v>
      </c>
      <c r="G279" s="45" t="n">
        <v>1</v>
      </c>
      <c r="H279" s="56" t="n">
        <f aca="false">IF(B279="","",IF(G279="",F279,G279))</f>
        <v>1</v>
      </c>
      <c r="I279" s="45" t="s">
        <v>27</v>
      </c>
      <c r="J279" s="57" t="n">
        <v>46293</v>
      </c>
      <c r="K279" s="46" t="s">
        <v>105</v>
      </c>
      <c r="L279" s="54" t="str">
        <f aca="false">IF(A279="","",IF(B279="","Missing code",IF(C279="Unknown code","Unknown code",IF(COUNTIF($A$6:$A$1005,A279)&gt;1,"Duplicate WO",""))))</f>
        <v/>
      </c>
    </row>
    <row r="280" customFormat="false" ht="23.85" hidden="false" customHeight="false" outlineLevel="0" collapsed="false">
      <c r="A280" s="53" t="n">
        <v>100879430</v>
      </c>
      <c r="B280" s="46" t="s">
        <v>63</v>
      </c>
      <c r="C280" s="54" t="str">
        <f aca="false">IF(B280="","",IFERROR(INDEX('Kitting Plan'!$D$5:$D$18,MATCH(B280,'Kitting Plan'!$C$5:$C$18,0)),"Unknown code"))</f>
        <v>R5B ERBIUM SPOOL ASSEMBLY - E2A</v>
      </c>
      <c r="D280" s="54" t="str">
        <f aca="false">IF(B280="","",IFERROR(INDEX('Kitting Plan'!$B$5:$B$18,MATCH(B280,'Kitting Plan'!$C$5:$C$18,0)),""))</f>
        <v>ERBIUM ASSY</v>
      </c>
      <c r="E280" s="45"/>
      <c r="F280" s="55" t="n">
        <f aca="false">IF(B280="","",IFERROR(INDEX('Kitting Plan'!$H$5:$H$18,MATCH(B280,'Kitting Plan'!$C$5:$C$18,0)),""))</f>
        <v>24</v>
      </c>
      <c r="G280" s="45" t="n">
        <v>1</v>
      </c>
      <c r="H280" s="56" t="n">
        <f aca="false">IF(B280="","",IF(G280="",F280,G280))</f>
        <v>1</v>
      </c>
      <c r="I280" s="45" t="s">
        <v>27</v>
      </c>
      <c r="J280" s="57" t="n">
        <v>46293</v>
      </c>
      <c r="K280" s="46" t="s">
        <v>105</v>
      </c>
      <c r="L280" s="54" t="str">
        <f aca="false">IF(A280="","",IF(B280="","Missing code",IF(C280="Unknown code","Unknown code",IF(COUNTIF($A$6:$A$1005,A280)&gt;1,"Duplicate WO",""))))</f>
        <v/>
      </c>
    </row>
    <row r="281" customFormat="false" ht="23.85" hidden="false" customHeight="false" outlineLevel="0" collapsed="false">
      <c r="A281" s="53" t="n">
        <v>100879431</v>
      </c>
      <c r="B281" s="46" t="s">
        <v>63</v>
      </c>
      <c r="C281" s="54" t="str">
        <f aca="false">IF(B281="","",IFERROR(INDEX('Kitting Plan'!$D$5:$D$18,MATCH(B281,'Kitting Plan'!$C$5:$C$18,0)),"Unknown code"))</f>
        <v>R5B ERBIUM SPOOL ASSEMBLY - E2A</v>
      </c>
      <c r="D281" s="54" t="str">
        <f aca="false">IF(B281="","",IFERROR(INDEX('Kitting Plan'!$B$5:$B$18,MATCH(B281,'Kitting Plan'!$C$5:$C$18,0)),""))</f>
        <v>ERBIUM ASSY</v>
      </c>
      <c r="E281" s="45"/>
      <c r="F281" s="55" t="n">
        <f aca="false">IF(B281="","",IFERROR(INDEX('Kitting Plan'!$H$5:$H$18,MATCH(B281,'Kitting Plan'!$C$5:$C$18,0)),""))</f>
        <v>24</v>
      </c>
      <c r="G281" s="45" t="n">
        <v>1</v>
      </c>
      <c r="H281" s="56" t="n">
        <f aca="false">IF(B281="","",IF(G281="",F281,G281))</f>
        <v>1</v>
      </c>
      <c r="I281" s="45" t="s">
        <v>27</v>
      </c>
      <c r="J281" s="57" t="n">
        <v>46293</v>
      </c>
      <c r="K281" s="46" t="s">
        <v>105</v>
      </c>
      <c r="L281" s="54" t="str">
        <f aca="false">IF(A281="","",IF(B281="","Missing code",IF(C281="Unknown code","Unknown code",IF(COUNTIF($A$6:$A$1005,A281)&gt;1,"Duplicate WO",""))))</f>
        <v/>
      </c>
    </row>
    <row r="282" customFormat="false" ht="23.85" hidden="false" customHeight="false" outlineLevel="0" collapsed="false">
      <c r="A282" s="53" t="n">
        <v>100879432</v>
      </c>
      <c r="B282" s="46" t="s">
        <v>63</v>
      </c>
      <c r="C282" s="54" t="str">
        <f aca="false">IF(B282="","",IFERROR(INDEX('Kitting Plan'!$D$5:$D$18,MATCH(B282,'Kitting Plan'!$C$5:$C$18,0)),"Unknown code"))</f>
        <v>R5B ERBIUM SPOOL ASSEMBLY - E2A</v>
      </c>
      <c r="D282" s="54" t="str">
        <f aca="false">IF(B282="","",IFERROR(INDEX('Kitting Plan'!$B$5:$B$18,MATCH(B282,'Kitting Plan'!$C$5:$C$18,0)),""))</f>
        <v>ERBIUM ASSY</v>
      </c>
      <c r="E282" s="45"/>
      <c r="F282" s="55" t="n">
        <f aca="false">IF(B282="","",IFERROR(INDEX('Kitting Plan'!$H$5:$H$18,MATCH(B282,'Kitting Plan'!$C$5:$C$18,0)),""))</f>
        <v>24</v>
      </c>
      <c r="G282" s="45" t="n">
        <v>1</v>
      </c>
      <c r="H282" s="56" t="n">
        <f aca="false">IF(B282="","",IF(G282="",F282,G282))</f>
        <v>1</v>
      </c>
      <c r="I282" s="45" t="s">
        <v>27</v>
      </c>
      <c r="J282" s="57" t="n">
        <v>46293</v>
      </c>
      <c r="K282" s="46" t="s">
        <v>105</v>
      </c>
      <c r="L282" s="54" t="str">
        <f aca="false">IF(A282="","",IF(B282="","Missing code",IF(C282="Unknown code","Unknown code",IF(COUNTIF($A$6:$A$1005,A282)&gt;1,"Duplicate WO",""))))</f>
        <v/>
      </c>
    </row>
    <row r="283" customFormat="false" ht="15" hidden="false" customHeight="false" outlineLevel="0" collapsed="false">
      <c r="A283" s="53" t="n">
        <v>100879981</v>
      </c>
      <c r="B283" s="46" t="s">
        <v>63</v>
      </c>
      <c r="C283" s="54" t="str">
        <f aca="false">IF(B283="","",IFERROR(INDEX('Kitting Plan'!$D$5:$D$18,MATCH(B283,'Kitting Plan'!$C$5:$C$18,0)),"Unknown code"))</f>
        <v>R5B ERBIUM SPOOL ASSEMBLY - E2A</v>
      </c>
      <c r="D283" s="54" t="str">
        <f aca="false">IF(B283="","",IFERROR(INDEX('Kitting Plan'!$B$5:$B$18,MATCH(B283,'Kitting Plan'!$C$5:$C$18,0)),""))</f>
        <v>ERBIUM ASSY</v>
      </c>
      <c r="E283" s="45"/>
      <c r="F283" s="55" t="n">
        <f aca="false">IF(B283="","",IFERROR(INDEX('Kitting Plan'!$H$5:$H$18,MATCH(B283,'Kitting Plan'!$C$5:$C$18,0)),""))</f>
        <v>24</v>
      </c>
      <c r="G283" s="45" t="n">
        <v>1</v>
      </c>
      <c r="H283" s="56" t="n">
        <f aca="false">IF(B283="","",IF(G283="",F283,G283))</f>
        <v>1</v>
      </c>
      <c r="I283" s="45" t="s">
        <v>27</v>
      </c>
      <c r="J283" s="57" t="n">
        <v>46296</v>
      </c>
      <c r="K283" s="46" t="s">
        <v>107</v>
      </c>
      <c r="L283" s="54" t="str">
        <f aca="false">IF(A283="","",IF(B283="","Missing code",IF(C283="Unknown code","Unknown code",IF(COUNTIF($A$6:$A$1005,A283)&gt;1,"Duplicate WO",""))))</f>
        <v/>
      </c>
    </row>
    <row r="284" customFormat="false" ht="15" hidden="false" customHeight="false" outlineLevel="0" collapsed="false">
      <c r="A284" s="53" t="n">
        <v>100879982</v>
      </c>
      <c r="B284" s="46" t="s">
        <v>63</v>
      </c>
      <c r="C284" s="54" t="str">
        <f aca="false">IF(B284="","",IFERROR(INDEX('Kitting Plan'!$D$5:$D$18,MATCH(B284,'Kitting Plan'!$C$5:$C$18,0)),"Unknown code"))</f>
        <v>R5B ERBIUM SPOOL ASSEMBLY - E2A</v>
      </c>
      <c r="D284" s="54" t="str">
        <f aca="false">IF(B284="","",IFERROR(INDEX('Kitting Plan'!$B$5:$B$18,MATCH(B284,'Kitting Plan'!$C$5:$C$18,0)),""))</f>
        <v>ERBIUM ASSY</v>
      </c>
      <c r="E284" s="45"/>
      <c r="F284" s="55" t="n">
        <f aca="false">IF(B284="","",IFERROR(INDEX('Kitting Plan'!$H$5:$H$18,MATCH(B284,'Kitting Plan'!$C$5:$C$18,0)),""))</f>
        <v>24</v>
      </c>
      <c r="G284" s="45" t="n">
        <v>1</v>
      </c>
      <c r="H284" s="56" t="n">
        <f aca="false">IF(B284="","",IF(G284="",F284,G284))</f>
        <v>1</v>
      </c>
      <c r="I284" s="45" t="s">
        <v>27</v>
      </c>
      <c r="J284" s="57" t="n">
        <v>46296</v>
      </c>
      <c r="K284" s="46" t="s">
        <v>107</v>
      </c>
      <c r="L284" s="54" t="str">
        <f aca="false">IF(A284="","",IF(B284="","Missing code",IF(C284="Unknown code","Unknown code",IF(COUNTIF($A$6:$A$1005,A284)&gt;1,"Duplicate WO",""))))</f>
        <v/>
      </c>
    </row>
    <row r="285" customFormat="false" ht="15" hidden="false" customHeight="false" outlineLevel="0" collapsed="false">
      <c r="A285" s="53" t="n">
        <v>100879983</v>
      </c>
      <c r="B285" s="46" t="s">
        <v>63</v>
      </c>
      <c r="C285" s="54" t="str">
        <f aca="false">IF(B285="","",IFERROR(INDEX('Kitting Plan'!$D$5:$D$18,MATCH(B285,'Kitting Plan'!$C$5:$C$18,0)),"Unknown code"))</f>
        <v>R5B ERBIUM SPOOL ASSEMBLY - E2A</v>
      </c>
      <c r="D285" s="54" t="str">
        <f aca="false">IF(B285="","",IFERROR(INDEX('Kitting Plan'!$B$5:$B$18,MATCH(B285,'Kitting Plan'!$C$5:$C$18,0)),""))</f>
        <v>ERBIUM ASSY</v>
      </c>
      <c r="E285" s="45"/>
      <c r="F285" s="55" t="n">
        <f aca="false">IF(B285="","",IFERROR(INDEX('Kitting Plan'!$H$5:$H$18,MATCH(B285,'Kitting Plan'!$C$5:$C$18,0)),""))</f>
        <v>24</v>
      </c>
      <c r="G285" s="45" t="n">
        <v>1</v>
      </c>
      <c r="H285" s="56" t="n">
        <f aca="false">IF(B285="","",IF(G285="",F285,G285))</f>
        <v>1</v>
      </c>
      <c r="I285" s="45" t="s">
        <v>27</v>
      </c>
      <c r="J285" s="57" t="n">
        <v>46296</v>
      </c>
      <c r="K285" s="46" t="s">
        <v>107</v>
      </c>
      <c r="L285" s="54" t="str">
        <f aca="false">IF(A285="","",IF(B285="","Missing code",IF(C285="Unknown code","Unknown code",IF(COUNTIF($A$6:$A$1005,A285)&gt;1,"Duplicate WO",""))))</f>
        <v/>
      </c>
    </row>
    <row r="286" customFormat="false" ht="15" hidden="false" customHeight="false" outlineLevel="0" collapsed="false">
      <c r="A286" s="53" t="n">
        <v>100879984</v>
      </c>
      <c r="B286" s="46" t="s">
        <v>63</v>
      </c>
      <c r="C286" s="54" t="str">
        <f aca="false">IF(B286="","",IFERROR(INDEX('Kitting Plan'!$D$5:$D$18,MATCH(B286,'Kitting Plan'!$C$5:$C$18,0)),"Unknown code"))</f>
        <v>R5B ERBIUM SPOOL ASSEMBLY - E2A</v>
      </c>
      <c r="D286" s="54" t="str">
        <f aca="false">IF(B286="","",IFERROR(INDEX('Kitting Plan'!$B$5:$B$18,MATCH(B286,'Kitting Plan'!$C$5:$C$18,0)),""))</f>
        <v>ERBIUM ASSY</v>
      </c>
      <c r="E286" s="45"/>
      <c r="F286" s="55" t="n">
        <f aca="false">IF(B286="","",IFERROR(INDEX('Kitting Plan'!$H$5:$H$18,MATCH(B286,'Kitting Plan'!$C$5:$C$18,0)),""))</f>
        <v>24</v>
      </c>
      <c r="G286" s="45" t="n">
        <v>1</v>
      </c>
      <c r="H286" s="56" t="n">
        <f aca="false">IF(B286="","",IF(G286="",F286,G286))</f>
        <v>1</v>
      </c>
      <c r="I286" s="45" t="s">
        <v>27</v>
      </c>
      <c r="J286" s="57" t="n">
        <v>46296</v>
      </c>
      <c r="K286" s="46" t="s">
        <v>107</v>
      </c>
      <c r="L286" s="54" t="str">
        <f aca="false">IF(A286="","",IF(B286="","Missing code",IF(C286="Unknown code","Unknown code",IF(COUNTIF($A$6:$A$1005,A286)&gt;1,"Duplicate WO",""))))</f>
        <v/>
      </c>
    </row>
    <row r="287" customFormat="false" ht="15" hidden="false" customHeight="false" outlineLevel="0" collapsed="false">
      <c r="A287" s="53" t="n">
        <v>100879985</v>
      </c>
      <c r="B287" s="46" t="s">
        <v>63</v>
      </c>
      <c r="C287" s="54" t="str">
        <f aca="false">IF(B287="","",IFERROR(INDEX('Kitting Plan'!$D$5:$D$18,MATCH(B287,'Kitting Plan'!$C$5:$C$18,0)),"Unknown code"))</f>
        <v>R5B ERBIUM SPOOL ASSEMBLY - E2A</v>
      </c>
      <c r="D287" s="54" t="str">
        <f aca="false">IF(B287="","",IFERROR(INDEX('Kitting Plan'!$B$5:$B$18,MATCH(B287,'Kitting Plan'!$C$5:$C$18,0)),""))</f>
        <v>ERBIUM ASSY</v>
      </c>
      <c r="E287" s="45"/>
      <c r="F287" s="55" t="n">
        <f aca="false">IF(B287="","",IFERROR(INDEX('Kitting Plan'!$H$5:$H$18,MATCH(B287,'Kitting Plan'!$C$5:$C$18,0)),""))</f>
        <v>24</v>
      </c>
      <c r="G287" s="45" t="n">
        <v>1</v>
      </c>
      <c r="H287" s="56" t="n">
        <f aca="false">IF(B287="","",IF(G287="",F287,G287))</f>
        <v>1</v>
      </c>
      <c r="I287" s="45" t="s">
        <v>27</v>
      </c>
      <c r="J287" s="57" t="n">
        <v>46296</v>
      </c>
      <c r="K287" s="46" t="s">
        <v>107</v>
      </c>
      <c r="L287" s="54" t="str">
        <f aca="false">IF(A287="","",IF(B287="","Missing code",IF(C287="Unknown code","Unknown code",IF(COUNTIF($A$6:$A$1005,A287)&gt;1,"Duplicate WO",""))))</f>
        <v/>
      </c>
    </row>
    <row r="288" customFormat="false" ht="15" hidden="false" customHeight="false" outlineLevel="0" collapsed="false">
      <c r="A288" s="53" t="n">
        <v>100879986</v>
      </c>
      <c r="B288" s="46" t="s">
        <v>63</v>
      </c>
      <c r="C288" s="54" t="str">
        <f aca="false">IF(B288="","",IFERROR(INDEX('Kitting Plan'!$D$5:$D$18,MATCH(B288,'Kitting Plan'!$C$5:$C$18,0)),"Unknown code"))</f>
        <v>R5B ERBIUM SPOOL ASSEMBLY - E2A</v>
      </c>
      <c r="D288" s="54" t="str">
        <f aca="false">IF(B288="","",IFERROR(INDEX('Kitting Plan'!$B$5:$B$18,MATCH(B288,'Kitting Plan'!$C$5:$C$18,0)),""))</f>
        <v>ERBIUM ASSY</v>
      </c>
      <c r="E288" s="45"/>
      <c r="F288" s="55" t="n">
        <f aca="false">IF(B288="","",IFERROR(INDEX('Kitting Plan'!$H$5:$H$18,MATCH(B288,'Kitting Plan'!$C$5:$C$18,0)),""))</f>
        <v>24</v>
      </c>
      <c r="G288" s="45" t="n">
        <v>1</v>
      </c>
      <c r="H288" s="56" t="n">
        <f aca="false">IF(B288="","",IF(G288="",F288,G288))</f>
        <v>1</v>
      </c>
      <c r="I288" s="45" t="s">
        <v>27</v>
      </c>
      <c r="J288" s="57" t="n">
        <v>46296</v>
      </c>
      <c r="K288" s="46" t="s">
        <v>107</v>
      </c>
      <c r="L288" s="54" t="str">
        <f aca="false">IF(A288="","",IF(B288="","Missing code",IF(C288="Unknown code","Unknown code",IF(COUNTIF($A$6:$A$1005,A288)&gt;1,"Duplicate WO",""))))</f>
        <v/>
      </c>
    </row>
    <row r="289" customFormat="false" ht="15" hidden="false" customHeight="false" outlineLevel="0" collapsed="false">
      <c r="A289" s="53" t="n">
        <v>100879987</v>
      </c>
      <c r="B289" s="46" t="s">
        <v>63</v>
      </c>
      <c r="C289" s="54" t="str">
        <f aca="false">IF(B289="","",IFERROR(INDEX('Kitting Plan'!$D$5:$D$18,MATCH(B289,'Kitting Plan'!$C$5:$C$18,0)),"Unknown code"))</f>
        <v>R5B ERBIUM SPOOL ASSEMBLY - E2A</v>
      </c>
      <c r="D289" s="54" t="str">
        <f aca="false">IF(B289="","",IFERROR(INDEX('Kitting Plan'!$B$5:$B$18,MATCH(B289,'Kitting Plan'!$C$5:$C$18,0)),""))</f>
        <v>ERBIUM ASSY</v>
      </c>
      <c r="E289" s="45"/>
      <c r="F289" s="55" t="n">
        <f aca="false">IF(B289="","",IFERROR(INDEX('Kitting Plan'!$H$5:$H$18,MATCH(B289,'Kitting Plan'!$C$5:$C$18,0)),""))</f>
        <v>24</v>
      </c>
      <c r="G289" s="45" t="n">
        <v>1</v>
      </c>
      <c r="H289" s="56" t="n">
        <f aca="false">IF(B289="","",IF(G289="",F289,G289))</f>
        <v>1</v>
      </c>
      <c r="I289" s="45" t="s">
        <v>27</v>
      </c>
      <c r="J289" s="57" t="n">
        <v>46296</v>
      </c>
      <c r="K289" s="46" t="s">
        <v>107</v>
      </c>
      <c r="L289" s="54" t="str">
        <f aca="false">IF(A289="","",IF(B289="","Missing code",IF(C289="Unknown code","Unknown code",IF(COUNTIF($A$6:$A$1005,A289)&gt;1,"Duplicate WO",""))))</f>
        <v/>
      </c>
    </row>
    <row r="290" customFormat="false" ht="15" hidden="false" customHeight="false" outlineLevel="0" collapsed="false">
      <c r="A290" s="53" t="n">
        <v>100879988</v>
      </c>
      <c r="B290" s="46" t="s">
        <v>63</v>
      </c>
      <c r="C290" s="54" t="str">
        <f aca="false">IF(B290="","",IFERROR(INDEX('Kitting Plan'!$D$5:$D$18,MATCH(B290,'Kitting Plan'!$C$5:$C$18,0)),"Unknown code"))</f>
        <v>R5B ERBIUM SPOOL ASSEMBLY - E2A</v>
      </c>
      <c r="D290" s="54" t="str">
        <f aca="false">IF(B290="","",IFERROR(INDEX('Kitting Plan'!$B$5:$B$18,MATCH(B290,'Kitting Plan'!$C$5:$C$18,0)),""))</f>
        <v>ERBIUM ASSY</v>
      </c>
      <c r="E290" s="45"/>
      <c r="F290" s="55" t="n">
        <f aca="false">IF(B290="","",IFERROR(INDEX('Kitting Plan'!$H$5:$H$18,MATCH(B290,'Kitting Plan'!$C$5:$C$18,0)),""))</f>
        <v>24</v>
      </c>
      <c r="G290" s="45" t="n">
        <v>1</v>
      </c>
      <c r="H290" s="56" t="n">
        <f aca="false">IF(B290="","",IF(G290="",F290,G290))</f>
        <v>1</v>
      </c>
      <c r="I290" s="45" t="s">
        <v>27</v>
      </c>
      <c r="J290" s="57" t="n">
        <v>46296</v>
      </c>
      <c r="K290" s="46" t="s">
        <v>107</v>
      </c>
      <c r="L290" s="54" t="str">
        <f aca="false">IF(A290="","",IF(B290="","Missing code",IF(C290="Unknown code","Unknown code",IF(COUNTIF($A$6:$A$1005,A290)&gt;1,"Duplicate WO",""))))</f>
        <v/>
      </c>
    </row>
    <row r="291" customFormat="false" ht="15" hidden="false" customHeight="false" outlineLevel="0" collapsed="false">
      <c r="A291" s="53" t="n">
        <v>100879989</v>
      </c>
      <c r="B291" s="46" t="s">
        <v>63</v>
      </c>
      <c r="C291" s="54" t="str">
        <f aca="false">IF(B291="","",IFERROR(INDEX('Kitting Plan'!$D$5:$D$18,MATCH(B291,'Kitting Plan'!$C$5:$C$18,0)),"Unknown code"))</f>
        <v>R5B ERBIUM SPOOL ASSEMBLY - E2A</v>
      </c>
      <c r="D291" s="54" t="str">
        <f aca="false">IF(B291="","",IFERROR(INDEX('Kitting Plan'!$B$5:$B$18,MATCH(B291,'Kitting Plan'!$C$5:$C$18,0)),""))</f>
        <v>ERBIUM ASSY</v>
      </c>
      <c r="E291" s="45"/>
      <c r="F291" s="55" t="n">
        <f aca="false">IF(B291="","",IFERROR(INDEX('Kitting Plan'!$H$5:$H$18,MATCH(B291,'Kitting Plan'!$C$5:$C$18,0)),""))</f>
        <v>24</v>
      </c>
      <c r="G291" s="45" t="n">
        <v>1</v>
      </c>
      <c r="H291" s="56" t="n">
        <f aca="false">IF(B291="","",IF(G291="",F291,G291))</f>
        <v>1</v>
      </c>
      <c r="I291" s="45" t="s">
        <v>27</v>
      </c>
      <c r="J291" s="57" t="n">
        <v>46296</v>
      </c>
      <c r="K291" s="46" t="s">
        <v>107</v>
      </c>
      <c r="L291" s="54" t="str">
        <f aca="false">IF(A291="","",IF(B291="","Missing code",IF(C291="Unknown code","Unknown code",IF(COUNTIF($A$6:$A$1005,A291)&gt;1,"Duplicate WO",""))))</f>
        <v/>
      </c>
    </row>
    <row r="292" customFormat="false" ht="15" hidden="false" customHeight="false" outlineLevel="0" collapsed="false">
      <c r="A292" s="53" t="n">
        <v>100879990</v>
      </c>
      <c r="B292" s="46" t="s">
        <v>63</v>
      </c>
      <c r="C292" s="54" t="str">
        <f aca="false">IF(B292="","",IFERROR(INDEX('Kitting Plan'!$D$5:$D$18,MATCH(B292,'Kitting Plan'!$C$5:$C$18,0)),"Unknown code"))</f>
        <v>R5B ERBIUM SPOOL ASSEMBLY - E2A</v>
      </c>
      <c r="D292" s="54" t="str">
        <f aca="false">IF(B292="","",IFERROR(INDEX('Kitting Plan'!$B$5:$B$18,MATCH(B292,'Kitting Plan'!$C$5:$C$18,0)),""))</f>
        <v>ERBIUM ASSY</v>
      </c>
      <c r="E292" s="45"/>
      <c r="F292" s="55" t="n">
        <f aca="false">IF(B292="","",IFERROR(INDEX('Kitting Plan'!$H$5:$H$18,MATCH(B292,'Kitting Plan'!$C$5:$C$18,0)),""))</f>
        <v>24</v>
      </c>
      <c r="G292" s="45" t="n">
        <v>1</v>
      </c>
      <c r="H292" s="56" t="n">
        <f aca="false">IF(B292="","",IF(G292="",F292,G292))</f>
        <v>1</v>
      </c>
      <c r="I292" s="45" t="s">
        <v>27</v>
      </c>
      <c r="J292" s="57" t="n">
        <v>46296</v>
      </c>
      <c r="K292" s="46" t="s">
        <v>107</v>
      </c>
      <c r="L292" s="54" t="str">
        <f aca="false">IF(A292="","",IF(B292="","Missing code",IF(C292="Unknown code","Unknown code",IF(COUNTIF($A$6:$A$1005,A292)&gt;1,"Duplicate WO",""))))</f>
        <v/>
      </c>
    </row>
    <row r="293" customFormat="false" ht="15" hidden="false" customHeight="false" outlineLevel="0" collapsed="false">
      <c r="A293" s="53" t="n">
        <v>100879991</v>
      </c>
      <c r="B293" s="46" t="s">
        <v>63</v>
      </c>
      <c r="C293" s="54" t="str">
        <f aca="false">IF(B293="","",IFERROR(INDEX('Kitting Plan'!$D$5:$D$18,MATCH(B293,'Kitting Plan'!$C$5:$C$18,0)),"Unknown code"))</f>
        <v>R5B ERBIUM SPOOL ASSEMBLY - E2A</v>
      </c>
      <c r="D293" s="54" t="str">
        <f aca="false">IF(B293="","",IFERROR(INDEX('Kitting Plan'!$B$5:$B$18,MATCH(B293,'Kitting Plan'!$C$5:$C$18,0)),""))</f>
        <v>ERBIUM ASSY</v>
      </c>
      <c r="E293" s="45"/>
      <c r="F293" s="55" t="n">
        <f aca="false">IF(B293="","",IFERROR(INDEX('Kitting Plan'!$H$5:$H$18,MATCH(B293,'Kitting Plan'!$C$5:$C$18,0)),""))</f>
        <v>24</v>
      </c>
      <c r="G293" s="45" t="n">
        <v>1</v>
      </c>
      <c r="H293" s="56" t="n">
        <f aca="false">IF(B293="","",IF(G293="",F293,G293))</f>
        <v>1</v>
      </c>
      <c r="I293" s="45" t="s">
        <v>27</v>
      </c>
      <c r="J293" s="57" t="n">
        <v>46296</v>
      </c>
      <c r="K293" s="46" t="s">
        <v>107</v>
      </c>
      <c r="L293" s="54" t="str">
        <f aca="false">IF(A293="","",IF(B293="","Missing code",IF(C293="Unknown code","Unknown code",IF(COUNTIF($A$6:$A$1005,A293)&gt;1,"Duplicate WO",""))))</f>
        <v/>
      </c>
    </row>
    <row r="294" customFormat="false" ht="15" hidden="false" customHeight="false" outlineLevel="0" collapsed="false">
      <c r="A294" s="53" t="n">
        <v>100879992</v>
      </c>
      <c r="B294" s="46" t="s">
        <v>63</v>
      </c>
      <c r="C294" s="54" t="str">
        <f aca="false">IF(B294="","",IFERROR(INDEX('Kitting Plan'!$D$5:$D$18,MATCH(B294,'Kitting Plan'!$C$5:$C$18,0)),"Unknown code"))</f>
        <v>R5B ERBIUM SPOOL ASSEMBLY - E2A</v>
      </c>
      <c r="D294" s="54" t="str">
        <f aca="false">IF(B294="","",IFERROR(INDEX('Kitting Plan'!$B$5:$B$18,MATCH(B294,'Kitting Plan'!$C$5:$C$18,0)),""))</f>
        <v>ERBIUM ASSY</v>
      </c>
      <c r="E294" s="45"/>
      <c r="F294" s="55" t="n">
        <f aca="false">IF(B294="","",IFERROR(INDEX('Kitting Plan'!$H$5:$H$18,MATCH(B294,'Kitting Plan'!$C$5:$C$18,0)),""))</f>
        <v>24</v>
      </c>
      <c r="G294" s="45" t="n">
        <v>1</v>
      </c>
      <c r="H294" s="56" t="n">
        <f aca="false">IF(B294="","",IF(G294="",F294,G294))</f>
        <v>1</v>
      </c>
      <c r="I294" s="45" t="s">
        <v>27</v>
      </c>
      <c r="J294" s="57" t="n">
        <v>46296</v>
      </c>
      <c r="K294" s="46" t="s">
        <v>107</v>
      </c>
      <c r="L294" s="54" t="str">
        <f aca="false">IF(A294="","",IF(B294="","Missing code",IF(C294="Unknown code","Unknown code",IF(COUNTIF($A$6:$A$1005,A294)&gt;1,"Duplicate WO",""))))</f>
        <v/>
      </c>
    </row>
    <row r="295" customFormat="false" ht="15" hidden="false" customHeight="false" outlineLevel="0" collapsed="false">
      <c r="A295" s="53" t="n">
        <v>100879993</v>
      </c>
      <c r="B295" s="46" t="s">
        <v>63</v>
      </c>
      <c r="C295" s="54" t="str">
        <f aca="false">IF(B295="","",IFERROR(INDEX('Kitting Plan'!$D$5:$D$18,MATCH(B295,'Kitting Plan'!$C$5:$C$18,0)),"Unknown code"))</f>
        <v>R5B ERBIUM SPOOL ASSEMBLY - E2A</v>
      </c>
      <c r="D295" s="54" t="str">
        <f aca="false">IF(B295="","",IFERROR(INDEX('Kitting Plan'!$B$5:$B$18,MATCH(B295,'Kitting Plan'!$C$5:$C$18,0)),""))</f>
        <v>ERBIUM ASSY</v>
      </c>
      <c r="E295" s="45"/>
      <c r="F295" s="55" t="n">
        <f aca="false">IF(B295="","",IFERROR(INDEX('Kitting Plan'!$H$5:$H$18,MATCH(B295,'Kitting Plan'!$C$5:$C$18,0)),""))</f>
        <v>24</v>
      </c>
      <c r="G295" s="45" t="n">
        <v>1</v>
      </c>
      <c r="H295" s="56" t="n">
        <f aca="false">IF(B295="","",IF(G295="",F295,G295))</f>
        <v>1</v>
      </c>
      <c r="I295" s="45" t="s">
        <v>27</v>
      </c>
      <c r="J295" s="57" t="n">
        <v>46296</v>
      </c>
      <c r="K295" s="46" t="s">
        <v>107</v>
      </c>
      <c r="L295" s="54" t="str">
        <f aca="false">IF(A295="","",IF(B295="","Missing code",IF(C295="Unknown code","Unknown code",IF(COUNTIF($A$6:$A$1005,A295)&gt;1,"Duplicate WO",""))))</f>
        <v/>
      </c>
    </row>
    <row r="296" customFormat="false" ht="15" hidden="false" customHeight="false" outlineLevel="0" collapsed="false">
      <c r="A296" s="53" t="n">
        <v>100879994</v>
      </c>
      <c r="B296" s="46" t="s">
        <v>63</v>
      </c>
      <c r="C296" s="54" t="str">
        <f aca="false">IF(B296="","",IFERROR(INDEX('Kitting Plan'!$D$5:$D$18,MATCH(B296,'Kitting Plan'!$C$5:$C$18,0)),"Unknown code"))</f>
        <v>R5B ERBIUM SPOOL ASSEMBLY - E2A</v>
      </c>
      <c r="D296" s="54" t="str">
        <f aca="false">IF(B296="","",IFERROR(INDEX('Kitting Plan'!$B$5:$B$18,MATCH(B296,'Kitting Plan'!$C$5:$C$18,0)),""))</f>
        <v>ERBIUM ASSY</v>
      </c>
      <c r="E296" s="45"/>
      <c r="F296" s="55" t="n">
        <f aca="false">IF(B296="","",IFERROR(INDEX('Kitting Plan'!$H$5:$H$18,MATCH(B296,'Kitting Plan'!$C$5:$C$18,0)),""))</f>
        <v>24</v>
      </c>
      <c r="G296" s="45" t="n">
        <v>1</v>
      </c>
      <c r="H296" s="56" t="n">
        <f aca="false">IF(B296="","",IF(G296="",F296,G296))</f>
        <v>1</v>
      </c>
      <c r="I296" s="45" t="s">
        <v>27</v>
      </c>
      <c r="J296" s="57" t="n">
        <v>46296</v>
      </c>
      <c r="K296" s="46" t="s">
        <v>107</v>
      </c>
      <c r="L296" s="54" t="str">
        <f aca="false">IF(A296="","",IF(B296="","Missing code",IF(C296="Unknown code","Unknown code",IF(COUNTIF($A$6:$A$1005,A296)&gt;1,"Duplicate WO",""))))</f>
        <v/>
      </c>
    </row>
    <row r="297" customFormat="false" ht="15" hidden="false" customHeight="false" outlineLevel="0" collapsed="false">
      <c r="A297" s="53" t="n">
        <v>100879995</v>
      </c>
      <c r="B297" s="46" t="s">
        <v>63</v>
      </c>
      <c r="C297" s="54" t="str">
        <f aca="false">IF(B297="","",IFERROR(INDEX('Kitting Plan'!$D$5:$D$18,MATCH(B297,'Kitting Plan'!$C$5:$C$18,0)),"Unknown code"))</f>
        <v>R5B ERBIUM SPOOL ASSEMBLY - E2A</v>
      </c>
      <c r="D297" s="54" t="str">
        <f aca="false">IF(B297="","",IFERROR(INDEX('Kitting Plan'!$B$5:$B$18,MATCH(B297,'Kitting Plan'!$C$5:$C$18,0)),""))</f>
        <v>ERBIUM ASSY</v>
      </c>
      <c r="E297" s="45"/>
      <c r="F297" s="55" t="n">
        <f aca="false">IF(B297="","",IFERROR(INDEX('Kitting Plan'!$H$5:$H$18,MATCH(B297,'Kitting Plan'!$C$5:$C$18,0)),""))</f>
        <v>24</v>
      </c>
      <c r="G297" s="45" t="n">
        <v>1</v>
      </c>
      <c r="H297" s="56" t="n">
        <f aca="false">IF(B297="","",IF(G297="",F297,G297))</f>
        <v>1</v>
      </c>
      <c r="I297" s="45" t="s">
        <v>27</v>
      </c>
      <c r="J297" s="57" t="n">
        <v>46296</v>
      </c>
      <c r="K297" s="46" t="s">
        <v>107</v>
      </c>
      <c r="L297" s="54" t="str">
        <f aca="false">IF(A297="","",IF(B297="","Missing code",IF(C297="Unknown code","Unknown code",IF(COUNTIF($A$6:$A$1005,A297)&gt;1,"Duplicate WO",""))))</f>
        <v/>
      </c>
    </row>
    <row r="298" customFormat="false" ht="15" hidden="false" customHeight="false" outlineLevel="0" collapsed="false">
      <c r="A298" s="53" t="n">
        <v>100879996</v>
      </c>
      <c r="B298" s="46" t="s">
        <v>63</v>
      </c>
      <c r="C298" s="54" t="str">
        <f aca="false">IF(B298="","",IFERROR(INDEX('Kitting Plan'!$D$5:$D$18,MATCH(B298,'Kitting Plan'!$C$5:$C$18,0)),"Unknown code"))</f>
        <v>R5B ERBIUM SPOOL ASSEMBLY - E2A</v>
      </c>
      <c r="D298" s="54" t="str">
        <f aca="false">IF(B298="","",IFERROR(INDEX('Kitting Plan'!$B$5:$B$18,MATCH(B298,'Kitting Plan'!$C$5:$C$18,0)),""))</f>
        <v>ERBIUM ASSY</v>
      </c>
      <c r="E298" s="45"/>
      <c r="F298" s="55" t="n">
        <f aca="false">IF(B298="","",IFERROR(INDEX('Kitting Plan'!$H$5:$H$18,MATCH(B298,'Kitting Plan'!$C$5:$C$18,0)),""))</f>
        <v>24</v>
      </c>
      <c r="G298" s="45" t="n">
        <v>1</v>
      </c>
      <c r="H298" s="56" t="n">
        <f aca="false">IF(B298="","",IF(G298="",F298,G298))</f>
        <v>1</v>
      </c>
      <c r="I298" s="45" t="s">
        <v>27</v>
      </c>
      <c r="J298" s="57" t="n">
        <v>46296</v>
      </c>
      <c r="K298" s="46" t="s">
        <v>107</v>
      </c>
      <c r="L298" s="54" t="str">
        <f aca="false">IF(A298="","",IF(B298="","Missing code",IF(C298="Unknown code","Unknown code",IF(COUNTIF($A$6:$A$1005,A298)&gt;1,"Duplicate WO",""))))</f>
        <v/>
      </c>
    </row>
    <row r="299" customFormat="false" ht="15" hidden="false" customHeight="false" outlineLevel="0" collapsed="false">
      <c r="A299" s="53" t="n">
        <v>100879997</v>
      </c>
      <c r="B299" s="46" t="s">
        <v>63</v>
      </c>
      <c r="C299" s="54" t="str">
        <f aca="false">IF(B299="","",IFERROR(INDEX('Kitting Plan'!$D$5:$D$18,MATCH(B299,'Kitting Plan'!$C$5:$C$18,0)),"Unknown code"))</f>
        <v>R5B ERBIUM SPOOL ASSEMBLY - E2A</v>
      </c>
      <c r="D299" s="54" t="str">
        <f aca="false">IF(B299="","",IFERROR(INDEX('Kitting Plan'!$B$5:$B$18,MATCH(B299,'Kitting Plan'!$C$5:$C$18,0)),""))</f>
        <v>ERBIUM ASSY</v>
      </c>
      <c r="E299" s="45"/>
      <c r="F299" s="55" t="n">
        <f aca="false">IF(B299="","",IFERROR(INDEX('Kitting Plan'!$H$5:$H$18,MATCH(B299,'Kitting Plan'!$C$5:$C$18,0)),""))</f>
        <v>24</v>
      </c>
      <c r="G299" s="45" t="n">
        <v>1</v>
      </c>
      <c r="H299" s="56" t="n">
        <f aca="false">IF(B299="","",IF(G299="",F299,G299))</f>
        <v>1</v>
      </c>
      <c r="I299" s="45" t="s">
        <v>27</v>
      </c>
      <c r="J299" s="57" t="n">
        <v>46296</v>
      </c>
      <c r="K299" s="46" t="s">
        <v>107</v>
      </c>
      <c r="L299" s="54" t="str">
        <f aca="false">IF(A299="","",IF(B299="","Missing code",IF(C299="Unknown code","Unknown code",IF(COUNTIF($A$6:$A$1005,A299)&gt;1,"Duplicate WO",""))))</f>
        <v/>
      </c>
    </row>
    <row r="300" customFormat="false" ht="15" hidden="false" customHeight="false" outlineLevel="0" collapsed="false">
      <c r="A300" s="53" t="n">
        <v>100879998</v>
      </c>
      <c r="B300" s="46" t="s">
        <v>63</v>
      </c>
      <c r="C300" s="54" t="str">
        <f aca="false">IF(B300="","",IFERROR(INDEX('Kitting Plan'!$D$5:$D$18,MATCH(B300,'Kitting Plan'!$C$5:$C$18,0)),"Unknown code"))</f>
        <v>R5B ERBIUM SPOOL ASSEMBLY - E2A</v>
      </c>
      <c r="D300" s="54" t="str">
        <f aca="false">IF(B300="","",IFERROR(INDEX('Kitting Plan'!$B$5:$B$18,MATCH(B300,'Kitting Plan'!$C$5:$C$18,0)),""))</f>
        <v>ERBIUM ASSY</v>
      </c>
      <c r="E300" s="45"/>
      <c r="F300" s="55" t="n">
        <f aca="false">IF(B300="","",IFERROR(INDEX('Kitting Plan'!$H$5:$H$18,MATCH(B300,'Kitting Plan'!$C$5:$C$18,0)),""))</f>
        <v>24</v>
      </c>
      <c r="G300" s="45" t="n">
        <v>1</v>
      </c>
      <c r="H300" s="56" t="n">
        <f aca="false">IF(B300="","",IF(G300="",F300,G300))</f>
        <v>1</v>
      </c>
      <c r="I300" s="45" t="s">
        <v>27</v>
      </c>
      <c r="J300" s="57" t="n">
        <v>46296</v>
      </c>
      <c r="K300" s="46" t="s">
        <v>107</v>
      </c>
      <c r="L300" s="54" t="str">
        <f aca="false">IF(A300="","",IF(B300="","Missing code",IF(C300="Unknown code","Unknown code",IF(COUNTIF($A$6:$A$1005,A300)&gt;1,"Duplicate WO",""))))</f>
        <v/>
      </c>
    </row>
    <row r="301" customFormat="false" ht="15" hidden="false" customHeight="false" outlineLevel="0" collapsed="false">
      <c r="A301" s="53" t="n">
        <v>100879999</v>
      </c>
      <c r="B301" s="46" t="s">
        <v>63</v>
      </c>
      <c r="C301" s="54" t="str">
        <f aca="false">IF(B301="","",IFERROR(INDEX('Kitting Plan'!$D$5:$D$18,MATCH(B301,'Kitting Plan'!$C$5:$C$18,0)),"Unknown code"))</f>
        <v>R5B ERBIUM SPOOL ASSEMBLY - E2A</v>
      </c>
      <c r="D301" s="54" t="str">
        <f aca="false">IF(B301="","",IFERROR(INDEX('Kitting Plan'!$B$5:$B$18,MATCH(B301,'Kitting Plan'!$C$5:$C$18,0)),""))</f>
        <v>ERBIUM ASSY</v>
      </c>
      <c r="E301" s="45"/>
      <c r="F301" s="55" t="n">
        <f aca="false">IF(B301="","",IFERROR(INDEX('Kitting Plan'!$H$5:$H$18,MATCH(B301,'Kitting Plan'!$C$5:$C$18,0)),""))</f>
        <v>24</v>
      </c>
      <c r="G301" s="45" t="n">
        <v>1</v>
      </c>
      <c r="H301" s="56" t="n">
        <f aca="false">IF(B301="","",IF(G301="",F301,G301))</f>
        <v>1</v>
      </c>
      <c r="I301" s="45" t="s">
        <v>27</v>
      </c>
      <c r="J301" s="57" t="n">
        <v>46296</v>
      </c>
      <c r="K301" s="46" t="s">
        <v>107</v>
      </c>
      <c r="L301" s="54" t="str">
        <f aca="false">IF(A301="","",IF(B301="","Missing code",IF(C301="Unknown code","Unknown code",IF(COUNTIF($A$6:$A$1005,A301)&gt;1,"Duplicate WO",""))))</f>
        <v/>
      </c>
    </row>
    <row r="302" customFormat="false" ht="15" hidden="false" customHeight="false" outlineLevel="0" collapsed="false">
      <c r="A302" s="53" t="n">
        <v>100880000</v>
      </c>
      <c r="B302" s="46" t="s">
        <v>63</v>
      </c>
      <c r="C302" s="54" t="str">
        <f aca="false">IF(B302="","",IFERROR(INDEX('Kitting Plan'!$D$5:$D$18,MATCH(B302,'Kitting Plan'!$C$5:$C$18,0)),"Unknown code"))</f>
        <v>R5B ERBIUM SPOOL ASSEMBLY - E2A</v>
      </c>
      <c r="D302" s="54" t="str">
        <f aca="false">IF(B302="","",IFERROR(INDEX('Kitting Plan'!$B$5:$B$18,MATCH(B302,'Kitting Plan'!$C$5:$C$18,0)),""))</f>
        <v>ERBIUM ASSY</v>
      </c>
      <c r="E302" s="45"/>
      <c r="F302" s="55" t="n">
        <f aca="false">IF(B302="","",IFERROR(INDEX('Kitting Plan'!$H$5:$H$18,MATCH(B302,'Kitting Plan'!$C$5:$C$18,0)),""))</f>
        <v>24</v>
      </c>
      <c r="G302" s="45" t="n">
        <v>1</v>
      </c>
      <c r="H302" s="56" t="n">
        <f aca="false">IF(B302="","",IF(G302="",F302,G302))</f>
        <v>1</v>
      </c>
      <c r="I302" s="45" t="s">
        <v>27</v>
      </c>
      <c r="J302" s="57" t="n">
        <v>46296</v>
      </c>
      <c r="K302" s="46" t="s">
        <v>107</v>
      </c>
      <c r="L302" s="54" t="str">
        <f aca="false">IF(A302="","",IF(B302="","Missing code",IF(C302="Unknown code","Unknown code",IF(COUNTIF($A$6:$A$1005,A302)&gt;1,"Duplicate WO",""))))</f>
        <v/>
      </c>
    </row>
    <row r="303" customFormat="false" ht="15" hidden="false" customHeight="false" outlineLevel="0" collapsed="false">
      <c r="A303" s="53" t="n">
        <v>100880001</v>
      </c>
      <c r="B303" s="46" t="s">
        <v>63</v>
      </c>
      <c r="C303" s="54" t="str">
        <f aca="false">IF(B303="","",IFERROR(INDEX('Kitting Plan'!$D$5:$D$18,MATCH(B303,'Kitting Plan'!$C$5:$C$18,0)),"Unknown code"))</f>
        <v>R5B ERBIUM SPOOL ASSEMBLY - E2A</v>
      </c>
      <c r="D303" s="54" t="str">
        <f aca="false">IF(B303="","",IFERROR(INDEX('Kitting Plan'!$B$5:$B$18,MATCH(B303,'Kitting Plan'!$C$5:$C$18,0)),""))</f>
        <v>ERBIUM ASSY</v>
      </c>
      <c r="E303" s="45"/>
      <c r="F303" s="55" t="n">
        <f aca="false">IF(B303="","",IFERROR(INDEX('Kitting Plan'!$H$5:$H$18,MATCH(B303,'Kitting Plan'!$C$5:$C$18,0)),""))</f>
        <v>24</v>
      </c>
      <c r="G303" s="45" t="n">
        <v>1</v>
      </c>
      <c r="H303" s="56" t="n">
        <f aca="false">IF(B303="","",IF(G303="",F303,G303))</f>
        <v>1</v>
      </c>
      <c r="I303" s="45" t="s">
        <v>27</v>
      </c>
      <c r="J303" s="57" t="n">
        <v>46296</v>
      </c>
      <c r="K303" s="46" t="s">
        <v>107</v>
      </c>
      <c r="L303" s="54" t="str">
        <f aca="false">IF(A303="","",IF(B303="","Missing code",IF(C303="Unknown code","Unknown code",IF(COUNTIF($A$6:$A$1005,A303)&gt;1,"Duplicate WO",""))))</f>
        <v/>
      </c>
    </row>
    <row r="304" customFormat="false" ht="15" hidden="false" customHeight="false" outlineLevel="0" collapsed="false">
      <c r="A304" s="53" t="n">
        <v>100880002</v>
      </c>
      <c r="B304" s="46" t="s">
        <v>63</v>
      </c>
      <c r="C304" s="54" t="str">
        <f aca="false">IF(B304="","",IFERROR(INDEX('Kitting Plan'!$D$5:$D$18,MATCH(B304,'Kitting Plan'!$C$5:$C$18,0)),"Unknown code"))</f>
        <v>R5B ERBIUM SPOOL ASSEMBLY - E2A</v>
      </c>
      <c r="D304" s="54" t="str">
        <f aca="false">IF(B304="","",IFERROR(INDEX('Kitting Plan'!$B$5:$B$18,MATCH(B304,'Kitting Plan'!$C$5:$C$18,0)),""))</f>
        <v>ERBIUM ASSY</v>
      </c>
      <c r="E304" s="45"/>
      <c r="F304" s="55" t="n">
        <f aca="false">IF(B304="","",IFERROR(INDEX('Kitting Plan'!$H$5:$H$18,MATCH(B304,'Kitting Plan'!$C$5:$C$18,0)),""))</f>
        <v>24</v>
      </c>
      <c r="G304" s="45" t="n">
        <v>1</v>
      </c>
      <c r="H304" s="56" t="n">
        <f aca="false">IF(B304="","",IF(G304="",F304,G304))</f>
        <v>1</v>
      </c>
      <c r="I304" s="45" t="s">
        <v>27</v>
      </c>
      <c r="J304" s="57" t="n">
        <v>46296</v>
      </c>
      <c r="K304" s="46" t="s">
        <v>107</v>
      </c>
      <c r="L304" s="54" t="str">
        <f aca="false">IF(A304="","",IF(B304="","Missing code",IF(C304="Unknown code","Unknown code",IF(COUNTIF($A$6:$A$1005,A304)&gt;1,"Duplicate WO",""))))</f>
        <v/>
      </c>
    </row>
    <row r="305" customFormat="false" ht="15" hidden="false" customHeight="false" outlineLevel="0" collapsed="false">
      <c r="A305" s="53" t="n">
        <v>100880003</v>
      </c>
      <c r="B305" s="46" t="s">
        <v>63</v>
      </c>
      <c r="C305" s="54" t="str">
        <f aca="false">IF(B305="","",IFERROR(INDEX('Kitting Plan'!$D$5:$D$18,MATCH(B305,'Kitting Plan'!$C$5:$C$18,0)),"Unknown code"))</f>
        <v>R5B ERBIUM SPOOL ASSEMBLY - E2A</v>
      </c>
      <c r="D305" s="54" t="str">
        <f aca="false">IF(B305="","",IFERROR(INDEX('Kitting Plan'!$B$5:$B$18,MATCH(B305,'Kitting Plan'!$C$5:$C$18,0)),""))</f>
        <v>ERBIUM ASSY</v>
      </c>
      <c r="E305" s="45"/>
      <c r="F305" s="55" t="n">
        <f aca="false">IF(B305="","",IFERROR(INDEX('Kitting Plan'!$H$5:$H$18,MATCH(B305,'Kitting Plan'!$C$5:$C$18,0)),""))</f>
        <v>24</v>
      </c>
      <c r="G305" s="45" t="n">
        <v>1</v>
      </c>
      <c r="H305" s="56" t="n">
        <f aca="false">IF(B305="","",IF(G305="",F305,G305))</f>
        <v>1</v>
      </c>
      <c r="I305" s="45" t="s">
        <v>27</v>
      </c>
      <c r="J305" s="57" t="n">
        <v>46296</v>
      </c>
      <c r="K305" s="46" t="s">
        <v>107</v>
      </c>
      <c r="L305" s="54" t="str">
        <f aca="false">IF(A305="","",IF(B305="","Missing code",IF(C305="Unknown code","Unknown code",IF(COUNTIF($A$6:$A$1005,A305)&gt;1,"Duplicate WO",""))))</f>
        <v/>
      </c>
    </row>
    <row r="306" customFormat="false" ht="15" hidden="false" customHeight="false" outlineLevel="0" collapsed="false">
      <c r="A306" s="53" t="n">
        <v>100880004</v>
      </c>
      <c r="B306" s="46" t="s">
        <v>63</v>
      </c>
      <c r="C306" s="54" t="str">
        <f aca="false">IF(B306="","",IFERROR(INDEX('Kitting Plan'!$D$5:$D$18,MATCH(B306,'Kitting Plan'!$C$5:$C$18,0)),"Unknown code"))</f>
        <v>R5B ERBIUM SPOOL ASSEMBLY - E2A</v>
      </c>
      <c r="D306" s="54" t="str">
        <f aca="false">IF(B306="","",IFERROR(INDEX('Kitting Plan'!$B$5:$B$18,MATCH(B306,'Kitting Plan'!$C$5:$C$18,0)),""))</f>
        <v>ERBIUM ASSY</v>
      </c>
      <c r="E306" s="45"/>
      <c r="F306" s="55" t="n">
        <f aca="false">IF(B306="","",IFERROR(INDEX('Kitting Plan'!$H$5:$H$18,MATCH(B306,'Kitting Plan'!$C$5:$C$18,0)),""))</f>
        <v>24</v>
      </c>
      <c r="G306" s="45" t="n">
        <v>1</v>
      </c>
      <c r="H306" s="56" t="n">
        <f aca="false">IF(B306="","",IF(G306="",F306,G306))</f>
        <v>1</v>
      </c>
      <c r="I306" s="45" t="s">
        <v>27</v>
      </c>
      <c r="J306" s="57" t="n">
        <v>46296</v>
      </c>
      <c r="K306" s="46" t="s">
        <v>107</v>
      </c>
      <c r="L306" s="54" t="str">
        <f aca="false">IF(A306="","",IF(B306="","Missing code",IF(C306="Unknown code","Unknown code",IF(COUNTIF($A$6:$A$1005,A306)&gt;1,"Duplicate WO",""))))</f>
        <v/>
      </c>
    </row>
    <row r="307" customFormat="false" ht="15" hidden="false" customHeight="false" outlineLevel="0" collapsed="false">
      <c r="A307" s="53" t="n">
        <v>100880086</v>
      </c>
      <c r="B307" s="46" t="s">
        <v>63</v>
      </c>
      <c r="C307" s="54" t="str">
        <f aca="false">IF(B307="","",IFERROR(INDEX('Kitting Plan'!$D$5:$D$18,MATCH(B307,'Kitting Plan'!$C$5:$C$18,0)),"Unknown code"))</f>
        <v>R5B ERBIUM SPOOL ASSEMBLY - E2A</v>
      </c>
      <c r="D307" s="54" t="str">
        <f aca="false">IF(B307="","",IFERROR(INDEX('Kitting Plan'!$B$5:$B$18,MATCH(B307,'Kitting Plan'!$C$5:$C$18,0)),""))</f>
        <v>ERBIUM ASSY</v>
      </c>
      <c r="E307" s="45"/>
      <c r="F307" s="55" t="n">
        <f aca="false">IF(B307="","",IFERROR(INDEX('Kitting Plan'!$H$5:$H$18,MATCH(B307,'Kitting Plan'!$C$5:$C$18,0)),""))</f>
        <v>24</v>
      </c>
      <c r="G307" s="45" t="n">
        <v>1</v>
      </c>
      <c r="H307" s="56" t="n">
        <f aca="false">IF(B307="","",IF(G307="",F307,G307))</f>
        <v>1</v>
      </c>
      <c r="I307" s="45" t="s">
        <v>27</v>
      </c>
      <c r="J307" s="57" t="n">
        <v>46296</v>
      </c>
      <c r="K307" s="46" t="s">
        <v>107</v>
      </c>
      <c r="L307" s="54" t="str">
        <f aca="false">IF(A307="","",IF(B307="","Missing code",IF(C307="Unknown code","Unknown code",IF(COUNTIF($A$6:$A$1005,A307)&gt;1,"Duplicate WO",""))))</f>
        <v/>
      </c>
    </row>
    <row r="308" customFormat="false" ht="15" hidden="false" customHeight="false" outlineLevel="0" collapsed="false">
      <c r="A308" s="53" t="n">
        <v>100880087</v>
      </c>
      <c r="B308" s="46" t="s">
        <v>63</v>
      </c>
      <c r="C308" s="54" t="str">
        <f aca="false">IF(B308="","",IFERROR(INDEX('Kitting Plan'!$D$5:$D$18,MATCH(B308,'Kitting Plan'!$C$5:$C$18,0)),"Unknown code"))</f>
        <v>R5B ERBIUM SPOOL ASSEMBLY - E2A</v>
      </c>
      <c r="D308" s="54" t="str">
        <f aca="false">IF(B308="","",IFERROR(INDEX('Kitting Plan'!$B$5:$B$18,MATCH(B308,'Kitting Plan'!$C$5:$C$18,0)),""))</f>
        <v>ERBIUM ASSY</v>
      </c>
      <c r="E308" s="45"/>
      <c r="F308" s="55" t="n">
        <f aca="false">IF(B308="","",IFERROR(INDEX('Kitting Plan'!$H$5:$H$18,MATCH(B308,'Kitting Plan'!$C$5:$C$18,0)),""))</f>
        <v>24</v>
      </c>
      <c r="G308" s="45" t="n">
        <v>1</v>
      </c>
      <c r="H308" s="56" t="n">
        <f aca="false">IF(B308="","",IF(G308="",F308,G308))</f>
        <v>1</v>
      </c>
      <c r="I308" s="45" t="s">
        <v>27</v>
      </c>
      <c r="J308" s="57" t="n">
        <v>46296</v>
      </c>
      <c r="K308" s="46" t="s">
        <v>107</v>
      </c>
      <c r="L308" s="54" t="str">
        <f aca="false">IF(A308="","",IF(B308="","Missing code",IF(C308="Unknown code","Unknown code",IF(COUNTIF($A$6:$A$1005,A308)&gt;1,"Duplicate WO",""))))</f>
        <v/>
      </c>
    </row>
    <row r="309" customFormat="false" ht="15" hidden="false" customHeight="false" outlineLevel="0" collapsed="false">
      <c r="A309" s="53" t="n">
        <v>100880088</v>
      </c>
      <c r="B309" s="46" t="s">
        <v>63</v>
      </c>
      <c r="C309" s="54" t="str">
        <f aca="false">IF(B309="","",IFERROR(INDEX('Kitting Plan'!$D$5:$D$18,MATCH(B309,'Kitting Plan'!$C$5:$C$18,0)),"Unknown code"))</f>
        <v>R5B ERBIUM SPOOL ASSEMBLY - E2A</v>
      </c>
      <c r="D309" s="54" t="str">
        <f aca="false">IF(B309="","",IFERROR(INDEX('Kitting Plan'!$B$5:$B$18,MATCH(B309,'Kitting Plan'!$C$5:$C$18,0)),""))</f>
        <v>ERBIUM ASSY</v>
      </c>
      <c r="E309" s="45"/>
      <c r="F309" s="55" t="n">
        <f aca="false">IF(B309="","",IFERROR(INDEX('Kitting Plan'!$H$5:$H$18,MATCH(B309,'Kitting Plan'!$C$5:$C$18,0)),""))</f>
        <v>24</v>
      </c>
      <c r="G309" s="45" t="n">
        <v>1</v>
      </c>
      <c r="H309" s="56" t="n">
        <f aca="false">IF(B309="","",IF(G309="",F309,G309))</f>
        <v>1</v>
      </c>
      <c r="I309" s="45" t="s">
        <v>27</v>
      </c>
      <c r="J309" s="57" t="n">
        <v>46296</v>
      </c>
      <c r="K309" s="46" t="s">
        <v>107</v>
      </c>
      <c r="L309" s="54" t="str">
        <f aca="false">IF(A309="","",IF(B309="","Missing code",IF(C309="Unknown code","Unknown code",IF(COUNTIF($A$6:$A$1005,A309)&gt;1,"Duplicate WO",""))))</f>
        <v/>
      </c>
    </row>
    <row r="310" customFormat="false" ht="15" hidden="false" customHeight="false" outlineLevel="0" collapsed="false">
      <c r="A310" s="53" t="n">
        <v>100880089</v>
      </c>
      <c r="B310" s="46" t="s">
        <v>63</v>
      </c>
      <c r="C310" s="54" t="str">
        <f aca="false">IF(B310="","",IFERROR(INDEX('Kitting Plan'!$D$5:$D$18,MATCH(B310,'Kitting Plan'!$C$5:$C$18,0)),"Unknown code"))</f>
        <v>R5B ERBIUM SPOOL ASSEMBLY - E2A</v>
      </c>
      <c r="D310" s="54" t="str">
        <f aca="false">IF(B310="","",IFERROR(INDEX('Kitting Plan'!$B$5:$B$18,MATCH(B310,'Kitting Plan'!$C$5:$C$18,0)),""))</f>
        <v>ERBIUM ASSY</v>
      </c>
      <c r="E310" s="45"/>
      <c r="F310" s="55" t="n">
        <f aca="false">IF(B310="","",IFERROR(INDEX('Kitting Plan'!$H$5:$H$18,MATCH(B310,'Kitting Plan'!$C$5:$C$18,0)),""))</f>
        <v>24</v>
      </c>
      <c r="G310" s="45" t="n">
        <v>1</v>
      </c>
      <c r="H310" s="56" t="n">
        <f aca="false">IF(B310="","",IF(G310="",F310,G310))</f>
        <v>1</v>
      </c>
      <c r="I310" s="45" t="s">
        <v>27</v>
      </c>
      <c r="J310" s="57" t="n">
        <v>46296</v>
      </c>
      <c r="K310" s="46" t="s">
        <v>107</v>
      </c>
      <c r="L310" s="54" t="str">
        <f aca="false">IF(A310="","",IF(B310="","Missing code",IF(C310="Unknown code","Unknown code",IF(COUNTIF($A$6:$A$1005,A310)&gt;1,"Duplicate WO",""))))</f>
        <v/>
      </c>
    </row>
    <row r="311" customFormat="false" ht="15" hidden="false" customHeight="false" outlineLevel="0" collapsed="false">
      <c r="A311" s="53" t="n">
        <v>100880090</v>
      </c>
      <c r="B311" s="46" t="s">
        <v>63</v>
      </c>
      <c r="C311" s="54" t="str">
        <f aca="false">IF(B311="","",IFERROR(INDEX('Kitting Plan'!$D$5:$D$18,MATCH(B311,'Kitting Plan'!$C$5:$C$18,0)),"Unknown code"))</f>
        <v>R5B ERBIUM SPOOL ASSEMBLY - E2A</v>
      </c>
      <c r="D311" s="54" t="str">
        <f aca="false">IF(B311="","",IFERROR(INDEX('Kitting Plan'!$B$5:$B$18,MATCH(B311,'Kitting Plan'!$C$5:$C$18,0)),""))</f>
        <v>ERBIUM ASSY</v>
      </c>
      <c r="E311" s="45"/>
      <c r="F311" s="55" t="n">
        <f aca="false">IF(B311="","",IFERROR(INDEX('Kitting Plan'!$H$5:$H$18,MATCH(B311,'Kitting Plan'!$C$5:$C$18,0)),""))</f>
        <v>24</v>
      </c>
      <c r="G311" s="45" t="n">
        <v>1</v>
      </c>
      <c r="H311" s="56" t="n">
        <f aca="false">IF(B311="","",IF(G311="",F311,G311))</f>
        <v>1</v>
      </c>
      <c r="I311" s="45" t="s">
        <v>27</v>
      </c>
      <c r="J311" s="57" t="n">
        <v>46296</v>
      </c>
      <c r="K311" s="46" t="s">
        <v>107</v>
      </c>
      <c r="L311" s="54" t="str">
        <f aca="false">IF(A311="","",IF(B311="","Missing code",IF(C311="Unknown code","Unknown code",IF(COUNTIF($A$6:$A$1005,A311)&gt;1,"Duplicate WO",""))))</f>
        <v/>
      </c>
    </row>
    <row r="312" customFormat="false" ht="15" hidden="false" customHeight="false" outlineLevel="0" collapsed="false">
      <c r="A312" s="53" t="n">
        <v>100880091</v>
      </c>
      <c r="B312" s="46" t="s">
        <v>63</v>
      </c>
      <c r="C312" s="54" t="str">
        <f aca="false">IF(B312="","",IFERROR(INDEX('Kitting Plan'!$D$5:$D$18,MATCH(B312,'Kitting Plan'!$C$5:$C$18,0)),"Unknown code"))</f>
        <v>R5B ERBIUM SPOOL ASSEMBLY - E2A</v>
      </c>
      <c r="D312" s="54" t="str">
        <f aca="false">IF(B312="","",IFERROR(INDEX('Kitting Plan'!$B$5:$B$18,MATCH(B312,'Kitting Plan'!$C$5:$C$18,0)),""))</f>
        <v>ERBIUM ASSY</v>
      </c>
      <c r="E312" s="45"/>
      <c r="F312" s="55" t="n">
        <f aca="false">IF(B312="","",IFERROR(INDEX('Kitting Plan'!$H$5:$H$18,MATCH(B312,'Kitting Plan'!$C$5:$C$18,0)),""))</f>
        <v>24</v>
      </c>
      <c r="G312" s="45" t="n">
        <v>1</v>
      </c>
      <c r="H312" s="56" t="n">
        <f aca="false">IF(B312="","",IF(G312="",F312,G312))</f>
        <v>1</v>
      </c>
      <c r="I312" s="45" t="s">
        <v>27</v>
      </c>
      <c r="J312" s="57" t="n">
        <v>46296</v>
      </c>
      <c r="K312" s="46" t="s">
        <v>107</v>
      </c>
      <c r="L312" s="54" t="str">
        <f aca="false">IF(A312="","",IF(B312="","Missing code",IF(C312="Unknown code","Unknown code",IF(COUNTIF($A$6:$A$1005,A312)&gt;1,"Duplicate WO",""))))</f>
        <v/>
      </c>
    </row>
    <row r="313" customFormat="false" ht="15" hidden="false" customHeight="false" outlineLevel="0" collapsed="false">
      <c r="A313" s="53" t="n">
        <v>100880092</v>
      </c>
      <c r="B313" s="46" t="s">
        <v>63</v>
      </c>
      <c r="C313" s="54" t="str">
        <f aca="false">IF(B313="","",IFERROR(INDEX('Kitting Plan'!$D$5:$D$18,MATCH(B313,'Kitting Plan'!$C$5:$C$18,0)),"Unknown code"))</f>
        <v>R5B ERBIUM SPOOL ASSEMBLY - E2A</v>
      </c>
      <c r="D313" s="54" t="str">
        <f aca="false">IF(B313="","",IFERROR(INDEX('Kitting Plan'!$B$5:$B$18,MATCH(B313,'Kitting Plan'!$C$5:$C$18,0)),""))</f>
        <v>ERBIUM ASSY</v>
      </c>
      <c r="E313" s="45"/>
      <c r="F313" s="55" t="n">
        <f aca="false">IF(B313="","",IFERROR(INDEX('Kitting Plan'!$H$5:$H$18,MATCH(B313,'Kitting Plan'!$C$5:$C$18,0)),""))</f>
        <v>24</v>
      </c>
      <c r="G313" s="45" t="n">
        <v>1</v>
      </c>
      <c r="H313" s="56" t="n">
        <f aca="false">IF(B313="","",IF(G313="",F313,G313))</f>
        <v>1</v>
      </c>
      <c r="I313" s="45" t="s">
        <v>27</v>
      </c>
      <c r="J313" s="57" t="n">
        <v>46296</v>
      </c>
      <c r="K313" s="46" t="s">
        <v>107</v>
      </c>
      <c r="L313" s="54" t="str">
        <f aca="false">IF(A313="","",IF(B313="","Missing code",IF(C313="Unknown code","Unknown code",IF(COUNTIF($A$6:$A$1005,A313)&gt;1,"Duplicate WO",""))))</f>
        <v/>
      </c>
    </row>
    <row r="314" customFormat="false" ht="15" hidden="false" customHeight="false" outlineLevel="0" collapsed="false">
      <c r="A314" s="53" t="n">
        <v>100880093</v>
      </c>
      <c r="B314" s="46" t="s">
        <v>63</v>
      </c>
      <c r="C314" s="54" t="str">
        <f aca="false">IF(B314="","",IFERROR(INDEX('Kitting Plan'!$D$5:$D$18,MATCH(B314,'Kitting Plan'!$C$5:$C$18,0)),"Unknown code"))</f>
        <v>R5B ERBIUM SPOOL ASSEMBLY - E2A</v>
      </c>
      <c r="D314" s="54" t="str">
        <f aca="false">IF(B314="","",IFERROR(INDEX('Kitting Plan'!$B$5:$B$18,MATCH(B314,'Kitting Plan'!$C$5:$C$18,0)),""))</f>
        <v>ERBIUM ASSY</v>
      </c>
      <c r="E314" s="45"/>
      <c r="F314" s="55" t="n">
        <f aca="false">IF(B314="","",IFERROR(INDEX('Kitting Plan'!$H$5:$H$18,MATCH(B314,'Kitting Plan'!$C$5:$C$18,0)),""))</f>
        <v>24</v>
      </c>
      <c r="G314" s="45" t="n">
        <v>1</v>
      </c>
      <c r="H314" s="56" t="n">
        <f aca="false">IF(B314="","",IF(G314="",F314,G314))</f>
        <v>1</v>
      </c>
      <c r="I314" s="45" t="s">
        <v>27</v>
      </c>
      <c r="J314" s="57" t="n">
        <v>46296</v>
      </c>
      <c r="K314" s="46" t="s">
        <v>107</v>
      </c>
      <c r="L314" s="54" t="str">
        <f aca="false">IF(A314="","",IF(B314="","Missing code",IF(C314="Unknown code","Unknown code",IF(COUNTIF($A$6:$A$1005,A314)&gt;1,"Duplicate WO",""))))</f>
        <v/>
      </c>
    </row>
    <row r="315" customFormat="false" ht="15" hidden="false" customHeight="false" outlineLevel="0" collapsed="false">
      <c r="A315" s="53" t="n">
        <v>100880094</v>
      </c>
      <c r="B315" s="46" t="s">
        <v>63</v>
      </c>
      <c r="C315" s="54" t="str">
        <f aca="false">IF(B315="","",IFERROR(INDEX('Kitting Plan'!$D$5:$D$18,MATCH(B315,'Kitting Plan'!$C$5:$C$18,0)),"Unknown code"))</f>
        <v>R5B ERBIUM SPOOL ASSEMBLY - E2A</v>
      </c>
      <c r="D315" s="54" t="str">
        <f aca="false">IF(B315="","",IFERROR(INDEX('Kitting Plan'!$B$5:$B$18,MATCH(B315,'Kitting Plan'!$C$5:$C$18,0)),""))</f>
        <v>ERBIUM ASSY</v>
      </c>
      <c r="E315" s="45"/>
      <c r="F315" s="55" t="n">
        <f aca="false">IF(B315="","",IFERROR(INDEX('Kitting Plan'!$H$5:$H$18,MATCH(B315,'Kitting Plan'!$C$5:$C$18,0)),""))</f>
        <v>24</v>
      </c>
      <c r="G315" s="45" t="n">
        <v>1</v>
      </c>
      <c r="H315" s="56" t="n">
        <f aca="false">IF(B315="","",IF(G315="",F315,G315))</f>
        <v>1</v>
      </c>
      <c r="I315" s="45" t="s">
        <v>27</v>
      </c>
      <c r="J315" s="57" t="n">
        <v>46296</v>
      </c>
      <c r="K315" s="46" t="s">
        <v>107</v>
      </c>
      <c r="L315" s="54" t="str">
        <f aca="false">IF(A315="","",IF(B315="","Missing code",IF(C315="Unknown code","Unknown code",IF(COUNTIF($A$6:$A$1005,A315)&gt;1,"Duplicate WO",""))))</f>
        <v/>
      </c>
    </row>
    <row r="316" customFormat="false" ht="15" hidden="false" customHeight="false" outlineLevel="0" collapsed="false">
      <c r="A316" s="53" t="n">
        <v>100880095</v>
      </c>
      <c r="B316" s="46" t="s">
        <v>63</v>
      </c>
      <c r="C316" s="54" t="str">
        <f aca="false">IF(B316="","",IFERROR(INDEX('Kitting Plan'!$D$5:$D$18,MATCH(B316,'Kitting Plan'!$C$5:$C$18,0)),"Unknown code"))</f>
        <v>R5B ERBIUM SPOOL ASSEMBLY - E2A</v>
      </c>
      <c r="D316" s="54" t="str">
        <f aca="false">IF(B316="","",IFERROR(INDEX('Kitting Plan'!$B$5:$B$18,MATCH(B316,'Kitting Plan'!$C$5:$C$18,0)),""))</f>
        <v>ERBIUM ASSY</v>
      </c>
      <c r="E316" s="45"/>
      <c r="F316" s="55" t="n">
        <f aca="false">IF(B316="","",IFERROR(INDEX('Kitting Plan'!$H$5:$H$18,MATCH(B316,'Kitting Plan'!$C$5:$C$18,0)),""))</f>
        <v>24</v>
      </c>
      <c r="G316" s="45" t="n">
        <v>1</v>
      </c>
      <c r="H316" s="56" t="n">
        <f aca="false">IF(B316="","",IF(G316="",F316,G316))</f>
        <v>1</v>
      </c>
      <c r="I316" s="45" t="s">
        <v>27</v>
      </c>
      <c r="J316" s="57" t="n">
        <v>46296</v>
      </c>
      <c r="K316" s="46" t="s">
        <v>107</v>
      </c>
      <c r="L316" s="54" t="str">
        <f aca="false">IF(A316="","",IF(B316="","Missing code",IF(C316="Unknown code","Unknown code",IF(COUNTIF($A$6:$A$1005,A316)&gt;1,"Duplicate WO",""))))</f>
        <v/>
      </c>
    </row>
    <row r="317" customFormat="false" ht="15" hidden="false" customHeight="false" outlineLevel="0" collapsed="false">
      <c r="A317" s="53" t="n">
        <v>100880096</v>
      </c>
      <c r="B317" s="46" t="s">
        <v>63</v>
      </c>
      <c r="C317" s="54" t="str">
        <f aca="false">IF(B317="","",IFERROR(INDEX('Kitting Plan'!$D$5:$D$18,MATCH(B317,'Kitting Plan'!$C$5:$C$18,0)),"Unknown code"))</f>
        <v>R5B ERBIUM SPOOL ASSEMBLY - E2A</v>
      </c>
      <c r="D317" s="54" t="str">
        <f aca="false">IF(B317="","",IFERROR(INDEX('Kitting Plan'!$B$5:$B$18,MATCH(B317,'Kitting Plan'!$C$5:$C$18,0)),""))</f>
        <v>ERBIUM ASSY</v>
      </c>
      <c r="E317" s="45"/>
      <c r="F317" s="55" t="n">
        <f aca="false">IF(B317="","",IFERROR(INDEX('Kitting Plan'!$H$5:$H$18,MATCH(B317,'Kitting Plan'!$C$5:$C$18,0)),""))</f>
        <v>24</v>
      </c>
      <c r="G317" s="45" t="n">
        <v>1</v>
      </c>
      <c r="H317" s="56" t="n">
        <f aca="false">IF(B317="","",IF(G317="",F317,G317))</f>
        <v>1</v>
      </c>
      <c r="I317" s="45" t="s">
        <v>27</v>
      </c>
      <c r="J317" s="57" t="n">
        <v>46296</v>
      </c>
      <c r="K317" s="46" t="s">
        <v>107</v>
      </c>
      <c r="L317" s="54" t="str">
        <f aca="false">IF(A317="","",IF(B317="","Missing code",IF(C317="Unknown code","Unknown code",IF(COUNTIF($A$6:$A$1005,A317)&gt;1,"Duplicate WO",""))))</f>
        <v/>
      </c>
    </row>
    <row r="318" customFormat="false" ht="15" hidden="false" customHeight="false" outlineLevel="0" collapsed="false">
      <c r="A318" s="53" t="n">
        <v>100880097</v>
      </c>
      <c r="B318" s="46" t="s">
        <v>63</v>
      </c>
      <c r="C318" s="54" t="str">
        <f aca="false">IF(B318="","",IFERROR(INDEX('Kitting Plan'!$D$5:$D$18,MATCH(B318,'Kitting Plan'!$C$5:$C$18,0)),"Unknown code"))</f>
        <v>R5B ERBIUM SPOOL ASSEMBLY - E2A</v>
      </c>
      <c r="D318" s="54" t="str">
        <f aca="false">IF(B318="","",IFERROR(INDEX('Kitting Plan'!$B$5:$B$18,MATCH(B318,'Kitting Plan'!$C$5:$C$18,0)),""))</f>
        <v>ERBIUM ASSY</v>
      </c>
      <c r="E318" s="45"/>
      <c r="F318" s="55" t="n">
        <f aca="false">IF(B318="","",IFERROR(INDEX('Kitting Plan'!$H$5:$H$18,MATCH(B318,'Kitting Plan'!$C$5:$C$18,0)),""))</f>
        <v>24</v>
      </c>
      <c r="G318" s="45" t="n">
        <v>1</v>
      </c>
      <c r="H318" s="56" t="n">
        <f aca="false">IF(B318="","",IF(G318="",F318,G318))</f>
        <v>1</v>
      </c>
      <c r="I318" s="45" t="s">
        <v>27</v>
      </c>
      <c r="J318" s="57" t="n">
        <v>46296</v>
      </c>
      <c r="K318" s="46" t="s">
        <v>107</v>
      </c>
      <c r="L318" s="54" t="str">
        <f aca="false">IF(A318="","",IF(B318="","Missing code",IF(C318="Unknown code","Unknown code",IF(COUNTIF($A$6:$A$1005,A318)&gt;1,"Duplicate WO",""))))</f>
        <v/>
      </c>
    </row>
    <row r="319" customFormat="false" ht="15" hidden="false" customHeight="false" outlineLevel="0" collapsed="false">
      <c r="A319" s="53" t="n">
        <v>100880098</v>
      </c>
      <c r="B319" s="46" t="s">
        <v>63</v>
      </c>
      <c r="C319" s="54" t="str">
        <f aca="false">IF(B319="","",IFERROR(INDEX('Kitting Plan'!$D$5:$D$18,MATCH(B319,'Kitting Plan'!$C$5:$C$18,0)),"Unknown code"))</f>
        <v>R5B ERBIUM SPOOL ASSEMBLY - E2A</v>
      </c>
      <c r="D319" s="54" t="str">
        <f aca="false">IF(B319="","",IFERROR(INDEX('Kitting Plan'!$B$5:$B$18,MATCH(B319,'Kitting Plan'!$C$5:$C$18,0)),""))</f>
        <v>ERBIUM ASSY</v>
      </c>
      <c r="E319" s="45"/>
      <c r="F319" s="55" t="n">
        <f aca="false">IF(B319="","",IFERROR(INDEX('Kitting Plan'!$H$5:$H$18,MATCH(B319,'Kitting Plan'!$C$5:$C$18,0)),""))</f>
        <v>24</v>
      </c>
      <c r="G319" s="45" t="n">
        <v>1</v>
      </c>
      <c r="H319" s="56" t="n">
        <f aca="false">IF(B319="","",IF(G319="",F319,G319))</f>
        <v>1</v>
      </c>
      <c r="I319" s="45" t="s">
        <v>27</v>
      </c>
      <c r="J319" s="57" t="n">
        <v>46296</v>
      </c>
      <c r="K319" s="46" t="s">
        <v>107</v>
      </c>
      <c r="L319" s="54" t="str">
        <f aca="false">IF(A319="","",IF(B319="","Missing code",IF(C319="Unknown code","Unknown code",IF(COUNTIF($A$6:$A$1005,A319)&gt;1,"Duplicate WO",""))))</f>
        <v/>
      </c>
    </row>
    <row r="320" customFormat="false" ht="15" hidden="false" customHeight="false" outlineLevel="0" collapsed="false">
      <c r="A320" s="53" t="n">
        <v>100880099</v>
      </c>
      <c r="B320" s="46" t="s">
        <v>63</v>
      </c>
      <c r="C320" s="54" t="str">
        <f aca="false">IF(B320="","",IFERROR(INDEX('Kitting Plan'!$D$5:$D$18,MATCH(B320,'Kitting Plan'!$C$5:$C$18,0)),"Unknown code"))</f>
        <v>R5B ERBIUM SPOOL ASSEMBLY - E2A</v>
      </c>
      <c r="D320" s="54" t="str">
        <f aca="false">IF(B320="","",IFERROR(INDEX('Kitting Plan'!$B$5:$B$18,MATCH(B320,'Kitting Plan'!$C$5:$C$18,0)),""))</f>
        <v>ERBIUM ASSY</v>
      </c>
      <c r="E320" s="45"/>
      <c r="F320" s="55" t="n">
        <f aca="false">IF(B320="","",IFERROR(INDEX('Kitting Plan'!$H$5:$H$18,MATCH(B320,'Kitting Plan'!$C$5:$C$18,0)),""))</f>
        <v>24</v>
      </c>
      <c r="G320" s="45" t="n">
        <v>1</v>
      </c>
      <c r="H320" s="56" t="n">
        <f aca="false">IF(B320="","",IF(G320="",F320,G320))</f>
        <v>1</v>
      </c>
      <c r="I320" s="45" t="s">
        <v>27</v>
      </c>
      <c r="J320" s="57" t="n">
        <v>46296</v>
      </c>
      <c r="K320" s="46" t="s">
        <v>107</v>
      </c>
      <c r="L320" s="54" t="str">
        <f aca="false">IF(A320="","",IF(B320="","Missing code",IF(C320="Unknown code","Unknown code",IF(COUNTIF($A$6:$A$1005,A320)&gt;1,"Duplicate WO",""))))</f>
        <v/>
      </c>
    </row>
    <row r="321" customFormat="false" ht="15" hidden="false" customHeight="false" outlineLevel="0" collapsed="false">
      <c r="A321" s="53" t="n">
        <v>100880100</v>
      </c>
      <c r="B321" s="46" t="s">
        <v>63</v>
      </c>
      <c r="C321" s="54" t="str">
        <f aca="false">IF(B321="","",IFERROR(INDEX('Kitting Plan'!$D$5:$D$18,MATCH(B321,'Kitting Plan'!$C$5:$C$18,0)),"Unknown code"))</f>
        <v>R5B ERBIUM SPOOL ASSEMBLY - E2A</v>
      </c>
      <c r="D321" s="54" t="str">
        <f aca="false">IF(B321="","",IFERROR(INDEX('Kitting Plan'!$B$5:$B$18,MATCH(B321,'Kitting Plan'!$C$5:$C$18,0)),""))</f>
        <v>ERBIUM ASSY</v>
      </c>
      <c r="E321" s="45"/>
      <c r="F321" s="55" t="n">
        <f aca="false">IF(B321="","",IFERROR(INDEX('Kitting Plan'!$H$5:$H$18,MATCH(B321,'Kitting Plan'!$C$5:$C$18,0)),""))</f>
        <v>24</v>
      </c>
      <c r="G321" s="45" t="n">
        <v>1</v>
      </c>
      <c r="H321" s="56" t="n">
        <f aca="false">IF(B321="","",IF(G321="",F321,G321))</f>
        <v>1</v>
      </c>
      <c r="I321" s="45" t="s">
        <v>27</v>
      </c>
      <c r="J321" s="57" t="n">
        <v>46296</v>
      </c>
      <c r="K321" s="46" t="s">
        <v>107</v>
      </c>
      <c r="L321" s="54" t="str">
        <f aca="false">IF(A321="","",IF(B321="","Missing code",IF(C321="Unknown code","Unknown code",IF(COUNTIF($A$6:$A$1005,A321)&gt;1,"Duplicate WO",""))))</f>
        <v/>
      </c>
    </row>
    <row r="322" customFormat="false" ht="15" hidden="false" customHeight="false" outlineLevel="0" collapsed="false">
      <c r="A322" s="53" t="n">
        <v>100880101</v>
      </c>
      <c r="B322" s="46" t="s">
        <v>63</v>
      </c>
      <c r="C322" s="54" t="str">
        <f aca="false">IF(B322="","",IFERROR(INDEX('Kitting Plan'!$D$5:$D$18,MATCH(B322,'Kitting Plan'!$C$5:$C$18,0)),"Unknown code"))</f>
        <v>R5B ERBIUM SPOOL ASSEMBLY - E2A</v>
      </c>
      <c r="D322" s="54" t="str">
        <f aca="false">IF(B322="","",IFERROR(INDEX('Kitting Plan'!$B$5:$B$18,MATCH(B322,'Kitting Plan'!$C$5:$C$18,0)),""))</f>
        <v>ERBIUM ASSY</v>
      </c>
      <c r="E322" s="45"/>
      <c r="F322" s="55" t="n">
        <f aca="false">IF(B322="","",IFERROR(INDEX('Kitting Plan'!$H$5:$H$18,MATCH(B322,'Kitting Plan'!$C$5:$C$18,0)),""))</f>
        <v>24</v>
      </c>
      <c r="G322" s="45" t="n">
        <v>1</v>
      </c>
      <c r="H322" s="56" t="n">
        <f aca="false">IF(B322="","",IF(G322="",F322,G322))</f>
        <v>1</v>
      </c>
      <c r="I322" s="45" t="s">
        <v>27</v>
      </c>
      <c r="J322" s="57" t="n">
        <v>46296</v>
      </c>
      <c r="K322" s="46" t="s">
        <v>107</v>
      </c>
      <c r="L322" s="54" t="str">
        <f aca="false">IF(A322="","",IF(B322="","Missing code",IF(C322="Unknown code","Unknown code",IF(COUNTIF($A$6:$A$1005,A322)&gt;1,"Duplicate WO",""))))</f>
        <v/>
      </c>
    </row>
    <row r="323" customFormat="false" ht="15" hidden="false" customHeight="false" outlineLevel="0" collapsed="false">
      <c r="A323" s="53" t="n">
        <v>100880102</v>
      </c>
      <c r="B323" s="46" t="s">
        <v>63</v>
      </c>
      <c r="C323" s="54" t="str">
        <f aca="false">IF(B323="","",IFERROR(INDEX('Kitting Plan'!$D$5:$D$18,MATCH(B323,'Kitting Plan'!$C$5:$C$18,0)),"Unknown code"))</f>
        <v>R5B ERBIUM SPOOL ASSEMBLY - E2A</v>
      </c>
      <c r="D323" s="54" t="str">
        <f aca="false">IF(B323="","",IFERROR(INDEX('Kitting Plan'!$B$5:$B$18,MATCH(B323,'Kitting Plan'!$C$5:$C$18,0)),""))</f>
        <v>ERBIUM ASSY</v>
      </c>
      <c r="E323" s="45"/>
      <c r="F323" s="55" t="n">
        <f aca="false">IF(B323="","",IFERROR(INDEX('Kitting Plan'!$H$5:$H$18,MATCH(B323,'Kitting Plan'!$C$5:$C$18,0)),""))</f>
        <v>24</v>
      </c>
      <c r="G323" s="45" t="n">
        <v>1</v>
      </c>
      <c r="H323" s="56" t="n">
        <f aca="false">IF(B323="","",IF(G323="",F323,G323))</f>
        <v>1</v>
      </c>
      <c r="I323" s="45" t="s">
        <v>27</v>
      </c>
      <c r="J323" s="57" t="n">
        <v>46296</v>
      </c>
      <c r="K323" s="46" t="s">
        <v>107</v>
      </c>
      <c r="L323" s="54" t="str">
        <f aca="false">IF(A323="","",IF(B323="","Missing code",IF(C323="Unknown code","Unknown code",IF(COUNTIF($A$6:$A$1005,A323)&gt;1,"Duplicate WO",""))))</f>
        <v/>
      </c>
    </row>
    <row r="324" customFormat="false" ht="15" hidden="false" customHeight="false" outlineLevel="0" collapsed="false">
      <c r="A324" s="53" t="n">
        <v>100880103</v>
      </c>
      <c r="B324" s="46" t="s">
        <v>63</v>
      </c>
      <c r="C324" s="54" t="str">
        <f aca="false">IF(B324="","",IFERROR(INDEX('Kitting Plan'!$D$5:$D$18,MATCH(B324,'Kitting Plan'!$C$5:$C$18,0)),"Unknown code"))</f>
        <v>R5B ERBIUM SPOOL ASSEMBLY - E2A</v>
      </c>
      <c r="D324" s="54" t="str">
        <f aca="false">IF(B324="","",IFERROR(INDEX('Kitting Plan'!$B$5:$B$18,MATCH(B324,'Kitting Plan'!$C$5:$C$18,0)),""))</f>
        <v>ERBIUM ASSY</v>
      </c>
      <c r="E324" s="45"/>
      <c r="F324" s="55" t="n">
        <f aca="false">IF(B324="","",IFERROR(INDEX('Kitting Plan'!$H$5:$H$18,MATCH(B324,'Kitting Plan'!$C$5:$C$18,0)),""))</f>
        <v>24</v>
      </c>
      <c r="G324" s="45" t="n">
        <v>1</v>
      </c>
      <c r="H324" s="56" t="n">
        <f aca="false">IF(B324="","",IF(G324="",F324,G324))</f>
        <v>1</v>
      </c>
      <c r="I324" s="45" t="s">
        <v>27</v>
      </c>
      <c r="J324" s="57" t="n">
        <v>46296</v>
      </c>
      <c r="K324" s="46" t="s">
        <v>107</v>
      </c>
      <c r="L324" s="54" t="str">
        <f aca="false">IF(A324="","",IF(B324="","Missing code",IF(C324="Unknown code","Unknown code",IF(COUNTIF($A$6:$A$1005,A324)&gt;1,"Duplicate WO",""))))</f>
        <v/>
      </c>
    </row>
    <row r="325" customFormat="false" ht="15" hidden="false" customHeight="false" outlineLevel="0" collapsed="false">
      <c r="A325" s="53" t="n">
        <v>100880104</v>
      </c>
      <c r="B325" s="46" t="s">
        <v>63</v>
      </c>
      <c r="C325" s="54" t="str">
        <f aca="false">IF(B325="","",IFERROR(INDEX('Kitting Plan'!$D$5:$D$18,MATCH(B325,'Kitting Plan'!$C$5:$C$18,0)),"Unknown code"))</f>
        <v>R5B ERBIUM SPOOL ASSEMBLY - E2A</v>
      </c>
      <c r="D325" s="54" t="str">
        <f aca="false">IF(B325="","",IFERROR(INDEX('Kitting Plan'!$B$5:$B$18,MATCH(B325,'Kitting Plan'!$C$5:$C$18,0)),""))</f>
        <v>ERBIUM ASSY</v>
      </c>
      <c r="E325" s="45"/>
      <c r="F325" s="55" t="n">
        <f aca="false">IF(B325="","",IFERROR(INDEX('Kitting Plan'!$H$5:$H$18,MATCH(B325,'Kitting Plan'!$C$5:$C$18,0)),""))</f>
        <v>24</v>
      </c>
      <c r="G325" s="45" t="n">
        <v>1</v>
      </c>
      <c r="H325" s="56" t="n">
        <f aca="false">IF(B325="","",IF(G325="",F325,G325))</f>
        <v>1</v>
      </c>
      <c r="I325" s="45" t="s">
        <v>27</v>
      </c>
      <c r="J325" s="57" t="n">
        <v>46296</v>
      </c>
      <c r="K325" s="46" t="s">
        <v>107</v>
      </c>
      <c r="L325" s="54" t="str">
        <f aca="false">IF(A325="","",IF(B325="","Missing code",IF(C325="Unknown code","Unknown code",IF(COUNTIF($A$6:$A$1005,A325)&gt;1,"Duplicate WO",""))))</f>
        <v/>
      </c>
    </row>
    <row r="326" customFormat="false" ht="15" hidden="false" customHeight="false" outlineLevel="0" collapsed="false">
      <c r="A326" s="53" t="n">
        <v>100880105</v>
      </c>
      <c r="B326" s="46" t="s">
        <v>63</v>
      </c>
      <c r="C326" s="54" t="str">
        <f aca="false">IF(B326="","",IFERROR(INDEX('Kitting Plan'!$D$5:$D$18,MATCH(B326,'Kitting Plan'!$C$5:$C$18,0)),"Unknown code"))</f>
        <v>R5B ERBIUM SPOOL ASSEMBLY - E2A</v>
      </c>
      <c r="D326" s="54" t="str">
        <f aca="false">IF(B326="","",IFERROR(INDEX('Kitting Plan'!$B$5:$B$18,MATCH(B326,'Kitting Plan'!$C$5:$C$18,0)),""))</f>
        <v>ERBIUM ASSY</v>
      </c>
      <c r="E326" s="45"/>
      <c r="F326" s="55" t="n">
        <f aca="false">IF(B326="","",IFERROR(INDEX('Kitting Plan'!$H$5:$H$18,MATCH(B326,'Kitting Plan'!$C$5:$C$18,0)),""))</f>
        <v>24</v>
      </c>
      <c r="G326" s="45" t="n">
        <v>1</v>
      </c>
      <c r="H326" s="56" t="n">
        <f aca="false">IF(B326="","",IF(G326="",F326,G326))</f>
        <v>1</v>
      </c>
      <c r="I326" s="45" t="s">
        <v>27</v>
      </c>
      <c r="J326" s="57" t="n">
        <v>46296</v>
      </c>
      <c r="K326" s="46" t="s">
        <v>107</v>
      </c>
      <c r="L326" s="54" t="str">
        <f aca="false">IF(A326="","",IF(B326="","Missing code",IF(C326="Unknown code","Unknown code",IF(COUNTIF($A$6:$A$1005,A326)&gt;1,"Duplicate WO",""))))</f>
        <v/>
      </c>
    </row>
    <row r="327" customFormat="false" ht="15" hidden="false" customHeight="false" outlineLevel="0" collapsed="false">
      <c r="A327" s="53" t="n">
        <v>100880106</v>
      </c>
      <c r="B327" s="46" t="s">
        <v>63</v>
      </c>
      <c r="C327" s="54" t="str">
        <f aca="false">IF(B327="","",IFERROR(INDEX('Kitting Plan'!$D$5:$D$18,MATCH(B327,'Kitting Plan'!$C$5:$C$18,0)),"Unknown code"))</f>
        <v>R5B ERBIUM SPOOL ASSEMBLY - E2A</v>
      </c>
      <c r="D327" s="54" t="str">
        <f aca="false">IF(B327="","",IFERROR(INDEX('Kitting Plan'!$B$5:$B$18,MATCH(B327,'Kitting Plan'!$C$5:$C$18,0)),""))</f>
        <v>ERBIUM ASSY</v>
      </c>
      <c r="E327" s="45"/>
      <c r="F327" s="55" t="n">
        <f aca="false">IF(B327="","",IFERROR(INDEX('Kitting Plan'!$H$5:$H$18,MATCH(B327,'Kitting Plan'!$C$5:$C$18,0)),""))</f>
        <v>24</v>
      </c>
      <c r="G327" s="45" t="n">
        <v>1</v>
      </c>
      <c r="H327" s="56" t="n">
        <f aca="false">IF(B327="","",IF(G327="",F327,G327))</f>
        <v>1</v>
      </c>
      <c r="I327" s="45" t="s">
        <v>27</v>
      </c>
      <c r="J327" s="57" t="n">
        <v>46296</v>
      </c>
      <c r="K327" s="46" t="s">
        <v>107</v>
      </c>
      <c r="L327" s="54" t="str">
        <f aca="false">IF(A327="","",IF(B327="","Missing code",IF(C327="Unknown code","Unknown code",IF(COUNTIF($A$6:$A$1005,A327)&gt;1,"Duplicate WO",""))))</f>
        <v/>
      </c>
    </row>
    <row r="328" customFormat="false" ht="15" hidden="false" customHeight="false" outlineLevel="0" collapsed="false">
      <c r="A328" s="53" t="n">
        <v>100880107</v>
      </c>
      <c r="B328" s="46" t="s">
        <v>63</v>
      </c>
      <c r="C328" s="54" t="str">
        <f aca="false">IF(B328="","",IFERROR(INDEX('Kitting Plan'!$D$5:$D$18,MATCH(B328,'Kitting Plan'!$C$5:$C$18,0)),"Unknown code"))</f>
        <v>R5B ERBIUM SPOOL ASSEMBLY - E2A</v>
      </c>
      <c r="D328" s="54" t="str">
        <f aca="false">IF(B328="","",IFERROR(INDEX('Kitting Plan'!$B$5:$B$18,MATCH(B328,'Kitting Plan'!$C$5:$C$18,0)),""))</f>
        <v>ERBIUM ASSY</v>
      </c>
      <c r="E328" s="45"/>
      <c r="F328" s="55" t="n">
        <f aca="false">IF(B328="","",IFERROR(INDEX('Kitting Plan'!$H$5:$H$18,MATCH(B328,'Kitting Plan'!$C$5:$C$18,0)),""))</f>
        <v>24</v>
      </c>
      <c r="G328" s="45" t="n">
        <v>1</v>
      </c>
      <c r="H328" s="56" t="n">
        <f aca="false">IF(B328="","",IF(G328="",F328,G328))</f>
        <v>1</v>
      </c>
      <c r="I328" s="45" t="s">
        <v>27</v>
      </c>
      <c r="J328" s="57" t="n">
        <v>46296</v>
      </c>
      <c r="K328" s="46" t="s">
        <v>107</v>
      </c>
      <c r="L328" s="54" t="str">
        <f aca="false">IF(A328="","",IF(B328="","Missing code",IF(C328="Unknown code","Unknown code",IF(COUNTIF($A$6:$A$1005,A328)&gt;1,"Duplicate WO",""))))</f>
        <v/>
      </c>
    </row>
    <row r="329" customFormat="false" ht="15" hidden="false" customHeight="false" outlineLevel="0" collapsed="false">
      <c r="A329" s="53" t="n">
        <v>100880108</v>
      </c>
      <c r="B329" s="46" t="s">
        <v>63</v>
      </c>
      <c r="C329" s="54" t="str">
        <f aca="false">IF(B329="","",IFERROR(INDEX('Kitting Plan'!$D$5:$D$18,MATCH(B329,'Kitting Plan'!$C$5:$C$18,0)),"Unknown code"))</f>
        <v>R5B ERBIUM SPOOL ASSEMBLY - E2A</v>
      </c>
      <c r="D329" s="54" t="str">
        <f aca="false">IF(B329="","",IFERROR(INDEX('Kitting Plan'!$B$5:$B$18,MATCH(B329,'Kitting Plan'!$C$5:$C$18,0)),""))</f>
        <v>ERBIUM ASSY</v>
      </c>
      <c r="E329" s="45"/>
      <c r="F329" s="55" t="n">
        <f aca="false">IF(B329="","",IFERROR(INDEX('Kitting Plan'!$H$5:$H$18,MATCH(B329,'Kitting Plan'!$C$5:$C$18,0)),""))</f>
        <v>24</v>
      </c>
      <c r="G329" s="45" t="n">
        <v>1</v>
      </c>
      <c r="H329" s="56" t="n">
        <f aca="false">IF(B329="","",IF(G329="",F329,G329))</f>
        <v>1</v>
      </c>
      <c r="I329" s="45" t="s">
        <v>27</v>
      </c>
      <c r="J329" s="57" t="n">
        <v>46296</v>
      </c>
      <c r="K329" s="46" t="s">
        <v>107</v>
      </c>
      <c r="L329" s="54" t="str">
        <f aca="false">IF(A329="","",IF(B329="","Missing code",IF(C329="Unknown code","Unknown code",IF(COUNTIF($A$6:$A$1005,A329)&gt;1,"Duplicate WO",""))))</f>
        <v/>
      </c>
    </row>
    <row r="330" customFormat="false" ht="15" hidden="false" customHeight="false" outlineLevel="0" collapsed="false">
      <c r="A330" s="53" t="n">
        <v>100880109</v>
      </c>
      <c r="B330" s="46" t="s">
        <v>63</v>
      </c>
      <c r="C330" s="54" t="str">
        <f aca="false">IF(B330="","",IFERROR(INDEX('Kitting Plan'!$D$5:$D$18,MATCH(B330,'Kitting Plan'!$C$5:$C$18,0)),"Unknown code"))</f>
        <v>R5B ERBIUM SPOOL ASSEMBLY - E2A</v>
      </c>
      <c r="D330" s="54" t="str">
        <f aca="false">IF(B330="","",IFERROR(INDEX('Kitting Plan'!$B$5:$B$18,MATCH(B330,'Kitting Plan'!$C$5:$C$18,0)),""))</f>
        <v>ERBIUM ASSY</v>
      </c>
      <c r="E330" s="45"/>
      <c r="F330" s="55" t="n">
        <f aca="false">IF(B330="","",IFERROR(INDEX('Kitting Plan'!$H$5:$H$18,MATCH(B330,'Kitting Plan'!$C$5:$C$18,0)),""))</f>
        <v>24</v>
      </c>
      <c r="G330" s="45" t="n">
        <v>1</v>
      </c>
      <c r="H330" s="56" t="n">
        <f aca="false">IF(B330="","",IF(G330="",F330,G330))</f>
        <v>1</v>
      </c>
      <c r="I330" s="45" t="s">
        <v>27</v>
      </c>
      <c r="J330" s="57" t="n">
        <v>46296</v>
      </c>
      <c r="K330" s="46" t="s">
        <v>107</v>
      </c>
      <c r="L330" s="54" t="str">
        <f aca="false">IF(A330="","",IF(B330="","Missing code",IF(C330="Unknown code","Unknown code",IF(COUNTIF($A$6:$A$1005,A330)&gt;1,"Duplicate WO",""))))</f>
        <v/>
      </c>
    </row>
    <row r="331" customFormat="false" ht="15" hidden="false" customHeight="false" outlineLevel="0" collapsed="false">
      <c r="A331" s="53" t="n">
        <v>100880196</v>
      </c>
      <c r="B331" s="46" t="s">
        <v>63</v>
      </c>
      <c r="C331" s="54" t="str">
        <f aca="false">IF(B331="","",IFERROR(INDEX('Kitting Plan'!$D$5:$D$18,MATCH(B331,'Kitting Plan'!$C$5:$C$18,0)),"Unknown code"))</f>
        <v>R5B ERBIUM SPOOL ASSEMBLY - E2A</v>
      </c>
      <c r="D331" s="54" t="str">
        <f aca="false">IF(B331="","",IFERROR(INDEX('Kitting Plan'!$B$5:$B$18,MATCH(B331,'Kitting Plan'!$C$5:$C$18,0)),""))</f>
        <v>ERBIUM ASSY</v>
      </c>
      <c r="E331" s="45"/>
      <c r="F331" s="55" t="n">
        <f aca="false">IF(B331="","",IFERROR(INDEX('Kitting Plan'!$H$5:$H$18,MATCH(B331,'Kitting Plan'!$C$5:$C$18,0)),""))</f>
        <v>24</v>
      </c>
      <c r="G331" s="45" t="n">
        <v>1</v>
      </c>
      <c r="H331" s="56" t="n">
        <f aca="false">IF(B331="","",IF(G331="",F331,G331))</f>
        <v>1</v>
      </c>
      <c r="I331" s="45" t="s">
        <v>25</v>
      </c>
      <c r="J331" s="57" t="n">
        <v>46297</v>
      </c>
      <c r="K331" s="46" t="s">
        <v>106</v>
      </c>
      <c r="L331" s="54" t="str">
        <f aca="false">IF(A331="","",IF(B331="","Missing code",IF(C331="Unknown code","Unknown code",IF(COUNTIF($A$6:$A$1005,A331)&gt;1,"Duplicate WO",""))))</f>
        <v/>
      </c>
    </row>
    <row r="332" customFormat="false" ht="15" hidden="false" customHeight="false" outlineLevel="0" collapsed="false">
      <c r="A332" s="53" t="n">
        <v>100880197</v>
      </c>
      <c r="B332" s="46" t="s">
        <v>63</v>
      </c>
      <c r="C332" s="54" t="str">
        <f aca="false">IF(B332="","",IFERROR(INDEX('Kitting Plan'!$D$5:$D$18,MATCH(B332,'Kitting Plan'!$C$5:$C$18,0)),"Unknown code"))</f>
        <v>R5B ERBIUM SPOOL ASSEMBLY - E2A</v>
      </c>
      <c r="D332" s="54" t="str">
        <f aca="false">IF(B332="","",IFERROR(INDEX('Kitting Plan'!$B$5:$B$18,MATCH(B332,'Kitting Plan'!$C$5:$C$18,0)),""))</f>
        <v>ERBIUM ASSY</v>
      </c>
      <c r="E332" s="45"/>
      <c r="F332" s="55" t="n">
        <f aca="false">IF(B332="","",IFERROR(INDEX('Kitting Plan'!$H$5:$H$18,MATCH(B332,'Kitting Plan'!$C$5:$C$18,0)),""))</f>
        <v>24</v>
      </c>
      <c r="G332" s="45" t="n">
        <v>1</v>
      </c>
      <c r="H332" s="56" t="n">
        <f aca="false">IF(B332="","",IF(G332="",F332,G332))</f>
        <v>1</v>
      </c>
      <c r="I332" s="45" t="s">
        <v>25</v>
      </c>
      <c r="J332" s="57" t="n">
        <v>46297</v>
      </c>
      <c r="K332" s="46" t="s">
        <v>106</v>
      </c>
      <c r="L332" s="54" t="str">
        <f aca="false">IF(A332="","",IF(B332="","Missing code",IF(C332="Unknown code","Unknown code",IF(COUNTIF($A$6:$A$1005,A332)&gt;1,"Duplicate WO",""))))</f>
        <v/>
      </c>
    </row>
    <row r="333" customFormat="false" ht="15" hidden="false" customHeight="false" outlineLevel="0" collapsed="false">
      <c r="A333" s="53" t="n">
        <v>100880198</v>
      </c>
      <c r="B333" s="46" t="s">
        <v>63</v>
      </c>
      <c r="C333" s="54" t="str">
        <f aca="false">IF(B333="","",IFERROR(INDEX('Kitting Plan'!$D$5:$D$18,MATCH(B333,'Kitting Plan'!$C$5:$C$18,0)),"Unknown code"))</f>
        <v>R5B ERBIUM SPOOL ASSEMBLY - E2A</v>
      </c>
      <c r="D333" s="54" t="str">
        <f aca="false">IF(B333="","",IFERROR(INDEX('Kitting Plan'!$B$5:$B$18,MATCH(B333,'Kitting Plan'!$C$5:$C$18,0)),""))</f>
        <v>ERBIUM ASSY</v>
      </c>
      <c r="E333" s="45"/>
      <c r="F333" s="55" t="n">
        <f aca="false">IF(B333="","",IFERROR(INDEX('Kitting Plan'!$H$5:$H$18,MATCH(B333,'Kitting Plan'!$C$5:$C$18,0)),""))</f>
        <v>24</v>
      </c>
      <c r="G333" s="45" t="n">
        <v>1</v>
      </c>
      <c r="H333" s="56" t="n">
        <f aca="false">IF(B333="","",IF(G333="",F333,G333))</f>
        <v>1</v>
      </c>
      <c r="I333" s="45" t="s">
        <v>25</v>
      </c>
      <c r="J333" s="57" t="n">
        <v>46297</v>
      </c>
      <c r="K333" s="46" t="s">
        <v>106</v>
      </c>
      <c r="L333" s="54" t="str">
        <f aca="false">IF(A333="","",IF(B333="","Missing code",IF(C333="Unknown code","Unknown code",IF(COUNTIF($A$6:$A$1005,A333)&gt;1,"Duplicate WO",""))))</f>
        <v/>
      </c>
    </row>
    <row r="334" customFormat="false" ht="15" hidden="false" customHeight="false" outlineLevel="0" collapsed="false">
      <c r="A334" s="53" t="n">
        <v>100880199</v>
      </c>
      <c r="B334" s="46" t="s">
        <v>63</v>
      </c>
      <c r="C334" s="54" t="str">
        <f aca="false">IF(B334="","",IFERROR(INDEX('Kitting Plan'!$D$5:$D$18,MATCH(B334,'Kitting Plan'!$C$5:$C$18,0)),"Unknown code"))</f>
        <v>R5B ERBIUM SPOOL ASSEMBLY - E2A</v>
      </c>
      <c r="D334" s="54" t="str">
        <f aca="false">IF(B334="","",IFERROR(INDEX('Kitting Plan'!$B$5:$B$18,MATCH(B334,'Kitting Plan'!$C$5:$C$18,0)),""))</f>
        <v>ERBIUM ASSY</v>
      </c>
      <c r="E334" s="45"/>
      <c r="F334" s="55" t="n">
        <f aca="false">IF(B334="","",IFERROR(INDEX('Kitting Plan'!$H$5:$H$18,MATCH(B334,'Kitting Plan'!$C$5:$C$18,0)),""))</f>
        <v>24</v>
      </c>
      <c r="G334" s="45" t="n">
        <v>1</v>
      </c>
      <c r="H334" s="56" t="n">
        <f aca="false">IF(B334="","",IF(G334="",F334,G334))</f>
        <v>1</v>
      </c>
      <c r="I334" s="45" t="s">
        <v>25</v>
      </c>
      <c r="J334" s="57" t="n">
        <v>46297</v>
      </c>
      <c r="K334" s="46" t="s">
        <v>106</v>
      </c>
      <c r="L334" s="54" t="str">
        <f aca="false">IF(A334="","",IF(B334="","Missing code",IF(C334="Unknown code","Unknown code",IF(COUNTIF($A$6:$A$1005,A334)&gt;1,"Duplicate WO",""))))</f>
        <v/>
      </c>
    </row>
    <row r="335" customFormat="false" ht="15" hidden="false" customHeight="false" outlineLevel="0" collapsed="false">
      <c r="A335" s="53" t="n">
        <v>100880200</v>
      </c>
      <c r="B335" s="46" t="s">
        <v>63</v>
      </c>
      <c r="C335" s="54" t="str">
        <f aca="false">IF(B335="","",IFERROR(INDEX('Kitting Plan'!$D$5:$D$18,MATCH(B335,'Kitting Plan'!$C$5:$C$18,0)),"Unknown code"))</f>
        <v>R5B ERBIUM SPOOL ASSEMBLY - E2A</v>
      </c>
      <c r="D335" s="54" t="str">
        <f aca="false">IF(B335="","",IFERROR(INDEX('Kitting Plan'!$B$5:$B$18,MATCH(B335,'Kitting Plan'!$C$5:$C$18,0)),""))</f>
        <v>ERBIUM ASSY</v>
      </c>
      <c r="E335" s="45"/>
      <c r="F335" s="55" t="n">
        <f aca="false">IF(B335="","",IFERROR(INDEX('Kitting Plan'!$H$5:$H$18,MATCH(B335,'Kitting Plan'!$C$5:$C$18,0)),""))</f>
        <v>24</v>
      </c>
      <c r="G335" s="45" t="n">
        <v>1</v>
      </c>
      <c r="H335" s="56" t="n">
        <f aca="false">IF(B335="","",IF(G335="",F335,G335))</f>
        <v>1</v>
      </c>
      <c r="I335" s="45" t="s">
        <v>25</v>
      </c>
      <c r="J335" s="57" t="n">
        <v>46297</v>
      </c>
      <c r="K335" s="46" t="s">
        <v>106</v>
      </c>
      <c r="L335" s="54" t="str">
        <f aca="false">IF(A335="","",IF(B335="","Missing code",IF(C335="Unknown code","Unknown code",IF(COUNTIF($A$6:$A$1005,A335)&gt;1,"Duplicate WO",""))))</f>
        <v/>
      </c>
    </row>
    <row r="336" customFormat="false" ht="15" hidden="false" customHeight="false" outlineLevel="0" collapsed="false">
      <c r="A336" s="53" t="n">
        <v>100880201</v>
      </c>
      <c r="B336" s="46" t="s">
        <v>63</v>
      </c>
      <c r="C336" s="54" t="str">
        <f aca="false">IF(B336="","",IFERROR(INDEX('Kitting Plan'!$D$5:$D$18,MATCH(B336,'Kitting Plan'!$C$5:$C$18,0)),"Unknown code"))</f>
        <v>R5B ERBIUM SPOOL ASSEMBLY - E2A</v>
      </c>
      <c r="D336" s="54" t="str">
        <f aca="false">IF(B336="","",IFERROR(INDEX('Kitting Plan'!$B$5:$B$18,MATCH(B336,'Kitting Plan'!$C$5:$C$18,0)),""))</f>
        <v>ERBIUM ASSY</v>
      </c>
      <c r="E336" s="45"/>
      <c r="F336" s="55" t="n">
        <f aca="false">IF(B336="","",IFERROR(INDEX('Kitting Plan'!$H$5:$H$18,MATCH(B336,'Kitting Plan'!$C$5:$C$18,0)),""))</f>
        <v>24</v>
      </c>
      <c r="G336" s="45" t="n">
        <v>1</v>
      </c>
      <c r="H336" s="56" t="n">
        <f aca="false">IF(B336="","",IF(G336="",F336,G336))</f>
        <v>1</v>
      </c>
      <c r="I336" s="45" t="s">
        <v>25</v>
      </c>
      <c r="J336" s="57" t="n">
        <v>46297</v>
      </c>
      <c r="K336" s="46" t="s">
        <v>106</v>
      </c>
      <c r="L336" s="54" t="str">
        <f aca="false">IF(A336="","",IF(B336="","Missing code",IF(C336="Unknown code","Unknown code",IF(COUNTIF($A$6:$A$1005,A336)&gt;1,"Duplicate WO",""))))</f>
        <v/>
      </c>
    </row>
    <row r="337" customFormat="false" ht="15" hidden="false" customHeight="false" outlineLevel="0" collapsed="false">
      <c r="A337" s="53" t="n">
        <v>100880202</v>
      </c>
      <c r="B337" s="46" t="s">
        <v>63</v>
      </c>
      <c r="C337" s="54" t="str">
        <f aca="false">IF(B337="","",IFERROR(INDEX('Kitting Plan'!$D$5:$D$18,MATCH(B337,'Kitting Plan'!$C$5:$C$18,0)),"Unknown code"))</f>
        <v>R5B ERBIUM SPOOL ASSEMBLY - E2A</v>
      </c>
      <c r="D337" s="54" t="str">
        <f aca="false">IF(B337="","",IFERROR(INDEX('Kitting Plan'!$B$5:$B$18,MATCH(B337,'Kitting Plan'!$C$5:$C$18,0)),""))</f>
        <v>ERBIUM ASSY</v>
      </c>
      <c r="E337" s="45"/>
      <c r="F337" s="55" t="n">
        <f aca="false">IF(B337="","",IFERROR(INDEX('Kitting Plan'!$H$5:$H$18,MATCH(B337,'Kitting Plan'!$C$5:$C$18,0)),""))</f>
        <v>24</v>
      </c>
      <c r="G337" s="45" t="n">
        <v>1</v>
      </c>
      <c r="H337" s="56" t="n">
        <f aca="false">IF(B337="","",IF(G337="",F337,G337))</f>
        <v>1</v>
      </c>
      <c r="I337" s="45" t="s">
        <v>25</v>
      </c>
      <c r="J337" s="57" t="n">
        <v>46297</v>
      </c>
      <c r="K337" s="46" t="s">
        <v>106</v>
      </c>
      <c r="L337" s="54" t="str">
        <f aca="false">IF(A337="","",IF(B337="","Missing code",IF(C337="Unknown code","Unknown code",IF(COUNTIF($A$6:$A$1005,A337)&gt;1,"Duplicate WO",""))))</f>
        <v/>
      </c>
    </row>
    <row r="338" customFormat="false" ht="15" hidden="false" customHeight="false" outlineLevel="0" collapsed="false">
      <c r="A338" s="53" t="n">
        <v>100880203</v>
      </c>
      <c r="B338" s="46" t="s">
        <v>63</v>
      </c>
      <c r="C338" s="54" t="str">
        <f aca="false">IF(B338="","",IFERROR(INDEX('Kitting Plan'!$D$5:$D$18,MATCH(B338,'Kitting Plan'!$C$5:$C$18,0)),"Unknown code"))</f>
        <v>R5B ERBIUM SPOOL ASSEMBLY - E2A</v>
      </c>
      <c r="D338" s="54" t="str">
        <f aca="false">IF(B338="","",IFERROR(INDEX('Kitting Plan'!$B$5:$B$18,MATCH(B338,'Kitting Plan'!$C$5:$C$18,0)),""))</f>
        <v>ERBIUM ASSY</v>
      </c>
      <c r="E338" s="45"/>
      <c r="F338" s="55" t="n">
        <f aca="false">IF(B338="","",IFERROR(INDEX('Kitting Plan'!$H$5:$H$18,MATCH(B338,'Kitting Plan'!$C$5:$C$18,0)),""))</f>
        <v>24</v>
      </c>
      <c r="G338" s="45" t="n">
        <v>1</v>
      </c>
      <c r="H338" s="56" t="n">
        <f aca="false">IF(B338="","",IF(G338="",F338,G338))</f>
        <v>1</v>
      </c>
      <c r="I338" s="45" t="s">
        <v>25</v>
      </c>
      <c r="J338" s="57" t="n">
        <v>46297</v>
      </c>
      <c r="K338" s="46" t="s">
        <v>106</v>
      </c>
      <c r="L338" s="54" t="str">
        <f aca="false">IF(A338="","",IF(B338="","Missing code",IF(C338="Unknown code","Unknown code",IF(COUNTIF($A$6:$A$1005,A338)&gt;1,"Duplicate WO",""))))</f>
        <v/>
      </c>
    </row>
    <row r="339" customFormat="false" ht="15" hidden="false" customHeight="false" outlineLevel="0" collapsed="false">
      <c r="A339" s="53" t="n">
        <v>100880204</v>
      </c>
      <c r="B339" s="46" t="s">
        <v>63</v>
      </c>
      <c r="C339" s="54" t="str">
        <f aca="false">IF(B339="","",IFERROR(INDEX('Kitting Plan'!$D$5:$D$18,MATCH(B339,'Kitting Plan'!$C$5:$C$18,0)),"Unknown code"))</f>
        <v>R5B ERBIUM SPOOL ASSEMBLY - E2A</v>
      </c>
      <c r="D339" s="54" t="str">
        <f aca="false">IF(B339="","",IFERROR(INDEX('Kitting Plan'!$B$5:$B$18,MATCH(B339,'Kitting Plan'!$C$5:$C$18,0)),""))</f>
        <v>ERBIUM ASSY</v>
      </c>
      <c r="E339" s="45"/>
      <c r="F339" s="55" t="n">
        <f aca="false">IF(B339="","",IFERROR(INDEX('Kitting Plan'!$H$5:$H$18,MATCH(B339,'Kitting Plan'!$C$5:$C$18,0)),""))</f>
        <v>24</v>
      </c>
      <c r="G339" s="45" t="n">
        <v>1</v>
      </c>
      <c r="H339" s="56" t="n">
        <f aca="false">IF(B339="","",IF(G339="",F339,G339))</f>
        <v>1</v>
      </c>
      <c r="I339" s="45" t="s">
        <v>25</v>
      </c>
      <c r="J339" s="57" t="n">
        <v>46297</v>
      </c>
      <c r="K339" s="46" t="s">
        <v>106</v>
      </c>
      <c r="L339" s="54" t="str">
        <f aca="false">IF(A339="","",IF(B339="","Missing code",IF(C339="Unknown code","Unknown code",IF(COUNTIF($A$6:$A$1005,A339)&gt;1,"Duplicate WO",""))))</f>
        <v/>
      </c>
    </row>
    <row r="340" customFormat="false" ht="15" hidden="false" customHeight="false" outlineLevel="0" collapsed="false">
      <c r="A340" s="53" t="n">
        <v>100880205</v>
      </c>
      <c r="B340" s="46" t="s">
        <v>63</v>
      </c>
      <c r="C340" s="54" t="str">
        <f aca="false">IF(B340="","",IFERROR(INDEX('Kitting Plan'!$D$5:$D$18,MATCH(B340,'Kitting Plan'!$C$5:$C$18,0)),"Unknown code"))</f>
        <v>R5B ERBIUM SPOOL ASSEMBLY - E2A</v>
      </c>
      <c r="D340" s="54" t="str">
        <f aca="false">IF(B340="","",IFERROR(INDEX('Kitting Plan'!$B$5:$B$18,MATCH(B340,'Kitting Plan'!$C$5:$C$18,0)),""))</f>
        <v>ERBIUM ASSY</v>
      </c>
      <c r="E340" s="45"/>
      <c r="F340" s="55" t="n">
        <f aca="false">IF(B340="","",IFERROR(INDEX('Kitting Plan'!$H$5:$H$18,MATCH(B340,'Kitting Plan'!$C$5:$C$18,0)),""))</f>
        <v>24</v>
      </c>
      <c r="G340" s="45" t="n">
        <v>1</v>
      </c>
      <c r="H340" s="56" t="n">
        <f aca="false">IF(B340="","",IF(G340="",F340,G340))</f>
        <v>1</v>
      </c>
      <c r="I340" s="45" t="s">
        <v>25</v>
      </c>
      <c r="J340" s="57" t="n">
        <v>46297</v>
      </c>
      <c r="K340" s="46" t="s">
        <v>106</v>
      </c>
      <c r="L340" s="54" t="str">
        <f aca="false">IF(A340="","",IF(B340="","Missing code",IF(C340="Unknown code","Unknown code",IF(COUNTIF($A$6:$A$1005,A340)&gt;1,"Duplicate WO",""))))</f>
        <v/>
      </c>
    </row>
    <row r="341" customFormat="false" ht="15" hidden="false" customHeight="false" outlineLevel="0" collapsed="false">
      <c r="A341" s="53" t="n">
        <v>100880206</v>
      </c>
      <c r="B341" s="46" t="s">
        <v>63</v>
      </c>
      <c r="C341" s="54" t="str">
        <f aca="false">IF(B341="","",IFERROR(INDEX('Kitting Plan'!$D$5:$D$18,MATCH(B341,'Kitting Plan'!$C$5:$C$18,0)),"Unknown code"))</f>
        <v>R5B ERBIUM SPOOL ASSEMBLY - E2A</v>
      </c>
      <c r="D341" s="54" t="str">
        <f aca="false">IF(B341="","",IFERROR(INDEX('Kitting Plan'!$B$5:$B$18,MATCH(B341,'Kitting Plan'!$C$5:$C$18,0)),""))</f>
        <v>ERBIUM ASSY</v>
      </c>
      <c r="E341" s="45"/>
      <c r="F341" s="55" t="n">
        <f aca="false">IF(B341="","",IFERROR(INDEX('Kitting Plan'!$H$5:$H$18,MATCH(B341,'Kitting Plan'!$C$5:$C$18,0)),""))</f>
        <v>24</v>
      </c>
      <c r="G341" s="45" t="n">
        <v>1</v>
      </c>
      <c r="H341" s="56" t="n">
        <f aca="false">IF(B341="","",IF(G341="",F341,G341))</f>
        <v>1</v>
      </c>
      <c r="I341" s="45" t="s">
        <v>25</v>
      </c>
      <c r="J341" s="57" t="n">
        <v>46297</v>
      </c>
      <c r="K341" s="46" t="s">
        <v>106</v>
      </c>
      <c r="L341" s="54" t="str">
        <f aca="false">IF(A341="","",IF(B341="","Missing code",IF(C341="Unknown code","Unknown code",IF(COUNTIF($A$6:$A$1005,A341)&gt;1,"Duplicate WO",""))))</f>
        <v/>
      </c>
    </row>
    <row r="342" customFormat="false" ht="15" hidden="false" customHeight="false" outlineLevel="0" collapsed="false">
      <c r="A342" s="53" t="n">
        <v>100880207</v>
      </c>
      <c r="B342" s="46" t="s">
        <v>63</v>
      </c>
      <c r="C342" s="54" t="str">
        <f aca="false">IF(B342="","",IFERROR(INDEX('Kitting Plan'!$D$5:$D$18,MATCH(B342,'Kitting Plan'!$C$5:$C$18,0)),"Unknown code"))</f>
        <v>R5B ERBIUM SPOOL ASSEMBLY - E2A</v>
      </c>
      <c r="D342" s="54" t="str">
        <f aca="false">IF(B342="","",IFERROR(INDEX('Kitting Plan'!$B$5:$B$18,MATCH(B342,'Kitting Plan'!$C$5:$C$18,0)),""))</f>
        <v>ERBIUM ASSY</v>
      </c>
      <c r="E342" s="45"/>
      <c r="F342" s="55" t="n">
        <f aca="false">IF(B342="","",IFERROR(INDEX('Kitting Plan'!$H$5:$H$18,MATCH(B342,'Kitting Plan'!$C$5:$C$18,0)),""))</f>
        <v>24</v>
      </c>
      <c r="G342" s="45" t="n">
        <v>1</v>
      </c>
      <c r="H342" s="56" t="n">
        <f aca="false">IF(B342="","",IF(G342="",F342,G342))</f>
        <v>1</v>
      </c>
      <c r="I342" s="45" t="s">
        <v>25</v>
      </c>
      <c r="J342" s="57" t="n">
        <v>46297</v>
      </c>
      <c r="K342" s="46" t="s">
        <v>106</v>
      </c>
      <c r="L342" s="54" t="str">
        <f aca="false">IF(A342="","",IF(B342="","Missing code",IF(C342="Unknown code","Unknown code",IF(COUNTIF($A$6:$A$1005,A342)&gt;1,"Duplicate WO",""))))</f>
        <v/>
      </c>
    </row>
    <row r="343" customFormat="false" ht="15" hidden="false" customHeight="false" outlineLevel="0" collapsed="false">
      <c r="A343" s="53" t="n">
        <v>100880208</v>
      </c>
      <c r="B343" s="46" t="s">
        <v>63</v>
      </c>
      <c r="C343" s="54" t="str">
        <f aca="false">IF(B343="","",IFERROR(INDEX('Kitting Plan'!$D$5:$D$18,MATCH(B343,'Kitting Plan'!$C$5:$C$18,0)),"Unknown code"))</f>
        <v>R5B ERBIUM SPOOL ASSEMBLY - E2A</v>
      </c>
      <c r="D343" s="54" t="str">
        <f aca="false">IF(B343="","",IFERROR(INDEX('Kitting Plan'!$B$5:$B$18,MATCH(B343,'Kitting Plan'!$C$5:$C$18,0)),""))</f>
        <v>ERBIUM ASSY</v>
      </c>
      <c r="E343" s="45"/>
      <c r="F343" s="55" t="n">
        <f aca="false">IF(B343="","",IFERROR(INDEX('Kitting Plan'!$H$5:$H$18,MATCH(B343,'Kitting Plan'!$C$5:$C$18,0)),""))</f>
        <v>24</v>
      </c>
      <c r="G343" s="45" t="n">
        <v>1</v>
      </c>
      <c r="H343" s="56" t="n">
        <f aca="false">IF(B343="","",IF(G343="",F343,G343))</f>
        <v>1</v>
      </c>
      <c r="I343" s="45" t="s">
        <v>25</v>
      </c>
      <c r="J343" s="57" t="n">
        <v>46297</v>
      </c>
      <c r="K343" s="46" t="s">
        <v>106</v>
      </c>
      <c r="L343" s="54" t="str">
        <f aca="false">IF(A343="","",IF(B343="","Missing code",IF(C343="Unknown code","Unknown code",IF(COUNTIF($A$6:$A$1005,A343)&gt;1,"Duplicate WO",""))))</f>
        <v/>
      </c>
    </row>
    <row r="344" customFormat="false" ht="15" hidden="false" customHeight="false" outlineLevel="0" collapsed="false">
      <c r="A344" s="53" t="n">
        <v>100880209</v>
      </c>
      <c r="B344" s="46" t="s">
        <v>63</v>
      </c>
      <c r="C344" s="54" t="str">
        <f aca="false">IF(B344="","",IFERROR(INDEX('Kitting Plan'!$D$5:$D$18,MATCH(B344,'Kitting Plan'!$C$5:$C$18,0)),"Unknown code"))</f>
        <v>R5B ERBIUM SPOOL ASSEMBLY - E2A</v>
      </c>
      <c r="D344" s="54" t="str">
        <f aca="false">IF(B344="","",IFERROR(INDEX('Kitting Plan'!$B$5:$B$18,MATCH(B344,'Kitting Plan'!$C$5:$C$18,0)),""))</f>
        <v>ERBIUM ASSY</v>
      </c>
      <c r="E344" s="45"/>
      <c r="F344" s="55" t="n">
        <f aca="false">IF(B344="","",IFERROR(INDEX('Kitting Plan'!$H$5:$H$18,MATCH(B344,'Kitting Plan'!$C$5:$C$18,0)),""))</f>
        <v>24</v>
      </c>
      <c r="G344" s="45" t="n">
        <v>1</v>
      </c>
      <c r="H344" s="56" t="n">
        <f aca="false">IF(B344="","",IF(G344="",F344,G344))</f>
        <v>1</v>
      </c>
      <c r="I344" s="45" t="s">
        <v>25</v>
      </c>
      <c r="J344" s="57" t="n">
        <v>46297</v>
      </c>
      <c r="K344" s="46" t="s">
        <v>106</v>
      </c>
      <c r="L344" s="54" t="str">
        <f aca="false">IF(A344="","",IF(B344="","Missing code",IF(C344="Unknown code","Unknown code",IF(COUNTIF($A$6:$A$1005,A344)&gt;1,"Duplicate WO",""))))</f>
        <v/>
      </c>
    </row>
    <row r="345" customFormat="false" ht="15" hidden="false" customHeight="false" outlineLevel="0" collapsed="false">
      <c r="A345" s="53" t="n">
        <v>100880210</v>
      </c>
      <c r="B345" s="46" t="s">
        <v>63</v>
      </c>
      <c r="C345" s="54" t="str">
        <f aca="false">IF(B345="","",IFERROR(INDEX('Kitting Plan'!$D$5:$D$18,MATCH(B345,'Kitting Plan'!$C$5:$C$18,0)),"Unknown code"))</f>
        <v>R5B ERBIUM SPOOL ASSEMBLY - E2A</v>
      </c>
      <c r="D345" s="54" t="str">
        <f aca="false">IF(B345="","",IFERROR(INDEX('Kitting Plan'!$B$5:$B$18,MATCH(B345,'Kitting Plan'!$C$5:$C$18,0)),""))</f>
        <v>ERBIUM ASSY</v>
      </c>
      <c r="E345" s="45"/>
      <c r="F345" s="55" t="n">
        <f aca="false">IF(B345="","",IFERROR(INDEX('Kitting Plan'!$H$5:$H$18,MATCH(B345,'Kitting Plan'!$C$5:$C$18,0)),""))</f>
        <v>24</v>
      </c>
      <c r="G345" s="45" t="n">
        <v>1</v>
      </c>
      <c r="H345" s="56" t="n">
        <f aca="false">IF(B345="","",IF(G345="",F345,G345))</f>
        <v>1</v>
      </c>
      <c r="I345" s="45" t="s">
        <v>25</v>
      </c>
      <c r="J345" s="57" t="n">
        <v>46297</v>
      </c>
      <c r="K345" s="46" t="s">
        <v>106</v>
      </c>
      <c r="L345" s="54" t="str">
        <f aca="false">IF(A345="","",IF(B345="","Missing code",IF(C345="Unknown code","Unknown code",IF(COUNTIF($A$6:$A$1005,A345)&gt;1,"Duplicate WO",""))))</f>
        <v/>
      </c>
    </row>
    <row r="346" customFormat="false" ht="15" hidden="false" customHeight="false" outlineLevel="0" collapsed="false">
      <c r="A346" s="53" t="n">
        <v>100880211</v>
      </c>
      <c r="B346" s="46" t="s">
        <v>63</v>
      </c>
      <c r="C346" s="54" t="str">
        <f aca="false">IF(B346="","",IFERROR(INDEX('Kitting Plan'!$D$5:$D$18,MATCH(B346,'Kitting Plan'!$C$5:$C$18,0)),"Unknown code"))</f>
        <v>R5B ERBIUM SPOOL ASSEMBLY - E2A</v>
      </c>
      <c r="D346" s="54" t="str">
        <f aca="false">IF(B346="","",IFERROR(INDEX('Kitting Plan'!$B$5:$B$18,MATCH(B346,'Kitting Plan'!$C$5:$C$18,0)),""))</f>
        <v>ERBIUM ASSY</v>
      </c>
      <c r="E346" s="45"/>
      <c r="F346" s="55" t="n">
        <f aca="false">IF(B346="","",IFERROR(INDEX('Kitting Plan'!$H$5:$H$18,MATCH(B346,'Kitting Plan'!$C$5:$C$18,0)),""))</f>
        <v>24</v>
      </c>
      <c r="G346" s="45" t="n">
        <v>1</v>
      </c>
      <c r="H346" s="56" t="n">
        <f aca="false">IF(B346="","",IF(G346="",F346,G346))</f>
        <v>1</v>
      </c>
      <c r="I346" s="45" t="s">
        <v>25</v>
      </c>
      <c r="J346" s="57" t="n">
        <v>46297</v>
      </c>
      <c r="K346" s="46" t="s">
        <v>106</v>
      </c>
      <c r="L346" s="54" t="str">
        <f aca="false">IF(A346="","",IF(B346="","Missing code",IF(C346="Unknown code","Unknown code",IF(COUNTIF($A$6:$A$1005,A346)&gt;1,"Duplicate WO",""))))</f>
        <v/>
      </c>
    </row>
    <row r="347" customFormat="false" ht="15" hidden="false" customHeight="false" outlineLevel="0" collapsed="false">
      <c r="A347" s="53" t="n">
        <v>100880212</v>
      </c>
      <c r="B347" s="46" t="s">
        <v>63</v>
      </c>
      <c r="C347" s="54" t="str">
        <f aca="false">IF(B347="","",IFERROR(INDEX('Kitting Plan'!$D$5:$D$18,MATCH(B347,'Kitting Plan'!$C$5:$C$18,0)),"Unknown code"))</f>
        <v>R5B ERBIUM SPOOL ASSEMBLY - E2A</v>
      </c>
      <c r="D347" s="54" t="str">
        <f aca="false">IF(B347="","",IFERROR(INDEX('Kitting Plan'!$B$5:$B$18,MATCH(B347,'Kitting Plan'!$C$5:$C$18,0)),""))</f>
        <v>ERBIUM ASSY</v>
      </c>
      <c r="E347" s="45"/>
      <c r="F347" s="55" t="n">
        <f aca="false">IF(B347="","",IFERROR(INDEX('Kitting Plan'!$H$5:$H$18,MATCH(B347,'Kitting Plan'!$C$5:$C$18,0)),""))</f>
        <v>24</v>
      </c>
      <c r="G347" s="45" t="n">
        <v>1</v>
      </c>
      <c r="H347" s="56" t="n">
        <f aca="false">IF(B347="","",IF(G347="",F347,G347))</f>
        <v>1</v>
      </c>
      <c r="I347" s="45" t="s">
        <v>25</v>
      </c>
      <c r="J347" s="57" t="n">
        <v>46297</v>
      </c>
      <c r="K347" s="46" t="s">
        <v>106</v>
      </c>
      <c r="L347" s="54" t="str">
        <f aca="false">IF(A347="","",IF(B347="","Missing code",IF(C347="Unknown code","Unknown code",IF(COUNTIF($A$6:$A$1005,A347)&gt;1,"Duplicate WO",""))))</f>
        <v/>
      </c>
    </row>
    <row r="348" customFormat="false" ht="15" hidden="false" customHeight="false" outlineLevel="0" collapsed="false">
      <c r="A348" s="53" t="n">
        <v>100880213</v>
      </c>
      <c r="B348" s="46" t="s">
        <v>63</v>
      </c>
      <c r="C348" s="54" t="str">
        <f aca="false">IF(B348="","",IFERROR(INDEX('Kitting Plan'!$D$5:$D$18,MATCH(B348,'Kitting Plan'!$C$5:$C$18,0)),"Unknown code"))</f>
        <v>R5B ERBIUM SPOOL ASSEMBLY - E2A</v>
      </c>
      <c r="D348" s="54" t="str">
        <f aca="false">IF(B348="","",IFERROR(INDEX('Kitting Plan'!$B$5:$B$18,MATCH(B348,'Kitting Plan'!$C$5:$C$18,0)),""))</f>
        <v>ERBIUM ASSY</v>
      </c>
      <c r="E348" s="45"/>
      <c r="F348" s="55" t="n">
        <f aca="false">IF(B348="","",IFERROR(INDEX('Kitting Plan'!$H$5:$H$18,MATCH(B348,'Kitting Plan'!$C$5:$C$18,0)),""))</f>
        <v>24</v>
      </c>
      <c r="G348" s="45" t="n">
        <v>1</v>
      </c>
      <c r="H348" s="56" t="n">
        <f aca="false">IF(B348="","",IF(G348="",F348,G348))</f>
        <v>1</v>
      </c>
      <c r="I348" s="45" t="s">
        <v>25</v>
      </c>
      <c r="J348" s="57" t="n">
        <v>46297</v>
      </c>
      <c r="K348" s="46" t="s">
        <v>106</v>
      </c>
      <c r="L348" s="54" t="str">
        <f aca="false">IF(A348="","",IF(B348="","Missing code",IF(C348="Unknown code","Unknown code",IF(COUNTIF($A$6:$A$1005,A348)&gt;1,"Duplicate WO",""))))</f>
        <v/>
      </c>
    </row>
    <row r="349" customFormat="false" ht="15" hidden="false" customHeight="false" outlineLevel="0" collapsed="false">
      <c r="A349" s="53" t="n">
        <v>100880214</v>
      </c>
      <c r="B349" s="46" t="s">
        <v>63</v>
      </c>
      <c r="C349" s="54" t="str">
        <f aca="false">IF(B349="","",IFERROR(INDEX('Kitting Plan'!$D$5:$D$18,MATCH(B349,'Kitting Plan'!$C$5:$C$18,0)),"Unknown code"))</f>
        <v>R5B ERBIUM SPOOL ASSEMBLY - E2A</v>
      </c>
      <c r="D349" s="54" t="str">
        <f aca="false">IF(B349="","",IFERROR(INDEX('Kitting Plan'!$B$5:$B$18,MATCH(B349,'Kitting Plan'!$C$5:$C$18,0)),""))</f>
        <v>ERBIUM ASSY</v>
      </c>
      <c r="E349" s="45"/>
      <c r="F349" s="55" t="n">
        <f aca="false">IF(B349="","",IFERROR(INDEX('Kitting Plan'!$H$5:$H$18,MATCH(B349,'Kitting Plan'!$C$5:$C$18,0)),""))</f>
        <v>24</v>
      </c>
      <c r="G349" s="45" t="n">
        <v>1</v>
      </c>
      <c r="H349" s="56" t="n">
        <f aca="false">IF(B349="","",IF(G349="",F349,G349))</f>
        <v>1</v>
      </c>
      <c r="I349" s="45" t="s">
        <v>25</v>
      </c>
      <c r="J349" s="57" t="n">
        <v>46297</v>
      </c>
      <c r="K349" s="46" t="s">
        <v>106</v>
      </c>
      <c r="L349" s="54" t="str">
        <f aca="false">IF(A349="","",IF(B349="","Missing code",IF(C349="Unknown code","Unknown code",IF(COUNTIF($A$6:$A$1005,A349)&gt;1,"Duplicate WO",""))))</f>
        <v/>
      </c>
    </row>
    <row r="350" customFormat="false" ht="15" hidden="false" customHeight="false" outlineLevel="0" collapsed="false">
      <c r="A350" s="53" t="n">
        <v>100880215</v>
      </c>
      <c r="B350" s="46" t="s">
        <v>63</v>
      </c>
      <c r="C350" s="54" t="str">
        <f aca="false">IF(B350="","",IFERROR(INDEX('Kitting Plan'!$D$5:$D$18,MATCH(B350,'Kitting Plan'!$C$5:$C$18,0)),"Unknown code"))</f>
        <v>R5B ERBIUM SPOOL ASSEMBLY - E2A</v>
      </c>
      <c r="D350" s="54" t="str">
        <f aca="false">IF(B350="","",IFERROR(INDEX('Kitting Plan'!$B$5:$B$18,MATCH(B350,'Kitting Plan'!$C$5:$C$18,0)),""))</f>
        <v>ERBIUM ASSY</v>
      </c>
      <c r="E350" s="45"/>
      <c r="F350" s="55" t="n">
        <f aca="false">IF(B350="","",IFERROR(INDEX('Kitting Plan'!$H$5:$H$18,MATCH(B350,'Kitting Plan'!$C$5:$C$18,0)),""))</f>
        <v>24</v>
      </c>
      <c r="G350" s="45" t="n">
        <v>1</v>
      </c>
      <c r="H350" s="56" t="n">
        <f aca="false">IF(B350="","",IF(G350="",F350,G350))</f>
        <v>1</v>
      </c>
      <c r="I350" s="45" t="s">
        <v>25</v>
      </c>
      <c r="J350" s="57" t="n">
        <v>46297</v>
      </c>
      <c r="K350" s="46" t="s">
        <v>106</v>
      </c>
      <c r="L350" s="54" t="str">
        <f aca="false">IF(A350="","",IF(B350="","Missing code",IF(C350="Unknown code","Unknown code",IF(COUNTIF($A$6:$A$1005,A350)&gt;1,"Duplicate WO",""))))</f>
        <v/>
      </c>
    </row>
    <row r="351" customFormat="false" ht="15" hidden="false" customHeight="false" outlineLevel="0" collapsed="false">
      <c r="A351" s="53" t="n">
        <v>100880216</v>
      </c>
      <c r="B351" s="46" t="s">
        <v>63</v>
      </c>
      <c r="C351" s="54" t="str">
        <f aca="false">IF(B351="","",IFERROR(INDEX('Kitting Plan'!$D$5:$D$18,MATCH(B351,'Kitting Plan'!$C$5:$C$18,0)),"Unknown code"))</f>
        <v>R5B ERBIUM SPOOL ASSEMBLY - E2A</v>
      </c>
      <c r="D351" s="54" t="str">
        <f aca="false">IF(B351="","",IFERROR(INDEX('Kitting Plan'!$B$5:$B$18,MATCH(B351,'Kitting Plan'!$C$5:$C$18,0)),""))</f>
        <v>ERBIUM ASSY</v>
      </c>
      <c r="E351" s="45"/>
      <c r="F351" s="55" t="n">
        <f aca="false">IF(B351="","",IFERROR(INDEX('Kitting Plan'!$H$5:$H$18,MATCH(B351,'Kitting Plan'!$C$5:$C$18,0)),""))</f>
        <v>24</v>
      </c>
      <c r="G351" s="45" t="n">
        <v>1</v>
      </c>
      <c r="H351" s="56" t="n">
        <f aca="false">IF(B351="","",IF(G351="",F351,G351))</f>
        <v>1</v>
      </c>
      <c r="I351" s="45" t="s">
        <v>25</v>
      </c>
      <c r="J351" s="57" t="n">
        <v>46297</v>
      </c>
      <c r="K351" s="46" t="s">
        <v>106</v>
      </c>
      <c r="L351" s="54" t="str">
        <f aca="false">IF(A351="","",IF(B351="","Missing code",IF(C351="Unknown code","Unknown code",IF(COUNTIF($A$6:$A$1005,A351)&gt;1,"Duplicate WO",""))))</f>
        <v/>
      </c>
    </row>
    <row r="352" customFormat="false" ht="15" hidden="false" customHeight="false" outlineLevel="0" collapsed="false">
      <c r="A352" s="53" t="n">
        <v>100880217</v>
      </c>
      <c r="B352" s="46" t="s">
        <v>63</v>
      </c>
      <c r="C352" s="54" t="str">
        <f aca="false">IF(B352="","",IFERROR(INDEX('Kitting Plan'!$D$5:$D$18,MATCH(B352,'Kitting Plan'!$C$5:$C$18,0)),"Unknown code"))</f>
        <v>R5B ERBIUM SPOOL ASSEMBLY - E2A</v>
      </c>
      <c r="D352" s="54" t="str">
        <f aca="false">IF(B352="","",IFERROR(INDEX('Kitting Plan'!$B$5:$B$18,MATCH(B352,'Kitting Plan'!$C$5:$C$18,0)),""))</f>
        <v>ERBIUM ASSY</v>
      </c>
      <c r="E352" s="45"/>
      <c r="F352" s="55" t="n">
        <f aca="false">IF(B352="","",IFERROR(INDEX('Kitting Plan'!$H$5:$H$18,MATCH(B352,'Kitting Plan'!$C$5:$C$18,0)),""))</f>
        <v>24</v>
      </c>
      <c r="G352" s="45" t="n">
        <v>1</v>
      </c>
      <c r="H352" s="56" t="n">
        <f aca="false">IF(B352="","",IF(G352="",F352,G352))</f>
        <v>1</v>
      </c>
      <c r="I352" s="45" t="s">
        <v>25</v>
      </c>
      <c r="J352" s="57" t="n">
        <v>46297</v>
      </c>
      <c r="K352" s="46" t="s">
        <v>106</v>
      </c>
      <c r="L352" s="54" t="str">
        <f aca="false">IF(A352="","",IF(B352="","Missing code",IF(C352="Unknown code","Unknown code",IF(COUNTIF($A$6:$A$1005,A352)&gt;1,"Duplicate WO",""))))</f>
        <v/>
      </c>
    </row>
    <row r="353" customFormat="false" ht="15" hidden="false" customHeight="false" outlineLevel="0" collapsed="false">
      <c r="A353" s="53" t="n">
        <v>100880218</v>
      </c>
      <c r="B353" s="46" t="s">
        <v>63</v>
      </c>
      <c r="C353" s="54" t="str">
        <f aca="false">IF(B353="","",IFERROR(INDEX('Kitting Plan'!$D$5:$D$18,MATCH(B353,'Kitting Plan'!$C$5:$C$18,0)),"Unknown code"))</f>
        <v>R5B ERBIUM SPOOL ASSEMBLY - E2A</v>
      </c>
      <c r="D353" s="54" t="str">
        <f aca="false">IF(B353="","",IFERROR(INDEX('Kitting Plan'!$B$5:$B$18,MATCH(B353,'Kitting Plan'!$C$5:$C$18,0)),""))</f>
        <v>ERBIUM ASSY</v>
      </c>
      <c r="E353" s="45"/>
      <c r="F353" s="55" t="n">
        <f aca="false">IF(B353="","",IFERROR(INDEX('Kitting Plan'!$H$5:$H$18,MATCH(B353,'Kitting Plan'!$C$5:$C$18,0)),""))</f>
        <v>24</v>
      </c>
      <c r="G353" s="45" t="n">
        <v>1</v>
      </c>
      <c r="H353" s="56" t="n">
        <f aca="false">IF(B353="","",IF(G353="",F353,G353))</f>
        <v>1</v>
      </c>
      <c r="I353" s="45" t="s">
        <v>25</v>
      </c>
      <c r="J353" s="57" t="n">
        <v>46297</v>
      </c>
      <c r="K353" s="46" t="s">
        <v>106</v>
      </c>
      <c r="L353" s="54" t="str">
        <f aca="false">IF(A353="","",IF(B353="","Missing code",IF(C353="Unknown code","Unknown code",IF(COUNTIF($A$6:$A$1005,A353)&gt;1,"Duplicate WO",""))))</f>
        <v/>
      </c>
    </row>
    <row r="354" customFormat="false" ht="15" hidden="false" customHeight="false" outlineLevel="0" collapsed="false">
      <c r="A354" s="53" t="n">
        <v>100880219</v>
      </c>
      <c r="B354" s="46" t="s">
        <v>63</v>
      </c>
      <c r="C354" s="54" t="str">
        <f aca="false">IF(B354="","",IFERROR(INDEX('Kitting Plan'!$D$5:$D$18,MATCH(B354,'Kitting Plan'!$C$5:$C$18,0)),"Unknown code"))</f>
        <v>R5B ERBIUM SPOOL ASSEMBLY - E2A</v>
      </c>
      <c r="D354" s="54" t="str">
        <f aca="false">IF(B354="","",IFERROR(INDEX('Kitting Plan'!$B$5:$B$18,MATCH(B354,'Kitting Plan'!$C$5:$C$18,0)),""))</f>
        <v>ERBIUM ASSY</v>
      </c>
      <c r="E354" s="45"/>
      <c r="F354" s="55" t="n">
        <f aca="false">IF(B354="","",IFERROR(INDEX('Kitting Plan'!$H$5:$H$18,MATCH(B354,'Kitting Plan'!$C$5:$C$18,0)),""))</f>
        <v>24</v>
      </c>
      <c r="G354" s="45" t="n">
        <v>1</v>
      </c>
      <c r="H354" s="56" t="n">
        <f aca="false">IF(B354="","",IF(G354="",F354,G354))</f>
        <v>1</v>
      </c>
      <c r="I354" s="45" t="s">
        <v>25</v>
      </c>
      <c r="J354" s="57" t="n">
        <v>46297</v>
      </c>
      <c r="K354" s="46" t="s">
        <v>106</v>
      </c>
      <c r="L354" s="54" t="str">
        <f aca="false">IF(A354="","",IF(B354="","Missing code",IF(C354="Unknown code","Unknown code",IF(COUNTIF($A$6:$A$1005,A354)&gt;1,"Duplicate WO",""))))</f>
        <v/>
      </c>
    </row>
    <row r="355" customFormat="false" ht="15" hidden="false" customHeight="false" outlineLevel="0" collapsed="false">
      <c r="A355" s="53" t="n">
        <v>100880257</v>
      </c>
      <c r="B355" s="46" t="s">
        <v>63</v>
      </c>
      <c r="C355" s="54" t="str">
        <f aca="false">IF(B355="","",IFERROR(INDEX('Kitting Plan'!$D$5:$D$18,MATCH(B355,'Kitting Plan'!$C$5:$C$18,0)),"Unknown code"))</f>
        <v>R5B ERBIUM SPOOL ASSEMBLY - E2A</v>
      </c>
      <c r="D355" s="54" t="str">
        <f aca="false">IF(B355="","",IFERROR(INDEX('Kitting Plan'!$B$5:$B$18,MATCH(B355,'Kitting Plan'!$C$5:$C$18,0)),""))</f>
        <v>ERBIUM ASSY</v>
      </c>
      <c r="E355" s="45"/>
      <c r="F355" s="55" t="n">
        <f aca="false">IF(B355="","",IFERROR(INDEX('Kitting Plan'!$H$5:$H$18,MATCH(B355,'Kitting Plan'!$C$5:$C$18,0)),""))</f>
        <v>24</v>
      </c>
      <c r="G355" s="45" t="n">
        <v>1</v>
      </c>
      <c r="H355" s="56" t="n">
        <f aca="false">IF(B355="","",IF(G355="",F355,G355))</f>
        <v>1</v>
      </c>
      <c r="I355" s="45" t="s">
        <v>25</v>
      </c>
      <c r="J355" s="57" t="n">
        <v>46297</v>
      </c>
      <c r="K355" s="46" t="s">
        <v>106</v>
      </c>
      <c r="L355" s="54" t="str">
        <f aca="false">IF(A355="","",IF(B355="","Missing code",IF(C355="Unknown code","Unknown code",IF(COUNTIF($A$6:$A$1005,A355)&gt;1,"Duplicate WO",""))))</f>
        <v/>
      </c>
    </row>
    <row r="356" customFormat="false" ht="15" hidden="false" customHeight="false" outlineLevel="0" collapsed="false">
      <c r="A356" s="53" t="n">
        <v>100880258</v>
      </c>
      <c r="B356" s="46" t="s">
        <v>63</v>
      </c>
      <c r="C356" s="54" t="str">
        <f aca="false">IF(B356="","",IFERROR(INDEX('Kitting Plan'!$D$5:$D$18,MATCH(B356,'Kitting Plan'!$C$5:$C$18,0)),"Unknown code"))</f>
        <v>R5B ERBIUM SPOOL ASSEMBLY - E2A</v>
      </c>
      <c r="D356" s="54" t="str">
        <f aca="false">IF(B356="","",IFERROR(INDEX('Kitting Plan'!$B$5:$B$18,MATCH(B356,'Kitting Plan'!$C$5:$C$18,0)),""))</f>
        <v>ERBIUM ASSY</v>
      </c>
      <c r="E356" s="45"/>
      <c r="F356" s="55" t="n">
        <f aca="false">IF(B356="","",IFERROR(INDEX('Kitting Plan'!$H$5:$H$18,MATCH(B356,'Kitting Plan'!$C$5:$C$18,0)),""))</f>
        <v>24</v>
      </c>
      <c r="G356" s="45" t="n">
        <v>1</v>
      </c>
      <c r="H356" s="56" t="n">
        <f aca="false">IF(B356="","",IF(G356="",F356,G356))</f>
        <v>1</v>
      </c>
      <c r="I356" s="45" t="s">
        <v>25</v>
      </c>
      <c r="J356" s="57" t="n">
        <v>46297</v>
      </c>
      <c r="K356" s="46" t="s">
        <v>106</v>
      </c>
      <c r="L356" s="54" t="str">
        <f aca="false">IF(A356="","",IF(B356="","Missing code",IF(C356="Unknown code","Unknown code",IF(COUNTIF($A$6:$A$1005,A356)&gt;1,"Duplicate WO",""))))</f>
        <v/>
      </c>
    </row>
    <row r="357" customFormat="false" ht="15" hidden="false" customHeight="false" outlineLevel="0" collapsed="false">
      <c r="A357" s="53" t="n">
        <v>100880259</v>
      </c>
      <c r="B357" s="46" t="s">
        <v>63</v>
      </c>
      <c r="C357" s="54" t="str">
        <f aca="false">IF(B357="","",IFERROR(INDEX('Kitting Plan'!$D$5:$D$18,MATCH(B357,'Kitting Plan'!$C$5:$C$18,0)),"Unknown code"))</f>
        <v>R5B ERBIUM SPOOL ASSEMBLY - E2A</v>
      </c>
      <c r="D357" s="54" t="str">
        <f aca="false">IF(B357="","",IFERROR(INDEX('Kitting Plan'!$B$5:$B$18,MATCH(B357,'Kitting Plan'!$C$5:$C$18,0)),""))</f>
        <v>ERBIUM ASSY</v>
      </c>
      <c r="E357" s="45"/>
      <c r="F357" s="55" t="n">
        <f aca="false">IF(B357="","",IFERROR(INDEX('Kitting Plan'!$H$5:$H$18,MATCH(B357,'Kitting Plan'!$C$5:$C$18,0)),""))</f>
        <v>24</v>
      </c>
      <c r="G357" s="45" t="n">
        <v>1</v>
      </c>
      <c r="H357" s="56" t="n">
        <f aca="false">IF(B357="","",IF(G357="",F357,G357))</f>
        <v>1</v>
      </c>
      <c r="I357" s="45" t="s">
        <v>25</v>
      </c>
      <c r="J357" s="57" t="n">
        <v>46297</v>
      </c>
      <c r="K357" s="46" t="s">
        <v>106</v>
      </c>
      <c r="L357" s="54" t="str">
        <f aca="false">IF(A357="","",IF(B357="","Missing code",IF(C357="Unknown code","Unknown code",IF(COUNTIF($A$6:$A$1005,A357)&gt;1,"Duplicate WO",""))))</f>
        <v/>
      </c>
    </row>
    <row r="358" customFormat="false" ht="15" hidden="false" customHeight="false" outlineLevel="0" collapsed="false">
      <c r="A358" s="53" t="n">
        <v>100880260</v>
      </c>
      <c r="B358" s="46" t="s">
        <v>63</v>
      </c>
      <c r="C358" s="54" t="str">
        <f aca="false">IF(B358="","",IFERROR(INDEX('Kitting Plan'!$D$5:$D$18,MATCH(B358,'Kitting Plan'!$C$5:$C$18,0)),"Unknown code"))</f>
        <v>R5B ERBIUM SPOOL ASSEMBLY - E2A</v>
      </c>
      <c r="D358" s="54" t="str">
        <f aca="false">IF(B358="","",IFERROR(INDEX('Kitting Plan'!$B$5:$B$18,MATCH(B358,'Kitting Plan'!$C$5:$C$18,0)),""))</f>
        <v>ERBIUM ASSY</v>
      </c>
      <c r="E358" s="45"/>
      <c r="F358" s="55" t="n">
        <f aca="false">IF(B358="","",IFERROR(INDEX('Kitting Plan'!$H$5:$H$18,MATCH(B358,'Kitting Plan'!$C$5:$C$18,0)),""))</f>
        <v>24</v>
      </c>
      <c r="G358" s="45" t="n">
        <v>1</v>
      </c>
      <c r="H358" s="56" t="n">
        <f aca="false">IF(B358="","",IF(G358="",F358,G358))</f>
        <v>1</v>
      </c>
      <c r="I358" s="45" t="s">
        <v>25</v>
      </c>
      <c r="J358" s="57" t="n">
        <v>46297</v>
      </c>
      <c r="K358" s="46" t="s">
        <v>106</v>
      </c>
      <c r="L358" s="54" t="str">
        <f aca="false">IF(A358="","",IF(B358="","Missing code",IF(C358="Unknown code","Unknown code",IF(COUNTIF($A$6:$A$1005,A358)&gt;1,"Duplicate WO",""))))</f>
        <v/>
      </c>
    </row>
    <row r="359" customFormat="false" ht="15" hidden="false" customHeight="false" outlineLevel="0" collapsed="false">
      <c r="A359" s="53" t="n">
        <v>100880261</v>
      </c>
      <c r="B359" s="46" t="s">
        <v>63</v>
      </c>
      <c r="C359" s="54" t="str">
        <f aca="false">IF(B359="","",IFERROR(INDEX('Kitting Plan'!$D$5:$D$18,MATCH(B359,'Kitting Plan'!$C$5:$C$18,0)),"Unknown code"))</f>
        <v>R5B ERBIUM SPOOL ASSEMBLY - E2A</v>
      </c>
      <c r="D359" s="54" t="str">
        <f aca="false">IF(B359="","",IFERROR(INDEX('Kitting Plan'!$B$5:$B$18,MATCH(B359,'Kitting Plan'!$C$5:$C$18,0)),""))</f>
        <v>ERBIUM ASSY</v>
      </c>
      <c r="E359" s="45"/>
      <c r="F359" s="55" t="n">
        <f aca="false">IF(B359="","",IFERROR(INDEX('Kitting Plan'!$H$5:$H$18,MATCH(B359,'Kitting Plan'!$C$5:$C$18,0)),""))</f>
        <v>24</v>
      </c>
      <c r="G359" s="45" t="n">
        <v>1</v>
      </c>
      <c r="H359" s="56" t="n">
        <f aca="false">IF(B359="","",IF(G359="",F359,G359))</f>
        <v>1</v>
      </c>
      <c r="I359" s="45" t="s">
        <v>25</v>
      </c>
      <c r="J359" s="57" t="n">
        <v>46297</v>
      </c>
      <c r="K359" s="46" t="s">
        <v>106</v>
      </c>
      <c r="L359" s="54" t="str">
        <f aca="false">IF(A359="","",IF(B359="","Missing code",IF(C359="Unknown code","Unknown code",IF(COUNTIF($A$6:$A$1005,A359)&gt;1,"Duplicate WO",""))))</f>
        <v/>
      </c>
    </row>
    <row r="360" customFormat="false" ht="15" hidden="false" customHeight="false" outlineLevel="0" collapsed="false">
      <c r="A360" s="53" t="n">
        <v>100880262</v>
      </c>
      <c r="B360" s="46" t="s">
        <v>63</v>
      </c>
      <c r="C360" s="54" t="str">
        <f aca="false">IF(B360="","",IFERROR(INDEX('Kitting Plan'!$D$5:$D$18,MATCH(B360,'Kitting Plan'!$C$5:$C$18,0)),"Unknown code"))</f>
        <v>R5B ERBIUM SPOOL ASSEMBLY - E2A</v>
      </c>
      <c r="D360" s="54" t="str">
        <f aca="false">IF(B360="","",IFERROR(INDEX('Kitting Plan'!$B$5:$B$18,MATCH(B360,'Kitting Plan'!$C$5:$C$18,0)),""))</f>
        <v>ERBIUM ASSY</v>
      </c>
      <c r="E360" s="45"/>
      <c r="F360" s="55" t="n">
        <f aca="false">IF(B360="","",IFERROR(INDEX('Kitting Plan'!$H$5:$H$18,MATCH(B360,'Kitting Plan'!$C$5:$C$18,0)),""))</f>
        <v>24</v>
      </c>
      <c r="G360" s="45" t="n">
        <v>1</v>
      </c>
      <c r="H360" s="56" t="n">
        <f aca="false">IF(B360="","",IF(G360="",F360,G360))</f>
        <v>1</v>
      </c>
      <c r="I360" s="45" t="s">
        <v>25</v>
      </c>
      <c r="J360" s="57" t="n">
        <v>46297</v>
      </c>
      <c r="K360" s="46" t="s">
        <v>106</v>
      </c>
      <c r="L360" s="54" t="str">
        <f aca="false">IF(A360="","",IF(B360="","Missing code",IF(C360="Unknown code","Unknown code",IF(COUNTIF($A$6:$A$1005,A360)&gt;1,"Duplicate WO",""))))</f>
        <v/>
      </c>
    </row>
    <row r="361" customFormat="false" ht="15" hidden="false" customHeight="false" outlineLevel="0" collapsed="false">
      <c r="A361" s="53" t="n">
        <v>100880263</v>
      </c>
      <c r="B361" s="46" t="s">
        <v>63</v>
      </c>
      <c r="C361" s="54" t="str">
        <f aca="false">IF(B361="","",IFERROR(INDEX('Kitting Plan'!$D$5:$D$18,MATCH(B361,'Kitting Plan'!$C$5:$C$18,0)),"Unknown code"))</f>
        <v>R5B ERBIUM SPOOL ASSEMBLY - E2A</v>
      </c>
      <c r="D361" s="54" t="str">
        <f aca="false">IF(B361="","",IFERROR(INDEX('Kitting Plan'!$B$5:$B$18,MATCH(B361,'Kitting Plan'!$C$5:$C$18,0)),""))</f>
        <v>ERBIUM ASSY</v>
      </c>
      <c r="E361" s="45"/>
      <c r="F361" s="55" t="n">
        <f aca="false">IF(B361="","",IFERROR(INDEX('Kitting Plan'!$H$5:$H$18,MATCH(B361,'Kitting Plan'!$C$5:$C$18,0)),""))</f>
        <v>24</v>
      </c>
      <c r="G361" s="45" t="n">
        <v>1</v>
      </c>
      <c r="H361" s="56" t="n">
        <f aca="false">IF(B361="","",IF(G361="",F361,G361))</f>
        <v>1</v>
      </c>
      <c r="I361" s="45" t="s">
        <v>25</v>
      </c>
      <c r="J361" s="57" t="n">
        <v>46297</v>
      </c>
      <c r="K361" s="46" t="s">
        <v>106</v>
      </c>
      <c r="L361" s="54" t="str">
        <f aca="false">IF(A361="","",IF(B361="","Missing code",IF(C361="Unknown code","Unknown code",IF(COUNTIF($A$6:$A$1005,A361)&gt;1,"Duplicate WO",""))))</f>
        <v/>
      </c>
    </row>
    <row r="362" customFormat="false" ht="15" hidden="false" customHeight="false" outlineLevel="0" collapsed="false">
      <c r="A362" s="53" t="n">
        <v>100880264</v>
      </c>
      <c r="B362" s="46" t="s">
        <v>63</v>
      </c>
      <c r="C362" s="54" t="str">
        <f aca="false">IF(B362="","",IFERROR(INDEX('Kitting Plan'!$D$5:$D$18,MATCH(B362,'Kitting Plan'!$C$5:$C$18,0)),"Unknown code"))</f>
        <v>R5B ERBIUM SPOOL ASSEMBLY - E2A</v>
      </c>
      <c r="D362" s="54" t="str">
        <f aca="false">IF(B362="","",IFERROR(INDEX('Kitting Plan'!$B$5:$B$18,MATCH(B362,'Kitting Plan'!$C$5:$C$18,0)),""))</f>
        <v>ERBIUM ASSY</v>
      </c>
      <c r="E362" s="45"/>
      <c r="F362" s="55" t="n">
        <f aca="false">IF(B362="","",IFERROR(INDEX('Kitting Plan'!$H$5:$H$18,MATCH(B362,'Kitting Plan'!$C$5:$C$18,0)),""))</f>
        <v>24</v>
      </c>
      <c r="G362" s="45" t="n">
        <v>1</v>
      </c>
      <c r="H362" s="56" t="n">
        <f aca="false">IF(B362="","",IF(G362="",F362,G362))</f>
        <v>1</v>
      </c>
      <c r="I362" s="45" t="s">
        <v>25</v>
      </c>
      <c r="J362" s="57" t="n">
        <v>46297</v>
      </c>
      <c r="K362" s="46" t="s">
        <v>106</v>
      </c>
      <c r="L362" s="54" t="str">
        <f aca="false">IF(A362="","",IF(B362="","Missing code",IF(C362="Unknown code","Unknown code",IF(COUNTIF($A$6:$A$1005,A362)&gt;1,"Duplicate WO",""))))</f>
        <v/>
      </c>
    </row>
    <row r="363" customFormat="false" ht="15" hidden="false" customHeight="false" outlineLevel="0" collapsed="false">
      <c r="A363" s="53" t="n">
        <v>100880265</v>
      </c>
      <c r="B363" s="46" t="s">
        <v>63</v>
      </c>
      <c r="C363" s="54" t="str">
        <f aca="false">IF(B363="","",IFERROR(INDEX('Kitting Plan'!$D$5:$D$18,MATCH(B363,'Kitting Plan'!$C$5:$C$18,0)),"Unknown code"))</f>
        <v>R5B ERBIUM SPOOL ASSEMBLY - E2A</v>
      </c>
      <c r="D363" s="54" t="str">
        <f aca="false">IF(B363="","",IFERROR(INDEX('Kitting Plan'!$B$5:$B$18,MATCH(B363,'Kitting Plan'!$C$5:$C$18,0)),""))</f>
        <v>ERBIUM ASSY</v>
      </c>
      <c r="E363" s="45"/>
      <c r="F363" s="55" t="n">
        <f aca="false">IF(B363="","",IFERROR(INDEX('Kitting Plan'!$H$5:$H$18,MATCH(B363,'Kitting Plan'!$C$5:$C$18,0)),""))</f>
        <v>24</v>
      </c>
      <c r="G363" s="45" t="n">
        <v>1</v>
      </c>
      <c r="H363" s="56" t="n">
        <f aca="false">IF(B363="","",IF(G363="",F363,G363))</f>
        <v>1</v>
      </c>
      <c r="I363" s="45" t="s">
        <v>25</v>
      </c>
      <c r="J363" s="57" t="n">
        <v>46297</v>
      </c>
      <c r="K363" s="46" t="s">
        <v>106</v>
      </c>
      <c r="L363" s="54" t="str">
        <f aca="false">IF(A363="","",IF(B363="","Missing code",IF(C363="Unknown code","Unknown code",IF(COUNTIF($A$6:$A$1005,A363)&gt;1,"Duplicate WO",""))))</f>
        <v/>
      </c>
    </row>
    <row r="364" customFormat="false" ht="15" hidden="false" customHeight="false" outlineLevel="0" collapsed="false">
      <c r="A364" s="53" t="n">
        <v>100880266</v>
      </c>
      <c r="B364" s="46" t="s">
        <v>63</v>
      </c>
      <c r="C364" s="54" t="str">
        <f aca="false">IF(B364="","",IFERROR(INDEX('Kitting Plan'!$D$5:$D$18,MATCH(B364,'Kitting Plan'!$C$5:$C$18,0)),"Unknown code"))</f>
        <v>R5B ERBIUM SPOOL ASSEMBLY - E2A</v>
      </c>
      <c r="D364" s="54" t="str">
        <f aca="false">IF(B364="","",IFERROR(INDEX('Kitting Plan'!$B$5:$B$18,MATCH(B364,'Kitting Plan'!$C$5:$C$18,0)),""))</f>
        <v>ERBIUM ASSY</v>
      </c>
      <c r="E364" s="45"/>
      <c r="F364" s="55" t="n">
        <f aca="false">IF(B364="","",IFERROR(INDEX('Kitting Plan'!$H$5:$H$18,MATCH(B364,'Kitting Plan'!$C$5:$C$18,0)),""))</f>
        <v>24</v>
      </c>
      <c r="G364" s="45" t="n">
        <v>1</v>
      </c>
      <c r="H364" s="56" t="n">
        <f aca="false">IF(B364="","",IF(G364="",F364,G364))</f>
        <v>1</v>
      </c>
      <c r="I364" s="45" t="s">
        <v>25</v>
      </c>
      <c r="J364" s="57" t="n">
        <v>46297</v>
      </c>
      <c r="K364" s="46" t="s">
        <v>106</v>
      </c>
      <c r="L364" s="54" t="str">
        <f aca="false">IF(A364="","",IF(B364="","Missing code",IF(C364="Unknown code","Unknown code",IF(COUNTIF($A$6:$A$1005,A364)&gt;1,"Duplicate WO",""))))</f>
        <v/>
      </c>
    </row>
    <row r="365" customFormat="false" ht="15" hidden="false" customHeight="false" outlineLevel="0" collapsed="false">
      <c r="A365" s="53" t="n">
        <v>100880267</v>
      </c>
      <c r="B365" s="46" t="s">
        <v>63</v>
      </c>
      <c r="C365" s="54" t="str">
        <f aca="false">IF(B365="","",IFERROR(INDEX('Kitting Plan'!$D$5:$D$18,MATCH(B365,'Kitting Plan'!$C$5:$C$18,0)),"Unknown code"))</f>
        <v>R5B ERBIUM SPOOL ASSEMBLY - E2A</v>
      </c>
      <c r="D365" s="54" t="str">
        <f aca="false">IF(B365="","",IFERROR(INDEX('Kitting Plan'!$B$5:$B$18,MATCH(B365,'Kitting Plan'!$C$5:$C$18,0)),""))</f>
        <v>ERBIUM ASSY</v>
      </c>
      <c r="E365" s="45"/>
      <c r="F365" s="55" t="n">
        <f aca="false">IF(B365="","",IFERROR(INDEX('Kitting Plan'!$H$5:$H$18,MATCH(B365,'Kitting Plan'!$C$5:$C$18,0)),""))</f>
        <v>24</v>
      </c>
      <c r="G365" s="45" t="n">
        <v>1</v>
      </c>
      <c r="H365" s="56" t="n">
        <f aca="false">IF(B365="","",IF(G365="",F365,G365))</f>
        <v>1</v>
      </c>
      <c r="I365" s="45" t="s">
        <v>25</v>
      </c>
      <c r="J365" s="57" t="n">
        <v>46297</v>
      </c>
      <c r="K365" s="46" t="s">
        <v>106</v>
      </c>
      <c r="L365" s="54" t="str">
        <f aca="false">IF(A365="","",IF(B365="","Missing code",IF(C365="Unknown code","Unknown code",IF(COUNTIF($A$6:$A$1005,A365)&gt;1,"Duplicate WO",""))))</f>
        <v/>
      </c>
    </row>
    <row r="366" customFormat="false" ht="15" hidden="false" customHeight="false" outlineLevel="0" collapsed="false">
      <c r="A366" s="53" t="n">
        <v>100880268</v>
      </c>
      <c r="B366" s="46" t="s">
        <v>63</v>
      </c>
      <c r="C366" s="54" t="str">
        <f aca="false">IF(B366="","",IFERROR(INDEX('Kitting Plan'!$D$5:$D$18,MATCH(B366,'Kitting Plan'!$C$5:$C$18,0)),"Unknown code"))</f>
        <v>R5B ERBIUM SPOOL ASSEMBLY - E2A</v>
      </c>
      <c r="D366" s="54" t="str">
        <f aca="false">IF(B366="","",IFERROR(INDEX('Kitting Plan'!$B$5:$B$18,MATCH(B366,'Kitting Plan'!$C$5:$C$18,0)),""))</f>
        <v>ERBIUM ASSY</v>
      </c>
      <c r="E366" s="45"/>
      <c r="F366" s="55" t="n">
        <f aca="false">IF(B366="","",IFERROR(INDEX('Kitting Plan'!$H$5:$H$18,MATCH(B366,'Kitting Plan'!$C$5:$C$18,0)),""))</f>
        <v>24</v>
      </c>
      <c r="G366" s="45" t="n">
        <v>1</v>
      </c>
      <c r="H366" s="56" t="n">
        <f aca="false">IF(B366="","",IF(G366="",F366,G366))</f>
        <v>1</v>
      </c>
      <c r="I366" s="45" t="s">
        <v>25</v>
      </c>
      <c r="J366" s="57" t="n">
        <v>46297</v>
      </c>
      <c r="K366" s="46" t="s">
        <v>106</v>
      </c>
      <c r="L366" s="54" t="str">
        <f aca="false">IF(A366="","",IF(B366="","Missing code",IF(C366="Unknown code","Unknown code",IF(COUNTIF($A$6:$A$1005,A366)&gt;1,"Duplicate WO",""))))</f>
        <v/>
      </c>
    </row>
    <row r="367" customFormat="false" ht="15" hidden="false" customHeight="false" outlineLevel="0" collapsed="false">
      <c r="A367" s="53" t="n">
        <v>100880269</v>
      </c>
      <c r="B367" s="46" t="s">
        <v>63</v>
      </c>
      <c r="C367" s="54" t="str">
        <f aca="false">IF(B367="","",IFERROR(INDEX('Kitting Plan'!$D$5:$D$18,MATCH(B367,'Kitting Plan'!$C$5:$C$18,0)),"Unknown code"))</f>
        <v>R5B ERBIUM SPOOL ASSEMBLY - E2A</v>
      </c>
      <c r="D367" s="54" t="str">
        <f aca="false">IF(B367="","",IFERROR(INDEX('Kitting Plan'!$B$5:$B$18,MATCH(B367,'Kitting Plan'!$C$5:$C$18,0)),""))</f>
        <v>ERBIUM ASSY</v>
      </c>
      <c r="E367" s="45"/>
      <c r="F367" s="55" t="n">
        <f aca="false">IF(B367="","",IFERROR(INDEX('Kitting Plan'!$H$5:$H$18,MATCH(B367,'Kitting Plan'!$C$5:$C$18,0)),""))</f>
        <v>24</v>
      </c>
      <c r="G367" s="45" t="n">
        <v>1</v>
      </c>
      <c r="H367" s="56" t="n">
        <f aca="false">IF(B367="","",IF(G367="",F367,G367))</f>
        <v>1</v>
      </c>
      <c r="I367" s="45" t="s">
        <v>25</v>
      </c>
      <c r="J367" s="57" t="n">
        <v>46297</v>
      </c>
      <c r="K367" s="46" t="s">
        <v>106</v>
      </c>
      <c r="L367" s="54" t="str">
        <f aca="false">IF(A367="","",IF(B367="","Missing code",IF(C367="Unknown code","Unknown code",IF(COUNTIF($A$6:$A$1005,A367)&gt;1,"Duplicate WO",""))))</f>
        <v/>
      </c>
    </row>
    <row r="368" customFormat="false" ht="15" hidden="false" customHeight="false" outlineLevel="0" collapsed="false">
      <c r="A368" s="53" t="n">
        <v>100880270</v>
      </c>
      <c r="B368" s="46" t="s">
        <v>63</v>
      </c>
      <c r="C368" s="54" t="str">
        <f aca="false">IF(B368="","",IFERROR(INDEX('Kitting Plan'!$D$5:$D$18,MATCH(B368,'Kitting Plan'!$C$5:$C$18,0)),"Unknown code"))</f>
        <v>R5B ERBIUM SPOOL ASSEMBLY - E2A</v>
      </c>
      <c r="D368" s="54" t="str">
        <f aca="false">IF(B368="","",IFERROR(INDEX('Kitting Plan'!$B$5:$B$18,MATCH(B368,'Kitting Plan'!$C$5:$C$18,0)),""))</f>
        <v>ERBIUM ASSY</v>
      </c>
      <c r="E368" s="45"/>
      <c r="F368" s="55" t="n">
        <f aca="false">IF(B368="","",IFERROR(INDEX('Kitting Plan'!$H$5:$H$18,MATCH(B368,'Kitting Plan'!$C$5:$C$18,0)),""))</f>
        <v>24</v>
      </c>
      <c r="G368" s="45" t="n">
        <v>1</v>
      </c>
      <c r="H368" s="56" t="n">
        <f aca="false">IF(B368="","",IF(G368="",F368,G368))</f>
        <v>1</v>
      </c>
      <c r="I368" s="45" t="s">
        <v>25</v>
      </c>
      <c r="J368" s="57" t="n">
        <v>46297</v>
      </c>
      <c r="K368" s="46" t="s">
        <v>106</v>
      </c>
      <c r="L368" s="54" t="str">
        <f aca="false">IF(A368="","",IF(B368="","Missing code",IF(C368="Unknown code","Unknown code",IF(COUNTIF($A$6:$A$1005,A368)&gt;1,"Duplicate WO",""))))</f>
        <v/>
      </c>
    </row>
    <row r="369" customFormat="false" ht="15" hidden="false" customHeight="false" outlineLevel="0" collapsed="false">
      <c r="A369" s="53" t="n">
        <v>100880271</v>
      </c>
      <c r="B369" s="46" t="s">
        <v>63</v>
      </c>
      <c r="C369" s="54" t="str">
        <f aca="false">IF(B369="","",IFERROR(INDEX('Kitting Plan'!$D$5:$D$18,MATCH(B369,'Kitting Plan'!$C$5:$C$18,0)),"Unknown code"))</f>
        <v>R5B ERBIUM SPOOL ASSEMBLY - E2A</v>
      </c>
      <c r="D369" s="54" t="str">
        <f aca="false">IF(B369="","",IFERROR(INDEX('Kitting Plan'!$B$5:$B$18,MATCH(B369,'Kitting Plan'!$C$5:$C$18,0)),""))</f>
        <v>ERBIUM ASSY</v>
      </c>
      <c r="E369" s="45"/>
      <c r="F369" s="55" t="n">
        <f aca="false">IF(B369="","",IFERROR(INDEX('Kitting Plan'!$H$5:$H$18,MATCH(B369,'Kitting Plan'!$C$5:$C$18,0)),""))</f>
        <v>24</v>
      </c>
      <c r="G369" s="45" t="n">
        <v>1</v>
      </c>
      <c r="H369" s="56" t="n">
        <f aca="false">IF(B369="","",IF(G369="",F369,G369))</f>
        <v>1</v>
      </c>
      <c r="I369" s="45" t="s">
        <v>25</v>
      </c>
      <c r="J369" s="57" t="n">
        <v>46297</v>
      </c>
      <c r="K369" s="46" t="s">
        <v>106</v>
      </c>
      <c r="L369" s="54" t="str">
        <f aca="false">IF(A369="","",IF(B369="","Missing code",IF(C369="Unknown code","Unknown code",IF(COUNTIF($A$6:$A$1005,A369)&gt;1,"Duplicate WO",""))))</f>
        <v/>
      </c>
    </row>
    <row r="370" customFormat="false" ht="15" hidden="false" customHeight="false" outlineLevel="0" collapsed="false">
      <c r="A370" s="53" t="n">
        <v>100880272</v>
      </c>
      <c r="B370" s="46" t="s">
        <v>63</v>
      </c>
      <c r="C370" s="54" t="str">
        <f aca="false">IF(B370="","",IFERROR(INDEX('Kitting Plan'!$D$5:$D$18,MATCH(B370,'Kitting Plan'!$C$5:$C$18,0)),"Unknown code"))</f>
        <v>R5B ERBIUM SPOOL ASSEMBLY - E2A</v>
      </c>
      <c r="D370" s="54" t="str">
        <f aca="false">IF(B370="","",IFERROR(INDEX('Kitting Plan'!$B$5:$B$18,MATCH(B370,'Kitting Plan'!$C$5:$C$18,0)),""))</f>
        <v>ERBIUM ASSY</v>
      </c>
      <c r="E370" s="45"/>
      <c r="F370" s="55" t="n">
        <f aca="false">IF(B370="","",IFERROR(INDEX('Kitting Plan'!$H$5:$H$18,MATCH(B370,'Kitting Plan'!$C$5:$C$18,0)),""))</f>
        <v>24</v>
      </c>
      <c r="G370" s="45" t="n">
        <v>1</v>
      </c>
      <c r="H370" s="56" t="n">
        <f aca="false">IF(B370="","",IF(G370="",F370,G370))</f>
        <v>1</v>
      </c>
      <c r="I370" s="45" t="s">
        <v>25</v>
      </c>
      <c r="J370" s="57" t="n">
        <v>46297</v>
      </c>
      <c r="K370" s="46" t="s">
        <v>106</v>
      </c>
      <c r="L370" s="54" t="str">
        <f aca="false">IF(A370="","",IF(B370="","Missing code",IF(C370="Unknown code","Unknown code",IF(COUNTIF($A$6:$A$1005,A370)&gt;1,"Duplicate WO",""))))</f>
        <v/>
      </c>
    </row>
    <row r="371" customFormat="false" ht="15" hidden="false" customHeight="false" outlineLevel="0" collapsed="false">
      <c r="A371" s="53" t="n">
        <v>100880273</v>
      </c>
      <c r="B371" s="46" t="s">
        <v>63</v>
      </c>
      <c r="C371" s="54" t="str">
        <f aca="false">IF(B371="","",IFERROR(INDEX('Kitting Plan'!$D$5:$D$18,MATCH(B371,'Kitting Plan'!$C$5:$C$18,0)),"Unknown code"))</f>
        <v>R5B ERBIUM SPOOL ASSEMBLY - E2A</v>
      </c>
      <c r="D371" s="54" t="str">
        <f aca="false">IF(B371="","",IFERROR(INDEX('Kitting Plan'!$B$5:$B$18,MATCH(B371,'Kitting Plan'!$C$5:$C$18,0)),""))</f>
        <v>ERBIUM ASSY</v>
      </c>
      <c r="E371" s="45"/>
      <c r="F371" s="55" t="n">
        <f aca="false">IF(B371="","",IFERROR(INDEX('Kitting Plan'!$H$5:$H$18,MATCH(B371,'Kitting Plan'!$C$5:$C$18,0)),""))</f>
        <v>24</v>
      </c>
      <c r="G371" s="45" t="n">
        <v>1</v>
      </c>
      <c r="H371" s="56" t="n">
        <f aca="false">IF(B371="","",IF(G371="",F371,G371))</f>
        <v>1</v>
      </c>
      <c r="I371" s="45" t="s">
        <v>25</v>
      </c>
      <c r="J371" s="57" t="n">
        <v>46297</v>
      </c>
      <c r="K371" s="46" t="s">
        <v>106</v>
      </c>
      <c r="L371" s="54" t="str">
        <f aca="false">IF(A371="","",IF(B371="","Missing code",IF(C371="Unknown code","Unknown code",IF(COUNTIF($A$6:$A$1005,A371)&gt;1,"Duplicate WO",""))))</f>
        <v/>
      </c>
    </row>
    <row r="372" customFormat="false" ht="15" hidden="false" customHeight="false" outlineLevel="0" collapsed="false">
      <c r="A372" s="53" t="n">
        <v>100880274</v>
      </c>
      <c r="B372" s="46" t="s">
        <v>63</v>
      </c>
      <c r="C372" s="54" t="str">
        <f aca="false">IF(B372="","",IFERROR(INDEX('Kitting Plan'!$D$5:$D$18,MATCH(B372,'Kitting Plan'!$C$5:$C$18,0)),"Unknown code"))</f>
        <v>R5B ERBIUM SPOOL ASSEMBLY - E2A</v>
      </c>
      <c r="D372" s="54" t="str">
        <f aca="false">IF(B372="","",IFERROR(INDEX('Kitting Plan'!$B$5:$B$18,MATCH(B372,'Kitting Plan'!$C$5:$C$18,0)),""))</f>
        <v>ERBIUM ASSY</v>
      </c>
      <c r="E372" s="45"/>
      <c r="F372" s="55" t="n">
        <f aca="false">IF(B372="","",IFERROR(INDEX('Kitting Plan'!$H$5:$H$18,MATCH(B372,'Kitting Plan'!$C$5:$C$18,0)),""))</f>
        <v>24</v>
      </c>
      <c r="G372" s="45" t="n">
        <v>1</v>
      </c>
      <c r="H372" s="56" t="n">
        <f aca="false">IF(B372="","",IF(G372="",F372,G372))</f>
        <v>1</v>
      </c>
      <c r="I372" s="45" t="s">
        <v>25</v>
      </c>
      <c r="J372" s="57" t="n">
        <v>46297</v>
      </c>
      <c r="K372" s="46" t="s">
        <v>106</v>
      </c>
      <c r="L372" s="54" t="str">
        <f aca="false">IF(A372="","",IF(B372="","Missing code",IF(C372="Unknown code","Unknown code",IF(COUNTIF($A$6:$A$1005,A372)&gt;1,"Duplicate WO",""))))</f>
        <v/>
      </c>
    </row>
    <row r="373" customFormat="false" ht="15" hidden="false" customHeight="false" outlineLevel="0" collapsed="false">
      <c r="A373" s="53" t="n">
        <v>100880275</v>
      </c>
      <c r="B373" s="46" t="s">
        <v>63</v>
      </c>
      <c r="C373" s="54" t="str">
        <f aca="false">IF(B373="","",IFERROR(INDEX('Kitting Plan'!$D$5:$D$18,MATCH(B373,'Kitting Plan'!$C$5:$C$18,0)),"Unknown code"))</f>
        <v>R5B ERBIUM SPOOL ASSEMBLY - E2A</v>
      </c>
      <c r="D373" s="54" t="str">
        <f aca="false">IF(B373="","",IFERROR(INDEX('Kitting Plan'!$B$5:$B$18,MATCH(B373,'Kitting Plan'!$C$5:$C$18,0)),""))</f>
        <v>ERBIUM ASSY</v>
      </c>
      <c r="E373" s="45"/>
      <c r="F373" s="55" t="n">
        <f aca="false">IF(B373="","",IFERROR(INDEX('Kitting Plan'!$H$5:$H$18,MATCH(B373,'Kitting Plan'!$C$5:$C$18,0)),""))</f>
        <v>24</v>
      </c>
      <c r="G373" s="45" t="n">
        <v>1</v>
      </c>
      <c r="H373" s="56" t="n">
        <f aca="false">IF(B373="","",IF(G373="",F373,G373))</f>
        <v>1</v>
      </c>
      <c r="I373" s="45" t="s">
        <v>25</v>
      </c>
      <c r="J373" s="57" t="n">
        <v>46297</v>
      </c>
      <c r="K373" s="46" t="s">
        <v>106</v>
      </c>
      <c r="L373" s="54" t="str">
        <f aca="false">IF(A373="","",IF(B373="","Missing code",IF(C373="Unknown code","Unknown code",IF(COUNTIF($A$6:$A$1005,A373)&gt;1,"Duplicate WO",""))))</f>
        <v/>
      </c>
    </row>
    <row r="374" customFormat="false" ht="15" hidden="false" customHeight="false" outlineLevel="0" collapsed="false">
      <c r="A374" s="53" t="n">
        <v>100880276</v>
      </c>
      <c r="B374" s="46" t="s">
        <v>63</v>
      </c>
      <c r="C374" s="54" t="str">
        <f aca="false">IF(B374="","",IFERROR(INDEX('Kitting Plan'!$D$5:$D$18,MATCH(B374,'Kitting Plan'!$C$5:$C$18,0)),"Unknown code"))</f>
        <v>R5B ERBIUM SPOOL ASSEMBLY - E2A</v>
      </c>
      <c r="D374" s="54" t="str">
        <f aca="false">IF(B374="","",IFERROR(INDEX('Kitting Plan'!$B$5:$B$18,MATCH(B374,'Kitting Plan'!$C$5:$C$18,0)),""))</f>
        <v>ERBIUM ASSY</v>
      </c>
      <c r="E374" s="45"/>
      <c r="F374" s="55" t="n">
        <f aca="false">IF(B374="","",IFERROR(INDEX('Kitting Plan'!$H$5:$H$18,MATCH(B374,'Kitting Plan'!$C$5:$C$18,0)),""))</f>
        <v>24</v>
      </c>
      <c r="G374" s="45" t="n">
        <v>1</v>
      </c>
      <c r="H374" s="56" t="n">
        <f aca="false">IF(B374="","",IF(G374="",F374,G374))</f>
        <v>1</v>
      </c>
      <c r="I374" s="45" t="s">
        <v>25</v>
      </c>
      <c r="J374" s="57" t="n">
        <v>46297</v>
      </c>
      <c r="K374" s="46" t="s">
        <v>106</v>
      </c>
      <c r="L374" s="54" t="str">
        <f aca="false">IF(A374="","",IF(B374="","Missing code",IF(C374="Unknown code","Unknown code",IF(COUNTIF($A$6:$A$1005,A374)&gt;1,"Duplicate WO",""))))</f>
        <v/>
      </c>
    </row>
    <row r="375" customFormat="false" ht="15" hidden="false" customHeight="false" outlineLevel="0" collapsed="false">
      <c r="A375" s="53" t="n">
        <v>100880277</v>
      </c>
      <c r="B375" s="46" t="s">
        <v>63</v>
      </c>
      <c r="C375" s="54" t="str">
        <f aca="false">IF(B375="","",IFERROR(INDEX('Kitting Plan'!$D$5:$D$18,MATCH(B375,'Kitting Plan'!$C$5:$C$18,0)),"Unknown code"))</f>
        <v>R5B ERBIUM SPOOL ASSEMBLY - E2A</v>
      </c>
      <c r="D375" s="54" t="str">
        <f aca="false">IF(B375="","",IFERROR(INDEX('Kitting Plan'!$B$5:$B$18,MATCH(B375,'Kitting Plan'!$C$5:$C$18,0)),""))</f>
        <v>ERBIUM ASSY</v>
      </c>
      <c r="E375" s="45"/>
      <c r="F375" s="55" t="n">
        <f aca="false">IF(B375="","",IFERROR(INDEX('Kitting Plan'!$H$5:$H$18,MATCH(B375,'Kitting Plan'!$C$5:$C$18,0)),""))</f>
        <v>24</v>
      </c>
      <c r="G375" s="45" t="n">
        <v>1</v>
      </c>
      <c r="H375" s="56" t="n">
        <f aca="false">IF(B375="","",IF(G375="",F375,G375))</f>
        <v>1</v>
      </c>
      <c r="I375" s="45" t="s">
        <v>25</v>
      </c>
      <c r="J375" s="57" t="n">
        <v>46297</v>
      </c>
      <c r="K375" s="46" t="s">
        <v>106</v>
      </c>
      <c r="L375" s="54" t="str">
        <f aca="false">IF(A375="","",IF(B375="","Missing code",IF(C375="Unknown code","Unknown code",IF(COUNTIF($A$6:$A$1005,A375)&gt;1,"Duplicate WO",""))))</f>
        <v/>
      </c>
    </row>
    <row r="376" customFormat="false" ht="15" hidden="false" customHeight="false" outlineLevel="0" collapsed="false">
      <c r="A376" s="53" t="n">
        <v>100880278</v>
      </c>
      <c r="B376" s="46" t="s">
        <v>63</v>
      </c>
      <c r="C376" s="54" t="str">
        <f aca="false">IF(B376="","",IFERROR(INDEX('Kitting Plan'!$D$5:$D$18,MATCH(B376,'Kitting Plan'!$C$5:$C$18,0)),"Unknown code"))</f>
        <v>R5B ERBIUM SPOOL ASSEMBLY - E2A</v>
      </c>
      <c r="D376" s="54" t="str">
        <f aca="false">IF(B376="","",IFERROR(INDEX('Kitting Plan'!$B$5:$B$18,MATCH(B376,'Kitting Plan'!$C$5:$C$18,0)),""))</f>
        <v>ERBIUM ASSY</v>
      </c>
      <c r="E376" s="45"/>
      <c r="F376" s="55" t="n">
        <f aca="false">IF(B376="","",IFERROR(INDEX('Kitting Plan'!$H$5:$H$18,MATCH(B376,'Kitting Plan'!$C$5:$C$18,0)),""))</f>
        <v>24</v>
      </c>
      <c r="G376" s="45" t="n">
        <v>1</v>
      </c>
      <c r="H376" s="56" t="n">
        <f aca="false">IF(B376="","",IF(G376="",F376,G376))</f>
        <v>1</v>
      </c>
      <c r="I376" s="45" t="s">
        <v>25</v>
      </c>
      <c r="J376" s="57" t="n">
        <v>46297</v>
      </c>
      <c r="K376" s="46" t="s">
        <v>106</v>
      </c>
      <c r="L376" s="54" t="str">
        <f aca="false">IF(A376="","",IF(B376="","Missing code",IF(C376="Unknown code","Unknown code",IF(COUNTIF($A$6:$A$1005,A376)&gt;1,"Duplicate WO",""))))</f>
        <v/>
      </c>
    </row>
    <row r="377" customFormat="false" ht="15" hidden="false" customHeight="false" outlineLevel="0" collapsed="false">
      <c r="A377" s="53" t="n">
        <v>100880279</v>
      </c>
      <c r="B377" s="46" t="s">
        <v>63</v>
      </c>
      <c r="C377" s="54" t="str">
        <f aca="false">IF(B377="","",IFERROR(INDEX('Kitting Plan'!$D$5:$D$18,MATCH(B377,'Kitting Plan'!$C$5:$C$18,0)),"Unknown code"))</f>
        <v>R5B ERBIUM SPOOL ASSEMBLY - E2A</v>
      </c>
      <c r="D377" s="54" t="str">
        <f aca="false">IF(B377="","",IFERROR(INDEX('Kitting Plan'!$B$5:$B$18,MATCH(B377,'Kitting Plan'!$C$5:$C$18,0)),""))</f>
        <v>ERBIUM ASSY</v>
      </c>
      <c r="E377" s="45"/>
      <c r="F377" s="55" t="n">
        <f aca="false">IF(B377="","",IFERROR(INDEX('Kitting Plan'!$H$5:$H$18,MATCH(B377,'Kitting Plan'!$C$5:$C$18,0)),""))</f>
        <v>24</v>
      </c>
      <c r="G377" s="45" t="n">
        <v>1</v>
      </c>
      <c r="H377" s="56" t="n">
        <f aca="false">IF(B377="","",IF(G377="",F377,G377))</f>
        <v>1</v>
      </c>
      <c r="I377" s="45" t="s">
        <v>25</v>
      </c>
      <c r="J377" s="57" t="n">
        <v>46297</v>
      </c>
      <c r="K377" s="46" t="s">
        <v>106</v>
      </c>
      <c r="L377" s="54" t="str">
        <f aca="false">IF(A377="","",IF(B377="","Missing code",IF(C377="Unknown code","Unknown code",IF(COUNTIF($A$6:$A$1005,A377)&gt;1,"Duplicate WO",""))))</f>
        <v/>
      </c>
    </row>
    <row r="378" customFormat="false" ht="15" hidden="false" customHeight="false" outlineLevel="0" collapsed="false">
      <c r="A378" s="53" t="n">
        <v>100880280</v>
      </c>
      <c r="B378" s="46" t="s">
        <v>63</v>
      </c>
      <c r="C378" s="54" t="str">
        <f aca="false">IF(B378="","",IFERROR(INDEX('Kitting Plan'!$D$5:$D$18,MATCH(B378,'Kitting Plan'!$C$5:$C$18,0)),"Unknown code"))</f>
        <v>R5B ERBIUM SPOOL ASSEMBLY - E2A</v>
      </c>
      <c r="D378" s="54" t="str">
        <f aca="false">IF(B378="","",IFERROR(INDEX('Kitting Plan'!$B$5:$B$18,MATCH(B378,'Kitting Plan'!$C$5:$C$18,0)),""))</f>
        <v>ERBIUM ASSY</v>
      </c>
      <c r="E378" s="45"/>
      <c r="F378" s="55" t="n">
        <f aca="false">IF(B378="","",IFERROR(INDEX('Kitting Plan'!$H$5:$H$18,MATCH(B378,'Kitting Plan'!$C$5:$C$18,0)),""))</f>
        <v>24</v>
      </c>
      <c r="G378" s="45" t="n">
        <v>1</v>
      </c>
      <c r="H378" s="56" t="n">
        <f aca="false">IF(B378="","",IF(G378="",F378,G378))</f>
        <v>1</v>
      </c>
      <c r="I378" s="45" t="s">
        <v>25</v>
      </c>
      <c r="J378" s="57" t="n">
        <v>46297</v>
      </c>
      <c r="K378" s="46" t="s">
        <v>106</v>
      </c>
      <c r="L378" s="54" t="str">
        <f aca="false">IF(A378="","",IF(B378="","Missing code",IF(C378="Unknown code","Unknown code",IF(COUNTIF($A$6:$A$1005,A378)&gt;1,"Duplicate WO",""))))</f>
        <v/>
      </c>
    </row>
    <row r="379" customFormat="false" ht="23.85" hidden="false" customHeight="false" outlineLevel="0" collapsed="false">
      <c r="A379" s="53" t="n">
        <v>100861961</v>
      </c>
      <c r="B379" s="46" t="s">
        <v>73</v>
      </c>
      <c r="C379" s="54" t="str">
        <f aca="false">IF(B379="","",IFERROR(INDEX('Kitting Plan'!$D$5:$D$18,MATCH(B379,'Kitting Plan'!$C$5:$C$18,0)),"Unknown code"))</f>
        <v>R5B BOAT 1 ASSY (4P-4FP)</v>
      </c>
      <c r="D379" s="54" t="str">
        <f aca="false">IF(B379="","",IFERROR(INDEX('Kitting Plan'!$B$5:$B$18,MATCH(B379,'Kitting Plan'!$C$5:$C$18,0)),""))</f>
        <v>BOAT ASSY</v>
      </c>
      <c r="E379" s="45"/>
      <c r="F379" s="55" t="n">
        <f aca="false">IF(B379="","",IFERROR(INDEX('Kitting Plan'!$H$5:$H$18,MATCH(B379,'Kitting Plan'!$C$5:$C$18,0)),""))</f>
        <v>1</v>
      </c>
      <c r="G379" s="45" t="n">
        <v>1</v>
      </c>
      <c r="H379" s="56" t="n">
        <f aca="false">IF(B379="","",IF(G379="",F379,G379))</f>
        <v>1</v>
      </c>
      <c r="I379" s="45" t="s">
        <v>29</v>
      </c>
      <c r="J379" s="57" t="n">
        <v>46156</v>
      </c>
      <c r="K379" s="46" t="s">
        <v>102</v>
      </c>
      <c r="L379" s="54" t="str">
        <f aca="false">IF(A379="","",IF(B379="","Missing code",IF(C379="Unknown code","Unknown code",IF(COUNTIF($A$6:$A$1005,A379)&gt;1,"Duplicate WO",""))))</f>
        <v/>
      </c>
    </row>
    <row r="380" customFormat="false" ht="23.85" hidden="false" customHeight="false" outlineLevel="0" collapsed="false">
      <c r="A380" s="53" t="n">
        <v>100864131</v>
      </c>
      <c r="B380" s="46" t="s">
        <v>73</v>
      </c>
      <c r="C380" s="54" t="str">
        <f aca="false">IF(B380="","",IFERROR(INDEX('Kitting Plan'!$D$5:$D$18,MATCH(B380,'Kitting Plan'!$C$5:$C$18,0)),"Unknown code"))</f>
        <v>R5B BOAT 1 ASSY (4P-4FP)</v>
      </c>
      <c r="D380" s="54" t="str">
        <f aca="false">IF(B380="","",IFERROR(INDEX('Kitting Plan'!$B$5:$B$18,MATCH(B380,'Kitting Plan'!$C$5:$C$18,0)),""))</f>
        <v>BOAT ASSY</v>
      </c>
      <c r="E380" s="45"/>
      <c r="F380" s="55" t="n">
        <f aca="false">IF(B380="","",IFERROR(INDEX('Kitting Plan'!$H$5:$H$18,MATCH(B380,'Kitting Plan'!$C$5:$C$18,0)),""))</f>
        <v>1</v>
      </c>
      <c r="G380" s="45" t="n">
        <v>1</v>
      </c>
      <c r="H380" s="56" t="n">
        <f aca="false">IF(B380="","",IF(G380="",F380,G380))</f>
        <v>1</v>
      </c>
      <c r="I380" s="45" t="s">
        <v>29</v>
      </c>
      <c r="J380" s="57" t="n">
        <v>46170</v>
      </c>
      <c r="K380" s="46" t="s">
        <v>102</v>
      </c>
      <c r="L380" s="54" t="str">
        <f aca="false">IF(A380="","",IF(B380="","Missing code",IF(C380="Unknown code","Unknown code",IF(COUNTIF($A$6:$A$1005,A380)&gt;1,"Duplicate WO",""))))</f>
        <v/>
      </c>
    </row>
    <row r="381" customFormat="false" ht="23.85" hidden="false" customHeight="false" outlineLevel="0" collapsed="false">
      <c r="A381" s="53" t="n">
        <v>100867115</v>
      </c>
      <c r="B381" s="46" t="s">
        <v>73</v>
      </c>
      <c r="C381" s="54" t="str">
        <f aca="false">IF(B381="","",IFERROR(INDEX('Kitting Plan'!$D$5:$D$18,MATCH(B381,'Kitting Plan'!$C$5:$C$18,0)),"Unknown code"))</f>
        <v>R5B BOAT 1 ASSY (4P-4FP)</v>
      </c>
      <c r="D381" s="54" t="str">
        <f aca="false">IF(B381="","",IFERROR(INDEX('Kitting Plan'!$B$5:$B$18,MATCH(B381,'Kitting Plan'!$C$5:$C$18,0)),""))</f>
        <v>BOAT ASSY</v>
      </c>
      <c r="E381" s="45"/>
      <c r="F381" s="55" t="n">
        <f aca="false">IF(B381="","",IFERROR(INDEX('Kitting Plan'!$H$5:$H$18,MATCH(B381,'Kitting Plan'!$C$5:$C$18,0)),""))</f>
        <v>1</v>
      </c>
      <c r="G381" s="45" t="n">
        <v>1</v>
      </c>
      <c r="H381" s="56" t="n">
        <f aca="false">IF(B381="","",IF(G381="",F381,G381))</f>
        <v>1</v>
      </c>
      <c r="I381" s="45" t="s">
        <v>29</v>
      </c>
      <c r="J381" s="57" t="n">
        <v>46190</v>
      </c>
      <c r="K381" s="46" t="s">
        <v>102</v>
      </c>
      <c r="L381" s="54" t="str">
        <f aca="false">IF(A381="","",IF(B381="","Missing code",IF(C381="Unknown code","Unknown code",IF(COUNTIF($A$6:$A$1005,A381)&gt;1,"Duplicate WO",""))))</f>
        <v/>
      </c>
    </row>
    <row r="382" customFormat="false" ht="23.85" hidden="false" customHeight="false" outlineLevel="0" collapsed="false">
      <c r="A382" s="53" t="n">
        <v>100873353</v>
      </c>
      <c r="B382" s="46" t="s">
        <v>73</v>
      </c>
      <c r="C382" s="54" t="str">
        <f aca="false">IF(B382="","",IFERROR(INDEX('Kitting Plan'!$D$5:$D$18,MATCH(B382,'Kitting Plan'!$C$5:$C$18,0)),"Unknown code"))</f>
        <v>R5B BOAT 1 ASSY (4P-4FP)</v>
      </c>
      <c r="D382" s="54" t="str">
        <f aca="false">IF(B382="","",IFERROR(INDEX('Kitting Plan'!$B$5:$B$18,MATCH(B382,'Kitting Plan'!$C$5:$C$18,0)),""))</f>
        <v>BOAT ASSY</v>
      </c>
      <c r="E382" s="45"/>
      <c r="F382" s="55" t="n">
        <f aca="false">IF(B382="","",IFERROR(INDEX('Kitting Plan'!$H$5:$H$18,MATCH(B382,'Kitting Plan'!$C$5:$C$18,0)),""))</f>
        <v>1</v>
      </c>
      <c r="G382" s="45" t="n">
        <v>1</v>
      </c>
      <c r="H382" s="56" t="n">
        <f aca="false">IF(B382="","",IF(G382="",F382,G382))</f>
        <v>1</v>
      </c>
      <c r="I382" s="45" t="s">
        <v>29</v>
      </c>
      <c r="J382" s="57" t="n">
        <v>46242</v>
      </c>
      <c r="K382" s="46" t="s">
        <v>102</v>
      </c>
      <c r="L382" s="54" t="str">
        <f aca="false">IF(A382="","",IF(B382="","Missing code",IF(C382="Unknown code","Unknown code",IF(COUNTIF($A$6:$A$1005,A382)&gt;1,"Duplicate WO",""))))</f>
        <v/>
      </c>
    </row>
    <row r="383" customFormat="false" ht="23.85" hidden="false" customHeight="false" outlineLevel="0" collapsed="false">
      <c r="A383" s="53" t="n">
        <v>100874481</v>
      </c>
      <c r="B383" s="46" t="s">
        <v>73</v>
      </c>
      <c r="C383" s="54" t="str">
        <f aca="false">IF(B383="","",IFERROR(INDEX('Kitting Plan'!$D$5:$D$18,MATCH(B383,'Kitting Plan'!$C$5:$C$18,0)),"Unknown code"))</f>
        <v>R5B BOAT 1 ASSY (4P-4FP)</v>
      </c>
      <c r="D383" s="54" t="str">
        <f aca="false">IF(B383="","",IFERROR(INDEX('Kitting Plan'!$B$5:$B$18,MATCH(B383,'Kitting Plan'!$C$5:$C$18,0)),""))</f>
        <v>BOAT ASSY</v>
      </c>
      <c r="E383" s="45"/>
      <c r="F383" s="55" t="n">
        <f aca="false">IF(B383="","",IFERROR(INDEX('Kitting Plan'!$H$5:$H$18,MATCH(B383,'Kitting Plan'!$C$5:$C$18,0)),""))</f>
        <v>1</v>
      </c>
      <c r="G383" s="45" t="n">
        <v>1</v>
      </c>
      <c r="H383" s="56" t="n">
        <f aca="false">IF(B383="","",IF(G383="",F383,G383))</f>
        <v>1</v>
      </c>
      <c r="I383" s="45" t="s">
        <v>29</v>
      </c>
      <c r="J383" s="57" t="n">
        <v>46252</v>
      </c>
      <c r="K383" s="46" t="s">
        <v>102</v>
      </c>
      <c r="L383" s="54" t="str">
        <f aca="false">IF(A383="","",IF(B383="","Missing code",IF(C383="Unknown code","Unknown code",IF(COUNTIF($A$6:$A$1005,A383)&gt;1,"Duplicate WO",""))))</f>
        <v/>
      </c>
    </row>
    <row r="384" customFormat="false" ht="23.85" hidden="false" customHeight="false" outlineLevel="0" collapsed="false">
      <c r="A384" s="53" t="n">
        <v>100875783</v>
      </c>
      <c r="B384" s="46" t="s">
        <v>73</v>
      </c>
      <c r="C384" s="54" t="str">
        <f aca="false">IF(B384="","",IFERROR(INDEX('Kitting Plan'!$D$5:$D$18,MATCH(B384,'Kitting Plan'!$C$5:$C$18,0)),"Unknown code"))</f>
        <v>R5B BOAT 1 ASSY (4P-4FP)</v>
      </c>
      <c r="D384" s="54" t="str">
        <f aca="false">IF(B384="","",IFERROR(INDEX('Kitting Plan'!$B$5:$B$18,MATCH(B384,'Kitting Plan'!$C$5:$C$18,0)),""))</f>
        <v>BOAT ASSY</v>
      </c>
      <c r="E384" s="45"/>
      <c r="F384" s="55" t="n">
        <f aca="false">IF(B384="","",IFERROR(INDEX('Kitting Plan'!$H$5:$H$18,MATCH(B384,'Kitting Plan'!$C$5:$C$18,0)),""))</f>
        <v>1</v>
      </c>
      <c r="G384" s="45" t="n">
        <v>1</v>
      </c>
      <c r="H384" s="56" t="n">
        <f aca="false">IF(B384="","",IF(G384="",F384,G384))</f>
        <v>1</v>
      </c>
      <c r="I384" s="45" t="s">
        <v>27</v>
      </c>
      <c r="J384" s="57" t="n">
        <v>46263</v>
      </c>
      <c r="K384" s="46" t="s">
        <v>108</v>
      </c>
      <c r="L384" s="54" t="str">
        <f aca="false">IF(A384="","",IF(B384="","Missing code",IF(C384="Unknown code","Unknown code",IF(COUNTIF($A$6:$A$1005,A384)&gt;1,"Duplicate WO",""))))</f>
        <v/>
      </c>
    </row>
    <row r="385" customFormat="false" ht="23.85" hidden="false" customHeight="false" outlineLevel="0" collapsed="false">
      <c r="A385" s="53" t="n">
        <v>100876359</v>
      </c>
      <c r="B385" s="46" t="s">
        <v>73</v>
      </c>
      <c r="C385" s="54" t="str">
        <f aca="false">IF(B385="","",IFERROR(INDEX('Kitting Plan'!$D$5:$D$18,MATCH(B385,'Kitting Plan'!$C$5:$C$18,0)),"Unknown code"))</f>
        <v>R5B BOAT 1 ASSY (4P-4FP)</v>
      </c>
      <c r="D385" s="54" t="str">
        <f aca="false">IF(B385="","",IFERROR(INDEX('Kitting Plan'!$B$5:$B$18,MATCH(B385,'Kitting Plan'!$C$5:$C$18,0)),""))</f>
        <v>BOAT ASSY</v>
      </c>
      <c r="E385" s="45"/>
      <c r="F385" s="55" t="n">
        <f aca="false">IF(B385="","",IFERROR(INDEX('Kitting Plan'!$H$5:$H$18,MATCH(B385,'Kitting Plan'!$C$5:$C$18,0)),""))</f>
        <v>1</v>
      </c>
      <c r="G385" s="45" t="n">
        <v>1</v>
      </c>
      <c r="H385" s="56" t="n">
        <f aca="false">IF(B385="","",IF(G385="",F385,G385))</f>
        <v>1</v>
      </c>
      <c r="I385" s="45" t="s">
        <v>27</v>
      </c>
      <c r="J385" s="57" t="n">
        <v>46270</v>
      </c>
      <c r="K385" s="46" t="s">
        <v>108</v>
      </c>
      <c r="L385" s="54" t="str">
        <f aca="false">IF(A385="","",IF(B385="","Missing code",IF(C385="Unknown code","Unknown code",IF(COUNTIF($A$6:$A$1005,A385)&gt;1,"Duplicate WO",""))))</f>
        <v/>
      </c>
    </row>
    <row r="386" customFormat="false" ht="23.85" hidden="false" customHeight="false" outlineLevel="0" collapsed="false">
      <c r="A386" s="53" t="n">
        <v>100878045</v>
      </c>
      <c r="B386" s="46" t="s">
        <v>73</v>
      </c>
      <c r="C386" s="54" t="str">
        <f aca="false">IF(B386="","",IFERROR(INDEX('Kitting Plan'!$D$5:$D$18,MATCH(B386,'Kitting Plan'!$C$5:$C$18,0)),"Unknown code"))</f>
        <v>R5B BOAT 1 ASSY (4P-4FP)</v>
      </c>
      <c r="D386" s="54" t="str">
        <f aca="false">IF(B386="","",IFERROR(INDEX('Kitting Plan'!$B$5:$B$18,MATCH(B386,'Kitting Plan'!$C$5:$C$18,0)),""))</f>
        <v>BOAT ASSY</v>
      </c>
      <c r="E386" s="45"/>
      <c r="F386" s="55" t="n">
        <f aca="false">IF(B386="","",IFERROR(INDEX('Kitting Plan'!$H$5:$H$18,MATCH(B386,'Kitting Plan'!$C$5:$C$18,0)),""))</f>
        <v>1</v>
      </c>
      <c r="G386" s="45" t="n">
        <v>1</v>
      </c>
      <c r="H386" s="56" t="n">
        <f aca="false">IF(B386="","",IF(G386="",F386,G386))</f>
        <v>1</v>
      </c>
      <c r="I386" s="45" t="s">
        <v>27</v>
      </c>
      <c r="J386" s="57" t="n">
        <v>46281</v>
      </c>
      <c r="K386" s="46" t="s">
        <v>108</v>
      </c>
      <c r="L386" s="54" t="str">
        <f aca="false">IF(A386="","",IF(B386="","Missing code",IF(C386="Unknown code","Unknown code",IF(COUNTIF($A$6:$A$1005,A386)&gt;1,"Duplicate WO",""))))</f>
        <v/>
      </c>
    </row>
    <row r="387" customFormat="false" ht="15" hidden="false" customHeight="false" outlineLevel="0" collapsed="false">
      <c r="A387" s="53" t="n">
        <v>100879436</v>
      </c>
      <c r="B387" s="46" t="s">
        <v>73</v>
      </c>
      <c r="C387" s="54" t="str">
        <f aca="false">IF(B387="","",IFERROR(INDEX('Kitting Plan'!$D$5:$D$18,MATCH(B387,'Kitting Plan'!$C$5:$C$18,0)),"Unknown code"))</f>
        <v>R5B BOAT 1 ASSY (4P-4FP)</v>
      </c>
      <c r="D387" s="54" t="str">
        <f aca="false">IF(B387="","",IFERROR(INDEX('Kitting Plan'!$B$5:$B$18,MATCH(B387,'Kitting Plan'!$C$5:$C$18,0)),""))</f>
        <v>BOAT ASSY</v>
      </c>
      <c r="E387" s="45"/>
      <c r="F387" s="55" t="n">
        <f aca="false">IF(B387="","",IFERROR(INDEX('Kitting Plan'!$H$5:$H$18,MATCH(B387,'Kitting Plan'!$C$5:$C$18,0)),""))</f>
        <v>1</v>
      </c>
      <c r="G387" s="45" t="n">
        <v>1</v>
      </c>
      <c r="H387" s="56" t="n">
        <f aca="false">IF(B387="","",IF(G387="",F387,G387))</f>
        <v>1</v>
      </c>
      <c r="I387" s="45" t="s">
        <v>27</v>
      </c>
      <c r="J387" s="57" t="n">
        <v>46294</v>
      </c>
      <c r="K387" s="46" t="s">
        <v>107</v>
      </c>
      <c r="L387" s="54" t="str">
        <f aca="false">IF(A387="","",IF(B387="","Missing code",IF(C387="Unknown code","Unknown code",IF(COUNTIF($A$6:$A$1005,A387)&gt;1,"Duplicate WO",""))))</f>
        <v/>
      </c>
    </row>
    <row r="388" customFormat="false" ht="15" hidden="false" customHeight="false" outlineLevel="0" collapsed="false">
      <c r="A388" s="53" t="n">
        <v>100880022</v>
      </c>
      <c r="B388" s="46" t="s">
        <v>73</v>
      </c>
      <c r="C388" s="54" t="str">
        <f aca="false">IF(B388="","",IFERROR(INDEX('Kitting Plan'!$D$5:$D$18,MATCH(B388,'Kitting Plan'!$C$5:$C$18,0)),"Unknown code"))</f>
        <v>R5B BOAT 1 ASSY (4P-4FP)</v>
      </c>
      <c r="D388" s="54" t="str">
        <f aca="false">IF(B388="","",IFERROR(INDEX('Kitting Plan'!$B$5:$B$18,MATCH(B388,'Kitting Plan'!$C$5:$C$18,0)),""))</f>
        <v>BOAT ASSY</v>
      </c>
      <c r="E388" s="45"/>
      <c r="F388" s="55" t="n">
        <f aca="false">IF(B388="","",IFERROR(INDEX('Kitting Plan'!$H$5:$H$18,MATCH(B388,'Kitting Plan'!$C$5:$C$18,0)),""))</f>
        <v>1</v>
      </c>
      <c r="G388" s="45" t="n">
        <v>1</v>
      </c>
      <c r="H388" s="56" t="n">
        <f aca="false">IF(B388="","",IF(G388="",F388,G388))</f>
        <v>1</v>
      </c>
      <c r="I388" s="45" t="s">
        <v>27</v>
      </c>
      <c r="J388" s="57" t="n">
        <v>46296</v>
      </c>
      <c r="K388" s="46" t="s">
        <v>107</v>
      </c>
      <c r="L388" s="54" t="str">
        <f aca="false">IF(A388="","",IF(B388="","Missing code",IF(C388="Unknown code","Unknown code",IF(COUNTIF($A$6:$A$1005,A388)&gt;1,"Duplicate WO",""))))</f>
        <v/>
      </c>
    </row>
    <row r="389" customFormat="false" ht="15" hidden="false" customHeight="false" outlineLevel="0" collapsed="false">
      <c r="A389" s="53" t="n">
        <v>100880128</v>
      </c>
      <c r="B389" s="46" t="s">
        <v>73</v>
      </c>
      <c r="C389" s="54" t="str">
        <f aca="false">IF(B389="","",IFERROR(INDEX('Kitting Plan'!$D$5:$D$18,MATCH(B389,'Kitting Plan'!$C$5:$C$18,0)),"Unknown code"))</f>
        <v>R5B BOAT 1 ASSY (4P-4FP)</v>
      </c>
      <c r="D389" s="54" t="str">
        <f aca="false">IF(B389="","",IFERROR(INDEX('Kitting Plan'!$B$5:$B$18,MATCH(B389,'Kitting Plan'!$C$5:$C$18,0)),""))</f>
        <v>BOAT ASSY</v>
      </c>
      <c r="E389" s="45"/>
      <c r="F389" s="55" t="n">
        <f aca="false">IF(B389="","",IFERROR(INDEX('Kitting Plan'!$H$5:$H$18,MATCH(B389,'Kitting Plan'!$C$5:$C$18,0)),""))</f>
        <v>1</v>
      </c>
      <c r="G389" s="45" t="n">
        <v>1</v>
      </c>
      <c r="H389" s="56" t="n">
        <f aca="false">IF(B389="","",IF(G389="",F389,G389))</f>
        <v>1</v>
      </c>
      <c r="I389" s="45" t="s">
        <v>27</v>
      </c>
      <c r="J389" s="57" t="n">
        <v>46296</v>
      </c>
      <c r="K389" s="46" t="s">
        <v>107</v>
      </c>
      <c r="L389" s="54" t="str">
        <f aca="false">IF(A389="","",IF(B389="","Missing code",IF(C389="Unknown code","Unknown code",IF(COUNTIF($A$6:$A$1005,A389)&gt;1,"Duplicate WO",""))))</f>
        <v/>
      </c>
    </row>
    <row r="390" customFormat="false" ht="15" hidden="false" customHeight="false" outlineLevel="0" collapsed="false">
      <c r="A390" s="53" t="n">
        <v>100880234</v>
      </c>
      <c r="B390" s="46" t="s">
        <v>73</v>
      </c>
      <c r="C390" s="54" t="str">
        <f aca="false">IF(B390="","",IFERROR(INDEX('Kitting Plan'!$D$5:$D$18,MATCH(B390,'Kitting Plan'!$C$5:$C$18,0)),"Unknown code"))</f>
        <v>R5B BOAT 1 ASSY (4P-4FP)</v>
      </c>
      <c r="D390" s="54" t="str">
        <f aca="false">IF(B390="","",IFERROR(INDEX('Kitting Plan'!$B$5:$B$18,MATCH(B390,'Kitting Plan'!$C$5:$C$18,0)),""))</f>
        <v>BOAT ASSY</v>
      </c>
      <c r="E390" s="45"/>
      <c r="F390" s="55" t="n">
        <f aca="false">IF(B390="","",IFERROR(INDEX('Kitting Plan'!$H$5:$H$18,MATCH(B390,'Kitting Plan'!$C$5:$C$18,0)),""))</f>
        <v>1</v>
      </c>
      <c r="G390" s="45" t="n">
        <v>1</v>
      </c>
      <c r="H390" s="56" t="n">
        <f aca="false">IF(B390="","",IF(G390="",F390,G390))</f>
        <v>1</v>
      </c>
      <c r="I390" s="45" t="s">
        <v>25</v>
      </c>
      <c r="J390" s="57" t="n">
        <v>46297</v>
      </c>
      <c r="K390" s="46" t="s">
        <v>106</v>
      </c>
      <c r="L390" s="54" t="str">
        <f aca="false">IF(A390="","",IF(B390="","Missing code",IF(C390="Unknown code","Unknown code",IF(COUNTIF($A$6:$A$1005,A390)&gt;1,"Duplicate WO",""))))</f>
        <v/>
      </c>
    </row>
    <row r="391" customFormat="false" ht="15" hidden="false" customHeight="false" outlineLevel="0" collapsed="false">
      <c r="A391" s="53" t="n">
        <v>100880293</v>
      </c>
      <c r="B391" s="46" t="s">
        <v>73</v>
      </c>
      <c r="C391" s="54" t="str">
        <f aca="false">IF(B391="","",IFERROR(INDEX('Kitting Plan'!$D$5:$D$18,MATCH(B391,'Kitting Plan'!$C$5:$C$18,0)),"Unknown code"))</f>
        <v>R5B BOAT 1 ASSY (4P-4FP)</v>
      </c>
      <c r="D391" s="54" t="str">
        <f aca="false">IF(B391="","",IFERROR(INDEX('Kitting Plan'!$B$5:$B$18,MATCH(B391,'Kitting Plan'!$C$5:$C$18,0)),""))</f>
        <v>BOAT ASSY</v>
      </c>
      <c r="E391" s="45"/>
      <c r="F391" s="55" t="n">
        <f aca="false">IF(B391="","",IFERROR(INDEX('Kitting Plan'!$H$5:$H$18,MATCH(B391,'Kitting Plan'!$C$5:$C$18,0)),""))</f>
        <v>1</v>
      </c>
      <c r="G391" s="45" t="n">
        <v>1</v>
      </c>
      <c r="H391" s="56" t="n">
        <f aca="false">IF(B391="","",IF(G391="",F391,G391))</f>
        <v>1</v>
      </c>
      <c r="I391" s="45" t="s">
        <v>25</v>
      </c>
      <c r="J391" s="57" t="n">
        <v>46297</v>
      </c>
      <c r="K391" s="46" t="s">
        <v>106</v>
      </c>
      <c r="L391" s="54" t="str">
        <f aca="false">IF(A391="","",IF(B391="","Missing code",IF(C391="Unknown code","Unknown code",IF(COUNTIF($A$6:$A$1005,A391)&gt;1,"Duplicate WO",""))))</f>
        <v/>
      </c>
    </row>
    <row r="392" customFormat="false" ht="23.85" hidden="false" customHeight="false" outlineLevel="0" collapsed="false">
      <c r="A392" s="53" t="n">
        <v>100862601</v>
      </c>
      <c r="B392" s="46" t="s">
        <v>75</v>
      </c>
      <c r="C392" s="54" t="str">
        <f aca="false">IF(B392="","",IFERROR(INDEX('Kitting Plan'!$D$5:$D$18,MATCH(B392,'Kitting Plan'!$C$5:$C$18,0)),"Unknown code"))</f>
        <v>R5B BOAT 2 ASSY (4P-4FP)</v>
      </c>
      <c r="D392" s="54" t="str">
        <f aca="false">IF(B392="","",IFERROR(INDEX('Kitting Plan'!$B$5:$B$18,MATCH(B392,'Kitting Plan'!$C$5:$C$18,0)),""))</f>
        <v>BOAT ASSY</v>
      </c>
      <c r="E392" s="45"/>
      <c r="F392" s="55" t="n">
        <f aca="false">IF(B392="","",IFERROR(INDEX('Kitting Plan'!$H$5:$H$18,MATCH(B392,'Kitting Plan'!$C$5:$C$18,0)),""))</f>
        <v>1</v>
      </c>
      <c r="G392" s="45" t="n">
        <v>1</v>
      </c>
      <c r="H392" s="56" t="n">
        <f aca="false">IF(B392="","",IF(G392="",F392,G392))</f>
        <v>1</v>
      </c>
      <c r="I392" s="45" t="s">
        <v>29</v>
      </c>
      <c r="J392" s="57" t="n">
        <v>46160</v>
      </c>
      <c r="K392" s="46" t="s">
        <v>102</v>
      </c>
      <c r="L392" s="54" t="str">
        <f aca="false">IF(A392="","",IF(B392="","Missing code",IF(C392="Unknown code","Unknown code",IF(COUNTIF($A$6:$A$1005,A392)&gt;1,"Duplicate WO",""))))</f>
        <v/>
      </c>
    </row>
    <row r="393" customFormat="false" ht="23.85" hidden="false" customHeight="false" outlineLevel="0" collapsed="false">
      <c r="A393" s="53" t="n">
        <v>100864132</v>
      </c>
      <c r="B393" s="46" t="s">
        <v>75</v>
      </c>
      <c r="C393" s="54" t="str">
        <f aca="false">IF(B393="","",IFERROR(INDEX('Kitting Plan'!$D$5:$D$18,MATCH(B393,'Kitting Plan'!$C$5:$C$18,0)),"Unknown code"))</f>
        <v>R5B BOAT 2 ASSY (4P-4FP)</v>
      </c>
      <c r="D393" s="54" t="str">
        <f aca="false">IF(B393="","",IFERROR(INDEX('Kitting Plan'!$B$5:$B$18,MATCH(B393,'Kitting Plan'!$C$5:$C$18,0)),""))</f>
        <v>BOAT ASSY</v>
      </c>
      <c r="E393" s="45"/>
      <c r="F393" s="55" t="n">
        <f aca="false">IF(B393="","",IFERROR(INDEX('Kitting Plan'!$H$5:$H$18,MATCH(B393,'Kitting Plan'!$C$5:$C$18,0)),""))</f>
        <v>1</v>
      </c>
      <c r="G393" s="45" t="n">
        <v>1</v>
      </c>
      <c r="H393" s="56" t="n">
        <f aca="false">IF(B393="","",IF(G393="",F393,G393))</f>
        <v>1</v>
      </c>
      <c r="I393" s="45" t="s">
        <v>29</v>
      </c>
      <c r="J393" s="57" t="n">
        <v>46170</v>
      </c>
      <c r="K393" s="46" t="s">
        <v>102</v>
      </c>
      <c r="L393" s="54" t="str">
        <f aca="false">IF(A393="","",IF(B393="","Missing code",IF(C393="Unknown code","Unknown code",IF(COUNTIF($A$6:$A$1005,A393)&gt;1,"Duplicate WO",""))))</f>
        <v/>
      </c>
    </row>
    <row r="394" customFormat="false" ht="23.85" hidden="false" customHeight="false" outlineLevel="0" collapsed="false">
      <c r="A394" s="53" t="n">
        <v>100867154</v>
      </c>
      <c r="B394" s="46" t="s">
        <v>75</v>
      </c>
      <c r="C394" s="54" t="str">
        <f aca="false">IF(B394="","",IFERROR(INDEX('Kitting Plan'!$D$5:$D$18,MATCH(B394,'Kitting Plan'!$C$5:$C$18,0)),"Unknown code"))</f>
        <v>R5B BOAT 2 ASSY (4P-4FP)</v>
      </c>
      <c r="D394" s="54" t="str">
        <f aca="false">IF(B394="","",IFERROR(INDEX('Kitting Plan'!$B$5:$B$18,MATCH(B394,'Kitting Plan'!$C$5:$C$18,0)),""))</f>
        <v>BOAT ASSY</v>
      </c>
      <c r="E394" s="45"/>
      <c r="F394" s="55" t="n">
        <f aca="false">IF(B394="","",IFERROR(INDEX('Kitting Plan'!$H$5:$H$18,MATCH(B394,'Kitting Plan'!$C$5:$C$18,0)),""))</f>
        <v>1</v>
      </c>
      <c r="G394" s="45" t="n">
        <v>1</v>
      </c>
      <c r="H394" s="56" t="n">
        <f aca="false">IF(B394="","",IF(G394="",F394,G394))</f>
        <v>1</v>
      </c>
      <c r="I394" s="45" t="s">
        <v>29</v>
      </c>
      <c r="J394" s="57" t="n">
        <v>46190</v>
      </c>
      <c r="K394" s="46" t="s">
        <v>102</v>
      </c>
      <c r="L394" s="54" t="str">
        <f aca="false">IF(A394="","",IF(B394="","Missing code",IF(C394="Unknown code","Unknown code",IF(COUNTIF($A$6:$A$1005,A394)&gt;1,"Duplicate WO",""))))</f>
        <v/>
      </c>
    </row>
    <row r="395" customFormat="false" ht="23.85" hidden="false" customHeight="false" outlineLevel="0" collapsed="false">
      <c r="A395" s="53" t="n">
        <v>100873354</v>
      </c>
      <c r="B395" s="46" t="s">
        <v>75</v>
      </c>
      <c r="C395" s="54" t="str">
        <f aca="false">IF(B395="","",IFERROR(INDEX('Kitting Plan'!$D$5:$D$18,MATCH(B395,'Kitting Plan'!$C$5:$C$18,0)),"Unknown code"))</f>
        <v>R5B BOAT 2 ASSY (4P-4FP)</v>
      </c>
      <c r="D395" s="54" t="str">
        <f aca="false">IF(B395="","",IFERROR(INDEX('Kitting Plan'!$B$5:$B$18,MATCH(B395,'Kitting Plan'!$C$5:$C$18,0)),""))</f>
        <v>BOAT ASSY</v>
      </c>
      <c r="E395" s="45"/>
      <c r="F395" s="55" t="n">
        <f aca="false">IF(B395="","",IFERROR(INDEX('Kitting Plan'!$H$5:$H$18,MATCH(B395,'Kitting Plan'!$C$5:$C$18,0)),""))</f>
        <v>1</v>
      </c>
      <c r="G395" s="45" t="n">
        <v>1</v>
      </c>
      <c r="H395" s="56" t="n">
        <f aca="false">IF(B395="","",IF(G395="",F395,G395))</f>
        <v>1</v>
      </c>
      <c r="I395" s="45" t="s">
        <v>29</v>
      </c>
      <c r="J395" s="57" t="n">
        <v>46242</v>
      </c>
      <c r="K395" s="46" t="s">
        <v>102</v>
      </c>
      <c r="L395" s="54" t="str">
        <f aca="false">IF(A395="","",IF(B395="","Missing code",IF(C395="Unknown code","Unknown code",IF(COUNTIF($A$6:$A$1005,A395)&gt;1,"Duplicate WO",""))))</f>
        <v/>
      </c>
    </row>
    <row r="396" customFormat="false" ht="23.85" hidden="false" customHeight="false" outlineLevel="0" collapsed="false">
      <c r="A396" s="53" t="n">
        <v>100874482</v>
      </c>
      <c r="B396" s="46" t="s">
        <v>75</v>
      </c>
      <c r="C396" s="54" t="str">
        <f aca="false">IF(B396="","",IFERROR(INDEX('Kitting Plan'!$D$5:$D$18,MATCH(B396,'Kitting Plan'!$C$5:$C$18,0)),"Unknown code"))</f>
        <v>R5B BOAT 2 ASSY (4P-4FP)</v>
      </c>
      <c r="D396" s="54" t="str">
        <f aca="false">IF(B396="","",IFERROR(INDEX('Kitting Plan'!$B$5:$B$18,MATCH(B396,'Kitting Plan'!$C$5:$C$18,0)),""))</f>
        <v>BOAT ASSY</v>
      </c>
      <c r="E396" s="45"/>
      <c r="F396" s="55" t="n">
        <f aca="false">IF(B396="","",IFERROR(INDEX('Kitting Plan'!$H$5:$H$18,MATCH(B396,'Kitting Plan'!$C$5:$C$18,0)),""))</f>
        <v>1</v>
      </c>
      <c r="G396" s="45" t="n">
        <v>1</v>
      </c>
      <c r="H396" s="56" t="n">
        <f aca="false">IF(B396="","",IF(G396="",F396,G396))</f>
        <v>1</v>
      </c>
      <c r="I396" s="45" t="s">
        <v>29</v>
      </c>
      <c r="J396" s="57" t="n">
        <v>46252</v>
      </c>
      <c r="K396" s="46" t="s">
        <v>102</v>
      </c>
      <c r="L396" s="54" t="str">
        <f aca="false">IF(A396="","",IF(B396="","Missing code",IF(C396="Unknown code","Unknown code",IF(COUNTIF($A$6:$A$1005,A396)&gt;1,"Duplicate WO",""))))</f>
        <v/>
      </c>
    </row>
    <row r="397" customFormat="false" ht="23.85" hidden="false" customHeight="false" outlineLevel="0" collapsed="false">
      <c r="A397" s="53" t="n">
        <v>100875784</v>
      </c>
      <c r="B397" s="46" t="s">
        <v>75</v>
      </c>
      <c r="C397" s="54" t="str">
        <f aca="false">IF(B397="","",IFERROR(INDEX('Kitting Plan'!$D$5:$D$18,MATCH(B397,'Kitting Plan'!$C$5:$C$18,0)),"Unknown code"))</f>
        <v>R5B BOAT 2 ASSY (4P-4FP)</v>
      </c>
      <c r="D397" s="54" t="str">
        <f aca="false">IF(B397="","",IFERROR(INDEX('Kitting Plan'!$B$5:$B$18,MATCH(B397,'Kitting Plan'!$C$5:$C$18,0)),""))</f>
        <v>BOAT ASSY</v>
      </c>
      <c r="E397" s="45"/>
      <c r="F397" s="55" t="n">
        <f aca="false">IF(B397="","",IFERROR(INDEX('Kitting Plan'!$H$5:$H$18,MATCH(B397,'Kitting Plan'!$C$5:$C$18,0)),""))</f>
        <v>1</v>
      </c>
      <c r="G397" s="45" t="n">
        <v>1</v>
      </c>
      <c r="H397" s="56" t="n">
        <f aca="false">IF(B397="","",IF(G397="",F397,G397))</f>
        <v>1</v>
      </c>
      <c r="I397" s="45" t="s">
        <v>27</v>
      </c>
      <c r="J397" s="57" t="n">
        <v>46263</v>
      </c>
      <c r="K397" s="46" t="s">
        <v>108</v>
      </c>
      <c r="L397" s="54" t="str">
        <f aca="false">IF(A397="","",IF(B397="","Missing code",IF(C397="Unknown code","Unknown code",IF(COUNTIF($A$6:$A$1005,A397)&gt;1,"Duplicate WO",""))))</f>
        <v/>
      </c>
    </row>
    <row r="398" customFormat="false" ht="23.85" hidden="false" customHeight="false" outlineLevel="0" collapsed="false">
      <c r="A398" s="53" t="n">
        <v>100876360</v>
      </c>
      <c r="B398" s="46" t="s">
        <v>75</v>
      </c>
      <c r="C398" s="54" t="str">
        <f aca="false">IF(B398="","",IFERROR(INDEX('Kitting Plan'!$D$5:$D$18,MATCH(B398,'Kitting Plan'!$C$5:$C$18,0)),"Unknown code"))</f>
        <v>R5B BOAT 2 ASSY (4P-4FP)</v>
      </c>
      <c r="D398" s="54" t="str">
        <f aca="false">IF(B398="","",IFERROR(INDEX('Kitting Plan'!$B$5:$B$18,MATCH(B398,'Kitting Plan'!$C$5:$C$18,0)),""))</f>
        <v>BOAT ASSY</v>
      </c>
      <c r="E398" s="45"/>
      <c r="F398" s="55" t="n">
        <f aca="false">IF(B398="","",IFERROR(INDEX('Kitting Plan'!$H$5:$H$18,MATCH(B398,'Kitting Plan'!$C$5:$C$18,0)),""))</f>
        <v>1</v>
      </c>
      <c r="G398" s="45" t="n">
        <v>1</v>
      </c>
      <c r="H398" s="56" t="n">
        <f aca="false">IF(B398="","",IF(G398="",F398,G398))</f>
        <v>1</v>
      </c>
      <c r="I398" s="45" t="s">
        <v>27</v>
      </c>
      <c r="J398" s="57" t="n">
        <v>46270</v>
      </c>
      <c r="K398" s="46" t="s">
        <v>109</v>
      </c>
      <c r="L398" s="54" t="str">
        <f aca="false">IF(A398="","",IF(B398="","Missing code",IF(C398="Unknown code","Unknown code",IF(COUNTIF($A$6:$A$1005,A398)&gt;1,"Duplicate WO",""))))</f>
        <v/>
      </c>
    </row>
    <row r="399" customFormat="false" ht="23.85" hidden="false" customHeight="false" outlineLevel="0" collapsed="false">
      <c r="A399" s="53" t="n">
        <v>100878046</v>
      </c>
      <c r="B399" s="46" t="s">
        <v>75</v>
      </c>
      <c r="C399" s="54" t="str">
        <f aca="false">IF(B399="","",IFERROR(INDEX('Kitting Plan'!$D$5:$D$18,MATCH(B399,'Kitting Plan'!$C$5:$C$18,0)),"Unknown code"))</f>
        <v>R5B BOAT 2 ASSY (4P-4FP)</v>
      </c>
      <c r="D399" s="54" t="str">
        <f aca="false">IF(B399="","",IFERROR(INDEX('Kitting Plan'!$B$5:$B$18,MATCH(B399,'Kitting Plan'!$C$5:$C$18,0)),""))</f>
        <v>BOAT ASSY</v>
      </c>
      <c r="E399" s="45"/>
      <c r="F399" s="55" t="n">
        <f aca="false">IF(B399="","",IFERROR(INDEX('Kitting Plan'!$H$5:$H$18,MATCH(B399,'Kitting Plan'!$C$5:$C$18,0)),""))</f>
        <v>1</v>
      </c>
      <c r="G399" s="45" t="n">
        <v>1</v>
      </c>
      <c r="H399" s="56" t="n">
        <f aca="false">IF(B399="","",IF(G399="",F399,G399))</f>
        <v>1</v>
      </c>
      <c r="I399" s="45" t="s">
        <v>27</v>
      </c>
      <c r="J399" s="57" t="n">
        <v>46281</v>
      </c>
      <c r="K399" s="46" t="s">
        <v>108</v>
      </c>
      <c r="L399" s="54" t="str">
        <f aca="false">IF(A399="","",IF(B399="","Missing code",IF(C399="Unknown code","Unknown code",IF(COUNTIF($A$6:$A$1005,A399)&gt;1,"Duplicate WO",""))))</f>
        <v/>
      </c>
    </row>
    <row r="400" customFormat="false" ht="15" hidden="false" customHeight="false" outlineLevel="0" collapsed="false">
      <c r="A400" s="53" t="n">
        <v>100879437</v>
      </c>
      <c r="B400" s="46" t="s">
        <v>75</v>
      </c>
      <c r="C400" s="54" t="str">
        <f aca="false">IF(B400="","",IFERROR(INDEX('Kitting Plan'!$D$5:$D$18,MATCH(B400,'Kitting Plan'!$C$5:$C$18,0)),"Unknown code"))</f>
        <v>R5B BOAT 2 ASSY (4P-4FP)</v>
      </c>
      <c r="D400" s="54" t="str">
        <f aca="false">IF(B400="","",IFERROR(INDEX('Kitting Plan'!$B$5:$B$18,MATCH(B400,'Kitting Plan'!$C$5:$C$18,0)),""))</f>
        <v>BOAT ASSY</v>
      </c>
      <c r="E400" s="45"/>
      <c r="F400" s="55" t="n">
        <f aca="false">IF(B400="","",IFERROR(INDEX('Kitting Plan'!$H$5:$H$18,MATCH(B400,'Kitting Plan'!$C$5:$C$18,0)),""))</f>
        <v>1</v>
      </c>
      <c r="G400" s="45" t="n">
        <v>1</v>
      </c>
      <c r="H400" s="56" t="n">
        <f aca="false">IF(B400="","",IF(G400="",F400,G400))</f>
        <v>1</v>
      </c>
      <c r="I400" s="45" t="s">
        <v>27</v>
      </c>
      <c r="J400" s="57" t="n">
        <v>46294</v>
      </c>
      <c r="K400" s="46" t="s">
        <v>107</v>
      </c>
      <c r="L400" s="54" t="str">
        <f aca="false">IF(A400="","",IF(B400="","Missing code",IF(C400="Unknown code","Unknown code",IF(COUNTIF($A$6:$A$1005,A400)&gt;1,"Duplicate WO",""))))</f>
        <v/>
      </c>
    </row>
    <row r="401" customFormat="false" ht="15" hidden="false" customHeight="false" outlineLevel="0" collapsed="false">
      <c r="A401" s="53" t="n">
        <v>100880023</v>
      </c>
      <c r="B401" s="46" t="s">
        <v>75</v>
      </c>
      <c r="C401" s="54" t="str">
        <f aca="false">IF(B401="","",IFERROR(INDEX('Kitting Plan'!$D$5:$D$18,MATCH(B401,'Kitting Plan'!$C$5:$C$18,0)),"Unknown code"))</f>
        <v>R5B BOAT 2 ASSY (4P-4FP)</v>
      </c>
      <c r="D401" s="54" t="str">
        <f aca="false">IF(B401="","",IFERROR(INDEX('Kitting Plan'!$B$5:$B$18,MATCH(B401,'Kitting Plan'!$C$5:$C$18,0)),""))</f>
        <v>BOAT ASSY</v>
      </c>
      <c r="E401" s="45"/>
      <c r="F401" s="55" t="n">
        <f aca="false">IF(B401="","",IFERROR(INDEX('Kitting Plan'!$H$5:$H$18,MATCH(B401,'Kitting Plan'!$C$5:$C$18,0)),""))</f>
        <v>1</v>
      </c>
      <c r="G401" s="45" t="n">
        <v>1</v>
      </c>
      <c r="H401" s="56" t="n">
        <f aca="false">IF(B401="","",IF(G401="",F401,G401))</f>
        <v>1</v>
      </c>
      <c r="I401" s="45" t="s">
        <v>27</v>
      </c>
      <c r="J401" s="57" t="n">
        <v>46296</v>
      </c>
      <c r="K401" s="46" t="s">
        <v>107</v>
      </c>
      <c r="L401" s="54" t="str">
        <f aca="false">IF(A401="","",IF(B401="","Missing code",IF(C401="Unknown code","Unknown code",IF(COUNTIF($A$6:$A$1005,A401)&gt;1,"Duplicate WO",""))))</f>
        <v/>
      </c>
    </row>
    <row r="402" customFormat="false" ht="15" hidden="false" customHeight="false" outlineLevel="0" collapsed="false">
      <c r="A402" s="53" t="n">
        <v>100880129</v>
      </c>
      <c r="B402" s="46" t="s">
        <v>75</v>
      </c>
      <c r="C402" s="54" t="str">
        <f aca="false">IF(B402="","",IFERROR(INDEX('Kitting Plan'!$D$5:$D$18,MATCH(B402,'Kitting Plan'!$C$5:$C$18,0)),"Unknown code"))</f>
        <v>R5B BOAT 2 ASSY (4P-4FP)</v>
      </c>
      <c r="D402" s="54" t="str">
        <f aca="false">IF(B402="","",IFERROR(INDEX('Kitting Plan'!$B$5:$B$18,MATCH(B402,'Kitting Plan'!$C$5:$C$18,0)),""))</f>
        <v>BOAT ASSY</v>
      </c>
      <c r="E402" s="45"/>
      <c r="F402" s="55" t="n">
        <f aca="false">IF(B402="","",IFERROR(INDEX('Kitting Plan'!$H$5:$H$18,MATCH(B402,'Kitting Plan'!$C$5:$C$18,0)),""))</f>
        <v>1</v>
      </c>
      <c r="G402" s="45" t="n">
        <v>1</v>
      </c>
      <c r="H402" s="56" t="n">
        <f aca="false">IF(B402="","",IF(G402="",F402,G402))</f>
        <v>1</v>
      </c>
      <c r="I402" s="45" t="s">
        <v>27</v>
      </c>
      <c r="J402" s="57" t="n">
        <v>46296</v>
      </c>
      <c r="K402" s="46" t="s">
        <v>107</v>
      </c>
      <c r="L402" s="54" t="str">
        <f aca="false">IF(A402="","",IF(B402="","Missing code",IF(C402="Unknown code","Unknown code",IF(COUNTIF($A$6:$A$1005,A402)&gt;1,"Duplicate WO",""))))</f>
        <v/>
      </c>
    </row>
    <row r="403" customFormat="false" ht="15" hidden="false" customHeight="false" outlineLevel="0" collapsed="false">
      <c r="A403" s="53" t="n">
        <v>100880235</v>
      </c>
      <c r="B403" s="46" t="s">
        <v>75</v>
      </c>
      <c r="C403" s="54" t="str">
        <f aca="false">IF(B403="","",IFERROR(INDEX('Kitting Plan'!$D$5:$D$18,MATCH(B403,'Kitting Plan'!$C$5:$C$18,0)),"Unknown code"))</f>
        <v>R5B BOAT 2 ASSY (4P-4FP)</v>
      </c>
      <c r="D403" s="54" t="str">
        <f aca="false">IF(B403="","",IFERROR(INDEX('Kitting Plan'!$B$5:$B$18,MATCH(B403,'Kitting Plan'!$C$5:$C$18,0)),""))</f>
        <v>BOAT ASSY</v>
      </c>
      <c r="E403" s="45"/>
      <c r="F403" s="55" t="n">
        <f aca="false">IF(B403="","",IFERROR(INDEX('Kitting Plan'!$H$5:$H$18,MATCH(B403,'Kitting Plan'!$C$5:$C$18,0)),""))</f>
        <v>1</v>
      </c>
      <c r="G403" s="45" t="n">
        <v>1</v>
      </c>
      <c r="H403" s="56" t="n">
        <f aca="false">IF(B403="","",IF(G403="",F403,G403))</f>
        <v>1</v>
      </c>
      <c r="I403" s="45" t="s">
        <v>25</v>
      </c>
      <c r="J403" s="57" t="n">
        <v>46297</v>
      </c>
      <c r="K403" s="46" t="s">
        <v>106</v>
      </c>
      <c r="L403" s="54" t="str">
        <f aca="false">IF(A403="","",IF(B403="","Missing code",IF(C403="Unknown code","Unknown code",IF(COUNTIF($A$6:$A$1005,A403)&gt;1,"Duplicate WO",""))))</f>
        <v/>
      </c>
    </row>
    <row r="404" customFormat="false" ht="15" hidden="false" customHeight="false" outlineLevel="0" collapsed="false">
      <c r="A404" s="53" t="n">
        <v>100880294</v>
      </c>
      <c r="B404" s="46" t="s">
        <v>75</v>
      </c>
      <c r="C404" s="54" t="str">
        <f aca="false">IF(B404="","",IFERROR(INDEX('Kitting Plan'!$D$5:$D$18,MATCH(B404,'Kitting Plan'!$C$5:$C$18,0)),"Unknown code"))</f>
        <v>R5B BOAT 2 ASSY (4P-4FP)</v>
      </c>
      <c r="D404" s="54" t="str">
        <f aca="false">IF(B404="","",IFERROR(INDEX('Kitting Plan'!$B$5:$B$18,MATCH(B404,'Kitting Plan'!$C$5:$C$18,0)),""))</f>
        <v>BOAT ASSY</v>
      </c>
      <c r="E404" s="45"/>
      <c r="F404" s="55" t="n">
        <f aca="false">IF(B404="","",IFERROR(INDEX('Kitting Plan'!$H$5:$H$18,MATCH(B404,'Kitting Plan'!$C$5:$C$18,0)),""))</f>
        <v>1</v>
      </c>
      <c r="G404" s="45" t="n">
        <v>1</v>
      </c>
      <c r="H404" s="56" t="n">
        <f aca="false">IF(B404="","",IF(G404="",F404,G404))</f>
        <v>1</v>
      </c>
      <c r="I404" s="45" t="s">
        <v>25</v>
      </c>
      <c r="J404" s="57" t="n">
        <v>46297</v>
      </c>
      <c r="K404" s="46" t="s">
        <v>106</v>
      </c>
      <c r="L404" s="54" t="str">
        <f aca="false">IF(A404="","",IF(B404="","Missing code",IF(C404="Unknown code","Unknown code",IF(COUNTIF($A$6:$A$1005,A404)&gt;1,"Duplicate WO",""))))</f>
        <v/>
      </c>
    </row>
    <row r="405" customFormat="false" ht="23.85" hidden="false" customHeight="false" outlineLevel="0" collapsed="false">
      <c r="A405" s="53" t="n">
        <v>100862386</v>
      </c>
      <c r="B405" s="46" t="s">
        <v>77</v>
      </c>
      <c r="C405" s="54" t="str">
        <f aca="false">IF(B405="","",IFERROR(INDEX('Kitting Plan'!$D$5:$D$18,MATCH(B405,'Kitting Plan'!$C$5:$C$18,0)),"Unknown code"))</f>
        <v>R5B BOAT 3 ASSY (4P-4FP)</v>
      </c>
      <c r="D405" s="54" t="str">
        <f aca="false">IF(B405="","",IFERROR(INDEX('Kitting Plan'!$B$5:$B$18,MATCH(B405,'Kitting Plan'!$C$5:$C$18,0)),""))</f>
        <v>BOAT ASSY</v>
      </c>
      <c r="E405" s="45"/>
      <c r="F405" s="55" t="n">
        <f aca="false">IF(B405="","",IFERROR(INDEX('Kitting Plan'!$H$5:$H$18,MATCH(B405,'Kitting Plan'!$C$5:$C$18,0)),""))</f>
        <v>1</v>
      </c>
      <c r="G405" s="45" t="n">
        <v>1</v>
      </c>
      <c r="H405" s="56" t="n">
        <f aca="false">IF(B405="","",IF(G405="",F405,G405))</f>
        <v>1</v>
      </c>
      <c r="I405" s="45" t="s">
        <v>29</v>
      </c>
      <c r="J405" s="57" t="n">
        <v>46158</v>
      </c>
      <c r="K405" s="46" t="s">
        <v>102</v>
      </c>
      <c r="L405" s="54" t="str">
        <f aca="false">IF(A405="","",IF(B405="","Missing code",IF(C405="Unknown code","Unknown code",IF(COUNTIF($A$6:$A$1005,A405)&gt;1,"Duplicate WO",""))))</f>
        <v/>
      </c>
    </row>
    <row r="406" customFormat="false" ht="23.85" hidden="false" customHeight="false" outlineLevel="0" collapsed="false">
      <c r="A406" s="53" t="n">
        <v>100864144</v>
      </c>
      <c r="B406" s="46" t="s">
        <v>77</v>
      </c>
      <c r="C406" s="54" t="str">
        <f aca="false">IF(B406="","",IFERROR(INDEX('Kitting Plan'!$D$5:$D$18,MATCH(B406,'Kitting Plan'!$C$5:$C$18,0)),"Unknown code"))</f>
        <v>R5B BOAT 3 ASSY (4P-4FP)</v>
      </c>
      <c r="D406" s="54" t="str">
        <f aca="false">IF(B406="","",IFERROR(INDEX('Kitting Plan'!$B$5:$B$18,MATCH(B406,'Kitting Plan'!$C$5:$C$18,0)),""))</f>
        <v>BOAT ASSY</v>
      </c>
      <c r="E406" s="45"/>
      <c r="F406" s="55" t="n">
        <f aca="false">IF(B406="","",IFERROR(INDEX('Kitting Plan'!$H$5:$H$18,MATCH(B406,'Kitting Plan'!$C$5:$C$18,0)),""))</f>
        <v>1</v>
      </c>
      <c r="G406" s="45" t="n">
        <v>1</v>
      </c>
      <c r="H406" s="56" t="n">
        <f aca="false">IF(B406="","",IF(G406="",F406,G406))</f>
        <v>1</v>
      </c>
      <c r="I406" s="45" t="s">
        <v>29</v>
      </c>
      <c r="J406" s="57" t="n">
        <v>46170</v>
      </c>
      <c r="K406" s="46" t="s">
        <v>102</v>
      </c>
      <c r="L406" s="54" t="str">
        <f aca="false">IF(A406="","",IF(B406="","Missing code",IF(C406="Unknown code","Unknown code",IF(COUNTIF($A$6:$A$1005,A406)&gt;1,"Duplicate WO",""))))</f>
        <v/>
      </c>
    </row>
    <row r="407" customFormat="false" ht="23.85" hidden="false" customHeight="false" outlineLevel="0" collapsed="false">
      <c r="A407" s="53" t="n">
        <v>100867155</v>
      </c>
      <c r="B407" s="46" t="s">
        <v>77</v>
      </c>
      <c r="C407" s="54" t="str">
        <f aca="false">IF(B407="","",IFERROR(INDEX('Kitting Plan'!$D$5:$D$18,MATCH(B407,'Kitting Plan'!$C$5:$C$18,0)),"Unknown code"))</f>
        <v>R5B BOAT 3 ASSY (4P-4FP)</v>
      </c>
      <c r="D407" s="54" t="str">
        <f aca="false">IF(B407="","",IFERROR(INDEX('Kitting Plan'!$B$5:$B$18,MATCH(B407,'Kitting Plan'!$C$5:$C$18,0)),""))</f>
        <v>BOAT ASSY</v>
      </c>
      <c r="E407" s="45"/>
      <c r="F407" s="55" t="n">
        <f aca="false">IF(B407="","",IFERROR(INDEX('Kitting Plan'!$H$5:$H$18,MATCH(B407,'Kitting Plan'!$C$5:$C$18,0)),""))</f>
        <v>1</v>
      </c>
      <c r="G407" s="45" t="n">
        <v>1</v>
      </c>
      <c r="H407" s="56" t="n">
        <f aca="false">IF(B407="","",IF(G407="",F407,G407))</f>
        <v>1</v>
      </c>
      <c r="I407" s="45" t="s">
        <v>29</v>
      </c>
      <c r="J407" s="57" t="n">
        <v>46190</v>
      </c>
      <c r="K407" s="46" t="s">
        <v>102</v>
      </c>
      <c r="L407" s="54" t="str">
        <f aca="false">IF(A407="","",IF(B407="","Missing code",IF(C407="Unknown code","Unknown code",IF(COUNTIF($A$6:$A$1005,A407)&gt;1,"Duplicate WO",""))))</f>
        <v/>
      </c>
    </row>
    <row r="408" customFormat="false" ht="23.85" hidden="false" customHeight="false" outlineLevel="0" collapsed="false">
      <c r="A408" s="53" t="n">
        <v>100873355</v>
      </c>
      <c r="B408" s="46" t="s">
        <v>77</v>
      </c>
      <c r="C408" s="54" t="str">
        <f aca="false">IF(B408="","",IFERROR(INDEX('Kitting Plan'!$D$5:$D$18,MATCH(B408,'Kitting Plan'!$C$5:$C$18,0)),"Unknown code"))</f>
        <v>R5B BOAT 3 ASSY (4P-4FP)</v>
      </c>
      <c r="D408" s="54" t="str">
        <f aca="false">IF(B408="","",IFERROR(INDEX('Kitting Plan'!$B$5:$B$18,MATCH(B408,'Kitting Plan'!$C$5:$C$18,0)),""))</f>
        <v>BOAT ASSY</v>
      </c>
      <c r="E408" s="45"/>
      <c r="F408" s="55" t="n">
        <f aca="false">IF(B408="","",IFERROR(INDEX('Kitting Plan'!$H$5:$H$18,MATCH(B408,'Kitting Plan'!$C$5:$C$18,0)),""))</f>
        <v>1</v>
      </c>
      <c r="G408" s="45" t="n">
        <v>1</v>
      </c>
      <c r="H408" s="56" t="n">
        <f aca="false">IF(B408="","",IF(G408="",F408,G408))</f>
        <v>1</v>
      </c>
      <c r="I408" s="45" t="s">
        <v>29</v>
      </c>
      <c r="J408" s="57" t="n">
        <v>46242</v>
      </c>
      <c r="K408" s="46" t="s">
        <v>102</v>
      </c>
      <c r="L408" s="54" t="str">
        <f aca="false">IF(A408="","",IF(B408="","Missing code",IF(C408="Unknown code","Unknown code",IF(COUNTIF($A$6:$A$1005,A408)&gt;1,"Duplicate WO",""))))</f>
        <v/>
      </c>
    </row>
    <row r="409" customFormat="false" ht="23.85" hidden="false" customHeight="false" outlineLevel="0" collapsed="false">
      <c r="A409" s="53" t="n">
        <v>100874483</v>
      </c>
      <c r="B409" s="46" t="s">
        <v>77</v>
      </c>
      <c r="C409" s="54" t="str">
        <f aca="false">IF(B409="","",IFERROR(INDEX('Kitting Plan'!$D$5:$D$18,MATCH(B409,'Kitting Plan'!$C$5:$C$18,0)),"Unknown code"))</f>
        <v>R5B BOAT 3 ASSY (4P-4FP)</v>
      </c>
      <c r="D409" s="54" t="str">
        <f aca="false">IF(B409="","",IFERROR(INDEX('Kitting Plan'!$B$5:$B$18,MATCH(B409,'Kitting Plan'!$C$5:$C$18,0)),""))</f>
        <v>BOAT ASSY</v>
      </c>
      <c r="E409" s="45"/>
      <c r="F409" s="55" t="n">
        <f aca="false">IF(B409="","",IFERROR(INDEX('Kitting Plan'!$H$5:$H$18,MATCH(B409,'Kitting Plan'!$C$5:$C$18,0)),""))</f>
        <v>1</v>
      </c>
      <c r="G409" s="45" t="n">
        <v>1</v>
      </c>
      <c r="H409" s="56" t="n">
        <f aca="false">IF(B409="","",IF(G409="",F409,G409))</f>
        <v>1</v>
      </c>
      <c r="I409" s="45" t="s">
        <v>29</v>
      </c>
      <c r="J409" s="57" t="n">
        <v>46252</v>
      </c>
      <c r="K409" s="46" t="s">
        <v>102</v>
      </c>
      <c r="L409" s="54" t="str">
        <f aca="false">IF(A409="","",IF(B409="","Missing code",IF(C409="Unknown code","Unknown code",IF(COUNTIF($A$6:$A$1005,A409)&gt;1,"Duplicate WO",""))))</f>
        <v/>
      </c>
    </row>
    <row r="410" customFormat="false" ht="23.85" hidden="false" customHeight="false" outlineLevel="0" collapsed="false">
      <c r="A410" s="53" t="n">
        <v>100875785</v>
      </c>
      <c r="B410" s="46" t="s">
        <v>77</v>
      </c>
      <c r="C410" s="54" t="str">
        <f aca="false">IF(B410="","",IFERROR(INDEX('Kitting Plan'!$D$5:$D$18,MATCH(B410,'Kitting Plan'!$C$5:$C$18,0)),"Unknown code"))</f>
        <v>R5B BOAT 3 ASSY (4P-4FP)</v>
      </c>
      <c r="D410" s="54" t="str">
        <f aca="false">IF(B410="","",IFERROR(INDEX('Kitting Plan'!$B$5:$B$18,MATCH(B410,'Kitting Plan'!$C$5:$C$18,0)),""))</f>
        <v>BOAT ASSY</v>
      </c>
      <c r="E410" s="45"/>
      <c r="F410" s="55" t="n">
        <f aca="false">IF(B410="","",IFERROR(INDEX('Kitting Plan'!$H$5:$H$18,MATCH(B410,'Kitting Plan'!$C$5:$C$18,0)),""))</f>
        <v>1</v>
      </c>
      <c r="G410" s="45" t="n">
        <v>1</v>
      </c>
      <c r="H410" s="56" t="n">
        <f aca="false">IF(B410="","",IF(G410="",F410,G410))</f>
        <v>1</v>
      </c>
      <c r="I410" s="45" t="s">
        <v>29</v>
      </c>
      <c r="J410" s="57" t="n">
        <v>46263</v>
      </c>
      <c r="K410" s="46" t="s">
        <v>102</v>
      </c>
      <c r="L410" s="54" t="str">
        <f aca="false">IF(A410="","",IF(B410="","Missing code",IF(C410="Unknown code","Unknown code",IF(COUNTIF($A$6:$A$1005,A410)&gt;1,"Duplicate WO",""))))</f>
        <v/>
      </c>
    </row>
    <row r="411" customFormat="false" ht="23.85" hidden="false" customHeight="false" outlineLevel="0" collapsed="false">
      <c r="A411" s="53" t="n">
        <v>100876361</v>
      </c>
      <c r="B411" s="46" t="s">
        <v>77</v>
      </c>
      <c r="C411" s="54" t="str">
        <f aca="false">IF(B411="","",IFERROR(INDEX('Kitting Plan'!$D$5:$D$18,MATCH(B411,'Kitting Plan'!$C$5:$C$18,0)),"Unknown code"))</f>
        <v>R5B BOAT 3 ASSY (4P-4FP)</v>
      </c>
      <c r="D411" s="54" t="str">
        <f aca="false">IF(B411="","",IFERROR(INDEX('Kitting Plan'!$B$5:$B$18,MATCH(B411,'Kitting Plan'!$C$5:$C$18,0)),""))</f>
        <v>BOAT ASSY</v>
      </c>
      <c r="E411" s="45"/>
      <c r="F411" s="55" t="n">
        <f aca="false">IF(B411="","",IFERROR(INDEX('Kitting Plan'!$H$5:$H$18,MATCH(B411,'Kitting Plan'!$C$5:$C$18,0)),""))</f>
        <v>1</v>
      </c>
      <c r="G411" s="45" t="n">
        <v>1</v>
      </c>
      <c r="H411" s="56" t="n">
        <f aca="false">IF(B411="","",IF(G411="",F411,G411))</f>
        <v>1</v>
      </c>
      <c r="I411" s="45" t="s">
        <v>27</v>
      </c>
      <c r="J411" s="57" t="n">
        <v>46270</v>
      </c>
      <c r="K411" s="46" t="s">
        <v>108</v>
      </c>
      <c r="L411" s="54" t="str">
        <f aca="false">IF(A411="","",IF(B411="","Missing code",IF(C411="Unknown code","Unknown code",IF(COUNTIF($A$6:$A$1005,A411)&gt;1,"Duplicate WO",""))))</f>
        <v/>
      </c>
    </row>
    <row r="412" customFormat="false" ht="23.85" hidden="false" customHeight="false" outlineLevel="0" collapsed="false">
      <c r="A412" s="53" t="n">
        <v>100878047</v>
      </c>
      <c r="B412" s="46" t="s">
        <v>77</v>
      </c>
      <c r="C412" s="54" t="str">
        <f aca="false">IF(B412="","",IFERROR(INDEX('Kitting Plan'!$D$5:$D$18,MATCH(B412,'Kitting Plan'!$C$5:$C$18,0)),"Unknown code"))</f>
        <v>R5B BOAT 3 ASSY (4P-4FP)</v>
      </c>
      <c r="D412" s="54" t="str">
        <f aca="false">IF(B412="","",IFERROR(INDEX('Kitting Plan'!$B$5:$B$18,MATCH(B412,'Kitting Plan'!$C$5:$C$18,0)),""))</f>
        <v>BOAT ASSY</v>
      </c>
      <c r="E412" s="45"/>
      <c r="F412" s="55" t="n">
        <f aca="false">IF(B412="","",IFERROR(INDEX('Kitting Plan'!$H$5:$H$18,MATCH(B412,'Kitting Plan'!$C$5:$C$18,0)),""))</f>
        <v>1</v>
      </c>
      <c r="G412" s="45" t="n">
        <v>1</v>
      </c>
      <c r="H412" s="56" t="n">
        <f aca="false">IF(B412="","",IF(G412="",F412,G412))</f>
        <v>1</v>
      </c>
      <c r="I412" s="45" t="s">
        <v>27</v>
      </c>
      <c r="J412" s="57" t="n">
        <v>46281</v>
      </c>
      <c r="K412" s="46" t="s">
        <v>105</v>
      </c>
      <c r="L412" s="54" t="str">
        <f aca="false">IF(A412="","",IF(B412="","Missing code",IF(C412="Unknown code","Unknown code",IF(COUNTIF($A$6:$A$1005,A412)&gt;1,"Duplicate WO",""))))</f>
        <v/>
      </c>
    </row>
    <row r="413" customFormat="false" ht="15" hidden="false" customHeight="false" outlineLevel="0" collapsed="false">
      <c r="A413" s="53" t="n">
        <v>100879439</v>
      </c>
      <c r="B413" s="46" t="s">
        <v>77</v>
      </c>
      <c r="C413" s="54" t="str">
        <f aca="false">IF(B413="","",IFERROR(INDEX('Kitting Plan'!$D$5:$D$18,MATCH(B413,'Kitting Plan'!$C$5:$C$18,0)),"Unknown code"))</f>
        <v>R5B BOAT 3 ASSY (4P-4FP)</v>
      </c>
      <c r="D413" s="54" t="str">
        <f aca="false">IF(B413="","",IFERROR(INDEX('Kitting Plan'!$B$5:$B$18,MATCH(B413,'Kitting Plan'!$C$5:$C$18,0)),""))</f>
        <v>BOAT ASSY</v>
      </c>
      <c r="E413" s="45"/>
      <c r="F413" s="55" t="n">
        <f aca="false">IF(B413="","",IFERROR(INDEX('Kitting Plan'!$H$5:$H$18,MATCH(B413,'Kitting Plan'!$C$5:$C$18,0)),""))</f>
        <v>1</v>
      </c>
      <c r="G413" s="45" t="n">
        <v>1</v>
      </c>
      <c r="H413" s="56" t="n">
        <f aca="false">IF(B413="","",IF(G413="",F413,G413))</f>
        <v>1</v>
      </c>
      <c r="I413" s="45" t="s">
        <v>27</v>
      </c>
      <c r="J413" s="57" t="n">
        <v>46294</v>
      </c>
      <c r="K413" s="46" t="s">
        <v>107</v>
      </c>
      <c r="L413" s="54" t="str">
        <f aca="false">IF(A413="","",IF(B413="","Missing code",IF(C413="Unknown code","Unknown code",IF(COUNTIF($A$6:$A$1005,A413)&gt;1,"Duplicate WO",""))))</f>
        <v/>
      </c>
    </row>
    <row r="414" customFormat="false" ht="15" hidden="false" customHeight="false" outlineLevel="0" collapsed="false">
      <c r="A414" s="53" t="n">
        <v>100880024</v>
      </c>
      <c r="B414" s="46" t="s">
        <v>77</v>
      </c>
      <c r="C414" s="54" t="str">
        <f aca="false">IF(B414="","",IFERROR(INDEX('Kitting Plan'!$D$5:$D$18,MATCH(B414,'Kitting Plan'!$C$5:$C$18,0)),"Unknown code"))</f>
        <v>R5B BOAT 3 ASSY (4P-4FP)</v>
      </c>
      <c r="D414" s="54" t="str">
        <f aca="false">IF(B414="","",IFERROR(INDEX('Kitting Plan'!$B$5:$B$18,MATCH(B414,'Kitting Plan'!$C$5:$C$18,0)),""))</f>
        <v>BOAT ASSY</v>
      </c>
      <c r="E414" s="45"/>
      <c r="F414" s="55" t="n">
        <f aca="false">IF(B414="","",IFERROR(INDEX('Kitting Plan'!$H$5:$H$18,MATCH(B414,'Kitting Plan'!$C$5:$C$18,0)),""))</f>
        <v>1</v>
      </c>
      <c r="G414" s="45" t="n">
        <v>1</v>
      </c>
      <c r="H414" s="56" t="n">
        <f aca="false">IF(B414="","",IF(G414="",F414,G414))</f>
        <v>1</v>
      </c>
      <c r="I414" s="45" t="s">
        <v>27</v>
      </c>
      <c r="J414" s="57" t="n">
        <v>46296</v>
      </c>
      <c r="K414" s="46" t="s">
        <v>107</v>
      </c>
      <c r="L414" s="54" t="str">
        <f aca="false">IF(A414="","",IF(B414="","Missing code",IF(C414="Unknown code","Unknown code",IF(COUNTIF($A$6:$A$1005,A414)&gt;1,"Duplicate WO",""))))</f>
        <v/>
      </c>
    </row>
    <row r="415" customFormat="false" ht="15" hidden="false" customHeight="false" outlineLevel="0" collapsed="false">
      <c r="A415" s="53" t="n">
        <v>100880130</v>
      </c>
      <c r="B415" s="46" t="s">
        <v>77</v>
      </c>
      <c r="C415" s="54" t="str">
        <f aca="false">IF(B415="","",IFERROR(INDEX('Kitting Plan'!$D$5:$D$18,MATCH(B415,'Kitting Plan'!$C$5:$C$18,0)),"Unknown code"))</f>
        <v>R5B BOAT 3 ASSY (4P-4FP)</v>
      </c>
      <c r="D415" s="54" t="str">
        <f aca="false">IF(B415="","",IFERROR(INDEX('Kitting Plan'!$B$5:$B$18,MATCH(B415,'Kitting Plan'!$C$5:$C$18,0)),""))</f>
        <v>BOAT ASSY</v>
      </c>
      <c r="E415" s="45"/>
      <c r="F415" s="55" t="n">
        <f aca="false">IF(B415="","",IFERROR(INDEX('Kitting Plan'!$H$5:$H$18,MATCH(B415,'Kitting Plan'!$C$5:$C$18,0)),""))</f>
        <v>1</v>
      </c>
      <c r="G415" s="45" t="n">
        <v>1</v>
      </c>
      <c r="H415" s="56" t="n">
        <f aca="false">IF(B415="","",IF(G415="",F415,G415))</f>
        <v>1</v>
      </c>
      <c r="I415" s="45" t="s">
        <v>27</v>
      </c>
      <c r="J415" s="57" t="n">
        <v>46296</v>
      </c>
      <c r="K415" s="46" t="s">
        <v>107</v>
      </c>
      <c r="L415" s="54" t="str">
        <f aca="false">IF(A415="","",IF(B415="","Missing code",IF(C415="Unknown code","Unknown code",IF(COUNTIF($A$6:$A$1005,A415)&gt;1,"Duplicate WO",""))))</f>
        <v/>
      </c>
    </row>
    <row r="416" customFormat="false" ht="15" hidden="false" customHeight="false" outlineLevel="0" collapsed="false">
      <c r="A416" s="53" t="n">
        <v>100880236</v>
      </c>
      <c r="B416" s="46" t="s">
        <v>77</v>
      </c>
      <c r="C416" s="54" t="str">
        <f aca="false">IF(B416="","",IFERROR(INDEX('Kitting Plan'!$D$5:$D$18,MATCH(B416,'Kitting Plan'!$C$5:$C$18,0)),"Unknown code"))</f>
        <v>R5B BOAT 3 ASSY (4P-4FP)</v>
      </c>
      <c r="D416" s="54" t="str">
        <f aca="false">IF(B416="","",IFERROR(INDEX('Kitting Plan'!$B$5:$B$18,MATCH(B416,'Kitting Plan'!$C$5:$C$18,0)),""))</f>
        <v>BOAT ASSY</v>
      </c>
      <c r="E416" s="45"/>
      <c r="F416" s="55" t="n">
        <f aca="false">IF(B416="","",IFERROR(INDEX('Kitting Plan'!$H$5:$H$18,MATCH(B416,'Kitting Plan'!$C$5:$C$18,0)),""))</f>
        <v>1</v>
      </c>
      <c r="G416" s="45" t="n">
        <v>1</v>
      </c>
      <c r="H416" s="56" t="n">
        <f aca="false">IF(B416="","",IF(G416="",F416,G416))</f>
        <v>1</v>
      </c>
      <c r="I416" s="45" t="s">
        <v>25</v>
      </c>
      <c r="J416" s="57" t="n">
        <v>46297</v>
      </c>
      <c r="K416" s="46" t="s">
        <v>106</v>
      </c>
      <c r="L416" s="54" t="str">
        <f aca="false">IF(A416="","",IF(B416="","Missing code",IF(C416="Unknown code","Unknown code",IF(COUNTIF($A$6:$A$1005,A416)&gt;1,"Duplicate WO",""))))</f>
        <v/>
      </c>
    </row>
    <row r="417" customFormat="false" ht="15" hidden="false" customHeight="false" outlineLevel="0" collapsed="false">
      <c r="A417" s="53" t="n">
        <v>100880295</v>
      </c>
      <c r="B417" s="46" t="s">
        <v>77</v>
      </c>
      <c r="C417" s="54" t="str">
        <f aca="false">IF(B417="","",IFERROR(INDEX('Kitting Plan'!$D$5:$D$18,MATCH(B417,'Kitting Plan'!$C$5:$C$18,0)),"Unknown code"))</f>
        <v>R5B BOAT 3 ASSY (4P-4FP)</v>
      </c>
      <c r="D417" s="54" t="str">
        <f aca="false">IF(B417="","",IFERROR(INDEX('Kitting Plan'!$B$5:$B$18,MATCH(B417,'Kitting Plan'!$C$5:$C$18,0)),""))</f>
        <v>BOAT ASSY</v>
      </c>
      <c r="E417" s="45"/>
      <c r="F417" s="55" t="n">
        <f aca="false">IF(B417="","",IFERROR(INDEX('Kitting Plan'!$H$5:$H$18,MATCH(B417,'Kitting Plan'!$C$5:$C$18,0)),""))</f>
        <v>1</v>
      </c>
      <c r="G417" s="45" t="n">
        <v>1</v>
      </c>
      <c r="H417" s="56" t="n">
        <f aca="false">IF(B417="","",IF(G417="",F417,G417))</f>
        <v>1</v>
      </c>
      <c r="I417" s="45" t="s">
        <v>25</v>
      </c>
      <c r="J417" s="57" t="n">
        <v>46297</v>
      </c>
      <c r="K417" s="46" t="s">
        <v>106</v>
      </c>
      <c r="L417" s="54" t="str">
        <f aca="false">IF(A417="","",IF(B417="","Missing code",IF(C417="Unknown code","Unknown code",IF(COUNTIF($A$6:$A$1005,A417)&gt;1,"Duplicate WO",""))))</f>
        <v/>
      </c>
    </row>
    <row r="418" customFormat="false" ht="23.85" hidden="false" customHeight="false" outlineLevel="0" collapsed="false">
      <c r="A418" s="53" t="n">
        <v>100861926</v>
      </c>
      <c r="B418" s="46" t="s">
        <v>57</v>
      </c>
      <c r="C418" s="54" t="str">
        <f aca="false">IF(B418="","",IFERROR(INDEX('Kitting Plan'!$D$5:$D$18,MATCH(B418,'Kitting Plan'!$C$5:$C$18,0)),"Unknown code"))</f>
        <v>R5B OPF ASSEMBLY (4P-4FP) BOAT 1 - E2A</v>
      </c>
      <c r="D418" s="54" t="str">
        <f aca="false">IF(B418="","",IFERROR(INDEX('Kitting Plan'!$B$5:$B$18,MATCH(B418,'Kitting Plan'!$C$5:$C$18,0)),""))</f>
        <v>OPF ASSY</v>
      </c>
      <c r="E418" s="45"/>
      <c r="F418" s="55" t="n">
        <f aca="false">IF(B418="","",IFERROR(INDEX('Kitting Plan'!$H$5:$H$18,MATCH(B418,'Kitting Plan'!$C$5:$C$18,0)),""))</f>
        <v>1</v>
      </c>
      <c r="G418" s="45" t="n">
        <v>1</v>
      </c>
      <c r="H418" s="56" t="n">
        <f aca="false">IF(B418="","",IF(G418="",F418,G418))</f>
        <v>1</v>
      </c>
      <c r="I418" s="45" t="s">
        <v>29</v>
      </c>
      <c r="J418" s="57" t="n">
        <v>46156</v>
      </c>
      <c r="K418" s="46" t="s">
        <v>102</v>
      </c>
      <c r="L418" s="54" t="str">
        <f aca="false">IF(A418="","",IF(B418="","Missing code",IF(C418="Unknown code","Unknown code",IF(COUNTIF($A$6:$A$1005,A418)&gt;1,"Duplicate WO",""))))</f>
        <v/>
      </c>
    </row>
    <row r="419" customFormat="false" ht="23.85" hidden="false" customHeight="false" outlineLevel="0" collapsed="false">
      <c r="A419" s="53" t="n">
        <v>100863156</v>
      </c>
      <c r="B419" s="46" t="s">
        <v>57</v>
      </c>
      <c r="C419" s="54" t="str">
        <f aca="false">IF(B419="","",IFERROR(INDEX('Kitting Plan'!$D$5:$D$18,MATCH(B419,'Kitting Plan'!$C$5:$C$18,0)),"Unknown code"))</f>
        <v>R5B OPF ASSEMBLY (4P-4FP) BOAT 1 - E2A</v>
      </c>
      <c r="D419" s="54" t="str">
        <f aca="false">IF(B419="","",IFERROR(INDEX('Kitting Plan'!$B$5:$B$18,MATCH(B419,'Kitting Plan'!$C$5:$C$18,0)),""))</f>
        <v>OPF ASSY</v>
      </c>
      <c r="E419" s="45"/>
      <c r="F419" s="55" t="n">
        <f aca="false">IF(B419="","",IFERROR(INDEX('Kitting Plan'!$H$5:$H$18,MATCH(B419,'Kitting Plan'!$C$5:$C$18,0)),""))</f>
        <v>1</v>
      </c>
      <c r="G419" s="45" t="n">
        <v>1</v>
      </c>
      <c r="H419" s="56" t="n">
        <f aca="false">IF(B419="","",IF(G419="",F419,G419))</f>
        <v>1</v>
      </c>
      <c r="I419" s="45" t="s">
        <v>29</v>
      </c>
      <c r="J419" s="57" t="n">
        <v>46163</v>
      </c>
      <c r="K419" s="46" t="s">
        <v>102</v>
      </c>
      <c r="L419" s="54" t="str">
        <f aca="false">IF(A419="","",IF(B419="","Missing code",IF(C419="Unknown code","Unknown code",IF(COUNTIF($A$6:$A$1005,A419)&gt;1,"Duplicate WO",""))))</f>
        <v/>
      </c>
    </row>
    <row r="420" customFormat="false" ht="23.85" hidden="false" customHeight="false" outlineLevel="0" collapsed="false">
      <c r="A420" s="53" t="n">
        <v>100865789</v>
      </c>
      <c r="B420" s="46" t="s">
        <v>57</v>
      </c>
      <c r="C420" s="54" t="str">
        <f aca="false">IF(B420="","",IFERROR(INDEX('Kitting Plan'!$D$5:$D$18,MATCH(B420,'Kitting Plan'!$C$5:$C$18,0)),"Unknown code"))</f>
        <v>R5B OPF ASSEMBLY (4P-4FP) BOAT 1 - E2A</v>
      </c>
      <c r="D420" s="54" t="str">
        <f aca="false">IF(B420="","",IFERROR(INDEX('Kitting Plan'!$B$5:$B$18,MATCH(B420,'Kitting Plan'!$C$5:$C$18,0)),""))</f>
        <v>OPF ASSY</v>
      </c>
      <c r="E420" s="45"/>
      <c r="F420" s="55" t="n">
        <f aca="false">IF(B420="","",IFERROR(INDEX('Kitting Plan'!$H$5:$H$18,MATCH(B420,'Kitting Plan'!$C$5:$C$18,0)),""))</f>
        <v>1</v>
      </c>
      <c r="G420" s="45" t="n">
        <v>1</v>
      </c>
      <c r="H420" s="56" t="n">
        <f aca="false">IF(B420="","",IF(G420="",F420,G420))</f>
        <v>1</v>
      </c>
      <c r="I420" s="45" t="s">
        <v>29</v>
      </c>
      <c r="J420" s="57" t="n">
        <v>46182</v>
      </c>
      <c r="K420" s="46" t="s">
        <v>102</v>
      </c>
      <c r="L420" s="54" t="str">
        <f aca="false">IF(A420="","",IF(B420="","Missing code",IF(C420="Unknown code","Unknown code",IF(COUNTIF($A$6:$A$1005,A420)&gt;1,"Duplicate WO",""))))</f>
        <v/>
      </c>
    </row>
    <row r="421" customFormat="false" ht="23.85" hidden="false" customHeight="false" outlineLevel="0" collapsed="false">
      <c r="A421" s="53" t="n">
        <v>100872517</v>
      </c>
      <c r="B421" s="46" t="s">
        <v>57</v>
      </c>
      <c r="C421" s="54" t="str">
        <f aca="false">IF(B421="","",IFERROR(INDEX('Kitting Plan'!$D$5:$D$18,MATCH(B421,'Kitting Plan'!$C$5:$C$18,0)),"Unknown code"))</f>
        <v>R5B OPF ASSEMBLY (4P-4FP) BOAT 1 - E2A</v>
      </c>
      <c r="D421" s="54" t="str">
        <f aca="false">IF(B421="","",IFERROR(INDEX('Kitting Plan'!$B$5:$B$18,MATCH(B421,'Kitting Plan'!$C$5:$C$18,0)),""))</f>
        <v>OPF ASSY</v>
      </c>
      <c r="E421" s="45"/>
      <c r="F421" s="55" t="n">
        <f aca="false">IF(B421="","",IFERROR(INDEX('Kitting Plan'!$H$5:$H$18,MATCH(B421,'Kitting Plan'!$C$5:$C$18,0)),""))</f>
        <v>1</v>
      </c>
      <c r="G421" s="45" t="n">
        <v>1</v>
      </c>
      <c r="H421" s="56" t="n">
        <f aca="false">IF(B421="","",IF(G421="",F421,G421))</f>
        <v>1</v>
      </c>
      <c r="I421" s="45" t="s">
        <v>29</v>
      </c>
      <c r="J421" s="57" t="n">
        <v>46234</v>
      </c>
      <c r="K421" s="46" t="s">
        <v>104</v>
      </c>
      <c r="L421" s="54" t="str">
        <f aca="false">IF(A421="","",IF(B421="","Missing code",IF(C421="Unknown code","Unknown code",IF(COUNTIF($A$6:$A$1005,A421)&gt;1,"Duplicate WO",""))))</f>
        <v/>
      </c>
    </row>
    <row r="422" customFormat="false" ht="23.85" hidden="false" customHeight="false" outlineLevel="0" collapsed="false">
      <c r="A422" s="53" t="n">
        <v>100872658</v>
      </c>
      <c r="B422" s="46" t="s">
        <v>57</v>
      </c>
      <c r="C422" s="54" t="str">
        <f aca="false">IF(B422="","",IFERROR(INDEX('Kitting Plan'!$D$5:$D$18,MATCH(B422,'Kitting Plan'!$C$5:$C$18,0)),"Unknown code"))</f>
        <v>R5B OPF ASSEMBLY (4P-4FP) BOAT 1 - E2A</v>
      </c>
      <c r="D422" s="54" t="str">
        <f aca="false">IF(B422="","",IFERROR(INDEX('Kitting Plan'!$B$5:$B$18,MATCH(B422,'Kitting Plan'!$C$5:$C$18,0)),""))</f>
        <v>OPF ASSY</v>
      </c>
      <c r="E422" s="45"/>
      <c r="F422" s="55" t="n">
        <f aca="false">IF(B422="","",IFERROR(INDEX('Kitting Plan'!$H$5:$H$18,MATCH(B422,'Kitting Plan'!$C$5:$C$18,0)),""))</f>
        <v>1</v>
      </c>
      <c r="G422" s="45" t="n">
        <v>1</v>
      </c>
      <c r="H422" s="56" t="n">
        <f aca="false">IF(B422="","",IF(G422="",F422,G422))</f>
        <v>1</v>
      </c>
      <c r="I422" s="45" t="s">
        <v>29</v>
      </c>
      <c r="J422" s="57" t="n">
        <v>46238</v>
      </c>
      <c r="K422" s="46" t="s">
        <v>104</v>
      </c>
      <c r="L422" s="54" t="str">
        <f aca="false">IF(A422="","",IF(B422="","Missing code",IF(C422="Unknown code","Unknown code",IF(COUNTIF($A$6:$A$1005,A422)&gt;1,"Duplicate WO",""))))</f>
        <v/>
      </c>
    </row>
    <row r="423" customFormat="false" ht="23.85" hidden="false" customHeight="false" outlineLevel="0" collapsed="false">
      <c r="A423" s="53" t="n">
        <v>100873444</v>
      </c>
      <c r="B423" s="46" t="s">
        <v>57</v>
      </c>
      <c r="C423" s="54" t="str">
        <f aca="false">IF(B423="","",IFERROR(INDEX('Kitting Plan'!$D$5:$D$18,MATCH(B423,'Kitting Plan'!$C$5:$C$18,0)),"Unknown code"))</f>
        <v>R5B OPF ASSEMBLY (4P-4FP) BOAT 1 - E2A</v>
      </c>
      <c r="D423" s="54" t="str">
        <f aca="false">IF(B423="","",IFERROR(INDEX('Kitting Plan'!$B$5:$B$18,MATCH(B423,'Kitting Plan'!$C$5:$C$18,0)),""))</f>
        <v>OPF ASSY</v>
      </c>
      <c r="E423" s="45"/>
      <c r="F423" s="55" t="n">
        <f aca="false">IF(B423="","",IFERROR(INDEX('Kitting Plan'!$H$5:$H$18,MATCH(B423,'Kitting Plan'!$C$5:$C$18,0)),""))</f>
        <v>1</v>
      </c>
      <c r="G423" s="45" t="n">
        <v>1</v>
      </c>
      <c r="H423" s="56" t="n">
        <f aca="false">IF(B423="","",IF(G423="",F423,G423))</f>
        <v>1</v>
      </c>
      <c r="I423" s="45" t="s">
        <v>29</v>
      </c>
      <c r="J423" s="57" t="n">
        <v>46244</v>
      </c>
      <c r="K423" s="46" t="s">
        <v>102</v>
      </c>
      <c r="L423" s="54" t="str">
        <f aca="false">IF(A423="","",IF(B423="","Missing code",IF(C423="Unknown code","Unknown code",IF(COUNTIF($A$6:$A$1005,A423)&gt;1,"Duplicate WO",""))))</f>
        <v/>
      </c>
    </row>
    <row r="424" customFormat="false" ht="23.85" hidden="false" customHeight="false" outlineLevel="0" collapsed="false">
      <c r="A424" s="53" t="n">
        <v>100874808</v>
      </c>
      <c r="B424" s="46" t="s">
        <v>57</v>
      </c>
      <c r="C424" s="54" t="str">
        <f aca="false">IF(B424="","",IFERROR(INDEX('Kitting Plan'!$D$5:$D$18,MATCH(B424,'Kitting Plan'!$C$5:$C$18,0)),"Unknown code"))</f>
        <v>R5B OPF ASSEMBLY (4P-4FP) BOAT 1 - E2A</v>
      </c>
      <c r="D424" s="54" t="str">
        <f aca="false">IF(B424="","",IFERROR(INDEX('Kitting Plan'!$B$5:$B$18,MATCH(B424,'Kitting Plan'!$C$5:$C$18,0)),""))</f>
        <v>OPF ASSY</v>
      </c>
      <c r="E424" s="45"/>
      <c r="F424" s="55" t="n">
        <f aca="false">IF(B424="","",IFERROR(INDEX('Kitting Plan'!$H$5:$H$18,MATCH(B424,'Kitting Plan'!$C$5:$C$18,0)),""))</f>
        <v>1</v>
      </c>
      <c r="G424" s="45" t="n">
        <v>1</v>
      </c>
      <c r="H424" s="56" t="n">
        <f aca="false">IF(B424="","",IF(G424="",F424,G424))</f>
        <v>1</v>
      </c>
      <c r="I424" s="45" t="s">
        <v>29</v>
      </c>
      <c r="J424" s="57" t="n">
        <v>46256</v>
      </c>
      <c r="K424" s="46" t="s">
        <v>104</v>
      </c>
      <c r="L424" s="54" t="str">
        <f aca="false">IF(A424="","",IF(B424="","Missing code",IF(C424="Unknown code","Unknown code",IF(COUNTIF($A$6:$A$1005,A424)&gt;1,"Duplicate WO",""))))</f>
        <v/>
      </c>
    </row>
    <row r="425" customFormat="false" ht="23.85" hidden="false" customHeight="false" outlineLevel="0" collapsed="false">
      <c r="A425" s="53" t="n">
        <v>100875893</v>
      </c>
      <c r="B425" s="46" t="s">
        <v>57</v>
      </c>
      <c r="C425" s="54" t="str">
        <f aca="false">IF(B425="","",IFERROR(INDEX('Kitting Plan'!$D$5:$D$18,MATCH(B425,'Kitting Plan'!$C$5:$C$18,0)),"Unknown code"))</f>
        <v>R5B OPF ASSEMBLY (4P-4FP) BOAT 1 - E2A</v>
      </c>
      <c r="D425" s="54" t="str">
        <f aca="false">IF(B425="","",IFERROR(INDEX('Kitting Plan'!$B$5:$B$18,MATCH(B425,'Kitting Plan'!$C$5:$C$18,0)),""))</f>
        <v>OPF ASSY</v>
      </c>
      <c r="E425" s="45"/>
      <c r="F425" s="55" t="n">
        <f aca="false">IF(B425="","",IFERROR(INDEX('Kitting Plan'!$H$5:$H$18,MATCH(B425,'Kitting Plan'!$C$5:$C$18,0)),""))</f>
        <v>1</v>
      </c>
      <c r="G425" s="45" t="n">
        <v>1</v>
      </c>
      <c r="H425" s="56" t="n">
        <f aca="false">IF(B425="","",IF(G425="",F425,G425))</f>
        <v>1</v>
      </c>
      <c r="I425" s="45" t="s">
        <v>29</v>
      </c>
      <c r="J425" s="57" t="n">
        <v>46266</v>
      </c>
      <c r="K425" s="46" t="s">
        <v>104</v>
      </c>
      <c r="L425" s="54" t="str">
        <f aca="false">IF(A425="","",IF(B425="","Missing code",IF(C425="Unknown code","Unknown code",IF(COUNTIF($A$6:$A$1005,A425)&gt;1,"Duplicate WO",""))))</f>
        <v/>
      </c>
    </row>
    <row r="426" customFormat="false" ht="23.85" hidden="false" customHeight="false" outlineLevel="0" collapsed="false">
      <c r="A426" s="53" t="n">
        <v>100877350</v>
      </c>
      <c r="B426" s="46" t="s">
        <v>57</v>
      </c>
      <c r="C426" s="54" t="str">
        <f aca="false">IF(B426="","",IFERROR(INDEX('Kitting Plan'!$D$5:$D$18,MATCH(B426,'Kitting Plan'!$C$5:$C$18,0)),"Unknown code"))</f>
        <v>R5B OPF ASSEMBLY (4P-4FP) BOAT 1 - E2A</v>
      </c>
      <c r="D426" s="54" t="str">
        <f aca="false">IF(B426="","",IFERROR(INDEX('Kitting Plan'!$B$5:$B$18,MATCH(B426,'Kitting Plan'!$C$5:$C$18,0)),""))</f>
        <v>OPF ASSY</v>
      </c>
      <c r="E426" s="45"/>
      <c r="F426" s="55" t="n">
        <f aca="false">IF(B426="","",IFERROR(INDEX('Kitting Plan'!$H$5:$H$18,MATCH(B426,'Kitting Plan'!$C$5:$C$18,0)),""))</f>
        <v>1</v>
      </c>
      <c r="G426" s="45" t="n">
        <v>1</v>
      </c>
      <c r="H426" s="56" t="n">
        <f aca="false">IF(B426="","",IF(G426="",F426,G426))</f>
        <v>1</v>
      </c>
      <c r="I426" s="45" t="s">
        <v>27</v>
      </c>
      <c r="J426" s="57" t="n">
        <v>46278</v>
      </c>
      <c r="K426" s="46" t="s">
        <v>108</v>
      </c>
      <c r="L426" s="54" t="str">
        <f aca="false">IF(A426="","",IF(B426="","Missing code",IF(C426="Unknown code","Unknown code",IF(COUNTIF($A$6:$A$1005,A426)&gt;1,"Duplicate WO",""))))</f>
        <v/>
      </c>
    </row>
    <row r="427" customFormat="false" ht="15" hidden="false" customHeight="false" outlineLevel="0" collapsed="false">
      <c r="A427" s="53" t="n">
        <v>100878900</v>
      </c>
      <c r="B427" s="46" t="s">
        <v>57</v>
      </c>
      <c r="C427" s="54" t="str">
        <f aca="false">IF(B427="","",IFERROR(INDEX('Kitting Plan'!$D$5:$D$18,MATCH(B427,'Kitting Plan'!$C$5:$C$18,0)),"Unknown code"))</f>
        <v>R5B OPF ASSEMBLY (4P-4FP) BOAT 1 - E2A</v>
      </c>
      <c r="D427" s="54" t="str">
        <f aca="false">IF(B427="","",IFERROR(INDEX('Kitting Plan'!$B$5:$B$18,MATCH(B427,'Kitting Plan'!$C$5:$C$18,0)),""))</f>
        <v>OPF ASSY</v>
      </c>
      <c r="E427" s="45"/>
      <c r="F427" s="55" t="n">
        <f aca="false">IF(B427="","",IFERROR(INDEX('Kitting Plan'!$H$5:$H$18,MATCH(B427,'Kitting Plan'!$C$5:$C$18,0)),""))</f>
        <v>1</v>
      </c>
      <c r="G427" s="45" t="n">
        <v>1</v>
      </c>
      <c r="H427" s="56" t="n">
        <f aca="false">IF(B427="","",IF(G427="",F427,G427))</f>
        <v>1</v>
      </c>
      <c r="I427" s="45" t="s">
        <v>25</v>
      </c>
      <c r="J427" s="57" t="n">
        <v>46287</v>
      </c>
      <c r="K427" s="46" t="s">
        <v>106</v>
      </c>
      <c r="L427" s="54" t="str">
        <f aca="false">IF(A427="","",IF(B427="","Missing code",IF(C427="Unknown code","Unknown code",IF(COUNTIF($A$6:$A$1005,A427)&gt;1,"Duplicate WO",""))))</f>
        <v/>
      </c>
    </row>
    <row r="428" customFormat="false" ht="15" hidden="false" customHeight="false" outlineLevel="0" collapsed="false">
      <c r="A428" s="53" t="n">
        <v>100879971</v>
      </c>
      <c r="B428" s="46" t="s">
        <v>57</v>
      </c>
      <c r="C428" s="54" t="str">
        <f aca="false">IF(B428="","",IFERROR(INDEX('Kitting Plan'!$D$5:$D$18,MATCH(B428,'Kitting Plan'!$C$5:$C$18,0)),"Unknown code"))</f>
        <v>R5B OPF ASSEMBLY (4P-4FP) BOAT 1 - E2A</v>
      </c>
      <c r="D428" s="54" t="str">
        <f aca="false">IF(B428="","",IFERROR(INDEX('Kitting Plan'!$B$5:$B$18,MATCH(B428,'Kitting Plan'!$C$5:$C$18,0)),""))</f>
        <v>OPF ASSY</v>
      </c>
      <c r="E428" s="45"/>
      <c r="F428" s="55" t="n">
        <f aca="false">IF(B428="","",IFERROR(INDEX('Kitting Plan'!$H$5:$H$18,MATCH(B428,'Kitting Plan'!$C$5:$C$18,0)),""))</f>
        <v>1</v>
      </c>
      <c r="G428" s="45" t="n">
        <v>1</v>
      </c>
      <c r="H428" s="56" t="n">
        <f aca="false">IF(B428="","",IF(G428="",F428,G428))</f>
        <v>1</v>
      </c>
      <c r="I428" s="45" t="s">
        <v>27</v>
      </c>
      <c r="J428" s="57" t="n">
        <v>46296</v>
      </c>
      <c r="K428" s="46" t="s">
        <v>107</v>
      </c>
      <c r="L428" s="54" t="str">
        <f aca="false">IF(A428="","",IF(B428="","Missing code",IF(C428="Unknown code","Unknown code",IF(COUNTIF($A$6:$A$1005,A428)&gt;1,"Duplicate WO",""))))</f>
        <v/>
      </c>
    </row>
    <row r="429" customFormat="false" ht="15" hidden="false" customHeight="false" outlineLevel="0" collapsed="false">
      <c r="A429" s="53" t="n">
        <v>100880080</v>
      </c>
      <c r="B429" s="46" t="s">
        <v>57</v>
      </c>
      <c r="C429" s="54" t="str">
        <f aca="false">IF(B429="","",IFERROR(INDEX('Kitting Plan'!$D$5:$D$18,MATCH(B429,'Kitting Plan'!$C$5:$C$18,0)),"Unknown code"))</f>
        <v>R5B OPF ASSEMBLY (4P-4FP) BOAT 1 - E2A</v>
      </c>
      <c r="D429" s="54" t="str">
        <f aca="false">IF(B429="","",IFERROR(INDEX('Kitting Plan'!$B$5:$B$18,MATCH(B429,'Kitting Plan'!$C$5:$C$18,0)),""))</f>
        <v>OPF ASSY</v>
      </c>
      <c r="E429" s="45"/>
      <c r="F429" s="55" t="n">
        <f aca="false">IF(B429="","",IFERROR(INDEX('Kitting Plan'!$H$5:$H$18,MATCH(B429,'Kitting Plan'!$C$5:$C$18,0)),""))</f>
        <v>1</v>
      </c>
      <c r="G429" s="45" t="n">
        <v>1</v>
      </c>
      <c r="H429" s="56" t="n">
        <f aca="false">IF(B429="","",IF(G429="",F429,G429))</f>
        <v>1</v>
      </c>
      <c r="I429" s="45" t="s">
        <v>25</v>
      </c>
      <c r="J429" s="57" t="n">
        <v>46296</v>
      </c>
      <c r="K429" s="46" t="s">
        <v>106</v>
      </c>
      <c r="L429" s="54" t="str">
        <f aca="false">IF(A429="","",IF(B429="","Missing code",IF(C429="Unknown code","Unknown code",IF(COUNTIF($A$6:$A$1005,A429)&gt;1,"Duplicate WO",""))))</f>
        <v/>
      </c>
    </row>
    <row r="430" customFormat="false" ht="15" hidden="false" customHeight="false" outlineLevel="0" collapsed="false">
      <c r="A430" s="53" t="n">
        <v>100880190</v>
      </c>
      <c r="B430" s="46" t="s">
        <v>57</v>
      </c>
      <c r="C430" s="54" t="str">
        <f aca="false">IF(B430="","",IFERROR(INDEX('Kitting Plan'!$D$5:$D$18,MATCH(B430,'Kitting Plan'!$C$5:$C$18,0)),"Unknown code"))</f>
        <v>R5B OPF ASSEMBLY (4P-4FP) BOAT 1 - E2A</v>
      </c>
      <c r="D430" s="54" t="str">
        <f aca="false">IF(B430="","",IFERROR(INDEX('Kitting Plan'!$B$5:$B$18,MATCH(B430,'Kitting Plan'!$C$5:$C$18,0)),""))</f>
        <v>OPF ASSY</v>
      </c>
      <c r="E430" s="45"/>
      <c r="F430" s="55" t="n">
        <f aca="false">IF(B430="","",IFERROR(INDEX('Kitting Plan'!$H$5:$H$18,MATCH(B430,'Kitting Plan'!$C$5:$C$18,0)),""))</f>
        <v>1</v>
      </c>
      <c r="G430" s="45" t="n">
        <v>1</v>
      </c>
      <c r="H430" s="56" t="n">
        <f aca="false">IF(B430="","",IF(G430="",F430,G430))</f>
        <v>1</v>
      </c>
      <c r="I430" s="45" t="s">
        <v>25</v>
      </c>
      <c r="J430" s="57" t="n">
        <v>46297</v>
      </c>
      <c r="K430" s="46" t="s">
        <v>106</v>
      </c>
      <c r="L430" s="54" t="str">
        <f aca="false">IF(A430="","",IF(B430="","Missing code",IF(C430="Unknown code","Unknown code",IF(COUNTIF($A$6:$A$1005,A430)&gt;1,"Duplicate WO",""))))</f>
        <v/>
      </c>
    </row>
    <row r="431" customFormat="false" ht="15" hidden="false" customHeight="false" outlineLevel="0" collapsed="false">
      <c r="A431" s="53" t="n">
        <v>100880251</v>
      </c>
      <c r="B431" s="46" t="s">
        <v>57</v>
      </c>
      <c r="C431" s="54" t="str">
        <f aca="false">IF(B431="","",IFERROR(INDEX('Kitting Plan'!$D$5:$D$18,MATCH(B431,'Kitting Plan'!$C$5:$C$18,0)),"Unknown code"))</f>
        <v>R5B OPF ASSEMBLY (4P-4FP) BOAT 1 - E2A</v>
      </c>
      <c r="D431" s="54" t="str">
        <f aca="false">IF(B431="","",IFERROR(INDEX('Kitting Plan'!$B$5:$B$18,MATCH(B431,'Kitting Plan'!$C$5:$C$18,0)),""))</f>
        <v>OPF ASSY</v>
      </c>
      <c r="E431" s="45"/>
      <c r="F431" s="55" t="n">
        <f aca="false">IF(B431="","",IFERROR(INDEX('Kitting Plan'!$H$5:$H$18,MATCH(B431,'Kitting Plan'!$C$5:$C$18,0)),""))</f>
        <v>1</v>
      </c>
      <c r="G431" s="45" t="n">
        <v>1</v>
      </c>
      <c r="H431" s="56" t="n">
        <f aca="false">IF(B431="","",IF(G431="",F431,G431))</f>
        <v>1</v>
      </c>
      <c r="I431" s="45" t="s">
        <v>25</v>
      </c>
      <c r="J431" s="57" t="n">
        <v>46297</v>
      </c>
      <c r="K431" s="46" t="s">
        <v>106</v>
      </c>
      <c r="L431" s="54" t="str">
        <f aca="false">IF(A431="","",IF(B431="","Missing code",IF(C431="Unknown code","Unknown code",IF(COUNTIF($A$6:$A$1005,A431)&gt;1,"Duplicate WO",""))))</f>
        <v/>
      </c>
    </row>
    <row r="432" customFormat="false" ht="23.85" hidden="false" customHeight="false" outlineLevel="0" collapsed="false">
      <c r="A432" s="53" t="n">
        <v>100861927</v>
      </c>
      <c r="B432" s="46" t="s">
        <v>59</v>
      </c>
      <c r="C432" s="54" t="str">
        <f aca="false">IF(B432="","",IFERROR(INDEX('Kitting Plan'!$D$5:$D$18,MATCH(B432,'Kitting Plan'!$C$5:$C$18,0)),"Unknown code"))</f>
        <v>R5B OPF ASSEMBLY (4P-4FP) BOAT 2/3 - E2A</v>
      </c>
      <c r="D432" s="54" t="str">
        <f aca="false">IF(B432="","",IFERROR(INDEX('Kitting Plan'!$B$5:$B$18,MATCH(B432,'Kitting Plan'!$C$5:$C$18,0)),""))</f>
        <v>OPF ASSY</v>
      </c>
      <c r="E432" s="45"/>
      <c r="F432" s="55" t="n">
        <f aca="false">IF(B432="","",IFERROR(INDEX('Kitting Plan'!$H$5:$H$18,MATCH(B432,'Kitting Plan'!$C$5:$C$18,0)),""))</f>
        <v>2</v>
      </c>
      <c r="G432" s="45" t="n">
        <v>1</v>
      </c>
      <c r="H432" s="56" t="n">
        <f aca="false">IF(B432="","",IF(G432="",F432,G432))</f>
        <v>1</v>
      </c>
      <c r="I432" s="45" t="s">
        <v>29</v>
      </c>
      <c r="J432" s="57" t="n">
        <v>46156</v>
      </c>
      <c r="K432" s="46" t="s">
        <v>103</v>
      </c>
      <c r="L432" s="54" t="str">
        <f aca="false">IF(A432="","",IF(B432="","Missing code",IF(C432="Unknown code","Unknown code",IF(COUNTIF($A$6:$A$1005,A432)&gt;1,"Duplicate WO",""))))</f>
        <v/>
      </c>
    </row>
    <row r="433" customFormat="false" ht="23.85" hidden="false" customHeight="false" outlineLevel="0" collapsed="false">
      <c r="A433" s="53" t="n">
        <v>100861928</v>
      </c>
      <c r="B433" s="46" t="s">
        <v>59</v>
      </c>
      <c r="C433" s="54" t="str">
        <f aca="false">IF(B433="","",IFERROR(INDEX('Kitting Plan'!$D$5:$D$18,MATCH(B433,'Kitting Plan'!$C$5:$C$18,0)),"Unknown code"))</f>
        <v>R5B OPF ASSEMBLY (4P-4FP) BOAT 2/3 - E2A</v>
      </c>
      <c r="D433" s="54" t="str">
        <f aca="false">IF(B433="","",IFERROR(INDEX('Kitting Plan'!$B$5:$B$18,MATCH(B433,'Kitting Plan'!$C$5:$C$18,0)),""))</f>
        <v>OPF ASSY</v>
      </c>
      <c r="E433" s="45"/>
      <c r="F433" s="55" t="n">
        <f aca="false">IF(B433="","",IFERROR(INDEX('Kitting Plan'!$H$5:$H$18,MATCH(B433,'Kitting Plan'!$C$5:$C$18,0)),""))</f>
        <v>2</v>
      </c>
      <c r="G433" s="45" t="n">
        <v>1</v>
      </c>
      <c r="H433" s="56" t="n">
        <f aca="false">IF(B433="","",IF(G433="",F433,G433))</f>
        <v>1</v>
      </c>
      <c r="I433" s="45" t="s">
        <v>29</v>
      </c>
      <c r="J433" s="57" t="n">
        <v>46156</v>
      </c>
      <c r="K433" s="46" t="s">
        <v>103</v>
      </c>
      <c r="L433" s="54" t="str">
        <f aca="false">IF(A433="","",IF(B433="","Missing code",IF(C433="Unknown code","Unknown code",IF(COUNTIF($A$6:$A$1005,A433)&gt;1,"Duplicate WO",""))))</f>
        <v/>
      </c>
    </row>
    <row r="434" customFormat="false" ht="23.85" hidden="false" customHeight="false" outlineLevel="0" collapsed="false">
      <c r="A434" s="53" t="n">
        <v>100863154</v>
      </c>
      <c r="B434" s="46" t="s">
        <v>59</v>
      </c>
      <c r="C434" s="54" t="str">
        <f aca="false">IF(B434="","",IFERROR(INDEX('Kitting Plan'!$D$5:$D$18,MATCH(B434,'Kitting Plan'!$C$5:$C$18,0)),"Unknown code"))</f>
        <v>R5B OPF ASSEMBLY (4P-4FP) BOAT 2/3 - E2A</v>
      </c>
      <c r="D434" s="54" t="str">
        <f aca="false">IF(B434="","",IFERROR(INDEX('Kitting Plan'!$B$5:$B$18,MATCH(B434,'Kitting Plan'!$C$5:$C$18,0)),""))</f>
        <v>OPF ASSY</v>
      </c>
      <c r="E434" s="45"/>
      <c r="F434" s="55" t="n">
        <f aca="false">IF(B434="","",IFERROR(INDEX('Kitting Plan'!$H$5:$H$18,MATCH(B434,'Kitting Plan'!$C$5:$C$18,0)),""))</f>
        <v>2</v>
      </c>
      <c r="G434" s="45" t="n">
        <v>1</v>
      </c>
      <c r="H434" s="56" t="n">
        <f aca="false">IF(B434="","",IF(G434="",F434,G434))</f>
        <v>1</v>
      </c>
      <c r="I434" s="45" t="s">
        <v>29</v>
      </c>
      <c r="J434" s="57" t="n">
        <v>46163</v>
      </c>
      <c r="K434" s="46" t="s">
        <v>110</v>
      </c>
      <c r="L434" s="54" t="str">
        <f aca="false">IF(A434="","",IF(B434="","Missing code",IF(C434="Unknown code","Unknown code",IF(COUNTIF($A$6:$A$1005,A434)&gt;1,"Duplicate WO",""))))</f>
        <v/>
      </c>
    </row>
    <row r="435" customFormat="false" ht="23.85" hidden="false" customHeight="false" outlineLevel="0" collapsed="false">
      <c r="A435" s="53" t="n">
        <v>100863155</v>
      </c>
      <c r="B435" s="46" t="s">
        <v>59</v>
      </c>
      <c r="C435" s="54" t="str">
        <f aca="false">IF(B435="","",IFERROR(INDEX('Kitting Plan'!$D$5:$D$18,MATCH(B435,'Kitting Plan'!$C$5:$C$18,0)),"Unknown code"))</f>
        <v>R5B OPF ASSEMBLY (4P-4FP) BOAT 2/3 - E2A</v>
      </c>
      <c r="D435" s="54" t="str">
        <f aca="false">IF(B435="","",IFERROR(INDEX('Kitting Plan'!$B$5:$B$18,MATCH(B435,'Kitting Plan'!$C$5:$C$18,0)),""))</f>
        <v>OPF ASSY</v>
      </c>
      <c r="E435" s="45"/>
      <c r="F435" s="55" t="n">
        <f aca="false">IF(B435="","",IFERROR(INDEX('Kitting Plan'!$H$5:$H$18,MATCH(B435,'Kitting Plan'!$C$5:$C$18,0)),""))</f>
        <v>2</v>
      </c>
      <c r="G435" s="45" t="n">
        <v>1</v>
      </c>
      <c r="H435" s="56" t="n">
        <f aca="false">IF(B435="","",IF(G435="",F435,G435))</f>
        <v>1</v>
      </c>
      <c r="I435" s="45" t="s">
        <v>29</v>
      </c>
      <c r="J435" s="57" t="n">
        <v>46163</v>
      </c>
      <c r="K435" s="46" t="s">
        <v>102</v>
      </c>
      <c r="L435" s="54" t="str">
        <f aca="false">IF(A435="","",IF(B435="","Missing code",IF(C435="Unknown code","Unknown code",IF(COUNTIF($A$6:$A$1005,A435)&gt;1,"Duplicate WO",""))))</f>
        <v/>
      </c>
    </row>
    <row r="436" customFormat="false" ht="23.85" hidden="false" customHeight="false" outlineLevel="0" collapsed="false">
      <c r="A436" s="53" t="n">
        <v>100865797</v>
      </c>
      <c r="B436" s="46" t="s">
        <v>59</v>
      </c>
      <c r="C436" s="54" t="str">
        <f aca="false">IF(B436="","",IFERROR(INDEX('Kitting Plan'!$D$5:$D$18,MATCH(B436,'Kitting Plan'!$C$5:$C$18,0)),"Unknown code"))</f>
        <v>R5B OPF ASSEMBLY (4P-4FP) BOAT 2/3 - E2A</v>
      </c>
      <c r="D436" s="54" t="str">
        <f aca="false">IF(B436="","",IFERROR(INDEX('Kitting Plan'!$B$5:$B$18,MATCH(B436,'Kitting Plan'!$C$5:$C$18,0)),""))</f>
        <v>OPF ASSY</v>
      </c>
      <c r="E436" s="45"/>
      <c r="F436" s="55" t="n">
        <f aca="false">IF(B436="","",IFERROR(INDEX('Kitting Plan'!$H$5:$H$18,MATCH(B436,'Kitting Plan'!$C$5:$C$18,0)),""))</f>
        <v>2</v>
      </c>
      <c r="G436" s="45" t="n">
        <v>1</v>
      </c>
      <c r="H436" s="56" t="n">
        <f aca="false">IF(B436="","",IF(G436="",F436,G436))</f>
        <v>1</v>
      </c>
      <c r="I436" s="45" t="s">
        <v>29</v>
      </c>
      <c r="J436" s="57" t="n">
        <v>46182</v>
      </c>
      <c r="K436" s="46" t="s">
        <v>102</v>
      </c>
      <c r="L436" s="54" t="str">
        <f aca="false">IF(A436="","",IF(B436="","Missing code",IF(C436="Unknown code","Unknown code",IF(COUNTIF($A$6:$A$1005,A436)&gt;1,"Duplicate WO",""))))</f>
        <v/>
      </c>
    </row>
    <row r="437" customFormat="false" ht="23.85" hidden="false" customHeight="false" outlineLevel="0" collapsed="false">
      <c r="A437" s="53" t="n">
        <v>100865798</v>
      </c>
      <c r="B437" s="46" t="s">
        <v>59</v>
      </c>
      <c r="C437" s="54" t="str">
        <f aca="false">IF(B437="","",IFERROR(INDEX('Kitting Plan'!$D$5:$D$18,MATCH(B437,'Kitting Plan'!$C$5:$C$18,0)),"Unknown code"))</f>
        <v>R5B OPF ASSEMBLY (4P-4FP) BOAT 2/3 - E2A</v>
      </c>
      <c r="D437" s="54" t="str">
        <f aca="false">IF(B437="","",IFERROR(INDEX('Kitting Plan'!$B$5:$B$18,MATCH(B437,'Kitting Plan'!$C$5:$C$18,0)),""))</f>
        <v>OPF ASSY</v>
      </c>
      <c r="E437" s="45"/>
      <c r="F437" s="55" t="n">
        <f aca="false">IF(B437="","",IFERROR(INDEX('Kitting Plan'!$H$5:$H$18,MATCH(B437,'Kitting Plan'!$C$5:$C$18,0)),""))</f>
        <v>2</v>
      </c>
      <c r="G437" s="45" t="n">
        <v>1</v>
      </c>
      <c r="H437" s="56" t="n">
        <f aca="false">IF(B437="","",IF(G437="",F437,G437))</f>
        <v>1</v>
      </c>
      <c r="I437" s="45" t="s">
        <v>29</v>
      </c>
      <c r="J437" s="57" t="n">
        <v>46182</v>
      </c>
      <c r="K437" s="46" t="s">
        <v>102</v>
      </c>
      <c r="L437" s="54" t="str">
        <f aca="false">IF(A437="","",IF(B437="","Missing code",IF(C437="Unknown code","Unknown code",IF(COUNTIF($A$6:$A$1005,A437)&gt;1,"Duplicate WO",""))))</f>
        <v/>
      </c>
    </row>
    <row r="438" customFormat="false" ht="23.85" hidden="false" customHeight="false" outlineLevel="0" collapsed="false">
      <c r="A438" s="53" t="n">
        <v>100872518</v>
      </c>
      <c r="B438" s="46" t="s">
        <v>59</v>
      </c>
      <c r="C438" s="54" t="str">
        <f aca="false">IF(B438="","",IFERROR(INDEX('Kitting Plan'!$D$5:$D$18,MATCH(B438,'Kitting Plan'!$C$5:$C$18,0)),"Unknown code"))</f>
        <v>R5B OPF ASSEMBLY (4P-4FP) BOAT 2/3 - E2A</v>
      </c>
      <c r="D438" s="54" t="str">
        <f aca="false">IF(B438="","",IFERROR(INDEX('Kitting Plan'!$B$5:$B$18,MATCH(B438,'Kitting Plan'!$C$5:$C$18,0)),""))</f>
        <v>OPF ASSY</v>
      </c>
      <c r="E438" s="45"/>
      <c r="F438" s="55" t="n">
        <f aca="false">IF(B438="","",IFERROR(INDEX('Kitting Plan'!$H$5:$H$18,MATCH(B438,'Kitting Plan'!$C$5:$C$18,0)),""))</f>
        <v>2</v>
      </c>
      <c r="G438" s="45" t="n">
        <v>1</v>
      </c>
      <c r="H438" s="56" t="n">
        <f aca="false">IF(B438="","",IF(G438="",F438,G438))</f>
        <v>1</v>
      </c>
      <c r="I438" s="45" t="s">
        <v>29</v>
      </c>
      <c r="J438" s="57" t="n">
        <v>46234</v>
      </c>
      <c r="K438" s="46" t="s">
        <v>104</v>
      </c>
      <c r="L438" s="54" t="str">
        <f aca="false">IF(A438="","",IF(B438="","Missing code",IF(C438="Unknown code","Unknown code",IF(COUNTIF($A$6:$A$1005,A438)&gt;1,"Duplicate WO",""))))</f>
        <v/>
      </c>
    </row>
    <row r="439" customFormat="false" ht="23.85" hidden="false" customHeight="false" outlineLevel="0" collapsed="false">
      <c r="A439" s="53" t="n">
        <v>100872519</v>
      </c>
      <c r="B439" s="46" t="s">
        <v>59</v>
      </c>
      <c r="C439" s="54" t="str">
        <f aca="false">IF(B439="","",IFERROR(INDEX('Kitting Plan'!$D$5:$D$18,MATCH(B439,'Kitting Plan'!$C$5:$C$18,0)),"Unknown code"))</f>
        <v>R5B OPF ASSEMBLY (4P-4FP) BOAT 2/3 - E2A</v>
      </c>
      <c r="D439" s="54" t="str">
        <f aca="false">IF(B439="","",IFERROR(INDEX('Kitting Plan'!$B$5:$B$18,MATCH(B439,'Kitting Plan'!$C$5:$C$18,0)),""))</f>
        <v>OPF ASSY</v>
      </c>
      <c r="E439" s="45"/>
      <c r="F439" s="55" t="n">
        <f aca="false">IF(B439="","",IFERROR(INDEX('Kitting Plan'!$H$5:$H$18,MATCH(B439,'Kitting Plan'!$C$5:$C$18,0)),""))</f>
        <v>2</v>
      </c>
      <c r="G439" s="45" t="n">
        <v>1</v>
      </c>
      <c r="H439" s="56" t="n">
        <f aca="false">IF(B439="","",IF(G439="",F439,G439))</f>
        <v>1</v>
      </c>
      <c r="I439" s="45" t="s">
        <v>29</v>
      </c>
      <c r="J439" s="57" t="n">
        <v>46234</v>
      </c>
      <c r="K439" s="46" t="s">
        <v>104</v>
      </c>
      <c r="L439" s="54" t="str">
        <f aca="false">IF(A439="","",IF(B439="","Missing code",IF(C439="Unknown code","Unknown code",IF(COUNTIF($A$6:$A$1005,A439)&gt;1,"Duplicate WO",""))))</f>
        <v/>
      </c>
    </row>
    <row r="440" customFormat="false" ht="23.85" hidden="false" customHeight="false" outlineLevel="0" collapsed="false">
      <c r="A440" s="53" t="n">
        <v>100873445</v>
      </c>
      <c r="B440" s="46" t="s">
        <v>59</v>
      </c>
      <c r="C440" s="54" t="str">
        <f aca="false">IF(B440="","",IFERROR(INDEX('Kitting Plan'!$D$5:$D$18,MATCH(B440,'Kitting Plan'!$C$5:$C$18,0)),"Unknown code"))</f>
        <v>R5B OPF ASSEMBLY (4P-4FP) BOAT 2/3 - E2A</v>
      </c>
      <c r="D440" s="54" t="str">
        <f aca="false">IF(B440="","",IFERROR(INDEX('Kitting Plan'!$B$5:$B$18,MATCH(B440,'Kitting Plan'!$C$5:$C$18,0)),""))</f>
        <v>OPF ASSY</v>
      </c>
      <c r="E440" s="45"/>
      <c r="F440" s="55" t="n">
        <f aca="false">IF(B440="","",IFERROR(INDEX('Kitting Plan'!$H$5:$H$18,MATCH(B440,'Kitting Plan'!$C$5:$C$18,0)),""))</f>
        <v>2</v>
      </c>
      <c r="G440" s="45" t="n">
        <v>1</v>
      </c>
      <c r="H440" s="56" t="n">
        <f aca="false">IF(B440="","",IF(G440="",F440,G440))</f>
        <v>1</v>
      </c>
      <c r="I440" s="45" t="s">
        <v>29</v>
      </c>
      <c r="J440" s="57" t="n">
        <v>46244</v>
      </c>
      <c r="K440" s="46" t="s">
        <v>102</v>
      </c>
      <c r="L440" s="54" t="str">
        <f aca="false">IF(A440="","",IF(B440="","Missing code",IF(C440="Unknown code","Unknown code",IF(COUNTIF($A$6:$A$1005,A440)&gt;1,"Duplicate WO",""))))</f>
        <v/>
      </c>
    </row>
    <row r="441" customFormat="false" ht="23.85" hidden="false" customHeight="false" outlineLevel="0" collapsed="false">
      <c r="A441" s="53" t="n">
        <v>100873446</v>
      </c>
      <c r="B441" s="46" t="s">
        <v>59</v>
      </c>
      <c r="C441" s="54" t="str">
        <f aca="false">IF(B441="","",IFERROR(INDEX('Kitting Plan'!$D$5:$D$18,MATCH(B441,'Kitting Plan'!$C$5:$C$18,0)),"Unknown code"))</f>
        <v>R5B OPF ASSEMBLY (4P-4FP) BOAT 2/3 - E2A</v>
      </c>
      <c r="D441" s="54" t="str">
        <f aca="false">IF(B441="","",IFERROR(INDEX('Kitting Plan'!$B$5:$B$18,MATCH(B441,'Kitting Plan'!$C$5:$C$18,0)),""))</f>
        <v>OPF ASSY</v>
      </c>
      <c r="E441" s="45"/>
      <c r="F441" s="55" t="n">
        <f aca="false">IF(B441="","",IFERROR(INDEX('Kitting Plan'!$H$5:$H$18,MATCH(B441,'Kitting Plan'!$C$5:$C$18,0)),""))</f>
        <v>2</v>
      </c>
      <c r="G441" s="45" t="n">
        <v>1</v>
      </c>
      <c r="H441" s="56" t="n">
        <f aca="false">IF(B441="","",IF(G441="",F441,G441))</f>
        <v>1</v>
      </c>
      <c r="I441" s="45" t="s">
        <v>29</v>
      </c>
      <c r="J441" s="57" t="n">
        <v>46244</v>
      </c>
      <c r="K441" s="46" t="s">
        <v>102</v>
      </c>
      <c r="L441" s="54" t="str">
        <f aca="false">IF(A441="","",IF(B441="","Missing code",IF(C441="Unknown code","Unknown code",IF(COUNTIF($A$6:$A$1005,A441)&gt;1,"Duplicate WO",""))))</f>
        <v/>
      </c>
    </row>
    <row r="442" customFormat="false" ht="23.85" hidden="false" customHeight="false" outlineLevel="0" collapsed="false">
      <c r="A442" s="53" t="n">
        <v>100874809</v>
      </c>
      <c r="B442" s="46" t="s">
        <v>59</v>
      </c>
      <c r="C442" s="54" t="str">
        <f aca="false">IF(B442="","",IFERROR(INDEX('Kitting Plan'!$D$5:$D$18,MATCH(B442,'Kitting Plan'!$C$5:$C$18,0)),"Unknown code"))</f>
        <v>R5B OPF ASSEMBLY (4P-4FP) BOAT 2/3 - E2A</v>
      </c>
      <c r="D442" s="54" t="str">
        <f aca="false">IF(B442="","",IFERROR(INDEX('Kitting Plan'!$B$5:$B$18,MATCH(B442,'Kitting Plan'!$C$5:$C$18,0)),""))</f>
        <v>OPF ASSY</v>
      </c>
      <c r="E442" s="45"/>
      <c r="F442" s="55" t="n">
        <f aca="false">IF(B442="","",IFERROR(INDEX('Kitting Plan'!$H$5:$H$18,MATCH(B442,'Kitting Plan'!$C$5:$C$18,0)),""))</f>
        <v>2</v>
      </c>
      <c r="G442" s="45" t="n">
        <v>1</v>
      </c>
      <c r="H442" s="56" t="n">
        <f aca="false">IF(B442="","",IF(G442="",F442,G442))</f>
        <v>1</v>
      </c>
      <c r="I442" s="45" t="s">
        <v>29</v>
      </c>
      <c r="J442" s="57" t="n">
        <v>46256</v>
      </c>
      <c r="K442" s="46" t="s">
        <v>102</v>
      </c>
      <c r="L442" s="54" t="str">
        <f aca="false">IF(A442="","",IF(B442="","Missing code",IF(C442="Unknown code","Unknown code",IF(COUNTIF($A$6:$A$1005,A442)&gt;1,"Duplicate WO",""))))</f>
        <v/>
      </c>
    </row>
    <row r="443" customFormat="false" ht="23.85" hidden="false" customHeight="false" outlineLevel="0" collapsed="false">
      <c r="A443" s="53" t="n">
        <v>100874810</v>
      </c>
      <c r="B443" s="46" t="s">
        <v>59</v>
      </c>
      <c r="C443" s="54" t="str">
        <f aca="false">IF(B443="","",IFERROR(INDEX('Kitting Plan'!$D$5:$D$18,MATCH(B443,'Kitting Plan'!$C$5:$C$18,0)),"Unknown code"))</f>
        <v>R5B OPF ASSEMBLY (4P-4FP) BOAT 2/3 - E2A</v>
      </c>
      <c r="D443" s="54" t="str">
        <f aca="false">IF(B443="","",IFERROR(INDEX('Kitting Plan'!$B$5:$B$18,MATCH(B443,'Kitting Plan'!$C$5:$C$18,0)),""))</f>
        <v>OPF ASSY</v>
      </c>
      <c r="E443" s="45"/>
      <c r="F443" s="55" t="n">
        <f aca="false">IF(B443="","",IFERROR(INDEX('Kitting Plan'!$H$5:$H$18,MATCH(B443,'Kitting Plan'!$C$5:$C$18,0)),""))</f>
        <v>2</v>
      </c>
      <c r="G443" s="45" t="n">
        <v>1</v>
      </c>
      <c r="H443" s="56" t="n">
        <f aca="false">IF(B443="","",IF(G443="",F443,G443))</f>
        <v>1</v>
      </c>
      <c r="I443" s="45" t="s">
        <v>29</v>
      </c>
      <c r="J443" s="57" t="n">
        <v>46256</v>
      </c>
      <c r="K443" s="46" t="s">
        <v>102</v>
      </c>
      <c r="L443" s="54" t="str">
        <f aca="false">IF(A443="","",IF(B443="","Missing code",IF(C443="Unknown code","Unknown code",IF(COUNTIF($A$6:$A$1005,A443)&gt;1,"Duplicate WO",""))))</f>
        <v/>
      </c>
    </row>
    <row r="444" customFormat="false" ht="23.85" hidden="false" customHeight="false" outlineLevel="0" collapsed="false">
      <c r="A444" s="53" t="n">
        <v>100875894</v>
      </c>
      <c r="B444" s="46" t="s">
        <v>59</v>
      </c>
      <c r="C444" s="54" t="str">
        <f aca="false">IF(B444="","",IFERROR(INDEX('Kitting Plan'!$D$5:$D$18,MATCH(B444,'Kitting Plan'!$C$5:$C$18,0)),"Unknown code"))</f>
        <v>R5B OPF ASSEMBLY (4P-4FP) BOAT 2/3 - E2A</v>
      </c>
      <c r="D444" s="54" t="str">
        <f aca="false">IF(B444="","",IFERROR(INDEX('Kitting Plan'!$B$5:$B$18,MATCH(B444,'Kitting Plan'!$C$5:$C$18,0)),""))</f>
        <v>OPF ASSY</v>
      </c>
      <c r="E444" s="45"/>
      <c r="F444" s="55" t="n">
        <f aca="false">IF(B444="","",IFERROR(INDEX('Kitting Plan'!$H$5:$H$18,MATCH(B444,'Kitting Plan'!$C$5:$C$18,0)),""))</f>
        <v>2</v>
      </c>
      <c r="G444" s="45" t="n">
        <v>1</v>
      </c>
      <c r="H444" s="56" t="n">
        <f aca="false">IF(B444="","",IF(G444="",F444,G444))</f>
        <v>1</v>
      </c>
      <c r="I444" s="45" t="s">
        <v>29</v>
      </c>
      <c r="J444" s="57" t="n">
        <v>46266</v>
      </c>
      <c r="K444" s="46" t="s">
        <v>104</v>
      </c>
      <c r="L444" s="54" t="str">
        <f aca="false">IF(A444="","",IF(B444="","Missing code",IF(C444="Unknown code","Unknown code",IF(COUNTIF($A$6:$A$1005,A444)&gt;1,"Duplicate WO",""))))</f>
        <v/>
      </c>
    </row>
    <row r="445" customFormat="false" ht="23.85" hidden="false" customHeight="false" outlineLevel="0" collapsed="false">
      <c r="A445" s="53" t="n">
        <v>100875895</v>
      </c>
      <c r="B445" s="46" t="s">
        <v>59</v>
      </c>
      <c r="C445" s="54" t="str">
        <f aca="false">IF(B445="","",IFERROR(INDEX('Kitting Plan'!$D$5:$D$18,MATCH(B445,'Kitting Plan'!$C$5:$C$18,0)),"Unknown code"))</f>
        <v>R5B OPF ASSEMBLY (4P-4FP) BOAT 2/3 - E2A</v>
      </c>
      <c r="D445" s="54" t="str">
        <f aca="false">IF(B445="","",IFERROR(INDEX('Kitting Plan'!$B$5:$B$18,MATCH(B445,'Kitting Plan'!$C$5:$C$18,0)),""))</f>
        <v>OPF ASSY</v>
      </c>
      <c r="E445" s="45"/>
      <c r="F445" s="55" t="n">
        <f aca="false">IF(B445="","",IFERROR(INDEX('Kitting Plan'!$H$5:$H$18,MATCH(B445,'Kitting Plan'!$C$5:$C$18,0)),""))</f>
        <v>2</v>
      </c>
      <c r="G445" s="45" t="n">
        <v>1</v>
      </c>
      <c r="H445" s="56" t="n">
        <f aca="false">IF(B445="","",IF(G445="",F445,G445))</f>
        <v>1</v>
      </c>
      <c r="I445" s="45" t="s">
        <v>29</v>
      </c>
      <c r="J445" s="57" t="n">
        <v>46266</v>
      </c>
      <c r="K445" s="46" t="s">
        <v>104</v>
      </c>
      <c r="L445" s="54" t="str">
        <f aca="false">IF(A445="","",IF(B445="","Missing code",IF(C445="Unknown code","Unknown code",IF(COUNTIF($A$6:$A$1005,A445)&gt;1,"Duplicate WO",""))))</f>
        <v/>
      </c>
    </row>
    <row r="446" customFormat="false" ht="23.85" hidden="false" customHeight="false" outlineLevel="0" collapsed="false">
      <c r="A446" s="53" t="n">
        <v>100877351</v>
      </c>
      <c r="B446" s="46" t="s">
        <v>59</v>
      </c>
      <c r="C446" s="54" t="str">
        <f aca="false">IF(B446="","",IFERROR(INDEX('Kitting Plan'!$D$5:$D$18,MATCH(B446,'Kitting Plan'!$C$5:$C$18,0)),"Unknown code"))</f>
        <v>R5B OPF ASSEMBLY (4P-4FP) BOAT 2/3 - E2A</v>
      </c>
      <c r="D446" s="54" t="str">
        <f aca="false">IF(B446="","",IFERROR(INDEX('Kitting Plan'!$B$5:$B$18,MATCH(B446,'Kitting Plan'!$C$5:$C$18,0)),""))</f>
        <v>OPF ASSY</v>
      </c>
      <c r="E446" s="45"/>
      <c r="F446" s="55" t="n">
        <f aca="false">IF(B446="","",IFERROR(INDEX('Kitting Plan'!$H$5:$H$18,MATCH(B446,'Kitting Plan'!$C$5:$C$18,0)),""))</f>
        <v>2</v>
      </c>
      <c r="G446" s="45" t="n">
        <v>1</v>
      </c>
      <c r="H446" s="56" t="n">
        <f aca="false">IF(B446="","",IF(G446="",F446,G446))</f>
        <v>1</v>
      </c>
      <c r="I446" s="45" t="s">
        <v>27</v>
      </c>
      <c r="J446" s="57" t="n">
        <v>46278</v>
      </c>
      <c r="K446" s="46" t="s">
        <v>108</v>
      </c>
      <c r="L446" s="54" t="str">
        <f aca="false">IF(A446="","",IF(B446="","Missing code",IF(C446="Unknown code","Unknown code",IF(COUNTIF($A$6:$A$1005,A446)&gt;1,"Duplicate WO",""))))</f>
        <v/>
      </c>
    </row>
    <row r="447" customFormat="false" ht="23.85" hidden="false" customHeight="false" outlineLevel="0" collapsed="false">
      <c r="A447" s="53" t="n">
        <v>100877352</v>
      </c>
      <c r="B447" s="46" t="s">
        <v>59</v>
      </c>
      <c r="C447" s="54" t="str">
        <f aca="false">IF(B447="","",IFERROR(INDEX('Kitting Plan'!$D$5:$D$18,MATCH(B447,'Kitting Plan'!$C$5:$C$18,0)),"Unknown code"))</f>
        <v>R5B OPF ASSEMBLY (4P-4FP) BOAT 2/3 - E2A</v>
      </c>
      <c r="D447" s="54" t="str">
        <f aca="false">IF(B447="","",IFERROR(INDEX('Kitting Plan'!$B$5:$B$18,MATCH(B447,'Kitting Plan'!$C$5:$C$18,0)),""))</f>
        <v>OPF ASSY</v>
      </c>
      <c r="E447" s="45"/>
      <c r="F447" s="55" t="n">
        <f aca="false">IF(B447="","",IFERROR(INDEX('Kitting Plan'!$H$5:$H$18,MATCH(B447,'Kitting Plan'!$C$5:$C$18,0)),""))</f>
        <v>2</v>
      </c>
      <c r="G447" s="45" t="n">
        <v>1</v>
      </c>
      <c r="H447" s="56" t="n">
        <f aca="false">IF(B447="","",IF(G447="",F447,G447))</f>
        <v>1</v>
      </c>
      <c r="I447" s="45" t="s">
        <v>29</v>
      </c>
      <c r="J447" s="57" t="n">
        <v>46278</v>
      </c>
      <c r="K447" s="46" t="s">
        <v>104</v>
      </c>
      <c r="L447" s="54" t="str">
        <f aca="false">IF(A447="","",IF(B447="","Missing code",IF(C447="Unknown code","Unknown code",IF(COUNTIF($A$6:$A$1005,A447)&gt;1,"Duplicate WO",""))))</f>
        <v/>
      </c>
    </row>
    <row r="448" customFormat="false" ht="15" hidden="false" customHeight="false" outlineLevel="0" collapsed="false">
      <c r="A448" s="53" t="n">
        <v>100878901</v>
      </c>
      <c r="B448" s="46" t="s">
        <v>59</v>
      </c>
      <c r="C448" s="54" t="str">
        <f aca="false">IF(B448="","",IFERROR(INDEX('Kitting Plan'!$D$5:$D$18,MATCH(B448,'Kitting Plan'!$C$5:$C$18,0)),"Unknown code"))</f>
        <v>R5B OPF ASSEMBLY (4P-4FP) BOAT 2/3 - E2A</v>
      </c>
      <c r="D448" s="54" t="str">
        <f aca="false">IF(B448="","",IFERROR(INDEX('Kitting Plan'!$B$5:$B$18,MATCH(B448,'Kitting Plan'!$C$5:$C$18,0)),""))</f>
        <v>OPF ASSY</v>
      </c>
      <c r="E448" s="45"/>
      <c r="F448" s="55" t="n">
        <f aca="false">IF(B448="","",IFERROR(INDEX('Kitting Plan'!$H$5:$H$18,MATCH(B448,'Kitting Plan'!$C$5:$C$18,0)),""))</f>
        <v>2</v>
      </c>
      <c r="G448" s="45" t="n">
        <v>1</v>
      </c>
      <c r="H448" s="56" t="n">
        <f aca="false">IF(B448="","",IF(G448="",F448,G448))</f>
        <v>1</v>
      </c>
      <c r="I448" s="45" t="s">
        <v>25</v>
      </c>
      <c r="J448" s="57" t="n">
        <v>46287</v>
      </c>
      <c r="K448" s="46" t="s">
        <v>106</v>
      </c>
      <c r="L448" s="54" t="str">
        <f aca="false">IF(A448="","",IF(B448="","Missing code",IF(C448="Unknown code","Unknown code",IF(COUNTIF($A$6:$A$1005,A448)&gt;1,"Duplicate WO",""))))</f>
        <v/>
      </c>
    </row>
    <row r="449" customFormat="false" ht="15" hidden="false" customHeight="false" outlineLevel="0" collapsed="false">
      <c r="A449" s="53" t="n">
        <v>100878902</v>
      </c>
      <c r="B449" s="46" t="s">
        <v>59</v>
      </c>
      <c r="C449" s="54" t="str">
        <f aca="false">IF(B449="","",IFERROR(INDEX('Kitting Plan'!$D$5:$D$18,MATCH(B449,'Kitting Plan'!$C$5:$C$18,0)),"Unknown code"))</f>
        <v>R5B OPF ASSEMBLY (4P-4FP) BOAT 2/3 - E2A</v>
      </c>
      <c r="D449" s="54" t="str">
        <f aca="false">IF(B449="","",IFERROR(INDEX('Kitting Plan'!$B$5:$B$18,MATCH(B449,'Kitting Plan'!$C$5:$C$18,0)),""))</f>
        <v>OPF ASSY</v>
      </c>
      <c r="E449" s="45"/>
      <c r="F449" s="55" t="n">
        <f aca="false">IF(B449="","",IFERROR(INDEX('Kitting Plan'!$H$5:$H$18,MATCH(B449,'Kitting Plan'!$C$5:$C$18,0)),""))</f>
        <v>2</v>
      </c>
      <c r="G449" s="45" t="n">
        <v>1</v>
      </c>
      <c r="H449" s="56" t="n">
        <f aca="false">IF(B449="","",IF(G449="",F449,G449))</f>
        <v>1</v>
      </c>
      <c r="I449" s="45" t="s">
        <v>25</v>
      </c>
      <c r="J449" s="57" t="n">
        <v>46287</v>
      </c>
      <c r="K449" s="46" t="s">
        <v>106</v>
      </c>
      <c r="L449" s="54" t="str">
        <f aca="false">IF(A449="","",IF(B449="","Missing code",IF(C449="Unknown code","Unknown code",IF(COUNTIF($A$6:$A$1005,A449)&gt;1,"Duplicate WO",""))))</f>
        <v/>
      </c>
    </row>
    <row r="450" customFormat="false" ht="15" hidden="false" customHeight="false" outlineLevel="0" collapsed="false">
      <c r="A450" s="53" t="n">
        <v>100879972</v>
      </c>
      <c r="B450" s="46" t="s">
        <v>59</v>
      </c>
      <c r="C450" s="54" t="str">
        <f aca="false">IF(B450="","",IFERROR(INDEX('Kitting Plan'!$D$5:$D$18,MATCH(B450,'Kitting Plan'!$C$5:$C$18,0)),"Unknown code"))</f>
        <v>R5B OPF ASSEMBLY (4P-4FP) BOAT 2/3 - E2A</v>
      </c>
      <c r="D450" s="54" t="str">
        <f aca="false">IF(B450="","",IFERROR(INDEX('Kitting Plan'!$B$5:$B$18,MATCH(B450,'Kitting Plan'!$C$5:$C$18,0)),""))</f>
        <v>OPF ASSY</v>
      </c>
      <c r="E450" s="45"/>
      <c r="F450" s="55" t="n">
        <f aca="false">IF(B450="","",IFERROR(INDEX('Kitting Plan'!$H$5:$H$18,MATCH(B450,'Kitting Plan'!$C$5:$C$18,0)),""))</f>
        <v>2</v>
      </c>
      <c r="G450" s="45" t="n">
        <v>1</v>
      </c>
      <c r="H450" s="56" t="n">
        <f aca="false">IF(B450="","",IF(G450="",F450,G450))</f>
        <v>1</v>
      </c>
      <c r="I450" s="45" t="s">
        <v>27</v>
      </c>
      <c r="J450" s="57" t="n">
        <v>46296</v>
      </c>
      <c r="K450" s="46" t="s">
        <v>107</v>
      </c>
      <c r="L450" s="54" t="str">
        <f aca="false">IF(A450="","",IF(B450="","Missing code",IF(C450="Unknown code","Unknown code",IF(COUNTIF($A$6:$A$1005,A450)&gt;1,"Duplicate WO",""))))</f>
        <v/>
      </c>
    </row>
    <row r="451" customFormat="false" ht="15" hidden="false" customHeight="false" outlineLevel="0" collapsed="false">
      <c r="A451" s="53" t="n">
        <v>100879973</v>
      </c>
      <c r="B451" s="46" t="s">
        <v>59</v>
      </c>
      <c r="C451" s="54" t="str">
        <f aca="false">IF(B451="","",IFERROR(INDEX('Kitting Plan'!$D$5:$D$18,MATCH(B451,'Kitting Plan'!$C$5:$C$18,0)),"Unknown code"))</f>
        <v>R5B OPF ASSEMBLY (4P-4FP) BOAT 2/3 - E2A</v>
      </c>
      <c r="D451" s="54" t="str">
        <f aca="false">IF(B451="","",IFERROR(INDEX('Kitting Plan'!$B$5:$B$18,MATCH(B451,'Kitting Plan'!$C$5:$C$18,0)),""))</f>
        <v>OPF ASSY</v>
      </c>
      <c r="E451" s="45"/>
      <c r="F451" s="55" t="n">
        <f aca="false">IF(B451="","",IFERROR(INDEX('Kitting Plan'!$H$5:$H$18,MATCH(B451,'Kitting Plan'!$C$5:$C$18,0)),""))</f>
        <v>2</v>
      </c>
      <c r="G451" s="45" t="n">
        <v>1</v>
      </c>
      <c r="H451" s="56" t="n">
        <f aca="false">IF(B451="","",IF(G451="",F451,G451))</f>
        <v>1</v>
      </c>
      <c r="I451" s="45" t="s">
        <v>27</v>
      </c>
      <c r="J451" s="57" t="n">
        <v>46296</v>
      </c>
      <c r="K451" s="46" t="s">
        <v>107</v>
      </c>
      <c r="L451" s="54" t="str">
        <f aca="false">IF(A451="","",IF(B451="","Missing code",IF(C451="Unknown code","Unknown code",IF(COUNTIF($A$6:$A$1005,A451)&gt;1,"Duplicate WO",""))))</f>
        <v/>
      </c>
    </row>
    <row r="452" customFormat="false" ht="15" hidden="false" customHeight="false" outlineLevel="0" collapsed="false">
      <c r="A452" s="53" t="n">
        <v>100880081</v>
      </c>
      <c r="B452" s="46" t="s">
        <v>59</v>
      </c>
      <c r="C452" s="54" t="str">
        <f aca="false">IF(B452="","",IFERROR(INDEX('Kitting Plan'!$D$5:$D$18,MATCH(B452,'Kitting Plan'!$C$5:$C$18,0)),"Unknown code"))</f>
        <v>R5B OPF ASSEMBLY (4P-4FP) BOAT 2/3 - E2A</v>
      </c>
      <c r="D452" s="54" t="str">
        <f aca="false">IF(B452="","",IFERROR(INDEX('Kitting Plan'!$B$5:$B$18,MATCH(B452,'Kitting Plan'!$C$5:$C$18,0)),""))</f>
        <v>OPF ASSY</v>
      </c>
      <c r="E452" s="45"/>
      <c r="F452" s="55" t="n">
        <f aca="false">IF(B452="","",IFERROR(INDEX('Kitting Plan'!$H$5:$H$18,MATCH(B452,'Kitting Plan'!$C$5:$C$18,0)),""))</f>
        <v>2</v>
      </c>
      <c r="G452" s="45" t="n">
        <v>1</v>
      </c>
      <c r="H452" s="56" t="n">
        <f aca="false">IF(B452="","",IF(G452="",F452,G452))</f>
        <v>1</v>
      </c>
      <c r="I452" s="45" t="s">
        <v>25</v>
      </c>
      <c r="J452" s="57" t="n">
        <v>46296</v>
      </c>
      <c r="K452" s="46" t="s">
        <v>106</v>
      </c>
      <c r="L452" s="54" t="str">
        <f aca="false">IF(A452="","",IF(B452="","Missing code",IF(C452="Unknown code","Unknown code",IF(COUNTIF($A$6:$A$1005,A452)&gt;1,"Duplicate WO",""))))</f>
        <v/>
      </c>
    </row>
    <row r="453" customFormat="false" ht="15" hidden="false" customHeight="false" outlineLevel="0" collapsed="false">
      <c r="A453" s="53" t="n">
        <v>100880082</v>
      </c>
      <c r="B453" s="46" t="s">
        <v>59</v>
      </c>
      <c r="C453" s="54" t="str">
        <f aca="false">IF(B453="","",IFERROR(INDEX('Kitting Plan'!$D$5:$D$18,MATCH(B453,'Kitting Plan'!$C$5:$C$18,0)),"Unknown code"))</f>
        <v>R5B OPF ASSEMBLY (4P-4FP) BOAT 2/3 - E2A</v>
      </c>
      <c r="D453" s="54" t="str">
        <f aca="false">IF(B453="","",IFERROR(INDEX('Kitting Plan'!$B$5:$B$18,MATCH(B453,'Kitting Plan'!$C$5:$C$18,0)),""))</f>
        <v>OPF ASSY</v>
      </c>
      <c r="E453" s="45"/>
      <c r="F453" s="55" t="n">
        <f aca="false">IF(B453="","",IFERROR(INDEX('Kitting Plan'!$H$5:$H$18,MATCH(B453,'Kitting Plan'!$C$5:$C$18,0)),""))</f>
        <v>2</v>
      </c>
      <c r="G453" s="45" t="n">
        <v>1</v>
      </c>
      <c r="H453" s="56" t="n">
        <f aca="false">IF(B453="","",IF(G453="",F453,G453))</f>
        <v>1</v>
      </c>
      <c r="I453" s="45" t="s">
        <v>25</v>
      </c>
      <c r="J453" s="57" t="n">
        <v>46296</v>
      </c>
      <c r="K453" s="46" t="s">
        <v>106</v>
      </c>
      <c r="L453" s="54" t="str">
        <f aca="false">IF(A453="","",IF(B453="","Missing code",IF(C453="Unknown code","Unknown code",IF(COUNTIF($A$6:$A$1005,A453)&gt;1,"Duplicate WO",""))))</f>
        <v/>
      </c>
    </row>
    <row r="454" customFormat="false" ht="15" hidden="false" customHeight="false" outlineLevel="0" collapsed="false">
      <c r="A454" s="53" t="n">
        <v>100880191</v>
      </c>
      <c r="B454" s="46" t="s">
        <v>59</v>
      </c>
      <c r="C454" s="54" t="str">
        <f aca="false">IF(B454="","",IFERROR(INDEX('Kitting Plan'!$D$5:$D$18,MATCH(B454,'Kitting Plan'!$C$5:$C$18,0)),"Unknown code"))</f>
        <v>R5B OPF ASSEMBLY (4P-4FP) BOAT 2/3 - E2A</v>
      </c>
      <c r="D454" s="54" t="str">
        <f aca="false">IF(B454="","",IFERROR(INDEX('Kitting Plan'!$B$5:$B$18,MATCH(B454,'Kitting Plan'!$C$5:$C$18,0)),""))</f>
        <v>OPF ASSY</v>
      </c>
      <c r="E454" s="45"/>
      <c r="F454" s="55" t="n">
        <f aca="false">IF(B454="","",IFERROR(INDEX('Kitting Plan'!$H$5:$H$18,MATCH(B454,'Kitting Plan'!$C$5:$C$18,0)),""))</f>
        <v>2</v>
      </c>
      <c r="G454" s="45" t="n">
        <v>1</v>
      </c>
      <c r="H454" s="56" t="n">
        <f aca="false">IF(B454="","",IF(G454="",F454,G454))</f>
        <v>1</v>
      </c>
      <c r="I454" s="45" t="s">
        <v>25</v>
      </c>
      <c r="J454" s="57" t="n">
        <v>46297</v>
      </c>
      <c r="K454" s="46" t="s">
        <v>106</v>
      </c>
      <c r="L454" s="54" t="str">
        <f aca="false">IF(A454="","",IF(B454="","Missing code",IF(C454="Unknown code","Unknown code",IF(COUNTIF($A$6:$A$1005,A454)&gt;1,"Duplicate WO",""))))</f>
        <v/>
      </c>
    </row>
    <row r="455" customFormat="false" ht="15" hidden="false" customHeight="false" outlineLevel="0" collapsed="false">
      <c r="A455" s="53" t="n">
        <v>100880192</v>
      </c>
      <c r="B455" s="46" t="s">
        <v>59</v>
      </c>
      <c r="C455" s="54" t="str">
        <f aca="false">IF(B455="","",IFERROR(INDEX('Kitting Plan'!$D$5:$D$18,MATCH(B455,'Kitting Plan'!$C$5:$C$18,0)),"Unknown code"))</f>
        <v>R5B OPF ASSEMBLY (4P-4FP) BOAT 2/3 - E2A</v>
      </c>
      <c r="D455" s="54" t="str">
        <f aca="false">IF(B455="","",IFERROR(INDEX('Kitting Plan'!$B$5:$B$18,MATCH(B455,'Kitting Plan'!$C$5:$C$18,0)),""))</f>
        <v>OPF ASSY</v>
      </c>
      <c r="E455" s="45"/>
      <c r="F455" s="55" t="n">
        <f aca="false">IF(B455="","",IFERROR(INDEX('Kitting Plan'!$H$5:$H$18,MATCH(B455,'Kitting Plan'!$C$5:$C$18,0)),""))</f>
        <v>2</v>
      </c>
      <c r="G455" s="45" t="n">
        <v>1</v>
      </c>
      <c r="H455" s="56" t="n">
        <f aca="false">IF(B455="","",IF(G455="",F455,G455))</f>
        <v>1</v>
      </c>
      <c r="I455" s="45" t="s">
        <v>25</v>
      </c>
      <c r="J455" s="57" t="n">
        <v>46297</v>
      </c>
      <c r="K455" s="46" t="s">
        <v>106</v>
      </c>
      <c r="L455" s="54" t="str">
        <f aca="false">IF(A455="","",IF(B455="","Missing code",IF(C455="Unknown code","Unknown code",IF(COUNTIF($A$6:$A$1005,A455)&gt;1,"Duplicate WO",""))))</f>
        <v/>
      </c>
    </row>
    <row r="456" customFormat="false" ht="15" hidden="false" customHeight="false" outlineLevel="0" collapsed="false">
      <c r="A456" s="53" t="n">
        <v>100880252</v>
      </c>
      <c r="B456" s="46" t="s">
        <v>59</v>
      </c>
      <c r="C456" s="54" t="str">
        <f aca="false">IF(B456="","",IFERROR(INDEX('Kitting Plan'!$D$5:$D$18,MATCH(B456,'Kitting Plan'!$C$5:$C$18,0)),"Unknown code"))</f>
        <v>R5B OPF ASSEMBLY (4P-4FP) BOAT 2/3 - E2A</v>
      </c>
      <c r="D456" s="54" t="str">
        <f aca="false">IF(B456="","",IFERROR(INDEX('Kitting Plan'!$B$5:$B$18,MATCH(B456,'Kitting Plan'!$C$5:$C$18,0)),""))</f>
        <v>OPF ASSY</v>
      </c>
      <c r="E456" s="45"/>
      <c r="F456" s="55" t="n">
        <f aca="false">IF(B456="","",IFERROR(INDEX('Kitting Plan'!$H$5:$H$18,MATCH(B456,'Kitting Plan'!$C$5:$C$18,0)),""))</f>
        <v>2</v>
      </c>
      <c r="G456" s="45" t="n">
        <v>1</v>
      </c>
      <c r="H456" s="56" t="n">
        <f aca="false">IF(B456="","",IF(G456="",F456,G456))</f>
        <v>1</v>
      </c>
      <c r="I456" s="45" t="s">
        <v>25</v>
      </c>
      <c r="J456" s="57" t="n">
        <v>46297</v>
      </c>
      <c r="K456" s="46" t="s">
        <v>106</v>
      </c>
      <c r="L456" s="54" t="str">
        <f aca="false">IF(A456="","",IF(B456="","Missing code",IF(C456="Unknown code","Unknown code",IF(COUNTIF($A$6:$A$1005,A456)&gt;1,"Duplicate WO",""))))</f>
        <v/>
      </c>
    </row>
    <row r="457" customFormat="false" ht="15" hidden="false" customHeight="false" outlineLevel="0" collapsed="false">
      <c r="A457" s="53" t="n">
        <v>100880253</v>
      </c>
      <c r="B457" s="46" t="s">
        <v>59</v>
      </c>
      <c r="C457" s="54" t="str">
        <f aca="false">IF(B457="","",IFERROR(INDEX('Kitting Plan'!$D$5:$D$18,MATCH(B457,'Kitting Plan'!$C$5:$C$18,0)),"Unknown code"))</f>
        <v>R5B OPF ASSEMBLY (4P-4FP) BOAT 2/3 - E2A</v>
      </c>
      <c r="D457" s="54" t="str">
        <f aca="false">IF(B457="","",IFERROR(INDEX('Kitting Plan'!$B$5:$B$18,MATCH(B457,'Kitting Plan'!$C$5:$C$18,0)),""))</f>
        <v>OPF ASSY</v>
      </c>
      <c r="E457" s="45"/>
      <c r="F457" s="55" t="n">
        <f aca="false">IF(B457="","",IFERROR(INDEX('Kitting Plan'!$H$5:$H$18,MATCH(B457,'Kitting Plan'!$C$5:$C$18,0)),""))</f>
        <v>2</v>
      </c>
      <c r="G457" s="45" t="n">
        <v>1</v>
      </c>
      <c r="H457" s="56" t="n">
        <f aca="false">IF(B457="","",IF(G457="",F457,G457))</f>
        <v>1</v>
      </c>
      <c r="I457" s="45" t="s">
        <v>25</v>
      </c>
      <c r="J457" s="57" t="n">
        <v>46297</v>
      </c>
      <c r="K457" s="46" t="s">
        <v>106</v>
      </c>
      <c r="L457" s="54" t="str">
        <f aca="false">IF(A457="","",IF(B457="","Missing code",IF(C457="Unknown code","Unknown code",IF(COUNTIF($A$6:$A$1005,A457)&gt;1,"Duplicate WO",""))))</f>
        <v/>
      </c>
    </row>
    <row r="458" customFormat="false" ht="23.85" hidden="false" customHeight="false" outlineLevel="0" collapsed="false">
      <c r="A458" s="53" t="n">
        <v>100861160</v>
      </c>
      <c r="B458" s="46" t="s">
        <v>50</v>
      </c>
      <c r="C458" s="54" t="str">
        <f aca="false">IF(B458="","",IFERROR(INDEX('Kitting Plan'!$D$5:$D$18,MATCH(B458,'Kitting Plan'!$C$5:$C$18,0)),"Unknown code"))</f>
        <v>R5B LASER ASSEMBLY 4P BOAT 1 - E2A</v>
      </c>
      <c r="D458" s="54" t="str">
        <f aca="false">IF(B458="","",IFERROR(INDEX('Kitting Plan'!$B$5:$B$18,MATCH(B458,'Kitting Plan'!$C$5:$C$18,0)),""))</f>
        <v>LASER ASSY</v>
      </c>
      <c r="E458" s="45"/>
      <c r="F458" s="55" t="n">
        <f aca="false">IF(B458="","",IFERROR(INDEX('Kitting Plan'!$H$5:$H$18,MATCH(B458,'Kitting Plan'!$C$5:$C$18,0)),""))</f>
        <v>1</v>
      </c>
      <c r="G458" s="45" t="n">
        <v>1</v>
      </c>
      <c r="H458" s="56" t="n">
        <f aca="false">IF(B458="","",IF(G458="",F458,G458))</f>
        <v>1</v>
      </c>
      <c r="I458" s="45" t="s">
        <v>29</v>
      </c>
      <c r="J458" s="57" t="n">
        <v>46148</v>
      </c>
      <c r="K458" s="46" t="s">
        <v>103</v>
      </c>
      <c r="L458" s="54" t="str">
        <f aca="false">IF(A458="","",IF(B458="","Missing code",IF(C458="Unknown code","Unknown code",IF(COUNTIF($A$6:$A$1005,A458)&gt;1,"Duplicate WO",""))))</f>
        <v/>
      </c>
    </row>
    <row r="459" customFormat="false" ht="23.85" hidden="false" customHeight="false" outlineLevel="0" collapsed="false">
      <c r="A459" s="53" t="n">
        <v>100862605</v>
      </c>
      <c r="B459" s="46" t="s">
        <v>50</v>
      </c>
      <c r="C459" s="54" t="str">
        <f aca="false">IF(B459="","",IFERROR(INDEX('Kitting Plan'!$D$5:$D$18,MATCH(B459,'Kitting Plan'!$C$5:$C$18,0)),"Unknown code"))</f>
        <v>R5B LASER ASSEMBLY 4P BOAT 1 - E2A</v>
      </c>
      <c r="D459" s="54" t="str">
        <f aca="false">IF(B459="","",IFERROR(INDEX('Kitting Plan'!$B$5:$B$18,MATCH(B459,'Kitting Plan'!$C$5:$C$18,0)),""))</f>
        <v>LASER ASSY</v>
      </c>
      <c r="E459" s="45"/>
      <c r="F459" s="55" t="n">
        <f aca="false">IF(B459="","",IFERROR(INDEX('Kitting Plan'!$H$5:$H$18,MATCH(B459,'Kitting Plan'!$C$5:$C$18,0)),""))</f>
        <v>1</v>
      </c>
      <c r="G459" s="45" t="n">
        <v>1</v>
      </c>
      <c r="H459" s="56" t="n">
        <f aca="false">IF(B459="","",IF(G459="",F459,G459))</f>
        <v>1</v>
      </c>
      <c r="I459" s="45" t="s">
        <v>29</v>
      </c>
      <c r="J459" s="57" t="n">
        <v>46160</v>
      </c>
      <c r="K459" s="46" t="s">
        <v>103</v>
      </c>
      <c r="L459" s="54" t="str">
        <f aca="false">IF(A459="","",IF(B459="","Missing code",IF(C459="Unknown code","Unknown code",IF(COUNTIF($A$6:$A$1005,A459)&gt;1,"Duplicate WO",""))))</f>
        <v/>
      </c>
    </row>
    <row r="460" customFormat="false" ht="23.85" hidden="false" customHeight="false" outlineLevel="0" collapsed="false">
      <c r="A460" s="53" t="n">
        <v>100864260</v>
      </c>
      <c r="B460" s="46" t="s">
        <v>50</v>
      </c>
      <c r="C460" s="54" t="str">
        <f aca="false">IF(B460="","",IFERROR(INDEX('Kitting Plan'!$D$5:$D$18,MATCH(B460,'Kitting Plan'!$C$5:$C$18,0)),"Unknown code"))</f>
        <v>R5B LASER ASSEMBLY 4P BOAT 1 - E2A</v>
      </c>
      <c r="D460" s="54" t="str">
        <f aca="false">IF(B460="","",IFERROR(INDEX('Kitting Plan'!$B$5:$B$18,MATCH(B460,'Kitting Plan'!$C$5:$C$18,0)),""))</f>
        <v>LASER ASSY</v>
      </c>
      <c r="E460" s="45"/>
      <c r="F460" s="55" t="n">
        <f aca="false">IF(B460="","",IFERROR(INDEX('Kitting Plan'!$H$5:$H$18,MATCH(B460,'Kitting Plan'!$C$5:$C$18,0)),""))</f>
        <v>1</v>
      </c>
      <c r="G460" s="45" t="n">
        <v>1</v>
      </c>
      <c r="H460" s="56" t="n">
        <f aca="false">IF(B460="","",IF(G460="",F460,G460))</f>
        <v>1</v>
      </c>
      <c r="I460" s="45" t="s">
        <v>29</v>
      </c>
      <c r="J460" s="57" t="n">
        <v>46170</v>
      </c>
      <c r="K460" s="46" t="s">
        <v>111</v>
      </c>
      <c r="L460" s="54" t="str">
        <f aca="false">IF(A460="","",IF(B460="","Missing code",IF(C460="Unknown code","Unknown code",IF(COUNTIF($A$6:$A$1005,A460)&gt;1,"Duplicate WO",""))))</f>
        <v/>
      </c>
    </row>
    <row r="461" customFormat="false" ht="23.85" hidden="false" customHeight="false" outlineLevel="0" collapsed="false">
      <c r="A461" s="53" t="n">
        <v>100871854</v>
      </c>
      <c r="B461" s="46" t="s">
        <v>50</v>
      </c>
      <c r="C461" s="54" t="str">
        <f aca="false">IF(B461="","",IFERROR(INDEX('Kitting Plan'!$D$5:$D$18,MATCH(B461,'Kitting Plan'!$C$5:$C$18,0)),"Unknown code"))</f>
        <v>R5B LASER ASSEMBLY 4P BOAT 1 - E2A</v>
      </c>
      <c r="D461" s="54" t="str">
        <f aca="false">IF(B461="","",IFERROR(INDEX('Kitting Plan'!$B$5:$B$18,MATCH(B461,'Kitting Plan'!$C$5:$C$18,0)),""))</f>
        <v>LASER ASSY</v>
      </c>
      <c r="E461" s="45"/>
      <c r="F461" s="55" t="n">
        <f aca="false">IF(B461="","",IFERROR(INDEX('Kitting Plan'!$H$5:$H$18,MATCH(B461,'Kitting Plan'!$C$5:$C$18,0)),""))</f>
        <v>1</v>
      </c>
      <c r="G461" s="45" t="n">
        <v>1</v>
      </c>
      <c r="H461" s="56" t="n">
        <f aca="false">IF(B461="","",IF(G461="",F461,G461))</f>
        <v>1</v>
      </c>
      <c r="I461" s="45" t="s">
        <v>29</v>
      </c>
      <c r="J461" s="57" t="n">
        <v>46231</v>
      </c>
      <c r="K461" s="46" t="s">
        <v>111</v>
      </c>
      <c r="L461" s="54" t="str">
        <f aca="false">IF(A461="","",IF(B461="","Missing code",IF(C461="Unknown code","Unknown code",IF(COUNTIF($A$6:$A$1005,A461)&gt;1,"Duplicate WO",""))))</f>
        <v/>
      </c>
    </row>
    <row r="462" customFormat="false" ht="23.85" hidden="false" customHeight="false" outlineLevel="0" collapsed="false">
      <c r="A462" s="53" t="n">
        <v>100872659</v>
      </c>
      <c r="B462" s="46" t="s">
        <v>50</v>
      </c>
      <c r="C462" s="54" t="str">
        <f aca="false">IF(B462="","",IFERROR(INDEX('Kitting Plan'!$D$5:$D$18,MATCH(B462,'Kitting Plan'!$C$5:$C$18,0)),"Unknown code"))</f>
        <v>R5B LASER ASSEMBLY 4P BOAT 1 - E2A</v>
      </c>
      <c r="D462" s="54" t="str">
        <f aca="false">IF(B462="","",IFERROR(INDEX('Kitting Plan'!$B$5:$B$18,MATCH(B462,'Kitting Plan'!$C$5:$C$18,0)),""))</f>
        <v>LASER ASSY</v>
      </c>
      <c r="E462" s="45"/>
      <c r="F462" s="55" t="n">
        <f aca="false">IF(B462="","",IFERROR(INDEX('Kitting Plan'!$H$5:$H$18,MATCH(B462,'Kitting Plan'!$C$5:$C$18,0)),""))</f>
        <v>1</v>
      </c>
      <c r="G462" s="45" t="n">
        <v>1</v>
      </c>
      <c r="H462" s="56" t="n">
        <f aca="false">IF(B462="","",IF(G462="",F462,G462))</f>
        <v>1</v>
      </c>
      <c r="I462" s="45" t="s">
        <v>29</v>
      </c>
      <c r="J462" s="57" t="n">
        <v>46238</v>
      </c>
      <c r="K462" s="46" t="s">
        <v>112</v>
      </c>
      <c r="L462" s="54" t="str">
        <f aca="false">IF(A462="","",IF(B462="","Missing code",IF(C462="Unknown code","Unknown code",IF(COUNTIF($A$6:$A$1005,A462)&gt;1,"Duplicate WO",""))))</f>
        <v/>
      </c>
    </row>
    <row r="463" customFormat="false" ht="23.85" hidden="false" customHeight="false" outlineLevel="0" collapsed="false">
      <c r="A463" s="53" t="n">
        <v>100873356</v>
      </c>
      <c r="B463" s="46" t="s">
        <v>50</v>
      </c>
      <c r="C463" s="54" t="str">
        <f aca="false">IF(B463="","",IFERROR(INDEX('Kitting Plan'!$D$5:$D$18,MATCH(B463,'Kitting Plan'!$C$5:$C$18,0)),"Unknown code"))</f>
        <v>R5B LASER ASSEMBLY 4P BOAT 1 - E2A</v>
      </c>
      <c r="D463" s="54" t="str">
        <f aca="false">IF(B463="","",IFERROR(INDEX('Kitting Plan'!$B$5:$B$18,MATCH(B463,'Kitting Plan'!$C$5:$C$18,0)),""))</f>
        <v>LASER ASSY</v>
      </c>
      <c r="E463" s="45"/>
      <c r="F463" s="55" t="n">
        <f aca="false">IF(B463="","",IFERROR(INDEX('Kitting Plan'!$H$5:$H$18,MATCH(B463,'Kitting Plan'!$C$5:$C$18,0)),""))</f>
        <v>1</v>
      </c>
      <c r="G463" s="45" t="n">
        <v>1</v>
      </c>
      <c r="H463" s="56" t="n">
        <f aca="false">IF(B463="","",IF(G463="",F463,G463))</f>
        <v>1</v>
      </c>
      <c r="I463" s="45" t="s">
        <v>29</v>
      </c>
      <c r="J463" s="57" t="n">
        <v>46243</v>
      </c>
      <c r="K463" s="46" t="s">
        <v>112</v>
      </c>
      <c r="L463" s="54" t="str">
        <f aca="false">IF(A463="","",IF(B463="","Missing code",IF(C463="Unknown code","Unknown code",IF(COUNTIF($A$6:$A$1005,A463)&gt;1,"Duplicate WO",""))))</f>
        <v/>
      </c>
    </row>
    <row r="464" customFormat="false" ht="23.85" hidden="false" customHeight="false" outlineLevel="0" collapsed="false">
      <c r="A464" s="53" t="n">
        <v>100874390</v>
      </c>
      <c r="B464" s="46" t="s">
        <v>50</v>
      </c>
      <c r="C464" s="54" t="str">
        <f aca="false">IF(B464="","",IFERROR(INDEX('Kitting Plan'!$D$5:$D$18,MATCH(B464,'Kitting Plan'!$C$5:$C$18,0)),"Unknown code"))</f>
        <v>R5B LASER ASSEMBLY 4P BOAT 1 - E2A</v>
      </c>
      <c r="D464" s="54" t="str">
        <f aca="false">IF(B464="","",IFERROR(INDEX('Kitting Plan'!$B$5:$B$18,MATCH(B464,'Kitting Plan'!$C$5:$C$18,0)),""))</f>
        <v>LASER ASSY</v>
      </c>
      <c r="E464" s="45"/>
      <c r="F464" s="55" t="n">
        <f aca="false">IF(B464="","",IFERROR(INDEX('Kitting Plan'!$H$5:$H$18,MATCH(B464,'Kitting Plan'!$C$5:$C$18,0)),""))</f>
        <v>1</v>
      </c>
      <c r="G464" s="45" t="n">
        <v>1</v>
      </c>
      <c r="H464" s="56" t="n">
        <f aca="false">IF(B464="","",IF(G464="",F464,G464))</f>
        <v>1</v>
      </c>
      <c r="I464" s="45" t="s">
        <v>29</v>
      </c>
      <c r="J464" s="57" t="n">
        <v>46251</v>
      </c>
      <c r="K464" s="46" t="s">
        <v>111</v>
      </c>
      <c r="L464" s="54" t="str">
        <f aca="false">IF(A464="","",IF(B464="","Missing code",IF(C464="Unknown code","Unknown code",IF(COUNTIF($A$6:$A$1005,A464)&gt;1,"Duplicate WO",""))))</f>
        <v/>
      </c>
    </row>
    <row r="465" customFormat="false" ht="23.85" hidden="false" customHeight="false" outlineLevel="0" collapsed="false">
      <c r="A465" s="53" t="n">
        <v>100875888</v>
      </c>
      <c r="B465" s="46" t="s">
        <v>50</v>
      </c>
      <c r="C465" s="54" t="str">
        <f aca="false">IF(B465="","",IFERROR(INDEX('Kitting Plan'!$D$5:$D$18,MATCH(B465,'Kitting Plan'!$C$5:$C$18,0)),"Unknown code"))</f>
        <v>R5B LASER ASSEMBLY 4P BOAT 1 - E2A</v>
      </c>
      <c r="D465" s="54" t="str">
        <f aca="false">IF(B465="","",IFERROR(INDEX('Kitting Plan'!$B$5:$B$18,MATCH(B465,'Kitting Plan'!$C$5:$C$18,0)),""))</f>
        <v>LASER ASSY</v>
      </c>
      <c r="E465" s="45"/>
      <c r="F465" s="55" t="n">
        <f aca="false">IF(B465="","",IFERROR(INDEX('Kitting Plan'!$H$5:$H$18,MATCH(B465,'Kitting Plan'!$C$5:$C$18,0)),""))</f>
        <v>1</v>
      </c>
      <c r="G465" s="45" t="n">
        <v>1</v>
      </c>
      <c r="H465" s="56" t="n">
        <f aca="false">IF(B465="","",IF(G465="",F465,G465))</f>
        <v>1</v>
      </c>
      <c r="I465" s="45" t="s">
        <v>29</v>
      </c>
      <c r="J465" s="57" t="n">
        <v>46266</v>
      </c>
      <c r="K465" s="46" t="s">
        <v>112</v>
      </c>
      <c r="L465" s="54" t="str">
        <f aca="false">IF(A465="","",IF(B465="","Missing code",IF(C465="Unknown code","Unknown code",IF(COUNTIF($A$6:$A$1005,A465)&gt;1,"Duplicate WO",""))))</f>
        <v/>
      </c>
    </row>
    <row r="466" customFormat="false" ht="23.85" hidden="false" customHeight="false" outlineLevel="0" collapsed="false">
      <c r="A466" s="53" t="n">
        <v>100877047</v>
      </c>
      <c r="B466" s="46" t="s">
        <v>50</v>
      </c>
      <c r="C466" s="54" t="str">
        <f aca="false">IF(B466="","",IFERROR(INDEX('Kitting Plan'!$D$5:$D$18,MATCH(B466,'Kitting Plan'!$C$5:$C$18,0)),"Unknown code"))</f>
        <v>R5B LASER ASSEMBLY 4P BOAT 1 - E2A</v>
      </c>
      <c r="D466" s="54" t="str">
        <f aca="false">IF(B466="","",IFERROR(INDEX('Kitting Plan'!$B$5:$B$18,MATCH(B466,'Kitting Plan'!$C$5:$C$18,0)),""))</f>
        <v>LASER ASSY</v>
      </c>
      <c r="E466" s="45"/>
      <c r="F466" s="55" t="n">
        <f aca="false">IF(B466="","",IFERROR(INDEX('Kitting Plan'!$H$5:$H$18,MATCH(B466,'Kitting Plan'!$C$5:$C$18,0)),""))</f>
        <v>1</v>
      </c>
      <c r="G466" s="45" t="n">
        <v>1</v>
      </c>
      <c r="H466" s="56" t="n">
        <f aca="false">IF(B466="","",IF(G466="",F466,G466))</f>
        <v>1</v>
      </c>
      <c r="I466" s="45" t="s">
        <v>29</v>
      </c>
      <c r="J466" s="57" t="n">
        <v>46276</v>
      </c>
      <c r="K466" s="46" t="s">
        <v>112</v>
      </c>
      <c r="L466" s="54" t="str">
        <f aca="false">IF(A466="","",IF(B466="","Missing code",IF(C466="Unknown code","Unknown code",IF(COUNTIF($A$6:$A$1005,A466)&gt;1,"Duplicate WO",""))))</f>
        <v/>
      </c>
    </row>
    <row r="467" customFormat="false" ht="23.85" hidden="false" customHeight="false" outlineLevel="0" collapsed="false">
      <c r="A467" s="53" t="n">
        <v>100878376</v>
      </c>
      <c r="B467" s="46" t="s">
        <v>50</v>
      </c>
      <c r="C467" s="54" t="str">
        <f aca="false">IF(B467="","",IFERROR(INDEX('Kitting Plan'!$D$5:$D$18,MATCH(B467,'Kitting Plan'!$C$5:$C$18,0)),"Unknown code"))</f>
        <v>R5B LASER ASSEMBLY 4P BOAT 1 - E2A</v>
      </c>
      <c r="D467" s="54" t="str">
        <f aca="false">IF(B467="","",IFERROR(INDEX('Kitting Plan'!$B$5:$B$18,MATCH(B467,'Kitting Plan'!$C$5:$C$18,0)),""))</f>
        <v>LASER ASSY</v>
      </c>
      <c r="E467" s="45"/>
      <c r="F467" s="55" t="n">
        <f aca="false">IF(B467="","",IFERROR(INDEX('Kitting Plan'!$H$5:$H$18,MATCH(B467,'Kitting Plan'!$C$5:$C$18,0)),""))</f>
        <v>1</v>
      </c>
      <c r="G467" s="45" t="n">
        <v>1</v>
      </c>
      <c r="H467" s="56" t="n">
        <f aca="false">IF(B467="","",IF(G467="",F467,G467))</f>
        <v>1</v>
      </c>
      <c r="I467" s="45" t="s">
        <v>27</v>
      </c>
      <c r="J467" s="57" t="n">
        <v>46286</v>
      </c>
      <c r="K467" s="46" t="s">
        <v>113</v>
      </c>
      <c r="L467" s="54" t="str">
        <f aca="false">IF(A467="","",IF(B467="","Missing code",IF(C467="Unknown code","Unknown code",IF(COUNTIF($A$6:$A$1005,A467)&gt;1,"Duplicate WO",""))))</f>
        <v/>
      </c>
    </row>
    <row r="468" customFormat="false" ht="15" hidden="false" customHeight="false" outlineLevel="0" collapsed="false">
      <c r="A468" s="53" t="n">
        <v>100879967</v>
      </c>
      <c r="B468" s="46" t="s">
        <v>50</v>
      </c>
      <c r="C468" s="54" t="str">
        <f aca="false">IF(B468="","",IFERROR(INDEX('Kitting Plan'!$D$5:$D$18,MATCH(B468,'Kitting Plan'!$C$5:$C$18,0)),"Unknown code"))</f>
        <v>R5B LASER ASSEMBLY 4P BOAT 1 - E2A</v>
      </c>
      <c r="D468" s="54" t="str">
        <f aca="false">IF(B468="","",IFERROR(INDEX('Kitting Plan'!$B$5:$B$18,MATCH(B468,'Kitting Plan'!$C$5:$C$18,0)),""))</f>
        <v>LASER ASSY</v>
      </c>
      <c r="E468" s="45"/>
      <c r="F468" s="55" t="n">
        <f aca="false">IF(B468="","",IFERROR(INDEX('Kitting Plan'!$H$5:$H$18,MATCH(B468,'Kitting Plan'!$C$5:$C$18,0)),""))</f>
        <v>1</v>
      </c>
      <c r="G468" s="45" t="n">
        <v>1</v>
      </c>
      <c r="H468" s="56" t="n">
        <f aca="false">IF(B468="","",IF(G468="",F468,G468))</f>
        <v>1</v>
      </c>
      <c r="I468" s="45" t="s">
        <v>27</v>
      </c>
      <c r="J468" s="57" t="n">
        <v>46296</v>
      </c>
      <c r="K468" s="46" t="s">
        <v>107</v>
      </c>
      <c r="L468" s="54" t="str">
        <f aca="false">IF(A468="","",IF(B468="","Missing code",IF(C468="Unknown code","Unknown code",IF(COUNTIF($A$6:$A$1005,A468)&gt;1,"Duplicate WO",""))))</f>
        <v/>
      </c>
    </row>
    <row r="469" customFormat="false" ht="15" hidden="false" customHeight="false" outlineLevel="0" collapsed="false">
      <c r="A469" s="53" t="n">
        <v>100880067</v>
      </c>
      <c r="B469" s="46" t="s">
        <v>50</v>
      </c>
      <c r="C469" s="54" t="str">
        <f aca="false">IF(B469="","",IFERROR(INDEX('Kitting Plan'!$D$5:$D$18,MATCH(B469,'Kitting Plan'!$C$5:$C$18,0)),"Unknown code"))</f>
        <v>R5B LASER ASSEMBLY 4P BOAT 1 - E2A</v>
      </c>
      <c r="D469" s="54" t="str">
        <f aca="false">IF(B469="","",IFERROR(INDEX('Kitting Plan'!$B$5:$B$18,MATCH(B469,'Kitting Plan'!$C$5:$C$18,0)),""))</f>
        <v>LASER ASSY</v>
      </c>
      <c r="E469" s="45"/>
      <c r="F469" s="55" t="n">
        <f aca="false">IF(B469="","",IFERROR(INDEX('Kitting Plan'!$H$5:$H$18,MATCH(B469,'Kitting Plan'!$C$5:$C$18,0)),""))</f>
        <v>1</v>
      </c>
      <c r="G469" s="45" t="n">
        <v>1</v>
      </c>
      <c r="H469" s="56" t="n">
        <f aca="false">IF(B469="","",IF(G469="",F469,G469))</f>
        <v>1</v>
      </c>
      <c r="I469" s="45" t="s">
        <v>25</v>
      </c>
      <c r="J469" s="57" t="n">
        <v>46296</v>
      </c>
      <c r="K469" s="46" t="s">
        <v>106</v>
      </c>
      <c r="L469" s="54" t="str">
        <f aca="false">IF(A469="","",IF(B469="","Missing code",IF(C469="Unknown code","Unknown code",IF(COUNTIF($A$6:$A$1005,A469)&gt;1,"Duplicate WO",""))))</f>
        <v/>
      </c>
    </row>
    <row r="470" customFormat="false" ht="15" hidden="false" customHeight="false" outlineLevel="0" collapsed="false">
      <c r="A470" s="53" t="n">
        <v>100880184</v>
      </c>
      <c r="B470" s="46" t="s">
        <v>50</v>
      </c>
      <c r="C470" s="54" t="str">
        <f aca="false">IF(B470="","",IFERROR(INDEX('Kitting Plan'!$D$5:$D$18,MATCH(B470,'Kitting Plan'!$C$5:$C$18,0)),"Unknown code"))</f>
        <v>R5B LASER ASSEMBLY 4P BOAT 1 - E2A</v>
      </c>
      <c r="D470" s="54" t="str">
        <f aca="false">IF(B470="","",IFERROR(INDEX('Kitting Plan'!$B$5:$B$18,MATCH(B470,'Kitting Plan'!$C$5:$C$18,0)),""))</f>
        <v>LASER ASSY</v>
      </c>
      <c r="E470" s="45"/>
      <c r="F470" s="55" t="n">
        <f aca="false">IF(B470="","",IFERROR(INDEX('Kitting Plan'!$H$5:$H$18,MATCH(B470,'Kitting Plan'!$C$5:$C$18,0)),""))</f>
        <v>1</v>
      </c>
      <c r="G470" s="45" t="n">
        <v>1</v>
      </c>
      <c r="H470" s="56" t="n">
        <f aca="false">IF(B470="","",IF(G470="",F470,G470))</f>
        <v>1</v>
      </c>
      <c r="I470" s="45" t="s">
        <v>25</v>
      </c>
      <c r="J470" s="57" t="n">
        <v>46297</v>
      </c>
      <c r="K470" s="46" t="s">
        <v>106</v>
      </c>
      <c r="L470" s="54" t="str">
        <f aca="false">IF(A470="","",IF(B470="","Missing code",IF(C470="Unknown code","Unknown code",IF(COUNTIF($A$6:$A$1005,A470)&gt;1,"Duplicate WO",""))))</f>
        <v/>
      </c>
    </row>
    <row r="471" customFormat="false" ht="15" hidden="false" customHeight="false" outlineLevel="0" collapsed="false">
      <c r="A471" s="53" t="n">
        <v>100880245</v>
      </c>
      <c r="B471" s="46" t="s">
        <v>50</v>
      </c>
      <c r="C471" s="54" t="str">
        <f aca="false">IF(B471="","",IFERROR(INDEX('Kitting Plan'!$D$5:$D$18,MATCH(B471,'Kitting Plan'!$C$5:$C$18,0)),"Unknown code"))</f>
        <v>R5B LASER ASSEMBLY 4P BOAT 1 - E2A</v>
      </c>
      <c r="D471" s="54" t="str">
        <f aca="false">IF(B471="","",IFERROR(INDEX('Kitting Plan'!$B$5:$B$18,MATCH(B471,'Kitting Plan'!$C$5:$C$18,0)),""))</f>
        <v>LASER ASSY</v>
      </c>
      <c r="E471" s="45"/>
      <c r="F471" s="55" t="n">
        <f aca="false">IF(B471="","",IFERROR(INDEX('Kitting Plan'!$H$5:$H$18,MATCH(B471,'Kitting Plan'!$C$5:$C$18,0)),""))</f>
        <v>1</v>
      </c>
      <c r="G471" s="45" t="n">
        <v>1</v>
      </c>
      <c r="H471" s="56" t="n">
        <f aca="false">IF(B471="","",IF(G471="",F471,G471))</f>
        <v>1</v>
      </c>
      <c r="I471" s="45" t="s">
        <v>25</v>
      </c>
      <c r="J471" s="57" t="n">
        <v>46297</v>
      </c>
      <c r="K471" s="46" t="s">
        <v>106</v>
      </c>
      <c r="L471" s="54" t="str">
        <f aca="false">IF(A471="","",IF(B471="","Missing code",IF(C471="Unknown code","Unknown code",IF(COUNTIF($A$6:$A$1005,A471)&gt;1,"Duplicate WO",""))))</f>
        <v/>
      </c>
    </row>
    <row r="472" customFormat="false" ht="23.85" hidden="false" customHeight="false" outlineLevel="0" collapsed="false">
      <c r="A472" s="53" t="n">
        <v>100861300</v>
      </c>
      <c r="B472" s="46" t="s">
        <v>53</v>
      </c>
      <c r="C472" s="54" t="str">
        <f aca="false">IF(B472="","",IFERROR(INDEX('Kitting Plan'!$D$5:$D$18,MATCH(B472,'Kitting Plan'!$C$5:$C$18,0)),"Unknown code"))</f>
        <v>R5B LASER ASSEMBLY 4P BOAT 2/3 - E2A</v>
      </c>
      <c r="D472" s="54" t="str">
        <f aca="false">IF(B472="","",IFERROR(INDEX('Kitting Plan'!$B$5:$B$18,MATCH(B472,'Kitting Plan'!$C$5:$C$18,0)),""))</f>
        <v>LASER ASSY</v>
      </c>
      <c r="E472" s="45"/>
      <c r="F472" s="55" t="n">
        <f aca="false">IF(B472="","",IFERROR(INDEX('Kitting Plan'!$H$5:$H$18,MATCH(B472,'Kitting Plan'!$C$5:$C$18,0)),""))</f>
        <v>2</v>
      </c>
      <c r="G472" s="45" t="n">
        <v>1</v>
      </c>
      <c r="H472" s="56" t="n">
        <f aca="false">IF(B472="","",IF(G472="",F472,G472))</f>
        <v>1</v>
      </c>
      <c r="I472" s="45" t="s">
        <v>29</v>
      </c>
      <c r="J472" s="57" t="n">
        <v>46148</v>
      </c>
      <c r="K472" s="46" t="s">
        <v>114</v>
      </c>
      <c r="L472" s="54" t="str">
        <f aca="false">IF(A472="","",IF(B472="","Missing code",IF(C472="Unknown code","Unknown code",IF(COUNTIF($A$6:$A$1005,A472)&gt;1,"Duplicate WO",""))))</f>
        <v/>
      </c>
    </row>
    <row r="473" customFormat="false" ht="23.85" hidden="false" customHeight="false" outlineLevel="0" collapsed="false">
      <c r="A473" s="53" t="n">
        <v>100861301</v>
      </c>
      <c r="B473" s="46" t="s">
        <v>53</v>
      </c>
      <c r="C473" s="54" t="str">
        <f aca="false">IF(B473="","",IFERROR(INDEX('Kitting Plan'!$D$5:$D$18,MATCH(B473,'Kitting Plan'!$C$5:$C$18,0)),"Unknown code"))</f>
        <v>R5B LASER ASSEMBLY 4P BOAT 2/3 - E2A</v>
      </c>
      <c r="D473" s="54" t="str">
        <f aca="false">IF(B473="","",IFERROR(INDEX('Kitting Plan'!$B$5:$B$18,MATCH(B473,'Kitting Plan'!$C$5:$C$18,0)),""))</f>
        <v>LASER ASSY</v>
      </c>
      <c r="E473" s="45"/>
      <c r="F473" s="55" t="n">
        <f aca="false">IF(B473="","",IFERROR(INDEX('Kitting Plan'!$H$5:$H$18,MATCH(B473,'Kitting Plan'!$C$5:$C$18,0)),""))</f>
        <v>2</v>
      </c>
      <c r="G473" s="45" t="n">
        <v>1</v>
      </c>
      <c r="H473" s="56" t="n">
        <f aca="false">IF(B473="","",IF(G473="",F473,G473))</f>
        <v>1</v>
      </c>
      <c r="I473" s="45" t="s">
        <v>29</v>
      </c>
      <c r="J473" s="57" t="n">
        <v>46148</v>
      </c>
      <c r="K473" s="46" t="s">
        <v>114</v>
      </c>
      <c r="L473" s="54" t="str">
        <f aca="false">IF(A473="","",IF(B473="","Missing code",IF(C473="Unknown code","Unknown code",IF(COUNTIF($A$6:$A$1005,A473)&gt;1,"Duplicate WO",""))))</f>
        <v/>
      </c>
    </row>
    <row r="474" customFormat="false" ht="23.85" hidden="false" customHeight="false" outlineLevel="0" collapsed="false">
      <c r="A474" s="53" t="n">
        <v>100862965</v>
      </c>
      <c r="B474" s="46" t="s">
        <v>53</v>
      </c>
      <c r="C474" s="54" t="str">
        <f aca="false">IF(B474="","",IFERROR(INDEX('Kitting Plan'!$D$5:$D$18,MATCH(B474,'Kitting Plan'!$C$5:$C$18,0)),"Unknown code"))</f>
        <v>R5B LASER ASSEMBLY 4P BOAT 2/3 - E2A</v>
      </c>
      <c r="D474" s="54" t="str">
        <f aca="false">IF(B474="","",IFERROR(INDEX('Kitting Plan'!$B$5:$B$18,MATCH(B474,'Kitting Plan'!$C$5:$C$18,0)),""))</f>
        <v>LASER ASSY</v>
      </c>
      <c r="E474" s="45"/>
      <c r="F474" s="55" t="n">
        <f aca="false">IF(B474="","",IFERROR(INDEX('Kitting Plan'!$H$5:$H$18,MATCH(B474,'Kitting Plan'!$C$5:$C$18,0)),""))</f>
        <v>2</v>
      </c>
      <c r="G474" s="45" t="n">
        <v>1</v>
      </c>
      <c r="H474" s="56" t="n">
        <f aca="false">IF(B474="","",IF(G474="",F474,G474))</f>
        <v>1</v>
      </c>
      <c r="I474" s="45" t="s">
        <v>29</v>
      </c>
      <c r="J474" s="57" t="n">
        <v>46161</v>
      </c>
      <c r="K474" s="46" t="s">
        <v>114</v>
      </c>
      <c r="L474" s="54" t="str">
        <f aca="false">IF(A474="","",IF(B474="","Missing code",IF(C474="Unknown code","Unknown code",IF(COUNTIF($A$6:$A$1005,A474)&gt;1,"Duplicate WO",""))))</f>
        <v/>
      </c>
    </row>
    <row r="475" customFormat="false" ht="23.85" hidden="false" customHeight="false" outlineLevel="0" collapsed="false">
      <c r="A475" s="53" t="n">
        <v>100862967</v>
      </c>
      <c r="B475" s="46" t="s">
        <v>53</v>
      </c>
      <c r="C475" s="54" t="str">
        <f aca="false">IF(B475="","",IFERROR(INDEX('Kitting Plan'!$D$5:$D$18,MATCH(B475,'Kitting Plan'!$C$5:$C$18,0)),"Unknown code"))</f>
        <v>R5B LASER ASSEMBLY 4P BOAT 2/3 - E2A</v>
      </c>
      <c r="D475" s="54" t="str">
        <f aca="false">IF(B475="","",IFERROR(INDEX('Kitting Plan'!$B$5:$B$18,MATCH(B475,'Kitting Plan'!$C$5:$C$18,0)),""))</f>
        <v>LASER ASSY</v>
      </c>
      <c r="E475" s="45"/>
      <c r="F475" s="55" t="n">
        <f aca="false">IF(B475="","",IFERROR(INDEX('Kitting Plan'!$H$5:$H$18,MATCH(B475,'Kitting Plan'!$C$5:$C$18,0)),""))</f>
        <v>2</v>
      </c>
      <c r="G475" s="45" t="n">
        <v>1</v>
      </c>
      <c r="H475" s="56" t="n">
        <f aca="false">IF(B475="","",IF(G475="",F475,G475))</f>
        <v>1</v>
      </c>
      <c r="I475" s="45" t="s">
        <v>29</v>
      </c>
      <c r="J475" s="57" t="n">
        <v>46161</v>
      </c>
      <c r="K475" s="46" t="s">
        <v>114</v>
      </c>
      <c r="L475" s="54" t="str">
        <f aca="false">IF(A475="","",IF(B475="","Missing code",IF(C475="Unknown code","Unknown code",IF(COUNTIF($A$6:$A$1005,A475)&gt;1,"Duplicate WO",""))))</f>
        <v/>
      </c>
    </row>
    <row r="476" customFormat="false" ht="23.85" hidden="false" customHeight="false" outlineLevel="0" collapsed="false">
      <c r="A476" s="53" t="n">
        <v>100864269</v>
      </c>
      <c r="B476" s="46" t="s">
        <v>53</v>
      </c>
      <c r="C476" s="54" t="str">
        <f aca="false">IF(B476="","",IFERROR(INDEX('Kitting Plan'!$D$5:$D$18,MATCH(B476,'Kitting Plan'!$C$5:$C$18,0)),"Unknown code"))</f>
        <v>R5B LASER ASSEMBLY 4P BOAT 2/3 - E2A</v>
      </c>
      <c r="D476" s="54" t="str">
        <f aca="false">IF(B476="","",IFERROR(INDEX('Kitting Plan'!$B$5:$B$18,MATCH(B476,'Kitting Plan'!$C$5:$C$18,0)),""))</f>
        <v>LASER ASSY</v>
      </c>
      <c r="E476" s="45"/>
      <c r="F476" s="55" t="n">
        <f aca="false">IF(B476="","",IFERROR(INDEX('Kitting Plan'!$H$5:$H$18,MATCH(B476,'Kitting Plan'!$C$5:$C$18,0)),""))</f>
        <v>2</v>
      </c>
      <c r="G476" s="45" t="n">
        <v>1</v>
      </c>
      <c r="H476" s="56" t="n">
        <f aca="false">IF(B476="","",IF(G476="",F476,G476))</f>
        <v>1</v>
      </c>
      <c r="I476" s="45" t="s">
        <v>29</v>
      </c>
      <c r="J476" s="57" t="n">
        <v>46171</v>
      </c>
      <c r="K476" s="46" t="s">
        <v>111</v>
      </c>
      <c r="L476" s="54" t="str">
        <f aca="false">IF(A476="","",IF(B476="","Missing code",IF(C476="Unknown code","Unknown code",IF(COUNTIF($A$6:$A$1005,A476)&gt;1,"Duplicate WO",""))))</f>
        <v/>
      </c>
    </row>
    <row r="477" customFormat="false" ht="23.85" hidden="false" customHeight="false" outlineLevel="0" collapsed="false">
      <c r="A477" s="53" t="n">
        <v>100864270</v>
      </c>
      <c r="B477" s="46" t="s">
        <v>53</v>
      </c>
      <c r="C477" s="54" t="str">
        <f aca="false">IF(B477="","",IFERROR(INDEX('Kitting Plan'!$D$5:$D$18,MATCH(B477,'Kitting Plan'!$C$5:$C$18,0)),"Unknown code"))</f>
        <v>R5B LASER ASSEMBLY 4P BOAT 2/3 - E2A</v>
      </c>
      <c r="D477" s="54" t="str">
        <f aca="false">IF(B477="","",IFERROR(INDEX('Kitting Plan'!$B$5:$B$18,MATCH(B477,'Kitting Plan'!$C$5:$C$18,0)),""))</f>
        <v>LASER ASSY</v>
      </c>
      <c r="E477" s="45"/>
      <c r="F477" s="55" t="n">
        <f aca="false">IF(B477="","",IFERROR(INDEX('Kitting Plan'!$H$5:$H$18,MATCH(B477,'Kitting Plan'!$C$5:$C$18,0)),""))</f>
        <v>2</v>
      </c>
      <c r="G477" s="45" t="n">
        <v>1</v>
      </c>
      <c r="H477" s="56" t="n">
        <f aca="false">IF(B477="","",IF(G477="",F477,G477))</f>
        <v>1</v>
      </c>
      <c r="I477" s="45" t="s">
        <v>29</v>
      </c>
      <c r="J477" s="57" t="n">
        <v>46171</v>
      </c>
      <c r="K477" s="46" t="s">
        <v>102</v>
      </c>
      <c r="L477" s="54" t="str">
        <f aca="false">IF(A477="","",IF(B477="","Missing code",IF(C477="Unknown code","Unknown code",IF(COUNTIF($A$6:$A$1005,A477)&gt;1,"Duplicate WO",""))))</f>
        <v/>
      </c>
    </row>
    <row r="478" customFormat="false" ht="23.85" hidden="false" customHeight="false" outlineLevel="0" collapsed="false">
      <c r="A478" s="53" t="n">
        <v>100871855</v>
      </c>
      <c r="B478" s="46" t="s">
        <v>53</v>
      </c>
      <c r="C478" s="54" t="str">
        <f aca="false">IF(B478="","",IFERROR(INDEX('Kitting Plan'!$D$5:$D$18,MATCH(B478,'Kitting Plan'!$C$5:$C$18,0)),"Unknown code"))</f>
        <v>R5B LASER ASSEMBLY 4P BOAT 2/3 - E2A</v>
      </c>
      <c r="D478" s="54" t="str">
        <f aca="false">IF(B478="","",IFERROR(INDEX('Kitting Plan'!$B$5:$B$18,MATCH(B478,'Kitting Plan'!$C$5:$C$18,0)),""))</f>
        <v>LASER ASSY</v>
      </c>
      <c r="E478" s="45"/>
      <c r="F478" s="55" t="n">
        <f aca="false">IF(B478="","",IFERROR(INDEX('Kitting Plan'!$H$5:$H$18,MATCH(B478,'Kitting Plan'!$C$5:$C$18,0)),""))</f>
        <v>2</v>
      </c>
      <c r="G478" s="45" t="n">
        <v>1</v>
      </c>
      <c r="H478" s="56" t="n">
        <f aca="false">IF(B478="","",IF(G478="",F478,G478))</f>
        <v>1</v>
      </c>
      <c r="I478" s="45" t="s">
        <v>29</v>
      </c>
      <c r="J478" s="57" t="n">
        <v>46231</v>
      </c>
      <c r="K478" s="46" t="s">
        <v>111</v>
      </c>
      <c r="L478" s="54" t="str">
        <f aca="false">IF(A478="","",IF(B478="","Missing code",IF(C478="Unknown code","Unknown code",IF(COUNTIF($A$6:$A$1005,A478)&gt;1,"Duplicate WO",""))))</f>
        <v/>
      </c>
    </row>
    <row r="479" customFormat="false" ht="23.85" hidden="false" customHeight="false" outlineLevel="0" collapsed="false">
      <c r="A479" s="53" t="n">
        <v>100871856</v>
      </c>
      <c r="B479" s="46" t="s">
        <v>53</v>
      </c>
      <c r="C479" s="54" t="str">
        <f aca="false">IF(B479="","",IFERROR(INDEX('Kitting Plan'!$D$5:$D$18,MATCH(B479,'Kitting Plan'!$C$5:$C$18,0)),"Unknown code"))</f>
        <v>R5B LASER ASSEMBLY 4P BOAT 2/3 - E2A</v>
      </c>
      <c r="D479" s="54" t="str">
        <f aca="false">IF(B479="","",IFERROR(INDEX('Kitting Plan'!$B$5:$B$18,MATCH(B479,'Kitting Plan'!$C$5:$C$18,0)),""))</f>
        <v>LASER ASSY</v>
      </c>
      <c r="E479" s="45"/>
      <c r="F479" s="55" t="n">
        <f aca="false">IF(B479="","",IFERROR(INDEX('Kitting Plan'!$H$5:$H$18,MATCH(B479,'Kitting Plan'!$C$5:$C$18,0)),""))</f>
        <v>2</v>
      </c>
      <c r="G479" s="45" t="n">
        <v>1</v>
      </c>
      <c r="H479" s="56" t="n">
        <f aca="false">IF(B479="","",IF(G479="",F479,G479))</f>
        <v>1</v>
      </c>
      <c r="I479" s="45" t="s">
        <v>29</v>
      </c>
      <c r="J479" s="57" t="n">
        <v>46231</v>
      </c>
      <c r="K479" s="46" t="s">
        <v>111</v>
      </c>
      <c r="L479" s="54" t="str">
        <f aca="false">IF(A479="","",IF(B479="","Missing code",IF(C479="Unknown code","Unknown code",IF(COUNTIF($A$6:$A$1005,A479)&gt;1,"Duplicate WO",""))))</f>
        <v/>
      </c>
    </row>
    <row r="480" customFormat="false" ht="23.85" hidden="false" customHeight="false" outlineLevel="0" collapsed="false">
      <c r="A480" s="53" t="n">
        <v>100873357</v>
      </c>
      <c r="B480" s="46" t="s">
        <v>53</v>
      </c>
      <c r="C480" s="54" t="str">
        <f aca="false">IF(B480="","",IFERROR(INDEX('Kitting Plan'!$D$5:$D$18,MATCH(B480,'Kitting Plan'!$C$5:$C$18,0)),"Unknown code"))</f>
        <v>R5B LASER ASSEMBLY 4P BOAT 2/3 - E2A</v>
      </c>
      <c r="D480" s="54" t="str">
        <f aca="false">IF(B480="","",IFERROR(INDEX('Kitting Plan'!$B$5:$B$18,MATCH(B480,'Kitting Plan'!$C$5:$C$18,0)),""))</f>
        <v>LASER ASSY</v>
      </c>
      <c r="E480" s="45"/>
      <c r="F480" s="55" t="n">
        <f aca="false">IF(B480="","",IFERROR(INDEX('Kitting Plan'!$H$5:$H$18,MATCH(B480,'Kitting Plan'!$C$5:$C$18,0)),""))</f>
        <v>2</v>
      </c>
      <c r="G480" s="45" t="n">
        <v>1</v>
      </c>
      <c r="H480" s="56" t="n">
        <f aca="false">IF(B480="","",IF(G480="",F480,G480))</f>
        <v>1</v>
      </c>
      <c r="I480" s="45" t="s">
        <v>29</v>
      </c>
      <c r="J480" s="57" t="n">
        <v>46243</v>
      </c>
      <c r="K480" s="46" t="s">
        <v>102</v>
      </c>
      <c r="L480" s="54" t="str">
        <f aca="false">IF(A480="","",IF(B480="","Missing code",IF(C480="Unknown code","Unknown code",IF(COUNTIF($A$6:$A$1005,A480)&gt;1,"Duplicate WO",""))))</f>
        <v/>
      </c>
    </row>
    <row r="481" customFormat="false" ht="23.85" hidden="false" customHeight="false" outlineLevel="0" collapsed="false">
      <c r="A481" s="53" t="n">
        <v>100873358</v>
      </c>
      <c r="B481" s="46" t="s">
        <v>53</v>
      </c>
      <c r="C481" s="54" t="str">
        <f aca="false">IF(B481="","",IFERROR(INDEX('Kitting Plan'!$D$5:$D$18,MATCH(B481,'Kitting Plan'!$C$5:$C$18,0)),"Unknown code"))</f>
        <v>R5B LASER ASSEMBLY 4P BOAT 2/3 - E2A</v>
      </c>
      <c r="D481" s="54" t="str">
        <f aca="false">IF(B481="","",IFERROR(INDEX('Kitting Plan'!$B$5:$B$18,MATCH(B481,'Kitting Plan'!$C$5:$C$18,0)),""))</f>
        <v>LASER ASSY</v>
      </c>
      <c r="E481" s="45"/>
      <c r="F481" s="55" t="n">
        <f aca="false">IF(B481="","",IFERROR(INDEX('Kitting Plan'!$H$5:$H$18,MATCH(B481,'Kitting Plan'!$C$5:$C$18,0)),""))</f>
        <v>2</v>
      </c>
      <c r="G481" s="45" t="n">
        <v>1</v>
      </c>
      <c r="H481" s="56" t="n">
        <f aca="false">IF(B481="","",IF(G481="",F481,G481))</f>
        <v>1</v>
      </c>
      <c r="I481" s="45" t="s">
        <v>29</v>
      </c>
      <c r="J481" s="57" t="n">
        <v>46243</v>
      </c>
      <c r="K481" s="46" t="s">
        <v>111</v>
      </c>
      <c r="L481" s="54" t="str">
        <f aca="false">IF(A481="","",IF(B481="","Missing code",IF(C481="Unknown code","Unknown code",IF(COUNTIF($A$6:$A$1005,A481)&gt;1,"Duplicate WO",""))))</f>
        <v/>
      </c>
    </row>
    <row r="482" customFormat="false" ht="23.85" hidden="false" customHeight="false" outlineLevel="0" collapsed="false">
      <c r="A482" s="53" t="n">
        <v>100874391</v>
      </c>
      <c r="B482" s="46" t="s">
        <v>53</v>
      </c>
      <c r="C482" s="54" t="str">
        <f aca="false">IF(B482="","",IFERROR(INDEX('Kitting Plan'!$D$5:$D$18,MATCH(B482,'Kitting Plan'!$C$5:$C$18,0)),"Unknown code"))</f>
        <v>R5B LASER ASSEMBLY 4P BOAT 2/3 - E2A</v>
      </c>
      <c r="D482" s="54" t="str">
        <f aca="false">IF(B482="","",IFERROR(INDEX('Kitting Plan'!$B$5:$B$18,MATCH(B482,'Kitting Plan'!$C$5:$C$18,0)),""))</f>
        <v>LASER ASSY</v>
      </c>
      <c r="E482" s="45"/>
      <c r="F482" s="55" t="n">
        <f aca="false">IF(B482="","",IFERROR(INDEX('Kitting Plan'!$H$5:$H$18,MATCH(B482,'Kitting Plan'!$C$5:$C$18,0)),""))</f>
        <v>2</v>
      </c>
      <c r="G482" s="45" t="n">
        <v>1</v>
      </c>
      <c r="H482" s="56" t="n">
        <f aca="false">IF(B482="","",IF(G482="",F482,G482))</f>
        <v>1</v>
      </c>
      <c r="I482" s="45" t="s">
        <v>29</v>
      </c>
      <c r="J482" s="57" t="n">
        <v>46251</v>
      </c>
      <c r="K482" s="46" t="s">
        <v>111</v>
      </c>
      <c r="L482" s="54" t="str">
        <f aca="false">IF(A482="","",IF(B482="","Missing code",IF(C482="Unknown code","Unknown code",IF(COUNTIF($A$6:$A$1005,A482)&gt;1,"Duplicate WO",""))))</f>
        <v/>
      </c>
    </row>
    <row r="483" customFormat="false" ht="23.85" hidden="false" customHeight="false" outlineLevel="0" collapsed="false">
      <c r="A483" s="53" t="n">
        <v>100874392</v>
      </c>
      <c r="B483" s="46" t="s">
        <v>53</v>
      </c>
      <c r="C483" s="54" t="str">
        <f aca="false">IF(B483="","",IFERROR(INDEX('Kitting Plan'!$D$5:$D$18,MATCH(B483,'Kitting Plan'!$C$5:$C$18,0)),"Unknown code"))</f>
        <v>R5B LASER ASSEMBLY 4P BOAT 2/3 - E2A</v>
      </c>
      <c r="D483" s="54" t="str">
        <f aca="false">IF(B483="","",IFERROR(INDEX('Kitting Plan'!$B$5:$B$18,MATCH(B483,'Kitting Plan'!$C$5:$C$18,0)),""))</f>
        <v>LASER ASSY</v>
      </c>
      <c r="E483" s="45"/>
      <c r="F483" s="55" t="n">
        <f aca="false">IF(B483="","",IFERROR(INDEX('Kitting Plan'!$H$5:$H$18,MATCH(B483,'Kitting Plan'!$C$5:$C$18,0)),""))</f>
        <v>2</v>
      </c>
      <c r="G483" s="45" t="n">
        <v>1</v>
      </c>
      <c r="H483" s="56" t="n">
        <f aca="false">IF(B483="","",IF(G483="",F483,G483))</f>
        <v>1</v>
      </c>
      <c r="I483" s="45" t="s">
        <v>29</v>
      </c>
      <c r="J483" s="57" t="n">
        <v>46251</v>
      </c>
      <c r="K483" s="46" t="s">
        <v>112</v>
      </c>
      <c r="L483" s="54" t="str">
        <f aca="false">IF(A483="","",IF(B483="","Missing code",IF(C483="Unknown code","Unknown code",IF(COUNTIF($A$6:$A$1005,A483)&gt;1,"Duplicate WO",""))))</f>
        <v/>
      </c>
    </row>
    <row r="484" customFormat="false" ht="23.85" hidden="false" customHeight="false" outlineLevel="0" collapsed="false">
      <c r="A484" s="53" t="n">
        <v>100875890</v>
      </c>
      <c r="B484" s="46" t="s">
        <v>53</v>
      </c>
      <c r="C484" s="54" t="str">
        <f aca="false">IF(B484="","",IFERROR(INDEX('Kitting Plan'!$D$5:$D$18,MATCH(B484,'Kitting Plan'!$C$5:$C$18,0)),"Unknown code"))</f>
        <v>R5B LASER ASSEMBLY 4P BOAT 2/3 - E2A</v>
      </c>
      <c r="D484" s="54" t="str">
        <f aca="false">IF(B484="","",IFERROR(INDEX('Kitting Plan'!$B$5:$B$18,MATCH(B484,'Kitting Plan'!$C$5:$C$18,0)),""))</f>
        <v>LASER ASSY</v>
      </c>
      <c r="E484" s="45"/>
      <c r="F484" s="55" t="n">
        <f aca="false">IF(B484="","",IFERROR(INDEX('Kitting Plan'!$H$5:$H$18,MATCH(B484,'Kitting Plan'!$C$5:$C$18,0)),""))</f>
        <v>2</v>
      </c>
      <c r="G484" s="45" t="n">
        <v>1</v>
      </c>
      <c r="H484" s="56" t="n">
        <f aca="false">IF(B484="","",IF(G484="",F484,G484))</f>
        <v>1</v>
      </c>
      <c r="I484" s="45" t="s">
        <v>29</v>
      </c>
      <c r="J484" s="57" t="n">
        <v>46266</v>
      </c>
      <c r="K484" s="46" t="s">
        <v>112</v>
      </c>
      <c r="L484" s="54" t="str">
        <f aca="false">IF(A484="","",IF(B484="","Missing code",IF(C484="Unknown code","Unknown code",IF(COUNTIF($A$6:$A$1005,A484)&gt;1,"Duplicate WO",""))))</f>
        <v/>
      </c>
    </row>
    <row r="485" customFormat="false" ht="23.85" hidden="false" customHeight="false" outlineLevel="0" collapsed="false">
      <c r="A485" s="53" t="n">
        <v>100875891</v>
      </c>
      <c r="B485" s="46" t="s">
        <v>53</v>
      </c>
      <c r="C485" s="54" t="str">
        <f aca="false">IF(B485="","",IFERROR(INDEX('Kitting Plan'!$D$5:$D$18,MATCH(B485,'Kitting Plan'!$C$5:$C$18,0)),"Unknown code"))</f>
        <v>R5B LASER ASSEMBLY 4P BOAT 2/3 - E2A</v>
      </c>
      <c r="D485" s="54" t="str">
        <f aca="false">IF(B485="","",IFERROR(INDEX('Kitting Plan'!$B$5:$B$18,MATCH(B485,'Kitting Plan'!$C$5:$C$18,0)),""))</f>
        <v>LASER ASSY</v>
      </c>
      <c r="E485" s="45"/>
      <c r="F485" s="55" t="n">
        <f aca="false">IF(B485="","",IFERROR(INDEX('Kitting Plan'!$H$5:$H$18,MATCH(B485,'Kitting Plan'!$C$5:$C$18,0)),""))</f>
        <v>2</v>
      </c>
      <c r="G485" s="45" t="n">
        <v>1</v>
      </c>
      <c r="H485" s="56" t="n">
        <f aca="false">IF(B485="","",IF(G485="",F485,G485))</f>
        <v>1</v>
      </c>
      <c r="I485" s="45" t="s">
        <v>29</v>
      </c>
      <c r="J485" s="57" t="n">
        <v>46266</v>
      </c>
      <c r="K485" s="46" t="s">
        <v>112</v>
      </c>
      <c r="L485" s="54" t="str">
        <f aca="false">IF(A485="","",IF(B485="","Missing code",IF(C485="Unknown code","Unknown code",IF(COUNTIF($A$6:$A$1005,A485)&gt;1,"Duplicate WO",""))))</f>
        <v/>
      </c>
    </row>
    <row r="486" customFormat="false" ht="23.85" hidden="false" customHeight="false" outlineLevel="0" collapsed="false">
      <c r="A486" s="53" t="n">
        <v>100877048</v>
      </c>
      <c r="B486" s="46" t="s">
        <v>53</v>
      </c>
      <c r="C486" s="54" t="str">
        <f aca="false">IF(B486="","",IFERROR(INDEX('Kitting Plan'!$D$5:$D$18,MATCH(B486,'Kitting Plan'!$C$5:$C$18,0)),"Unknown code"))</f>
        <v>R5B LASER ASSEMBLY 4P BOAT 2/3 - E2A</v>
      </c>
      <c r="D486" s="54" t="str">
        <f aca="false">IF(B486="","",IFERROR(INDEX('Kitting Plan'!$B$5:$B$18,MATCH(B486,'Kitting Plan'!$C$5:$C$18,0)),""))</f>
        <v>LASER ASSY</v>
      </c>
      <c r="E486" s="45"/>
      <c r="F486" s="55" t="n">
        <f aca="false">IF(B486="","",IFERROR(INDEX('Kitting Plan'!$H$5:$H$18,MATCH(B486,'Kitting Plan'!$C$5:$C$18,0)),""))</f>
        <v>2</v>
      </c>
      <c r="G486" s="45" t="n">
        <v>1</v>
      </c>
      <c r="H486" s="56" t="n">
        <f aca="false">IF(B486="","",IF(G486="",F486,G486))</f>
        <v>1</v>
      </c>
      <c r="I486" s="45" t="s">
        <v>29</v>
      </c>
      <c r="J486" s="57" t="n">
        <v>46276</v>
      </c>
      <c r="K486" s="46" t="s">
        <v>112</v>
      </c>
      <c r="L486" s="54" t="str">
        <f aca="false">IF(A486="","",IF(B486="","Missing code",IF(C486="Unknown code","Unknown code",IF(COUNTIF($A$6:$A$1005,A486)&gt;1,"Duplicate WO",""))))</f>
        <v/>
      </c>
    </row>
    <row r="487" customFormat="false" ht="23.85" hidden="false" customHeight="false" outlineLevel="0" collapsed="false">
      <c r="A487" s="53" t="n">
        <v>100877049</v>
      </c>
      <c r="B487" s="46" t="s">
        <v>53</v>
      </c>
      <c r="C487" s="54" t="str">
        <f aca="false">IF(B487="","",IFERROR(INDEX('Kitting Plan'!$D$5:$D$18,MATCH(B487,'Kitting Plan'!$C$5:$C$18,0)),"Unknown code"))</f>
        <v>R5B LASER ASSEMBLY 4P BOAT 2/3 - E2A</v>
      </c>
      <c r="D487" s="54" t="str">
        <f aca="false">IF(B487="","",IFERROR(INDEX('Kitting Plan'!$B$5:$B$18,MATCH(B487,'Kitting Plan'!$C$5:$C$18,0)),""))</f>
        <v>LASER ASSY</v>
      </c>
      <c r="E487" s="45"/>
      <c r="F487" s="55" t="n">
        <f aca="false">IF(B487="","",IFERROR(INDEX('Kitting Plan'!$H$5:$H$18,MATCH(B487,'Kitting Plan'!$C$5:$C$18,0)),""))</f>
        <v>2</v>
      </c>
      <c r="G487" s="45" t="n">
        <v>1</v>
      </c>
      <c r="H487" s="56" t="n">
        <f aca="false">IF(B487="","",IF(G487="",F487,G487))</f>
        <v>1</v>
      </c>
      <c r="I487" s="45" t="s">
        <v>29</v>
      </c>
      <c r="J487" s="57" t="n">
        <v>46276</v>
      </c>
      <c r="K487" s="46" t="s">
        <v>112</v>
      </c>
      <c r="L487" s="54" t="str">
        <f aca="false">IF(A487="","",IF(B487="","Missing code",IF(C487="Unknown code","Unknown code",IF(COUNTIF($A$6:$A$1005,A487)&gt;1,"Duplicate WO",""))))</f>
        <v/>
      </c>
    </row>
    <row r="488" customFormat="false" ht="23.85" hidden="false" customHeight="false" outlineLevel="0" collapsed="false">
      <c r="A488" s="53" t="n">
        <v>100878377</v>
      </c>
      <c r="B488" s="46" t="s">
        <v>53</v>
      </c>
      <c r="C488" s="54" t="str">
        <f aca="false">IF(B488="","",IFERROR(INDEX('Kitting Plan'!$D$5:$D$18,MATCH(B488,'Kitting Plan'!$C$5:$C$18,0)),"Unknown code"))</f>
        <v>R5B LASER ASSEMBLY 4P BOAT 2/3 - E2A</v>
      </c>
      <c r="D488" s="54" t="str">
        <f aca="false">IF(B488="","",IFERROR(INDEX('Kitting Plan'!$B$5:$B$18,MATCH(B488,'Kitting Plan'!$C$5:$C$18,0)),""))</f>
        <v>LASER ASSY</v>
      </c>
      <c r="E488" s="45"/>
      <c r="F488" s="55" t="n">
        <f aca="false">IF(B488="","",IFERROR(INDEX('Kitting Plan'!$H$5:$H$18,MATCH(B488,'Kitting Plan'!$C$5:$C$18,0)),""))</f>
        <v>2</v>
      </c>
      <c r="G488" s="45" t="n">
        <v>1</v>
      </c>
      <c r="H488" s="56" t="n">
        <f aca="false">IF(B488="","",IF(G488="",F488,G488))</f>
        <v>1</v>
      </c>
      <c r="I488" s="45" t="s">
        <v>29</v>
      </c>
      <c r="J488" s="57" t="n">
        <v>46286</v>
      </c>
      <c r="K488" s="46" t="s">
        <v>112</v>
      </c>
      <c r="L488" s="54" t="str">
        <f aca="false">IF(A488="","",IF(B488="","Missing code",IF(C488="Unknown code","Unknown code",IF(COUNTIF($A$6:$A$1005,A488)&gt;1,"Duplicate WO",""))))</f>
        <v/>
      </c>
    </row>
    <row r="489" customFormat="false" ht="23.85" hidden="false" customHeight="false" outlineLevel="0" collapsed="false">
      <c r="A489" s="53" t="n">
        <v>100878378</v>
      </c>
      <c r="B489" s="46" t="s">
        <v>53</v>
      </c>
      <c r="C489" s="54" t="str">
        <f aca="false">IF(B489="","",IFERROR(INDEX('Kitting Plan'!$D$5:$D$18,MATCH(B489,'Kitting Plan'!$C$5:$C$18,0)),"Unknown code"))</f>
        <v>R5B LASER ASSEMBLY 4P BOAT 2/3 - E2A</v>
      </c>
      <c r="D489" s="54" t="str">
        <f aca="false">IF(B489="","",IFERROR(INDEX('Kitting Plan'!$B$5:$B$18,MATCH(B489,'Kitting Plan'!$C$5:$C$18,0)),""))</f>
        <v>LASER ASSY</v>
      </c>
      <c r="E489" s="45"/>
      <c r="F489" s="55" t="n">
        <f aca="false">IF(B489="","",IFERROR(INDEX('Kitting Plan'!$H$5:$H$18,MATCH(B489,'Kitting Plan'!$C$5:$C$18,0)),""))</f>
        <v>2</v>
      </c>
      <c r="G489" s="45" t="n">
        <v>1</v>
      </c>
      <c r="H489" s="56" t="n">
        <f aca="false">IF(B489="","",IF(G489="",F489,G489))</f>
        <v>1</v>
      </c>
      <c r="I489" s="45" t="s">
        <v>27</v>
      </c>
      <c r="J489" s="57" t="n">
        <v>46286</v>
      </c>
      <c r="K489" s="46" t="s">
        <v>113</v>
      </c>
      <c r="L489" s="54" t="str">
        <f aca="false">IF(A489="","",IF(B489="","Missing code",IF(C489="Unknown code","Unknown code",IF(COUNTIF($A$6:$A$1005,A489)&gt;1,"Duplicate WO",""))))</f>
        <v/>
      </c>
    </row>
    <row r="490" customFormat="false" ht="15" hidden="false" customHeight="false" outlineLevel="0" collapsed="false">
      <c r="A490" s="53" t="n">
        <v>100879968</v>
      </c>
      <c r="B490" s="46" t="s">
        <v>53</v>
      </c>
      <c r="C490" s="54" t="str">
        <f aca="false">IF(B490="","",IFERROR(INDEX('Kitting Plan'!$D$5:$D$18,MATCH(B490,'Kitting Plan'!$C$5:$C$18,0)),"Unknown code"))</f>
        <v>R5B LASER ASSEMBLY 4P BOAT 2/3 - E2A</v>
      </c>
      <c r="D490" s="54" t="str">
        <f aca="false">IF(B490="","",IFERROR(INDEX('Kitting Plan'!$B$5:$B$18,MATCH(B490,'Kitting Plan'!$C$5:$C$18,0)),""))</f>
        <v>LASER ASSY</v>
      </c>
      <c r="E490" s="45"/>
      <c r="F490" s="55" t="n">
        <f aca="false">IF(B490="","",IFERROR(INDEX('Kitting Plan'!$H$5:$H$18,MATCH(B490,'Kitting Plan'!$C$5:$C$18,0)),""))</f>
        <v>2</v>
      </c>
      <c r="G490" s="45" t="n">
        <v>1</v>
      </c>
      <c r="H490" s="56" t="n">
        <f aca="false">IF(B490="","",IF(G490="",F490,G490))</f>
        <v>1</v>
      </c>
      <c r="I490" s="45" t="s">
        <v>27</v>
      </c>
      <c r="J490" s="57" t="n">
        <v>46296</v>
      </c>
      <c r="K490" s="46" t="s">
        <v>107</v>
      </c>
      <c r="L490" s="54" t="str">
        <f aca="false">IF(A490="","",IF(B490="","Missing code",IF(C490="Unknown code","Unknown code",IF(COUNTIF($A$6:$A$1005,A490)&gt;1,"Duplicate WO",""))))</f>
        <v/>
      </c>
    </row>
    <row r="491" customFormat="false" ht="15" hidden="false" customHeight="false" outlineLevel="0" collapsed="false">
      <c r="A491" s="53" t="n">
        <v>100879969</v>
      </c>
      <c r="B491" s="46" t="s">
        <v>53</v>
      </c>
      <c r="C491" s="54" t="str">
        <f aca="false">IF(B491="","",IFERROR(INDEX('Kitting Plan'!$D$5:$D$18,MATCH(B491,'Kitting Plan'!$C$5:$C$18,0)),"Unknown code"))</f>
        <v>R5B LASER ASSEMBLY 4P BOAT 2/3 - E2A</v>
      </c>
      <c r="D491" s="54" t="str">
        <f aca="false">IF(B491="","",IFERROR(INDEX('Kitting Plan'!$B$5:$B$18,MATCH(B491,'Kitting Plan'!$C$5:$C$18,0)),""))</f>
        <v>LASER ASSY</v>
      </c>
      <c r="E491" s="45"/>
      <c r="F491" s="55" t="n">
        <f aca="false">IF(B491="","",IFERROR(INDEX('Kitting Plan'!$H$5:$H$18,MATCH(B491,'Kitting Plan'!$C$5:$C$18,0)),""))</f>
        <v>2</v>
      </c>
      <c r="G491" s="45" t="n">
        <v>1</v>
      </c>
      <c r="H491" s="56" t="n">
        <f aca="false">IF(B491="","",IF(G491="",F491,G491))</f>
        <v>1</v>
      </c>
      <c r="I491" s="45" t="s">
        <v>27</v>
      </c>
      <c r="J491" s="57" t="n">
        <v>46296</v>
      </c>
      <c r="K491" s="46" t="s">
        <v>107</v>
      </c>
      <c r="L491" s="54" t="str">
        <f aca="false">IF(A491="","",IF(B491="","Missing code",IF(C491="Unknown code","Unknown code",IF(COUNTIF($A$6:$A$1005,A491)&gt;1,"Duplicate WO",""))))</f>
        <v/>
      </c>
    </row>
    <row r="492" customFormat="false" ht="15" hidden="false" customHeight="false" outlineLevel="0" collapsed="false">
      <c r="A492" s="53" t="n">
        <v>100880075</v>
      </c>
      <c r="B492" s="46" t="s">
        <v>53</v>
      </c>
      <c r="C492" s="54" t="str">
        <f aca="false">IF(B492="","",IFERROR(INDEX('Kitting Plan'!$D$5:$D$18,MATCH(B492,'Kitting Plan'!$C$5:$C$18,0)),"Unknown code"))</f>
        <v>R5B LASER ASSEMBLY 4P BOAT 2/3 - E2A</v>
      </c>
      <c r="D492" s="54" t="str">
        <f aca="false">IF(B492="","",IFERROR(INDEX('Kitting Plan'!$B$5:$B$18,MATCH(B492,'Kitting Plan'!$C$5:$C$18,0)),""))</f>
        <v>LASER ASSY</v>
      </c>
      <c r="E492" s="45"/>
      <c r="F492" s="55" t="n">
        <f aca="false">IF(B492="","",IFERROR(INDEX('Kitting Plan'!$H$5:$H$18,MATCH(B492,'Kitting Plan'!$C$5:$C$18,0)),""))</f>
        <v>2</v>
      </c>
      <c r="G492" s="45" t="n">
        <v>1</v>
      </c>
      <c r="H492" s="56" t="n">
        <f aca="false">IF(B492="","",IF(G492="",F492,G492))</f>
        <v>1</v>
      </c>
      <c r="I492" s="45" t="s">
        <v>25</v>
      </c>
      <c r="J492" s="57" t="n">
        <v>46296</v>
      </c>
      <c r="K492" s="46" t="s">
        <v>106</v>
      </c>
      <c r="L492" s="54" t="str">
        <f aca="false">IF(A492="","",IF(B492="","Missing code",IF(C492="Unknown code","Unknown code",IF(COUNTIF($A$6:$A$1005,A492)&gt;1,"Duplicate WO",""))))</f>
        <v/>
      </c>
    </row>
    <row r="493" customFormat="false" ht="15" hidden="false" customHeight="false" outlineLevel="0" collapsed="false">
      <c r="A493" s="53" t="n">
        <v>100880076</v>
      </c>
      <c r="B493" s="46" t="s">
        <v>53</v>
      </c>
      <c r="C493" s="54" t="str">
        <f aca="false">IF(B493="","",IFERROR(INDEX('Kitting Plan'!$D$5:$D$18,MATCH(B493,'Kitting Plan'!$C$5:$C$18,0)),"Unknown code"))</f>
        <v>R5B LASER ASSEMBLY 4P BOAT 2/3 - E2A</v>
      </c>
      <c r="D493" s="54" t="str">
        <f aca="false">IF(B493="","",IFERROR(INDEX('Kitting Plan'!$B$5:$B$18,MATCH(B493,'Kitting Plan'!$C$5:$C$18,0)),""))</f>
        <v>LASER ASSY</v>
      </c>
      <c r="E493" s="45"/>
      <c r="F493" s="55" t="n">
        <f aca="false">IF(B493="","",IFERROR(INDEX('Kitting Plan'!$H$5:$H$18,MATCH(B493,'Kitting Plan'!$C$5:$C$18,0)),""))</f>
        <v>2</v>
      </c>
      <c r="G493" s="45" t="n">
        <v>1</v>
      </c>
      <c r="H493" s="56" t="n">
        <f aca="false">IF(B493="","",IF(G493="",F493,G493))</f>
        <v>1</v>
      </c>
      <c r="I493" s="45" t="s">
        <v>25</v>
      </c>
      <c r="J493" s="57" t="n">
        <v>46296</v>
      </c>
      <c r="K493" s="46" t="s">
        <v>106</v>
      </c>
      <c r="L493" s="54" t="str">
        <f aca="false">IF(A493="","",IF(B493="","Missing code",IF(C493="Unknown code","Unknown code",IF(COUNTIF($A$6:$A$1005,A493)&gt;1,"Duplicate WO",""))))</f>
        <v/>
      </c>
    </row>
    <row r="494" customFormat="false" ht="15" hidden="false" customHeight="false" outlineLevel="0" collapsed="false">
      <c r="A494" s="53" t="n">
        <v>100880185</v>
      </c>
      <c r="B494" s="46" t="s">
        <v>53</v>
      </c>
      <c r="C494" s="54" t="str">
        <f aca="false">IF(B494="","",IFERROR(INDEX('Kitting Plan'!$D$5:$D$18,MATCH(B494,'Kitting Plan'!$C$5:$C$18,0)),"Unknown code"))</f>
        <v>R5B LASER ASSEMBLY 4P BOAT 2/3 - E2A</v>
      </c>
      <c r="D494" s="54" t="str">
        <f aca="false">IF(B494="","",IFERROR(INDEX('Kitting Plan'!$B$5:$B$18,MATCH(B494,'Kitting Plan'!$C$5:$C$18,0)),""))</f>
        <v>LASER ASSY</v>
      </c>
      <c r="E494" s="45"/>
      <c r="F494" s="55" t="n">
        <f aca="false">IF(B494="","",IFERROR(INDEX('Kitting Plan'!$H$5:$H$18,MATCH(B494,'Kitting Plan'!$C$5:$C$18,0)),""))</f>
        <v>2</v>
      </c>
      <c r="G494" s="45" t="n">
        <v>1</v>
      </c>
      <c r="H494" s="56" t="n">
        <f aca="false">IF(B494="","",IF(G494="",F494,G494))</f>
        <v>1</v>
      </c>
      <c r="I494" s="45" t="s">
        <v>25</v>
      </c>
      <c r="J494" s="57" t="n">
        <v>46297</v>
      </c>
      <c r="K494" s="46" t="s">
        <v>106</v>
      </c>
      <c r="L494" s="54" t="str">
        <f aca="false">IF(A494="","",IF(B494="","Missing code",IF(C494="Unknown code","Unknown code",IF(COUNTIF($A$6:$A$1005,A494)&gt;1,"Duplicate WO",""))))</f>
        <v/>
      </c>
    </row>
    <row r="495" customFormat="false" ht="15" hidden="false" customHeight="false" outlineLevel="0" collapsed="false">
      <c r="A495" s="53" t="n">
        <v>100880186</v>
      </c>
      <c r="B495" s="46" t="s">
        <v>53</v>
      </c>
      <c r="C495" s="54" t="str">
        <f aca="false">IF(B495="","",IFERROR(INDEX('Kitting Plan'!$D$5:$D$18,MATCH(B495,'Kitting Plan'!$C$5:$C$18,0)),"Unknown code"))</f>
        <v>R5B LASER ASSEMBLY 4P BOAT 2/3 - E2A</v>
      </c>
      <c r="D495" s="54" t="str">
        <f aca="false">IF(B495="","",IFERROR(INDEX('Kitting Plan'!$B$5:$B$18,MATCH(B495,'Kitting Plan'!$C$5:$C$18,0)),""))</f>
        <v>LASER ASSY</v>
      </c>
      <c r="E495" s="45"/>
      <c r="F495" s="55" t="n">
        <f aca="false">IF(B495="","",IFERROR(INDEX('Kitting Plan'!$H$5:$H$18,MATCH(B495,'Kitting Plan'!$C$5:$C$18,0)),""))</f>
        <v>2</v>
      </c>
      <c r="G495" s="45" t="n">
        <v>1</v>
      </c>
      <c r="H495" s="56" t="n">
        <f aca="false">IF(B495="","",IF(G495="",F495,G495))</f>
        <v>1</v>
      </c>
      <c r="I495" s="45" t="s">
        <v>25</v>
      </c>
      <c r="J495" s="57" t="n">
        <v>46297</v>
      </c>
      <c r="K495" s="46" t="s">
        <v>106</v>
      </c>
      <c r="L495" s="54" t="str">
        <f aca="false">IF(A495="","",IF(B495="","Missing code",IF(C495="Unknown code","Unknown code",IF(COUNTIF($A$6:$A$1005,A495)&gt;1,"Duplicate WO",""))))</f>
        <v/>
      </c>
    </row>
    <row r="496" customFormat="false" ht="15" hidden="false" customHeight="false" outlineLevel="0" collapsed="false">
      <c r="A496" s="53" t="n">
        <v>100880246</v>
      </c>
      <c r="B496" s="46" t="s">
        <v>53</v>
      </c>
      <c r="C496" s="54" t="str">
        <f aca="false">IF(B496="","",IFERROR(INDEX('Kitting Plan'!$D$5:$D$18,MATCH(B496,'Kitting Plan'!$C$5:$C$18,0)),"Unknown code"))</f>
        <v>R5B LASER ASSEMBLY 4P BOAT 2/3 - E2A</v>
      </c>
      <c r="D496" s="54" t="str">
        <f aca="false">IF(B496="","",IFERROR(INDEX('Kitting Plan'!$B$5:$B$18,MATCH(B496,'Kitting Plan'!$C$5:$C$18,0)),""))</f>
        <v>LASER ASSY</v>
      </c>
      <c r="E496" s="45"/>
      <c r="F496" s="55" t="n">
        <f aca="false">IF(B496="","",IFERROR(INDEX('Kitting Plan'!$H$5:$H$18,MATCH(B496,'Kitting Plan'!$C$5:$C$18,0)),""))</f>
        <v>2</v>
      </c>
      <c r="G496" s="45" t="n">
        <v>1</v>
      </c>
      <c r="H496" s="56" t="n">
        <f aca="false">IF(B496="","",IF(G496="",F496,G496))</f>
        <v>1</v>
      </c>
      <c r="I496" s="45" t="s">
        <v>25</v>
      </c>
      <c r="J496" s="57" t="n">
        <v>46297</v>
      </c>
      <c r="K496" s="46" t="s">
        <v>106</v>
      </c>
      <c r="L496" s="54" t="str">
        <f aca="false">IF(A496="","",IF(B496="","Missing code",IF(C496="Unknown code","Unknown code",IF(COUNTIF($A$6:$A$1005,A496)&gt;1,"Duplicate WO",""))))</f>
        <v/>
      </c>
    </row>
    <row r="497" customFormat="false" ht="15" hidden="false" customHeight="false" outlineLevel="0" collapsed="false">
      <c r="A497" s="53" t="n">
        <v>100880247</v>
      </c>
      <c r="B497" s="46" t="s">
        <v>53</v>
      </c>
      <c r="C497" s="54" t="str">
        <f aca="false">IF(B497="","",IFERROR(INDEX('Kitting Plan'!$D$5:$D$18,MATCH(B497,'Kitting Plan'!$C$5:$C$18,0)),"Unknown code"))</f>
        <v>R5B LASER ASSEMBLY 4P BOAT 2/3 - E2A</v>
      </c>
      <c r="D497" s="54" t="str">
        <f aca="false">IF(B497="","",IFERROR(INDEX('Kitting Plan'!$B$5:$B$18,MATCH(B497,'Kitting Plan'!$C$5:$C$18,0)),""))</f>
        <v>LASER ASSY</v>
      </c>
      <c r="E497" s="45"/>
      <c r="F497" s="55" t="n">
        <f aca="false">IF(B497="","",IFERROR(INDEX('Kitting Plan'!$H$5:$H$18,MATCH(B497,'Kitting Plan'!$C$5:$C$18,0)),""))</f>
        <v>2</v>
      </c>
      <c r="G497" s="45" t="n">
        <v>1</v>
      </c>
      <c r="H497" s="56" t="n">
        <f aca="false">IF(B497="","",IF(G497="",F497,G497))</f>
        <v>1</v>
      </c>
      <c r="I497" s="45" t="s">
        <v>25</v>
      </c>
      <c r="J497" s="57" t="n">
        <v>46297</v>
      </c>
      <c r="K497" s="46" t="s">
        <v>106</v>
      </c>
      <c r="L497" s="54" t="str">
        <f aca="false">IF(A497="","",IF(B497="","Missing code",IF(C497="Unknown code","Unknown code",IF(COUNTIF($A$6:$A$1005,A497)&gt;1,"Duplicate WO",""))))</f>
        <v/>
      </c>
    </row>
    <row r="498" customFormat="false" ht="23.85" hidden="false" customHeight="false" outlineLevel="0" collapsed="false">
      <c r="A498" s="53" t="n">
        <v>100863709</v>
      </c>
      <c r="B498" s="46" t="s">
        <v>65</v>
      </c>
      <c r="C498" s="54" t="str">
        <f aca="false">IF(B498="","",IFERROR(INDEX('Kitting Plan'!$D$5:$D$18,MATCH(B498,'Kitting Plan'!$C$5:$C$18,0)),"Unknown code"))</f>
        <v>R5B ERBIUM ASSEMBLY POSITION 1</v>
      </c>
      <c r="D498" s="54" t="str">
        <f aca="false">IF(B498="","",IFERROR(INDEX('Kitting Plan'!$B$5:$B$18,MATCH(B498,'Kitting Plan'!$C$5:$C$18,0)),""))</f>
        <v>ERBIUM ASSY</v>
      </c>
      <c r="E498" s="45"/>
      <c r="F498" s="55" t="n">
        <f aca="false">IF(B498="","",IFERROR(INDEX('Kitting Plan'!$H$5:$H$18,MATCH(B498,'Kitting Plan'!$C$5:$C$18,0)),""))</f>
        <v>3</v>
      </c>
      <c r="G498" s="45" t="n">
        <v>1</v>
      </c>
      <c r="H498" s="56" t="n">
        <f aca="false">IF(B498="","",IF(G498="",F498,G498))</f>
        <v>1</v>
      </c>
      <c r="I498" s="45" t="s">
        <v>29</v>
      </c>
      <c r="J498" s="57" t="n">
        <v>46165</v>
      </c>
      <c r="K498" s="46" t="s">
        <v>102</v>
      </c>
      <c r="L498" s="54" t="str">
        <f aca="false">IF(A498="","",IF(B498="","Missing code",IF(C498="Unknown code","Unknown code",IF(COUNTIF($A$6:$A$1005,A498)&gt;1,"Duplicate WO",""))))</f>
        <v/>
      </c>
    </row>
    <row r="499" customFormat="false" ht="23.85" hidden="false" customHeight="false" outlineLevel="0" collapsed="false">
      <c r="A499" s="53" t="n">
        <v>100863710</v>
      </c>
      <c r="B499" s="46" t="s">
        <v>65</v>
      </c>
      <c r="C499" s="54" t="str">
        <f aca="false">IF(B499="","",IFERROR(INDEX('Kitting Plan'!$D$5:$D$18,MATCH(B499,'Kitting Plan'!$C$5:$C$18,0)),"Unknown code"))</f>
        <v>R5B ERBIUM ASSEMBLY POSITION 1</v>
      </c>
      <c r="D499" s="54" t="str">
        <f aca="false">IF(B499="","",IFERROR(INDEX('Kitting Plan'!$B$5:$B$18,MATCH(B499,'Kitting Plan'!$C$5:$C$18,0)),""))</f>
        <v>ERBIUM ASSY</v>
      </c>
      <c r="E499" s="45"/>
      <c r="F499" s="55" t="n">
        <f aca="false">IF(B499="","",IFERROR(INDEX('Kitting Plan'!$H$5:$H$18,MATCH(B499,'Kitting Plan'!$C$5:$C$18,0)),""))</f>
        <v>3</v>
      </c>
      <c r="G499" s="45" t="n">
        <v>1</v>
      </c>
      <c r="H499" s="56" t="n">
        <f aca="false">IF(B499="","",IF(G499="",F499,G499))</f>
        <v>1</v>
      </c>
      <c r="I499" s="45" t="s">
        <v>29</v>
      </c>
      <c r="J499" s="57" t="n">
        <v>46165</v>
      </c>
      <c r="K499" s="46" t="s">
        <v>102</v>
      </c>
      <c r="L499" s="54" t="str">
        <f aca="false">IF(A499="","",IF(B499="","Missing code",IF(C499="Unknown code","Unknown code",IF(COUNTIF($A$6:$A$1005,A499)&gt;1,"Duplicate WO",""))))</f>
        <v/>
      </c>
    </row>
    <row r="500" customFormat="false" ht="23.85" hidden="false" customHeight="false" outlineLevel="0" collapsed="false">
      <c r="A500" s="53" t="n">
        <v>100863711</v>
      </c>
      <c r="B500" s="46" t="s">
        <v>65</v>
      </c>
      <c r="C500" s="54" t="str">
        <f aca="false">IF(B500="","",IFERROR(INDEX('Kitting Plan'!$D$5:$D$18,MATCH(B500,'Kitting Plan'!$C$5:$C$18,0)),"Unknown code"))</f>
        <v>R5B ERBIUM ASSEMBLY POSITION 1</v>
      </c>
      <c r="D500" s="54" t="str">
        <f aca="false">IF(B500="","",IFERROR(INDEX('Kitting Plan'!$B$5:$B$18,MATCH(B500,'Kitting Plan'!$C$5:$C$18,0)),""))</f>
        <v>ERBIUM ASSY</v>
      </c>
      <c r="E500" s="45"/>
      <c r="F500" s="55" t="n">
        <f aca="false">IF(B500="","",IFERROR(INDEX('Kitting Plan'!$H$5:$H$18,MATCH(B500,'Kitting Plan'!$C$5:$C$18,0)),""))</f>
        <v>3</v>
      </c>
      <c r="G500" s="45" t="n">
        <v>1</v>
      </c>
      <c r="H500" s="56" t="n">
        <f aca="false">IF(B500="","",IF(G500="",F500,G500))</f>
        <v>1</v>
      </c>
      <c r="I500" s="45" t="s">
        <v>29</v>
      </c>
      <c r="J500" s="57" t="n">
        <v>46165</v>
      </c>
      <c r="K500" s="46" t="s">
        <v>104</v>
      </c>
      <c r="L500" s="54" t="str">
        <f aca="false">IF(A500="","",IF(B500="","Missing code",IF(C500="Unknown code","Unknown code",IF(COUNTIF($A$6:$A$1005,A500)&gt;1,"Duplicate WO",""))))</f>
        <v/>
      </c>
    </row>
    <row r="501" customFormat="false" ht="23.85" hidden="false" customHeight="false" outlineLevel="0" collapsed="false">
      <c r="A501" s="53" t="n">
        <v>100865026</v>
      </c>
      <c r="B501" s="46" t="s">
        <v>65</v>
      </c>
      <c r="C501" s="54" t="str">
        <f aca="false">IF(B501="","",IFERROR(INDEX('Kitting Plan'!$D$5:$D$18,MATCH(B501,'Kitting Plan'!$C$5:$C$18,0)),"Unknown code"))</f>
        <v>R5B ERBIUM ASSEMBLY POSITION 1</v>
      </c>
      <c r="D501" s="54" t="str">
        <f aca="false">IF(B501="","",IFERROR(INDEX('Kitting Plan'!$B$5:$B$18,MATCH(B501,'Kitting Plan'!$C$5:$C$18,0)),""))</f>
        <v>ERBIUM ASSY</v>
      </c>
      <c r="E501" s="45"/>
      <c r="F501" s="55" t="n">
        <f aca="false">IF(B501="","",IFERROR(INDEX('Kitting Plan'!$H$5:$H$18,MATCH(B501,'Kitting Plan'!$C$5:$C$18,0)),""))</f>
        <v>3</v>
      </c>
      <c r="G501" s="45" t="n">
        <v>1</v>
      </c>
      <c r="H501" s="56" t="n">
        <f aca="false">IF(B501="","",IF(G501="",F501,G501))</f>
        <v>1</v>
      </c>
      <c r="I501" s="45" t="s">
        <v>29</v>
      </c>
      <c r="J501" s="57" t="n">
        <v>46176</v>
      </c>
      <c r="K501" s="46" t="s">
        <v>102</v>
      </c>
      <c r="L501" s="54" t="str">
        <f aca="false">IF(A501="","",IF(B501="","Missing code",IF(C501="Unknown code","Unknown code",IF(COUNTIF($A$6:$A$1005,A501)&gt;1,"Duplicate WO",""))))</f>
        <v/>
      </c>
    </row>
    <row r="502" customFormat="false" ht="23.85" hidden="false" customHeight="false" outlineLevel="0" collapsed="false">
      <c r="A502" s="53" t="n">
        <v>100865027</v>
      </c>
      <c r="B502" s="46" t="s">
        <v>65</v>
      </c>
      <c r="C502" s="54" t="str">
        <f aca="false">IF(B502="","",IFERROR(INDEX('Kitting Plan'!$D$5:$D$18,MATCH(B502,'Kitting Plan'!$C$5:$C$18,0)),"Unknown code"))</f>
        <v>R5B ERBIUM ASSEMBLY POSITION 1</v>
      </c>
      <c r="D502" s="54" t="str">
        <f aca="false">IF(B502="","",IFERROR(INDEX('Kitting Plan'!$B$5:$B$18,MATCH(B502,'Kitting Plan'!$C$5:$C$18,0)),""))</f>
        <v>ERBIUM ASSY</v>
      </c>
      <c r="E502" s="45"/>
      <c r="F502" s="55" t="n">
        <f aca="false">IF(B502="","",IFERROR(INDEX('Kitting Plan'!$H$5:$H$18,MATCH(B502,'Kitting Plan'!$C$5:$C$18,0)),""))</f>
        <v>3</v>
      </c>
      <c r="G502" s="45" t="n">
        <v>1</v>
      </c>
      <c r="H502" s="56" t="n">
        <f aca="false">IF(B502="","",IF(G502="",F502,G502))</f>
        <v>1</v>
      </c>
      <c r="I502" s="45" t="s">
        <v>29</v>
      </c>
      <c r="J502" s="57" t="n">
        <v>46176</v>
      </c>
      <c r="K502" s="46" t="s">
        <v>102</v>
      </c>
      <c r="L502" s="54" t="str">
        <f aca="false">IF(A502="","",IF(B502="","Missing code",IF(C502="Unknown code","Unknown code",IF(COUNTIF($A$6:$A$1005,A502)&gt;1,"Duplicate WO",""))))</f>
        <v/>
      </c>
    </row>
    <row r="503" customFormat="false" ht="23.85" hidden="false" customHeight="false" outlineLevel="0" collapsed="false">
      <c r="A503" s="53" t="n">
        <v>100865028</v>
      </c>
      <c r="B503" s="46" t="s">
        <v>65</v>
      </c>
      <c r="C503" s="54" t="str">
        <f aca="false">IF(B503="","",IFERROR(INDEX('Kitting Plan'!$D$5:$D$18,MATCH(B503,'Kitting Plan'!$C$5:$C$18,0)),"Unknown code"))</f>
        <v>R5B ERBIUM ASSEMBLY POSITION 1</v>
      </c>
      <c r="D503" s="54" t="str">
        <f aca="false">IF(B503="","",IFERROR(INDEX('Kitting Plan'!$B$5:$B$18,MATCH(B503,'Kitting Plan'!$C$5:$C$18,0)),""))</f>
        <v>ERBIUM ASSY</v>
      </c>
      <c r="E503" s="45"/>
      <c r="F503" s="55" t="n">
        <f aca="false">IF(B503="","",IFERROR(INDEX('Kitting Plan'!$H$5:$H$18,MATCH(B503,'Kitting Plan'!$C$5:$C$18,0)),""))</f>
        <v>3</v>
      </c>
      <c r="G503" s="45" t="n">
        <v>1</v>
      </c>
      <c r="H503" s="56" t="n">
        <f aca="false">IF(B503="","",IF(G503="",F503,G503))</f>
        <v>1</v>
      </c>
      <c r="I503" s="45" t="s">
        <v>29</v>
      </c>
      <c r="J503" s="57" t="n">
        <v>46176</v>
      </c>
      <c r="K503" s="46" t="s">
        <v>102</v>
      </c>
      <c r="L503" s="54" t="str">
        <f aca="false">IF(A503="","",IF(B503="","Missing code",IF(C503="Unknown code","Unknown code",IF(COUNTIF($A$6:$A$1005,A503)&gt;1,"Duplicate WO",""))))</f>
        <v/>
      </c>
    </row>
    <row r="504" customFormat="false" ht="23.85" hidden="false" customHeight="false" outlineLevel="0" collapsed="false">
      <c r="A504" s="53" t="n">
        <v>100871599</v>
      </c>
      <c r="B504" s="46" t="s">
        <v>65</v>
      </c>
      <c r="C504" s="54" t="str">
        <f aca="false">IF(B504="","",IFERROR(INDEX('Kitting Plan'!$D$5:$D$18,MATCH(B504,'Kitting Plan'!$C$5:$C$18,0)),"Unknown code"))</f>
        <v>R5B ERBIUM ASSEMBLY POSITION 1</v>
      </c>
      <c r="D504" s="54" t="str">
        <f aca="false">IF(B504="","",IFERROR(INDEX('Kitting Plan'!$B$5:$B$18,MATCH(B504,'Kitting Plan'!$C$5:$C$18,0)),""))</f>
        <v>ERBIUM ASSY</v>
      </c>
      <c r="E504" s="45"/>
      <c r="F504" s="55" t="n">
        <f aca="false">IF(B504="","",IFERROR(INDEX('Kitting Plan'!$H$5:$H$18,MATCH(B504,'Kitting Plan'!$C$5:$C$18,0)),""))</f>
        <v>3</v>
      </c>
      <c r="G504" s="45" t="n">
        <v>1</v>
      </c>
      <c r="H504" s="56" t="n">
        <f aca="false">IF(B504="","",IF(G504="",F504,G504))</f>
        <v>1</v>
      </c>
      <c r="I504" s="45" t="s">
        <v>29</v>
      </c>
      <c r="J504" s="57" t="n">
        <v>46226</v>
      </c>
      <c r="K504" s="46" t="s">
        <v>102</v>
      </c>
      <c r="L504" s="54" t="str">
        <f aca="false">IF(A504="","",IF(B504="","Missing code",IF(C504="Unknown code","Unknown code",IF(COUNTIF($A$6:$A$1005,A504)&gt;1,"Duplicate WO",""))))</f>
        <v/>
      </c>
    </row>
    <row r="505" customFormat="false" ht="23.85" hidden="false" customHeight="false" outlineLevel="0" collapsed="false">
      <c r="A505" s="53" t="n">
        <v>100871600</v>
      </c>
      <c r="B505" s="46" t="s">
        <v>65</v>
      </c>
      <c r="C505" s="54" t="str">
        <f aca="false">IF(B505="","",IFERROR(INDEX('Kitting Plan'!$D$5:$D$18,MATCH(B505,'Kitting Plan'!$C$5:$C$18,0)),"Unknown code"))</f>
        <v>R5B ERBIUM ASSEMBLY POSITION 1</v>
      </c>
      <c r="D505" s="54" t="str">
        <f aca="false">IF(B505="","",IFERROR(INDEX('Kitting Plan'!$B$5:$B$18,MATCH(B505,'Kitting Plan'!$C$5:$C$18,0)),""))</f>
        <v>ERBIUM ASSY</v>
      </c>
      <c r="E505" s="45"/>
      <c r="F505" s="55" t="n">
        <f aca="false">IF(B505="","",IFERROR(INDEX('Kitting Plan'!$H$5:$H$18,MATCH(B505,'Kitting Plan'!$C$5:$C$18,0)),""))</f>
        <v>3</v>
      </c>
      <c r="G505" s="45" t="n">
        <v>1</v>
      </c>
      <c r="H505" s="56" t="n">
        <f aca="false">IF(B505="","",IF(G505="",F505,G505))</f>
        <v>1</v>
      </c>
      <c r="I505" s="45" t="s">
        <v>29</v>
      </c>
      <c r="J505" s="57" t="n">
        <v>46226</v>
      </c>
      <c r="K505" s="46" t="s">
        <v>102</v>
      </c>
      <c r="L505" s="54" t="str">
        <f aca="false">IF(A505="","",IF(B505="","Missing code",IF(C505="Unknown code","Unknown code",IF(COUNTIF($A$6:$A$1005,A505)&gt;1,"Duplicate WO",""))))</f>
        <v/>
      </c>
    </row>
    <row r="506" customFormat="false" ht="23.85" hidden="false" customHeight="false" outlineLevel="0" collapsed="false">
      <c r="A506" s="53" t="n">
        <v>100871601</v>
      </c>
      <c r="B506" s="46" t="s">
        <v>65</v>
      </c>
      <c r="C506" s="54" t="str">
        <f aca="false">IF(B506="","",IFERROR(INDEX('Kitting Plan'!$D$5:$D$18,MATCH(B506,'Kitting Plan'!$C$5:$C$18,0)),"Unknown code"))</f>
        <v>R5B ERBIUM ASSEMBLY POSITION 1</v>
      </c>
      <c r="D506" s="54" t="str">
        <f aca="false">IF(B506="","",IFERROR(INDEX('Kitting Plan'!$B$5:$B$18,MATCH(B506,'Kitting Plan'!$C$5:$C$18,0)),""))</f>
        <v>ERBIUM ASSY</v>
      </c>
      <c r="E506" s="45"/>
      <c r="F506" s="55" t="n">
        <f aca="false">IF(B506="","",IFERROR(INDEX('Kitting Plan'!$H$5:$H$18,MATCH(B506,'Kitting Plan'!$C$5:$C$18,0)),""))</f>
        <v>3</v>
      </c>
      <c r="G506" s="45" t="n">
        <v>1</v>
      </c>
      <c r="H506" s="56" t="n">
        <f aca="false">IF(B506="","",IF(G506="",F506,G506))</f>
        <v>1</v>
      </c>
      <c r="I506" s="45" t="s">
        <v>29</v>
      </c>
      <c r="J506" s="57" t="n">
        <v>46226</v>
      </c>
      <c r="K506" s="46" t="s">
        <v>102</v>
      </c>
      <c r="L506" s="54" t="str">
        <f aca="false">IF(A506="","",IF(B506="","Missing code",IF(C506="Unknown code","Unknown code",IF(COUNTIF($A$6:$A$1005,A506)&gt;1,"Duplicate WO",""))))</f>
        <v/>
      </c>
    </row>
    <row r="507" customFormat="false" ht="23.85" hidden="false" customHeight="false" outlineLevel="0" collapsed="false">
      <c r="A507" s="53" t="n">
        <v>100873300</v>
      </c>
      <c r="B507" s="46" t="s">
        <v>65</v>
      </c>
      <c r="C507" s="54" t="str">
        <f aca="false">IF(B507="","",IFERROR(INDEX('Kitting Plan'!$D$5:$D$18,MATCH(B507,'Kitting Plan'!$C$5:$C$18,0)),"Unknown code"))</f>
        <v>R5B ERBIUM ASSEMBLY POSITION 1</v>
      </c>
      <c r="D507" s="54" t="str">
        <f aca="false">IF(B507="","",IFERROR(INDEX('Kitting Plan'!$B$5:$B$18,MATCH(B507,'Kitting Plan'!$C$5:$C$18,0)),""))</f>
        <v>ERBIUM ASSY</v>
      </c>
      <c r="E507" s="45"/>
      <c r="F507" s="55" t="n">
        <f aca="false">IF(B507="","",IFERROR(INDEX('Kitting Plan'!$H$5:$H$18,MATCH(B507,'Kitting Plan'!$C$5:$C$18,0)),""))</f>
        <v>3</v>
      </c>
      <c r="G507" s="45" t="n">
        <v>1</v>
      </c>
      <c r="H507" s="56" t="n">
        <f aca="false">IF(B507="","",IF(G507="",F507,G507))</f>
        <v>1</v>
      </c>
      <c r="I507" s="45" t="s">
        <v>29</v>
      </c>
      <c r="J507" s="57" t="n">
        <v>46241</v>
      </c>
      <c r="K507" s="46" t="s">
        <v>102</v>
      </c>
      <c r="L507" s="54" t="str">
        <f aca="false">IF(A507="","",IF(B507="","Missing code",IF(C507="Unknown code","Unknown code",IF(COUNTIF($A$6:$A$1005,A507)&gt;1,"Duplicate WO",""))))</f>
        <v/>
      </c>
    </row>
    <row r="508" customFormat="false" ht="23.85" hidden="false" customHeight="false" outlineLevel="0" collapsed="false">
      <c r="A508" s="53" t="n">
        <v>100873301</v>
      </c>
      <c r="B508" s="46" t="s">
        <v>65</v>
      </c>
      <c r="C508" s="54" t="str">
        <f aca="false">IF(B508="","",IFERROR(INDEX('Kitting Plan'!$D$5:$D$18,MATCH(B508,'Kitting Plan'!$C$5:$C$18,0)),"Unknown code"))</f>
        <v>R5B ERBIUM ASSEMBLY POSITION 1</v>
      </c>
      <c r="D508" s="54" t="str">
        <f aca="false">IF(B508="","",IFERROR(INDEX('Kitting Plan'!$B$5:$B$18,MATCH(B508,'Kitting Plan'!$C$5:$C$18,0)),""))</f>
        <v>ERBIUM ASSY</v>
      </c>
      <c r="E508" s="45"/>
      <c r="F508" s="55" t="n">
        <f aca="false">IF(B508="","",IFERROR(INDEX('Kitting Plan'!$H$5:$H$18,MATCH(B508,'Kitting Plan'!$C$5:$C$18,0)),""))</f>
        <v>3</v>
      </c>
      <c r="G508" s="45" t="n">
        <v>1</v>
      </c>
      <c r="H508" s="56" t="n">
        <f aca="false">IF(B508="","",IF(G508="",F508,G508))</f>
        <v>1</v>
      </c>
      <c r="I508" s="45" t="s">
        <v>29</v>
      </c>
      <c r="J508" s="57" t="n">
        <v>46241</v>
      </c>
      <c r="K508" s="46" t="s">
        <v>104</v>
      </c>
      <c r="L508" s="54" t="str">
        <f aca="false">IF(A508="","",IF(B508="","Missing code",IF(C508="Unknown code","Unknown code",IF(COUNTIF($A$6:$A$1005,A508)&gt;1,"Duplicate WO",""))))</f>
        <v/>
      </c>
    </row>
    <row r="509" customFormat="false" ht="23.85" hidden="false" customHeight="false" outlineLevel="0" collapsed="false">
      <c r="A509" s="53" t="n">
        <v>100873302</v>
      </c>
      <c r="B509" s="46" t="s">
        <v>65</v>
      </c>
      <c r="C509" s="54" t="str">
        <f aca="false">IF(B509="","",IFERROR(INDEX('Kitting Plan'!$D$5:$D$18,MATCH(B509,'Kitting Plan'!$C$5:$C$18,0)),"Unknown code"))</f>
        <v>R5B ERBIUM ASSEMBLY POSITION 1</v>
      </c>
      <c r="D509" s="54" t="str">
        <f aca="false">IF(B509="","",IFERROR(INDEX('Kitting Plan'!$B$5:$B$18,MATCH(B509,'Kitting Plan'!$C$5:$C$18,0)),""))</f>
        <v>ERBIUM ASSY</v>
      </c>
      <c r="E509" s="45"/>
      <c r="F509" s="55" t="n">
        <f aca="false">IF(B509="","",IFERROR(INDEX('Kitting Plan'!$H$5:$H$18,MATCH(B509,'Kitting Plan'!$C$5:$C$18,0)),""))</f>
        <v>3</v>
      </c>
      <c r="G509" s="45" t="n">
        <v>1</v>
      </c>
      <c r="H509" s="56" t="n">
        <f aca="false">IF(B509="","",IF(G509="",F509,G509))</f>
        <v>1</v>
      </c>
      <c r="I509" s="45" t="s">
        <v>29</v>
      </c>
      <c r="J509" s="57" t="n">
        <v>46241</v>
      </c>
      <c r="K509" s="46" t="s">
        <v>102</v>
      </c>
      <c r="L509" s="54" t="str">
        <f aca="false">IF(A509="","",IF(B509="","Missing code",IF(C509="Unknown code","Unknown code",IF(COUNTIF($A$6:$A$1005,A509)&gt;1,"Duplicate WO",""))))</f>
        <v/>
      </c>
    </row>
    <row r="510" customFormat="false" ht="23.85" hidden="false" customHeight="false" outlineLevel="0" collapsed="false">
      <c r="A510" s="53" t="n">
        <v>100874170</v>
      </c>
      <c r="B510" s="46" t="s">
        <v>65</v>
      </c>
      <c r="C510" s="54" t="str">
        <f aca="false">IF(B510="","",IFERROR(INDEX('Kitting Plan'!$D$5:$D$18,MATCH(B510,'Kitting Plan'!$C$5:$C$18,0)),"Unknown code"))</f>
        <v>R5B ERBIUM ASSEMBLY POSITION 1</v>
      </c>
      <c r="D510" s="54" t="str">
        <f aca="false">IF(B510="","",IFERROR(INDEX('Kitting Plan'!$B$5:$B$18,MATCH(B510,'Kitting Plan'!$C$5:$C$18,0)),""))</f>
        <v>ERBIUM ASSY</v>
      </c>
      <c r="E510" s="45"/>
      <c r="F510" s="55" t="n">
        <f aca="false">IF(B510="","",IFERROR(INDEX('Kitting Plan'!$H$5:$H$18,MATCH(B510,'Kitting Plan'!$C$5:$C$18,0)),""))</f>
        <v>3</v>
      </c>
      <c r="G510" s="45" t="n">
        <v>1</v>
      </c>
      <c r="H510" s="56" t="n">
        <f aca="false">IF(B510="","",IF(G510="",F510,G510))</f>
        <v>1</v>
      </c>
      <c r="I510" s="45" t="s">
        <v>29</v>
      </c>
      <c r="J510" s="57" t="n">
        <v>46246</v>
      </c>
      <c r="K510" s="46" t="s">
        <v>102</v>
      </c>
      <c r="L510" s="54" t="str">
        <f aca="false">IF(A510="","",IF(B510="","Missing code",IF(C510="Unknown code","Unknown code",IF(COUNTIF($A$6:$A$1005,A510)&gt;1,"Duplicate WO",""))))</f>
        <v/>
      </c>
    </row>
    <row r="511" customFormat="false" ht="23.85" hidden="false" customHeight="false" outlineLevel="0" collapsed="false">
      <c r="A511" s="53" t="n">
        <v>100874171</v>
      </c>
      <c r="B511" s="46" t="s">
        <v>65</v>
      </c>
      <c r="C511" s="54" t="str">
        <f aca="false">IF(B511="","",IFERROR(INDEX('Kitting Plan'!$D$5:$D$18,MATCH(B511,'Kitting Plan'!$C$5:$C$18,0)),"Unknown code"))</f>
        <v>R5B ERBIUM ASSEMBLY POSITION 1</v>
      </c>
      <c r="D511" s="54" t="str">
        <f aca="false">IF(B511="","",IFERROR(INDEX('Kitting Plan'!$B$5:$B$18,MATCH(B511,'Kitting Plan'!$C$5:$C$18,0)),""))</f>
        <v>ERBIUM ASSY</v>
      </c>
      <c r="E511" s="45"/>
      <c r="F511" s="55" t="n">
        <f aca="false">IF(B511="","",IFERROR(INDEX('Kitting Plan'!$H$5:$H$18,MATCH(B511,'Kitting Plan'!$C$5:$C$18,0)),""))</f>
        <v>3</v>
      </c>
      <c r="G511" s="45" t="n">
        <v>1</v>
      </c>
      <c r="H511" s="56" t="n">
        <f aca="false">IF(B511="","",IF(G511="",F511,G511))</f>
        <v>1</v>
      </c>
      <c r="I511" s="45" t="s">
        <v>29</v>
      </c>
      <c r="J511" s="57" t="n">
        <v>46246</v>
      </c>
      <c r="K511" s="46" t="s">
        <v>102</v>
      </c>
      <c r="L511" s="54" t="str">
        <f aca="false">IF(A511="","",IF(B511="","Missing code",IF(C511="Unknown code","Unknown code",IF(COUNTIF($A$6:$A$1005,A511)&gt;1,"Duplicate WO",""))))</f>
        <v/>
      </c>
    </row>
    <row r="512" customFormat="false" ht="23.85" hidden="false" customHeight="false" outlineLevel="0" collapsed="false">
      <c r="A512" s="53" t="n">
        <v>100874172</v>
      </c>
      <c r="B512" s="46" t="s">
        <v>65</v>
      </c>
      <c r="C512" s="54" t="str">
        <f aca="false">IF(B512="","",IFERROR(INDEX('Kitting Plan'!$D$5:$D$18,MATCH(B512,'Kitting Plan'!$C$5:$C$18,0)),"Unknown code"))</f>
        <v>R5B ERBIUM ASSEMBLY POSITION 1</v>
      </c>
      <c r="D512" s="54" t="str">
        <f aca="false">IF(B512="","",IFERROR(INDEX('Kitting Plan'!$B$5:$B$18,MATCH(B512,'Kitting Plan'!$C$5:$C$18,0)),""))</f>
        <v>ERBIUM ASSY</v>
      </c>
      <c r="E512" s="45"/>
      <c r="F512" s="55" t="n">
        <f aca="false">IF(B512="","",IFERROR(INDEX('Kitting Plan'!$H$5:$H$18,MATCH(B512,'Kitting Plan'!$C$5:$C$18,0)),""))</f>
        <v>3</v>
      </c>
      <c r="G512" s="45" t="n">
        <v>1</v>
      </c>
      <c r="H512" s="56" t="n">
        <f aca="false">IF(B512="","",IF(G512="",F512,G512))</f>
        <v>1</v>
      </c>
      <c r="I512" s="45" t="s">
        <v>29</v>
      </c>
      <c r="J512" s="57" t="n">
        <v>46246</v>
      </c>
      <c r="K512" s="46" t="s">
        <v>102</v>
      </c>
      <c r="L512" s="54" t="str">
        <f aca="false">IF(A512="","",IF(B512="","Missing code",IF(C512="Unknown code","Unknown code",IF(COUNTIF($A$6:$A$1005,A512)&gt;1,"Duplicate WO",""))))</f>
        <v/>
      </c>
    </row>
    <row r="513" customFormat="false" ht="23.85" hidden="false" customHeight="false" outlineLevel="0" collapsed="false">
      <c r="A513" s="53" t="n">
        <v>100875704</v>
      </c>
      <c r="B513" s="46" t="s">
        <v>65</v>
      </c>
      <c r="C513" s="54" t="str">
        <f aca="false">IF(B513="","",IFERROR(INDEX('Kitting Plan'!$D$5:$D$18,MATCH(B513,'Kitting Plan'!$C$5:$C$18,0)),"Unknown code"))</f>
        <v>R5B ERBIUM ASSEMBLY POSITION 1</v>
      </c>
      <c r="D513" s="54" t="str">
        <f aca="false">IF(B513="","",IFERROR(INDEX('Kitting Plan'!$B$5:$B$18,MATCH(B513,'Kitting Plan'!$C$5:$C$18,0)),""))</f>
        <v>ERBIUM ASSY</v>
      </c>
      <c r="E513" s="45"/>
      <c r="F513" s="55" t="n">
        <f aca="false">IF(B513="","",IFERROR(INDEX('Kitting Plan'!$H$5:$H$18,MATCH(B513,'Kitting Plan'!$C$5:$C$18,0)),""))</f>
        <v>3</v>
      </c>
      <c r="G513" s="45" t="n">
        <v>1</v>
      </c>
      <c r="H513" s="56" t="n">
        <f aca="false">IF(B513="","",IF(G513="",F513,G513))</f>
        <v>1</v>
      </c>
      <c r="I513" s="45" t="s">
        <v>29</v>
      </c>
      <c r="J513" s="57" t="n">
        <v>46261</v>
      </c>
      <c r="K513" s="46" t="s">
        <v>104</v>
      </c>
      <c r="L513" s="54" t="str">
        <f aca="false">IF(A513="","",IF(B513="","Missing code",IF(C513="Unknown code","Unknown code",IF(COUNTIF($A$6:$A$1005,A513)&gt;1,"Duplicate WO",""))))</f>
        <v/>
      </c>
    </row>
    <row r="514" customFormat="false" ht="23.85" hidden="false" customHeight="false" outlineLevel="0" collapsed="false">
      <c r="A514" s="53" t="n">
        <v>100875705</v>
      </c>
      <c r="B514" s="46" t="s">
        <v>65</v>
      </c>
      <c r="C514" s="54" t="str">
        <f aca="false">IF(B514="","",IFERROR(INDEX('Kitting Plan'!$D$5:$D$18,MATCH(B514,'Kitting Plan'!$C$5:$C$18,0)),"Unknown code"))</f>
        <v>R5B ERBIUM ASSEMBLY POSITION 1</v>
      </c>
      <c r="D514" s="54" t="str">
        <f aca="false">IF(B514="","",IFERROR(INDEX('Kitting Plan'!$B$5:$B$18,MATCH(B514,'Kitting Plan'!$C$5:$C$18,0)),""))</f>
        <v>ERBIUM ASSY</v>
      </c>
      <c r="E514" s="45"/>
      <c r="F514" s="55" t="n">
        <f aca="false">IF(B514="","",IFERROR(INDEX('Kitting Plan'!$H$5:$H$18,MATCH(B514,'Kitting Plan'!$C$5:$C$18,0)),""))</f>
        <v>3</v>
      </c>
      <c r="G514" s="45" t="n">
        <v>1</v>
      </c>
      <c r="H514" s="56" t="n">
        <f aca="false">IF(B514="","",IF(G514="",F514,G514))</f>
        <v>1</v>
      </c>
      <c r="I514" s="45" t="s">
        <v>29</v>
      </c>
      <c r="J514" s="57" t="n">
        <v>46261</v>
      </c>
      <c r="K514" s="46" t="s">
        <v>104</v>
      </c>
      <c r="L514" s="54" t="str">
        <f aca="false">IF(A514="","",IF(B514="","Missing code",IF(C514="Unknown code","Unknown code",IF(COUNTIF($A$6:$A$1005,A514)&gt;1,"Duplicate WO",""))))</f>
        <v/>
      </c>
    </row>
    <row r="515" customFormat="false" ht="23.85" hidden="false" customHeight="false" outlineLevel="0" collapsed="false">
      <c r="A515" s="53" t="n">
        <v>100875706</v>
      </c>
      <c r="B515" s="46" t="s">
        <v>65</v>
      </c>
      <c r="C515" s="54" t="str">
        <f aca="false">IF(B515="","",IFERROR(INDEX('Kitting Plan'!$D$5:$D$18,MATCH(B515,'Kitting Plan'!$C$5:$C$18,0)),"Unknown code"))</f>
        <v>R5B ERBIUM ASSEMBLY POSITION 1</v>
      </c>
      <c r="D515" s="54" t="str">
        <f aca="false">IF(B515="","",IFERROR(INDEX('Kitting Plan'!$B$5:$B$18,MATCH(B515,'Kitting Plan'!$C$5:$C$18,0)),""))</f>
        <v>ERBIUM ASSY</v>
      </c>
      <c r="E515" s="45"/>
      <c r="F515" s="55" t="n">
        <f aca="false">IF(B515="","",IFERROR(INDEX('Kitting Plan'!$H$5:$H$18,MATCH(B515,'Kitting Plan'!$C$5:$C$18,0)),""))</f>
        <v>3</v>
      </c>
      <c r="G515" s="45" t="n">
        <v>1</v>
      </c>
      <c r="H515" s="56" t="n">
        <f aca="false">IF(B515="","",IF(G515="",F515,G515))</f>
        <v>1</v>
      </c>
      <c r="I515" s="45" t="s">
        <v>29</v>
      </c>
      <c r="J515" s="57" t="n">
        <v>46261</v>
      </c>
      <c r="K515" s="46" t="s">
        <v>104</v>
      </c>
      <c r="L515" s="54" t="str">
        <f aca="false">IF(A515="","",IF(B515="","Missing code",IF(C515="Unknown code","Unknown code",IF(COUNTIF($A$6:$A$1005,A515)&gt;1,"Duplicate WO",""))))</f>
        <v/>
      </c>
    </row>
    <row r="516" customFormat="false" ht="23.85" hidden="false" customHeight="false" outlineLevel="0" collapsed="false">
      <c r="A516" s="53" t="n">
        <v>100876294</v>
      </c>
      <c r="B516" s="46" t="s">
        <v>65</v>
      </c>
      <c r="C516" s="54" t="str">
        <f aca="false">IF(B516="","",IFERROR(INDEX('Kitting Plan'!$D$5:$D$18,MATCH(B516,'Kitting Plan'!$C$5:$C$18,0)),"Unknown code"))</f>
        <v>R5B ERBIUM ASSEMBLY POSITION 1</v>
      </c>
      <c r="D516" s="54" t="str">
        <f aca="false">IF(B516="","",IFERROR(INDEX('Kitting Plan'!$B$5:$B$18,MATCH(B516,'Kitting Plan'!$C$5:$C$18,0)),""))</f>
        <v>ERBIUM ASSY</v>
      </c>
      <c r="E516" s="45"/>
      <c r="F516" s="55" t="n">
        <f aca="false">IF(B516="","",IFERROR(INDEX('Kitting Plan'!$H$5:$H$18,MATCH(B516,'Kitting Plan'!$C$5:$C$18,0)),""))</f>
        <v>3</v>
      </c>
      <c r="G516" s="45" t="n">
        <v>1</v>
      </c>
      <c r="H516" s="56" t="n">
        <f aca="false">IF(B516="","",IF(G516="",F516,G516))</f>
        <v>1</v>
      </c>
      <c r="I516" s="45" t="s">
        <v>27</v>
      </c>
      <c r="J516" s="57" t="n">
        <v>46269</v>
      </c>
      <c r="K516" s="46" t="s">
        <v>108</v>
      </c>
      <c r="L516" s="54" t="str">
        <f aca="false">IF(A516="","",IF(B516="","Missing code",IF(C516="Unknown code","Unknown code",IF(COUNTIF($A$6:$A$1005,A516)&gt;1,"Duplicate WO",""))))</f>
        <v/>
      </c>
    </row>
    <row r="517" customFormat="false" ht="23.85" hidden="false" customHeight="false" outlineLevel="0" collapsed="false">
      <c r="A517" s="53" t="n">
        <v>100876295</v>
      </c>
      <c r="B517" s="46" t="s">
        <v>65</v>
      </c>
      <c r="C517" s="54" t="str">
        <f aca="false">IF(B517="","",IFERROR(INDEX('Kitting Plan'!$D$5:$D$18,MATCH(B517,'Kitting Plan'!$C$5:$C$18,0)),"Unknown code"))</f>
        <v>R5B ERBIUM ASSEMBLY POSITION 1</v>
      </c>
      <c r="D517" s="54" t="str">
        <f aca="false">IF(B517="","",IFERROR(INDEX('Kitting Plan'!$B$5:$B$18,MATCH(B517,'Kitting Plan'!$C$5:$C$18,0)),""))</f>
        <v>ERBIUM ASSY</v>
      </c>
      <c r="E517" s="45"/>
      <c r="F517" s="55" t="n">
        <f aca="false">IF(B517="","",IFERROR(INDEX('Kitting Plan'!$H$5:$H$18,MATCH(B517,'Kitting Plan'!$C$5:$C$18,0)),""))</f>
        <v>3</v>
      </c>
      <c r="G517" s="45" t="n">
        <v>1</v>
      </c>
      <c r="H517" s="56" t="n">
        <f aca="false">IF(B517="","",IF(G517="",F517,G517))</f>
        <v>1</v>
      </c>
      <c r="I517" s="45" t="s">
        <v>29</v>
      </c>
      <c r="J517" s="57" t="n">
        <v>46269</v>
      </c>
      <c r="K517" s="46" t="s">
        <v>102</v>
      </c>
      <c r="L517" s="54" t="str">
        <f aca="false">IF(A517="","",IF(B517="","Missing code",IF(C517="Unknown code","Unknown code",IF(COUNTIF($A$6:$A$1005,A517)&gt;1,"Duplicate WO",""))))</f>
        <v/>
      </c>
    </row>
    <row r="518" customFormat="false" ht="23.85" hidden="false" customHeight="false" outlineLevel="0" collapsed="false">
      <c r="A518" s="53" t="n">
        <v>100876296</v>
      </c>
      <c r="B518" s="46" t="s">
        <v>65</v>
      </c>
      <c r="C518" s="54" t="str">
        <f aca="false">IF(B518="","",IFERROR(INDEX('Kitting Plan'!$D$5:$D$18,MATCH(B518,'Kitting Plan'!$C$5:$C$18,0)),"Unknown code"))</f>
        <v>R5B ERBIUM ASSEMBLY POSITION 1</v>
      </c>
      <c r="D518" s="54" t="str">
        <f aca="false">IF(B518="","",IFERROR(INDEX('Kitting Plan'!$B$5:$B$18,MATCH(B518,'Kitting Plan'!$C$5:$C$18,0)),""))</f>
        <v>ERBIUM ASSY</v>
      </c>
      <c r="E518" s="45"/>
      <c r="F518" s="55" t="n">
        <f aca="false">IF(B518="","",IFERROR(INDEX('Kitting Plan'!$H$5:$H$18,MATCH(B518,'Kitting Plan'!$C$5:$C$18,0)),""))</f>
        <v>3</v>
      </c>
      <c r="G518" s="45" t="n">
        <v>1</v>
      </c>
      <c r="H518" s="56" t="n">
        <f aca="false">IF(B518="","",IF(G518="",F518,G518))</f>
        <v>1</v>
      </c>
      <c r="I518" s="45" t="s">
        <v>29</v>
      </c>
      <c r="J518" s="57" t="n">
        <v>46269</v>
      </c>
      <c r="K518" s="46" t="s">
        <v>102</v>
      </c>
      <c r="L518" s="54" t="str">
        <f aca="false">IF(A518="","",IF(B518="","Missing code",IF(C518="Unknown code","Unknown code",IF(COUNTIF($A$6:$A$1005,A518)&gt;1,"Duplicate WO",""))))</f>
        <v/>
      </c>
    </row>
    <row r="519" customFormat="false" ht="23.85" hidden="false" customHeight="false" outlineLevel="0" collapsed="false">
      <c r="A519" s="53" t="n">
        <v>100877972</v>
      </c>
      <c r="B519" s="46" t="s">
        <v>65</v>
      </c>
      <c r="C519" s="54" t="str">
        <f aca="false">IF(B519="","",IFERROR(INDEX('Kitting Plan'!$D$5:$D$18,MATCH(B519,'Kitting Plan'!$C$5:$C$18,0)),"Unknown code"))</f>
        <v>R5B ERBIUM ASSEMBLY POSITION 1</v>
      </c>
      <c r="D519" s="54" t="str">
        <f aca="false">IF(B519="","",IFERROR(INDEX('Kitting Plan'!$B$5:$B$18,MATCH(B519,'Kitting Plan'!$C$5:$C$18,0)),""))</f>
        <v>ERBIUM ASSY</v>
      </c>
      <c r="E519" s="45"/>
      <c r="F519" s="55" t="n">
        <f aca="false">IF(B519="","",IFERROR(INDEX('Kitting Plan'!$H$5:$H$18,MATCH(B519,'Kitting Plan'!$C$5:$C$18,0)),""))</f>
        <v>3</v>
      </c>
      <c r="G519" s="45" t="n">
        <v>1</v>
      </c>
      <c r="H519" s="56" t="n">
        <f aca="false">IF(B519="","",IF(G519="",F519,G519))</f>
        <v>1</v>
      </c>
      <c r="I519" s="45" t="s">
        <v>27</v>
      </c>
      <c r="J519" s="57" t="n">
        <v>46281</v>
      </c>
      <c r="K519" s="46" t="s">
        <v>108</v>
      </c>
      <c r="L519" s="54" t="str">
        <f aca="false">IF(A519="","",IF(B519="","Missing code",IF(C519="Unknown code","Unknown code",IF(COUNTIF($A$6:$A$1005,A519)&gt;1,"Duplicate WO",""))))</f>
        <v/>
      </c>
    </row>
    <row r="520" customFormat="false" ht="23.85" hidden="false" customHeight="false" outlineLevel="0" collapsed="false">
      <c r="A520" s="53" t="n">
        <v>100877973</v>
      </c>
      <c r="B520" s="46" t="s">
        <v>65</v>
      </c>
      <c r="C520" s="54" t="str">
        <f aca="false">IF(B520="","",IFERROR(INDEX('Kitting Plan'!$D$5:$D$18,MATCH(B520,'Kitting Plan'!$C$5:$C$18,0)),"Unknown code"))</f>
        <v>R5B ERBIUM ASSEMBLY POSITION 1</v>
      </c>
      <c r="D520" s="54" t="str">
        <f aca="false">IF(B520="","",IFERROR(INDEX('Kitting Plan'!$B$5:$B$18,MATCH(B520,'Kitting Plan'!$C$5:$C$18,0)),""))</f>
        <v>ERBIUM ASSY</v>
      </c>
      <c r="E520" s="45"/>
      <c r="F520" s="55" t="n">
        <f aca="false">IF(B520="","",IFERROR(INDEX('Kitting Plan'!$H$5:$H$18,MATCH(B520,'Kitting Plan'!$C$5:$C$18,0)),""))</f>
        <v>3</v>
      </c>
      <c r="G520" s="45" t="n">
        <v>1</v>
      </c>
      <c r="H520" s="56" t="n">
        <f aca="false">IF(B520="","",IF(G520="",F520,G520))</f>
        <v>1</v>
      </c>
      <c r="I520" s="45" t="s">
        <v>29</v>
      </c>
      <c r="J520" s="57" t="n">
        <v>46281</v>
      </c>
      <c r="K520" s="46" t="s">
        <v>102</v>
      </c>
      <c r="L520" s="54" t="str">
        <f aca="false">IF(A520="","",IF(B520="","Missing code",IF(C520="Unknown code","Unknown code",IF(COUNTIF($A$6:$A$1005,A520)&gt;1,"Duplicate WO",""))))</f>
        <v/>
      </c>
    </row>
    <row r="521" customFormat="false" ht="23.85" hidden="false" customHeight="false" outlineLevel="0" collapsed="false">
      <c r="A521" s="53" t="n">
        <v>100877974</v>
      </c>
      <c r="B521" s="46" t="s">
        <v>65</v>
      </c>
      <c r="C521" s="54" t="str">
        <f aca="false">IF(B521="","",IFERROR(INDEX('Kitting Plan'!$D$5:$D$18,MATCH(B521,'Kitting Plan'!$C$5:$C$18,0)),"Unknown code"))</f>
        <v>R5B ERBIUM ASSEMBLY POSITION 1</v>
      </c>
      <c r="D521" s="54" t="str">
        <f aca="false">IF(B521="","",IFERROR(INDEX('Kitting Plan'!$B$5:$B$18,MATCH(B521,'Kitting Plan'!$C$5:$C$18,0)),""))</f>
        <v>ERBIUM ASSY</v>
      </c>
      <c r="E521" s="45"/>
      <c r="F521" s="55" t="n">
        <f aca="false">IF(B521="","",IFERROR(INDEX('Kitting Plan'!$H$5:$H$18,MATCH(B521,'Kitting Plan'!$C$5:$C$18,0)),""))</f>
        <v>3</v>
      </c>
      <c r="G521" s="45" t="n">
        <v>1</v>
      </c>
      <c r="H521" s="56" t="n">
        <f aca="false">IF(B521="","",IF(G521="",F521,G521))</f>
        <v>1</v>
      </c>
      <c r="I521" s="45" t="s">
        <v>29</v>
      </c>
      <c r="J521" s="57" t="n">
        <v>46281</v>
      </c>
      <c r="K521" s="46" t="s">
        <v>102</v>
      </c>
      <c r="L521" s="54" t="str">
        <f aca="false">IF(A521="","",IF(B521="","Missing code",IF(C521="Unknown code","Unknown code",IF(COUNTIF($A$6:$A$1005,A521)&gt;1,"Duplicate WO",""))))</f>
        <v/>
      </c>
    </row>
    <row r="522" customFormat="false" ht="23.85" hidden="false" customHeight="false" outlineLevel="0" collapsed="false">
      <c r="A522" s="53" t="n">
        <v>100879332</v>
      </c>
      <c r="B522" s="46" t="s">
        <v>65</v>
      </c>
      <c r="C522" s="54" t="str">
        <f aca="false">IF(B522="","",IFERROR(INDEX('Kitting Plan'!$D$5:$D$18,MATCH(B522,'Kitting Plan'!$C$5:$C$18,0)),"Unknown code"))</f>
        <v>R5B ERBIUM ASSEMBLY POSITION 1</v>
      </c>
      <c r="D522" s="54" t="str">
        <f aca="false">IF(B522="","",IFERROR(INDEX('Kitting Plan'!$B$5:$B$18,MATCH(B522,'Kitting Plan'!$C$5:$C$18,0)),""))</f>
        <v>ERBIUM ASSY</v>
      </c>
      <c r="E522" s="45"/>
      <c r="F522" s="55" t="n">
        <f aca="false">IF(B522="","",IFERROR(INDEX('Kitting Plan'!$H$5:$H$18,MATCH(B522,'Kitting Plan'!$C$5:$C$18,0)),""))</f>
        <v>3</v>
      </c>
      <c r="G522" s="45" t="n">
        <v>1</v>
      </c>
      <c r="H522" s="56" t="n">
        <f aca="false">IF(B522="","",IF(G522="",F522,G522))</f>
        <v>1</v>
      </c>
      <c r="I522" s="45" t="s">
        <v>27</v>
      </c>
      <c r="J522" s="57" t="n">
        <v>46293</v>
      </c>
      <c r="K522" s="46" t="s">
        <v>105</v>
      </c>
      <c r="L522" s="54" t="str">
        <f aca="false">IF(A522="","",IF(B522="","Missing code",IF(C522="Unknown code","Unknown code",IF(COUNTIF($A$6:$A$1005,A522)&gt;1,"Duplicate WO",""))))</f>
        <v/>
      </c>
    </row>
    <row r="523" customFormat="false" ht="23.85" hidden="false" customHeight="false" outlineLevel="0" collapsed="false">
      <c r="A523" s="53" t="n">
        <v>100879333</v>
      </c>
      <c r="B523" s="46" t="s">
        <v>65</v>
      </c>
      <c r="C523" s="54" t="str">
        <f aca="false">IF(B523="","",IFERROR(INDEX('Kitting Plan'!$D$5:$D$18,MATCH(B523,'Kitting Plan'!$C$5:$C$18,0)),"Unknown code"))</f>
        <v>R5B ERBIUM ASSEMBLY POSITION 1</v>
      </c>
      <c r="D523" s="54" t="str">
        <f aca="false">IF(B523="","",IFERROR(INDEX('Kitting Plan'!$B$5:$B$18,MATCH(B523,'Kitting Plan'!$C$5:$C$18,0)),""))</f>
        <v>ERBIUM ASSY</v>
      </c>
      <c r="E523" s="45"/>
      <c r="F523" s="55" t="n">
        <f aca="false">IF(B523="","",IFERROR(INDEX('Kitting Plan'!$H$5:$H$18,MATCH(B523,'Kitting Plan'!$C$5:$C$18,0)),""))</f>
        <v>3</v>
      </c>
      <c r="G523" s="45" t="n">
        <v>1</v>
      </c>
      <c r="H523" s="56" t="n">
        <f aca="false">IF(B523="","",IF(G523="",F523,G523))</f>
        <v>1</v>
      </c>
      <c r="I523" s="45" t="s">
        <v>27</v>
      </c>
      <c r="J523" s="57" t="n">
        <v>46293</v>
      </c>
      <c r="K523" s="46" t="s">
        <v>105</v>
      </c>
      <c r="L523" s="54" t="str">
        <f aca="false">IF(A523="","",IF(B523="","Missing code",IF(C523="Unknown code","Unknown code",IF(COUNTIF($A$6:$A$1005,A523)&gt;1,"Duplicate WO",""))))</f>
        <v/>
      </c>
    </row>
    <row r="524" customFormat="false" ht="23.85" hidden="false" customHeight="false" outlineLevel="0" collapsed="false">
      <c r="A524" s="53" t="n">
        <v>100879334</v>
      </c>
      <c r="B524" s="46" t="s">
        <v>65</v>
      </c>
      <c r="C524" s="54" t="str">
        <f aca="false">IF(B524="","",IFERROR(INDEX('Kitting Plan'!$D$5:$D$18,MATCH(B524,'Kitting Plan'!$C$5:$C$18,0)),"Unknown code"))</f>
        <v>R5B ERBIUM ASSEMBLY POSITION 1</v>
      </c>
      <c r="D524" s="54" t="str">
        <f aca="false">IF(B524="","",IFERROR(INDEX('Kitting Plan'!$B$5:$B$18,MATCH(B524,'Kitting Plan'!$C$5:$C$18,0)),""))</f>
        <v>ERBIUM ASSY</v>
      </c>
      <c r="E524" s="45"/>
      <c r="F524" s="55" t="n">
        <f aca="false">IF(B524="","",IFERROR(INDEX('Kitting Plan'!$H$5:$H$18,MATCH(B524,'Kitting Plan'!$C$5:$C$18,0)),""))</f>
        <v>3</v>
      </c>
      <c r="G524" s="45" t="n">
        <v>1</v>
      </c>
      <c r="H524" s="56" t="n">
        <f aca="false">IF(B524="","",IF(G524="",F524,G524))</f>
        <v>1</v>
      </c>
      <c r="I524" s="45" t="s">
        <v>27</v>
      </c>
      <c r="J524" s="57" t="n">
        <v>46293</v>
      </c>
      <c r="K524" s="46" t="s">
        <v>105</v>
      </c>
      <c r="L524" s="54" t="str">
        <f aca="false">IF(A524="","",IF(B524="","Missing code",IF(C524="Unknown code","Unknown code",IF(COUNTIF($A$6:$A$1005,A524)&gt;1,"Duplicate WO",""))))</f>
        <v/>
      </c>
    </row>
    <row r="525" customFormat="false" ht="15" hidden="false" customHeight="false" outlineLevel="0" collapsed="false">
      <c r="A525" s="53" t="n">
        <v>100880010</v>
      </c>
      <c r="B525" s="46" t="s">
        <v>65</v>
      </c>
      <c r="C525" s="54" t="str">
        <f aca="false">IF(B525="","",IFERROR(INDEX('Kitting Plan'!$D$5:$D$18,MATCH(B525,'Kitting Plan'!$C$5:$C$18,0)),"Unknown code"))</f>
        <v>R5B ERBIUM ASSEMBLY POSITION 1</v>
      </c>
      <c r="D525" s="54" t="str">
        <f aca="false">IF(B525="","",IFERROR(INDEX('Kitting Plan'!$B$5:$B$18,MATCH(B525,'Kitting Plan'!$C$5:$C$18,0)),""))</f>
        <v>ERBIUM ASSY</v>
      </c>
      <c r="E525" s="45"/>
      <c r="F525" s="55" t="n">
        <f aca="false">IF(B525="","",IFERROR(INDEX('Kitting Plan'!$H$5:$H$18,MATCH(B525,'Kitting Plan'!$C$5:$C$18,0)),""))</f>
        <v>3</v>
      </c>
      <c r="G525" s="45" t="n">
        <v>1</v>
      </c>
      <c r="H525" s="56" t="n">
        <f aca="false">IF(B525="","",IF(G525="",F525,G525))</f>
        <v>1</v>
      </c>
      <c r="I525" s="45" t="s">
        <v>27</v>
      </c>
      <c r="J525" s="57" t="n">
        <v>46296</v>
      </c>
      <c r="K525" s="46" t="s">
        <v>107</v>
      </c>
      <c r="L525" s="54" t="str">
        <f aca="false">IF(A525="","",IF(B525="","Missing code",IF(C525="Unknown code","Unknown code",IF(COUNTIF($A$6:$A$1005,A525)&gt;1,"Duplicate WO",""))))</f>
        <v/>
      </c>
    </row>
    <row r="526" customFormat="false" ht="15" hidden="false" customHeight="false" outlineLevel="0" collapsed="false">
      <c r="A526" s="53" t="n">
        <v>100880011</v>
      </c>
      <c r="B526" s="46" t="s">
        <v>65</v>
      </c>
      <c r="C526" s="54" t="str">
        <f aca="false">IF(B526="","",IFERROR(INDEX('Kitting Plan'!$D$5:$D$18,MATCH(B526,'Kitting Plan'!$C$5:$C$18,0)),"Unknown code"))</f>
        <v>R5B ERBIUM ASSEMBLY POSITION 1</v>
      </c>
      <c r="D526" s="54" t="str">
        <f aca="false">IF(B526="","",IFERROR(INDEX('Kitting Plan'!$B$5:$B$18,MATCH(B526,'Kitting Plan'!$C$5:$C$18,0)),""))</f>
        <v>ERBIUM ASSY</v>
      </c>
      <c r="E526" s="45"/>
      <c r="F526" s="55" t="n">
        <f aca="false">IF(B526="","",IFERROR(INDEX('Kitting Plan'!$H$5:$H$18,MATCH(B526,'Kitting Plan'!$C$5:$C$18,0)),""))</f>
        <v>3</v>
      </c>
      <c r="G526" s="45" t="n">
        <v>1</v>
      </c>
      <c r="H526" s="56" t="n">
        <f aca="false">IF(B526="","",IF(G526="",F526,G526))</f>
        <v>1</v>
      </c>
      <c r="I526" s="45" t="s">
        <v>27</v>
      </c>
      <c r="J526" s="57" t="n">
        <v>46296</v>
      </c>
      <c r="K526" s="46" t="s">
        <v>107</v>
      </c>
      <c r="L526" s="54" t="str">
        <f aca="false">IF(A526="","",IF(B526="","Missing code",IF(C526="Unknown code","Unknown code",IF(COUNTIF($A$6:$A$1005,A526)&gt;1,"Duplicate WO",""))))</f>
        <v/>
      </c>
    </row>
    <row r="527" customFormat="false" ht="15" hidden="false" customHeight="false" outlineLevel="0" collapsed="false">
      <c r="A527" s="53" t="n">
        <v>100880012</v>
      </c>
      <c r="B527" s="46" t="s">
        <v>65</v>
      </c>
      <c r="C527" s="54" t="str">
        <f aca="false">IF(B527="","",IFERROR(INDEX('Kitting Plan'!$D$5:$D$18,MATCH(B527,'Kitting Plan'!$C$5:$C$18,0)),"Unknown code"))</f>
        <v>R5B ERBIUM ASSEMBLY POSITION 1</v>
      </c>
      <c r="D527" s="54" t="str">
        <f aca="false">IF(B527="","",IFERROR(INDEX('Kitting Plan'!$B$5:$B$18,MATCH(B527,'Kitting Plan'!$C$5:$C$18,0)),""))</f>
        <v>ERBIUM ASSY</v>
      </c>
      <c r="E527" s="45"/>
      <c r="F527" s="55" t="n">
        <f aca="false">IF(B527="","",IFERROR(INDEX('Kitting Plan'!$H$5:$H$18,MATCH(B527,'Kitting Plan'!$C$5:$C$18,0)),""))</f>
        <v>3</v>
      </c>
      <c r="G527" s="45" t="n">
        <v>1</v>
      </c>
      <c r="H527" s="56" t="n">
        <f aca="false">IF(B527="","",IF(G527="",F527,G527))</f>
        <v>1</v>
      </c>
      <c r="I527" s="45" t="s">
        <v>27</v>
      </c>
      <c r="J527" s="57" t="n">
        <v>46296</v>
      </c>
      <c r="K527" s="46" t="s">
        <v>107</v>
      </c>
      <c r="L527" s="54" t="str">
        <f aca="false">IF(A527="","",IF(B527="","Missing code",IF(C527="Unknown code","Unknown code",IF(COUNTIF($A$6:$A$1005,A527)&gt;1,"Duplicate WO",""))))</f>
        <v/>
      </c>
    </row>
    <row r="528" customFormat="false" ht="15" hidden="false" customHeight="false" outlineLevel="0" collapsed="false">
      <c r="A528" s="53" t="n">
        <v>100880110</v>
      </c>
      <c r="B528" s="46" t="s">
        <v>65</v>
      </c>
      <c r="C528" s="54" t="str">
        <f aca="false">IF(B528="","",IFERROR(INDEX('Kitting Plan'!$D$5:$D$18,MATCH(B528,'Kitting Plan'!$C$5:$C$18,0)),"Unknown code"))</f>
        <v>R5B ERBIUM ASSEMBLY POSITION 1</v>
      </c>
      <c r="D528" s="54" t="str">
        <f aca="false">IF(B528="","",IFERROR(INDEX('Kitting Plan'!$B$5:$B$18,MATCH(B528,'Kitting Plan'!$C$5:$C$18,0)),""))</f>
        <v>ERBIUM ASSY</v>
      </c>
      <c r="E528" s="45"/>
      <c r="F528" s="55" t="n">
        <f aca="false">IF(B528="","",IFERROR(INDEX('Kitting Plan'!$H$5:$H$18,MATCH(B528,'Kitting Plan'!$C$5:$C$18,0)),""))</f>
        <v>3</v>
      </c>
      <c r="G528" s="45" t="n">
        <v>1</v>
      </c>
      <c r="H528" s="56" t="n">
        <f aca="false">IF(B528="","",IF(G528="",F528,G528))</f>
        <v>1</v>
      </c>
      <c r="I528" s="45" t="s">
        <v>27</v>
      </c>
      <c r="J528" s="57" t="n">
        <v>46296</v>
      </c>
      <c r="K528" s="46" t="s">
        <v>107</v>
      </c>
      <c r="L528" s="54" t="str">
        <f aca="false">IF(A528="","",IF(B528="","Missing code",IF(C528="Unknown code","Unknown code",IF(COUNTIF($A$6:$A$1005,A528)&gt;1,"Duplicate WO",""))))</f>
        <v/>
      </c>
    </row>
    <row r="529" customFormat="false" ht="15" hidden="false" customHeight="false" outlineLevel="0" collapsed="false">
      <c r="A529" s="53" t="n">
        <v>100880111</v>
      </c>
      <c r="B529" s="46" t="s">
        <v>65</v>
      </c>
      <c r="C529" s="54" t="str">
        <f aca="false">IF(B529="","",IFERROR(INDEX('Kitting Plan'!$D$5:$D$18,MATCH(B529,'Kitting Plan'!$C$5:$C$18,0)),"Unknown code"))</f>
        <v>R5B ERBIUM ASSEMBLY POSITION 1</v>
      </c>
      <c r="D529" s="54" t="str">
        <f aca="false">IF(B529="","",IFERROR(INDEX('Kitting Plan'!$B$5:$B$18,MATCH(B529,'Kitting Plan'!$C$5:$C$18,0)),""))</f>
        <v>ERBIUM ASSY</v>
      </c>
      <c r="E529" s="45"/>
      <c r="F529" s="55" t="n">
        <f aca="false">IF(B529="","",IFERROR(INDEX('Kitting Plan'!$H$5:$H$18,MATCH(B529,'Kitting Plan'!$C$5:$C$18,0)),""))</f>
        <v>3</v>
      </c>
      <c r="G529" s="45" t="n">
        <v>1</v>
      </c>
      <c r="H529" s="56" t="n">
        <f aca="false">IF(B529="","",IF(G529="",F529,G529))</f>
        <v>1</v>
      </c>
      <c r="I529" s="45" t="s">
        <v>27</v>
      </c>
      <c r="J529" s="57" t="n">
        <v>46296</v>
      </c>
      <c r="K529" s="46" t="s">
        <v>107</v>
      </c>
      <c r="L529" s="54" t="str">
        <f aca="false">IF(A529="","",IF(B529="","Missing code",IF(C529="Unknown code","Unknown code",IF(COUNTIF($A$6:$A$1005,A529)&gt;1,"Duplicate WO",""))))</f>
        <v/>
      </c>
    </row>
    <row r="530" customFormat="false" ht="15" hidden="false" customHeight="false" outlineLevel="0" collapsed="false">
      <c r="A530" s="53" t="n">
        <v>100880112</v>
      </c>
      <c r="B530" s="46" t="s">
        <v>65</v>
      </c>
      <c r="C530" s="54" t="str">
        <f aca="false">IF(B530="","",IFERROR(INDEX('Kitting Plan'!$D$5:$D$18,MATCH(B530,'Kitting Plan'!$C$5:$C$18,0)),"Unknown code"))</f>
        <v>R5B ERBIUM ASSEMBLY POSITION 1</v>
      </c>
      <c r="D530" s="54" t="str">
        <f aca="false">IF(B530="","",IFERROR(INDEX('Kitting Plan'!$B$5:$B$18,MATCH(B530,'Kitting Plan'!$C$5:$C$18,0)),""))</f>
        <v>ERBIUM ASSY</v>
      </c>
      <c r="E530" s="45"/>
      <c r="F530" s="55" t="n">
        <f aca="false">IF(B530="","",IFERROR(INDEX('Kitting Plan'!$H$5:$H$18,MATCH(B530,'Kitting Plan'!$C$5:$C$18,0)),""))</f>
        <v>3</v>
      </c>
      <c r="G530" s="45" t="n">
        <v>1</v>
      </c>
      <c r="H530" s="56" t="n">
        <f aca="false">IF(B530="","",IF(G530="",F530,G530))</f>
        <v>1</v>
      </c>
      <c r="I530" s="45" t="s">
        <v>27</v>
      </c>
      <c r="J530" s="57" t="n">
        <v>46296</v>
      </c>
      <c r="K530" s="46" t="s">
        <v>107</v>
      </c>
      <c r="L530" s="54" t="str">
        <f aca="false">IF(A530="","",IF(B530="","Missing code",IF(C530="Unknown code","Unknown code",IF(COUNTIF($A$6:$A$1005,A530)&gt;1,"Duplicate WO",""))))</f>
        <v/>
      </c>
    </row>
    <row r="531" customFormat="false" ht="15" hidden="false" customHeight="false" outlineLevel="0" collapsed="false">
      <c r="A531" s="53" t="n">
        <v>100880222</v>
      </c>
      <c r="B531" s="46" t="s">
        <v>65</v>
      </c>
      <c r="C531" s="54" t="str">
        <f aca="false">IF(B531="","",IFERROR(INDEX('Kitting Plan'!$D$5:$D$18,MATCH(B531,'Kitting Plan'!$C$5:$C$18,0)),"Unknown code"))</f>
        <v>R5B ERBIUM ASSEMBLY POSITION 1</v>
      </c>
      <c r="D531" s="54" t="str">
        <f aca="false">IF(B531="","",IFERROR(INDEX('Kitting Plan'!$B$5:$B$18,MATCH(B531,'Kitting Plan'!$C$5:$C$18,0)),""))</f>
        <v>ERBIUM ASSY</v>
      </c>
      <c r="E531" s="45"/>
      <c r="F531" s="55" t="n">
        <f aca="false">IF(B531="","",IFERROR(INDEX('Kitting Plan'!$H$5:$H$18,MATCH(B531,'Kitting Plan'!$C$5:$C$18,0)),""))</f>
        <v>3</v>
      </c>
      <c r="G531" s="45" t="n">
        <v>1</v>
      </c>
      <c r="H531" s="56" t="n">
        <f aca="false">IF(B531="","",IF(G531="",F531,G531))</f>
        <v>1</v>
      </c>
      <c r="I531" s="45" t="s">
        <v>27</v>
      </c>
      <c r="J531" s="57" t="n">
        <v>46297</v>
      </c>
      <c r="K531" s="46" t="s">
        <v>107</v>
      </c>
      <c r="L531" s="54" t="str">
        <f aca="false">IF(A531="","",IF(B531="","Missing code",IF(C531="Unknown code","Unknown code",IF(COUNTIF($A$6:$A$1005,A531)&gt;1,"Duplicate WO",""))))</f>
        <v/>
      </c>
    </row>
    <row r="532" customFormat="false" ht="15" hidden="false" customHeight="false" outlineLevel="0" collapsed="false">
      <c r="A532" s="53" t="n">
        <v>100880223</v>
      </c>
      <c r="B532" s="46" t="s">
        <v>65</v>
      </c>
      <c r="C532" s="54" t="str">
        <f aca="false">IF(B532="","",IFERROR(INDEX('Kitting Plan'!$D$5:$D$18,MATCH(B532,'Kitting Plan'!$C$5:$C$18,0)),"Unknown code"))</f>
        <v>R5B ERBIUM ASSEMBLY POSITION 1</v>
      </c>
      <c r="D532" s="54" t="str">
        <f aca="false">IF(B532="","",IFERROR(INDEX('Kitting Plan'!$B$5:$B$18,MATCH(B532,'Kitting Plan'!$C$5:$C$18,0)),""))</f>
        <v>ERBIUM ASSY</v>
      </c>
      <c r="E532" s="45"/>
      <c r="F532" s="55" t="n">
        <f aca="false">IF(B532="","",IFERROR(INDEX('Kitting Plan'!$H$5:$H$18,MATCH(B532,'Kitting Plan'!$C$5:$C$18,0)),""))</f>
        <v>3</v>
      </c>
      <c r="G532" s="45" t="n">
        <v>1</v>
      </c>
      <c r="H532" s="56" t="n">
        <f aca="false">IF(B532="","",IF(G532="",F532,G532))</f>
        <v>1</v>
      </c>
      <c r="I532" s="45" t="s">
        <v>27</v>
      </c>
      <c r="J532" s="57" t="n">
        <v>46297</v>
      </c>
      <c r="K532" s="46" t="s">
        <v>107</v>
      </c>
      <c r="L532" s="54" t="str">
        <f aca="false">IF(A532="","",IF(B532="","Missing code",IF(C532="Unknown code","Unknown code",IF(COUNTIF($A$6:$A$1005,A532)&gt;1,"Duplicate WO",""))))</f>
        <v/>
      </c>
    </row>
    <row r="533" customFormat="false" ht="15" hidden="false" customHeight="false" outlineLevel="0" collapsed="false">
      <c r="A533" s="53" t="n">
        <v>100880224</v>
      </c>
      <c r="B533" s="46" t="s">
        <v>65</v>
      </c>
      <c r="C533" s="54" t="str">
        <f aca="false">IF(B533="","",IFERROR(INDEX('Kitting Plan'!$D$5:$D$18,MATCH(B533,'Kitting Plan'!$C$5:$C$18,0)),"Unknown code"))</f>
        <v>R5B ERBIUM ASSEMBLY POSITION 1</v>
      </c>
      <c r="D533" s="54" t="str">
        <f aca="false">IF(B533="","",IFERROR(INDEX('Kitting Plan'!$B$5:$B$18,MATCH(B533,'Kitting Plan'!$C$5:$C$18,0)),""))</f>
        <v>ERBIUM ASSY</v>
      </c>
      <c r="E533" s="45"/>
      <c r="F533" s="55" t="n">
        <f aca="false">IF(B533="","",IFERROR(INDEX('Kitting Plan'!$H$5:$H$18,MATCH(B533,'Kitting Plan'!$C$5:$C$18,0)),""))</f>
        <v>3</v>
      </c>
      <c r="G533" s="45" t="n">
        <v>1</v>
      </c>
      <c r="H533" s="56" t="n">
        <f aca="false">IF(B533="","",IF(G533="",F533,G533))</f>
        <v>1</v>
      </c>
      <c r="I533" s="45" t="s">
        <v>27</v>
      </c>
      <c r="J533" s="57" t="n">
        <v>46297</v>
      </c>
      <c r="K533" s="46" t="s">
        <v>107</v>
      </c>
      <c r="L533" s="54" t="str">
        <f aca="false">IF(A533="","",IF(B533="","Missing code",IF(C533="Unknown code","Unknown code",IF(COUNTIF($A$6:$A$1005,A533)&gt;1,"Duplicate WO",""))))</f>
        <v/>
      </c>
    </row>
    <row r="534" customFormat="false" ht="15" hidden="false" customHeight="false" outlineLevel="0" collapsed="false">
      <c r="A534" s="53" t="n">
        <v>100880281</v>
      </c>
      <c r="B534" s="46" t="s">
        <v>65</v>
      </c>
      <c r="C534" s="54" t="str">
        <f aca="false">IF(B534="","",IFERROR(INDEX('Kitting Plan'!$D$5:$D$18,MATCH(B534,'Kitting Plan'!$C$5:$C$18,0)),"Unknown code"))</f>
        <v>R5B ERBIUM ASSEMBLY POSITION 1</v>
      </c>
      <c r="D534" s="54" t="str">
        <f aca="false">IF(B534="","",IFERROR(INDEX('Kitting Plan'!$B$5:$B$18,MATCH(B534,'Kitting Plan'!$C$5:$C$18,0)),""))</f>
        <v>ERBIUM ASSY</v>
      </c>
      <c r="E534" s="45"/>
      <c r="F534" s="55" t="n">
        <f aca="false">IF(B534="","",IFERROR(INDEX('Kitting Plan'!$H$5:$H$18,MATCH(B534,'Kitting Plan'!$C$5:$C$18,0)),""))</f>
        <v>3</v>
      </c>
      <c r="G534" s="45" t="n">
        <v>1</v>
      </c>
      <c r="H534" s="56" t="n">
        <f aca="false">IF(B534="","",IF(G534="",F534,G534))</f>
        <v>1</v>
      </c>
      <c r="I534" s="45" t="s">
        <v>27</v>
      </c>
      <c r="J534" s="57" t="n">
        <v>46297</v>
      </c>
      <c r="K534" s="46" t="s">
        <v>107</v>
      </c>
      <c r="L534" s="54" t="str">
        <f aca="false">IF(A534="","",IF(B534="","Missing code",IF(C534="Unknown code","Unknown code",IF(COUNTIF($A$6:$A$1005,A534)&gt;1,"Duplicate WO",""))))</f>
        <v/>
      </c>
    </row>
    <row r="535" customFormat="false" ht="15" hidden="false" customHeight="false" outlineLevel="0" collapsed="false">
      <c r="A535" s="53" t="n">
        <v>100880282</v>
      </c>
      <c r="B535" s="46" t="s">
        <v>65</v>
      </c>
      <c r="C535" s="54" t="str">
        <f aca="false">IF(B535="","",IFERROR(INDEX('Kitting Plan'!$D$5:$D$18,MATCH(B535,'Kitting Plan'!$C$5:$C$18,0)),"Unknown code"))</f>
        <v>R5B ERBIUM ASSEMBLY POSITION 1</v>
      </c>
      <c r="D535" s="54" t="str">
        <f aca="false">IF(B535="","",IFERROR(INDEX('Kitting Plan'!$B$5:$B$18,MATCH(B535,'Kitting Plan'!$C$5:$C$18,0)),""))</f>
        <v>ERBIUM ASSY</v>
      </c>
      <c r="E535" s="45"/>
      <c r="F535" s="55" t="n">
        <f aca="false">IF(B535="","",IFERROR(INDEX('Kitting Plan'!$H$5:$H$18,MATCH(B535,'Kitting Plan'!$C$5:$C$18,0)),""))</f>
        <v>3</v>
      </c>
      <c r="G535" s="45" t="n">
        <v>1</v>
      </c>
      <c r="H535" s="56" t="n">
        <f aca="false">IF(B535="","",IF(G535="",F535,G535))</f>
        <v>1</v>
      </c>
      <c r="I535" s="45" t="s">
        <v>27</v>
      </c>
      <c r="J535" s="57" t="n">
        <v>46297</v>
      </c>
      <c r="K535" s="46" t="s">
        <v>107</v>
      </c>
      <c r="L535" s="54" t="str">
        <f aca="false">IF(A535="","",IF(B535="","Missing code",IF(C535="Unknown code","Unknown code",IF(COUNTIF($A$6:$A$1005,A535)&gt;1,"Duplicate WO",""))))</f>
        <v/>
      </c>
    </row>
    <row r="536" customFormat="false" ht="15" hidden="false" customHeight="false" outlineLevel="0" collapsed="false">
      <c r="A536" s="53" t="n">
        <v>100880283</v>
      </c>
      <c r="B536" s="46" t="s">
        <v>65</v>
      </c>
      <c r="C536" s="54" t="str">
        <f aca="false">IF(B536="","",IFERROR(INDEX('Kitting Plan'!$D$5:$D$18,MATCH(B536,'Kitting Plan'!$C$5:$C$18,0)),"Unknown code"))</f>
        <v>R5B ERBIUM ASSEMBLY POSITION 1</v>
      </c>
      <c r="D536" s="54" t="str">
        <f aca="false">IF(B536="","",IFERROR(INDEX('Kitting Plan'!$B$5:$B$18,MATCH(B536,'Kitting Plan'!$C$5:$C$18,0)),""))</f>
        <v>ERBIUM ASSY</v>
      </c>
      <c r="E536" s="45"/>
      <c r="F536" s="55" t="n">
        <f aca="false">IF(B536="","",IFERROR(INDEX('Kitting Plan'!$H$5:$H$18,MATCH(B536,'Kitting Plan'!$C$5:$C$18,0)),""))</f>
        <v>3</v>
      </c>
      <c r="G536" s="45" t="n">
        <v>1</v>
      </c>
      <c r="H536" s="56" t="n">
        <f aca="false">IF(B536="","",IF(G536="",F536,G536))</f>
        <v>1</v>
      </c>
      <c r="I536" s="45" t="s">
        <v>27</v>
      </c>
      <c r="J536" s="57" t="n">
        <v>46297</v>
      </c>
      <c r="K536" s="46" t="s">
        <v>107</v>
      </c>
      <c r="L536" s="54" t="str">
        <f aca="false">IF(A536="","",IF(B536="","Missing code",IF(C536="Unknown code","Unknown code",IF(COUNTIF($A$6:$A$1005,A536)&gt;1,"Duplicate WO",""))))</f>
        <v/>
      </c>
    </row>
    <row r="537" customFormat="false" ht="23.85" hidden="false" customHeight="false" outlineLevel="0" collapsed="false">
      <c r="A537" s="53" t="n">
        <v>100880307</v>
      </c>
      <c r="B537" s="46" t="s">
        <v>65</v>
      </c>
      <c r="C537" s="54" t="str">
        <f aca="false">IF(B537="","",IFERROR(INDEX('Kitting Plan'!$D$5:$D$18,MATCH(B537,'Kitting Plan'!$C$5:$C$18,0)),"Unknown code"))</f>
        <v>R5B ERBIUM ASSEMBLY POSITION 1</v>
      </c>
      <c r="D537" s="54" t="str">
        <f aca="false">IF(B537="","",IFERROR(INDEX('Kitting Plan'!$B$5:$B$18,MATCH(B537,'Kitting Plan'!$C$5:$C$18,0)),""))</f>
        <v>ERBIUM ASSY</v>
      </c>
      <c r="E537" s="45"/>
      <c r="F537" s="55" t="n">
        <f aca="false">IF(B537="","",IFERROR(INDEX('Kitting Plan'!$H$5:$H$18,MATCH(B537,'Kitting Plan'!$C$5:$C$18,0)),""))</f>
        <v>3</v>
      </c>
      <c r="G537" s="45" t="n">
        <v>1</v>
      </c>
      <c r="H537" s="56" t="n">
        <f aca="false">IF(B537="","",IF(G537="",F537,G537))</f>
        <v>1</v>
      </c>
      <c r="I537" s="45" t="s">
        <v>27</v>
      </c>
      <c r="J537" s="57" t="n">
        <v>46298</v>
      </c>
      <c r="K537" s="46" t="s">
        <v>109</v>
      </c>
      <c r="L537" s="54" t="str">
        <f aca="false">IF(A537="","",IF(B537="","Missing code",IF(C537="Unknown code","Unknown code",IF(COUNTIF($A$6:$A$1005,A537)&gt;1,"Duplicate WO",""))))</f>
        <v/>
      </c>
    </row>
    <row r="538" customFormat="false" ht="23.85" hidden="false" customHeight="false" outlineLevel="0" collapsed="false">
      <c r="A538" s="53" t="n">
        <v>100863713</v>
      </c>
      <c r="B538" s="46" t="s">
        <v>67</v>
      </c>
      <c r="C538" s="54" t="str">
        <f aca="false">IF(B538="","",IFERROR(INDEX('Kitting Plan'!$D$5:$D$18,MATCH(B538,'Kitting Plan'!$C$5:$C$18,0)),"Unknown code"))</f>
        <v>R5B ERBIUM ASSEMBLY POSITION 2</v>
      </c>
      <c r="D538" s="54" t="str">
        <f aca="false">IF(B538="","",IFERROR(INDEX('Kitting Plan'!$B$5:$B$18,MATCH(B538,'Kitting Plan'!$C$5:$C$18,0)),""))</f>
        <v>ERBIUM ASSY</v>
      </c>
      <c r="E538" s="45"/>
      <c r="F538" s="55" t="n">
        <f aca="false">IF(B538="","",IFERROR(INDEX('Kitting Plan'!$H$5:$H$18,MATCH(B538,'Kitting Plan'!$C$5:$C$18,0)),""))</f>
        <v>3</v>
      </c>
      <c r="G538" s="45" t="n">
        <v>1</v>
      </c>
      <c r="H538" s="56" t="n">
        <f aca="false">IF(B538="","",IF(G538="",F538,G538))</f>
        <v>1</v>
      </c>
      <c r="I538" s="45" t="s">
        <v>29</v>
      </c>
      <c r="J538" s="57" t="n">
        <v>46165</v>
      </c>
      <c r="K538" s="46" t="s">
        <v>104</v>
      </c>
      <c r="L538" s="54" t="str">
        <f aca="false">IF(A538="","",IF(B538="","Missing code",IF(C538="Unknown code","Unknown code",IF(COUNTIF($A$6:$A$1005,A538)&gt;1,"Duplicate WO",""))))</f>
        <v/>
      </c>
    </row>
    <row r="539" customFormat="false" ht="23.85" hidden="false" customHeight="false" outlineLevel="0" collapsed="false">
      <c r="A539" s="53" t="n">
        <v>100863714</v>
      </c>
      <c r="B539" s="46" t="s">
        <v>67</v>
      </c>
      <c r="C539" s="54" t="str">
        <f aca="false">IF(B539="","",IFERROR(INDEX('Kitting Plan'!$D$5:$D$18,MATCH(B539,'Kitting Plan'!$C$5:$C$18,0)),"Unknown code"))</f>
        <v>R5B ERBIUM ASSEMBLY POSITION 2</v>
      </c>
      <c r="D539" s="54" t="str">
        <f aca="false">IF(B539="","",IFERROR(INDEX('Kitting Plan'!$B$5:$B$18,MATCH(B539,'Kitting Plan'!$C$5:$C$18,0)),""))</f>
        <v>ERBIUM ASSY</v>
      </c>
      <c r="E539" s="45"/>
      <c r="F539" s="55" t="n">
        <f aca="false">IF(B539="","",IFERROR(INDEX('Kitting Plan'!$H$5:$H$18,MATCH(B539,'Kitting Plan'!$C$5:$C$18,0)),""))</f>
        <v>3</v>
      </c>
      <c r="G539" s="45" t="n">
        <v>1</v>
      </c>
      <c r="H539" s="56" t="n">
        <f aca="false">IF(B539="","",IF(G539="",F539,G539))</f>
        <v>1</v>
      </c>
      <c r="I539" s="45" t="s">
        <v>29</v>
      </c>
      <c r="J539" s="57" t="n">
        <v>46165</v>
      </c>
      <c r="K539" s="46" t="s">
        <v>104</v>
      </c>
      <c r="L539" s="54" t="str">
        <f aca="false">IF(A539="","",IF(B539="","Missing code",IF(C539="Unknown code","Unknown code",IF(COUNTIF($A$6:$A$1005,A539)&gt;1,"Duplicate WO",""))))</f>
        <v/>
      </c>
    </row>
    <row r="540" customFormat="false" ht="23.85" hidden="false" customHeight="false" outlineLevel="0" collapsed="false">
      <c r="A540" s="53" t="n">
        <v>100865325</v>
      </c>
      <c r="B540" s="46" t="s">
        <v>67</v>
      </c>
      <c r="C540" s="54" t="str">
        <f aca="false">IF(B540="","",IFERROR(INDEX('Kitting Plan'!$D$5:$D$18,MATCH(B540,'Kitting Plan'!$C$5:$C$18,0)),"Unknown code"))</f>
        <v>R5B ERBIUM ASSEMBLY POSITION 2</v>
      </c>
      <c r="D540" s="54" t="str">
        <f aca="false">IF(B540="","",IFERROR(INDEX('Kitting Plan'!$B$5:$B$18,MATCH(B540,'Kitting Plan'!$C$5:$C$18,0)),""))</f>
        <v>ERBIUM ASSY</v>
      </c>
      <c r="E540" s="45"/>
      <c r="F540" s="55" t="n">
        <f aca="false">IF(B540="","",IFERROR(INDEX('Kitting Plan'!$H$5:$H$18,MATCH(B540,'Kitting Plan'!$C$5:$C$18,0)),""))</f>
        <v>3</v>
      </c>
      <c r="G540" s="45" t="n">
        <v>1</v>
      </c>
      <c r="H540" s="56" t="n">
        <f aca="false">IF(B540="","",IF(G540="",F540,G540))</f>
        <v>1</v>
      </c>
      <c r="I540" s="45" t="s">
        <v>29</v>
      </c>
      <c r="J540" s="57" t="n">
        <v>46177</v>
      </c>
      <c r="K540" s="46" t="s">
        <v>102</v>
      </c>
      <c r="L540" s="54" t="str">
        <f aca="false">IF(A540="","",IF(B540="","Missing code",IF(C540="Unknown code","Unknown code",IF(COUNTIF($A$6:$A$1005,A540)&gt;1,"Duplicate WO",""))))</f>
        <v/>
      </c>
    </row>
    <row r="541" customFormat="false" ht="23.85" hidden="false" customHeight="false" outlineLevel="0" collapsed="false">
      <c r="A541" s="53" t="n">
        <v>100865460</v>
      </c>
      <c r="B541" s="46" t="s">
        <v>67</v>
      </c>
      <c r="C541" s="54" t="str">
        <f aca="false">IF(B541="","",IFERROR(INDEX('Kitting Plan'!$D$5:$D$18,MATCH(B541,'Kitting Plan'!$C$5:$C$18,0)),"Unknown code"))</f>
        <v>R5B ERBIUM ASSEMBLY POSITION 2</v>
      </c>
      <c r="D541" s="54" t="str">
        <f aca="false">IF(B541="","",IFERROR(INDEX('Kitting Plan'!$B$5:$B$18,MATCH(B541,'Kitting Plan'!$C$5:$C$18,0)),""))</f>
        <v>ERBIUM ASSY</v>
      </c>
      <c r="E541" s="45"/>
      <c r="F541" s="55" t="n">
        <f aca="false">IF(B541="","",IFERROR(INDEX('Kitting Plan'!$H$5:$H$18,MATCH(B541,'Kitting Plan'!$C$5:$C$18,0)),""))</f>
        <v>3</v>
      </c>
      <c r="G541" s="45" t="n">
        <v>1</v>
      </c>
      <c r="H541" s="56" t="n">
        <f aca="false">IF(B541="","",IF(G541="",F541,G541))</f>
        <v>1</v>
      </c>
      <c r="I541" s="45" t="s">
        <v>29</v>
      </c>
      <c r="J541" s="57" t="n">
        <v>46178</v>
      </c>
      <c r="K541" s="46" t="s">
        <v>102</v>
      </c>
      <c r="L541" s="54" t="str">
        <f aca="false">IF(A541="","",IF(B541="","Missing code",IF(C541="Unknown code","Unknown code",IF(COUNTIF($A$6:$A$1005,A541)&gt;1,"Duplicate WO",""))))</f>
        <v/>
      </c>
    </row>
    <row r="542" customFormat="false" ht="23.85" hidden="false" customHeight="false" outlineLevel="0" collapsed="false">
      <c r="A542" s="53" t="n">
        <v>100865461</v>
      </c>
      <c r="B542" s="46" t="s">
        <v>67</v>
      </c>
      <c r="C542" s="54" t="str">
        <f aca="false">IF(B542="","",IFERROR(INDEX('Kitting Plan'!$D$5:$D$18,MATCH(B542,'Kitting Plan'!$C$5:$C$18,0)),"Unknown code"))</f>
        <v>R5B ERBIUM ASSEMBLY POSITION 2</v>
      </c>
      <c r="D542" s="54" t="str">
        <f aca="false">IF(B542="","",IFERROR(INDEX('Kitting Plan'!$B$5:$B$18,MATCH(B542,'Kitting Plan'!$C$5:$C$18,0)),""))</f>
        <v>ERBIUM ASSY</v>
      </c>
      <c r="E542" s="45"/>
      <c r="F542" s="55" t="n">
        <f aca="false">IF(B542="","",IFERROR(INDEX('Kitting Plan'!$H$5:$H$18,MATCH(B542,'Kitting Plan'!$C$5:$C$18,0)),""))</f>
        <v>3</v>
      </c>
      <c r="G542" s="45" t="n">
        <v>1</v>
      </c>
      <c r="H542" s="56" t="n">
        <f aca="false">IF(B542="","",IF(G542="",F542,G542))</f>
        <v>1</v>
      </c>
      <c r="I542" s="45" t="s">
        <v>29</v>
      </c>
      <c r="J542" s="57" t="n">
        <v>46178</v>
      </c>
      <c r="K542" s="46" t="s">
        <v>102</v>
      </c>
      <c r="L542" s="54" t="str">
        <f aca="false">IF(A542="","",IF(B542="","Missing code",IF(C542="Unknown code","Unknown code",IF(COUNTIF($A$6:$A$1005,A542)&gt;1,"Duplicate WO",""))))</f>
        <v/>
      </c>
    </row>
    <row r="543" customFormat="false" ht="23.85" hidden="false" customHeight="false" outlineLevel="0" collapsed="false">
      <c r="A543" s="53" t="n">
        <v>100865463</v>
      </c>
      <c r="B543" s="46" t="s">
        <v>67</v>
      </c>
      <c r="C543" s="54" t="str">
        <f aca="false">IF(B543="","",IFERROR(INDEX('Kitting Plan'!$D$5:$D$18,MATCH(B543,'Kitting Plan'!$C$5:$C$18,0)),"Unknown code"))</f>
        <v>R5B ERBIUM ASSEMBLY POSITION 2</v>
      </c>
      <c r="D543" s="54" t="str">
        <f aca="false">IF(B543="","",IFERROR(INDEX('Kitting Plan'!$B$5:$B$18,MATCH(B543,'Kitting Plan'!$C$5:$C$18,0)),""))</f>
        <v>ERBIUM ASSY</v>
      </c>
      <c r="E543" s="45"/>
      <c r="F543" s="55" t="n">
        <f aca="false">IF(B543="","",IFERROR(INDEX('Kitting Plan'!$H$5:$H$18,MATCH(B543,'Kitting Plan'!$C$5:$C$18,0)),""))</f>
        <v>3</v>
      </c>
      <c r="G543" s="45" t="n">
        <v>1</v>
      </c>
      <c r="H543" s="56" t="n">
        <f aca="false">IF(B543="","",IF(G543="",F543,G543))</f>
        <v>1</v>
      </c>
      <c r="I543" s="45" t="s">
        <v>29</v>
      </c>
      <c r="J543" s="57" t="n">
        <v>46178</v>
      </c>
      <c r="K543" s="46" t="s">
        <v>102</v>
      </c>
      <c r="L543" s="54" t="str">
        <f aca="false">IF(A543="","",IF(B543="","Missing code",IF(C543="Unknown code","Unknown code",IF(COUNTIF($A$6:$A$1005,A543)&gt;1,"Duplicate WO",""))))</f>
        <v/>
      </c>
    </row>
    <row r="544" customFormat="false" ht="23.85" hidden="false" customHeight="false" outlineLevel="0" collapsed="false">
      <c r="A544" s="53" t="n">
        <v>100871602</v>
      </c>
      <c r="B544" s="46" t="s">
        <v>67</v>
      </c>
      <c r="C544" s="54" t="str">
        <f aca="false">IF(B544="","",IFERROR(INDEX('Kitting Plan'!$D$5:$D$18,MATCH(B544,'Kitting Plan'!$C$5:$C$18,0)),"Unknown code"))</f>
        <v>R5B ERBIUM ASSEMBLY POSITION 2</v>
      </c>
      <c r="D544" s="54" t="str">
        <f aca="false">IF(B544="","",IFERROR(INDEX('Kitting Plan'!$B$5:$B$18,MATCH(B544,'Kitting Plan'!$C$5:$C$18,0)),""))</f>
        <v>ERBIUM ASSY</v>
      </c>
      <c r="E544" s="45"/>
      <c r="F544" s="55" t="n">
        <f aca="false">IF(B544="","",IFERROR(INDEX('Kitting Plan'!$H$5:$H$18,MATCH(B544,'Kitting Plan'!$C$5:$C$18,0)),""))</f>
        <v>3</v>
      </c>
      <c r="G544" s="45" t="n">
        <v>1</v>
      </c>
      <c r="H544" s="56" t="n">
        <f aca="false">IF(B544="","",IF(G544="",F544,G544))</f>
        <v>1</v>
      </c>
      <c r="I544" s="45" t="s">
        <v>29</v>
      </c>
      <c r="J544" s="57" t="n">
        <v>46226</v>
      </c>
      <c r="K544" s="46" t="s">
        <v>102</v>
      </c>
      <c r="L544" s="54" t="str">
        <f aca="false">IF(A544="","",IF(B544="","Missing code",IF(C544="Unknown code","Unknown code",IF(COUNTIF($A$6:$A$1005,A544)&gt;1,"Duplicate WO",""))))</f>
        <v/>
      </c>
    </row>
    <row r="545" customFormat="false" ht="23.85" hidden="false" customHeight="false" outlineLevel="0" collapsed="false">
      <c r="A545" s="53" t="n">
        <v>100871603</v>
      </c>
      <c r="B545" s="46" t="s">
        <v>67</v>
      </c>
      <c r="C545" s="54" t="str">
        <f aca="false">IF(B545="","",IFERROR(INDEX('Kitting Plan'!$D$5:$D$18,MATCH(B545,'Kitting Plan'!$C$5:$C$18,0)),"Unknown code"))</f>
        <v>R5B ERBIUM ASSEMBLY POSITION 2</v>
      </c>
      <c r="D545" s="54" t="str">
        <f aca="false">IF(B545="","",IFERROR(INDEX('Kitting Plan'!$B$5:$B$18,MATCH(B545,'Kitting Plan'!$C$5:$C$18,0)),""))</f>
        <v>ERBIUM ASSY</v>
      </c>
      <c r="E545" s="45"/>
      <c r="F545" s="55" t="n">
        <f aca="false">IF(B545="","",IFERROR(INDEX('Kitting Plan'!$H$5:$H$18,MATCH(B545,'Kitting Plan'!$C$5:$C$18,0)),""))</f>
        <v>3</v>
      </c>
      <c r="G545" s="45" t="n">
        <v>1</v>
      </c>
      <c r="H545" s="56" t="n">
        <f aca="false">IF(B545="","",IF(G545="",F545,G545))</f>
        <v>1</v>
      </c>
      <c r="I545" s="45" t="s">
        <v>29</v>
      </c>
      <c r="J545" s="57" t="n">
        <v>46226</v>
      </c>
      <c r="K545" s="46" t="s">
        <v>102</v>
      </c>
      <c r="L545" s="54" t="str">
        <f aca="false">IF(A545="","",IF(B545="","Missing code",IF(C545="Unknown code","Unknown code",IF(COUNTIF($A$6:$A$1005,A545)&gt;1,"Duplicate WO",""))))</f>
        <v/>
      </c>
    </row>
    <row r="546" customFormat="false" ht="23.85" hidden="false" customHeight="false" outlineLevel="0" collapsed="false">
      <c r="A546" s="53" t="n">
        <v>100871604</v>
      </c>
      <c r="B546" s="46" t="s">
        <v>67</v>
      </c>
      <c r="C546" s="54" t="str">
        <f aca="false">IF(B546="","",IFERROR(INDEX('Kitting Plan'!$D$5:$D$18,MATCH(B546,'Kitting Plan'!$C$5:$C$18,0)),"Unknown code"))</f>
        <v>R5B ERBIUM ASSEMBLY POSITION 2</v>
      </c>
      <c r="D546" s="54" t="str">
        <f aca="false">IF(B546="","",IFERROR(INDEX('Kitting Plan'!$B$5:$B$18,MATCH(B546,'Kitting Plan'!$C$5:$C$18,0)),""))</f>
        <v>ERBIUM ASSY</v>
      </c>
      <c r="E546" s="45"/>
      <c r="F546" s="55" t="n">
        <f aca="false">IF(B546="","",IFERROR(INDEX('Kitting Plan'!$H$5:$H$18,MATCH(B546,'Kitting Plan'!$C$5:$C$18,0)),""))</f>
        <v>3</v>
      </c>
      <c r="G546" s="45" t="n">
        <v>1</v>
      </c>
      <c r="H546" s="56" t="n">
        <f aca="false">IF(B546="","",IF(G546="",F546,G546))</f>
        <v>1</v>
      </c>
      <c r="I546" s="45" t="s">
        <v>29</v>
      </c>
      <c r="J546" s="57" t="n">
        <v>46226</v>
      </c>
      <c r="K546" s="46" t="s">
        <v>102</v>
      </c>
      <c r="L546" s="54" t="str">
        <f aca="false">IF(A546="","",IF(B546="","Missing code",IF(C546="Unknown code","Unknown code",IF(COUNTIF($A$6:$A$1005,A546)&gt;1,"Duplicate WO",""))))</f>
        <v/>
      </c>
    </row>
    <row r="547" customFormat="false" ht="23.85" hidden="false" customHeight="false" outlineLevel="0" collapsed="false">
      <c r="A547" s="53" t="n">
        <v>100873313</v>
      </c>
      <c r="B547" s="46" t="s">
        <v>67</v>
      </c>
      <c r="C547" s="54" t="str">
        <f aca="false">IF(B547="","",IFERROR(INDEX('Kitting Plan'!$D$5:$D$18,MATCH(B547,'Kitting Plan'!$C$5:$C$18,0)),"Unknown code"))</f>
        <v>R5B ERBIUM ASSEMBLY POSITION 2</v>
      </c>
      <c r="D547" s="54" t="str">
        <f aca="false">IF(B547="","",IFERROR(INDEX('Kitting Plan'!$B$5:$B$18,MATCH(B547,'Kitting Plan'!$C$5:$C$18,0)),""))</f>
        <v>ERBIUM ASSY</v>
      </c>
      <c r="E547" s="45"/>
      <c r="F547" s="55" t="n">
        <f aca="false">IF(B547="","",IFERROR(INDEX('Kitting Plan'!$H$5:$H$18,MATCH(B547,'Kitting Plan'!$C$5:$C$18,0)),""))</f>
        <v>3</v>
      </c>
      <c r="G547" s="45" t="n">
        <v>1</v>
      </c>
      <c r="H547" s="56" t="n">
        <f aca="false">IF(B547="","",IF(G547="",F547,G547))</f>
        <v>1</v>
      </c>
      <c r="I547" s="45" t="s">
        <v>29</v>
      </c>
      <c r="J547" s="57" t="n">
        <v>46241</v>
      </c>
      <c r="K547" s="46" t="s">
        <v>102</v>
      </c>
      <c r="L547" s="54" t="str">
        <f aca="false">IF(A547="","",IF(B547="","Missing code",IF(C547="Unknown code","Unknown code",IF(COUNTIF($A$6:$A$1005,A547)&gt;1,"Duplicate WO",""))))</f>
        <v/>
      </c>
    </row>
    <row r="548" customFormat="false" ht="23.85" hidden="false" customHeight="false" outlineLevel="0" collapsed="false">
      <c r="A548" s="53" t="n">
        <v>100873314</v>
      </c>
      <c r="B548" s="46" t="s">
        <v>67</v>
      </c>
      <c r="C548" s="54" t="str">
        <f aca="false">IF(B548="","",IFERROR(INDEX('Kitting Plan'!$D$5:$D$18,MATCH(B548,'Kitting Plan'!$C$5:$C$18,0)),"Unknown code"))</f>
        <v>R5B ERBIUM ASSEMBLY POSITION 2</v>
      </c>
      <c r="D548" s="54" t="str">
        <f aca="false">IF(B548="","",IFERROR(INDEX('Kitting Plan'!$B$5:$B$18,MATCH(B548,'Kitting Plan'!$C$5:$C$18,0)),""))</f>
        <v>ERBIUM ASSY</v>
      </c>
      <c r="E548" s="45"/>
      <c r="F548" s="55" t="n">
        <f aca="false">IF(B548="","",IFERROR(INDEX('Kitting Plan'!$H$5:$H$18,MATCH(B548,'Kitting Plan'!$C$5:$C$18,0)),""))</f>
        <v>3</v>
      </c>
      <c r="G548" s="45" t="n">
        <v>1</v>
      </c>
      <c r="H548" s="56" t="n">
        <f aca="false">IF(B548="","",IF(G548="",F548,G548))</f>
        <v>1</v>
      </c>
      <c r="I548" s="45" t="s">
        <v>29</v>
      </c>
      <c r="J548" s="57" t="n">
        <v>46241</v>
      </c>
      <c r="K548" s="46" t="s">
        <v>102</v>
      </c>
      <c r="L548" s="54" t="str">
        <f aca="false">IF(A548="","",IF(B548="","Missing code",IF(C548="Unknown code","Unknown code",IF(COUNTIF($A$6:$A$1005,A548)&gt;1,"Duplicate WO",""))))</f>
        <v/>
      </c>
    </row>
    <row r="549" customFormat="false" ht="23.85" hidden="false" customHeight="false" outlineLevel="0" collapsed="false">
      <c r="A549" s="53" t="n">
        <v>100873315</v>
      </c>
      <c r="B549" s="46" t="s">
        <v>67</v>
      </c>
      <c r="C549" s="54" t="str">
        <f aca="false">IF(B549="","",IFERROR(INDEX('Kitting Plan'!$D$5:$D$18,MATCH(B549,'Kitting Plan'!$C$5:$C$18,0)),"Unknown code"))</f>
        <v>R5B ERBIUM ASSEMBLY POSITION 2</v>
      </c>
      <c r="D549" s="54" t="str">
        <f aca="false">IF(B549="","",IFERROR(INDEX('Kitting Plan'!$B$5:$B$18,MATCH(B549,'Kitting Plan'!$C$5:$C$18,0)),""))</f>
        <v>ERBIUM ASSY</v>
      </c>
      <c r="E549" s="45"/>
      <c r="F549" s="55" t="n">
        <f aca="false">IF(B549="","",IFERROR(INDEX('Kitting Plan'!$H$5:$H$18,MATCH(B549,'Kitting Plan'!$C$5:$C$18,0)),""))</f>
        <v>3</v>
      </c>
      <c r="G549" s="45" t="n">
        <v>1</v>
      </c>
      <c r="H549" s="56" t="n">
        <f aca="false">IF(B549="","",IF(G549="",F549,G549))</f>
        <v>1</v>
      </c>
      <c r="I549" s="45" t="s">
        <v>29</v>
      </c>
      <c r="J549" s="57" t="n">
        <v>46241</v>
      </c>
      <c r="K549" s="46" t="s">
        <v>102</v>
      </c>
      <c r="L549" s="54" t="str">
        <f aca="false">IF(A549="","",IF(B549="","Missing code",IF(C549="Unknown code","Unknown code",IF(COUNTIF($A$6:$A$1005,A549)&gt;1,"Duplicate WO",""))))</f>
        <v/>
      </c>
    </row>
    <row r="550" customFormat="false" ht="23.85" hidden="false" customHeight="false" outlineLevel="0" collapsed="false">
      <c r="A550" s="53" t="n">
        <v>100874174</v>
      </c>
      <c r="B550" s="46" t="s">
        <v>67</v>
      </c>
      <c r="C550" s="54" t="str">
        <f aca="false">IF(B550="","",IFERROR(INDEX('Kitting Plan'!$D$5:$D$18,MATCH(B550,'Kitting Plan'!$C$5:$C$18,0)),"Unknown code"))</f>
        <v>R5B ERBIUM ASSEMBLY POSITION 2</v>
      </c>
      <c r="D550" s="54" t="str">
        <f aca="false">IF(B550="","",IFERROR(INDEX('Kitting Plan'!$B$5:$B$18,MATCH(B550,'Kitting Plan'!$C$5:$C$18,0)),""))</f>
        <v>ERBIUM ASSY</v>
      </c>
      <c r="E550" s="45"/>
      <c r="F550" s="55" t="n">
        <f aca="false">IF(B550="","",IFERROR(INDEX('Kitting Plan'!$H$5:$H$18,MATCH(B550,'Kitting Plan'!$C$5:$C$18,0)),""))</f>
        <v>3</v>
      </c>
      <c r="G550" s="45" t="n">
        <v>1</v>
      </c>
      <c r="H550" s="56" t="n">
        <f aca="false">IF(B550="","",IF(G550="",F550,G550))</f>
        <v>1</v>
      </c>
      <c r="I550" s="45" t="s">
        <v>29</v>
      </c>
      <c r="J550" s="57" t="n">
        <v>46246</v>
      </c>
      <c r="K550" s="46" t="s">
        <v>102</v>
      </c>
      <c r="L550" s="54" t="str">
        <f aca="false">IF(A550="","",IF(B550="","Missing code",IF(C550="Unknown code","Unknown code",IF(COUNTIF($A$6:$A$1005,A550)&gt;1,"Duplicate WO",""))))</f>
        <v/>
      </c>
    </row>
    <row r="551" customFormat="false" ht="23.85" hidden="false" customHeight="false" outlineLevel="0" collapsed="false">
      <c r="A551" s="53" t="n">
        <v>100874175</v>
      </c>
      <c r="B551" s="46" t="s">
        <v>67</v>
      </c>
      <c r="C551" s="54" t="str">
        <f aca="false">IF(B551="","",IFERROR(INDEX('Kitting Plan'!$D$5:$D$18,MATCH(B551,'Kitting Plan'!$C$5:$C$18,0)),"Unknown code"))</f>
        <v>R5B ERBIUM ASSEMBLY POSITION 2</v>
      </c>
      <c r="D551" s="54" t="str">
        <f aca="false">IF(B551="","",IFERROR(INDEX('Kitting Plan'!$B$5:$B$18,MATCH(B551,'Kitting Plan'!$C$5:$C$18,0)),""))</f>
        <v>ERBIUM ASSY</v>
      </c>
      <c r="E551" s="45"/>
      <c r="F551" s="55" t="n">
        <f aca="false">IF(B551="","",IFERROR(INDEX('Kitting Plan'!$H$5:$H$18,MATCH(B551,'Kitting Plan'!$C$5:$C$18,0)),""))</f>
        <v>3</v>
      </c>
      <c r="G551" s="45" t="n">
        <v>1</v>
      </c>
      <c r="H551" s="56" t="n">
        <f aca="false">IF(B551="","",IF(G551="",F551,G551))</f>
        <v>1</v>
      </c>
      <c r="I551" s="45" t="s">
        <v>29</v>
      </c>
      <c r="J551" s="57" t="n">
        <v>46246</v>
      </c>
      <c r="K551" s="46" t="s">
        <v>102</v>
      </c>
      <c r="L551" s="54" t="str">
        <f aca="false">IF(A551="","",IF(B551="","Missing code",IF(C551="Unknown code","Unknown code",IF(COUNTIF($A$6:$A$1005,A551)&gt;1,"Duplicate WO",""))))</f>
        <v/>
      </c>
    </row>
    <row r="552" customFormat="false" ht="23.85" hidden="false" customHeight="false" outlineLevel="0" collapsed="false">
      <c r="A552" s="53" t="n">
        <v>100874176</v>
      </c>
      <c r="B552" s="46" t="s">
        <v>67</v>
      </c>
      <c r="C552" s="54" t="str">
        <f aca="false">IF(B552="","",IFERROR(INDEX('Kitting Plan'!$D$5:$D$18,MATCH(B552,'Kitting Plan'!$C$5:$C$18,0)),"Unknown code"))</f>
        <v>R5B ERBIUM ASSEMBLY POSITION 2</v>
      </c>
      <c r="D552" s="54" t="str">
        <f aca="false">IF(B552="","",IFERROR(INDEX('Kitting Plan'!$B$5:$B$18,MATCH(B552,'Kitting Plan'!$C$5:$C$18,0)),""))</f>
        <v>ERBIUM ASSY</v>
      </c>
      <c r="E552" s="45"/>
      <c r="F552" s="55" t="n">
        <f aca="false">IF(B552="","",IFERROR(INDEX('Kitting Plan'!$H$5:$H$18,MATCH(B552,'Kitting Plan'!$C$5:$C$18,0)),""))</f>
        <v>3</v>
      </c>
      <c r="G552" s="45" t="n">
        <v>1</v>
      </c>
      <c r="H552" s="56" t="n">
        <f aca="false">IF(B552="","",IF(G552="",F552,G552))</f>
        <v>1</v>
      </c>
      <c r="I552" s="45" t="s">
        <v>29</v>
      </c>
      <c r="J552" s="57" t="n">
        <v>46246</v>
      </c>
      <c r="K552" s="46" t="s">
        <v>102</v>
      </c>
      <c r="L552" s="54" t="str">
        <f aca="false">IF(A552="","",IF(B552="","Missing code",IF(C552="Unknown code","Unknown code",IF(COUNTIF($A$6:$A$1005,A552)&gt;1,"Duplicate WO",""))))</f>
        <v/>
      </c>
    </row>
    <row r="553" customFormat="false" ht="23.85" hidden="false" customHeight="false" outlineLevel="0" collapsed="false">
      <c r="A553" s="53" t="n">
        <v>100875707</v>
      </c>
      <c r="B553" s="46" t="s">
        <v>67</v>
      </c>
      <c r="C553" s="54" t="str">
        <f aca="false">IF(B553="","",IFERROR(INDEX('Kitting Plan'!$D$5:$D$18,MATCH(B553,'Kitting Plan'!$C$5:$C$18,0)),"Unknown code"))</f>
        <v>R5B ERBIUM ASSEMBLY POSITION 2</v>
      </c>
      <c r="D553" s="54" t="str">
        <f aca="false">IF(B553="","",IFERROR(INDEX('Kitting Plan'!$B$5:$B$18,MATCH(B553,'Kitting Plan'!$C$5:$C$18,0)),""))</f>
        <v>ERBIUM ASSY</v>
      </c>
      <c r="E553" s="45"/>
      <c r="F553" s="55" t="n">
        <f aca="false">IF(B553="","",IFERROR(INDEX('Kitting Plan'!$H$5:$H$18,MATCH(B553,'Kitting Plan'!$C$5:$C$18,0)),""))</f>
        <v>3</v>
      </c>
      <c r="G553" s="45" t="n">
        <v>1</v>
      </c>
      <c r="H553" s="56" t="n">
        <f aca="false">IF(B553="","",IF(G553="",F553,G553))</f>
        <v>1</v>
      </c>
      <c r="I553" s="45" t="s">
        <v>29</v>
      </c>
      <c r="J553" s="57" t="n">
        <v>46261</v>
      </c>
      <c r="K553" s="46" t="s">
        <v>104</v>
      </c>
      <c r="L553" s="54" t="str">
        <f aca="false">IF(A553="","",IF(B553="","Missing code",IF(C553="Unknown code","Unknown code",IF(COUNTIF($A$6:$A$1005,A553)&gt;1,"Duplicate WO",""))))</f>
        <v/>
      </c>
    </row>
    <row r="554" customFormat="false" ht="23.85" hidden="false" customHeight="false" outlineLevel="0" collapsed="false">
      <c r="A554" s="53" t="n">
        <v>100875708</v>
      </c>
      <c r="B554" s="46" t="s">
        <v>67</v>
      </c>
      <c r="C554" s="54" t="str">
        <f aca="false">IF(B554="","",IFERROR(INDEX('Kitting Plan'!$D$5:$D$18,MATCH(B554,'Kitting Plan'!$C$5:$C$18,0)),"Unknown code"))</f>
        <v>R5B ERBIUM ASSEMBLY POSITION 2</v>
      </c>
      <c r="D554" s="54" t="str">
        <f aca="false">IF(B554="","",IFERROR(INDEX('Kitting Plan'!$B$5:$B$18,MATCH(B554,'Kitting Plan'!$C$5:$C$18,0)),""))</f>
        <v>ERBIUM ASSY</v>
      </c>
      <c r="E554" s="45"/>
      <c r="F554" s="55" t="n">
        <f aca="false">IF(B554="","",IFERROR(INDEX('Kitting Plan'!$H$5:$H$18,MATCH(B554,'Kitting Plan'!$C$5:$C$18,0)),""))</f>
        <v>3</v>
      </c>
      <c r="G554" s="45" t="n">
        <v>1</v>
      </c>
      <c r="H554" s="56" t="n">
        <f aca="false">IF(B554="","",IF(G554="",F554,G554))</f>
        <v>1</v>
      </c>
      <c r="I554" s="45" t="s">
        <v>29</v>
      </c>
      <c r="J554" s="57" t="n">
        <v>46261</v>
      </c>
      <c r="K554" s="46" t="s">
        <v>104</v>
      </c>
      <c r="L554" s="54" t="str">
        <f aca="false">IF(A554="","",IF(B554="","Missing code",IF(C554="Unknown code","Unknown code",IF(COUNTIF($A$6:$A$1005,A554)&gt;1,"Duplicate WO",""))))</f>
        <v/>
      </c>
    </row>
    <row r="555" customFormat="false" ht="23.85" hidden="false" customHeight="false" outlineLevel="0" collapsed="false">
      <c r="A555" s="53" t="n">
        <v>100875709</v>
      </c>
      <c r="B555" s="46" t="s">
        <v>67</v>
      </c>
      <c r="C555" s="54" t="str">
        <f aca="false">IF(B555="","",IFERROR(INDEX('Kitting Plan'!$D$5:$D$18,MATCH(B555,'Kitting Plan'!$C$5:$C$18,0)),"Unknown code"))</f>
        <v>R5B ERBIUM ASSEMBLY POSITION 2</v>
      </c>
      <c r="D555" s="54" t="str">
        <f aca="false">IF(B555="","",IFERROR(INDEX('Kitting Plan'!$B$5:$B$18,MATCH(B555,'Kitting Plan'!$C$5:$C$18,0)),""))</f>
        <v>ERBIUM ASSY</v>
      </c>
      <c r="E555" s="45"/>
      <c r="F555" s="55" t="n">
        <f aca="false">IF(B555="","",IFERROR(INDEX('Kitting Plan'!$H$5:$H$18,MATCH(B555,'Kitting Plan'!$C$5:$C$18,0)),""))</f>
        <v>3</v>
      </c>
      <c r="G555" s="45" t="n">
        <v>1</v>
      </c>
      <c r="H555" s="56" t="n">
        <f aca="false">IF(B555="","",IF(G555="",F555,G555))</f>
        <v>1</v>
      </c>
      <c r="I555" s="45" t="s">
        <v>29</v>
      </c>
      <c r="J555" s="57" t="n">
        <v>46261</v>
      </c>
      <c r="K555" s="46" t="s">
        <v>104</v>
      </c>
      <c r="L555" s="54" t="str">
        <f aca="false">IF(A555="","",IF(B555="","Missing code",IF(C555="Unknown code","Unknown code",IF(COUNTIF($A$6:$A$1005,A555)&gt;1,"Duplicate WO",""))))</f>
        <v/>
      </c>
    </row>
    <row r="556" customFormat="false" ht="23.85" hidden="false" customHeight="false" outlineLevel="0" collapsed="false">
      <c r="A556" s="53" t="n">
        <v>100876297</v>
      </c>
      <c r="B556" s="46" t="s">
        <v>67</v>
      </c>
      <c r="C556" s="54" t="str">
        <f aca="false">IF(B556="","",IFERROR(INDEX('Kitting Plan'!$D$5:$D$18,MATCH(B556,'Kitting Plan'!$C$5:$C$18,0)),"Unknown code"))</f>
        <v>R5B ERBIUM ASSEMBLY POSITION 2</v>
      </c>
      <c r="D556" s="54" t="str">
        <f aca="false">IF(B556="","",IFERROR(INDEX('Kitting Plan'!$B$5:$B$18,MATCH(B556,'Kitting Plan'!$C$5:$C$18,0)),""))</f>
        <v>ERBIUM ASSY</v>
      </c>
      <c r="E556" s="45"/>
      <c r="F556" s="55" t="n">
        <f aca="false">IF(B556="","",IFERROR(INDEX('Kitting Plan'!$H$5:$H$18,MATCH(B556,'Kitting Plan'!$C$5:$C$18,0)),""))</f>
        <v>3</v>
      </c>
      <c r="G556" s="45" t="n">
        <v>1</v>
      </c>
      <c r="H556" s="56" t="n">
        <f aca="false">IF(B556="","",IF(G556="",F556,G556))</f>
        <v>1</v>
      </c>
      <c r="I556" s="45" t="s">
        <v>29</v>
      </c>
      <c r="J556" s="57" t="n">
        <v>46269</v>
      </c>
      <c r="K556" s="46" t="s">
        <v>102</v>
      </c>
      <c r="L556" s="54" t="str">
        <f aca="false">IF(A556="","",IF(B556="","Missing code",IF(C556="Unknown code","Unknown code",IF(COUNTIF($A$6:$A$1005,A556)&gt;1,"Duplicate WO",""))))</f>
        <v/>
      </c>
    </row>
    <row r="557" customFormat="false" ht="23.85" hidden="false" customHeight="false" outlineLevel="0" collapsed="false">
      <c r="A557" s="53" t="n">
        <v>100876298</v>
      </c>
      <c r="B557" s="46" t="s">
        <v>67</v>
      </c>
      <c r="C557" s="54" t="str">
        <f aca="false">IF(B557="","",IFERROR(INDEX('Kitting Plan'!$D$5:$D$18,MATCH(B557,'Kitting Plan'!$C$5:$C$18,0)),"Unknown code"))</f>
        <v>R5B ERBIUM ASSEMBLY POSITION 2</v>
      </c>
      <c r="D557" s="54" t="str">
        <f aca="false">IF(B557="","",IFERROR(INDEX('Kitting Plan'!$B$5:$B$18,MATCH(B557,'Kitting Plan'!$C$5:$C$18,0)),""))</f>
        <v>ERBIUM ASSY</v>
      </c>
      <c r="E557" s="45"/>
      <c r="F557" s="55" t="n">
        <f aca="false">IF(B557="","",IFERROR(INDEX('Kitting Plan'!$H$5:$H$18,MATCH(B557,'Kitting Plan'!$C$5:$C$18,0)),""))</f>
        <v>3</v>
      </c>
      <c r="G557" s="45" t="n">
        <v>1</v>
      </c>
      <c r="H557" s="56" t="n">
        <f aca="false">IF(B557="","",IF(G557="",F557,G557))</f>
        <v>1</v>
      </c>
      <c r="I557" s="45" t="s">
        <v>27</v>
      </c>
      <c r="J557" s="57" t="n">
        <v>46269</v>
      </c>
      <c r="K557" s="46" t="s">
        <v>108</v>
      </c>
      <c r="L557" s="54" t="str">
        <f aca="false">IF(A557="","",IF(B557="","Missing code",IF(C557="Unknown code","Unknown code",IF(COUNTIF($A$6:$A$1005,A557)&gt;1,"Duplicate WO",""))))</f>
        <v/>
      </c>
    </row>
    <row r="558" customFormat="false" ht="23.85" hidden="false" customHeight="false" outlineLevel="0" collapsed="false">
      <c r="A558" s="53" t="n">
        <v>100876299</v>
      </c>
      <c r="B558" s="46" t="s">
        <v>67</v>
      </c>
      <c r="C558" s="54" t="str">
        <f aca="false">IF(B558="","",IFERROR(INDEX('Kitting Plan'!$D$5:$D$18,MATCH(B558,'Kitting Plan'!$C$5:$C$18,0)),"Unknown code"))</f>
        <v>R5B ERBIUM ASSEMBLY POSITION 2</v>
      </c>
      <c r="D558" s="54" t="str">
        <f aca="false">IF(B558="","",IFERROR(INDEX('Kitting Plan'!$B$5:$B$18,MATCH(B558,'Kitting Plan'!$C$5:$C$18,0)),""))</f>
        <v>ERBIUM ASSY</v>
      </c>
      <c r="E558" s="45"/>
      <c r="F558" s="55" t="n">
        <f aca="false">IF(B558="","",IFERROR(INDEX('Kitting Plan'!$H$5:$H$18,MATCH(B558,'Kitting Plan'!$C$5:$C$18,0)),""))</f>
        <v>3</v>
      </c>
      <c r="G558" s="45" t="n">
        <v>1</v>
      </c>
      <c r="H558" s="56" t="n">
        <f aca="false">IF(B558="","",IF(G558="",F558,G558))</f>
        <v>1</v>
      </c>
      <c r="I558" s="45" t="s">
        <v>29</v>
      </c>
      <c r="J558" s="57" t="n">
        <v>46269</v>
      </c>
      <c r="K558" s="46" t="s">
        <v>102</v>
      </c>
      <c r="L558" s="54" t="str">
        <f aca="false">IF(A558="","",IF(B558="","Missing code",IF(C558="Unknown code","Unknown code",IF(COUNTIF($A$6:$A$1005,A558)&gt;1,"Duplicate WO",""))))</f>
        <v/>
      </c>
    </row>
    <row r="559" customFormat="false" ht="23.85" hidden="false" customHeight="false" outlineLevel="0" collapsed="false">
      <c r="A559" s="53" t="n">
        <v>100877976</v>
      </c>
      <c r="B559" s="46" t="s">
        <v>67</v>
      </c>
      <c r="C559" s="54" t="str">
        <f aca="false">IF(B559="","",IFERROR(INDEX('Kitting Plan'!$D$5:$D$18,MATCH(B559,'Kitting Plan'!$C$5:$C$18,0)),"Unknown code"))</f>
        <v>R5B ERBIUM ASSEMBLY POSITION 2</v>
      </c>
      <c r="D559" s="54" t="str">
        <f aca="false">IF(B559="","",IFERROR(INDEX('Kitting Plan'!$B$5:$B$18,MATCH(B559,'Kitting Plan'!$C$5:$C$18,0)),""))</f>
        <v>ERBIUM ASSY</v>
      </c>
      <c r="E559" s="45"/>
      <c r="F559" s="55" t="n">
        <f aca="false">IF(B559="","",IFERROR(INDEX('Kitting Plan'!$H$5:$H$18,MATCH(B559,'Kitting Plan'!$C$5:$C$18,0)),""))</f>
        <v>3</v>
      </c>
      <c r="G559" s="45" t="n">
        <v>1</v>
      </c>
      <c r="H559" s="56" t="n">
        <f aca="false">IF(B559="","",IF(G559="",F559,G559))</f>
        <v>1</v>
      </c>
      <c r="I559" s="45" t="s">
        <v>27</v>
      </c>
      <c r="J559" s="57" t="n">
        <v>46281</v>
      </c>
      <c r="K559" s="46" t="s">
        <v>108</v>
      </c>
      <c r="L559" s="54" t="str">
        <f aca="false">IF(A559="","",IF(B559="","Missing code",IF(C559="Unknown code","Unknown code",IF(COUNTIF($A$6:$A$1005,A559)&gt;1,"Duplicate WO",""))))</f>
        <v/>
      </c>
    </row>
    <row r="560" customFormat="false" ht="23.85" hidden="false" customHeight="false" outlineLevel="0" collapsed="false">
      <c r="A560" s="53" t="n">
        <v>100877977</v>
      </c>
      <c r="B560" s="46" t="s">
        <v>67</v>
      </c>
      <c r="C560" s="54" t="str">
        <f aca="false">IF(B560="","",IFERROR(INDEX('Kitting Plan'!$D$5:$D$18,MATCH(B560,'Kitting Plan'!$C$5:$C$18,0)),"Unknown code"))</f>
        <v>R5B ERBIUM ASSEMBLY POSITION 2</v>
      </c>
      <c r="D560" s="54" t="str">
        <f aca="false">IF(B560="","",IFERROR(INDEX('Kitting Plan'!$B$5:$B$18,MATCH(B560,'Kitting Plan'!$C$5:$C$18,0)),""))</f>
        <v>ERBIUM ASSY</v>
      </c>
      <c r="E560" s="45"/>
      <c r="F560" s="55" t="n">
        <f aca="false">IF(B560="","",IFERROR(INDEX('Kitting Plan'!$H$5:$H$18,MATCH(B560,'Kitting Plan'!$C$5:$C$18,0)),""))</f>
        <v>3</v>
      </c>
      <c r="G560" s="45" t="n">
        <v>1</v>
      </c>
      <c r="H560" s="56" t="n">
        <f aca="false">IF(B560="","",IF(G560="",F560,G560))</f>
        <v>1</v>
      </c>
      <c r="I560" s="45" t="s">
        <v>27</v>
      </c>
      <c r="J560" s="57" t="n">
        <v>46281</v>
      </c>
      <c r="K560" s="46" t="s">
        <v>108</v>
      </c>
      <c r="L560" s="54" t="str">
        <f aca="false">IF(A560="","",IF(B560="","Missing code",IF(C560="Unknown code","Unknown code",IF(COUNTIF($A$6:$A$1005,A560)&gt;1,"Duplicate WO",""))))</f>
        <v/>
      </c>
    </row>
    <row r="561" customFormat="false" ht="23.85" hidden="false" customHeight="false" outlineLevel="0" collapsed="false">
      <c r="A561" s="53" t="n">
        <v>100877978</v>
      </c>
      <c r="B561" s="46" t="s">
        <v>67</v>
      </c>
      <c r="C561" s="54" t="str">
        <f aca="false">IF(B561="","",IFERROR(INDEX('Kitting Plan'!$D$5:$D$18,MATCH(B561,'Kitting Plan'!$C$5:$C$18,0)),"Unknown code"))</f>
        <v>R5B ERBIUM ASSEMBLY POSITION 2</v>
      </c>
      <c r="D561" s="54" t="str">
        <f aca="false">IF(B561="","",IFERROR(INDEX('Kitting Plan'!$B$5:$B$18,MATCH(B561,'Kitting Plan'!$C$5:$C$18,0)),""))</f>
        <v>ERBIUM ASSY</v>
      </c>
      <c r="E561" s="45"/>
      <c r="F561" s="55" t="n">
        <f aca="false">IF(B561="","",IFERROR(INDEX('Kitting Plan'!$H$5:$H$18,MATCH(B561,'Kitting Plan'!$C$5:$C$18,0)),""))</f>
        <v>3</v>
      </c>
      <c r="G561" s="45" t="n">
        <v>1</v>
      </c>
      <c r="H561" s="56" t="n">
        <f aca="false">IF(B561="","",IF(G561="",F561,G561))</f>
        <v>1</v>
      </c>
      <c r="I561" s="45" t="s">
        <v>27</v>
      </c>
      <c r="J561" s="57" t="n">
        <v>46281</v>
      </c>
      <c r="K561" s="46" t="s">
        <v>108</v>
      </c>
      <c r="L561" s="54" t="str">
        <f aca="false">IF(A561="","",IF(B561="","Missing code",IF(C561="Unknown code","Unknown code",IF(COUNTIF($A$6:$A$1005,A561)&gt;1,"Duplicate WO",""))))</f>
        <v/>
      </c>
    </row>
    <row r="562" customFormat="false" ht="23.85" hidden="false" customHeight="false" outlineLevel="0" collapsed="false">
      <c r="A562" s="53" t="n">
        <v>100879335</v>
      </c>
      <c r="B562" s="46" t="s">
        <v>67</v>
      </c>
      <c r="C562" s="54" t="str">
        <f aca="false">IF(B562="","",IFERROR(INDEX('Kitting Plan'!$D$5:$D$18,MATCH(B562,'Kitting Plan'!$C$5:$C$18,0)),"Unknown code"))</f>
        <v>R5B ERBIUM ASSEMBLY POSITION 2</v>
      </c>
      <c r="D562" s="54" t="str">
        <f aca="false">IF(B562="","",IFERROR(INDEX('Kitting Plan'!$B$5:$B$18,MATCH(B562,'Kitting Plan'!$C$5:$C$18,0)),""))</f>
        <v>ERBIUM ASSY</v>
      </c>
      <c r="E562" s="45"/>
      <c r="F562" s="55" t="n">
        <f aca="false">IF(B562="","",IFERROR(INDEX('Kitting Plan'!$H$5:$H$18,MATCH(B562,'Kitting Plan'!$C$5:$C$18,0)),""))</f>
        <v>3</v>
      </c>
      <c r="G562" s="45" t="n">
        <v>1</v>
      </c>
      <c r="H562" s="56" t="n">
        <f aca="false">IF(B562="","",IF(G562="",F562,G562))</f>
        <v>1</v>
      </c>
      <c r="I562" s="45" t="s">
        <v>27</v>
      </c>
      <c r="J562" s="57" t="n">
        <v>46293</v>
      </c>
      <c r="K562" s="46" t="s">
        <v>105</v>
      </c>
      <c r="L562" s="54" t="str">
        <f aca="false">IF(A562="","",IF(B562="","Missing code",IF(C562="Unknown code","Unknown code",IF(COUNTIF($A$6:$A$1005,A562)&gt;1,"Duplicate WO",""))))</f>
        <v/>
      </c>
    </row>
    <row r="563" customFormat="false" ht="23.85" hidden="false" customHeight="false" outlineLevel="0" collapsed="false">
      <c r="A563" s="53" t="n">
        <v>100879336</v>
      </c>
      <c r="B563" s="46" t="s">
        <v>67</v>
      </c>
      <c r="C563" s="54" t="str">
        <f aca="false">IF(B563="","",IFERROR(INDEX('Kitting Plan'!$D$5:$D$18,MATCH(B563,'Kitting Plan'!$C$5:$C$18,0)),"Unknown code"))</f>
        <v>R5B ERBIUM ASSEMBLY POSITION 2</v>
      </c>
      <c r="D563" s="54" t="str">
        <f aca="false">IF(B563="","",IFERROR(INDEX('Kitting Plan'!$B$5:$B$18,MATCH(B563,'Kitting Plan'!$C$5:$C$18,0)),""))</f>
        <v>ERBIUM ASSY</v>
      </c>
      <c r="E563" s="45"/>
      <c r="F563" s="55" t="n">
        <f aca="false">IF(B563="","",IFERROR(INDEX('Kitting Plan'!$H$5:$H$18,MATCH(B563,'Kitting Plan'!$C$5:$C$18,0)),""))</f>
        <v>3</v>
      </c>
      <c r="G563" s="45" t="n">
        <v>1</v>
      </c>
      <c r="H563" s="56" t="n">
        <f aca="false">IF(B563="","",IF(G563="",F563,G563))</f>
        <v>1</v>
      </c>
      <c r="I563" s="45" t="s">
        <v>27</v>
      </c>
      <c r="J563" s="57" t="n">
        <v>46293</v>
      </c>
      <c r="K563" s="46" t="s">
        <v>105</v>
      </c>
      <c r="L563" s="54" t="str">
        <f aca="false">IF(A563="","",IF(B563="","Missing code",IF(C563="Unknown code","Unknown code",IF(COUNTIF($A$6:$A$1005,A563)&gt;1,"Duplicate WO",""))))</f>
        <v/>
      </c>
    </row>
    <row r="564" customFormat="false" ht="23.85" hidden="false" customHeight="false" outlineLevel="0" collapsed="false">
      <c r="A564" s="53" t="n">
        <v>100879337</v>
      </c>
      <c r="B564" s="46" t="s">
        <v>67</v>
      </c>
      <c r="C564" s="54" t="str">
        <f aca="false">IF(B564="","",IFERROR(INDEX('Kitting Plan'!$D$5:$D$18,MATCH(B564,'Kitting Plan'!$C$5:$C$18,0)),"Unknown code"))</f>
        <v>R5B ERBIUM ASSEMBLY POSITION 2</v>
      </c>
      <c r="D564" s="54" t="str">
        <f aca="false">IF(B564="","",IFERROR(INDEX('Kitting Plan'!$B$5:$B$18,MATCH(B564,'Kitting Plan'!$C$5:$C$18,0)),""))</f>
        <v>ERBIUM ASSY</v>
      </c>
      <c r="E564" s="45"/>
      <c r="F564" s="55" t="n">
        <f aca="false">IF(B564="","",IFERROR(INDEX('Kitting Plan'!$H$5:$H$18,MATCH(B564,'Kitting Plan'!$C$5:$C$18,0)),""))</f>
        <v>3</v>
      </c>
      <c r="G564" s="45" t="n">
        <v>1</v>
      </c>
      <c r="H564" s="56" t="n">
        <f aca="false">IF(B564="","",IF(G564="",F564,G564))</f>
        <v>1</v>
      </c>
      <c r="I564" s="45" t="s">
        <v>27</v>
      </c>
      <c r="J564" s="57" t="n">
        <v>46293</v>
      </c>
      <c r="K564" s="46" t="s">
        <v>105</v>
      </c>
      <c r="L564" s="54" t="str">
        <f aca="false">IF(A564="","",IF(B564="","Missing code",IF(C564="Unknown code","Unknown code",IF(COUNTIF($A$6:$A$1005,A564)&gt;1,"Duplicate WO",""))))</f>
        <v/>
      </c>
    </row>
    <row r="565" customFormat="false" ht="15" hidden="false" customHeight="false" outlineLevel="0" collapsed="false">
      <c r="A565" s="53" t="n">
        <v>100880013</v>
      </c>
      <c r="B565" s="46" t="s">
        <v>67</v>
      </c>
      <c r="C565" s="54" t="str">
        <f aca="false">IF(B565="","",IFERROR(INDEX('Kitting Plan'!$D$5:$D$18,MATCH(B565,'Kitting Plan'!$C$5:$C$18,0)),"Unknown code"))</f>
        <v>R5B ERBIUM ASSEMBLY POSITION 2</v>
      </c>
      <c r="D565" s="54" t="str">
        <f aca="false">IF(B565="","",IFERROR(INDEX('Kitting Plan'!$B$5:$B$18,MATCH(B565,'Kitting Plan'!$C$5:$C$18,0)),""))</f>
        <v>ERBIUM ASSY</v>
      </c>
      <c r="E565" s="45"/>
      <c r="F565" s="55" t="n">
        <f aca="false">IF(B565="","",IFERROR(INDEX('Kitting Plan'!$H$5:$H$18,MATCH(B565,'Kitting Plan'!$C$5:$C$18,0)),""))</f>
        <v>3</v>
      </c>
      <c r="G565" s="45" t="n">
        <v>1</v>
      </c>
      <c r="H565" s="56" t="n">
        <f aca="false">IF(B565="","",IF(G565="",F565,G565))</f>
        <v>1</v>
      </c>
      <c r="I565" s="45" t="s">
        <v>27</v>
      </c>
      <c r="J565" s="57" t="n">
        <v>46296</v>
      </c>
      <c r="K565" s="46" t="s">
        <v>107</v>
      </c>
      <c r="L565" s="54" t="str">
        <f aca="false">IF(A565="","",IF(B565="","Missing code",IF(C565="Unknown code","Unknown code",IF(COUNTIF($A$6:$A$1005,A565)&gt;1,"Duplicate WO",""))))</f>
        <v/>
      </c>
    </row>
    <row r="566" customFormat="false" ht="15" hidden="false" customHeight="false" outlineLevel="0" collapsed="false">
      <c r="A566" s="53" t="n">
        <v>100880014</v>
      </c>
      <c r="B566" s="46" t="s">
        <v>67</v>
      </c>
      <c r="C566" s="54" t="str">
        <f aca="false">IF(B566="","",IFERROR(INDEX('Kitting Plan'!$D$5:$D$18,MATCH(B566,'Kitting Plan'!$C$5:$C$18,0)),"Unknown code"))</f>
        <v>R5B ERBIUM ASSEMBLY POSITION 2</v>
      </c>
      <c r="D566" s="54" t="str">
        <f aca="false">IF(B566="","",IFERROR(INDEX('Kitting Plan'!$B$5:$B$18,MATCH(B566,'Kitting Plan'!$C$5:$C$18,0)),""))</f>
        <v>ERBIUM ASSY</v>
      </c>
      <c r="E566" s="45"/>
      <c r="F566" s="55" t="n">
        <f aca="false">IF(B566="","",IFERROR(INDEX('Kitting Plan'!$H$5:$H$18,MATCH(B566,'Kitting Plan'!$C$5:$C$18,0)),""))</f>
        <v>3</v>
      </c>
      <c r="G566" s="45" t="n">
        <v>1</v>
      </c>
      <c r="H566" s="56" t="n">
        <f aca="false">IF(B566="","",IF(G566="",F566,G566))</f>
        <v>1</v>
      </c>
      <c r="I566" s="45" t="s">
        <v>27</v>
      </c>
      <c r="J566" s="57" t="n">
        <v>46296</v>
      </c>
      <c r="K566" s="46" t="s">
        <v>107</v>
      </c>
      <c r="L566" s="54" t="str">
        <f aca="false">IF(A566="","",IF(B566="","Missing code",IF(C566="Unknown code","Unknown code",IF(COUNTIF($A$6:$A$1005,A566)&gt;1,"Duplicate WO",""))))</f>
        <v/>
      </c>
    </row>
    <row r="567" customFormat="false" ht="15" hidden="false" customHeight="false" outlineLevel="0" collapsed="false">
      <c r="A567" s="53" t="n">
        <v>100880015</v>
      </c>
      <c r="B567" s="46" t="s">
        <v>67</v>
      </c>
      <c r="C567" s="54" t="str">
        <f aca="false">IF(B567="","",IFERROR(INDEX('Kitting Plan'!$D$5:$D$18,MATCH(B567,'Kitting Plan'!$C$5:$C$18,0)),"Unknown code"))</f>
        <v>R5B ERBIUM ASSEMBLY POSITION 2</v>
      </c>
      <c r="D567" s="54" t="str">
        <f aca="false">IF(B567="","",IFERROR(INDEX('Kitting Plan'!$B$5:$B$18,MATCH(B567,'Kitting Plan'!$C$5:$C$18,0)),""))</f>
        <v>ERBIUM ASSY</v>
      </c>
      <c r="E567" s="45"/>
      <c r="F567" s="55" t="n">
        <f aca="false">IF(B567="","",IFERROR(INDEX('Kitting Plan'!$H$5:$H$18,MATCH(B567,'Kitting Plan'!$C$5:$C$18,0)),""))</f>
        <v>3</v>
      </c>
      <c r="G567" s="45" t="n">
        <v>1</v>
      </c>
      <c r="H567" s="56" t="n">
        <f aca="false">IF(B567="","",IF(G567="",F567,G567))</f>
        <v>1</v>
      </c>
      <c r="I567" s="45" t="s">
        <v>27</v>
      </c>
      <c r="J567" s="57" t="n">
        <v>46296</v>
      </c>
      <c r="K567" s="46" t="s">
        <v>107</v>
      </c>
      <c r="L567" s="54" t="str">
        <f aca="false">IF(A567="","",IF(B567="","Missing code",IF(C567="Unknown code","Unknown code",IF(COUNTIF($A$6:$A$1005,A567)&gt;1,"Duplicate WO",""))))</f>
        <v/>
      </c>
    </row>
    <row r="568" customFormat="false" ht="15" hidden="false" customHeight="false" outlineLevel="0" collapsed="false">
      <c r="A568" s="53" t="n">
        <v>100880115</v>
      </c>
      <c r="B568" s="46" t="s">
        <v>67</v>
      </c>
      <c r="C568" s="54" t="str">
        <f aca="false">IF(B568="","",IFERROR(INDEX('Kitting Plan'!$D$5:$D$18,MATCH(B568,'Kitting Plan'!$C$5:$C$18,0)),"Unknown code"))</f>
        <v>R5B ERBIUM ASSEMBLY POSITION 2</v>
      </c>
      <c r="D568" s="54" t="str">
        <f aca="false">IF(B568="","",IFERROR(INDEX('Kitting Plan'!$B$5:$B$18,MATCH(B568,'Kitting Plan'!$C$5:$C$18,0)),""))</f>
        <v>ERBIUM ASSY</v>
      </c>
      <c r="E568" s="45"/>
      <c r="F568" s="55" t="n">
        <f aca="false">IF(B568="","",IFERROR(INDEX('Kitting Plan'!$H$5:$H$18,MATCH(B568,'Kitting Plan'!$C$5:$C$18,0)),""))</f>
        <v>3</v>
      </c>
      <c r="G568" s="45" t="n">
        <v>1</v>
      </c>
      <c r="H568" s="56" t="n">
        <f aca="false">IF(B568="","",IF(G568="",F568,G568))</f>
        <v>1</v>
      </c>
      <c r="I568" s="45" t="s">
        <v>27</v>
      </c>
      <c r="J568" s="57" t="n">
        <v>46296</v>
      </c>
      <c r="K568" s="46" t="s">
        <v>107</v>
      </c>
      <c r="L568" s="54" t="str">
        <f aca="false">IF(A568="","",IF(B568="","Missing code",IF(C568="Unknown code","Unknown code",IF(COUNTIF($A$6:$A$1005,A568)&gt;1,"Duplicate WO",""))))</f>
        <v/>
      </c>
    </row>
    <row r="569" customFormat="false" ht="15" hidden="false" customHeight="false" outlineLevel="0" collapsed="false">
      <c r="A569" s="53" t="n">
        <v>100880116</v>
      </c>
      <c r="B569" s="46" t="s">
        <v>67</v>
      </c>
      <c r="C569" s="54" t="str">
        <f aca="false">IF(B569="","",IFERROR(INDEX('Kitting Plan'!$D$5:$D$18,MATCH(B569,'Kitting Plan'!$C$5:$C$18,0)),"Unknown code"))</f>
        <v>R5B ERBIUM ASSEMBLY POSITION 2</v>
      </c>
      <c r="D569" s="54" t="str">
        <f aca="false">IF(B569="","",IFERROR(INDEX('Kitting Plan'!$B$5:$B$18,MATCH(B569,'Kitting Plan'!$C$5:$C$18,0)),""))</f>
        <v>ERBIUM ASSY</v>
      </c>
      <c r="E569" s="45"/>
      <c r="F569" s="55" t="n">
        <f aca="false">IF(B569="","",IFERROR(INDEX('Kitting Plan'!$H$5:$H$18,MATCH(B569,'Kitting Plan'!$C$5:$C$18,0)),""))</f>
        <v>3</v>
      </c>
      <c r="G569" s="45" t="n">
        <v>1</v>
      </c>
      <c r="H569" s="56" t="n">
        <f aca="false">IF(B569="","",IF(G569="",F569,G569))</f>
        <v>1</v>
      </c>
      <c r="I569" s="45" t="s">
        <v>27</v>
      </c>
      <c r="J569" s="57" t="n">
        <v>46296</v>
      </c>
      <c r="K569" s="46" t="s">
        <v>107</v>
      </c>
      <c r="L569" s="54" t="str">
        <f aca="false">IF(A569="","",IF(B569="","Missing code",IF(C569="Unknown code","Unknown code",IF(COUNTIF($A$6:$A$1005,A569)&gt;1,"Duplicate WO",""))))</f>
        <v/>
      </c>
    </row>
    <row r="570" customFormat="false" ht="15" hidden="false" customHeight="false" outlineLevel="0" collapsed="false">
      <c r="A570" s="53" t="n">
        <v>100880117</v>
      </c>
      <c r="B570" s="46" t="s">
        <v>67</v>
      </c>
      <c r="C570" s="54" t="str">
        <f aca="false">IF(B570="","",IFERROR(INDEX('Kitting Plan'!$D$5:$D$18,MATCH(B570,'Kitting Plan'!$C$5:$C$18,0)),"Unknown code"))</f>
        <v>R5B ERBIUM ASSEMBLY POSITION 2</v>
      </c>
      <c r="D570" s="54" t="str">
        <f aca="false">IF(B570="","",IFERROR(INDEX('Kitting Plan'!$B$5:$B$18,MATCH(B570,'Kitting Plan'!$C$5:$C$18,0)),""))</f>
        <v>ERBIUM ASSY</v>
      </c>
      <c r="E570" s="45"/>
      <c r="F570" s="55" t="n">
        <f aca="false">IF(B570="","",IFERROR(INDEX('Kitting Plan'!$H$5:$H$18,MATCH(B570,'Kitting Plan'!$C$5:$C$18,0)),""))</f>
        <v>3</v>
      </c>
      <c r="G570" s="45" t="n">
        <v>1</v>
      </c>
      <c r="H570" s="56" t="n">
        <f aca="false">IF(B570="","",IF(G570="",F570,G570))</f>
        <v>1</v>
      </c>
      <c r="I570" s="45" t="s">
        <v>27</v>
      </c>
      <c r="J570" s="57" t="n">
        <v>46296</v>
      </c>
      <c r="K570" s="46" t="s">
        <v>107</v>
      </c>
      <c r="L570" s="54" t="str">
        <f aca="false">IF(A570="","",IF(B570="","Missing code",IF(C570="Unknown code","Unknown code",IF(COUNTIF($A$6:$A$1005,A570)&gt;1,"Duplicate WO",""))))</f>
        <v/>
      </c>
    </row>
    <row r="571" customFormat="false" ht="15" hidden="false" customHeight="false" outlineLevel="0" collapsed="false">
      <c r="A571" s="53" t="n">
        <v>100880225</v>
      </c>
      <c r="B571" s="46" t="s">
        <v>67</v>
      </c>
      <c r="C571" s="54" t="str">
        <f aca="false">IF(B571="","",IFERROR(INDEX('Kitting Plan'!$D$5:$D$18,MATCH(B571,'Kitting Plan'!$C$5:$C$18,0)),"Unknown code"))</f>
        <v>R5B ERBIUM ASSEMBLY POSITION 2</v>
      </c>
      <c r="D571" s="54" t="str">
        <f aca="false">IF(B571="","",IFERROR(INDEX('Kitting Plan'!$B$5:$B$18,MATCH(B571,'Kitting Plan'!$C$5:$C$18,0)),""))</f>
        <v>ERBIUM ASSY</v>
      </c>
      <c r="E571" s="45"/>
      <c r="F571" s="55" t="n">
        <f aca="false">IF(B571="","",IFERROR(INDEX('Kitting Plan'!$H$5:$H$18,MATCH(B571,'Kitting Plan'!$C$5:$C$18,0)),""))</f>
        <v>3</v>
      </c>
      <c r="G571" s="45" t="n">
        <v>1</v>
      </c>
      <c r="H571" s="56" t="n">
        <f aca="false">IF(B571="","",IF(G571="",F571,G571))</f>
        <v>1</v>
      </c>
      <c r="I571" s="45" t="s">
        <v>27</v>
      </c>
      <c r="J571" s="57" t="n">
        <v>46297</v>
      </c>
      <c r="K571" s="46" t="s">
        <v>107</v>
      </c>
      <c r="L571" s="54" t="str">
        <f aca="false">IF(A571="","",IF(B571="","Missing code",IF(C571="Unknown code","Unknown code",IF(COUNTIF($A$6:$A$1005,A571)&gt;1,"Duplicate WO",""))))</f>
        <v/>
      </c>
    </row>
    <row r="572" customFormat="false" ht="15" hidden="false" customHeight="false" outlineLevel="0" collapsed="false">
      <c r="A572" s="53" t="n">
        <v>100880226</v>
      </c>
      <c r="B572" s="46" t="s">
        <v>67</v>
      </c>
      <c r="C572" s="54" t="str">
        <f aca="false">IF(B572="","",IFERROR(INDEX('Kitting Plan'!$D$5:$D$18,MATCH(B572,'Kitting Plan'!$C$5:$C$18,0)),"Unknown code"))</f>
        <v>R5B ERBIUM ASSEMBLY POSITION 2</v>
      </c>
      <c r="D572" s="54" t="str">
        <f aca="false">IF(B572="","",IFERROR(INDEX('Kitting Plan'!$B$5:$B$18,MATCH(B572,'Kitting Plan'!$C$5:$C$18,0)),""))</f>
        <v>ERBIUM ASSY</v>
      </c>
      <c r="E572" s="45"/>
      <c r="F572" s="55" t="n">
        <f aca="false">IF(B572="","",IFERROR(INDEX('Kitting Plan'!$H$5:$H$18,MATCH(B572,'Kitting Plan'!$C$5:$C$18,0)),""))</f>
        <v>3</v>
      </c>
      <c r="G572" s="45" t="n">
        <v>1</v>
      </c>
      <c r="H572" s="56" t="n">
        <f aca="false">IF(B572="","",IF(G572="",F572,G572))</f>
        <v>1</v>
      </c>
      <c r="I572" s="45" t="s">
        <v>27</v>
      </c>
      <c r="J572" s="57" t="n">
        <v>46297</v>
      </c>
      <c r="K572" s="46" t="s">
        <v>107</v>
      </c>
      <c r="L572" s="54" t="str">
        <f aca="false">IF(A572="","",IF(B572="","Missing code",IF(C572="Unknown code","Unknown code",IF(COUNTIF($A$6:$A$1005,A572)&gt;1,"Duplicate WO",""))))</f>
        <v/>
      </c>
    </row>
    <row r="573" customFormat="false" ht="15" hidden="false" customHeight="false" outlineLevel="0" collapsed="false">
      <c r="A573" s="53" t="n">
        <v>100880227</v>
      </c>
      <c r="B573" s="46" t="s">
        <v>67</v>
      </c>
      <c r="C573" s="54" t="str">
        <f aca="false">IF(B573="","",IFERROR(INDEX('Kitting Plan'!$D$5:$D$18,MATCH(B573,'Kitting Plan'!$C$5:$C$18,0)),"Unknown code"))</f>
        <v>R5B ERBIUM ASSEMBLY POSITION 2</v>
      </c>
      <c r="D573" s="54" t="str">
        <f aca="false">IF(B573="","",IFERROR(INDEX('Kitting Plan'!$B$5:$B$18,MATCH(B573,'Kitting Plan'!$C$5:$C$18,0)),""))</f>
        <v>ERBIUM ASSY</v>
      </c>
      <c r="E573" s="45"/>
      <c r="F573" s="55" t="n">
        <f aca="false">IF(B573="","",IFERROR(INDEX('Kitting Plan'!$H$5:$H$18,MATCH(B573,'Kitting Plan'!$C$5:$C$18,0)),""))</f>
        <v>3</v>
      </c>
      <c r="G573" s="45" t="n">
        <v>1</v>
      </c>
      <c r="H573" s="56" t="n">
        <f aca="false">IF(B573="","",IF(G573="",F573,G573))</f>
        <v>1</v>
      </c>
      <c r="I573" s="45" t="s">
        <v>27</v>
      </c>
      <c r="J573" s="57" t="n">
        <v>46297</v>
      </c>
      <c r="K573" s="46" t="s">
        <v>107</v>
      </c>
      <c r="L573" s="54" t="str">
        <f aca="false">IF(A573="","",IF(B573="","Missing code",IF(C573="Unknown code","Unknown code",IF(COUNTIF($A$6:$A$1005,A573)&gt;1,"Duplicate WO",""))))</f>
        <v/>
      </c>
    </row>
    <row r="574" customFormat="false" ht="15" hidden="false" customHeight="false" outlineLevel="0" collapsed="false">
      <c r="A574" s="53" t="n">
        <v>100880284</v>
      </c>
      <c r="B574" s="46" t="s">
        <v>67</v>
      </c>
      <c r="C574" s="54" t="str">
        <f aca="false">IF(B574="","",IFERROR(INDEX('Kitting Plan'!$D$5:$D$18,MATCH(B574,'Kitting Plan'!$C$5:$C$18,0)),"Unknown code"))</f>
        <v>R5B ERBIUM ASSEMBLY POSITION 2</v>
      </c>
      <c r="D574" s="54" t="str">
        <f aca="false">IF(B574="","",IFERROR(INDEX('Kitting Plan'!$B$5:$B$18,MATCH(B574,'Kitting Plan'!$C$5:$C$18,0)),""))</f>
        <v>ERBIUM ASSY</v>
      </c>
      <c r="E574" s="45"/>
      <c r="F574" s="55" t="n">
        <f aca="false">IF(B574="","",IFERROR(INDEX('Kitting Plan'!$H$5:$H$18,MATCH(B574,'Kitting Plan'!$C$5:$C$18,0)),""))</f>
        <v>3</v>
      </c>
      <c r="G574" s="45" t="n">
        <v>1</v>
      </c>
      <c r="H574" s="56" t="n">
        <f aca="false">IF(B574="","",IF(G574="",F574,G574))</f>
        <v>1</v>
      </c>
      <c r="I574" s="45" t="s">
        <v>27</v>
      </c>
      <c r="J574" s="57" t="n">
        <v>46297</v>
      </c>
      <c r="K574" s="46" t="s">
        <v>107</v>
      </c>
      <c r="L574" s="54" t="str">
        <f aca="false">IF(A574="","",IF(B574="","Missing code",IF(C574="Unknown code","Unknown code",IF(COUNTIF($A$6:$A$1005,A574)&gt;1,"Duplicate WO",""))))</f>
        <v/>
      </c>
    </row>
    <row r="575" customFormat="false" ht="15" hidden="false" customHeight="false" outlineLevel="0" collapsed="false">
      <c r="A575" s="53" t="n">
        <v>100880285</v>
      </c>
      <c r="B575" s="46" t="s">
        <v>67</v>
      </c>
      <c r="C575" s="54" t="str">
        <f aca="false">IF(B575="","",IFERROR(INDEX('Kitting Plan'!$D$5:$D$18,MATCH(B575,'Kitting Plan'!$C$5:$C$18,0)),"Unknown code"))</f>
        <v>R5B ERBIUM ASSEMBLY POSITION 2</v>
      </c>
      <c r="D575" s="54" t="str">
        <f aca="false">IF(B575="","",IFERROR(INDEX('Kitting Plan'!$B$5:$B$18,MATCH(B575,'Kitting Plan'!$C$5:$C$18,0)),""))</f>
        <v>ERBIUM ASSY</v>
      </c>
      <c r="E575" s="45"/>
      <c r="F575" s="55" t="n">
        <f aca="false">IF(B575="","",IFERROR(INDEX('Kitting Plan'!$H$5:$H$18,MATCH(B575,'Kitting Plan'!$C$5:$C$18,0)),""))</f>
        <v>3</v>
      </c>
      <c r="G575" s="45" t="n">
        <v>1</v>
      </c>
      <c r="H575" s="56" t="n">
        <f aca="false">IF(B575="","",IF(G575="",F575,G575))</f>
        <v>1</v>
      </c>
      <c r="I575" s="45" t="s">
        <v>27</v>
      </c>
      <c r="J575" s="57" t="n">
        <v>46297</v>
      </c>
      <c r="K575" s="46" t="s">
        <v>107</v>
      </c>
      <c r="L575" s="54" t="str">
        <f aca="false">IF(A575="","",IF(B575="","Missing code",IF(C575="Unknown code","Unknown code",IF(COUNTIF($A$6:$A$1005,A575)&gt;1,"Duplicate WO",""))))</f>
        <v/>
      </c>
    </row>
    <row r="576" customFormat="false" ht="15" hidden="false" customHeight="false" outlineLevel="0" collapsed="false">
      <c r="A576" s="53" t="n">
        <v>100880286</v>
      </c>
      <c r="B576" s="46" t="s">
        <v>67</v>
      </c>
      <c r="C576" s="54" t="str">
        <f aca="false">IF(B576="","",IFERROR(INDEX('Kitting Plan'!$D$5:$D$18,MATCH(B576,'Kitting Plan'!$C$5:$C$18,0)),"Unknown code"))</f>
        <v>R5B ERBIUM ASSEMBLY POSITION 2</v>
      </c>
      <c r="D576" s="54" t="str">
        <f aca="false">IF(B576="","",IFERROR(INDEX('Kitting Plan'!$B$5:$B$18,MATCH(B576,'Kitting Plan'!$C$5:$C$18,0)),""))</f>
        <v>ERBIUM ASSY</v>
      </c>
      <c r="E576" s="45"/>
      <c r="F576" s="55" t="n">
        <f aca="false">IF(B576="","",IFERROR(INDEX('Kitting Plan'!$H$5:$H$18,MATCH(B576,'Kitting Plan'!$C$5:$C$18,0)),""))</f>
        <v>3</v>
      </c>
      <c r="G576" s="45" t="n">
        <v>1</v>
      </c>
      <c r="H576" s="56" t="n">
        <f aca="false">IF(B576="","",IF(G576="",F576,G576))</f>
        <v>1</v>
      </c>
      <c r="I576" s="45" t="s">
        <v>27</v>
      </c>
      <c r="J576" s="57" t="n">
        <v>46297</v>
      </c>
      <c r="K576" s="46" t="s">
        <v>107</v>
      </c>
      <c r="L576" s="54" t="str">
        <f aca="false">IF(A576="","",IF(B576="","Missing code",IF(C576="Unknown code","Unknown code",IF(COUNTIF($A$6:$A$1005,A576)&gt;1,"Duplicate WO",""))))</f>
        <v/>
      </c>
    </row>
    <row r="577" customFormat="false" ht="23.85" hidden="false" customHeight="false" outlineLevel="0" collapsed="false">
      <c r="A577" s="53" t="n">
        <v>100863715</v>
      </c>
      <c r="B577" s="46" t="s">
        <v>69</v>
      </c>
      <c r="C577" s="54" t="str">
        <f aca="false">IF(B577="","",IFERROR(INDEX('Kitting Plan'!$D$5:$D$18,MATCH(B577,'Kitting Plan'!$C$5:$C$18,0)),"Unknown code"))</f>
        <v>R5B ERBIUM ASSEMBLY POSITION 3</v>
      </c>
      <c r="D577" s="54" t="str">
        <f aca="false">IF(B577="","",IFERROR(INDEX('Kitting Plan'!$B$5:$B$18,MATCH(B577,'Kitting Plan'!$C$5:$C$18,0)),""))</f>
        <v>ERBIUM ASSY</v>
      </c>
      <c r="E577" s="45"/>
      <c r="F577" s="55" t="n">
        <f aca="false">IF(B577="","",IFERROR(INDEX('Kitting Plan'!$H$5:$H$18,MATCH(B577,'Kitting Plan'!$C$5:$C$18,0)),""))</f>
        <v>3</v>
      </c>
      <c r="G577" s="45" t="n">
        <v>1</v>
      </c>
      <c r="H577" s="56" t="n">
        <f aca="false">IF(B577="","",IF(G577="",F577,G577))</f>
        <v>1</v>
      </c>
      <c r="I577" s="45" t="s">
        <v>29</v>
      </c>
      <c r="J577" s="57" t="n">
        <v>46165</v>
      </c>
      <c r="K577" s="46" t="s">
        <v>102</v>
      </c>
      <c r="L577" s="54" t="str">
        <f aca="false">IF(A577="","",IF(B577="","Missing code",IF(C577="Unknown code","Unknown code",IF(COUNTIF($A$6:$A$1005,A577)&gt;1,"Duplicate WO",""))))</f>
        <v/>
      </c>
    </row>
    <row r="578" customFormat="false" ht="23.85" hidden="false" customHeight="false" outlineLevel="0" collapsed="false">
      <c r="A578" s="53" t="n">
        <v>100863716</v>
      </c>
      <c r="B578" s="46" t="s">
        <v>69</v>
      </c>
      <c r="C578" s="54" t="str">
        <f aca="false">IF(B578="","",IFERROR(INDEX('Kitting Plan'!$D$5:$D$18,MATCH(B578,'Kitting Plan'!$C$5:$C$18,0)),"Unknown code"))</f>
        <v>R5B ERBIUM ASSEMBLY POSITION 3</v>
      </c>
      <c r="D578" s="54" t="str">
        <f aca="false">IF(B578="","",IFERROR(INDEX('Kitting Plan'!$B$5:$B$18,MATCH(B578,'Kitting Plan'!$C$5:$C$18,0)),""))</f>
        <v>ERBIUM ASSY</v>
      </c>
      <c r="E578" s="45"/>
      <c r="F578" s="55" t="n">
        <f aca="false">IF(B578="","",IFERROR(INDEX('Kitting Plan'!$H$5:$H$18,MATCH(B578,'Kitting Plan'!$C$5:$C$18,0)),""))</f>
        <v>3</v>
      </c>
      <c r="G578" s="45" t="n">
        <v>1</v>
      </c>
      <c r="H578" s="56" t="n">
        <f aca="false">IF(B578="","",IF(G578="",F578,G578))</f>
        <v>1</v>
      </c>
      <c r="I578" s="45" t="s">
        <v>29</v>
      </c>
      <c r="J578" s="57" t="n">
        <v>46165</v>
      </c>
      <c r="K578" s="46" t="s">
        <v>102</v>
      </c>
      <c r="L578" s="54" t="str">
        <f aca="false">IF(A578="","",IF(B578="","Missing code",IF(C578="Unknown code","Unknown code",IF(COUNTIF($A$6:$A$1005,A578)&gt;1,"Duplicate WO",""))))</f>
        <v/>
      </c>
    </row>
    <row r="579" customFormat="false" ht="23.85" hidden="false" customHeight="false" outlineLevel="0" collapsed="false">
      <c r="A579" s="53" t="n">
        <v>100863717</v>
      </c>
      <c r="B579" s="46" t="s">
        <v>69</v>
      </c>
      <c r="C579" s="54" t="str">
        <f aca="false">IF(B579="","",IFERROR(INDEX('Kitting Plan'!$D$5:$D$18,MATCH(B579,'Kitting Plan'!$C$5:$C$18,0)),"Unknown code"))</f>
        <v>R5B ERBIUM ASSEMBLY POSITION 3</v>
      </c>
      <c r="D579" s="54" t="str">
        <f aca="false">IF(B579="","",IFERROR(INDEX('Kitting Plan'!$B$5:$B$18,MATCH(B579,'Kitting Plan'!$C$5:$C$18,0)),""))</f>
        <v>ERBIUM ASSY</v>
      </c>
      <c r="E579" s="45"/>
      <c r="F579" s="55" t="n">
        <f aca="false">IF(B579="","",IFERROR(INDEX('Kitting Plan'!$H$5:$H$18,MATCH(B579,'Kitting Plan'!$C$5:$C$18,0)),""))</f>
        <v>3</v>
      </c>
      <c r="G579" s="45" t="n">
        <v>1</v>
      </c>
      <c r="H579" s="56" t="n">
        <f aca="false">IF(B579="","",IF(G579="",F579,G579))</f>
        <v>1</v>
      </c>
      <c r="I579" s="45" t="s">
        <v>29</v>
      </c>
      <c r="J579" s="57" t="n">
        <v>46165</v>
      </c>
      <c r="K579" s="46" t="s">
        <v>104</v>
      </c>
      <c r="L579" s="54" t="str">
        <f aca="false">IF(A579="","",IF(B579="","Missing code",IF(C579="Unknown code","Unknown code",IF(COUNTIF($A$6:$A$1005,A579)&gt;1,"Duplicate WO",""))))</f>
        <v/>
      </c>
    </row>
    <row r="580" customFormat="false" ht="23.85" hidden="false" customHeight="false" outlineLevel="0" collapsed="false">
      <c r="A580" s="53" t="n">
        <v>100865030</v>
      </c>
      <c r="B580" s="46" t="s">
        <v>69</v>
      </c>
      <c r="C580" s="54" t="str">
        <f aca="false">IF(B580="","",IFERROR(INDEX('Kitting Plan'!$D$5:$D$18,MATCH(B580,'Kitting Plan'!$C$5:$C$18,0)),"Unknown code"))</f>
        <v>R5B ERBIUM ASSEMBLY POSITION 3</v>
      </c>
      <c r="D580" s="54" t="str">
        <f aca="false">IF(B580="","",IFERROR(INDEX('Kitting Plan'!$B$5:$B$18,MATCH(B580,'Kitting Plan'!$C$5:$C$18,0)),""))</f>
        <v>ERBIUM ASSY</v>
      </c>
      <c r="E580" s="45"/>
      <c r="F580" s="55" t="n">
        <f aca="false">IF(B580="","",IFERROR(INDEX('Kitting Plan'!$H$5:$H$18,MATCH(B580,'Kitting Plan'!$C$5:$C$18,0)),""))</f>
        <v>3</v>
      </c>
      <c r="G580" s="45" t="n">
        <v>1</v>
      </c>
      <c r="H580" s="56" t="n">
        <f aca="false">IF(B580="","",IF(G580="",F580,G580))</f>
        <v>1</v>
      </c>
      <c r="I580" s="45" t="s">
        <v>29</v>
      </c>
      <c r="J580" s="57" t="n">
        <v>46176</v>
      </c>
      <c r="K580" s="46" t="s">
        <v>102</v>
      </c>
      <c r="L580" s="54" t="str">
        <f aca="false">IF(A580="","",IF(B580="","Missing code",IF(C580="Unknown code","Unknown code",IF(COUNTIF($A$6:$A$1005,A580)&gt;1,"Duplicate WO",""))))</f>
        <v/>
      </c>
    </row>
    <row r="581" customFormat="false" ht="23.85" hidden="false" customHeight="false" outlineLevel="0" collapsed="false">
      <c r="A581" s="53" t="n">
        <v>100865031</v>
      </c>
      <c r="B581" s="46" t="s">
        <v>69</v>
      </c>
      <c r="C581" s="54" t="str">
        <f aca="false">IF(B581="","",IFERROR(INDEX('Kitting Plan'!$D$5:$D$18,MATCH(B581,'Kitting Plan'!$C$5:$C$18,0)),"Unknown code"))</f>
        <v>R5B ERBIUM ASSEMBLY POSITION 3</v>
      </c>
      <c r="D581" s="54" t="str">
        <f aca="false">IF(B581="","",IFERROR(INDEX('Kitting Plan'!$B$5:$B$18,MATCH(B581,'Kitting Plan'!$C$5:$C$18,0)),""))</f>
        <v>ERBIUM ASSY</v>
      </c>
      <c r="E581" s="45"/>
      <c r="F581" s="55" t="n">
        <f aca="false">IF(B581="","",IFERROR(INDEX('Kitting Plan'!$H$5:$H$18,MATCH(B581,'Kitting Plan'!$C$5:$C$18,0)),""))</f>
        <v>3</v>
      </c>
      <c r="G581" s="45" t="n">
        <v>1</v>
      </c>
      <c r="H581" s="56" t="n">
        <f aca="false">IF(B581="","",IF(G581="",F581,G581))</f>
        <v>1</v>
      </c>
      <c r="I581" s="45" t="s">
        <v>29</v>
      </c>
      <c r="J581" s="57" t="n">
        <v>46176</v>
      </c>
      <c r="K581" s="46" t="s">
        <v>102</v>
      </c>
      <c r="L581" s="54" t="str">
        <f aca="false">IF(A581="","",IF(B581="","Missing code",IF(C581="Unknown code","Unknown code",IF(COUNTIF($A$6:$A$1005,A581)&gt;1,"Duplicate WO",""))))</f>
        <v/>
      </c>
    </row>
    <row r="582" customFormat="false" ht="23.85" hidden="false" customHeight="false" outlineLevel="0" collapsed="false">
      <c r="A582" s="53" t="n">
        <v>100865032</v>
      </c>
      <c r="B582" s="46" t="s">
        <v>69</v>
      </c>
      <c r="C582" s="54" t="str">
        <f aca="false">IF(B582="","",IFERROR(INDEX('Kitting Plan'!$D$5:$D$18,MATCH(B582,'Kitting Plan'!$C$5:$C$18,0)),"Unknown code"))</f>
        <v>R5B ERBIUM ASSEMBLY POSITION 3</v>
      </c>
      <c r="D582" s="54" t="str">
        <f aca="false">IF(B582="","",IFERROR(INDEX('Kitting Plan'!$B$5:$B$18,MATCH(B582,'Kitting Plan'!$C$5:$C$18,0)),""))</f>
        <v>ERBIUM ASSY</v>
      </c>
      <c r="E582" s="45"/>
      <c r="F582" s="55" t="n">
        <f aca="false">IF(B582="","",IFERROR(INDEX('Kitting Plan'!$H$5:$H$18,MATCH(B582,'Kitting Plan'!$C$5:$C$18,0)),""))</f>
        <v>3</v>
      </c>
      <c r="G582" s="45" t="n">
        <v>1</v>
      </c>
      <c r="H582" s="56" t="n">
        <f aca="false">IF(B582="","",IF(G582="",F582,G582))</f>
        <v>1</v>
      </c>
      <c r="I582" s="45" t="s">
        <v>29</v>
      </c>
      <c r="J582" s="57" t="n">
        <v>46176</v>
      </c>
      <c r="K582" s="46" t="s">
        <v>102</v>
      </c>
      <c r="L582" s="54" t="str">
        <f aca="false">IF(A582="","",IF(B582="","Missing code",IF(C582="Unknown code","Unknown code",IF(COUNTIF($A$6:$A$1005,A582)&gt;1,"Duplicate WO",""))))</f>
        <v/>
      </c>
    </row>
    <row r="583" customFormat="false" ht="15" hidden="false" customHeight="false" outlineLevel="0" collapsed="false">
      <c r="A583" s="53" t="n">
        <v>100871615</v>
      </c>
      <c r="B583" s="46" t="s">
        <v>69</v>
      </c>
      <c r="C583" s="54" t="str">
        <f aca="false">IF(B583="","",IFERROR(INDEX('Kitting Plan'!$D$5:$D$18,MATCH(B583,'Kitting Plan'!$C$5:$C$18,0)),"Unknown code"))</f>
        <v>R5B ERBIUM ASSEMBLY POSITION 3</v>
      </c>
      <c r="D583" s="54" t="str">
        <f aca="false">IF(B583="","",IFERROR(INDEX('Kitting Plan'!$B$5:$B$18,MATCH(B583,'Kitting Plan'!$C$5:$C$18,0)),""))</f>
        <v>ERBIUM ASSY</v>
      </c>
      <c r="E583" s="45"/>
      <c r="F583" s="55" t="n">
        <f aca="false">IF(B583="","",IFERROR(INDEX('Kitting Plan'!$H$5:$H$18,MATCH(B583,'Kitting Plan'!$C$5:$C$18,0)),""))</f>
        <v>3</v>
      </c>
      <c r="G583" s="45" t="n">
        <v>1</v>
      </c>
      <c r="H583" s="56" t="n">
        <f aca="false">IF(B583="","",IF(G583="",F583,G583))</f>
        <v>1</v>
      </c>
      <c r="I583" s="45" t="s">
        <v>25</v>
      </c>
      <c r="J583" s="57" t="n">
        <v>46226</v>
      </c>
      <c r="K583" s="46" t="s">
        <v>106</v>
      </c>
      <c r="L583" s="54" t="str">
        <f aca="false">IF(A583="","",IF(B583="","Missing code",IF(C583="Unknown code","Unknown code",IF(COUNTIF($A$6:$A$1005,A583)&gt;1,"Duplicate WO",""))))</f>
        <v/>
      </c>
    </row>
    <row r="584" customFormat="false" ht="15" hidden="false" customHeight="false" outlineLevel="0" collapsed="false">
      <c r="A584" s="53" t="n">
        <v>100871616</v>
      </c>
      <c r="B584" s="46" t="s">
        <v>69</v>
      </c>
      <c r="C584" s="54" t="str">
        <f aca="false">IF(B584="","",IFERROR(INDEX('Kitting Plan'!$D$5:$D$18,MATCH(B584,'Kitting Plan'!$C$5:$C$18,0)),"Unknown code"))</f>
        <v>R5B ERBIUM ASSEMBLY POSITION 3</v>
      </c>
      <c r="D584" s="54" t="str">
        <f aca="false">IF(B584="","",IFERROR(INDEX('Kitting Plan'!$B$5:$B$18,MATCH(B584,'Kitting Plan'!$C$5:$C$18,0)),""))</f>
        <v>ERBIUM ASSY</v>
      </c>
      <c r="E584" s="45"/>
      <c r="F584" s="55" t="n">
        <f aca="false">IF(B584="","",IFERROR(INDEX('Kitting Plan'!$H$5:$H$18,MATCH(B584,'Kitting Plan'!$C$5:$C$18,0)),""))</f>
        <v>3</v>
      </c>
      <c r="G584" s="45" t="n">
        <v>1</v>
      </c>
      <c r="H584" s="56" t="n">
        <f aca="false">IF(B584="","",IF(G584="",F584,G584))</f>
        <v>1</v>
      </c>
      <c r="I584" s="45" t="s">
        <v>25</v>
      </c>
      <c r="J584" s="57" t="n">
        <v>46226</v>
      </c>
      <c r="K584" s="46" t="s">
        <v>106</v>
      </c>
      <c r="L584" s="54" t="str">
        <f aca="false">IF(A584="","",IF(B584="","Missing code",IF(C584="Unknown code","Unknown code",IF(COUNTIF($A$6:$A$1005,A584)&gt;1,"Duplicate WO",""))))</f>
        <v/>
      </c>
    </row>
    <row r="585" customFormat="false" ht="15" hidden="false" customHeight="false" outlineLevel="0" collapsed="false">
      <c r="A585" s="53" t="n">
        <v>100871617</v>
      </c>
      <c r="B585" s="46" t="s">
        <v>69</v>
      </c>
      <c r="C585" s="54" t="str">
        <f aca="false">IF(B585="","",IFERROR(INDEX('Kitting Plan'!$D$5:$D$18,MATCH(B585,'Kitting Plan'!$C$5:$C$18,0)),"Unknown code"))</f>
        <v>R5B ERBIUM ASSEMBLY POSITION 3</v>
      </c>
      <c r="D585" s="54" t="str">
        <f aca="false">IF(B585="","",IFERROR(INDEX('Kitting Plan'!$B$5:$B$18,MATCH(B585,'Kitting Plan'!$C$5:$C$18,0)),""))</f>
        <v>ERBIUM ASSY</v>
      </c>
      <c r="E585" s="45"/>
      <c r="F585" s="55" t="n">
        <f aca="false">IF(B585="","",IFERROR(INDEX('Kitting Plan'!$H$5:$H$18,MATCH(B585,'Kitting Plan'!$C$5:$C$18,0)),""))</f>
        <v>3</v>
      </c>
      <c r="G585" s="45" t="n">
        <v>1</v>
      </c>
      <c r="H585" s="56" t="n">
        <f aca="false">IF(B585="","",IF(G585="",F585,G585))</f>
        <v>1</v>
      </c>
      <c r="I585" s="45" t="s">
        <v>25</v>
      </c>
      <c r="J585" s="57" t="n">
        <v>46226</v>
      </c>
      <c r="K585" s="46" t="s">
        <v>106</v>
      </c>
      <c r="L585" s="54" t="str">
        <f aca="false">IF(A585="","",IF(B585="","Missing code",IF(C585="Unknown code","Unknown code",IF(COUNTIF($A$6:$A$1005,A585)&gt;1,"Duplicate WO",""))))</f>
        <v/>
      </c>
    </row>
    <row r="586" customFormat="false" ht="23.85" hidden="false" customHeight="false" outlineLevel="0" collapsed="false">
      <c r="A586" s="53" t="n">
        <v>100871605</v>
      </c>
      <c r="B586" s="46" t="s">
        <v>69</v>
      </c>
      <c r="C586" s="54" t="str">
        <f aca="false">IF(B586="","",IFERROR(INDEX('Kitting Plan'!$D$5:$D$18,MATCH(B586,'Kitting Plan'!$C$5:$C$18,0)),"Unknown code"))</f>
        <v>R5B ERBIUM ASSEMBLY POSITION 3</v>
      </c>
      <c r="D586" s="54" t="str">
        <f aca="false">IF(B586="","",IFERROR(INDEX('Kitting Plan'!$B$5:$B$18,MATCH(B586,'Kitting Plan'!$C$5:$C$18,0)),""))</f>
        <v>ERBIUM ASSY</v>
      </c>
      <c r="E586" s="45"/>
      <c r="F586" s="55" t="n">
        <f aca="false">IF(B586="","",IFERROR(INDEX('Kitting Plan'!$H$5:$H$18,MATCH(B586,'Kitting Plan'!$C$5:$C$18,0)),""))</f>
        <v>3</v>
      </c>
      <c r="G586" s="45" t="n">
        <v>1</v>
      </c>
      <c r="H586" s="56" t="n">
        <f aca="false">IF(B586="","",IF(G586="",F586,G586))</f>
        <v>1</v>
      </c>
      <c r="I586" s="45" t="s">
        <v>29</v>
      </c>
      <c r="J586" s="57" t="n">
        <v>46232</v>
      </c>
      <c r="K586" s="46" t="s">
        <v>102</v>
      </c>
      <c r="L586" s="54" t="str">
        <f aca="false">IF(A586="","",IF(B586="","Missing code",IF(C586="Unknown code","Unknown code",IF(COUNTIF($A$6:$A$1005,A586)&gt;1,"Duplicate WO",""))))</f>
        <v/>
      </c>
    </row>
    <row r="587" customFormat="false" ht="23.85" hidden="false" customHeight="false" outlineLevel="0" collapsed="false">
      <c r="A587" s="53" t="n">
        <v>100871606</v>
      </c>
      <c r="B587" s="46" t="s">
        <v>69</v>
      </c>
      <c r="C587" s="54" t="str">
        <f aca="false">IF(B587="","",IFERROR(INDEX('Kitting Plan'!$D$5:$D$18,MATCH(B587,'Kitting Plan'!$C$5:$C$18,0)),"Unknown code"))</f>
        <v>R5B ERBIUM ASSEMBLY POSITION 3</v>
      </c>
      <c r="D587" s="54" t="str">
        <f aca="false">IF(B587="","",IFERROR(INDEX('Kitting Plan'!$B$5:$B$18,MATCH(B587,'Kitting Plan'!$C$5:$C$18,0)),""))</f>
        <v>ERBIUM ASSY</v>
      </c>
      <c r="E587" s="45"/>
      <c r="F587" s="55" t="n">
        <f aca="false">IF(B587="","",IFERROR(INDEX('Kitting Plan'!$H$5:$H$18,MATCH(B587,'Kitting Plan'!$C$5:$C$18,0)),""))</f>
        <v>3</v>
      </c>
      <c r="G587" s="45" t="n">
        <v>1</v>
      </c>
      <c r="H587" s="56" t="n">
        <f aca="false">IF(B587="","",IF(G587="",F587,G587))</f>
        <v>1</v>
      </c>
      <c r="I587" s="45" t="s">
        <v>29</v>
      </c>
      <c r="J587" s="57" t="n">
        <v>46232</v>
      </c>
      <c r="K587" s="46" t="s">
        <v>102</v>
      </c>
      <c r="L587" s="54" t="str">
        <f aca="false">IF(A587="","",IF(B587="","Missing code",IF(C587="Unknown code","Unknown code",IF(COUNTIF($A$6:$A$1005,A587)&gt;1,"Duplicate WO",""))))</f>
        <v/>
      </c>
    </row>
    <row r="588" customFormat="false" ht="23.85" hidden="false" customHeight="false" outlineLevel="0" collapsed="false">
      <c r="A588" s="53" t="n">
        <v>100871607</v>
      </c>
      <c r="B588" s="46" t="s">
        <v>69</v>
      </c>
      <c r="C588" s="54" t="str">
        <f aca="false">IF(B588="","",IFERROR(INDEX('Kitting Plan'!$D$5:$D$18,MATCH(B588,'Kitting Plan'!$C$5:$C$18,0)),"Unknown code"))</f>
        <v>R5B ERBIUM ASSEMBLY POSITION 3</v>
      </c>
      <c r="D588" s="54" t="str">
        <f aca="false">IF(B588="","",IFERROR(INDEX('Kitting Plan'!$B$5:$B$18,MATCH(B588,'Kitting Plan'!$C$5:$C$18,0)),""))</f>
        <v>ERBIUM ASSY</v>
      </c>
      <c r="E588" s="45"/>
      <c r="F588" s="55" t="n">
        <f aca="false">IF(B588="","",IFERROR(INDEX('Kitting Plan'!$H$5:$H$18,MATCH(B588,'Kitting Plan'!$C$5:$C$18,0)),""))</f>
        <v>3</v>
      </c>
      <c r="G588" s="45" t="n">
        <v>1</v>
      </c>
      <c r="H588" s="56" t="n">
        <f aca="false">IF(B588="","",IF(G588="",F588,G588))</f>
        <v>1</v>
      </c>
      <c r="I588" s="45" t="s">
        <v>29</v>
      </c>
      <c r="J588" s="57" t="n">
        <v>46232</v>
      </c>
      <c r="K588" s="46" t="s">
        <v>102</v>
      </c>
      <c r="L588" s="54" t="str">
        <f aca="false">IF(A588="","",IF(B588="","Missing code",IF(C588="Unknown code","Unknown code",IF(COUNTIF($A$6:$A$1005,A588)&gt;1,"Duplicate WO",""))))</f>
        <v/>
      </c>
    </row>
    <row r="589" customFormat="false" ht="23.85" hidden="false" customHeight="false" outlineLevel="0" collapsed="false">
      <c r="A589" s="53" t="n">
        <v>100873316</v>
      </c>
      <c r="B589" s="46" t="s">
        <v>69</v>
      </c>
      <c r="C589" s="54" t="str">
        <f aca="false">IF(B589="","",IFERROR(INDEX('Kitting Plan'!$D$5:$D$18,MATCH(B589,'Kitting Plan'!$C$5:$C$18,0)),"Unknown code"))</f>
        <v>R5B ERBIUM ASSEMBLY POSITION 3</v>
      </c>
      <c r="D589" s="54" t="str">
        <f aca="false">IF(B589="","",IFERROR(INDEX('Kitting Plan'!$B$5:$B$18,MATCH(B589,'Kitting Plan'!$C$5:$C$18,0)),""))</f>
        <v>ERBIUM ASSY</v>
      </c>
      <c r="E589" s="45"/>
      <c r="F589" s="55" t="n">
        <f aca="false">IF(B589="","",IFERROR(INDEX('Kitting Plan'!$H$5:$H$18,MATCH(B589,'Kitting Plan'!$C$5:$C$18,0)),""))</f>
        <v>3</v>
      </c>
      <c r="G589" s="45" t="n">
        <v>1</v>
      </c>
      <c r="H589" s="56" t="n">
        <f aca="false">IF(B589="","",IF(G589="",F589,G589))</f>
        <v>1</v>
      </c>
      <c r="I589" s="45" t="s">
        <v>29</v>
      </c>
      <c r="J589" s="57" t="n">
        <v>46241</v>
      </c>
      <c r="K589" s="46" t="s">
        <v>102</v>
      </c>
      <c r="L589" s="54" t="str">
        <f aca="false">IF(A589="","",IF(B589="","Missing code",IF(C589="Unknown code","Unknown code",IF(COUNTIF($A$6:$A$1005,A589)&gt;1,"Duplicate WO",""))))</f>
        <v/>
      </c>
    </row>
    <row r="590" customFormat="false" ht="23.85" hidden="false" customHeight="false" outlineLevel="0" collapsed="false">
      <c r="A590" s="53" t="n">
        <v>100873317</v>
      </c>
      <c r="B590" s="46" t="s">
        <v>69</v>
      </c>
      <c r="C590" s="54" t="str">
        <f aca="false">IF(B590="","",IFERROR(INDEX('Kitting Plan'!$D$5:$D$18,MATCH(B590,'Kitting Plan'!$C$5:$C$18,0)),"Unknown code"))</f>
        <v>R5B ERBIUM ASSEMBLY POSITION 3</v>
      </c>
      <c r="D590" s="54" t="str">
        <f aca="false">IF(B590="","",IFERROR(INDEX('Kitting Plan'!$B$5:$B$18,MATCH(B590,'Kitting Plan'!$C$5:$C$18,0)),""))</f>
        <v>ERBIUM ASSY</v>
      </c>
      <c r="E590" s="45"/>
      <c r="F590" s="55" t="n">
        <f aca="false">IF(B590="","",IFERROR(INDEX('Kitting Plan'!$H$5:$H$18,MATCH(B590,'Kitting Plan'!$C$5:$C$18,0)),""))</f>
        <v>3</v>
      </c>
      <c r="G590" s="45" t="n">
        <v>1</v>
      </c>
      <c r="H590" s="56" t="n">
        <f aca="false">IF(B590="","",IF(G590="",F590,G590))</f>
        <v>1</v>
      </c>
      <c r="I590" s="45" t="s">
        <v>29</v>
      </c>
      <c r="J590" s="57" t="n">
        <v>46241</v>
      </c>
      <c r="K590" s="46" t="s">
        <v>104</v>
      </c>
      <c r="L590" s="54" t="str">
        <f aca="false">IF(A590="","",IF(B590="","Missing code",IF(C590="Unknown code","Unknown code",IF(COUNTIF($A$6:$A$1005,A590)&gt;1,"Duplicate WO",""))))</f>
        <v/>
      </c>
    </row>
    <row r="591" customFormat="false" ht="23.85" hidden="false" customHeight="false" outlineLevel="0" collapsed="false">
      <c r="A591" s="53" t="n">
        <v>100874177</v>
      </c>
      <c r="B591" s="46" t="s">
        <v>69</v>
      </c>
      <c r="C591" s="54" t="str">
        <f aca="false">IF(B591="","",IFERROR(INDEX('Kitting Plan'!$D$5:$D$18,MATCH(B591,'Kitting Plan'!$C$5:$C$18,0)),"Unknown code"))</f>
        <v>R5B ERBIUM ASSEMBLY POSITION 3</v>
      </c>
      <c r="D591" s="54" t="str">
        <f aca="false">IF(B591="","",IFERROR(INDEX('Kitting Plan'!$B$5:$B$18,MATCH(B591,'Kitting Plan'!$C$5:$C$18,0)),""))</f>
        <v>ERBIUM ASSY</v>
      </c>
      <c r="E591" s="45"/>
      <c r="F591" s="55" t="n">
        <f aca="false">IF(B591="","",IFERROR(INDEX('Kitting Plan'!$H$5:$H$18,MATCH(B591,'Kitting Plan'!$C$5:$C$18,0)),""))</f>
        <v>3</v>
      </c>
      <c r="G591" s="45" t="n">
        <v>1</v>
      </c>
      <c r="H591" s="56" t="n">
        <f aca="false">IF(B591="","",IF(G591="",F591,G591))</f>
        <v>1</v>
      </c>
      <c r="I591" s="45" t="s">
        <v>29</v>
      </c>
      <c r="J591" s="57" t="n">
        <v>46246</v>
      </c>
      <c r="K591" s="46" t="s">
        <v>102</v>
      </c>
      <c r="L591" s="54" t="str">
        <f aca="false">IF(A591="","",IF(B591="","Missing code",IF(C591="Unknown code","Unknown code",IF(COUNTIF($A$6:$A$1005,A591)&gt;1,"Duplicate WO",""))))</f>
        <v/>
      </c>
    </row>
    <row r="592" customFormat="false" ht="23.85" hidden="false" customHeight="false" outlineLevel="0" collapsed="false">
      <c r="A592" s="53" t="n">
        <v>100874178</v>
      </c>
      <c r="B592" s="46" t="s">
        <v>69</v>
      </c>
      <c r="C592" s="54" t="str">
        <f aca="false">IF(B592="","",IFERROR(INDEX('Kitting Plan'!$D$5:$D$18,MATCH(B592,'Kitting Plan'!$C$5:$C$18,0)),"Unknown code"))</f>
        <v>R5B ERBIUM ASSEMBLY POSITION 3</v>
      </c>
      <c r="D592" s="54" t="str">
        <f aca="false">IF(B592="","",IFERROR(INDEX('Kitting Plan'!$B$5:$B$18,MATCH(B592,'Kitting Plan'!$C$5:$C$18,0)),""))</f>
        <v>ERBIUM ASSY</v>
      </c>
      <c r="E592" s="45"/>
      <c r="F592" s="55" t="n">
        <f aca="false">IF(B592="","",IFERROR(INDEX('Kitting Plan'!$H$5:$H$18,MATCH(B592,'Kitting Plan'!$C$5:$C$18,0)),""))</f>
        <v>3</v>
      </c>
      <c r="G592" s="45" t="n">
        <v>1</v>
      </c>
      <c r="H592" s="56" t="n">
        <f aca="false">IF(B592="","",IF(G592="",F592,G592))</f>
        <v>1</v>
      </c>
      <c r="I592" s="45" t="s">
        <v>29</v>
      </c>
      <c r="J592" s="57" t="n">
        <v>46246</v>
      </c>
      <c r="K592" s="46" t="s">
        <v>102</v>
      </c>
      <c r="L592" s="54" t="str">
        <f aca="false">IF(A592="","",IF(B592="","Missing code",IF(C592="Unknown code","Unknown code",IF(COUNTIF($A$6:$A$1005,A592)&gt;1,"Duplicate WO",""))))</f>
        <v/>
      </c>
    </row>
    <row r="593" customFormat="false" ht="23.85" hidden="false" customHeight="false" outlineLevel="0" collapsed="false">
      <c r="A593" s="53" t="n">
        <v>100874179</v>
      </c>
      <c r="B593" s="46" t="s">
        <v>69</v>
      </c>
      <c r="C593" s="54" t="str">
        <f aca="false">IF(B593="","",IFERROR(INDEX('Kitting Plan'!$D$5:$D$18,MATCH(B593,'Kitting Plan'!$C$5:$C$18,0)),"Unknown code"))</f>
        <v>R5B ERBIUM ASSEMBLY POSITION 3</v>
      </c>
      <c r="D593" s="54" t="str">
        <f aca="false">IF(B593="","",IFERROR(INDEX('Kitting Plan'!$B$5:$B$18,MATCH(B593,'Kitting Plan'!$C$5:$C$18,0)),""))</f>
        <v>ERBIUM ASSY</v>
      </c>
      <c r="E593" s="45"/>
      <c r="F593" s="55" t="n">
        <f aca="false">IF(B593="","",IFERROR(INDEX('Kitting Plan'!$H$5:$H$18,MATCH(B593,'Kitting Plan'!$C$5:$C$18,0)),""))</f>
        <v>3</v>
      </c>
      <c r="G593" s="45" t="n">
        <v>1</v>
      </c>
      <c r="H593" s="56" t="n">
        <f aca="false">IF(B593="","",IF(G593="",F593,G593))</f>
        <v>1</v>
      </c>
      <c r="I593" s="45" t="s">
        <v>29</v>
      </c>
      <c r="J593" s="57" t="n">
        <v>46246</v>
      </c>
      <c r="K593" s="46" t="s">
        <v>102</v>
      </c>
      <c r="L593" s="54" t="str">
        <f aca="false">IF(A593="","",IF(B593="","Missing code",IF(C593="Unknown code","Unknown code",IF(COUNTIF($A$6:$A$1005,A593)&gt;1,"Duplicate WO",""))))</f>
        <v/>
      </c>
    </row>
    <row r="594" customFormat="false" ht="23.85" hidden="false" customHeight="false" outlineLevel="0" collapsed="false">
      <c r="A594" s="53" t="n">
        <v>100875710</v>
      </c>
      <c r="B594" s="46" t="s">
        <v>69</v>
      </c>
      <c r="C594" s="54" t="str">
        <f aca="false">IF(B594="","",IFERROR(INDEX('Kitting Plan'!$D$5:$D$18,MATCH(B594,'Kitting Plan'!$C$5:$C$18,0)),"Unknown code"))</f>
        <v>R5B ERBIUM ASSEMBLY POSITION 3</v>
      </c>
      <c r="D594" s="54" t="str">
        <f aca="false">IF(B594="","",IFERROR(INDEX('Kitting Plan'!$B$5:$B$18,MATCH(B594,'Kitting Plan'!$C$5:$C$18,0)),""))</f>
        <v>ERBIUM ASSY</v>
      </c>
      <c r="E594" s="45"/>
      <c r="F594" s="55" t="n">
        <f aca="false">IF(B594="","",IFERROR(INDEX('Kitting Plan'!$H$5:$H$18,MATCH(B594,'Kitting Plan'!$C$5:$C$18,0)),""))</f>
        <v>3</v>
      </c>
      <c r="G594" s="45" t="n">
        <v>1</v>
      </c>
      <c r="H594" s="56" t="n">
        <f aca="false">IF(B594="","",IF(G594="",F594,G594))</f>
        <v>1</v>
      </c>
      <c r="I594" s="45" t="s">
        <v>29</v>
      </c>
      <c r="J594" s="57" t="n">
        <v>46261</v>
      </c>
      <c r="K594" s="46" t="s">
        <v>104</v>
      </c>
      <c r="L594" s="54" t="str">
        <f aca="false">IF(A594="","",IF(B594="","Missing code",IF(C594="Unknown code","Unknown code",IF(COUNTIF($A$6:$A$1005,A594)&gt;1,"Duplicate WO",""))))</f>
        <v/>
      </c>
    </row>
    <row r="595" customFormat="false" ht="23.85" hidden="false" customHeight="false" outlineLevel="0" collapsed="false">
      <c r="A595" s="53" t="n">
        <v>100875711</v>
      </c>
      <c r="B595" s="46" t="s">
        <v>69</v>
      </c>
      <c r="C595" s="54" t="str">
        <f aca="false">IF(B595="","",IFERROR(INDEX('Kitting Plan'!$D$5:$D$18,MATCH(B595,'Kitting Plan'!$C$5:$C$18,0)),"Unknown code"))</f>
        <v>R5B ERBIUM ASSEMBLY POSITION 3</v>
      </c>
      <c r="D595" s="54" t="str">
        <f aca="false">IF(B595="","",IFERROR(INDEX('Kitting Plan'!$B$5:$B$18,MATCH(B595,'Kitting Plan'!$C$5:$C$18,0)),""))</f>
        <v>ERBIUM ASSY</v>
      </c>
      <c r="E595" s="45"/>
      <c r="F595" s="55" t="n">
        <f aca="false">IF(B595="","",IFERROR(INDEX('Kitting Plan'!$H$5:$H$18,MATCH(B595,'Kitting Plan'!$C$5:$C$18,0)),""))</f>
        <v>3</v>
      </c>
      <c r="G595" s="45" t="n">
        <v>1</v>
      </c>
      <c r="H595" s="56" t="n">
        <f aca="false">IF(B595="","",IF(G595="",F595,G595))</f>
        <v>1</v>
      </c>
      <c r="I595" s="45" t="s">
        <v>29</v>
      </c>
      <c r="J595" s="57" t="n">
        <v>46261</v>
      </c>
      <c r="K595" s="46" t="s">
        <v>104</v>
      </c>
      <c r="L595" s="54" t="str">
        <f aca="false">IF(A595="","",IF(B595="","Missing code",IF(C595="Unknown code","Unknown code",IF(COUNTIF($A$6:$A$1005,A595)&gt;1,"Duplicate WO",""))))</f>
        <v/>
      </c>
    </row>
    <row r="596" customFormat="false" ht="23.85" hidden="false" customHeight="false" outlineLevel="0" collapsed="false">
      <c r="A596" s="53" t="n">
        <v>100875712</v>
      </c>
      <c r="B596" s="46" t="s">
        <v>69</v>
      </c>
      <c r="C596" s="54" t="str">
        <f aca="false">IF(B596="","",IFERROR(INDEX('Kitting Plan'!$D$5:$D$18,MATCH(B596,'Kitting Plan'!$C$5:$C$18,0)),"Unknown code"))</f>
        <v>R5B ERBIUM ASSEMBLY POSITION 3</v>
      </c>
      <c r="D596" s="54" t="str">
        <f aca="false">IF(B596="","",IFERROR(INDEX('Kitting Plan'!$B$5:$B$18,MATCH(B596,'Kitting Plan'!$C$5:$C$18,0)),""))</f>
        <v>ERBIUM ASSY</v>
      </c>
      <c r="E596" s="45"/>
      <c r="F596" s="55" t="n">
        <f aca="false">IF(B596="","",IFERROR(INDEX('Kitting Plan'!$H$5:$H$18,MATCH(B596,'Kitting Plan'!$C$5:$C$18,0)),""))</f>
        <v>3</v>
      </c>
      <c r="G596" s="45" t="n">
        <v>1</v>
      </c>
      <c r="H596" s="56" t="n">
        <f aca="false">IF(B596="","",IF(G596="",F596,G596))</f>
        <v>1</v>
      </c>
      <c r="I596" s="45" t="s">
        <v>29</v>
      </c>
      <c r="J596" s="57" t="n">
        <v>46261</v>
      </c>
      <c r="K596" s="46" t="s">
        <v>104</v>
      </c>
      <c r="L596" s="54" t="str">
        <f aca="false">IF(A596="","",IF(B596="","Missing code",IF(C596="Unknown code","Unknown code",IF(COUNTIF($A$6:$A$1005,A596)&gt;1,"Duplicate WO",""))))</f>
        <v/>
      </c>
    </row>
    <row r="597" customFormat="false" ht="23.85" hidden="false" customHeight="false" outlineLevel="0" collapsed="false">
      <c r="A597" s="53" t="n">
        <v>100876300</v>
      </c>
      <c r="B597" s="46" t="s">
        <v>69</v>
      </c>
      <c r="C597" s="54" t="str">
        <f aca="false">IF(B597="","",IFERROR(INDEX('Kitting Plan'!$D$5:$D$18,MATCH(B597,'Kitting Plan'!$C$5:$C$18,0)),"Unknown code"))</f>
        <v>R5B ERBIUM ASSEMBLY POSITION 3</v>
      </c>
      <c r="D597" s="54" t="str">
        <f aca="false">IF(B597="","",IFERROR(INDEX('Kitting Plan'!$B$5:$B$18,MATCH(B597,'Kitting Plan'!$C$5:$C$18,0)),""))</f>
        <v>ERBIUM ASSY</v>
      </c>
      <c r="E597" s="45"/>
      <c r="F597" s="55" t="n">
        <f aca="false">IF(B597="","",IFERROR(INDEX('Kitting Plan'!$H$5:$H$18,MATCH(B597,'Kitting Plan'!$C$5:$C$18,0)),""))</f>
        <v>3</v>
      </c>
      <c r="G597" s="45" t="n">
        <v>1</v>
      </c>
      <c r="H597" s="56" t="n">
        <f aca="false">IF(B597="","",IF(G597="",F597,G597))</f>
        <v>1</v>
      </c>
      <c r="I597" s="45" t="s">
        <v>29</v>
      </c>
      <c r="J597" s="57" t="n">
        <v>46269</v>
      </c>
      <c r="K597" s="46" t="s">
        <v>102</v>
      </c>
      <c r="L597" s="54" t="str">
        <f aca="false">IF(A597="","",IF(B597="","Missing code",IF(C597="Unknown code","Unknown code",IF(COUNTIF($A$6:$A$1005,A597)&gt;1,"Duplicate WO",""))))</f>
        <v/>
      </c>
    </row>
    <row r="598" customFormat="false" ht="23.85" hidden="false" customHeight="false" outlineLevel="0" collapsed="false">
      <c r="A598" s="53" t="n">
        <v>100876301</v>
      </c>
      <c r="B598" s="46" t="s">
        <v>69</v>
      </c>
      <c r="C598" s="54" t="str">
        <f aca="false">IF(B598="","",IFERROR(INDEX('Kitting Plan'!$D$5:$D$18,MATCH(B598,'Kitting Plan'!$C$5:$C$18,0)),"Unknown code"))</f>
        <v>R5B ERBIUM ASSEMBLY POSITION 3</v>
      </c>
      <c r="D598" s="54" t="str">
        <f aca="false">IF(B598="","",IFERROR(INDEX('Kitting Plan'!$B$5:$B$18,MATCH(B598,'Kitting Plan'!$C$5:$C$18,0)),""))</f>
        <v>ERBIUM ASSY</v>
      </c>
      <c r="E598" s="45"/>
      <c r="F598" s="55" t="n">
        <f aca="false">IF(B598="","",IFERROR(INDEX('Kitting Plan'!$H$5:$H$18,MATCH(B598,'Kitting Plan'!$C$5:$C$18,0)),""))</f>
        <v>3</v>
      </c>
      <c r="G598" s="45" t="n">
        <v>1</v>
      </c>
      <c r="H598" s="56" t="n">
        <f aca="false">IF(B598="","",IF(G598="",F598,G598))</f>
        <v>1</v>
      </c>
      <c r="I598" s="45" t="s">
        <v>27</v>
      </c>
      <c r="J598" s="57" t="n">
        <v>46269</v>
      </c>
      <c r="K598" s="46" t="s">
        <v>108</v>
      </c>
      <c r="L598" s="54" t="str">
        <f aca="false">IF(A598="","",IF(B598="","Missing code",IF(C598="Unknown code","Unknown code",IF(COUNTIF($A$6:$A$1005,A598)&gt;1,"Duplicate WO",""))))</f>
        <v/>
      </c>
    </row>
    <row r="599" customFormat="false" ht="23.85" hidden="false" customHeight="false" outlineLevel="0" collapsed="false">
      <c r="A599" s="53" t="n">
        <v>100876302</v>
      </c>
      <c r="B599" s="46" t="s">
        <v>69</v>
      </c>
      <c r="C599" s="54" t="str">
        <f aca="false">IF(B599="","",IFERROR(INDEX('Kitting Plan'!$D$5:$D$18,MATCH(B599,'Kitting Plan'!$C$5:$C$18,0)),"Unknown code"))</f>
        <v>R5B ERBIUM ASSEMBLY POSITION 3</v>
      </c>
      <c r="D599" s="54" t="str">
        <f aca="false">IF(B599="","",IFERROR(INDEX('Kitting Plan'!$B$5:$B$18,MATCH(B599,'Kitting Plan'!$C$5:$C$18,0)),""))</f>
        <v>ERBIUM ASSY</v>
      </c>
      <c r="E599" s="45"/>
      <c r="F599" s="55" t="n">
        <f aca="false">IF(B599="","",IFERROR(INDEX('Kitting Plan'!$H$5:$H$18,MATCH(B599,'Kitting Plan'!$C$5:$C$18,0)),""))</f>
        <v>3</v>
      </c>
      <c r="G599" s="45" t="n">
        <v>1</v>
      </c>
      <c r="H599" s="56" t="n">
        <f aca="false">IF(B599="","",IF(G599="",F599,G599))</f>
        <v>1</v>
      </c>
      <c r="I599" s="45" t="s">
        <v>29</v>
      </c>
      <c r="J599" s="57" t="n">
        <v>46269</v>
      </c>
      <c r="K599" s="46" t="s">
        <v>102</v>
      </c>
      <c r="L599" s="54" t="str">
        <f aca="false">IF(A599="","",IF(B599="","Missing code",IF(C599="Unknown code","Unknown code",IF(COUNTIF($A$6:$A$1005,A599)&gt;1,"Duplicate WO",""))))</f>
        <v/>
      </c>
    </row>
    <row r="600" customFormat="false" ht="23.85" hidden="false" customHeight="false" outlineLevel="0" collapsed="false">
      <c r="A600" s="53" t="n">
        <v>100876891</v>
      </c>
      <c r="B600" s="46" t="s">
        <v>69</v>
      </c>
      <c r="C600" s="54" t="str">
        <f aca="false">IF(B600="","",IFERROR(INDEX('Kitting Plan'!$D$5:$D$18,MATCH(B600,'Kitting Plan'!$C$5:$C$18,0)),"Unknown code"))</f>
        <v>R5B ERBIUM ASSEMBLY POSITION 3</v>
      </c>
      <c r="D600" s="54" t="str">
        <f aca="false">IF(B600="","",IFERROR(INDEX('Kitting Plan'!$B$5:$B$18,MATCH(B600,'Kitting Plan'!$C$5:$C$18,0)),""))</f>
        <v>ERBIUM ASSY</v>
      </c>
      <c r="E600" s="45"/>
      <c r="F600" s="55" t="n">
        <f aca="false">IF(B600="","",IFERROR(INDEX('Kitting Plan'!$H$5:$H$18,MATCH(B600,'Kitting Plan'!$C$5:$C$18,0)),""))</f>
        <v>3</v>
      </c>
      <c r="G600" s="45" t="n">
        <v>1</v>
      </c>
      <c r="H600" s="56" t="n">
        <f aca="false">IF(B600="","",IF(G600="",F600,G600))</f>
        <v>1</v>
      </c>
      <c r="I600" s="45" t="s">
        <v>29</v>
      </c>
      <c r="J600" s="57" t="n">
        <v>46274</v>
      </c>
      <c r="K600" s="46" t="s">
        <v>104</v>
      </c>
      <c r="L600" s="54" t="str">
        <f aca="false">IF(A600="","",IF(B600="","Missing code",IF(C600="Unknown code","Unknown code",IF(COUNTIF($A$6:$A$1005,A600)&gt;1,"Duplicate WO",""))))</f>
        <v/>
      </c>
    </row>
    <row r="601" customFormat="false" ht="23.85" hidden="false" customHeight="false" outlineLevel="0" collapsed="false">
      <c r="A601" s="53" t="n">
        <v>100877979</v>
      </c>
      <c r="B601" s="46" t="s">
        <v>69</v>
      </c>
      <c r="C601" s="54" t="str">
        <f aca="false">IF(B601="","",IFERROR(INDEX('Kitting Plan'!$D$5:$D$18,MATCH(B601,'Kitting Plan'!$C$5:$C$18,0)),"Unknown code"))</f>
        <v>R5B ERBIUM ASSEMBLY POSITION 3</v>
      </c>
      <c r="D601" s="54" t="str">
        <f aca="false">IF(B601="","",IFERROR(INDEX('Kitting Plan'!$B$5:$B$18,MATCH(B601,'Kitting Plan'!$C$5:$C$18,0)),""))</f>
        <v>ERBIUM ASSY</v>
      </c>
      <c r="E601" s="45"/>
      <c r="F601" s="55" t="n">
        <f aca="false">IF(B601="","",IFERROR(INDEX('Kitting Plan'!$H$5:$H$18,MATCH(B601,'Kitting Plan'!$C$5:$C$18,0)),""))</f>
        <v>3</v>
      </c>
      <c r="G601" s="45" t="n">
        <v>1</v>
      </c>
      <c r="H601" s="56" t="n">
        <f aca="false">IF(B601="","",IF(G601="",F601,G601))</f>
        <v>1</v>
      </c>
      <c r="I601" s="45" t="s">
        <v>27</v>
      </c>
      <c r="J601" s="57" t="n">
        <v>46281</v>
      </c>
      <c r="K601" s="46" t="s">
        <v>108</v>
      </c>
      <c r="L601" s="54" t="str">
        <f aca="false">IF(A601="","",IF(B601="","Missing code",IF(C601="Unknown code","Unknown code",IF(COUNTIF($A$6:$A$1005,A601)&gt;1,"Duplicate WO",""))))</f>
        <v/>
      </c>
    </row>
    <row r="602" customFormat="false" ht="23.85" hidden="false" customHeight="false" outlineLevel="0" collapsed="false">
      <c r="A602" s="53" t="n">
        <v>100877980</v>
      </c>
      <c r="B602" s="46" t="s">
        <v>69</v>
      </c>
      <c r="C602" s="54" t="str">
        <f aca="false">IF(B602="","",IFERROR(INDEX('Kitting Plan'!$D$5:$D$18,MATCH(B602,'Kitting Plan'!$C$5:$C$18,0)),"Unknown code"))</f>
        <v>R5B ERBIUM ASSEMBLY POSITION 3</v>
      </c>
      <c r="D602" s="54" t="str">
        <f aca="false">IF(B602="","",IFERROR(INDEX('Kitting Plan'!$B$5:$B$18,MATCH(B602,'Kitting Plan'!$C$5:$C$18,0)),""))</f>
        <v>ERBIUM ASSY</v>
      </c>
      <c r="E602" s="45"/>
      <c r="F602" s="55" t="n">
        <f aca="false">IF(B602="","",IFERROR(INDEX('Kitting Plan'!$H$5:$H$18,MATCH(B602,'Kitting Plan'!$C$5:$C$18,0)),""))</f>
        <v>3</v>
      </c>
      <c r="G602" s="45" t="n">
        <v>1</v>
      </c>
      <c r="H602" s="56" t="n">
        <f aca="false">IF(B602="","",IF(G602="",F602,G602))</f>
        <v>1</v>
      </c>
      <c r="I602" s="45" t="s">
        <v>27</v>
      </c>
      <c r="J602" s="57" t="n">
        <v>46281</v>
      </c>
      <c r="K602" s="46" t="s">
        <v>108</v>
      </c>
      <c r="L602" s="54" t="str">
        <f aca="false">IF(A602="","",IF(B602="","Missing code",IF(C602="Unknown code","Unknown code",IF(COUNTIF($A$6:$A$1005,A602)&gt;1,"Duplicate WO",""))))</f>
        <v/>
      </c>
    </row>
    <row r="603" customFormat="false" ht="23.85" hidden="false" customHeight="false" outlineLevel="0" collapsed="false">
      <c r="A603" s="53" t="n">
        <v>100877981</v>
      </c>
      <c r="B603" s="46" t="s">
        <v>69</v>
      </c>
      <c r="C603" s="54" t="str">
        <f aca="false">IF(B603="","",IFERROR(INDEX('Kitting Plan'!$D$5:$D$18,MATCH(B603,'Kitting Plan'!$C$5:$C$18,0)),"Unknown code"))</f>
        <v>R5B ERBIUM ASSEMBLY POSITION 3</v>
      </c>
      <c r="D603" s="54" t="str">
        <f aca="false">IF(B603="","",IFERROR(INDEX('Kitting Plan'!$B$5:$B$18,MATCH(B603,'Kitting Plan'!$C$5:$C$18,0)),""))</f>
        <v>ERBIUM ASSY</v>
      </c>
      <c r="E603" s="45"/>
      <c r="F603" s="55" t="n">
        <f aca="false">IF(B603="","",IFERROR(INDEX('Kitting Plan'!$H$5:$H$18,MATCH(B603,'Kitting Plan'!$C$5:$C$18,0)),""))</f>
        <v>3</v>
      </c>
      <c r="G603" s="45" t="n">
        <v>1</v>
      </c>
      <c r="H603" s="56" t="n">
        <f aca="false">IF(B603="","",IF(G603="",F603,G603))</f>
        <v>1</v>
      </c>
      <c r="I603" s="45" t="s">
        <v>27</v>
      </c>
      <c r="J603" s="57" t="n">
        <v>46281</v>
      </c>
      <c r="K603" s="46" t="s">
        <v>108</v>
      </c>
      <c r="L603" s="54" t="str">
        <f aca="false">IF(A603="","",IF(B603="","Missing code",IF(C603="Unknown code","Unknown code",IF(COUNTIF($A$6:$A$1005,A603)&gt;1,"Duplicate WO",""))))</f>
        <v/>
      </c>
    </row>
    <row r="604" customFormat="false" ht="23.85" hidden="false" customHeight="false" outlineLevel="0" collapsed="false">
      <c r="A604" s="53" t="n">
        <v>100879338</v>
      </c>
      <c r="B604" s="46" t="s">
        <v>69</v>
      </c>
      <c r="C604" s="54" t="str">
        <f aca="false">IF(B604="","",IFERROR(INDEX('Kitting Plan'!$D$5:$D$18,MATCH(B604,'Kitting Plan'!$C$5:$C$18,0)),"Unknown code"))</f>
        <v>R5B ERBIUM ASSEMBLY POSITION 3</v>
      </c>
      <c r="D604" s="54" t="str">
        <f aca="false">IF(B604="","",IFERROR(INDEX('Kitting Plan'!$B$5:$B$18,MATCH(B604,'Kitting Plan'!$C$5:$C$18,0)),""))</f>
        <v>ERBIUM ASSY</v>
      </c>
      <c r="E604" s="45"/>
      <c r="F604" s="55" t="n">
        <f aca="false">IF(B604="","",IFERROR(INDEX('Kitting Plan'!$H$5:$H$18,MATCH(B604,'Kitting Plan'!$C$5:$C$18,0)),""))</f>
        <v>3</v>
      </c>
      <c r="G604" s="45" t="n">
        <v>1</v>
      </c>
      <c r="H604" s="56" t="n">
        <f aca="false">IF(B604="","",IF(G604="",F604,G604))</f>
        <v>1</v>
      </c>
      <c r="I604" s="45" t="s">
        <v>27</v>
      </c>
      <c r="J604" s="57" t="n">
        <v>46293</v>
      </c>
      <c r="K604" s="46" t="s">
        <v>105</v>
      </c>
      <c r="L604" s="54" t="str">
        <f aca="false">IF(A604="","",IF(B604="","Missing code",IF(C604="Unknown code","Unknown code",IF(COUNTIF($A$6:$A$1005,A604)&gt;1,"Duplicate WO",""))))</f>
        <v/>
      </c>
    </row>
    <row r="605" customFormat="false" ht="23.85" hidden="false" customHeight="false" outlineLevel="0" collapsed="false">
      <c r="A605" s="53" t="n">
        <v>100879339</v>
      </c>
      <c r="B605" s="46" t="s">
        <v>69</v>
      </c>
      <c r="C605" s="54" t="str">
        <f aca="false">IF(B605="","",IFERROR(INDEX('Kitting Plan'!$D$5:$D$18,MATCH(B605,'Kitting Plan'!$C$5:$C$18,0)),"Unknown code"))</f>
        <v>R5B ERBIUM ASSEMBLY POSITION 3</v>
      </c>
      <c r="D605" s="54" t="str">
        <f aca="false">IF(B605="","",IFERROR(INDEX('Kitting Plan'!$B$5:$B$18,MATCH(B605,'Kitting Plan'!$C$5:$C$18,0)),""))</f>
        <v>ERBIUM ASSY</v>
      </c>
      <c r="E605" s="45"/>
      <c r="F605" s="55" t="n">
        <f aca="false">IF(B605="","",IFERROR(INDEX('Kitting Plan'!$H$5:$H$18,MATCH(B605,'Kitting Plan'!$C$5:$C$18,0)),""))</f>
        <v>3</v>
      </c>
      <c r="G605" s="45" t="n">
        <v>1</v>
      </c>
      <c r="H605" s="56" t="n">
        <f aca="false">IF(B605="","",IF(G605="",F605,G605))</f>
        <v>1</v>
      </c>
      <c r="I605" s="45" t="s">
        <v>27</v>
      </c>
      <c r="J605" s="57" t="n">
        <v>46293</v>
      </c>
      <c r="K605" s="46" t="s">
        <v>105</v>
      </c>
      <c r="L605" s="54" t="str">
        <f aca="false">IF(A605="","",IF(B605="","Missing code",IF(C605="Unknown code","Unknown code",IF(COUNTIF($A$6:$A$1005,A605)&gt;1,"Duplicate WO",""))))</f>
        <v/>
      </c>
    </row>
    <row r="606" customFormat="false" ht="23.85" hidden="false" customHeight="false" outlineLevel="0" collapsed="false">
      <c r="A606" s="53" t="n">
        <v>100879340</v>
      </c>
      <c r="B606" s="46" t="s">
        <v>69</v>
      </c>
      <c r="C606" s="54" t="str">
        <f aca="false">IF(B606="","",IFERROR(INDEX('Kitting Plan'!$D$5:$D$18,MATCH(B606,'Kitting Plan'!$C$5:$C$18,0)),"Unknown code"))</f>
        <v>R5B ERBIUM ASSEMBLY POSITION 3</v>
      </c>
      <c r="D606" s="54" t="str">
        <f aca="false">IF(B606="","",IFERROR(INDEX('Kitting Plan'!$B$5:$B$18,MATCH(B606,'Kitting Plan'!$C$5:$C$18,0)),""))</f>
        <v>ERBIUM ASSY</v>
      </c>
      <c r="E606" s="45"/>
      <c r="F606" s="55" t="n">
        <f aca="false">IF(B606="","",IFERROR(INDEX('Kitting Plan'!$H$5:$H$18,MATCH(B606,'Kitting Plan'!$C$5:$C$18,0)),""))</f>
        <v>3</v>
      </c>
      <c r="G606" s="45" t="n">
        <v>1</v>
      </c>
      <c r="H606" s="56" t="n">
        <f aca="false">IF(B606="","",IF(G606="",F606,G606))</f>
        <v>1</v>
      </c>
      <c r="I606" s="45" t="s">
        <v>27</v>
      </c>
      <c r="J606" s="57" t="n">
        <v>46293</v>
      </c>
      <c r="K606" s="46" t="s">
        <v>105</v>
      </c>
      <c r="L606" s="54" t="str">
        <f aca="false">IF(A606="","",IF(B606="","Missing code",IF(C606="Unknown code","Unknown code",IF(COUNTIF($A$6:$A$1005,A606)&gt;1,"Duplicate WO",""))))</f>
        <v/>
      </c>
    </row>
    <row r="607" customFormat="false" ht="15" hidden="false" customHeight="false" outlineLevel="0" collapsed="false">
      <c r="A607" s="53" t="n">
        <v>100880016</v>
      </c>
      <c r="B607" s="46" t="s">
        <v>69</v>
      </c>
      <c r="C607" s="54" t="str">
        <f aca="false">IF(B607="","",IFERROR(INDEX('Kitting Plan'!$D$5:$D$18,MATCH(B607,'Kitting Plan'!$C$5:$C$18,0)),"Unknown code"))</f>
        <v>R5B ERBIUM ASSEMBLY POSITION 3</v>
      </c>
      <c r="D607" s="54" t="str">
        <f aca="false">IF(B607="","",IFERROR(INDEX('Kitting Plan'!$B$5:$B$18,MATCH(B607,'Kitting Plan'!$C$5:$C$18,0)),""))</f>
        <v>ERBIUM ASSY</v>
      </c>
      <c r="E607" s="45"/>
      <c r="F607" s="55" t="n">
        <f aca="false">IF(B607="","",IFERROR(INDEX('Kitting Plan'!$H$5:$H$18,MATCH(B607,'Kitting Plan'!$C$5:$C$18,0)),""))</f>
        <v>3</v>
      </c>
      <c r="G607" s="45" t="n">
        <v>1</v>
      </c>
      <c r="H607" s="56" t="n">
        <f aca="false">IF(B607="","",IF(G607="",F607,G607))</f>
        <v>1</v>
      </c>
      <c r="I607" s="45" t="s">
        <v>27</v>
      </c>
      <c r="J607" s="57" t="n">
        <v>46296</v>
      </c>
      <c r="K607" s="46" t="s">
        <v>107</v>
      </c>
      <c r="L607" s="54" t="str">
        <f aca="false">IF(A607="","",IF(B607="","Missing code",IF(C607="Unknown code","Unknown code",IF(COUNTIF($A$6:$A$1005,A607)&gt;1,"Duplicate WO",""))))</f>
        <v/>
      </c>
    </row>
    <row r="608" customFormat="false" ht="15" hidden="false" customHeight="false" outlineLevel="0" collapsed="false">
      <c r="A608" s="53" t="n">
        <v>100880017</v>
      </c>
      <c r="B608" s="46" t="s">
        <v>69</v>
      </c>
      <c r="C608" s="54" t="str">
        <f aca="false">IF(B608="","",IFERROR(INDEX('Kitting Plan'!$D$5:$D$18,MATCH(B608,'Kitting Plan'!$C$5:$C$18,0)),"Unknown code"))</f>
        <v>R5B ERBIUM ASSEMBLY POSITION 3</v>
      </c>
      <c r="D608" s="54" t="str">
        <f aca="false">IF(B608="","",IFERROR(INDEX('Kitting Plan'!$B$5:$B$18,MATCH(B608,'Kitting Plan'!$C$5:$C$18,0)),""))</f>
        <v>ERBIUM ASSY</v>
      </c>
      <c r="E608" s="45"/>
      <c r="F608" s="55" t="n">
        <f aca="false">IF(B608="","",IFERROR(INDEX('Kitting Plan'!$H$5:$H$18,MATCH(B608,'Kitting Plan'!$C$5:$C$18,0)),""))</f>
        <v>3</v>
      </c>
      <c r="G608" s="45" t="n">
        <v>1</v>
      </c>
      <c r="H608" s="56" t="n">
        <f aca="false">IF(B608="","",IF(G608="",F608,G608))</f>
        <v>1</v>
      </c>
      <c r="I608" s="45" t="s">
        <v>27</v>
      </c>
      <c r="J608" s="57" t="n">
        <v>46296</v>
      </c>
      <c r="K608" s="46" t="s">
        <v>107</v>
      </c>
      <c r="L608" s="54" t="str">
        <f aca="false">IF(A608="","",IF(B608="","Missing code",IF(C608="Unknown code","Unknown code",IF(COUNTIF($A$6:$A$1005,A608)&gt;1,"Duplicate WO",""))))</f>
        <v/>
      </c>
    </row>
    <row r="609" customFormat="false" ht="15" hidden="false" customHeight="false" outlineLevel="0" collapsed="false">
      <c r="A609" s="53" t="n">
        <v>100880018</v>
      </c>
      <c r="B609" s="46" t="s">
        <v>69</v>
      </c>
      <c r="C609" s="54" t="str">
        <f aca="false">IF(B609="","",IFERROR(INDEX('Kitting Plan'!$D$5:$D$18,MATCH(B609,'Kitting Plan'!$C$5:$C$18,0)),"Unknown code"))</f>
        <v>R5B ERBIUM ASSEMBLY POSITION 3</v>
      </c>
      <c r="D609" s="54" t="str">
        <f aca="false">IF(B609="","",IFERROR(INDEX('Kitting Plan'!$B$5:$B$18,MATCH(B609,'Kitting Plan'!$C$5:$C$18,0)),""))</f>
        <v>ERBIUM ASSY</v>
      </c>
      <c r="E609" s="45"/>
      <c r="F609" s="55" t="n">
        <f aca="false">IF(B609="","",IFERROR(INDEX('Kitting Plan'!$H$5:$H$18,MATCH(B609,'Kitting Plan'!$C$5:$C$18,0)),""))</f>
        <v>3</v>
      </c>
      <c r="G609" s="45" t="n">
        <v>1</v>
      </c>
      <c r="H609" s="56" t="n">
        <f aca="false">IF(B609="","",IF(G609="",F609,G609))</f>
        <v>1</v>
      </c>
      <c r="I609" s="45" t="s">
        <v>27</v>
      </c>
      <c r="J609" s="57" t="n">
        <v>46296</v>
      </c>
      <c r="K609" s="46" t="s">
        <v>107</v>
      </c>
      <c r="L609" s="54" t="str">
        <f aca="false">IF(A609="","",IF(B609="","Missing code",IF(C609="Unknown code","Unknown code",IF(COUNTIF($A$6:$A$1005,A609)&gt;1,"Duplicate WO",""))))</f>
        <v/>
      </c>
    </row>
    <row r="610" customFormat="false" ht="15" hidden="false" customHeight="false" outlineLevel="0" collapsed="false">
      <c r="A610" s="53" t="n">
        <v>100880122</v>
      </c>
      <c r="B610" s="46" t="s">
        <v>69</v>
      </c>
      <c r="C610" s="54" t="str">
        <f aca="false">IF(B610="","",IFERROR(INDEX('Kitting Plan'!$D$5:$D$18,MATCH(B610,'Kitting Plan'!$C$5:$C$18,0)),"Unknown code"))</f>
        <v>R5B ERBIUM ASSEMBLY POSITION 3</v>
      </c>
      <c r="D610" s="54" t="str">
        <f aca="false">IF(B610="","",IFERROR(INDEX('Kitting Plan'!$B$5:$B$18,MATCH(B610,'Kitting Plan'!$C$5:$C$18,0)),""))</f>
        <v>ERBIUM ASSY</v>
      </c>
      <c r="E610" s="45"/>
      <c r="F610" s="55" t="n">
        <f aca="false">IF(B610="","",IFERROR(INDEX('Kitting Plan'!$H$5:$H$18,MATCH(B610,'Kitting Plan'!$C$5:$C$18,0)),""))</f>
        <v>3</v>
      </c>
      <c r="G610" s="45" t="n">
        <v>1</v>
      </c>
      <c r="H610" s="56" t="n">
        <f aca="false">IF(B610="","",IF(G610="",F610,G610))</f>
        <v>1</v>
      </c>
      <c r="I610" s="45" t="s">
        <v>27</v>
      </c>
      <c r="J610" s="57" t="n">
        <v>46296</v>
      </c>
      <c r="K610" s="46" t="s">
        <v>107</v>
      </c>
      <c r="L610" s="54" t="str">
        <f aca="false">IF(A610="","",IF(B610="","Missing code",IF(C610="Unknown code","Unknown code",IF(COUNTIF($A$6:$A$1005,A610)&gt;1,"Duplicate WO",""))))</f>
        <v/>
      </c>
    </row>
    <row r="611" customFormat="false" ht="15" hidden="false" customHeight="false" outlineLevel="0" collapsed="false">
      <c r="A611" s="53" t="n">
        <v>100880123</v>
      </c>
      <c r="B611" s="46" t="s">
        <v>69</v>
      </c>
      <c r="C611" s="54" t="str">
        <f aca="false">IF(B611="","",IFERROR(INDEX('Kitting Plan'!$D$5:$D$18,MATCH(B611,'Kitting Plan'!$C$5:$C$18,0)),"Unknown code"))</f>
        <v>R5B ERBIUM ASSEMBLY POSITION 3</v>
      </c>
      <c r="D611" s="54" t="str">
        <f aca="false">IF(B611="","",IFERROR(INDEX('Kitting Plan'!$B$5:$B$18,MATCH(B611,'Kitting Plan'!$C$5:$C$18,0)),""))</f>
        <v>ERBIUM ASSY</v>
      </c>
      <c r="E611" s="45"/>
      <c r="F611" s="55" t="n">
        <f aca="false">IF(B611="","",IFERROR(INDEX('Kitting Plan'!$H$5:$H$18,MATCH(B611,'Kitting Plan'!$C$5:$C$18,0)),""))</f>
        <v>3</v>
      </c>
      <c r="G611" s="45" t="n">
        <v>1</v>
      </c>
      <c r="H611" s="56" t="n">
        <f aca="false">IF(B611="","",IF(G611="",F611,G611))</f>
        <v>1</v>
      </c>
      <c r="I611" s="45" t="s">
        <v>27</v>
      </c>
      <c r="J611" s="57" t="n">
        <v>46296</v>
      </c>
      <c r="K611" s="46" t="s">
        <v>107</v>
      </c>
      <c r="L611" s="54" t="str">
        <f aca="false">IF(A611="","",IF(B611="","Missing code",IF(C611="Unknown code","Unknown code",IF(COUNTIF($A$6:$A$1005,A611)&gt;1,"Duplicate WO",""))))</f>
        <v/>
      </c>
    </row>
    <row r="612" customFormat="false" ht="15" hidden="false" customHeight="false" outlineLevel="0" collapsed="false">
      <c r="A612" s="53" t="n">
        <v>100880124</v>
      </c>
      <c r="B612" s="46" t="s">
        <v>69</v>
      </c>
      <c r="C612" s="54" t="str">
        <f aca="false">IF(B612="","",IFERROR(INDEX('Kitting Plan'!$D$5:$D$18,MATCH(B612,'Kitting Plan'!$C$5:$C$18,0)),"Unknown code"))</f>
        <v>R5B ERBIUM ASSEMBLY POSITION 3</v>
      </c>
      <c r="D612" s="54" t="str">
        <f aca="false">IF(B612="","",IFERROR(INDEX('Kitting Plan'!$B$5:$B$18,MATCH(B612,'Kitting Plan'!$C$5:$C$18,0)),""))</f>
        <v>ERBIUM ASSY</v>
      </c>
      <c r="E612" s="45"/>
      <c r="F612" s="55" t="n">
        <f aca="false">IF(B612="","",IFERROR(INDEX('Kitting Plan'!$H$5:$H$18,MATCH(B612,'Kitting Plan'!$C$5:$C$18,0)),""))</f>
        <v>3</v>
      </c>
      <c r="G612" s="45" t="n">
        <v>1</v>
      </c>
      <c r="H612" s="56" t="n">
        <f aca="false">IF(B612="","",IF(G612="",F612,G612))</f>
        <v>1</v>
      </c>
      <c r="I612" s="45" t="s">
        <v>27</v>
      </c>
      <c r="J612" s="57" t="n">
        <v>46296</v>
      </c>
      <c r="K612" s="46" t="s">
        <v>107</v>
      </c>
      <c r="L612" s="54" t="str">
        <f aca="false">IF(A612="","",IF(B612="","Missing code",IF(C612="Unknown code","Unknown code",IF(COUNTIF($A$6:$A$1005,A612)&gt;1,"Duplicate WO",""))))</f>
        <v/>
      </c>
    </row>
    <row r="613" customFormat="false" ht="15" hidden="false" customHeight="false" outlineLevel="0" collapsed="false">
      <c r="A613" s="53" t="n">
        <v>100880228</v>
      </c>
      <c r="B613" s="46" t="s">
        <v>69</v>
      </c>
      <c r="C613" s="54" t="str">
        <f aca="false">IF(B613="","",IFERROR(INDEX('Kitting Plan'!$D$5:$D$18,MATCH(B613,'Kitting Plan'!$C$5:$C$18,0)),"Unknown code"))</f>
        <v>R5B ERBIUM ASSEMBLY POSITION 3</v>
      </c>
      <c r="D613" s="54" t="str">
        <f aca="false">IF(B613="","",IFERROR(INDEX('Kitting Plan'!$B$5:$B$18,MATCH(B613,'Kitting Plan'!$C$5:$C$18,0)),""))</f>
        <v>ERBIUM ASSY</v>
      </c>
      <c r="E613" s="45"/>
      <c r="F613" s="55" t="n">
        <f aca="false">IF(B613="","",IFERROR(INDEX('Kitting Plan'!$H$5:$H$18,MATCH(B613,'Kitting Plan'!$C$5:$C$18,0)),""))</f>
        <v>3</v>
      </c>
      <c r="G613" s="45" t="n">
        <v>1</v>
      </c>
      <c r="H613" s="56" t="n">
        <f aca="false">IF(B613="","",IF(G613="",F613,G613))</f>
        <v>1</v>
      </c>
      <c r="I613" s="45" t="s">
        <v>27</v>
      </c>
      <c r="J613" s="57" t="n">
        <v>46297</v>
      </c>
      <c r="K613" s="46" t="s">
        <v>107</v>
      </c>
      <c r="L613" s="54" t="str">
        <f aca="false">IF(A613="","",IF(B613="","Missing code",IF(C613="Unknown code","Unknown code",IF(COUNTIF($A$6:$A$1005,A613)&gt;1,"Duplicate WO",""))))</f>
        <v/>
      </c>
    </row>
    <row r="614" customFormat="false" ht="15" hidden="false" customHeight="false" outlineLevel="0" collapsed="false">
      <c r="A614" s="53" t="n">
        <v>100880229</v>
      </c>
      <c r="B614" s="46" t="s">
        <v>69</v>
      </c>
      <c r="C614" s="54" t="str">
        <f aca="false">IF(B614="","",IFERROR(INDEX('Kitting Plan'!$D$5:$D$18,MATCH(B614,'Kitting Plan'!$C$5:$C$18,0)),"Unknown code"))</f>
        <v>R5B ERBIUM ASSEMBLY POSITION 3</v>
      </c>
      <c r="D614" s="54" t="str">
        <f aca="false">IF(B614="","",IFERROR(INDEX('Kitting Plan'!$B$5:$B$18,MATCH(B614,'Kitting Plan'!$C$5:$C$18,0)),""))</f>
        <v>ERBIUM ASSY</v>
      </c>
      <c r="E614" s="45"/>
      <c r="F614" s="55" t="n">
        <f aca="false">IF(B614="","",IFERROR(INDEX('Kitting Plan'!$H$5:$H$18,MATCH(B614,'Kitting Plan'!$C$5:$C$18,0)),""))</f>
        <v>3</v>
      </c>
      <c r="G614" s="45" t="n">
        <v>1</v>
      </c>
      <c r="H614" s="56" t="n">
        <f aca="false">IF(B614="","",IF(G614="",F614,G614))</f>
        <v>1</v>
      </c>
      <c r="I614" s="45" t="s">
        <v>27</v>
      </c>
      <c r="J614" s="57" t="n">
        <v>46297</v>
      </c>
      <c r="K614" s="46" t="s">
        <v>107</v>
      </c>
      <c r="L614" s="54" t="str">
        <f aca="false">IF(A614="","",IF(B614="","Missing code",IF(C614="Unknown code","Unknown code",IF(COUNTIF($A$6:$A$1005,A614)&gt;1,"Duplicate WO",""))))</f>
        <v/>
      </c>
    </row>
    <row r="615" customFormat="false" ht="15" hidden="false" customHeight="false" outlineLevel="0" collapsed="false">
      <c r="A615" s="53" t="n">
        <v>100880230</v>
      </c>
      <c r="B615" s="46" t="s">
        <v>69</v>
      </c>
      <c r="C615" s="54" t="str">
        <f aca="false">IF(B615="","",IFERROR(INDEX('Kitting Plan'!$D$5:$D$18,MATCH(B615,'Kitting Plan'!$C$5:$C$18,0)),"Unknown code"))</f>
        <v>R5B ERBIUM ASSEMBLY POSITION 3</v>
      </c>
      <c r="D615" s="54" t="str">
        <f aca="false">IF(B615="","",IFERROR(INDEX('Kitting Plan'!$B$5:$B$18,MATCH(B615,'Kitting Plan'!$C$5:$C$18,0)),""))</f>
        <v>ERBIUM ASSY</v>
      </c>
      <c r="E615" s="45"/>
      <c r="F615" s="55" t="n">
        <f aca="false">IF(B615="","",IFERROR(INDEX('Kitting Plan'!$H$5:$H$18,MATCH(B615,'Kitting Plan'!$C$5:$C$18,0)),""))</f>
        <v>3</v>
      </c>
      <c r="G615" s="45" t="n">
        <v>1</v>
      </c>
      <c r="H615" s="56" t="n">
        <f aca="false">IF(B615="","",IF(G615="",F615,G615))</f>
        <v>1</v>
      </c>
      <c r="I615" s="45" t="s">
        <v>27</v>
      </c>
      <c r="J615" s="57" t="n">
        <v>46297</v>
      </c>
      <c r="K615" s="46" t="s">
        <v>107</v>
      </c>
      <c r="L615" s="54" t="str">
        <f aca="false">IF(A615="","",IF(B615="","Missing code",IF(C615="Unknown code","Unknown code",IF(COUNTIF($A$6:$A$1005,A615)&gt;1,"Duplicate WO",""))))</f>
        <v/>
      </c>
    </row>
    <row r="616" customFormat="false" ht="15" hidden="false" customHeight="false" outlineLevel="0" collapsed="false">
      <c r="A616" s="53" t="n">
        <v>100880287</v>
      </c>
      <c r="B616" s="46" t="s">
        <v>69</v>
      </c>
      <c r="C616" s="54" t="str">
        <f aca="false">IF(B616="","",IFERROR(INDEX('Kitting Plan'!$D$5:$D$18,MATCH(B616,'Kitting Plan'!$C$5:$C$18,0)),"Unknown code"))</f>
        <v>R5B ERBIUM ASSEMBLY POSITION 3</v>
      </c>
      <c r="D616" s="54" t="str">
        <f aca="false">IF(B616="","",IFERROR(INDEX('Kitting Plan'!$B$5:$B$18,MATCH(B616,'Kitting Plan'!$C$5:$C$18,0)),""))</f>
        <v>ERBIUM ASSY</v>
      </c>
      <c r="E616" s="45"/>
      <c r="F616" s="55" t="n">
        <f aca="false">IF(B616="","",IFERROR(INDEX('Kitting Plan'!$H$5:$H$18,MATCH(B616,'Kitting Plan'!$C$5:$C$18,0)),""))</f>
        <v>3</v>
      </c>
      <c r="G616" s="45" t="n">
        <v>1</v>
      </c>
      <c r="H616" s="56" t="n">
        <f aca="false">IF(B616="","",IF(G616="",F616,G616))</f>
        <v>1</v>
      </c>
      <c r="I616" s="45" t="s">
        <v>27</v>
      </c>
      <c r="J616" s="57" t="n">
        <v>46297</v>
      </c>
      <c r="K616" s="46" t="s">
        <v>107</v>
      </c>
      <c r="L616" s="54" t="str">
        <f aca="false">IF(A616="","",IF(B616="","Missing code",IF(C616="Unknown code","Unknown code",IF(COUNTIF($A$6:$A$1005,A616)&gt;1,"Duplicate WO",""))))</f>
        <v/>
      </c>
    </row>
    <row r="617" customFormat="false" ht="15" hidden="false" customHeight="false" outlineLevel="0" collapsed="false">
      <c r="A617" s="53" t="n">
        <v>100880288</v>
      </c>
      <c r="B617" s="46" t="s">
        <v>69</v>
      </c>
      <c r="C617" s="54" t="str">
        <f aca="false">IF(B617="","",IFERROR(INDEX('Kitting Plan'!$D$5:$D$18,MATCH(B617,'Kitting Plan'!$C$5:$C$18,0)),"Unknown code"))</f>
        <v>R5B ERBIUM ASSEMBLY POSITION 3</v>
      </c>
      <c r="D617" s="54" t="str">
        <f aca="false">IF(B617="","",IFERROR(INDEX('Kitting Plan'!$B$5:$B$18,MATCH(B617,'Kitting Plan'!$C$5:$C$18,0)),""))</f>
        <v>ERBIUM ASSY</v>
      </c>
      <c r="E617" s="45"/>
      <c r="F617" s="55" t="n">
        <f aca="false">IF(B617="","",IFERROR(INDEX('Kitting Plan'!$H$5:$H$18,MATCH(B617,'Kitting Plan'!$C$5:$C$18,0)),""))</f>
        <v>3</v>
      </c>
      <c r="G617" s="45" t="n">
        <v>1</v>
      </c>
      <c r="H617" s="56" t="n">
        <f aca="false">IF(B617="","",IF(G617="",F617,G617))</f>
        <v>1</v>
      </c>
      <c r="I617" s="45" t="s">
        <v>27</v>
      </c>
      <c r="J617" s="57" t="n">
        <v>46297</v>
      </c>
      <c r="K617" s="46" t="s">
        <v>107</v>
      </c>
      <c r="L617" s="54" t="str">
        <f aca="false">IF(A617="","",IF(B617="","Missing code",IF(C617="Unknown code","Unknown code",IF(COUNTIF($A$6:$A$1005,A617)&gt;1,"Duplicate WO",""))))</f>
        <v/>
      </c>
    </row>
    <row r="618" customFormat="false" ht="15" hidden="false" customHeight="false" outlineLevel="0" collapsed="false">
      <c r="A618" s="53" t="n">
        <v>100880289</v>
      </c>
      <c r="B618" s="46" t="s">
        <v>69</v>
      </c>
      <c r="C618" s="54" t="str">
        <f aca="false">IF(B618="","",IFERROR(INDEX('Kitting Plan'!$D$5:$D$18,MATCH(B618,'Kitting Plan'!$C$5:$C$18,0)),"Unknown code"))</f>
        <v>R5B ERBIUM ASSEMBLY POSITION 3</v>
      </c>
      <c r="D618" s="54" t="str">
        <f aca="false">IF(B618="","",IFERROR(INDEX('Kitting Plan'!$B$5:$B$18,MATCH(B618,'Kitting Plan'!$C$5:$C$18,0)),""))</f>
        <v>ERBIUM ASSY</v>
      </c>
      <c r="E618" s="45"/>
      <c r="F618" s="55" t="n">
        <f aca="false">IF(B618="","",IFERROR(INDEX('Kitting Plan'!$H$5:$H$18,MATCH(B618,'Kitting Plan'!$C$5:$C$18,0)),""))</f>
        <v>3</v>
      </c>
      <c r="G618" s="45" t="n">
        <v>1</v>
      </c>
      <c r="H618" s="56" t="n">
        <f aca="false">IF(B618="","",IF(G618="",F618,G618))</f>
        <v>1</v>
      </c>
      <c r="I618" s="45" t="s">
        <v>27</v>
      </c>
      <c r="J618" s="57" t="n">
        <v>46297</v>
      </c>
      <c r="K618" s="46" t="s">
        <v>107</v>
      </c>
      <c r="L618" s="54" t="str">
        <f aca="false">IF(A618="","",IF(B618="","Missing code",IF(C618="Unknown code","Unknown code",IF(COUNTIF($A$6:$A$1005,A618)&gt;1,"Duplicate WO",""))))</f>
        <v/>
      </c>
    </row>
    <row r="619" customFormat="false" ht="23.85" hidden="false" customHeight="false" outlineLevel="0" collapsed="false">
      <c r="A619" s="53" t="n">
        <v>100863718</v>
      </c>
      <c r="B619" s="46" t="s">
        <v>71</v>
      </c>
      <c r="C619" s="54" t="str">
        <f aca="false">IF(B619="","",IFERROR(INDEX('Kitting Plan'!$D$5:$D$18,MATCH(B619,'Kitting Plan'!$C$5:$C$18,0)),"Unknown code"))</f>
        <v>R5B ERBIUM ASSEMBLY POSITION 4</v>
      </c>
      <c r="D619" s="54" t="str">
        <f aca="false">IF(B619="","",IFERROR(INDEX('Kitting Plan'!$B$5:$B$18,MATCH(B619,'Kitting Plan'!$C$5:$C$18,0)),""))</f>
        <v>ERBIUM ASSY</v>
      </c>
      <c r="E619" s="45"/>
      <c r="F619" s="55" t="n">
        <f aca="false">IF(B619="","",IFERROR(INDEX('Kitting Plan'!$H$5:$H$18,MATCH(B619,'Kitting Plan'!$C$5:$C$18,0)),""))</f>
        <v>3</v>
      </c>
      <c r="G619" s="45" t="n">
        <v>1</v>
      </c>
      <c r="H619" s="56" t="n">
        <f aca="false">IF(B619="","",IF(G619="",F619,G619))</f>
        <v>1</v>
      </c>
      <c r="I619" s="45" t="s">
        <v>29</v>
      </c>
      <c r="J619" s="57" t="n">
        <v>46165</v>
      </c>
      <c r="K619" s="46" t="s">
        <v>104</v>
      </c>
      <c r="L619" s="54" t="str">
        <f aca="false">IF(A619="","",IF(B619="","Missing code",IF(C619="Unknown code","Unknown code",IF(COUNTIF($A$6:$A$1005,A619)&gt;1,"Duplicate WO",""))))</f>
        <v/>
      </c>
    </row>
    <row r="620" customFormat="false" ht="23.85" hidden="false" customHeight="false" outlineLevel="0" collapsed="false">
      <c r="A620" s="53" t="n">
        <v>100863719</v>
      </c>
      <c r="B620" s="46" t="s">
        <v>71</v>
      </c>
      <c r="C620" s="54" t="str">
        <f aca="false">IF(B620="","",IFERROR(INDEX('Kitting Plan'!$D$5:$D$18,MATCH(B620,'Kitting Plan'!$C$5:$C$18,0)),"Unknown code"))</f>
        <v>R5B ERBIUM ASSEMBLY POSITION 4</v>
      </c>
      <c r="D620" s="54" t="str">
        <f aca="false">IF(B620="","",IFERROR(INDEX('Kitting Plan'!$B$5:$B$18,MATCH(B620,'Kitting Plan'!$C$5:$C$18,0)),""))</f>
        <v>ERBIUM ASSY</v>
      </c>
      <c r="E620" s="45"/>
      <c r="F620" s="55" t="n">
        <f aca="false">IF(B620="","",IFERROR(INDEX('Kitting Plan'!$H$5:$H$18,MATCH(B620,'Kitting Plan'!$C$5:$C$18,0)),""))</f>
        <v>3</v>
      </c>
      <c r="G620" s="45" t="n">
        <v>1</v>
      </c>
      <c r="H620" s="56" t="n">
        <f aca="false">IF(B620="","",IF(G620="",F620,G620))</f>
        <v>1</v>
      </c>
      <c r="I620" s="45" t="s">
        <v>29</v>
      </c>
      <c r="J620" s="57" t="n">
        <v>46165</v>
      </c>
      <c r="K620" s="46" t="s">
        <v>102</v>
      </c>
      <c r="L620" s="54" t="str">
        <f aca="false">IF(A620="","",IF(B620="","Missing code",IF(C620="Unknown code","Unknown code",IF(COUNTIF($A$6:$A$1005,A620)&gt;1,"Duplicate WO",""))))</f>
        <v/>
      </c>
    </row>
    <row r="621" customFormat="false" ht="23.85" hidden="false" customHeight="false" outlineLevel="0" collapsed="false">
      <c r="A621" s="53" t="n">
        <v>100863720</v>
      </c>
      <c r="B621" s="46" t="s">
        <v>71</v>
      </c>
      <c r="C621" s="54" t="str">
        <f aca="false">IF(B621="","",IFERROR(INDEX('Kitting Plan'!$D$5:$D$18,MATCH(B621,'Kitting Plan'!$C$5:$C$18,0)),"Unknown code"))</f>
        <v>R5B ERBIUM ASSEMBLY POSITION 4</v>
      </c>
      <c r="D621" s="54" t="str">
        <f aca="false">IF(B621="","",IFERROR(INDEX('Kitting Plan'!$B$5:$B$18,MATCH(B621,'Kitting Plan'!$C$5:$C$18,0)),""))</f>
        <v>ERBIUM ASSY</v>
      </c>
      <c r="E621" s="45"/>
      <c r="F621" s="55" t="n">
        <f aca="false">IF(B621="","",IFERROR(INDEX('Kitting Plan'!$H$5:$H$18,MATCH(B621,'Kitting Plan'!$C$5:$C$18,0)),""))</f>
        <v>3</v>
      </c>
      <c r="G621" s="45" t="n">
        <v>1</v>
      </c>
      <c r="H621" s="56" t="n">
        <f aca="false">IF(B621="","",IF(G621="",F621,G621))</f>
        <v>1</v>
      </c>
      <c r="I621" s="45" t="s">
        <v>29</v>
      </c>
      <c r="J621" s="57" t="n">
        <v>46165</v>
      </c>
      <c r="K621" s="46" t="s">
        <v>104</v>
      </c>
      <c r="L621" s="54" t="str">
        <f aca="false">IF(A621="","",IF(B621="","Missing code",IF(C621="Unknown code","Unknown code",IF(COUNTIF($A$6:$A$1005,A621)&gt;1,"Duplicate WO",""))))</f>
        <v/>
      </c>
    </row>
    <row r="622" customFormat="false" ht="23.85" hidden="false" customHeight="false" outlineLevel="0" collapsed="false">
      <c r="A622" s="53" t="n">
        <v>100865033</v>
      </c>
      <c r="B622" s="46" t="s">
        <v>71</v>
      </c>
      <c r="C622" s="54" t="str">
        <f aca="false">IF(B622="","",IFERROR(INDEX('Kitting Plan'!$D$5:$D$18,MATCH(B622,'Kitting Plan'!$C$5:$C$18,0)),"Unknown code"))</f>
        <v>R5B ERBIUM ASSEMBLY POSITION 4</v>
      </c>
      <c r="D622" s="54" t="str">
        <f aca="false">IF(B622="","",IFERROR(INDEX('Kitting Plan'!$B$5:$B$18,MATCH(B622,'Kitting Plan'!$C$5:$C$18,0)),""))</f>
        <v>ERBIUM ASSY</v>
      </c>
      <c r="E622" s="45"/>
      <c r="F622" s="55" t="n">
        <f aca="false">IF(B622="","",IFERROR(INDEX('Kitting Plan'!$H$5:$H$18,MATCH(B622,'Kitting Plan'!$C$5:$C$18,0)),""))</f>
        <v>3</v>
      </c>
      <c r="G622" s="45" t="n">
        <v>1</v>
      </c>
      <c r="H622" s="56" t="n">
        <f aca="false">IF(B622="","",IF(G622="",F622,G622))</f>
        <v>1</v>
      </c>
      <c r="I622" s="45" t="s">
        <v>29</v>
      </c>
      <c r="J622" s="57" t="n">
        <v>46176</v>
      </c>
      <c r="K622" s="46" t="s">
        <v>102</v>
      </c>
      <c r="L622" s="54" t="str">
        <f aca="false">IF(A622="","",IF(B622="","Missing code",IF(C622="Unknown code","Unknown code",IF(COUNTIF($A$6:$A$1005,A622)&gt;1,"Duplicate WO",""))))</f>
        <v/>
      </c>
    </row>
    <row r="623" customFormat="false" ht="23.85" hidden="false" customHeight="false" outlineLevel="0" collapsed="false">
      <c r="A623" s="53" t="n">
        <v>100865034</v>
      </c>
      <c r="B623" s="46" t="s">
        <v>71</v>
      </c>
      <c r="C623" s="54" t="str">
        <f aca="false">IF(B623="","",IFERROR(INDEX('Kitting Plan'!$D$5:$D$18,MATCH(B623,'Kitting Plan'!$C$5:$C$18,0)),"Unknown code"))</f>
        <v>R5B ERBIUM ASSEMBLY POSITION 4</v>
      </c>
      <c r="D623" s="54" t="str">
        <f aca="false">IF(B623="","",IFERROR(INDEX('Kitting Plan'!$B$5:$B$18,MATCH(B623,'Kitting Plan'!$C$5:$C$18,0)),""))</f>
        <v>ERBIUM ASSY</v>
      </c>
      <c r="E623" s="45"/>
      <c r="F623" s="55" t="n">
        <f aca="false">IF(B623="","",IFERROR(INDEX('Kitting Plan'!$H$5:$H$18,MATCH(B623,'Kitting Plan'!$C$5:$C$18,0)),""))</f>
        <v>3</v>
      </c>
      <c r="G623" s="45" t="n">
        <v>1</v>
      </c>
      <c r="H623" s="56" t="n">
        <f aca="false">IF(B623="","",IF(G623="",F623,G623))</f>
        <v>1</v>
      </c>
      <c r="I623" s="45" t="s">
        <v>29</v>
      </c>
      <c r="J623" s="57" t="n">
        <v>46176</v>
      </c>
      <c r="K623" s="46" t="s">
        <v>102</v>
      </c>
      <c r="L623" s="54" t="str">
        <f aca="false">IF(A623="","",IF(B623="","Missing code",IF(C623="Unknown code","Unknown code",IF(COUNTIF($A$6:$A$1005,A623)&gt;1,"Duplicate WO",""))))</f>
        <v/>
      </c>
    </row>
    <row r="624" customFormat="false" ht="23.85" hidden="false" customHeight="false" outlineLevel="0" collapsed="false">
      <c r="A624" s="53" t="n">
        <v>100865035</v>
      </c>
      <c r="B624" s="46" t="s">
        <v>71</v>
      </c>
      <c r="C624" s="54" t="str">
        <f aca="false">IF(B624="","",IFERROR(INDEX('Kitting Plan'!$D$5:$D$18,MATCH(B624,'Kitting Plan'!$C$5:$C$18,0)),"Unknown code"))</f>
        <v>R5B ERBIUM ASSEMBLY POSITION 4</v>
      </c>
      <c r="D624" s="54" t="str">
        <f aca="false">IF(B624="","",IFERROR(INDEX('Kitting Plan'!$B$5:$B$18,MATCH(B624,'Kitting Plan'!$C$5:$C$18,0)),""))</f>
        <v>ERBIUM ASSY</v>
      </c>
      <c r="E624" s="45"/>
      <c r="F624" s="55" t="n">
        <f aca="false">IF(B624="","",IFERROR(INDEX('Kitting Plan'!$H$5:$H$18,MATCH(B624,'Kitting Plan'!$C$5:$C$18,0)),""))</f>
        <v>3</v>
      </c>
      <c r="G624" s="45" t="n">
        <v>1</v>
      </c>
      <c r="H624" s="56" t="n">
        <f aca="false">IF(B624="","",IF(G624="",F624,G624))</f>
        <v>1</v>
      </c>
      <c r="I624" s="45" t="s">
        <v>29</v>
      </c>
      <c r="J624" s="57" t="n">
        <v>46176</v>
      </c>
      <c r="K624" s="46" t="s">
        <v>102</v>
      </c>
      <c r="L624" s="54" t="str">
        <f aca="false">IF(A624="","",IF(B624="","Missing code",IF(C624="Unknown code","Unknown code",IF(COUNTIF($A$6:$A$1005,A624)&gt;1,"Duplicate WO",""))))</f>
        <v/>
      </c>
    </row>
    <row r="625" customFormat="false" ht="23.85" hidden="false" customHeight="false" outlineLevel="0" collapsed="false">
      <c r="A625" s="53" t="n">
        <v>100871608</v>
      </c>
      <c r="B625" s="46" t="s">
        <v>71</v>
      </c>
      <c r="C625" s="54" t="str">
        <f aca="false">IF(B625="","",IFERROR(INDEX('Kitting Plan'!$D$5:$D$18,MATCH(B625,'Kitting Plan'!$C$5:$C$18,0)),"Unknown code"))</f>
        <v>R5B ERBIUM ASSEMBLY POSITION 4</v>
      </c>
      <c r="D625" s="54" t="str">
        <f aca="false">IF(B625="","",IFERROR(INDEX('Kitting Plan'!$B$5:$B$18,MATCH(B625,'Kitting Plan'!$C$5:$C$18,0)),""))</f>
        <v>ERBIUM ASSY</v>
      </c>
      <c r="E625" s="45"/>
      <c r="F625" s="55" t="n">
        <f aca="false">IF(B625="","",IFERROR(INDEX('Kitting Plan'!$H$5:$H$18,MATCH(B625,'Kitting Plan'!$C$5:$C$18,0)),""))</f>
        <v>3</v>
      </c>
      <c r="G625" s="45" t="n">
        <v>1</v>
      </c>
      <c r="H625" s="56" t="n">
        <f aca="false">IF(B625="","",IF(G625="",F625,G625))</f>
        <v>1</v>
      </c>
      <c r="I625" s="45" t="s">
        <v>29</v>
      </c>
      <c r="J625" s="57" t="n">
        <v>46226</v>
      </c>
      <c r="K625" s="46" t="s">
        <v>102</v>
      </c>
      <c r="L625" s="54" t="str">
        <f aca="false">IF(A625="","",IF(B625="","Missing code",IF(C625="Unknown code","Unknown code",IF(COUNTIF($A$6:$A$1005,A625)&gt;1,"Duplicate WO",""))))</f>
        <v/>
      </c>
    </row>
    <row r="626" customFormat="false" ht="23.85" hidden="false" customHeight="false" outlineLevel="0" collapsed="false">
      <c r="A626" s="53" t="n">
        <v>100871609</v>
      </c>
      <c r="B626" s="46" t="s">
        <v>71</v>
      </c>
      <c r="C626" s="54" t="str">
        <f aca="false">IF(B626="","",IFERROR(INDEX('Kitting Plan'!$D$5:$D$18,MATCH(B626,'Kitting Plan'!$C$5:$C$18,0)),"Unknown code"))</f>
        <v>R5B ERBIUM ASSEMBLY POSITION 4</v>
      </c>
      <c r="D626" s="54" t="str">
        <f aca="false">IF(B626="","",IFERROR(INDEX('Kitting Plan'!$B$5:$B$18,MATCH(B626,'Kitting Plan'!$C$5:$C$18,0)),""))</f>
        <v>ERBIUM ASSY</v>
      </c>
      <c r="E626" s="45"/>
      <c r="F626" s="55" t="n">
        <f aca="false">IF(B626="","",IFERROR(INDEX('Kitting Plan'!$H$5:$H$18,MATCH(B626,'Kitting Plan'!$C$5:$C$18,0)),""))</f>
        <v>3</v>
      </c>
      <c r="G626" s="45" t="n">
        <v>1</v>
      </c>
      <c r="H626" s="56" t="n">
        <f aca="false">IF(B626="","",IF(G626="",F626,G626))</f>
        <v>1</v>
      </c>
      <c r="I626" s="45" t="s">
        <v>29</v>
      </c>
      <c r="J626" s="57" t="n">
        <v>46226</v>
      </c>
      <c r="K626" s="46" t="s">
        <v>102</v>
      </c>
      <c r="L626" s="54" t="str">
        <f aca="false">IF(A626="","",IF(B626="","Missing code",IF(C626="Unknown code","Unknown code",IF(COUNTIF($A$6:$A$1005,A626)&gt;1,"Duplicate WO",""))))</f>
        <v/>
      </c>
    </row>
    <row r="627" customFormat="false" ht="23.85" hidden="false" customHeight="false" outlineLevel="0" collapsed="false">
      <c r="A627" s="53" t="n">
        <v>100871610</v>
      </c>
      <c r="B627" s="46" t="s">
        <v>71</v>
      </c>
      <c r="C627" s="54" t="str">
        <f aca="false">IF(B627="","",IFERROR(INDEX('Kitting Plan'!$D$5:$D$18,MATCH(B627,'Kitting Plan'!$C$5:$C$18,0)),"Unknown code"))</f>
        <v>R5B ERBIUM ASSEMBLY POSITION 4</v>
      </c>
      <c r="D627" s="54" t="str">
        <f aca="false">IF(B627="","",IFERROR(INDEX('Kitting Plan'!$B$5:$B$18,MATCH(B627,'Kitting Plan'!$C$5:$C$18,0)),""))</f>
        <v>ERBIUM ASSY</v>
      </c>
      <c r="E627" s="45"/>
      <c r="F627" s="55" t="n">
        <f aca="false">IF(B627="","",IFERROR(INDEX('Kitting Plan'!$H$5:$H$18,MATCH(B627,'Kitting Plan'!$C$5:$C$18,0)),""))</f>
        <v>3</v>
      </c>
      <c r="G627" s="45" t="n">
        <v>1</v>
      </c>
      <c r="H627" s="56" t="n">
        <f aca="false">IF(B627="","",IF(G627="",F627,G627))</f>
        <v>1</v>
      </c>
      <c r="I627" s="45" t="s">
        <v>29</v>
      </c>
      <c r="J627" s="57" t="n">
        <v>46226</v>
      </c>
      <c r="K627" s="46" t="s">
        <v>102</v>
      </c>
      <c r="L627" s="54" t="str">
        <f aca="false">IF(A627="","",IF(B627="","Missing code",IF(C627="Unknown code","Unknown code",IF(COUNTIF($A$6:$A$1005,A627)&gt;1,"Duplicate WO",""))))</f>
        <v/>
      </c>
    </row>
    <row r="628" customFormat="false" ht="23.85" hidden="false" customHeight="false" outlineLevel="0" collapsed="false">
      <c r="A628" s="53" t="n">
        <v>100873319</v>
      </c>
      <c r="B628" s="46" t="s">
        <v>71</v>
      </c>
      <c r="C628" s="54" t="str">
        <f aca="false">IF(B628="","",IFERROR(INDEX('Kitting Plan'!$D$5:$D$18,MATCH(B628,'Kitting Plan'!$C$5:$C$18,0)),"Unknown code"))</f>
        <v>R5B ERBIUM ASSEMBLY POSITION 4</v>
      </c>
      <c r="D628" s="54" t="str">
        <f aca="false">IF(B628="","",IFERROR(INDEX('Kitting Plan'!$B$5:$B$18,MATCH(B628,'Kitting Plan'!$C$5:$C$18,0)),""))</f>
        <v>ERBIUM ASSY</v>
      </c>
      <c r="E628" s="45"/>
      <c r="F628" s="55" t="n">
        <f aca="false">IF(B628="","",IFERROR(INDEX('Kitting Plan'!$H$5:$H$18,MATCH(B628,'Kitting Plan'!$C$5:$C$18,0)),""))</f>
        <v>3</v>
      </c>
      <c r="G628" s="45" t="n">
        <v>1</v>
      </c>
      <c r="H628" s="56" t="n">
        <f aca="false">IF(B628="","",IF(G628="",F628,G628))</f>
        <v>1</v>
      </c>
      <c r="I628" s="45" t="s">
        <v>29</v>
      </c>
      <c r="J628" s="57" t="n">
        <v>46241</v>
      </c>
      <c r="K628" s="46" t="s">
        <v>102</v>
      </c>
      <c r="L628" s="54" t="str">
        <f aca="false">IF(A628="","",IF(B628="","Missing code",IF(C628="Unknown code","Unknown code",IF(COUNTIF($A$6:$A$1005,A628)&gt;1,"Duplicate WO",""))))</f>
        <v/>
      </c>
    </row>
    <row r="629" customFormat="false" ht="23.85" hidden="false" customHeight="false" outlineLevel="0" collapsed="false">
      <c r="A629" s="53" t="n">
        <v>100873320</v>
      </c>
      <c r="B629" s="46" t="s">
        <v>71</v>
      </c>
      <c r="C629" s="54" t="str">
        <f aca="false">IF(B629="","",IFERROR(INDEX('Kitting Plan'!$D$5:$D$18,MATCH(B629,'Kitting Plan'!$C$5:$C$18,0)),"Unknown code"))</f>
        <v>R5B ERBIUM ASSEMBLY POSITION 4</v>
      </c>
      <c r="D629" s="54" t="str">
        <f aca="false">IF(B629="","",IFERROR(INDEX('Kitting Plan'!$B$5:$B$18,MATCH(B629,'Kitting Plan'!$C$5:$C$18,0)),""))</f>
        <v>ERBIUM ASSY</v>
      </c>
      <c r="E629" s="45"/>
      <c r="F629" s="55" t="n">
        <f aca="false">IF(B629="","",IFERROR(INDEX('Kitting Plan'!$H$5:$H$18,MATCH(B629,'Kitting Plan'!$C$5:$C$18,0)),""))</f>
        <v>3</v>
      </c>
      <c r="G629" s="45" t="n">
        <v>1</v>
      </c>
      <c r="H629" s="56" t="n">
        <f aca="false">IF(B629="","",IF(G629="",F629,G629))</f>
        <v>1</v>
      </c>
      <c r="I629" s="45" t="s">
        <v>29</v>
      </c>
      <c r="J629" s="57" t="n">
        <v>46241</v>
      </c>
      <c r="K629" s="46" t="s">
        <v>102</v>
      </c>
      <c r="L629" s="54" t="str">
        <f aca="false">IF(A629="","",IF(B629="","Missing code",IF(C629="Unknown code","Unknown code",IF(COUNTIF($A$6:$A$1005,A629)&gt;1,"Duplicate WO",""))))</f>
        <v/>
      </c>
    </row>
    <row r="630" customFormat="false" ht="23.85" hidden="false" customHeight="false" outlineLevel="0" collapsed="false">
      <c r="A630" s="53" t="n">
        <v>100873321</v>
      </c>
      <c r="B630" s="46" t="s">
        <v>71</v>
      </c>
      <c r="C630" s="54" t="str">
        <f aca="false">IF(B630="","",IFERROR(INDEX('Kitting Plan'!$D$5:$D$18,MATCH(B630,'Kitting Plan'!$C$5:$C$18,0)),"Unknown code"))</f>
        <v>R5B ERBIUM ASSEMBLY POSITION 4</v>
      </c>
      <c r="D630" s="54" t="str">
        <f aca="false">IF(B630="","",IFERROR(INDEX('Kitting Plan'!$B$5:$B$18,MATCH(B630,'Kitting Plan'!$C$5:$C$18,0)),""))</f>
        <v>ERBIUM ASSY</v>
      </c>
      <c r="E630" s="45"/>
      <c r="F630" s="55" t="n">
        <f aca="false">IF(B630="","",IFERROR(INDEX('Kitting Plan'!$H$5:$H$18,MATCH(B630,'Kitting Plan'!$C$5:$C$18,0)),""))</f>
        <v>3</v>
      </c>
      <c r="G630" s="45" t="n">
        <v>1</v>
      </c>
      <c r="H630" s="56" t="n">
        <f aca="false">IF(B630="","",IF(G630="",F630,G630))</f>
        <v>1</v>
      </c>
      <c r="I630" s="45" t="s">
        <v>29</v>
      </c>
      <c r="J630" s="57" t="n">
        <v>46241</v>
      </c>
      <c r="K630" s="46" t="s">
        <v>104</v>
      </c>
      <c r="L630" s="54" t="str">
        <f aca="false">IF(A630="","",IF(B630="","Missing code",IF(C630="Unknown code","Unknown code",IF(COUNTIF($A$6:$A$1005,A630)&gt;1,"Duplicate WO",""))))</f>
        <v/>
      </c>
    </row>
    <row r="631" customFormat="false" ht="23.85" hidden="false" customHeight="false" outlineLevel="0" collapsed="false">
      <c r="A631" s="53" t="n">
        <v>100874180</v>
      </c>
      <c r="B631" s="46" t="s">
        <v>71</v>
      </c>
      <c r="C631" s="54" t="str">
        <f aca="false">IF(B631="","",IFERROR(INDEX('Kitting Plan'!$D$5:$D$18,MATCH(B631,'Kitting Plan'!$C$5:$C$18,0)),"Unknown code"))</f>
        <v>R5B ERBIUM ASSEMBLY POSITION 4</v>
      </c>
      <c r="D631" s="54" t="str">
        <f aca="false">IF(B631="","",IFERROR(INDEX('Kitting Plan'!$B$5:$B$18,MATCH(B631,'Kitting Plan'!$C$5:$C$18,0)),""))</f>
        <v>ERBIUM ASSY</v>
      </c>
      <c r="E631" s="45"/>
      <c r="F631" s="55" t="n">
        <f aca="false">IF(B631="","",IFERROR(INDEX('Kitting Plan'!$H$5:$H$18,MATCH(B631,'Kitting Plan'!$C$5:$C$18,0)),""))</f>
        <v>3</v>
      </c>
      <c r="G631" s="45" t="n">
        <v>1</v>
      </c>
      <c r="H631" s="56" t="n">
        <f aca="false">IF(B631="","",IF(G631="",F631,G631))</f>
        <v>1</v>
      </c>
      <c r="I631" s="45" t="s">
        <v>29</v>
      </c>
      <c r="J631" s="57" t="n">
        <v>46246</v>
      </c>
      <c r="K631" s="46" t="s">
        <v>102</v>
      </c>
      <c r="L631" s="54" t="str">
        <f aca="false">IF(A631="","",IF(B631="","Missing code",IF(C631="Unknown code","Unknown code",IF(COUNTIF($A$6:$A$1005,A631)&gt;1,"Duplicate WO",""))))</f>
        <v/>
      </c>
    </row>
    <row r="632" customFormat="false" ht="23.85" hidden="false" customHeight="false" outlineLevel="0" collapsed="false">
      <c r="A632" s="53" t="n">
        <v>100874181</v>
      </c>
      <c r="B632" s="46" t="s">
        <v>71</v>
      </c>
      <c r="C632" s="54" t="str">
        <f aca="false">IF(B632="","",IFERROR(INDEX('Kitting Plan'!$D$5:$D$18,MATCH(B632,'Kitting Plan'!$C$5:$C$18,0)),"Unknown code"))</f>
        <v>R5B ERBIUM ASSEMBLY POSITION 4</v>
      </c>
      <c r="D632" s="54" t="str">
        <f aca="false">IF(B632="","",IFERROR(INDEX('Kitting Plan'!$B$5:$B$18,MATCH(B632,'Kitting Plan'!$C$5:$C$18,0)),""))</f>
        <v>ERBIUM ASSY</v>
      </c>
      <c r="E632" s="45"/>
      <c r="F632" s="55" t="n">
        <f aca="false">IF(B632="","",IFERROR(INDEX('Kitting Plan'!$H$5:$H$18,MATCH(B632,'Kitting Plan'!$C$5:$C$18,0)),""))</f>
        <v>3</v>
      </c>
      <c r="G632" s="45" t="n">
        <v>1</v>
      </c>
      <c r="H632" s="56" t="n">
        <f aca="false">IF(B632="","",IF(G632="",F632,G632))</f>
        <v>1</v>
      </c>
      <c r="I632" s="45" t="s">
        <v>29</v>
      </c>
      <c r="J632" s="57" t="n">
        <v>46246</v>
      </c>
      <c r="K632" s="46" t="s">
        <v>102</v>
      </c>
      <c r="L632" s="54" t="str">
        <f aca="false">IF(A632="","",IF(B632="","Missing code",IF(C632="Unknown code","Unknown code",IF(COUNTIF($A$6:$A$1005,A632)&gt;1,"Duplicate WO",""))))</f>
        <v/>
      </c>
    </row>
    <row r="633" customFormat="false" ht="23.85" hidden="false" customHeight="false" outlineLevel="0" collapsed="false">
      <c r="A633" s="53" t="n">
        <v>100874182</v>
      </c>
      <c r="B633" s="46" t="s">
        <v>71</v>
      </c>
      <c r="C633" s="54" t="str">
        <f aca="false">IF(B633="","",IFERROR(INDEX('Kitting Plan'!$D$5:$D$18,MATCH(B633,'Kitting Plan'!$C$5:$C$18,0)),"Unknown code"))</f>
        <v>R5B ERBIUM ASSEMBLY POSITION 4</v>
      </c>
      <c r="D633" s="54" t="str">
        <f aca="false">IF(B633="","",IFERROR(INDEX('Kitting Plan'!$B$5:$B$18,MATCH(B633,'Kitting Plan'!$C$5:$C$18,0)),""))</f>
        <v>ERBIUM ASSY</v>
      </c>
      <c r="E633" s="45"/>
      <c r="F633" s="55" t="n">
        <f aca="false">IF(B633="","",IFERROR(INDEX('Kitting Plan'!$H$5:$H$18,MATCH(B633,'Kitting Plan'!$C$5:$C$18,0)),""))</f>
        <v>3</v>
      </c>
      <c r="G633" s="45" t="n">
        <v>1</v>
      </c>
      <c r="H633" s="56" t="n">
        <f aca="false">IF(B633="","",IF(G633="",F633,G633))</f>
        <v>1</v>
      </c>
      <c r="I633" s="45" t="s">
        <v>29</v>
      </c>
      <c r="J633" s="57" t="n">
        <v>46246</v>
      </c>
      <c r="K633" s="46" t="s">
        <v>102</v>
      </c>
      <c r="L633" s="54" t="str">
        <f aca="false">IF(A633="","",IF(B633="","Missing code",IF(C633="Unknown code","Unknown code",IF(COUNTIF($A$6:$A$1005,A633)&gt;1,"Duplicate WO",""))))</f>
        <v/>
      </c>
    </row>
    <row r="634" customFormat="false" ht="23.85" hidden="false" customHeight="false" outlineLevel="0" collapsed="false">
      <c r="A634" s="53" t="n">
        <v>100875713</v>
      </c>
      <c r="B634" s="46" t="s">
        <v>71</v>
      </c>
      <c r="C634" s="54" t="str">
        <f aca="false">IF(B634="","",IFERROR(INDEX('Kitting Plan'!$D$5:$D$18,MATCH(B634,'Kitting Plan'!$C$5:$C$18,0)),"Unknown code"))</f>
        <v>R5B ERBIUM ASSEMBLY POSITION 4</v>
      </c>
      <c r="D634" s="54" t="str">
        <f aca="false">IF(B634="","",IFERROR(INDEX('Kitting Plan'!$B$5:$B$18,MATCH(B634,'Kitting Plan'!$C$5:$C$18,0)),""))</f>
        <v>ERBIUM ASSY</v>
      </c>
      <c r="E634" s="45"/>
      <c r="F634" s="55" t="n">
        <f aca="false">IF(B634="","",IFERROR(INDEX('Kitting Plan'!$H$5:$H$18,MATCH(B634,'Kitting Plan'!$C$5:$C$18,0)),""))</f>
        <v>3</v>
      </c>
      <c r="G634" s="45" t="n">
        <v>1</v>
      </c>
      <c r="H634" s="56" t="n">
        <f aca="false">IF(B634="","",IF(G634="",F634,G634))</f>
        <v>1</v>
      </c>
      <c r="I634" s="45" t="s">
        <v>29</v>
      </c>
      <c r="J634" s="57" t="n">
        <v>46261</v>
      </c>
      <c r="K634" s="46" t="s">
        <v>104</v>
      </c>
      <c r="L634" s="54" t="str">
        <f aca="false">IF(A634="","",IF(B634="","Missing code",IF(C634="Unknown code","Unknown code",IF(COUNTIF($A$6:$A$1005,A634)&gt;1,"Duplicate WO",""))))</f>
        <v/>
      </c>
    </row>
    <row r="635" customFormat="false" ht="23.85" hidden="false" customHeight="false" outlineLevel="0" collapsed="false">
      <c r="A635" s="53" t="n">
        <v>100875714</v>
      </c>
      <c r="B635" s="46" t="s">
        <v>71</v>
      </c>
      <c r="C635" s="54" t="str">
        <f aca="false">IF(B635="","",IFERROR(INDEX('Kitting Plan'!$D$5:$D$18,MATCH(B635,'Kitting Plan'!$C$5:$C$18,0)),"Unknown code"))</f>
        <v>R5B ERBIUM ASSEMBLY POSITION 4</v>
      </c>
      <c r="D635" s="54" t="str">
        <f aca="false">IF(B635="","",IFERROR(INDEX('Kitting Plan'!$B$5:$B$18,MATCH(B635,'Kitting Plan'!$C$5:$C$18,0)),""))</f>
        <v>ERBIUM ASSY</v>
      </c>
      <c r="E635" s="45"/>
      <c r="F635" s="55" t="n">
        <f aca="false">IF(B635="","",IFERROR(INDEX('Kitting Plan'!$H$5:$H$18,MATCH(B635,'Kitting Plan'!$C$5:$C$18,0)),""))</f>
        <v>3</v>
      </c>
      <c r="G635" s="45" t="n">
        <v>1</v>
      </c>
      <c r="H635" s="56" t="n">
        <f aca="false">IF(B635="","",IF(G635="",F635,G635))</f>
        <v>1</v>
      </c>
      <c r="I635" s="45" t="s">
        <v>29</v>
      </c>
      <c r="J635" s="57" t="n">
        <v>46261</v>
      </c>
      <c r="K635" s="46" t="s">
        <v>104</v>
      </c>
      <c r="L635" s="54" t="str">
        <f aca="false">IF(A635="","",IF(B635="","Missing code",IF(C635="Unknown code","Unknown code",IF(COUNTIF($A$6:$A$1005,A635)&gt;1,"Duplicate WO",""))))</f>
        <v/>
      </c>
    </row>
    <row r="636" customFormat="false" ht="23.85" hidden="false" customHeight="false" outlineLevel="0" collapsed="false">
      <c r="A636" s="53" t="n">
        <v>100875715</v>
      </c>
      <c r="B636" s="46" t="s">
        <v>71</v>
      </c>
      <c r="C636" s="54" t="str">
        <f aca="false">IF(B636="","",IFERROR(INDEX('Kitting Plan'!$D$5:$D$18,MATCH(B636,'Kitting Plan'!$C$5:$C$18,0)),"Unknown code"))</f>
        <v>R5B ERBIUM ASSEMBLY POSITION 4</v>
      </c>
      <c r="D636" s="54" t="str">
        <f aca="false">IF(B636="","",IFERROR(INDEX('Kitting Plan'!$B$5:$B$18,MATCH(B636,'Kitting Plan'!$C$5:$C$18,0)),""))</f>
        <v>ERBIUM ASSY</v>
      </c>
      <c r="E636" s="45"/>
      <c r="F636" s="55" t="n">
        <f aca="false">IF(B636="","",IFERROR(INDEX('Kitting Plan'!$H$5:$H$18,MATCH(B636,'Kitting Plan'!$C$5:$C$18,0)),""))</f>
        <v>3</v>
      </c>
      <c r="G636" s="45" t="n">
        <v>1</v>
      </c>
      <c r="H636" s="56" t="n">
        <f aca="false">IF(B636="","",IF(G636="",F636,G636))</f>
        <v>1</v>
      </c>
      <c r="I636" s="45" t="s">
        <v>29</v>
      </c>
      <c r="J636" s="57" t="n">
        <v>46261</v>
      </c>
      <c r="K636" s="46" t="s">
        <v>104</v>
      </c>
      <c r="L636" s="54" t="str">
        <f aca="false">IF(A636="","",IF(B636="","Missing code",IF(C636="Unknown code","Unknown code",IF(COUNTIF($A$6:$A$1005,A636)&gt;1,"Duplicate WO",""))))</f>
        <v/>
      </c>
    </row>
    <row r="637" customFormat="false" ht="23.85" hidden="false" customHeight="false" outlineLevel="0" collapsed="false">
      <c r="A637" s="53" t="n">
        <v>100876303</v>
      </c>
      <c r="B637" s="46" t="s">
        <v>71</v>
      </c>
      <c r="C637" s="54" t="str">
        <f aca="false">IF(B637="","",IFERROR(INDEX('Kitting Plan'!$D$5:$D$18,MATCH(B637,'Kitting Plan'!$C$5:$C$18,0)),"Unknown code"))</f>
        <v>R5B ERBIUM ASSEMBLY POSITION 4</v>
      </c>
      <c r="D637" s="54" t="str">
        <f aca="false">IF(B637="","",IFERROR(INDEX('Kitting Plan'!$B$5:$B$18,MATCH(B637,'Kitting Plan'!$C$5:$C$18,0)),""))</f>
        <v>ERBIUM ASSY</v>
      </c>
      <c r="E637" s="45"/>
      <c r="F637" s="55" t="n">
        <f aca="false">IF(B637="","",IFERROR(INDEX('Kitting Plan'!$H$5:$H$18,MATCH(B637,'Kitting Plan'!$C$5:$C$18,0)),""))</f>
        <v>3</v>
      </c>
      <c r="G637" s="45" t="n">
        <v>1</v>
      </c>
      <c r="H637" s="56" t="n">
        <f aca="false">IF(B637="","",IF(G637="",F637,G637))</f>
        <v>1</v>
      </c>
      <c r="I637" s="45" t="s">
        <v>29</v>
      </c>
      <c r="J637" s="57" t="n">
        <v>46269</v>
      </c>
      <c r="K637" s="46" t="s">
        <v>102</v>
      </c>
      <c r="L637" s="54" t="str">
        <f aca="false">IF(A637="","",IF(B637="","Missing code",IF(C637="Unknown code","Unknown code",IF(COUNTIF($A$6:$A$1005,A637)&gt;1,"Duplicate WO",""))))</f>
        <v/>
      </c>
    </row>
    <row r="638" customFormat="false" ht="23.85" hidden="false" customHeight="false" outlineLevel="0" collapsed="false">
      <c r="A638" s="53" t="n">
        <v>100876304</v>
      </c>
      <c r="B638" s="46" t="s">
        <v>71</v>
      </c>
      <c r="C638" s="54" t="str">
        <f aca="false">IF(B638="","",IFERROR(INDEX('Kitting Plan'!$D$5:$D$18,MATCH(B638,'Kitting Plan'!$C$5:$C$18,0)),"Unknown code"))</f>
        <v>R5B ERBIUM ASSEMBLY POSITION 4</v>
      </c>
      <c r="D638" s="54" t="str">
        <f aca="false">IF(B638="","",IFERROR(INDEX('Kitting Plan'!$B$5:$B$18,MATCH(B638,'Kitting Plan'!$C$5:$C$18,0)),""))</f>
        <v>ERBIUM ASSY</v>
      </c>
      <c r="E638" s="45"/>
      <c r="F638" s="55" t="n">
        <f aca="false">IF(B638="","",IFERROR(INDEX('Kitting Plan'!$H$5:$H$18,MATCH(B638,'Kitting Plan'!$C$5:$C$18,0)),""))</f>
        <v>3</v>
      </c>
      <c r="G638" s="45" t="n">
        <v>1</v>
      </c>
      <c r="H638" s="56" t="n">
        <f aca="false">IF(B638="","",IF(G638="",F638,G638))</f>
        <v>1</v>
      </c>
      <c r="I638" s="45" t="s">
        <v>27</v>
      </c>
      <c r="J638" s="57" t="n">
        <v>46269</v>
      </c>
      <c r="K638" s="46" t="s">
        <v>108</v>
      </c>
      <c r="L638" s="54" t="str">
        <f aca="false">IF(A638="","",IF(B638="","Missing code",IF(C638="Unknown code","Unknown code",IF(COUNTIF($A$6:$A$1005,A638)&gt;1,"Duplicate WO",""))))</f>
        <v/>
      </c>
    </row>
    <row r="639" customFormat="false" ht="23.85" hidden="false" customHeight="false" outlineLevel="0" collapsed="false">
      <c r="A639" s="53" t="n">
        <v>100876305</v>
      </c>
      <c r="B639" s="46" t="s">
        <v>71</v>
      </c>
      <c r="C639" s="54" t="str">
        <f aca="false">IF(B639="","",IFERROR(INDEX('Kitting Plan'!$D$5:$D$18,MATCH(B639,'Kitting Plan'!$C$5:$C$18,0)),"Unknown code"))</f>
        <v>R5B ERBIUM ASSEMBLY POSITION 4</v>
      </c>
      <c r="D639" s="54" t="str">
        <f aca="false">IF(B639="","",IFERROR(INDEX('Kitting Plan'!$B$5:$B$18,MATCH(B639,'Kitting Plan'!$C$5:$C$18,0)),""))</f>
        <v>ERBIUM ASSY</v>
      </c>
      <c r="E639" s="45"/>
      <c r="F639" s="55" t="n">
        <f aca="false">IF(B639="","",IFERROR(INDEX('Kitting Plan'!$H$5:$H$18,MATCH(B639,'Kitting Plan'!$C$5:$C$18,0)),""))</f>
        <v>3</v>
      </c>
      <c r="G639" s="45" t="n">
        <v>1</v>
      </c>
      <c r="H639" s="56" t="n">
        <f aca="false">IF(B639="","",IF(G639="",F639,G639))</f>
        <v>1</v>
      </c>
      <c r="I639" s="45" t="s">
        <v>29</v>
      </c>
      <c r="J639" s="57" t="n">
        <v>46269</v>
      </c>
      <c r="K639" s="46" t="s">
        <v>104</v>
      </c>
      <c r="L639" s="54" t="str">
        <f aca="false">IF(A639="","",IF(B639="","Missing code",IF(C639="Unknown code","Unknown code",IF(COUNTIF($A$6:$A$1005,A639)&gt;1,"Duplicate WO",""))))</f>
        <v/>
      </c>
    </row>
    <row r="640" customFormat="false" ht="23.85" hidden="false" customHeight="false" outlineLevel="0" collapsed="false">
      <c r="A640" s="53" t="n">
        <v>100877983</v>
      </c>
      <c r="B640" s="46" t="s">
        <v>71</v>
      </c>
      <c r="C640" s="54" t="str">
        <f aca="false">IF(B640="","",IFERROR(INDEX('Kitting Plan'!$D$5:$D$18,MATCH(B640,'Kitting Plan'!$C$5:$C$18,0)),"Unknown code"))</f>
        <v>R5B ERBIUM ASSEMBLY POSITION 4</v>
      </c>
      <c r="D640" s="54" t="str">
        <f aca="false">IF(B640="","",IFERROR(INDEX('Kitting Plan'!$B$5:$B$18,MATCH(B640,'Kitting Plan'!$C$5:$C$18,0)),""))</f>
        <v>ERBIUM ASSY</v>
      </c>
      <c r="E640" s="45"/>
      <c r="F640" s="55" t="n">
        <f aca="false">IF(B640="","",IFERROR(INDEX('Kitting Plan'!$H$5:$H$18,MATCH(B640,'Kitting Plan'!$C$5:$C$18,0)),""))</f>
        <v>3</v>
      </c>
      <c r="G640" s="45" t="n">
        <v>1</v>
      </c>
      <c r="H640" s="56" t="n">
        <f aca="false">IF(B640="","",IF(G640="",F640,G640))</f>
        <v>1</v>
      </c>
      <c r="I640" s="45" t="s">
        <v>27</v>
      </c>
      <c r="J640" s="57" t="n">
        <v>46281</v>
      </c>
      <c r="K640" s="46" t="s">
        <v>108</v>
      </c>
      <c r="L640" s="54" t="str">
        <f aca="false">IF(A640="","",IF(B640="","Missing code",IF(C640="Unknown code","Unknown code",IF(COUNTIF($A$6:$A$1005,A640)&gt;1,"Duplicate WO",""))))</f>
        <v/>
      </c>
    </row>
    <row r="641" customFormat="false" ht="23.85" hidden="false" customHeight="false" outlineLevel="0" collapsed="false">
      <c r="A641" s="53" t="n">
        <v>100877984</v>
      </c>
      <c r="B641" s="46" t="s">
        <v>71</v>
      </c>
      <c r="C641" s="54" t="str">
        <f aca="false">IF(B641="","",IFERROR(INDEX('Kitting Plan'!$D$5:$D$18,MATCH(B641,'Kitting Plan'!$C$5:$C$18,0)),"Unknown code"))</f>
        <v>R5B ERBIUM ASSEMBLY POSITION 4</v>
      </c>
      <c r="D641" s="54" t="str">
        <f aca="false">IF(B641="","",IFERROR(INDEX('Kitting Plan'!$B$5:$B$18,MATCH(B641,'Kitting Plan'!$C$5:$C$18,0)),""))</f>
        <v>ERBIUM ASSY</v>
      </c>
      <c r="E641" s="45"/>
      <c r="F641" s="55" t="n">
        <f aca="false">IF(B641="","",IFERROR(INDEX('Kitting Plan'!$H$5:$H$18,MATCH(B641,'Kitting Plan'!$C$5:$C$18,0)),""))</f>
        <v>3</v>
      </c>
      <c r="G641" s="45" t="n">
        <v>1</v>
      </c>
      <c r="H641" s="56" t="n">
        <f aca="false">IF(B641="","",IF(G641="",F641,G641))</f>
        <v>1</v>
      </c>
      <c r="I641" s="45" t="s">
        <v>27</v>
      </c>
      <c r="J641" s="57" t="n">
        <v>46281</v>
      </c>
      <c r="K641" s="46" t="s">
        <v>108</v>
      </c>
      <c r="L641" s="54" t="str">
        <f aca="false">IF(A641="","",IF(B641="","Missing code",IF(C641="Unknown code","Unknown code",IF(COUNTIF($A$6:$A$1005,A641)&gt;1,"Duplicate WO",""))))</f>
        <v/>
      </c>
    </row>
    <row r="642" customFormat="false" ht="23.85" hidden="false" customHeight="false" outlineLevel="0" collapsed="false">
      <c r="A642" s="53" t="n">
        <v>100877985</v>
      </c>
      <c r="B642" s="46" t="s">
        <v>71</v>
      </c>
      <c r="C642" s="54" t="str">
        <f aca="false">IF(B642="","",IFERROR(INDEX('Kitting Plan'!$D$5:$D$18,MATCH(B642,'Kitting Plan'!$C$5:$C$18,0)),"Unknown code"))</f>
        <v>R5B ERBIUM ASSEMBLY POSITION 4</v>
      </c>
      <c r="D642" s="54" t="str">
        <f aca="false">IF(B642="","",IFERROR(INDEX('Kitting Plan'!$B$5:$B$18,MATCH(B642,'Kitting Plan'!$C$5:$C$18,0)),""))</f>
        <v>ERBIUM ASSY</v>
      </c>
      <c r="E642" s="45"/>
      <c r="F642" s="55" t="n">
        <f aca="false">IF(B642="","",IFERROR(INDEX('Kitting Plan'!$H$5:$H$18,MATCH(B642,'Kitting Plan'!$C$5:$C$18,0)),""))</f>
        <v>3</v>
      </c>
      <c r="G642" s="45" t="n">
        <v>1</v>
      </c>
      <c r="H642" s="56" t="n">
        <f aca="false">IF(B642="","",IF(G642="",F642,G642))</f>
        <v>1</v>
      </c>
      <c r="I642" s="45" t="s">
        <v>27</v>
      </c>
      <c r="J642" s="57" t="n">
        <v>46281</v>
      </c>
      <c r="K642" s="46" t="s">
        <v>108</v>
      </c>
      <c r="L642" s="54" t="str">
        <f aca="false">IF(A642="","",IF(B642="","Missing code",IF(C642="Unknown code","Unknown code",IF(COUNTIF($A$6:$A$1005,A642)&gt;1,"Duplicate WO",""))))</f>
        <v/>
      </c>
    </row>
    <row r="643" customFormat="false" ht="23.85" hidden="false" customHeight="false" outlineLevel="0" collapsed="false">
      <c r="A643" s="53" t="n">
        <v>100879341</v>
      </c>
      <c r="B643" s="46" t="s">
        <v>71</v>
      </c>
      <c r="C643" s="54" t="str">
        <f aca="false">IF(B643="","",IFERROR(INDEX('Kitting Plan'!$D$5:$D$18,MATCH(B643,'Kitting Plan'!$C$5:$C$18,0)),"Unknown code"))</f>
        <v>R5B ERBIUM ASSEMBLY POSITION 4</v>
      </c>
      <c r="D643" s="54" t="str">
        <f aca="false">IF(B643="","",IFERROR(INDEX('Kitting Plan'!$B$5:$B$18,MATCH(B643,'Kitting Plan'!$C$5:$C$18,0)),""))</f>
        <v>ERBIUM ASSY</v>
      </c>
      <c r="E643" s="45"/>
      <c r="F643" s="55" t="n">
        <f aca="false">IF(B643="","",IFERROR(INDEX('Kitting Plan'!$H$5:$H$18,MATCH(B643,'Kitting Plan'!$C$5:$C$18,0)),""))</f>
        <v>3</v>
      </c>
      <c r="G643" s="45" t="n">
        <v>1</v>
      </c>
      <c r="H643" s="56" t="n">
        <f aca="false">IF(B643="","",IF(G643="",F643,G643))</f>
        <v>1</v>
      </c>
      <c r="I643" s="45" t="s">
        <v>27</v>
      </c>
      <c r="J643" s="57" t="n">
        <v>46293</v>
      </c>
      <c r="K643" s="46" t="s">
        <v>105</v>
      </c>
      <c r="L643" s="54" t="str">
        <f aca="false">IF(A643="","",IF(B643="","Missing code",IF(C643="Unknown code","Unknown code",IF(COUNTIF($A$6:$A$1005,A643)&gt;1,"Duplicate WO",""))))</f>
        <v/>
      </c>
    </row>
    <row r="644" customFormat="false" ht="23.85" hidden="false" customHeight="false" outlineLevel="0" collapsed="false">
      <c r="A644" s="53" t="n">
        <v>100879342</v>
      </c>
      <c r="B644" s="46" t="s">
        <v>71</v>
      </c>
      <c r="C644" s="54" t="str">
        <f aca="false">IF(B644="","",IFERROR(INDEX('Kitting Plan'!$D$5:$D$18,MATCH(B644,'Kitting Plan'!$C$5:$C$18,0)),"Unknown code"))</f>
        <v>R5B ERBIUM ASSEMBLY POSITION 4</v>
      </c>
      <c r="D644" s="54" t="str">
        <f aca="false">IF(B644="","",IFERROR(INDEX('Kitting Plan'!$B$5:$B$18,MATCH(B644,'Kitting Plan'!$C$5:$C$18,0)),""))</f>
        <v>ERBIUM ASSY</v>
      </c>
      <c r="E644" s="45"/>
      <c r="F644" s="55" t="n">
        <f aca="false">IF(B644="","",IFERROR(INDEX('Kitting Plan'!$H$5:$H$18,MATCH(B644,'Kitting Plan'!$C$5:$C$18,0)),""))</f>
        <v>3</v>
      </c>
      <c r="G644" s="45" t="n">
        <v>1</v>
      </c>
      <c r="H644" s="56" t="n">
        <f aca="false">IF(B644="","",IF(G644="",F644,G644))</f>
        <v>1</v>
      </c>
      <c r="I644" s="45" t="s">
        <v>27</v>
      </c>
      <c r="J644" s="57" t="n">
        <v>46293</v>
      </c>
      <c r="K644" s="46" t="s">
        <v>105</v>
      </c>
      <c r="L644" s="54" t="str">
        <f aca="false">IF(A644="","",IF(B644="","Missing code",IF(C644="Unknown code","Unknown code",IF(COUNTIF($A$6:$A$1005,A644)&gt;1,"Duplicate WO",""))))</f>
        <v/>
      </c>
    </row>
    <row r="645" customFormat="false" ht="23.85" hidden="false" customHeight="false" outlineLevel="0" collapsed="false">
      <c r="A645" s="53" t="n">
        <v>100879343</v>
      </c>
      <c r="B645" s="46" t="s">
        <v>71</v>
      </c>
      <c r="C645" s="54" t="str">
        <f aca="false">IF(B645="","",IFERROR(INDEX('Kitting Plan'!$D$5:$D$18,MATCH(B645,'Kitting Plan'!$C$5:$C$18,0)),"Unknown code"))</f>
        <v>R5B ERBIUM ASSEMBLY POSITION 4</v>
      </c>
      <c r="D645" s="54" t="str">
        <f aca="false">IF(B645="","",IFERROR(INDEX('Kitting Plan'!$B$5:$B$18,MATCH(B645,'Kitting Plan'!$C$5:$C$18,0)),""))</f>
        <v>ERBIUM ASSY</v>
      </c>
      <c r="E645" s="45"/>
      <c r="F645" s="55" t="n">
        <f aca="false">IF(B645="","",IFERROR(INDEX('Kitting Plan'!$H$5:$H$18,MATCH(B645,'Kitting Plan'!$C$5:$C$18,0)),""))</f>
        <v>3</v>
      </c>
      <c r="G645" s="45" t="n">
        <v>1</v>
      </c>
      <c r="H645" s="56" t="n">
        <f aca="false">IF(B645="","",IF(G645="",F645,G645))</f>
        <v>1</v>
      </c>
      <c r="I645" s="45" t="s">
        <v>27</v>
      </c>
      <c r="J645" s="57" t="n">
        <v>46293</v>
      </c>
      <c r="K645" s="46" t="s">
        <v>105</v>
      </c>
      <c r="L645" s="54" t="str">
        <f aca="false">IF(A645="","",IF(B645="","Missing code",IF(C645="Unknown code","Unknown code",IF(COUNTIF($A$6:$A$1005,A645)&gt;1,"Duplicate WO",""))))</f>
        <v/>
      </c>
    </row>
    <row r="646" customFormat="false" ht="15" hidden="false" customHeight="false" outlineLevel="0" collapsed="false">
      <c r="A646" s="53" t="n">
        <v>100880019</v>
      </c>
      <c r="B646" s="46" t="s">
        <v>71</v>
      </c>
      <c r="C646" s="54" t="str">
        <f aca="false">IF(B646="","",IFERROR(INDEX('Kitting Plan'!$D$5:$D$18,MATCH(B646,'Kitting Plan'!$C$5:$C$18,0)),"Unknown code"))</f>
        <v>R5B ERBIUM ASSEMBLY POSITION 4</v>
      </c>
      <c r="D646" s="54" t="str">
        <f aca="false">IF(B646="","",IFERROR(INDEX('Kitting Plan'!$B$5:$B$18,MATCH(B646,'Kitting Plan'!$C$5:$C$18,0)),""))</f>
        <v>ERBIUM ASSY</v>
      </c>
      <c r="E646" s="45"/>
      <c r="F646" s="55" t="n">
        <f aca="false">IF(B646="","",IFERROR(INDEX('Kitting Plan'!$H$5:$H$18,MATCH(B646,'Kitting Plan'!$C$5:$C$18,0)),""))</f>
        <v>3</v>
      </c>
      <c r="G646" s="45" t="n">
        <v>1</v>
      </c>
      <c r="H646" s="56" t="n">
        <f aca="false">IF(B646="","",IF(G646="",F646,G646))</f>
        <v>1</v>
      </c>
      <c r="I646" s="45" t="s">
        <v>27</v>
      </c>
      <c r="J646" s="57" t="n">
        <v>46296</v>
      </c>
      <c r="K646" s="46" t="s">
        <v>107</v>
      </c>
      <c r="L646" s="54" t="str">
        <f aca="false">IF(A646="","",IF(B646="","Missing code",IF(C646="Unknown code","Unknown code",IF(COUNTIF($A$6:$A$1005,A646)&gt;1,"Duplicate WO",""))))</f>
        <v/>
      </c>
    </row>
    <row r="647" customFormat="false" ht="15" hidden="false" customHeight="false" outlineLevel="0" collapsed="false">
      <c r="A647" s="53" t="n">
        <v>100880020</v>
      </c>
      <c r="B647" s="46" t="s">
        <v>71</v>
      </c>
      <c r="C647" s="54" t="str">
        <f aca="false">IF(B647="","",IFERROR(INDEX('Kitting Plan'!$D$5:$D$18,MATCH(B647,'Kitting Plan'!$C$5:$C$18,0)),"Unknown code"))</f>
        <v>R5B ERBIUM ASSEMBLY POSITION 4</v>
      </c>
      <c r="D647" s="54" t="str">
        <f aca="false">IF(B647="","",IFERROR(INDEX('Kitting Plan'!$B$5:$B$18,MATCH(B647,'Kitting Plan'!$C$5:$C$18,0)),""))</f>
        <v>ERBIUM ASSY</v>
      </c>
      <c r="E647" s="45"/>
      <c r="F647" s="55" t="n">
        <f aca="false">IF(B647="","",IFERROR(INDEX('Kitting Plan'!$H$5:$H$18,MATCH(B647,'Kitting Plan'!$C$5:$C$18,0)),""))</f>
        <v>3</v>
      </c>
      <c r="G647" s="45" t="n">
        <v>1</v>
      </c>
      <c r="H647" s="56" t="n">
        <f aca="false">IF(B647="","",IF(G647="",F647,G647))</f>
        <v>1</v>
      </c>
      <c r="I647" s="45" t="s">
        <v>27</v>
      </c>
      <c r="J647" s="57" t="n">
        <v>46296</v>
      </c>
      <c r="K647" s="46" t="s">
        <v>107</v>
      </c>
      <c r="L647" s="54" t="str">
        <f aca="false">IF(A647="","",IF(B647="","Missing code",IF(C647="Unknown code","Unknown code",IF(COUNTIF($A$6:$A$1005,A647)&gt;1,"Duplicate WO",""))))</f>
        <v/>
      </c>
    </row>
    <row r="648" customFormat="false" ht="15" hidden="false" customHeight="false" outlineLevel="0" collapsed="false">
      <c r="A648" s="53" t="n">
        <v>100880021</v>
      </c>
      <c r="B648" s="46" t="s">
        <v>71</v>
      </c>
      <c r="C648" s="54" t="str">
        <f aca="false">IF(B648="","",IFERROR(INDEX('Kitting Plan'!$D$5:$D$18,MATCH(B648,'Kitting Plan'!$C$5:$C$18,0)),"Unknown code"))</f>
        <v>R5B ERBIUM ASSEMBLY POSITION 4</v>
      </c>
      <c r="D648" s="54" t="str">
        <f aca="false">IF(B648="","",IFERROR(INDEX('Kitting Plan'!$B$5:$B$18,MATCH(B648,'Kitting Plan'!$C$5:$C$18,0)),""))</f>
        <v>ERBIUM ASSY</v>
      </c>
      <c r="E648" s="45"/>
      <c r="F648" s="55" t="n">
        <f aca="false">IF(B648="","",IFERROR(INDEX('Kitting Plan'!$H$5:$H$18,MATCH(B648,'Kitting Plan'!$C$5:$C$18,0)),""))</f>
        <v>3</v>
      </c>
      <c r="G648" s="45" t="n">
        <v>1</v>
      </c>
      <c r="H648" s="56" t="n">
        <f aca="false">IF(B648="","",IF(G648="",F648,G648))</f>
        <v>1</v>
      </c>
      <c r="I648" s="45" t="s">
        <v>27</v>
      </c>
      <c r="J648" s="57" t="n">
        <v>46296</v>
      </c>
      <c r="K648" s="46" t="s">
        <v>107</v>
      </c>
      <c r="L648" s="54" t="str">
        <f aca="false">IF(A648="","",IF(B648="","Missing code",IF(C648="Unknown code","Unknown code",IF(COUNTIF($A$6:$A$1005,A648)&gt;1,"Duplicate WO",""))))</f>
        <v/>
      </c>
    </row>
    <row r="649" customFormat="false" ht="15" hidden="false" customHeight="false" outlineLevel="0" collapsed="false">
      <c r="A649" s="53" t="n">
        <v>100880125</v>
      </c>
      <c r="B649" s="46" t="s">
        <v>71</v>
      </c>
      <c r="C649" s="54" t="str">
        <f aca="false">IF(B649="","",IFERROR(INDEX('Kitting Plan'!$D$5:$D$18,MATCH(B649,'Kitting Plan'!$C$5:$C$18,0)),"Unknown code"))</f>
        <v>R5B ERBIUM ASSEMBLY POSITION 4</v>
      </c>
      <c r="D649" s="54" t="str">
        <f aca="false">IF(B649="","",IFERROR(INDEX('Kitting Plan'!$B$5:$B$18,MATCH(B649,'Kitting Plan'!$C$5:$C$18,0)),""))</f>
        <v>ERBIUM ASSY</v>
      </c>
      <c r="E649" s="45"/>
      <c r="F649" s="55" t="n">
        <f aca="false">IF(B649="","",IFERROR(INDEX('Kitting Plan'!$H$5:$H$18,MATCH(B649,'Kitting Plan'!$C$5:$C$18,0)),""))</f>
        <v>3</v>
      </c>
      <c r="G649" s="45" t="n">
        <v>1</v>
      </c>
      <c r="H649" s="56" t="n">
        <f aca="false">IF(B649="","",IF(G649="",F649,G649))</f>
        <v>1</v>
      </c>
      <c r="I649" s="45" t="s">
        <v>27</v>
      </c>
      <c r="J649" s="57" t="n">
        <v>46296</v>
      </c>
      <c r="K649" s="46" t="s">
        <v>107</v>
      </c>
      <c r="L649" s="54" t="str">
        <f aca="false">IF(A649="","",IF(B649="","Missing code",IF(C649="Unknown code","Unknown code",IF(COUNTIF($A$6:$A$1005,A649)&gt;1,"Duplicate WO",""))))</f>
        <v/>
      </c>
    </row>
    <row r="650" customFormat="false" ht="15" hidden="false" customHeight="false" outlineLevel="0" collapsed="false">
      <c r="A650" s="53" t="n">
        <v>100880126</v>
      </c>
      <c r="B650" s="46" t="s">
        <v>71</v>
      </c>
      <c r="C650" s="54" t="str">
        <f aca="false">IF(B650="","",IFERROR(INDEX('Kitting Plan'!$D$5:$D$18,MATCH(B650,'Kitting Plan'!$C$5:$C$18,0)),"Unknown code"))</f>
        <v>R5B ERBIUM ASSEMBLY POSITION 4</v>
      </c>
      <c r="D650" s="54" t="str">
        <f aca="false">IF(B650="","",IFERROR(INDEX('Kitting Plan'!$B$5:$B$18,MATCH(B650,'Kitting Plan'!$C$5:$C$18,0)),""))</f>
        <v>ERBIUM ASSY</v>
      </c>
      <c r="E650" s="45"/>
      <c r="F650" s="55" t="n">
        <f aca="false">IF(B650="","",IFERROR(INDEX('Kitting Plan'!$H$5:$H$18,MATCH(B650,'Kitting Plan'!$C$5:$C$18,0)),""))</f>
        <v>3</v>
      </c>
      <c r="G650" s="45" t="n">
        <v>1</v>
      </c>
      <c r="H650" s="56" t="n">
        <f aca="false">IF(B650="","",IF(G650="",F650,G650))</f>
        <v>1</v>
      </c>
      <c r="I650" s="45" t="s">
        <v>27</v>
      </c>
      <c r="J650" s="57" t="n">
        <v>46296</v>
      </c>
      <c r="K650" s="46" t="s">
        <v>107</v>
      </c>
      <c r="L650" s="54" t="str">
        <f aca="false">IF(A650="","",IF(B650="","Missing code",IF(C650="Unknown code","Unknown code",IF(COUNTIF($A$6:$A$1005,A650)&gt;1,"Duplicate WO",""))))</f>
        <v/>
      </c>
    </row>
    <row r="651" customFormat="false" ht="15" hidden="false" customHeight="false" outlineLevel="0" collapsed="false">
      <c r="A651" s="53" t="n">
        <v>100880127</v>
      </c>
      <c r="B651" s="46" t="s">
        <v>71</v>
      </c>
      <c r="C651" s="54" t="str">
        <f aca="false">IF(B651="","",IFERROR(INDEX('Kitting Plan'!$D$5:$D$18,MATCH(B651,'Kitting Plan'!$C$5:$C$18,0)),"Unknown code"))</f>
        <v>R5B ERBIUM ASSEMBLY POSITION 4</v>
      </c>
      <c r="D651" s="54" t="str">
        <f aca="false">IF(B651="","",IFERROR(INDEX('Kitting Plan'!$B$5:$B$18,MATCH(B651,'Kitting Plan'!$C$5:$C$18,0)),""))</f>
        <v>ERBIUM ASSY</v>
      </c>
      <c r="E651" s="45"/>
      <c r="F651" s="55" t="n">
        <f aca="false">IF(B651="","",IFERROR(INDEX('Kitting Plan'!$H$5:$H$18,MATCH(B651,'Kitting Plan'!$C$5:$C$18,0)),""))</f>
        <v>3</v>
      </c>
      <c r="G651" s="45" t="n">
        <v>1</v>
      </c>
      <c r="H651" s="56" t="n">
        <f aca="false">IF(B651="","",IF(G651="",F651,G651))</f>
        <v>1</v>
      </c>
      <c r="I651" s="45" t="s">
        <v>27</v>
      </c>
      <c r="J651" s="57" t="n">
        <v>46296</v>
      </c>
      <c r="K651" s="46" t="s">
        <v>107</v>
      </c>
      <c r="L651" s="54" t="str">
        <f aca="false">IF(A651="","",IF(B651="","Missing code",IF(C651="Unknown code","Unknown code",IF(COUNTIF($A$6:$A$1005,A651)&gt;1,"Duplicate WO",""))))</f>
        <v/>
      </c>
    </row>
    <row r="652" customFormat="false" ht="15" hidden="false" customHeight="false" outlineLevel="0" collapsed="false">
      <c r="A652" s="53" t="n">
        <v>100880231</v>
      </c>
      <c r="B652" s="46" t="s">
        <v>71</v>
      </c>
      <c r="C652" s="54" t="str">
        <f aca="false">IF(B652="","",IFERROR(INDEX('Kitting Plan'!$D$5:$D$18,MATCH(B652,'Kitting Plan'!$C$5:$C$18,0)),"Unknown code"))</f>
        <v>R5B ERBIUM ASSEMBLY POSITION 4</v>
      </c>
      <c r="D652" s="54" t="str">
        <f aca="false">IF(B652="","",IFERROR(INDEX('Kitting Plan'!$B$5:$B$18,MATCH(B652,'Kitting Plan'!$C$5:$C$18,0)),""))</f>
        <v>ERBIUM ASSY</v>
      </c>
      <c r="E652" s="45"/>
      <c r="F652" s="55" t="n">
        <f aca="false">IF(B652="","",IFERROR(INDEX('Kitting Plan'!$H$5:$H$18,MATCH(B652,'Kitting Plan'!$C$5:$C$18,0)),""))</f>
        <v>3</v>
      </c>
      <c r="G652" s="45" t="n">
        <v>1</v>
      </c>
      <c r="H652" s="56" t="n">
        <f aca="false">IF(B652="","",IF(G652="",F652,G652))</f>
        <v>1</v>
      </c>
      <c r="I652" s="45" t="s">
        <v>27</v>
      </c>
      <c r="J652" s="57" t="n">
        <v>46297</v>
      </c>
      <c r="K652" s="46" t="s">
        <v>107</v>
      </c>
      <c r="L652" s="54" t="str">
        <f aca="false">IF(A652="","",IF(B652="","Missing code",IF(C652="Unknown code","Unknown code",IF(COUNTIF($A$6:$A$1005,A652)&gt;1,"Duplicate WO",""))))</f>
        <v/>
      </c>
    </row>
    <row r="653" customFormat="false" ht="15" hidden="false" customHeight="false" outlineLevel="0" collapsed="false">
      <c r="A653" s="53" t="n">
        <v>100880232</v>
      </c>
      <c r="B653" s="46" t="s">
        <v>71</v>
      </c>
      <c r="C653" s="54" t="str">
        <f aca="false">IF(B653="","",IFERROR(INDEX('Kitting Plan'!$D$5:$D$18,MATCH(B653,'Kitting Plan'!$C$5:$C$18,0)),"Unknown code"))</f>
        <v>R5B ERBIUM ASSEMBLY POSITION 4</v>
      </c>
      <c r="D653" s="54" t="str">
        <f aca="false">IF(B653="","",IFERROR(INDEX('Kitting Plan'!$B$5:$B$18,MATCH(B653,'Kitting Plan'!$C$5:$C$18,0)),""))</f>
        <v>ERBIUM ASSY</v>
      </c>
      <c r="E653" s="45"/>
      <c r="F653" s="55" t="n">
        <f aca="false">IF(B653="","",IFERROR(INDEX('Kitting Plan'!$H$5:$H$18,MATCH(B653,'Kitting Plan'!$C$5:$C$18,0)),""))</f>
        <v>3</v>
      </c>
      <c r="G653" s="45" t="n">
        <v>1</v>
      </c>
      <c r="H653" s="56" t="n">
        <f aca="false">IF(B653="","",IF(G653="",F653,G653))</f>
        <v>1</v>
      </c>
      <c r="I653" s="45" t="s">
        <v>27</v>
      </c>
      <c r="J653" s="57" t="n">
        <v>46297</v>
      </c>
      <c r="K653" s="46" t="s">
        <v>107</v>
      </c>
      <c r="L653" s="54" t="str">
        <f aca="false">IF(A653="","",IF(B653="","Missing code",IF(C653="Unknown code","Unknown code",IF(COUNTIF($A$6:$A$1005,A653)&gt;1,"Duplicate WO",""))))</f>
        <v/>
      </c>
    </row>
    <row r="654" customFormat="false" ht="15" hidden="false" customHeight="false" outlineLevel="0" collapsed="false">
      <c r="A654" s="53" t="n">
        <v>100880233</v>
      </c>
      <c r="B654" s="46" t="s">
        <v>71</v>
      </c>
      <c r="C654" s="54" t="str">
        <f aca="false">IF(B654="","",IFERROR(INDEX('Kitting Plan'!$D$5:$D$18,MATCH(B654,'Kitting Plan'!$C$5:$C$18,0)),"Unknown code"))</f>
        <v>R5B ERBIUM ASSEMBLY POSITION 4</v>
      </c>
      <c r="D654" s="54" t="str">
        <f aca="false">IF(B654="","",IFERROR(INDEX('Kitting Plan'!$B$5:$B$18,MATCH(B654,'Kitting Plan'!$C$5:$C$18,0)),""))</f>
        <v>ERBIUM ASSY</v>
      </c>
      <c r="E654" s="45"/>
      <c r="F654" s="55" t="n">
        <f aca="false">IF(B654="","",IFERROR(INDEX('Kitting Plan'!$H$5:$H$18,MATCH(B654,'Kitting Plan'!$C$5:$C$18,0)),""))</f>
        <v>3</v>
      </c>
      <c r="G654" s="45" t="n">
        <v>1</v>
      </c>
      <c r="H654" s="56" t="n">
        <f aca="false">IF(B654="","",IF(G654="",F654,G654))</f>
        <v>1</v>
      </c>
      <c r="I654" s="45" t="s">
        <v>27</v>
      </c>
      <c r="J654" s="57" t="n">
        <v>46297</v>
      </c>
      <c r="K654" s="46" t="s">
        <v>107</v>
      </c>
      <c r="L654" s="54" t="str">
        <f aca="false">IF(A654="","",IF(B654="","Missing code",IF(C654="Unknown code","Unknown code",IF(COUNTIF($A$6:$A$1005,A654)&gt;1,"Duplicate WO",""))))</f>
        <v/>
      </c>
    </row>
    <row r="655" customFormat="false" ht="15" hidden="false" customHeight="false" outlineLevel="0" collapsed="false">
      <c r="A655" s="53" t="n">
        <v>100880290</v>
      </c>
      <c r="B655" s="46" t="s">
        <v>71</v>
      </c>
      <c r="C655" s="54" t="str">
        <f aca="false">IF(B655="","",IFERROR(INDEX('Kitting Plan'!$D$5:$D$18,MATCH(B655,'Kitting Plan'!$C$5:$C$18,0)),"Unknown code"))</f>
        <v>R5B ERBIUM ASSEMBLY POSITION 4</v>
      </c>
      <c r="D655" s="54" t="str">
        <f aca="false">IF(B655="","",IFERROR(INDEX('Kitting Plan'!$B$5:$B$18,MATCH(B655,'Kitting Plan'!$C$5:$C$18,0)),""))</f>
        <v>ERBIUM ASSY</v>
      </c>
      <c r="E655" s="45"/>
      <c r="F655" s="55" t="n">
        <f aca="false">IF(B655="","",IFERROR(INDEX('Kitting Plan'!$H$5:$H$18,MATCH(B655,'Kitting Plan'!$C$5:$C$18,0)),""))</f>
        <v>3</v>
      </c>
      <c r="G655" s="45" t="n">
        <v>1</v>
      </c>
      <c r="H655" s="56" t="n">
        <f aca="false">IF(B655="","",IF(G655="",F655,G655))</f>
        <v>1</v>
      </c>
      <c r="I655" s="45" t="s">
        <v>27</v>
      </c>
      <c r="J655" s="57" t="n">
        <v>46297</v>
      </c>
      <c r="K655" s="46" t="s">
        <v>107</v>
      </c>
      <c r="L655" s="54" t="str">
        <f aca="false">IF(A655="","",IF(B655="","Missing code",IF(C655="Unknown code","Unknown code",IF(COUNTIF($A$6:$A$1005,A655)&gt;1,"Duplicate WO",""))))</f>
        <v/>
      </c>
    </row>
    <row r="656" customFormat="false" ht="15" hidden="false" customHeight="false" outlineLevel="0" collapsed="false">
      <c r="A656" s="53" t="n">
        <v>100880291</v>
      </c>
      <c r="B656" s="46" t="s">
        <v>71</v>
      </c>
      <c r="C656" s="54" t="str">
        <f aca="false">IF(B656="","",IFERROR(INDEX('Kitting Plan'!$D$5:$D$18,MATCH(B656,'Kitting Plan'!$C$5:$C$18,0)),"Unknown code"))</f>
        <v>R5B ERBIUM ASSEMBLY POSITION 4</v>
      </c>
      <c r="D656" s="54" t="str">
        <f aca="false">IF(B656="","",IFERROR(INDEX('Kitting Plan'!$B$5:$B$18,MATCH(B656,'Kitting Plan'!$C$5:$C$18,0)),""))</f>
        <v>ERBIUM ASSY</v>
      </c>
      <c r="E656" s="45"/>
      <c r="F656" s="55" t="n">
        <f aca="false">IF(B656="","",IFERROR(INDEX('Kitting Plan'!$H$5:$H$18,MATCH(B656,'Kitting Plan'!$C$5:$C$18,0)),""))</f>
        <v>3</v>
      </c>
      <c r="G656" s="45" t="n">
        <v>1</v>
      </c>
      <c r="H656" s="56" t="n">
        <f aca="false">IF(B656="","",IF(G656="",F656,G656))</f>
        <v>1</v>
      </c>
      <c r="I656" s="45" t="s">
        <v>27</v>
      </c>
      <c r="J656" s="57" t="n">
        <v>46297</v>
      </c>
      <c r="K656" s="46" t="s">
        <v>107</v>
      </c>
      <c r="L656" s="54" t="str">
        <f aca="false">IF(A656="","",IF(B656="","Missing code",IF(C656="Unknown code","Unknown code",IF(COUNTIF($A$6:$A$1005,A656)&gt;1,"Duplicate WO",""))))</f>
        <v/>
      </c>
    </row>
    <row r="657" customFormat="false" ht="15" hidden="false" customHeight="false" outlineLevel="0" collapsed="false">
      <c r="A657" s="53" t="n">
        <v>100880292</v>
      </c>
      <c r="B657" s="46" t="s">
        <v>71</v>
      </c>
      <c r="C657" s="54" t="str">
        <f aca="false">IF(B657="","",IFERROR(INDEX('Kitting Plan'!$D$5:$D$18,MATCH(B657,'Kitting Plan'!$C$5:$C$18,0)),"Unknown code"))</f>
        <v>R5B ERBIUM ASSEMBLY POSITION 4</v>
      </c>
      <c r="D657" s="54" t="str">
        <f aca="false">IF(B657="","",IFERROR(INDEX('Kitting Plan'!$B$5:$B$18,MATCH(B657,'Kitting Plan'!$C$5:$C$18,0)),""))</f>
        <v>ERBIUM ASSY</v>
      </c>
      <c r="E657" s="45"/>
      <c r="F657" s="55" t="n">
        <f aca="false">IF(B657="","",IFERROR(INDEX('Kitting Plan'!$H$5:$H$18,MATCH(B657,'Kitting Plan'!$C$5:$C$18,0)),""))</f>
        <v>3</v>
      </c>
      <c r="G657" s="45" t="n">
        <v>1</v>
      </c>
      <c r="H657" s="56" t="n">
        <f aca="false">IF(B657="","",IF(G657="",F657,G657))</f>
        <v>1</v>
      </c>
      <c r="I657" s="45" t="s">
        <v>27</v>
      </c>
      <c r="J657" s="57" t="n">
        <v>46297</v>
      </c>
      <c r="K657" s="46" t="s">
        <v>107</v>
      </c>
      <c r="L657" s="54" t="str">
        <f aca="false">IF(A657="","",IF(B657="","Missing code",IF(C657="Unknown code","Unknown code",IF(COUNTIF($A$6:$A$1005,A657)&gt;1,"Duplicate WO",""))))</f>
        <v/>
      </c>
    </row>
    <row r="658" customFormat="false" ht="23.85" hidden="false" customHeight="false" outlineLevel="0" collapsed="false">
      <c r="A658" s="53" t="n">
        <v>100861120</v>
      </c>
      <c r="B658" s="46" t="s">
        <v>61</v>
      </c>
      <c r="C658" s="54" t="str">
        <f aca="false">IF(B658="","",IFERROR(INDEX('Kitting Plan'!$D$5:$D$18,MATCH(B658,'Kitting Plan'!$C$5:$C$18,0)),"Unknown code"))</f>
        <v>R5B 4FP POB LUMENTUM SUB ASSEMBLY - E2A</v>
      </c>
      <c r="D658" s="54" t="str">
        <f aca="false">IF(B658="","",IFERROR(INDEX('Kitting Plan'!$B$5:$B$18,MATCH(B658,'Kitting Plan'!$C$5:$C$18,0)),""))</f>
        <v>POB ASSY</v>
      </c>
      <c r="E658" s="45"/>
      <c r="F658" s="55" t="n">
        <f aca="false">IF(B658="","",IFERROR(INDEX('Kitting Plan'!$H$5:$H$18,MATCH(B658,'Kitting Plan'!$C$5:$C$18,0)),""))</f>
        <v>3</v>
      </c>
      <c r="G658" s="45" t="n">
        <v>1</v>
      </c>
      <c r="H658" s="56" t="n">
        <f aca="false">IF(B658="","",IF(G658="",F658,G658))</f>
        <v>1</v>
      </c>
      <c r="I658" s="45" t="s">
        <v>29</v>
      </c>
      <c r="J658" s="57" t="n">
        <v>46148</v>
      </c>
      <c r="K658" s="46" t="s">
        <v>110</v>
      </c>
      <c r="L658" s="54" t="str">
        <f aca="false">IF(A658="","",IF(B658="","Missing code",IF(C658="Unknown code","Unknown code",IF(COUNTIF($A$6:$A$1005,A658)&gt;1,"Duplicate WO",""))))</f>
        <v/>
      </c>
    </row>
    <row r="659" customFormat="false" ht="23.85" hidden="false" customHeight="false" outlineLevel="0" collapsed="false">
      <c r="A659" s="53" t="n">
        <v>100861122</v>
      </c>
      <c r="B659" s="46" t="s">
        <v>61</v>
      </c>
      <c r="C659" s="54" t="str">
        <f aca="false">IF(B659="","",IFERROR(INDEX('Kitting Plan'!$D$5:$D$18,MATCH(B659,'Kitting Plan'!$C$5:$C$18,0)),"Unknown code"))</f>
        <v>R5B 4FP POB LUMENTUM SUB ASSEMBLY - E2A</v>
      </c>
      <c r="D659" s="54" t="str">
        <f aca="false">IF(B659="","",IFERROR(INDEX('Kitting Plan'!$B$5:$B$18,MATCH(B659,'Kitting Plan'!$C$5:$C$18,0)),""))</f>
        <v>POB ASSY</v>
      </c>
      <c r="E659" s="45"/>
      <c r="F659" s="55" t="n">
        <f aca="false">IF(B659="","",IFERROR(INDEX('Kitting Plan'!$H$5:$H$18,MATCH(B659,'Kitting Plan'!$C$5:$C$18,0)),""))</f>
        <v>3</v>
      </c>
      <c r="G659" s="45" t="n">
        <v>1</v>
      </c>
      <c r="H659" s="56" t="n">
        <f aca="false">IF(B659="","",IF(G659="",F659,G659))</f>
        <v>1</v>
      </c>
      <c r="I659" s="45" t="s">
        <v>29</v>
      </c>
      <c r="J659" s="57" t="n">
        <v>46148</v>
      </c>
      <c r="K659" s="46" t="s">
        <v>102</v>
      </c>
      <c r="L659" s="54" t="str">
        <f aca="false">IF(A659="","",IF(B659="","Missing code",IF(C659="Unknown code","Unknown code",IF(COUNTIF($A$6:$A$1005,A659)&gt;1,"Duplicate WO",""))))</f>
        <v/>
      </c>
    </row>
    <row r="660" customFormat="false" ht="23.85" hidden="false" customHeight="false" outlineLevel="0" collapsed="false">
      <c r="A660" s="53" t="n">
        <v>100861124</v>
      </c>
      <c r="B660" s="46" t="s">
        <v>61</v>
      </c>
      <c r="C660" s="54" t="str">
        <f aca="false">IF(B660="","",IFERROR(INDEX('Kitting Plan'!$D$5:$D$18,MATCH(B660,'Kitting Plan'!$C$5:$C$18,0)),"Unknown code"))</f>
        <v>R5B 4FP POB LUMENTUM SUB ASSEMBLY - E2A</v>
      </c>
      <c r="D660" s="54" t="str">
        <f aca="false">IF(B660="","",IFERROR(INDEX('Kitting Plan'!$B$5:$B$18,MATCH(B660,'Kitting Plan'!$C$5:$C$18,0)),""))</f>
        <v>POB ASSY</v>
      </c>
      <c r="E660" s="45"/>
      <c r="F660" s="55" t="n">
        <f aca="false">IF(B660="","",IFERROR(INDEX('Kitting Plan'!$H$5:$H$18,MATCH(B660,'Kitting Plan'!$C$5:$C$18,0)),""))</f>
        <v>3</v>
      </c>
      <c r="G660" s="45" t="n">
        <v>1</v>
      </c>
      <c r="H660" s="56" t="n">
        <f aca="false">IF(B660="","",IF(G660="",F660,G660))</f>
        <v>1</v>
      </c>
      <c r="I660" s="45" t="s">
        <v>29</v>
      </c>
      <c r="J660" s="57" t="n">
        <v>46148</v>
      </c>
      <c r="K660" s="46" t="s">
        <v>103</v>
      </c>
      <c r="L660" s="54" t="str">
        <f aca="false">IF(A660="","",IF(B660="","Missing code",IF(C660="Unknown code","Unknown code",IF(COUNTIF($A$6:$A$1005,A660)&gt;1,"Duplicate WO",""))))</f>
        <v/>
      </c>
    </row>
    <row r="661" customFormat="false" ht="23.85" hidden="false" customHeight="false" outlineLevel="0" collapsed="false">
      <c r="A661" s="53" t="n">
        <v>100863126</v>
      </c>
      <c r="B661" s="46" t="s">
        <v>61</v>
      </c>
      <c r="C661" s="54" t="str">
        <f aca="false">IF(B661="","",IFERROR(INDEX('Kitting Plan'!$D$5:$D$18,MATCH(B661,'Kitting Plan'!$C$5:$C$18,0)),"Unknown code"))</f>
        <v>R5B 4FP POB LUMENTUM SUB ASSEMBLY - E2A</v>
      </c>
      <c r="D661" s="54" t="str">
        <f aca="false">IF(B661="","",IFERROR(INDEX('Kitting Plan'!$B$5:$B$18,MATCH(B661,'Kitting Plan'!$C$5:$C$18,0)),""))</f>
        <v>POB ASSY</v>
      </c>
      <c r="E661" s="45"/>
      <c r="F661" s="55" t="n">
        <f aca="false">IF(B661="","",IFERROR(INDEX('Kitting Plan'!$H$5:$H$18,MATCH(B661,'Kitting Plan'!$C$5:$C$18,0)),""))</f>
        <v>3</v>
      </c>
      <c r="G661" s="45" t="n">
        <v>1</v>
      </c>
      <c r="H661" s="56" t="n">
        <f aca="false">IF(B661="","",IF(G661="",F661,G661))</f>
        <v>1</v>
      </c>
      <c r="I661" s="45" t="s">
        <v>29</v>
      </c>
      <c r="J661" s="57" t="n">
        <v>46162</v>
      </c>
      <c r="K661" s="46" t="s">
        <v>102</v>
      </c>
      <c r="L661" s="54" t="str">
        <f aca="false">IF(A661="","",IF(B661="","Missing code",IF(C661="Unknown code","Unknown code",IF(COUNTIF($A$6:$A$1005,A661)&gt;1,"Duplicate WO",""))))</f>
        <v/>
      </c>
    </row>
    <row r="662" customFormat="false" ht="23.85" hidden="false" customHeight="false" outlineLevel="0" collapsed="false">
      <c r="A662" s="53" t="n">
        <v>100863127</v>
      </c>
      <c r="B662" s="46" t="s">
        <v>61</v>
      </c>
      <c r="C662" s="54" t="str">
        <f aca="false">IF(B662="","",IFERROR(INDEX('Kitting Plan'!$D$5:$D$18,MATCH(B662,'Kitting Plan'!$C$5:$C$18,0)),"Unknown code"))</f>
        <v>R5B 4FP POB LUMENTUM SUB ASSEMBLY - E2A</v>
      </c>
      <c r="D662" s="54" t="str">
        <f aca="false">IF(B662="","",IFERROR(INDEX('Kitting Plan'!$B$5:$B$18,MATCH(B662,'Kitting Plan'!$C$5:$C$18,0)),""))</f>
        <v>POB ASSY</v>
      </c>
      <c r="E662" s="45"/>
      <c r="F662" s="55" t="n">
        <f aca="false">IF(B662="","",IFERROR(INDEX('Kitting Plan'!$H$5:$H$18,MATCH(B662,'Kitting Plan'!$C$5:$C$18,0)),""))</f>
        <v>3</v>
      </c>
      <c r="G662" s="45" t="n">
        <v>1</v>
      </c>
      <c r="H662" s="56" t="n">
        <f aca="false">IF(B662="","",IF(G662="",F662,G662))</f>
        <v>1</v>
      </c>
      <c r="I662" s="45" t="s">
        <v>29</v>
      </c>
      <c r="J662" s="57" t="n">
        <v>46162</v>
      </c>
      <c r="K662" s="46" t="s">
        <v>102</v>
      </c>
      <c r="L662" s="54" t="str">
        <f aca="false">IF(A662="","",IF(B662="","Missing code",IF(C662="Unknown code","Unknown code",IF(COUNTIF($A$6:$A$1005,A662)&gt;1,"Duplicate WO",""))))</f>
        <v/>
      </c>
    </row>
    <row r="663" customFormat="false" ht="23.85" hidden="false" customHeight="false" outlineLevel="0" collapsed="false">
      <c r="A663" s="53" t="n">
        <v>100863128</v>
      </c>
      <c r="B663" s="46" t="s">
        <v>61</v>
      </c>
      <c r="C663" s="54" t="str">
        <f aca="false">IF(B663="","",IFERROR(INDEX('Kitting Plan'!$D$5:$D$18,MATCH(B663,'Kitting Plan'!$C$5:$C$18,0)),"Unknown code"))</f>
        <v>R5B 4FP POB LUMENTUM SUB ASSEMBLY - E2A</v>
      </c>
      <c r="D663" s="54" t="str">
        <f aca="false">IF(B663="","",IFERROR(INDEX('Kitting Plan'!$B$5:$B$18,MATCH(B663,'Kitting Plan'!$C$5:$C$18,0)),""))</f>
        <v>POB ASSY</v>
      </c>
      <c r="E663" s="45"/>
      <c r="F663" s="55" t="n">
        <f aca="false">IF(B663="","",IFERROR(INDEX('Kitting Plan'!$H$5:$H$18,MATCH(B663,'Kitting Plan'!$C$5:$C$18,0)),""))</f>
        <v>3</v>
      </c>
      <c r="G663" s="45" t="n">
        <v>1</v>
      </c>
      <c r="H663" s="56" t="n">
        <f aca="false">IF(B663="","",IF(G663="",F663,G663))</f>
        <v>1</v>
      </c>
      <c r="I663" s="45" t="s">
        <v>29</v>
      </c>
      <c r="J663" s="57" t="n">
        <v>46162</v>
      </c>
      <c r="K663" s="46" t="s">
        <v>102</v>
      </c>
      <c r="L663" s="54" t="str">
        <f aca="false">IF(A663="","",IF(B663="","Missing code",IF(C663="Unknown code","Unknown code",IF(COUNTIF($A$6:$A$1005,A663)&gt;1,"Duplicate WO",""))))</f>
        <v/>
      </c>
    </row>
    <row r="664" customFormat="false" ht="23.85" hidden="false" customHeight="false" outlineLevel="0" collapsed="false">
      <c r="A664" s="53" t="n">
        <v>100865866</v>
      </c>
      <c r="B664" s="46" t="s">
        <v>61</v>
      </c>
      <c r="C664" s="54" t="str">
        <f aca="false">IF(B664="","",IFERROR(INDEX('Kitting Plan'!$D$5:$D$18,MATCH(B664,'Kitting Plan'!$C$5:$C$18,0)),"Unknown code"))</f>
        <v>R5B 4FP POB LUMENTUM SUB ASSEMBLY - E2A</v>
      </c>
      <c r="D664" s="54" t="str">
        <f aca="false">IF(B664="","",IFERROR(INDEX('Kitting Plan'!$B$5:$B$18,MATCH(B664,'Kitting Plan'!$C$5:$C$18,0)),""))</f>
        <v>POB ASSY</v>
      </c>
      <c r="E664" s="45"/>
      <c r="F664" s="55" t="n">
        <f aca="false">IF(B664="","",IFERROR(INDEX('Kitting Plan'!$H$5:$H$18,MATCH(B664,'Kitting Plan'!$C$5:$C$18,0)),""))</f>
        <v>3</v>
      </c>
      <c r="G664" s="45" t="n">
        <v>1</v>
      </c>
      <c r="H664" s="56" t="n">
        <f aca="false">IF(B664="","",IF(G664="",F664,G664))</f>
        <v>1</v>
      </c>
      <c r="I664" s="45" t="s">
        <v>29</v>
      </c>
      <c r="J664" s="57" t="n">
        <v>46182</v>
      </c>
      <c r="K664" s="46" t="s">
        <v>104</v>
      </c>
      <c r="L664" s="54" t="str">
        <f aca="false">IF(A664="","",IF(B664="","Missing code",IF(C664="Unknown code","Unknown code",IF(COUNTIF($A$6:$A$1005,A664)&gt;1,"Duplicate WO",""))))</f>
        <v/>
      </c>
    </row>
    <row r="665" customFormat="false" ht="23.85" hidden="false" customHeight="false" outlineLevel="0" collapsed="false">
      <c r="A665" s="53" t="n">
        <v>100865867</v>
      </c>
      <c r="B665" s="46" t="s">
        <v>61</v>
      </c>
      <c r="C665" s="54" t="str">
        <f aca="false">IF(B665="","",IFERROR(INDEX('Kitting Plan'!$D$5:$D$18,MATCH(B665,'Kitting Plan'!$C$5:$C$18,0)),"Unknown code"))</f>
        <v>R5B 4FP POB LUMENTUM SUB ASSEMBLY - E2A</v>
      </c>
      <c r="D665" s="54" t="str">
        <f aca="false">IF(B665="","",IFERROR(INDEX('Kitting Plan'!$B$5:$B$18,MATCH(B665,'Kitting Plan'!$C$5:$C$18,0)),""))</f>
        <v>POB ASSY</v>
      </c>
      <c r="E665" s="45"/>
      <c r="F665" s="55" t="n">
        <f aca="false">IF(B665="","",IFERROR(INDEX('Kitting Plan'!$H$5:$H$18,MATCH(B665,'Kitting Plan'!$C$5:$C$18,0)),""))</f>
        <v>3</v>
      </c>
      <c r="G665" s="45" t="n">
        <v>1</v>
      </c>
      <c r="H665" s="56" t="n">
        <f aca="false">IF(B665="","",IF(G665="",F665,G665))</f>
        <v>1</v>
      </c>
      <c r="I665" s="45" t="s">
        <v>29</v>
      </c>
      <c r="J665" s="57" t="n">
        <v>46182</v>
      </c>
      <c r="K665" s="46" t="s">
        <v>104</v>
      </c>
      <c r="L665" s="54" t="str">
        <f aca="false">IF(A665="","",IF(B665="","Missing code",IF(C665="Unknown code","Unknown code",IF(COUNTIF($A$6:$A$1005,A665)&gt;1,"Duplicate WO",""))))</f>
        <v/>
      </c>
    </row>
    <row r="666" customFormat="false" ht="23.85" hidden="false" customHeight="false" outlineLevel="0" collapsed="false">
      <c r="A666" s="53" t="n">
        <v>100865868</v>
      </c>
      <c r="B666" s="46" t="s">
        <v>61</v>
      </c>
      <c r="C666" s="54" t="str">
        <f aca="false">IF(B666="","",IFERROR(INDEX('Kitting Plan'!$D$5:$D$18,MATCH(B666,'Kitting Plan'!$C$5:$C$18,0)),"Unknown code"))</f>
        <v>R5B 4FP POB LUMENTUM SUB ASSEMBLY - E2A</v>
      </c>
      <c r="D666" s="54" t="str">
        <f aca="false">IF(B666="","",IFERROR(INDEX('Kitting Plan'!$B$5:$B$18,MATCH(B666,'Kitting Plan'!$C$5:$C$18,0)),""))</f>
        <v>POB ASSY</v>
      </c>
      <c r="E666" s="45"/>
      <c r="F666" s="55" t="n">
        <f aca="false">IF(B666="","",IFERROR(INDEX('Kitting Plan'!$H$5:$H$18,MATCH(B666,'Kitting Plan'!$C$5:$C$18,0)),""))</f>
        <v>3</v>
      </c>
      <c r="G666" s="45" t="n">
        <v>1</v>
      </c>
      <c r="H666" s="56" t="n">
        <f aca="false">IF(B666="","",IF(G666="",F666,G666))</f>
        <v>1</v>
      </c>
      <c r="I666" s="45" t="s">
        <v>29</v>
      </c>
      <c r="J666" s="57" t="n">
        <v>46182</v>
      </c>
      <c r="K666" s="46" t="s">
        <v>102</v>
      </c>
      <c r="L666" s="54" t="str">
        <f aca="false">IF(A666="","",IF(B666="","Missing code",IF(C666="Unknown code","Unknown code",IF(COUNTIF($A$6:$A$1005,A666)&gt;1,"Duplicate WO",""))))</f>
        <v/>
      </c>
    </row>
    <row r="667" customFormat="false" ht="23.85" hidden="false" customHeight="false" outlineLevel="0" collapsed="false">
      <c r="A667" s="53" t="n">
        <v>100870914</v>
      </c>
      <c r="B667" s="46" t="s">
        <v>61</v>
      </c>
      <c r="C667" s="54" t="str">
        <f aca="false">IF(B667="","",IFERROR(INDEX('Kitting Plan'!$D$5:$D$18,MATCH(B667,'Kitting Plan'!$C$5:$C$18,0)),"Unknown code"))</f>
        <v>R5B 4FP POB LUMENTUM SUB ASSEMBLY - E2A</v>
      </c>
      <c r="D667" s="54" t="str">
        <f aca="false">IF(B667="","",IFERROR(INDEX('Kitting Plan'!$B$5:$B$18,MATCH(B667,'Kitting Plan'!$C$5:$C$18,0)),""))</f>
        <v>POB ASSY</v>
      </c>
      <c r="E667" s="45"/>
      <c r="F667" s="55" t="n">
        <f aca="false">IF(B667="","",IFERROR(INDEX('Kitting Plan'!$H$5:$H$18,MATCH(B667,'Kitting Plan'!$C$5:$C$18,0)),""))</f>
        <v>3</v>
      </c>
      <c r="G667" s="45" t="n">
        <v>1</v>
      </c>
      <c r="H667" s="56" t="n">
        <f aca="false">IF(B667="","",IF(G667="",F667,G667))</f>
        <v>1</v>
      </c>
      <c r="I667" s="45" t="s">
        <v>29</v>
      </c>
      <c r="J667" s="57" t="n">
        <v>46224</v>
      </c>
      <c r="K667" s="46" t="s">
        <v>102</v>
      </c>
      <c r="L667" s="54" t="str">
        <f aca="false">IF(A667="","",IF(B667="","Missing code",IF(C667="Unknown code","Unknown code",IF(COUNTIF($A$6:$A$1005,A667)&gt;1,"Duplicate WO",""))))</f>
        <v/>
      </c>
    </row>
    <row r="668" customFormat="false" ht="23.85" hidden="false" customHeight="false" outlineLevel="0" collapsed="false">
      <c r="A668" s="53" t="n">
        <v>100870915</v>
      </c>
      <c r="B668" s="46" t="s">
        <v>61</v>
      </c>
      <c r="C668" s="54" t="str">
        <f aca="false">IF(B668="","",IFERROR(INDEX('Kitting Plan'!$D$5:$D$18,MATCH(B668,'Kitting Plan'!$C$5:$C$18,0)),"Unknown code"))</f>
        <v>R5B 4FP POB LUMENTUM SUB ASSEMBLY - E2A</v>
      </c>
      <c r="D668" s="54" t="str">
        <f aca="false">IF(B668="","",IFERROR(INDEX('Kitting Plan'!$B$5:$B$18,MATCH(B668,'Kitting Plan'!$C$5:$C$18,0)),""))</f>
        <v>POB ASSY</v>
      </c>
      <c r="E668" s="45"/>
      <c r="F668" s="55" t="n">
        <f aca="false">IF(B668="","",IFERROR(INDEX('Kitting Plan'!$H$5:$H$18,MATCH(B668,'Kitting Plan'!$C$5:$C$18,0)),""))</f>
        <v>3</v>
      </c>
      <c r="G668" s="45" t="n">
        <v>1</v>
      </c>
      <c r="H668" s="56" t="n">
        <f aca="false">IF(B668="","",IF(G668="",F668,G668))</f>
        <v>1</v>
      </c>
      <c r="I668" s="45" t="s">
        <v>29</v>
      </c>
      <c r="J668" s="57" t="n">
        <v>46224</v>
      </c>
      <c r="K668" s="46" t="s">
        <v>102</v>
      </c>
      <c r="L668" s="54" t="str">
        <f aca="false">IF(A668="","",IF(B668="","Missing code",IF(C668="Unknown code","Unknown code",IF(COUNTIF($A$6:$A$1005,A668)&gt;1,"Duplicate WO",""))))</f>
        <v/>
      </c>
    </row>
    <row r="669" customFormat="false" ht="23.85" hidden="false" customHeight="false" outlineLevel="0" collapsed="false">
      <c r="A669" s="53" t="n">
        <v>100870916</v>
      </c>
      <c r="B669" s="46" t="s">
        <v>61</v>
      </c>
      <c r="C669" s="54" t="str">
        <f aca="false">IF(B669="","",IFERROR(INDEX('Kitting Plan'!$D$5:$D$18,MATCH(B669,'Kitting Plan'!$C$5:$C$18,0)),"Unknown code"))</f>
        <v>R5B 4FP POB LUMENTUM SUB ASSEMBLY - E2A</v>
      </c>
      <c r="D669" s="54" t="str">
        <f aca="false">IF(B669="","",IFERROR(INDEX('Kitting Plan'!$B$5:$B$18,MATCH(B669,'Kitting Plan'!$C$5:$C$18,0)),""))</f>
        <v>POB ASSY</v>
      </c>
      <c r="E669" s="45"/>
      <c r="F669" s="55" t="n">
        <f aca="false">IF(B669="","",IFERROR(INDEX('Kitting Plan'!$H$5:$H$18,MATCH(B669,'Kitting Plan'!$C$5:$C$18,0)),""))</f>
        <v>3</v>
      </c>
      <c r="G669" s="45" t="n">
        <v>1</v>
      </c>
      <c r="H669" s="56" t="n">
        <f aca="false">IF(B669="","",IF(G669="",F669,G669))</f>
        <v>1</v>
      </c>
      <c r="I669" s="45" t="s">
        <v>29</v>
      </c>
      <c r="J669" s="57" t="n">
        <v>46224</v>
      </c>
      <c r="K669" s="46" t="s">
        <v>102</v>
      </c>
      <c r="L669" s="54" t="str">
        <f aca="false">IF(A669="","",IF(B669="","Missing code",IF(C669="Unknown code","Unknown code",IF(COUNTIF($A$6:$A$1005,A669)&gt;1,"Duplicate WO",""))))</f>
        <v/>
      </c>
    </row>
    <row r="670" customFormat="false" ht="23.85" hidden="false" customHeight="false" outlineLevel="0" collapsed="false">
      <c r="A670" s="53" t="n">
        <v>100873447</v>
      </c>
      <c r="B670" s="46" t="s">
        <v>61</v>
      </c>
      <c r="C670" s="54" t="str">
        <f aca="false">IF(B670="","",IFERROR(INDEX('Kitting Plan'!$D$5:$D$18,MATCH(B670,'Kitting Plan'!$C$5:$C$18,0)),"Unknown code"))</f>
        <v>R5B 4FP POB LUMENTUM SUB ASSEMBLY - E2A</v>
      </c>
      <c r="D670" s="54" t="str">
        <f aca="false">IF(B670="","",IFERROR(INDEX('Kitting Plan'!$B$5:$B$18,MATCH(B670,'Kitting Plan'!$C$5:$C$18,0)),""))</f>
        <v>POB ASSY</v>
      </c>
      <c r="E670" s="45"/>
      <c r="F670" s="55" t="n">
        <f aca="false">IF(B670="","",IFERROR(INDEX('Kitting Plan'!$H$5:$H$18,MATCH(B670,'Kitting Plan'!$C$5:$C$18,0)),""))</f>
        <v>3</v>
      </c>
      <c r="G670" s="45" t="n">
        <v>1</v>
      </c>
      <c r="H670" s="56" t="n">
        <f aca="false">IF(B670="","",IF(G670="",F670,G670))</f>
        <v>1</v>
      </c>
      <c r="I670" s="45" t="s">
        <v>29</v>
      </c>
      <c r="J670" s="57" t="n">
        <v>46244</v>
      </c>
      <c r="K670" s="46" t="s">
        <v>102</v>
      </c>
      <c r="L670" s="54" t="str">
        <f aca="false">IF(A670="","",IF(B670="","Missing code",IF(C670="Unknown code","Unknown code",IF(COUNTIF($A$6:$A$1005,A670)&gt;1,"Duplicate WO",""))))</f>
        <v/>
      </c>
    </row>
    <row r="671" customFormat="false" ht="23.85" hidden="false" customHeight="false" outlineLevel="0" collapsed="false">
      <c r="A671" s="53" t="n">
        <v>100873448</v>
      </c>
      <c r="B671" s="46" t="s">
        <v>61</v>
      </c>
      <c r="C671" s="54" t="str">
        <f aca="false">IF(B671="","",IFERROR(INDEX('Kitting Plan'!$D$5:$D$18,MATCH(B671,'Kitting Plan'!$C$5:$C$18,0)),"Unknown code"))</f>
        <v>R5B 4FP POB LUMENTUM SUB ASSEMBLY - E2A</v>
      </c>
      <c r="D671" s="54" t="str">
        <f aca="false">IF(B671="","",IFERROR(INDEX('Kitting Plan'!$B$5:$B$18,MATCH(B671,'Kitting Plan'!$C$5:$C$18,0)),""))</f>
        <v>POB ASSY</v>
      </c>
      <c r="E671" s="45"/>
      <c r="F671" s="55" t="n">
        <f aca="false">IF(B671="","",IFERROR(INDEX('Kitting Plan'!$H$5:$H$18,MATCH(B671,'Kitting Plan'!$C$5:$C$18,0)),""))</f>
        <v>3</v>
      </c>
      <c r="G671" s="45" t="n">
        <v>1</v>
      </c>
      <c r="H671" s="56" t="n">
        <f aca="false">IF(B671="","",IF(G671="",F671,G671))</f>
        <v>1</v>
      </c>
      <c r="I671" s="45" t="s">
        <v>29</v>
      </c>
      <c r="J671" s="57" t="n">
        <v>46244</v>
      </c>
      <c r="K671" s="46" t="s">
        <v>104</v>
      </c>
      <c r="L671" s="54" t="str">
        <f aca="false">IF(A671="","",IF(B671="","Missing code",IF(C671="Unknown code","Unknown code",IF(COUNTIF($A$6:$A$1005,A671)&gt;1,"Duplicate WO",""))))</f>
        <v/>
      </c>
    </row>
    <row r="672" customFormat="false" ht="23.85" hidden="false" customHeight="false" outlineLevel="0" collapsed="false">
      <c r="A672" s="53" t="n">
        <v>100873450</v>
      </c>
      <c r="B672" s="46" t="s">
        <v>61</v>
      </c>
      <c r="C672" s="54" t="str">
        <f aca="false">IF(B672="","",IFERROR(INDEX('Kitting Plan'!$D$5:$D$18,MATCH(B672,'Kitting Plan'!$C$5:$C$18,0)),"Unknown code"))</f>
        <v>R5B 4FP POB LUMENTUM SUB ASSEMBLY - E2A</v>
      </c>
      <c r="D672" s="54" t="str">
        <f aca="false">IF(B672="","",IFERROR(INDEX('Kitting Plan'!$B$5:$B$18,MATCH(B672,'Kitting Plan'!$C$5:$C$18,0)),""))</f>
        <v>POB ASSY</v>
      </c>
      <c r="E672" s="45"/>
      <c r="F672" s="55" t="n">
        <f aca="false">IF(B672="","",IFERROR(INDEX('Kitting Plan'!$H$5:$H$18,MATCH(B672,'Kitting Plan'!$C$5:$C$18,0)),""))</f>
        <v>3</v>
      </c>
      <c r="G672" s="45" t="n">
        <v>1</v>
      </c>
      <c r="H672" s="56" t="n">
        <f aca="false">IF(B672="","",IF(G672="",F672,G672))</f>
        <v>1</v>
      </c>
      <c r="I672" s="45" t="s">
        <v>29</v>
      </c>
      <c r="J672" s="57" t="n">
        <v>46244</v>
      </c>
      <c r="K672" s="46" t="s">
        <v>104</v>
      </c>
      <c r="L672" s="54" t="str">
        <f aca="false">IF(A672="","",IF(B672="","Missing code",IF(C672="Unknown code","Unknown code",IF(COUNTIF($A$6:$A$1005,A672)&gt;1,"Duplicate WO",""))))</f>
        <v/>
      </c>
    </row>
    <row r="673" customFormat="false" ht="23.85" hidden="false" customHeight="false" outlineLevel="0" collapsed="false">
      <c r="A673" s="53" t="n">
        <v>100874843</v>
      </c>
      <c r="B673" s="46" t="s">
        <v>61</v>
      </c>
      <c r="C673" s="54" t="str">
        <f aca="false">IF(B673="","",IFERROR(INDEX('Kitting Plan'!$D$5:$D$18,MATCH(B673,'Kitting Plan'!$C$5:$C$18,0)),"Unknown code"))</f>
        <v>R5B 4FP POB LUMENTUM SUB ASSEMBLY - E2A</v>
      </c>
      <c r="D673" s="54" t="str">
        <f aca="false">IF(B673="","",IFERROR(INDEX('Kitting Plan'!$B$5:$B$18,MATCH(B673,'Kitting Plan'!$C$5:$C$18,0)),""))</f>
        <v>POB ASSY</v>
      </c>
      <c r="E673" s="45"/>
      <c r="F673" s="55" t="n">
        <f aca="false">IF(B673="","",IFERROR(INDEX('Kitting Plan'!$H$5:$H$18,MATCH(B673,'Kitting Plan'!$C$5:$C$18,0)),""))</f>
        <v>3</v>
      </c>
      <c r="G673" s="45" t="n">
        <v>1</v>
      </c>
      <c r="H673" s="56" t="n">
        <f aca="false">IF(B673="","",IF(G673="",F673,G673))</f>
        <v>1</v>
      </c>
      <c r="I673" s="45" t="s">
        <v>29</v>
      </c>
      <c r="J673" s="57" t="n">
        <v>46256</v>
      </c>
      <c r="K673" s="46" t="s">
        <v>102</v>
      </c>
      <c r="L673" s="54" t="str">
        <f aca="false">IF(A673="","",IF(B673="","Missing code",IF(C673="Unknown code","Unknown code",IF(COUNTIF($A$6:$A$1005,A673)&gt;1,"Duplicate WO",""))))</f>
        <v/>
      </c>
    </row>
    <row r="674" customFormat="false" ht="23.85" hidden="false" customHeight="false" outlineLevel="0" collapsed="false">
      <c r="A674" s="53" t="n">
        <v>100874844</v>
      </c>
      <c r="B674" s="46" t="s">
        <v>61</v>
      </c>
      <c r="C674" s="54" t="str">
        <f aca="false">IF(B674="","",IFERROR(INDEX('Kitting Plan'!$D$5:$D$18,MATCH(B674,'Kitting Plan'!$C$5:$C$18,0)),"Unknown code"))</f>
        <v>R5B 4FP POB LUMENTUM SUB ASSEMBLY - E2A</v>
      </c>
      <c r="D674" s="54" t="str">
        <f aca="false">IF(B674="","",IFERROR(INDEX('Kitting Plan'!$B$5:$B$18,MATCH(B674,'Kitting Plan'!$C$5:$C$18,0)),""))</f>
        <v>POB ASSY</v>
      </c>
      <c r="E674" s="45"/>
      <c r="F674" s="55" t="n">
        <f aca="false">IF(B674="","",IFERROR(INDEX('Kitting Plan'!$H$5:$H$18,MATCH(B674,'Kitting Plan'!$C$5:$C$18,0)),""))</f>
        <v>3</v>
      </c>
      <c r="G674" s="45" t="n">
        <v>1</v>
      </c>
      <c r="H674" s="56" t="n">
        <f aca="false">IF(B674="","",IF(G674="",F674,G674))</f>
        <v>1</v>
      </c>
      <c r="I674" s="45" t="s">
        <v>29</v>
      </c>
      <c r="J674" s="57" t="n">
        <v>46256</v>
      </c>
      <c r="K674" s="46" t="s">
        <v>102</v>
      </c>
      <c r="L674" s="54" t="str">
        <f aca="false">IF(A674="","",IF(B674="","Missing code",IF(C674="Unknown code","Unknown code",IF(COUNTIF($A$6:$A$1005,A674)&gt;1,"Duplicate WO",""))))</f>
        <v/>
      </c>
    </row>
    <row r="675" customFormat="false" ht="23.85" hidden="false" customHeight="false" outlineLevel="0" collapsed="false">
      <c r="A675" s="53" t="n">
        <v>100874845</v>
      </c>
      <c r="B675" s="46" t="s">
        <v>61</v>
      </c>
      <c r="C675" s="54" t="str">
        <f aca="false">IF(B675="","",IFERROR(INDEX('Kitting Plan'!$D$5:$D$18,MATCH(B675,'Kitting Plan'!$C$5:$C$18,0)),"Unknown code"))</f>
        <v>R5B 4FP POB LUMENTUM SUB ASSEMBLY - E2A</v>
      </c>
      <c r="D675" s="54" t="str">
        <f aca="false">IF(B675="","",IFERROR(INDEX('Kitting Plan'!$B$5:$B$18,MATCH(B675,'Kitting Plan'!$C$5:$C$18,0)),""))</f>
        <v>POB ASSY</v>
      </c>
      <c r="E675" s="45"/>
      <c r="F675" s="55" t="n">
        <f aca="false">IF(B675="","",IFERROR(INDEX('Kitting Plan'!$H$5:$H$18,MATCH(B675,'Kitting Plan'!$C$5:$C$18,0)),""))</f>
        <v>3</v>
      </c>
      <c r="G675" s="45" t="n">
        <v>1</v>
      </c>
      <c r="H675" s="56" t="n">
        <f aca="false">IF(B675="","",IF(G675="",F675,G675))</f>
        <v>1</v>
      </c>
      <c r="I675" s="45" t="s">
        <v>29</v>
      </c>
      <c r="J675" s="57" t="n">
        <v>46256</v>
      </c>
      <c r="K675" s="46" t="s">
        <v>102</v>
      </c>
      <c r="L675" s="54" t="str">
        <f aca="false">IF(A675="","",IF(B675="","Missing code",IF(C675="Unknown code","Unknown code",IF(COUNTIF($A$6:$A$1005,A675)&gt;1,"Duplicate WO",""))))</f>
        <v/>
      </c>
    </row>
    <row r="676" customFormat="false" ht="23.85" hidden="false" customHeight="false" outlineLevel="0" collapsed="false">
      <c r="A676" s="53" t="n">
        <v>100876289</v>
      </c>
      <c r="B676" s="46" t="s">
        <v>61</v>
      </c>
      <c r="C676" s="54" t="str">
        <f aca="false">IF(B676="","",IFERROR(INDEX('Kitting Plan'!$D$5:$D$18,MATCH(B676,'Kitting Plan'!$C$5:$C$18,0)),"Unknown code"))</f>
        <v>R5B 4FP POB LUMENTUM SUB ASSEMBLY - E2A</v>
      </c>
      <c r="D676" s="54" t="str">
        <f aca="false">IF(B676="","",IFERROR(INDEX('Kitting Plan'!$B$5:$B$18,MATCH(B676,'Kitting Plan'!$C$5:$C$18,0)),""))</f>
        <v>POB ASSY</v>
      </c>
      <c r="E676" s="45"/>
      <c r="F676" s="55" t="n">
        <f aca="false">IF(B676="","",IFERROR(INDEX('Kitting Plan'!$H$5:$H$18,MATCH(B676,'Kitting Plan'!$C$5:$C$18,0)),""))</f>
        <v>3</v>
      </c>
      <c r="G676" s="45" t="n">
        <v>1</v>
      </c>
      <c r="H676" s="56" t="n">
        <f aca="false">IF(B676="","",IF(G676="",F676,G676))</f>
        <v>1</v>
      </c>
      <c r="I676" s="45" t="s">
        <v>29</v>
      </c>
      <c r="J676" s="57" t="n">
        <v>46269</v>
      </c>
      <c r="K676" s="46" t="s">
        <v>104</v>
      </c>
      <c r="L676" s="54" t="str">
        <f aca="false">IF(A676="","",IF(B676="","Missing code",IF(C676="Unknown code","Unknown code",IF(COUNTIF($A$6:$A$1005,A676)&gt;1,"Duplicate WO",""))))</f>
        <v/>
      </c>
    </row>
    <row r="677" customFormat="false" ht="23.85" hidden="false" customHeight="false" outlineLevel="0" collapsed="false">
      <c r="A677" s="53" t="n">
        <v>100876290</v>
      </c>
      <c r="B677" s="46" t="s">
        <v>61</v>
      </c>
      <c r="C677" s="54" t="str">
        <f aca="false">IF(B677="","",IFERROR(INDEX('Kitting Plan'!$D$5:$D$18,MATCH(B677,'Kitting Plan'!$C$5:$C$18,0)),"Unknown code"))</f>
        <v>R5B 4FP POB LUMENTUM SUB ASSEMBLY - E2A</v>
      </c>
      <c r="D677" s="54" t="str">
        <f aca="false">IF(B677="","",IFERROR(INDEX('Kitting Plan'!$B$5:$B$18,MATCH(B677,'Kitting Plan'!$C$5:$C$18,0)),""))</f>
        <v>POB ASSY</v>
      </c>
      <c r="E677" s="45"/>
      <c r="F677" s="55" t="n">
        <f aca="false">IF(B677="","",IFERROR(INDEX('Kitting Plan'!$H$5:$H$18,MATCH(B677,'Kitting Plan'!$C$5:$C$18,0)),""))</f>
        <v>3</v>
      </c>
      <c r="G677" s="45" t="n">
        <v>1</v>
      </c>
      <c r="H677" s="56" t="n">
        <f aca="false">IF(B677="","",IF(G677="",F677,G677))</f>
        <v>1</v>
      </c>
      <c r="I677" s="45" t="s">
        <v>29</v>
      </c>
      <c r="J677" s="57" t="n">
        <v>46269</v>
      </c>
      <c r="K677" s="46" t="s">
        <v>104</v>
      </c>
      <c r="L677" s="54" t="str">
        <f aca="false">IF(A677="","",IF(B677="","Missing code",IF(C677="Unknown code","Unknown code",IF(COUNTIF($A$6:$A$1005,A677)&gt;1,"Duplicate WO",""))))</f>
        <v/>
      </c>
    </row>
    <row r="678" customFormat="false" ht="23.85" hidden="false" customHeight="false" outlineLevel="0" collapsed="false">
      <c r="A678" s="53" t="n">
        <v>100876291</v>
      </c>
      <c r="B678" s="46" t="s">
        <v>61</v>
      </c>
      <c r="C678" s="54" t="str">
        <f aca="false">IF(B678="","",IFERROR(INDEX('Kitting Plan'!$D$5:$D$18,MATCH(B678,'Kitting Plan'!$C$5:$C$18,0)),"Unknown code"))</f>
        <v>R5B 4FP POB LUMENTUM SUB ASSEMBLY - E2A</v>
      </c>
      <c r="D678" s="54" t="str">
        <f aca="false">IF(B678="","",IFERROR(INDEX('Kitting Plan'!$B$5:$B$18,MATCH(B678,'Kitting Plan'!$C$5:$C$18,0)),""))</f>
        <v>POB ASSY</v>
      </c>
      <c r="E678" s="45"/>
      <c r="F678" s="55" t="n">
        <f aca="false">IF(B678="","",IFERROR(INDEX('Kitting Plan'!$H$5:$H$18,MATCH(B678,'Kitting Plan'!$C$5:$C$18,0)),""))</f>
        <v>3</v>
      </c>
      <c r="G678" s="45" t="n">
        <v>1</v>
      </c>
      <c r="H678" s="56" t="n">
        <f aca="false">IF(B678="","",IF(G678="",F678,G678))</f>
        <v>1</v>
      </c>
      <c r="I678" s="45" t="s">
        <v>29</v>
      </c>
      <c r="J678" s="57" t="n">
        <v>46269</v>
      </c>
      <c r="K678" s="46" t="s">
        <v>104</v>
      </c>
      <c r="L678" s="54" t="str">
        <f aca="false">IF(A678="","",IF(B678="","Missing code",IF(C678="Unknown code","Unknown code",IF(COUNTIF($A$6:$A$1005,A678)&gt;1,"Duplicate WO",""))))</f>
        <v/>
      </c>
    </row>
    <row r="679" customFormat="false" ht="23.85" hidden="false" customHeight="false" outlineLevel="0" collapsed="false">
      <c r="A679" s="53" t="n">
        <v>100877011</v>
      </c>
      <c r="B679" s="46" t="s">
        <v>61</v>
      </c>
      <c r="C679" s="54" t="str">
        <f aca="false">IF(B679="","",IFERROR(INDEX('Kitting Plan'!$D$5:$D$18,MATCH(B679,'Kitting Plan'!$C$5:$C$18,0)),"Unknown code"))</f>
        <v>R5B 4FP POB LUMENTUM SUB ASSEMBLY - E2A</v>
      </c>
      <c r="D679" s="54" t="str">
        <f aca="false">IF(B679="","",IFERROR(INDEX('Kitting Plan'!$B$5:$B$18,MATCH(B679,'Kitting Plan'!$C$5:$C$18,0)),""))</f>
        <v>POB ASSY</v>
      </c>
      <c r="E679" s="45"/>
      <c r="F679" s="55" t="n">
        <f aca="false">IF(B679="","",IFERROR(INDEX('Kitting Plan'!$H$5:$H$18,MATCH(B679,'Kitting Plan'!$C$5:$C$18,0)),""))</f>
        <v>3</v>
      </c>
      <c r="G679" s="45" t="n">
        <v>1</v>
      </c>
      <c r="H679" s="56" t="n">
        <f aca="false">IF(B679="","",IF(G679="",F679,G679))</f>
        <v>1</v>
      </c>
      <c r="I679" s="45" t="s">
        <v>29</v>
      </c>
      <c r="J679" s="57" t="n">
        <v>46275</v>
      </c>
      <c r="K679" s="46" t="s">
        <v>104</v>
      </c>
      <c r="L679" s="54" t="str">
        <f aca="false">IF(A679="","",IF(B679="","Missing code",IF(C679="Unknown code","Unknown code",IF(COUNTIF($A$6:$A$1005,A679)&gt;1,"Duplicate WO",""))))</f>
        <v/>
      </c>
    </row>
    <row r="680" customFormat="false" ht="23.85" hidden="false" customHeight="false" outlineLevel="0" collapsed="false">
      <c r="A680" s="53" t="n">
        <v>100877012</v>
      </c>
      <c r="B680" s="46" t="s">
        <v>61</v>
      </c>
      <c r="C680" s="54" t="str">
        <f aca="false">IF(B680="","",IFERROR(INDEX('Kitting Plan'!$D$5:$D$18,MATCH(B680,'Kitting Plan'!$C$5:$C$18,0)),"Unknown code"))</f>
        <v>R5B 4FP POB LUMENTUM SUB ASSEMBLY - E2A</v>
      </c>
      <c r="D680" s="54" t="str">
        <f aca="false">IF(B680="","",IFERROR(INDEX('Kitting Plan'!$B$5:$B$18,MATCH(B680,'Kitting Plan'!$C$5:$C$18,0)),""))</f>
        <v>POB ASSY</v>
      </c>
      <c r="E680" s="45"/>
      <c r="F680" s="55" t="n">
        <f aca="false">IF(B680="","",IFERROR(INDEX('Kitting Plan'!$H$5:$H$18,MATCH(B680,'Kitting Plan'!$C$5:$C$18,0)),""))</f>
        <v>3</v>
      </c>
      <c r="G680" s="45" t="n">
        <v>1</v>
      </c>
      <c r="H680" s="56" t="n">
        <f aca="false">IF(B680="","",IF(G680="",F680,G680))</f>
        <v>1</v>
      </c>
      <c r="I680" s="45" t="s">
        <v>29</v>
      </c>
      <c r="J680" s="57" t="n">
        <v>46275</v>
      </c>
      <c r="K680" s="46" t="s">
        <v>104</v>
      </c>
      <c r="L680" s="54" t="str">
        <f aca="false">IF(A680="","",IF(B680="","Missing code",IF(C680="Unknown code","Unknown code",IF(COUNTIF($A$6:$A$1005,A680)&gt;1,"Duplicate WO",""))))</f>
        <v/>
      </c>
    </row>
    <row r="681" customFormat="false" ht="23.85" hidden="false" customHeight="false" outlineLevel="0" collapsed="false">
      <c r="A681" s="53" t="n">
        <v>100877013</v>
      </c>
      <c r="B681" s="46" t="s">
        <v>61</v>
      </c>
      <c r="C681" s="54" t="str">
        <f aca="false">IF(B681="","",IFERROR(INDEX('Kitting Plan'!$D$5:$D$18,MATCH(B681,'Kitting Plan'!$C$5:$C$18,0)),"Unknown code"))</f>
        <v>R5B 4FP POB LUMENTUM SUB ASSEMBLY - E2A</v>
      </c>
      <c r="D681" s="54" t="str">
        <f aca="false">IF(B681="","",IFERROR(INDEX('Kitting Plan'!$B$5:$B$18,MATCH(B681,'Kitting Plan'!$C$5:$C$18,0)),""))</f>
        <v>POB ASSY</v>
      </c>
      <c r="E681" s="45"/>
      <c r="F681" s="55" t="n">
        <f aca="false">IF(B681="","",IFERROR(INDEX('Kitting Plan'!$H$5:$H$18,MATCH(B681,'Kitting Plan'!$C$5:$C$18,0)),""))</f>
        <v>3</v>
      </c>
      <c r="G681" s="45" t="n">
        <v>1</v>
      </c>
      <c r="H681" s="56" t="n">
        <f aca="false">IF(B681="","",IF(G681="",F681,G681))</f>
        <v>1</v>
      </c>
      <c r="I681" s="45" t="s">
        <v>29</v>
      </c>
      <c r="J681" s="57" t="n">
        <v>46275</v>
      </c>
      <c r="K681" s="46" t="s">
        <v>104</v>
      </c>
      <c r="L681" s="54" t="str">
        <f aca="false">IF(A681="","",IF(B681="","Missing code",IF(C681="Unknown code","Unknown code",IF(COUNTIF($A$6:$A$1005,A681)&gt;1,"Duplicate WO",""))))</f>
        <v/>
      </c>
    </row>
    <row r="682" customFormat="false" ht="23.85" hidden="false" customHeight="false" outlineLevel="0" collapsed="false">
      <c r="A682" s="53" t="n">
        <v>100878919</v>
      </c>
      <c r="B682" s="46" t="s">
        <v>61</v>
      </c>
      <c r="C682" s="54" t="str">
        <f aca="false">IF(B682="","",IFERROR(INDEX('Kitting Plan'!$D$5:$D$18,MATCH(B682,'Kitting Plan'!$C$5:$C$18,0)),"Unknown code"))</f>
        <v>R5B 4FP POB LUMENTUM SUB ASSEMBLY - E2A</v>
      </c>
      <c r="D682" s="54" t="str">
        <f aca="false">IF(B682="","",IFERROR(INDEX('Kitting Plan'!$B$5:$B$18,MATCH(B682,'Kitting Plan'!$C$5:$C$18,0)),""))</f>
        <v>POB ASSY</v>
      </c>
      <c r="E682" s="45"/>
      <c r="F682" s="55" t="n">
        <f aca="false">IF(B682="","",IFERROR(INDEX('Kitting Plan'!$H$5:$H$18,MATCH(B682,'Kitting Plan'!$C$5:$C$18,0)),""))</f>
        <v>3</v>
      </c>
      <c r="G682" s="45" t="n">
        <v>1</v>
      </c>
      <c r="H682" s="56" t="n">
        <f aca="false">IF(B682="","",IF(G682="",F682,G682))</f>
        <v>1</v>
      </c>
      <c r="I682" s="45" t="s">
        <v>29</v>
      </c>
      <c r="J682" s="57" t="n">
        <v>46287</v>
      </c>
      <c r="K682" s="46" t="s">
        <v>104</v>
      </c>
      <c r="L682" s="54" t="str">
        <f aca="false">IF(A682="","",IF(B682="","Missing code",IF(C682="Unknown code","Unknown code",IF(COUNTIF($A$6:$A$1005,A682)&gt;1,"Duplicate WO",""))))</f>
        <v/>
      </c>
    </row>
    <row r="683" customFormat="false" ht="23.85" hidden="false" customHeight="false" outlineLevel="0" collapsed="false">
      <c r="A683" s="53" t="n">
        <v>100878920</v>
      </c>
      <c r="B683" s="46" t="s">
        <v>61</v>
      </c>
      <c r="C683" s="54" t="str">
        <f aca="false">IF(B683="","",IFERROR(INDEX('Kitting Plan'!$D$5:$D$18,MATCH(B683,'Kitting Plan'!$C$5:$C$18,0)),"Unknown code"))</f>
        <v>R5B 4FP POB LUMENTUM SUB ASSEMBLY - E2A</v>
      </c>
      <c r="D683" s="54" t="str">
        <f aca="false">IF(B683="","",IFERROR(INDEX('Kitting Plan'!$B$5:$B$18,MATCH(B683,'Kitting Plan'!$C$5:$C$18,0)),""))</f>
        <v>POB ASSY</v>
      </c>
      <c r="E683" s="45"/>
      <c r="F683" s="55" t="n">
        <f aca="false">IF(B683="","",IFERROR(INDEX('Kitting Plan'!$H$5:$H$18,MATCH(B683,'Kitting Plan'!$C$5:$C$18,0)),""))</f>
        <v>3</v>
      </c>
      <c r="G683" s="45" t="n">
        <v>1</v>
      </c>
      <c r="H683" s="56" t="n">
        <f aca="false">IF(B683="","",IF(G683="",F683,G683))</f>
        <v>1</v>
      </c>
      <c r="I683" s="45" t="s">
        <v>29</v>
      </c>
      <c r="J683" s="57" t="n">
        <v>46287</v>
      </c>
      <c r="K683" s="46" t="s">
        <v>102</v>
      </c>
      <c r="L683" s="54" t="str">
        <f aca="false">IF(A683="","",IF(B683="","Missing code",IF(C683="Unknown code","Unknown code",IF(COUNTIF($A$6:$A$1005,A683)&gt;1,"Duplicate WO",""))))</f>
        <v/>
      </c>
    </row>
    <row r="684" customFormat="false" ht="23.85" hidden="false" customHeight="false" outlineLevel="0" collapsed="false">
      <c r="A684" s="53" t="n">
        <v>100878921</v>
      </c>
      <c r="B684" s="46" t="s">
        <v>61</v>
      </c>
      <c r="C684" s="54" t="str">
        <f aca="false">IF(B684="","",IFERROR(INDEX('Kitting Plan'!$D$5:$D$18,MATCH(B684,'Kitting Plan'!$C$5:$C$18,0)),"Unknown code"))</f>
        <v>R5B 4FP POB LUMENTUM SUB ASSEMBLY - E2A</v>
      </c>
      <c r="D684" s="54" t="str">
        <f aca="false">IF(B684="","",IFERROR(INDEX('Kitting Plan'!$B$5:$B$18,MATCH(B684,'Kitting Plan'!$C$5:$C$18,0)),""))</f>
        <v>POB ASSY</v>
      </c>
      <c r="E684" s="45"/>
      <c r="F684" s="55" t="n">
        <f aca="false">IF(B684="","",IFERROR(INDEX('Kitting Plan'!$H$5:$H$18,MATCH(B684,'Kitting Plan'!$C$5:$C$18,0)),""))</f>
        <v>3</v>
      </c>
      <c r="G684" s="45" t="n">
        <v>1</v>
      </c>
      <c r="H684" s="56" t="n">
        <f aca="false">IF(B684="","",IF(G684="",F684,G684))</f>
        <v>1</v>
      </c>
      <c r="I684" s="45" t="s">
        <v>29</v>
      </c>
      <c r="J684" s="57" t="n">
        <v>46287</v>
      </c>
      <c r="K684" s="46" t="s">
        <v>104</v>
      </c>
      <c r="L684" s="54" t="str">
        <f aca="false">IF(A684="","",IF(B684="","Missing code",IF(C684="Unknown code","Unknown code",IF(COUNTIF($A$6:$A$1005,A684)&gt;1,"Duplicate WO",""))))</f>
        <v/>
      </c>
    </row>
    <row r="685" customFormat="false" ht="15" hidden="false" customHeight="false" outlineLevel="0" collapsed="false">
      <c r="A685" s="53" t="n">
        <v>100879978</v>
      </c>
      <c r="B685" s="46" t="s">
        <v>61</v>
      </c>
      <c r="C685" s="54" t="str">
        <f aca="false">IF(B685="","",IFERROR(INDEX('Kitting Plan'!$D$5:$D$18,MATCH(B685,'Kitting Plan'!$C$5:$C$18,0)),"Unknown code"))</f>
        <v>R5B 4FP POB LUMENTUM SUB ASSEMBLY - E2A</v>
      </c>
      <c r="D685" s="54" t="str">
        <f aca="false">IF(B685="","",IFERROR(INDEX('Kitting Plan'!$B$5:$B$18,MATCH(B685,'Kitting Plan'!$C$5:$C$18,0)),""))</f>
        <v>POB ASSY</v>
      </c>
      <c r="E685" s="45"/>
      <c r="F685" s="55" t="n">
        <f aca="false">IF(B685="","",IFERROR(INDEX('Kitting Plan'!$H$5:$H$18,MATCH(B685,'Kitting Plan'!$C$5:$C$18,0)),""))</f>
        <v>3</v>
      </c>
      <c r="G685" s="45" t="n">
        <v>1</v>
      </c>
      <c r="H685" s="56" t="n">
        <f aca="false">IF(B685="","",IF(G685="",F685,G685))</f>
        <v>1</v>
      </c>
      <c r="I685" s="45" t="s">
        <v>27</v>
      </c>
      <c r="J685" s="57" t="n">
        <v>46296</v>
      </c>
      <c r="K685" s="46" t="s">
        <v>107</v>
      </c>
      <c r="L685" s="54" t="str">
        <f aca="false">IF(A685="","",IF(B685="","Missing code",IF(C685="Unknown code","Unknown code",IF(COUNTIF($A$6:$A$1005,A685)&gt;1,"Duplicate WO",""))))</f>
        <v/>
      </c>
    </row>
    <row r="686" customFormat="false" ht="15" hidden="false" customHeight="false" outlineLevel="0" collapsed="false">
      <c r="A686" s="53" t="n">
        <v>100879979</v>
      </c>
      <c r="B686" s="46" t="s">
        <v>61</v>
      </c>
      <c r="C686" s="54" t="str">
        <f aca="false">IF(B686="","",IFERROR(INDEX('Kitting Plan'!$D$5:$D$18,MATCH(B686,'Kitting Plan'!$C$5:$C$18,0)),"Unknown code"))</f>
        <v>R5B 4FP POB LUMENTUM SUB ASSEMBLY - E2A</v>
      </c>
      <c r="D686" s="54" t="str">
        <f aca="false">IF(B686="","",IFERROR(INDEX('Kitting Plan'!$B$5:$B$18,MATCH(B686,'Kitting Plan'!$C$5:$C$18,0)),""))</f>
        <v>POB ASSY</v>
      </c>
      <c r="E686" s="45"/>
      <c r="F686" s="55" t="n">
        <f aca="false">IF(B686="","",IFERROR(INDEX('Kitting Plan'!$H$5:$H$18,MATCH(B686,'Kitting Plan'!$C$5:$C$18,0)),""))</f>
        <v>3</v>
      </c>
      <c r="G686" s="45" t="n">
        <v>1</v>
      </c>
      <c r="H686" s="56" t="n">
        <f aca="false">IF(B686="","",IF(G686="",F686,G686))</f>
        <v>1</v>
      </c>
      <c r="I686" s="45" t="s">
        <v>27</v>
      </c>
      <c r="J686" s="57" t="n">
        <v>46296</v>
      </c>
      <c r="K686" s="46" t="s">
        <v>107</v>
      </c>
      <c r="L686" s="54" t="str">
        <f aca="false">IF(A686="","",IF(B686="","Missing code",IF(C686="Unknown code","Unknown code",IF(COUNTIF($A$6:$A$1005,A686)&gt;1,"Duplicate WO",""))))</f>
        <v/>
      </c>
    </row>
    <row r="687" customFormat="false" ht="15" hidden="false" customHeight="false" outlineLevel="0" collapsed="false">
      <c r="A687" s="53" t="n">
        <v>100879980</v>
      </c>
      <c r="B687" s="46" t="s">
        <v>61</v>
      </c>
      <c r="C687" s="54" t="str">
        <f aca="false">IF(B687="","",IFERROR(INDEX('Kitting Plan'!$D$5:$D$18,MATCH(B687,'Kitting Plan'!$C$5:$C$18,0)),"Unknown code"))</f>
        <v>R5B 4FP POB LUMENTUM SUB ASSEMBLY - E2A</v>
      </c>
      <c r="D687" s="54" t="str">
        <f aca="false">IF(B687="","",IFERROR(INDEX('Kitting Plan'!$B$5:$B$18,MATCH(B687,'Kitting Plan'!$C$5:$C$18,0)),""))</f>
        <v>POB ASSY</v>
      </c>
      <c r="E687" s="45"/>
      <c r="F687" s="55" t="n">
        <f aca="false">IF(B687="","",IFERROR(INDEX('Kitting Plan'!$H$5:$H$18,MATCH(B687,'Kitting Plan'!$C$5:$C$18,0)),""))</f>
        <v>3</v>
      </c>
      <c r="G687" s="45" t="n">
        <v>1</v>
      </c>
      <c r="H687" s="56" t="n">
        <f aca="false">IF(B687="","",IF(G687="",F687,G687))</f>
        <v>1</v>
      </c>
      <c r="I687" s="45" t="s">
        <v>27</v>
      </c>
      <c r="J687" s="57" t="n">
        <v>46296</v>
      </c>
      <c r="K687" s="46" t="s">
        <v>107</v>
      </c>
      <c r="L687" s="54" t="str">
        <f aca="false">IF(A687="","",IF(B687="","Missing code",IF(C687="Unknown code","Unknown code",IF(COUNTIF($A$6:$A$1005,A687)&gt;1,"Duplicate WO",""))))</f>
        <v/>
      </c>
    </row>
    <row r="688" customFormat="false" ht="15" hidden="false" customHeight="false" outlineLevel="0" collapsed="false">
      <c r="A688" s="53" t="n">
        <v>100880083</v>
      </c>
      <c r="B688" s="46" t="s">
        <v>61</v>
      </c>
      <c r="C688" s="54" t="str">
        <f aca="false">IF(B688="","",IFERROR(INDEX('Kitting Plan'!$D$5:$D$18,MATCH(B688,'Kitting Plan'!$C$5:$C$18,0)),"Unknown code"))</f>
        <v>R5B 4FP POB LUMENTUM SUB ASSEMBLY - E2A</v>
      </c>
      <c r="D688" s="54" t="str">
        <f aca="false">IF(B688="","",IFERROR(INDEX('Kitting Plan'!$B$5:$B$18,MATCH(B688,'Kitting Plan'!$C$5:$C$18,0)),""))</f>
        <v>POB ASSY</v>
      </c>
      <c r="E688" s="45"/>
      <c r="F688" s="55" t="n">
        <f aca="false">IF(B688="","",IFERROR(INDEX('Kitting Plan'!$H$5:$H$18,MATCH(B688,'Kitting Plan'!$C$5:$C$18,0)),""))</f>
        <v>3</v>
      </c>
      <c r="G688" s="45" t="n">
        <v>1</v>
      </c>
      <c r="H688" s="56" t="n">
        <f aca="false">IF(B688="","",IF(G688="",F688,G688))</f>
        <v>1</v>
      </c>
      <c r="I688" s="45" t="s">
        <v>27</v>
      </c>
      <c r="J688" s="57" t="n">
        <v>46296</v>
      </c>
      <c r="K688" s="46" t="s">
        <v>107</v>
      </c>
      <c r="L688" s="54" t="str">
        <f aca="false">IF(A688="","",IF(B688="","Missing code",IF(C688="Unknown code","Unknown code",IF(COUNTIF($A$6:$A$1005,A688)&gt;1,"Duplicate WO",""))))</f>
        <v/>
      </c>
    </row>
    <row r="689" customFormat="false" ht="15" hidden="false" customHeight="false" outlineLevel="0" collapsed="false">
      <c r="A689" s="53" t="n">
        <v>100880084</v>
      </c>
      <c r="B689" s="46" t="s">
        <v>61</v>
      </c>
      <c r="C689" s="54" t="str">
        <f aca="false">IF(B689="","",IFERROR(INDEX('Kitting Plan'!$D$5:$D$18,MATCH(B689,'Kitting Plan'!$C$5:$C$18,0)),"Unknown code"))</f>
        <v>R5B 4FP POB LUMENTUM SUB ASSEMBLY - E2A</v>
      </c>
      <c r="D689" s="54" t="str">
        <f aca="false">IF(B689="","",IFERROR(INDEX('Kitting Plan'!$B$5:$B$18,MATCH(B689,'Kitting Plan'!$C$5:$C$18,0)),""))</f>
        <v>POB ASSY</v>
      </c>
      <c r="E689" s="45"/>
      <c r="F689" s="55" t="n">
        <f aca="false">IF(B689="","",IFERROR(INDEX('Kitting Plan'!$H$5:$H$18,MATCH(B689,'Kitting Plan'!$C$5:$C$18,0)),""))</f>
        <v>3</v>
      </c>
      <c r="G689" s="45" t="n">
        <v>1</v>
      </c>
      <c r="H689" s="56" t="n">
        <f aca="false">IF(B689="","",IF(G689="",F689,G689))</f>
        <v>1</v>
      </c>
      <c r="I689" s="45" t="s">
        <v>27</v>
      </c>
      <c r="J689" s="57" t="n">
        <v>46296</v>
      </c>
      <c r="K689" s="46" t="s">
        <v>107</v>
      </c>
      <c r="L689" s="54" t="str">
        <f aca="false">IF(A689="","",IF(B689="","Missing code",IF(C689="Unknown code","Unknown code",IF(COUNTIF($A$6:$A$1005,A689)&gt;1,"Duplicate WO",""))))</f>
        <v/>
      </c>
    </row>
    <row r="690" customFormat="false" ht="15" hidden="false" customHeight="false" outlineLevel="0" collapsed="false">
      <c r="A690" s="53" t="n">
        <v>100880085</v>
      </c>
      <c r="B690" s="46" t="s">
        <v>61</v>
      </c>
      <c r="C690" s="54" t="str">
        <f aca="false">IF(B690="","",IFERROR(INDEX('Kitting Plan'!$D$5:$D$18,MATCH(B690,'Kitting Plan'!$C$5:$C$18,0)),"Unknown code"))</f>
        <v>R5B 4FP POB LUMENTUM SUB ASSEMBLY - E2A</v>
      </c>
      <c r="D690" s="54" t="str">
        <f aca="false">IF(B690="","",IFERROR(INDEX('Kitting Plan'!$B$5:$B$18,MATCH(B690,'Kitting Plan'!$C$5:$C$18,0)),""))</f>
        <v>POB ASSY</v>
      </c>
      <c r="E690" s="45"/>
      <c r="F690" s="55" t="n">
        <f aca="false">IF(B690="","",IFERROR(INDEX('Kitting Plan'!$H$5:$H$18,MATCH(B690,'Kitting Plan'!$C$5:$C$18,0)),""))</f>
        <v>3</v>
      </c>
      <c r="G690" s="45" t="n">
        <v>1</v>
      </c>
      <c r="H690" s="56" t="n">
        <f aca="false">IF(B690="","",IF(G690="",F690,G690))</f>
        <v>1</v>
      </c>
      <c r="I690" s="45" t="s">
        <v>27</v>
      </c>
      <c r="J690" s="57" t="n">
        <v>46296</v>
      </c>
      <c r="K690" s="46" t="s">
        <v>107</v>
      </c>
      <c r="L690" s="54" t="str">
        <f aca="false">IF(A690="","",IF(B690="","Missing code",IF(C690="Unknown code","Unknown code",IF(COUNTIF($A$6:$A$1005,A690)&gt;1,"Duplicate WO",""))))</f>
        <v/>
      </c>
    </row>
    <row r="691" customFormat="false" ht="15" hidden="false" customHeight="false" outlineLevel="0" collapsed="false">
      <c r="A691" s="53" t="n">
        <v>100880193</v>
      </c>
      <c r="B691" s="46" t="s">
        <v>61</v>
      </c>
      <c r="C691" s="54" t="str">
        <f aca="false">IF(B691="","",IFERROR(INDEX('Kitting Plan'!$D$5:$D$18,MATCH(B691,'Kitting Plan'!$C$5:$C$18,0)),"Unknown code"))</f>
        <v>R5B 4FP POB LUMENTUM SUB ASSEMBLY - E2A</v>
      </c>
      <c r="D691" s="54" t="str">
        <f aca="false">IF(B691="","",IFERROR(INDEX('Kitting Plan'!$B$5:$B$18,MATCH(B691,'Kitting Plan'!$C$5:$C$18,0)),""))</f>
        <v>POB ASSY</v>
      </c>
      <c r="E691" s="45"/>
      <c r="F691" s="55" t="n">
        <f aca="false">IF(B691="","",IFERROR(INDEX('Kitting Plan'!$H$5:$H$18,MATCH(B691,'Kitting Plan'!$C$5:$C$18,0)),""))</f>
        <v>3</v>
      </c>
      <c r="G691" s="45" t="n">
        <v>1</v>
      </c>
      <c r="H691" s="56" t="n">
        <f aca="false">IF(B691="","",IF(G691="",F691,G691))</f>
        <v>1</v>
      </c>
      <c r="I691" s="45" t="s">
        <v>25</v>
      </c>
      <c r="J691" s="57" t="n">
        <v>46297</v>
      </c>
      <c r="K691" s="46" t="s">
        <v>106</v>
      </c>
      <c r="L691" s="54" t="str">
        <f aca="false">IF(A691="","",IF(B691="","Missing code",IF(C691="Unknown code","Unknown code",IF(COUNTIF($A$6:$A$1005,A691)&gt;1,"Duplicate WO",""))))</f>
        <v/>
      </c>
    </row>
    <row r="692" customFormat="false" ht="15" hidden="false" customHeight="false" outlineLevel="0" collapsed="false">
      <c r="A692" s="53" t="n">
        <v>100880194</v>
      </c>
      <c r="B692" s="46" t="s">
        <v>61</v>
      </c>
      <c r="C692" s="54" t="str">
        <f aca="false">IF(B692="","",IFERROR(INDEX('Kitting Plan'!$D$5:$D$18,MATCH(B692,'Kitting Plan'!$C$5:$C$18,0)),"Unknown code"))</f>
        <v>R5B 4FP POB LUMENTUM SUB ASSEMBLY - E2A</v>
      </c>
      <c r="D692" s="54" t="str">
        <f aca="false">IF(B692="","",IFERROR(INDEX('Kitting Plan'!$B$5:$B$18,MATCH(B692,'Kitting Plan'!$C$5:$C$18,0)),""))</f>
        <v>POB ASSY</v>
      </c>
      <c r="E692" s="45"/>
      <c r="F692" s="55" t="n">
        <f aca="false">IF(B692="","",IFERROR(INDEX('Kitting Plan'!$H$5:$H$18,MATCH(B692,'Kitting Plan'!$C$5:$C$18,0)),""))</f>
        <v>3</v>
      </c>
      <c r="G692" s="45" t="n">
        <v>1</v>
      </c>
      <c r="H692" s="56" t="n">
        <f aca="false">IF(B692="","",IF(G692="",F692,G692))</f>
        <v>1</v>
      </c>
      <c r="I692" s="45" t="s">
        <v>25</v>
      </c>
      <c r="J692" s="57" t="n">
        <v>46297</v>
      </c>
      <c r="K692" s="46" t="s">
        <v>106</v>
      </c>
      <c r="L692" s="54" t="str">
        <f aca="false">IF(A692="","",IF(B692="","Missing code",IF(C692="Unknown code","Unknown code",IF(COUNTIF($A$6:$A$1005,A692)&gt;1,"Duplicate WO",""))))</f>
        <v/>
      </c>
    </row>
    <row r="693" customFormat="false" ht="15" hidden="false" customHeight="false" outlineLevel="0" collapsed="false">
      <c r="A693" s="53" t="n">
        <v>100880195</v>
      </c>
      <c r="B693" s="46" t="s">
        <v>61</v>
      </c>
      <c r="C693" s="54" t="str">
        <f aca="false">IF(B693="","",IFERROR(INDEX('Kitting Plan'!$D$5:$D$18,MATCH(B693,'Kitting Plan'!$C$5:$C$18,0)),"Unknown code"))</f>
        <v>R5B 4FP POB LUMENTUM SUB ASSEMBLY - E2A</v>
      </c>
      <c r="D693" s="54" t="str">
        <f aca="false">IF(B693="","",IFERROR(INDEX('Kitting Plan'!$B$5:$B$18,MATCH(B693,'Kitting Plan'!$C$5:$C$18,0)),""))</f>
        <v>POB ASSY</v>
      </c>
      <c r="E693" s="45"/>
      <c r="F693" s="55" t="n">
        <f aca="false">IF(B693="","",IFERROR(INDEX('Kitting Plan'!$H$5:$H$18,MATCH(B693,'Kitting Plan'!$C$5:$C$18,0)),""))</f>
        <v>3</v>
      </c>
      <c r="G693" s="45" t="n">
        <v>1</v>
      </c>
      <c r="H693" s="56" t="n">
        <f aca="false">IF(B693="","",IF(G693="",F693,G693))</f>
        <v>1</v>
      </c>
      <c r="I693" s="45" t="s">
        <v>25</v>
      </c>
      <c r="J693" s="57" t="n">
        <v>46297</v>
      </c>
      <c r="K693" s="46" t="s">
        <v>106</v>
      </c>
      <c r="L693" s="54" t="str">
        <f aca="false">IF(A693="","",IF(B693="","Missing code",IF(C693="Unknown code","Unknown code",IF(COUNTIF($A$6:$A$1005,A693)&gt;1,"Duplicate WO",""))))</f>
        <v/>
      </c>
    </row>
    <row r="694" customFormat="false" ht="15" hidden="false" customHeight="false" outlineLevel="0" collapsed="false">
      <c r="A694" s="53" t="n">
        <v>100880254</v>
      </c>
      <c r="B694" s="46" t="s">
        <v>61</v>
      </c>
      <c r="C694" s="54" t="str">
        <f aca="false">IF(B694="","",IFERROR(INDEX('Kitting Plan'!$D$5:$D$18,MATCH(B694,'Kitting Plan'!$C$5:$C$18,0)),"Unknown code"))</f>
        <v>R5B 4FP POB LUMENTUM SUB ASSEMBLY - E2A</v>
      </c>
      <c r="D694" s="54" t="str">
        <f aca="false">IF(B694="","",IFERROR(INDEX('Kitting Plan'!$B$5:$B$18,MATCH(B694,'Kitting Plan'!$C$5:$C$18,0)),""))</f>
        <v>POB ASSY</v>
      </c>
      <c r="E694" s="45"/>
      <c r="F694" s="55" t="n">
        <f aca="false">IF(B694="","",IFERROR(INDEX('Kitting Plan'!$H$5:$H$18,MATCH(B694,'Kitting Plan'!$C$5:$C$18,0)),""))</f>
        <v>3</v>
      </c>
      <c r="G694" s="45" t="n">
        <v>1</v>
      </c>
      <c r="H694" s="56" t="n">
        <f aca="false">IF(B694="","",IF(G694="",F694,G694))</f>
        <v>1</v>
      </c>
      <c r="I694" s="45" t="s">
        <v>25</v>
      </c>
      <c r="J694" s="57" t="n">
        <v>46297</v>
      </c>
      <c r="K694" s="46" t="s">
        <v>106</v>
      </c>
      <c r="L694" s="54" t="str">
        <f aca="false">IF(A694="","",IF(B694="","Missing code",IF(C694="Unknown code","Unknown code",IF(COUNTIF($A$6:$A$1005,A694)&gt;1,"Duplicate WO",""))))</f>
        <v/>
      </c>
    </row>
    <row r="695" customFormat="false" ht="15" hidden="false" customHeight="false" outlineLevel="0" collapsed="false">
      <c r="A695" s="53" t="n">
        <v>100880255</v>
      </c>
      <c r="B695" s="46" t="s">
        <v>61</v>
      </c>
      <c r="C695" s="54" t="str">
        <f aca="false">IF(B695="","",IFERROR(INDEX('Kitting Plan'!$D$5:$D$18,MATCH(B695,'Kitting Plan'!$C$5:$C$18,0)),"Unknown code"))</f>
        <v>R5B 4FP POB LUMENTUM SUB ASSEMBLY - E2A</v>
      </c>
      <c r="D695" s="54" t="str">
        <f aca="false">IF(B695="","",IFERROR(INDEX('Kitting Plan'!$B$5:$B$18,MATCH(B695,'Kitting Plan'!$C$5:$C$18,0)),""))</f>
        <v>POB ASSY</v>
      </c>
      <c r="E695" s="45"/>
      <c r="F695" s="55" t="n">
        <f aca="false">IF(B695="","",IFERROR(INDEX('Kitting Plan'!$H$5:$H$18,MATCH(B695,'Kitting Plan'!$C$5:$C$18,0)),""))</f>
        <v>3</v>
      </c>
      <c r="G695" s="45" t="n">
        <v>1</v>
      </c>
      <c r="H695" s="56" t="n">
        <f aca="false">IF(B695="","",IF(G695="",F695,G695))</f>
        <v>1</v>
      </c>
      <c r="I695" s="45" t="s">
        <v>25</v>
      </c>
      <c r="J695" s="57" t="n">
        <v>46297</v>
      </c>
      <c r="K695" s="46" t="s">
        <v>106</v>
      </c>
      <c r="L695" s="54" t="str">
        <f aca="false">IF(A695="","",IF(B695="","Missing code",IF(C695="Unknown code","Unknown code",IF(COUNTIF($A$6:$A$1005,A695)&gt;1,"Duplicate WO",""))))</f>
        <v/>
      </c>
    </row>
    <row r="696" customFormat="false" ht="15" hidden="false" customHeight="false" outlineLevel="0" collapsed="false">
      <c r="A696" s="53" t="n">
        <v>100880256</v>
      </c>
      <c r="B696" s="46" t="s">
        <v>61</v>
      </c>
      <c r="C696" s="54" t="str">
        <f aca="false">IF(B696="","",IFERROR(INDEX('Kitting Plan'!$D$5:$D$18,MATCH(B696,'Kitting Plan'!$C$5:$C$18,0)),"Unknown code"))</f>
        <v>R5B 4FP POB LUMENTUM SUB ASSEMBLY - E2A</v>
      </c>
      <c r="D696" s="54" t="str">
        <f aca="false">IF(B696="","",IFERROR(INDEX('Kitting Plan'!$B$5:$B$18,MATCH(B696,'Kitting Plan'!$C$5:$C$18,0)),""))</f>
        <v>POB ASSY</v>
      </c>
      <c r="E696" s="45"/>
      <c r="F696" s="55" t="n">
        <f aca="false">IF(B696="","",IFERROR(INDEX('Kitting Plan'!$H$5:$H$18,MATCH(B696,'Kitting Plan'!$C$5:$C$18,0)),""))</f>
        <v>3</v>
      </c>
      <c r="G696" s="45" t="n">
        <v>1</v>
      </c>
      <c r="H696" s="56" t="n">
        <f aca="false">IF(B696="","",IF(G696="",F696,G696))</f>
        <v>1</v>
      </c>
      <c r="I696" s="45" t="s">
        <v>25</v>
      </c>
      <c r="J696" s="57" t="n">
        <v>46297</v>
      </c>
      <c r="K696" s="46" t="s">
        <v>106</v>
      </c>
      <c r="L696" s="54" t="str">
        <f aca="false">IF(A696="","",IF(B696="","Missing code",IF(C696="Unknown code","Unknown code",IF(COUNTIF($A$6:$A$1005,A696)&gt;1,"Duplicate WO",""))))</f>
        <v/>
      </c>
    </row>
    <row r="697" customFormat="false" ht="15" hidden="false" customHeight="false" outlineLevel="0" collapsed="false">
      <c r="A697" s="46"/>
      <c r="B697" s="46"/>
      <c r="C697" s="54" t="str">
        <f aca="false">IF(B697="","",IFERROR(INDEX('Kitting Plan'!$D$5:$D$18,MATCH(B697,'Kitting Plan'!$C$5:$C$18,0)),"Unknown code"))</f>
        <v/>
      </c>
      <c r="D697" s="54" t="str">
        <f aca="false">IF(B697="","",IFERROR(INDEX('Kitting Plan'!$B$5:$B$18,MATCH(B697,'Kitting Plan'!$C$5:$C$18,0)),""))</f>
        <v/>
      </c>
      <c r="E697" s="45"/>
      <c r="F697" s="55" t="str">
        <f aca="false">IF(B697="","",IFERROR(INDEX('Kitting Plan'!$H$5:$H$18,MATCH(B697,'Kitting Plan'!$C$5:$C$18,0)),""))</f>
        <v/>
      </c>
      <c r="G697" s="45"/>
      <c r="H697" s="56" t="str">
        <f aca="false">IF(B697="","",IF(G697="",F697,G697))</f>
        <v/>
      </c>
      <c r="I697" s="45"/>
      <c r="J697" s="57"/>
      <c r="K697" s="46"/>
      <c r="L697" s="54" t="str">
        <f aca="false">IF(A697="","",IF(B697="","Missing code",IF(C697="Unknown code","Unknown code",IF(COUNTIF($A$6:$A$1005,A697)&gt;1,"Duplicate WO",""))))</f>
        <v/>
      </c>
    </row>
    <row r="698" customFormat="false" ht="15" hidden="false" customHeight="false" outlineLevel="0" collapsed="false">
      <c r="A698" s="46"/>
      <c r="B698" s="46"/>
      <c r="C698" s="54" t="str">
        <f aca="false">IF(B698="","",IFERROR(INDEX('Kitting Plan'!$D$5:$D$18,MATCH(B698,'Kitting Plan'!$C$5:$C$18,0)),"Unknown code"))</f>
        <v/>
      </c>
      <c r="D698" s="54" t="str">
        <f aca="false">IF(B698="","",IFERROR(INDEX('Kitting Plan'!$B$5:$B$18,MATCH(B698,'Kitting Plan'!$C$5:$C$18,0)),""))</f>
        <v/>
      </c>
      <c r="E698" s="45"/>
      <c r="F698" s="55" t="str">
        <f aca="false">IF(B698="","",IFERROR(INDEX('Kitting Plan'!$H$5:$H$18,MATCH(B698,'Kitting Plan'!$C$5:$C$18,0)),""))</f>
        <v/>
      </c>
      <c r="G698" s="45"/>
      <c r="H698" s="56" t="str">
        <f aca="false">IF(B698="","",IF(G698="",F698,G698))</f>
        <v/>
      </c>
      <c r="I698" s="45"/>
      <c r="J698" s="57"/>
      <c r="K698" s="46"/>
      <c r="L698" s="54" t="str">
        <f aca="false">IF(A698="","",IF(B698="","Missing code",IF(C698="Unknown code","Unknown code",IF(COUNTIF($A$6:$A$1005,A698)&gt;1,"Duplicate WO",""))))</f>
        <v/>
      </c>
    </row>
    <row r="699" customFormat="false" ht="15" hidden="false" customHeight="false" outlineLevel="0" collapsed="false">
      <c r="A699" s="46"/>
      <c r="B699" s="46"/>
      <c r="C699" s="54" t="str">
        <f aca="false">IF(B699="","",IFERROR(INDEX('Kitting Plan'!$D$5:$D$18,MATCH(B699,'Kitting Plan'!$C$5:$C$18,0)),"Unknown code"))</f>
        <v/>
      </c>
      <c r="D699" s="54" t="str">
        <f aca="false">IF(B699="","",IFERROR(INDEX('Kitting Plan'!$B$5:$B$18,MATCH(B699,'Kitting Plan'!$C$5:$C$18,0)),""))</f>
        <v/>
      </c>
      <c r="E699" s="45"/>
      <c r="F699" s="55" t="str">
        <f aca="false">IF(B699="","",IFERROR(INDEX('Kitting Plan'!$H$5:$H$18,MATCH(B699,'Kitting Plan'!$C$5:$C$18,0)),""))</f>
        <v/>
      </c>
      <c r="G699" s="45"/>
      <c r="H699" s="56" t="str">
        <f aca="false">IF(B699="","",IF(G699="",F699,G699))</f>
        <v/>
      </c>
      <c r="I699" s="45"/>
      <c r="J699" s="57"/>
      <c r="K699" s="46"/>
      <c r="L699" s="54" t="str">
        <f aca="false">IF(A699="","",IF(B699="","Missing code",IF(C699="Unknown code","Unknown code",IF(COUNTIF($A$6:$A$1005,A699)&gt;1,"Duplicate WO",""))))</f>
        <v/>
      </c>
    </row>
    <row r="700" customFormat="false" ht="15" hidden="false" customHeight="false" outlineLevel="0" collapsed="false">
      <c r="A700" s="46"/>
      <c r="B700" s="46"/>
      <c r="C700" s="54" t="str">
        <f aca="false">IF(B700="","",IFERROR(INDEX('Kitting Plan'!$D$5:$D$18,MATCH(B700,'Kitting Plan'!$C$5:$C$18,0)),"Unknown code"))</f>
        <v/>
      </c>
      <c r="D700" s="54" t="str">
        <f aca="false">IF(B700="","",IFERROR(INDEX('Kitting Plan'!$B$5:$B$18,MATCH(B700,'Kitting Plan'!$C$5:$C$18,0)),""))</f>
        <v/>
      </c>
      <c r="E700" s="45"/>
      <c r="F700" s="55" t="str">
        <f aca="false">IF(B700="","",IFERROR(INDEX('Kitting Plan'!$H$5:$H$18,MATCH(B700,'Kitting Plan'!$C$5:$C$18,0)),""))</f>
        <v/>
      </c>
      <c r="G700" s="45"/>
      <c r="H700" s="56" t="str">
        <f aca="false">IF(B700="","",IF(G700="",F700,G700))</f>
        <v/>
      </c>
      <c r="I700" s="45"/>
      <c r="J700" s="57"/>
      <c r="K700" s="46"/>
      <c r="L700" s="54" t="str">
        <f aca="false">IF(A700="","",IF(B700="","Missing code",IF(C700="Unknown code","Unknown code",IF(COUNTIF($A$6:$A$1005,A700)&gt;1,"Duplicate WO",""))))</f>
        <v/>
      </c>
    </row>
    <row r="701" customFormat="false" ht="15" hidden="false" customHeight="false" outlineLevel="0" collapsed="false">
      <c r="A701" s="46"/>
      <c r="B701" s="46"/>
      <c r="C701" s="54" t="str">
        <f aca="false">IF(B701="","",IFERROR(INDEX('Kitting Plan'!$D$5:$D$18,MATCH(B701,'Kitting Plan'!$C$5:$C$18,0)),"Unknown code"))</f>
        <v/>
      </c>
      <c r="D701" s="54" t="str">
        <f aca="false">IF(B701="","",IFERROR(INDEX('Kitting Plan'!$B$5:$B$18,MATCH(B701,'Kitting Plan'!$C$5:$C$18,0)),""))</f>
        <v/>
      </c>
      <c r="E701" s="45"/>
      <c r="F701" s="55" t="str">
        <f aca="false">IF(B701="","",IFERROR(INDEX('Kitting Plan'!$H$5:$H$18,MATCH(B701,'Kitting Plan'!$C$5:$C$18,0)),""))</f>
        <v/>
      </c>
      <c r="G701" s="45"/>
      <c r="H701" s="56" t="str">
        <f aca="false">IF(B701="","",IF(G701="",F701,G701))</f>
        <v/>
      </c>
      <c r="I701" s="45"/>
      <c r="J701" s="57"/>
      <c r="K701" s="46"/>
      <c r="L701" s="54" t="str">
        <f aca="false">IF(A701="","",IF(B701="","Missing code",IF(C701="Unknown code","Unknown code",IF(COUNTIF($A$6:$A$1005,A701)&gt;1,"Duplicate WO",""))))</f>
        <v/>
      </c>
    </row>
    <row r="702" customFormat="false" ht="15" hidden="false" customHeight="false" outlineLevel="0" collapsed="false">
      <c r="A702" s="46"/>
      <c r="B702" s="46"/>
      <c r="C702" s="54" t="str">
        <f aca="false">IF(B702="","",IFERROR(INDEX('Kitting Plan'!$D$5:$D$18,MATCH(B702,'Kitting Plan'!$C$5:$C$18,0)),"Unknown code"))</f>
        <v/>
      </c>
      <c r="D702" s="54" t="str">
        <f aca="false">IF(B702="","",IFERROR(INDEX('Kitting Plan'!$B$5:$B$18,MATCH(B702,'Kitting Plan'!$C$5:$C$18,0)),""))</f>
        <v/>
      </c>
      <c r="E702" s="45"/>
      <c r="F702" s="55" t="str">
        <f aca="false">IF(B702="","",IFERROR(INDEX('Kitting Plan'!$H$5:$H$18,MATCH(B702,'Kitting Plan'!$C$5:$C$18,0)),""))</f>
        <v/>
      </c>
      <c r="G702" s="45"/>
      <c r="H702" s="56" t="str">
        <f aca="false">IF(B702="","",IF(G702="",F702,G702))</f>
        <v/>
      </c>
      <c r="I702" s="45"/>
      <c r="J702" s="57"/>
      <c r="K702" s="46"/>
      <c r="L702" s="54" t="str">
        <f aca="false">IF(A702="","",IF(B702="","Missing code",IF(C702="Unknown code","Unknown code",IF(COUNTIF($A$6:$A$1005,A702)&gt;1,"Duplicate WO",""))))</f>
        <v/>
      </c>
    </row>
    <row r="703" customFormat="false" ht="15" hidden="false" customHeight="false" outlineLevel="0" collapsed="false">
      <c r="A703" s="46"/>
      <c r="B703" s="46"/>
      <c r="C703" s="54" t="str">
        <f aca="false">IF(B703="","",IFERROR(INDEX('Kitting Plan'!$D$5:$D$18,MATCH(B703,'Kitting Plan'!$C$5:$C$18,0)),"Unknown code"))</f>
        <v/>
      </c>
      <c r="D703" s="54" t="str">
        <f aca="false">IF(B703="","",IFERROR(INDEX('Kitting Plan'!$B$5:$B$18,MATCH(B703,'Kitting Plan'!$C$5:$C$18,0)),""))</f>
        <v/>
      </c>
      <c r="E703" s="45"/>
      <c r="F703" s="55" t="str">
        <f aca="false">IF(B703="","",IFERROR(INDEX('Kitting Plan'!$H$5:$H$18,MATCH(B703,'Kitting Plan'!$C$5:$C$18,0)),""))</f>
        <v/>
      </c>
      <c r="G703" s="45"/>
      <c r="H703" s="56" t="str">
        <f aca="false">IF(B703="","",IF(G703="",F703,G703))</f>
        <v/>
      </c>
      <c r="I703" s="45"/>
      <c r="J703" s="57"/>
      <c r="K703" s="46"/>
      <c r="L703" s="54" t="str">
        <f aca="false">IF(A703="","",IF(B703="","Missing code",IF(C703="Unknown code","Unknown code",IF(COUNTIF($A$6:$A$1005,A703)&gt;1,"Duplicate WO",""))))</f>
        <v/>
      </c>
    </row>
    <row r="704" customFormat="false" ht="15" hidden="false" customHeight="false" outlineLevel="0" collapsed="false">
      <c r="A704" s="46"/>
      <c r="B704" s="46"/>
      <c r="C704" s="54" t="str">
        <f aca="false">IF(B704="","",IFERROR(INDEX('Kitting Plan'!$D$5:$D$18,MATCH(B704,'Kitting Plan'!$C$5:$C$18,0)),"Unknown code"))</f>
        <v/>
      </c>
      <c r="D704" s="54" t="str">
        <f aca="false">IF(B704="","",IFERROR(INDEX('Kitting Plan'!$B$5:$B$18,MATCH(B704,'Kitting Plan'!$C$5:$C$18,0)),""))</f>
        <v/>
      </c>
      <c r="E704" s="45"/>
      <c r="F704" s="55" t="str">
        <f aca="false">IF(B704="","",IFERROR(INDEX('Kitting Plan'!$H$5:$H$18,MATCH(B704,'Kitting Plan'!$C$5:$C$18,0)),""))</f>
        <v/>
      </c>
      <c r="G704" s="45"/>
      <c r="H704" s="56" t="str">
        <f aca="false">IF(B704="","",IF(G704="",F704,G704))</f>
        <v/>
      </c>
      <c r="I704" s="45"/>
      <c r="J704" s="57"/>
      <c r="K704" s="46"/>
      <c r="L704" s="54" t="str">
        <f aca="false">IF(A704="","",IF(B704="","Missing code",IF(C704="Unknown code","Unknown code",IF(COUNTIF($A$6:$A$1005,A704)&gt;1,"Duplicate WO",""))))</f>
        <v/>
      </c>
    </row>
    <row r="705" customFormat="false" ht="15" hidden="false" customHeight="false" outlineLevel="0" collapsed="false">
      <c r="A705" s="46"/>
      <c r="B705" s="46"/>
      <c r="C705" s="54" t="str">
        <f aca="false">IF(B705="","",IFERROR(INDEX('Kitting Plan'!$D$5:$D$18,MATCH(B705,'Kitting Plan'!$C$5:$C$18,0)),"Unknown code"))</f>
        <v/>
      </c>
      <c r="D705" s="54" t="str">
        <f aca="false">IF(B705="","",IFERROR(INDEX('Kitting Plan'!$B$5:$B$18,MATCH(B705,'Kitting Plan'!$C$5:$C$18,0)),""))</f>
        <v/>
      </c>
      <c r="E705" s="45"/>
      <c r="F705" s="55" t="str">
        <f aca="false">IF(B705="","",IFERROR(INDEX('Kitting Plan'!$H$5:$H$18,MATCH(B705,'Kitting Plan'!$C$5:$C$18,0)),""))</f>
        <v/>
      </c>
      <c r="G705" s="45"/>
      <c r="H705" s="56" t="str">
        <f aca="false">IF(B705="","",IF(G705="",F705,G705))</f>
        <v/>
      </c>
      <c r="I705" s="45"/>
      <c r="J705" s="57"/>
      <c r="K705" s="46"/>
      <c r="L705" s="54" t="str">
        <f aca="false">IF(A705="","",IF(B705="","Missing code",IF(C705="Unknown code","Unknown code",IF(COUNTIF($A$6:$A$1005,A705)&gt;1,"Duplicate WO",""))))</f>
        <v/>
      </c>
    </row>
    <row r="706" customFormat="false" ht="15" hidden="false" customHeight="false" outlineLevel="0" collapsed="false">
      <c r="A706" s="46"/>
      <c r="B706" s="46"/>
      <c r="C706" s="54" t="str">
        <f aca="false">IF(B706="","",IFERROR(INDEX('Kitting Plan'!$D$5:$D$18,MATCH(B706,'Kitting Plan'!$C$5:$C$18,0)),"Unknown code"))</f>
        <v/>
      </c>
      <c r="D706" s="54" t="str">
        <f aca="false">IF(B706="","",IFERROR(INDEX('Kitting Plan'!$B$5:$B$18,MATCH(B706,'Kitting Plan'!$C$5:$C$18,0)),""))</f>
        <v/>
      </c>
      <c r="E706" s="45"/>
      <c r="F706" s="55" t="str">
        <f aca="false">IF(B706="","",IFERROR(INDEX('Kitting Plan'!$H$5:$H$18,MATCH(B706,'Kitting Plan'!$C$5:$C$18,0)),""))</f>
        <v/>
      </c>
      <c r="G706" s="45"/>
      <c r="H706" s="56" t="str">
        <f aca="false">IF(B706="","",IF(G706="",F706,G706))</f>
        <v/>
      </c>
      <c r="I706" s="45"/>
      <c r="J706" s="57"/>
      <c r="K706" s="46"/>
      <c r="L706" s="54" t="str">
        <f aca="false">IF(A706="","",IF(B706="","Missing code",IF(C706="Unknown code","Unknown code",IF(COUNTIF($A$6:$A$1005,A706)&gt;1,"Duplicate WO",""))))</f>
        <v/>
      </c>
    </row>
    <row r="707" customFormat="false" ht="15" hidden="false" customHeight="false" outlineLevel="0" collapsed="false">
      <c r="A707" s="46"/>
      <c r="B707" s="46"/>
      <c r="C707" s="54" t="str">
        <f aca="false">IF(B707="","",IFERROR(INDEX('Kitting Plan'!$D$5:$D$18,MATCH(B707,'Kitting Plan'!$C$5:$C$18,0)),"Unknown code"))</f>
        <v/>
      </c>
      <c r="D707" s="54" t="str">
        <f aca="false">IF(B707="","",IFERROR(INDEX('Kitting Plan'!$B$5:$B$18,MATCH(B707,'Kitting Plan'!$C$5:$C$18,0)),""))</f>
        <v/>
      </c>
      <c r="E707" s="45"/>
      <c r="F707" s="55" t="str">
        <f aca="false">IF(B707="","",IFERROR(INDEX('Kitting Plan'!$H$5:$H$18,MATCH(B707,'Kitting Plan'!$C$5:$C$18,0)),""))</f>
        <v/>
      </c>
      <c r="G707" s="45"/>
      <c r="H707" s="56" t="str">
        <f aca="false">IF(B707="","",IF(G707="",F707,G707))</f>
        <v/>
      </c>
      <c r="I707" s="45"/>
      <c r="J707" s="57"/>
      <c r="K707" s="46"/>
      <c r="L707" s="54" t="str">
        <f aca="false">IF(A707="","",IF(B707="","Missing code",IF(C707="Unknown code","Unknown code",IF(COUNTIF($A$6:$A$1005,A707)&gt;1,"Duplicate WO",""))))</f>
        <v/>
      </c>
    </row>
    <row r="708" customFormat="false" ht="15" hidden="false" customHeight="false" outlineLevel="0" collapsed="false">
      <c r="A708" s="46"/>
      <c r="B708" s="46"/>
      <c r="C708" s="54" t="str">
        <f aca="false">IF(B708="","",IFERROR(INDEX('Kitting Plan'!$D$5:$D$18,MATCH(B708,'Kitting Plan'!$C$5:$C$18,0)),"Unknown code"))</f>
        <v/>
      </c>
      <c r="D708" s="54" t="str">
        <f aca="false">IF(B708="","",IFERROR(INDEX('Kitting Plan'!$B$5:$B$18,MATCH(B708,'Kitting Plan'!$C$5:$C$18,0)),""))</f>
        <v/>
      </c>
      <c r="E708" s="45"/>
      <c r="F708" s="55" t="str">
        <f aca="false">IF(B708="","",IFERROR(INDEX('Kitting Plan'!$H$5:$H$18,MATCH(B708,'Kitting Plan'!$C$5:$C$18,0)),""))</f>
        <v/>
      </c>
      <c r="G708" s="45"/>
      <c r="H708" s="56" t="str">
        <f aca="false">IF(B708="","",IF(G708="",F708,G708))</f>
        <v/>
      </c>
      <c r="I708" s="45"/>
      <c r="J708" s="57"/>
      <c r="K708" s="46"/>
      <c r="L708" s="54" t="str">
        <f aca="false">IF(A708="","",IF(B708="","Missing code",IF(C708="Unknown code","Unknown code",IF(COUNTIF($A$6:$A$1005,A708)&gt;1,"Duplicate WO",""))))</f>
        <v/>
      </c>
    </row>
    <row r="709" customFormat="false" ht="15" hidden="false" customHeight="false" outlineLevel="0" collapsed="false">
      <c r="A709" s="46"/>
      <c r="B709" s="46"/>
      <c r="C709" s="54" t="str">
        <f aca="false">IF(B709="","",IFERROR(INDEX('Kitting Plan'!$D$5:$D$18,MATCH(B709,'Kitting Plan'!$C$5:$C$18,0)),"Unknown code"))</f>
        <v/>
      </c>
      <c r="D709" s="54" t="str">
        <f aca="false">IF(B709="","",IFERROR(INDEX('Kitting Plan'!$B$5:$B$18,MATCH(B709,'Kitting Plan'!$C$5:$C$18,0)),""))</f>
        <v/>
      </c>
      <c r="E709" s="45"/>
      <c r="F709" s="55" t="str">
        <f aca="false">IF(B709="","",IFERROR(INDEX('Kitting Plan'!$H$5:$H$18,MATCH(B709,'Kitting Plan'!$C$5:$C$18,0)),""))</f>
        <v/>
      </c>
      <c r="G709" s="45"/>
      <c r="H709" s="56" t="str">
        <f aca="false">IF(B709="","",IF(G709="",F709,G709))</f>
        <v/>
      </c>
      <c r="I709" s="45"/>
      <c r="J709" s="57"/>
      <c r="K709" s="46"/>
      <c r="L709" s="54" t="str">
        <f aca="false">IF(A709="","",IF(B709="","Missing code",IF(C709="Unknown code","Unknown code",IF(COUNTIF($A$6:$A$1005,A709)&gt;1,"Duplicate WO",""))))</f>
        <v/>
      </c>
    </row>
    <row r="710" customFormat="false" ht="15" hidden="false" customHeight="false" outlineLevel="0" collapsed="false">
      <c r="A710" s="46"/>
      <c r="B710" s="46"/>
      <c r="C710" s="54" t="str">
        <f aca="false">IF(B710="","",IFERROR(INDEX('Kitting Plan'!$D$5:$D$18,MATCH(B710,'Kitting Plan'!$C$5:$C$18,0)),"Unknown code"))</f>
        <v/>
      </c>
      <c r="D710" s="54" t="str">
        <f aca="false">IF(B710="","",IFERROR(INDEX('Kitting Plan'!$B$5:$B$18,MATCH(B710,'Kitting Plan'!$C$5:$C$18,0)),""))</f>
        <v/>
      </c>
      <c r="E710" s="45"/>
      <c r="F710" s="55" t="str">
        <f aca="false">IF(B710="","",IFERROR(INDEX('Kitting Plan'!$H$5:$H$18,MATCH(B710,'Kitting Plan'!$C$5:$C$18,0)),""))</f>
        <v/>
      </c>
      <c r="G710" s="45"/>
      <c r="H710" s="56" t="str">
        <f aca="false">IF(B710="","",IF(G710="",F710,G710))</f>
        <v/>
      </c>
      <c r="I710" s="45"/>
      <c r="J710" s="57"/>
      <c r="K710" s="46"/>
      <c r="L710" s="54" t="str">
        <f aca="false">IF(A710="","",IF(B710="","Missing code",IF(C710="Unknown code","Unknown code",IF(COUNTIF($A$6:$A$1005,A710)&gt;1,"Duplicate WO",""))))</f>
        <v/>
      </c>
    </row>
    <row r="711" customFormat="false" ht="15" hidden="false" customHeight="false" outlineLevel="0" collapsed="false">
      <c r="A711" s="46"/>
      <c r="B711" s="46"/>
      <c r="C711" s="54" t="str">
        <f aca="false">IF(B711="","",IFERROR(INDEX('Kitting Plan'!$D$5:$D$18,MATCH(B711,'Kitting Plan'!$C$5:$C$18,0)),"Unknown code"))</f>
        <v/>
      </c>
      <c r="D711" s="54" t="str">
        <f aca="false">IF(B711="","",IFERROR(INDEX('Kitting Plan'!$B$5:$B$18,MATCH(B711,'Kitting Plan'!$C$5:$C$18,0)),""))</f>
        <v/>
      </c>
      <c r="E711" s="45"/>
      <c r="F711" s="55" t="str">
        <f aca="false">IF(B711="","",IFERROR(INDEX('Kitting Plan'!$H$5:$H$18,MATCH(B711,'Kitting Plan'!$C$5:$C$18,0)),""))</f>
        <v/>
      </c>
      <c r="G711" s="45"/>
      <c r="H711" s="56" t="str">
        <f aca="false">IF(B711="","",IF(G711="",F711,G711))</f>
        <v/>
      </c>
      <c r="I711" s="45"/>
      <c r="J711" s="57"/>
      <c r="K711" s="46"/>
      <c r="L711" s="54" t="str">
        <f aca="false">IF(A711="","",IF(B711="","Missing code",IF(C711="Unknown code","Unknown code",IF(COUNTIF($A$6:$A$1005,A711)&gt;1,"Duplicate WO",""))))</f>
        <v/>
      </c>
    </row>
    <row r="712" customFormat="false" ht="15" hidden="false" customHeight="false" outlineLevel="0" collapsed="false">
      <c r="A712" s="46"/>
      <c r="B712" s="46"/>
      <c r="C712" s="54" t="str">
        <f aca="false">IF(B712="","",IFERROR(INDEX('Kitting Plan'!$D$5:$D$18,MATCH(B712,'Kitting Plan'!$C$5:$C$18,0)),"Unknown code"))</f>
        <v/>
      </c>
      <c r="D712" s="54" t="str">
        <f aca="false">IF(B712="","",IFERROR(INDEX('Kitting Plan'!$B$5:$B$18,MATCH(B712,'Kitting Plan'!$C$5:$C$18,0)),""))</f>
        <v/>
      </c>
      <c r="E712" s="45"/>
      <c r="F712" s="55" t="str">
        <f aca="false">IF(B712="","",IFERROR(INDEX('Kitting Plan'!$H$5:$H$18,MATCH(B712,'Kitting Plan'!$C$5:$C$18,0)),""))</f>
        <v/>
      </c>
      <c r="G712" s="45"/>
      <c r="H712" s="56" t="str">
        <f aca="false">IF(B712="","",IF(G712="",F712,G712))</f>
        <v/>
      </c>
      <c r="I712" s="45"/>
      <c r="J712" s="57"/>
      <c r="K712" s="46"/>
      <c r="L712" s="54" t="str">
        <f aca="false">IF(A712="","",IF(B712="","Missing code",IF(C712="Unknown code","Unknown code",IF(COUNTIF($A$6:$A$1005,A712)&gt;1,"Duplicate WO",""))))</f>
        <v/>
      </c>
    </row>
    <row r="713" customFormat="false" ht="15" hidden="false" customHeight="false" outlineLevel="0" collapsed="false">
      <c r="A713" s="46"/>
      <c r="B713" s="46"/>
      <c r="C713" s="54" t="str">
        <f aca="false">IF(B713="","",IFERROR(INDEX('Kitting Plan'!$D$5:$D$18,MATCH(B713,'Kitting Plan'!$C$5:$C$18,0)),"Unknown code"))</f>
        <v/>
      </c>
      <c r="D713" s="54" t="str">
        <f aca="false">IF(B713="","",IFERROR(INDEX('Kitting Plan'!$B$5:$B$18,MATCH(B713,'Kitting Plan'!$C$5:$C$18,0)),""))</f>
        <v/>
      </c>
      <c r="E713" s="45"/>
      <c r="F713" s="55" t="str">
        <f aca="false">IF(B713="","",IFERROR(INDEX('Kitting Plan'!$H$5:$H$18,MATCH(B713,'Kitting Plan'!$C$5:$C$18,0)),""))</f>
        <v/>
      </c>
      <c r="G713" s="45"/>
      <c r="H713" s="56" t="str">
        <f aca="false">IF(B713="","",IF(G713="",F713,G713))</f>
        <v/>
      </c>
      <c r="I713" s="45"/>
      <c r="J713" s="57"/>
      <c r="K713" s="46"/>
      <c r="L713" s="54" t="str">
        <f aca="false">IF(A713="","",IF(B713="","Missing code",IF(C713="Unknown code","Unknown code",IF(COUNTIF($A$6:$A$1005,A713)&gt;1,"Duplicate WO",""))))</f>
        <v/>
      </c>
    </row>
    <row r="714" customFormat="false" ht="15" hidden="false" customHeight="false" outlineLevel="0" collapsed="false">
      <c r="A714" s="46"/>
      <c r="B714" s="46"/>
      <c r="C714" s="54" t="str">
        <f aca="false">IF(B714="","",IFERROR(INDEX('Kitting Plan'!$D$5:$D$18,MATCH(B714,'Kitting Plan'!$C$5:$C$18,0)),"Unknown code"))</f>
        <v/>
      </c>
      <c r="D714" s="54" t="str">
        <f aca="false">IF(B714="","",IFERROR(INDEX('Kitting Plan'!$B$5:$B$18,MATCH(B714,'Kitting Plan'!$C$5:$C$18,0)),""))</f>
        <v/>
      </c>
      <c r="E714" s="45"/>
      <c r="F714" s="55" t="str">
        <f aca="false">IF(B714="","",IFERROR(INDEX('Kitting Plan'!$H$5:$H$18,MATCH(B714,'Kitting Plan'!$C$5:$C$18,0)),""))</f>
        <v/>
      </c>
      <c r="G714" s="45"/>
      <c r="H714" s="56" t="str">
        <f aca="false">IF(B714="","",IF(G714="",F714,G714))</f>
        <v/>
      </c>
      <c r="I714" s="45"/>
      <c r="J714" s="57"/>
      <c r="K714" s="46"/>
      <c r="L714" s="54" t="str">
        <f aca="false">IF(A714="","",IF(B714="","Missing code",IF(C714="Unknown code","Unknown code",IF(COUNTIF($A$6:$A$1005,A714)&gt;1,"Duplicate WO",""))))</f>
        <v/>
      </c>
    </row>
    <row r="715" customFormat="false" ht="15" hidden="false" customHeight="false" outlineLevel="0" collapsed="false">
      <c r="A715" s="46"/>
      <c r="B715" s="46"/>
      <c r="C715" s="54" t="str">
        <f aca="false">IF(B715="","",IFERROR(INDEX('Kitting Plan'!$D$5:$D$18,MATCH(B715,'Kitting Plan'!$C$5:$C$18,0)),"Unknown code"))</f>
        <v/>
      </c>
      <c r="D715" s="54" t="str">
        <f aca="false">IF(B715="","",IFERROR(INDEX('Kitting Plan'!$B$5:$B$18,MATCH(B715,'Kitting Plan'!$C$5:$C$18,0)),""))</f>
        <v/>
      </c>
      <c r="E715" s="45"/>
      <c r="F715" s="55" t="str">
        <f aca="false">IF(B715="","",IFERROR(INDEX('Kitting Plan'!$H$5:$H$18,MATCH(B715,'Kitting Plan'!$C$5:$C$18,0)),""))</f>
        <v/>
      </c>
      <c r="G715" s="45"/>
      <c r="H715" s="56" t="str">
        <f aca="false">IF(B715="","",IF(G715="",F715,G715))</f>
        <v/>
      </c>
      <c r="I715" s="45"/>
      <c r="J715" s="57"/>
      <c r="K715" s="46"/>
      <c r="L715" s="54" t="str">
        <f aca="false">IF(A715="","",IF(B715="","Missing code",IF(C715="Unknown code","Unknown code",IF(COUNTIF($A$6:$A$1005,A715)&gt;1,"Duplicate WO",""))))</f>
        <v/>
      </c>
    </row>
    <row r="716" customFormat="false" ht="15" hidden="false" customHeight="false" outlineLevel="0" collapsed="false">
      <c r="A716" s="46"/>
      <c r="B716" s="46"/>
      <c r="C716" s="54" t="str">
        <f aca="false">IF(B716="","",IFERROR(INDEX('Kitting Plan'!$D$5:$D$18,MATCH(B716,'Kitting Plan'!$C$5:$C$18,0)),"Unknown code"))</f>
        <v/>
      </c>
      <c r="D716" s="54" t="str">
        <f aca="false">IF(B716="","",IFERROR(INDEX('Kitting Plan'!$B$5:$B$18,MATCH(B716,'Kitting Plan'!$C$5:$C$18,0)),""))</f>
        <v/>
      </c>
      <c r="E716" s="45"/>
      <c r="F716" s="55" t="str">
        <f aca="false">IF(B716="","",IFERROR(INDEX('Kitting Plan'!$H$5:$H$18,MATCH(B716,'Kitting Plan'!$C$5:$C$18,0)),""))</f>
        <v/>
      </c>
      <c r="G716" s="45"/>
      <c r="H716" s="56" t="str">
        <f aca="false">IF(B716="","",IF(G716="",F716,G716))</f>
        <v/>
      </c>
      <c r="I716" s="45"/>
      <c r="J716" s="57"/>
      <c r="K716" s="46"/>
      <c r="L716" s="54" t="str">
        <f aca="false">IF(A716="","",IF(B716="","Missing code",IF(C716="Unknown code","Unknown code",IF(COUNTIF($A$6:$A$1005,A716)&gt;1,"Duplicate WO",""))))</f>
        <v/>
      </c>
    </row>
    <row r="717" customFormat="false" ht="15" hidden="false" customHeight="false" outlineLevel="0" collapsed="false">
      <c r="A717" s="46"/>
      <c r="B717" s="46"/>
      <c r="C717" s="54" t="str">
        <f aca="false">IF(B717="","",IFERROR(INDEX('Kitting Plan'!$D$5:$D$18,MATCH(B717,'Kitting Plan'!$C$5:$C$18,0)),"Unknown code"))</f>
        <v/>
      </c>
      <c r="D717" s="54" t="str">
        <f aca="false">IF(B717="","",IFERROR(INDEX('Kitting Plan'!$B$5:$B$18,MATCH(B717,'Kitting Plan'!$C$5:$C$18,0)),""))</f>
        <v/>
      </c>
      <c r="E717" s="45"/>
      <c r="F717" s="55" t="str">
        <f aca="false">IF(B717="","",IFERROR(INDEX('Kitting Plan'!$H$5:$H$18,MATCH(B717,'Kitting Plan'!$C$5:$C$18,0)),""))</f>
        <v/>
      </c>
      <c r="G717" s="45"/>
      <c r="H717" s="56" t="str">
        <f aca="false">IF(B717="","",IF(G717="",F717,G717))</f>
        <v/>
      </c>
      <c r="I717" s="45"/>
      <c r="J717" s="57"/>
      <c r="K717" s="46"/>
      <c r="L717" s="54" t="str">
        <f aca="false">IF(A717="","",IF(B717="","Missing code",IF(C717="Unknown code","Unknown code",IF(COUNTIF($A$6:$A$1005,A717)&gt;1,"Duplicate WO",""))))</f>
        <v/>
      </c>
    </row>
    <row r="718" customFormat="false" ht="15" hidden="false" customHeight="false" outlineLevel="0" collapsed="false">
      <c r="A718" s="46"/>
      <c r="B718" s="46"/>
      <c r="C718" s="54" t="str">
        <f aca="false">IF(B718="","",IFERROR(INDEX('Kitting Plan'!$D$5:$D$18,MATCH(B718,'Kitting Plan'!$C$5:$C$18,0)),"Unknown code"))</f>
        <v/>
      </c>
      <c r="D718" s="54" t="str">
        <f aca="false">IF(B718="","",IFERROR(INDEX('Kitting Plan'!$B$5:$B$18,MATCH(B718,'Kitting Plan'!$C$5:$C$18,0)),""))</f>
        <v/>
      </c>
      <c r="E718" s="45"/>
      <c r="F718" s="55" t="str">
        <f aca="false">IF(B718="","",IFERROR(INDEX('Kitting Plan'!$H$5:$H$18,MATCH(B718,'Kitting Plan'!$C$5:$C$18,0)),""))</f>
        <v/>
      </c>
      <c r="G718" s="45"/>
      <c r="H718" s="56" t="str">
        <f aca="false">IF(B718="","",IF(G718="",F718,G718))</f>
        <v/>
      </c>
      <c r="I718" s="45"/>
      <c r="J718" s="57"/>
      <c r="K718" s="46"/>
      <c r="L718" s="54" t="str">
        <f aca="false">IF(A718="","",IF(B718="","Missing code",IF(C718="Unknown code","Unknown code",IF(COUNTIF($A$6:$A$1005,A718)&gt;1,"Duplicate WO",""))))</f>
        <v/>
      </c>
    </row>
    <row r="719" customFormat="false" ht="15" hidden="false" customHeight="false" outlineLevel="0" collapsed="false">
      <c r="A719" s="46"/>
      <c r="B719" s="46"/>
      <c r="C719" s="54" t="str">
        <f aca="false">IF(B719="","",IFERROR(INDEX('Kitting Plan'!$D$5:$D$18,MATCH(B719,'Kitting Plan'!$C$5:$C$18,0)),"Unknown code"))</f>
        <v/>
      </c>
      <c r="D719" s="54" t="str">
        <f aca="false">IF(B719="","",IFERROR(INDEX('Kitting Plan'!$B$5:$B$18,MATCH(B719,'Kitting Plan'!$C$5:$C$18,0)),""))</f>
        <v/>
      </c>
      <c r="E719" s="45"/>
      <c r="F719" s="55" t="str">
        <f aca="false">IF(B719="","",IFERROR(INDEX('Kitting Plan'!$H$5:$H$18,MATCH(B719,'Kitting Plan'!$C$5:$C$18,0)),""))</f>
        <v/>
      </c>
      <c r="G719" s="45"/>
      <c r="H719" s="56" t="str">
        <f aca="false">IF(B719="","",IF(G719="",F719,G719))</f>
        <v/>
      </c>
      <c r="I719" s="45"/>
      <c r="J719" s="57"/>
      <c r="K719" s="46"/>
      <c r="L719" s="54" t="str">
        <f aca="false">IF(A719="","",IF(B719="","Missing code",IF(C719="Unknown code","Unknown code",IF(COUNTIF($A$6:$A$1005,A719)&gt;1,"Duplicate WO",""))))</f>
        <v/>
      </c>
    </row>
    <row r="720" customFormat="false" ht="15" hidden="false" customHeight="false" outlineLevel="0" collapsed="false">
      <c r="A720" s="46"/>
      <c r="B720" s="46"/>
      <c r="C720" s="54" t="str">
        <f aca="false">IF(B720="","",IFERROR(INDEX('Kitting Plan'!$D$5:$D$18,MATCH(B720,'Kitting Plan'!$C$5:$C$18,0)),"Unknown code"))</f>
        <v/>
      </c>
      <c r="D720" s="54" t="str">
        <f aca="false">IF(B720="","",IFERROR(INDEX('Kitting Plan'!$B$5:$B$18,MATCH(B720,'Kitting Plan'!$C$5:$C$18,0)),""))</f>
        <v/>
      </c>
      <c r="E720" s="45"/>
      <c r="F720" s="55" t="str">
        <f aca="false">IF(B720="","",IFERROR(INDEX('Kitting Plan'!$H$5:$H$18,MATCH(B720,'Kitting Plan'!$C$5:$C$18,0)),""))</f>
        <v/>
      </c>
      <c r="G720" s="45"/>
      <c r="H720" s="56" t="str">
        <f aca="false">IF(B720="","",IF(G720="",F720,G720))</f>
        <v/>
      </c>
      <c r="I720" s="45"/>
      <c r="J720" s="57"/>
      <c r="K720" s="46"/>
      <c r="L720" s="54" t="str">
        <f aca="false">IF(A720="","",IF(B720="","Missing code",IF(C720="Unknown code","Unknown code",IF(COUNTIF($A$6:$A$1005,A720)&gt;1,"Duplicate WO",""))))</f>
        <v/>
      </c>
    </row>
    <row r="721" customFormat="false" ht="15" hidden="false" customHeight="false" outlineLevel="0" collapsed="false">
      <c r="A721" s="46"/>
      <c r="B721" s="46"/>
      <c r="C721" s="54" t="str">
        <f aca="false">IF(B721="","",IFERROR(INDEX('Kitting Plan'!$D$5:$D$18,MATCH(B721,'Kitting Plan'!$C$5:$C$18,0)),"Unknown code"))</f>
        <v/>
      </c>
      <c r="D721" s="54" t="str">
        <f aca="false">IF(B721="","",IFERROR(INDEX('Kitting Plan'!$B$5:$B$18,MATCH(B721,'Kitting Plan'!$C$5:$C$18,0)),""))</f>
        <v/>
      </c>
      <c r="E721" s="45"/>
      <c r="F721" s="55" t="str">
        <f aca="false">IF(B721="","",IFERROR(INDEX('Kitting Plan'!$H$5:$H$18,MATCH(B721,'Kitting Plan'!$C$5:$C$18,0)),""))</f>
        <v/>
      </c>
      <c r="G721" s="45"/>
      <c r="H721" s="56" t="str">
        <f aca="false">IF(B721="","",IF(G721="",F721,G721))</f>
        <v/>
      </c>
      <c r="I721" s="45"/>
      <c r="J721" s="57"/>
      <c r="K721" s="46"/>
      <c r="L721" s="54" t="str">
        <f aca="false">IF(A721="","",IF(B721="","Missing code",IF(C721="Unknown code","Unknown code",IF(COUNTIF($A$6:$A$1005,A721)&gt;1,"Duplicate WO",""))))</f>
        <v/>
      </c>
    </row>
    <row r="722" customFormat="false" ht="15" hidden="false" customHeight="false" outlineLevel="0" collapsed="false">
      <c r="A722" s="46"/>
      <c r="B722" s="46"/>
      <c r="C722" s="54" t="str">
        <f aca="false">IF(B722="","",IFERROR(INDEX('Kitting Plan'!$D$5:$D$18,MATCH(B722,'Kitting Plan'!$C$5:$C$18,0)),"Unknown code"))</f>
        <v/>
      </c>
      <c r="D722" s="54" t="str">
        <f aca="false">IF(B722="","",IFERROR(INDEX('Kitting Plan'!$B$5:$B$18,MATCH(B722,'Kitting Plan'!$C$5:$C$18,0)),""))</f>
        <v/>
      </c>
      <c r="E722" s="45"/>
      <c r="F722" s="55" t="str">
        <f aca="false">IF(B722="","",IFERROR(INDEX('Kitting Plan'!$H$5:$H$18,MATCH(B722,'Kitting Plan'!$C$5:$C$18,0)),""))</f>
        <v/>
      </c>
      <c r="G722" s="45"/>
      <c r="H722" s="56" t="str">
        <f aca="false">IF(B722="","",IF(G722="",F722,G722))</f>
        <v/>
      </c>
      <c r="I722" s="45"/>
      <c r="J722" s="57"/>
      <c r="K722" s="46"/>
      <c r="L722" s="54" t="str">
        <f aca="false">IF(A722="","",IF(B722="","Missing code",IF(C722="Unknown code","Unknown code",IF(COUNTIF($A$6:$A$1005,A722)&gt;1,"Duplicate WO",""))))</f>
        <v/>
      </c>
    </row>
    <row r="723" customFormat="false" ht="15" hidden="false" customHeight="false" outlineLevel="0" collapsed="false">
      <c r="A723" s="46"/>
      <c r="B723" s="46"/>
      <c r="C723" s="54" t="str">
        <f aca="false">IF(B723="","",IFERROR(INDEX('Kitting Plan'!$D$5:$D$18,MATCH(B723,'Kitting Plan'!$C$5:$C$18,0)),"Unknown code"))</f>
        <v/>
      </c>
      <c r="D723" s="54" t="str">
        <f aca="false">IF(B723="","",IFERROR(INDEX('Kitting Plan'!$B$5:$B$18,MATCH(B723,'Kitting Plan'!$C$5:$C$18,0)),""))</f>
        <v/>
      </c>
      <c r="E723" s="45"/>
      <c r="F723" s="55" t="str">
        <f aca="false">IF(B723="","",IFERROR(INDEX('Kitting Plan'!$H$5:$H$18,MATCH(B723,'Kitting Plan'!$C$5:$C$18,0)),""))</f>
        <v/>
      </c>
      <c r="G723" s="45"/>
      <c r="H723" s="56" t="str">
        <f aca="false">IF(B723="","",IF(G723="",F723,G723))</f>
        <v/>
      </c>
      <c r="I723" s="45"/>
      <c r="J723" s="57"/>
      <c r="K723" s="46"/>
      <c r="L723" s="54" t="str">
        <f aca="false">IF(A723="","",IF(B723="","Missing code",IF(C723="Unknown code","Unknown code",IF(COUNTIF($A$6:$A$1005,A723)&gt;1,"Duplicate WO",""))))</f>
        <v/>
      </c>
    </row>
    <row r="724" customFormat="false" ht="15" hidden="false" customHeight="false" outlineLevel="0" collapsed="false">
      <c r="A724" s="46"/>
      <c r="B724" s="46"/>
      <c r="C724" s="54" t="str">
        <f aca="false">IF(B724="","",IFERROR(INDEX('Kitting Plan'!$D$5:$D$18,MATCH(B724,'Kitting Plan'!$C$5:$C$18,0)),"Unknown code"))</f>
        <v/>
      </c>
      <c r="D724" s="54" t="str">
        <f aca="false">IF(B724="","",IFERROR(INDEX('Kitting Plan'!$B$5:$B$18,MATCH(B724,'Kitting Plan'!$C$5:$C$18,0)),""))</f>
        <v/>
      </c>
      <c r="E724" s="45"/>
      <c r="F724" s="55" t="str">
        <f aca="false">IF(B724="","",IFERROR(INDEX('Kitting Plan'!$H$5:$H$18,MATCH(B724,'Kitting Plan'!$C$5:$C$18,0)),""))</f>
        <v/>
      </c>
      <c r="G724" s="45"/>
      <c r="H724" s="56" t="str">
        <f aca="false">IF(B724="","",IF(G724="",F724,G724))</f>
        <v/>
      </c>
      <c r="I724" s="45"/>
      <c r="J724" s="57"/>
      <c r="K724" s="46"/>
      <c r="L724" s="54" t="str">
        <f aca="false">IF(A724="","",IF(B724="","Missing code",IF(C724="Unknown code","Unknown code",IF(COUNTIF($A$6:$A$1005,A724)&gt;1,"Duplicate WO",""))))</f>
        <v/>
      </c>
    </row>
    <row r="725" customFormat="false" ht="15" hidden="false" customHeight="false" outlineLevel="0" collapsed="false">
      <c r="A725" s="46"/>
      <c r="B725" s="46"/>
      <c r="C725" s="54" t="str">
        <f aca="false">IF(B725="","",IFERROR(INDEX('Kitting Plan'!$D$5:$D$18,MATCH(B725,'Kitting Plan'!$C$5:$C$18,0)),"Unknown code"))</f>
        <v/>
      </c>
      <c r="D725" s="54" t="str">
        <f aca="false">IF(B725="","",IFERROR(INDEX('Kitting Plan'!$B$5:$B$18,MATCH(B725,'Kitting Plan'!$C$5:$C$18,0)),""))</f>
        <v/>
      </c>
      <c r="E725" s="45"/>
      <c r="F725" s="55" t="str">
        <f aca="false">IF(B725="","",IFERROR(INDEX('Kitting Plan'!$H$5:$H$18,MATCH(B725,'Kitting Plan'!$C$5:$C$18,0)),""))</f>
        <v/>
      </c>
      <c r="G725" s="45"/>
      <c r="H725" s="56" t="str">
        <f aca="false">IF(B725="","",IF(G725="",F725,G725))</f>
        <v/>
      </c>
      <c r="I725" s="45"/>
      <c r="J725" s="57"/>
      <c r="K725" s="46"/>
      <c r="L725" s="54" t="str">
        <f aca="false">IF(A725="","",IF(B725="","Missing code",IF(C725="Unknown code","Unknown code",IF(COUNTIF($A$6:$A$1005,A725)&gt;1,"Duplicate WO",""))))</f>
        <v/>
      </c>
    </row>
    <row r="726" customFormat="false" ht="15" hidden="false" customHeight="false" outlineLevel="0" collapsed="false">
      <c r="A726" s="46"/>
      <c r="B726" s="46"/>
      <c r="C726" s="54" t="str">
        <f aca="false">IF(B726="","",IFERROR(INDEX('Kitting Plan'!$D$5:$D$18,MATCH(B726,'Kitting Plan'!$C$5:$C$18,0)),"Unknown code"))</f>
        <v/>
      </c>
      <c r="D726" s="54" t="str">
        <f aca="false">IF(B726="","",IFERROR(INDEX('Kitting Plan'!$B$5:$B$18,MATCH(B726,'Kitting Plan'!$C$5:$C$18,0)),""))</f>
        <v/>
      </c>
      <c r="E726" s="45"/>
      <c r="F726" s="55" t="str">
        <f aca="false">IF(B726="","",IFERROR(INDEX('Kitting Plan'!$H$5:$H$18,MATCH(B726,'Kitting Plan'!$C$5:$C$18,0)),""))</f>
        <v/>
      </c>
      <c r="G726" s="45"/>
      <c r="H726" s="56" t="str">
        <f aca="false">IF(B726="","",IF(G726="",F726,G726))</f>
        <v/>
      </c>
      <c r="I726" s="45"/>
      <c r="J726" s="57"/>
      <c r="K726" s="46"/>
      <c r="L726" s="54" t="str">
        <f aca="false">IF(A726="","",IF(B726="","Missing code",IF(C726="Unknown code","Unknown code",IF(COUNTIF($A$6:$A$1005,A726)&gt;1,"Duplicate WO",""))))</f>
        <v/>
      </c>
    </row>
    <row r="727" customFormat="false" ht="15" hidden="false" customHeight="false" outlineLevel="0" collapsed="false">
      <c r="A727" s="46"/>
      <c r="B727" s="46"/>
      <c r="C727" s="54" t="str">
        <f aca="false">IF(B727="","",IFERROR(INDEX('Kitting Plan'!$D$5:$D$18,MATCH(B727,'Kitting Plan'!$C$5:$C$18,0)),"Unknown code"))</f>
        <v/>
      </c>
      <c r="D727" s="54" t="str">
        <f aca="false">IF(B727="","",IFERROR(INDEX('Kitting Plan'!$B$5:$B$18,MATCH(B727,'Kitting Plan'!$C$5:$C$18,0)),""))</f>
        <v/>
      </c>
      <c r="E727" s="45"/>
      <c r="F727" s="55" t="str">
        <f aca="false">IF(B727="","",IFERROR(INDEX('Kitting Plan'!$H$5:$H$18,MATCH(B727,'Kitting Plan'!$C$5:$C$18,0)),""))</f>
        <v/>
      </c>
      <c r="G727" s="45"/>
      <c r="H727" s="56" t="str">
        <f aca="false">IF(B727="","",IF(G727="",F727,G727))</f>
        <v/>
      </c>
      <c r="I727" s="45"/>
      <c r="J727" s="57"/>
      <c r="K727" s="46"/>
      <c r="L727" s="54" t="str">
        <f aca="false">IF(A727="","",IF(B727="","Missing code",IF(C727="Unknown code","Unknown code",IF(COUNTIF($A$6:$A$1005,A727)&gt;1,"Duplicate WO",""))))</f>
        <v/>
      </c>
    </row>
    <row r="728" customFormat="false" ht="15" hidden="false" customHeight="false" outlineLevel="0" collapsed="false">
      <c r="A728" s="46"/>
      <c r="B728" s="46"/>
      <c r="C728" s="54" t="str">
        <f aca="false">IF(B728="","",IFERROR(INDEX('Kitting Plan'!$D$5:$D$18,MATCH(B728,'Kitting Plan'!$C$5:$C$18,0)),"Unknown code"))</f>
        <v/>
      </c>
      <c r="D728" s="54" t="str">
        <f aca="false">IF(B728="","",IFERROR(INDEX('Kitting Plan'!$B$5:$B$18,MATCH(B728,'Kitting Plan'!$C$5:$C$18,0)),""))</f>
        <v/>
      </c>
      <c r="E728" s="45"/>
      <c r="F728" s="55" t="str">
        <f aca="false">IF(B728="","",IFERROR(INDEX('Kitting Plan'!$H$5:$H$18,MATCH(B728,'Kitting Plan'!$C$5:$C$18,0)),""))</f>
        <v/>
      </c>
      <c r="G728" s="45"/>
      <c r="H728" s="56" t="str">
        <f aca="false">IF(B728="","",IF(G728="",F728,G728))</f>
        <v/>
      </c>
      <c r="I728" s="45"/>
      <c r="J728" s="57"/>
      <c r="K728" s="46"/>
      <c r="L728" s="54" t="str">
        <f aca="false">IF(A728="","",IF(B728="","Missing code",IF(C728="Unknown code","Unknown code",IF(COUNTIF($A$6:$A$1005,A728)&gt;1,"Duplicate WO",""))))</f>
        <v/>
      </c>
    </row>
    <row r="729" customFormat="false" ht="15" hidden="false" customHeight="false" outlineLevel="0" collapsed="false">
      <c r="A729" s="46"/>
      <c r="B729" s="46"/>
      <c r="C729" s="54" t="str">
        <f aca="false">IF(B729="","",IFERROR(INDEX('Kitting Plan'!$D$5:$D$18,MATCH(B729,'Kitting Plan'!$C$5:$C$18,0)),"Unknown code"))</f>
        <v/>
      </c>
      <c r="D729" s="54" t="str">
        <f aca="false">IF(B729="","",IFERROR(INDEX('Kitting Plan'!$B$5:$B$18,MATCH(B729,'Kitting Plan'!$C$5:$C$18,0)),""))</f>
        <v/>
      </c>
      <c r="E729" s="45"/>
      <c r="F729" s="55" t="str">
        <f aca="false">IF(B729="","",IFERROR(INDEX('Kitting Plan'!$H$5:$H$18,MATCH(B729,'Kitting Plan'!$C$5:$C$18,0)),""))</f>
        <v/>
      </c>
      <c r="G729" s="45"/>
      <c r="H729" s="56" t="str">
        <f aca="false">IF(B729="","",IF(G729="",F729,G729))</f>
        <v/>
      </c>
      <c r="I729" s="45"/>
      <c r="J729" s="57"/>
      <c r="K729" s="46"/>
      <c r="L729" s="54" t="str">
        <f aca="false">IF(A729="","",IF(B729="","Missing code",IF(C729="Unknown code","Unknown code",IF(COUNTIF($A$6:$A$1005,A729)&gt;1,"Duplicate WO",""))))</f>
        <v/>
      </c>
    </row>
    <row r="730" customFormat="false" ht="15" hidden="false" customHeight="false" outlineLevel="0" collapsed="false">
      <c r="A730" s="46"/>
      <c r="B730" s="46"/>
      <c r="C730" s="54" t="str">
        <f aca="false">IF(B730="","",IFERROR(INDEX('Kitting Plan'!$D$5:$D$18,MATCH(B730,'Kitting Plan'!$C$5:$C$18,0)),"Unknown code"))</f>
        <v/>
      </c>
      <c r="D730" s="54" t="str">
        <f aca="false">IF(B730="","",IFERROR(INDEX('Kitting Plan'!$B$5:$B$18,MATCH(B730,'Kitting Plan'!$C$5:$C$18,0)),""))</f>
        <v/>
      </c>
      <c r="E730" s="45"/>
      <c r="F730" s="55" t="str">
        <f aca="false">IF(B730="","",IFERROR(INDEX('Kitting Plan'!$H$5:$H$18,MATCH(B730,'Kitting Plan'!$C$5:$C$18,0)),""))</f>
        <v/>
      </c>
      <c r="G730" s="45"/>
      <c r="H730" s="56" t="str">
        <f aca="false">IF(B730="","",IF(G730="",F730,G730))</f>
        <v/>
      </c>
      <c r="I730" s="45"/>
      <c r="J730" s="57"/>
      <c r="K730" s="46"/>
      <c r="L730" s="54" t="str">
        <f aca="false">IF(A730="","",IF(B730="","Missing code",IF(C730="Unknown code","Unknown code",IF(COUNTIF($A$6:$A$1005,A730)&gt;1,"Duplicate WO",""))))</f>
        <v/>
      </c>
    </row>
    <row r="731" customFormat="false" ht="15" hidden="false" customHeight="false" outlineLevel="0" collapsed="false">
      <c r="A731" s="46"/>
      <c r="B731" s="46"/>
      <c r="C731" s="54" t="str">
        <f aca="false">IF(B731="","",IFERROR(INDEX('Kitting Plan'!$D$5:$D$18,MATCH(B731,'Kitting Plan'!$C$5:$C$18,0)),"Unknown code"))</f>
        <v/>
      </c>
      <c r="D731" s="54" t="str">
        <f aca="false">IF(B731="","",IFERROR(INDEX('Kitting Plan'!$B$5:$B$18,MATCH(B731,'Kitting Plan'!$C$5:$C$18,0)),""))</f>
        <v/>
      </c>
      <c r="E731" s="45"/>
      <c r="F731" s="55" t="str">
        <f aca="false">IF(B731="","",IFERROR(INDEX('Kitting Plan'!$H$5:$H$18,MATCH(B731,'Kitting Plan'!$C$5:$C$18,0)),""))</f>
        <v/>
      </c>
      <c r="G731" s="45"/>
      <c r="H731" s="56" t="str">
        <f aca="false">IF(B731="","",IF(G731="",F731,G731))</f>
        <v/>
      </c>
      <c r="I731" s="45"/>
      <c r="J731" s="57"/>
      <c r="K731" s="46"/>
      <c r="L731" s="54" t="str">
        <f aca="false">IF(A731="","",IF(B731="","Missing code",IF(C731="Unknown code","Unknown code",IF(COUNTIF($A$6:$A$1005,A731)&gt;1,"Duplicate WO",""))))</f>
        <v/>
      </c>
    </row>
    <row r="732" customFormat="false" ht="15" hidden="false" customHeight="false" outlineLevel="0" collapsed="false">
      <c r="A732" s="46"/>
      <c r="B732" s="46"/>
      <c r="C732" s="54" t="str">
        <f aca="false">IF(B732="","",IFERROR(INDEX('Kitting Plan'!$D$5:$D$18,MATCH(B732,'Kitting Plan'!$C$5:$C$18,0)),"Unknown code"))</f>
        <v/>
      </c>
      <c r="D732" s="54" t="str">
        <f aca="false">IF(B732="","",IFERROR(INDEX('Kitting Plan'!$B$5:$B$18,MATCH(B732,'Kitting Plan'!$C$5:$C$18,0)),""))</f>
        <v/>
      </c>
      <c r="E732" s="45"/>
      <c r="F732" s="55" t="str">
        <f aca="false">IF(B732="","",IFERROR(INDEX('Kitting Plan'!$H$5:$H$18,MATCH(B732,'Kitting Plan'!$C$5:$C$18,0)),""))</f>
        <v/>
      </c>
      <c r="G732" s="45"/>
      <c r="H732" s="56" t="str">
        <f aca="false">IF(B732="","",IF(G732="",F732,G732))</f>
        <v/>
      </c>
      <c r="I732" s="45"/>
      <c r="J732" s="57"/>
      <c r="K732" s="46"/>
      <c r="L732" s="54" t="str">
        <f aca="false">IF(A732="","",IF(B732="","Missing code",IF(C732="Unknown code","Unknown code",IF(COUNTIF($A$6:$A$1005,A732)&gt;1,"Duplicate WO",""))))</f>
        <v/>
      </c>
    </row>
    <row r="733" customFormat="false" ht="15" hidden="false" customHeight="false" outlineLevel="0" collapsed="false">
      <c r="A733" s="46"/>
      <c r="B733" s="46"/>
      <c r="C733" s="54" t="str">
        <f aca="false">IF(B733="","",IFERROR(INDEX('Kitting Plan'!$D$5:$D$18,MATCH(B733,'Kitting Plan'!$C$5:$C$18,0)),"Unknown code"))</f>
        <v/>
      </c>
      <c r="D733" s="54" t="str">
        <f aca="false">IF(B733="","",IFERROR(INDEX('Kitting Plan'!$B$5:$B$18,MATCH(B733,'Kitting Plan'!$C$5:$C$18,0)),""))</f>
        <v/>
      </c>
      <c r="E733" s="45"/>
      <c r="F733" s="55" t="str">
        <f aca="false">IF(B733="","",IFERROR(INDEX('Kitting Plan'!$H$5:$H$18,MATCH(B733,'Kitting Plan'!$C$5:$C$18,0)),""))</f>
        <v/>
      </c>
      <c r="G733" s="45"/>
      <c r="H733" s="56" t="str">
        <f aca="false">IF(B733="","",IF(G733="",F733,G733))</f>
        <v/>
      </c>
      <c r="I733" s="45"/>
      <c r="J733" s="57"/>
      <c r="K733" s="46"/>
      <c r="L733" s="54" t="str">
        <f aca="false">IF(A733="","",IF(B733="","Missing code",IF(C733="Unknown code","Unknown code",IF(COUNTIF($A$6:$A$1005,A733)&gt;1,"Duplicate WO",""))))</f>
        <v/>
      </c>
    </row>
    <row r="734" customFormat="false" ht="15" hidden="false" customHeight="false" outlineLevel="0" collapsed="false">
      <c r="A734" s="46"/>
      <c r="B734" s="46"/>
      <c r="C734" s="54" t="str">
        <f aca="false">IF(B734="","",IFERROR(INDEX('Kitting Plan'!$D$5:$D$18,MATCH(B734,'Kitting Plan'!$C$5:$C$18,0)),"Unknown code"))</f>
        <v/>
      </c>
      <c r="D734" s="54" t="str">
        <f aca="false">IF(B734="","",IFERROR(INDEX('Kitting Plan'!$B$5:$B$18,MATCH(B734,'Kitting Plan'!$C$5:$C$18,0)),""))</f>
        <v/>
      </c>
      <c r="E734" s="45"/>
      <c r="F734" s="55" t="str">
        <f aca="false">IF(B734="","",IFERROR(INDEX('Kitting Plan'!$H$5:$H$18,MATCH(B734,'Kitting Plan'!$C$5:$C$18,0)),""))</f>
        <v/>
      </c>
      <c r="G734" s="45"/>
      <c r="H734" s="56" t="str">
        <f aca="false">IF(B734="","",IF(G734="",F734,G734))</f>
        <v/>
      </c>
      <c r="I734" s="45"/>
      <c r="J734" s="57"/>
      <c r="K734" s="46"/>
      <c r="L734" s="54" t="str">
        <f aca="false">IF(A734="","",IF(B734="","Missing code",IF(C734="Unknown code","Unknown code",IF(COUNTIF($A$6:$A$1005,A734)&gt;1,"Duplicate WO",""))))</f>
        <v/>
      </c>
    </row>
    <row r="735" customFormat="false" ht="15" hidden="false" customHeight="false" outlineLevel="0" collapsed="false">
      <c r="A735" s="46"/>
      <c r="B735" s="46"/>
      <c r="C735" s="54" t="str">
        <f aca="false">IF(B735="","",IFERROR(INDEX('Kitting Plan'!$D$5:$D$18,MATCH(B735,'Kitting Plan'!$C$5:$C$18,0)),"Unknown code"))</f>
        <v/>
      </c>
      <c r="D735" s="54" t="str">
        <f aca="false">IF(B735="","",IFERROR(INDEX('Kitting Plan'!$B$5:$B$18,MATCH(B735,'Kitting Plan'!$C$5:$C$18,0)),""))</f>
        <v/>
      </c>
      <c r="E735" s="45"/>
      <c r="F735" s="55" t="str">
        <f aca="false">IF(B735="","",IFERROR(INDEX('Kitting Plan'!$H$5:$H$18,MATCH(B735,'Kitting Plan'!$C$5:$C$18,0)),""))</f>
        <v/>
      </c>
      <c r="G735" s="45"/>
      <c r="H735" s="56" t="str">
        <f aca="false">IF(B735="","",IF(G735="",F735,G735))</f>
        <v/>
      </c>
      <c r="I735" s="45"/>
      <c r="J735" s="57"/>
      <c r="K735" s="46"/>
      <c r="L735" s="54" t="str">
        <f aca="false">IF(A735="","",IF(B735="","Missing code",IF(C735="Unknown code","Unknown code",IF(COUNTIF($A$6:$A$1005,A735)&gt;1,"Duplicate WO",""))))</f>
        <v/>
      </c>
    </row>
    <row r="736" customFormat="false" ht="15" hidden="false" customHeight="false" outlineLevel="0" collapsed="false">
      <c r="A736" s="46"/>
      <c r="B736" s="46"/>
      <c r="C736" s="54" t="str">
        <f aca="false">IF(B736="","",IFERROR(INDEX('Kitting Plan'!$D$5:$D$18,MATCH(B736,'Kitting Plan'!$C$5:$C$18,0)),"Unknown code"))</f>
        <v/>
      </c>
      <c r="D736" s="54" t="str">
        <f aca="false">IF(B736="","",IFERROR(INDEX('Kitting Plan'!$B$5:$B$18,MATCH(B736,'Kitting Plan'!$C$5:$C$18,0)),""))</f>
        <v/>
      </c>
      <c r="E736" s="45"/>
      <c r="F736" s="55" t="str">
        <f aca="false">IF(B736="","",IFERROR(INDEX('Kitting Plan'!$H$5:$H$18,MATCH(B736,'Kitting Plan'!$C$5:$C$18,0)),""))</f>
        <v/>
      </c>
      <c r="G736" s="45"/>
      <c r="H736" s="56" t="str">
        <f aca="false">IF(B736="","",IF(G736="",F736,G736))</f>
        <v/>
      </c>
      <c r="I736" s="45"/>
      <c r="J736" s="57"/>
      <c r="K736" s="46"/>
      <c r="L736" s="54" t="str">
        <f aca="false">IF(A736="","",IF(B736="","Missing code",IF(C736="Unknown code","Unknown code",IF(COUNTIF($A$6:$A$1005,A736)&gt;1,"Duplicate WO",""))))</f>
        <v/>
      </c>
    </row>
    <row r="737" customFormat="false" ht="15" hidden="false" customHeight="false" outlineLevel="0" collapsed="false">
      <c r="A737" s="46"/>
      <c r="B737" s="46"/>
      <c r="C737" s="54" t="str">
        <f aca="false">IF(B737="","",IFERROR(INDEX('Kitting Plan'!$D$5:$D$18,MATCH(B737,'Kitting Plan'!$C$5:$C$18,0)),"Unknown code"))</f>
        <v/>
      </c>
      <c r="D737" s="54" t="str">
        <f aca="false">IF(B737="","",IFERROR(INDEX('Kitting Plan'!$B$5:$B$18,MATCH(B737,'Kitting Plan'!$C$5:$C$18,0)),""))</f>
        <v/>
      </c>
      <c r="E737" s="45"/>
      <c r="F737" s="55" t="str">
        <f aca="false">IF(B737="","",IFERROR(INDEX('Kitting Plan'!$H$5:$H$18,MATCH(B737,'Kitting Plan'!$C$5:$C$18,0)),""))</f>
        <v/>
      </c>
      <c r="G737" s="45"/>
      <c r="H737" s="56" t="str">
        <f aca="false">IF(B737="","",IF(G737="",F737,G737))</f>
        <v/>
      </c>
      <c r="I737" s="45"/>
      <c r="J737" s="57"/>
      <c r="K737" s="46"/>
      <c r="L737" s="54" t="str">
        <f aca="false">IF(A737="","",IF(B737="","Missing code",IF(C737="Unknown code","Unknown code",IF(COUNTIF($A$6:$A$1005,A737)&gt;1,"Duplicate WO",""))))</f>
        <v/>
      </c>
    </row>
    <row r="738" customFormat="false" ht="15" hidden="false" customHeight="false" outlineLevel="0" collapsed="false">
      <c r="A738" s="46"/>
      <c r="B738" s="46"/>
      <c r="C738" s="54" t="str">
        <f aca="false">IF(B738="","",IFERROR(INDEX('Kitting Plan'!$D$5:$D$18,MATCH(B738,'Kitting Plan'!$C$5:$C$18,0)),"Unknown code"))</f>
        <v/>
      </c>
      <c r="D738" s="54" t="str">
        <f aca="false">IF(B738="","",IFERROR(INDEX('Kitting Plan'!$B$5:$B$18,MATCH(B738,'Kitting Plan'!$C$5:$C$18,0)),""))</f>
        <v/>
      </c>
      <c r="E738" s="45"/>
      <c r="F738" s="55" t="str">
        <f aca="false">IF(B738="","",IFERROR(INDEX('Kitting Plan'!$H$5:$H$18,MATCH(B738,'Kitting Plan'!$C$5:$C$18,0)),""))</f>
        <v/>
      </c>
      <c r="G738" s="45"/>
      <c r="H738" s="56" t="str">
        <f aca="false">IF(B738="","",IF(G738="",F738,G738))</f>
        <v/>
      </c>
      <c r="I738" s="45"/>
      <c r="J738" s="57"/>
      <c r="K738" s="46"/>
      <c r="L738" s="54" t="str">
        <f aca="false">IF(A738="","",IF(B738="","Missing code",IF(C738="Unknown code","Unknown code",IF(COUNTIF($A$6:$A$1005,A738)&gt;1,"Duplicate WO",""))))</f>
        <v/>
      </c>
    </row>
    <row r="739" customFormat="false" ht="15" hidden="false" customHeight="false" outlineLevel="0" collapsed="false">
      <c r="A739" s="46"/>
      <c r="B739" s="46"/>
      <c r="C739" s="54" t="str">
        <f aca="false">IF(B739="","",IFERROR(INDEX('Kitting Plan'!$D$5:$D$18,MATCH(B739,'Kitting Plan'!$C$5:$C$18,0)),"Unknown code"))</f>
        <v/>
      </c>
      <c r="D739" s="54" t="str">
        <f aca="false">IF(B739="","",IFERROR(INDEX('Kitting Plan'!$B$5:$B$18,MATCH(B739,'Kitting Plan'!$C$5:$C$18,0)),""))</f>
        <v/>
      </c>
      <c r="E739" s="45"/>
      <c r="F739" s="55" t="str">
        <f aca="false">IF(B739="","",IFERROR(INDEX('Kitting Plan'!$H$5:$H$18,MATCH(B739,'Kitting Plan'!$C$5:$C$18,0)),""))</f>
        <v/>
      </c>
      <c r="G739" s="45"/>
      <c r="H739" s="56" t="str">
        <f aca="false">IF(B739="","",IF(G739="",F739,G739))</f>
        <v/>
      </c>
      <c r="I739" s="45"/>
      <c r="J739" s="57"/>
      <c r="K739" s="46"/>
      <c r="L739" s="54" t="str">
        <f aca="false">IF(A739="","",IF(B739="","Missing code",IF(C739="Unknown code","Unknown code",IF(COUNTIF($A$6:$A$1005,A739)&gt;1,"Duplicate WO",""))))</f>
        <v/>
      </c>
    </row>
    <row r="740" customFormat="false" ht="15" hidden="false" customHeight="false" outlineLevel="0" collapsed="false">
      <c r="A740" s="46"/>
      <c r="B740" s="46"/>
      <c r="C740" s="54" t="str">
        <f aca="false">IF(B740="","",IFERROR(INDEX('Kitting Plan'!$D$5:$D$18,MATCH(B740,'Kitting Plan'!$C$5:$C$18,0)),"Unknown code"))</f>
        <v/>
      </c>
      <c r="D740" s="54" t="str">
        <f aca="false">IF(B740="","",IFERROR(INDEX('Kitting Plan'!$B$5:$B$18,MATCH(B740,'Kitting Plan'!$C$5:$C$18,0)),""))</f>
        <v/>
      </c>
      <c r="E740" s="45"/>
      <c r="F740" s="55" t="str">
        <f aca="false">IF(B740="","",IFERROR(INDEX('Kitting Plan'!$H$5:$H$18,MATCH(B740,'Kitting Plan'!$C$5:$C$18,0)),""))</f>
        <v/>
      </c>
      <c r="G740" s="45"/>
      <c r="H740" s="56" t="str">
        <f aca="false">IF(B740="","",IF(G740="",F740,G740))</f>
        <v/>
      </c>
      <c r="I740" s="45"/>
      <c r="J740" s="57"/>
      <c r="K740" s="46"/>
      <c r="L740" s="54" t="str">
        <f aca="false">IF(A740="","",IF(B740="","Missing code",IF(C740="Unknown code","Unknown code",IF(COUNTIF($A$6:$A$1005,A740)&gt;1,"Duplicate WO",""))))</f>
        <v/>
      </c>
    </row>
    <row r="741" customFormat="false" ht="15" hidden="false" customHeight="false" outlineLevel="0" collapsed="false">
      <c r="A741" s="46"/>
      <c r="B741" s="46"/>
      <c r="C741" s="54" t="str">
        <f aca="false">IF(B741="","",IFERROR(INDEX('Kitting Plan'!$D$5:$D$18,MATCH(B741,'Kitting Plan'!$C$5:$C$18,0)),"Unknown code"))</f>
        <v/>
      </c>
      <c r="D741" s="54" t="str">
        <f aca="false">IF(B741="","",IFERROR(INDEX('Kitting Plan'!$B$5:$B$18,MATCH(B741,'Kitting Plan'!$C$5:$C$18,0)),""))</f>
        <v/>
      </c>
      <c r="E741" s="45"/>
      <c r="F741" s="55" t="str">
        <f aca="false">IF(B741="","",IFERROR(INDEX('Kitting Plan'!$H$5:$H$18,MATCH(B741,'Kitting Plan'!$C$5:$C$18,0)),""))</f>
        <v/>
      </c>
      <c r="G741" s="45"/>
      <c r="H741" s="56" t="str">
        <f aca="false">IF(B741="","",IF(G741="",F741,G741))</f>
        <v/>
      </c>
      <c r="I741" s="45"/>
      <c r="J741" s="57"/>
      <c r="K741" s="46"/>
      <c r="L741" s="54" t="str">
        <f aca="false">IF(A741="","",IF(B741="","Missing code",IF(C741="Unknown code","Unknown code",IF(COUNTIF($A$6:$A$1005,A741)&gt;1,"Duplicate WO",""))))</f>
        <v/>
      </c>
    </row>
    <row r="742" customFormat="false" ht="15" hidden="false" customHeight="false" outlineLevel="0" collapsed="false">
      <c r="A742" s="46"/>
      <c r="B742" s="46"/>
      <c r="C742" s="54" t="str">
        <f aca="false">IF(B742="","",IFERROR(INDEX('Kitting Plan'!$D$5:$D$18,MATCH(B742,'Kitting Plan'!$C$5:$C$18,0)),"Unknown code"))</f>
        <v/>
      </c>
      <c r="D742" s="54" t="str">
        <f aca="false">IF(B742="","",IFERROR(INDEX('Kitting Plan'!$B$5:$B$18,MATCH(B742,'Kitting Plan'!$C$5:$C$18,0)),""))</f>
        <v/>
      </c>
      <c r="E742" s="45"/>
      <c r="F742" s="55" t="str">
        <f aca="false">IF(B742="","",IFERROR(INDEX('Kitting Plan'!$H$5:$H$18,MATCH(B742,'Kitting Plan'!$C$5:$C$18,0)),""))</f>
        <v/>
      </c>
      <c r="G742" s="45"/>
      <c r="H742" s="56" t="str">
        <f aca="false">IF(B742="","",IF(G742="",F742,G742))</f>
        <v/>
      </c>
      <c r="I742" s="45"/>
      <c r="J742" s="57"/>
      <c r="K742" s="46"/>
      <c r="L742" s="54" t="str">
        <f aca="false">IF(A742="","",IF(B742="","Missing code",IF(C742="Unknown code","Unknown code",IF(COUNTIF($A$6:$A$1005,A742)&gt;1,"Duplicate WO",""))))</f>
        <v/>
      </c>
    </row>
    <row r="743" customFormat="false" ht="15" hidden="false" customHeight="false" outlineLevel="0" collapsed="false">
      <c r="A743" s="46"/>
      <c r="B743" s="46"/>
      <c r="C743" s="54" t="str">
        <f aca="false">IF(B743="","",IFERROR(INDEX('Kitting Plan'!$D$5:$D$18,MATCH(B743,'Kitting Plan'!$C$5:$C$18,0)),"Unknown code"))</f>
        <v/>
      </c>
      <c r="D743" s="54" t="str">
        <f aca="false">IF(B743="","",IFERROR(INDEX('Kitting Plan'!$B$5:$B$18,MATCH(B743,'Kitting Plan'!$C$5:$C$18,0)),""))</f>
        <v/>
      </c>
      <c r="E743" s="45"/>
      <c r="F743" s="55" t="str">
        <f aca="false">IF(B743="","",IFERROR(INDEX('Kitting Plan'!$H$5:$H$18,MATCH(B743,'Kitting Plan'!$C$5:$C$18,0)),""))</f>
        <v/>
      </c>
      <c r="G743" s="45"/>
      <c r="H743" s="56" t="str">
        <f aca="false">IF(B743="","",IF(G743="",F743,G743))</f>
        <v/>
      </c>
      <c r="I743" s="45"/>
      <c r="J743" s="57"/>
      <c r="K743" s="46"/>
      <c r="L743" s="54" t="str">
        <f aca="false">IF(A743="","",IF(B743="","Missing code",IF(C743="Unknown code","Unknown code",IF(COUNTIF($A$6:$A$1005,A743)&gt;1,"Duplicate WO",""))))</f>
        <v/>
      </c>
    </row>
    <row r="744" customFormat="false" ht="15" hidden="false" customHeight="false" outlineLevel="0" collapsed="false">
      <c r="A744" s="46"/>
      <c r="B744" s="46"/>
      <c r="C744" s="54" t="str">
        <f aca="false">IF(B744="","",IFERROR(INDEX('Kitting Plan'!$D$5:$D$18,MATCH(B744,'Kitting Plan'!$C$5:$C$18,0)),"Unknown code"))</f>
        <v/>
      </c>
      <c r="D744" s="54" t="str">
        <f aca="false">IF(B744="","",IFERROR(INDEX('Kitting Plan'!$B$5:$B$18,MATCH(B744,'Kitting Plan'!$C$5:$C$18,0)),""))</f>
        <v/>
      </c>
      <c r="E744" s="45"/>
      <c r="F744" s="55" t="str">
        <f aca="false">IF(B744="","",IFERROR(INDEX('Kitting Plan'!$H$5:$H$18,MATCH(B744,'Kitting Plan'!$C$5:$C$18,0)),""))</f>
        <v/>
      </c>
      <c r="G744" s="45"/>
      <c r="H744" s="56" t="str">
        <f aca="false">IF(B744="","",IF(G744="",F744,G744))</f>
        <v/>
      </c>
      <c r="I744" s="45"/>
      <c r="J744" s="57"/>
      <c r="K744" s="46"/>
      <c r="L744" s="54" t="str">
        <f aca="false">IF(A744="","",IF(B744="","Missing code",IF(C744="Unknown code","Unknown code",IF(COUNTIF($A$6:$A$1005,A744)&gt;1,"Duplicate WO",""))))</f>
        <v/>
      </c>
    </row>
    <row r="745" customFormat="false" ht="15" hidden="false" customHeight="false" outlineLevel="0" collapsed="false">
      <c r="A745" s="46"/>
      <c r="B745" s="46"/>
      <c r="C745" s="54" t="str">
        <f aca="false">IF(B745="","",IFERROR(INDEX('Kitting Plan'!$D$5:$D$18,MATCH(B745,'Kitting Plan'!$C$5:$C$18,0)),"Unknown code"))</f>
        <v/>
      </c>
      <c r="D745" s="54" t="str">
        <f aca="false">IF(B745="","",IFERROR(INDEX('Kitting Plan'!$B$5:$B$18,MATCH(B745,'Kitting Plan'!$C$5:$C$18,0)),""))</f>
        <v/>
      </c>
      <c r="E745" s="45"/>
      <c r="F745" s="55" t="str">
        <f aca="false">IF(B745="","",IFERROR(INDEX('Kitting Plan'!$H$5:$H$18,MATCH(B745,'Kitting Plan'!$C$5:$C$18,0)),""))</f>
        <v/>
      </c>
      <c r="G745" s="45"/>
      <c r="H745" s="56" t="str">
        <f aca="false">IF(B745="","",IF(G745="",F745,G745))</f>
        <v/>
      </c>
      <c r="I745" s="45"/>
      <c r="J745" s="57"/>
      <c r="K745" s="46"/>
      <c r="L745" s="54" t="str">
        <f aca="false">IF(A745="","",IF(B745="","Missing code",IF(C745="Unknown code","Unknown code",IF(COUNTIF($A$6:$A$1005,A745)&gt;1,"Duplicate WO",""))))</f>
        <v/>
      </c>
    </row>
    <row r="746" customFormat="false" ht="15" hidden="false" customHeight="false" outlineLevel="0" collapsed="false">
      <c r="A746" s="46"/>
      <c r="B746" s="46"/>
      <c r="C746" s="54" t="str">
        <f aca="false">IF(B746="","",IFERROR(INDEX('Kitting Plan'!$D$5:$D$18,MATCH(B746,'Kitting Plan'!$C$5:$C$18,0)),"Unknown code"))</f>
        <v/>
      </c>
      <c r="D746" s="54" t="str">
        <f aca="false">IF(B746="","",IFERROR(INDEX('Kitting Plan'!$B$5:$B$18,MATCH(B746,'Kitting Plan'!$C$5:$C$18,0)),""))</f>
        <v/>
      </c>
      <c r="E746" s="45"/>
      <c r="F746" s="55" t="str">
        <f aca="false">IF(B746="","",IFERROR(INDEX('Kitting Plan'!$H$5:$H$18,MATCH(B746,'Kitting Plan'!$C$5:$C$18,0)),""))</f>
        <v/>
      </c>
      <c r="G746" s="45"/>
      <c r="H746" s="56" t="str">
        <f aca="false">IF(B746="","",IF(G746="",F746,G746))</f>
        <v/>
      </c>
      <c r="I746" s="45"/>
      <c r="J746" s="57"/>
      <c r="K746" s="46"/>
      <c r="L746" s="54" t="str">
        <f aca="false">IF(A746="","",IF(B746="","Missing code",IF(C746="Unknown code","Unknown code",IF(COUNTIF($A$6:$A$1005,A746)&gt;1,"Duplicate WO",""))))</f>
        <v/>
      </c>
    </row>
    <row r="747" customFormat="false" ht="15" hidden="false" customHeight="false" outlineLevel="0" collapsed="false">
      <c r="A747" s="46"/>
      <c r="B747" s="46"/>
      <c r="C747" s="54" t="str">
        <f aca="false">IF(B747="","",IFERROR(INDEX('Kitting Plan'!$D$5:$D$18,MATCH(B747,'Kitting Plan'!$C$5:$C$18,0)),"Unknown code"))</f>
        <v/>
      </c>
      <c r="D747" s="54" t="str">
        <f aca="false">IF(B747="","",IFERROR(INDEX('Kitting Plan'!$B$5:$B$18,MATCH(B747,'Kitting Plan'!$C$5:$C$18,0)),""))</f>
        <v/>
      </c>
      <c r="E747" s="45"/>
      <c r="F747" s="55" t="str">
        <f aca="false">IF(B747="","",IFERROR(INDEX('Kitting Plan'!$H$5:$H$18,MATCH(B747,'Kitting Plan'!$C$5:$C$18,0)),""))</f>
        <v/>
      </c>
      <c r="G747" s="45"/>
      <c r="H747" s="56" t="str">
        <f aca="false">IF(B747="","",IF(G747="",F747,G747))</f>
        <v/>
      </c>
      <c r="I747" s="45"/>
      <c r="J747" s="57"/>
      <c r="K747" s="46"/>
      <c r="L747" s="54" t="str">
        <f aca="false">IF(A747="","",IF(B747="","Missing code",IF(C747="Unknown code","Unknown code",IF(COUNTIF($A$6:$A$1005,A747)&gt;1,"Duplicate WO",""))))</f>
        <v/>
      </c>
    </row>
    <row r="748" customFormat="false" ht="15" hidden="false" customHeight="false" outlineLevel="0" collapsed="false">
      <c r="A748" s="46"/>
      <c r="B748" s="46"/>
      <c r="C748" s="54" t="str">
        <f aca="false">IF(B748="","",IFERROR(INDEX('Kitting Plan'!$D$5:$D$18,MATCH(B748,'Kitting Plan'!$C$5:$C$18,0)),"Unknown code"))</f>
        <v/>
      </c>
      <c r="D748" s="54" t="str">
        <f aca="false">IF(B748="","",IFERROR(INDEX('Kitting Plan'!$B$5:$B$18,MATCH(B748,'Kitting Plan'!$C$5:$C$18,0)),""))</f>
        <v/>
      </c>
      <c r="E748" s="45"/>
      <c r="F748" s="55" t="str">
        <f aca="false">IF(B748="","",IFERROR(INDEX('Kitting Plan'!$H$5:$H$18,MATCH(B748,'Kitting Plan'!$C$5:$C$18,0)),""))</f>
        <v/>
      </c>
      <c r="G748" s="45"/>
      <c r="H748" s="56" t="str">
        <f aca="false">IF(B748="","",IF(G748="",F748,G748))</f>
        <v/>
      </c>
      <c r="I748" s="45"/>
      <c r="J748" s="57"/>
      <c r="K748" s="46"/>
      <c r="L748" s="54" t="str">
        <f aca="false">IF(A748="","",IF(B748="","Missing code",IF(C748="Unknown code","Unknown code",IF(COUNTIF($A$6:$A$1005,A748)&gt;1,"Duplicate WO",""))))</f>
        <v/>
      </c>
    </row>
    <row r="749" customFormat="false" ht="15" hidden="false" customHeight="false" outlineLevel="0" collapsed="false">
      <c r="A749" s="46"/>
      <c r="B749" s="46"/>
      <c r="C749" s="54" t="str">
        <f aca="false">IF(B749="","",IFERROR(INDEX('Kitting Plan'!$D$5:$D$18,MATCH(B749,'Kitting Plan'!$C$5:$C$18,0)),"Unknown code"))</f>
        <v/>
      </c>
      <c r="D749" s="54" t="str">
        <f aca="false">IF(B749="","",IFERROR(INDEX('Kitting Plan'!$B$5:$B$18,MATCH(B749,'Kitting Plan'!$C$5:$C$18,0)),""))</f>
        <v/>
      </c>
      <c r="E749" s="45"/>
      <c r="F749" s="55" t="str">
        <f aca="false">IF(B749="","",IFERROR(INDEX('Kitting Plan'!$H$5:$H$18,MATCH(B749,'Kitting Plan'!$C$5:$C$18,0)),""))</f>
        <v/>
      </c>
      <c r="G749" s="45"/>
      <c r="H749" s="56" t="str">
        <f aca="false">IF(B749="","",IF(G749="",F749,G749))</f>
        <v/>
      </c>
      <c r="I749" s="45"/>
      <c r="J749" s="57"/>
      <c r="K749" s="46"/>
      <c r="L749" s="54" t="str">
        <f aca="false">IF(A749="","",IF(B749="","Missing code",IF(C749="Unknown code","Unknown code",IF(COUNTIF($A$6:$A$1005,A749)&gt;1,"Duplicate WO",""))))</f>
        <v/>
      </c>
    </row>
    <row r="750" customFormat="false" ht="15" hidden="false" customHeight="false" outlineLevel="0" collapsed="false">
      <c r="A750" s="46"/>
      <c r="B750" s="46"/>
      <c r="C750" s="54" t="str">
        <f aca="false">IF(B750="","",IFERROR(INDEX('Kitting Plan'!$D$5:$D$18,MATCH(B750,'Kitting Plan'!$C$5:$C$18,0)),"Unknown code"))</f>
        <v/>
      </c>
      <c r="D750" s="54" t="str">
        <f aca="false">IF(B750="","",IFERROR(INDEX('Kitting Plan'!$B$5:$B$18,MATCH(B750,'Kitting Plan'!$C$5:$C$18,0)),""))</f>
        <v/>
      </c>
      <c r="E750" s="45"/>
      <c r="F750" s="55" t="str">
        <f aca="false">IF(B750="","",IFERROR(INDEX('Kitting Plan'!$H$5:$H$18,MATCH(B750,'Kitting Plan'!$C$5:$C$18,0)),""))</f>
        <v/>
      </c>
      <c r="G750" s="45"/>
      <c r="H750" s="56" t="str">
        <f aca="false">IF(B750="","",IF(G750="",F750,G750))</f>
        <v/>
      </c>
      <c r="I750" s="45"/>
      <c r="J750" s="57"/>
      <c r="K750" s="46"/>
      <c r="L750" s="54" t="str">
        <f aca="false">IF(A750="","",IF(B750="","Missing code",IF(C750="Unknown code","Unknown code",IF(COUNTIF($A$6:$A$1005,A750)&gt;1,"Duplicate WO",""))))</f>
        <v/>
      </c>
    </row>
    <row r="751" customFormat="false" ht="15" hidden="false" customHeight="false" outlineLevel="0" collapsed="false">
      <c r="A751" s="46"/>
      <c r="B751" s="46"/>
      <c r="C751" s="54" t="str">
        <f aca="false">IF(B751="","",IFERROR(INDEX('Kitting Plan'!$D$5:$D$18,MATCH(B751,'Kitting Plan'!$C$5:$C$18,0)),"Unknown code"))</f>
        <v/>
      </c>
      <c r="D751" s="54" t="str">
        <f aca="false">IF(B751="","",IFERROR(INDEX('Kitting Plan'!$B$5:$B$18,MATCH(B751,'Kitting Plan'!$C$5:$C$18,0)),""))</f>
        <v/>
      </c>
      <c r="E751" s="45"/>
      <c r="F751" s="55" t="str">
        <f aca="false">IF(B751="","",IFERROR(INDEX('Kitting Plan'!$H$5:$H$18,MATCH(B751,'Kitting Plan'!$C$5:$C$18,0)),""))</f>
        <v/>
      </c>
      <c r="G751" s="45"/>
      <c r="H751" s="56" t="str">
        <f aca="false">IF(B751="","",IF(G751="",F751,G751))</f>
        <v/>
      </c>
      <c r="I751" s="45"/>
      <c r="J751" s="57"/>
      <c r="K751" s="46"/>
      <c r="L751" s="54" t="str">
        <f aca="false">IF(A751="","",IF(B751="","Missing code",IF(C751="Unknown code","Unknown code",IF(COUNTIF($A$6:$A$1005,A751)&gt;1,"Duplicate WO",""))))</f>
        <v/>
      </c>
    </row>
    <row r="752" customFormat="false" ht="15" hidden="false" customHeight="false" outlineLevel="0" collapsed="false">
      <c r="A752" s="46"/>
      <c r="B752" s="46"/>
      <c r="C752" s="54" t="str">
        <f aca="false">IF(B752="","",IFERROR(INDEX('Kitting Plan'!$D$5:$D$18,MATCH(B752,'Kitting Plan'!$C$5:$C$18,0)),"Unknown code"))</f>
        <v/>
      </c>
      <c r="D752" s="54" t="str">
        <f aca="false">IF(B752="","",IFERROR(INDEX('Kitting Plan'!$B$5:$B$18,MATCH(B752,'Kitting Plan'!$C$5:$C$18,0)),""))</f>
        <v/>
      </c>
      <c r="E752" s="45"/>
      <c r="F752" s="55" t="str">
        <f aca="false">IF(B752="","",IFERROR(INDEX('Kitting Plan'!$H$5:$H$18,MATCH(B752,'Kitting Plan'!$C$5:$C$18,0)),""))</f>
        <v/>
      </c>
      <c r="G752" s="45"/>
      <c r="H752" s="56" t="str">
        <f aca="false">IF(B752="","",IF(G752="",F752,G752))</f>
        <v/>
      </c>
      <c r="I752" s="45"/>
      <c r="J752" s="57"/>
      <c r="K752" s="46"/>
      <c r="L752" s="54" t="str">
        <f aca="false">IF(A752="","",IF(B752="","Missing code",IF(C752="Unknown code","Unknown code",IF(COUNTIF($A$6:$A$1005,A752)&gt;1,"Duplicate WO",""))))</f>
        <v/>
      </c>
    </row>
    <row r="753" customFormat="false" ht="15" hidden="false" customHeight="false" outlineLevel="0" collapsed="false">
      <c r="A753" s="46"/>
      <c r="B753" s="46"/>
      <c r="C753" s="54" t="str">
        <f aca="false">IF(B753="","",IFERROR(INDEX('Kitting Plan'!$D$5:$D$18,MATCH(B753,'Kitting Plan'!$C$5:$C$18,0)),"Unknown code"))</f>
        <v/>
      </c>
      <c r="D753" s="54" t="str">
        <f aca="false">IF(B753="","",IFERROR(INDEX('Kitting Plan'!$B$5:$B$18,MATCH(B753,'Kitting Plan'!$C$5:$C$18,0)),""))</f>
        <v/>
      </c>
      <c r="E753" s="45"/>
      <c r="F753" s="55" t="str">
        <f aca="false">IF(B753="","",IFERROR(INDEX('Kitting Plan'!$H$5:$H$18,MATCH(B753,'Kitting Plan'!$C$5:$C$18,0)),""))</f>
        <v/>
      </c>
      <c r="G753" s="45"/>
      <c r="H753" s="56" t="str">
        <f aca="false">IF(B753="","",IF(G753="",F753,G753))</f>
        <v/>
      </c>
      <c r="I753" s="45"/>
      <c r="J753" s="57"/>
      <c r="K753" s="46"/>
      <c r="L753" s="54" t="str">
        <f aca="false">IF(A753="","",IF(B753="","Missing code",IF(C753="Unknown code","Unknown code",IF(COUNTIF($A$6:$A$1005,A753)&gt;1,"Duplicate WO",""))))</f>
        <v/>
      </c>
    </row>
    <row r="754" customFormat="false" ht="15" hidden="false" customHeight="false" outlineLevel="0" collapsed="false">
      <c r="A754" s="46"/>
      <c r="B754" s="46"/>
      <c r="C754" s="54" t="str">
        <f aca="false">IF(B754="","",IFERROR(INDEX('Kitting Plan'!$D$5:$D$18,MATCH(B754,'Kitting Plan'!$C$5:$C$18,0)),"Unknown code"))</f>
        <v/>
      </c>
      <c r="D754" s="54" t="str">
        <f aca="false">IF(B754="","",IFERROR(INDEX('Kitting Plan'!$B$5:$B$18,MATCH(B754,'Kitting Plan'!$C$5:$C$18,0)),""))</f>
        <v/>
      </c>
      <c r="E754" s="45"/>
      <c r="F754" s="55" t="str">
        <f aca="false">IF(B754="","",IFERROR(INDEX('Kitting Plan'!$H$5:$H$18,MATCH(B754,'Kitting Plan'!$C$5:$C$18,0)),""))</f>
        <v/>
      </c>
      <c r="G754" s="45"/>
      <c r="H754" s="56" t="str">
        <f aca="false">IF(B754="","",IF(G754="",F754,G754))</f>
        <v/>
      </c>
      <c r="I754" s="45"/>
      <c r="J754" s="57"/>
      <c r="K754" s="46"/>
      <c r="L754" s="54" t="str">
        <f aca="false">IF(A754="","",IF(B754="","Missing code",IF(C754="Unknown code","Unknown code",IF(COUNTIF($A$6:$A$1005,A754)&gt;1,"Duplicate WO",""))))</f>
        <v/>
      </c>
    </row>
    <row r="755" customFormat="false" ht="15" hidden="false" customHeight="false" outlineLevel="0" collapsed="false">
      <c r="A755" s="46"/>
      <c r="B755" s="46"/>
      <c r="C755" s="54" t="str">
        <f aca="false">IF(B755="","",IFERROR(INDEX('Kitting Plan'!$D$5:$D$18,MATCH(B755,'Kitting Plan'!$C$5:$C$18,0)),"Unknown code"))</f>
        <v/>
      </c>
      <c r="D755" s="54" t="str">
        <f aca="false">IF(B755="","",IFERROR(INDEX('Kitting Plan'!$B$5:$B$18,MATCH(B755,'Kitting Plan'!$C$5:$C$18,0)),""))</f>
        <v/>
      </c>
      <c r="E755" s="45"/>
      <c r="F755" s="55" t="str">
        <f aca="false">IF(B755="","",IFERROR(INDEX('Kitting Plan'!$H$5:$H$18,MATCH(B755,'Kitting Plan'!$C$5:$C$18,0)),""))</f>
        <v/>
      </c>
      <c r="G755" s="45"/>
      <c r="H755" s="56" t="str">
        <f aca="false">IF(B755="","",IF(G755="",F755,G755))</f>
        <v/>
      </c>
      <c r="I755" s="45"/>
      <c r="J755" s="57"/>
      <c r="K755" s="46"/>
      <c r="L755" s="54" t="str">
        <f aca="false">IF(A755="","",IF(B755="","Missing code",IF(C755="Unknown code","Unknown code",IF(COUNTIF($A$6:$A$1005,A755)&gt;1,"Duplicate WO",""))))</f>
        <v/>
      </c>
    </row>
    <row r="756" customFormat="false" ht="15" hidden="false" customHeight="false" outlineLevel="0" collapsed="false">
      <c r="A756" s="46"/>
      <c r="B756" s="46"/>
      <c r="C756" s="54" t="str">
        <f aca="false">IF(B756="","",IFERROR(INDEX('Kitting Plan'!$D$5:$D$18,MATCH(B756,'Kitting Plan'!$C$5:$C$18,0)),"Unknown code"))</f>
        <v/>
      </c>
      <c r="D756" s="54" t="str">
        <f aca="false">IF(B756="","",IFERROR(INDEX('Kitting Plan'!$B$5:$B$18,MATCH(B756,'Kitting Plan'!$C$5:$C$18,0)),""))</f>
        <v/>
      </c>
      <c r="E756" s="45"/>
      <c r="F756" s="55" t="str">
        <f aca="false">IF(B756="","",IFERROR(INDEX('Kitting Plan'!$H$5:$H$18,MATCH(B756,'Kitting Plan'!$C$5:$C$18,0)),""))</f>
        <v/>
      </c>
      <c r="G756" s="45"/>
      <c r="H756" s="56" t="str">
        <f aca="false">IF(B756="","",IF(G756="",F756,G756))</f>
        <v/>
      </c>
      <c r="I756" s="45"/>
      <c r="J756" s="57"/>
      <c r="K756" s="46"/>
      <c r="L756" s="54" t="str">
        <f aca="false">IF(A756="","",IF(B756="","Missing code",IF(C756="Unknown code","Unknown code",IF(COUNTIF($A$6:$A$1005,A756)&gt;1,"Duplicate WO",""))))</f>
        <v/>
      </c>
    </row>
    <row r="757" customFormat="false" ht="15" hidden="false" customHeight="false" outlineLevel="0" collapsed="false">
      <c r="A757" s="46"/>
      <c r="B757" s="46"/>
      <c r="C757" s="54" t="str">
        <f aca="false">IF(B757="","",IFERROR(INDEX('Kitting Plan'!$D$5:$D$18,MATCH(B757,'Kitting Plan'!$C$5:$C$18,0)),"Unknown code"))</f>
        <v/>
      </c>
      <c r="D757" s="54" t="str">
        <f aca="false">IF(B757="","",IFERROR(INDEX('Kitting Plan'!$B$5:$B$18,MATCH(B757,'Kitting Plan'!$C$5:$C$18,0)),""))</f>
        <v/>
      </c>
      <c r="E757" s="45"/>
      <c r="F757" s="55" t="str">
        <f aca="false">IF(B757="","",IFERROR(INDEX('Kitting Plan'!$H$5:$H$18,MATCH(B757,'Kitting Plan'!$C$5:$C$18,0)),""))</f>
        <v/>
      </c>
      <c r="G757" s="45"/>
      <c r="H757" s="56" t="str">
        <f aca="false">IF(B757="","",IF(G757="",F757,G757))</f>
        <v/>
      </c>
      <c r="I757" s="45"/>
      <c r="J757" s="57"/>
      <c r="K757" s="46"/>
      <c r="L757" s="54" t="str">
        <f aca="false">IF(A757="","",IF(B757="","Missing code",IF(C757="Unknown code","Unknown code",IF(COUNTIF($A$6:$A$1005,A757)&gt;1,"Duplicate WO",""))))</f>
        <v/>
      </c>
    </row>
    <row r="758" customFormat="false" ht="15" hidden="false" customHeight="false" outlineLevel="0" collapsed="false">
      <c r="A758" s="46"/>
      <c r="B758" s="46"/>
      <c r="C758" s="54" t="str">
        <f aca="false">IF(B758="","",IFERROR(INDEX('Kitting Plan'!$D$5:$D$18,MATCH(B758,'Kitting Plan'!$C$5:$C$18,0)),"Unknown code"))</f>
        <v/>
      </c>
      <c r="D758" s="54" t="str">
        <f aca="false">IF(B758="","",IFERROR(INDEX('Kitting Plan'!$B$5:$B$18,MATCH(B758,'Kitting Plan'!$C$5:$C$18,0)),""))</f>
        <v/>
      </c>
      <c r="E758" s="45"/>
      <c r="F758" s="55" t="str">
        <f aca="false">IF(B758="","",IFERROR(INDEX('Kitting Plan'!$H$5:$H$18,MATCH(B758,'Kitting Plan'!$C$5:$C$18,0)),""))</f>
        <v/>
      </c>
      <c r="G758" s="45"/>
      <c r="H758" s="56" t="str">
        <f aca="false">IF(B758="","",IF(G758="",F758,G758))</f>
        <v/>
      </c>
      <c r="I758" s="45"/>
      <c r="J758" s="57"/>
      <c r="K758" s="46"/>
      <c r="L758" s="54" t="str">
        <f aca="false">IF(A758="","",IF(B758="","Missing code",IF(C758="Unknown code","Unknown code",IF(COUNTIF($A$6:$A$1005,A758)&gt;1,"Duplicate WO",""))))</f>
        <v/>
      </c>
    </row>
    <row r="759" customFormat="false" ht="15" hidden="false" customHeight="false" outlineLevel="0" collapsed="false">
      <c r="A759" s="46"/>
      <c r="B759" s="46"/>
      <c r="C759" s="54" t="str">
        <f aca="false">IF(B759="","",IFERROR(INDEX('Kitting Plan'!$D$5:$D$18,MATCH(B759,'Kitting Plan'!$C$5:$C$18,0)),"Unknown code"))</f>
        <v/>
      </c>
      <c r="D759" s="54" t="str">
        <f aca="false">IF(B759="","",IFERROR(INDEX('Kitting Plan'!$B$5:$B$18,MATCH(B759,'Kitting Plan'!$C$5:$C$18,0)),""))</f>
        <v/>
      </c>
      <c r="E759" s="45"/>
      <c r="F759" s="55" t="str">
        <f aca="false">IF(B759="","",IFERROR(INDEX('Kitting Plan'!$H$5:$H$18,MATCH(B759,'Kitting Plan'!$C$5:$C$18,0)),""))</f>
        <v/>
      </c>
      <c r="G759" s="45"/>
      <c r="H759" s="56" t="str">
        <f aca="false">IF(B759="","",IF(G759="",F759,G759))</f>
        <v/>
      </c>
      <c r="I759" s="45"/>
      <c r="J759" s="57"/>
      <c r="K759" s="46"/>
      <c r="L759" s="54" t="str">
        <f aca="false">IF(A759="","",IF(B759="","Missing code",IF(C759="Unknown code","Unknown code",IF(COUNTIF($A$6:$A$1005,A759)&gt;1,"Duplicate WO",""))))</f>
        <v/>
      </c>
    </row>
    <row r="760" customFormat="false" ht="15" hidden="false" customHeight="false" outlineLevel="0" collapsed="false">
      <c r="A760" s="46"/>
      <c r="B760" s="46"/>
      <c r="C760" s="54" t="str">
        <f aca="false">IF(B760="","",IFERROR(INDEX('Kitting Plan'!$D$5:$D$18,MATCH(B760,'Kitting Plan'!$C$5:$C$18,0)),"Unknown code"))</f>
        <v/>
      </c>
      <c r="D760" s="54" t="str">
        <f aca="false">IF(B760="","",IFERROR(INDEX('Kitting Plan'!$B$5:$B$18,MATCH(B760,'Kitting Plan'!$C$5:$C$18,0)),""))</f>
        <v/>
      </c>
      <c r="E760" s="45"/>
      <c r="F760" s="55" t="str">
        <f aca="false">IF(B760="","",IFERROR(INDEX('Kitting Plan'!$H$5:$H$18,MATCH(B760,'Kitting Plan'!$C$5:$C$18,0)),""))</f>
        <v/>
      </c>
      <c r="G760" s="45"/>
      <c r="H760" s="56" t="str">
        <f aca="false">IF(B760="","",IF(G760="",F760,G760))</f>
        <v/>
      </c>
      <c r="I760" s="45"/>
      <c r="J760" s="57"/>
      <c r="K760" s="46"/>
      <c r="L760" s="54" t="str">
        <f aca="false">IF(A760="","",IF(B760="","Missing code",IF(C760="Unknown code","Unknown code",IF(COUNTIF($A$6:$A$1005,A760)&gt;1,"Duplicate WO",""))))</f>
        <v/>
      </c>
    </row>
    <row r="761" customFormat="false" ht="15" hidden="false" customHeight="false" outlineLevel="0" collapsed="false">
      <c r="A761" s="46"/>
      <c r="B761" s="46"/>
      <c r="C761" s="54" t="str">
        <f aca="false">IF(B761="","",IFERROR(INDEX('Kitting Plan'!$D$5:$D$18,MATCH(B761,'Kitting Plan'!$C$5:$C$18,0)),"Unknown code"))</f>
        <v/>
      </c>
      <c r="D761" s="54" t="str">
        <f aca="false">IF(B761="","",IFERROR(INDEX('Kitting Plan'!$B$5:$B$18,MATCH(B761,'Kitting Plan'!$C$5:$C$18,0)),""))</f>
        <v/>
      </c>
      <c r="E761" s="45"/>
      <c r="F761" s="55" t="str">
        <f aca="false">IF(B761="","",IFERROR(INDEX('Kitting Plan'!$H$5:$H$18,MATCH(B761,'Kitting Plan'!$C$5:$C$18,0)),""))</f>
        <v/>
      </c>
      <c r="G761" s="45"/>
      <c r="H761" s="56" t="str">
        <f aca="false">IF(B761="","",IF(G761="",F761,G761))</f>
        <v/>
      </c>
      <c r="I761" s="45"/>
      <c r="J761" s="57"/>
      <c r="K761" s="46"/>
      <c r="L761" s="54" t="str">
        <f aca="false">IF(A761="","",IF(B761="","Missing code",IF(C761="Unknown code","Unknown code",IF(COUNTIF($A$6:$A$1005,A761)&gt;1,"Duplicate WO",""))))</f>
        <v/>
      </c>
    </row>
    <row r="762" customFormat="false" ht="15" hidden="false" customHeight="false" outlineLevel="0" collapsed="false">
      <c r="A762" s="46"/>
      <c r="B762" s="46"/>
      <c r="C762" s="54" t="str">
        <f aca="false">IF(B762="","",IFERROR(INDEX('Kitting Plan'!$D$5:$D$18,MATCH(B762,'Kitting Plan'!$C$5:$C$18,0)),"Unknown code"))</f>
        <v/>
      </c>
      <c r="D762" s="54" t="str">
        <f aca="false">IF(B762="","",IFERROR(INDEX('Kitting Plan'!$B$5:$B$18,MATCH(B762,'Kitting Plan'!$C$5:$C$18,0)),""))</f>
        <v/>
      </c>
      <c r="E762" s="45"/>
      <c r="F762" s="55" t="str">
        <f aca="false">IF(B762="","",IFERROR(INDEX('Kitting Plan'!$H$5:$H$18,MATCH(B762,'Kitting Plan'!$C$5:$C$18,0)),""))</f>
        <v/>
      </c>
      <c r="G762" s="45"/>
      <c r="H762" s="56" t="str">
        <f aca="false">IF(B762="","",IF(G762="",F762,G762))</f>
        <v/>
      </c>
      <c r="I762" s="45"/>
      <c r="J762" s="57"/>
      <c r="K762" s="46"/>
      <c r="L762" s="54" t="str">
        <f aca="false">IF(A762="","",IF(B762="","Missing code",IF(C762="Unknown code","Unknown code",IF(COUNTIF($A$6:$A$1005,A762)&gt;1,"Duplicate WO",""))))</f>
        <v/>
      </c>
    </row>
    <row r="763" customFormat="false" ht="15" hidden="false" customHeight="false" outlineLevel="0" collapsed="false">
      <c r="A763" s="46"/>
      <c r="B763" s="46"/>
      <c r="C763" s="54" t="str">
        <f aca="false">IF(B763="","",IFERROR(INDEX('Kitting Plan'!$D$5:$D$18,MATCH(B763,'Kitting Plan'!$C$5:$C$18,0)),"Unknown code"))</f>
        <v/>
      </c>
      <c r="D763" s="54" t="str">
        <f aca="false">IF(B763="","",IFERROR(INDEX('Kitting Plan'!$B$5:$B$18,MATCH(B763,'Kitting Plan'!$C$5:$C$18,0)),""))</f>
        <v/>
      </c>
      <c r="E763" s="45"/>
      <c r="F763" s="55" t="str">
        <f aca="false">IF(B763="","",IFERROR(INDEX('Kitting Plan'!$H$5:$H$18,MATCH(B763,'Kitting Plan'!$C$5:$C$18,0)),""))</f>
        <v/>
      </c>
      <c r="G763" s="45"/>
      <c r="H763" s="56" t="str">
        <f aca="false">IF(B763="","",IF(G763="",F763,G763))</f>
        <v/>
      </c>
      <c r="I763" s="45"/>
      <c r="J763" s="57"/>
      <c r="K763" s="46"/>
      <c r="L763" s="54" t="str">
        <f aca="false">IF(A763="","",IF(B763="","Missing code",IF(C763="Unknown code","Unknown code",IF(COUNTIF($A$6:$A$1005,A763)&gt;1,"Duplicate WO",""))))</f>
        <v/>
      </c>
    </row>
    <row r="764" customFormat="false" ht="15" hidden="false" customHeight="false" outlineLevel="0" collapsed="false">
      <c r="A764" s="46"/>
      <c r="B764" s="46"/>
      <c r="C764" s="54" t="str">
        <f aca="false">IF(B764="","",IFERROR(INDEX('Kitting Plan'!$D$5:$D$18,MATCH(B764,'Kitting Plan'!$C$5:$C$18,0)),"Unknown code"))</f>
        <v/>
      </c>
      <c r="D764" s="54" t="str">
        <f aca="false">IF(B764="","",IFERROR(INDEX('Kitting Plan'!$B$5:$B$18,MATCH(B764,'Kitting Plan'!$C$5:$C$18,0)),""))</f>
        <v/>
      </c>
      <c r="E764" s="45"/>
      <c r="F764" s="55" t="str">
        <f aca="false">IF(B764="","",IFERROR(INDEX('Kitting Plan'!$H$5:$H$18,MATCH(B764,'Kitting Plan'!$C$5:$C$18,0)),""))</f>
        <v/>
      </c>
      <c r="G764" s="45"/>
      <c r="H764" s="56" t="str">
        <f aca="false">IF(B764="","",IF(G764="",F764,G764))</f>
        <v/>
      </c>
      <c r="I764" s="45"/>
      <c r="J764" s="57"/>
      <c r="K764" s="46"/>
      <c r="L764" s="54" t="str">
        <f aca="false">IF(A764="","",IF(B764="","Missing code",IF(C764="Unknown code","Unknown code",IF(COUNTIF($A$6:$A$1005,A764)&gt;1,"Duplicate WO",""))))</f>
        <v/>
      </c>
    </row>
    <row r="765" customFormat="false" ht="15" hidden="false" customHeight="false" outlineLevel="0" collapsed="false">
      <c r="A765" s="46"/>
      <c r="B765" s="46"/>
      <c r="C765" s="54" t="str">
        <f aca="false">IF(B765="","",IFERROR(INDEX('Kitting Plan'!$D$5:$D$18,MATCH(B765,'Kitting Plan'!$C$5:$C$18,0)),"Unknown code"))</f>
        <v/>
      </c>
      <c r="D765" s="54" t="str">
        <f aca="false">IF(B765="","",IFERROR(INDEX('Kitting Plan'!$B$5:$B$18,MATCH(B765,'Kitting Plan'!$C$5:$C$18,0)),""))</f>
        <v/>
      </c>
      <c r="E765" s="45"/>
      <c r="F765" s="55" t="str">
        <f aca="false">IF(B765="","",IFERROR(INDEX('Kitting Plan'!$H$5:$H$18,MATCH(B765,'Kitting Plan'!$C$5:$C$18,0)),""))</f>
        <v/>
      </c>
      <c r="G765" s="45"/>
      <c r="H765" s="56" t="str">
        <f aca="false">IF(B765="","",IF(G765="",F765,G765))</f>
        <v/>
      </c>
      <c r="I765" s="45"/>
      <c r="J765" s="57"/>
      <c r="K765" s="46"/>
      <c r="L765" s="54" t="str">
        <f aca="false">IF(A765="","",IF(B765="","Missing code",IF(C765="Unknown code","Unknown code",IF(COUNTIF($A$6:$A$1005,A765)&gt;1,"Duplicate WO",""))))</f>
        <v/>
      </c>
    </row>
    <row r="766" customFormat="false" ht="15" hidden="false" customHeight="false" outlineLevel="0" collapsed="false">
      <c r="A766" s="46"/>
      <c r="B766" s="46"/>
      <c r="C766" s="54" t="str">
        <f aca="false">IF(B766="","",IFERROR(INDEX('Kitting Plan'!$D$5:$D$18,MATCH(B766,'Kitting Plan'!$C$5:$C$18,0)),"Unknown code"))</f>
        <v/>
      </c>
      <c r="D766" s="54" t="str">
        <f aca="false">IF(B766="","",IFERROR(INDEX('Kitting Plan'!$B$5:$B$18,MATCH(B766,'Kitting Plan'!$C$5:$C$18,0)),""))</f>
        <v/>
      </c>
      <c r="E766" s="45"/>
      <c r="F766" s="55" t="str">
        <f aca="false">IF(B766="","",IFERROR(INDEX('Kitting Plan'!$H$5:$H$18,MATCH(B766,'Kitting Plan'!$C$5:$C$18,0)),""))</f>
        <v/>
      </c>
      <c r="G766" s="45"/>
      <c r="H766" s="56" t="str">
        <f aca="false">IF(B766="","",IF(G766="",F766,G766))</f>
        <v/>
      </c>
      <c r="I766" s="45"/>
      <c r="J766" s="57"/>
      <c r="K766" s="46"/>
      <c r="L766" s="54" t="str">
        <f aca="false">IF(A766="","",IF(B766="","Missing code",IF(C766="Unknown code","Unknown code",IF(COUNTIF($A$6:$A$1005,A766)&gt;1,"Duplicate WO",""))))</f>
        <v/>
      </c>
    </row>
    <row r="767" customFormat="false" ht="15" hidden="false" customHeight="false" outlineLevel="0" collapsed="false">
      <c r="A767" s="46"/>
      <c r="B767" s="46"/>
      <c r="C767" s="54" t="str">
        <f aca="false">IF(B767="","",IFERROR(INDEX('Kitting Plan'!$D$5:$D$18,MATCH(B767,'Kitting Plan'!$C$5:$C$18,0)),"Unknown code"))</f>
        <v/>
      </c>
      <c r="D767" s="54" t="str">
        <f aca="false">IF(B767="","",IFERROR(INDEX('Kitting Plan'!$B$5:$B$18,MATCH(B767,'Kitting Plan'!$C$5:$C$18,0)),""))</f>
        <v/>
      </c>
      <c r="E767" s="45"/>
      <c r="F767" s="55" t="str">
        <f aca="false">IF(B767="","",IFERROR(INDEX('Kitting Plan'!$H$5:$H$18,MATCH(B767,'Kitting Plan'!$C$5:$C$18,0)),""))</f>
        <v/>
      </c>
      <c r="G767" s="45"/>
      <c r="H767" s="56" t="str">
        <f aca="false">IF(B767="","",IF(G767="",F767,G767))</f>
        <v/>
      </c>
      <c r="I767" s="45"/>
      <c r="J767" s="57"/>
      <c r="K767" s="46"/>
      <c r="L767" s="54" t="str">
        <f aca="false">IF(A767="","",IF(B767="","Missing code",IF(C767="Unknown code","Unknown code",IF(COUNTIF($A$6:$A$1005,A767)&gt;1,"Duplicate WO",""))))</f>
        <v/>
      </c>
    </row>
    <row r="768" customFormat="false" ht="15" hidden="false" customHeight="false" outlineLevel="0" collapsed="false">
      <c r="A768" s="46"/>
      <c r="B768" s="46"/>
      <c r="C768" s="54" t="str">
        <f aca="false">IF(B768="","",IFERROR(INDEX('Kitting Plan'!$D$5:$D$18,MATCH(B768,'Kitting Plan'!$C$5:$C$18,0)),"Unknown code"))</f>
        <v/>
      </c>
      <c r="D768" s="54" t="str">
        <f aca="false">IF(B768="","",IFERROR(INDEX('Kitting Plan'!$B$5:$B$18,MATCH(B768,'Kitting Plan'!$C$5:$C$18,0)),""))</f>
        <v/>
      </c>
      <c r="E768" s="45"/>
      <c r="F768" s="55" t="str">
        <f aca="false">IF(B768="","",IFERROR(INDEX('Kitting Plan'!$H$5:$H$18,MATCH(B768,'Kitting Plan'!$C$5:$C$18,0)),""))</f>
        <v/>
      </c>
      <c r="G768" s="45"/>
      <c r="H768" s="56" t="str">
        <f aca="false">IF(B768="","",IF(G768="",F768,G768))</f>
        <v/>
      </c>
      <c r="I768" s="45"/>
      <c r="J768" s="57"/>
      <c r="K768" s="46"/>
      <c r="L768" s="54" t="str">
        <f aca="false">IF(A768="","",IF(B768="","Missing code",IF(C768="Unknown code","Unknown code",IF(COUNTIF($A$6:$A$1005,A768)&gt;1,"Duplicate WO",""))))</f>
        <v/>
      </c>
    </row>
    <row r="769" customFormat="false" ht="15" hidden="false" customHeight="false" outlineLevel="0" collapsed="false">
      <c r="A769" s="46"/>
      <c r="B769" s="46"/>
      <c r="C769" s="54" t="str">
        <f aca="false">IF(B769="","",IFERROR(INDEX('Kitting Plan'!$D$5:$D$18,MATCH(B769,'Kitting Plan'!$C$5:$C$18,0)),"Unknown code"))</f>
        <v/>
      </c>
      <c r="D769" s="54" t="str">
        <f aca="false">IF(B769="","",IFERROR(INDEX('Kitting Plan'!$B$5:$B$18,MATCH(B769,'Kitting Plan'!$C$5:$C$18,0)),""))</f>
        <v/>
      </c>
      <c r="E769" s="45"/>
      <c r="F769" s="55" t="str">
        <f aca="false">IF(B769="","",IFERROR(INDEX('Kitting Plan'!$H$5:$H$18,MATCH(B769,'Kitting Plan'!$C$5:$C$18,0)),""))</f>
        <v/>
      </c>
      <c r="G769" s="45"/>
      <c r="H769" s="56" t="str">
        <f aca="false">IF(B769="","",IF(G769="",F769,G769))</f>
        <v/>
      </c>
      <c r="I769" s="45"/>
      <c r="J769" s="57"/>
      <c r="K769" s="46"/>
      <c r="L769" s="54" t="str">
        <f aca="false">IF(A769="","",IF(B769="","Missing code",IF(C769="Unknown code","Unknown code",IF(COUNTIF($A$6:$A$1005,A769)&gt;1,"Duplicate WO",""))))</f>
        <v/>
      </c>
    </row>
    <row r="770" customFormat="false" ht="15" hidden="false" customHeight="false" outlineLevel="0" collapsed="false">
      <c r="A770" s="46"/>
      <c r="B770" s="46"/>
      <c r="C770" s="54" t="str">
        <f aca="false">IF(B770="","",IFERROR(INDEX('Kitting Plan'!$D$5:$D$18,MATCH(B770,'Kitting Plan'!$C$5:$C$18,0)),"Unknown code"))</f>
        <v/>
      </c>
      <c r="D770" s="54" t="str">
        <f aca="false">IF(B770="","",IFERROR(INDEX('Kitting Plan'!$B$5:$B$18,MATCH(B770,'Kitting Plan'!$C$5:$C$18,0)),""))</f>
        <v/>
      </c>
      <c r="E770" s="45"/>
      <c r="F770" s="55" t="str">
        <f aca="false">IF(B770="","",IFERROR(INDEX('Kitting Plan'!$H$5:$H$18,MATCH(B770,'Kitting Plan'!$C$5:$C$18,0)),""))</f>
        <v/>
      </c>
      <c r="G770" s="45"/>
      <c r="H770" s="56" t="str">
        <f aca="false">IF(B770="","",IF(G770="",F770,G770))</f>
        <v/>
      </c>
      <c r="I770" s="45"/>
      <c r="J770" s="57"/>
      <c r="K770" s="46"/>
      <c r="L770" s="54" t="str">
        <f aca="false">IF(A770="","",IF(B770="","Missing code",IF(C770="Unknown code","Unknown code",IF(COUNTIF($A$6:$A$1005,A770)&gt;1,"Duplicate WO",""))))</f>
        <v/>
      </c>
    </row>
    <row r="771" customFormat="false" ht="15" hidden="false" customHeight="false" outlineLevel="0" collapsed="false">
      <c r="A771" s="46"/>
      <c r="B771" s="46"/>
      <c r="C771" s="54" t="str">
        <f aca="false">IF(B771="","",IFERROR(INDEX('Kitting Plan'!$D$5:$D$18,MATCH(B771,'Kitting Plan'!$C$5:$C$18,0)),"Unknown code"))</f>
        <v/>
      </c>
      <c r="D771" s="54" t="str">
        <f aca="false">IF(B771="","",IFERROR(INDEX('Kitting Plan'!$B$5:$B$18,MATCH(B771,'Kitting Plan'!$C$5:$C$18,0)),""))</f>
        <v/>
      </c>
      <c r="E771" s="45"/>
      <c r="F771" s="55" t="str">
        <f aca="false">IF(B771="","",IFERROR(INDEX('Kitting Plan'!$H$5:$H$18,MATCH(B771,'Kitting Plan'!$C$5:$C$18,0)),""))</f>
        <v/>
      </c>
      <c r="G771" s="45"/>
      <c r="H771" s="56" t="str">
        <f aca="false">IF(B771="","",IF(G771="",F771,G771))</f>
        <v/>
      </c>
      <c r="I771" s="45"/>
      <c r="J771" s="57"/>
      <c r="K771" s="46"/>
      <c r="L771" s="54" t="str">
        <f aca="false">IF(A771="","",IF(B771="","Missing code",IF(C771="Unknown code","Unknown code",IF(COUNTIF($A$6:$A$1005,A771)&gt;1,"Duplicate WO",""))))</f>
        <v/>
      </c>
    </row>
    <row r="772" customFormat="false" ht="15" hidden="false" customHeight="false" outlineLevel="0" collapsed="false">
      <c r="A772" s="46"/>
      <c r="B772" s="46"/>
      <c r="C772" s="54" t="str">
        <f aca="false">IF(B772="","",IFERROR(INDEX('Kitting Plan'!$D$5:$D$18,MATCH(B772,'Kitting Plan'!$C$5:$C$18,0)),"Unknown code"))</f>
        <v/>
      </c>
      <c r="D772" s="54" t="str">
        <f aca="false">IF(B772="","",IFERROR(INDEX('Kitting Plan'!$B$5:$B$18,MATCH(B772,'Kitting Plan'!$C$5:$C$18,0)),""))</f>
        <v/>
      </c>
      <c r="E772" s="45"/>
      <c r="F772" s="55" t="str">
        <f aca="false">IF(B772="","",IFERROR(INDEX('Kitting Plan'!$H$5:$H$18,MATCH(B772,'Kitting Plan'!$C$5:$C$18,0)),""))</f>
        <v/>
      </c>
      <c r="G772" s="45"/>
      <c r="H772" s="56" t="str">
        <f aca="false">IF(B772="","",IF(G772="",F772,G772))</f>
        <v/>
      </c>
      <c r="I772" s="45"/>
      <c r="J772" s="57"/>
      <c r="K772" s="46"/>
      <c r="L772" s="54" t="str">
        <f aca="false">IF(A772="","",IF(B772="","Missing code",IF(C772="Unknown code","Unknown code",IF(COUNTIF($A$6:$A$1005,A772)&gt;1,"Duplicate WO",""))))</f>
        <v/>
      </c>
    </row>
    <row r="773" customFormat="false" ht="15" hidden="false" customHeight="false" outlineLevel="0" collapsed="false">
      <c r="A773" s="46"/>
      <c r="B773" s="46"/>
      <c r="C773" s="54" t="str">
        <f aca="false">IF(B773="","",IFERROR(INDEX('Kitting Plan'!$D$5:$D$18,MATCH(B773,'Kitting Plan'!$C$5:$C$18,0)),"Unknown code"))</f>
        <v/>
      </c>
      <c r="D773" s="54" t="str">
        <f aca="false">IF(B773="","",IFERROR(INDEX('Kitting Plan'!$B$5:$B$18,MATCH(B773,'Kitting Plan'!$C$5:$C$18,0)),""))</f>
        <v/>
      </c>
      <c r="E773" s="45"/>
      <c r="F773" s="55" t="str">
        <f aca="false">IF(B773="","",IFERROR(INDEX('Kitting Plan'!$H$5:$H$18,MATCH(B773,'Kitting Plan'!$C$5:$C$18,0)),""))</f>
        <v/>
      </c>
      <c r="G773" s="45"/>
      <c r="H773" s="56" t="str">
        <f aca="false">IF(B773="","",IF(G773="",F773,G773))</f>
        <v/>
      </c>
      <c r="I773" s="45"/>
      <c r="J773" s="57"/>
      <c r="K773" s="46"/>
      <c r="L773" s="54" t="str">
        <f aca="false">IF(A773="","",IF(B773="","Missing code",IF(C773="Unknown code","Unknown code",IF(COUNTIF($A$6:$A$1005,A773)&gt;1,"Duplicate WO",""))))</f>
        <v/>
      </c>
    </row>
    <row r="774" customFormat="false" ht="15" hidden="false" customHeight="false" outlineLevel="0" collapsed="false">
      <c r="A774" s="46"/>
      <c r="B774" s="46"/>
      <c r="C774" s="54" t="str">
        <f aca="false">IF(B774="","",IFERROR(INDEX('Kitting Plan'!$D$5:$D$18,MATCH(B774,'Kitting Plan'!$C$5:$C$18,0)),"Unknown code"))</f>
        <v/>
      </c>
      <c r="D774" s="54" t="str">
        <f aca="false">IF(B774="","",IFERROR(INDEX('Kitting Plan'!$B$5:$B$18,MATCH(B774,'Kitting Plan'!$C$5:$C$18,0)),""))</f>
        <v/>
      </c>
      <c r="E774" s="45"/>
      <c r="F774" s="55" t="str">
        <f aca="false">IF(B774="","",IFERROR(INDEX('Kitting Plan'!$H$5:$H$18,MATCH(B774,'Kitting Plan'!$C$5:$C$18,0)),""))</f>
        <v/>
      </c>
      <c r="G774" s="45"/>
      <c r="H774" s="56" t="str">
        <f aca="false">IF(B774="","",IF(G774="",F774,G774))</f>
        <v/>
      </c>
      <c r="I774" s="45"/>
      <c r="J774" s="57"/>
      <c r="K774" s="46"/>
      <c r="L774" s="54" t="str">
        <f aca="false">IF(A774="","",IF(B774="","Missing code",IF(C774="Unknown code","Unknown code",IF(COUNTIF($A$6:$A$1005,A774)&gt;1,"Duplicate WO",""))))</f>
        <v/>
      </c>
    </row>
    <row r="775" customFormat="false" ht="15" hidden="false" customHeight="false" outlineLevel="0" collapsed="false">
      <c r="A775" s="46"/>
      <c r="B775" s="46"/>
      <c r="C775" s="54" t="str">
        <f aca="false">IF(B775="","",IFERROR(INDEX('Kitting Plan'!$D$5:$D$18,MATCH(B775,'Kitting Plan'!$C$5:$C$18,0)),"Unknown code"))</f>
        <v/>
      </c>
      <c r="D775" s="54" t="str">
        <f aca="false">IF(B775="","",IFERROR(INDEX('Kitting Plan'!$B$5:$B$18,MATCH(B775,'Kitting Plan'!$C$5:$C$18,0)),""))</f>
        <v/>
      </c>
      <c r="E775" s="45"/>
      <c r="F775" s="55" t="str">
        <f aca="false">IF(B775="","",IFERROR(INDEX('Kitting Plan'!$H$5:$H$18,MATCH(B775,'Kitting Plan'!$C$5:$C$18,0)),""))</f>
        <v/>
      </c>
      <c r="G775" s="45"/>
      <c r="H775" s="56" t="str">
        <f aca="false">IF(B775="","",IF(G775="",F775,G775))</f>
        <v/>
      </c>
      <c r="I775" s="45"/>
      <c r="J775" s="57"/>
      <c r="K775" s="46"/>
      <c r="L775" s="54" t="str">
        <f aca="false">IF(A775="","",IF(B775="","Missing code",IF(C775="Unknown code","Unknown code",IF(COUNTIF($A$6:$A$1005,A775)&gt;1,"Duplicate WO",""))))</f>
        <v/>
      </c>
    </row>
    <row r="776" customFormat="false" ht="15" hidden="false" customHeight="false" outlineLevel="0" collapsed="false">
      <c r="A776" s="46"/>
      <c r="B776" s="46"/>
      <c r="C776" s="54" t="str">
        <f aca="false">IF(B776="","",IFERROR(INDEX('Kitting Plan'!$D$5:$D$18,MATCH(B776,'Kitting Plan'!$C$5:$C$18,0)),"Unknown code"))</f>
        <v/>
      </c>
      <c r="D776" s="54" t="str">
        <f aca="false">IF(B776="","",IFERROR(INDEX('Kitting Plan'!$B$5:$B$18,MATCH(B776,'Kitting Plan'!$C$5:$C$18,0)),""))</f>
        <v/>
      </c>
      <c r="E776" s="45"/>
      <c r="F776" s="55" t="str">
        <f aca="false">IF(B776="","",IFERROR(INDEX('Kitting Plan'!$H$5:$H$18,MATCH(B776,'Kitting Plan'!$C$5:$C$18,0)),""))</f>
        <v/>
      </c>
      <c r="G776" s="45"/>
      <c r="H776" s="56" t="str">
        <f aca="false">IF(B776="","",IF(G776="",F776,G776))</f>
        <v/>
      </c>
      <c r="I776" s="45"/>
      <c r="J776" s="57"/>
      <c r="K776" s="46"/>
      <c r="L776" s="54" t="str">
        <f aca="false">IF(A776="","",IF(B776="","Missing code",IF(C776="Unknown code","Unknown code",IF(COUNTIF($A$6:$A$1005,A776)&gt;1,"Duplicate WO",""))))</f>
        <v/>
      </c>
    </row>
    <row r="777" customFormat="false" ht="15" hidden="false" customHeight="false" outlineLevel="0" collapsed="false">
      <c r="A777" s="46"/>
      <c r="B777" s="46"/>
      <c r="C777" s="54" t="str">
        <f aca="false">IF(B777="","",IFERROR(INDEX('Kitting Plan'!$D$5:$D$18,MATCH(B777,'Kitting Plan'!$C$5:$C$18,0)),"Unknown code"))</f>
        <v/>
      </c>
      <c r="D777" s="54" t="str">
        <f aca="false">IF(B777="","",IFERROR(INDEX('Kitting Plan'!$B$5:$B$18,MATCH(B777,'Kitting Plan'!$C$5:$C$18,0)),""))</f>
        <v/>
      </c>
      <c r="E777" s="45"/>
      <c r="F777" s="55" t="str">
        <f aca="false">IF(B777="","",IFERROR(INDEX('Kitting Plan'!$H$5:$H$18,MATCH(B777,'Kitting Plan'!$C$5:$C$18,0)),""))</f>
        <v/>
      </c>
      <c r="G777" s="45"/>
      <c r="H777" s="56" t="str">
        <f aca="false">IF(B777="","",IF(G777="",F777,G777))</f>
        <v/>
      </c>
      <c r="I777" s="45"/>
      <c r="J777" s="57"/>
      <c r="K777" s="46"/>
      <c r="L777" s="54" t="str">
        <f aca="false">IF(A777="","",IF(B777="","Missing code",IF(C777="Unknown code","Unknown code",IF(COUNTIF($A$6:$A$1005,A777)&gt;1,"Duplicate WO",""))))</f>
        <v/>
      </c>
    </row>
    <row r="778" customFormat="false" ht="15" hidden="false" customHeight="false" outlineLevel="0" collapsed="false">
      <c r="A778" s="46"/>
      <c r="B778" s="46"/>
      <c r="C778" s="54" t="str">
        <f aca="false">IF(B778="","",IFERROR(INDEX('Kitting Plan'!$D$5:$D$18,MATCH(B778,'Kitting Plan'!$C$5:$C$18,0)),"Unknown code"))</f>
        <v/>
      </c>
      <c r="D778" s="54" t="str">
        <f aca="false">IF(B778="","",IFERROR(INDEX('Kitting Plan'!$B$5:$B$18,MATCH(B778,'Kitting Plan'!$C$5:$C$18,0)),""))</f>
        <v/>
      </c>
      <c r="E778" s="45"/>
      <c r="F778" s="55" t="str">
        <f aca="false">IF(B778="","",IFERROR(INDEX('Kitting Plan'!$H$5:$H$18,MATCH(B778,'Kitting Plan'!$C$5:$C$18,0)),""))</f>
        <v/>
      </c>
      <c r="G778" s="45"/>
      <c r="H778" s="56" t="str">
        <f aca="false">IF(B778="","",IF(G778="",F778,G778))</f>
        <v/>
      </c>
      <c r="I778" s="45"/>
      <c r="J778" s="57"/>
      <c r="K778" s="46"/>
      <c r="L778" s="54" t="str">
        <f aca="false">IF(A778="","",IF(B778="","Missing code",IF(C778="Unknown code","Unknown code",IF(COUNTIF($A$6:$A$1005,A778)&gt;1,"Duplicate WO",""))))</f>
        <v/>
      </c>
    </row>
    <row r="779" customFormat="false" ht="15" hidden="false" customHeight="false" outlineLevel="0" collapsed="false">
      <c r="A779" s="46"/>
      <c r="B779" s="46"/>
      <c r="C779" s="54" t="str">
        <f aca="false">IF(B779="","",IFERROR(INDEX('Kitting Plan'!$D$5:$D$18,MATCH(B779,'Kitting Plan'!$C$5:$C$18,0)),"Unknown code"))</f>
        <v/>
      </c>
      <c r="D779" s="54" t="str">
        <f aca="false">IF(B779="","",IFERROR(INDEX('Kitting Plan'!$B$5:$B$18,MATCH(B779,'Kitting Plan'!$C$5:$C$18,0)),""))</f>
        <v/>
      </c>
      <c r="E779" s="45"/>
      <c r="F779" s="55" t="str">
        <f aca="false">IF(B779="","",IFERROR(INDEX('Kitting Plan'!$H$5:$H$18,MATCH(B779,'Kitting Plan'!$C$5:$C$18,0)),""))</f>
        <v/>
      </c>
      <c r="G779" s="45"/>
      <c r="H779" s="56" t="str">
        <f aca="false">IF(B779="","",IF(G779="",F779,G779))</f>
        <v/>
      </c>
      <c r="I779" s="45"/>
      <c r="J779" s="57"/>
      <c r="K779" s="46"/>
      <c r="L779" s="54" t="str">
        <f aca="false">IF(A779="","",IF(B779="","Missing code",IF(C779="Unknown code","Unknown code",IF(COUNTIF($A$6:$A$1005,A779)&gt;1,"Duplicate WO",""))))</f>
        <v/>
      </c>
    </row>
    <row r="780" customFormat="false" ht="15" hidden="false" customHeight="false" outlineLevel="0" collapsed="false">
      <c r="A780" s="46"/>
      <c r="B780" s="46"/>
      <c r="C780" s="54" t="str">
        <f aca="false">IF(B780="","",IFERROR(INDEX('Kitting Plan'!$D$5:$D$18,MATCH(B780,'Kitting Plan'!$C$5:$C$18,0)),"Unknown code"))</f>
        <v/>
      </c>
      <c r="D780" s="54" t="str">
        <f aca="false">IF(B780="","",IFERROR(INDEX('Kitting Plan'!$B$5:$B$18,MATCH(B780,'Kitting Plan'!$C$5:$C$18,0)),""))</f>
        <v/>
      </c>
      <c r="E780" s="45"/>
      <c r="F780" s="55" t="str">
        <f aca="false">IF(B780="","",IFERROR(INDEX('Kitting Plan'!$H$5:$H$18,MATCH(B780,'Kitting Plan'!$C$5:$C$18,0)),""))</f>
        <v/>
      </c>
      <c r="G780" s="45"/>
      <c r="H780" s="56" t="str">
        <f aca="false">IF(B780="","",IF(G780="",F780,G780))</f>
        <v/>
      </c>
      <c r="I780" s="45"/>
      <c r="J780" s="57"/>
      <c r="K780" s="46"/>
      <c r="L780" s="54" t="str">
        <f aca="false">IF(A780="","",IF(B780="","Missing code",IF(C780="Unknown code","Unknown code",IF(COUNTIF($A$6:$A$1005,A780)&gt;1,"Duplicate WO",""))))</f>
        <v/>
      </c>
    </row>
    <row r="781" customFormat="false" ht="15" hidden="false" customHeight="false" outlineLevel="0" collapsed="false">
      <c r="A781" s="46"/>
      <c r="B781" s="46"/>
      <c r="C781" s="54" t="str">
        <f aca="false">IF(B781="","",IFERROR(INDEX('Kitting Plan'!$D$5:$D$18,MATCH(B781,'Kitting Plan'!$C$5:$C$18,0)),"Unknown code"))</f>
        <v/>
      </c>
      <c r="D781" s="54" t="str">
        <f aca="false">IF(B781="","",IFERROR(INDEX('Kitting Plan'!$B$5:$B$18,MATCH(B781,'Kitting Plan'!$C$5:$C$18,0)),""))</f>
        <v/>
      </c>
      <c r="E781" s="45"/>
      <c r="F781" s="55" t="str">
        <f aca="false">IF(B781="","",IFERROR(INDEX('Kitting Plan'!$H$5:$H$18,MATCH(B781,'Kitting Plan'!$C$5:$C$18,0)),""))</f>
        <v/>
      </c>
      <c r="G781" s="45"/>
      <c r="H781" s="56" t="str">
        <f aca="false">IF(B781="","",IF(G781="",F781,G781))</f>
        <v/>
      </c>
      <c r="I781" s="45"/>
      <c r="J781" s="57"/>
      <c r="K781" s="46"/>
      <c r="L781" s="54" t="str">
        <f aca="false">IF(A781="","",IF(B781="","Missing code",IF(C781="Unknown code","Unknown code",IF(COUNTIF($A$6:$A$1005,A781)&gt;1,"Duplicate WO",""))))</f>
        <v/>
      </c>
    </row>
    <row r="782" customFormat="false" ht="15" hidden="false" customHeight="false" outlineLevel="0" collapsed="false">
      <c r="A782" s="46"/>
      <c r="B782" s="46"/>
      <c r="C782" s="54" t="str">
        <f aca="false">IF(B782="","",IFERROR(INDEX('Kitting Plan'!$D$5:$D$18,MATCH(B782,'Kitting Plan'!$C$5:$C$18,0)),"Unknown code"))</f>
        <v/>
      </c>
      <c r="D782" s="54" t="str">
        <f aca="false">IF(B782="","",IFERROR(INDEX('Kitting Plan'!$B$5:$B$18,MATCH(B782,'Kitting Plan'!$C$5:$C$18,0)),""))</f>
        <v/>
      </c>
      <c r="E782" s="45"/>
      <c r="F782" s="55" t="str">
        <f aca="false">IF(B782="","",IFERROR(INDEX('Kitting Plan'!$H$5:$H$18,MATCH(B782,'Kitting Plan'!$C$5:$C$18,0)),""))</f>
        <v/>
      </c>
      <c r="G782" s="45"/>
      <c r="H782" s="56" t="str">
        <f aca="false">IF(B782="","",IF(G782="",F782,G782))</f>
        <v/>
      </c>
      <c r="I782" s="45"/>
      <c r="J782" s="57"/>
      <c r="K782" s="46"/>
      <c r="L782" s="54" t="str">
        <f aca="false">IF(A782="","",IF(B782="","Missing code",IF(C782="Unknown code","Unknown code",IF(COUNTIF($A$6:$A$1005,A782)&gt;1,"Duplicate WO",""))))</f>
        <v/>
      </c>
    </row>
    <row r="783" customFormat="false" ht="15" hidden="false" customHeight="false" outlineLevel="0" collapsed="false">
      <c r="A783" s="46"/>
      <c r="B783" s="46"/>
      <c r="C783" s="54" t="str">
        <f aca="false">IF(B783="","",IFERROR(INDEX('Kitting Plan'!$D$5:$D$18,MATCH(B783,'Kitting Plan'!$C$5:$C$18,0)),"Unknown code"))</f>
        <v/>
      </c>
      <c r="D783" s="54" t="str">
        <f aca="false">IF(B783="","",IFERROR(INDEX('Kitting Plan'!$B$5:$B$18,MATCH(B783,'Kitting Plan'!$C$5:$C$18,0)),""))</f>
        <v/>
      </c>
      <c r="E783" s="45"/>
      <c r="F783" s="55" t="str">
        <f aca="false">IF(B783="","",IFERROR(INDEX('Kitting Plan'!$H$5:$H$18,MATCH(B783,'Kitting Plan'!$C$5:$C$18,0)),""))</f>
        <v/>
      </c>
      <c r="G783" s="45"/>
      <c r="H783" s="56" t="str">
        <f aca="false">IF(B783="","",IF(G783="",F783,G783))</f>
        <v/>
      </c>
      <c r="I783" s="45"/>
      <c r="J783" s="57"/>
      <c r="K783" s="46"/>
      <c r="L783" s="54" t="str">
        <f aca="false">IF(A783="","",IF(B783="","Missing code",IF(C783="Unknown code","Unknown code",IF(COUNTIF($A$6:$A$1005,A783)&gt;1,"Duplicate WO",""))))</f>
        <v/>
      </c>
    </row>
    <row r="784" customFormat="false" ht="15" hidden="false" customHeight="false" outlineLevel="0" collapsed="false">
      <c r="A784" s="46"/>
      <c r="B784" s="46"/>
      <c r="C784" s="54" t="str">
        <f aca="false">IF(B784="","",IFERROR(INDEX('Kitting Plan'!$D$5:$D$18,MATCH(B784,'Kitting Plan'!$C$5:$C$18,0)),"Unknown code"))</f>
        <v/>
      </c>
      <c r="D784" s="54" t="str">
        <f aca="false">IF(B784="","",IFERROR(INDEX('Kitting Plan'!$B$5:$B$18,MATCH(B784,'Kitting Plan'!$C$5:$C$18,0)),""))</f>
        <v/>
      </c>
      <c r="E784" s="45"/>
      <c r="F784" s="55" t="str">
        <f aca="false">IF(B784="","",IFERROR(INDEX('Kitting Plan'!$H$5:$H$18,MATCH(B784,'Kitting Plan'!$C$5:$C$18,0)),""))</f>
        <v/>
      </c>
      <c r="G784" s="45"/>
      <c r="H784" s="56" t="str">
        <f aca="false">IF(B784="","",IF(G784="",F784,G784))</f>
        <v/>
      </c>
      <c r="I784" s="45"/>
      <c r="J784" s="57"/>
      <c r="K784" s="46"/>
      <c r="L784" s="54" t="str">
        <f aca="false">IF(A784="","",IF(B784="","Missing code",IF(C784="Unknown code","Unknown code",IF(COUNTIF($A$6:$A$1005,A784)&gt;1,"Duplicate WO",""))))</f>
        <v/>
      </c>
    </row>
    <row r="785" customFormat="false" ht="15" hidden="false" customHeight="false" outlineLevel="0" collapsed="false">
      <c r="A785" s="46"/>
      <c r="B785" s="46"/>
      <c r="C785" s="54" t="str">
        <f aca="false">IF(B785="","",IFERROR(INDEX('Kitting Plan'!$D$5:$D$18,MATCH(B785,'Kitting Plan'!$C$5:$C$18,0)),"Unknown code"))</f>
        <v/>
      </c>
      <c r="D785" s="54" t="str">
        <f aca="false">IF(B785="","",IFERROR(INDEX('Kitting Plan'!$B$5:$B$18,MATCH(B785,'Kitting Plan'!$C$5:$C$18,0)),""))</f>
        <v/>
      </c>
      <c r="E785" s="45"/>
      <c r="F785" s="55" t="str">
        <f aca="false">IF(B785="","",IFERROR(INDEX('Kitting Plan'!$H$5:$H$18,MATCH(B785,'Kitting Plan'!$C$5:$C$18,0)),""))</f>
        <v/>
      </c>
      <c r="G785" s="45"/>
      <c r="H785" s="56" t="str">
        <f aca="false">IF(B785="","",IF(G785="",F785,G785))</f>
        <v/>
      </c>
      <c r="I785" s="45"/>
      <c r="J785" s="57"/>
      <c r="K785" s="46"/>
      <c r="L785" s="54" t="str">
        <f aca="false">IF(A785="","",IF(B785="","Missing code",IF(C785="Unknown code","Unknown code",IF(COUNTIF($A$6:$A$1005,A785)&gt;1,"Duplicate WO",""))))</f>
        <v/>
      </c>
    </row>
    <row r="786" customFormat="false" ht="15" hidden="false" customHeight="false" outlineLevel="0" collapsed="false">
      <c r="A786" s="46"/>
      <c r="B786" s="46"/>
      <c r="C786" s="54" t="str">
        <f aca="false">IF(B786="","",IFERROR(INDEX('Kitting Plan'!$D$5:$D$18,MATCH(B786,'Kitting Plan'!$C$5:$C$18,0)),"Unknown code"))</f>
        <v/>
      </c>
      <c r="D786" s="54" t="str">
        <f aca="false">IF(B786="","",IFERROR(INDEX('Kitting Plan'!$B$5:$B$18,MATCH(B786,'Kitting Plan'!$C$5:$C$18,0)),""))</f>
        <v/>
      </c>
      <c r="E786" s="45"/>
      <c r="F786" s="55" t="str">
        <f aca="false">IF(B786="","",IFERROR(INDEX('Kitting Plan'!$H$5:$H$18,MATCH(B786,'Kitting Plan'!$C$5:$C$18,0)),""))</f>
        <v/>
      </c>
      <c r="G786" s="45"/>
      <c r="H786" s="56" t="str">
        <f aca="false">IF(B786="","",IF(G786="",F786,G786))</f>
        <v/>
      </c>
      <c r="I786" s="45"/>
      <c r="J786" s="57"/>
      <c r="K786" s="46"/>
      <c r="L786" s="54" t="str">
        <f aca="false">IF(A786="","",IF(B786="","Missing code",IF(C786="Unknown code","Unknown code",IF(COUNTIF($A$6:$A$1005,A786)&gt;1,"Duplicate WO",""))))</f>
        <v/>
      </c>
    </row>
    <row r="787" customFormat="false" ht="15" hidden="false" customHeight="false" outlineLevel="0" collapsed="false">
      <c r="A787" s="46"/>
      <c r="B787" s="46"/>
      <c r="C787" s="54" t="str">
        <f aca="false">IF(B787="","",IFERROR(INDEX('Kitting Plan'!$D$5:$D$18,MATCH(B787,'Kitting Plan'!$C$5:$C$18,0)),"Unknown code"))</f>
        <v/>
      </c>
      <c r="D787" s="54" t="str">
        <f aca="false">IF(B787="","",IFERROR(INDEX('Kitting Plan'!$B$5:$B$18,MATCH(B787,'Kitting Plan'!$C$5:$C$18,0)),""))</f>
        <v/>
      </c>
      <c r="E787" s="45"/>
      <c r="F787" s="55" t="str">
        <f aca="false">IF(B787="","",IFERROR(INDEX('Kitting Plan'!$H$5:$H$18,MATCH(B787,'Kitting Plan'!$C$5:$C$18,0)),""))</f>
        <v/>
      </c>
      <c r="G787" s="45"/>
      <c r="H787" s="56" t="str">
        <f aca="false">IF(B787="","",IF(G787="",F787,G787))</f>
        <v/>
      </c>
      <c r="I787" s="45"/>
      <c r="J787" s="57"/>
      <c r="K787" s="46"/>
      <c r="L787" s="54" t="str">
        <f aca="false">IF(A787="","",IF(B787="","Missing code",IF(C787="Unknown code","Unknown code",IF(COUNTIF($A$6:$A$1005,A787)&gt;1,"Duplicate WO",""))))</f>
        <v/>
      </c>
    </row>
    <row r="788" customFormat="false" ht="15" hidden="false" customHeight="false" outlineLevel="0" collapsed="false">
      <c r="A788" s="46"/>
      <c r="B788" s="46"/>
      <c r="C788" s="54" t="str">
        <f aca="false">IF(B788="","",IFERROR(INDEX('Kitting Plan'!$D$5:$D$18,MATCH(B788,'Kitting Plan'!$C$5:$C$18,0)),"Unknown code"))</f>
        <v/>
      </c>
      <c r="D788" s="54" t="str">
        <f aca="false">IF(B788="","",IFERROR(INDEX('Kitting Plan'!$B$5:$B$18,MATCH(B788,'Kitting Plan'!$C$5:$C$18,0)),""))</f>
        <v/>
      </c>
      <c r="E788" s="45"/>
      <c r="F788" s="55" t="str">
        <f aca="false">IF(B788="","",IFERROR(INDEX('Kitting Plan'!$H$5:$H$18,MATCH(B788,'Kitting Plan'!$C$5:$C$18,0)),""))</f>
        <v/>
      </c>
      <c r="G788" s="45"/>
      <c r="H788" s="56" t="str">
        <f aca="false">IF(B788="","",IF(G788="",F788,G788))</f>
        <v/>
      </c>
      <c r="I788" s="45"/>
      <c r="J788" s="57"/>
      <c r="K788" s="46"/>
      <c r="L788" s="54" t="str">
        <f aca="false">IF(A788="","",IF(B788="","Missing code",IF(C788="Unknown code","Unknown code",IF(COUNTIF($A$6:$A$1005,A788)&gt;1,"Duplicate WO",""))))</f>
        <v/>
      </c>
    </row>
    <row r="789" customFormat="false" ht="15" hidden="false" customHeight="false" outlineLevel="0" collapsed="false">
      <c r="A789" s="46"/>
      <c r="B789" s="46"/>
      <c r="C789" s="54" t="str">
        <f aca="false">IF(B789="","",IFERROR(INDEX('Kitting Plan'!$D$5:$D$18,MATCH(B789,'Kitting Plan'!$C$5:$C$18,0)),"Unknown code"))</f>
        <v/>
      </c>
      <c r="D789" s="54" t="str">
        <f aca="false">IF(B789="","",IFERROR(INDEX('Kitting Plan'!$B$5:$B$18,MATCH(B789,'Kitting Plan'!$C$5:$C$18,0)),""))</f>
        <v/>
      </c>
      <c r="E789" s="45"/>
      <c r="F789" s="55" t="str">
        <f aca="false">IF(B789="","",IFERROR(INDEX('Kitting Plan'!$H$5:$H$18,MATCH(B789,'Kitting Plan'!$C$5:$C$18,0)),""))</f>
        <v/>
      </c>
      <c r="G789" s="45"/>
      <c r="H789" s="56" t="str">
        <f aca="false">IF(B789="","",IF(G789="",F789,G789))</f>
        <v/>
      </c>
      <c r="I789" s="45"/>
      <c r="J789" s="57"/>
      <c r="K789" s="46"/>
      <c r="L789" s="54" t="str">
        <f aca="false">IF(A789="","",IF(B789="","Missing code",IF(C789="Unknown code","Unknown code",IF(COUNTIF($A$6:$A$1005,A789)&gt;1,"Duplicate WO",""))))</f>
        <v/>
      </c>
    </row>
    <row r="790" customFormat="false" ht="15" hidden="false" customHeight="false" outlineLevel="0" collapsed="false">
      <c r="A790" s="46"/>
      <c r="B790" s="46"/>
      <c r="C790" s="54" t="str">
        <f aca="false">IF(B790="","",IFERROR(INDEX('Kitting Plan'!$D$5:$D$18,MATCH(B790,'Kitting Plan'!$C$5:$C$18,0)),"Unknown code"))</f>
        <v/>
      </c>
      <c r="D790" s="54" t="str">
        <f aca="false">IF(B790="","",IFERROR(INDEX('Kitting Plan'!$B$5:$B$18,MATCH(B790,'Kitting Plan'!$C$5:$C$18,0)),""))</f>
        <v/>
      </c>
      <c r="E790" s="45"/>
      <c r="F790" s="55" t="str">
        <f aca="false">IF(B790="","",IFERROR(INDEX('Kitting Plan'!$H$5:$H$18,MATCH(B790,'Kitting Plan'!$C$5:$C$18,0)),""))</f>
        <v/>
      </c>
      <c r="G790" s="45"/>
      <c r="H790" s="56" t="str">
        <f aca="false">IF(B790="","",IF(G790="",F790,G790))</f>
        <v/>
      </c>
      <c r="I790" s="45"/>
      <c r="J790" s="57"/>
      <c r="K790" s="46"/>
      <c r="L790" s="54" t="str">
        <f aca="false">IF(A790="","",IF(B790="","Missing code",IF(C790="Unknown code","Unknown code",IF(COUNTIF($A$6:$A$1005,A790)&gt;1,"Duplicate WO",""))))</f>
        <v/>
      </c>
    </row>
    <row r="791" customFormat="false" ht="15" hidden="false" customHeight="false" outlineLevel="0" collapsed="false">
      <c r="A791" s="46"/>
      <c r="B791" s="46"/>
      <c r="C791" s="54" t="str">
        <f aca="false">IF(B791="","",IFERROR(INDEX('Kitting Plan'!$D$5:$D$18,MATCH(B791,'Kitting Plan'!$C$5:$C$18,0)),"Unknown code"))</f>
        <v/>
      </c>
      <c r="D791" s="54" t="str">
        <f aca="false">IF(B791="","",IFERROR(INDEX('Kitting Plan'!$B$5:$B$18,MATCH(B791,'Kitting Plan'!$C$5:$C$18,0)),""))</f>
        <v/>
      </c>
      <c r="E791" s="45"/>
      <c r="F791" s="55" t="str">
        <f aca="false">IF(B791="","",IFERROR(INDEX('Kitting Plan'!$H$5:$H$18,MATCH(B791,'Kitting Plan'!$C$5:$C$18,0)),""))</f>
        <v/>
      </c>
      <c r="G791" s="45"/>
      <c r="H791" s="56" t="str">
        <f aca="false">IF(B791="","",IF(G791="",F791,G791))</f>
        <v/>
      </c>
      <c r="I791" s="45"/>
      <c r="J791" s="57"/>
      <c r="K791" s="46"/>
      <c r="L791" s="54" t="str">
        <f aca="false">IF(A791="","",IF(B791="","Missing code",IF(C791="Unknown code","Unknown code",IF(COUNTIF($A$6:$A$1005,A791)&gt;1,"Duplicate WO",""))))</f>
        <v/>
      </c>
    </row>
    <row r="792" customFormat="false" ht="15" hidden="false" customHeight="false" outlineLevel="0" collapsed="false">
      <c r="A792" s="46"/>
      <c r="B792" s="46"/>
      <c r="C792" s="54" t="str">
        <f aca="false">IF(B792="","",IFERROR(INDEX('Kitting Plan'!$D$5:$D$18,MATCH(B792,'Kitting Plan'!$C$5:$C$18,0)),"Unknown code"))</f>
        <v/>
      </c>
      <c r="D792" s="54" t="str">
        <f aca="false">IF(B792="","",IFERROR(INDEX('Kitting Plan'!$B$5:$B$18,MATCH(B792,'Kitting Plan'!$C$5:$C$18,0)),""))</f>
        <v/>
      </c>
      <c r="E792" s="45"/>
      <c r="F792" s="55" t="str">
        <f aca="false">IF(B792="","",IFERROR(INDEX('Kitting Plan'!$H$5:$H$18,MATCH(B792,'Kitting Plan'!$C$5:$C$18,0)),""))</f>
        <v/>
      </c>
      <c r="G792" s="45"/>
      <c r="H792" s="56" t="str">
        <f aca="false">IF(B792="","",IF(G792="",F792,G792))</f>
        <v/>
      </c>
      <c r="I792" s="45"/>
      <c r="J792" s="57"/>
      <c r="K792" s="46"/>
      <c r="L792" s="54" t="str">
        <f aca="false">IF(A792="","",IF(B792="","Missing code",IF(C792="Unknown code","Unknown code",IF(COUNTIF($A$6:$A$1005,A792)&gt;1,"Duplicate WO",""))))</f>
        <v/>
      </c>
    </row>
    <row r="793" customFormat="false" ht="15" hidden="false" customHeight="false" outlineLevel="0" collapsed="false">
      <c r="A793" s="46"/>
      <c r="B793" s="46"/>
      <c r="C793" s="54" t="str">
        <f aca="false">IF(B793="","",IFERROR(INDEX('Kitting Plan'!$D$5:$D$18,MATCH(B793,'Kitting Plan'!$C$5:$C$18,0)),"Unknown code"))</f>
        <v/>
      </c>
      <c r="D793" s="54" t="str">
        <f aca="false">IF(B793="","",IFERROR(INDEX('Kitting Plan'!$B$5:$B$18,MATCH(B793,'Kitting Plan'!$C$5:$C$18,0)),""))</f>
        <v/>
      </c>
      <c r="E793" s="45"/>
      <c r="F793" s="55" t="str">
        <f aca="false">IF(B793="","",IFERROR(INDEX('Kitting Plan'!$H$5:$H$18,MATCH(B793,'Kitting Plan'!$C$5:$C$18,0)),""))</f>
        <v/>
      </c>
      <c r="G793" s="45"/>
      <c r="H793" s="56" t="str">
        <f aca="false">IF(B793="","",IF(G793="",F793,G793))</f>
        <v/>
      </c>
      <c r="I793" s="45"/>
      <c r="J793" s="57"/>
      <c r="K793" s="46"/>
      <c r="L793" s="54" t="str">
        <f aca="false">IF(A793="","",IF(B793="","Missing code",IF(C793="Unknown code","Unknown code",IF(COUNTIF($A$6:$A$1005,A793)&gt;1,"Duplicate WO",""))))</f>
        <v/>
      </c>
    </row>
    <row r="794" customFormat="false" ht="15" hidden="false" customHeight="false" outlineLevel="0" collapsed="false">
      <c r="A794" s="46"/>
      <c r="B794" s="46"/>
      <c r="C794" s="54" t="str">
        <f aca="false">IF(B794="","",IFERROR(INDEX('Kitting Plan'!$D$5:$D$18,MATCH(B794,'Kitting Plan'!$C$5:$C$18,0)),"Unknown code"))</f>
        <v/>
      </c>
      <c r="D794" s="54" t="str">
        <f aca="false">IF(B794="","",IFERROR(INDEX('Kitting Plan'!$B$5:$B$18,MATCH(B794,'Kitting Plan'!$C$5:$C$18,0)),""))</f>
        <v/>
      </c>
      <c r="E794" s="45"/>
      <c r="F794" s="55" t="str">
        <f aca="false">IF(B794="","",IFERROR(INDEX('Kitting Plan'!$H$5:$H$18,MATCH(B794,'Kitting Plan'!$C$5:$C$18,0)),""))</f>
        <v/>
      </c>
      <c r="G794" s="45"/>
      <c r="H794" s="56" t="str">
        <f aca="false">IF(B794="","",IF(G794="",F794,G794))</f>
        <v/>
      </c>
      <c r="I794" s="45"/>
      <c r="J794" s="57"/>
      <c r="K794" s="46"/>
      <c r="L794" s="54" t="str">
        <f aca="false">IF(A794="","",IF(B794="","Missing code",IF(C794="Unknown code","Unknown code",IF(COUNTIF($A$6:$A$1005,A794)&gt;1,"Duplicate WO",""))))</f>
        <v/>
      </c>
    </row>
    <row r="795" customFormat="false" ht="15" hidden="false" customHeight="false" outlineLevel="0" collapsed="false">
      <c r="A795" s="46"/>
      <c r="B795" s="46"/>
      <c r="C795" s="54" t="str">
        <f aca="false">IF(B795="","",IFERROR(INDEX('Kitting Plan'!$D$5:$D$18,MATCH(B795,'Kitting Plan'!$C$5:$C$18,0)),"Unknown code"))</f>
        <v/>
      </c>
      <c r="D795" s="54" t="str">
        <f aca="false">IF(B795="","",IFERROR(INDEX('Kitting Plan'!$B$5:$B$18,MATCH(B795,'Kitting Plan'!$C$5:$C$18,0)),""))</f>
        <v/>
      </c>
      <c r="E795" s="45"/>
      <c r="F795" s="55" t="str">
        <f aca="false">IF(B795="","",IFERROR(INDEX('Kitting Plan'!$H$5:$H$18,MATCH(B795,'Kitting Plan'!$C$5:$C$18,0)),""))</f>
        <v/>
      </c>
      <c r="G795" s="45"/>
      <c r="H795" s="56" t="str">
        <f aca="false">IF(B795="","",IF(G795="",F795,G795))</f>
        <v/>
      </c>
      <c r="I795" s="45"/>
      <c r="J795" s="57"/>
      <c r="K795" s="46"/>
      <c r="L795" s="54" t="str">
        <f aca="false">IF(A795="","",IF(B795="","Missing code",IF(C795="Unknown code","Unknown code",IF(COUNTIF($A$6:$A$1005,A795)&gt;1,"Duplicate WO",""))))</f>
        <v/>
      </c>
    </row>
    <row r="796" customFormat="false" ht="15" hidden="false" customHeight="false" outlineLevel="0" collapsed="false">
      <c r="A796" s="46"/>
      <c r="B796" s="46"/>
      <c r="C796" s="54" t="str">
        <f aca="false">IF(B796="","",IFERROR(INDEX('Kitting Plan'!$D$5:$D$18,MATCH(B796,'Kitting Plan'!$C$5:$C$18,0)),"Unknown code"))</f>
        <v/>
      </c>
      <c r="D796" s="54" t="str">
        <f aca="false">IF(B796="","",IFERROR(INDEX('Kitting Plan'!$B$5:$B$18,MATCH(B796,'Kitting Plan'!$C$5:$C$18,0)),""))</f>
        <v/>
      </c>
      <c r="E796" s="45"/>
      <c r="F796" s="55" t="str">
        <f aca="false">IF(B796="","",IFERROR(INDEX('Kitting Plan'!$H$5:$H$18,MATCH(B796,'Kitting Plan'!$C$5:$C$18,0)),""))</f>
        <v/>
      </c>
      <c r="G796" s="45"/>
      <c r="H796" s="56" t="str">
        <f aca="false">IF(B796="","",IF(G796="",F796,G796))</f>
        <v/>
      </c>
      <c r="I796" s="45"/>
      <c r="J796" s="57"/>
      <c r="K796" s="46"/>
      <c r="L796" s="54" t="str">
        <f aca="false">IF(A796="","",IF(B796="","Missing code",IF(C796="Unknown code","Unknown code",IF(COUNTIF($A$6:$A$1005,A796)&gt;1,"Duplicate WO",""))))</f>
        <v/>
      </c>
    </row>
    <row r="797" customFormat="false" ht="15" hidden="false" customHeight="false" outlineLevel="0" collapsed="false">
      <c r="A797" s="46"/>
      <c r="B797" s="46"/>
      <c r="C797" s="54" t="str">
        <f aca="false">IF(B797="","",IFERROR(INDEX('Kitting Plan'!$D$5:$D$18,MATCH(B797,'Kitting Plan'!$C$5:$C$18,0)),"Unknown code"))</f>
        <v/>
      </c>
      <c r="D797" s="54" t="str">
        <f aca="false">IF(B797="","",IFERROR(INDEX('Kitting Plan'!$B$5:$B$18,MATCH(B797,'Kitting Plan'!$C$5:$C$18,0)),""))</f>
        <v/>
      </c>
      <c r="E797" s="45"/>
      <c r="F797" s="55" t="str">
        <f aca="false">IF(B797="","",IFERROR(INDEX('Kitting Plan'!$H$5:$H$18,MATCH(B797,'Kitting Plan'!$C$5:$C$18,0)),""))</f>
        <v/>
      </c>
      <c r="G797" s="45"/>
      <c r="H797" s="56" t="str">
        <f aca="false">IF(B797="","",IF(G797="",F797,G797))</f>
        <v/>
      </c>
      <c r="I797" s="45"/>
      <c r="J797" s="57"/>
      <c r="K797" s="46"/>
      <c r="L797" s="54" t="str">
        <f aca="false">IF(A797="","",IF(B797="","Missing code",IF(C797="Unknown code","Unknown code",IF(COUNTIF($A$6:$A$1005,A797)&gt;1,"Duplicate WO",""))))</f>
        <v/>
      </c>
    </row>
    <row r="798" customFormat="false" ht="15" hidden="false" customHeight="false" outlineLevel="0" collapsed="false">
      <c r="A798" s="46"/>
      <c r="B798" s="46"/>
      <c r="C798" s="54" t="str">
        <f aca="false">IF(B798="","",IFERROR(INDEX('Kitting Plan'!$D$5:$D$18,MATCH(B798,'Kitting Plan'!$C$5:$C$18,0)),"Unknown code"))</f>
        <v/>
      </c>
      <c r="D798" s="54" t="str">
        <f aca="false">IF(B798="","",IFERROR(INDEX('Kitting Plan'!$B$5:$B$18,MATCH(B798,'Kitting Plan'!$C$5:$C$18,0)),""))</f>
        <v/>
      </c>
      <c r="E798" s="45"/>
      <c r="F798" s="55" t="str">
        <f aca="false">IF(B798="","",IFERROR(INDEX('Kitting Plan'!$H$5:$H$18,MATCH(B798,'Kitting Plan'!$C$5:$C$18,0)),""))</f>
        <v/>
      </c>
      <c r="G798" s="45"/>
      <c r="H798" s="56" t="str">
        <f aca="false">IF(B798="","",IF(G798="",F798,G798))</f>
        <v/>
      </c>
      <c r="I798" s="45"/>
      <c r="J798" s="57"/>
      <c r="K798" s="46"/>
      <c r="L798" s="54" t="str">
        <f aca="false">IF(A798="","",IF(B798="","Missing code",IF(C798="Unknown code","Unknown code",IF(COUNTIF($A$6:$A$1005,A798)&gt;1,"Duplicate WO",""))))</f>
        <v/>
      </c>
    </row>
    <row r="799" customFormat="false" ht="15" hidden="false" customHeight="false" outlineLevel="0" collapsed="false">
      <c r="A799" s="46"/>
      <c r="B799" s="46"/>
      <c r="C799" s="54" t="str">
        <f aca="false">IF(B799="","",IFERROR(INDEX('Kitting Plan'!$D$5:$D$18,MATCH(B799,'Kitting Plan'!$C$5:$C$18,0)),"Unknown code"))</f>
        <v/>
      </c>
      <c r="D799" s="54" t="str">
        <f aca="false">IF(B799="","",IFERROR(INDEX('Kitting Plan'!$B$5:$B$18,MATCH(B799,'Kitting Plan'!$C$5:$C$18,0)),""))</f>
        <v/>
      </c>
      <c r="E799" s="45"/>
      <c r="F799" s="55" t="str">
        <f aca="false">IF(B799="","",IFERROR(INDEX('Kitting Plan'!$H$5:$H$18,MATCH(B799,'Kitting Plan'!$C$5:$C$18,0)),""))</f>
        <v/>
      </c>
      <c r="G799" s="45"/>
      <c r="H799" s="56" t="str">
        <f aca="false">IF(B799="","",IF(G799="",F799,G799))</f>
        <v/>
      </c>
      <c r="I799" s="45"/>
      <c r="J799" s="57"/>
      <c r="K799" s="46"/>
      <c r="L799" s="54" t="str">
        <f aca="false">IF(A799="","",IF(B799="","Missing code",IF(C799="Unknown code","Unknown code",IF(COUNTIF($A$6:$A$1005,A799)&gt;1,"Duplicate WO",""))))</f>
        <v/>
      </c>
    </row>
    <row r="800" customFormat="false" ht="15" hidden="false" customHeight="false" outlineLevel="0" collapsed="false">
      <c r="A800" s="46"/>
      <c r="B800" s="46"/>
      <c r="C800" s="54" t="str">
        <f aca="false">IF(B800="","",IFERROR(INDEX('Kitting Plan'!$D$5:$D$18,MATCH(B800,'Kitting Plan'!$C$5:$C$18,0)),"Unknown code"))</f>
        <v/>
      </c>
      <c r="D800" s="54" t="str">
        <f aca="false">IF(B800="","",IFERROR(INDEX('Kitting Plan'!$B$5:$B$18,MATCH(B800,'Kitting Plan'!$C$5:$C$18,0)),""))</f>
        <v/>
      </c>
      <c r="E800" s="45"/>
      <c r="F800" s="55" t="str">
        <f aca="false">IF(B800="","",IFERROR(INDEX('Kitting Plan'!$H$5:$H$18,MATCH(B800,'Kitting Plan'!$C$5:$C$18,0)),""))</f>
        <v/>
      </c>
      <c r="G800" s="45"/>
      <c r="H800" s="56" t="str">
        <f aca="false">IF(B800="","",IF(G800="",F800,G800))</f>
        <v/>
      </c>
      <c r="I800" s="45"/>
      <c r="J800" s="57"/>
      <c r="K800" s="46"/>
      <c r="L800" s="54" t="str">
        <f aca="false">IF(A800="","",IF(B800="","Missing code",IF(C800="Unknown code","Unknown code",IF(COUNTIF($A$6:$A$1005,A800)&gt;1,"Duplicate WO",""))))</f>
        <v/>
      </c>
    </row>
    <row r="801" customFormat="false" ht="15" hidden="false" customHeight="false" outlineLevel="0" collapsed="false">
      <c r="A801" s="46"/>
      <c r="B801" s="46"/>
      <c r="C801" s="54" t="str">
        <f aca="false">IF(B801="","",IFERROR(INDEX('Kitting Plan'!$D$5:$D$18,MATCH(B801,'Kitting Plan'!$C$5:$C$18,0)),"Unknown code"))</f>
        <v/>
      </c>
      <c r="D801" s="54" t="str">
        <f aca="false">IF(B801="","",IFERROR(INDEX('Kitting Plan'!$B$5:$B$18,MATCH(B801,'Kitting Plan'!$C$5:$C$18,0)),""))</f>
        <v/>
      </c>
      <c r="E801" s="45"/>
      <c r="F801" s="55" t="str">
        <f aca="false">IF(B801="","",IFERROR(INDEX('Kitting Plan'!$H$5:$H$18,MATCH(B801,'Kitting Plan'!$C$5:$C$18,0)),""))</f>
        <v/>
      </c>
      <c r="G801" s="45"/>
      <c r="H801" s="56" t="str">
        <f aca="false">IF(B801="","",IF(G801="",F801,G801))</f>
        <v/>
      </c>
      <c r="I801" s="45"/>
      <c r="J801" s="57"/>
      <c r="K801" s="46"/>
      <c r="L801" s="54" t="str">
        <f aca="false">IF(A801="","",IF(B801="","Missing code",IF(C801="Unknown code","Unknown code",IF(COUNTIF($A$6:$A$1005,A801)&gt;1,"Duplicate WO",""))))</f>
        <v/>
      </c>
    </row>
    <row r="802" customFormat="false" ht="15" hidden="false" customHeight="false" outlineLevel="0" collapsed="false">
      <c r="A802" s="46"/>
      <c r="B802" s="46"/>
      <c r="C802" s="54" t="str">
        <f aca="false">IF(B802="","",IFERROR(INDEX('Kitting Plan'!$D$5:$D$18,MATCH(B802,'Kitting Plan'!$C$5:$C$18,0)),"Unknown code"))</f>
        <v/>
      </c>
      <c r="D802" s="54" t="str">
        <f aca="false">IF(B802="","",IFERROR(INDEX('Kitting Plan'!$B$5:$B$18,MATCH(B802,'Kitting Plan'!$C$5:$C$18,0)),""))</f>
        <v/>
      </c>
      <c r="E802" s="45"/>
      <c r="F802" s="55" t="str">
        <f aca="false">IF(B802="","",IFERROR(INDEX('Kitting Plan'!$H$5:$H$18,MATCH(B802,'Kitting Plan'!$C$5:$C$18,0)),""))</f>
        <v/>
      </c>
      <c r="G802" s="45"/>
      <c r="H802" s="56" t="str">
        <f aca="false">IF(B802="","",IF(G802="",F802,G802))</f>
        <v/>
      </c>
      <c r="I802" s="45"/>
      <c r="J802" s="57"/>
      <c r="K802" s="46"/>
      <c r="L802" s="54" t="str">
        <f aca="false">IF(A802="","",IF(B802="","Missing code",IF(C802="Unknown code","Unknown code",IF(COUNTIF($A$6:$A$1005,A802)&gt;1,"Duplicate WO",""))))</f>
        <v/>
      </c>
    </row>
    <row r="803" customFormat="false" ht="15" hidden="false" customHeight="false" outlineLevel="0" collapsed="false">
      <c r="A803" s="46"/>
      <c r="B803" s="46"/>
      <c r="C803" s="54" t="str">
        <f aca="false">IF(B803="","",IFERROR(INDEX('Kitting Plan'!$D$5:$D$18,MATCH(B803,'Kitting Plan'!$C$5:$C$18,0)),"Unknown code"))</f>
        <v/>
      </c>
      <c r="D803" s="54" t="str">
        <f aca="false">IF(B803="","",IFERROR(INDEX('Kitting Plan'!$B$5:$B$18,MATCH(B803,'Kitting Plan'!$C$5:$C$18,0)),""))</f>
        <v/>
      </c>
      <c r="E803" s="45"/>
      <c r="F803" s="55" t="str">
        <f aca="false">IF(B803="","",IFERROR(INDEX('Kitting Plan'!$H$5:$H$18,MATCH(B803,'Kitting Plan'!$C$5:$C$18,0)),""))</f>
        <v/>
      </c>
      <c r="G803" s="45"/>
      <c r="H803" s="56" t="str">
        <f aca="false">IF(B803="","",IF(G803="",F803,G803))</f>
        <v/>
      </c>
      <c r="I803" s="45"/>
      <c r="J803" s="57"/>
      <c r="K803" s="46"/>
      <c r="L803" s="54" t="str">
        <f aca="false">IF(A803="","",IF(B803="","Missing code",IF(C803="Unknown code","Unknown code",IF(COUNTIF($A$6:$A$1005,A803)&gt;1,"Duplicate WO",""))))</f>
        <v/>
      </c>
    </row>
    <row r="804" customFormat="false" ht="15" hidden="false" customHeight="false" outlineLevel="0" collapsed="false">
      <c r="A804" s="46"/>
      <c r="B804" s="46"/>
      <c r="C804" s="54" t="str">
        <f aca="false">IF(B804="","",IFERROR(INDEX('Kitting Plan'!$D$5:$D$18,MATCH(B804,'Kitting Plan'!$C$5:$C$18,0)),"Unknown code"))</f>
        <v/>
      </c>
      <c r="D804" s="54" t="str">
        <f aca="false">IF(B804="","",IFERROR(INDEX('Kitting Plan'!$B$5:$B$18,MATCH(B804,'Kitting Plan'!$C$5:$C$18,0)),""))</f>
        <v/>
      </c>
      <c r="E804" s="45"/>
      <c r="F804" s="55" t="str">
        <f aca="false">IF(B804="","",IFERROR(INDEX('Kitting Plan'!$H$5:$H$18,MATCH(B804,'Kitting Plan'!$C$5:$C$18,0)),""))</f>
        <v/>
      </c>
      <c r="G804" s="45"/>
      <c r="H804" s="56" t="str">
        <f aca="false">IF(B804="","",IF(G804="",F804,G804))</f>
        <v/>
      </c>
      <c r="I804" s="45"/>
      <c r="J804" s="57"/>
      <c r="K804" s="46"/>
      <c r="L804" s="54" t="str">
        <f aca="false">IF(A804="","",IF(B804="","Missing code",IF(C804="Unknown code","Unknown code",IF(COUNTIF($A$6:$A$1005,A804)&gt;1,"Duplicate WO",""))))</f>
        <v/>
      </c>
    </row>
    <row r="805" customFormat="false" ht="15" hidden="false" customHeight="false" outlineLevel="0" collapsed="false">
      <c r="A805" s="46"/>
      <c r="B805" s="46"/>
      <c r="C805" s="54" t="str">
        <f aca="false">IF(B805="","",IFERROR(INDEX('Kitting Plan'!$D$5:$D$18,MATCH(B805,'Kitting Plan'!$C$5:$C$18,0)),"Unknown code"))</f>
        <v/>
      </c>
      <c r="D805" s="54" t="str">
        <f aca="false">IF(B805="","",IFERROR(INDEX('Kitting Plan'!$B$5:$B$18,MATCH(B805,'Kitting Plan'!$C$5:$C$18,0)),""))</f>
        <v/>
      </c>
      <c r="E805" s="45"/>
      <c r="F805" s="55" t="str">
        <f aca="false">IF(B805="","",IFERROR(INDEX('Kitting Plan'!$H$5:$H$18,MATCH(B805,'Kitting Plan'!$C$5:$C$18,0)),""))</f>
        <v/>
      </c>
      <c r="G805" s="45"/>
      <c r="H805" s="56" t="str">
        <f aca="false">IF(B805="","",IF(G805="",F805,G805))</f>
        <v/>
      </c>
      <c r="I805" s="45"/>
      <c r="J805" s="57"/>
      <c r="K805" s="46"/>
      <c r="L805" s="54" t="str">
        <f aca="false">IF(A805="","",IF(B805="","Missing code",IF(C805="Unknown code","Unknown code",IF(COUNTIF($A$6:$A$1005,A805)&gt;1,"Duplicate WO",""))))</f>
        <v/>
      </c>
    </row>
    <row r="806" customFormat="false" ht="15" hidden="false" customHeight="false" outlineLevel="0" collapsed="false">
      <c r="A806" s="46"/>
      <c r="B806" s="46"/>
      <c r="C806" s="54" t="str">
        <f aca="false">IF(B806="","",IFERROR(INDEX('Kitting Plan'!$D$5:$D$18,MATCH(B806,'Kitting Plan'!$C$5:$C$18,0)),"Unknown code"))</f>
        <v/>
      </c>
      <c r="D806" s="54" t="str">
        <f aca="false">IF(B806="","",IFERROR(INDEX('Kitting Plan'!$B$5:$B$18,MATCH(B806,'Kitting Plan'!$C$5:$C$18,0)),""))</f>
        <v/>
      </c>
      <c r="E806" s="45"/>
      <c r="F806" s="55" t="str">
        <f aca="false">IF(B806="","",IFERROR(INDEX('Kitting Plan'!$H$5:$H$18,MATCH(B806,'Kitting Plan'!$C$5:$C$18,0)),""))</f>
        <v/>
      </c>
      <c r="G806" s="45"/>
      <c r="H806" s="56" t="str">
        <f aca="false">IF(B806="","",IF(G806="",F806,G806))</f>
        <v/>
      </c>
      <c r="I806" s="45"/>
      <c r="J806" s="57"/>
      <c r="K806" s="46"/>
      <c r="L806" s="54" t="str">
        <f aca="false">IF(A806="","",IF(B806="","Missing code",IF(C806="Unknown code","Unknown code",IF(COUNTIF($A$6:$A$1005,A806)&gt;1,"Duplicate WO",""))))</f>
        <v/>
      </c>
    </row>
    <row r="807" customFormat="false" ht="15" hidden="false" customHeight="false" outlineLevel="0" collapsed="false">
      <c r="A807" s="46"/>
      <c r="B807" s="46"/>
      <c r="C807" s="54" t="str">
        <f aca="false">IF(B807="","",IFERROR(INDEX('Kitting Plan'!$D$5:$D$18,MATCH(B807,'Kitting Plan'!$C$5:$C$18,0)),"Unknown code"))</f>
        <v/>
      </c>
      <c r="D807" s="54" t="str">
        <f aca="false">IF(B807="","",IFERROR(INDEX('Kitting Plan'!$B$5:$B$18,MATCH(B807,'Kitting Plan'!$C$5:$C$18,0)),""))</f>
        <v/>
      </c>
      <c r="E807" s="45"/>
      <c r="F807" s="55" t="str">
        <f aca="false">IF(B807="","",IFERROR(INDEX('Kitting Plan'!$H$5:$H$18,MATCH(B807,'Kitting Plan'!$C$5:$C$18,0)),""))</f>
        <v/>
      </c>
      <c r="G807" s="45"/>
      <c r="H807" s="56" t="str">
        <f aca="false">IF(B807="","",IF(G807="",F807,G807))</f>
        <v/>
      </c>
      <c r="I807" s="45"/>
      <c r="J807" s="57"/>
      <c r="K807" s="46"/>
      <c r="L807" s="54" t="str">
        <f aca="false">IF(A807="","",IF(B807="","Missing code",IF(C807="Unknown code","Unknown code",IF(COUNTIF($A$6:$A$1005,A807)&gt;1,"Duplicate WO",""))))</f>
        <v/>
      </c>
    </row>
    <row r="808" customFormat="false" ht="15" hidden="false" customHeight="false" outlineLevel="0" collapsed="false">
      <c r="A808" s="46"/>
      <c r="B808" s="46"/>
      <c r="C808" s="54" t="str">
        <f aca="false">IF(B808="","",IFERROR(INDEX('Kitting Plan'!$D$5:$D$18,MATCH(B808,'Kitting Plan'!$C$5:$C$18,0)),"Unknown code"))</f>
        <v/>
      </c>
      <c r="D808" s="54" t="str">
        <f aca="false">IF(B808="","",IFERROR(INDEX('Kitting Plan'!$B$5:$B$18,MATCH(B808,'Kitting Plan'!$C$5:$C$18,0)),""))</f>
        <v/>
      </c>
      <c r="E808" s="45"/>
      <c r="F808" s="55" t="str">
        <f aca="false">IF(B808="","",IFERROR(INDEX('Kitting Plan'!$H$5:$H$18,MATCH(B808,'Kitting Plan'!$C$5:$C$18,0)),""))</f>
        <v/>
      </c>
      <c r="G808" s="45"/>
      <c r="H808" s="56" t="str">
        <f aca="false">IF(B808="","",IF(G808="",F808,G808))</f>
        <v/>
      </c>
      <c r="I808" s="45"/>
      <c r="J808" s="57"/>
      <c r="K808" s="46"/>
      <c r="L808" s="54" t="str">
        <f aca="false">IF(A808="","",IF(B808="","Missing code",IF(C808="Unknown code","Unknown code",IF(COUNTIF($A$6:$A$1005,A808)&gt;1,"Duplicate WO",""))))</f>
        <v/>
      </c>
    </row>
    <row r="809" customFormat="false" ht="15" hidden="false" customHeight="false" outlineLevel="0" collapsed="false">
      <c r="A809" s="46"/>
      <c r="B809" s="46"/>
      <c r="C809" s="54" t="str">
        <f aca="false">IF(B809="","",IFERROR(INDEX('Kitting Plan'!$D$5:$D$18,MATCH(B809,'Kitting Plan'!$C$5:$C$18,0)),"Unknown code"))</f>
        <v/>
      </c>
      <c r="D809" s="54" t="str">
        <f aca="false">IF(B809="","",IFERROR(INDEX('Kitting Plan'!$B$5:$B$18,MATCH(B809,'Kitting Plan'!$C$5:$C$18,0)),""))</f>
        <v/>
      </c>
      <c r="E809" s="45"/>
      <c r="F809" s="55" t="str">
        <f aca="false">IF(B809="","",IFERROR(INDEX('Kitting Plan'!$H$5:$H$18,MATCH(B809,'Kitting Plan'!$C$5:$C$18,0)),""))</f>
        <v/>
      </c>
      <c r="G809" s="45"/>
      <c r="H809" s="56" t="str">
        <f aca="false">IF(B809="","",IF(G809="",F809,G809))</f>
        <v/>
      </c>
      <c r="I809" s="45"/>
      <c r="J809" s="57"/>
      <c r="K809" s="46"/>
      <c r="L809" s="54" t="str">
        <f aca="false">IF(A809="","",IF(B809="","Missing code",IF(C809="Unknown code","Unknown code",IF(COUNTIF($A$6:$A$1005,A809)&gt;1,"Duplicate WO",""))))</f>
        <v/>
      </c>
    </row>
    <row r="810" customFormat="false" ht="15" hidden="false" customHeight="false" outlineLevel="0" collapsed="false">
      <c r="A810" s="46"/>
      <c r="B810" s="46"/>
      <c r="C810" s="54" t="str">
        <f aca="false">IF(B810="","",IFERROR(INDEX('Kitting Plan'!$D$5:$D$18,MATCH(B810,'Kitting Plan'!$C$5:$C$18,0)),"Unknown code"))</f>
        <v/>
      </c>
      <c r="D810" s="54" t="str">
        <f aca="false">IF(B810="","",IFERROR(INDEX('Kitting Plan'!$B$5:$B$18,MATCH(B810,'Kitting Plan'!$C$5:$C$18,0)),""))</f>
        <v/>
      </c>
      <c r="E810" s="45"/>
      <c r="F810" s="55" t="str">
        <f aca="false">IF(B810="","",IFERROR(INDEX('Kitting Plan'!$H$5:$H$18,MATCH(B810,'Kitting Plan'!$C$5:$C$18,0)),""))</f>
        <v/>
      </c>
      <c r="G810" s="45"/>
      <c r="H810" s="56" t="str">
        <f aca="false">IF(B810="","",IF(G810="",F810,G810))</f>
        <v/>
      </c>
      <c r="I810" s="45"/>
      <c r="J810" s="57"/>
      <c r="K810" s="46"/>
      <c r="L810" s="54" t="str">
        <f aca="false">IF(A810="","",IF(B810="","Missing code",IF(C810="Unknown code","Unknown code",IF(COUNTIF($A$6:$A$1005,A810)&gt;1,"Duplicate WO",""))))</f>
        <v/>
      </c>
    </row>
    <row r="811" customFormat="false" ht="15" hidden="false" customHeight="false" outlineLevel="0" collapsed="false">
      <c r="A811" s="46"/>
      <c r="B811" s="46"/>
      <c r="C811" s="54" t="str">
        <f aca="false">IF(B811="","",IFERROR(INDEX('Kitting Plan'!$D$5:$D$18,MATCH(B811,'Kitting Plan'!$C$5:$C$18,0)),"Unknown code"))</f>
        <v/>
      </c>
      <c r="D811" s="54" t="str">
        <f aca="false">IF(B811="","",IFERROR(INDEX('Kitting Plan'!$B$5:$B$18,MATCH(B811,'Kitting Plan'!$C$5:$C$18,0)),""))</f>
        <v/>
      </c>
      <c r="E811" s="45"/>
      <c r="F811" s="55" t="str">
        <f aca="false">IF(B811="","",IFERROR(INDEX('Kitting Plan'!$H$5:$H$18,MATCH(B811,'Kitting Plan'!$C$5:$C$18,0)),""))</f>
        <v/>
      </c>
      <c r="G811" s="45"/>
      <c r="H811" s="56" t="str">
        <f aca="false">IF(B811="","",IF(G811="",F811,G811))</f>
        <v/>
      </c>
      <c r="I811" s="45"/>
      <c r="J811" s="57"/>
      <c r="K811" s="46"/>
      <c r="L811" s="54" t="str">
        <f aca="false">IF(A811="","",IF(B811="","Missing code",IF(C811="Unknown code","Unknown code",IF(COUNTIF($A$6:$A$1005,A811)&gt;1,"Duplicate WO",""))))</f>
        <v/>
      </c>
    </row>
    <row r="812" customFormat="false" ht="15" hidden="false" customHeight="false" outlineLevel="0" collapsed="false">
      <c r="A812" s="46"/>
      <c r="B812" s="46"/>
      <c r="C812" s="54" t="str">
        <f aca="false">IF(B812="","",IFERROR(INDEX('Kitting Plan'!$D$5:$D$18,MATCH(B812,'Kitting Plan'!$C$5:$C$18,0)),"Unknown code"))</f>
        <v/>
      </c>
      <c r="D812" s="54" t="str">
        <f aca="false">IF(B812="","",IFERROR(INDEX('Kitting Plan'!$B$5:$B$18,MATCH(B812,'Kitting Plan'!$C$5:$C$18,0)),""))</f>
        <v/>
      </c>
      <c r="E812" s="45"/>
      <c r="F812" s="55" t="str">
        <f aca="false">IF(B812="","",IFERROR(INDEX('Kitting Plan'!$H$5:$H$18,MATCH(B812,'Kitting Plan'!$C$5:$C$18,0)),""))</f>
        <v/>
      </c>
      <c r="G812" s="45"/>
      <c r="H812" s="56" t="str">
        <f aca="false">IF(B812="","",IF(G812="",F812,G812))</f>
        <v/>
      </c>
      <c r="I812" s="45"/>
      <c r="J812" s="57"/>
      <c r="K812" s="46"/>
      <c r="L812" s="54" t="str">
        <f aca="false">IF(A812="","",IF(B812="","Missing code",IF(C812="Unknown code","Unknown code",IF(COUNTIF($A$6:$A$1005,A812)&gt;1,"Duplicate WO",""))))</f>
        <v/>
      </c>
    </row>
    <row r="813" customFormat="false" ht="15" hidden="false" customHeight="false" outlineLevel="0" collapsed="false">
      <c r="A813" s="46"/>
      <c r="B813" s="46"/>
      <c r="C813" s="54" t="str">
        <f aca="false">IF(B813="","",IFERROR(INDEX('Kitting Plan'!$D$5:$D$18,MATCH(B813,'Kitting Plan'!$C$5:$C$18,0)),"Unknown code"))</f>
        <v/>
      </c>
      <c r="D813" s="54" t="str">
        <f aca="false">IF(B813="","",IFERROR(INDEX('Kitting Plan'!$B$5:$B$18,MATCH(B813,'Kitting Plan'!$C$5:$C$18,0)),""))</f>
        <v/>
      </c>
      <c r="E813" s="45"/>
      <c r="F813" s="55" t="str">
        <f aca="false">IF(B813="","",IFERROR(INDEX('Kitting Plan'!$H$5:$H$18,MATCH(B813,'Kitting Plan'!$C$5:$C$18,0)),""))</f>
        <v/>
      </c>
      <c r="G813" s="45"/>
      <c r="H813" s="56" t="str">
        <f aca="false">IF(B813="","",IF(G813="",F813,G813))</f>
        <v/>
      </c>
      <c r="I813" s="45"/>
      <c r="J813" s="57"/>
      <c r="K813" s="46"/>
      <c r="L813" s="54" t="str">
        <f aca="false">IF(A813="","",IF(B813="","Missing code",IF(C813="Unknown code","Unknown code",IF(COUNTIF($A$6:$A$1005,A813)&gt;1,"Duplicate WO",""))))</f>
        <v/>
      </c>
    </row>
    <row r="814" customFormat="false" ht="15" hidden="false" customHeight="false" outlineLevel="0" collapsed="false">
      <c r="A814" s="46"/>
      <c r="B814" s="46"/>
      <c r="C814" s="54" t="str">
        <f aca="false">IF(B814="","",IFERROR(INDEX('Kitting Plan'!$D$5:$D$18,MATCH(B814,'Kitting Plan'!$C$5:$C$18,0)),"Unknown code"))</f>
        <v/>
      </c>
      <c r="D814" s="54" t="str">
        <f aca="false">IF(B814="","",IFERROR(INDEX('Kitting Plan'!$B$5:$B$18,MATCH(B814,'Kitting Plan'!$C$5:$C$18,0)),""))</f>
        <v/>
      </c>
      <c r="E814" s="45"/>
      <c r="F814" s="55" t="str">
        <f aca="false">IF(B814="","",IFERROR(INDEX('Kitting Plan'!$H$5:$H$18,MATCH(B814,'Kitting Plan'!$C$5:$C$18,0)),""))</f>
        <v/>
      </c>
      <c r="G814" s="45"/>
      <c r="H814" s="56" t="str">
        <f aca="false">IF(B814="","",IF(G814="",F814,G814))</f>
        <v/>
      </c>
      <c r="I814" s="45"/>
      <c r="J814" s="57"/>
      <c r="K814" s="46"/>
      <c r="L814" s="54" t="str">
        <f aca="false">IF(A814="","",IF(B814="","Missing code",IF(C814="Unknown code","Unknown code",IF(COUNTIF($A$6:$A$1005,A814)&gt;1,"Duplicate WO",""))))</f>
        <v/>
      </c>
    </row>
    <row r="815" customFormat="false" ht="15" hidden="false" customHeight="false" outlineLevel="0" collapsed="false">
      <c r="A815" s="46"/>
      <c r="B815" s="46"/>
      <c r="C815" s="54" t="str">
        <f aca="false">IF(B815="","",IFERROR(INDEX('Kitting Plan'!$D$5:$D$18,MATCH(B815,'Kitting Plan'!$C$5:$C$18,0)),"Unknown code"))</f>
        <v/>
      </c>
      <c r="D815" s="54" t="str">
        <f aca="false">IF(B815="","",IFERROR(INDEX('Kitting Plan'!$B$5:$B$18,MATCH(B815,'Kitting Plan'!$C$5:$C$18,0)),""))</f>
        <v/>
      </c>
      <c r="E815" s="45"/>
      <c r="F815" s="55" t="str">
        <f aca="false">IF(B815="","",IFERROR(INDEX('Kitting Plan'!$H$5:$H$18,MATCH(B815,'Kitting Plan'!$C$5:$C$18,0)),""))</f>
        <v/>
      </c>
      <c r="G815" s="45"/>
      <c r="H815" s="56" t="str">
        <f aca="false">IF(B815="","",IF(G815="",F815,G815))</f>
        <v/>
      </c>
      <c r="I815" s="45"/>
      <c r="J815" s="57"/>
      <c r="K815" s="46"/>
      <c r="L815" s="54" t="str">
        <f aca="false">IF(A815="","",IF(B815="","Missing code",IF(C815="Unknown code","Unknown code",IF(COUNTIF($A$6:$A$1005,A815)&gt;1,"Duplicate WO",""))))</f>
        <v/>
      </c>
    </row>
    <row r="816" customFormat="false" ht="15" hidden="false" customHeight="false" outlineLevel="0" collapsed="false">
      <c r="A816" s="46"/>
      <c r="B816" s="46"/>
      <c r="C816" s="54" t="str">
        <f aca="false">IF(B816="","",IFERROR(INDEX('Kitting Plan'!$D$5:$D$18,MATCH(B816,'Kitting Plan'!$C$5:$C$18,0)),"Unknown code"))</f>
        <v/>
      </c>
      <c r="D816" s="54" t="str">
        <f aca="false">IF(B816="","",IFERROR(INDEX('Kitting Plan'!$B$5:$B$18,MATCH(B816,'Kitting Plan'!$C$5:$C$18,0)),""))</f>
        <v/>
      </c>
      <c r="E816" s="45"/>
      <c r="F816" s="55" t="str">
        <f aca="false">IF(B816="","",IFERROR(INDEX('Kitting Plan'!$H$5:$H$18,MATCH(B816,'Kitting Plan'!$C$5:$C$18,0)),""))</f>
        <v/>
      </c>
      <c r="G816" s="45"/>
      <c r="H816" s="56" t="str">
        <f aca="false">IF(B816="","",IF(G816="",F816,G816))</f>
        <v/>
      </c>
      <c r="I816" s="45"/>
      <c r="J816" s="57"/>
      <c r="K816" s="46"/>
      <c r="L816" s="54" t="str">
        <f aca="false">IF(A816="","",IF(B816="","Missing code",IF(C816="Unknown code","Unknown code",IF(COUNTIF($A$6:$A$1005,A816)&gt;1,"Duplicate WO",""))))</f>
        <v/>
      </c>
    </row>
    <row r="817" customFormat="false" ht="15" hidden="false" customHeight="false" outlineLevel="0" collapsed="false">
      <c r="A817" s="46"/>
      <c r="B817" s="46"/>
      <c r="C817" s="54" t="str">
        <f aca="false">IF(B817="","",IFERROR(INDEX('Kitting Plan'!$D$5:$D$18,MATCH(B817,'Kitting Plan'!$C$5:$C$18,0)),"Unknown code"))</f>
        <v/>
      </c>
      <c r="D817" s="54" t="str">
        <f aca="false">IF(B817="","",IFERROR(INDEX('Kitting Plan'!$B$5:$B$18,MATCH(B817,'Kitting Plan'!$C$5:$C$18,0)),""))</f>
        <v/>
      </c>
      <c r="E817" s="45"/>
      <c r="F817" s="55" t="str">
        <f aca="false">IF(B817="","",IFERROR(INDEX('Kitting Plan'!$H$5:$H$18,MATCH(B817,'Kitting Plan'!$C$5:$C$18,0)),""))</f>
        <v/>
      </c>
      <c r="G817" s="45"/>
      <c r="H817" s="56" t="str">
        <f aca="false">IF(B817="","",IF(G817="",F817,G817))</f>
        <v/>
      </c>
      <c r="I817" s="45"/>
      <c r="J817" s="57"/>
      <c r="K817" s="46"/>
      <c r="L817" s="54" t="str">
        <f aca="false">IF(A817="","",IF(B817="","Missing code",IF(C817="Unknown code","Unknown code",IF(COUNTIF($A$6:$A$1005,A817)&gt;1,"Duplicate WO",""))))</f>
        <v/>
      </c>
    </row>
    <row r="818" customFormat="false" ht="15" hidden="false" customHeight="false" outlineLevel="0" collapsed="false">
      <c r="A818" s="46"/>
      <c r="B818" s="46"/>
      <c r="C818" s="54" t="str">
        <f aca="false">IF(B818="","",IFERROR(INDEX('Kitting Plan'!$D$5:$D$18,MATCH(B818,'Kitting Plan'!$C$5:$C$18,0)),"Unknown code"))</f>
        <v/>
      </c>
      <c r="D818" s="54" t="str">
        <f aca="false">IF(B818="","",IFERROR(INDEX('Kitting Plan'!$B$5:$B$18,MATCH(B818,'Kitting Plan'!$C$5:$C$18,0)),""))</f>
        <v/>
      </c>
      <c r="E818" s="45"/>
      <c r="F818" s="55" t="str">
        <f aca="false">IF(B818="","",IFERROR(INDEX('Kitting Plan'!$H$5:$H$18,MATCH(B818,'Kitting Plan'!$C$5:$C$18,0)),""))</f>
        <v/>
      </c>
      <c r="G818" s="45"/>
      <c r="H818" s="56" t="str">
        <f aca="false">IF(B818="","",IF(G818="",F818,G818))</f>
        <v/>
      </c>
      <c r="I818" s="45"/>
      <c r="J818" s="57"/>
      <c r="K818" s="46"/>
      <c r="L818" s="54" t="str">
        <f aca="false">IF(A818="","",IF(B818="","Missing code",IF(C818="Unknown code","Unknown code",IF(COUNTIF($A$6:$A$1005,A818)&gt;1,"Duplicate WO",""))))</f>
        <v/>
      </c>
    </row>
    <row r="819" customFormat="false" ht="15" hidden="false" customHeight="false" outlineLevel="0" collapsed="false">
      <c r="A819" s="46"/>
      <c r="B819" s="46"/>
      <c r="C819" s="54" t="str">
        <f aca="false">IF(B819="","",IFERROR(INDEX('Kitting Plan'!$D$5:$D$18,MATCH(B819,'Kitting Plan'!$C$5:$C$18,0)),"Unknown code"))</f>
        <v/>
      </c>
      <c r="D819" s="54" t="str">
        <f aca="false">IF(B819="","",IFERROR(INDEX('Kitting Plan'!$B$5:$B$18,MATCH(B819,'Kitting Plan'!$C$5:$C$18,0)),""))</f>
        <v/>
      </c>
      <c r="E819" s="45"/>
      <c r="F819" s="55" t="str">
        <f aca="false">IF(B819="","",IFERROR(INDEX('Kitting Plan'!$H$5:$H$18,MATCH(B819,'Kitting Plan'!$C$5:$C$18,0)),""))</f>
        <v/>
      </c>
      <c r="G819" s="45"/>
      <c r="H819" s="56" t="str">
        <f aca="false">IF(B819="","",IF(G819="",F819,G819))</f>
        <v/>
      </c>
      <c r="I819" s="45"/>
      <c r="J819" s="57"/>
      <c r="K819" s="46"/>
      <c r="L819" s="54" t="str">
        <f aca="false">IF(A819="","",IF(B819="","Missing code",IF(C819="Unknown code","Unknown code",IF(COUNTIF($A$6:$A$1005,A819)&gt;1,"Duplicate WO",""))))</f>
        <v/>
      </c>
    </row>
    <row r="820" customFormat="false" ht="15" hidden="false" customHeight="false" outlineLevel="0" collapsed="false">
      <c r="A820" s="46"/>
      <c r="B820" s="46"/>
      <c r="C820" s="54" t="str">
        <f aca="false">IF(B820="","",IFERROR(INDEX('Kitting Plan'!$D$5:$D$18,MATCH(B820,'Kitting Plan'!$C$5:$C$18,0)),"Unknown code"))</f>
        <v/>
      </c>
      <c r="D820" s="54" t="str">
        <f aca="false">IF(B820="","",IFERROR(INDEX('Kitting Plan'!$B$5:$B$18,MATCH(B820,'Kitting Plan'!$C$5:$C$18,0)),""))</f>
        <v/>
      </c>
      <c r="E820" s="45"/>
      <c r="F820" s="55" t="str">
        <f aca="false">IF(B820="","",IFERROR(INDEX('Kitting Plan'!$H$5:$H$18,MATCH(B820,'Kitting Plan'!$C$5:$C$18,0)),""))</f>
        <v/>
      </c>
      <c r="G820" s="45"/>
      <c r="H820" s="56" t="str">
        <f aca="false">IF(B820="","",IF(G820="",F820,G820))</f>
        <v/>
      </c>
      <c r="I820" s="45"/>
      <c r="J820" s="57"/>
      <c r="K820" s="46"/>
      <c r="L820" s="54" t="str">
        <f aca="false">IF(A820="","",IF(B820="","Missing code",IF(C820="Unknown code","Unknown code",IF(COUNTIF($A$6:$A$1005,A820)&gt;1,"Duplicate WO",""))))</f>
        <v/>
      </c>
    </row>
    <row r="821" customFormat="false" ht="15" hidden="false" customHeight="false" outlineLevel="0" collapsed="false">
      <c r="A821" s="46"/>
      <c r="B821" s="46"/>
      <c r="C821" s="54" t="str">
        <f aca="false">IF(B821="","",IFERROR(INDEX('Kitting Plan'!$D$5:$D$18,MATCH(B821,'Kitting Plan'!$C$5:$C$18,0)),"Unknown code"))</f>
        <v/>
      </c>
      <c r="D821" s="54" t="str">
        <f aca="false">IF(B821="","",IFERROR(INDEX('Kitting Plan'!$B$5:$B$18,MATCH(B821,'Kitting Plan'!$C$5:$C$18,0)),""))</f>
        <v/>
      </c>
      <c r="E821" s="45"/>
      <c r="F821" s="55" t="str">
        <f aca="false">IF(B821="","",IFERROR(INDEX('Kitting Plan'!$H$5:$H$18,MATCH(B821,'Kitting Plan'!$C$5:$C$18,0)),""))</f>
        <v/>
      </c>
      <c r="G821" s="45"/>
      <c r="H821" s="56" t="str">
        <f aca="false">IF(B821="","",IF(G821="",F821,G821))</f>
        <v/>
      </c>
      <c r="I821" s="45"/>
      <c r="J821" s="57"/>
      <c r="K821" s="46"/>
      <c r="L821" s="54" t="str">
        <f aca="false">IF(A821="","",IF(B821="","Missing code",IF(C821="Unknown code","Unknown code",IF(COUNTIF($A$6:$A$1005,A821)&gt;1,"Duplicate WO",""))))</f>
        <v/>
      </c>
    </row>
    <row r="822" customFormat="false" ht="15" hidden="false" customHeight="false" outlineLevel="0" collapsed="false">
      <c r="A822" s="46"/>
      <c r="B822" s="46"/>
      <c r="C822" s="54" t="str">
        <f aca="false">IF(B822="","",IFERROR(INDEX('Kitting Plan'!$D$5:$D$18,MATCH(B822,'Kitting Plan'!$C$5:$C$18,0)),"Unknown code"))</f>
        <v/>
      </c>
      <c r="D822" s="54" t="str">
        <f aca="false">IF(B822="","",IFERROR(INDEX('Kitting Plan'!$B$5:$B$18,MATCH(B822,'Kitting Plan'!$C$5:$C$18,0)),""))</f>
        <v/>
      </c>
      <c r="E822" s="45"/>
      <c r="F822" s="55" t="str">
        <f aca="false">IF(B822="","",IFERROR(INDEX('Kitting Plan'!$H$5:$H$18,MATCH(B822,'Kitting Plan'!$C$5:$C$18,0)),""))</f>
        <v/>
      </c>
      <c r="G822" s="45"/>
      <c r="H822" s="56" t="str">
        <f aca="false">IF(B822="","",IF(G822="",F822,G822))</f>
        <v/>
      </c>
      <c r="I822" s="45"/>
      <c r="J822" s="57"/>
      <c r="K822" s="46"/>
      <c r="L822" s="54" t="str">
        <f aca="false">IF(A822="","",IF(B822="","Missing code",IF(C822="Unknown code","Unknown code",IF(COUNTIF($A$6:$A$1005,A822)&gt;1,"Duplicate WO",""))))</f>
        <v/>
      </c>
    </row>
    <row r="823" customFormat="false" ht="15" hidden="false" customHeight="false" outlineLevel="0" collapsed="false">
      <c r="A823" s="46"/>
      <c r="B823" s="46"/>
      <c r="C823" s="54" t="str">
        <f aca="false">IF(B823="","",IFERROR(INDEX('Kitting Plan'!$D$5:$D$18,MATCH(B823,'Kitting Plan'!$C$5:$C$18,0)),"Unknown code"))</f>
        <v/>
      </c>
      <c r="D823" s="54" t="str">
        <f aca="false">IF(B823="","",IFERROR(INDEX('Kitting Plan'!$B$5:$B$18,MATCH(B823,'Kitting Plan'!$C$5:$C$18,0)),""))</f>
        <v/>
      </c>
      <c r="E823" s="45"/>
      <c r="F823" s="55" t="str">
        <f aca="false">IF(B823="","",IFERROR(INDEX('Kitting Plan'!$H$5:$H$18,MATCH(B823,'Kitting Plan'!$C$5:$C$18,0)),""))</f>
        <v/>
      </c>
      <c r="G823" s="45"/>
      <c r="H823" s="56" t="str">
        <f aca="false">IF(B823="","",IF(G823="",F823,G823))</f>
        <v/>
      </c>
      <c r="I823" s="45"/>
      <c r="J823" s="57"/>
      <c r="K823" s="46"/>
      <c r="L823" s="54" t="str">
        <f aca="false">IF(A823="","",IF(B823="","Missing code",IF(C823="Unknown code","Unknown code",IF(COUNTIF($A$6:$A$1005,A823)&gt;1,"Duplicate WO",""))))</f>
        <v/>
      </c>
    </row>
    <row r="824" customFormat="false" ht="15" hidden="false" customHeight="false" outlineLevel="0" collapsed="false">
      <c r="A824" s="46"/>
      <c r="B824" s="46"/>
      <c r="C824" s="54" t="str">
        <f aca="false">IF(B824="","",IFERROR(INDEX('Kitting Plan'!$D$5:$D$18,MATCH(B824,'Kitting Plan'!$C$5:$C$18,0)),"Unknown code"))</f>
        <v/>
      </c>
      <c r="D824" s="54" t="str">
        <f aca="false">IF(B824="","",IFERROR(INDEX('Kitting Plan'!$B$5:$B$18,MATCH(B824,'Kitting Plan'!$C$5:$C$18,0)),""))</f>
        <v/>
      </c>
      <c r="E824" s="45"/>
      <c r="F824" s="55" t="str">
        <f aca="false">IF(B824="","",IFERROR(INDEX('Kitting Plan'!$H$5:$H$18,MATCH(B824,'Kitting Plan'!$C$5:$C$18,0)),""))</f>
        <v/>
      </c>
      <c r="G824" s="45"/>
      <c r="H824" s="56" t="str">
        <f aca="false">IF(B824="","",IF(G824="",F824,G824))</f>
        <v/>
      </c>
      <c r="I824" s="45"/>
      <c r="J824" s="57"/>
      <c r="K824" s="46"/>
      <c r="L824" s="54" t="str">
        <f aca="false">IF(A824="","",IF(B824="","Missing code",IF(C824="Unknown code","Unknown code",IF(COUNTIF($A$6:$A$1005,A824)&gt;1,"Duplicate WO",""))))</f>
        <v/>
      </c>
    </row>
    <row r="825" customFormat="false" ht="15" hidden="false" customHeight="false" outlineLevel="0" collapsed="false">
      <c r="A825" s="46"/>
      <c r="B825" s="46"/>
      <c r="C825" s="54" t="str">
        <f aca="false">IF(B825="","",IFERROR(INDEX('Kitting Plan'!$D$5:$D$18,MATCH(B825,'Kitting Plan'!$C$5:$C$18,0)),"Unknown code"))</f>
        <v/>
      </c>
      <c r="D825" s="54" t="str">
        <f aca="false">IF(B825="","",IFERROR(INDEX('Kitting Plan'!$B$5:$B$18,MATCH(B825,'Kitting Plan'!$C$5:$C$18,0)),""))</f>
        <v/>
      </c>
      <c r="E825" s="45"/>
      <c r="F825" s="55" t="str">
        <f aca="false">IF(B825="","",IFERROR(INDEX('Kitting Plan'!$H$5:$H$18,MATCH(B825,'Kitting Plan'!$C$5:$C$18,0)),""))</f>
        <v/>
      </c>
      <c r="G825" s="45"/>
      <c r="H825" s="56" t="str">
        <f aca="false">IF(B825="","",IF(G825="",F825,G825))</f>
        <v/>
      </c>
      <c r="I825" s="45"/>
      <c r="J825" s="57"/>
      <c r="K825" s="46"/>
      <c r="L825" s="54" t="str">
        <f aca="false">IF(A825="","",IF(B825="","Missing code",IF(C825="Unknown code","Unknown code",IF(COUNTIF($A$6:$A$1005,A825)&gt;1,"Duplicate WO",""))))</f>
        <v/>
      </c>
    </row>
    <row r="826" customFormat="false" ht="15" hidden="false" customHeight="false" outlineLevel="0" collapsed="false">
      <c r="A826" s="46"/>
      <c r="B826" s="46"/>
      <c r="C826" s="54" t="str">
        <f aca="false">IF(B826="","",IFERROR(INDEX('Kitting Plan'!$D$5:$D$18,MATCH(B826,'Kitting Plan'!$C$5:$C$18,0)),"Unknown code"))</f>
        <v/>
      </c>
      <c r="D826" s="54" t="str">
        <f aca="false">IF(B826="","",IFERROR(INDEX('Kitting Plan'!$B$5:$B$18,MATCH(B826,'Kitting Plan'!$C$5:$C$18,0)),""))</f>
        <v/>
      </c>
      <c r="E826" s="45"/>
      <c r="F826" s="55" t="str">
        <f aca="false">IF(B826="","",IFERROR(INDEX('Kitting Plan'!$H$5:$H$18,MATCH(B826,'Kitting Plan'!$C$5:$C$18,0)),""))</f>
        <v/>
      </c>
      <c r="G826" s="45"/>
      <c r="H826" s="56" t="str">
        <f aca="false">IF(B826="","",IF(G826="",F826,G826))</f>
        <v/>
      </c>
      <c r="I826" s="45"/>
      <c r="J826" s="57"/>
      <c r="K826" s="46"/>
      <c r="L826" s="54" t="str">
        <f aca="false">IF(A826="","",IF(B826="","Missing code",IF(C826="Unknown code","Unknown code",IF(COUNTIF($A$6:$A$1005,A826)&gt;1,"Duplicate WO",""))))</f>
        <v/>
      </c>
    </row>
    <row r="827" customFormat="false" ht="15" hidden="false" customHeight="false" outlineLevel="0" collapsed="false">
      <c r="A827" s="46"/>
      <c r="B827" s="46"/>
      <c r="C827" s="54" t="str">
        <f aca="false">IF(B827="","",IFERROR(INDEX('Kitting Plan'!$D$5:$D$18,MATCH(B827,'Kitting Plan'!$C$5:$C$18,0)),"Unknown code"))</f>
        <v/>
      </c>
      <c r="D827" s="54" t="str">
        <f aca="false">IF(B827="","",IFERROR(INDEX('Kitting Plan'!$B$5:$B$18,MATCH(B827,'Kitting Plan'!$C$5:$C$18,0)),""))</f>
        <v/>
      </c>
      <c r="E827" s="45"/>
      <c r="F827" s="55" t="str">
        <f aca="false">IF(B827="","",IFERROR(INDEX('Kitting Plan'!$H$5:$H$18,MATCH(B827,'Kitting Plan'!$C$5:$C$18,0)),""))</f>
        <v/>
      </c>
      <c r="G827" s="45"/>
      <c r="H827" s="56" t="str">
        <f aca="false">IF(B827="","",IF(G827="",F827,G827))</f>
        <v/>
      </c>
      <c r="I827" s="45"/>
      <c r="J827" s="57"/>
      <c r="K827" s="46"/>
      <c r="L827" s="54" t="str">
        <f aca="false">IF(A827="","",IF(B827="","Missing code",IF(C827="Unknown code","Unknown code",IF(COUNTIF($A$6:$A$1005,A827)&gt;1,"Duplicate WO",""))))</f>
        <v/>
      </c>
    </row>
    <row r="828" customFormat="false" ht="15" hidden="false" customHeight="false" outlineLevel="0" collapsed="false">
      <c r="A828" s="46"/>
      <c r="B828" s="46"/>
      <c r="C828" s="54" t="str">
        <f aca="false">IF(B828="","",IFERROR(INDEX('Kitting Plan'!$D$5:$D$18,MATCH(B828,'Kitting Plan'!$C$5:$C$18,0)),"Unknown code"))</f>
        <v/>
      </c>
      <c r="D828" s="54" t="str">
        <f aca="false">IF(B828="","",IFERROR(INDEX('Kitting Plan'!$B$5:$B$18,MATCH(B828,'Kitting Plan'!$C$5:$C$18,0)),""))</f>
        <v/>
      </c>
      <c r="E828" s="45"/>
      <c r="F828" s="55" t="str">
        <f aca="false">IF(B828="","",IFERROR(INDEX('Kitting Plan'!$H$5:$H$18,MATCH(B828,'Kitting Plan'!$C$5:$C$18,0)),""))</f>
        <v/>
      </c>
      <c r="G828" s="45"/>
      <c r="H828" s="56" t="str">
        <f aca="false">IF(B828="","",IF(G828="",F828,G828))</f>
        <v/>
      </c>
      <c r="I828" s="45"/>
      <c r="J828" s="57"/>
      <c r="K828" s="46"/>
      <c r="L828" s="54" t="str">
        <f aca="false">IF(A828="","",IF(B828="","Missing code",IF(C828="Unknown code","Unknown code",IF(COUNTIF($A$6:$A$1005,A828)&gt;1,"Duplicate WO",""))))</f>
        <v/>
      </c>
    </row>
    <row r="829" customFormat="false" ht="15" hidden="false" customHeight="false" outlineLevel="0" collapsed="false">
      <c r="A829" s="46"/>
      <c r="B829" s="46"/>
      <c r="C829" s="54" t="str">
        <f aca="false">IF(B829="","",IFERROR(INDEX('Kitting Plan'!$D$5:$D$18,MATCH(B829,'Kitting Plan'!$C$5:$C$18,0)),"Unknown code"))</f>
        <v/>
      </c>
      <c r="D829" s="54" t="str">
        <f aca="false">IF(B829="","",IFERROR(INDEX('Kitting Plan'!$B$5:$B$18,MATCH(B829,'Kitting Plan'!$C$5:$C$18,0)),""))</f>
        <v/>
      </c>
      <c r="E829" s="45"/>
      <c r="F829" s="55" t="str">
        <f aca="false">IF(B829="","",IFERROR(INDEX('Kitting Plan'!$H$5:$H$18,MATCH(B829,'Kitting Plan'!$C$5:$C$18,0)),""))</f>
        <v/>
      </c>
      <c r="G829" s="45"/>
      <c r="H829" s="56" t="str">
        <f aca="false">IF(B829="","",IF(G829="",F829,G829))</f>
        <v/>
      </c>
      <c r="I829" s="45"/>
      <c r="J829" s="57"/>
      <c r="K829" s="46"/>
      <c r="L829" s="54" t="str">
        <f aca="false">IF(A829="","",IF(B829="","Missing code",IF(C829="Unknown code","Unknown code",IF(COUNTIF($A$6:$A$1005,A829)&gt;1,"Duplicate WO",""))))</f>
        <v/>
      </c>
    </row>
    <row r="830" customFormat="false" ht="15" hidden="false" customHeight="false" outlineLevel="0" collapsed="false">
      <c r="A830" s="46"/>
      <c r="B830" s="46"/>
      <c r="C830" s="54" t="str">
        <f aca="false">IF(B830="","",IFERROR(INDEX('Kitting Plan'!$D$5:$D$18,MATCH(B830,'Kitting Plan'!$C$5:$C$18,0)),"Unknown code"))</f>
        <v/>
      </c>
      <c r="D830" s="54" t="str">
        <f aca="false">IF(B830="","",IFERROR(INDEX('Kitting Plan'!$B$5:$B$18,MATCH(B830,'Kitting Plan'!$C$5:$C$18,0)),""))</f>
        <v/>
      </c>
      <c r="E830" s="45"/>
      <c r="F830" s="55" t="str">
        <f aca="false">IF(B830="","",IFERROR(INDEX('Kitting Plan'!$H$5:$H$18,MATCH(B830,'Kitting Plan'!$C$5:$C$18,0)),""))</f>
        <v/>
      </c>
      <c r="G830" s="45"/>
      <c r="H830" s="56" t="str">
        <f aca="false">IF(B830="","",IF(G830="",F830,G830))</f>
        <v/>
      </c>
      <c r="I830" s="45"/>
      <c r="J830" s="57"/>
      <c r="K830" s="46"/>
      <c r="L830" s="54" t="str">
        <f aca="false">IF(A830="","",IF(B830="","Missing code",IF(C830="Unknown code","Unknown code",IF(COUNTIF($A$6:$A$1005,A830)&gt;1,"Duplicate WO",""))))</f>
        <v/>
      </c>
    </row>
    <row r="831" customFormat="false" ht="15" hidden="false" customHeight="false" outlineLevel="0" collapsed="false">
      <c r="A831" s="46"/>
      <c r="B831" s="46"/>
      <c r="C831" s="54" t="str">
        <f aca="false">IF(B831="","",IFERROR(INDEX('Kitting Plan'!$D$5:$D$18,MATCH(B831,'Kitting Plan'!$C$5:$C$18,0)),"Unknown code"))</f>
        <v/>
      </c>
      <c r="D831" s="54" t="str">
        <f aca="false">IF(B831="","",IFERROR(INDEX('Kitting Plan'!$B$5:$B$18,MATCH(B831,'Kitting Plan'!$C$5:$C$18,0)),""))</f>
        <v/>
      </c>
      <c r="E831" s="45"/>
      <c r="F831" s="55" t="str">
        <f aca="false">IF(B831="","",IFERROR(INDEX('Kitting Plan'!$H$5:$H$18,MATCH(B831,'Kitting Plan'!$C$5:$C$18,0)),""))</f>
        <v/>
      </c>
      <c r="G831" s="45"/>
      <c r="H831" s="56" t="str">
        <f aca="false">IF(B831="","",IF(G831="",F831,G831))</f>
        <v/>
      </c>
      <c r="I831" s="45"/>
      <c r="J831" s="57"/>
      <c r="K831" s="46"/>
      <c r="L831" s="54" t="str">
        <f aca="false">IF(A831="","",IF(B831="","Missing code",IF(C831="Unknown code","Unknown code",IF(COUNTIF($A$6:$A$1005,A831)&gt;1,"Duplicate WO",""))))</f>
        <v/>
      </c>
    </row>
    <row r="832" customFormat="false" ht="15" hidden="false" customHeight="false" outlineLevel="0" collapsed="false">
      <c r="A832" s="46"/>
      <c r="B832" s="46"/>
      <c r="C832" s="54" t="str">
        <f aca="false">IF(B832="","",IFERROR(INDEX('Kitting Plan'!$D$5:$D$18,MATCH(B832,'Kitting Plan'!$C$5:$C$18,0)),"Unknown code"))</f>
        <v/>
      </c>
      <c r="D832" s="54" t="str">
        <f aca="false">IF(B832="","",IFERROR(INDEX('Kitting Plan'!$B$5:$B$18,MATCH(B832,'Kitting Plan'!$C$5:$C$18,0)),""))</f>
        <v/>
      </c>
      <c r="E832" s="45"/>
      <c r="F832" s="55" t="str">
        <f aca="false">IF(B832="","",IFERROR(INDEX('Kitting Plan'!$H$5:$H$18,MATCH(B832,'Kitting Plan'!$C$5:$C$18,0)),""))</f>
        <v/>
      </c>
      <c r="G832" s="45"/>
      <c r="H832" s="56" t="str">
        <f aca="false">IF(B832="","",IF(G832="",F832,G832))</f>
        <v/>
      </c>
      <c r="I832" s="45"/>
      <c r="J832" s="57"/>
      <c r="K832" s="46"/>
      <c r="L832" s="54" t="str">
        <f aca="false">IF(A832="","",IF(B832="","Missing code",IF(C832="Unknown code","Unknown code",IF(COUNTIF($A$6:$A$1005,A832)&gt;1,"Duplicate WO",""))))</f>
        <v/>
      </c>
    </row>
    <row r="833" customFormat="false" ht="15" hidden="false" customHeight="false" outlineLevel="0" collapsed="false">
      <c r="A833" s="46"/>
      <c r="B833" s="46"/>
      <c r="C833" s="54" t="str">
        <f aca="false">IF(B833="","",IFERROR(INDEX('Kitting Plan'!$D$5:$D$18,MATCH(B833,'Kitting Plan'!$C$5:$C$18,0)),"Unknown code"))</f>
        <v/>
      </c>
      <c r="D833" s="54" t="str">
        <f aca="false">IF(B833="","",IFERROR(INDEX('Kitting Plan'!$B$5:$B$18,MATCH(B833,'Kitting Plan'!$C$5:$C$18,0)),""))</f>
        <v/>
      </c>
      <c r="E833" s="45"/>
      <c r="F833" s="55" t="str">
        <f aca="false">IF(B833="","",IFERROR(INDEX('Kitting Plan'!$H$5:$H$18,MATCH(B833,'Kitting Plan'!$C$5:$C$18,0)),""))</f>
        <v/>
      </c>
      <c r="G833" s="45"/>
      <c r="H833" s="56" t="str">
        <f aca="false">IF(B833="","",IF(G833="",F833,G833))</f>
        <v/>
      </c>
      <c r="I833" s="45"/>
      <c r="J833" s="57"/>
      <c r="K833" s="46"/>
      <c r="L833" s="54" t="str">
        <f aca="false">IF(A833="","",IF(B833="","Missing code",IF(C833="Unknown code","Unknown code",IF(COUNTIF($A$6:$A$1005,A833)&gt;1,"Duplicate WO",""))))</f>
        <v/>
      </c>
    </row>
    <row r="834" customFormat="false" ht="15" hidden="false" customHeight="false" outlineLevel="0" collapsed="false">
      <c r="A834" s="46"/>
      <c r="B834" s="46"/>
      <c r="C834" s="54" t="str">
        <f aca="false">IF(B834="","",IFERROR(INDEX('Kitting Plan'!$D$5:$D$18,MATCH(B834,'Kitting Plan'!$C$5:$C$18,0)),"Unknown code"))</f>
        <v/>
      </c>
      <c r="D834" s="54" t="str">
        <f aca="false">IF(B834="","",IFERROR(INDEX('Kitting Plan'!$B$5:$B$18,MATCH(B834,'Kitting Plan'!$C$5:$C$18,0)),""))</f>
        <v/>
      </c>
      <c r="E834" s="45"/>
      <c r="F834" s="55" t="str">
        <f aca="false">IF(B834="","",IFERROR(INDEX('Kitting Plan'!$H$5:$H$18,MATCH(B834,'Kitting Plan'!$C$5:$C$18,0)),""))</f>
        <v/>
      </c>
      <c r="G834" s="45"/>
      <c r="H834" s="56" t="str">
        <f aca="false">IF(B834="","",IF(G834="",F834,G834))</f>
        <v/>
      </c>
      <c r="I834" s="45"/>
      <c r="J834" s="57"/>
      <c r="K834" s="46"/>
      <c r="L834" s="54" t="str">
        <f aca="false">IF(A834="","",IF(B834="","Missing code",IF(C834="Unknown code","Unknown code",IF(COUNTIF($A$6:$A$1005,A834)&gt;1,"Duplicate WO",""))))</f>
        <v/>
      </c>
    </row>
    <row r="835" customFormat="false" ht="15" hidden="false" customHeight="false" outlineLevel="0" collapsed="false">
      <c r="A835" s="46"/>
      <c r="B835" s="46"/>
      <c r="C835" s="54" t="str">
        <f aca="false">IF(B835="","",IFERROR(INDEX('Kitting Plan'!$D$5:$D$18,MATCH(B835,'Kitting Plan'!$C$5:$C$18,0)),"Unknown code"))</f>
        <v/>
      </c>
      <c r="D835" s="54" t="str">
        <f aca="false">IF(B835="","",IFERROR(INDEX('Kitting Plan'!$B$5:$B$18,MATCH(B835,'Kitting Plan'!$C$5:$C$18,0)),""))</f>
        <v/>
      </c>
      <c r="E835" s="45"/>
      <c r="F835" s="55" t="str">
        <f aca="false">IF(B835="","",IFERROR(INDEX('Kitting Plan'!$H$5:$H$18,MATCH(B835,'Kitting Plan'!$C$5:$C$18,0)),""))</f>
        <v/>
      </c>
      <c r="G835" s="45"/>
      <c r="H835" s="56" t="str">
        <f aca="false">IF(B835="","",IF(G835="",F835,G835))</f>
        <v/>
      </c>
      <c r="I835" s="45"/>
      <c r="J835" s="57"/>
      <c r="K835" s="46"/>
      <c r="L835" s="54" t="str">
        <f aca="false">IF(A835="","",IF(B835="","Missing code",IF(C835="Unknown code","Unknown code",IF(COUNTIF($A$6:$A$1005,A835)&gt;1,"Duplicate WO",""))))</f>
        <v/>
      </c>
    </row>
    <row r="836" customFormat="false" ht="15" hidden="false" customHeight="false" outlineLevel="0" collapsed="false">
      <c r="A836" s="46"/>
      <c r="B836" s="46"/>
      <c r="C836" s="54" t="str">
        <f aca="false">IF(B836="","",IFERROR(INDEX('Kitting Plan'!$D$5:$D$18,MATCH(B836,'Kitting Plan'!$C$5:$C$18,0)),"Unknown code"))</f>
        <v/>
      </c>
      <c r="D836" s="54" t="str">
        <f aca="false">IF(B836="","",IFERROR(INDEX('Kitting Plan'!$B$5:$B$18,MATCH(B836,'Kitting Plan'!$C$5:$C$18,0)),""))</f>
        <v/>
      </c>
      <c r="E836" s="45"/>
      <c r="F836" s="55" t="str">
        <f aca="false">IF(B836="","",IFERROR(INDEX('Kitting Plan'!$H$5:$H$18,MATCH(B836,'Kitting Plan'!$C$5:$C$18,0)),""))</f>
        <v/>
      </c>
      <c r="G836" s="45"/>
      <c r="H836" s="56" t="str">
        <f aca="false">IF(B836="","",IF(G836="",F836,G836))</f>
        <v/>
      </c>
      <c r="I836" s="45"/>
      <c r="J836" s="57"/>
      <c r="K836" s="46"/>
      <c r="L836" s="54" t="str">
        <f aca="false">IF(A836="","",IF(B836="","Missing code",IF(C836="Unknown code","Unknown code",IF(COUNTIF($A$6:$A$1005,A836)&gt;1,"Duplicate WO",""))))</f>
        <v/>
      </c>
    </row>
    <row r="837" customFormat="false" ht="15" hidden="false" customHeight="false" outlineLevel="0" collapsed="false">
      <c r="A837" s="46"/>
      <c r="B837" s="46"/>
      <c r="C837" s="54" t="str">
        <f aca="false">IF(B837="","",IFERROR(INDEX('Kitting Plan'!$D$5:$D$18,MATCH(B837,'Kitting Plan'!$C$5:$C$18,0)),"Unknown code"))</f>
        <v/>
      </c>
      <c r="D837" s="54" t="str">
        <f aca="false">IF(B837="","",IFERROR(INDEX('Kitting Plan'!$B$5:$B$18,MATCH(B837,'Kitting Plan'!$C$5:$C$18,0)),""))</f>
        <v/>
      </c>
      <c r="E837" s="45"/>
      <c r="F837" s="55" t="str">
        <f aca="false">IF(B837="","",IFERROR(INDEX('Kitting Plan'!$H$5:$H$18,MATCH(B837,'Kitting Plan'!$C$5:$C$18,0)),""))</f>
        <v/>
      </c>
      <c r="G837" s="45"/>
      <c r="H837" s="56" t="str">
        <f aca="false">IF(B837="","",IF(G837="",F837,G837))</f>
        <v/>
      </c>
      <c r="I837" s="45"/>
      <c r="J837" s="57"/>
      <c r="K837" s="46"/>
      <c r="L837" s="54" t="str">
        <f aca="false">IF(A837="","",IF(B837="","Missing code",IF(C837="Unknown code","Unknown code",IF(COUNTIF($A$6:$A$1005,A837)&gt;1,"Duplicate WO",""))))</f>
        <v/>
      </c>
    </row>
    <row r="838" customFormat="false" ht="15" hidden="false" customHeight="false" outlineLevel="0" collapsed="false">
      <c r="A838" s="46"/>
      <c r="B838" s="46"/>
      <c r="C838" s="54" t="str">
        <f aca="false">IF(B838="","",IFERROR(INDEX('Kitting Plan'!$D$5:$D$18,MATCH(B838,'Kitting Plan'!$C$5:$C$18,0)),"Unknown code"))</f>
        <v/>
      </c>
      <c r="D838" s="54" t="str">
        <f aca="false">IF(B838="","",IFERROR(INDEX('Kitting Plan'!$B$5:$B$18,MATCH(B838,'Kitting Plan'!$C$5:$C$18,0)),""))</f>
        <v/>
      </c>
      <c r="E838" s="45"/>
      <c r="F838" s="55" t="str">
        <f aca="false">IF(B838="","",IFERROR(INDEX('Kitting Plan'!$H$5:$H$18,MATCH(B838,'Kitting Plan'!$C$5:$C$18,0)),""))</f>
        <v/>
      </c>
      <c r="G838" s="45"/>
      <c r="H838" s="56" t="str">
        <f aca="false">IF(B838="","",IF(G838="",F838,G838))</f>
        <v/>
      </c>
      <c r="I838" s="45"/>
      <c r="J838" s="57"/>
      <c r="K838" s="46"/>
      <c r="L838" s="54" t="str">
        <f aca="false">IF(A838="","",IF(B838="","Missing code",IF(C838="Unknown code","Unknown code",IF(COUNTIF($A$6:$A$1005,A838)&gt;1,"Duplicate WO",""))))</f>
        <v/>
      </c>
    </row>
    <row r="839" customFormat="false" ht="15" hidden="false" customHeight="false" outlineLevel="0" collapsed="false">
      <c r="A839" s="46"/>
      <c r="B839" s="46"/>
      <c r="C839" s="54" t="str">
        <f aca="false">IF(B839="","",IFERROR(INDEX('Kitting Plan'!$D$5:$D$18,MATCH(B839,'Kitting Plan'!$C$5:$C$18,0)),"Unknown code"))</f>
        <v/>
      </c>
      <c r="D839" s="54" t="str">
        <f aca="false">IF(B839="","",IFERROR(INDEX('Kitting Plan'!$B$5:$B$18,MATCH(B839,'Kitting Plan'!$C$5:$C$18,0)),""))</f>
        <v/>
      </c>
      <c r="E839" s="45"/>
      <c r="F839" s="55" t="str">
        <f aca="false">IF(B839="","",IFERROR(INDEX('Kitting Plan'!$H$5:$H$18,MATCH(B839,'Kitting Plan'!$C$5:$C$18,0)),""))</f>
        <v/>
      </c>
      <c r="G839" s="45"/>
      <c r="H839" s="56" t="str">
        <f aca="false">IF(B839="","",IF(G839="",F839,G839))</f>
        <v/>
      </c>
      <c r="I839" s="45"/>
      <c r="J839" s="57"/>
      <c r="K839" s="46"/>
      <c r="L839" s="54" t="str">
        <f aca="false">IF(A839="","",IF(B839="","Missing code",IF(C839="Unknown code","Unknown code",IF(COUNTIF($A$6:$A$1005,A839)&gt;1,"Duplicate WO",""))))</f>
        <v/>
      </c>
    </row>
    <row r="840" customFormat="false" ht="15" hidden="false" customHeight="false" outlineLevel="0" collapsed="false">
      <c r="A840" s="46"/>
      <c r="B840" s="46"/>
      <c r="C840" s="54" t="str">
        <f aca="false">IF(B840="","",IFERROR(INDEX('Kitting Plan'!$D$5:$D$18,MATCH(B840,'Kitting Plan'!$C$5:$C$18,0)),"Unknown code"))</f>
        <v/>
      </c>
      <c r="D840" s="54" t="str">
        <f aca="false">IF(B840="","",IFERROR(INDEX('Kitting Plan'!$B$5:$B$18,MATCH(B840,'Kitting Plan'!$C$5:$C$18,0)),""))</f>
        <v/>
      </c>
      <c r="E840" s="45"/>
      <c r="F840" s="55" t="str">
        <f aca="false">IF(B840="","",IFERROR(INDEX('Kitting Plan'!$H$5:$H$18,MATCH(B840,'Kitting Plan'!$C$5:$C$18,0)),""))</f>
        <v/>
      </c>
      <c r="G840" s="45"/>
      <c r="H840" s="56" t="str">
        <f aca="false">IF(B840="","",IF(G840="",F840,G840))</f>
        <v/>
      </c>
      <c r="I840" s="45"/>
      <c r="J840" s="57"/>
      <c r="K840" s="46"/>
      <c r="L840" s="54" t="str">
        <f aca="false">IF(A840="","",IF(B840="","Missing code",IF(C840="Unknown code","Unknown code",IF(COUNTIF($A$6:$A$1005,A840)&gt;1,"Duplicate WO",""))))</f>
        <v/>
      </c>
    </row>
    <row r="841" customFormat="false" ht="15" hidden="false" customHeight="false" outlineLevel="0" collapsed="false">
      <c r="A841" s="46"/>
      <c r="B841" s="46"/>
      <c r="C841" s="54" t="str">
        <f aca="false">IF(B841="","",IFERROR(INDEX('Kitting Plan'!$D$5:$D$18,MATCH(B841,'Kitting Plan'!$C$5:$C$18,0)),"Unknown code"))</f>
        <v/>
      </c>
      <c r="D841" s="54" t="str">
        <f aca="false">IF(B841="","",IFERROR(INDEX('Kitting Plan'!$B$5:$B$18,MATCH(B841,'Kitting Plan'!$C$5:$C$18,0)),""))</f>
        <v/>
      </c>
      <c r="E841" s="45"/>
      <c r="F841" s="55" t="str">
        <f aca="false">IF(B841="","",IFERROR(INDEX('Kitting Plan'!$H$5:$H$18,MATCH(B841,'Kitting Plan'!$C$5:$C$18,0)),""))</f>
        <v/>
      </c>
      <c r="G841" s="45"/>
      <c r="H841" s="56" t="str">
        <f aca="false">IF(B841="","",IF(G841="",F841,G841))</f>
        <v/>
      </c>
      <c r="I841" s="45"/>
      <c r="J841" s="57"/>
      <c r="K841" s="46"/>
      <c r="L841" s="54" t="str">
        <f aca="false">IF(A841="","",IF(B841="","Missing code",IF(C841="Unknown code","Unknown code",IF(COUNTIF($A$6:$A$1005,A841)&gt;1,"Duplicate WO",""))))</f>
        <v/>
      </c>
    </row>
    <row r="842" customFormat="false" ht="15" hidden="false" customHeight="false" outlineLevel="0" collapsed="false">
      <c r="A842" s="46"/>
      <c r="B842" s="46"/>
      <c r="C842" s="54" t="str">
        <f aca="false">IF(B842="","",IFERROR(INDEX('Kitting Plan'!$D$5:$D$18,MATCH(B842,'Kitting Plan'!$C$5:$C$18,0)),"Unknown code"))</f>
        <v/>
      </c>
      <c r="D842" s="54" t="str">
        <f aca="false">IF(B842="","",IFERROR(INDEX('Kitting Plan'!$B$5:$B$18,MATCH(B842,'Kitting Plan'!$C$5:$C$18,0)),""))</f>
        <v/>
      </c>
      <c r="E842" s="45"/>
      <c r="F842" s="55" t="str">
        <f aca="false">IF(B842="","",IFERROR(INDEX('Kitting Plan'!$H$5:$H$18,MATCH(B842,'Kitting Plan'!$C$5:$C$18,0)),""))</f>
        <v/>
      </c>
      <c r="G842" s="45"/>
      <c r="H842" s="56" t="str">
        <f aca="false">IF(B842="","",IF(G842="",F842,G842))</f>
        <v/>
      </c>
      <c r="I842" s="45"/>
      <c r="J842" s="57"/>
      <c r="K842" s="46"/>
      <c r="L842" s="54" t="str">
        <f aca="false">IF(A842="","",IF(B842="","Missing code",IF(C842="Unknown code","Unknown code",IF(COUNTIF($A$6:$A$1005,A842)&gt;1,"Duplicate WO",""))))</f>
        <v/>
      </c>
    </row>
    <row r="843" customFormat="false" ht="15" hidden="false" customHeight="false" outlineLevel="0" collapsed="false">
      <c r="A843" s="46"/>
      <c r="B843" s="46"/>
      <c r="C843" s="54" t="str">
        <f aca="false">IF(B843="","",IFERROR(INDEX('Kitting Plan'!$D$5:$D$18,MATCH(B843,'Kitting Plan'!$C$5:$C$18,0)),"Unknown code"))</f>
        <v/>
      </c>
      <c r="D843" s="54" t="str">
        <f aca="false">IF(B843="","",IFERROR(INDEX('Kitting Plan'!$B$5:$B$18,MATCH(B843,'Kitting Plan'!$C$5:$C$18,0)),""))</f>
        <v/>
      </c>
      <c r="E843" s="45"/>
      <c r="F843" s="55" t="str">
        <f aca="false">IF(B843="","",IFERROR(INDEX('Kitting Plan'!$H$5:$H$18,MATCH(B843,'Kitting Plan'!$C$5:$C$18,0)),""))</f>
        <v/>
      </c>
      <c r="G843" s="45"/>
      <c r="H843" s="56" t="str">
        <f aca="false">IF(B843="","",IF(G843="",F843,G843))</f>
        <v/>
      </c>
      <c r="I843" s="45"/>
      <c r="J843" s="57"/>
      <c r="K843" s="46"/>
      <c r="L843" s="54" t="str">
        <f aca="false">IF(A843="","",IF(B843="","Missing code",IF(C843="Unknown code","Unknown code",IF(COUNTIF($A$6:$A$1005,A843)&gt;1,"Duplicate WO",""))))</f>
        <v/>
      </c>
    </row>
    <row r="844" customFormat="false" ht="15" hidden="false" customHeight="false" outlineLevel="0" collapsed="false">
      <c r="A844" s="46"/>
      <c r="B844" s="46"/>
      <c r="C844" s="54" t="str">
        <f aca="false">IF(B844="","",IFERROR(INDEX('Kitting Plan'!$D$5:$D$18,MATCH(B844,'Kitting Plan'!$C$5:$C$18,0)),"Unknown code"))</f>
        <v/>
      </c>
      <c r="D844" s="54" t="str">
        <f aca="false">IF(B844="","",IFERROR(INDEX('Kitting Plan'!$B$5:$B$18,MATCH(B844,'Kitting Plan'!$C$5:$C$18,0)),""))</f>
        <v/>
      </c>
      <c r="E844" s="45"/>
      <c r="F844" s="55" t="str">
        <f aca="false">IF(B844="","",IFERROR(INDEX('Kitting Plan'!$H$5:$H$18,MATCH(B844,'Kitting Plan'!$C$5:$C$18,0)),""))</f>
        <v/>
      </c>
      <c r="G844" s="45"/>
      <c r="H844" s="56" t="str">
        <f aca="false">IF(B844="","",IF(G844="",F844,G844))</f>
        <v/>
      </c>
      <c r="I844" s="45"/>
      <c r="J844" s="57"/>
      <c r="K844" s="46"/>
      <c r="L844" s="54" t="str">
        <f aca="false">IF(A844="","",IF(B844="","Missing code",IF(C844="Unknown code","Unknown code",IF(COUNTIF($A$6:$A$1005,A844)&gt;1,"Duplicate WO",""))))</f>
        <v/>
      </c>
    </row>
    <row r="845" customFormat="false" ht="15" hidden="false" customHeight="false" outlineLevel="0" collapsed="false">
      <c r="A845" s="46"/>
      <c r="B845" s="46"/>
      <c r="C845" s="54" t="str">
        <f aca="false">IF(B845="","",IFERROR(INDEX('Kitting Plan'!$D$5:$D$18,MATCH(B845,'Kitting Plan'!$C$5:$C$18,0)),"Unknown code"))</f>
        <v/>
      </c>
      <c r="D845" s="54" t="str">
        <f aca="false">IF(B845="","",IFERROR(INDEX('Kitting Plan'!$B$5:$B$18,MATCH(B845,'Kitting Plan'!$C$5:$C$18,0)),""))</f>
        <v/>
      </c>
      <c r="E845" s="45"/>
      <c r="F845" s="55" t="str">
        <f aca="false">IF(B845="","",IFERROR(INDEX('Kitting Plan'!$H$5:$H$18,MATCH(B845,'Kitting Plan'!$C$5:$C$18,0)),""))</f>
        <v/>
      </c>
      <c r="G845" s="45"/>
      <c r="H845" s="56" t="str">
        <f aca="false">IF(B845="","",IF(G845="",F845,G845))</f>
        <v/>
      </c>
      <c r="I845" s="45"/>
      <c r="J845" s="57"/>
      <c r="K845" s="46"/>
      <c r="L845" s="54" t="str">
        <f aca="false">IF(A845="","",IF(B845="","Missing code",IF(C845="Unknown code","Unknown code",IF(COUNTIF($A$6:$A$1005,A845)&gt;1,"Duplicate WO",""))))</f>
        <v/>
      </c>
    </row>
    <row r="846" customFormat="false" ht="15" hidden="false" customHeight="false" outlineLevel="0" collapsed="false">
      <c r="A846" s="46"/>
      <c r="B846" s="46"/>
      <c r="C846" s="54" t="str">
        <f aca="false">IF(B846="","",IFERROR(INDEX('Kitting Plan'!$D$5:$D$18,MATCH(B846,'Kitting Plan'!$C$5:$C$18,0)),"Unknown code"))</f>
        <v/>
      </c>
      <c r="D846" s="54" t="str">
        <f aca="false">IF(B846="","",IFERROR(INDEX('Kitting Plan'!$B$5:$B$18,MATCH(B846,'Kitting Plan'!$C$5:$C$18,0)),""))</f>
        <v/>
      </c>
      <c r="E846" s="45"/>
      <c r="F846" s="55" t="str">
        <f aca="false">IF(B846="","",IFERROR(INDEX('Kitting Plan'!$H$5:$H$18,MATCH(B846,'Kitting Plan'!$C$5:$C$18,0)),""))</f>
        <v/>
      </c>
      <c r="G846" s="45"/>
      <c r="H846" s="56" t="str">
        <f aca="false">IF(B846="","",IF(G846="",F846,G846))</f>
        <v/>
      </c>
      <c r="I846" s="45"/>
      <c r="J846" s="57"/>
      <c r="K846" s="46"/>
      <c r="L846" s="54" t="str">
        <f aca="false">IF(A846="","",IF(B846="","Missing code",IF(C846="Unknown code","Unknown code",IF(COUNTIF($A$6:$A$1005,A846)&gt;1,"Duplicate WO",""))))</f>
        <v/>
      </c>
    </row>
    <row r="847" customFormat="false" ht="15" hidden="false" customHeight="false" outlineLevel="0" collapsed="false">
      <c r="A847" s="46"/>
      <c r="B847" s="46"/>
      <c r="C847" s="54" t="str">
        <f aca="false">IF(B847="","",IFERROR(INDEX('Kitting Plan'!$D$5:$D$18,MATCH(B847,'Kitting Plan'!$C$5:$C$18,0)),"Unknown code"))</f>
        <v/>
      </c>
      <c r="D847" s="54" t="str">
        <f aca="false">IF(B847="","",IFERROR(INDEX('Kitting Plan'!$B$5:$B$18,MATCH(B847,'Kitting Plan'!$C$5:$C$18,0)),""))</f>
        <v/>
      </c>
      <c r="E847" s="45"/>
      <c r="F847" s="55" t="str">
        <f aca="false">IF(B847="","",IFERROR(INDEX('Kitting Plan'!$H$5:$H$18,MATCH(B847,'Kitting Plan'!$C$5:$C$18,0)),""))</f>
        <v/>
      </c>
      <c r="G847" s="45"/>
      <c r="H847" s="56" t="str">
        <f aca="false">IF(B847="","",IF(G847="",F847,G847))</f>
        <v/>
      </c>
      <c r="I847" s="45"/>
      <c r="J847" s="57"/>
      <c r="K847" s="46"/>
      <c r="L847" s="54" t="str">
        <f aca="false">IF(A847="","",IF(B847="","Missing code",IF(C847="Unknown code","Unknown code",IF(COUNTIF($A$6:$A$1005,A847)&gt;1,"Duplicate WO",""))))</f>
        <v/>
      </c>
    </row>
    <row r="848" customFormat="false" ht="15" hidden="false" customHeight="false" outlineLevel="0" collapsed="false">
      <c r="A848" s="46"/>
      <c r="B848" s="46"/>
      <c r="C848" s="54" t="str">
        <f aca="false">IF(B848="","",IFERROR(INDEX('Kitting Plan'!$D$5:$D$18,MATCH(B848,'Kitting Plan'!$C$5:$C$18,0)),"Unknown code"))</f>
        <v/>
      </c>
      <c r="D848" s="54" t="str">
        <f aca="false">IF(B848="","",IFERROR(INDEX('Kitting Plan'!$B$5:$B$18,MATCH(B848,'Kitting Plan'!$C$5:$C$18,0)),""))</f>
        <v/>
      </c>
      <c r="E848" s="45"/>
      <c r="F848" s="55" t="str">
        <f aca="false">IF(B848="","",IFERROR(INDEX('Kitting Plan'!$H$5:$H$18,MATCH(B848,'Kitting Plan'!$C$5:$C$18,0)),""))</f>
        <v/>
      </c>
      <c r="G848" s="45"/>
      <c r="H848" s="56" t="str">
        <f aca="false">IF(B848="","",IF(G848="",F848,G848))</f>
        <v/>
      </c>
      <c r="I848" s="45"/>
      <c r="J848" s="57"/>
      <c r="K848" s="46"/>
      <c r="L848" s="54" t="str">
        <f aca="false">IF(A848="","",IF(B848="","Missing code",IF(C848="Unknown code","Unknown code",IF(COUNTIF($A$6:$A$1005,A848)&gt;1,"Duplicate WO",""))))</f>
        <v/>
      </c>
    </row>
    <row r="849" customFormat="false" ht="15" hidden="false" customHeight="false" outlineLevel="0" collapsed="false">
      <c r="A849" s="46"/>
      <c r="B849" s="46"/>
      <c r="C849" s="54" t="str">
        <f aca="false">IF(B849="","",IFERROR(INDEX('Kitting Plan'!$D$5:$D$18,MATCH(B849,'Kitting Plan'!$C$5:$C$18,0)),"Unknown code"))</f>
        <v/>
      </c>
      <c r="D849" s="54" t="str">
        <f aca="false">IF(B849="","",IFERROR(INDEX('Kitting Plan'!$B$5:$B$18,MATCH(B849,'Kitting Plan'!$C$5:$C$18,0)),""))</f>
        <v/>
      </c>
      <c r="E849" s="45"/>
      <c r="F849" s="55" t="str">
        <f aca="false">IF(B849="","",IFERROR(INDEX('Kitting Plan'!$H$5:$H$18,MATCH(B849,'Kitting Plan'!$C$5:$C$18,0)),""))</f>
        <v/>
      </c>
      <c r="G849" s="45"/>
      <c r="H849" s="56" t="str">
        <f aca="false">IF(B849="","",IF(G849="",F849,G849))</f>
        <v/>
      </c>
      <c r="I849" s="45"/>
      <c r="J849" s="57"/>
      <c r="K849" s="46"/>
      <c r="L849" s="54" t="str">
        <f aca="false">IF(A849="","",IF(B849="","Missing code",IF(C849="Unknown code","Unknown code",IF(COUNTIF($A$6:$A$1005,A849)&gt;1,"Duplicate WO",""))))</f>
        <v/>
      </c>
    </row>
    <row r="850" customFormat="false" ht="15" hidden="false" customHeight="false" outlineLevel="0" collapsed="false">
      <c r="A850" s="46"/>
      <c r="B850" s="46"/>
      <c r="C850" s="54" t="str">
        <f aca="false">IF(B850="","",IFERROR(INDEX('Kitting Plan'!$D$5:$D$18,MATCH(B850,'Kitting Plan'!$C$5:$C$18,0)),"Unknown code"))</f>
        <v/>
      </c>
      <c r="D850" s="54" t="str">
        <f aca="false">IF(B850="","",IFERROR(INDEX('Kitting Plan'!$B$5:$B$18,MATCH(B850,'Kitting Plan'!$C$5:$C$18,0)),""))</f>
        <v/>
      </c>
      <c r="E850" s="45"/>
      <c r="F850" s="55" t="str">
        <f aca="false">IF(B850="","",IFERROR(INDEX('Kitting Plan'!$H$5:$H$18,MATCH(B850,'Kitting Plan'!$C$5:$C$18,0)),""))</f>
        <v/>
      </c>
      <c r="G850" s="45"/>
      <c r="H850" s="56" t="str">
        <f aca="false">IF(B850="","",IF(G850="",F850,G850))</f>
        <v/>
      </c>
      <c r="I850" s="45"/>
      <c r="J850" s="57"/>
      <c r="K850" s="46"/>
      <c r="L850" s="54" t="str">
        <f aca="false">IF(A850="","",IF(B850="","Missing code",IF(C850="Unknown code","Unknown code",IF(COUNTIF($A$6:$A$1005,A850)&gt;1,"Duplicate WO",""))))</f>
        <v/>
      </c>
    </row>
    <row r="851" customFormat="false" ht="15" hidden="false" customHeight="false" outlineLevel="0" collapsed="false">
      <c r="A851" s="46"/>
      <c r="B851" s="46"/>
      <c r="C851" s="54" t="str">
        <f aca="false">IF(B851="","",IFERROR(INDEX('Kitting Plan'!$D$5:$D$18,MATCH(B851,'Kitting Plan'!$C$5:$C$18,0)),"Unknown code"))</f>
        <v/>
      </c>
      <c r="D851" s="54" t="str">
        <f aca="false">IF(B851="","",IFERROR(INDEX('Kitting Plan'!$B$5:$B$18,MATCH(B851,'Kitting Plan'!$C$5:$C$18,0)),""))</f>
        <v/>
      </c>
      <c r="E851" s="45"/>
      <c r="F851" s="55" t="str">
        <f aca="false">IF(B851="","",IFERROR(INDEX('Kitting Plan'!$H$5:$H$18,MATCH(B851,'Kitting Plan'!$C$5:$C$18,0)),""))</f>
        <v/>
      </c>
      <c r="G851" s="45"/>
      <c r="H851" s="56" t="str">
        <f aca="false">IF(B851="","",IF(G851="",F851,G851))</f>
        <v/>
      </c>
      <c r="I851" s="45"/>
      <c r="J851" s="57"/>
      <c r="K851" s="46"/>
      <c r="L851" s="54" t="str">
        <f aca="false">IF(A851="","",IF(B851="","Missing code",IF(C851="Unknown code","Unknown code",IF(COUNTIF($A$6:$A$1005,A851)&gt;1,"Duplicate WO",""))))</f>
        <v/>
      </c>
    </row>
    <row r="852" customFormat="false" ht="15" hidden="false" customHeight="false" outlineLevel="0" collapsed="false">
      <c r="A852" s="46"/>
      <c r="B852" s="46"/>
      <c r="C852" s="54" t="str">
        <f aca="false">IF(B852="","",IFERROR(INDEX('Kitting Plan'!$D$5:$D$18,MATCH(B852,'Kitting Plan'!$C$5:$C$18,0)),"Unknown code"))</f>
        <v/>
      </c>
      <c r="D852" s="54" t="str">
        <f aca="false">IF(B852="","",IFERROR(INDEX('Kitting Plan'!$B$5:$B$18,MATCH(B852,'Kitting Plan'!$C$5:$C$18,0)),""))</f>
        <v/>
      </c>
      <c r="E852" s="45"/>
      <c r="F852" s="55" t="str">
        <f aca="false">IF(B852="","",IFERROR(INDEX('Kitting Plan'!$H$5:$H$18,MATCH(B852,'Kitting Plan'!$C$5:$C$18,0)),""))</f>
        <v/>
      </c>
      <c r="G852" s="45"/>
      <c r="H852" s="56" t="str">
        <f aca="false">IF(B852="","",IF(G852="",F852,G852))</f>
        <v/>
      </c>
      <c r="I852" s="45"/>
      <c r="J852" s="57"/>
      <c r="K852" s="46"/>
      <c r="L852" s="54" t="str">
        <f aca="false">IF(A852="","",IF(B852="","Missing code",IF(C852="Unknown code","Unknown code",IF(COUNTIF($A$6:$A$1005,A852)&gt;1,"Duplicate WO",""))))</f>
        <v/>
      </c>
    </row>
    <row r="853" customFormat="false" ht="15" hidden="false" customHeight="false" outlineLevel="0" collapsed="false">
      <c r="A853" s="46"/>
      <c r="B853" s="46"/>
      <c r="C853" s="54" t="str">
        <f aca="false">IF(B853="","",IFERROR(INDEX('Kitting Plan'!$D$5:$D$18,MATCH(B853,'Kitting Plan'!$C$5:$C$18,0)),"Unknown code"))</f>
        <v/>
      </c>
      <c r="D853" s="54" t="str">
        <f aca="false">IF(B853="","",IFERROR(INDEX('Kitting Plan'!$B$5:$B$18,MATCH(B853,'Kitting Plan'!$C$5:$C$18,0)),""))</f>
        <v/>
      </c>
      <c r="E853" s="45"/>
      <c r="F853" s="55" t="str">
        <f aca="false">IF(B853="","",IFERROR(INDEX('Kitting Plan'!$H$5:$H$18,MATCH(B853,'Kitting Plan'!$C$5:$C$18,0)),""))</f>
        <v/>
      </c>
      <c r="G853" s="45"/>
      <c r="H853" s="56" t="str">
        <f aca="false">IF(B853="","",IF(G853="",F853,G853))</f>
        <v/>
      </c>
      <c r="I853" s="45"/>
      <c r="J853" s="57"/>
      <c r="K853" s="46"/>
      <c r="L853" s="54" t="str">
        <f aca="false">IF(A853="","",IF(B853="","Missing code",IF(C853="Unknown code","Unknown code",IF(COUNTIF($A$6:$A$1005,A853)&gt;1,"Duplicate WO",""))))</f>
        <v/>
      </c>
    </row>
    <row r="854" customFormat="false" ht="15" hidden="false" customHeight="false" outlineLevel="0" collapsed="false">
      <c r="A854" s="46"/>
      <c r="B854" s="46"/>
      <c r="C854" s="54" t="str">
        <f aca="false">IF(B854="","",IFERROR(INDEX('Kitting Plan'!$D$5:$D$18,MATCH(B854,'Kitting Plan'!$C$5:$C$18,0)),"Unknown code"))</f>
        <v/>
      </c>
      <c r="D854" s="54" t="str">
        <f aca="false">IF(B854="","",IFERROR(INDEX('Kitting Plan'!$B$5:$B$18,MATCH(B854,'Kitting Plan'!$C$5:$C$18,0)),""))</f>
        <v/>
      </c>
      <c r="E854" s="45"/>
      <c r="F854" s="55" t="str">
        <f aca="false">IF(B854="","",IFERROR(INDEX('Kitting Plan'!$H$5:$H$18,MATCH(B854,'Kitting Plan'!$C$5:$C$18,0)),""))</f>
        <v/>
      </c>
      <c r="G854" s="45"/>
      <c r="H854" s="56" t="str">
        <f aca="false">IF(B854="","",IF(G854="",F854,G854))</f>
        <v/>
      </c>
      <c r="I854" s="45"/>
      <c r="J854" s="57"/>
      <c r="K854" s="46"/>
      <c r="L854" s="54" t="str">
        <f aca="false">IF(A854="","",IF(B854="","Missing code",IF(C854="Unknown code","Unknown code",IF(COUNTIF($A$6:$A$1005,A854)&gt;1,"Duplicate WO",""))))</f>
        <v/>
      </c>
    </row>
    <row r="855" customFormat="false" ht="15" hidden="false" customHeight="false" outlineLevel="0" collapsed="false">
      <c r="A855" s="46"/>
      <c r="B855" s="46"/>
      <c r="C855" s="54" t="str">
        <f aca="false">IF(B855="","",IFERROR(INDEX('Kitting Plan'!$D$5:$D$18,MATCH(B855,'Kitting Plan'!$C$5:$C$18,0)),"Unknown code"))</f>
        <v/>
      </c>
      <c r="D855" s="54" t="str">
        <f aca="false">IF(B855="","",IFERROR(INDEX('Kitting Plan'!$B$5:$B$18,MATCH(B855,'Kitting Plan'!$C$5:$C$18,0)),""))</f>
        <v/>
      </c>
      <c r="E855" s="45"/>
      <c r="F855" s="55" t="str">
        <f aca="false">IF(B855="","",IFERROR(INDEX('Kitting Plan'!$H$5:$H$18,MATCH(B855,'Kitting Plan'!$C$5:$C$18,0)),""))</f>
        <v/>
      </c>
      <c r="G855" s="45"/>
      <c r="H855" s="56" t="str">
        <f aca="false">IF(B855="","",IF(G855="",F855,G855))</f>
        <v/>
      </c>
      <c r="I855" s="45"/>
      <c r="J855" s="57"/>
      <c r="K855" s="46"/>
      <c r="L855" s="54" t="str">
        <f aca="false">IF(A855="","",IF(B855="","Missing code",IF(C855="Unknown code","Unknown code",IF(COUNTIF($A$6:$A$1005,A855)&gt;1,"Duplicate WO",""))))</f>
        <v/>
      </c>
    </row>
    <row r="856" customFormat="false" ht="15" hidden="false" customHeight="false" outlineLevel="0" collapsed="false">
      <c r="A856" s="46"/>
      <c r="B856" s="46"/>
      <c r="C856" s="54" t="str">
        <f aca="false">IF(B856="","",IFERROR(INDEX('Kitting Plan'!$D$5:$D$18,MATCH(B856,'Kitting Plan'!$C$5:$C$18,0)),"Unknown code"))</f>
        <v/>
      </c>
      <c r="D856" s="54" t="str">
        <f aca="false">IF(B856="","",IFERROR(INDEX('Kitting Plan'!$B$5:$B$18,MATCH(B856,'Kitting Plan'!$C$5:$C$18,0)),""))</f>
        <v/>
      </c>
      <c r="E856" s="45"/>
      <c r="F856" s="55" t="str">
        <f aca="false">IF(B856="","",IFERROR(INDEX('Kitting Plan'!$H$5:$H$18,MATCH(B856,'Kitting Plan'!$C$5:$C$18,0)),""))</f>
        <v/>
      </c>
      <c r="G856" s="45"/>
      <c r="H856" s="56" t="str">
        <f aca="false">IF(B856="","",IF(G856="",F856,G856))</f>
        <v/>
      </c>
      <c r="I856" s="45"/>
      <c r="J856" s="57"/>
      <c r="K856" s="46"/>
      <c r="L856" s="54" t="str">
        <f aca="false">IF(A856="","",IF(B856="","Missing code",IF(C856="Unknown code","Unknown code",IF(COUNTIF($A$6:$A$1005,A856)&gt;1,"Duplicate WO",""))))</f>
        <v/>
      </c>
    </row>
    <row r="857" customFormat="false" ht="15" hidden="false" customHeight="false" outlineLevel="0" collapsed="false">
      <c r="A857" s="46"/>
      <c r="B857" s="46"/>
      <c r="C857" s="54" t="str">
        <f aca="false">IF(B857="","",IFERROR(INDEX('Kitting Plan'!$D$5:$D$18,MATCH(B857,'Kitting Plan'!$C$5:$C$18,0)),"Unknown code"))</f>
        <v/>
      </c>
      <c r="D857" s="54" t="str">
        <f aca="false">IF(B857="","",IFERROR(INDEX('Kitting Plan'!$B$5:$B$18,MATCH(B857,'Kitting Plan'!$C$5:$C$18,0)),""))</f>
        <v/>
      </c>
      <c r="E857" s="45"/>
      <c r="F857" s="55" t="str">
        <f aca="false">IF(B857="","",IFERROR(INDEX('Kitting Plan'!$H$5:$H$18,MATCH(B857,'Kitting Plan'!$C$5:$C$18,0)),""))</f>
        <v/>
      </c>
      <c r="G857" s="45"/>
      <c r="H857" s="56" t="str">
        <f aca="false">IF(B857="","",IF(G857="",F857,G857))</f>
        <v/>
      </c>
      <c r="I857" s="45"/>
      <c r="J857" s="57"/>
      <c r="K857" s="46"/>
      <c r="L857" s="54" t="str">
        <f aca="false">IF(A857="","",IF(B857="","Missing code",IF(C857="Unknown code","Unknown code",IF(COUNTIF($A$6:$A$1005,A857)&gt;1,"Duplicate WO",""))))</f>
        <v/>
      </c>
    </row>
    <row r="858" customFormat="false" ht="15" hidden="false" customHeight="false" outlineLevel="0" collapsed="false">
      <c r="A858" s="46"/>
      <c r="B858" s="46"/>
      <c r="C858" s="54" t="str">
        <f aca="false">IF(B858="","",IFERROR(INDEX('Kitting Plan'!$D$5:$D$18,MATCH(B858,'Kitting Plan'!$C$5:$C$18,0)),"Unknown code"))</f>
        <v/>
      </c>
      <c r="D858" s="54" t="str">
        <f aca="false">IF(B858="","",IFERROR(INDEX('Kitting Plan'!$B$5:$B$18,MATCH(B858,'Kitting Plan'!$C$5:$C$18,0)),""))</f>
        <v/>
      </c>
      <c r="E858" s="45"/>
      <c r="F858" s="55" t="str">
        <f aca="false">IF(B858="","",IFERROR(INDEX('Kitting Plan'!$H$5:$H$18,MATCH(B858,'Kitting Plan'!$C$5:$C$18,0)),""))</f>
        <v/>
      </c>
      <c r="G858" s="45"/>
      <c r="H858" s="56" t="str">
        <f aca="false">IF(B858="","",IF(G858="",F858,G858))</f>
        <v/>
      </c>
      <c r="I858" s="45"/>
      <c r="J858" s="57"/>
      <c r="K858" s="46"/>
      <c r="L858" s="54" t="str">
        <f aca="false">IF(A858="","",IF(B858="","Missing code",IF(C858="Unknown code","Unknown code",IF(COUNTIF($A$6:$A$1005,A858)&gt;1,"Duplicate WO",""))))</f>
        <v/>
      </c>
    </row>
    <row r="859" customFormat="false" ht="15" hidden="false" customHeight="false" outlineLevel="0" collapsed="false">
      <c r="A859" s="46"/>
      <c r="B859" s="46"/>
      <c r="C859" s="54" t="str">
        <f aca="false">IF(B859="","",IFERROR(INDEX('Kitting Plan'!$D$5:$D$18,MATCH(B859,'Kitting Plan'!$C$5:$C$18,0)),"Unknown code"))</f>
        <v/>
      </c>
      <c r="D859" s="54" t="str">
        <f aca="false">IF(B859="","",IFERROR(INDEX('Kitting Plan'!$B$5:$B$18,MATCH(B859,'Kitting Plan'!$C$5:$C$18,0)),""))</f>
        <v/>
      </c>
      <c r="E859" s="45"/>
      <c r="F859" s="55" t="str">
        <f aca="false">IF(B859="","",IFERROR(INDEX('Kitting Plan'!$H$5:$H$18,MATCH(B859,'Kitting Plan'!$C$5:$C$18,0)),""))</f>
        <v/>
      </c>
      <c r="G859" s="45"/>
      <c r="H859" s="56" t="str">
        <f aca="false">IF(B859="","",IF(G859="",F859,G859))</f>
        <v/>
      </c>
      <c r="I859" s="45"/>
      <c r="J859" s="57"/>
      <c r="K859" s="46"/>
      <c r="L859" s="54" t="str">
        <f aca="false">IF(A859="","",IF(B859="","Missing code",IF(C859="Unknown code","Unknown code",IF(COUNTIF($A$6:$A$1005,A859)&gt;1,"Duplicate WO",""))))</f>
        <v/>
      </c>
    </row>
    <row r="860" customFormat="false" ht="15" hidden="false" customHeight="false" outlineLevel="0" collapsed="false">
      <c r="A860" s="46"/>
      <c r="B860" s="46"/>
      <c r="C860" s="54" t="str">
        <f aca="false">IF(B860="","",IFERROR(INDEX('Kitting Plan'!$D$5:$D$18,MATCH(B860,'Kitting Plan'!$C$5:$C$18,0)),"Unknown code"))</f>
        <v/>
      </c>
      <c r="D860" s="54" t="str">
        <f aca="false">IF(B860="","",IFERROR(INDEX('Kitting Plan'!$B$5:$B$18,MATCH(B860,'Kitting Plan'!$C$5:$C$18,0)),""))</f>
        <v/>
      </c>
      <c r="E860" s="45"/>
      <c r="F860" s="55" t="str">
        <f aca="false">IF(B860="","",IFERROR(INDEX('Kitting Plan'!$H$5:$H$18,MATCH(B860,'Kitting Plan'!$C$5:$C$18,0)),""))</f>
        <v/>
      </c>
      <c r="G860" s="45"/>
      <c r="H860" s="56" t="str">
        <f aca="false">IF(B860="","",IF(G860="",F860,G860))</f>
        <v/>
      </c>
      <c r="I860" s="45"/>
      <c r="J860" s="57"/>
      <c r="K860" s="46"/>
      <c r="L860" s="54" t="str">
        <f aca="false">IF(A860="","",IF(B860="","Missing code",IF(C860="Unknown code","Unknown code",IF(COUNTIF($A$6:$A$1005,A860)&gt;1,"Duplicate WO",""))))</f>
        <v/>
      </c>
    </row>
    <row r="861" customFormat="false" ht="15" hidden="false" customHeight="false" outlineLevel="0" collapsed="false">
      <c r="A861" s="46"/>
      <c r="B861" s="46"/>
      <c r="C861" s="54" t="str">
        <f aca="false">IF(B861="","",IFERROR(INDEX('Kitting Plan'!$D$5:$D$18,MATCH(B861,'Kitting Plan'!$C$5:$C$18,0)),"Unknown code"))</f>
        <v/>
      </c>
      <c r="D861" s="54" t="str">
        <f aca="false">IF(B861="","",IFERROR(INDEX('Kitting Plan'!$B$5:$B$18,MATCH(B861,'Kitting Plan'!$C$5:$C$18,0)),""))</f>
        <v/>
      </c>
      <c r="E861" s="45"/>
      <c r="F861" s="55" t="str">
        <f aca="false">IF(B861="","",IFERROR(INDEX('Kitting Plan'!$H$5:$H$18,MATCH(B861,'Kitting Plan'!$C$5:$C$18,0)),""))</f>
        <v/>
      </c>
      <c r="G861" s="45"/>
      <c r="H861" s="56" t="str">
        <f aca="false">IF(B861="","",IF(G861="",F861,G861))</f>
        <v/>
      </c>
      <c r="I861" s="45"/>
      <c r="J861" s="57"/>
      <c r="K861" s="46"/>
      <c r="L861" s="54" t="str">
        <f aca="false">IF(A861="","",IF(B861="","Missing code",IF(C861="Unknown code","Unknown code",IF(COUNTIF($A$6:$A$1005,A861)&gt;1,"Duplicate WO",""))))</f>
        <v/>
      </c>
    </row>
    <row r="862" customFormat="false" ht="15" hidden="false" customHeight="false" outlineLevel="0" collapsed="false">
      <c r="A862" s="46"/>
      <c r="B862" s="46"/>
      <c r="C862" s="54" t="str">
        <f aca="false">IF(B862="","",IFERROR(INDEX('Kitting Plan'!$D$5:$D$18,MATCH(B862,'Kitting Plan'!$C$5:$C$18,0)),"Unknown code"))</f>
        <v/>
      </c>
      <c r="D862" s="54" t="str">
        <f aca="false">IF(B862="","",IFERROR(INDEX('Kitting Plan'!$B$5:$B$18,MATCH(B862,'Kitting Plan'!$C$5:$C$18,0)),""))</f>
        <v/>
      </c>
      <c r="E862" s="45"/>
      <c r="F862" s="55" t="str">
        <f aca="false">IF(B862="","",IFERROR(INDEX('Kitting Plan'!$H$5:$H$18,MATCH(B862,'Kitting Plan'!$C$5:$C$18,0)),""))</f>
        <v/>
      </c>
      <c r="G862" s="45"/>
      <c r="H862" s="56" t="str">
        <f aca="false">IF(B862="","",IF(G862="",F862,G862))</f>
        <v/>
      </c>
      <c r="I862" s="45"/>
      <c r="J862" s="57"/>
      <c r="K862" s="46"/>
      <c r="L862" s="54" t="str">
        <f aca="false">IF(A862="","",IF(B862="","Missing code",IF(C862="Unknown code","Unknown code",IF(COUNTIF($A$6:$A$1005,A862)&gt;1,"Duplicate WO",""))))</f>
        <v/>
      </c>
    </row>
    <row r="863" customFormat="false" ht="15" hidden="false" customHeight="false" outlineLevel="0" collapsed="false">
      <c r="A863" s="46"/>
      <c r="B863" s="46"/>
      <c r="C863" s="54" t="str">
        <f aca="false">IF(B863="","",IFERROR(INDEX('Kitting Plan'!$D$5:$D$18,MATCH(B863,'Kitting Plan'!$C$5:$C$18,0)),"Unknown code"))</f>
        <v/>
      </c>
      <c r="D863" s="54" t="str">
        <f aca="false">IF(B863="","",IFERROR(INDEX('Kitting Plan'!$B$5:$B$18,MATCH(B863,'Kitting Plan'!$C$5:$C$18,0)),""))</f>
        <v/>
      </c>
      <c r="E863" s="45"/>
      <c r="F863" s="55" t="str">
        <f aca="false">IF(B863="","",IFERROR(INDEX('Kitting Plan'!$H$5:$H$18,MATCH(B863,'Kitting Plan'!$C$5:$C$18,0)),""))</f>
        <v/>
      </c>
      <c r="G863" s="45"/>
      <c r="H863" s="56" t="str">
        <f aca="false">IF(B863="","",IF(G863="",F863,G863))</f>
        <v/>
      </c>
      <c r="I863" s="45"/>
      <c r="J863" s="57"/>
      <c r="K863" s="46"/>
      <c r="L863" s="54" t="str">
        <f aca="false">IF(A863="","",IF(B863="","Missing code",IF(C863="Unknown code","Unknown code",IF(COUNTIF($A$6:$A$1005,A863)&gt;1,"Duplicate WO",""))))</f>
        <v/>
      </c>
    </row>
    <row r="864" customFormat="false" ht="15" hidden="false" customHeight="false" outlineLevel="0" collapsed="false">
      <c r="A864" s="46"/>
      <c r="B864" s="46"/>
      <c r="C864" s="54" t="str">
        <f aca="false">IF(B864="","",IFERROR(INDEX('Kitting Plan'!$D$5:$D$18,MATCH(B864,'Kitting Plan'!$C$5:$C$18,0)),"Unknown code"))</f>
        <v/>
      </c>
      <c r="D864" s="54" t="str">
        <f aca="false">IF(B864="","",IFERROR(INDEX('Kitting Plan'!$B$5:$B$18,MATCH(B864,'Kitting Plan'!$C$5:$C$18,0)),""))</f>
        <v/>
      </c>
      <c r="E864" s="45"/>
      <c r="F864" s="55" t="str">
        <f aca="false">IF(B864="","",IFERROR(INDEX('Kitting Plan'!$H$5:$H$18,MATCH(B864,'Kitting Plan'!$C$5:$C$18,0)),""))</f>
        <v/>
      </c>
      <c r="G864" s="45"/>
      <c r="H864" s="56" t="str">
        <f aca="false">IF(B864="","",IF(G864="",F864,G864))</f>
        <v/>
      </c>
      <c r="I864" s="45"/>
      <c r="J864" s="57"/>
      <c r="K864" s="46"/>
      <c r="L864" s="54" t="str">
        <f aca="false">IF(A864="","",IF(B864="","Missing code",IF(C864="Unknown code","Unknown code",IF(COUNTIF($A$6:$A$1005,A864)&gt;1,"Duplicate WO",""))))</f>
        <v/>
      </c>
    </row>
    <row r="865" customFormat="false" ht="15" hidden="false" customHeight="false" outlineLevel="0" collapsed="false">
      <c r="A865" s="46"/>
      <c r="B865" s="46"/>
      <c r="C865" s="54" t="str">
        <f aca="false">IF(B865="","",IFERROR(INDEX('Kitting Plan'!$D$5:$D$18,MATCH(B865,'Kitting Plan'!$C$5:$C$18,0)),"Unknown code"))</f>
        <v/>
      </c>
      <c r="D865" s="54" t="str">
        <f aca="false">IF(B865="","",IFERROR(INDEX('Kitting Plan'!$B$5:$B$18,MATCH(B865,'Kitting Plan'!$C$5:$C$18,0)),""))</f>
        <v/>
      </c>
      <c r="E865" s="45"/>
      <c r="F865" s="55" t="str">
        <f aca="false">IF(B865="","",IFERROR(INDEX('Kitting Plan'!$H$5:$H$18,MATCH(B865,'Kitting Plan'!$C$5:$C$18,0)),""))</f>
        <v/>
      </c>
      <c r="G865" s="45"/>
      <c r="H865" s="56" t="str">
        <f aca="false">IF(B865="","",IF(G865="",F865,G865))</f>
        <v/>
      </c>
      <c r="I865" s="45"/>
      <c r="J865" s="57"/>
      <c r="K865" s="46"/>
      <c r="L865" s="54" t="str">
        <f aca="false">IF(A865="","",IF(B865="","Missing code",IF(C865="Unknown code","Unknown code",IF(COUNTIF($A$6:$A$1005,A865)&gt;1,"Duplicate WO",""))))</f>
        <v/>
      </c>
    </row>
    <row r="866" customFormat="false" ht="15" hidden="false" customHeight="false" outlineLevel="0" collapsed="false">
      <c r="A866" s="46"/>
      <c r="B866" s="46"/>
      <c r="C866" s="54" t="str">
        <f aca="false">IF(B866="","",IFERROR(INDEX('Kitting Plan'!$D$5:$D$18,MATCH(B866,'Kitting Plan'!$C$5:$C$18,0)),"Unknown code"))</f>
        <v/>
      </c>
      <c r="D866" s="54" t="str">
        <f aca="false">IF(B866="","",IFERROR(INDEX('Kitting Plan'!$B$5:$B$18,MATCH(B866,'Kitting Plan'!$C$5:$C$18,0)),""))</f>
        <v/>
      </c>
      <c r="E866" s="45"/>
      <c r="F866" s="55" t="str">
        <f aca="false">IF(B866="","",IFERROR(INDEX('Kitting Plan'!$H$5:$H$18,MATCH(B866,'Kitting Plan'!$C$5:$C$18,0)),""))</f>
        <v/>
      </c>
      <c r="G866" s="45"/>
      <c r="H866" s="56" t="str">
        <f aca="false">IF(B866="","",IF(G866="",F866,G866))</f>
        <v/>
      </c>
      <c r="I866" s="45"/>
      <c r="J866" s="57"/>
      <c r="K866" s="46"/>
      <c r="L866" s="54" t="str">
        <f aca="false">IF(A866="","",IF(B866="","Missing code",IF(C866="Unknown code","Unknown code",IF(COUNTIF($A$6:$A$1005,A866)&gt;1,"Duplicate WO",""))))</f>
        <v/>
      </c>
    </row>
    <row r="867" customFormat="false" ht="15" hidden="false" customHeight="false" outlineLevel="0" collapsed="false">
      <c r="A867" s="46"/>
      <c r="B867" s="46"/>
      <c r="C867" s="54" t="str">
        <f aca="false">IF(B867="","",IFERROR(INDEX('Kitting Plan'!$D$5:$D$18,MATCH(B867,'Kitting Plan'!$C$5:$C$18,0)),"Unknown code"))</f>
        <v/>
      </c>
      <c r="D867" s="54" t="str">
        <f aca="false">IF(B867="","",IFERROR(INDEX('Kitting Plan'!$B$5:$B$18,MATCH(B867,'Kitting Plan'!$C$5:$C$18,0)),""))</f>
        <v/>
      </c>
      <c r="E867" s="45"/>
      <c r="F867" s="55" t="str">
        <f aca="false">IF(B867="","",IFERROR(INDEX('Kitting Plan'!$H$5:$H$18,MATCH(B867,'Kitting Plan'!$C$5:$C$18,0)),""))</f>
        <v/>
      </c>
      <c r="G867" s="45"/>
      <c r="H867" s="56" t="str">
        <f aca="false">IF(B867="","",IF(G867="",F867,G867))</f>
        <v/>
      </c>
      <c r="I867" s="45"/>
      <c r="J867" s="57"/>
      <c r="K867" s="46"/>
      <c r="L867" s="54" t="str">
        <f aca="false">IF(A867="","",IF(B867="","Missing code",IF(C867="Unknown code","Unknown code",IF(COUNTIF($A$6:$A$1005,A867)&gt;1,"Duplicate WO",""))))</f>
        <v/>
      </c>
    </row>
    <row r="868" customFormat="false" ht="15" hidden="false" customHeight="false" outlineLevel="0" collapsed="false">
      <c r="A868" s="46"/>
      <c r="B868" s="46"/>
      <c r="C868" s="54" t="str">
        <f aca="false">IF(B868="","",IFERROR(INDEX('Kitting Plan'!$D$5:$D$18,MATCH(B868,'Kitting Plan'!$C$5:$C$18,0)),"Unknown code"))</f>
        <v/>
      </c>
      <c r="D868" s="54" t="str">
        <f aca="false">IF(B868="","",IFERROR(INDEX('Kitting Plan'!$B$5:$B$18,MATCH(B868,'Kitting Plan'!$C$5:$C$18,0)),""))</f>
        <v/>
      </c>
      <c r="E868" s="45"/>
      <c r="F868" s="55" t="str">
        <f aca="false">IF(B868="","",IFERROR(INDEX('Kitting Plan'!$H$5:$H$18,MATCH(B868,'Kitting Plan'!$C$5:$C$18,0)),""))</f>
        <v/>
      </c>
      <c r="G868" s="45"/>
      <c r="H868" s="56" t="str">
        <f aca="false">IF(B868="","",IF(G868="",F868,G868))</f>
        <v/>
      </c>
      <c r="I868" s="45"/>
      <c r="J868" s="57"/>
      <c r="K868" s="46"/>
      <c r="L868" s="54" t="str">
        <f aca="false">IF(A868="","",IF(B868="","Missing code",IF(C868="Unknown code","Unknown code",IF(COUNTIF($A$6:$A$1005,A868)&gt;1,"Duplicate WO",""))))</f>
        <v/>
      </c>
    </row>
    <row r="869" customFormat="false" ht="15" hidden="false" customHeight="false" outlineLevel="0" collapsed="false">
      <c r="A869" s="46"/>
      <c r="B869" s="46"/>
      <c r="C869" s="54" t="str">
        <f aca="false">IF(B869="","",IFERROR(INDEX('Kitting Plan'!$D$5:$D$18,MATCH(B869,'Kitting Plan'!$C$5:$C$18,0)),"Unknown code"))</f>
        <v/>
      </c>
      <c r="D869" s="54" t="str">
        <f aca="false">IF(B869="","",IFERROR(INDEX('Kitting Plan'!$B$5:$B$18,MATCH(B869,'Kitting Plan'!$C$5:$C$18,0)),""))</f>
        <v/>
      </c>
      <c r="E869" s="45"/>
      <c r="F869" s="55" t="str">
        <f aca="false">IF(B869="","",IFERROR(INDEX('Kitting Plan'!$H$5:$H$18,MATCH(B869,'Kitting Plan'!$C$5:$C$18,0)),""))</f>
        <v/>
      </c>
      <c r="G869" s="45"/>
      <c r="H869" s="56" t="str">
        <f aca="false">IF(B869="","",IF(G869="",F869,G869))</f>
        <v/>
      </c>
      <c r="I869" s="45"/>
      <c r="J869" s="57"/>
      <c r="K869" s="46"/>
      <c r="L869" s="54" t="str">
        <f aca="false">IF(A869="","",IF(B869="","Missing code",IF(C869="Unknown code","Unknown code",IF(COUNTIF($A$6:$A$1005,A869)&gt;1,"Duplicate WO",""))))</f>
        <v/>
      </c>
    </row>
    <row r="870" customFormat="false" ht="15" hidden="false" customHeight="false" outlineLevel="0" collapsed="false">
      <c r="A870" s="46"/>
      <c r="B870" s="46"/>
      <c r="C870" s="54" t="str">
        <f aca="false">IF(B870="","",IFERROR(INDEX('Kitting Plan'!$D$5:$D$18,MATCH(B870,'Kitting Plan'!$C$5:$C$18,0)),"Unknown code"))</f>
        <v/>
      </c>
      <c r="D870" s="54" t="str">
        <f aca="false">IF(B870="","",IFERROR(INDEX('Kitting Plan'!$B$5:$B$18,MATCH(B870,'Kitting Plan'!$C$5:$C$18,0)),""))</f>
        <v/>
      </c>
      <c r="E870" s="45"/>
      <c r="F870" s="55" t="str">
        <f aca="false">IF(B870="","",IFERROR(INDEX('Kitting Plan'!$H$5:$H$18,MATCH(B870,'Kitting Plan'!$C$5:$C$18,0)),""))</f>
        <v/>
      </c>
      <c r="G870" s="45"/>
      <c r="H870" s="56" t="str">
        <f aca="false">IF(B870="","",IF(G870="",F870,G870))</f>
        <v/>
      </c>
      <c r="I870" s="45"/>
      <c r="J870" s="57"/>
      <c r="K870" s="46"/>
      <c r="L870" s="54" t="str">
        <f aca="false">IF(A870="","",IF(B870="","Missing code",IF(C870="Unknown code","Unknown code",IF(COUNTIF($A$6:$A$1005,A870)&gt;1,"Duplicate WO",""))))</f>
        <v/>
      </c>
    </row>
    <row r="871" customFormat="false" ht="15" hidden="false" customHeight="false" outlineLevel="0" collapsed="false">
      <c r="A871" s="46"/>
      <c r="B871" s="46"/>
      <c r="C871" s="54" t="str">
        <f aca="false">IF(B871="","",IFERROR(INDEX('Kitting Plan'!$D$5:$D$18,MATCH(B871,'Kitting Plan'!$C$5:$C$18,0)),"Unknown code"))</f>
        <v/>
      </c>
      <c r="D871" s="54" t="str">
        <f aca="false">IF(B871="","",IFERROR(INDEX('Kitting Plan'!$B$5:$B$18,MATCH(B871,'Kitting Plan'!$C$5:$C$18,0)),""))</f>
        <v/>
      </c>
      <c r="E871" s="45"/>
      <c r="F871" s="55" t="str">
        <f aca="false">IF(B871="","",IFERROR(INDEX('Kitting Plan'!$H$5:$H$18,MATCH(B871,'Kitting Plan'!$C$5:$C$18,0)),""))</f>
        <v/>
      </c>
      <c r="G871" s="45"/>
      <c r="H871" s="56" t="str">
        <f aca="false">IF(B871="","",IF(G871="",F871,G871))</f>
        <v/>
      </c>
      <c r="I871" s="45"/>
      <c r="J871" s="57"/>
      <c r="K871" s="46"/>
      <c r="L871" s="54" t="str">
        <f aca="false">IF(A871="","",IF(B871="","Missing code",IF(C871="Unknown code","Unknown code",IF(COUNTIF($A$6:$A$1005,A871)&gt;1,"Duplicate WO",""))))</f>
        <v/>
      </c>
    </row>
    <row r="872" customFormat="false" ht="15" hidden="false" customHeight="false" outlineLevel="0" collapsed="false">
      <c r="A872" s="46"/>
      <c r="B872" s="46"/>
      <c r="C872" s="54" t="str">
        <f aca="false">IF(B872="","",IFERROR(INDEX('Kitting Plan'!$D$5:$D$18,MATCH(B872,'Kitting Plan'!$C$5:$C$18,0)),"Unknown code"))</f>
        <v/>
      </c>
      <c r="D872" s="54" t="str">
        <f aca="false">IF(B872="","",IFERROR(INDEX('Kitting Plan'!$B$5:$B$18,MATCH(B872,'Kitting Plan'!$C$5:$C$18,0)),""))</f>
        <v/>
      </c>
      <c r="E872" s="45"/>
      <c r="F872" s="55" t="str">
        <f aca="false">IF(B872="","",IFERROR(INDEX('Kitting Plan'!$H$5:$H$18,MATCH(B872,'Kitting Plan'!$C$5:$C$18,0)),""))</f>
        <v/>
      </c>
      <c r="G872" s="45"/>
      <c r="H872" s="56" t="str">
        <f aca="false">IF(B872="","",IF(G872="",F872,G872))</f>
        <v/>
      </c>
      <c r="I872" s="45"/>
      <c r="J872" s="57"/>
      <c r="K872" s="46"/>
      <c r="L872" s="54" t="str">
        <f aca="false">IF(A872="","",IF(B872="","Missing code",IF(C872="Unknown code","Unknown code",IF(COUNTIF($A$6:$A$1005,A872)&gt;1,"Duplicate WO",""))))</f>
        <v/>
      </c>
    </row>
    <row r="873" customFormat="false" ht="15" hidden="false" customHeight="false" outlineLevel="0" collapsed="false">
      <c r="A873" s="46"/>
      <c r="B873" s="46"/>
      <c r="C873" s="54" t="str">
        <f aca="false">IF(B873="","",IFERROR(INDEX('Kitting Plan'!$D$5:$D$18,MATCH(B873,'Kitting Plan'!$C$5:$C$18,0)),"Unknown code"))</f>
        <v/>
      </c>
      <c r="D873" s="54" t="str">
        <f aca="false">IF(B873="","",IFERROR(INDEX('Kitting Plan'!$B$5:$B$18,MATCH(B873,'Kitting Plan'!$C$5:$C$18,0)),""))</f>
        <v/>
      </c>
      <c r="E873" s="45"/>
      <c r="F873" s="55" t="str">
        <f aca="false">IF(B873="","",IFERROR(INDEX('Kitting Plan'!$H$5:$H$18,MATCH(B873,'Kitting Plan'!$C$5:$C$18,0)),""))</f>
        <v/>
      </c>
      <c r="G873" s="45"/>
      <c r="H873" s="56" t="str">
        <f aca="false">IF(B873="","",IF(G873="",F873,G873))</f>
        <v/>
      </c>
      <c r="I873" s="45"/>
      <c r="J873" s="57"/>
      <c r="K873" s="46"/>
      <c r="L873" s="54" t="str">
        <f aca="false">IF(A873="","",IF(B873="","Missing code",IF(C873="Unknown code","Unknown code",IF(COUNTIF($A$6:$A$1005,A873)&gt;1,"Duplicate WO",""))))</f>
        <v/>
      </c>
    </row>
    <row r="874" customFormat="false" ht="15" hidden="false" customHeight="false" outlineLevel="0" collapsed="false">
      <c r="A874" s="46"/>
      <c r="B874" s="46"/>
      <c r="C874" s="54" t="str">
        <f aca="false">IF(B874="","",IFERROR(INDEX('Kitting Plan'!$D$5:$D$18,MATCH(B874,'Kitting Plan'!$C$5:$C$18,0)),"Unknown code"))</f>
        <v/>
      </c>
      <c r="D874" s="54" t="str">
        <f aca="false">IF(B874="","",IFERROR(INDEX('Kitting Plan'!$B$5:$B$18,MATCH(B874,'Kitting Plan'!$C$5:$C$18,0)),""))</f>
        <v/>
      </c>
      <c r="E874" s="45"/>
      <c r="F874" s="55" t="str">
        <f aca="false">IF(B874="","",IFERROR(INDEX('Kitting Plan'!$H$5:$H$18,MATCH(B874,'Kitting Plan'!$C$5:$C$18,0)),""))</f>
        <v/>
      </c>
      <c r="G874" s="45"/>
      <c r="H874" s="56" t="str">
        <f aca="false">IF(B874="","",IF(G874="",F874,G874))</f>
        <v/>
      </c>
      <c r="I874" s="45"/>
      <c r="J874" s="57"/>
      <c r="K874" s="46"/>
      <c r="L874" s="54" t="str">
        <f aca="false">IF(A874="","",IF(B874="","Missing code",IF(C874="Unknown code","Unknown code",IF(COUNTIF($A$6:$A$1005,A874)&gt;1,"Duplicate WO",""))))</f>
        <v/>
      </c>
    </row>
    <row r="875" customFormat="false" ht="15" hidden="false" customHeight="false" outlineLevel="0" collapsed="false">
      <c r="A875" s="46"/>
      <c r="B875" s="46"/>
      <c r="C875" s="54" t="str">
        <f aca="false">IF(B875="","",IFERROR(INDEX('Kitting Plan'!$D$5:$D$18,MATCH(B875,'Kitting Plan'!$C$5:$C$18,0)),"Unknown code"))</f>
        <v/>
      </c>
      <c r="D875" s="54" t="str">
        <f aca="false">IF(B875="","",IFERROR(INDEX('Kitting Plan'!$B$5:$B$18,MATCH(B875,'Kitting Plan'!$C$5:$C$18,0)),""))</f>
        <v/>
      </c>
      <c r="E875" s="45"/>
      <c r="F875" s="55" t="str">
        <f aca="false">IF(B875="","",IFERROR(INDEX('Kitting Plan'!$H$5:$H$18,MATCH(B875,'Kitting Plan'!$C$5:$C$18,0)),""))</f>
        <v/>
      </c>
      <c r="G875" s="45"/>
      <c r="H875" s="56" t="str">
        <f aca="false">IF(B875="","",IF(G875="",F875,G875))</f>
        <v/>
      </c>
      <c r="I875" s="45"/>
      <c r="J875" s="57"/>
      <c r="K875" s="46"/>
      <c r="L875" s="54" t="str">
        <f aca="false">IF(A875="","",IF(B875="","Missing code",IF(C875="Unknown code","Unknown code",IF(COUNTIF($A$6:$A$1005,A875)&gt;1,"Duplicate WO",""))))</f>
        <v/>
      </c>
    </row>
    <row r="876" customFormat="false" ht="15" hidden="false" customHeight="false" outlineLevel="0" collapsed="false">
      <c r="A876" s="46"/>
      <c r="B876" s="46"/>
      <c r="C876" s="54" t="str">
        <f aca="false">IF(B876="","",IFERROR(INDEX('Kitting Plan'!$D$5:$D$18,MATCH(B876,'Kitting Plan'!$C$5:$C$18,0)),"Unknown code"))</f>
        <v/>
      </c>
      <c r="D876" s="54" t="str">
        <f aca="false">IF(B876="","",IFERROR(INDEX('Kitting Plan'!$B$5:$B$18,MATCH(B876,'Kitting Plan'!$C$5:$C$18,0)),""))</f>
        <v/>
      </c>
      <c r="E876" s="45"/>
      <c r="F876" s="55" t="str">
        <f aca="false">IF(B876="","",IFERROR(INDEX('Kitting Plan'!$H$5:$H$18,MATCH(B876,'Kitting Plan'!$C$5:$C$18,0)),""))</f>
        <v/>
      </c>
      <c r="G876" s="45"/>
      <c r="H876" s="56" t="str">
        <f aca="false">IF(B876="","",IF(G876="",F876,G876))</f>
        <v/>
      </c>
      <c r="I876" s="45"/>
      <c r="J876" s="57"/>
      <c r="K876" s="46"/>
      <c r="L876" s="54" t="str">
        <f aca="false">IF(A876="","",IF(B876="","Missing code",IF(C876="Unknown code","Unknown code",IF(COUNTIF($A$6:$A$1005,A876)&gt;1,"Duplicate WO",""))))</f>
        <v/>
      </c>
    </row>
    <row r="877" customFormat="false" ht="15" hidden="false" customHeight="false" outlineLevel="0" collapsed="false">
      <c r="A877" s="46"/>
      <c r="B877" s="46"/>
      <c r="C877" s="54" t="str">
        <f aca="false">IF(B877="","",IFERROR(INDEX('Kitting Plan'!$D$5:$D$18,MATCH(B877,'Kitting Plan'!$C$5:$C$18,0)),"Unknown code"))</f>
        <v/>
      </c>
      <c r="D877" s="54" t="str">
        <f aca="false">IF(B877="","",IFERROR(INDEX('Kitting Plan'!$B$5:$B$18,MATCH(B877,'Kitting Plan'!$C$5:$C$18,0)),""))</f>
        <v/>
      </c>
      <c r="E877" s="45"/>
      <c r="F877" s="55" t="str">
        <f aca="false">IF(B877="","",IFERROR(INDEX('Kitting Plan'!$H$5:$H$18,MATCH(B877,'Kitting Plan'!$C$5:$C$18,0)),""))</f>
        <v/>
      </c>
      <c r="G877" s="45"/>
      <c r="H877" s="56" t="str">
        <f aca="false">IF(B877="","",IF(G877="",F877,G877))</f>
        <v/>
      </c>
      <c r="I877" s="45"/>
      <c r="J877" s="57"/>
      <c r="K877" s="46"/>
      <c r="L877" s="54" t="str">
        <f aca="false">IF(A877="","",IF(B877="","Missing code",IF(C877="Unknown code","Unknown code",IF(COUNTIF($A$6:$A$1005,A877)&gt;1,"Duplicate WO",""))))</f>
        <v/>
      </c>
    </row>
    <row r="878" customFormat="false" ht="15" hidden="false" customHeight="false" outlineLevel="0" collapsed="false">
      <c r="A878" s="46"/>
      <c r="B878" s="46"/>
      <c r="C878" s="54" t="str">
        <f aca="false">IF(B878="","",IFERROR(INDEX('Kitting Plan'!$D$5:$D$18,MATCH(B878,'Kitting Plan'!$C$5:$C$18,0)),"Unknown code"))</f>
        <v/>
      </c>
      <c r="D878" s="54" t="str">
        <f aca="false">IF(B878="","",IFERROR(INDEX('Kitting Plan'!$B$5:$B$18,MATCH(B878,'Kitting Plan'!$C$5:$C$18,0)),""))</f>
        <v/>
      </c>
      <c r="E878" s="45"/>
      <c r="F878" s="55" t="str">
        <f aca="false">IF(B878="","",IFERROR(INDEX('Kitting Plan'!$H$5:$H$18,MATCH(B878,'Kitting Plan'!$C$5:$C$18,0)),""))</f>
        <v/>
      </c>
      <c r="G878" s="45"/>
      <c r="H878" s="56" t="str">
        <f aca="false">IF(B878="","",IF(G878="",F878,G878))</f>
        <v/>
      </c>
      <c r="I878" s="45"/>
      <c r="J878" s="57"/>
      <c r="K878" s="46"/>
      <c r="L878" s="54" t="str">
        <f aca="false">IF(A878="","",IF(B878="","Missing code",IF(C878="Unknown code","Unknown code",IF(COUNTIF($A$6:$A$1005,A878)&gt;1,"Duplicate WO",""))))</f>
        <v/>
      </c>
    </row>
    <row r="879" customFormat="false" ht="15" hidden="false" customHeight="false" outlineLevel="0" collapsed="false">
      <c r="A879" s="46"/>
      <c r="B879" s="46"/>
      <c r="C879" s="54" t="str">
        <f aca="false">IF(B879="","",IFERROR(INDEX('Kitting Plan'!$D$5:$D$18,MATCH(B879,'Kitting Plan'!$C$5:$C$18,0)),"Unknown code"))</f>
        <v/>
      </c>
      <c r="D879" s="54" t="str">
        <f aca="false">IF(B879="","",IFERROR(INDEX('Kitting Plan'!$B$5:$B$18,MATCH(B879,'Kitting Plan'!$C$5:$C$18,0)),""))</f>
        <v/>
      </c>
      <c r="E879" s="45"/>
      <c r="F879" s="55" t="str">
        <f aca="false">IF(B879="","",IFERROR(INDEX('Kitting Plan'!$H$5:$H$18,MATCH(B879,'Kitting Plan'!$C$5:$C$18,0)),""))</f>
        <v/>
      </c>
      <c r="G879" s="45"/>
      <c r="H879" s="56" t="str">
        <f aca="false">IF(B879="","",IF(G879="",F879,G879))</f>
        <v/>
      </c>
      <c r="I879" s="45"/>
      <c r="J879" s="57"/>
      <c r="K879" s="46"/>
      <c r="L879" s="54" t="str">
        <f aca="false">IF(A879="","",IF(B879="","Missing code",IF(C879="Unknown code","Unknown code",IF(COUNTIF($A$6:$A$1005,A879)&gt;1,"Duplicate WO",""))))</f>
        <v/>
      </c>
    </row>
    <row r="880" customFormat="false" ht="15" hidden="false" customHeight="false" outlineLevel="0" collapsed="false">
      <c r="A880" s="46"/>
      <c r="B880" s="46"/>
      <c r="C880" s="54" t="str">
        <f aca="false">IF(B880="","",IFERROR(INDEX('Kitting Plan'!$D$5:$D$18,MATCH(B880,'Kitting Plan'!$C$5:$C$18,0)),"Unknown code"))</f>
        <v/>
      </c>
      <c r="D880" s="54" t="str">
        <f aca="false">IF(B880="","",IFERROR(INDEX('Kitting Plan'!$B$5:$B$18,MATCH(B880,'Kitting Plan'!$C$5:$C$18,0)),""))</f>
        <v/>
      </c>
      <c r="E880" s="45"/>
      <c r="F880" s="55" t="str">
        <f aca="false">IF(B880="","",IFERROR(INDEX('Kitting Plan'!$H$5:$H$18,MATCH(B880,'Kitting Plan'!$C$5:$C$18,0)),""))</f>
        <v/>
      </c>
      <c r="G880" s="45"/>
      <c r="H880" s="56" t="str">
        <f aca="false">IF(B880="","",IF(G880="",F880,G880))</f>
        <v/>
      </c>
      <c r="I880" s="45"/>
      <c r="J880" s="57"/>
      <c r="K880" s="46"/>
      <c r="L880" s="54" t="str">
        <f aca="false">IF(A880="","",IF(B880="","Missing code",IF(C880="Unknown code","Unknown code",IF(COUNTIF($A$6:$A$1005,A880)&gt;1,"Duplicate WO",""))))</f>
        <v/>
      </c>
    </row>
    <row r="881" customFormat="false" ht="15" hidden="false" customHeight="false" outlineLevel="0" collapsed="false">
      <c r="A881" s="46"/>
      <c r="B881" s="46"/>
      <c r="C881" s="54" t="str">
        <f aca="false">IF(B881="","",IFERROR(INDEX('Kitting Plan'!$D$5:$D$18,MATCH(B881,'Kitting Plan'!$C$5:$C$18,0)),"Unknown code"))</f>
        <v/>
      </c>
      <c r="D881" s="54" t="str">
        <f aca="false">IF(B881="","",IFERROR(INDEX('Kitting Plan'!$B$5:$B$18,MATCH(B881,'Kitting Plan'!$C$5:$C$18,0)),""))</f>
        <v/>
      </c>
      <c r="E881" s="45"/>
      <c r="F881" s="55" t="str">
        <f aca="false">IF(B881="","",IFERROR(INDEX('Kitting Plan'!$H$5:$H$18,MATCH(B881,'Kitting Plan'!$C$5:$C$18,0)),""))</f>
        <v/>
      </c>
      <c r="G881" s="45"/>
      <c r="H881" s="56" t="str">
        <f aca="false">IF(B881="","",IF(G881="",F881,G881))</f>
        <v/>
      </c>
      <c r="I881" s="45"/>
      <c r="J881" s="57"/>
      <c r="K881" s="46"/>
      <c r="L881" s="54" t="str">
        <f aca="false">IF(A881="","",IF(B881="","Missing code",IF(C881="Unknown code","Unknown code",IF(COUNTIF($A$6:$A$1005,A881)&gt;1,"Duplicate WO",""))))</f>
        <v/>
      </c>
    </row>
    <row r="882" customFormat="false" ht="15" hidden="false" customHeight="false" outlineLevel="0" collapsed="false">
      <c r="A882" s="46"/>
      <c r="B882" s="46"/>
      <c r="C882" s="54" t="str">
        <f aca="false">IF(B882="","",IFERROR(INDEX('Kitting Plan'!$D$5:$D$18,MATCH(B882,'Kitting Plan'!$C$5:$C$18,0)),"Unknown code"))</f>
        <v/>
      </c>
      <c r="D882" s="54" t="str">
        <f aca="false">IF(B882="","",IFERROR(INDEX('Kitting Plan'!$B$5:$B$18,MATCH(B882,'Kitting Plan'!$C$5:$C$18,0)),""))</f>
        <v/>
      </c>
      <c r="E882" s="45"/>
      <c r="F882" s="55" t="str">
        <f aca="false">IF(B882="","",IFERROR(INDEX('Kitting Plan'!$H$5:$H$18,MATCH(B882,'Kitting Plan'!$C$5:$C$18,0)),""))</f>
        <v/>
      </c>
      <c r="G882" s="45"/>
      <c r="H882" s="56" t="str">
        <f aca="false">IF(B882="","",IF(G882="",F882,G882))</f>
        <v/>
      </c>
      <c r="I882" s="45"/>
      <c r="J882" s="57"/>
      <c r="K882" s="46"/>
      <c r="L882" s="54" t="str">
        <f aca="false">IF(A882="","",IF(B882="","Missing code",IF(C882="Unknown code","Unknown code",IF(COUNTIF($A$6:$A$1005,A882)&gt;1,"Duplicate WO",""))))</f>
        <v/>
      </c>
    </row>
    <row r="883" customFormat="false" ht="15" hidden="false" customHeight="false" outlineLevel="0" collapsed="false">
      <c r="A883" s="46"/>
      <c r="B883" s="46"/>
      <c r="C883" s="54" t="str">
        <f aca="false">IF(B883="","",IFERROR(INDEX('Kitting Plan'!$D$5:$D$18,MATCH(B883,'Kitting Plan'!$C$5:$C$18,0)),"Unknown code"))</f>
        <v/>
      </c>
      <c r="D883" s="54" t="str">
        <f aca="false">IF(B883="","",IFERROR(INDEX('Kitting Plan'!$B$5:$B$18,MATCH(B883,'Kitting Plan'!$C$5:$C$18,0)),""))</f>
        <v/>
      </c>
      <c r="E883" s="45"/>
      <c r="F883" s="55" t="str">
        <f aca="false">IF(B883="","",IFERROR(INDEX('Kitting Plan'!$H$5:$H$18,MATCH(B883,'Kitting Plan'!$C$5:$C$18,0)),""))</f>
        <v/>
      </c>
      <c r="G883" s="45"/>
      <c r="H883" s="56" t="str">
        <f aca="false">IF(B883="","",IF(G883="",F883,G883))</f>
        <v/>
      </c>
      <c r="I883" s="45"/>
      <c r="J883" s="57"/>
      <c r="K883" s="46"/>
      <c r="L883" s="54" t="str">
        <f aca="false">IF(A883="","",IF(B883="","Missing code",IF(C883="Unknown code","Unknown code",IF(COUNTIF($A$6:$A$1005,A883)&gt;1,"Duplicate WO",""))))</f>
        <v/>
      </c>
    </row>
    <row r="884" customFormat="false" ht="15" hidden="false" customHeight="false" outlineLevel="0" collapsed="false">
      <c r="A884" s="46"/>
      <c r="B884" s="46"/>
      <c r="C884" s="54" t="str">
        <f aca="false">IF(B884="","",IFERROR(INDEX('Kitting Plan'!$D$5:$D$18,MATCH(B884,'Kitting Plan'!$C$5:$C$18,0)),"Unknown code"))</f>
        <v/>
      </c>
      <c r="D884" s="54" t="str">
        <f aca="false">IF(B884="","",IFERROR(INDEX('Kitting Plan'!$B$5:$B$18,MATCH(B884,'Kitting Plan'!$C$5:$C$18,0)),""))</f>
        <v/>
      </c>
      <c r="E884" s="45"/>
      <c r="F884" s="55" t="str">
        <f aca="false">IF(B884="","",IFERROR(INDEX('Kitting Plan'!$H$5:$H$18,MATCH(B884,'Kitting Plan'!$C$5:$C$18,0)),""))</f>
        <v/>
      </c>
      <c r="G884" s="45"/>
      <c r="H884" s="56" t="str">
        <f aca="false">IF(B884="","",IF(G884="",F884,G884))</f>
        <v/>
      </c>
      <c r="I884" s="45"/>
      <c r="J884" s="57"/>
      <c r="K884" s="46"/>
      <c r="L884" s="54" t="str">
        <f aca="false">IF(A884="","",IF(B884="","Missing code",IF(C884="Unknown code","Unknown code",IF(COUNTIF($A$6:$A$1005,A884)&gt;1,"Duplicate WO",""))))</f>
        <v/>
      </c>
    </row>
    <row r="885" customFormat="false" ht="15" hidden="false" customHeight="false" outlineLevel="0" collapsed="false">
      <c r="A885" s="46"/>
      <c r="B885" s="46"/>
      <c r="C885" s="54" t="str">
        <f aca="false">IF(B885="","",IFERROR(INDEX('Kitting Plan'!$D$5:$D$18,MATCH(B885,'Kitting Plan'!$C$5:$C$18,0)),"Unknown code"))</f>
        <v/>
      </c>
      <c r="D885" s="54" t="str">
        <f aca="false">IF(B885="","",IFERROR(INDEX('Kitting Plan'!$B$5:$B$18,MATCH(B885,'Kitting Plan'!$C$5:$C$18,0)),""))</f>
        <v/>
      </c>
      <c r="E885" s="45"/>
      <c r="F885" s="55" t="str">
        <f aca="false">IF(B885="","",IFERROR(INDEX('Kitting Plan'!$H$5:$H$18,MATCH(B885,'Kitting Plan'!$C$5:$C$18,0)),""))</f>
        <v/>
      </c>
      <c r="G885" s="45"/>
      <c r="H885" s="56" t="str">
        <f aca="false">IF(B885="","",IF(G885="",F885,G885))</f>
        <v/>
      </c>
      <c r="I885" s="45"/>
      <c r="J885" s="57"/>
      <c r="K885" s="46"/>
      <c r="L885" s="54" t="str">
        <f aca="false">IF(A885="","",IF(B885="","Missing code",IF(C885="Unknown code","Unknown code",IF(COUNTIF($A$6:$A$1005,A885)&gt;1,"Duplicate WO",""))))</f>
        <v/>
      </c>
    </row>
    <row r="886" customFormat="false" ht="15" hidden="false" customHeight="false" outlineLevel="0" collapsed="false">
      <c r="A886" s="46"/>
      <c r="B886" s="46"/>
      <c r="C886" s="54" t="str">
        <f aca="false">IF(B886="","",IFERROR(INDEX('Kitting Plan'!$D$5:$D$18,MATCH(B886,'Kitting Plan'!$C$5:$C$18,0)),"Unknown code"))</f>
        <v/>
      </c>
      <c r="D886" s="54" t="str">
        <f aca="false">IF(B886="","",IFERROR(INDEX('Kitting Plan'!$B$5:$B$18,MATCH(B886,'Kitting Plan'!$C$5:$C$18,0)),""))</f>
        <v/>
      </c>
      <c r="E886" s="45"/>
      <c r="F886" s="55" t="str">
        <f aca="false">IF(B886="","",IFERROR(INDEX('Kitting Plan'!$H$5:$H$18,MATCH(B886,'Kitting Plan'!$C$5:$C$18,0)),""))</f>
        <v/>
      </c>
      <c r="G886" s="45"/>
      <c r="H886" s="56" t="str">
        <f aca="false">IF(B886="","",IF(G886="",F886,G886))</f>
        <v/>
      </c>
      <c r="I886" s="45"/>
      <c r="J886" s="57"/>
      <c r="K886" s="46"/>
      <c r="L886" s="54" t="str">
        <f aca="false">IF(A886="","",IF(B886="","Missing code",IF(C886="Unknown code","Unknown code",IF(COUNTIF($A$6:$A$1005,A886)&gt;1,"Duplicate WO",""))))</f>
        <v/>
      </c>
    </row>
    <row r="887" customFormat="false" ht="15" hidden="false" customHeight="false" outlineLevel="0" collapsed="false">
      <c r="A887" s="46"/>
      <c r="B887" s="46"/>
      <c r="C887" s="54" t="str">
        <f aca="false">IF(B887="","",IFERROR(INDEX('Kitting Plan'!$D$5:$D$18,MATCH(B887,'Kitting Plan'!$C$5:$C$18,0)),"Unknown code"))</f>
        <v/>
      </c>
      <c r="D887" s="54" t="str">
        <f aca="false">IF(B887="","",IFERROR(INDEX('Kitting Plan'!$B$5:$B$18,MATCH(B887,'Kitting Plan'!$C$5:$C$18,0)),""))</f>
        <v/>
      </c>
      <c r="E887" s="45"/>
      <c r="F887" s="55" t="str">
        <f aca="false">IF(B887="","",IFERROR(INDEX('Kitting Plan'!$H$5:$H$18,MATCH(B887,'Kitting Plan'!$C$5:$C$18,0)),""))</f>
        <v/>
      </c>
      <c r="G887" s="45"/>
      <c r="H887" s="56" t="str">
        <f aca="false">IF(B887="","",IF(G887="",F887,G887))</f>
        <v/>
      </c>
      <c r="I887" s="45"/>
      <c r="J887" s="57"/>
      <c r="K887" s="46"/>
      <c r="L887" s="54" t="str">
        <f aca="false">IF(A887="","",IF(B887="","Missing code",IF(C887="Unknown code","Unknown code",IF(COUNTIF($A$6:$A$1005,A887)&gt;1,"Duplicate WO",""))))</f>
        <v/>
      </c>
    </row>
    <row r="888" customFormat="false" ht="15" hidden="false" customHeight="false" outlineLevel="0" collapsed="false">
      <c r="A888" s="46"/>
      <c r="B888" s="46"/>
      <c r="C888" s="54" t="str">
        <f aca="false">IF(B888="","",IFERROR(INDEX('Kitting Plan'!$D$5:$D$18,MATCH(B888,'Kitting Plan'!$C$5:$C$18,0)),"Unknown code"))</f>
        <v/>
      </c>
      <c r="D888" s="54" t="str">
        <f aca="false">IF(B888="","",IFERROR(INDEX('Kitting Plan'!$B$5:$B$18,MATCH(B888,'Kitting Plan'!$C$5:$C$18,0)),""))</f>
        <v/>
      </c>
      <c r="E888" s="45"/>
      <c r="F888" s="55" t="str">
        <f aca="false">IF(B888="","",IFERROR(INDEX('Kitting Plan'!$H$5:$H$18,MATCH(B888,'Kitting Plan'!$C$5:$C$18,0)),""))</f>
        <v/>
      </c>
      <c r="G888" s="45"/>
      <c r="H888" s="56" t="str">
        <f aca="false">IF(B888="","",IF(G888="",F888,G888))</f>
        <v/>
      </c>
      <c r="I888" s="45"/>
      <c r="J888" s="57"/>
      <c r="K888" s="46"/>
      <c r="L888" s="54" t="str">
        <f aca="false">IF(A888="","",IF(B888="","Missing code",IF(C888="Unknown code","Unknown code",IF(COUNTIF($A$6:$A$1005,A888)&gt;1,"Duplicate WO",""))))</f>
        <v/>
      </c>
    </row>
    <row r="889" customFormat="false" ht="15" hidden="false" customHeight="false" outlineLevel="0" collapsed="false">
      <c r="A889" s="46"/>
      <c r="B889" s="46"/>
      <c r="C889" s="54" t="str">
        <f aca="false">IF(B889="","",IFERROR(INDEX('Kitting Plan'!$D$5:$D$18,MATCH(B889,'Kitting Plan'!$C$5:$C$18,0)),"Unknown code"))</f>
        <v/>
      </c>
      <c r="D889" s="54" t="str">
        <f aca="false">IF(B889="","",IFERROR(INDEX('Kitting Plan'!$B$5:$B$18,MATCH(B889,'Kitting Plan'!$C$5:$C$18,0)),""))</f>
        <v/>
      </c>
      <c r="E889" s="45"/>
      <c r="F889" s="55" t="str">
        <f aca="false">IF(B889="","",IFERROR(INDEX('Kitting Plan'!$H$5:$H$18,MATCH(B889,'Kitting Plan'!$C$5:$C$18,0)),""))</f>
        <v/>
      </c>
      <c r="G889" s="45"/>
      <c r="H889" s="56" t="str">
        <f aca="false">IF(B889="","",IF(G889="",F889,G889))</f>
        <v/>
      </c>
      <c r="I889" s="45"/>
      <c r="J889" s="57"/>
      <c r="K889" s="46"/>
      <c r="L889" s="54" t="str">
        <f aca="false">IF(A889="","",IF(B889="","Missing code",IF(C889="Unknown code","Unknown code",IF(COUNTIF($A$6:$A$1005,A889)&gt;1,"Duplicate WO",""))))</f>
        <v/>
      </c>
    </row>
    <row r="890" customFormat="false" ht="15" hidden="false" customHeight="false" outlineLevel="0" collapsed="false">
      <c r="A890" s="46"/>
      <c r="B890" s="46"/>
      <c r="C890" s="54" t="str">
        <f aca="false">IF(B890="","",IFERROR(INDEX('Kitting Plan'!$D$5:$D$18,MATCH(B890,'Kitting Plan'!$C$5:$C$18,0)),"Unknown code"))</f>
        <v/>
      </c>
      <c r="D890" s="54" t="str">
        <f aca="false">IF(B890="","",IFERROR(INDEX('Kitting Plan'!$B$5:$B$18,MATCH(B890,'Kitting Plan'!$C$5:$C$18,0)),""))</f>
        <v/>
      </c>
      <c r="E890" s="45"/>
      <c r="F890" s="55" t="str">
        <f aca="false">IF(B890="","",IFERROR(INDEX('Kitting Plan'!$H$5:$H$18,MATCH(B890,'Kitting Plan'!$C$5:$C$18,0)),""))</f>
        <v/>
      </c>
      <c r="G890" s="45"/>
      <c r="H890" s="56" t="str">
        <f aca="false">IF(B890="","",IF(G890="",F890,G890))</f>
        <v/>
      </c>
      <c r="I890" s="45"/>
      <c r="J890" s="57"/>
      <c r="K890" s="46"/>
      <c r="L890" s="54" t="str">
        <f aca="false">IF(A890="","",IF(B890="","Missing code",IF(C890="Unknown code","Unknown code",IF(COUNTIF($A$6:$A$1005,A890)&gt;1,"Duplicate WO",""))))</f>
        <v/>
      </c>
    </row>
    <row r="891" customFormat="false" ht="15" hidden="false" customHeight="false" outlineLevel="0" collapsed="false">
      <c r="A891" s="46"/>
      <c r="B891" s="46"/>
      <c r="C891" s="54" t="str">
        <f aca="false">IF(B891="","",IFERROR(INDEX('Kitting Plan'!$D$5:$D$18,MATCH(B891,'Kitting Plan'!$C$5:$C$18,0)),"Unknown code"))</f>
        <v/>
      </c>
      <c r="D891" s="54" t="str">
        <f aca="false">IF(B891="","",IFERROR(INDEX('Kitting Plan'!$B$5:$B$18,MATCH(B891,'Kitting Plan'!$C$5:$C$18,0)),""))</f>
        <v/>
      </c>
      <c r="E891" s="45"/>
      <c r="F891" s="55" t="str">
        <f aca="false">IF(B891="","",IFERROR(INDEX('Kitting Plan'!$H$5:$H$18,MATCH(B891,'Kitting Plan'!$C$5:$C$18,0)),""))</f>
        <v/>
      </c>
      <c r="G891" s="45"/>
      <c r="H891" s="56" t="str">
        <f aca="false">IF(B891="","",IF(G891="",F891,G891))</f>
        <v/>
      </c>
      <c r="I891" s="45"/>
      <c r="J891" s="57"/>
      <c r="K891" s="46"/>
      <c r="L891" s="54" t="str">
        <f aca="false">IF(A891="","",IF(B891="","Missing code",IF(C891="Unknown code","Unknown code",IF(COUNTIF($A$6:$A$1005,A891)&gt;1,"Duplicate WO",""))))</f>
        <v/>
      </c>
    </row>
    <row r="892" customFormat="false" ht="15" hidden="false" customHeight="false" outlineLevel="0" collapsed="false">
      <c r="A892" s="46"/>
      <c r="B892" s="46"/>
      <c r="C892" s="54" t="str">
        <f aca="false">IF(B892="","",IFERROR(INDEX('Kitting Plan'!$D$5:$D$18,MATCH(B892,'Kitting Plan'!$C$5:$C$18,0)),"Unknown code"))</f>
        <v/>
      </c>
      <c r="D892" s="54" t="str">
        <f aca="false">IF(B892="","",IFERROR(INDEX('Kitting Plan'!$B$5:$B$18,MATCH(B892,'Kitting Plan'!$C$5:$C$18,0)),""))</f>
        <v/>
      </c>
      <c r="E892" s="45"/>
      <c r="F892" s="55" t="str">
        <f aca="false">IF(B892="","",IFERROR(INDEX('Kitting Plan'!$H$5:$H$18,MATCH(B892,'Kitting Plan'!$C$5:$C$18,0)),""))</f>
        <v/>
      </c>
      <c r="G892" s="45"/>
      <c r="H892" s="56" t="str">
        <f aca="false">IF(B892="","",IF(G892="",F892,G892))</f>
        <v/>
      </c>
      <c r="I892" s="45"/>
      <c r="J892" s="57"/>
      <c r="K892" s="46"/>
      <c r="L892" s="54" t="str">
        <f aca="false">IF(A892="","",IF(B892="","Missing code",IF(C892="Unknown code","Unknown code",IF(COUNTIF($A$6:$A$1005,A892)&gt;1,"Duplicate WO",""))))</f>
        <v/>
      </c>
    </row>
    <row r="893" customFormat="false" ht="15" hidden="false" customHeight="false" outlineLevel="0" collapsed="false">
      <c r="A893" s="46"/>
      <c r="B893" s="46"/>
      <c r="C893" s="54" t="str">
        <f aca="false">IF(B893="","",IFERROR(INDEX('Kitting Plan'!$D$5:$D$18,MATCH(B893,'Kitting Plan'!$C$5:$C$18,0)),"Unknown code"))</f>
        <v/>
      </c>
      <c r="D893" s="54" t="str">
        <f aca="false">IF(B893="","",IFERROR(INDEX('Kitting Plan'!$B$5:$B$18,MATCH(B893,'Kitting Plan'!$C$5:$C$18,0)),""))</f>
        <v/>
      </c>
      <c r="E893" s="45"/>
      <c r="F893" s="55" t="str">
        <f aca="false">IF(B893="","",IFERROR(INDEX('Kitting Plan'!$H$5:$H$18,MATCH(B893,'Kitting Plan'!$C$5:$C$18,0)),""))</f>
        <v/>
      </c>
      <c r="G893" s="45"/>
      <c r="H893" s="56" t="str">
        <f aca="false">IF(B893="","",IF(G893="",F893,G893))</f>
        <v/>
      </c>
      <c r="I893" s="45"/>
      <c r="J893" s="57"/>
      <c r="K893" s="46"/>
      <c r="L893" s="54" t="str">
        <f aca="false">IF(A893="","",IF(B893="","Missing code",IF(C893="Unknown code","Unknown code",IF(COUNTIF($A$6:$A$1005,A893)&gt;1,"Duplicate WO",""))))</f>
        <v/>
      </c>
    </row>
    <row r="894" customFormat="false" ht="15" hidden="false" customHeight="false" outlineLevel="0" collapsed="false">
      <c r="A894" s="46"/>
      <c r="B894" s="46"/>
      <c r="C894" s="54" t="str">
        <f aca="false">IF(B894="","",IFERROR(INDEX('Kitting Plan'!$D$5:$D$18,MATCH(B894,'Kitting Plan'!$C$5:$C$18,0)),"Unknown code"))</f>
        <v/>
      </c>
      <c r="D894" s="54" t="str">
        <f aca="false">IF(B894="","",IFERROR(INDEX('Kitting Plan'!$B$5:$B$18,MATCH(B894,'Kitting Plan'!$C$5:$C$18,0)),""))</f>
        <v/>
      </c>
      <c r="E894" s="45"/>
      <c r="F894" s="55" t="str">
        <f aca="false">IF(B894="","",IFERROR(INDEX('Kitting Plan'!$H$5:$H$18,MATCH(B894,'Kitting Plan'!$C$5:$C$18,0)),""))</f>
        <v/>
      </c>
      <c r="G894" s="45"/>
      <c r="H894" s="56" t="str">
        <f aca="false">IF(B894="","",IF(G894="",F894,G894))</f>
        <v/>
      </c>
      <c r="I894" s="45"/>
      <c r="J894" s="57"/>
      <c r="K894" s="46"/>
      <c r="L894" s="54" t="str">
        <f aca="false">IF(A894="","",IF(B894="","Missing code",IF(C894="Unknown code","Unknown code",IF(COUNTIF($A$6:$A$1005,A894)&gt;1,"Duplicate WO",""))))</f>
        <v/>
      </c>
    </row>
    <row r="895" customFormat="false" ht="15" hidden="false" customHeight="false" outlineLevel="0" collapsed="false">
      <c r="A895" s="46"/>
      <c r="B895" s="46"/>
      <c r="C895" s="54" t="str">
        <f aca="false">IF(B895="","",IFERROR(INDEX('Kitting Plan'!$D$5:$D$18,MATCH(B895,'Kitting Plan'!$C$5:$C$18,0)),"Unknown code"))</f>
        <v/>
      </c>
      <c r="D895" s="54" t="str">
        <f aca="false">IF(B895="","",IFERROR(INDEX('Kitting Plan'!$B$5:$B$18,MATCH(B895,'Kitting Plan'!$C$5:$C$18,0)),""))</f>
        <v/>
      </c>
      <c r="E895" s="45"/>
      <c r="F895" s="55" t="str">
        <f aca="false">IF(B895="","",IFERROR(INDEX('Kitting Plan'!$H$5:$H$18,MATCH(B895,'Kitting Plan'!$C$5:$C$18,0)),""))</f>
        <v/>
      </c>
      <c r="G895" s="45"/>
      <c r="H895" s="56" t="str">
        <f aca="false">IF(B895="","",IF(G895="",F895,G895))</f>
        <v/>
      </c>
      <c r="I895" s="45"/>
      <c r="J895" s="57"/>
      <c r="K895" s="46"/>
      <c r="L895" s="54" t="str">
        <f aca="false">IF(A895="","",IF(B895="","Missing code",IF(C895="Unknown code","Unknown code",IF(COUNTIF($A$6:$A$1005,A895)&gt;1,"Duplicate WO",""))))</f>
        <v/>
      </c>
    </row>
    <row r="896" customFormat="false" ht="15" hidden="false" customHeight="false" outlineLevel="0" collapsed="false">
      <c r="A896" s="46"/>
      <c r="B896" s="46"/>
      <c r="C896" s="54" t="str">
        <f aca="false">IF(B896="","",IFERROR(INDEX('Kitting Plan'!$D$5:$D$18,MATCH(B896,'Kitting Plan'!$C$5:$C$18,0)),"Unknown code"))</f>
        <v/>
      </c>
      <c r="D896" s="54" t="str">
        <f aca="false">IF(B896="","",IFERROR(INDEX('Kitting Plan'!$B$5:$B$18,MATCH(B896,'Kitting Plan'!$C$5:$C$18,0)),""))</f>
        <v/>
      </c>
      <c r="E896" s="45"/>
      <c r="F896" s="55" t="str">
        <f aca="false">IF(B896="","",IFERROR(INDEX('Kitting Plan'!$H$5:$H$18,MATCH(B896,'Kitting Plan'!$C$5:$C$18,0)),""))</f>
        <v/>
      </c>
      <c r="G896" s="45"/>
      <c r="H896" s="56" t="str">
        <f aca="false">IF(B896="","",IF(G896="",F896,G896))</f>
        <v/>
      </c>
      <c r="I896" s="45"/>
      <c r="J896" s="57"/>
      <c r="K896" s="46"/>
      <c r="L896" s="54" t="str">
        <f aca="false">IF(A896="","",IF(B896="","Missing code",IF(C896="Unknown code","Unknown code",IF(COUNTIF($A$6:$A$1005,A896)&gt;1,"Duplicate WO",""))))</f>
        <v/>
      </c>
    </row>
    <row r="897" customFormat="false" ht="15" hidden="false" customHeight="false" outlineLevel="0" collapsed="false">
      <c r="A897" s="46"/>
      <c r="B897" s="46"/>
      <c r="C897" s="54" t="str">
        <f aca="false">IF(B897="","",IFERROR(INDEX('Kitting Plan'!$D$5:$D$18,MATCH(B897,'Kitting Plan'!$C$5:$C$18,0)),"Unknown code"))</f>
        <v/>
      </c>
      <c r="D897" s="54" t="str">
        <f aca="false">IF(B897="","",IFERROR(INDEX('Kitting Plan'!$B$5:$B$18,MATCH(B897,'Kitting Plan'!$C$5:$C$18,0)),""))</f>
        <v/>
      </c>
      <c r="E897" s="45"/>
      <c r="F897" s="55" t="str">
        <f aca="false">IF(B897="","",IFERROR(INDEX('Kitting Plan'!$H$5:$H$18,MATCH(B897,'Kitting Plan'!$C$5:$C$18,0)),""))</f>
        <v/>
      </c>
      <c r="G897" s="45"/>
      <c r="H897" s="56" t="str">
        <f aca="false">IF(B897="","",IF(G897="",F897,G897))</f>
        <v/>
      </c>
      <c r="I897" s="45"/>
      <c r="J897" s="57"/>
      <c r="K897" s="46"/>
      <c r="L897" s="54" t="str">
        <f aca="false">IF(A897="","",IF(B897="","Missing code",IF(C897="Unknown code","Unknown code",IF(COUNTIF($A$6:$A$1005,A897)&gt;1,"Duplicate WO",""))))</f>
        <v/>
      </c>
    </row>
    <row r="898" customFormat="false" ht="15" hidden="false" customHeight="false" outlineLevel="0" collapsed="false">
      <c r="A898" s="46"/>
      <c r="B898" s="46"/>
      <c r="C898" s="54" t="str">
        <f aca="false">IF(B898="","",IFERROR(INDEX('Kitting Plan'!$D$5:$D$18,MATCH(B898,'Kitting Plan'!$C$5:$C$18,0)),"Unknown code"))</f>
        <v/>
      </c>
      <c r="D898" s="54" t="str">
        <f aca="false">IF(B898="","",IFERROR(INDEX('Kitting Plan'!$B$5:$B$18,MATCH(B898,'Kitting Plan'!$C$5:$C$18,0)),""))</f>
        <v/>
      </c>
      <c r="E898" s="45"/>
      <c r="F898" s="55" t="str">
        <f aca="false">IF(B898="","",IFERROR(INDEX('Kitting Plan'!$H$5:$H$18,MATCH(B898,'Kitting Plan'!$C$5:$C$18,0)),""))</f>
        <v/>
      </c>
      <c r="G898" s="45"/>
      <c r="H898" s="56" t="str">
        <f aca="false">IF(B898="","",IF(G898="",F898,G898))</f>
        <v/>
      </c>
      <c r="I898" s="45"/>
      <c r="J898" s="57"/>
      <c r="K898" s="46"/>
      <c r="L898" s="54" t="str">
        <f aca="false">IF(A898="","",IF(B898="","Missing code",IF(C898="Unknown code","Unknown code",IF(COUNTIF($A$6:$A$1005,A898)&gt;1,"Duplicate WO",""))))</f>
        <v/>
      </c>
    </row>
    <row r="899" customFormat="false" ht="15" hidden="false" customHeight="false" outlineLevel="0" collapsed="false">
      <c r="A899" s="46"/>
      <c r="B899" s="46"/>
      <c r="C899" s="54" t="str">
        <f aca="false">IF(B899="","",IFERROR(INDEX('Kitting Plan'!$D$5:$D$18,MATCH(B899,'Kitting Plan'!$C$5:$C$18,0)),"Unknown code"))</f>
        <v/>
      </c>
      <c r="D899" s="54" t="str">
        <f aca="false">IF(B899="","",IFERROR(INDEX('Kitting Plan'!$B$5:$B$18,MATCH(B899,'Kitting Plan'!$C$5:$C$18,0)),""))</f>
        <v/>
      </c>
      <c r="E899" s="45"/>
      <c r="F899" s="55" t="str">
        <f aca="false">IF(B899="","",IFERROR(INDEX('Kitting Plan'!$H$5:$H$18,MATCH(B899,'Kitting Plan'!$C$5:$C$18,0)),""))</f>
        <v/>
      </c>
      <c r="G899" s="45"/>
      <c r="H899" s="56" t="str">
        <f aca="false">IF(B899="","",IF(G899="",F899,G899))</f>
        <v/>
      </c>
      <c r="I899" s="45"/>
      <c r="J899" s="57"/>
      <c r="K899" s="46"/>
      <c r="L899" s="54" t="str">
        <f aca="false">IF(A899="","",IF(B899="","Missing code",IF(C899="Unknown code","Unknown code",IF(COUNTIF($A$6:$A$1005,A899)&gt;1,"Duplicate WO",""))))</f>
        <v/>
      </c>
    </row>
    <row r="900" customFormat="false" ht="15" hidden="false" customHeight="false" outlineLevel="0" collapsed="false">
      <c r="A900" s="46"/>
      <c r="B900" s="46"/>
      <c r="C900" s="54" t="str">
        <f aca="false">IF(B900="","",IFERROR(INDEX('Kitting Plan'!$D$5:$D$18,MATCH(B900,'Kitting Plan'!$C$5:$C$18,0)),"Unknown code"))</f>
        <v/>
      </c>
      <c r="D900" s="54" t="str">
        <f aca="false">IF(B900="","",IFERROR(INDEX('Kitting Plan'!$B$5:$B$18,MATCH(B900,'Kitting Plan'!$C$5:$C$18,0)),""))</f>
        <v/>
      </c>
      <c r="E900" s="45"/>
      <c r="F900" s="55" t="str">
        <f aca="false">IF(B900="","",IFERROR(INDEX('Kitting Plan'!$H$5:$H$18,MATCH(B900,'Kitting Plan'!$C$5:$C$18,0)),""))</f>
        <v/>
      </c>
      <c r="G900" s="45"/>
      <c r="H900" s="56" t="str">
        <f aca="false">IF(B900="","",IF(G900="",F900,G900))</f>
        <v/>
      </c>
      <c r="I900" s="45"/>
      <c r="J900" s="57"/>
      <c r="K900" s="46"/>
      <c r="L900" s="54" t="str">
        <f aca="false">IF(A900="","",IF(B900="","Missing code",IF(C900="Unknown code","Unknown code",IF(COUNTIF($A$6:$A$1005,A900)&gt;1,"Duplicate WO",""))))</f>
        <v/>
      </c>
    </row>
    <row r="901" customFormat="false" ht="15" hidden="false" customHeight="false" outlineLevel="0" collapsed="false">
      <c r="A901" s="46"/>
      <c r="B901" s="46"/>
      <c r="C901" s="54" t="str">
        <f aca="false">IF(B901="","",IFERROR(INDEX('Kitting Plan'!$D$5:$D$18,MATCH(B901,'Kitting Plan'!$C$5:$C$18,0)),"Unknown code"))</f>
        <v/>
      </c>
      <c r="D901" s="54" t="str">
        <f aca="false">IF(B901="","",IFERROR(INDEX('Kitting Plan'!$B$5:$B$18,MATCH(B901,'Kitting Plan'!$C$5:$C$18,0)),""))</f>
        <v/>
      </c>
      <c r="E901" s="45"/>
      <c r="F901" s="55" t="str">
        <f aca="false">IF(B901="","",IFERROR(INDEX('Kitting Plan'!$H$5:$H$18,MATCH(B901,'Kitting Plan'!$C$5:$C$18,0)),""))</f>
        <v/>
      </c>
      <c r="G901" s="45"/>
      <c r="H901" s="56" t="str">
        <f aca="false">IF(B901="","",IF(G901="",F901,G901))</f>
        <v/>
      </c>
      <c r="I901" s="45"/>
      <c r="J901" s="57"/>
      <c r="K901" s="46"/>
      <c r="L901" s="54" t="str">
        <f aca="false">IF(A901="","",IF(B901="","Missing code",IF(C901="Unknown code","Unknown code",IF(COUNTIF($A$6:$A$1005,A901)&gt;1,"Duplicate WO",""))))</f>
        <v/>
      </c>
    </row>
    <row r="902" customFormat="false" ht="15" hidden="false" customHeight="false" outlineLevel="0" collapsed="false">
      <c r="A902" s="46"/>
      <c r="B902" s="46"/>
      <c r="C902" s="54" t="str">
        <f aca="false">IF(B902="","",IFERROR(INDEX('Kitting Plan'!$D$5:$D$18,MATCH(B902,'Kitting Plan'!$C$5:$C$18,0)),"Unknown code"))</f>
        <v/>
      </c>
      <c r="D902" s="54" t="str">
        <f aca="false">IF(B902="","",IFERROR(INDEX('Kitting Plan'!$B$5:$B$18,MATCH(B902,'Kitting Plan'!$C$5:$C$18,0)),""))</f>
        <v/>
      </c>
      <c r="E902" s="45"/>
      <c r="F902" s="55" t="str">
        <f aca="false">IF(B902="","",IFERROR(INDEX('Kitting Plan'!$H$5:$H$18,MATCH(B902,'Kitting Plan'!$C$5:$C$18,0)),""))</f>
        <v/>
      </c>
      <c r="G902" s="45"/>
      <c r="H902" s="56" t="str">
        <f aca="false">IF(B902="","",IF(G902="",F902,G902))</f>
        <v/>
      </c>
      <c r="I902" s="45"/>
      <c r="J902" s="57"/>
      <c r="K902" s="46"/>
      <c r="L902" s="54" t="str">
        <f aca="false">IF(A902="","",IF(B902="","Missing code",IF(C902="Unknown code","Unknown code",IF(COUNTIF($A$6:$A$1005,A902)&gt;1,"Duplicate WO",""))))</f>
        <v/>
      </c>
    </row>
    <row r="903" customFormat="false" ht="15" hidden="false" customHeight="false" outlineLevel="0" collapsed="false">
      <c r="A903" s="46"/>
      <c r="B903" s="46"/>
      <c r="C903" s="54" t="str">
        <f aca="false">IF(B903="","",IFERROR(INDEX('Kitting Plan'!$D$5:$D$18,MATCH(B903,'Kitting Plan'!$C$5:$C$18,0)),"Unknown code"))</f>
        <v/>
      </c>
      <c r="D903" s="54" t="str">
        <f aca="false">IF(B903="","",IFERROR(INDEX('Kitting Plan'!$B$5:$B$18,MATCH(B903,'Kitting Plan'!$C$5:$C$18,0)),""))</f>
        <v/>
      </c>
      <c r="E903" s="45"/>
      <c r="F903" s="55" t="str">
        <f aca="false">IF(B903="","",IFERROR(INDEX('Kitting Plan'!$H$5:$H$18,MATCH(B903,'Kitting Plan'!$C$5:$C$18,0)),""))</f>
        <v/>
      </c>
      <c r="G903" s="45"/>
      <c r="H903" s="56" t="str">
        <f aca="false">IF(B903="","",IF(G903="",F903,G903))</f>
        <v/>
      </c>
      <c r="I903" s="45"/>
      <c r="J903" s="57"/>
      <c r="K903" s="46"/>
      <c r="L903" s="54" t="str">
        <f aca="false">IF(A903="","",IF(B903="","Missing code",IF(C903="Unknown code","Unknown code",IF(COUNTIF($A$6:$A$1005,A903)&gt;1,"Duplicate WO",""))))</f>
        <v/>
      </c>
    </row>
    <row r="904" customFormat="false" ht="15" hidden="false" customHeight="false" outlineLevel="0" collapsed="false">
      <c r="A904" s="46"/>
      <c r="B904" s="46"/>
      <c r="C904" s="54" t="str">
        <f aca="false">IF(B904="","",IFERROR(INDEX('Kitting Plan'!$D$5:$D$18,MATCH(B904,'Kitting Plan'!$C$5:$C$18,0)),"Unknown code"))</f>
        <v/>
      </c>
      <c r="D904" s="54" t="str">
        <f aca="false">IF(B904="","",IFERROR(INDEX('Kitting Plan'!$B$5:$B$18,MATCH(B904,'Kitting Plan'!$C$5:$C$18,0)),""))</f>
        <v/>
      </c>
      <c r="E904" s="45"/>
      <c r="F904" s="55" t="str">
        <f aca="false">IF(B904="","",IFERROR(INDEX('Kitting Plan'!$H$5:$H$18,MATCH(B904,'Kitting Plan'!$C$5:$C$18,0)),""))</f>
        <v/>
      </c>
      <c r="G904" s="45"/>
      <c r="H904" s="56" t="str">
        <f aca="false">IF(B904="","",IF(G904="",F904,G904))</f>
        <v/>
      </c>
      <c r="I904" s="45"/>
      <c r="J904" s="57"/>
      <c r="K904" s="46"/>
      <c r="L904" s="54" t="str">
        <f aca="false">IF(A904="","",IF(B904="","Missing code",IF(C904="Unknown code","Unknown code",IF(COUNTIF($A$6:$A$1005,A904)&gt;1,"Duplicate WO",""))))</f>
        <v/>
      </c>
    </row>
    <row r="905" customFormat="false" ht="15" hidden="false" customHeight="false" outlineLevel="0" collapsed="false">
      <c r="A905" s="46"/>
      <c r="B905" s="46"/>
      <c r="C905" s="54" t="str">
        <f aca="false">IF(B905="","",IFERROR(INDEX('Kitting Plan'!$D$5:$D$18,MATCH(B905,'Kitting Plan'!$C$5:$C$18,0)),"Unknown code"))</f>
        <v/>
      </c>
      <c r="D905" s="54" t="str">
        <f aca="false">IF(B905="","",IFERROR(INDEX('Kitting Plan'!$B$5:$B$18,MATCH(B905,'Kitting Plan'!$C$5:$C$18,0)),""))</f>
        <v/>
      </c>
      <c r="E905" s="45"/>
      <c r="F905" s="55" t="str">
        <f aca="false">IF(B905="","",IFERROR(INDEX('Kitting Plan'!$H$5:$H$18,MATCH(B905,'Kitting Plan'!$C$5:$C$18,0)),""))</f>
        <v/>
      </c>
      <c r="G905" s="45"/>
      <c r="H905" s="56" t="str">
        <f aca="false">IF(B905="","",IF(G905="",F905,G905))</f>
        <v/>
      </c>
      <c r="I905" s="45"/>
      <c r="J905" s="57"/>
      <c r="K905" s="46"/>
      <c r="L905" s="54" t="str">
        <f aca="false">IF(A905="","",IF(B905="","Missing code",IF(C905="Unknown code","Unknown code",IF(COUNTIF($A$6:$A$1005,A905)&gt;1,"Duplicate WO",""))))</f>
        <v/>
      </c>
    </row>
    <row r="906" customFormat="false" ht="15" hidden="false" customHeight="false" outlineLevel="0" collapsed="false">
      <c r="A906" s="46"/>
      <c r="B906" s="46"/>
      <c r="C906" s="54" t="str">
        <f aca="false">IF(B906="","",IFERROR(INDEX('Kitting Plan'!$D$5:$D$18,MATCH(B906,'Kitting Plan'!$C$5:$C$18,0)),"Unknown code"))</f>
        <v/>
      </c>
      <c r="D906" s="54" t="str">
        <f aca="false">IF(B906="","",IFERROR(INDEX('Kitting Plan'!$B$5:$B$18,MATCH(B906,'Kitting Plan'!$C$5:$C$18,0)),""))</f>
        <v/>
      </c>
      <c r="E906" s="45"/>
      <c r="F906" s="55" t="str">
        <f aca="false">IF(B906="","",IFERROR(INDEX('Kitting Plan'!$H$5:$H$18,MATCH(B906,'Kitting Plan'!$C$5:$C$18,0)),""))</f>
        <v/>
      </c>
      <c r="G906" s="45"/>
      <c r="H906" s="56" t="str">
        <f aca="false">IF(B906="","",IF(G906="",F906,G906))</f>
        <v/>
      </c>
      <c r="I906" s="45"/>
      <c r="J906" s="57"/>
      <c r="K906" s="46"/>
      <c r="L906" s="54" t="str">
        <f aca="false">IF(A906="","",IF(B906="","Missing code",IF(C906="Unknown code","Unknown code",IF(COUNTIF($A$6:$A$1005,A906)&gt;1,"Duplicate WO",""))))</f>
        <v/>
      </c>
    </row>
    <row r="907" customFormat="false" ht="15" hidden="false" customHeight="false" outlineLevel="0" collapsed="false">
      <c r="A907" s="46"/>
      <c r="B907" s="46"/>
      <c r="C907" s="54" t="str">
        <f aca="false">IF(B907="","",IFERROR(INDEX('Kitting Plan'!$D$5:$D$18,MATCH(B907,'Kitting Plan'!$C$5:$C$18,0)),"Unknown code"))</f>
        <v/>
      </c>
      <c r="D907" s="54" t="str">
        <f aca="false">IF(B907="","",IFERROR(INDEX('Kitting Plan'!$B$5:$B$18,MATCH(B907,'Kitting Plan'!$C$5:$C$18,0)),""))</f>
        <v/>
      </c>
      <c r="E907" s="45"/>
      <c r="F907" s="55" t="str">
        <f aca="false">IF(B907="","",IFERROR(INDEX('Kitting Plan'!$H$5:$H$18,MATCH(B907,'Kitting Plan'!$C$5:$C$18,0)),""))</f>
        <v/>
      </c>
      <c r="G907" s="45"/>
      <c r="H907" s="56" t="str">
        <f aca="false">IF(B907="","",IF(G907="",F907,G907))</f>
        <v/>
      </c>
      <c r="I907" s="45"/>
      <c r="J907" s="57"/>
      <c r="K907" s="46"/>
      <c r="L907" s="54" t="str">
        <f aca="false">IF(A907="","",IF(B907="","Missing code",IF(C907="Unknown code","Unknown code",IF(COUNTIF($A$6:$A$1005,A907)&gt;1,"Duplicate WO",""))))</f>
        <v/>
      </c>
    </row>
    <row r="908" customFormat="false" ht="15" hidden="false" customHeight="false" outlineLevel="0" collapsed="false">
      <c r="A908" s="46"/>
      <c r="B908" s="46"/>
      <c r="C908" s="54" t="str">
        <f aca="false">IF(B908="","",IFERROR(INDEX('Kitting Plan'!$D$5:$D$18,MATCH(B908,'Kitting Plan'!$C$5:$C$18,0)),"Unknown code"))</f>
        <v/>
      </c>
      <c r="D908" s="54" t="str">
        <f aca="false">IF(B908="","",IFERROR(INDEX('Kitting Plan'!$B$5:$B$18,MATCH(B908,'Kitting Plan'!$C$5:$C$18,0)),""))</f>
        <v/>
      </c>
      <c r="E908" s="45"/>
      <c r="F908" s="55" t="str">
        <f aca="false">IF(B908="","",IFERROR(INDEX('Kitting Plan'!$H$5:$H$18,MATCH(B908,'Kitting Plan'!$C$5:$C$18,0)),""))</f>
        <v/>
      </c>
      <c r="G908" s="45"/>
      <c r="H908" s="56" t="str">
        <f aca="false">IF(B908="","",IF(G908="",F908,G908))</f>
        <v/>
      </c>
      <c r="I908" s="45"/>
      <c r="J908" s="57"/>
      <c r="K908" s="46"/>
      <c r="L908" s="54" t="str">
        <f aca="false">IF(A908="","",IF(B908="","Missing code",IF(C908="Unknown code","Unknown code",IF(COUNTIF($A$6:$A$1005,A908)&gt;1,"Duplicate WO",""))))</f>
        <v/>
      </c>
    </row>
    <row r="909" customFormat="false" ht="15" hidden="false" customHeight="false" outlineLevel="0" collapsed="false">
      <c r="A909" s="46"/>
      <c r="B909" s="46"/>
      <c r="C909" s="54" t="str">
        <f aca="false">IF(B909="","",IFERROR(INDEX('Kitting Plan'!$D$5:$D$18,MATCH(B909,'Kitting Plan'!$C$5:$C$18,0)),"Unknown code"))</f>
        <v/>
      </c>
      <c r="D909" s="54" t="str">
        <f aca="false">IF(B909="","",IFERROR(INDEX('Kitting Plan'!$B$5:$B$18,MATCH(B909,'Kitting Plan'!$C$5:$C$18,0)),""))</f>
        <v/>
      </c>
      <c r="E909" s="45"/>
      <c r="F909" s="55" t="str">
        <f aca="false">IF(B909="","",IFERROR(INDEX('Kitting Plan'!$H$5:$H$18,MATCH(B909,'Kitting Plan'!$C$5:$C$18,0)),""))</f>
        <v/>
      </c>
      <c r="G909" s="45"/>
      <c r="H909" s="56" t="str">
        <f aca="false">IF(B909="","",IF(G909="",F909,G909))</f>
        <v/>
      </c>
      <c r="I909" s="45"/>
      <c r="J909" s="57"/>
      <c r="K909" s="46"/>
      <c r="L909" s="54" t="str">
        <f aca="false">IF(A909="","",IF(B909="","Missing code",IF(C909="Unknown code","Unknown code",IF(COUNTIF($A$6:$A$1005,A909)&gt;1,"Duplicate WO",""))))</f>
        <v/>
      </c>
    </row>
    <row r="910" customFormat="false" ht="15" hidden="false" customHeight="false" outlineLevel="0" collapsed="false">
      <c r="A910" s="46"/>
      <c r="B910" s="46"/>
      <c r="C910" s="54" t="str">
        <f aca="false">IF(B910="","",IFERROR(INDEX('Kitting Plan'!$D$5:$D$18,MATCH(B910,'Kitting Plan'!$C$5:$C$18,0)),"Unknown code"))</f>
        <v/>
      </c>
      <c r="D910" s="54" t="str">
        <f aca="false">IF(B910="","",IFERROR(INDEX('Kitting Plan'!$B$5:$B$18,MATCH(B910,'Kitting Plan'!$C$5:$C$18,0)),""))</f>
        <v/>
      </c>
      <c r="E910" s="45"/>
      <c r="F910" s="55" t="str">
        <f aca="false">IF(B910="","",IFERROR(INDEX('Kitting Plan'!$H$5:$H$18,MATCH(B910,'Kitting Plan'!$C$5:$C$18,0)),""))</f>
        <v/>
      </c>
      <c r="G910" s="45"/>
      <c r="H910" s="56" t="str">
        <f aca="false">IF(B910="","",IF(G910="",F910,G910))</f>
        <v/>
      </c>
      <c r="I910" s="45"/>
      <c r="J910" s="57"/>
      <c r="K910" s="46"/>
      <c r="L910" s="54" t="str">
        <f aca="false">IF(A910="","",IF(B910="","Missing code",IF(C910="Unknown code","Unknown code",IF(COUNTIF($A$6:$A$1005,A910)&gt;1,"Duplicate WO",""))))</f>
        <v/>
      </c>
    </row>
    <row r="911" customFormat="false" ht="15" hidden="false" customHeight="false" outlineLevel="0" collapsed="false">
      <c r="A911" s="46"/>
      <c r="B911" s="46"/>
      <c r="C911" s="54" t="str">
        <f aca="false">IF(B911="","",IFERROR(INDEX('Kitting Plan'!$D$5:$D$18,MATCH(B911,'Kitting Plan'!$C$5:$C$18,0)),"Unknown code"))</f>
        <v/>
      </c>
      <c r="D911" s="54" t="str">
        <f aca="false">IF(B911="","",IFERROR(INDEX('Kitting Plan'!$B$5:$B$18,MATCH(B911,'Kitting Plan'!$C$5:$C$18,0)),""))</f>
        <v/>
      </c>
      <c r="E911" s="45"/>
      <c r="F911" s="55" t="str">
        <f aca="false">IF(B911="","",IFERROR(INDEX('Kitting Plan'!$H$5:$H$18,MATCH(B911,'Kitting Plan'!$C$5:$C$18,0)),""))</f>
        <v/>
      </c>
      <c r="G911" s="45"/>
      <c r="H911" s="56" t="str">
        <f aca="false">IF(B911="","",IF(G911="",F911,G911))</f>
        <v/>
      </c>
      <c r="I911" s="45"/>
      <c r="J911" s="57"/>
      <c r="K911" s="46"/>
      <c r="L911" s="54" t="str">
        <f aca="false">IF(A911="","",IF(B911="","Missing code",IF(C911="Unknown code","Unknown code",IF(COUNTIF($A$6:$A$1005,A911)&gt;1,"Duplicate WO",""))))</f>
        <v/>
      </c>
    </row>
    <row r="912" customFormat="false" ht="15" hidden="false" customHeight="false" outlineLevel="0" collapsed="false">
      <c r="A912" s="46"/>
      <c r="B912" s="46"/>
      <c r="C912" s="54" t="str">
        <f aca="false">IF(B912="","",IFERROR(INDEX('Kitting Plan'!$D$5:$D$18,MATCH(B912,'Kitting Plan'!$C$5:$C$18,0)),"Unknown code"))</f>
        <v/>
      </c>
      <c r="D912" s="54" t="str">
        <f aca="false">IF(B912="","",IFERROR(INDEX('Kitting Plan'!$B$5:$B$18,MATCH(B912,'Kitting Plan'!$C$5:$C$18,0)),""))</f>
        <v/>
      </c>
      <c r="E912" s="45"/>
      <c r="F912" s="55" t="str">
        <f aca="false">IF(B912="","",IFERROR(INDEX('Kitting Plan'!$H$5:$H$18,MATCH(B912,'Kitting Plan'!$C$5:$C$18,0)),""))</f>
        <v/>
      </c>
      <c r="G912" s="45"/>
      <c r="H912" s="56" t="str">
        <f aca="false">IF(B912="","",IF(G912="",F912,G912))</f>
        <v/>
      </c>
      <c r="I912" s="45"/>
      <c r="J912" s="57"/>
      <c r="K912" s="46"/>
      <c r="L912" s="54" t="str">
        <f aca="false">IF(A912="","",IF(B912="","Missing code",IF(C912="Unknown code","Unknown code",IF(COUNTIF($A$6:$A$1005,A912)&gt;1,"Duplicate WO",""))))</f>
        <v/>
      </c>
    </row>
    <row r="913" customFormat="false" ht="15" hidden="false" customHeight="false" outlineLevel="0" collapsed="false">
      <c r="A913" s="46"/>
      <c r="B913" s="46"/>
      <c r="C913" s="54" t="str">
        <f aca="false">IF(B913="","",IFERROR(INDEX('Kitting Plan'!$D$5:$D$18,MATCH(B913,'Kitting Plan'!$C$5:$C$18,0)),"Unknown code"))</f>
        <v/>
      </c>
      <c r="D913" s="54" t="str">
        <f aca="false">IF(B913="","",IFERROR(INDEX('Kitting Plan'!$B$5:$B$18,MATCH(B913,'Kitting Plan'!$C$5:$C$18,0)),""))</f>
        <v/>
      </c>
      <c r="E913" s="45"/>
      <c r="F913" s="55" t="str">
        <f aca="false">IF(B913="","",IFERROR(INDEX('Kitting Plan'!$H$5:$H$18,MATCH(B913,'Kitting Plan'!$C$5:$C$18,0)),""))</f>
        <v/>
      </c>
      <c r="G913" s="45"/>
      <c r="H913" s="56" t="str">
        <f aca="false">IF(B913="","",IF(G913="",F913,G913))</f>
        <v/>
      </c>
      <c r="I913" s="45"/>
      <c r="J913" s="57"/>
      <c r="K913" s="46"/>
      <c r="L913" s="54" t="str">
        <f aca="false">IF(A913="","",IF(B913="","Missing code",IF(C913="Unknown code","Unknown code",IF(COUNTIF($A$6:$A$1005,A913)&gt;1,"Duplicate WO",""))))</f>
        <v/>
      </c>
    </row>
    <row r="914" customFormat="false" ht="15" hidden="false" customHeight="false" outlineLevel="0" collapsed="false">
      <c r="A914" s="46"/>
      <c r="B914" s="46"/>
      <c r="C914" s="54" t="str">
        <f aca="false">IF(B914="","",IFERROR(INDEX('Kitting Plan'!$D$5:$D$18,MATCH(B914,'Kitting Plan'!$C$5:$C$18,0)),"Unknown code"))</f>
        <v/>
      </c>
      <c r="D914" s="54" t="str">
        <f aca="false">IF(B914="","",IFERROR(INDEX('Kitting Plan'!$B$5:$B$18,MATCH(B914,'Kitting Plan'!$C$5:$C$18,0)),""))</f>
        <v/>
      </c>
      <c r="E914" s="45"/>
      <c r="F914" s="55" t="str">
        <f aca="false">IF(B914="","",IFERROR(INDEX('Kitting Plan'!$H$5:$H$18,MATCH(B914,'Kitting Plan'!$C$5:$C$18,0)),""))</f>
        <v/>
      </c>
      <c r="G914" s="45"/>
      <c r="H914" s="56" t="str">
        <f aca="false">IF(B914="","",IF(G914="",F914,G914))</f>
        <v/>
      </c>
      <c r="I914" s="45"/>
      <c r="J914" s="57"/>
      <c r="K914" s="46"/>
      <c r="L914" s="54" t="str">
        <f aca="false">IF(A914="","",IF(B914="","Missing code",IF(C914="Unknown code","Unknown code",IF(COUNTIF($A$6:$A$1005,A914)&gt;1,"Duplicate WO",""))))</f>
        <v/>
      </c>
    </row>
    <row r="915" customFormat="false" ht="15" hidden="false" customHeight="false" outlineLevel="0" collapsed="false">
      <c r="A915" s="46"/>
      <c r="B915" s="46"/>
      <c r="C915" s="54" t="str">
        <f aca="false">IF(B915="","",IFERROR(INDEX('Kitting Plan'!$D$5:$D$18,MATCH(B915,'Kitting Plan'!$C$5:$C$18,0)),"Unknown code"))</f>
        <v/>
      </c>
      <c r="D915" s="54" t="str">
        <f aca="false">IF(B915="","",IFERROR(INDEX('Kitting Plan'!$B$5:$B$18,MATCH(B915,'Kitting Plan'!$C$5:$C$18,0)),""))</f>
        <v/>
      </c>
      <c r="E915" s="45"/>
      <c r="F915" s="55" t="str">
        <f aca="false">IF(B915="","",IFERROR(INDEX('Kitting Plan'!$H$5:$H$18,MATCH(B915,'Kitting Plan'!$C$5:$C$18,0)),""))</f>
        <v/>
      </c>
      <c r="G915" s="45"/>
      <c r="H915" s="56" t="str">
        <f aca="false">IF(B915="","",IF(G915="",F915,G915))</f>
        <v/>
      </c>
      <c r="I915" s="45"/>
      <c r="J915" s="57"/>
      <c r="K915" s="46"/>
      <c r="L915" s="54" t="str">
        <f aca="false">IF(A915="","",IF(B915="","Missing code",IF(C915="Unknown code","Unknown code",IF(COUNTIF($A$6:$A$1005,A915)&gt;1,"Duplicate WO",""))))</f>
        <v/>
      </c>
    </row>
    <row r="916" customFormat="false" ht="15" hidden="false" customHeight="false" outlineLevel="0" collapsed="false">
      <c r="A916" s="46"/>
      <c r="B916" s="46"/>
      <c r="C916" s="54" t="str">
        <f aca="false">IF(B916="","",IFERROR(INDEX('Kitting Plan'!$D$5:$D$18,MATCH(B916,'Kitting Plan'!$C$5:$C$18,0)),"Unknown code"))</f>
        <v/>
      </c>
      <c r="D916" s="54" t="str">
        <f aca="false">IF(B916="","",IFERROR(INDEX('Kitting Plan'!$B$5:$B$18,MATCH(B916,'Kitting Plan'!$C$5:$C$18,0)),""))</f>
        <v/>
      </c>
      <c r="E916" s="45"/>
      <c r="F916" s="55" t="str">
        <f aca="false">IF(B916="","",IFERROR(INDEX('Kitting Plan'!$H$5:$H$18,MATCH(B916,'Kitting Plan'!$C$5:$C$18,0)),""))</f>
        <v/>
      </c>
      <c r="G916" s="45"/>
      <c r="H916" s="56" t="str">
        <f aca="false">IF(B916="","",IF(G916="",F916,G916))</f>
        <v/>
      </c>
      <c r="I916" s="45"/>
      <c r="J916" s="57"/>
      <c r="K916" s="46"/>
      <c r="L916" s="54" t="str">
        <f aca="false">IF(A916="","",IF(B916="","Missing code",IF(C916="Unknown code","Unknown code",IF(COUNTIF($A$6:$A$1005,A916)&gt;1,"Duplicate WO",""))))</f>
        <v/>
      </c>
    </row>
    <row r="917" customFormat="false" ht="15" hidden="false" customHeight="false" outlineLevel="0" collapsed="false">
      <c r="A917" s="46"/>
      <c r="B917" s="46"/>
      <c r="C917" s="54" t="str">
        <f aca="false">IF(B917="","",IFERROR(INDEX('Kitting Plan'!$D$5:$D$18,MATCH(B917,'Kitting Plan'!$C$5:$C$18,0)),"Unknown code"))</f>
        <v/>
      </c>
      <c r="D917" s="54" t="str">
        <f aca="false">IF(B917="","",IFERROR(INDEX('Kitting Plan'!$B$5:$B$18,MATCH(B917,'Kitting Plan'!$C$5:$C$18,0)),""))</f>
        <v/>
      </c>
      <c r="E917" s="45"/>
      <c r="F917" s="55" t="str">
        <f aca="false">IF(B917="","",IFERROR(INDEX('Kitting Plan'!$H$5:$H$18,MATCH(B917,'Kitting Plan'!$C$5:$C$18,0)),""))</f>
        <v/>
      </c>
      <c r="G917" s="45"/>
      <c r="H917" s="56" t="str">
        <f aca="false">IF(B917="","",IF(G917="",F917,G917))</f>
        <v/>
      </c>
      <c r="I917" s="45"/>
      <c r="J917" s="57"/>
      <c r="K917" s="46"/>
      <c r="L917" s="54" t="str">
        <f aca="false">IF(A917="","",IF(B917="","Missing code",IF(C917="Unknown code","Unknown code",IF(COUNTIF($A$6:$A$1005,A917)&gt;1,"Duplicate WO",""))))</f>
        <v/>
      </c>
    </row>
    <row r="918" customFormat="false" ht="15" hidden="false" customHeight="false" outlineLevel="0" collapsed="false">
      <c r="A918" s="46"/>
      <c r="B918" s="46"/>
      <c r="C918" s="54" t="str">
        <f aca="false">IF(B918="","",IFERROR(INDEX('Kitting Plan'!$D$5:$D$18,MATCH(B918,'Kitting Plan'!$C$5:$C$18,0)),"Unknown code"))</f>
        <v/>
      </c>
      <c r="D918" s="54" t="str">
        <f aca="false">IF(B918="","",IFERROR(INDEX('Kitting Plan'!$B$5:$B$18,MATCH(B918,'Kitting Plan'!$C$5:$C$18,0)),""))</f>
        <v/>
      </c>
      <c r="E918" s="45"/>
      <c r="F918" s="55" t="str">
        <f aca="false">IF(B918="","",IFERROR(INDEX('Kitting Plan'!$H$5:$H$18,MATCH(B918,'Kitting Plan'!$C$5:$C$18,0)),""))</f>
        <v/>
      </c>
      <c r="G918" s="45"/>
      <c r="H918" s="56" t="str">
        <f aca="false">IF(B918="","",IF(G918="",F918,G918))</f>
        <v/>
      </c>
      <c r="I918" s="45"/>
      <c r="J918" s="57"/>
      <c r="K918" s="46"/>
      <c r="L918" s="54" t="str">
        <f aca="false">IF(A918="","",IF(B918="","Missing code",IF(C918="Unknown code","Unknown code",IF(COUNTIF($A$6:$A$1005,A918)&gt;1,"Duplicate WO",""))))</f>
        <v/>
      </c>
    </row>
    <row r="919" customFormat="false" ht="15" hidden="false" customHeight="false" outlineLevel="0" collapsed="false">
      <c r="A919" s="46"/>
      <c r="B919" s="46"/>
      <c r="C919" s="54" t="str">
        <f aca="false">IF(B919="","",IFERROR(INDEX('Kitting Plan'!$D$5:$D$18,MATCH(B919,'Kitting Plan'!$C$5:$C$18,0)),"Unknown code"))</f>
        <v/>
      </c>
      <c r="D919" s="54" t="str">
        <f aca="false">IF(B919="","",IFERROR(INDEX('Kitting Plan'!$B$5:$B$18,MATCH(B919,'Kitting Plan'!$C$5:$C$18,0)),""))</f>
        <v/>
      </c>
      <c r="E919" s="45"/>
      <c r="F919" s="55" t="str">
        <f aca="false">IF(B919="","",IFERROR(INDEX('Kitting Plan'!$H$5:$H$18,MATCH(B919,'Kitting Plan'!$C$5:$C$18,0)),""))</f>
        <v/>
      </c>
      <c r="G919" s="45"/>
      <c r="H919" s="56" t="str">
        <f aca="false">IF(B919="","",IF(G919="",F919,G919))</f>
        <v/>
      </c>
      <c r="I919" s="45"/>
      <c r="J919" s="57"/>
      <c r="K919" s="46"/>
      <c r="L919" s="54" t="str">
        <f aca="false">IF(A919="","",IF(B919="","Missing code",IF(C919="Unknown code","Unknown code",IF(COUNTIF($A$6:$A$1005,A919)&gt;1,"Duplicate WO",""))))</f>
        <v/>
      </c>
    </row>
    <row r="920" customFormat="false" ht="15" hidden="false" customHeight="false" outlineLevel="0" collapsed="false">
      <c r="A920" s="46"/>
      <c r="B920" s="46"/>
      <c r="C920" s="54" t="str">
        <f aca="false">IF(B920="","",IFERROR(INDEX('Kitting Plan'!$D$5:$D$18,MATCH(B920,'Kitting Plan'!$C$5:$C$18,0)),"Unknown code"))</f>
        <v/>
      </c>
      <c r="D920" s="54" t="str">
        <f aca="false">IF(B920="","",IFERROR(INDEX('Kitting Plan'!$B$5:$B$18,MATCH(B920,'Kitting Plan'!$C$5:$C$18,0)),""))</f>
        <v/>
      </c>
      <c r="E920" s="45"/>
      <c r="F920" s="55" t="str">
        <f aca="false">IF(B920="","",IFERROR(INDEX('Kitting Plan'!$H$5:$H$18,MATCH(B920,'Kitting Plan'!$C$5:$C$18,0)),""))</f>
        <v/>
      </c>
      <c r="G920" s="45"/>
      <c r="H920" s="56" t="str">
        <f aca="false">IF(B920="","",IF(G920="",F920,G920))</f>
        <v/>
      </c>
      <c r="I920" s="45"/>
      <c r="J920" s="57"/>
      <c r="K920" s="46"/>
      <c r="L920" s="54" t="str">
        <f aca="false">IF(A920="","",IF(B920="","Missing code",IF(C920="Unknown code","Unknown code",IF(COUNTIF($A$6:$A$1005,A920)&gt;1,"Duplicate WO",""))))</f>
        <v/>
      </c>
    </row>
    <row r="921" customFormat="false" ht="15" hidden="false" customHeight="false" outlineLevel="0" collapsed="false">
      <c r="A921" s="46"/>
      <c r="B921" s="46"/>
      <c r="C921" s="54" t="str">
        <f aca="false">IF(B921="","",IFERROR(INDEX('Kitting Plan'!$D$5:$D$18,MATCH(B921,'Kitting Plan'!$C$5:$C$18,0)),"Unknown code"))</f>
        <v/>
      </c>
      <c r="D921" s="54" t="str">
        <f aca="false">IF(B921="","",IFERROR(INDEX('Kitting Plan'!$B$5:$B$18,MATCH(B921,'Kitting Plan'!$C$5:$C$18,0)),""))</f>
        <v/>
      </c>
      <c r="E921" s="45"/>
      <c r="F921" s="55" t="str">
        <f aca="false">IF(B921="","",IFERROR(INDEX('Kitting Plan'!$H$5:$H$18,MATCH(B921,'Kitting Plan'!$C$5:$C$18,0)),""))</f>
        <v/>
      </c>
      <c r="G921" s="45"/>
      <c r="H921" s="56" t="str">
        <f aca="false">IF(B921="","",IF(G921="",F921,G921))</f>
        <v/>
      </c>
      <c r="I921" s="45"/>
      <c r="J921" s="57"/>
      <c r="K921" s="46"/>
      <c r="L921" s="54" t="str">
        <f aca="false">IF(A921="","",IF(B921="","Missing code",IF(C921="Unknown code","Unknown code",IF(COUNTIF($A$6:$A$1005,A921)&gt;1,"Duplicate WO",""))))</f>
        <v/>
      </c>
    </row>
    <row r="922" customFormat="false" ht="15" hidden="false" customHeight="false" outlineLevel="0" collapsed="false">
      <c r="A922" s="46"/>
      <c r="B922" s="46"/>
      <c r="C922" s="54" t="str">
        <f aca="false">IF(B922="","",IFERROR(INDEX('Kitting Plan'!$D$5:$D$18,MATCH(B922,'Kitting Plan'!$C$5:$C$18,0)),"Unknown code"))</f>
        <v/>
      </c>
      <c r="D922" s="54" t="str">
        <f aca="false">IF(B922="","",IFERROR(INDEX('Kitting Plan'!$B$5:$B$18,MATCH(B922,'Kitting Plan'!$C$5:$C$18,0)),""))</f>
        <v/>
      </c>
      <c r="E922" s="45"/>
      <c r="F922" s="55" t="str">
        <f aca="false">IF(B922="","",IFERROR(INDEX('Kitting Plan'!$H$5:$H$18,MATCH(B922,'Kitting Plan'!$C$5:$C$18,0)),""))</f>
        <v/>
      </c>
      <c r="G922" s="45"/>
      <c r="H922" s="56" t="str">
        <f aca="false">IF(B922="","",IF(G922="",F922,G922))</f>
        <v/>
      </c>
      <c r="I922" s="45"/>
      <c r="J922" s="57"/>
      <c r="K922" s="46"/>
      <c r="L922" s="54" t="str">
        <f aca="false">IF(A922="","",IF(B922="","Missing code",IF(C922="Unknown code","Unknown code",IF(COUNTIF($A$6:$A$1005,A922)&gt;1,"Duplicate WO",""))))</f>
        <v/>
      </c>
    </row>
    <row r="923" customFormat="false" ht="15" hidden="false" customHeight="false" outlineLevel="0" collapsed="false">
      <c r="A923" s="46"/>
      <c r="B923" s="46"/>
      <c r="C923" s="54" t="str">
        <f aca="false">IF(B923="","",IFERROR(INDEX('Kitting Plan'!$D$5:$D$18,MATCH(B923,'Kitting Plan'!$C$5:$C$18,0)),"Unknown code"))</f>
        <v/>
      </c>
      <c r="D923" s="54" t="str">
        <f aca="false">IF(B923="","",IFERROR(INDEX('Kitting Plan'!$B$5:$B$18,MATCH(B923,'Kitting Plan'!$C$5:$C$18,0)),""))</f>
        <v/>
      </c>
      <c r="E923" s="45"/>
      <c r="F923" s="55" t="str">
        <f aca="false">IF(B923="","",IFERROR(INDEX('Kitting Plan'!$H$5:$H$18,MATCH(B923,'Kitting Plan'!$C$5:$C$18,0)),""))</f>
        <v/>
      </c>
      <c r="G923" s="45"/>
      <c r="H923" s="56" t="str">
        <f aca="false">IF(B923="","",IF(G923="",F923,G923))</f>
        <v/>
      </c>
      <c r="I923" s="45"/>
      <c r="J923" s="57"/>
      <c r="K923" s="46"/>
      <c r="L923" s="54" t="str">
        <f aca="false">IF(A923="","",IF(B923="","Missing code",IF(C923="Unknown code","Unknown code",IF(COUNTIF($A$6:$A$1005,A923)&gt;1,"Duplicate WO",""))))</f>
        <v/>
      </c>
    </row>
    <row r="924" customFormat="false" ht="15" hidden="false" customHeight="false" outlineLevel="0" collapsed="false">
      <c r="A924" s="46"/>
      <c r="B924" s="46"/>
      <c r="C924" s="54" t="str">
        <f aca="false">IF(B924="","",IFERROR(INDEX('Kitting Plan'!$D$5:$D$18,MATCH(B924,'Kitting Plan'!$C$5:$C$18,0)),"Unknown code"))</f>
        <v/>
      </c>
      <c r="D924" s="54" t="str">
        <f aca="false">IF(B924="","",IFERROR(INDEX('Kitting Plan'!$B$5:$B$18,MATCH(B924,'Kitting Plan'!$C$5:$C$18,0)),""))</f>
        <v/>
      </c>
      <c r="E924" s="45"/>
      <c r="F924" s="55" t="str">
        <f aca="false">IF(B924="","",IFERROR(INDEX('Kitting Plan'!$H$5:$H$18,MATCH(B924,'Kitting Plan'!$C$5:$C$18,0)),""))</f>
        <v/>
      </c>
      <c r="G924" s="45"/>
      <c r="H924" s="56" t="str">
        <f aca="false">IF(B924="","",IF(G924="",F924,G924))</f>
        <v/>
      </c>
      <c r="I924" s="45"/>
      <c r="J924" s="57"/>
      <c r="K924" s="46"/>
      <c r="L924" s="54" t="str">
        <f aca="false">IF(A924="","",IF(B924="","Missing code",IF(C924="Unknown code","Unknown code",IF(COUNTIF($A$6:$A$1005,A924)&gt;1,"Duplicate WO",""))))</f>
        <v/>
      </c>
    </row>
    <row r="925" customFormat="false" ht="15" hidden="false" customHeight="false" outlineLevel="0" collapsed="false">
      <c r="A925" s="46"/>
      <c r="B925" s="46"/>
      <c r="C925" s="54" t="str">
        <f aca="false">IF(B925="","",IFERROR(INDEX('Kitting Plan'!$D$5:$D$18,MATCH(B925,'Kitting Plan'!$C$5:$C$18,0)),"Unknown code"))</f>
        <v/>
      </c>
      <c r="D925" s="54" t="str">
        <f aca="false">IF(B925="","",IFERROR(INDEX('Kitting Plan'!$B$5:$B$18,MATCH(B925,'Kitting Plan'!$C$5:$C$18,0)),""))</f>
        <v/>
      </c>
      <c r="E925" s="45"/>
      <c r="F925" s="55" t="str">
        <f aca="false">IF(B925="","",IFERROR(INDEX('Kitting Plan'!$H$5:$H$18,MATCH(B925,'Kitting Plan'!$C$5:$C$18,0)),""))</f>
        <v/>
      </c>
      <c r="G925" s="45"/>
      <c r="H925" s="56" t="str">
        <f aca="false">IF(B925="","",IF(G925="",F925,G925))</f>
        <v/>
      </c>
      <c r="I925" s="45"/>
      <c r="J925" s="57"/>
      <c r="K925" s="46"/>
      <c r="L925" s="54" t="str">
        <f aca="false">IF(A925="","",IF(B925="","Missing code",IF(C925="Unknown code","Unknown code",IF(COUNTIF($A$6:$A$1005,A925)&gt;1,"Duplicate WO",""))))</f>
        <v/>
      </c>
    </row>
    <row r="926" customFormat="false" ht="15" hidden="false" customHeight="false" outlineLevel="0" collapsed="false">
      <c r="A926" s="46"/>
      <c r="B926" s="46"/>
      <c r="C926" s="54" t="str">
        <f aca="false">IF(B926="","",IFERROR(INDEX('Kitting Plan'!$D$5:$D$18,MATCH(B926,'Kitting Plan'!$C$5:$C$18,0)),"Unknown code"))</f>
        <v/>
      </c>
      <c r="D926" s="54" t="str">
        <f aca="false">IF(B926="","",IFERROR(INDEX('Kitting Plan'!$B$5:$B$18,MATCH(B926,'Kitting Plan'!$C$5:$C$18,0)),""))</f>
        <v/>
      </c>
      <c r="E926" s="45"/>
      <c r="F926" s="55" t="str">
        <f aca="false">IF(B926="","",IFERROR(INDEX('Kitting Plan'!$H$5:$H$18,MATCH(B926,'Kitting Plan'!$C$5:$C$18,0)),""))</f>
        <v/>
      </c>
      <c r="G926" s="45"/>
      <c r="H926" s="56" t="str">
        <f aca="false">IF(B926="","",IF(G926="",F926,G926))</f>
        <v/>
      </c>
      <c r="I926" s="45"/>
      <c r="J926" s="57"/>
      <c r="K926" s="46"/>
      <c r="L926" s="54" t="str">
        <f aca="false">IF(A926="","",IF(B926="","Missing code",IF(C926="Unknown code","Unknown code",IF(COUNTIF($A$6:$A$1005,A926)&gt;1,"Duplicate WO",""))))</f>
        <v/>
      </c>
    </row>
    <row r="927" customFormat="false" ht="15" hidden="false" customHeight="false" outlineLevel="0" collapsed="false">
      <c r="A927" s="46"/>
      <c r="B927" s="46"/>
      <c r="C927" s="54" t="str">
        <f aca="false">IF(B927="","",IFERROR(INDEX('Kitting Plan'!$D$5:$D$18,MATCH(B927,'Kitting Plan'!$C$5:$C$18,0)),"Unknown code"))</f>
        <v/>
      </c>
      <c r="D927" s="54" t="str">
        <f aca="false">IF(B927="","",IFERROR(INDEX('Kitting Plan'!$B$5:$B$18,MATCH(B927,'Kitting Plan'!$C$5:$C$18,0)),""))</f>
        <v/>
      </c>
      <c r="E927" s="45"/>
      <c r="F927" s="55" t="str">
        <f aca="false">IF(B927="","",IFERROR(INDEX('Kitting Plan'!$H$5:$H$18,MATCH(B927,'Kitting Plan'!$C$5:$C$18,0)),""))</f>
        <v/>
      </c>
      <c r="G927" s="45"/>
      <c r="H927" s="56" t="str">
        <f aca="false">IF(B927="","",IF(G927="",F927,G927))</f>
        <v/>
      </c>
      <c r="I927" s="45"/>
      <c r="J927" s="57"/>
      <c r="K927" s="46"/>
      <c r="L927" s="54" t="str">
        <f aca="false">IF(A927="","",IF(B927="","Missing code",IF(C927="Unknown code","Unknown code",IF(COUNTIF($A$6:$A$1005,A927)&gt;1,"Duplicate WO",""))))</f>
        <v/>
      </c>
    </row>
    <row r="928" customFormat="false" ht="15" hidden="false" customHeight="false" outlineLevel="0" collapsed="false">
      <c r="A928" s="46"/>
      <c r="B928" s="46"/>
      <c r="C928" s="54" t="str">
        <f aca="false">IF(B928="","",IFERROR(INDEX('Kitting Plan'!$D$5:$D$18,MATCH(B928,'Kitting Plan'!$C$5:$C$18,0)),"Unknown code"))</f>
        <v/>
      </c>
      <c r="D928" s="54" t="str">
        <f aca="false">IF(B928="","",IFERROR(INDEX('Kitting Plan'!$B$5:$B$18,MATCH(B928,'Kitting Plan'!$C$5:$C$18,0)),""))</f>
        <v/>
      </c>
      <c r="E928" s="45"/>
      <c r="F928" s="55" t="str">
        <f aca="false">IF(B928="","",IFERROR(INDEX('Kitting Plan'!$H$5:$H$18,MATCH(B928,'Kitting Plan'!$C$5:$C$18,0)),""))</f>
        <v/>
      </c>
      <c r="G928" s="45"/>
      <c r="H928" s="56" t="str">
        <f aca="false">IF(B928="","",IF(G928="",F928,G928))</f>
        <v/>
      </c>
      <c r="I928" s="45"/>
      <c r="J928" s="57"/>
      <c r="K928" s="46"/>
      <c r="L928" s="54" t="str">
        <f aca="false">IF(A928="","",IF(B928="","Missing code",IF(C928="Unknown code","Unknown code",IF(COUNTIF($A$6:$A$1005,A928)&gt;1,"Duplicate WO",""))))</f>
        <v/>
      </c>
    </row>
    <row r="929" customFormat="false" ht="15" hidden="false" customHeight="false" outlineLevel="0" collapsed="false">
      <c r="A929" s="46"/>
      <c r="B929" s="46"/>
      <c r="C929" s="54" t="str">
        <f aca="false">IF(B929="","",IFERROR(INDEX('Kitting Plan'!$D$5:$D$18,MATCH(B929,'Kitting Plan'!$C$5:$C$18,0)),"Unknown code"))</f>
        <v/>
      </c>
      <c r="D929" s="54" t="str">
        <f aca="false">IF(B929="","",IFERROR(INDEX('Kitting Plan'!$B$5:$B$18,MATCH(B929,'Kitting Plan'!$C$5:$C$18,0)),""))</f>
        <v/>
      </c>
      <c r="E929" s="45"/>
      <c r="F929" s="55" t="str">
        <f aca="false">IF(B929="","",IFERROR(INDEX('Kitting Plan'!$H$5:$H$18,MATCH(B929,'Kitting Plan'!$C$5:$C$18,0)),""))</f>
        <v/>
      </c>
      <c r="G929" s="45"/>
      <c r="H929" s="56" t="str">
        <f aca="false">IF(B929="","",IF(G929="",F929,G929))</f>
        <v/>
      </c>
      <c r="I929" s="45"/>
      <c r="J929" s="57"/>
      <c r="K929" s="46"/>
      <c r="L929" s="54" t="str">
        <f aca="false">IF(A929="","",IF(B929="","Missing code",IF(C929="Unknown code","Unknown code",IF(COUNTIF($A$6:$A$1005,A929)&gt;1,"Duplicate WO",""))))</f>
        <v/>
      </c>
    </row>
    <row r="930" customFormat="false" ht="15" hidden="false" customHeight="false" outlineLevel="0" collapsed="false">
      <c r="A930" s="46"/>
      <c r="B930" s="46"/>
      <c r="C930" s="54" t="str">
        <f aca="false">IF(B930="","",IFERROR(INDEX('Kitting Plan'!$D$5:$D$18,MATCH(B930,'Kitting Plan'!$C$5:$C$18,0)),"Unknown code"))</f>
        <v/>
      </c>
      <c r="D930" s="54" t="str">
        <f aca="false">IF(B930="","",IFERROR(INDEX('Kitting Plan'!$B$5:$B$18,MATCH(B930,'Kitting Plan'!$C$5:$C$18,0)),""))</f>
        <v/>
      </c>
      <c r="E930" s="45"/>
      <c r="F930" s="55" t="str">
        <f aca="false">IF(B930="","",IFERROR(INDEX('Kitting Plan'!$H$5:$H$18,MATCH(B930,'Kitting Plan'!$C$5:$C$18,0)),""))</f>
        <v/>
      </c>
      <c r="G930" s="45"/>
      <c r="H930" s="56" t="str">
        <f aca="false">IF(B930="","",IF(G930="",F930,G930))</f>
        <v/>
      </c>
      <c r="I930" s="45"/>
      <c r="J930" s="57"/>
      <c r="K930" s="46"/>
      <c r="L930" s="54" t="str">
        <f aca="false">IF(A930="","",IF(B930="","Missing code",IF(C930="Unknown code","Unknown code",IF(COUNTIF($A$6:$A$1005,A930)&gt;1,"Duplicate WO",""))))</f>
        <v/>
      </c>
    </row>
    <row r="931" customFormat="false" ht="15" hidden="false" customHeight="false" outlineLevel="0" collapsed="false">
      <c r="A931" s="46"/>
      <c r="B931" s="46"/>
      <c r="C931" s="54" t="str">
        <f aca="false">IF(B931="","",IFERROR(INDEX('Kitting Plan'!$D$5:$D$18,MATCH(B931,'Kitting Plan'!$C$5:$C$18,0)),"Unknown code"))</f>
        <v/>
      </c>
      <c r="D931" s="54" t="str">
        <f aca="false">IF(B931="","",IFERROR(INDEX('Kitting Plan'!$B$5:$B$18,MATCH(B931,'Kitting Plan'!$C$5:$C$18,0)),""))</f>
        <v/>
      </c>
      <c r="E931" s="45"/>
      <c r="F931" s="55" t="str">
        <f aca="false">IF(B931="","",IFERROR(INDEX('Kitting Plan'!$H$5:$H$18,MATCH(B931,'Kitting Plan'!$C$5:$C$18,0)),""))</f>
        <v/>
      </c>
      <c r="G931" s="45"/>
      <c r="H931" s="56" t="str">
        <f aca="false">IF(B931="","",IF(G931="",F931,G931))</f>
        <v/>
      </c>
      <c r="I931" s="45"/>
      <c r="J931" s="57"/>
      <c r="K931" s="46"/>
      <c r="L931" s="54" t="str">
        <f aca="false">IF(A931="","",IF(B931="","Missing code",IF(C931="Unknown code","Unknown code",IF(COUNTIF($A$6:$A$1005,A931)&gt;1,"Duplicate WO",""))))</f>
        <v/>
      </c>
    </row>
    <row r="932" customFormat="false" ht="15" hidden="false" customHeight="false" outlineLevel="0" collapsed="false">
      <c r="A932" s="46"/>
      <c r="B932" s="46"/>
      <c r="C932" s="54" t="str">
        <f aca="false">IF(B932="","",IFERROR(INDEX('Kitting Plan'!$D$5:$D$18,MATCH(B932,'Kitting Plan'!$C$5:$C$18,0)),"Unknown code"))</f>
        <v/>
      </c>
      <c r="D932" s="54" t="str">
        <f aca="false">IF(B932="","",IFERROR(INDEX('Kitting Plan'!$B$5:$B$18,MATCH(B932,'Kitting Plan'!$C$5:$C$18,0)),""))</f>
        <v/>
      </c>
      <c r="E932" s="45"/>
      <c r="F932" s="55" t="str">
        <f aca="false">IF(B932="","",IFERROR(INDEX('Kitting Plan'!$H$5:$H$18,MATCH(B932,'Kitting Plan'!$C$5:$C$18,0)),""))</f>
        <v/>
      </c>
      <c r="G932" s="45"/>
      <c r="H932" s="56" t="str">
        <f aca="false">IF(B932="","",IF(G932="",F932,G932))</f>
        <v/>
      </c>
      <c r="I932" s="45"/>
      <c r="J932" s="57"/>
      <c r="K932" s="46"/>
      <c r="L932" s="54" t="str">
        <f aca="false">IF(A932="","",IF(B932="","Missing code",IF(C932="Unknown code","Unknown code",IF(COUNTIF($A$6:$A$1005,A932)&gt;1,"Duplicate WO",""))))</f>
        <v/>
      </c>
    </row>
    <row r="933" customFormat="false" ht="15" hidden="false" customHeight="false" outlineLevel="0" collapsed="false">
      <c r="A933" s="46"/>
      <c r="B933" s="46"/>
      <c r="C933" s="54" t="str">
        <f aca="false">IF(B933="","",IFERROR(INDEX('Kitting Plan'!$D$5:$D$18,MATCH(B933,'Kitting Plan'!$C$5:$C$18,0)),"Unknown code"))</f>
        <v/>
      </c>
      <c r="D933" s="54" t="str">
        <f aca="false">IF(B933="","",IFERROR(INDEX('Kitting Plan'!$B$5:$B$18,MATCH(B933,'Kitting Plan'!$C$5:$C$18,0)),""))</f>
        <v/>
      </c>
      <c r="E933" s="45"/>
      <c r="F933" s="55" t="str">
        <f aca="false">IF(B933="","",IFERROR(INDEX('Kitting Plan'!$H$5:$H$18,MATCH(B933,'Kitting Plan'!$C$5:$C$18,0)),""))</f>
        <v/>
      </c>
      <c r="G933" s="45"/>
      <c r="H933" s="56" t="str">
        <f aca="false">IF(B933="","",IF(G933="",F933,G933))</f>
        <v/>
      </c>
      <c r="I933" s="45"/>
      <c r="J933" s="57"/>
      <c r="K933" s="46"/>
      <c r="L933" s="54" t="str">
        <f aca="false">IF(A933="","",IF(B933="","Missing code",IF(C933="Unknown code","Unknown code",IF(COUNTIF($A$6:$A$1005,A933)&gt;1,"Duplicate WO",""))))</f>
        <v/>
      </c>
    </row>
    <row r="934" customFormat="false" ht="15" hidden="false" customHeight="false" outlineLevel="0" collapsed="false">
      <c r="A934" s="46"/>
      <c r="B934" s="46"/>
      <c r="C934" s="54" t="str">
        <f aca="false">IF(B934="","",IFERROR(INDEX('Kitting Plan'!$D$5:$D$18,MATCH(B934,'Kitting Plan'!$C$5:$C$18,0)),"Unknown code"))</f>
        <v/>
      </c>
      <c r="D934" s="54" t="str">
        <f aca="false">IF(B934="","",IFERROR(INDEX('Kitting Plan'!$B$5:$B$18,MATCH(B934,'Kitting Plan'!$C$5:$C$18,0)),""))</f>
        <v/>
      </c>
      <c r="E934" s="45"/>
      <c r="F934" s="55" t="str">
        <f aca="false">IF(B934="","",IFERROR(INDEX('Kitting Plan'!$H$5:$H$18,MATCH(B934,'Kitting Plan'!$C$5:$C$18,0)),""))</f>
        <v/>
      </c>
      <c r="G934" s="45"/>
      <c r="H934" s="56" t="str">
        <f aca="false">IF(B934="","",IF(G934="",F934,G934))</f>
        <v/>
      </c>
      <c r="I934" s="45"/>
      <c r="J934" s="57"/>
      <c r="K934" s="46"/>
      <c r="L934" s="54" t="str">
        <f aca="false">IF(A934="","",IF(B934="","Missing code",IF(C934="Unknown code","Unknown code",IF(COUNTIF($A$6:$A$1005,A934)&gt;1,"Duplicate WO",""))))</f>
        <v/>
      </c>
    </row>
    <row r="935" customFormat="false" ht="15" hidden="false" customHeight="false" outlineLevel="0" collapsed="false">
      <c r="A935" s="46"/>
      <c r="B935" s="46"/>
      <c r="C935" s="54" t="str">
        <f aca="false">IF(B935="","",IFERROR(INDEX('Kitting Plan'!$D$5:$D$18,MATCH(B935,'Kitting Plan'!$C$5:$C$18,0)),"Unknown code"))</f>
        <v/>
      </c>
      <c r="D935" s="54" t="str">
        <f aca="false">IF(B935="","",IFERROR(INDEX('Kitting Plan'!$B$5:$B$18,MATCH(B935,'Kitting Plan'!$C$5:$C$18,0)),""))</f>
        <v/>
      </c>
      <c r="E935" s="45"/>
      <c r="F935" s="55" t="str">
        <f aca="false">IF(B935="","",IFERROR(INDEX('Kitting Plan'!$H$5:$H$18,MATCH(B935,'Kitting Plan'!$C$5:$C$18,0)),""))</f>
        <v/>
      </c>
      <c r="G935" s="45"/>
      <c r="H935" s="56" t="str">
        <f aca="false">IF(B935="","",IF(G935="",F935,G935))</f>
        <v/>
      </c>
      <c r="I935" s="45"/>
      <c r="J935" s="57"/>
      <c r="K935" s="46"/>
      <c r="L935" s="54" t="str">
        <f aca="false">IF(A935="","",IF(B935="","Missing code",IF(C935="Unknown code","Unknown code",IF(COUNTIF($A$6:$A$1005,A935)&gt;1,"Duplicate WO",""))))</f>
        <v/>
      </c>
    </row>
    <row r="936" customFormat="false" ht="15" hidden="false" customHeight="false" outlineLevel="0" collapsed="false">
      <c r="A936" s="46"/>
      <c r="B936" s="46"/>
      <c r="C936" s="54" t="str">
        <f aca="false">IF(B936="","",IFERROR(INDEX('Kitting Plan'!$D$5:$D$18,MATCH(B936,'Kitting Plan'!$C$5:$C$18,0)),"Unknown code"))</f>
        <v/>
      </c>
      <c r="D936" s="54" t="str">
        <f aca="false">IF(B936="","",IFERROR(INDEX('Kitting Plan'!$B$5:$B$18,MATCH(B936,'Kitting Plan'!$C$5:$C$18,0)),""))</f>
        <v/>
      </c>
      <c r="E936" s="45"/>
      <c r="F936" s="55" t="str">
        <f aca="false">IF(B936="","",IFERROR(INDEX('Kitting Plan'!$H$5:$H$18,MATCH(B936,'Kitting Plan'!$C$5:$C$18,0)),""))</f>
        <v/>
      </c>
      <c r="G936" s="45"/>
      <c r="H936" s="56" t="str">
        <f aca="false">IF(B936="","",IF(G936="",F936,G936))</f>
        <v/>
      </c>
      <c r="I936" s="45"/>
      <c r="J936" s="57"/>
      <c r="K936" s="46"/>
      <c r="L936" s="54" t="str">
        <f aca="false">IF(A936="","",IF(B936="","Missing code",IF(C936="Unknown code","Unknown code",IF(COUNTIF($A$6:$A$1005,A936)&gt;1,"Duplicate WO",""))))</f>
        <v/>
      </c>
    </row>
    <row r="937" customFormat="false" ht="15" hidden="false" customHeight="false" outlineLevel="0" collapsed="false">
      <c r="A937" s="46"/>
      <c r="B937" s="46"/>
      <c r="C937" s="54" t="str">
        <f aca="false">IF(B937="","",IFERROR(INDEX('Kitting Plan'!$D$5:$D$18,MATCH(B937,'Kitting Plan'!$C$5:$C$18,0)),"Unknown code"))</f>
        <v/>
      </c>
      <c r="D937" s="54" t="str">
        <f aca="false">IF(B937="","",IFERROR(INDEX('Kitting Plan'!$B$5:$B$18,MATCH(B937,'Kitting Plan'!$C$5:$C$18,0)),""))</f>
        <v/>
      </c>
      <c r="E937" s="45"/>
      <c r="F937" s="55" t="str">
        <f aca="false">IF(B937="","",IFERROR(INDEX('Kitting Plan'!$H$5:$H$18,MATCH(B937,'Kitting Plan'!$C$5:$C$18,0)),""))</f>
        <v/>
      </c>
      <c r="G937" s="45"/>
      <c r="H937" s="56" t="str">
        <f aca="false">IF(B937="","",IF(G937="",F937,G937))</f>
        <v/>
      </c>
      <c r="I937" s="45"/>
      <c r="J937" s="57"/>
      <c r="K937" s="46"/>
      <c r="L937" s="54" t="str">
        <f aca="false">IF(A937="","",IF(B937="","Missing code",IF(C937="Unknown code","Unknown code",IF(COUNTIF($A$6:$A$1005,A937)&gt;1,"Duplicate WO",""))))</f>
        <v/>
      </c>
    </row>
    <row r="938" customFormat="false" ht="15" hidden="false" customHeight="false" outlineLevel="0" collapsed="false">
      <c r="A938" s="46"/>
      <c r="B938" s="46"/>
      <c r="C938" s="54" t="str">
        <f aca="false">IF(B938="","",IFERROR(INDEX('Kitting Plan'!$D$5:$D$18,MATCH(B938,'Kitting Plan'!$C$5:$C$18,0)),"Unknown code"))</f>
        <v/>
      </c>
      <c r="D938" s="54" t="str">
        <f aca="false">IF(B938="","",IFERROR(INDEX('Kitting Plan'!$B$5:$B$18,MATCH(B938,'Kitting Plan'!$C$5:$C$18,0)),""))</f>
        <v/>
      </c>
      <c r="E938" s="45"/>
      <c r="F938" s="55" t="str">
        <f aca="false">IF(B938="","",IFERROR(INDEX('Kitting Plan'!$H$5:$H$18,MATCH(B938,'Kitting Plan'!$C$5:$C$18,0)),""))</f>
        <v/>
      </c>
      <c r="G938" s="45"/>
      <c r="H938" s="56" t="str">
        <f aca="false">IF(B938="","",IF(G938="",F938,G938))</f>
        <v/>
      </c>
      <c r="I938" s="45"/>
      <c r="J938" s="57"/>
      <c r="K938" s="46"/>
      <c r="L938" s="54" t="str">
        <f aca="false">IF(A938="","",IF(B938="","Missing code",IF(C938="Unknown code","Unknown code",IF(COUNTIF($A$6:$A$1005,A938)&gt;1,"Duplicate WO",""))))</f>
        <v/>
      </c>
    </row>
    <row r="939" customFormat="false" ht="15" hidden="false" customHeight="false" outlineLevel="0" collapsed="false">
      <c r="A939" s="46"/>
      <c r="B939" s="46"/>
      <c r="C939" s="54" t="str">
        <f aca="false">IF(B939="","",IFERROR(INDEX('Kitting Plan'!$D$5:$D$18,MATCH(B939,'Kitting Plan'!$C$5:$C$18,0)),"Unknown code"))</f>
        <v/>
      </c>
      <c r="D939" s="54" t="str">
        <f aca="false">IF(B939="","",IFERROR(INDEX('Kitting Plan'!$B$5:$B$18,MATCH(B939,'Kitting Plan'!$C$5:$C$18,0)),""))</f>
        <v/>
      </c>
      <c r="E939" s="45"/>
      <c r="F939" s="55" t="str">
        <f aca="false">IF(B939="","",IFERROR(INDEX('Kitting Plan'!$H$5:$H$18,MATCH(B939,'Kitting Plan'!$C$5:$C$18,0)),""))</f>
        <v/>
      </c>
      <c r="G939" s="45"/>
      <c r="H939" s="56" t="str">
        <f aca="false">IF(B939="","",IF(G939="",F939,G939))</f>
        <v/>
      </c>
      <c r="I939" s="45"/>
      <c r="J939" s="57"/>
      <c r="K939" s="46"/>
      <c r="L939" s="54" t="str">
        <f aca="false">IF(A939="","",IF(B939="","Missing code",IF(C939="Unknown code","Unknown code",IF(COUNTIF($A$6:$A$1005,A939)&gt;1,"Duplicate WO",""))))</f>
        <v/>
      </c>
    </row>
    <row r="940" customFormat="false" ht="15" hidden="false" customHeight="false" outlineLevel="0" collapsed="false">
      <c r="A940" s="46"/>
      <c r="B940" s="46"/>
      <c r="C940" s="54" t="str">
        <f aca="false">IF(B940="","",IFERROR(INDEX('Kitting Plan'!$D$5:$D$18,MATCH(B940,'Kitting Plan'!$C$5:$C$18,0)),"Unknown code"))</f>
        <v/>
      </c>
      <c r="D940" s="54" t="str">
        <f aca="false">IF(B940="","",IFERROR(INDEX('Kitting Plan'!$B$5:$B$18,MATCH(B940,'Kitting Plan'!$C$5:$C$18,0)),""))</f>
        <v/>
      </c>
      <c r="E940" s="45"/>
      <c r="F940" s="55" t="str">
        <f aca="false">IF(B940="","",IFERROR(INDEX('Kitting Plan'!$H$5:$H$18,MATCH(B940,'Kitting Plan'!$C$5:$C$18,0)),""))</f>
        <v/>
      </c>
      <c r="G940" s="45"/>
      <c r="H940" s="56" t="str">
        <f aca="false">IF(B940="","",IF(G940="",F940,G940))</f>
        <v/>
      </c>
      <c r="I940" s="45"/>
      <c r="J940" s="57"/>
      <c r="K940" s="46"/>
      <c r="L940" s="54" t="str">
        <f aca="false">IF(A940="","",IF(B940="","Missing code",IF(C940="Unknown code","Unknown code",IF(COUNTIF($A$6:$A$1005,A940)&gt;1,"Duplicate WO",""))))</f>
        <v/>
      </c>
    </row>
    <row r="941" customFormat="false" ht="15" hidden="false" customHeight="false" outlineLevel="0" collapsed="false">
      <c r="A941" s="46"/>
      <c r="B941" s="46"/>
      <c r="C941" s="54" t="str">
        <f aca="false">IF(B941="","",IFERROR(INDEX('Kitting Plan'!$D$5:$D$18,MATCH(B941,'Kitting Plan'!$C$5:$C$18,0)),"Unknown code"))</f>
        <v/>
      </c>
      <c r="D941" s="54" t="str">
        <f aca="false">IF(B941="","",IFERROR(INDEX('Kitting Plan'!$B$5:$B$18,MATCH(B941,'Kitting Plan'!$C$5:$C$18,0)),""))</f>
        <v/>
      </c>
      <c r="E941" s="45"/>
      <c r="F941" s="55" t="str">
        <f aca="false">IF(B941="","",IFERROR(INDEX('Kitting Plan'!$H$5:$H$18,MATCH(B941,'Kitting Plan'!$C$5:$C$18,0)),""))</f>
        <v/>
      </c>
      <c r="G941" s="45"/>
      <c r="H941" s="56" t="str">
        <f aca="false">IF(B941="","",IF(G941="",F941,G941))</f>
        <v/>
      </c>
      <c r="I941" s="45"/>
      <c r="J941" s="57"/>
      <c r="K941" s="46"/>
      <c r="L941" s="54" t="str">
        <f aca="false">IF(A941="","",IF(B941="","Missing code",IF(C941="Unknown code","Unknown code",IF(COUNTIF($A$6:$A$1005,A941)&gt;1,"Duplicate WO",""))))</f>
        <v/>
      </c>
    </row>
    <row r="942" customFormat="false" ht="15" hidden="false" customHeight="false" outlineLevel="0" collapsed="false">
      <c r="A942" s="46"/>
      <c r="B942" s="46"/>
      <c r="C942" s="54" t="str">
        <f aca="false">IF(B942="","",IFERROR(INDEX('Kitting Plan'!$D$5:$D$18,MATCH(B942,'Kitting Plan'!$C$5:$C$18,0)),"Unknown code"))</f>
        <v/>
      </c>
      <c r="D942" s="54" t="str">
        <f aca="false">IF(B942="","",IFERROR(INDEX('Kitting Plan'!$B$5:$B$18,MATCH(B942,'Kitting Plan'!$C$5:$C$18,0)),""))</f>
        <v/>
      </c>
      <c r="E942" s="45"/>
      <c r="F942" s="55" t="str">
        <f aca="false">IF(B942="","",IFERROR(INDEX('Kitting Plan'!$H$5:$H$18,MATCH(B942,'Kitting Plan'!$C$5:$C$18,0)),""))</f>
        <v/>
      </c>
      <c r="G942" s="45"/>
      <c r="H942" s="56" t="str">
        <f aca="false">IF(B942="","",IF(G942="",F942,G942))</f>
        <v/>
      </c>
      <c r="I942" s="45"/>
      <c r="J942" s="57"/>
      <c r="K942" s="46"/>
      <c r="L942" s="54" t="str">
        <f aca="false">IF(A942="","",IF(B942="","Missing code",IF(C942="Unknown code","Unknown code",IF(COUNTIF($A$6:$A$1005,A942)&gt;1,"Duplicate WO",""))))</f>
        <v/>
      </c>
    </row>
    <row r="943" customFormat="false" ht="15" hidden="false" customHeight="false" outlineLevel="0" collapsed="false">
      <c r="A943" s="46"/>
      <c r="B943" s="46"/>
      <c r="C943" s="54" t="str">
        <f aca="false">IF(B943="","",IFERROR(INDEX('Kitting Plan'!$D$5:$D$18,MATCH(B943,'Kitting Plan'!$C$5:$C$18,0)),"Unknown code"))</f>
        <v/>
      </c>
      <c r="D943" s="54" t="str">
        <f aca="false">IF(B943="","",IFERROR(INDEX('Kitting Plan'!$B$5:$B$18,MATCH(B943,'Kitting Plan'!$C$5:$C$18,0)),""))</f>
        <v/>
      </c>
      <c r="E943" s="45"/>
      <c r="F943" s="55" t="str">
        <f aca="false">IF(B943="","",IFERROR(INDEX('Kitting Plan'!$H$5:$H$18,MATCH(B943,'Kitting Plan'!$C$5:$C$18,0)),""))</f>
        <v/>
      </c>
      <c r="G943" s="45"/>
      <c r="H943" s="56" t="str">
        <f aca="false">IF(B943="","",IF(G943="",F943,G943))</f>
        <v/>
      </c>
      <c r="I943" s="45"/>
      <c r="J943" s="57"/>
      <c r="K943" s="46"/>
      <c r="L943" s="54" t="str">
        <f aca="false">IF(A943="","",IF(B943="","Missing code",IF(C943="Unknown code","Unknown code",IF(COUNTIF($A$6:$A$1005,A943)&gt;1,"Duplicate WO",""))))</f>
        <v/>
      </c>
    </row>
    <row r="944" customFormat="false" ht="15" hidden="false" customHeight="false" outlineLevel="0" collapsed="false">
      <c r="A944" s="46"/>
      <c r="B944" s="46"/>
      <c r="C944" s="54" t="str">
        <f aca="false">IF(B944="","",IFERROR(INDEX('Kitting Plan'!$D$5:$D$18,MATCH(B944,'Kitting Plan'!$C$5:$C$18,0)),"Unknown code"))</f>
        <v/>
      </c>
      <c r="D944" s="54" t="str">
        <f aca="false">IF(B944="","",IFERROR(INDEX('Kitting Plan'!$B$5:$B$18,MATCH(B944,'Kitting Plan'!$C$5:$C$18,0)),""))</f>
        <v/>
      </c>
      <c r="E944" s="45"/>
      <c r="F944" s="55" t="str">
        <f aca="false">IF(B944="","",IFERROR(INDEX('Kitting Plan'!$H$5:$H$18,MATCH(B944,'Kitting Plan'!$C$5:$C$18,0)),""))</f>
        <v/>
      </c>
      <c r="G944" s="45"/>
      <c r="H944" s="56" t="str">
        <f aca="false">IF(B944="","",IF(G944="",F944,G944))</f>
        <v/>
      </c>
      <c r="I944" s="45"/>
      <c r="J944" s="57"/>
      <c r="K944" s="46"/>
      <c r="L944" s="54" t="str">
        <f aca="false">IF(A944="","",IF(B944="","Missing code",IF(C944="Unknown code","Unknown code",IF(COUNTIF($A$6:$A$1005,A944)&gt;1,"Duplicate WO",""))))</f>
        <v/>
      </c>
    </row>
    <row r="945" customFormat="false" ht="15" hidden="false" customHeight="false" outlineLevel="0" collapsed="false">
      <c r="A945" s="46"/>
      <c r="B945" s="46"/>
      <c r="C945" s="54" t="str">
        <f aca="false">IF(B945="","",IFERROR(INDEX('Kitting Plan'!$D$5:$D$18,MATCH(B945,'Kitting Plan'!$C$5:$C$18,0)),"Unknown code"))</f>
        <v/>
      </c>
      <c r="D945" s="54" t="str">
        <f aca="false">IF(B945="","",IFERROR(INDEX('Kitting Plan'!$B$5:$B$18,MATCH(B945,'Kitting Plan'!$C$5:$C$18,0)),""))</f>
        <v/>
      </c>
      <c r="E945" s="45"/>
      <c r="F945" s="55" t="str">
        <f aca="false">IF(B945="","",IFERROR(INDEX('Kitting Plan'!$H$5:$H$18,MATCH(B945,'Kitting Plan'!$C$5:$C$18,0)),""))</f>
        <v/>
      </c>
      <c r="G945" s="45"/>
      <c r="H945" s="56" t="str">
        <f aca="false">IF(B945="","",IF(G945="",F945,G945))</f>
        <v/>
      </c>
      <c r="I945" s="45"/>
      <c r="J945" s="57"/>
      <c r="K945" s="46"/>
      <c r="L945" s="54" t="str">
        <f aca="false">IF(A945="","",IF(B945="","Missing code",IF(C945="Unknown code","Unknown code",IF(COUNTIF($A$6:$A$1005,A945)&gt;1,"Duplicate WO",""))))</f>
        <v/>
      </c>
    </row>
    <row r="946" customFormat="false" ht="15" hidden="false" customHeight="false" outlineLevel="0" collapsed="false">
      <c r="A946" s="46"/>
      <c r="B946" s="46"/>
      <c r="C946" s="54" t="str">
        <f aca="false">IF(B946="","",IFERROR(INDEX('Kitting Plan'!$D$5:$D$18,MATCH(B946,'Kitting Plan'!$C$5:$C$18,0)),"Unknown code"))</f>
        <v/>
      </c>
      <c r="D946" s="54" t="str">
        <f aca="false">IF(B946="","",IFERROR(INDEX('Kitting Plan'!$B$5:$B$18,MATCH(B946,'Kitting Plan'!$C$5:$C$18,0)),""))</f>
        <v/>
      </c>
      <c r="E946" s="45"/>
      <c r="F946" s="55" t="str">
        <f aca="false">IF(B946="","",IFERROR(INDEX('Kitting Plan'!$H$5:$H$18,MATCH(B946,'Kitting Plan'!$C$5:$C$18,0)),""))</f>
        <v/>
      </c>
      <c r="G946" s="45"/>
      <c r="H946" s="56" t="str">
        <f aca="false">IF(B946="","",IF(G946="",F946,G946))</f>
        <v/>
      </c>
      <c r="I946" s="45"/>
      <c r="J946" s="57"/>
      <c r="K946" s="46"/>
      <c r="L946" s="54" t="str">
        <f aca="false">IF(A946="","",IF(B946="","Missing code",IF(C946="Unknown code","Unknown code",IF(COUNTIF($A$6:$A$1005,A946)&gt;1,"Duplicate WO",""))))</f>
        <v/>
      </c>
    </row>
    <row r="947" customFormat="false" ht="15" hidden="false" customHeight="false" outlineLevel="0" collapsed="false">
      <c r="A947" s="46"/>
      <c r="B947" s="46"/>
      <c r="C947" s="54" t="str">
        <f aca="false">IF(B947="","",IFERROR(INDEX('Kitting Plan'!$D$5:$D$18,MATCH(B947,'Kitting Plan'!$C$5:$C$18,0)),"Unknown code"))</f>
        <v/>
      </c>
      <c r="D947" s="54" t="str">
        <f aca="false">IF(B947="","",IFERROR(INDEX('Kitting Plan'!$B$5:$B$18,MATCH(B947,'Kitting Plan'!$C$5:$C$18,0)),""))</f>
        <v/>
      </c>
      <c r="E947" s="45"/>
      <c r="F947" s="55" t="str">
        <f aca="false">IF(B947="","",IFERROR(INDEX('Kitting Plan'!$H$5:$H$18,MATCH(B947,'Kitting Plan'!$C$5:$C$18,0)),""))</f>
        <v/>
      </c>
      <c r="G947" s="45"/>
      <c r="H947" s="56" t="str">
        <f aca="false">IF(B947="","",IF(G947="",F947,G947))</f>
        <v/>
      </c>
      <c r="I947" s="45"/>
      <c r="J947" s="57"/>
      <c r="K947" s="46"/>
      <c r="L947" s="54" t="str">
        <f aca="false">IF(A947="","",IF(B947="","Missing code",IF(C947="Unknown code","Unknown code",IF(COUNTIF($A$6:$A$1005,A947)&gt;1,"Duplicate WO",""))))</f>
        <v/>
      </c>
    </row>
    <row r="948" customFormat="false" ht="15" hidden="false" customHeight="false" outlineLevel="0" collapsed="false">
      <c r="A948" s="46"/>
      <c r="B948" s="46"/>
      <c r="C948" s="54" t="str">
        <f aca="false">IF(B948="","",IFERROR(INDEX('Kitting Plan'!$D$5:$D$18,MATCH(B948,'Kitting Plan'!$C$5:$C$18,0)),"Unknown code"))</f>
        <v/>
      </c>
      <c r="D948" s="54" t="str">
        <f aca="false">IF(B948="","",IFERROR(INDEX('Kitting Plan'!$B$5:$B$18,MATCH(B948,'Kitting Plan'!$C$5:$C$18,0)),""))</f>
        <v/>
      </c>
      <c r="E948" s="45"/>
      <c r="F948" s="55" t="str">
        <f aca="false">IF(B948="","",IFERROR(INDEX('Kitting Plan'!$H$5:$H$18,MATCH(B948,'Kitting Plan'!$C$5:$C$18,0)),""))</f>
        <v/>
      </c>
      <c r="G948" s="45"/>
      <c r="H948" s="56" t="str">
        <f aca="false">IF(B948="","",IF(G948="",F948,G948))</f>
        <v/>
      </c>
      <c r="I948" s="45"/>
      <c r="J948" s="57"/>
      <c r="K948" s="46"/>
      <c r="L948" s="54" t="str">
        <f aca="false">IF(A948="","",IF(B948="","Missing code",IF(C948="Unknown code","Unknown code",IF(COUNTIF($A$6:$A$1005,A948)&gt;1,"Duplicate WO",""))))</f>
        <v/>
      </c>
    </row>
    <row r="949" customFormat="false" ht="15" hidden="false" customHeight="false" outlineLevel="0" collapsed="false">
      <c r="A949" s="46"/>
      <c r="B949" s="46"/>
      <c r="C949" s="54" t="str">
        <f aca="false">IF(B949="","",IFERROR(INDEX('Kitting Plan'!$D$5:$D$18,MATCH(B949,'Kitting Plan'!$C$5:$C$18,0)),"Unknown code"))</f>
        <v/>
      </c>
      <c r="D949" s="54" t="str">
        <f aca="false">IF(B949="","",IFERROR(INDEX('Kitting Plan'!$B$5:$B$18,MATCH(B949,'Kitting Plan'!$C$5:$C$18,0)),""))</f>
        <v/>
      </c>
      <c r="E949" s="45"/>
      <c r="F949" s="55" t="str">
        <f aca="false">IF(B949="","",IFERROR(INDEX('Kitting Plan'!$H$5:$H$18,MATCH(B949,'Kitting Plan'!$C$5:$C$18,0)),""))</f>
        <v/>
      </c>
      <c r="G949" s="45"/>
      <c r="H949" s="56" t="str">
        <f aca="false">IF(B949="","",IF(G949="",F949,G949))</f>
        <v/>
      </c>
      <c r="I949" s="45"/>
      <c r="J949" s="57"/>
      <c r="K949" s="46"/>
      <c r="L949" s="54" t="str">
        <f aca="false">IF(A949="","",IF(B949="","Missing code",IF(C949="Unknown code","Unknown code",IF(COUNTIF($A$6:$A$1005,A949)&gt;1,"Duplicate WO",""))))</f>
        <v/>
      </c>
    </row>
    <row r="950" customFormat="false" ht="15" hidden="false" customHeight="false" outlineLevel="0" collapsed="false">
      <c r="A950" s="46"/>
      <c r="B950" s="46"/>
      <c r="C950" s="54" t="str">
        <f aca="false">IF(B950="","",IFERROR(INDEX('Kitting Plan'!$D$5:$D$18,MATCH(B950,'Kitting Plan'!$C$5:$C$18,0)),"Unknown code"))</f>
        <v/>
      </c>
      <c r="D950" s="54" t="str">
        <f aca="false">IF(B950="","",IFERROR(INDEX('Kitting Plan'!$B$5:$B$18,MATCH(B950,'Kitting Plan'!$C$5:$C$18,0)),""))</f>
        <v/>
      </c>
      <c r="E950" s="45"/>
      <c r="F950" s="55" t="str">
        <f aca="false">IF(B950="","",IFERROR(INDEX('Kitting Plan'!$H$5:$H$18,MATCH(B950,'Kitting Plan'!$C$5:$C$18,0)),""))</f>
        <v/>
      </c>
      <c r="G950" s="45"/>
      <c r="H950" s="56" t="str">
        <f aca="false">IF(B950="","",IF(G950="",F950,G950))</f>
        <v/>
      </c>
      <c r="I950" s="45"/>
      <c r="J950" s="57"/>
      <c r="K950" s="46"/>
      <c r="L950" s="54" t="str">
        <f aca="false">IF(A950="","",IF(B950="","Missing code",IF(C950="Unknown code","Unknown code",IF(COUNTIF($A$6:$A$1005,A950)&gt;1,"Duplicate WO",""))))</f>
        <v/>
      </c>
    </row>
    <row r="951" customFormat="false" ht="15" hidden="false" customHeight="false" outlineLevel="0" collapsed="false">
      <c r="A951" s="46"/>
      <c r="B951" s="46"/>
      <c r="C951" s="54" t="str">
        <f aca="false">IF(B951="","",IFERROR(INDEX('Kitting Plan'!$D$5:$D$18,MATCH(B951,'Kitting Plan'!$C$5:$C$18,0)),"Unknown code"))</f>
        <v/>
      </c>
      <c r="D951" s="54" t="str">
        <f aca="false">IF(B951="","",IFERROR(INDEX('Kitting Plan'!$B$5:$B$18,MATCH(B951,'Kitting Plan'!$C$5:$C$18,0)),""))</f>
        <v/>
      </c>
      <c r="E951" s="45"/>
      <c r="F951" s="55" t="str">
        <f aca="false">IF(B951="","",IFERROR(INDEX('Kitting Plan'!$H$5:$H$18,MATCH(B951,'Kitting Plan'!$C$5:$C$18,0)),""))</f>
        <v/>
      </c>
      <c r="G951" s="45"/>
      <c r="H951" s="56" t="str">
        <f aca="false">IF(B951="","",IF(G951="",F951,G951))</f>
        <v/>
      </c>
      <c r="I951" s="45"/>
      <c r="J951" s="57"/>
      <c r="K951" s="46"/>
      <c r="L951" s="54" t="str">
        <f aca="false">IF(A951="","",IF(B951="","Missing code",IF(C951="Unknown code","Unknown code",IF(COUNTIF($A$6:$A$1005,A951)&gt;1,"Duplicate WO",""))))</f>
        <v/>
      </c>
    </row>
    <row r="952" customFormat="false" ht="15" hidden="false" customHeight="false" outlineLevel="0" collapsed="false">
      <c r="A952" s="46"/>
      <c r="B952" s="46"/>
      <c r="C952" s="54" t="str">
        <f aca="false">IF(B952="","",IFERROR(INDEX('Kitting Plan'!$D$5:$D$18,MATCH(B952,'Kitting Plan'!$C$5:$C$18,0)),"Unknown code"))</f>
        <v/>
      </c>
      <c r="D952" s="54" t="str">
        <f aca="false">IF(B952="","",IFERROR(INDEX('Kitting Plan'!$B$5:$B$18,MATCH(B952,'Kitting Plan'!$C$5:$C$18,0)),""))</f>
        <v/>
      </c>
      <c r="E952" s="45"/>
      <c r="F952" s="55" t="str">
        <f aca="false">IF(B952="","",IFERROR(INDEX('Kitting Plan'!$H$5:$H$18,MATCH(B952,'Kitting Plan'!$C$5:$C$18,0)),""))</f>
        <v/>
      </c>
      <c r="G952" s="45"/>
      <c r="H952" s="56" t="str">
        <f aca="false">IF(B952="","",IF(G952="",F952,G952))</f>
        <v/>
      </c>
      <c r="I952" s="45"/>
      <c r="J952" s="57"/>
      <c r="K952" s="46"/>
      <c r="L952" s="54" t="str">
        <f aca="false">IF(A952="","",IF(B952="","Missing code",IF(C952="Unknown code","Unknown code",IF(COUNTIF($A$6:$A$1005,A952)&gt;1,"Duplicate WO",""))))</f>
        <v/>
      </c>
    </row>
    <row r="953" customFormat="false" ht="15" hidden="false" customHeight="false" outlineLevel="0" collapsed="false">
      <c r="A953" s="46"/>
      <c r="B953" s="46"/>
      <c r="C953" s="54" t="str">
        <f aca="false">IF(B953="","",IFERROR(INDEX('Kitting Plan'!$D$5:$D$18,MATCH(B953,'Kitting Plan'!$C$5:$C$18,0)),"Unknown code"))</f>
        <v/>
      </c>
      <c r="D953" s="54" t="str">
        <f aca="false">IF(B953="","",IFERROR(INDEX('Kitting Plan'!$B$5:$B$18,MATCH(B953,'Kitting Plan'!$C$5:$C$18,0)),""))</f>
        <v/>
      </c>
      <c r="E953" s="45"/>
      <c r="F953" s="55" t="str">
        <f aca="false">IF(B953="","",IFERROR(INDEX('Kitting Plan'!$H$5:$H$18,MATCH(B953,'Kitting Plan'!$C$5:$C$18,0)),""))</f>
        <v/>
      </c>
      <c r="G953" s="45"/>
      <c r="H953" s="56" t="str">
        <f aca="false">IF(B953="","",IF(G953="",F953,G953))</f>
        <v/>
      </c>
      <c r="I953" s="45"/>
      <c r="J953" s="57"/>
      <c r="K953" s="46"/>
      <c r="L953" s="54" t="str">
        <f aca="false">IF(A953="","",IF(B953="","Missing code",IF(C953="Unknown code","Unknown code",IF(COUNTIF($A$6:$A$1005,A953)&gt;1,"Duplicate WO",""))))</f>
        <v/>
      </c>
    </row>
    <row r="954" customFormat="false" ht="15" hidden="false" customHeight="false" outlineLevel="0" collapsed="false">
      <c r="A954" s="46"/>
      <c r="B954" s="46"/>
      <c r="C954" s="54" t="str">
        <f aca="false">IF(B954="","",IFERROR(INDEX('Kitting Plan'!$D$5:$D$18,MATCH(B954,'Kitting Plan'!$C$5:$C$18,0)),"Unknown code"))</f>
        <v/>
      </c>
      <c r="D954" s="54" t="str">
        <f aca="false">IF(B954="","",IFERROR(INDEX('Kitting Plan'!$B$5:$B$18,MATCH(B954,'Kitting Plan'!$C$5:$C$18,0)),""))</f>
        <v/>
      </c>
      <c r="E954" s="45"/>
      <c r="F954" s="55" t="str">
        <f aca="false">IF(B954="","",IFERROR(INDEX('Kitting Plan'!$H$5:$H$18,MATCH(B954,'Kitting Plan'!$C$5:$C$18,0)),""))</f>
        <v/>
      </c>
      <c r="G954" s="45"/>
      <c r="H954" s="56" t="str">
        <f aca="false">IF(B954="","",IF(G954="",F954,G954))</f>
        <v/>
      </c>
      <c r="I954" s="45"/>
      <c r="J954" s="57"/>
      <c r="K954" s="46"/>
      <c r="L954" s="54" t="str">
        <f aca="false">IF(A954="","",IF(B954="","Missing code",IF(C954="Unknown code","Unknown code",IF(COUNTIF($A$6:$A$1005,A954)&gt;1,"Duplicate WO",""))))</f>
        <v/>
      </c>
    </row>
    <row r="955" customFormat="false" ht="15" hidden="false" customHeight="false" outlineLevel="0" collapsed="false">
      <c r="A955" s="46"/>
      <c r="B955" s="46"/>
      <c r="C955" s="54" t="str">
        <f aca="false">IF(B955="","",IFERROR(INDEX('Kitting Plan'!$D$5:$D$18,MATCH(B955,'Kitting Plan'!$C$5:$C$18,0)),"Unknown code"))</f>
        <v/>
      </c>
      <c r="D955" s="54" t="str">
        <f aca="false">IF(B955="","",IFERROR(INDEX('Kitting Plan'!$B$5:$B$18,MATCH(B955,'Kitting Plan'!$C$5:$C$18,0)),""))</f>
        <v/>
      </c>
      <c r="E955" s="45"/>
      <c r="F955" s="55" t="str">
        <f aca="false">IF(B955="","",IFERROR(INDEX('Kitting Plan'!$H$5:$H$18,MATCH(B955,'Kitting Plan'!$C$5:$C$18,0)),""))</f>
        <v/>
      </c>
      <c r="G955" s="45"/>
      <c r="H955" s="56" t="str">
        <f aca="false">IF(B955="","",IF(G955="",F955,G955))</f>
        <v/>
      </c>
      <c r="I955" s="45"/>
      <c r="J955" s="57"/>
      <c r="K955" s="46"/>
      <c r="L955" s="54" t="str">
        <f aca="false">IF(A955="","",IF(B955="","Missing code",IF(C955="Unknown code","Unknown code",IF(COUNTIF($A$6:$A$1005,A955)&gt;1,"Duplicate WO",""))))</f>
        <v/>
      </c>
    </row>
    <row r="956" customFormat="false" ht="15" hidden="false" customHeight="false" outlineLevel="0" collapsed="false">
      <c r="A956" s="46"/>
      <c r="B956" s="46"/>
      <c r="C956" s="54" t="str">
        <f aca="false">IF(B956="","",IFERROR(INDEX('Kitting Plan'!$D$5:$D$18,MATCH(B956,'Kitting Plan'!$C$5:$C$18,0)),"Unknown code"))</f>
        <v/>
      </c>
      <c r="D956" s="54" t="str">
        <f aca="false">IF(B956="","",IFERROR(INDEX('Kitting Plan'!$B$5:$B$18,MATCH(B956,'Kitting Plan'!$C$5:$C$18,0)),""))</f>
        <v/>
      </c>
      <c r="E956" s="45"/>
      <c r="F956" s="55" t="str">
        <f aca="false">IF(B956="","",IFERROR(INDEX('Kitting Plan'!$H$5:$H$18,MATCH(B956,'Kitting Plan'!$C$5:$C$18,0)),""))</f>
        <v/>
      </c>
      <c r="G956" s="45"/>
      <c r="H956" s="56" t="str">
        <f aca="false">IF(B956="","",IF(G956="",F956,G956))</f>
        <v/>
      </c>
      <c r="I956" s="45"/>
      <c r="J956" s="57"/>
      <c r="K956" s="46"/>
      <c r="L956" s="54" t="str">
        <f aca="false">IF(A956="","",IF(B956="","Missing code",IF(C956="Unknown code","Unknown code",IF(COUNTIF($A$6:$A$1005,A956)&gt;1,"Duplicate WO",""))))</f>
        <v/>
      </c>
    </row>
    <row r="957" customFormat="false" ht="15" hidden="false" customHeight="false" outlineLevel="0" collapsed="false">
      <c r="A957" s="46"/>
      <c r="B957" s="46"/>
      <c r="C957" s="54" t="str">
        <f aca="false">IF(B957="","",IFERROR(INDEX('Kitting Plan'!$D$5:$D$18,MATCH(B957,'Kitting Plan'!$C$5:$C$18,0)),"Unknown code"))</f>
        <v/>
      </c>
      <c r="D957" s="54" t="str">
        <f aca="false">IF(B957="","",IFERROR(INDEX('Kitting Plan'!$B$5:$B$18,MATCH(B957,'Kitting Plan'!$C$5:$C$18,0)),""))</f>
        <v/>
      </c>
      <c r="E957" s="45"/>
      <c r="F957" s="55" t="str">
        <f aca="false">IF(B957="","",IFERROR(INDEX('Kitting Plan'!$H$5:$H$18,MATCH(B957,'Kitting Plan'!$C$5:$C$18,0)),""))</f>
        <v/>
      </c>
      <c r="G957" s="45"/>
      <c r="H957" s="56" t="str">
        <f aca="false">IF(B957="","",IF(G957="",F957,G957))</f>
        <v/>
      </c>
      <c r="I957" s="45"/>
      <c r="J957" s="57"/>
      <c r="K957" s="46"/>
      <c r="L957" s="54" t="str">
        <f aca="false">IF(A957="","",IF(B957="","Missing code",IF(C957="Unknown code","Unknown code",IF(COUNTIF($A$6:$A$1005,A957)&gt;1,"Duplicate WO",""))))</f>
        <v/>
      </c>
    </row>
    <row r="958" customFormat="false" ht="15" hidden="false" customHeight="false" outlineLevel="0" collapsed="false">
      <c r="A958" s="46"/>
      <c r="B958" s="46"/>
      <c r="C958" s="54" t="str">
        <f aca="false">IF(B958="","",IFERROR(INDEX('Kitting Plan'!$D$5:$D$18,MATCH(B958,'Kitting Plan'!$C$5:$C$18,0)),"Unknown code"))</f>
        <v/>
      </c>
      <c r="D958" s="54" t="str">
        <f aca="false">IF(B958="","",IFERROR(INDEX('Kitting Plan'!$B$5:$B$18,MATCH(B958,'Kitting Plan'!$C$5:$C$18,0)),""))</f>
        <v/>
      </c>
      <c r="E958" s="45"/>
      <c r="F958" s="55" t="str">
        <f aca="false">IF(B958="","",IFERROR(INDEX('Kitting Plan'!$H$5:$H$18,MATCH(B958,'Kitting Plan'!$C$5:$C$18,0)),""))</f>
        <v/>
      </c>
      <c r="G958" s="45"/>
      <c r="H958" s="56" t="str">
        <f aca="false">IF(B958="","",IF(G958="",F958,G958))</f>
        <v/>
      </c>
      <c r="I958" s="45"/>
      <c r="J958" s="57"/>
      <c r="K958" s="46"/>
      <c r="L958" s="54" t="str">
        <f aca="false">IF(A958="","",IF(B958="","Missing code",IF(C958="Unknown code","Unknown code",IF(COUNTIF($A$6:$A$1005,A958)&gt;1,"Duplicate WO",""))))</f>
        <v/>
      </c>
    </row>
    <row r="959" customFormat="false" ht="15" hidden="false" customHeight="false" outlineLevel="0" collapsed="false">
      <c r="A959" s="46"/>
      <c r="B959" s="46"/>
      <c r="C959" s="54" t="str">
        <f aca="false">IF(B959="","",IFERROR(INDEX('Kitting Plan'!$D$5:$D$18,MATCH(B959,'Kitting Plan'!$C$5:$C$18,0)),"Unknown code"))</f>
        <v/>
      </c>
      <c r="D959" s="54" t="str">
        <f aca="false">IF(B959="","",IFERROR(INDEX('Kitting Plan'!$B$5:$B$18,MATCH(B959,'Kitting Plan'!$C$5:$C$18,0)),""))</f>
        <v/>
      </c>
      <c r="E959" s="45"/>
      <c r="F959" s="55" t="str">
        <f aca="false">IF(B959="","",IFERROR(INDEX('Kitting Plan'!$H$5:$H$18,MATCH(B959,'Kitting Plan'!$C$5:$C$18,0)),""))</f>
        <v/>
      </c>
      <c r="G959" s="45"/>
      <c r="H959" s="56" t="str">
        <f aca="false">IF(B959="","",IF(G959="",F959,G959))</f>
        <v/>
      </c>
      <c r="I959" s="45"/>
      <c r="J959" s="57"/>
      <c r="K959" s="46"/>
      <c r="L959" s="54" t="str">
        <f aca="false">IF(A959="","",IF(B959="","Missing code",IF(C959="Unknown code","Unknown code",IF(COUNTIF($A$6:$A$1005,A959)&gt;1,"Duplicate WO",""))))</f>
        <v/>
      </c>
    </row>
    <row r="960" customFormat="false" ht="15" hidden="false" customHeight="false" outlineLevel="0" collapsed="false">
      <c r="A960" s="46"/>
      <c r="B960" s="46"/>
      <c r="C960" s="54" t="str">
        <f aca="false">IF(B960="","",IFERROR(INDEX('Kitting Plan'!$D$5:$D$18,MATCH(B960,'Kitting Plan'!$C$5:$C$18,0)),"Unknown code"))</f>
        <v/>
      </c>
      <c r="D960" s="54" t="str">
        <f aca="false">IF(B960="","",IFERROR(INDEX('Kitting Plan'!$B$5:$B$18,MATCH(B960,'Kitting Plan'!$C$5:$C$18,0)),""))</f>
        <v/>
      </c>
      <c r="E960" s="45"/>
      <c r="F960" s="55" t="str">
        <f aca="false">IF(B960="","",IFERROR(INDEX('Kitting Plan'!$H$5:$H$18,MATCH(B960,'Kitting Plan'!$C$5:$C$18,0)),""))</f>
        <v/>
      </c>
      <c r="G960" s="45"/>
      <c r="H960" s="56" t="str">
        <f aca="false">IF(B960="","",IF(G960="",F960,G960))</f>
        <v/>
      </c>
      <c r="I960" s="45"/>
      <c r="J960" s="57"/>
      <c r="K960" s="46"/>
      <c r="L960" s="54" t="str">
        <f aca="false">IF(A960="","",IF(B960="","Missing code",IF(C960="Unknown code","Unknown code",IF(COUNTIF($A$6:$A$1005,A960)&gt;1,"Duplicate WO",""))))</f>
        <v/>
      </c>
    </row>
    <row r="961" customFormat="false" ht="15" hidden="false" customHeight="false" outlineLevel="0" collapsed="false">
      <c r="A961" s="46"/>
      <c r="B961" s="46"/>
      <c r="C961" s="54" t="str">
        <f aca="false">IF(B961="","",IFERROR(INDEX('Kitting Plan'!$D$5:$D$18,MATCH(B961,'Kitting Plan'!$C$5:$C$18,0)),"Unknown code"))</f>
        <v/>
      </c>
      <c r="D961" s="54" t="str">
        <f aca="false">IF(B961="","",IFERROR(INDEX('Kitting Plan'!$B$5:$B$18,MATCH(B961,'Kitting Plan'!$C$5:$C$18,0)),""))</f>
        <v/>
      </c>
      <c r="E961" s="45"/>
      <c r="F961" s="55" t="str">
        <f aca="false">IF(B961="","",IFERROR(INDEX('Kitting Plan'!$H$5:$H$18,MATCH(B961,'Kitting Plan'!$C$5:$C$18,0)),""))</f>
        <v/>
      </c>
      <c r="G961" s="45"/>
      <c r="H961" s="56" t="str">
        <f aca="false">IF(B961="","",IF(G961="",F961,G961))</f>
        <v/>
      </c>
      <c r="I961" s="45"/>
      <c r="J961" s="57"/>
      <c r="K961" s="46"/>
      <c r="L961" s="54" t="str">
        <f aca="false">IF(A961="","",IF(B961="","Missing code",IF(C961="Unknown code","Unknown code",IF(COUNTIF($A$6:$A$1005,A961)&gt;1,"Duplicate WO",""))))</f>
        <v/>
      </c>
    </row>
    <row r="962" customFormat="false" ht="15" hidden="false" customHeight="false" outlineLevel="0" collapsed="false">
      <c r="A962" s="46"/>
      <c r="B962" s="46"/>
      <c r="C962" s="54" t="str">
        <f aca="false">IF(B962="","",IFERROR(INDEX('Kitting Plan'!$D$5:$D$18,MATCH(B962,'Kitting Plan'!$C$5:$C$18,0)),"Unknown code"))</f>
        <v/>
      </c>
      <c r="D962" s="54" t="str">
        <f aca="false">IF(B962="","",IFERROR(INDEX('Kitting Plan'!$B$5:$B$18,MATCH(B962,'Kitting Plan'!$C$5:$C$18,0)),""))</f>
        <v/>
      </c>
      <c r="E962" s="45"/>
      <c r="F962" s="55" t="str">
        <f aca="false">IF(B962="","",IFERROR(INDEX('Kitting Plan'!$H$5:$H$18,MATCH(B962,'Kitting Plan'!$C$5:$C$18,0)),""))</f>
        <v/>
      </c>
      <c r="G962" s="45"/>
      <c r="H962" s="56" t="str">
        <f aca="false">IF(B962="","",IF(G962="",F962,G962))</f>
        <v/>
      </c>
      <c r="I962" s="45"/>
      <c r="J962" s="57"/>
      <c r="K962" s="46"/>
      <c r="L962" s="54" t="str">
        <f aca="false">IF(A962="","",IF(B962="","Missing code",IF(C962="Unknown code","Unknown code",IF(COUNTIF($A$6:$A$1005,A962)&gt;1,"Duplicate WO",""))))</f>
        <v/>
      </c>
    </row>
    <row r="963" customFormat="false" ht="15" hidden="false" customHeight="false" outlineLevel="0" collapsed="false">
      <c r="A963" s="46"/>
      <c r="B963" s="46"/>
      <c r="C963" s="54" t="str">
        <f aca="false">IF(B963="","",IFERROR(INDEX('Kitting Plan'!$D$5:$D$18,MATCH(B963,'Kitting Plan'!$C$5:$C$18,0)),"Unknown code"))</f>
        <v/>
      </c>
      <c r="D963" s="54" t="str">
        <f aca="false">IF(B963="","",IFERROR(INDEX('Kitting Plan'!$B$5:$B$18,MATCH(B963,'Kitting Plan'!$C$5:$C$18,0)),""))</f>
        <v/>
      </c>
      <c r="E963" s="45"/>
      <c r="F963" s="55" t="str">
        <f aca="false">IF(B963="","",IFERROR(INDEX('Kitting Plan'!$H$5:$H$18,MATCH(B963,'Kitting Plan'!$C$5:$C$18,0)),""))</f>
        <v/>
      </c>
      <c r="G963" s="45"/>
      <c r="H963" s="56" t="str">
        <f aca="false">IF(B963="","",IF(G963="",F963,G963))</f>
        <v/>
      </c>
      <c r="I963" s="45"/>
      <c r="J963" s="57"/>
      <c r="K963" s="46"/>
      <c r="L963" s="54" t="str">
        <f aca="false">IF(A963="","",IF(B963="","Missing code",IF(C963="Unknown code","Unknown code",IF(COUNTIF($A$6:$A$1005,A963)&gt;1,"Duplicate WO",""))))</f>
        <v/>
      </c>
    </row>
    <row r="964" customFormat="false" ht="15" hidden="false" customHeight="false" outlineLevel="0" collapsed="false">
      <c r="A964" s="46"/>
      <c r="B964" s="46"/>
      <c r="C964" s="54" t="str">
        <f aca="false">IF(B964="","",IFERROR(INDEX('Kitting Plan'!$D$5:$D$18,MATCH(B964,'Kitting Plan'!$C$5:$C$18,0)),"Unknown code"))</f>
        <v/>
      </c>
      <c r="D964" s="54" t="str">
        <f aca="false">IF(B964="","",IFERROR(INDEX('Kitting Plan'!$B$5:$B$18,MATCH(B964,'Kitting Plan'!$C$5:$C$18,0)),""))</f>
        <v/>
      </c>
      <c r="E964" s="45"/>
      <c r="F964" s="55" t="str">
        <f aca="false">IF(B964="","",IFERROR(INDEX('Kitting Plan'!$H$5:$H$18,MATCH(B964,'Kitting Plan'!$C$5:$C$18,0)),""))</f>
        <v/>
      </c>
      <c r="G964" s="45"/>
      <c r="H964" s="56" t="str">
        <f aca="false">IF(B964="","",IF(G964="",F964,G964))</f>
        <v/>
      </c>
      <c r="I964" s="45"/>
      <c r="J964" s="57"/>
      <c r="K964" s="46"/>
      <c r="L964" s="54" t="str">
        <f aca="false">IF(A964="","",IF(B964="","Missing code",IF(C964="Unknown code","Unknown code",IF(COUNTIF($A$6:$A$1005,A964)&gt;1,"Duplicate WO",""))))</f>
        <v/>
      </c>
    </row>
    <row r="965" customFormat="false" ht="15" hidden="false" customHeight="false" outlineLevel="0" collapsed="false">
      <c r="A965" s="46"/>
      <c r="B965" s="46"/>
      <c r="C965" s="54" t="str">
        <f aca="false">IF(B965="","",IFERROR(INDEX('Kitting Plan'!$D$5:$D$18,MATCH(B965,'Kitting Plan'!$C$5:$C$18,0)),"Unknown code"))</f>
        <v/>
      </c>
      <c r="D965" s="54" t="str">
        <f aca="false">IF(B965="","",IFERROR(INDEX('Kitting Plan'!$B$5:$B$18,MATCH(B965,'Kitting Plan'!$C$5:$C$18,0)),""))</f>
        <v/>
      </c>
      <c r="E965" s="45"/>
      <c r="F965" s="55" t="str">
        <f aca="false">IF(B965="","",IFERROR(INDEX('Kitting Plan'!$H$5:$H$18,MATCH(B965,'Kitting Plan'!$C$5:$C$18,0)),""))</f>
        <v/>
      </c>
      <c r="G965" s="45"/>
      <c r="H965" s="56" t="str">
        <f aca="false">IF(B965="","",IF(G965="",F965,G965))</f>
        <v/>
      </c>
      <c r="I965" s="45"/>
      <c r="J965" s="57"/>
      <c r="K965" s="46"/>
      <c r="L965" s="54" t="str">
        <f aca="false">IF(A965="","",IF(B965="","Missing code",IF(C965="Unknown code","Unknown code",IF(COUNTIF($A$6:$A$1005,A965)&gt;1,"Duplicate WO",""))))</f>
        <v/>
      </c>
    </row>
    <row r="966" customFormat="false" ht="15" hidden="false" customHeight="false" outlineLevel="0" collapsed="false">
      <c r="A966" s="46"/>
      <c r="B966" s="46"/>
      <c r="C966" s="54" t="str">
        <f aca="false">IF(B966="","",IFERROR(INDEX('Kitting Plan'!$D$5:$D$18,MATCH(B966,'Kitting Plan'!$C$5:$C$18,0)),"Unknown code"))</f>
        <v/>
      </c>
      <c r="D966" s="54" t="str">
        <f aca="false">IF(B966="","",IFERROR(INDEX('Kitting Plan'!$B$5:$B$18,MATCH(B966,'Kitting Plan'!$C$5:$C$18,0)),""))</f>
        <v/>
      </c>
      <c r="E966" s="45"/>
      <c r="F966" s="55" t="str">
        <f aca="false">IF(B966="","",IFERROR(INDEX('Kitting Plan'!$H$5:$H$18,MATCH(B966,'Kitting Plan'!$C$5:$C$18,0)),""))</f>
        <v/>
      </c>
      <c r="G966" s="45"/>
      <c r="H966" s="56" t="str">
        <f aca="false">IF(B966="","",IF(G966="",F966,G966))</f>
        <v/>
      </c>
      <c r="I966" s="45"/>
      <c r="J966" s="57"/>
      <c r="K966" s="46"/>
      <c r="L966" s="54" t="str">
        <f aca="false">IF(A966="","",IF(B966="","Missing code",IF(C966="Unknown code","Unknown code",IF(COUNTIF($A$6:$A$1005,A966)&gt;1,"Duplicate WO",""))))</f>
        <v/>
      </c>
    </row>
    <row r="967" customFormat="false" ht="15" hidden="false" customHeight="false" outlineLevel="0" collapsed="false">
      <c r="A967" s="46"/>
      <c r="B967" s="46"/>
      <c r="C967" s="54" t="str">
        <f aca="false">IF(B967="","",IFERROR(INDEX('Kitting Plan'!$D$5:$D$18,MATCH(B967,'Kitting Plan'!$C$5:$C$18,0)),"Unknown code"))</f>
        <v/>
      </c>
      <c r="D967" s="54" t="str">
        <f aca="false">IF(B967="","",IFERROR(INDEX('Kitting Plan'!$B$5:$B$18,MATCH(B967,'Kitting Plan'!$C$5:$C$18,0)),""))</f>
        <v/>
      </c>
      <c r="E967" s="45"/>
      <c r="F967" s="55" t="str">
        <f aca="false">IF(B967="","",IFERROR(INDEX('Kitting Plan'!$H$5:$H$18,MATCH(B967,'Kitting Plan'!$C$5:$C$18,0)),""))</f>
        <v/>
      </c>
      <c r="G967" s="45"/>
      <c r="H967" s="56" t="str">
        <f aca="false">IF(B967="","",IF(G967="",F967,G967))</f>
        <v/>
      </c>
      <c r="I967" s="45"/>
      <c r="J967" s="57"/>
      <c r="K967" s="46"/>
      <c r="L967" s="54" t="str">
        <f aca="false">IF(A967="","",IF(B967="","Missing code",IF(C967="Unknown code","Unknown code",IF(COUNTIF($A$6:$A$1005,A967)&gt;1,"Duplicate WO",""))))</f>
        <v/>
      </c>
    </row>
    <row r="968" customFormat="false" ht="15" hidden="false" customHeight="false" outlineLevel="0" collapsed="false">
      <c r="A968" s="46"/>
      <c r="B968" s="46"/>
      <c r="C968" s="54" t="str">
        <f aca="false">IF(B968="","",IFERROR(INDEX('Kitting Plan'!$D$5:$D$18,MATCH(B968,'Kitting Plan'!$C$5:$C$18,0)),"Unknown code"))</f>
        <v/>
      </c>
      <c r="D968" s="54" t="str">
        <f aca="false">IF(B968="","",IFERROR(INDEX('Kitting Plan'!$B$5:$B$18,MATCH(B968,'Kitting Plan'!$C$5:$C$18,0)),""))</f>
        <v/>
      </c>
      <c r="E968" s="45"/>
      <c r="F968" s="55" t="str">
        <f aca="false">IF(B968="","",IFERROR(INDEX('Kitting Plan'!$H$5:$H$18,MATCH(B968,'Kitting Plan'!$C$5:$C$18,0)),""))</f>
        <v/>
      </c>
      <c r="G968" s="45"/>
      <c r="H968" s="56" t="str">
        <f aca="false">IF(B968="","",IF(G968="",F968,G968))</f>
        <v/>
      </c>
      <c r="I968" s="45"/>
      <c r="J968" s="57"/>
      <c r="K968" s="46"/>
      <c r="L968" s="54" t="str">
        <f aca="false">IF(A968="","",IF(B968="","Missing code",IF(C968="Unknown code","Unknown code",IF(COUNTIF($A$6:$A$1005,A968)&gt;1,"Duplicate WO",""))))</f>
        <v/>
      </c>
    </row>
    <row r="969" customFormat="false" ht="15" hidden="false" customHeight="false" outlineLevel="0" collapsed="false">
      <c r="A969" s="46"/>
      <c r="B969" s="46"/>
      <c r="C969" s="54" t="str">
        <f aca="false">IF(B969="","",IFERROR(INDEX('Kitting Plan'!$D$5:$D$18,MATCH(B969,'Kitting Plan'!$C$5:$C$18,0)),"Unknown code"))</f>
        <v/>
      </c>
      <c r="D969" s="54" t="str">
        <f aca="false">IF(B969="","",IFERROR(INDEX('Kitting Plan'!$B$5:$B$18,MATCH(B969,'Kitting Plan'!$C$5:$C$18,0)),""))</f>
        <v/>
      </c>
      <c r="E969" s="45"/>
      <c r="F969" s="55" t="str">
        <f aca="false">IF(B969="","",IFERROR(INDEX('Kitting Plan'!$H$5:$H$18,MATCH(B969,'Kitting Plan'!$C$5:$C$18,0)),""))</f>
        <v/>
      </c>
      <c r="G969" s="45"/>
      <c r="H969" s="56" t="str">
        <f aca="false">IF(B969="","",IF(G969="",F969,G969))</f>
        <v/>
      </c>
      <c r="I969" s="45"/>
      <c r="J969" s="57"/>
      <c r="K969" s="46"/>
      <c r="L969" s="54" t="str">
        <f aca="false">IF(A969="","",IF(B969="","Missing code",IF(C969="Unknown code","Unknown code",IF(COUNTIF($A$6:$A$1005,A969)&gt;1,"Duplicate WO",""))))</f>
        <v/>
      </c>
    </row>
    <row r="970" customFormat="false" ht="15" hidden="false" customHeight="false" outlineLevel="0" collapsed="false">
      <c r="A970" s="46"/>
      <c r="B970" s="46"/>
      <c r="C970" s="54" t="str">
        <f aca="false">IF(B970="","",IFERROR(INDEX('Kitting Plan'!$D$5:$D$18,MATCH(B970,'Kitting Plan'!$C$5:$C$18,0)),"Unknown code"))</f>
        <v/>
      </c>
      <c r="D970" s="54" t="str">
        <f aca="false">IF(B970="","",IFERROR(INDEX('Kitting Plan'!$B$5:$B$18,MATCH(B970,'Kitting Plan'!$C$5:$C$18,0)),""))</f>
        <v/>
      </c>
      <c r="E970" s="45"/>
      <c r="F970" s="55" t="str">
        <f aca="false">IF(B970="","",IFERROR(INDEX('Kitting Plan'!$H$5:$H$18,MATCH(B970,'Kitting Plan'!$C$5:$C$18,0)),""))</f>
        <v/>
      </c>
      <c r="G970" s="45"/>
      <c r="H970" s="56" t="str">
        <f aca="false">IF(B970="","",IF(G970="",F970,G970))</f>
        <v/>
      </c>
      <c r="I970" s="45"/>
      <c r="J970" s="57"/>
      <c r="K970" s="46"/>
      <c r="L970" s="54" t="str">
        <f aca="false">IF(A970="","",IF(B970="","Missing code",IF(C970="Unknown code","Unknown code",IF(COUNTIF($A$6:$A$1005,A970)&gt;1,"Duplicate WO",""))))</f>
        <v/>
      </c>
    </row>
    <row r="971" customFormat="false" ht="15" hidden="false" customHeight="false" outlineLevel="0" collapsed="false">
      <c r="A971" s="46"/>
      <c r="B971" s="46"/>
      <c r="C971" s="54" t="str">
        <f aca="false">IF(B971="","",IFERROR(INDEX('Kitting Plan'!$D$5:$D$18,MATCH(B971,'Kitting Plan'!$C$5:$C$18,0)),"Unknown code"))</f>
        <v/>
      </c>
      <c r="D971" s="54" t="str">
        <f aca="false">IF(B971="","",IFERROR(INDEX('Kitting Plan'!$B$5:$B$18,MATCH(B971,'Kitting Plan'!$C$5:$C$18,0)),""))</f>
        <v/>
      </c>
      <c r="E971" s="45"/>
      <c r="F971" s="55" t="str">
        <f aca="false">IF(B971="","",IFERROR(INDEX('Kitting Plan'!$H$5:$H$18,MATCH(B971,'Kitting Plan'!$C$5:$C$18,0)),""))</f>
        <v/>
      </c>
      <c r="G971" s="45"/>
      <c r="H971" s="56" t="str">
        <f aca="false">IF(B971="","",IF(G971="",F971,G971))</f>
        <v/>
      </c>
      <c r="I971" s="45"/>
      <c r="J971" s="57"/>
      <c r="K971" s="46"/>
      <c r="L971" s="54" t="str">
        <f aca="false">IF(A971="","",IF(B971="","Missing code",IF(C971="Unknown code","Unknown code",IF(COUNTIF($A$6:$A$1005,A971)&gt;1,"Duplicate WO",""))))</f>
        <v/>
      </c>
    </row>
    <row r="972" customFormat="false" ht="15" hidden="false" customHeight="false" outlineLevel="0" collapsed="false">
      <c r="A972" s="46"/>
      <c r="B972" s="46"/>
      <c r="C972" s="54" t="str">
        <f aca="false">IF(B972="","",IFERROR(INDEX('Kitting Plan'!$D$5:$D$18,MATCH(B972,'Kitting Plan'!$C$5:$C$18,0)),"Unknown code"))</f>
        <v/>
      </c>
      <c r="D972" s="54" t="str">
        <f aca="false">IF(B972="","",IFERROR(INDEX('Kitting Plan'!$B$5:$B$18,MATCH(B972,'Kitting Plan'!$C$5:$C$18,0)),""))</f>
        <v/>
      </c>
      <c r="E972" s="45"/>
      <c r="F972" s="55" t="str">
        <f aca="false">IF(B972="","",IFERROR(INDEX('Kitting Plan'!$H$5:$H$18,MATCH(B972,'Kitting Plan'!$C$5:$C$18,0)),""))</f>
        <v/>
      </c>
      <c r="G972" s="45"/>
      <c r="H972" s="56" t="str">
        <f aca="false">IF(B972="","",IF(G972="",F972,G972))</f>
        <v/>
      </c>
      <c r="I972" s="45"/>
      <c r="J972" s="57"/>
      <c r="K972" s="46"/>
      <c r="L972" s="54" t="str">
        <f aca="false">IF(A972="","",IF(B972="","Missing code",IF(C972="Unknown code","Unknown code",IF(COUNTIF($A$6:$A$1005,A972)&gt;1,"Duplicate WO",""))))</f>
        <v/>
      </c>
    </row>
    <row r="973" customFormat="false" ht="15" hidden="false" customHeight="false" outlineLevel="0" collapsed="false">
      <c r="A973" s="46"/>
      <c r="B973" s="46"/>
      <c r="C973" s="54" t="str">
        <f aca="false">IF(B973="","",IFERROR(INDEX('Kitting Plan'!$D$5:$D$18,MATCH(B973,'Kitting Plan'!$C$5:$C$18,0)),"Unknown code"))</f>
        <v/>
      </c>
      <c r="D973" s="54" t="str">
        <f aca="false">IF(B973="","",IFERROR(INDEX('Kitting Plan'!$B$5:$B$18,MATCH(B973,'Kitting Plan'!$C$5:$C$18,0)),""))</f>
        <v/>
      </c>
      <c r="E973" s="45"/>
      <c r="F973" s="55" t="str">
        <f aca="false">IF(B973="","",IFERROR(INDEX('Kitting Plan'!$H$5:$H$18,MATCH(B973,'Kitting Plan'!$C$5:$C$18,0)),""))</f>
        <v/>
      </c>
      <c r="G973" s="45"/>
      <c r="H973" s="56" t="str">
        <f aca="false">IF(B973="","",IF(G973="",F973,G973))</f>
        <v/>
      </c>
      <c r="I973" s="45"/>
      <c r="J973" s="57"/>
      <c r="K973" s="46"/>
      <c r="L973" s="54" t="str">
        <f aca="false">IF(A973="","",IF(B973="","Missing code",IF(C973="Unknown code","Unknown code",IF(COUNTIF($A$6:$A$1005,A973)&gt;1,"Duplicate WO",""))))</f>
        <v/>
      </c>
    </row>
    <row r="974" customFormat="false" ht="15" hidden="false" customHeight="false" outlineLevel="0" collapsed="false">
      <c r="A974" s="46"/>
      <c r="B974" s="46"/>
      <c r="C974" s="54" t="str">
        <f aca="false">IF(B974="","",IFERROR(INDEX('Kitting Plan'!$D$5:$D$18,MATCH(B974,'Kitting Plan'!$C$5:$C$18,0)),"Unknown code"))</f>
        <v/>
      </c>
      <c r="D974" s="54" t="str">
        <f aca="false">IF(B974="","",IFERROR(INDEX('Kitting Plan'!$B$5:$B$18,MATCH(B974,'Kitting Plan'!$C$5:$C$18,0)),""))</f>
        <v/>
      </c>
      <c r="E974" s="45"/>
      <c r="F974" s="55" t="str">
        <f aca="false">IF(B974="","",IFERROR(INDEX('Kitting Plan'!$H$5:$H$18,MATCH(B974,'Kitting Plan'!$C$5:$C$18,0)),""))</f>
        <v/>
      </c>
      <c r="G974" s="45"/>
      <c r="H974" s="56" t="str">
        <f aca="false">IF(B974="","",IF(G974="",F974,G974))</f>
        <v/>
      </c>
      <c r="I974" s="45"/>
      <c r="J974" s="57"/>
      <c r="K974" s="46"/>
      <c r="L974" s="54" t="str">
        <f aca="false">IF(A974="","",IF(B974="","Missing code",IF(C974="Unknown code","Unknown code",IF(COUNTIF($A$6:$A$1005,A974)&gt;1,"Duplicate WO",""))))</f>
        <v/>
      </c>
    </row>
    <row r="975" customFormat="false" ht="15" hidden="false" customHeight="false" outlineLevel="0" collapsed="false">
      <c r="A975" s="46"/>
      <c r="B975" s="46"/>
      <c r="C975" s="54" t="str">
        <f aca="false">IF(B975="","",IFERROR(INDEX('Kitting Plan'!$D$5:$D$18,MATCH(B975,'Kitting Plan'!$C$5:$C$18,0)),"Unknown code"))</f>
        <v/>
      </c>
      <c r="D975" s="54" t="str">
        <f aca="false">IF(B975="","",IFERROR(INDEX('Kitting Plan'!$B$5:$B$18,MATCH(B975,'Kitting Plan'!$C$5:$C$18,0)),""))</f>
        <v/>
      </c>
      <c r="E975" s="45"/>
      <c r="F975" s="55" t="str">
        <f aca="false">IF(B975="","",IFERROR(INDEX('Kitting Plan'!$H$5:$H$18,MATCH(B975,'Kitting Plan'!$C$5:$C$18,0)),""))</f>
        <v/>
      </c>
      <c r="G975" s="45"/>
      <c r="H975" s="56" t="str">
        <f aca="false">IF(B975="","",IF(G975="",F975,G975))</f>
        <v/>
      </c>
      <c r="I975" s="45"/>
      <c r="J975" s="57"/>
      <c r="K975" s="46"/>
      <c r="L975" s="54" t="str">
        <f aca="false">IF(A975="","",IF(B975="","Missing code",IF(C975="Unknown code","Unknown code",IF(COUNTIF($A$6:$A$1005,A975)&gt;1,"Duplicate WO",""))))</f>
        <v/>
      </c>
    </row>
    <row r="976" customFormat="false" ht="15" hidden="false" customHeight="false" outlineLevel="0" collapsed="false">
      <c r="A976" s="46"/>
      <c r="B976" s="46"/>
      <c r="C976" s="54" t="str">
        <f aca="false">IF(B976="","",IFERROR(INDEX('Kitting Plan'!$D$5:$D$18,MATCH(B976,'Kitting Plan'!$C$5:$C$18,0)),"Unknown code"))</f>
        <v/>
      </c>
      <c r="D976" s="54" t="str">
        <f aca="false">IF(B976="","",IFERROR(INDEX('Kitting Plan'!$B$5:$B$18,MATCH(B976,'Kitting Plan'!$C$5:$C$18,0)),""))</f>
        <v/>
      </c>
      <c r="E976" s="45"/>
      <c r="F976" s="55" t="str">
        <f aca="false">IF(B976="","",IFERROR(INDEX('Kitting Plan'!$H$5:$H$18,MATCH(B976,'Kitting Plan'!$C$5:$C$18,0)),""))</f>
        <v/>
      </c>
      <c r="G976" s="45"/>
      <c r="H976" s="56" t="str">
        <f aca="false">IF(B976="","",IF(G976="",F976,G976))</f>
        <v/>
      </c>
      <c r="I976" s="45"/>
      <c r="J976" s="57"/>
      <c r="K976" s="46"/>
      <c r="L976" s="54" t="str">
        <f aca="false">IF(A976="","",IF(B976="","Missing code",IF(C976="Unknown code","Unknown code",IF(COUNTIF($A$6:$A$1005,A976)&gt;1,"Duplicate WO",""))))</f>
        <v/>
      </c>
    </row>
    <row r="977" customFormat="false" ht="15" hidden="false" customHeight="false" outlineLevel="0" collapsed="false">
      <c r="A977" s="46"/>
      <c r="B977" s="46"/>
      <c r="C977" s="54" t="str">
        <f aca="false">IF(B977="","",IFERROR(INDEX('Kitting Plan'!$D$5:$D$18,MATCH(B977,'Kitting Plan'!$C$5:$C$18,0)),"Unknown code"))</f>
        <v/>
      </c>
      <c r="D977" s="54" t="str">
        <f aca="false">IF(B977="","",IFERROR(INDEX('Kitting Plan'!$B$5:$B$18,MATCH(B977,'Kitting Plan'!$C$5:$C$18,0)),""))</f>
        <v/>
      </c>
      <c r="E977" s="45"/>
      <c r="F977" s="55" t="str">
        <f aca="false">IF(B977="","",IFERROR(INDEX('Kitting Plan'!$H$5:$H$18,MATCH(B977,'Kitting Plan'!$C$5:$C$18,0)),""))</f>
        <v/>
      </c>
      <c r="G977" s="45"/>
      <c r="H977" s="56" t="str">
        <f aca="false">IF(B977="","",IF(G977="",F977,G977))</f>
        <v/>
      </c>
      <c r="I977" s="45"/>
      <c r="J977" s="57"/>
      <c r="K977" s="46"/>
      <c r="L977" s="54" t="str">
        <f aca="false">IF(A977="","",IF(B977="","Missing code",IF(C977="Unknown code","Unknown code",IF(COUNTIF($A$6:$A$1005,A977)&gt;1,"Duplicate WO",""))))</f>
        <v/>
      </c>
    </row>
    <row r="978" customFormat="false" ht="15" hidden="false" customHeight="false" outlineLevel="0" collapsed="false">
      <c r="A978" s="46"/>
      <c r="B978" s="46"/>
      <c r="C978" s="54" t="str">
        <f aca="false">IF(B978="","",IFERROR(INDEX('Kitting Plan'!$D$5:$D$18,MATCH(B978,'Kitting Plan'!$C$5:$C$18,0)),"Unknown code"))</f>
        <v/>
      </c>
      <c r="D978" s="54" t="str">
        <f aca="false">IF(B978="","",IFERROR(INDEX('Kitting Plan'!$B$5:$B$18,MATCH(B978,'Kitting Plan'!$C$5:$C$18,0)),""))</f>
        <v/>
      </c>
      <c r="E978" s="45"/>
      <c r="F978" s="55" t="str">
        <f aca="false">IF(B978="","",IFERROR(INDEX('Kitting Plan'!$H$5:$H$18,MATCH(B978,'Kitting Plan'!$C$5:$C$18,0)),""))</f>
        <v/>
      </c>
      <c r="G978" s="45"/>
      <c r="H978" s="56" t="str">
        <f aca="false">IF(B978="","",IF(G978="",F978,G978))</f>
        <v/>
      </c>
      <c r="I978" s="45"/>
      <c r="J978" s="57"/>
      <c r="K978" s="46"/>
      <c r="L978" s="54" t="str">
        <f aca="false">IF(A978="","",IF(B978="","Missing code",IF(C978="Unknown code","Unknown code",IF(COUNTIF($A$6:$A$1005,A978)&gt;1,"Duplicate WO",""))))</f>
        <v/>
      </c>
    </row>
    <row r="979" customFormat="false" ht="15" hidden="false" customHeight="false" outlineLevel="0" collapsed="false">
      <c r="A979" s="46"/>
      <c r="B979" s="46"/>
      <c r="C979" s="54" t="str">
        <f aca="false">IF(B979="","",IFERROR(INDEX('Kitting Plan'!$D$5:$D$18,MATCH(B979,'Kitting Plan'!$C$5:$C$18,0)),"Unknown code"))</f>
        <v/>
      </c>
      <c r="D979" s="54" t="str">
        <f aca="false">IF(B979="","",IFERROR(INDEX('Kitting Plan'!$B$5:$B$18,MATCH(B979,'Kitting Plan'!$C$5:$C$18,0)),""))</f>
        <v/>
      </c>
      <c r="E979" s="45"/>
      <c r="F979" s="55" t="str">
        <f aca="false">IF(B979="","",IFERROR(INDEX('Kitting Plan'!$H$5:$H$18,MATCH(B979,'Kitting Plan'!$C$5:$C$18,0)),""))</f>
        <v/>
      </c>
      <c r="G979" s="45"/>
      <c r="H979" s="56" t="str">
        <f aca="false">IF(B979="","",IF(G979="",F979,G979))</f>
        <v/>
      </c>
      <c r="I979" s="45"/>
      <c r="J979" s="57"/>
      <c r="K979" s="46"/>
      <c r="L979" s="54" t="str">
        <f aca="false">IF(A979="","",IF(B979="","Missing code",IF(C979="Unknown code","Unknown code",IF(COUNTIF($A$6:$A$1005,A979)&gt;1,"Duplicate WO",""))))</f>
        <v/>
      </c>
    </row>
    <row r="980" customFormat="false" ht="15" hidden="false" customHeight="false" outlineLevel="0" collapsed="false">
      <c r="A980" s="46"/>
      <c r="B980" s="46"/>
      <c r="C980" s="54" t="str">
        <f aca="false">IF(B980="","",IFERROR(INDEX('Kitting Plan'!$D$5:$D$18,MATCH(B980,'Kitting Plan'!$C$5:$C$18,0)),"Unknown code"))</f>
        <v/>
      </c>
      <c r="D980" s="54" t="str">
        <f aca="false">IF(B980="","",IFERROR(INDEX('Kitting Plan'!$B$5:$B$18,MATCH(B980,'Kitting Plan'!$C$5:$C$18,0)),""))</f>
        <v/>
      </c>
      <c r="E980" s="45"/>
      <c r="F980" s="55" t="str">
        <f aca="false">IF(B980="","",IFERROR(INDEX('Kitting Plan'!$H$5:$H$18,MATCH(B980,'Kitting Plan'!$C$5:$C$18,0)),""))</f>
        <v/>
      </c>
      <c r="G980" s="45"/>
      <c r="H980" s="56" t="str">
        <f aca="false">IF(B980="","",IF(G980="",F980,G980))</f>
        <v/>
      </c>
      <c r="I980" s="45"/>
      <c r="J980" s="57"/>
      <c r="K980" s="46"/>
      <c r="L980" s="54" t="str">
        <f aca="false">IF(A980="","",IF(B980="","Missing code",IF(C980="Unknown code","Unknown code",IF(COUNTIF($A$6:$A$1005,A980)&gt;1,"Duplicate WO",""))))</f>
        <v/>
      </c>
    </row>
    <row r="981" customFormat="false" ht="15" hidden="false" customHeight="false" outlineLevel="0" collapsed="false">
      <c r="A981" s="46"/>
      <c r="B981" s="46"/>
      <c r="C981" s="54" t="str">
        <f aca="false">IF(B981="","",IFERROR(INDEX('Kitting Plan'!$D$5:$D$18,MATCH(B981,'Kitting Plan'!$C$5:$C$18,0)),"Unknown code"))</f>
        <v/>
      </c>
      <c r="D981" s="54" t="str">
        <f aca="false">IF(B981="","",IFERROR(INDEX('Kitting Plan'!$B$5:$B$18,MATCH(B981,'Kitting Plan'!$C$5:$C$18,0)),""))</f>
        <v/>
      </c>
      <c r="E981" s="45"/>
      <c r="F981" s="55" t="str">
        <f aca="false">IF(B981="","",IFERROR(INDEX('Kitting Plan'!$H$5:$H$18,MATCH(B981,'Kitting Plan'!$C$5:$C$18,0)),""))</f>
        <v/>
      </c>
      <c r="G981" s="45"/>
      <c r="H981" s="56" t="str">
        <f aca="false">IF(B981="","",IF(G981="",F981,G981))</f>
        <v/>
      </c>
      <c r="I981" s="45"/>
      <c r="J981" s="57"/>
      <c r="K981" s="46"/>
      <c r="L981" s="54" t="str">
        <f aca="false">IF(A981="","",IF(B981="","Missing code",IF(C981="Unknown code","Unknown code",IF(COUNTIF($A$6:$A$1005,A981)&gt;1,"Duplicate WO",""))))</f>
        <v/>
      </c>
    </row>
    <row r="982" customFormat="false" ht="15" hidden="false" customHeight="false" outlineLevel="0" collapsed="false">
      <c r="A982" s="46"/>
      <c r="B982" s="46"/>
      <c r="C982" s="54" t="str">
        <f aca="false">IF(B982="","",IFERROR(INDEX('Kitting Plan'!$D$5:$D$18,MATCH(B982,'Kitting Plan'!$C$5:$C$18,0)),"Unknown code"))</f>
        <v/>
      </c>
      <c r="D982" s="54" t="str">
        <f aca="false">IF(B982="","",IFERROR(INDEX('Kitting Plan'!$B$5:$B$18,MATCH(B982,'Kitting Plan'!$C$5:$C$18,0)),""))</f>
        <v/>
      </c>
      <c r="E982" s="45"/>
      <c r="F982" s="55" t="str">
        <f aca="false">IF(B982="","",IFERROR(INDEX('Kitting Plan'!$H$5:$H$18,MATCH(B982,'Kitting Plan'!$C$5:$C$18,0)),""))</f>
        <v/>
      </c>
      <c r="G982" s="45"/>
      <c r="H982" s="56" t="str">
        <f aca="false">IF(B982="","",IF(G982="",F982,G982))</f>
        <v/>
      </c>
      <c r="I982" s="45"/>
      <c r="J982" s="57"/>
      <c r="K982" s="46"/>
      <c r="L982" s="54" t="str">
        <f aca="false">IF(A982="","",IF(B982="","Missing code",IF(C982="Unknown code","Unknown code",IF(COUNTIF($A$6:$A$1005,A982)&gt;1,"Duplicate WO",""))))</f>
        <v/>
      </c>
    </row>
    <row r="983" customFormat="false" ht="15" hidden="false" customHeight="false" outlineLevel="0" collapsed="false">
      <c r="A983" s="46"/>
      <c r="B983" s="46"/>
      <c r="C983" s="54" t="str">
        <f aca="false">IF(B983="","",IFERROR(INDEX('Kitting Plan'!$D$5:$D$18,MATCH(B983,'Kitting Plan'!$C$5:$C$18,0)),"Unknown code"))</f>
        <v/>
      </c>
      <c r="D983" s="54" t="str">
        <f aca="false">IF(B983="","",IFERROR(INDEX('Kitting Plan'!$B$5:$B$18,MATCH(B983,'Kitting Plan'!$C$5:$C$18,0)),""))</f>
        <v/>
      </c>
      <c r="E983" s="45"/>
      <c r="F983" s="55" t="str">
        <f aca="false">IF(B983="","",IFERROR(INDEX('Kitting Plan'!$H$5:$H$18,MATCH(B983,'Kitting Plan'!$C$5:$C$18,0)),""))</f>
        <v/>
      </c>
      <c r="G983" s="45"/>
      <c r="H983" s="56" t="str">
        <f aca="false">IF(B983="","",IF(G983="",F983,G983))</f>
        <v/>
      </c>
      <c r="I983" s="45"/>
      <c r="J983" s="57"/>
      <c r="K983" s="46"/>
      <c r="L983" s="54" t="str">
        <f aca="false">IF(A983="","",IF(B983="","Missing code",IF(C983="Unknown code","Unknown code",IF(COUNTIF($A$6:$A$1005,A983)&gt;1,"Duplicate WO",""))))</f>
        <v/>
      </c>
    </row>
    <row r="984" customFormat="false" ht="15" hidden="false" customHeight="false" outlineLevel="0" collapsed="false">
      <c r="A984" s="46"/>
      <c r="B984" s="46"/>
      <c r="C984" s="54" t="str">
        <f aca="false">IF(B984="","",IFERROR(INDEX('Kitting Plan'!$D$5:$D$18,MATCH(B984,'Kitting Plan'!$C$5:$C$18,0)),"Unknown code"))</f>
        <v/>
      </c>
      <c r="D984" s="54" t="str">
        <f aca="false">IF(B984="","",IFERROR(INDEX('Kitting Plan'!$B$5:$B$18,MATCH(B984,'Kitting Plan'!$C$5:$C$18,0)),""))</f>
        <v/>
      </c>
      <c r="E984" s="45"/>
      <c r="F984" s="55" t="str">
        <f aca="false">IF(B984="","",IFERROR(INDEX('Kitting Plan'!$H$5:$H$18,MATCH(B984,'Kitting Plan'!$C$5:$C$18,0)),""))</f>
        <v/>
      </c>
      <c r="G984" s="45"/>
      <c r="H984" s="56" t="str">
        <f aca="false">IF(B984="","",IF(G984="",F984,G984))</f>
        <v/>
      </c>
      <c r="I984" s="45"/>
      <c r="J984" s="57"/>
      <c r="K984" s="46"/>
      <c r="L984" s="54" t="str">
        <f aca="false">IF(A984="","",IF(B984="","Missing code",IF(C984="Unknown code","Unknown code",IF(COUNTIF($A$6:$A$1005,A984)&gt;1,"Duplicate WO",""))))</f>
        <v/>
      </c>
    </row>
    <row r="985" customFormat="false" ht="15" hidden="false" customHeight="false" outlineLevel="0" collapsed="false">
      <c r="A985" s="46"/>
      <c r="B985" s="46"/>
      <c r="C985" s="54" t="str">
        <f aca="false">IF(B985="","",IFERROR(INDEX('Kitting Plan'!$D$5:$D$18,MATCH(B985,'Kitting Plan'!$C$5:$C$18,0)),"Unknown code"))</f>
        <v/>
      </c>
      <c r="D985" s="54" t="str">
        <f aca="false">IF(B985="","",IFERROR(INDEX('Kitting Plan'!$B$5:$B$18,MATCH(B985,'Kitting Plan'!$C$5:$C$18,0)),""))</f>
        <v/>
      </c>
      <c r="E985" s="45"/>
      <c r="F985" s="55" t="str">
        <f aca="false">IF(B985="","",IFERROR(INDEX('Kitting Plan'!$H$5:$H$18,MATCH(B985,'Kitting Plan'!$C$5:$C$18,0)),""))</f>
        <v/>
      </c>
      <c r="G985" s="45"/>
      <c r="H985" s="56" t="str">
        <f aca="false">IF(B985="","",IF(G985="",F985,G985))</f>
        <v/>
      </c>
      <c r="I985" s="45"/>
      <c r="J985" s="57"/>
      <c r="K985" s="46"/>
      <c r="L985" s="54" t="str">
        <f aca="false">IF(A985="","",IF(B985="","Missing code",IF(C985="Unknown code","Unknown code",IF(COUNTIF($A$6:$A$1005,A985)&gt;1,"Duplicate WO",""))))</f>
        <v/>
      </c>
    </row>
    <row r="986" customFormat="false" ht="15" hidden="false" customHeight="false" outlineLevel="0" collapsed="false">
      <c r="A986" s="46"/>
      <c r="B986" s="46"/>
      <c r="C986" s="54" t="str">
        <f aca="false">IF(B986="","",IFERROR(INDEX('Kitting Plan'!$D$5:$D$18,MATCH(B986,'Kitting Plan'!$C$5:$C$18,0)),"Unknown code"))</f>
        <v/>
      </c>
      <c r="D986" s="54" t="str">
        <f aca="false">IF(B986="","",IFERROR(INDEX('Kitting Plan'!$B$5:$B$18,MATCH(B986,'Kitting Plan'!$C$5:$C$18,0)),""))</f>
        <v/>
      </c>
      <c r="E986" s="45"/>
      <c r="F986" s="55" t="str">
        <f aca="false">IF(B986="","",IFERROR(INDEX('Kitting Plan'!$H$5:$H$18,MATCH(B986,'Kitting Plan'!$C$5:$C$18,0)),""))</f>
        <v/>
      </c>
      <c r="G986" s="45"/>
      <c r="H986" s="56" t="str">
        <f aca="false">IF(B986="","",IF(G986="",F986,G986))</f>
        <v/>
      </c>
      <c r="I986" s="45"/>
      <c r="J986" s="57"/>
      <c r="K986" s="46"/>
      <c r="L986" s="54" t="str">
        <f aca="false">IF(A986="","",IF(B986="","Missing code",IF(C986="Unknown code","Unknown code",IF(COUNTIF($A$6:$A$1005,A986)&gt;1,"Duplicate WO",""))))</f>
        <v/>
      </c>
    </row>
    <row r="987" customFormat="false" ht="15" hidden="false" customHeight="false" outlineLevel="0" collapsed="false">
      <c r="A987" s="46"/>
      <c r="B987" s="46"/>
      <c r="C987" s="54" t="str">
        <f aca="false">IF(B987="","",IFERROR(INDEX('Kitting Plan'!$D$5:$D$18,MATCH(B987,'Kitting Plan'!$C$5:$C$18,0)),"Unknown code"))</f>
        <v/>
      </c>
      <c r="D987" s="54" t="str">
        <f aca="false">IF(B987="","",IFERROR(INDEX('Kitting Plan'!$B$5:$B$18,MATCH(B987,'Kitting Plan'!$C$5:$C$18,0)),""))</f>
        <v/>
      </c>
      <c r="E987" s="45"/>
      <c r="F987" s="55" t="str">
        <f aca="false">IF(B987="","",IFERROR(INDEX('Kitting Plan'!$H$5:$H$18,MATCH(B987,'Kitting Plan'!$C$5:$C$18,0)),""))</f>
        <v/>
      </c>
      <c r="G987" s="45"/>
      <c r="H987" s="56" t="str">
        <f aca="false">IF(B987="","",IF(G987="",F987,G987))</f>
        <v/>
      </c>
      <c r="I987" s="45"/>
      <c r="J987" s="57"/>
      <c r="K987" s="46"/>
      <c r="L987" s="54" t="str">
        <f aca="false">IF(A987="","",IF(B987="","Missing code",IF(C987="Unknown code","Unknown code",IF(COUNTIF($A$6:$A$1005,A987)&gt;1,"Duplicate WO",""))))</f>
        <v/>
      </c>
    </row>
    <row r="988" customFormat="false" ht="15" hidden="false" customHeight="false" outlineLevel="0" collapsed="false">
      <c r="A988" s="46"/>
      <c r="B988" s="46"/>
      <c r="C988" s="54" t="str">
        <f aca="false">IF(B988="","",IFERROR(INDEX('Kitting Plan'!$D$5:$D$18,MATCH(B988,'Kitting Plan'!$C$5:$C$18,0)),"Unknown code"))</f>
        <v/>
      </c>
      <c r="D988" s="54" t="str">
        <f aca="false">IF(B988="","",IFERROR(INDEX('Kitting Plan'!$B$5:$B$18,MATCH(B988,'Kitting Plan'!$C$5:$C$18,0)),""))</f>
        <v/>
      </c>
      <c r="E988" s="45"/>
      <c r="F988" s="55" t="str">
        <f aca="false">IF(B988="","",IFERROR(INDEX('Kitting Plan'!$H$5:$H$18,MATCH(B988,'Kitting Plan'!$C$5:$C$18,0)),""))</f>
        <v/>
      </c>
      <c r="G988" s="45"/>
      <c r="H988" s="56" t="str">
        <f aca="false">IF(B988="","",IF(G988="",F988,G988))</f>
        <v/>
      </c>
      <c r="I988" s="45"/>
      <c r="J988" s="57"/>
      <c r="K988" s="46"/>
      <c r="L988" s="54" t="str">
        <f aca="false">IF(A988="","",IF(B988="","Missing code",IF(C988="Unknown code","Unknown code",IF(COUNTIF($A$6:$A$1005,A988)&gt;1,"Duplicate WO",""))))</f>
        <v/>
      </c>
    </row>
    <row r="989" customFormat="false" ht="15" hidden="false" customHeight="false" outlineLevel="0" collapsed="false">
      <c r="A989" s="46"/>
      <c r="B989" s="46"/>
      <c r="C989" s="54" t="str">
        <f aca="false">IF(B989="","",IFERROR(INDEX('Kitting Plan'!$D$5:$D$18,MATCH(B989,'Kitting Plan'!$C$5:$C$18,0)),"Unknown code"))</f>
        <v/>
      </c>
      <c r="D989" s="54" t="str">
        <f aca="false">IF(B989="","",IFERROR(INDEX('Kitting Plan'!$B$5:$B$18,MATCH(B989,'Kitting Plan'!$C$5:$C$18,0)),""))</f>
        <v/>
      </c>
      <c r="E989" s="45"/>
      <c r="F989" s="55" t="str">
        <f aca="false">IF(B989="","",IFERROR(INDEX('Kitting Plan'!$H$5:$H$18,MATCH(B989,'Kitting Plan'!$C$5:$C$18,0)),""))</f>
        <v/>
      </c>
      <c r="G989" s="45"/>
      <c r="H989" s="56" t="str">
        <f aca="false">IF(B989="","",IF(G989="",F989,G989))</f>
        <v/>
      </c>
      <c r="I989" s="45"/>
      <c r="J989" s="57"/>
      <c r="K989" s="46"/>
      <c r="L989" s="54" t="str">
        <f aca="false">IF(A989="","",IF(B989="","Missing code",IF(C989="Unknown code","Unknown code",IF(COUNTIF($A$6:$A$1005,A989)&gt;1,"Duplicate WO",""))))</f>
        <v/>
      </c>
    </row>
    <row r="990" customFormat="false" ht="15" hidden="false" customHeight="false" outlineLevel="0" collapsed="false">
      <c r="A990" s="46"/>
      <c r="B990" s="46"/>
      <c r="C990" s="54" t="str">
        <f aca="false">IF(B990="","",IFERROR(INDEX('Kitting Plan'!$D$5:$D$18,MATCH(B990,'Kitting Plan'!$C$5:$C$18,0)),"Unknown code"))</f>
        <v/>
      </c>
      <c r="D990" s="54" t="str">
        <f aca="false">IF(B990="","",IFERROR(INDEX('Kitting Plan'!$B$5:$B$18,MATCH(B990,'Kitting Plan'!$C$5:$C$18,0)),""))</f>
        <v/>
      </c>
      <c r="E990" s="45"/>
      <c r="F990" s="55" t="str">
        <f aca="false">IF(B990="","",IFERROR(INDEX('Kitting Plan'!$H$5:$H$18,MATCH(B990,'Kitting Plan'!$C$5:$C$18,0)),""))</f>
        <v/>
      </c>
      <c r="G990" s="45"/>
      <c r="H990" s="56" t="str">
        <f aca="false">IF(B990="","",IF(G990="",F990,G990))</f>
        <v/>
      </c>
      <c r="I990" s="45"/>
      <c r="J990" s="57"/>
      <c r="K990" s="46"/>
      <c r="L990" s="54" t="str">
        <f aca="false">IF(A990="","",IF(B990="","Missing code",IF(C990="Unknown code","Unknown code",IF(COUNTIF($A$6:$A$1005,A990)&gt;1,"Duplicate WO",""))))</f>
        <v/>
      </c>
    </row>
    <row r="991" customFormat="false" ht="15" hidden="false" customHeight="false" outlineLevel="0" collapsed="false">
      <c r="A991" s="46"/>
      <c r="B991" s="46"/>
      <c r="C991" s="54" t="str">
        <f aca="false">IF(B991="","",IFERROR(INDEX('Kitting Plan'!$D$5:$D$18,MATCH(B991,'Kitting Plan'!$C$5:$C$18,0)),"Unknown code"))</f>
        <v/>
      </c>
      <c r="D991" s="54" t="str">
        <f aca="false">IF(B991="","",IFERROR(INDEX('Kitting Plan'!$B$5:$B$18,MATCH(B991,'Kitting Plan'!$C$5:$C$18,0)),""))</f>
        <v/>
      </c>
      <c r="E991" s="45"/>
      <c r="F991" s="55" t="str">
        <f aca="false">IF(B991="","",IFERROR(INDEX('Kitting Plan'!$H$5:$H$18,MATCH(B991,'Kitting Plan'!$C$5:$C$18,0)),""))</f>
        <v/>
      </c>
      <c r="G991" s="45"/>
      <c r="H991" s="56" t="str">
        <f aca="false">IF(B991="","",IF(G991="",F991,G991))</f>
        <v/>
      </c>
      <c r="I991" s="45"/>
      <c r="J991" s="57"/>
      <c r="K991" s="46"/>
      <c r="L991" s="54" t="str">
        <f aca="false">IF(A991="","",IF(B991="","Missing code",IF(C991="Unknown code","Unknown code",IF(COUNTIF($A$6:$A$1005,A991)&gt;1,"Duplicate WO",""))))</f>
        <v/>
      </c>
    </row>
    <row r="992" customFormat="false" ht="15" hidden="false" customHeight="false" outlineLevel="0" collapsed="false">
      <c r="A992" s="46"/>
      <c r="B992" s="46"/>
      <c r="C992" s="54" t="str">
        <f aca="false">IF(B992="","",IFERROR(INDEX('Kitting Plan'!$D$5:$D$18,MATCH(B992,'Kitting Plan'!$C$5:$C$18,0)),"Unknown code"))</f>
        <v/>
      </c>
      <c r="D992" s="54" t="str">
        <f aca="false">IF(B992="","",IFERROR(INDEX('Kitting Plan'!$B$5:$B$18,MATCH(B992,'Kitting Plan'!$C$5:$C$18,0)),""))</f>
        <v/>
      </c>
      <c r="E992" s="45"/>
      <c r="F992" s="55" t="str">
        <f aca="false">IF(B992="","",IFERROR(INDEX('Kitting Plan'!$H$5:$H$18,MATCH(B992,'Kitting Plan'!$C$5:$C$18,0)),""))</f>
        <v/>
      </c>
      <c r="G992" s="45"/>
      <c r="H992" s="56" t="str">
        <f aca="false">IF(B992="","",IF(G992="",F992,G992))</f>
        <v/>
      </c>
      <c r="I992" s="45"/>
      <c r="J992" s="57"/>
      <c r="K992" s="46"/>
      <c r="L992" s="54" t="str">
        <f aca="false">IF(A992="","",IF(B992="","Missing code",IF(C992="Unknown code","Unknown code",IF(COUNTIF($A$6:$A$1005,A992)&gt;1,"Duplicate WO",""))))</f>
        <v/>
      </c>
    </row>
    <row r="993" customFormat="false" ht="15" hidden="false" customHeight="false" outlineLevel="0" collapsed="false">
      <c r="A993" s="46"/>
      <c r="B993" s="46"/>
      <c r="C993" s="54" t="str">
        <f aca="false">IF(B993="","",IFERROR(INDEX('Kitting Plan'!$D$5:$D$18,MATCH(B993,'Kitting Plan'!$C$5:$C$18,0)),"Unknown code"))</f>
        <v/>
      </c>
      <c r="D993" s="54" t="str">
        <f aca="false">IF(B993="","",IFERROR(INDEX('Kitting Plan'!$B$5:$B$18,MATCH(B993,'Kitting Plan'!$C$5:$C$18,0)),""))</f>
        <v/>
      </c>
      <c r="E993" s="45"/>
      <c r="F993" s="55" t="str">
        <f aca="false">IF(B993="","",IFERROR(INDEX('Kitting Plan'!$H$5:$H$18,MATCH(B993,'Kitting Plan'!$C$5:$C$18,0)),""))</f>
        <v/>
      </c>
      <c r="G993" s="45"/>
      <c r="H993" s="56" t="str">
        <f aca="false">IF(B993="","",IF(G993="",F993,G993))</f>
        <v/>
      </c>
      <c r="I993" s="45"/>
      <c r="J993" s="57"/>
      <c r="K993" s="46"/>
      <c r="L993" s="54" t="str">
        <f aca="false">IF(A993="","",IF(B993="","Missing code",IF(C993="Unknown code","Unknown code",IF(COUNTIF($A$6:$A$1005,A993)&gt;1,"Duplicate WO",""))))</f>
        <v/>
      </c>
    </row>
    <row r="994" customFormat="false" ht="15" hidden="false" customHeight="false" outlineLevel="0" collapsed="false">
      <c r="A994" s="46"/>
      <c r="B994" s="46"/>
      <c r="C994" s="54" t="str">
        <f aca="false">IF(B994="","",IFERROR(INDEX('Kitting Plan'!$D$5:$D$18,MATCH(B994,'Kitting Plan'!$C$5:$C$18,0)),"Unknown code"))</f>
        <v/>
      </c>
      <c r="D994" s="54" t="str">
        <f aca="false">IF(B994="","",IFERROR(INDEX('Kitting Plan'!$B$5:$B$18,MATCH(B994,'Kitting Plan'!$C$5:$C$18,0)),""))</f>
        <v/>
      </c>
      <c r="E994" s="45"/>
      <c r="F994" s="55" t="str">
        <f aca="false">IF(B994="","",IFERROR(INDEX('Kitting Plan'!$H$5:$H$18,MATCH(B994,'Kitting Plan'!$C$5:$C$18,0)),""))</f>
        <v/>
      </c>
      <c r="G994" s="45"/>
      <c r="H994" s="56" t="str">
        <f aca="false">IF(B994="","",IF(G994="",F994,G994))</f>
        <v/>
      </c>
      <c r="I994" s="45"/>
      <c r="J994" s="57"/>
      <c r="K994" s="46"/>
      <c r="L994" s="54" t="str">
        <f aca="false">IF(A994="","",IF(B994="","Missing code",IF(C994="Unknown code","Unknown code",IF(COUNTIF($A$6:$A$1005,A994)&gt;1,"Duplicate WO",""))))</f>
        <v/>
      </c>
    </row>
    <row r="995" customFormat="false" ht="15" hidden="false" customHeight="false" outlineLevel="0" collapsed="false">
      <c r="A995" s="46"/>
      <c r="B995" s="46"/>
      <c r="C995" s="54" t="str">
        <f aca="false">IF(B995="","",IFERROR(INDEX('Kitting Plan'!$D$5:$D$18,MATCH(B995,'Kitting Plan'!$C$5:$C$18,0)),"Unknown code"))</f>
        <v/>
      </c>
      <c r="D995" s="54" t="str">
        <f aca="false">IF(B995="","",IFERROR(INDEX('Kitting Plan'!$B$5:$B$18,MATCH(B995,'Kitting Plan'!$C$5:$C$18,0)),""))</f>
        <v/>
      </c>
      <c r="E995" s="45"/>
      <c r="F995" s="55" t="str">
        <f aca="false">IF(B995="","",IFERROR(INDEX('Kitting Plan'!$H$5:$H$18,MATCH(B995,'Kitting Plan'!$C$5:$C$18,0)),""))</f>
        <v/>
      </c>
      <c r="G995" s="45"/>
      <c r="H995" s="56" t="str">
        <f aca="false">IF(B995="","",IF(G995="",F995,G995))</f>
        <v/>
      </c>
      <c r="I995" s="45"/>
      <c r="J995" s="57"/>
      <c r="K995" s="46"/>
      <c r="L995" s="54" t="str">
        <f aca="false">IF(A995="","",IF(B995="","Missing code",IF(C995="Unknown code","Unknown code",IF(COUNTIF($A$6:$A$1005,A995)&gt;1,"Duplicate WO",""))))</f>
        <v/>
      </c>
    </row>
    <row r="996" customFormat="false" ht="15" hidden="false" customHeight="false" outlineLevel="0" collapsed="false">
      <c r="A996" s="46"/>
      <c r="B996" s="46"/>
      <c r="C996" s="54" t="str">
        <f aca="false">IF(B996="","",IFERROR(INDEX('Kitting Plan'!$D$5:$D$18,MATCH(B996,'Kitting Plan'!$C$5:$C$18,0)),"Unknown code"))</f>
        <v/>
      </c>
      <c r="D996" s="54" t="str">
        <f aca="false">IF(B996="","",IFERROR(INDEX('Kitting Plan'!$B$5:$B$18,MATCH(B996,'Kitting Plan'!$C$5:$C$18,0)),""))</f>
        <v/>
      </c>
      <c r="E996" s="45"/>
      <c r="F996" s="55" t="str">
        <f aca="false">IF(B996="","",IFERROR(INDEX('Kitting Plan'!$H$5:$H$18,MATCH(B996,'Kitting Plan'!$C$5:$C$18,0)),""))</f>
        <v/>
      </c>
      <c r="G996" s="45"/>
      <c r="H996" s="56" t="str">
        <f aca="false">IF(B996="","",IF(G996="",F996,G996))</f>
        <v/>
      </c>
      <c r="I996" s="45"/>
      <c r="J996" s="57"/>
      <c r="K996" s="46"/>
      <c r="L996" s="54" t="str">
        <f aca="false">IF(A996="","",IF(B996="","Missing code",IF(C996="Unknown code","Unknown code",IF(COUNTIF($A$6:$A$1005,A996)&gt;1,"Duplicate WO",""))))</f>
        <v/>
      </c>
    </row>
    <row r="997" customFormat="false" ht="15" hidden="false" customHeight="false" outlineLevel="0" collapsed="false">
      <c r="A997" s="46"/>
      <c r="B997" s="46"/>
      <c r="C997" s="54" t="str">
        <f aca="false">IF(B997="","",IFERROR(INDEX('Kitting Plan'!$D$5:$D$18,MATCH(B997,'Kitting Plan'!$C$5:$C$18,0)),"Unknown code"))</f>
        <v/>
      </c>
      <c r="D997" s="54" t="str">
        <f aca="false">IF(B997="","",IFERROR(INDEX('Kitting Plan'!$B$5:$B$18,MATCH(B997,'Kitting Plan'!$C$5:$C$18,0)),""))</f>
        <v/>
      </c>
      <c r="E997" s="45"/>
      <c r="F997" s="55" t="str">
        <f aca="false">IF(B997="","",IFERROR(INDEX('Kitting Plan'!$H$5:$H$18,MATCH(B997,'Kitting Plan'!$C$5:$C$18,0)),""))</f>
        <v/>
      </c>
      <c r="G997" s="45"/>
      <c r="H997" s="56" t="str">
        <f aca="false">IF(B997="","",IF(G997="",F997,G997))</f>
        <v/>
      </c>
      <c r="I997" s="45"/>
      <c r="J997" s="57"/>
      <c r="K997" s="46"/>
      <c r="L997" s="54" t="str">
        <f aca="false">IF(A997="","",IF(B997="","Missing code",IF(C997="Unknown code","Unknown code",IF(COUNTIF($A$6:$A$1005,A997)&gt;1,"Duplicate WO",""))))</f>
        <v/>
      </c>
    </row>
    <row r="998" customFormat="false" ht="15" hidden="false" customHeight="false" outlineLevel="0" collapsed="false">
      <c r="A998" s="46"/>
      <c r="B998" s="46"/>
      <c r="C998" s="54" t="str">
        <f aca="false">IF(B998="","",IFERROR(INDEX('Kitting Plan'!$D$5:$D$18,MATCH(B998,'Kitting Plan'!$C$5:$C$18,0)),"Unknown code"))</f>
        <v/>
      </c>
      <c r="D998" s="54" t="str">
        <f aca="false">IF(B998="","",IFERROR(INDEX('Kitting Plan'!$B$5:$B$18,MATCH(B998,'Kitting Plan'!$C$5:$C$18,0)),""))</f>
        <v/>
      </c>
      <c r="E998" s="45"/>
      <c r="F998" s="55" t="str">
        <f aca="false">IF(B998="","",IFERROR(INDEX('Kitting Plan'!$H$5:$H$18,MATCH(B998,'Kitting Plan'!$C$5:$C$18,0)),""))</f>
        <v/>
      </c>
      <c r="G998" s="45"/>
      <c r="H998" s="56" t="str">
        <f aca="false">IF(B998="","",IF(G998="",F998,G998))</f>
        <v/>
      </c>
      <c r="I998" s="45"/>
      <c r="J998" s="57"/>
      <c r="K998" s="46"/>
      <c r="L998" s="54" t="str">
        <f aca="false">IF(A998="","",IF(B998="","Missing code",IF(C998="Unknown code","Unknown code",IF(COUNTIF($A$6:$A$1005,A998)&gt;1,"Duplicate WO",""))))</f>
        <v/>
      </c>
    </row>
    <row r="999" customFormat="false" ht="15" hidden="false" customHeight="false" outlineLevel="0" collapsed="false">
      <c r="A999" s="46"/>
      <c r="B999" s="46"/>
      <c r="C999" s="54" t="str">
        <f aca="false">IF(B999="","",IFERROR(INDEX('Kitting Plan'!$D$5:$D$18,MATCH(B999,'Kitting Plan'!$C$5:$C$18,0)),"Unknown code"))</f>
        <v/>
      </c>
      <c r="D999" s="54" t="str">
        <f aca="false">IF(B999="","",IFERROR(INDEX('Kitting Plan'!$B$5:$B$18,MATCH(B999,'Kitting Plan'!$C$5:$C$18,0)),""))</f>
        <v/>
      </c>
      <c r="E999" s="45"/>
      <c r="F999" s="55" t="str">
        <f aca="false">IF(B999="","",IFERROR(INDEX('Kitting Plan'!$H$5:$H$18,MATCH(B999,'Kitting Plan'!$C$5:$C$18,0)),""))</f>
        <v/>
      </c>
      <c r="G999" s="45"/>
      <c r="H999" s="56" t="str">
        <f aca="false">IF(B999="","",IF(G999="",F999,G999))</f>
        <v/>
      </c>
      <c r="I999" s="45"/>
      <c r="J999" s="57"/>
      <c r="K999" s="46"/>
      <c r="L999" s="54" t="str">
        <f aca="false">IF(A999="","",IF(B999="","Missing code",IF(C999="Unknown code","Unknown code",IF(COUNTIF($A$6:$A$1005,A999)&gt;1,"Duplicate WO",""))))</f>
        <v/>
      </c>
    </row>
    <row r="1000" customFormat="false" ht="15" hidden="false" customHeight="false" outlineLevel="0" collapsed="false">
      <c r="A1000" s="46"/>
      <c r="B1000" s="46"/>
      <c r="C1000" s="54" t="str">
        <f aca="false">IF(B1000="","",IFERROR(INDEX('Kitting Plan'!$D$5:$D$18,MATCH(B1000,'Kitting Plan'!$C$5:$C$18,0)),"Unknown code"))</f>
        <v/>
      </c>
      <c r="D1000" s="54" t="str">
        <f aca="false">IF(B1000="","",IFERROR(INDEX('Kitting Plan'!$B$5:$B$18,MATCH(B1000,'Kitting Plan'!$C$5:$C$18,0)),""))</f>
        <v/>
      </c>
      <c r="E1000" s="45"/>
      <c r="F1000" s="55" t="str">
        <f aca="false">IF(B1000="","",IFERROR(INDEX('Kitting Plan'!$H$5:$H$18,MATCH(B1000,'Kitting Plan'!$C$5:$C$18,0)),""))</f>
        <v/>
      </c>
      <c r="G1000" s="45"/>
      <c r="H1000" s="56" t="str">
        <f aca="false">IF(B1000="","",IF(G1000="",F1000,G1000))</f>
        <v/>
      </c>
      <c r="I1000" s="45"/>
      <c r="J1000" s="57"/>
      <c r="K1000" s="46"/>
      <c r="L1000" s="54" t="str">
        <f aca="false">IF(A1000="","",IF(B1000="","Missing code",IF(C1000="Unknown code","Unknown code",IF(COUNTIF($A$6:$A$1005,A1000)&gt;1,"Duplicate WO",""))))</f>
        <v/>
      </c>
    </row>
    <row r="1001" customFormat="false" ht="15" hidden="false" customHeight="false" outlineLevel="0" collapsed="false">
      <c r="A1001" s="46"/>
      <c r="B1001" s="46"/>
      <c r="C1001" s="54" t="str">
        <f aca="false">IF(B1001="","",IFERROR(INDEX('Kitting Plan'!$D$5:$D$18,MATCH(B1001,'Kitting Plan'!$C$5:$C$18,0)),"Unknown code"))</f>
        <v/>
      </c>
      <c r="D1001" s="54" t="str">
        <f aca="false">IF(B1001="","",IFERROR(INDEX('Kitting Plan'!$B$5:$B$18,MATCH(B1001,'Kitting Plan'!$C$5:$C$18,0)),""))</f>
        <v/>
      </c>
      <c r="E1001" s="45"/>
      <c r="F1001" s="55" t="str">
        <f aca="false">IF(B1001="","",IFERROR(INDEX('Kitting Plan'!$H$5:$H$18,MATCH(B1001,'Kitting Plan'!$C$5:$C$18,0)),""))</f>
        <v/>
      </c>
      <c r="G1001" s="45"/>
      <c r="H1001" s="56" t="str">
        <f aca="false">IF(B1001="","",IF(G1001="",F1001,G1001))</f>
        <v/>
      </c>
      <c r="I1001" s="45"/>
      <c r="J1001" s="57"/>
      <c r="K1001" s="46"/>
      <c r="L1001" s="54" t="str">
        <f aca="false">IF(A1001="","",IF(B1001="","Missing code",IF(C1001="Unknown code","Unknown code",IF(COUNTIF($A$6:$A$1005,A1001)&gt;1,"Duplicate WO",""))))</f>
        <v/>
      </c>
    </row>
    <row r="1002" customFormat="false" ht="15" hidden="false" customHeight="false" outlineLevel="0" collapsed="false">
      <c r="A1002" s="46"/>
      <c r="B1002" s="46"/>
      <c r="C1002" s="54" t="str">
        <f aca="false">IF(B1002="","",IFERROR(INDEX('Kitting Plan'!$D$5:$D$18,MATCH(B1002,'Kitting Plan'!$C$5:$C$18,0)),"Unknown code"))</f>
        <v/>
      </c>
      <c r="D1002" s="54" t="str">
        <f aca="false">IF(B1002="","",IFERROR(INDEX('Kitting Plan'!$B$5:$B$18,MATCH(B1002,'Kitting Plan'!$C$5:$C$18,0)),""))</f>
        <v/>
      </c>
      <c r="E1002" s="45"/>
      <c r="F1002" s="55" t="str">
        <f aca="false">IF(B1002="","",IFERROR(INDEX('Kitting Plan'!$H$5:$H$18,MATCH(B1002,'Kitting Plan'!$C$5:$C$18,0)),""))</f>
        <v/>
      </c>
      <c r="G1002" s="45"/>
      <c r="H1002" s="56" t="str">
        <f aca="false">IF(B1002="","",IF(G1002="",F1002,G1002))</f>
        <v/>
      </c>
      <c r="I1002" s="45"/>
      <c r="J1002" s="57"/>
      <c r="K1002" s="46"/>
      <c r="L1002" s="54" t="str">
        <f aca="false">IF(A1002="","",IF(B1002="","Missing code",IF(C1002="Unknown code","Unknown code",IF(COUNTIF($A$6:$A$1005,A1002)&gt;1,"Duplicate WO",""))))</f>
        <v/>
      </c>
    </row>
    <row r="1003" customFormat="false" ht="15" hidden="false" customHeight="false" outlineLevel="0" collapsed="false">
      <c r="A1003" s="46"/>
      <c r="B1003" s="46"/>
      <c r="C1003" s="54" t="str">
        <f aca="false">IF(B1003="","",IFERROR(INDEX('Kitting Plan'!$D$5:$D$18,MATCH(B1003,'Kitting Plan'!$C$5:$C$18,0)),"Unknown code"))</f>
        <v/>
      </c>
      <c r="D1003" s="54" t="str">
        <f aca="false">IF(B1003="","",IFERROR(INDEX('Kitting Plan'!$B$5:$B$18,MATCH(B1003,'Kitting Plan'!$C$5:$C$18,0)),""))</f>
        <v/>
      </c>
      <c r="E1003" s="45"/>
      <c r="F1003" s="55" t="str">
        <f aca="false">IF(B1003="","",IFERROR(INDEX('Kitting Plan'!$H$5:$H$18,MATCH(B1003,'Kitting Plan'!$C$5:$C$18,0)),""))</f>
        <v/>
      </c>
      <c r="G1003" s="45"/>
      <c r="H1003" s="56" t="str">
        <f aca="false">IF(B1003="","",IF(G1003="",F1003,G1003))</f>
        <v/>
      </c>
      <c r="I1003" s="45"/>
      <c r="J1003" s="57"/>
      <c r="K1003" s="46"/>
      <c r="L1003" s="54" t="str">
        <f aca="false">IF(A1003="","",IF(B1003="","Missing code",IF(C1003="Unknown code","Unknown code",IF(COUNTIF($A$6:$A$1005,A1003)&gt;1,"Duplicate WO",""))))</f>
        <v/>
      </c>
    </row>
    <row r="1004" customFormat="false" ht="15" hidden="false" customHeight="false" outlineLevel="0" collapsed="false">
      <c r="A1004" s="46"/>
      <c r="B1004" s="46"/>
      <c r="C1004" s="54" t="str">
        <f aca="false">IF(B1004="","",IFERROR(INDEX('Kitting Plan'!$D$5:$D$18,MATCH(B1004,'Kitting Plan'!$C$5:$C$18,0)),"Unknown code"))</f>
        <v/>
      </c>
      <c r="D1004" s="54" t="str">
        <f aca="false">IF(B1004="","",IFERROR(INDEX('Kitting Plan'!$B$5:$B$18,MATCH(B1004,'Kitting Plan'!$C$5:$C$18,0)),""))</f>
        <v/>
      </c>
      <c r="E1004" s="45"/>
      <c r="F1004" s="55" t="str">
        <f aca="false">IF(B1004="","",IFERROR(INDEX('Kitting Plan'!$H$5:$H$18,MATCH(B1004,'Kitting Plan'!$C$5:$C$18,0)),""))</f>
        <v/>
      </c>
      <c r="G1004" s="45"/>
      <c r="H1004" s="56" t="str">
        <f aca="false">IF(B1004="","",IF(G1004="",F1004,G1004))</f>
        <v/>
      </c>
      <c r="I1004" s="45"/>
      <c r="J1004" s="57"/>
      <c r="K1004" s="46"/>
      <c r="L1004" s="54" t="str">
        <f aca="false">IF(A1004="","",IF(B1004="","Missing code",IF(C1004="Unknown code","Unknown code",IF(COUNTIF($A$6:$A$1005,A1004)&gt;1,"Duplicate WO",""))))</f>
        <v/>
      </c>
    </row>
    <row r="1005" customFormat="false" ht="15" hidden="false" customHeight="false" outlineLevel="0" collapsed="false">
      <c r="A1005" s="46"/>
      <c r="B1005" s="46"/>
      <c r="C1005" s="54" t="str">
        <f aca="false">IF(B1005="","",IFERROR(INDEX('Kitting Plan'!$D$5:$D$18,MATCH(B1005,'Kitting Plan'!$C$5:$C$18,0)),"Unknown code"))</f>
        <v/>
      </c>
      <c r="D1005" s="54" t="str">
        <f aca="false">IF(B1005="","",IFERROR(INDEX('Kitting Plan'!$B$5:$B$18,MATCH(B1005,'Kitting Plan'!$C$5:$C$18,0)),""))</f>
        <v/>
      </c>
      <c r="E1005" s="45"/>
      <c r="F1005" s="55" t="str">
        <f aca="false">IF(B1005="","",IFERROR(INDEX('Kitting Plan'!$H$5:$H$18,MATCH(B1005,'Kitting Plan'!$C$5:$C$18,0)),""))</f>
        <v/>
      </c>
      <c r="G1005" s="45"/>
      <c r="H1005" s="56" t="str">
        <f aca="false">IF(B1005="","",IF(G1005="",F1005,G1005))</f>
        <v/>
      </c>
      <c r="I1005" s="45"/>
      <c r="J1005" s="57"/>
      <c r="K1005" s="46"/>
      <c r="L1005" s="54" t="str">
        <f aca="false">IF(A1005="","",IF(B1005="","Missing code",IF(C1005="Unknown code","Unknown code",IF(COUNTIF($A$6:$A$1005,A1005)&gt;1,"Duplicate WO",""))))</f>
        <v/>
      </c>
    </row>
  </sheetData>
  <autoFilter ref="A5:L1005"/>
  <conditionalFormatting sqref="L6:L1005">
    <cfRule type="expression" priority="2" aboveAverage="0" equalAverage="0" bottom="0" percent="0" rank="0" text="" dxfId="3">
      <formula>$L6&lt;&gt;""</formula>
    </cfRule>
  </conditionalFormatting>
  <conditionalFormatting sqref="I6:I1005">
    <cfRule type="expression" priority="3" aboveAverage="0" equalAverage="0" bottom="0" percent="0" rank="0" text="" dxfId="20">
      <formula>$I6="Released"</formula>
    </cfRule>
    <cfRule type="expression" priority="4" aboveAverage="0" equalAverage="0" bottom="0" percent="0" rank="0" text="" dxfId="1">
      <formula>$I6="In Progress"</formula>
    </cfRule>
    <cfRule type="expression" priority="5" aboveAverage="0" equalAverage="0" bottom="0" percent="0" rank="0" text="" dxfId="2">
      <formula>$I6="Delivered"</formula>
    </cfRule>
  </conditionalFormatting>
  <dataValidations count="4">
    <dataValidation allowBlank="true" error="Pick an assy code from the kitting plan." errorStyle="stop" errorTitle="Unknown code" operator="between" showDropDown="false" showErrorMessage="true" showInputMessage="false" sqref="B6:B1005" type="list">
      <formula1>Lists!$A$1:$A$14</formula1>
      <formula2>0</formula2>
    </dataValidation>
    <dataValidation allowBlank="true" errorStyle="stop" operator="between" showDropDown="false" showErrorMessage="false" showInputMessage="false" sqref="E6:E1005" type="list">
      <formula1>"All,1,2,3,4,5,6,7,8,9,10,11,12,13"</formula1>
      <formula2>0</formula2>
    </dataValidation>
    <dataValidation allowBlank="true" errorStyle="stop" operator="between" showDropDown="false" showErrorMessage="false" showInputMessage="false" sqref="I6:I1005" type="list">
      <formula1>"Planned,Released,In Progress,Delivered"</formula1>
      <formula2>0</formula2>
    </dataValidation>
    <dataValidation allowBlank="true" error="Enter a whole number above 0, or leave blank to use the listed qty." errorStyle="stop" operator="greaterThan" showDropDown="false" showErrorMessage="true" showInputMessage="false" sqref="G6:G100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tr">
        <f aca="false">'Kitting Plan'!C5</f>
        <v>92YLS00548BAA</v>
      </c>
    </row>
    <row r="2" customFormat="false" ht="15" hidden="false" customHeight="false" outlineLevel="0" collapsed="false">
      <c r="A2" s="0" t="str">
        <f aca="false">'Kitting Plan'!C6</f>
        <v>92YLS00548BBA</v>
      </c>
    </row>
    <row r="3" customFormat="false" ht="15" hidden="false" customHeight="false" outlineLevel="0" collapsed="false">
      <c r="A3" s="0" t="str">
        <f aca="false">'Kitting Plan'!C7</f>
        <v>91YAF03404AAA</v>
      </c>
    </row>
    <row r="4" customFormat="false" ht="15" hidden="false" customHeight="false" outlineLevel="0" collapsed="false">
      <c r="A4" s="0" t="str">
        <f aca="false">'Kitting Plan'!C8</f>
        <v>92YFD04548BAA</v>
      </c>
    </row>
    <row r="5" customFormat="false" ht="15" hidden="false" customHeight="false" outlineLevel="0" collapsed="false">
      <c r="A5" s="0" t="str">
        <f aca="false">'Kitting Plan'!C9</f>
        <v>92YFD04548BBA</v>
      </c>
    </row>
    <row r="6" customFormat="false" ht="15" hidden="false" customHeight="false" outlineLevel="0" collapsed="false">
      <c r="A6" s="0" t="str">
        <f aca="false">'Kitting Plan'!C10</f>
        <v>92YWS04548AAA</v>
      </c>
    </row>
    <row r="7" customFormat="false" ht="15" hidden="false" customHeight="false" outlineLevel="0" collapsed="false">
      <c r="A7" s="0" t="str">
        <f aca="false">'Kitting Plan'!C11</f>
        <v>92RRA00548AAA</v>
      </c>
    </row>
    <row r="8" customFormat="false" ht="15" hidden="false" customHeight="false" outlineLevel="0" collapsed="false">
      <c r="A8" s="0" t="str">
        <f aca="false">'Kitting Plan'!C12</f>
        <v>92YRA01548AAA</v>
      </c>
    </row>
    <row r="9" customFormat="false" ht="15" hidden="false" customHeight="false" outlineLevel="0" collapsed="false">
      <c r="A9" s="0" t="str">
        <f aca="false">'Kitting Plan'!C13</f>
        <v>92YRA02548AAA</v>
      </c>
    </row>
    <row r="10" customFormat="false" ht="15" hidden="false" customHeight="false" outlineLevel="0" collapsed="false">
      <c r="A10" s="0" t="str">
        <f aca="false">'Kitting Plan'!C14</f>
        <v>92YRA03548AAA</v>
      </c>
    </row>
    <row r="11" customFormat="false" ht="15" hidden="false" customHeight="false" outlineLevel="0" collapsed="false">
      <c r="A11" s="0" t="str">
        <f aca="false">'Kitting Plan'!C15</f>
        <v>92YRA04548AAA</v>
      </c>
    </row>
    <row r="12" customFormat="false" ht="15" hidden="false" customHeight="false" outlineLevel="0" collapsed="false">
      <c r="A12" s="0" t="str">
        <f aca="false">'Kitting Plan'!C16</f>
        <v>92UAP04548BAA</v>
      </c>
    </row>
    <row r="13" customFormat="false" ht="15" hidden="false" customHeight="false" outlineLevel="0" collapsed="false">
      <c r="A13" s="0" t="str">
        <f aca="false">'Kitting Plan'!C17</f>
        <v>92UAP04548BBA</v>
      </c>
    </row>
    <row r="14" customFormat="false" ht="15" hidden="false" customHeight="false" outlineLevel="0" collapsed="false">
      <c r="A14" s="0" t="str">
        <f aca="false">'Kitting Plan'!C18</f>
        <v>92UAP04548BCA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22.05" hidden="false" customHeight="false" outlineLevel="0" collapsed="false">
      <c r="B2" s="58" t="s">
        <v>115</v>
      </c>
    </row>
    <row r="5" customFormat="false" ht="15" hidden="false" customHeight="false" outlineLevel="0" collapsed="false">
      <c r="B5" s="59" t="s">
        <v>116</v>
      </c>
    </row>
    <row r="6" customFormat="false" ht="33.75" hidden="false" customHeight="true" outlineLevel="0" collapsed="false">
      <c r="B6" s="60" t="s">
        <v>117</v>
      </c>
      <c r="C6" s="61" t="s">
        <v>118</v>
      </c>
    </row>
    <row r="7" customFormat="false" ht="33.75" hidden="false" customHeight="true" outlineLevel="0" collapsed="false">
      <c r="B7" s="60" t="s">
        <v>119</v>
      </c>
      <c r="C7" s="61" t="s">
        <v>120</v>
      </c>
    </row>
    <row r="8" customFormat="false" ht="33.75" hidden="false" customHeight="true" outlineLevel="0" collapsed="false">
      <c r="B8" s="60" t="s">
        <v>121</v>
      </c>
      <c r="C8" s="61" t="s">
        <v>122</v>
      </c>
    </row>
    <row r="10" customFormat="false" ht="15" hidden="false" customHeight="false" outlineLevel="0" collapsed="false">
      <c r="B10" s="59" t="s">
        <v>123</v>
      </c>
    </row>
    <row r="11" customFormat="false" ht="33.75" hidden="false" customHeight="true" outlineLevel="0" collapsed="false">
      <c r="B11" s="60" t="s">
        <v>124</v>
      </c>
      <c r="C11" s="61" t="s">
        <v>125</v>
      </c>
    </row>
    <row r="12" customFormat="false" ht="33.75" hidden="false" customHeight="true" outlineLevel="0" collapsed="false">
      <c r="B12" s="60" t="s">
        <v>126</v>
      </c>
      <c r="C12" s="61" t="s">
        <v>127</v>
      </c>
    </row>
    <row r="13" customFormat="false" ht="33.75" hidden="false" customHeight="true" outlineLevel="0" collapsed="false">
      <c r="B13" s="60" t="s">
        <v>39</v>
      </c>
      <c r="C13" s="61" t="s">
        <v>128</v>
      </c>
    </row>
    <row r="14" customFormat="false" ht="33.75" hidden="false" customHeight="true" outlineLevel="0" collapsed="false">
      <c r="B14" s="60" t="s">
        <v>129</v>
      </c>
      <c r="C14" s="61" t="s">
        <v>130</v>
      </c>
    </row>
    <row r="15" customFormat="false" ht="33.75" hidden="false" customHeight="true" outlineLevel="0" collapsed="false">
      <c r="B15" s="60" t="s">
        <v>131</v>
      </c>
      <c r="C15" s="61" t="s">
        <v>132</v>
      </c>
    </row>
    <row r="17" customFormat="false" ht="15" hidden="false" customHeight="false" outlineLevel="0" collapsed="false">
      <c r="B17" s="59" t="s">
        <v>133</v>
      </c>
    </row>
    <row r="18" customFormat="false" ht="33.75" hidden="false" customHeight="true" outlineLevel="0" collapsed="false">
      <c r="B18" s="60" t="s">
        <v>134</v>
      </c>
      <c r="C18" s="61" t="s">
        <v>135</v>
      </c>
    </row>
    <row r="19" customFormat="false" ht="33.75" hidden="false" customHeight="true" outlineLevel="0" collapsed="false">
      <c r="B19" s="60" t="s">
        <v>136</v>
      </c>
      <c r="C19" s="61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2026-10-04T05:04:19Z</dcterms:created>
  <dc:creator>openpyxl</dc:creator>
  <dc:description/>
  <dc:language>en-US</dc:language>
  <cp:lastModifiedBy/>
  <dcterms:modified xsi:type="dcterms:W3CDTF">2026-10-04T05:04:20Z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