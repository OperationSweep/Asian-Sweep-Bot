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rtfolio" sheetId="2" state="visible" r:id="rId4"/>
    <sheet name="Gantt" sheetId="3" state="visible" r:id="rId5"/>
    <sheet name="Contracts" sheetId="4" state="visible" r:id="rId6"/>
    <sheet name="Kit Lists" sheetId="5" state="visible" r:id="rId7"/>
    <sheet name="Weekly Plan" sheetId="6" state="visible" r:id="rId8"/>
    <sheet name="Release Log" sheetId="7" state="visible" r:id="rId9"/>
    <sheet name="How To Use" sheetId="8" state="visible" r:id="rId10"/>
    <sheet name="Calc" sheetId="9" state="hidden" r:id="rId11"/>
    <sheet name="GanttCalc" sheetId="10" state="hidden" r:id="rId12"/>
  </sheets>
  <definedNames>
    <definedName function="false" hidden="false" localSheetId="0" name="_xlnm.Print_Area" vbProcedure="false">Dashboard!$A$1:$Q$45</definedName>
    <definedName function="false" hidden="true" localSheetId="4" name="_xlnm._FilterDatabase" vbProcedure="false">'Kit Lists'!$A$5:$I$605</definedName>
    <definedName function="false" hidden="true" localSheetId="6" name="_xlnm._FilterDatabase" vbProcedure="false">'Release Log'!$A$5:$H$4005</definedName>
    <definedName function="false" hidden="true" localSheetId="5" name="_xlnm._FilterDatabase" vbProcedure="false">'Weekly Plan'!$A$5:$F$1505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2" authorId="0">
      <text>
        <r>
          <rPr>
            <sz val="10"/>
            <rFont val="Arial"/>
            <family val="2"/>
          </rPr>
          <t xml:space="preserve">Leave =TODAY() or type a date to view the position as of that week.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Defaults to 6 weeks before today. Type any Monday (e.g. 01/06/2026) to scroll the Gantt.</t>
        </r>
      </text>
    </comment>
  </commentList>
</comments>
</file>

<file path=xl/sharedStrings.xml><?xml version="1.0" encoding="utf-8"?>
<sst xmlns="http://schemas.openxmlformats.org/spreadsheetml/2006/main" count="1160" uniqueCount="245">
  <si>
    <t xml:space="preserve">R5B AMP KITTING CONTROL</t>
  </si>
  <si>
    <t xml:space="preserve">DATE</t>
  </si>
  <si>
    <t xml:space="preserve">CONTRACT ▸</t>
  </si>
  <si>
    <t xml:space="preserve">E2A-R12P-T5-C</t>
  </si>
  <si>
    <t xml:space="preserve">TOTAL REPS</t>
  </si>
  <si>
    <t xml:space="preserve">AMPS / REP</t>
  </si>
  <si>
    <t xml:space="preserve">AS OF ▸</t>
  </si>
  <si>
    <t xml:space="preserve">REPEATERS KITTED</t>
  </si>
  <si>
    <t xml:space="preserve">AMPS KITTED</t>
  </si>
  <si>
    <t xml:space="preserve">PLAN TO DATE</t>
  </si>
  <si>
    <t xml:space="preserve">VS PLAN</t>
  </si>
  <si>
    <t xml:space="preserve">NEXT 4 WEEKS</t>
  </si>
  <si>
    <t xml:space="preserve">LAST RELEASE</t>
  </si>
  <si>
    <t xml:space="preserve">CONTRACT PROGRESS</t>
  </si>
  <si>
    <t xml:space="preserve">SUB-ASSEMBLIES</t>
  </si>
  <si>
    <t xml:space="preserve">RELEASE TARGET ▸</t>
  </si>
  <si>
    <t xml:space="preserve">reps · type to override</t>
  </si>
  <si>
    <t xml:space="preserve">PLAN VS KITTED (repeaters, cumulative)</t>
  </si>
  <si>
    <t xml:space="preserve">Sequence</t>
  </si>
  <si>
    <t xml:space="preserve">Assy Code</t>
  </si>
  <si>
    <t xml:space="preserve">Description</t>
  </si>
  <si>
    <t xml:space="preserve">Qty / Rep</t>
  </si>
  <si>
    <t xml:space="preserve">Released</t>
  </si>
  <si>
    <t xml:space="preserve">Repeaters</t>
  </si>
  <si>
    <t xml:space="preserve">Toward Next</t>
  </si>
  <si>
    <t xml:space="preserve">Needed for Target</t>
  </si>
  <si>
    <t xml:space="preserve">To Release</t>
  </si>
  <si>
    <t xml:space="preserve">TOTAL</t>
  </si>
  <si>
    <t xml:space="preserve">Repeaters = lowest sub-assembly (highlighted red) — it limits the count</t>
  </si>
  <si>
    <t xml:space="preserve">LATEST RELEASES (this contract)</t>
  </si>
  <si>
    <t xml:space="preserve">Date</t>
  </si>
  <si>
    <t xml:space="preserve">Qty</t>
  </si>
  <si>
    <t xml:space="preserve">Released By</t>
  </si>
  <si>
    <t xml:space="preserve">Note</t>
  </si>
  <si>
    <t xml:space="preserve">R5B AMP KITTING — ALL CONTRACTS</t>
  </si>
  <si>
    <t xml:space="preserve">Contract</t>
  </si>
  <si>
    <t xml:space="preserve">Project</t>
  </si>
  <si>
    <t xml:space="preserve">Top Code</t>
  </si>
  <si>
    <t xml:space="preserve">FP</t>
  </si>
  <si>
    <t xml:space="preserve">Total Reps</t>
  </si>
  <si>
    <t xml:space="preserve">Kitted</t>
  </si>
  <si>
    <t xml:space="preserve">Progress</t>
  </si>
  <si>
    <t xml:space="preserve">Amps Kitted</t>
  </si>
  <si>
    <t xml:space="preserve">Plan to Date</t>
  </si>
  <si>
    <t xml:space="preserve">Vs Plan</t>
  </si>
  <si>
    <t xml:space="preserve">Status</t>
  </si>
  <si>
    <t xml:space="preserve">R5B AMP KITTING — RELEASE GANTT</t>
  </si>
  <si>
    <t xml:space="preserve">START WEEK (Mon) ▸</t>
  </si>
  <si>
    <t xml:space="preserve">Kit planned</t>
  </si>
  <si>
    <t xml:space="preserve">Kit overdue</t>
  </si>
  <si>
    <t xml:space="preserve">AMPS build</t>
  </si>
  <si>
    <t xml:space="preserve">Housing / final</t>
  </si>
  <si>
    <t xml:space="preserve">This week</t>
  </si>
  <si>
    <t xml:space="preserve">Stage</t>
  </si>
  <si>
    <t xml:space="preserve">Reps</t>
  </si>
  <si>
    <t xml:space="preserve">CONTRACTS — R5B AMP KITTING</t>
  </si>
  <si>
    <t xml:space="preserve">One row per top-level code (++). Blue = inputs. Total repeaters can change when batches change (e.g. 109 → 117).</t>
  </si>
  <si>
    <t xml:space="preserve">Contract (Friendly name)</t>
  </si>
  <si>
    <t xml:space="preserve">Top Code (++)</t>
  </si>
  <si>
    <t xml:space="preserve">Amps / Repeater</t>
  </si>
  <si>
    <t xml:space="preserve">Total Repeaters</t>
  </si>
  <si>
    <t xml:space="preserve">Notes</t>
  </si>
  <si>
    <t xml:space="preserve">Kit Lines</t>
  </si>
  <si>
    <t xml:space="preserve">Repeaters Kitted</t>
  </si>
  <si>
    <t xml:space="preserve">Total in Weekly Plan</t>
  </si>
  <si>
    <t xml:space="preserve">% Kitted</t>
  </si>
  <si>
    <t xml:space="preserve">Last Release</t>
  </si>
  <si>
    <t xml:space="preserve">Kit Lead (wks)</t>
  </si>
  <si>
    <t xml:space="preserve">WKE-R24P-T1-C</t>
  </si>
  <si>
    <t xml:space="preserve">Wamkelekile</t>
  </si>
  <si>
    <t xml:space="preserve">92ERP24543A++</t>
  </si>
  <si>
    <t xml:space="preserve">WBA-R24P-T1-C</t>
  </si>
  <si>
    <t xml:space="preserve">Waban</t>
  </si>
  <si>
    <t xml:space="preserve">92ERP24545A++</t>
  </si>
  <si>
    <t xml:space="preserve">E2A-R4P-T1-C</t>
  </si>
  <si>
    <t xml:space="preserve">E2A</t>
  </si>
  <si>
    <t xml:space="preserve">92ERP04548A++</t>
  </si>
  <si>
    <t xml:space="preserve">E2A-R4P-T2-M</t>
  </si>
  <si>
    <t xml:space="preserve">92ERP04548B++</t>
  </si>
  <si>
    <t xml:space="preserve">E2A-R6P-T3-M</t>
  </si>
  <si>
    <t xml:space="preserve">92ERP06548A++</t>
  </si>
  <si>
    <t xml:space="preserve">E2A-R8P-T4-C</t>
  </si>
  <si>
    <t xml:space="preserve">92ERP08548A++</t>
  </si>
  <si>
    <t xml:space="preserve">92ERP12548A++</t>
  </si>
  <si>
    <t xml:space="preserve">E2A-R12P-T6-C</t>
  </si>
  <si>
    <t xml:space="preserve">92ERP12548B++</t>
  </si>
  <si>
    <t xml:space="preserve">E2A-R16P-T7-C</t>
  </si>
  <si>
    <t xml:space="preserve">92ERP16548A++</t>
  </si>
  <si>
    <t xml:space="preserve">DARAJA-R8P (TBC)</t>
  </si>
  <si>
    <t xml:space="preserve">Daraja Ext to SA</t>
  </si>
  <si>
    <t xml:space="preserve">Not yet released</t>
  </si>
  <si>
    <t xml:space="preserve">Top code not yet released</t>
  </si>
  <si>
    <t xml:space="preserve">DARAJA-R24P (TBC)</t>
  </si>
  <si>
    <t xml:space="preserve">REUNION-SOUTH-R16P (TBC)</t>
  </si>
  <si>
    <t xml:space="preserve">Reunion-South Africa (wet plant only)</t>
  </si>
  <si>
    <t xml:space="preserve">KIT LISTS — SUB-ASSEMBLIES PER REPEATER (ZMRP BREAKDOWN)</t>
  </si>
  <si>
    <t xml:space="preserve">One row per sub-assembly per contract: how many go into ONE repeater. Enter once per contract. Blue = inputs; grey columns calculate.</t>
  </si>
  <si>
    <t xml:space="preserve">Assy Description</t>
  </si>
  <si>
    <t xml:space="preserve">Qty per Repeater</t>
  </si>
  <si>
    <t xml:space="preserve">Slot</t>
  </si>
  <si>
    <t xml:space="preserve">Key</t>
  </si>
  <si>
    <t xml:space="preserve">Lookup</t>
  </si>
  <si>
    <t xml:space="preserve">LASER ASSY</t>
  </si>
  <si>
    <t xml:space="preserve">92YLS00548BAA</t>
  </si>
  <si>
    <t xml:space="preserve">R5B LASER ASSEMBLY 4P BOAT 1 - E2A</t>
  </si>
  <si>
    <t xml:space="preserve">92YLS00548BBA</t>
  </si>
  <si>
    <t xml:space="preserve">R5B LASER ASSEMBLY 4P BOAT 2/3 - E2A</t>
  </si>
  <si>
    <t xml:space="preserve">PSB ASSY</t>
  </si>
  <si>
    <t xml:space="preserve">91YAF03404AAA</t>
  </si>
  <si>
    <t xml:space="preserve">R5B PSB SUB ASSEMBLY 4P-4FP</t>
  </si>
  <si>
    <t xml:space="preserve">OPF ASSY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</si>
  <si>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</si>
  <si>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</si>
  <si>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</si>
  <si>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</si>
  <si>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POB ASSY</t>
  </si>
  <si>
    <t xml:space="preserve">92YWS04548AAA</t>
  </si>
  <si>
    <t xml:space="preserve">R5B 4FP POB LUMENTUM SUB ASSEMBLY - E2A</t>
  </si>
  <si>
    <t xml:space="preserve">ERBIUM ASSY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</si>
  <si>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</si>
  <si>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</si>
  <si>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</si>
  <si>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</si>
  <si>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</si>
  <si>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</si>
  <si>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</si>
  <si>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</si>
  <si>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</si>
  <si>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</si>
  <si>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BOAT ASSY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</si>
  <si>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</si>
  <si>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</si>
  <si>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</si>
  <si>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</si>
  <si>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</si>
  <si>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</si>
  <si>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92YLS00543AAA</t>
  </si>
  <si>
    <t xml:space="preserve">R5B LASER ASSEMBLY 4P-4P BOAT 1 - WKE</t>
  </si>
  <si>
    <t xml:space="preserve">92YLS00543ABA</t>
  </si>
  <si>
    <t xml:space="preserve">R5B LASER ASSEMBLY 4P-4P BOAT 2 - WKE</t>
  </si>
  <si>
    <t xml:space="preserve">92YLS00543ACA</t>
  </si>
  <si>
    <t xml:space="preserve">R5B LASER ASSEMBLY 4P-4P BOAT 3 - WKE</t>
  </si>
  <si>
    <t xml:space="preserve">92YFD44543AAA</t>
  </si>
  <si>
    <t xml:space="preserve">R5B OPF ASSEMBLY 2X(4P-4FP) BOAT 1 - WKE</t>
  </si>
  <si>
    <t xml:space="preserve">92YFD44543ABA</t>
  </si>
  <si>
    <t xml:space="preserve">R5B OPF ASSEMBLY 2X(4P-4FP) BOAT 2 - WKE</t>
  </si>
  <si>
    <t xml:space="preserve">92YFD44543ACA</t>
  </si>
  <si>
    <t xml:space="preserve">R5B OPF ASSEMBLY 2X(4P-4FP) BOAT 3 - WKE</t>
  </si>
  <si>
    <t xml:space="preserve">92YWS04543AAA</t>
  </si>
  <si>
    <t xml:space="preserve">R5B 4FP POB LUMENTUM SUB ASSEMBLY - WKE</t>
  </si>
  <si>
    <t xml:space="preserve">92YRA01543AAA</t>
  </si>
  <si>
    <t xml:space="preserve">R5B ERBIUM ASSEMBLY 1 - WKE</t>
  </si>
  <si>
    <t xml:space="preserve">92YRA02543AAA</t>
  </si>
  <si>
    <t xml:space="preserve">R5B ERBIUM ASSEMBLY 2 - WKE</t>
  </si>
  <si>
    <t xml:space="preserve">92YRA03543AAA</t>
  </si>
  <si>
    <t xml:space="preserve">R5B ERBIUM ASSEMBLY 3 - WKE</t>
  </si>
  <si>
    <t xml:space="preserve">92YRA04543AAA</t>
  </si>
  <si>
    <t xml:space="preserve">R5B ERBIUM ASSEMBLY 4 - WKE</t>
  </si>
  <si>
    <t xml:space="preserve">92RRA00543AAA</t>
  </si>
  <si>
    <t xml:space="preserve">R5B ERBIUM SPOOL ASSEMBLY - WKE</t>
  </si>
  <si>
    <t xml:space="preserve">92UAP44543AAA</t>
  </si>
  <si>
    <t xml:space="preserve">R5B BOAT 1 ASSY 2X(4P-4FP) L - WKE</t>
  </si>
  <si>
    <t xml:space="preserve">92UAP44543ABA</t>
  </si>
  <si>
    <t xml:space="preserve">R5B BOAT 2 ASSY 2X(4P-4FP) L - WKE</t>
  </si>
  <si>
    <t xml:space="preserve">92UAP44543ACA</t>
  </si>
  <si>
    <t xml:space="preserve">R5B BOAT 3 ASSY 2X(4P-4FP) L - WKE</t>
  </si>
  <si>
    <t xml:space="preserve">WEEKLY RELEASE PLAN — REPEATERS TO KIT PER WEEK</t>
  </si>
  <si>
    <t xml:space="preserve">Release weeks from the plan / CO41. One row per contract per week. Only weeks with a quantity are needed.</t>
  </si>
  <si>
    <t xml:space="preserve">ISO Year</t>
  </si>
  <si>
    <t xml:space="preserve">ISO Week</t>
  </si>
  <si>
    <t xml:space="preserve">Repeaters to Release</t>
  </si>
  <si>
    <t xml:space="preserve">Week Starts (Mon)</t>
  </si>
  <si>
    <t xml:space="preserve">PLAN export 02-Sep-26</t>
  </si>
  <si>
    <t xml:space="preserve">ASP 01 2026 (Jan-26 view) — weeks before W36</t>
  </si>
  <si>
    <t xml:space="preserve">RELEASE LOG — EVERY KIT RELEASED TO PRODUCTION</t>
  </si>
  <si>
    <t xml:space="preserve">One line per release: date, contract, assy code, qty. Negative qty corrects a mistake. This is the only sheet updated day to day.</t>
  </si>
  <si>
    <t xml:space="preserve">Example: 05-Oct-26 · E2A-R12P-T5-C · 92RRA00548AAA · 24 · N.Bakare · Rep 14</t>
  </si>
  <si>
    <t xml:space="preserve">Qty Released</t>
  </si>
  <si>
    <t xml:space="preserve">Note (WO / repeater)</t>
  </si>
  <si>
    <t xml:space="preserve">Check</t>
  </si>
  <si>
    <t xml:space="preserve">Row#</t>
  </si>
  <si>
    <t xml:space="preserve">Rep 1 (from COOIS)</t>
  </si>
  <si>
    <t xml:space="preserve">Rep 2 (from COOIS)</t>
  </si>
  <si>
    <t xml:space="preserve">Rep 3 (from COOIS)</t>
  </si>
  <si>
    <t xml:space="preserve">Rep 4 (from COOIS)</t>
  </si>
  <si>
    <t xml:space="preserve">Rep 5 (from COOIS)</t>
  </si>
  <si>
    <t xml:space="preserve">Rep 6 (from COOIS)</t>
  </si>
  <si>
    <t xml:space="preserve">Rep 7 (from COOIS)</t>
  </si>
  <si>
    <t xml:space="preserve">Rep 8 (from COOIS)</t>
  </si>
  <si>
    <t xml:space="preserve">Rep 9 (from COOIS)</t>
  </si>
  <si>
    <t xml:space="preserve">Rep 10 (from COOIS)</t>
  </si>
  <si>
    <t xml:space="preserve">Rep 11 (from COOIS)</t>
  </si>
  <si>
    <t xml:space="preserve">Rep 12 (from COOIS)</t>
  </si>
  <si>
    <t xml:space="preserve">Rep 13 (from COOIS)</t>
  </si>
  <si>
    <t xml:space="preserve">R5B AMP KITTING CONTROL — HOW IT WORKS</t>
  </si>
  <si>
    <t xml:space="preserve">1. Update what has been kitted (every release)</t>
  </si>
  <si>
    <t xml:space="preserve">Where</t>
  </si>
  <si>
    <t xml:space="preserve">Sheet 'Release Log'. This is the ONLY sheet you touch day to day.</t>
  </si>
  <si>
    <t xml:space="preserve">What to type</t>
  </si>
  <si>
    <t xml:space="preserve">One line per assy code you release: Date · Contract (drop-down) · Assy Code (drop-down) · Qty Released · Released By · Note (e.g. 'Rep 14' or the WO number). Description and Check fill in by themselves.</t>
  </si>
  <si>
    <t xml:space="preserve">Example — 1 repeater of E2A-R12P-T5-C</t>
  </si>
  <si>
    <t xml:space="preserve">14 lines, same date: 92YLS00548BAA 1 · 92YLS00548BBA 2 · 91YAF03404AAA 3 · 92YFD04548BAA 1 · 92YFD04548BBA 2 · 92YWS04548AAA 3 · 92RRA00548AAA 24 · 92YRA01548AAA 3 · 92YRA02548AAA 3 · 92YRA03548AAA 3 · 92YRA04548AAA 3 · 92UAP04548BAA 1 · 92UAP04548BBA 1 · 92UAP04548BCA 1. Tip: copy the 'To Release' column from the Dashboard.</t>
  </si>
  <si>
    <t xml:space="preserve">Part release</t>
  </si>
  <si>
    <t xml:space="preserve">Log only what actually went out (e.g. spool 16 of 24). The repeater counts once every code reaches a full set; the Dashboard 'Toward Next' column shows the part.</t>
  </si>
  <si>
    <t xml:space="preserve">Mistake</t>
  </si>
  <si>
    <t xml:space="preserve">Never delete. Add a correcting line with a negative qty (e.g. -3) and a note.</t>
  </si>
  <si>
    <t xml:space="preserve">Check column</t>
  </si>
  <si>
    <t xml:space="preserve">Red = something's wrong on that line (missing qty, code not on this contract's kit list, etc.).</t>
  </si>
  <si>
    <t xml:space="preserve">2. Where the assembly codes go (once per contract)</t>
  </si>
  <si>
    <t xml:space="preserve">Sheet 'Kit Lists'. One row per assy code: Contract · Sequence (LASER ASSY, PSB ASSY, OPF ASSY, POB ASSY, ERBIUM ASSY, BOAT ASSY…) · Assy Code · Description · Qty per Repeater.</t>
  </si>
  <si>
    <t xml:space="preserve">Where it comes from</t>
  </si>
  <si>
    <t xml:space="preserve">ZMRP breakdown of the contract's top code (++). Qty per Repeater = how many of that code go into ONE repeater (e.g. spool 24).</t>
  </si>
  <si>
    <t xml:space="preserve">Order</t>
  </si>
  <si>
    <t xml:space="preserve">Rows show on the Dashboard in the order you type them, grouped by sequence. Keep each contract's rows together.</t>
  </si>
  <si>
    <t xml:space="preserve">New contract</t>
  </si>
  <si>
    <t xml:space="preserve">First add the contract on 'Contracts' (friendly name, project, top code ++, FP, amps per repeater, total repeaters), then its rows on 'Kit Lists', then its weeks on 'Weekly Plan'.</t>
  </si>
  <si>
    <t xml:space="preserve">3. Kitted ahead of time</t>
  </si>
  <si>
    <t xml:space="preserve">Just log it</t>
  </si>
  <si>
    <t xml:space="preserve">Log the release with the real date you released it. The Dashboard compares kitted with the plan up to the 'As of' week: kitting early shows as AHEAD +n (green). Nothing else to change.</t>
  </si>
  <si>
    <t xml:space="preserve">Plan moved</t>
  </si>
  <si>
    <t xml:space="preserve">If the plan itself changes (CO41 dates move), edit the week/qty on 'Weekly Plan'. Kitting history stays untouched.</t>
  </si>
  <si>
    <t xml:space="preserve">Planning the next batch</t>
  </si>
  <si>
    <t xml:space="preserve">On the Dashboard, type the number of repeaters you want to reach in the pink 'Release Target' cell (e.g. management asks for 2 more: kitted + 2). 'To Release' shows exactly what to release per code.</t>
  </si>
  <si>
    <t xml:space="preserve">4. Reading the Dashboard</t>
  </si>
  <si>
    <t xml:space="preserve">Repeaters kitted</t>
  </si>
  <si>
    <t xml:space="preserve">Per code: released ÷ qty per repeater (rounded down). Contract figure = the LOWEST code, because a repeater needs every code. The limiting code is highlighted red.</t>
  </si>
  <si>
    <t xml:space="preserve">Amps kitted</t>
  </si>
  <si>
    <t xml:space="preserve">Repeaters kitted × amps per repeater (= FP).</t>
  </si>
  <si>
    <t xml:space="preserve">Plan to date / Vs plan</t>
  </si>
  <si>
    <t xml:space="preserve">'Weekly Plan' weeks are FINAL BUILD (housing) weeks. Kits are due 'Kit Lead' weeks earlier (Contracts, default 2: kit W−2, AMPS build W−1, housing W). Plan to date = repeaters whose housing week is up to 'As of' + lead. Vs plan = kitted − plan to date.</t>
  </si>
  <si>
    <t xml:space="preserve">Gantt</t>
  </si>
  <si>
    <t xml:space="preserve">Sheet 'Gantt': ISO weeks across, three rows per contract — Kit release (W−2), AMPS build (W−1), Final build / housing (W) — with the repeater numbers in each week. Kit cells turn green once kitted, red if overdue. Change the start week in the pink cell.</t>
  </si>
  <si>
    <t xml:space="preserve">Contract total changes</t>
  </si>
  <si>
    <t xml:space="preserve">Change 'Total Repeaters' on 'Contracts' (e.g. 109 → 117). Everything recalculates.</t>
  </si>
  <si>
    <t xml:space="preserve">Why it stays fast</t>
  </si>
  <si>
    <t xml:space="preserve">No SAP dumps. Only your plan numbers and release lines — a few hundred rows per contract.</t>
  </si>
  <si>
    <t xml:space="preserve">Helper sheet for the Dashboard chart and table — do not edit.</t>
  </si>
  <si>
    <t xml:space="preserve">Code</t>
  </si>
  <si>
    <t xml:space="preserve">Qty/Rep</t>
  </si>
  <si>
    <t xml:space="preserve">Week</t>
  </si>
  <si>
    <t xml:space="preserve">Kit plan (cumulative)</t>
  </si>
  <si>
    <t xml:space="preserve">Kitted (flat after today)</t>
  </si>
  <si>
    <t xml:space="preserve">Contract total</t>
  </si>
  <si>
    <t xml:space="preserve">Helper for Gantt — do not edit</t>
  </si>
  <si>
    <t xml:space="preserve">Week start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</si>
</sst>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General"/>
    <numFmt numFmtId="167" formatCode="dd\-mmm"/>
    <numFmt numFmtId="168" formatCode="#,##0"/>
    <numFmt numFmtId="169" formatCode="0%"/>
    <numFmt numFmtId="170" formatCode="mm/dd/yy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9"/>
      <color rgb="FFAEB6C6"/>
      <name val="Arial"/>
      <family val="0"/>
      <charset val="1"/>
    </font>
    <font>
      <sz val="10"/>
      <color rgb="FFAEB6C6"/>
      <name val="Arial"/>
      <family val="0"/>
      <charset val="1"/>
    </font>
    <font>
      <b val="true"/>
      <sz val="10"/>
      <color rgb="FFAEB6C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141A2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36"/>
      <color rgb="FFB0245E"/>
      <name val="Arial"/>
      <family val="0"/>
      <charset val="1"/>
    </font>
    <font>
      <b val="true"/>
      <sz val="30"/>
      <color rgb="FF141A26"/>
      <name val="Arial"/>
      <family val="0"/>
      <charset val="1"/>
    </font>
    <font>
      <b val="true"/>
      <sz val="22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b val="true"/>
      <sz val="13"/>
      <color rgb="FF141A26"/>
      <name val="Arial"/>
      <family val="0"/>
      <charset val="1"/>
    </font>
    <font>
      <b val="true"/>
      <sz val="9"/>
      <color rgb="FF5D657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8"/>
      <color rgb="FF5D65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2"/>
      <color rgb="FF1E2433"/>
      <name val="Arial"/>
      <family val="0"/>
      <charset val="1"/>
    </font>
    <font>
      <b val="true"/>
      <sz val="11"/>
      <color rgb="FF141A26"/>
      <name val="Arial"/>
      <family val="0"/>
      <charset val="1"/>
    </font>
    <font>
      <b val="true"/>
      <sz val="12"/>
      <color rgb="FF141A26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B0245E"/>
      <name val="Arial"/>
      <family val="0"/>
      <charset val="1"/>
    </font>
    <font>
      <b val="true"/>
      <sz val="8"/>
      <color rgb="FF1F8A5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A8660B"/>
      <name val="Arial"/>
      <family val="0"/>
      <charset val="1"/>
    </font>
    <font>
      <b val="true"/>
      <sz val="8"/>
      <color rgb="FF3558B8"/>
      <name val="Arial"/>
      <family val="0"/>
      <charset val="1"/>
    </font>
    <font>
      <b val="true"/>
      <sz val="8"/>
      <color rgb="FF141A26"/>
      <name val="Arial"/>
      <family val="0"/>
      <charset val="1"/>
    </font>
    <font>
      <sz val="9"/>
      <color rgb="FFAEB6C6"/>
      <name val="Arial"/>
      <family val="0"/>
      <charset val="1"/>
    </font>
    <font>
      <sz val="8"/>
      <color rgb="FFAEB6C6"/>
      <name val="Arial"/>
      <family val="0"/>
      <charset val="1"/>
    </font>
    <font>
      <b val="true"/>
      <sz val="9"/>
      <color rgb="FFB0245E"/>
      <name val="Arial"/>
      <family val="0"/>
      <charset val="1"/>
    </font>
    <font>
      <sz val="8"/>
      <color rgb="FF5D6576"/>
      <name val="Arial"/>
      <family val="0"/>
      <charset val="1"/>
    </font>
    <font>
      <b val="true"/>
      <sz val="8"/>
      <color rgb="FF1E2433"/>
      <name val="Arial"/>
      <family val="0"/>
      <charset val="1"/>
    </font>
    <font>
      <b val="true"/>
      <sz val="9"/>
      <color rgb="FFA8660B"/>
      <name val="Arial"/>
      <family val="0"/>
      <charset val="1"/>
    </font>
    <font>
      <b val="true"/>
      <sz val="9"/>
      <color rgb="FF3558B8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  <font>
      <sz val="11"/>
      <color rgb="FF1E24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F9DCE7"/>
        <bgColor rgb="FFFBE6E3"/>
      </patternFill>
    </fill>
    <fill>
      <patternFill patternType="solid">
        <fgColor rgb="FFDDF2E7"/>
        <bgColor rgb="FFE3EAFA"/>
      </patternFill>
    </fill>
    <fill>
      <patternFill patternType="solid">
        <fgColor rgb="FFC0392B"/>
        <bgColor rgb="FFB0245E"/>
      </patternFill>
    </fill>
    <fill>
      <patternFill patternType="solid">
        <fgColor rgb="FFFBF0DC"/>
        <bgColor rgb="FFFBE6E3"/>
      </patternFill>
    </fill>
    <fill>
      <patternFill patternType="solid">
        <fgColor rgb="FFE3EAFA"/>
        <bgColor rgb="FFECEEF3"/>
      </patternFill>
    </fill>
    <fill>
      <patternFill patternType="solid">
        <fgColor rgb="FFFFF2B3"/>
        <bgColor rgb="FFFBF0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/>
      <right/>
      <top style="medium">
        <color rgb="FF141A26"/>
      </top>
      <bottom/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/>
      <right/>
      <top style="thin">
        <color rgb="FFD9DDE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name val="Arial"/>
        <charset val="1"/>
        <family val="0"/>
        <b val="1"/>
        <color rgb="FF1F8A5B"/>
        <sz val="30"/>
      </font>
    </dxf>
    <dxf>
      <font>
        <name val="Arial"/>
        <charset val="1"/>
        <family val="0"/>
        <b val="1"/>
        <color rgb="FFC0392B"/>
        <sz val="30"/>
      </font>
    </dxf>
    <dxf>
      <font>
        <name val="Arial"/>
        <charset val="1"/>
        <family val="0"/>
        <b val="1"/>
        <color rgb="FFC0392B"/>
        <sz val="13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A8660B"/>
        <sz val="12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1F8A5B"/>
        <sz val="12"/>
      </font>
    </dxf>
    <dxf>
      <font>
        <name val="Arial"/>
        <charset val="1"/>
        <family val="0"/>
        <color rgb="FFC3C8D2"/>
      </font>
    </dxf>
    <dxf>
      <border diagonalUp="false" diagonalDown="false">
        <left/>
        <right/>
        <top/>
        <bottom style="thin">
          <color rgb="FFD9DDE5"/>
        </bottom>
        <diagonal/>
      </border>
    </dxf>
    <dxf>
      <font>
        <name val="Arial"/>
        <charset val="1"/>
        <family val="0"/>
        <b val="1"/>
        <color rgb="FF1F8A5B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3558B8"/>
      </font>
      <fill>
        <patternFill>
          <bgColor rgb="FFE3EAFA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5D6576"/>
      </font>
      <fill>
        <patternFill>
          <bgColor rgb="FFECEEF3"/>
        </patternFill>
      </fill>
    </dxf>
    <dxf>
      <font>
        <name val="Arial"/>
        <charset val="1"/>
        <family val="0"/>
        <b val="1"/>
        <color rgb="FF1F8A5B"/>
        <sz val="8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B0245E"/>
        <sz val="8"/>
      </font>
      <fill>
        <patternFill>
          <bgColor rgb="FFF9DCE7"/>
        </patternFill>
      </fill>
    </dxf>
    <dxf>
      <font>
        <name val="Arial"/>
        <charset val="1"/>
        <family val="0"/>
        <b val="1"/>
        <color rgb="FFA8660B"/>
        <sz val="8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3558B8"/>
        <sz val="8"/>
      </font>
      <fill>
        <patternFill>
          <bgColor rgb="FFE3EAFA"/>
        </patternFill>
      </fill>
    </dxf>
    <dxf>
      <font>
        <name val="Arial"/>
        <charset val="1"/>
        <family val="0"/>
        <b val="1"/>
        <color rgb="FF141A26"/>
      </font>
      <fill>
        <patternFill>
          <bgColor rgb="FFFFF2B3"/>
        </patternFill>
      </fill>
    </dxf>
    <dxf>
      <fill>
        <patternFill>
          <bgColor rgb="FFFFFBE6"/>
        </patternFill>
      </fill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0DC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78787"/>
      <rgbColor rgb="FF9999FF"/>
      <rgbColor rgb="FFB0245E"/>
      <rgbColor rgb="FFFFFBE6"/>
      <rgbColor rgb="FFDDF2E7"/>
      <rgbColor rgb="FF660066"/>
      <rgbColor rgb="FFFF8080"/>
      <rgbColor rgb="FF0066CC"/>
      <rgbColor rgb="FFD9DDE5"/>
      <rgbColor rgb="FF000080"/>
      <rgbColor rgb="FFFF00FF"/>
      <rgbColor rgb="FFF3F4F7"/>
      <rgbColor rgb="FF00FFFF"/>
      <rgbColor rgb="FF800080"/>
      <rgbColor rgb="FF800000"/>
      <rgbColor rgb="FF008080"/>
      <rgbColor rgb="FF0000FF"/>
      <rgbColor rgb="FF00CCFF"/>
      <rgbColor rgb="FFE3EAFA"/>
      <rgbColor rgb="FFECEEF3"/>
      <rgbColor rgb="FFFFF2B3"/>
      <rgbColor rgb="FFAEB6C6"/>
      <rgbColor rgb="FFFBE6E3"/>
      <rgbColor rgb="FFD9D9D9"/>
      <rgbColor rgb="FFF9DCE7"/>
      <rgbColor rgb="FF3558B8"/>
      <rgbColor rgb="FF33CCCC"/>
      <rgbColor rgb="FF99CC00"/>
      <rgbColor rgb="FFFFCC00"/>
      <rgbColor rgb="FFFF9900"/>
      <rgbColor rgb="FFFF6600"/>
      <rgbColor rgb="FF5D6576"/>
      <rgbColor rgb="FF8A91A0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Calc!C26</c:f>
              <c:strCache>
                <c:ptCount val="1"/>
                <c:pt idx="0">
                  <c:v>Kit plan (cumulative)</c:v>
                </c:pt>
              </c:strCache>
            </c:strRef>
          </c:tx>
          <c:spPr>
            <a:solidFill>
              <a:srgbClr val="8a91a0"/>
            </a:solidFill>
            <a:ln w="21960">
              <a:solidFill>
                <a:srgbClr val="8a91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Calc!$D$25:$AQ$25</c:f>
              <c:strCache>
                <c:ptCount val="40"/>
                <c:pt idx="0">
                  <c:v>W29</c:v>
                </c:pt>
                <c:pt idx="1">
                  <c:v>W30</c:v>
                </c:pt>
                <c:pt idx="2">
                  <c:v>W31</c:v>
                </c:pt>
                <c:pt idx="3">
                  <c:v>W32</c:v>
                </c:pt>
                <c:pt idx="4">
                  <c:v>W33</c:v>
                </c:pt>
                <c:pt idx="5">
                  <c:v>W34</c:v>
                </c:pt>
                <c:pt idx="6">
                  <c:v>W35</c:v>
                </c:pt>
                <c:pt idx="7">
                  <c:v>W36</c:v>
                </c:pt>
                <c:pt idx="8">
                  <c:v>W37</c:v>
                </c:pt>
                <c:pt idx="9">
                  <c:v>W38</c:v>
                </c:pt>
                <c:pt idx="10">
                  <c:v>W39</c:v>
                </c:pt>
                <c:pt idx="11">
                  <c:v>W40</c:v>
                </c:pt>
                <c:pt idx="12">
                  <c:v>W41</c:v>
                </c:pt>
                <c:pt idx="13">
                  <c:v>W42</c:v>
                </c:pt>
                <c:pt idx="14">
                  <c:v>W43</c:v>
                </c:pt>
                <c:pt idx="15">
                  <c:v>W44</c:v>
                </c:pt>
                <c:pt idx="16">
                  <c:v>W45</c:v>
                </c:pt>
                <c:pt idx="17">
                  <c:v>W46</c:v>
                </c:pt>
                <c:pt idx="18">
                  <c:v>W47</c:v>
                </c:pt>
                <c:pt idx="19">
                  <c:v>W48</c:v>
                </c:pt>
                <c:pt idx="20">
                  <c:v>W49</c:v>
                </c:pt>
                <c:pt idx="21">
                  <c:v>W50</c:v>
                </c:pt>
                <c:pt idx="22">
                  <c:v>W51</c:v>
                </c:pt>
                <c:pt idx="23">
                  <c:v>W52</c:v>
                </c:pt>
                <c:pt idx="24">
                  <c:v>W53</c:v>
                </c:pt>
                <c:pt idx="25">
                  <c:v>W1</c:v>
                </c:pt>
                <c:pt idx="26">
                  <c:v>W2</c:v>
                </c:pt>
                <c:pt idx="27">
                  <c:v>W3</c:v>
                </c:pt>
                <c:pt idx="28">
                  <c:v>W4</c:v>
                </c:pt>
                <c:pt idx="29">
                  <c:v>W5</c:v>
                </c:pt>
                <c:pt idx="30">
                  <c:v>W6</c:v>
                </c:pt>
                <c:pt idx="31">
                  <c:v>W7</c:v>
                </c:pt>
                <c:pt idx="32">
                  <c:v>W8</c:v>
                </c:pt>
                <c:pt idx="33">
                  <c:v>W9</c:v>
                </c:pt>
                <c:pt idx="34">
                  <c:v>W10</c:v>
                </c:pt>
                <c:pt idx="35">
                  <c:v>W11</c:v>
                </c:pt>
                <c:pt idx="36">
                  <c:v>W12</c:v>
                </c:pt>
                <c:pt idx="37">
                  <c:v>W13</c:v>
                </c:pt>
                <c:pt idx="38">
                  <c:v>W14</c:v>
                </c:pt>
                <c:pt idx="39">
                  <c:v>W15</c:v>
                </c:pt>
              </c:strCache>
            </c:strRef>
          </c:cat>
          <c:val>
            <c:numRef>
              <c:f>Calc!$D$26:$AQ$26</c:f>
              <c:numCache>
                <c:formatCode>General</c:formatCode>
                <c:ptCount val="40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44</c:v>
                </c:pt>
                <c:pt idx="24">
                  <c:v>46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52</c:v>
                </c:pt>
                <c:pt idx="35">
                  <c:v>52</c:v>
                </c:pt>
                <c:pt idx="36">
                  <c:v>52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Calc!C27</c:f>
              <c:strCache>
                <c:ptCount val="1"/>
                <c:pt idx="0">
                  <c:v>Kitted (flat after today)</c:v>
                </c:pt>
              </c:strCache>
            </c:strRef>
          </c:tx>
          <c:spPr>
            <a:solidFill>
              <a:srgbClr val="b0245e"/>
            </a:solidFill>
            <a:ln w="32040">
              <a:solidFill>
                <a:srgbClr val="b024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Calc!$D$25:$AQ$25</c:f>
              <c:strCache>
                <c:ptCount val="40"/>
                <c:pt idx="0">
                  <c:v>W29</c:v>
                </c:pt>
                <c:pt idx="1">
                  <c:v>W30</c:v>
                </c:pt>
                <c:pt idx="2">
                  <c:v>W31</c:v>
                </c:pt>
                <c:pt idx="3">
                  <c:v>W32</c:v>
                </c:pt>
                <c:pt idx="4">
                  <c:v>W33</c:v>
                </c:pt>
                <c:pt idx="5">
                  <c:v>W34</c:v>
                </c:pt>
                <c:pt idx="6">
                  <c:v>W35</c:v>
                </c:pt>
                <c:pt idx="7">
                  <c:v>W36</c:v>
                </c:pt>
                <c:pt idx="8">
                  <c:v>W37</c:v>
                </c:pt>
                <c:pt idx="9">
                  <c:v>W38</c:v>
                </c:pt>
                <c:pt idx="10">
                  <c:v>W39</c:v>
                </c:pt>
                <c:pt idx="11">
                  <c:v>W40</c:v>
                </c:pt>
                <c:pt idx="12">
                  <c:v>W41</c:v>
                </c:pt>
                <c:pt idx="13">
                  <c:v>W42</c:v>
                </c:pt>
                <c:pt idx="14">
                  <c:v>W43</c:v>
                </c:pt>
                <c:pt idx="15">
                  <c:v>W44</c:v>
                </c:pt>
                <c:pt idx="16">
                  <c:v>W45</c:v>
                </c:pt>
                <c:pt idx="17">
                  <c:v>W46</c:v>
                </c:pt>
                <c:pt idx="18">
                  <c:v>W47</c:v>
                </c:pt>
                <c:pt idx="19">
                  <c:v>W48</c:v>
                </c:pt>
                <c:pt idx="20">
                  <c:v>W49</c:v>
                </c:pt>
                <c:pt idx="21">
                  <c:v>W50</c:v>
                </c:pt>
                <c:pt idx="22">
                  <c:v>W51</c:v>
                </c:pt>
                <c:pt idx="23">
                  <c:v>W52</c:v>
                </c:pt>
                <c:pt idx="24">
                  <c:v>W53</c:v>
                </c:pt>
                <c:pt idx="25">
                  <c:v>W1</c:v>
                </c:pt>
                <c:pt idx="26">
                  <c:v>W2</c:v>
                </c:pt>
                <c:pt idx="27">
                  <c:v>W3</c:v>
                </c:pt>
                <c:pt idx="28">
                  <c:v>W4</c:v>
                </c:pt>
                <c:pt idx="29">
                  <c:v>W5</c:v>
                </c:pt>
                <c:pt idx="30">
                  <c:v>W6</c:v>
                </c:pt>
                <c:pt idx="31">
                  <c:v>W7</c:v>
                </c:pt>
                <c:pt idx="32">
                  <c:v>W8</c:v>
                </c:pt>
                <c:pt idx="33">
                  <c:v>W9</c:v>
                </c:pt>
                <c:pt idx="34">
                  <c:v>W10</c:v>
                </c:pt>
                <c:pt idx="35">
                  <c:v>W11</c:v>
                </c:pt>
                <c:pt idx="36">
                  <c:v>W12</c:v>
                </c:pt>
                <c:pt idx="37">
                  <c:v>W13</c:v>
                </c:pt>
                <c:pt idx="38">
                  <c:v>W14</c:v>
                </c:pt>
                <c:pt idx="39">
                  <c:v>W15</c:v>
                </c:pt>
              </c:strCache>
            </c:strRef>
          </c:cat>
          <c:val>
            <c:numRef>
              <c:f>Calc!$D$27:$AQ$27</c:f>
              <c:numCache>
                <c:formatCode>General</c:formatCode>
                <c:ptCount val="4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084307"/>
        <c:axId val="17244683"/>
      </c:lineChart>
      <c:catAx>
        <c:axId val="10084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44683"/>
        <c:crosses val="autoZero"/>
        <c:auto val="1"/>
        <c:lblAlgn val="ctr"/>
        <c:lblOffset val="100"/>
        <c:noMultiLvlLbl val="0"/>
      </c:catAx>
      <c:valAx>
        <c:axId val="172446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843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11</xdr:row>
      <xdr:rowOff>190440</xdr:rowOff>
    </xdr:from>
    <xdr:to>
      <xdr:col>18</xdr:col>
      <xdr:colOff>29160</xdr:colOff>
      <xdr:row>25</xdr:row>
      <xdr:rowOff>151200</xdr:rowOff>
    </xdr:to>
    <xdr:graphicFrame>
      <xdr:nvGraphicFramePr>
        <xdr:cNvPr id="0" name="Chart 1"/>
        <xdr:cNvGraphicFramePr/>
      </xdr:nvGraphicFramePr>
      <xdr:xfrm>
        <a:off x="11734920" y="3429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45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"/>
    <col collapsed="false" customWidth="true" hidden="false" outlineLevel="0" max="16" min="12" style="0" width="10"/>
    <col collapsed="false" customWidth="true" hidden="false" outlineLevel="0" max="17" min="17" style="0" width="12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6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 t="s">
        <v>1</v>
      </c>
      <c r="Q2" s="4" t="n">
        <f aca="true">TODAY()</f>
        <v>46300</v>
      </c>
    </row>
    <row r="3" customFormat="false" ht="30" hidden="false" customHeight="true" outlineLevel="0" collapsed="false">
      <c r="B3" s="5" t="s">
        <v>2</v>
      </c>
      <c r="C3" s="1"/>
      <c r="D3" s="6" t="s">
        <v>3</v>
      </c>
      <c r="E3" s="6"/>
      <c r="F3" s="6"/>
      <c r="G3" s="7" t="s">
        <v>4</v>
      </c>
      <c r="H3" s="8" t="n">
        <f aca="false">IFERROR(INDEX(Contracts!$F$6:$F$65,MATCH(Dashboard!$D$3,Contracts!$A$6:$A$65,0)),0)</f>
        <v>109</v>
      </c>
      <c r="I3" s="7" t="s">
        <v>5</v>
      </c>
      <c r="J3" s="8" t="n">
        <f aca="false">IFERROR(INDEX(Contracts!$E$6:$E$65,MATCH(Dashboard!$D$3,Contracts!$A$6:$A$65,0)),0)</f>
        <v>12</v>
      </c>
      <c r="K3" s="1"/>
      <c r="L3" s="1"/>
      <c r="M3" s="1"/>
      <c r="N3" s="1"/>
      <c r="O3" s="1"/>
      <c r="P3" s="5" t="s">
        <v>6</v>
      </c>
      <c r="Q3" s="9" t="n">
        <f aca="false">Q2-WEEKDAY(Q2,2)+1</f>
        <v>46300</v>
      </c>
      <c r="S3" s="10" t="n">
        <f aca="false">IFERROR(N(INDEX(Contracts!$Q$6:$Q$65,MATCH(Dashboard!$D$3,Contracts!$A$6:$A$65,0))),2)</f>
        <v>2</v>
      </c>
    </row>
    <row r="4" customFormat="false" ht="15" hidden="false" customHeight="false" outlineLevel="0" collapsed="false">
      <c r="B4" s="11" t="str">
        <f aca="false">IFERROR(INDEX(Contracts!$B$6:$B$65,MATCH(Dashboard!$D$3,Contracts!$A$6:$A$65,0))&amp;"  ·  top code "&amp;INDEX(Contracts!$C$6:$C$65,MATCH(Dashboard!$D$3,Contracts!$A$6:$A$65,0))&amp;"  ·  "&amp;INDEX(Contracts!$D$6:$D$65,MATCH(Dashboard!$D$3,Contracts!$A$6:$A$65,0))&amp;"FP  ·  "&amp;INDEX(Contracts!$H$6:$H$65,MATCH(Dashboard!$D$3,Contracts!$A$6:$A$65,0))&amp;" sub-assemblies per repeater"&amp;IF(INDEX(Contracts!$G$6:$G$65,MATCH(Dashboard!$D$3,Contracts!$A$6:$A$65,0))&amp;""="","","  ·  "&amp;INDEX(Contracts!$G$6:$G$65,MATCH(Dashboard!$D$3,Contracts!$A$6:$A$65,0))),"Pick a contract")</f>
        <v>E2A  ·  top code 92ERP12548A++  ·  12FP  ·  14 sub-assemblies per repeater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2" t="str">
        <f aca="false">"Week "&amp;_xlfn.ISOWEEKNUM(Q3)</f>
        <v>Week 41</v>
      </c>
    </row>
    <row r="6" customFormat="false" ht="19.5" hidden="false" customHeight="true" outlineLevel="0" collapsed="false">
      <c r="B6" s="13" t="s">
        <v>7</v>
      </c>
      <c r="C6" s="13"/>
      <c r="D6" s="13" t="s">
        <v>8</v>
      </c>
      <c r="E6" s="13" t="s">
        <v>9</v>
      </c>
      <c r="F6" s="13"/>
      <c r="G6" s="13"/>
      <c r="H6" s="13" t="s">
        <v>10</v>
      </c>
      <c r="I6" s="13"/>
      <c r="J6" s="13"/>
      <c r="L6" s="13" t="s">
        <v>11</v>
      </c>
      <c r="M6" s="13"/>
      <c r="N6" s="13"/>
      <c r="O6" s="13" t="s">
        <v>12</v>
      </c>
      <c r="P6" s="13"/>
      <c r="Q6" s="13"/>
    </row>
    <row r="7" customFormat="false" ht="51.75" hidden="false" customHeight="true" outlineLevel="0" collapsed="false">
      <c r="B7" s="14" t="str">
        <f aca="false">IF(INDEX(Contracts!$H$6:$H$65,MATCH(Dashboard!$D$3,Contracts!$A$6:$A$65,0))=0,"–",INDEX(Contracts!$I$6:$I$65,MATCH(Dashboard!$D$3,Contracts!$A$6:$A$65,0))&amp;" / "&amp;$H$3)</f>
        <v>13 / 109</v>
      </c>
      <c r="C7" s="14"/>
      <c r="D7" s="15" t="n">
        <f aca="false">IFERROR(INDEX(Contracts!$J$6:$J$65,MATCH(Dashboard!$D$3,Contracts!$A$6:$A$65,0)),0)</f>
        <v>156</v>
      </c>
      <c r="E7" s="16" t="n">
        <f aca="false">IFERROR(INDEX(Contracts!$K$6:$K$65,MATCH(Dashboard!$D$3,Contracts!$A$6:$A$65,0)),0)</f>
        <v>31</v>
      </c>
      <c r="F7" s="16"/>
      <c r="G7" s="16"/>
      <c r="H7" s="16" t="n">
        <f aca="false">IFERROR(IF(INDEX(Contracts!$H$6:$H$65,MATCH(Dashboard!$D$3,Contracts!$A$6:$A$65,0))=0,"–",IF(INDEX(Contracts!$L$6:$L$65,MATCH(Dashboard!$D$3,Contracts!$A$6:$A$65,0))&gt;0,"+"&amp;INDEX(Contracts!$L$6:$L$65,MATCH(Dashboard!$D$3,Contracts!$A$6:$A$65,0)),INDEX(Contracts!$L$6:$L$65,MATCH(Dashboard!$D$3,Contracts!$A$6:$A$65,0)))),"–")</f>
        <v>-18</v>
      </c>
      <c r="I7" s="16"/>
      <c r="J7" s="16"/>
      <c r="L7" s="16" t="n">
        <f aca="false">SUMIFS('Weekly Plan'!$D$6:$D$1505,'Weekly Plan'!$A$6:$A$1505,Dashboard!$D$3,'Weekly Plan'!$E$6:$E$1505,"&gt;"&amp;($Q$3+7*$S$3),'Weekly Plan'!$E$6:$E$1505,"&lt;="&amp;($Q$3+7*$S$3+28))</f>
        <v>2</v>
      </c>
      <c r="M7" s="16"/>
      <c r="N7" s="16"/>
      <c r="O7" s="17" t="n">
        <f aca="false">IFERROR(INDEX(Contracts!$P$6:$P$65,MATCH(Dashboard!$D$3,Contracts!$A$6:$A$65,0)),"–")</f>
        <v>46297</v>
      </c>
      <c r="P7" s="17"/>
      <c r="Q7" s="17"/>
    </row>
    <row r="8" customFormat="false" ht="27.75" hidden="false" customHeight="true" outlineLevel="0" collapsed="false">
      <c r="B8" s="18" t="str">
        <f aca="false">IFERROR(TEXT(INDEX(Contracts!$N$6:$N$65,MATCH(Dashboard!$D$3,Contracts!$A$6:$A$65,0)),"0%")&amp;" of contract · "&amp;($H$3-IFERROR(INDEX(Contracts!$I$6:$I$65,MATCH(Dashboard!$D$3,Contracts!$A$6:$A$65,0)),0))&amp;" to go","add a kit list for this contract")</f>
        <v>12% of contract · 96 to go</v>
      </c>
      <c r="C8" s="18"/>
      <c r="D8" s="18" t="str">
        <f aca="false">"of "&amp;TEXT($H$3*$J$3,"#,##0")&amp;" amps ("&amp;$J$3&amp;" per repeater)"</f>
        <v>of 1,308 amps (12 per repeater)</v>
      </c>
      <c r="E8" s="18" t="str">
        <f aca="false">"kits due by "&amp;$Q$4&amp;" (housing "&amp;"W"&amp;_xlfn.ISOWEEKNUM($Q$3+7*$S$3)&amp;", "&amp;$S$3&amp;"-wk lead)"</f>
        <v>kits due by Week 41 (housing W43, 2-wk lead)</v>
      </c>
      <c r="F8" s="18"/>
      <c r="G8" s="18"/>
      <c r="H8" s="18" t="str">
        <f aca="false">IFERROR(INDEX(Contracts!$O$6:$O$65,MATCH(Dashboard!$D$3,Contracts!$A$6:$A$65,0)),"")</f>
        <v>BEHIND -18</v>
      </c>
      <c r="I8" s="18"/>
      <c r="J8" s="18"/>
      <c r="L8" s="18" t="str">
        <f aca="false">"repeaters to kit next 4 weeks"</f>
        <v>repeaters to kit next 4 weeks</v>
      </c>
      <c r="M8" s="18"/>
      <c r="N8" s="18"/>
      <c r="O8" s="18" t="str">
        <f aca="false">COUNTIF('Release Log'!$B$6:$B$4005,Dashboard!$D$3)&amp;" release lines logged"</f>
        <v>182 release lines logged</v>
      </c>
      <c r="P8" s="18"/>
      <c r="Q8" s="18"/>
    </row>
    <row r="10" customFormat="false" ht="15" hidden="false" customHeight="false" outlineLevel="0" collapsed="false">
      <c r="B10" s="19" t="s">
        <v>13</v>
      </c>
      <c r="D10" s="20" t="n">
        <f aca="false">IFERROR(INDEX(Contracts!$N$6:$N$65,MATCH(Dashboard!$D$3,Contracts!$A$6:$A$65,0)),0)</f>
        <v>0.119266055045872</v>
      </c>
      <c r="E10" s="20"/>
      <c r="F10" s="20"/>
      <c r="G10" s="20"/>
      <c r="H10" s="20"/>
      <c r="I10" s="20"/>
      <c r="J10" s="20"/>
    </row>
    <row r="12" customFormat="false" ht="17.35" hidden="false" customHeight="false" outlineLevel="0" collapsed="false">
      <c r="B12" s="21" t="s">
        <v>14</v>
      </c>
      <c r="F12" s="22" t="s">
        <v>15</v>
      </c>
      <c r="G12" s="22"/>
      <c r="H12" s="22"/>
      <c r="I12" s="23" t="n">
        <f aca="false">IFERROR(INDEX(Contracts!$K$6:$K$65,MATCH(D3,Contracts!$A$6:$A$65,0))+L7,0)</f>
        <v>33</v>
      </c>
      <c r="J12" s="24" t="s">
        <v>16</v>
      </c>
      <c r="L12" s="21" t="s">
        <v>17</v>
      </c>
    </row>
    <row r="13" customFormat="false" ht="30" hidden="false" customHeight="true" outlineLevel="0" collapsed="false">
      <c r="B13" s="25" t="s">
        <v>18</v>
      </c>
      <c r="C13" s="25" t="s">
        <v>19</v>
      </c>
      <c r="D13" s="25" t="s">
        <v>20</v>
      </c>
      <c r="E13" s="25" t="s">
        <v>21</v>
      </c>
      <c r="F13" s="25" t="s">
        <v>22</v>
      </c>
      <c r="G13" s="25" t="s">
        <v>23</v>
      </c>
      <c r="H13" s="25" t="s">
        <v>24</v>
      </c>
      <c r="I13" s="25" t="s">
        <v>25</v>
      </c>
      <c r="J13" s="25" t="s">
        <v>26</v>
      </c>
    </row>
    <row r="14" customFormat="false" ht="18.75" hidden="false" customHeight="true" outlineLevel="0" collapsed="false">
      <c r="B14" s="26" t="str">
        <f aca="false">IFERROR(INDEX('Kit Lists'!$B$6:$B$605,MATCH(Dashboard!$D$3&amp;"|"&amp;1,'Kit Lists'!$G$6:$G$605,0)),"")</f>
        <v>LASER ASSY</v>
      </c>
      <c r="C14" s="27" t="str">
        <f aca="false">IFERROR(INDEX('Kit Lists'!$C$6:$C$605,MATCH(Dashboard!$D$3&amp;"|"&amp;1,'Kit Lists'!$G$6:$G$605,0)),"")</f>
        <v>92YLS00548BAA</v>
      </c>
      <c r="D14" s="28" t="str">
        <f aca="false">IFERROR(INDEX('Kit Lists'!$D$6:$D$605,MATCH(Dashboard!$D$3&amp;"|"&amp;1,'Kit Lists'!$G$6:$G$605,0)),"")</f>
        <v>R5B LASER ASSEMBLY 4P BOAT 1 - E2A</v>
      </c>
      <c r="E14" s="29" t="n">
        <f aca="false">IFERROR(INDEX('Kit Lists'!$E$6:$E$605,MATCH(Dashboard!$D$3&amp;"|"&amp;1,'Kit Lists'!$G$6:$G$605,0)),"")</f>
        <v>1</v>
      </c>
      <c r="F14" s="29" t="n">
        <f aca="false">IFERROR(INDEX('Kit Lists'!$H$6:$H$605,MATCH(Dashboard!$D$3&amp;"|"&amp;1,'Kit Lists'!$G$6:$G$605,0)),"")</f>
        <v>13</v>
      </c>
      <c r="G14" s="30" t="n">
        <f aca="false">IF(C14="","",INT(F14/E14))</f>
        <v>13</v>
      </c>
      <c r="H14" s="29" t="str">
        <f aca="false">IF(C14="","",MOD(F14,E14)&amp;" / "&amp;E14)</f>
        <v>0 / 1</v>
      </c>
      <c r="I14" s="29" t="n">
        <f aca="false">IF(C14="","",$I$12*E14)</f>
        <v>33</v>
      </c>
      <c r="J14" s="31" t="n">
        <f aca="false">IF(C14="","",MAX(0,I14-F14))</f>
        <v>20</v>
      </c>
    </row>
    <row r="15" customFormat="false" ht="18.75" hidden="false" customHeight="true" outlineLevel="0" collapsed="false">
      <c r="B15" s="26" t="str">
        <f aca="false">IFERROR(INDEX('Kit Lists'!$B$6:$B$605,MATCH(Dashboard!$D$3&amp;"|"&amp;2,'Kit Lists'!$G$6:$G$605,0)),"")</f>
        <v>LASER ASSY</v>
      </c>
      <c r="C15" s="27" t="str">
        <f aca="false">IFERROR(INDEX('Kit Lists'!$C$6:$C$605,MATCH(Dashboard!$D$3&amp;"|"&amp;2,'Kit Lists'!$G$6:$G$605,0)),"")</f>
        <v>92YLS00548BBA</v>
      </c>
      <c r="D15" s="28" t="str">
        <f aca="false">IFERROR(INDEX('Kit Lists'!$D$6:$D$605,MATCH(Dashboard!$D$3&amp;"|"&amp;2,'Kit Lists'!$G$6:$G$605,0)),"")</f>
        <v>R5B LASER ASSEMBLY 4P BOAT 2/3 - E2A</v>
      </c>
      <c r="E15" s="29" t="n">
        <f aca="false">IFERROR(INDEX('Kit Lists'!$E$6:$E$605,MATCH(Dashboard!$D$3&amp;"|"&amp;2,'Kit Lists'!$G$6:$G$605,0)),"")</f>
        <v>2</v>
      </c>
      <c r="F15" s="29" t="n">
        <f aca="false">IFERROR(INDEX('Kit Lists'!$H$6:$H$605,MATCH(Dashboard!$D$3&amp;"|"&amp;2,'Kit Lists'!$G$6:$G$605,0)),"")</f>
        <v>26</v>
      </c>
      <c r="G15" s="30" t="n">
        <f aca="false">IF(C15="","",INT(F15/E15))</f>
        <v>13</v>
      </c>
      <c r="H15" s="29" t="str">
        <f aca="false">IF(C15="","",MOD(F15,E15)&amp;" / "&amp;E15)</f>
        <v>0 / 2</v>
      </c>
      <c r="I15" s="29" t="n">
        <f aca="false">IF(C15="","",$I$12*E15)</f>
        <v>66</v>
      </c>
      <c r="J15" s="31" t="n">
        <f aca="false">IF(C15="","",MAX(0,I15-F15))</f>
        <v>40</v>
      </c>
    </row>
    <row r="16" customFormat="false" ht="18.75" hidden="false" customHeight="true" outlineLevel="0" collapsed="false">
      <c r="B16" s="26" t="str">
        <f aca="false">IFERROR(INDEX('Kit Lists'!$B$6:$B$605,MATCH(Dashboard!$D$3&amp;"|"&amp;3,'Kit Lists'!$G$6:$G$605,0)),"")</f>
        <v>PSB ASSY</v>
      </c>
      <c r="C16" s="27" t="str">
        <f aca="false">IFERROR(INDEX('Kit Lists'!$C$6:$C$605,MATCH(Dashboard!$D$3&amp;"|"&amp;3,'Kit Lists'!$G$6:$G$605,0)),"")</f>
        <v>91YAF03404AAA</v>
      </c>
      <c r="D16" s="28" t="str">
        <f aca="false">IFERROR(INDEX('Kit Lists'!$D$6:$D$605,MATCH(Dashboard!$D$3&amp;"|"&amp;3,'Kit Lists'!$G$6:$G$605,0)),"")</f>
        <v>R5B PSB SUB ASSEMBLY 4P-4FP</v>
      </c>
      <c r="E16" s="29" t="n">
        <f aca="false">IFERROR(INDEX('Kit Lists'!$E$6:$E$605,MATCH(Dashboard!$D$3&amp;"|"&amp;3,'Kit Lists'!$G$6:$G$605,0)),"")</f>
        <v>3</v>
      </c>
      <c r="F16" s="29" t="n">
        <f aca="false">IFERROR(INDEX('Kit Lists'!$H$6:$H$605,MATCH(Dashboard!$D$3&amp;"|"&amp;3,'Kit Lists'!$G$6:$G$605,0)),"")</f>
        <v>39</v>
      </c>
      <c r="G16" s="30" t="n">
        <f aca="false">IF(C16="","",INT(F16/E16))</f>
        <v>13</v>
      </c>
      <c r="H16" s="29" t="str">
        <f aca="false">IF(C16="","",MOD(F16,E16)&amp;" / "&amp;E16)</f>
        <v>0 / 3</v>
      </c>
      <c r="I16" s="29" t="n">
        <f aca="false">IF(C16="","",$I$12*E16)</f>
        <v>99</v>
      </c>
      <c r="J16" s="31" t="n">
        <f aca="false">IF(C16="","",MAX(0,I16-F16))</f>
        <v>60</v>
      </c>
    </row>
    <row r="17" customFormat="false" ht="18.75" hidden="false" customHeight="true" outlineLevel="0" collapsed="false">
      <c r="B17" s="26" t="str">
        <f aca="false">IFERROR(INDEX('Kit Lists'!$B$6:$B$605,MATCH(Dashboard!$D$3&amp;"|"&amp;4,'Kit Lists'!$G$6:$G$605,0)),"")</f>
        <v>OPF ASSY</v>
      </c>
      <c r="C17" s="27" t="str">
        <f aca="false">IFERROR(INDEX('Kit Lists'!$C$6:$C$605,MATCH(Dashboard!$D$3&amp;"|"&amp;4,'Kit Lists'!$G$6:$G$605,0)),"")</f>
        <v>92YFD04548BAA</v>
      </c>
      <c r="D17" s="28" t="str">
        <f aca="false">IFERROR(INDEX('Kit Lists'!$D$6:$D$605,MATCH(Dashboard!$D$3&amp;"|"&amp;4,'Kit Lists'!$G$6:$G$605,0)),"")</f>
        <v>R5B OPF ASSEMBLY (4P-4FP) BOAT 1 - E2A</v>
      </c>
      <c r="E17" s="29" t="n">
        <f aca="false">IFERROR(INDEX('Kit Lists'!$E$6:$E$605,MATCH(Dashboard!$D$3&amp;"|"&amp;4,'Kit Lists'!$G$6:$G$605,0)),"")</f>
        <v>1</v>
      </c>
      <c r="F17" s="29" t="n">
        <f aca="false">IFERROR(INDEX('Kit Lists'!$H$6:$H$605,MATCH(Dashboard!$D$3&amp;"|"&amp;4,'Kit Lists'!$G$6:$G$605,0)),"")</f>
        <v>13</v>
      </c>
      <c r="G17" s="30" t="n">
        <f aca="false">IF(C17="","",INT(F17/E17))</f>
        <v>13</v>
      </c>
      <c r="H17" s="29" t="str">
        <f aca="false">IF(C17="","",MOD(F17,E17)&amp;" / "&amp;E17)</f>
        <v>0 / 1</v>
      </c>
      <c r="I17" s="29" t="n">
        <f aca="false">IF(C17="","",$I$12*E17)</f>
        <v>33</v>
      </c>
      <c r="J17" s="31" t="n">
        <f aca="false">IF(C17="","",MAX(0,I17-F17))</f>
        <v>20</v>
      </c>
    </row>
    <row r="18" customFormat="false" ht="18.75" hidden="false" customHeight="true" outlineLevel="0" collapsed="false">
      <c r="B18" s="26" t="str">
        <f aca="false">IFERROR(INDEX('Kit Lists'!$B$6:$B$605,MATCH(Dashboard!$D$3&amp;"|"&amp;5,'Kit Lists'!$G$6:$G$605,0)),"")</f>
        <v>OPF ASSY</v>
      </c>
      <c r="C18" s="27" t="str">
        <f aca="false">IFERROR(INDEX('Kit Lists'!$C$6:$C$605,MATCH(Dashboard!$D$3&amp;"|"&amp;5,'Kit Lists'!$G$6:$G$605,0)),"")</f>
        <v>92YFD04548BBA</v>
      </c>
      <c r="D18" s="28" t="str">
        <f aca="false">IFERROR(INDEX('Kit Lists'!$D$6:$D$605,MATCH(Dashboard!$D$3&amp;"|"&amp;5,'Kit Lists'!$G$6:$G$605,0)),"")</f>
        <v>R5B OPF ASSEMBLY (4P-4FP) BOAT 2/3 - E2A</v>
      </c>
      <c r="E18" s="29" t="n">
        <f aca="false">IFERROR(INDEX('Kit Lists'!$E$6:$E$605,MATCH(Dashboard!$D$3&amp;"|"&amp;5,'Kit Lists'!$G$6:$G$605,0)),"")</f>
        <v>2</v>
      </c>
      <c r="F18" s="29" t="n">
        <f aca="false">IFERROR(INDEX('Kit Lists'!$H$6:$H$605,MATCH(Dashboard!$D$3&amp;"|"&amp;5,'Kit Lists'!$G$6:$G$605,0)),"")</f>
        <v>26</v>
      </c>
      <c r="G18" s="30" t="n">
        <f aca="false">IF(C18="","",INT(F18/E18))</f>
        <v>13</v>
      </c>
      <c r="H18" s="29" t="str">
        <f aca="false">IF(C18="","",MOD(F18,E18)&amp;" / "&amp;E18)</f>
        <v>0 / 2</v>
      </c>
      <c r="I18" s="29" t="n">
        <f aca="false">IF(C18="","",$I$12*E18)</f>
        <v>66</v>
      </c>
      <c r="J18" s="31" t="n">
        <f aca="false">IF(C18="","",MAX(0,I18-F18))</f>
        <v>40</v>
      </c>
    </row>
    <row r="19" customFormat="false" ht="18.75" hidden="false" customHeight="true" outlineLevel="0" collapsed="false">
      <c r="B19" s="26" t="str">
        <f aca="false">IFERROR(INDEX('Kit Lists'!$B$6:$B$605,MATCH(Dashboard!$D$3&amp;"|"&amp;6,'Kit Lists'!$G$6:$G$605,0)),"")</f>
        <v>POB ASSY</v>
      </c>
      <c r="C19" s="27" t="str">
        <f aca="false">IFERROR(INDEX('Kit Lists'!$C$6:$C$605,MATCH(Dashboard!$D$3&amp;"|"&amp;6,'Kit Lists'!$G$6:$G$605,0)),"")</f>
        <v>92YWS04548AAA</v>
      </c>
      <c r="D19" s="28" t="str">
        <f aca="false">IFERROR(INDEX('Kit Lists'!$D$6:$D$605,MATCH(Dashboard!$D$3&amp;"|"&amp;6,'Kit Lists'!$G$6:$G$605,0)),"")</f>
        <v>R5B 4FP POB LUMENTUM SUB ASSEMBLY - E2A</v>
      </c>
      <c r="E19" s="29" t="n">
        <f aca="false">IFERROR(INDEX('Kit Lists'!$E$6:$E$605,MATCH(Dashboard!$D$3&amp;"|"&amp;6,'Kit Lists'!$G$6:$G$605,0)),"")</f>
        <v>3</v>
      </c>
      <c r="F19" s="29" t="n">
        <f aca="false">IFERROR(INDEX('Kit Lists'!$H$6:$H$605,MATCH(Dashboard!$D$3&amp;"|"&amp;6,'Kit Lists'!$G$6:$G$605,0)),"")</f>
        <v>39</v>
      </c>
      <c r="G19" s="30" t="n">
        <f aca="false">IF(C19="","",INT(F19/E19))</f>
        <v>13</v>
      </c>
      <c r="H19" s="29" t="str">
        <f aca="false">IF(C19="","",MOD(F19,E19)&amp;" / "&amp;E19)</f>
        <v>0 / 3</v>
      </c>
      <c r="I19" s="29" t="n">
        <f aca="false">IF(C19="","",$I$12*E19)</f>
        <v>99</v>
      </c>
      <c r="J19" s="31" t="n">
        <f aca="false">IF(C19="","",MAX(0,I19-F19))</f>
        <v>60</v>
      </c>
    </row>
    <row r="20" customFormat="false" ht="18.75" hidden="false" customHeight="true" outlineLevel="0" collapsed="false">
      <c r="B20" s="26" t="str">
        <f aca="false">IFERROR(INDEX('Kit Lists'!$B$6:$B$605,MATCH(Dashboard!$D$3&amp;"|"&amp;7,'Kit Lists'!$G$6:$G$605,0)),"")</f>
        <v>ERBIUM ASSY</v>
      </c>
      <c r="C20" s="27" t="str">
        <f aca="false">IFERROR(INDEX('Kit Lists'!$C$6:$C$605,MATCH(Dashboard!$D$3&amp;"|"&amp;7,'Kit Lists'!$G$6:$G$605,0)),"")</f>
        <v>92RRA00548AAA</v>
      </c>
      <c r="D20" s="28" t="str">
        <f aca="false">IFERROR(INDEX('Kit Lists'!$D$6:$D$605,MATCH(Dashboard!$D$3&amp;"|"&amp;7,'Kit Lists'!$G$6:$G$605,0)),"")</f>
        <v>R5B ERBIUM SPOOL ASSEMBLY - E2A</v>
      </c>
      <c r="E20" s="29" t="n">
        <f aca="false">IFERROR(INDEX('Kit Lists'!$E$6:$E$605,MATCH(Dashboard!$D$3&amp;"|"&amp;7,'Kit Lists'!$G$6:$G$605,0)),"")</f>
        <v>24</v>
      </c>
      <c r="F20" s="29" t="n">
        <f aca="false">IFERROR(INDEX('Kit Lists'!$H$6:$H$605,MATCH(Dashboard!$D$3&amp;"|"&amp;7,'Kit Lists'!$G$6:$G$605,0)),"")</f>
        <v>312</v>
      </c>
      <c r="G20" s="30" t="n">
        <f aca="false">IF(C20="","",INT(F20/E20))</f>
        <v>13</v>
      </c>
      <c r="H20" s="29" t="str">
        <f aca="false">IF(C20="","",MOD(F20,E20)&amp;" / "&amp;E20)</f>
        <v>0 / 24</v>
      </c>
      <c r="I20" s="29" t="n">
        <f aca="false">IF(C20="","",$I$12*E20)</f>
        <v>792</v>
      </c>
      <c r="J20" s="31" t="n">
        <f aca="false">IF(C20="","",MAX(0,I20-F20))</f>
        <v>480</v>
      </c>
    </row>
    <row r="21" customFormat="false" ht="18.75" hidden="false" customHeight="true" outlineLevel="0" collapsed="false">
      <c r="B21" s="26" t="str">
        <f aca="false">IFERROR(INDEX('Kit Lists'!$B$6:$B$605,MATCH(Dashboard!$D$3&amp;"|"&amp;8,'Kit Lists'!$G$6:$G$605,0)),"")</f>
        <v>ERBIUM ASSY</v>
      </c>
      <c r="C21" s="27" t="str">
        <f aca="false">IFERROR(INDEX('Kit Lists'!$C$6:$C$605,MATCH(Dashboard!$D$3&amp;"|"&amp;8,'Kit Lists'!$G$6:$G$605,0)),"")</f>
        <v>92YRA01548AAA</v>
      </c>
      <c r="D21" s="28" t="str">
        <f aca="false">IFERROR(INDEX('Kit Lists'!$D$6:$D$605,MATCH(Dashboard!$D$3&amp;"|"&amp;8,'Kit Lists'!$G$6:$G$605,0)),"")</f>
        <v>R5B ERBIUM ASSEMBLY POSITION 1</v>
      </c>
      <c r="E21" s="29" t="n">
        <f aca="false">IFERROR(INDEX('Kit Lists'!$E$6:$E$605,MATCH(Dashboard!$D$3&amp;"|"&amp;8,'Kit Lists'!$G$6:$G$605,0)),"")</f>
        <v>3</v>
      </c>
      <c r="F21" s="29" t="n">
        <f aca="false">IFERROR(INDEX('Kit Lists'!$H$6:$H$605,MATCH(Dashboard!$D$3&amp;"|"&amp;8,'Kit Lists'!$G$6:$G$605,0)),"")</f>
        <v>39</v>
      </c>
      <c r="G21" s="30" t="n">
        <f aca="false">IF(C21="","",INT(F21/E21))</f>
        <v>13</v>
      </c>
      <c r="H21" s="29" t="str">
        <f aca="false">IF(C21="","",MOD(F21,E21)&amp;" / "&amp;E21)</f>
        <v>0 / 3</v>
      </c>
      <c r="I21" s="29" t="n">
        <f aca="false">IF(C21="","",$I$12*E21)</f>
        <v>99</v>
      </c>
      <c r="J21" s="31" t="n">
        <f aca="false">IF(C21="","",MAX(0,I21-F21))</f>
        <v>60</v>
      </c>
    </row>
    <row r="22" customFormat="false" ht="18.75" hidden="false" customHeight="true" outlineLevel="0" collapsed="false">
      <c r="B22" s="26" t="str">
        <f aca="false">IFERROR(INDEX('Kit Lists'!$B$6:$B$605,MATCH(Dashboard!$D$3&amp;"|"&amp;9,'Kit Lists'!$G$6:$G$605,0)),"")</f>
        <v>ERBIUM ASSY</v>
      </c>
      <c r="C22" s="27" t="str">
        <f aca="false">IFERROR(INDEX('Kit Lists'!$C$6:$C$605,MATCH(Dashboard!$D$3&amp;"|"&amp;9,'Kit Lists'!$G$6:$G$605,0)),"")</f>
        <v>92YRA02548AAA</v>
      </c>
      <c r="D22" s="28" t="str">
        <f aca="false">IFERROR(INDEX('Kit Lists'!$D$6:$D$605,MATCH(Dashboard!$D$3&amp;"|"&amp;9,'Kit Lists'!$G$6:$G$605,0)),"")</f>
        <v>R5B ERBIUM ASSEMBLY POSITION 2</v>
      </c>
      <c r="E22" s="29" t="n">
        <f aca="false">IFERROR(INDEX('Kit Lists'!$E$6:$E$605,MATCH(Dashboard!$D$3&amp;"|"&amp;9,'Kit Lists'!$G$6:$G$605,0)),"")</f>
        <v>3</v>
      </c>
      <c r="F22" s="29" t="n">
        <f aca="false">IFERROR(INDEX('Kit Lists'!$H$6:$H$605,MATCH(Dashboard!$D$3&amp;"|"&amp;9,'Kit Lists'!$G$6:$G$605,0)),"")</f>
        <v>39</v>
      </c>
      <c r="G22" s="30" t="n">
        <f aca="false">IF(C22="","",INT(F22/E22))</f>
        <v>13</v>
      </c>
      <c r="H22" s="29" t="str">
        <f aca="false">IF(C22="","",MOD(F22,E22)&amp;" / "&amp;E22)</f>
        <v>0 / 3</v>
      </c>
      <c r="I22" s="29" t="n">
        <f aca="false">IF(C22="","",$I$12*E22)</f>
        <v>99</v>
      </c>
      <c r="J22" s="31" t="n">
        <f aca="false">IF(C22="","",MAX(0,I22-F22))</f>
        <v>60</v>
      </c>
    </row>
    <row r="23" customFormat="false" ht="18.75" hidden="false" customHeight="true" outlineLevel="0" collapsed="false">
      <c r="B23" s="26" t="str">
        <f aca="false">IFERROR(INDEX('Kit Lists'!$B$6:$B$605,MATCH(Dashboard!$D$3&amp;"|"&amp;10,'Kit Lists'!$G$6:$G$605,0)),"")</f>
        <v>ERBIUM ASSY</v>
      </c>
      <c r="C23" s="27" t="str">
        <f aca="false">IFERROR(INDEX('Kit Lists'!$C$6:$C$605,MATCH(Dashboard!$D$3&amp;"|"&amp;10,'Kit Lists'!$G$6:$G$605,0)),"")</f>
        <v>92YRA03548AAA</v>
      </c>
      <c r="D23" s="28" t="str">
        <f aca="false">IFERROR(INDEX('Kit Lists'!$D$6:$D$605,MATCH(Dashboard!$D$3&amp;"|"&amp;10,'Kit Lists'!$G$6:$G$605,0)),"")</f>
        <v>R5B ERBIUM ASSEMBLY POSITION 3</v>
      </c>
      <c r="E23" s="29" t="n">
        <f aca="false">IFERROR(INDEX('Kit Lists'!$E$6:$E$605,MATCH(Dashboard!$D$3&amp;"|"&amp;10,'Kit Lists'!$G$6:$G$605,0)),"")</f>
        <v>3</v>
      </c>
      <c r="F23" s="29" t="n">
        <f aca="false">IFERROR(INDEX('Kit Lists'!$H$6:$H$605,MATCH(Dashboard!$D$3&amp;"|"&amp;10,'Kit Lists'!$G$6:$G$605,0)),"")</f>
        <v>39</v>
      </c>
      <c r="G23" s="30" t="n">
        <f aca="false">IF(C23="","",INT(F23/E23))</f>
        <v>13</v>
      </c>
      <c r="H23" s="29" t="str">
        <f aca="false">IF(C23="","",MOD(F23,E23)&amp;" / "&amp;E23)</f>
        <v>0 / 3</v>
      </c>
      <c r="I23" s="29" t="n">
        <f aca="false">IF(C23="","",$I$12*E23)</f>
        <v>99</v>
      </c>
      <c r="J23" s="31" t="n">
        <f aca="false">IF(C23="","",MAX(0,I23-F23))</f>
        <v>60</v>
      </c>
    </row>
    <row r="24" customFormat="false" ht="18.75" hidden="false" customHeight="true" outlineLevel="0" collapsed="false">
      <c r="B24" s="26" t="str">
        <f aca="false">IFERROR(INDEX('Kit Lists'!$B$6:$B$605,MATCH(Dashboard!$D$3&amp;"|"&amp;11,'Kit Lists'!$G$6:$G$605,0)),"")</f>
        <v>ERBIUM ASSY</v>
      </c>
      <c r="C24" s="27" t="str">
        <f aca="false">IFERROR(INDEX('Kit Lists'!$C$6:$C$605,MATCH(Dashboard!$D$3&amp;"|"&amp;11,'Kit Lists'!$G$6:$G$605,0)),"")</f>
        <v>92YRA04548AAA</v>
      </c>
      <c r="D24" s="28" t="str">
        <f aca="false">IFERROR(INDEX('Kit Lists'!$D$6:$D$605,MATCH(Dashboard!$D$3&amp;"|"&amp;11,'Kit Lists'!$G$6:$G$605,0)),"")</f>
        <v>R5B ERBIUM ASSEMBLY POSITION 4</v>
      </c>
      <c r="E24" s="29" t="n">
        <f aca="false">IFERROR(INDEX('Kit Lists'!$E$6:$E$605,MATCH(Dashboard!$D$3&amp;"|"&amp;11,'Kit Lists'!$G$6:$G$605,0)),"")</f>
        <v>3</v>
      </c>
      <c r="F24" s="29" t="n">
        <f aca="false">IFERROR(INDEX('Kit Lists'!$H$6:$H$605,MATCH(Dashboard!$D$3&amp;"|"&amp;11,'Kit Lists'!$G$6:$G$605,0)),"")</f>
        <v>39</v>
      </c>
      <c r="G24" s="30" t="n">
        <f aca="false">IF(C24="","",INT(F24/E24))</f>
        <v>13</v>
      </c>
      <c r="H24" s="29" t="str">
        <f aca="false">IF(C24="","",MOD(F24,E24)&amp;" / "&amp;E24)</f>
        <v>0 / 3</v>
      </c>
      <c r="I24" s="29" t="n">
        <f aca="false">IF(C24="","",$I$12*E24)</f>
        <v>99</v>
      </c>
      <c r="J24" s="31" t="n">
        <f aca="false">IF(C24="","",MAX(0,I24-F24))</f>
        <v>60</v>
      </c>
    </row>
    <row r="25" customFormat="false" ht="18.75" hidden="false" customHeight="true" outlineLevel="0" collapsed="false">
      <c r="B25" s="26" t="str">
        <f aca="false">IFERROR(INDEX('Kit Lists'!$B$6:$B$605,MATCH(Dashboard!$D$3&amp;"|"&amp;12,'Kit Lists'!$G$6:$G$605,0)),"")</f>
        <v>BOAT ASSY</v>
      </c>
      <c r="C25" s="27" t="str">
        <f aca="false">IFERROR(INDEX('Kit Lists'!$C$6:$C$605,MATCH(Dashboard!$D$3&amp;"|"&amp;12,'Kit Lists'!$G$6:$G$605,0)),"")</f>
        <v>92UAP04548BAA</v>
      </c>
      <c r="D25" s="28" t="str">
        <f aca="false">IFERROR(INDEX('Kit Lists'!$D$6:$D$605,MATCH(Dashboard!$D$3&amp;"|"&amp;12,'Kit Lists'!$G$6:$G$605,0)),"")</f>
        <v>R5B BOAT 1 ASSY (4P-4FP)</v>
      </c>
      <c r="E25" s="29" t="n">
        <f aca="false">IFERROR(INDEX('Kit Lists'!$E$6:$E$605,MATCH(Dashboard!$D$3&amp;"|"&amp;12,'Kit Lists'!$G$6:$G$605,0)),"")</f>
        <v>1</v>
      </c>
      <c r="F25" s="29" t="n">
        <f aca="false">IFERROR(INDEX('Kit Lists'!$H$6:$H$605,MATCH(Dashboard!$D$3&amp;"|"&amp;12,'Kit Lists'!$G$6:$G$605,0)),"")</f>
        <v>13</v>
      </c>
      <c r="G25" s="30" t="n">
        <f aca="false">IF(C25="","",INT(F25/E25))</f>
        <v>13</v>
      </c>
      <c r="H25" s="29" t="str">
        <f aca="false">IF(C25="","",MOD(F25,E25)&amp;" / "&amp;E25)</f>
        <v>0 / 1</v>
      </c>
      <c r="I25" s="29" t="n">
        <f aca="false">IF(C25="","",$I$12*E25)</f>
        <v>33</v>
      </c>
      <c r="J25" s="31" t="n">
        <f aca="false">IF(C25="","",MAX(0,I25-F25))</f>
        <v>20</v>
      </c>
    </row>
    <row r="26" customFormat="false" ht="18.75" hidden="false" customHeight="true" outlineLevel="0" collapsed="false">
      <c r="B26" s="26" t="str">
        <f aca="false">IFERROR(INDEX('Kit Lists'!$B$6:$B$605,MATCH(Dashboard!$D$3&amp;"|"&amp;13,'Kit Lists'!$G$6:$G$605,0)),"")</f>
        <v>BOAT ASSY</v>
      </c>
      <c r="C26" s="27" t="str">
        <f aca="false">IFERROR(INDEX('Kit Lists'!$C$6:$C$605,MATCH(Dashboard!$D$3&amp;"|"&amp;13,'Kit Lists'!$G$6:$G$605,0)),"")</f>
        <v>92UAP04548BBA</v>
      </c>
      <c r="D26" s="28" t="str">
        <f aca="false">IFERROR(INDEX('Kit Lists'!$D$6:$D$605,MATCH(Dashboard!$D$3&amp;"|"&amp;13,'Kit Lists'!$G$6:$G$605,0)),"")</f>
        <v>R5B BOAT 2 ASSY (4P-4FP)</v>
      </c>
      <c r="E26" s="29" t="n">
        <f aca="false">IFERROR(INDEX('Kit Lists'!$E$6:$E$605,MATCH(Dashboard!$D$3&amp;"|"&amp;13,'Kit Lists'!$G$6:$G$605,0)),"")</f>
        <v>1</v>
      </c>
      <c r="F26" s="29" t="n">
        <f aca="false">IFERROR(INDEX('Kit Lists'!$H$6:$H$605,MATCH(Dashboard!$D$3&amp;"|"&amp;13,'Kit Lists'!$G$6:$G$605,0)),"")</f>
        <v>13</v>
      </c>
      <c r="G26" s="30" t="n">
        <f aca="false">IF(C26="","",INT(F26/E26))</f>
        <v>13</v>
      </c>
      <c r="H26" s="29" t="str">
        <f aca="false">IF(C26="","",MOD(F26,E26)&amp;" / "&amp;E26)</f>
        <v>0 / 1</v>
      </c>
      <c r="I26" s="29" t="n">
        <f aca="false">IF(C26="","",$I$12*E26)</f>
        <v>33</v>
      </c>
      <c r="J26" s="31" t="n">
        <f aca="false">IF(C26="","",MAX(0,I26-F26))</f>
        <v>20</v>
      </c>
    </row>
    <row r="27" customFormat="false" ht="18.75" hidden="false" customHeight="true" outlineLevel="0" collapsed="false">
      <c r="B27" s="26" t="str">
        <f aca="false">IFERROR(INDEX('Kit Lists'!$B$6:$B$605,MATCH(Dashboard!$D$3&amp;"|"&amp;14,'Kit Lists'!$G$6:$G$605,0)),"")</f>
        <v>BOAT ASSY</v>
      </c>
      <c r="C27" s="27" t="str">
        <f aca="false">IFERROR(INDEX('Kit Lists'!$C$6:$C$605,MATCH(Dashboard!$D$3&amp;"|"&amp;14,'Kit Lists'!$G$6:$G$605,0)),"")</f>
        <v>92UAP04548BCA</v>
      </c>
      <c r="D27" s="28" t="str">
        <f aca="false">IFERROR(INDEX('Kit Lists'!$D$6:$D$605,MATCH(Dashboard!$D$3&amp;"|"&amp;14,'Kit Lists'!$G$6:$G$605,0)),"")</f>
        <v>R5B BOAT 3 ASSY (4P-4FP)</v>
      </c>
      <c r="E27" s="29" t="n">
        <f aca="false">IFERROR(INDEX('Kit Lists'!$E$6:$E$605,MATCH(Dashboard!$D$3&amp;"|"&amp;14,'Kit Lists'!$G$6:$G$605,0)),"")</f>
        <v>1</v>
      </c>
      <c r="F27" s="29" t="n">
        <f aca="false">IFERROR(INDEX('Kit Lists'!$H$6:$H$605,MATCH(Dashboard!$D$3&amp;"|"&amp;14,'Kit Lists'!$G$6:$G$605,0)),"")</f>
        <v>13</v>
      </c>
      <c r="G27" s="30" t="n">
        <f aca="false">IF(C27="","",INT(F27/E27))</f>
        <v>13</v>
      </c>
      <c r="H27" s="29" t="str">
        <f aca="false">IF(C27="","",MOD(F27,E27)&amp;" / "&amp;E27)</f>
        <v>0 / 1</v>
      </c>
      <c r="I27" s="29" t="n">
        <f aca="false">IF(C27="","",$I$12*E27)</f>
        <v>33</v>
      </c>
      <c r="J27" s="31" t="n">
        <f aca="false">IF(C27="","",MAX(0,I27-F27))</f>
        <v>20</v>
      </c>
    </row>
    <row r="28" customFormat="false" ht="18.75" hidden="false" customHeight="true" outlineLevel="0" collapsed="false">
      <c r="B28" s="26" t="str">
        <f aca="false">IFERROR(INDEX('Kit Lists'!$B$6:$B$605,MATCH(Dashboard!$D$3&amp;"|"&amp;15,'Kit Lists'!$G$6:$G$605,0)),"")</f>
        <v/>
      </c>
      <c r="C28" s="27" t="str">
        <f aca="false">IFERROR(INDEX('Kit Lists'!$C$6:$C$605,MATCH(Dashboard!$D$3&amp;"|"&amp;15,'Kit Lists'!$G$6:$G$605,0)),"")</f>
        <v/>
      </c>
      <c r="D28" s="28" t="str">
        <f aca="false">IFERROR(INDEX('Kit Lists'!$D$6:$D$605,MATCH(Dashboard!$D$3&amp;"|"&amp;15,'Kit Lists'!$G$6:$G$605,0)),"")</f>
        <v/>
      </c>
      <c r="E28" s="29" t="str">
        <f aca="false">IFERROR(INDEX('Kit Lists'!$E$6:$E$605,MATCH(Dashboard!$D$3&amp;"|"&amp;15,'Kit Lists'!$G$6:$G$605,0)),"")</f>
        <v/>
      </c>
      <c r="F28" s="29" t="str">
        <f aca="false">IFERROR(INDEX('Kit Lists'!$H$6:$H$605,MATCH(Dashboard!$D$3&amp;"|"&amp;15,'Kit Lists'!$G$6:$G$605,0)),"")</f>
        <v/>
      </c>
      <c r="G28" s="30" t="str">
        <f aca="false">IF(C28="","",INT(F28/E28))</f>
        <v/>
      </c>
      <c r="H28" s="29" t="str">
        <f aca="false">IF(C28="","",MOD(F28,E28)&amp;" / "&amp;E28)</f>
        <v/>
      </c>
      <c r="I28" s="29" t="str">
        <f aca="false">IF(C28="","",$I$12*E28)</f>
        <v/>
      </c>
      <c r="J28" s="31" t="str">
        <f aca="false">IF(C28="","",MAX(0,I28-F28))</f>
        <v/>
      </c>
    </row>
    <row r="29" customFormat="false" ht="18.75" hidden="false" customHeight="true" outlineLevel="0" collapsed="false">
      <c r="B29" s="26" t="str">
        <f aca="false">IFERROR(INDEX('Kit Lists'!$B$6:$B$605,MATCH(Dashboard!$D$3&amp;"|"&amp;16,'Kit Lists'!$G$6:$G$605,0)),"")</f>
        <v/>
      </c>
      <c r="C29" s="27" t="str">
        <f aca="false">IFERROR(INDEX('Kit Lists'!$C$6:$C$605,MATCH(Dashboard!$D$3&amp;"|"&amp;16,'Kit Lists'!$G$6:$G$605,0)),"")</f>
        <v/>
      </c>
      <c r="D29" s="28" t="str">
        <f aca="false">IFERROR(INDEX('Kit Lists'!$D$6:$D$605,MATCH(Dashboard!$D$3&amp;"|"&amp;16,'Kit Lists'!$G$6:$G$605,0)),"")</f>
        <v/>
      </c>
      <c r="E29" s="29" t="str">
        <f aca="false">IFERROR(INDEX('Kit Lists'!$E$6:$E$605,MATCH(Dashboard!$D$3&amp;"|"&amp;16,'Kit Lists'!$G$6:$G$605,0)),"")</f>
        <v/>
      </c>
      <c r="F29" s="29" t="str">
        <f aca="false">IFERROR(INDEX('Kit Lists'!$H$6:$H$605,MATCH(Dashboard!$D$3&amp;"|"&amp;16,'Kit Lists'!$G$6:$G$605,0)),"")</f>
        <v/>
      </c>
      <c r="G29" s="30" t="str">
        <f aca="false">IF(C29="","",INT(F29/E29))</f>
        <v/>
      </c>
      <c r="H29" s="29" t="str">
        <f aca="false">IF(C29="","",MOD(F29,E29)&amp;" / "&amp;E29)</f>
        <v/>
      </c>
      <c r="I29" s="29" t="str">
        <f aca="false">IF(C29="","",$I$12*E29)</f>
        <v/>
      </c>
      <c r="J29" s="31" t="str">
        <f aca="false">IF(C29="","",MAX(0,I29-F29))</f>
        <v/>
      </c>
    </row>
    <row r="30" customFormat="false" ht="18.75" hidden="false" customHeight="true" outlineLevel="0" collapsed="false">
      <c r="B30" s="26" t="str">
        <f aca="false">IFERROR(INDEX('Kit Lists'!$B$6:$B$605,MATCH(Dashboard!$D$3&amp;"|"&amp;17,'Kit Lists'!$G$6:$G$605,0)),"")</f>
        <v/>
      </c>
      <c r="C30" s="27" t="str">
        <f aca="false">IFERROR(INDEX('Kit Lists'!$C$6:$C$605,MATCH(Dashboard!$D$3&amp;"|"&amp;17,'Kit Lists'!$G$6:$G$605,0)),"")</f>
        <v/>
      </c>
      <c r="D30" s="28" t="str">
        <f aca="false">IFERROR(INDEX('Kit Lists'!$D$6:$D$605,MATCH(Dashboard!$D$3&amp;"|"&amp;17,'Kit Lists'!$G$6:$G$605,0)),"")</f>
        <v/>
      </c>
      <c r="E30" s="29" t="str">
        <f aca="false">IFERROR(INDEX('Kit Lists'!$E$6:$E$605,MATCH(Dashboard!$D$3&amp;"|"&amp;17,'Kit Lists'!$G$6:$G$605,0)),"")</f>
        <v/>
      </c>
      <c r="F30" s="29" t="str">
        <f aca="false">IFERROR(INDEX('Kit Lists'!$H$6:$H$605,MATCH(Dashboard!$D$3&amp;"|"&amp;17,'Kit Lists'!$G$6:$G$605,0)),"")</f>
        <v/>
      </c>
      <c r="G30" s="30" t="str">
        <f aca="false">IF(C30="","",INT(F30/E30))</f>
        <v/>
      </c>
      <c r="H30" s="29" t="str">
        <f aca="false">IF(C30="","",MOD(F30,E30)&amp;" / "&amp;E30)</f>
        <v/>
      </c>
      <c r="I30" s="29" t="str">
        <f aca="false">IF(C30="","",$I$12*E30)</f>
        <v/>
      </c>
      <c r="J30" s="31" t="str">
        <f aca="false">IF(C30="","",MAX(0,I30-F30))</f>
        <v/>
      </c>
    </row>
    <row r="31" customFormat="false" ht="18.75" hidden="false" customHeight="true" outlineLevel="0" collapsed="false">
      <c r="B31" s="26" t="str">
        <f aca="false">IFERROR(INDEX('Kit Lists'!$B$6:$B$605,MATCH(Dashboard!$D$3&amp;"|"&amp;18,'Kit Lists'!$G$6:$G$605,0)),"")</f>
        <v/>
      </c>
      <c r="C31" s="27" t="str">
        <f aca="false">IFERROR(INDEX('Kit Lists'!$C$6:$C$605,MATCH(Dashboard!$D$3&amp;"|"&amp;18,'Kit Lists'!$G$6:$G$605,0)),"")</f>
        <v/>
      </c>
      <c r="D31" s="28" t="str">
        <f aca="false">IFERROR(INDEX('Kit Lists'!$D$6:$D$605,MATCH(Dashboard!$D$3&amp;"|"&amp;18,'Kit Lists'!$G$6:$G$605,0)),"")</f>
        <v/>
      </c>
      <c r="E31" s="29" t="str">
        <f aca="false">IFERROR(INDEX('Kit Lists'!$E$6:$E$605,MATCH(Dashboard!$D$3&amp;"|"&amp;18,'Kit Lists'!$G$6:$G$605,0)),"")</f>
        <v/>
      </c>
      <c r="F31" s="29" t="str">
        <f aca="false">IFERROR(INDEX('Kit Lists'!$H$6:$H$605,MATCH(Dashboard!$D$3&amp;"|"&amp;18,'Kit Lists'!$G$6:$G$605,0)),"")</f>
        <v/>
      </c>
      <c r="G31" s="30" t="str">
        <f aca="false">IF(C31="","",INT(F31/E31))</f>
        <v/>
      </c>
      <c r="H31" s="29" t="str">
        <f aca="false">IF(C31="","",MOD(F31,E31)&amp;" / "&amp;E31)</f>
        <v/>
      </c>
      <c r="I31" s="29" t="str">
        <f aca="false">IF(C31="","",$I$12*E31)</f>
        <v/>
      </c>
      <c r="J31" s="31" t="str">
        <f aca="false">IF(C31="","",MAX(0,I31-F31))</f>
        <v/>
      </c>
    </row>
    <row r="32" customFormat="false" ht="18.75" hidden="false" customHeight="true" outlineLevel="0" collapsed="false">
      <c r="B32" s="26" t="str">
        <f aca="false">IFERROR(INDEX('Kit Lists'!$B$6:$B$605,MATCH(Dashboard!$D$3&amp;"|"&amp;19,'Kit Lists'!$G$6:$G$605,0)),"")</f>
        <v/>
      </c>
      <c r="C32" s="27" t="str">
        <f aca="false">IFERROR(INDEX('Kit Lists'!$C$6:$C$605,MATCH(Dashboard!$D$3&amp;"|"&amp;19,'Kit Lists'!$G$6:$G$605,0)),"")</f>
        <v/>
      </c>
      <c r="D32" s="28" t="str">
        <f aca="false">IFERROR(INDEX('Kit Lists'!$D$6:$D$605,MATCH(Dashboard!$D$3&amp;"|"&amp;19,'Kit Lists'!$G$6:$G$605,0)),"")</f>
        <v/>
      </c>
      <c r="E32" s="29" t="str">
        <f aca="false">IFERROR(INDEX('Kit Lists'!$E$6:$E$605,MATCH(Dashboard!$D$3&amp;"|"&amp;19,'Kit Lists'!$G$6:$G$605,0)),"")</f>
        <v/>
      </c>
      <c r="F32" s="29" t="str">
        <f aca="false">IFERROR(INDEX('Kit Lists'!$H$6:$H$605,MATCH(Dashboard!$D$3&amp;"|"&amp;19,'Kit Lists'!$G$6:$G$605,0)),"")</f>
        <v/>
      </c>
      <c r="G32" s="30" t="str">
        <f aca="false">IF(C32="","",INT(F32/E32))</f>
        <v/>
      </c>
      <c r="H32" s="29" t="str">
        <f aca="false">IF(C32="","",MOD(F32,E32)&amp;" / "&amp;E32)</f>
        <v/>
      </c>
      <c r="I32" s="29" t="str">
        <f aca="false">IF(C32="","",$I$12*E32)</f>
        <v/>
      </c>
      <c r="J32" s="31" t="str">
        <f aca="false">IF(C32="","",MAX(0,I32-F32))</f>
        <v/>
      </c>
    </row>
    <row r="33" customFormat="false" ht="18.75" hidden="false" customHeight="true" outlineLevel="0" collapsed="false">
      <c r="B33" s="26" t="str">
        <f aca="false">IFERROR(INDEX('Kit Lists'!$B$6:$B$605,MATCH(Dashboard!$D$3&amp;"|"&amp;20,'Kit Lists'!$G$6:$G$605,0)),"")</f>
        <v/>
      </c>
      <c r="C33" s="27" t="str">
        <f aca="false">IFERROR(INDEX('Kit Lists'!$C$6:$C$605,MATCH(Dashboard!$D$3&amp;"|"&amp;20,'Kit Lists'!$G$6:$G$605,0)),"")</f>
        <v/>
      </c>
      <c r="D33" s="28" t="str">
        <f aca="false">IFERROR(INDEX('Kit Lists'!$D$6:$D$605,MATCH(Dashboard!$D$3&amp;"|"&amp;20,'Kit Lists'!$G$6:$G$605,0)),"")</f>
        <v/>
      </c>
      <c r="E33" s="29" t="str">
        <f aca="false">IFERROR(INDEX('Kit Lists'!$E$6:$E$605,MATCH(Dashboard!$D$3&amp;"|"&amp;20,'Kit Lists'!$G$6:$G$605,0)),"")</f>
        <v/>
      </c>
      <c r="F33" s="29" t="str">
        <f aca="false">IFERROR(INDEX('Kit Lists'!$H$6:$H$605,MATCH(Dashboard!$D$3&amp;"|"&amp;20,'Kit Lists'!$G$6:$G$605,0)),"")</f>
        <v/>
      </c>
      <c r="G33" s="30" t="str">
        <f aca="false">IF(C33="","",INT(F33/E33))</f>
        <v/>
      </c>
      <c r="H33" s="29" t="str">
        <f aca="false">IF(C33="","",MOD(F33,E33)&amp;" / "&amp;E33)</f>
        <v/>
      </c>
      <c r="I33" s="29" t="str">
        <f aca="false">IF(C33="","",$I$12*E33)</f>
        <v/>
      </c>
      <c r="J33" s="31" t="str">
        <f aca="false">IF(C33="","",MAX(0,I33-F33))</f>
        <v/>
      </c>
    </row>
    <row r="34" customFormat="false" ht="15" hidden="false" customHeight="false" outlineLevel="0" collapsed="false">
      <c r="C34" s="32" t="s">
        <v>27</v>
      </c>
      <c r="D34" s="24" t="s">
        <v>28</v>
      </c>
      <c r="F34" s="33" t="n">
        <f aca="false">IF(COUNT(F14:F33)=0,"",SUM(F14:F33))</f>
        <v>663</v>
      </c>
      <c r="G34" s="33" t="n">
        <f aca="false">IF(COUNT(G14:G33)=0,"",MIN(G14:G33))</f>
        <v>13</v>
      </c>
      <c r="I34" s="33" t="n">
        <f aca="false">IF(COUNT(I14:I33)=0,"",SUM(I14:I33))</f>
        <v>1683</v>
      </c>
      <c r="J34" s="33" t="n">
        <f aca="false">IF(COUNT(J14:J33)=0,"",SUM(J14:J33))</f>
        <v>1020</v>
      </c>
    </row>
    <row r="36" customFormat="false" ht="15" hidden="false" customHeight="false" outlineLevel="0" collapsed="false">
      <c r="B36" s="34" t="s">
        <v>29</v>
      </c>
    </row>
    <row r="37" customFormat="false" ht="15" hidden="false" customHeight="true" outlineLevel="0" collapsed="false">
      <c r="B37" s="25" t="s">
        <v>30</v>
      </c>
      <c r="C37" s="25" t="s">
        <v>19</v>
      </c>
      <c r="D37" s="25" t="s">
        <v>20</v>
      </c>
      <c r="E37" s="25" t="s">
        <v>31</v>
      </c>
      <c r="F37" s="25" t="s">
        <v>32</v>
      </c>
      <c r="G37" s="25" t="s">
        <v>33</v>
      </c>
      <c r="H37" s="25"/>
      <c r="I37" s="25"/>
      <c r="J37" s="25"/>
    </row>
    <row r="38" customFormat="false" ht="15" hidden="false" customHeight="false" outlineLevel="0" collapsed="false">
      <c r="B38" s="35" t="n">
        <f aca="false">IF(IFERROR(LARGE('Release Log'!$I$6:$I$4005,1),0)=0,"",IF(INDEX('Release Log'!$A:$A,IFERROR(LARGE('Release Log'!$I$6:$I$4005,1),0))="","",INDEX('Release Log'!$A:$A,IFERROR(LARGE('Release Log'!$I$6:$I$4005,1),0))))</f>
        <v>46297</v>
      </c>
      <c r="C38" s="36" t="str">
        <f aca="false">IF(IFERROR(LARGE('Release Log'!$I$6:$I$4005,1),0)=0,"",IF(INDEX('Release Log'!$C:$C,IFERROR(LARGE('Release Log'!$I$6:$I$4005,1),0))="","",INDEX('Release Log'!$C:$C,IFERROR(LARGE('Release Log'!$I$6:$I$4005,1),0))))</f>
        <v>92UAP04548BCA</v>
      </c>
      <c r="D38" s="37" t="str">
        <f aca="false">IF(IFERROR(LARGE('Release Log'!$I$6:$I$4005,1),0)=0,"",IF(INDEX('Release Log'!$G:$G,IFERROR(LARGE('Release Log'!$I$6:$I$4005,1),0))="","",INDEX('Release Log'!$G:$G,IFERROR(LARGE('Release Log'!$I$6:$I$4005,1),0))))</f>
        <v>R5B BOAT 3 ASSY (4P-4FP)</v>
      </c>
      <c r="E38" s="38" t="n">
        <f aca="false">IF(IFERROR(LARGE('Release Log'!$I$6:$I$4005,1),0)=0,"",IF(INDEX('Release Log'!$D:$D,IFERROR(LARGE('Release Log'!$I$6:$I$4005,1),0))="","",INDEX('Release Log'!$D:$D,IFERROR(LARGE('Release Log'!$I$6:$I$4005,1),0))))</f>
        <v>1</v>
      </c>
      <c r="F38" s="39" t="str">
        <f aca="false">IF(IFERROR(LARGE('Release Log'!$I$6:$I$4005,1),0)=0,"",IF(INDEX('Release Log'!$E:$E,IFERROR(LARGE('Release Log'!$I$6:$I$4005,1),0))="","",INDEX('Release Log'!$E:$E,IFERROR(LARGE('Release Log'!$I$6:$I$4005,1),0))))</f>
        <v/>
      </c>
      <c r="G38" s="36" t="str">
        <f aca="false">IF(IFERROR(LARGE('Release Log'!$I$6:$I$4005,1),0)=0,"",IF(INDEX('Release Log'!$F:$F,IFERROR(LARGE('Release Log'!$I$6:$I$4005,1),0))="","",INDEX('Release Log'!$F:$F,IFERROR(LARGE('Release Log'!$I$6:$I$4005,1),0))))</f>
        <v>Rep 13 (from COOIS)</v>
      </c>
      <c r="H38" s="36"/>
      <c r="I38" s="36"/>
      <c r="J38" s="36"/>
    </row>
    <row r="39" customFormat="false" ht="15" hidden="false" customHeight="false" outlineLevel="0" collapsed="false">
      <c r="B39" s="35" t="n">
        <f aca="false">IF(IFERROR(LARGE('Release Log'!$I$6:$I$4005,2),0)=0,"",IF(INDEX('Release Log'!$A:$A,IFERROR(LARGE('Release Log'!$I$6:$I$4005,2),0))="","",INDEX('Release Log'!$A:$A,IFERROR(LARGE('Release Log'!$I$6:$I$4005,2),0))))</f>
        <v>46297</v>
      </c>
      <c r="C39" s="36" t="str">
        <f aca="false">IF(IFERROR(LARGE('Release Log'!$I$6:$I$4005,2),0)=0,"",IF(INDEX('Release Log'!$C:$C,IFERROR(LARGE('Release Log'!$I$6:$I$4005,2),0))="","",INDEX('Release Log'!$C:$C,IFERROR(LARGE('Release Log'!$I$6:$I$4005,2),0))))</f>
        <v>92UAP04548BBA</v>
      </c>
      <c r="D39" s="37" t="str">
        <f aca="false">IF(IFERROR(LARGE('Release Log'!$I$6:$I$4005,2),0)=0,"",IF(INDEX('Release Log'!$G:$G,IFERROR(LARGE('Release Log'!$I$6:$I$4005,2),0))="","",INDEX('Release Log'!$G:$G,IFERROR(LARGE('Release Log'!$I$6:$I$4005,2),0))))</f>
        <v>R5B BOAT 2 ASSY (4P-4FP)</v>
      </c>
      <c r="E39" s="38" t="n">
        <f aca="false">IF(IFERROR(LARGE('Release Log'!$I$6:$I$4005,2),0)=0,"",IF(INDEX('Release Log'!$D:$D,IFERROR(LARGE('Release Log'!$I$6:$I$4005,2),0))="","",INDEX('Release Log'!$D:$D,IFERROR(LARGE('Release Log'!$I$6:$I$4005,2),0))))</f>
        <v>1</v>
      </c>
      <c r="F39" s="39" t="str">
        <f aca="false">IF(IFERROR(LARGE('Release Log'!$I$6:$I$4005,2),0)=0,"",IF(INDEX('Release Log'!$E:$E,IFERROR(LARGE('Release Log'!$I$6:$I$4005,2),0))="","",INDEX('Release Log'!$E:$E,IFERROR(LARGE('Release Log'!$I$6:$I$4005,2),0))))</f>
        <v/>
      </c>
      <c r="G39" s="36" t="str">
        <f aca="false">IF(IFERROR(LARGE('Release Log'!$I$6:$I$4005,2),0)=0,"",IF(INDEX('Release Log'!$F:$F,IFERROR(LARGE('Release Log'!$I$6:$I$4005,2),0))="","",INDEX('Release Log'!$F:$F,IFERROR(LARGE('Release Log'!$I$6:$I$4005,2),0))))</f>
        <v>Rep 13 (from COOIS)</v>
      </c>
      <c r="H39" s="36"/>
      <c r="I39" s="36"/>
      <c r="J39" s="36"/>
    </row>
    <row r="40" customFormat="false" ht="15" hidden="false" customHeight="false" outlineLevel="0" collapsed="false">
      <c r="B40" s="35" t="n">
        <f aca="false">IF(IFERROR(LARGE('Release Log'!$I$6:$I$4005,3),0)=0,"",IF(INDEX('Release Log'!$A:$A,IFERROR(LARGE('Release Log'!$I$6:$I$4005,3),0))="","",INDEX('Release Log'!$A:$A,IFERROR(LARGE('Release Log'!$I$6:$I$4005,3),0))))</f>
        <v>46297</v>
      </c>
      <c r="C40" s="36" t="str">
        <f aca="false">IF(IFERROR(LARGE('Release Log'!$I$6:$I$4005,3),0)=0,"",IF(INDEX('Release Log'!$C:$C,IFERROR(LARGE('Release Log'!$I$6:$I$4005,3),0))="","",INDEX('Release Log'!$C:$C,IFERROR(LARGE('Release Log'!$I$6:$I$4005,3),0))))</f>
        <v>92UAP04548BAA</v>
      </c>
      <c r="D40" s="37" t="str">
        <f aca="false">IF(IFERROR(LARGE('Release Log'!$I$6:$I$4005,3),0)=0,"",IF(INDEX('Release Log'!$G:$G,IFERROR(LARGE('Release Log'!$I$6:$I$4005,3),0))="","",INDEX('Release Log'!$G:$G,IFERROR(LARGE('Release Log'!$I$6:$I$4005,3),0))))</f>
        <v>R5B BOAT 1 ASSY (4P-4FP)</v>
      </c>
      <c r="E40" s="38" t="n">
        <f aca="false">IF(IFERROR(LARGE('Release Log'!$I$6:$I$4005,3),0)=0,"",IF(INDEX('Release Log'!$D:$D,IFERROR(LARGE('Release Log'!$I$6:$I$4005,3),0))="","",INDEX('Release Log'!$D:$D,IFERROR(LARGE('Release Log'!$I$6:$I$4005,3),0))))</f>
        <v>1</v>
      </c>
      <c r="F40" s="39" t="str">
        <f aca="false">IF(IFERROR(LARGE('Release Log'!$I$6:$I$4005,3),0)=0,"",IF(INDEX('Release Log'!$E:$E,IFERROR(LARGE('Release Log'!$I$6:$I$4005,3),0))="","",INDEX('Release Log'!$E:$E,IFERROR(LARGE('Release Log'!$I$6:$I$4005,3),0))))</f>
        <v/>
      </c>
      <c r="G40" s="36" t="str">
        <f aca="false">IF(IFERROR(LARGE('Release Log'!$I$6:$I$4005,3),0)=0,"",IF(INDEX('Release Log'!$F:$F,IFERROR(LARGE('Release Log'!$I$6:$I$4005,3),0))="","",INDEX('Release Log'!$F:$F,IFERROR(LARGE('Release Log'!$I$6:$I$4005,3),0))))</f>
        <v>Rep 13 (from COOIS)</v>
      </c>
      <c r="H40" s="36"/>
      <c r="I40" s="36"/>
      <c r="J40" s="36"/>
    </row>
    <row r="41" customFormat="false" ht="15" hidden="false" customHeight="false" outlineLevel="0" collapsed="false">
      <c r="B41" s="35" t="n">
        <f aca="false">IF(IFERROR(LARGE('Release Log'!$I$6:$I$4005,4),0)=0,"",IF(INDEX('Release Log'!$A:$A,IFERROR(LARGE('Release Log'!$I$6:$I$4005,4),0))="","",INDEX('Release Log'!$A:$A,IFERROR(LARGE('Release Log'!$I$6:$I$4005,4),0))))</f>
        <v>46297</v>
      </c>
      <c r="C41" s="36" t="str">
        <f aca="false">IF(IFERROR(LARGE('Release Log'!$I$6:$I$4005,4),0)=0,"",IF(INDEX('Release Log'!$C:$C,IFERROR(LARGE('Release Log'!$I$6:$I$4005,4),0))="","",INDEX('Release Log'!$C:$C,IFERROR(LARGE('Release Log'!$I$6:$I$4005,4),0))))</f>
        <v>92YRA04548AAA</v>
      </c>
      <c r="D41" s="37" t="str">
        <f aca="false">IF(IFERROR(LARGE('Release Log'!$I$6:$I$4005,4),0)=0,"",IF(INDEX('Release Log'!$G:$G,IFERROR(LARGE('Release Log'!$I$6:$I$4005,4),0))="","",INDEX('Release Log'!$G:$G,IFERROR(LARGE('Release Log'!$I$6:$I$4005,4),0))))</f>
        <v>R5B ERBIUM ASSEMBLY POSITION 4</v>
      </c>
      <c r="E41" s="38" t="n">
        <f aca="false">IF(IFERROR(LARGE('Release Log'!$I$6:$I$4005,4),0)=0,"",IF(INDEX('Release Log'!$D:$D,IFERROR(LARGE('Release Log'!$I$6:$I$4005,4),0))="","",INDEX('Release Log'!$D:$D,IFERROR(LARGE('Release Log'!$I$6:$I$4005,4),0))))</f>
        <v>3</v>
      </c>
      <c r="F41" s="39" t="str">
        <f aca="false">IF(IFERROR(LARGE('Release Log'!$I$6:$I$4005,4),0)=0,"",IF(INDEX('Release Log'!$E:$E,IFERROR(LARGE('Release Log'!$I$6:$I$4005,4),0))="","",INDEX('Release Log'!$E:$E,IFERROR(LARGE('Release Log'!$I$6:$I$4005,4),0))))</f>
        <v/>
      </c>
      <c r="G41" s="36" t="str">
        <f aca="false">IF(IFERROR(LARGE('Release Log'!$I$6:$I$4005,4),0)=0,"",IF(INDEX('Release Log'!$F:$F,IFERROR(LARGE('Release Log'!$I$6:$I$4005,4),0))="","",INDEX('Release Log'!$F:$F,IFERROR(LARGE('Release Log'!$I$6:$I$4005,4),0))))</f>
        <v>Rep 13 (from COOIS)</v>
      </c>
      <c r="H41" s="36"/>
      <c r="I41" s="36"/>
      <c r="J41" s="36"/>
    </row>
    <row r="42" customFormat="false" ht="15" hidden="false" customHeight="false" outlineLevel="0" collapsed="false">
      <c r="B42" s="35" t="n">
        <f aca="false">IF(IFERROR(LARGE('Release Log'!$I$6:$I$4005,5),0)=0,"",IF(INDEX('Release Log'!$A:$A,IFERROR(LARGE('Release Log'!$I$6:$I$4005,5),0))="","",INDEX('Release Log'!$A:$A,IFERROR(LARGE('Release Log'!$I$6:$I$4005,5),0))))</f>
        <v>46297</v>
      </c>
      <c r="C42" s="36" t="str">
        <f aca="false">IF(IFERROR(LARGE('Release Log'!$I$6:$I$4005,5),0)=0,"",IF(INDEX('Release Log'!$C:$C,IFERROR(LARGE('Release Log'!$I$6:$I$4005,5),0))="","",INDEX('Release Log'!$C:$C,IFERROR(LARGE('Release Log'!$I$6:$I$4005,5),0))))</f>
        <v>92YRA03548AAA</v>
      </c>
      <c r="D42" s="37" t="str">
        <f aca="false">IF(IFERROR(LARGE('Release Log'!$I$6:$I$4005,5),0)=0,"",IF(INDEX('Release Log'!$G:$G,IFERROR(LARGE('Release Log'!$I$6:$I$4005,5),0))="","",INDEX('Release Log'!$G:$G,IFERROR(LARGE('Release Log'!$I$6:$I$4005,5),0))))</f>
        <v>R5B ERBIUM ASSEMBLY POSITION 3</v>
      </c>
      <c r="E42" s="38" t="n">
        <f aca="false">IF(IFERROR(LARGE('Release Log'!$I$6:$I$4005,5),0)=0,"",IF(INDEX('Release Log'!$D:$D,IFERROR(LARGE('Release Log'!$I$6:$I$4005,5),0))="","",INDEX('Release Log'!$D:$D,IFERROR(LARGE('Release Log'!$I$6:$I$4005,5),0))))</f>
        <v>3</v>
      </c>
      <c r="F42" s="39" t="str">
        <f aca="false">IF(IFERROR(LARGE('Release Log'!$I$6:$I$4005,5),0)=0,"",IF(INDEX('Release Log'!$E:$E,IFERROR(LARGE('Release Log'!$I$6:$I$4005,5),0))="","",INDEX('Release Log'!$E:$E,IFERROR(LARGE('Release Log'!$I$6:$I$4005,5),0))))</f>
        <v/>
      </c>
      <c r="G42" s="36" t="str">
        <f aca="false">IF(IFERROR(LARGE('Release Log'!$I$6:$I$4005,5),0)=0,"",IF(INDEX('Release Log'!$F:$F,IFERROR(LARGE('Release Log'!$I$6:$I$4005,5),0))="","",INDEX('Release Log'!$F:$F,IFERROR(LARGE('Release Log'!$I$6:$I$4005,5),0))))</f>
        <v>Rep 13 (from COOIS)</v>
      </c>
      <c r="H42" s="36"/>
      <c r="I42" s="36"/>
      <c r="J42" s="36"/>
    </row>
    <row r="43" customFormat="false" ht="15" hidden="false" customHeight="false" outlineLevel="0" collapsed="false">
      <c r="B43" s="35" t="n">
        <f aca="false">IF(IFERROR(LARGE('Release Log'!$I$6:$I$4005,6),0)=0,"",IF(INDEX('Release Log'!$A:$A,IFERROR(LARGE('Release Log'!$I$6:$I$4005,6),0))="","",INDEX('Release Log'!$A:$A,IFERROR(LARGE('Release Log'!$I$6:$I$4005,6),0))))</f>
        <v>46297</v>
      </c>
      <c r="C43" s="36" t="str">
        <f aca="false">IF(IFERROR(LARGE('Release Log'!$I$6:$I$4005,6),0)=0,"",IF(INDEX('Release Log'!$C:$C,IFERROR(LARGE('Release Log'!$I$6:$I$4005,6),0))="","",INDEX('Release Log'!$C:$C,IFERROR(LARGE('Release Log'!$I$6:$I$4005,6),0))))</f>
        <v>92YRA02548AAA</v>
      </c>
      <c r="D43" s="37" t="str">
        <f aca="false">IF(IFERROR(LARGE('Release Log'!$I$6:$I$4005,6),0)=0,"",IF(INDEX('Release Log'!$G:$G,IFERROR(LARGE('Release Log'!$I$6:$I$4005,6),0))="","",INDEX('Release Log'!$G:$G,IFERROR(LARGE('Release Log'!$I$6:$I$4005,6),0))))</f>
        <v>R5B ERBIUM ASSEMBLY POSITION 2</v>
      </c>
      <c r="E43" s="38" t="n">
        <f aca="false">IF(IFERROR(LARGE('Release Log'!$I$6:$I$4005,6),0)=0,"",IF(INDEX('Release Log'!$D:$D,IFERROR(LARGE('Release Log'!$I$6:$I$4005,6),0))="","",INDEX('Release Log'!$D:$D,IFERROR(LARGE('Release Log'!$I$6:$I$4005,6),0))))</f>
        <v>3</v>
      </c>
      <c r="F43" s="39" t="str">
        <f aca="false">IF(IFERROR(LARGE('Release Log'!$I$6:$I$4005,6),0)=0,"",IF(INDEX('Release Log'!$E:$E,IFERROR(LARGE('Release Log'!$I$6:$I$4005,6),0))="","",INDEX('Release Log'!$E:$E,IFERROR(LARGE('Release Log'!$I$6:$I$4005,6),0))))</f>
        <v/>
      </c>
      <c r="G43" s="36" t="str">
        <f aca="false">IF(IFERROR(LARGE('Release Log'!$I$6:$I$4005,6),0)=0,"",IF(INDEX('Release Log'!$F:$F,IFERROR(LARGE('Release Log'!$I$6:$I$4005,6),0))="","",INDEX('Release Log'!$F:$F,IFERROR(LARGE('Release Log'!$I$6:$I$4005,6),0))))</f>
        <v>Rep 13 (from COOIS)</v>
      </c>
      <c r="H43" s="36"/>
      <c r="I43" s="36"/>
      <c r="J43" s="36"/>
    </row>
    <row r="44" customFormat="false" ht="15" hidden="false" customHeight="false" outlineLevel="0" collapsed="false">
      <c r="B44" s="35" t="n">
        <f aca="false">IF(IFERROR(LARGE('Release Log'!$I$6:$I$4005,7),0)=0,"",IF(INDEX('Release Log'!$A:$A,IFERROR(LARGE('Release Log'!$I$6:$I$4005,7),0))="","",INDEX('Release Log'!$A:$A,IFERROR(LARGE('Release Log'!$I$6:$I$4005,7),0))))</f>
        <v>46297</v>
      </c>
      <c r="C44" s="36" t="str">
        <f aca="false">IF(IFERROR(LARGE('Release Log'!$I$6:$I$4005,7),0)=0,"",IF(INDEX('Release Log'!$C:$C,IFERROR(LARGE('Release Log'!$I$6:$I$4005,7),0))="","",INDEX('Release Log'!$C:$C,IFERROR(LARGE('Release Log'!$I$6:$I$4005,7),0))))</f>
        <v>92YRA01548AAA</v>
      </c>
      <c r="D44" s="37" t="str">
        <f aca="false">IF(IFERROR(LARGE('Release Log'!$I$6:$I$4005,7),0)=0,"",IF(INDEX('Release Log'!$G:$G,IFERROR(LARGE('Release Log'!$I$6:$I$4005,7),0))="","",INDEX('Release Log'!$G:$G,IFERROR(LARGE('Release Log'!$I$6:$I$4005,7),0))))</f>
        <v>R5B ERBIUM ASSEMBLY POSITION 1</v>
      </c>
      <c r="E44" s="38" t="n">
        <f aca="false">IF(IFERROR(LARGE('Release Log'!$I$6:$I$4005,7),0)=0,"",IF(INDEX('Release Log'!$D:$D,IFERROR(LARGE('Release Log'!$I$6:$I$4005,7),0))="","",INDEX('Release Log'!$D:$D,IFERROR(LARGE('Release Log'!$I$6:$I$4005,7),0))))</f>
        <v>3</v>
      </c>
      <c r="F44" s="39" t="str">
        <f aca="false">IF(IFERROR(LARGE('Release Log'!$I$6:$I$4005,7),0)=0,"",IF(INDEX('Release Log'!$E:$E,IFERROR(LARGE('Release Log'!$I$6:$I$4005,7),0))="","",INDEX('Release Log'!$E:$E,IFERROR(LARGE('Release Log'!$I$6:$I$4005,7),0))))</f>
        <v/>
      </c>
      <c r="G44" s="36" t="str">
        <f aca="false">IF(IFERROR(LARGE('Release Log'!$I$6:$I$4005,7),0)=0,"",IF(INDEX('Release Log'!$F:$F,IFERROR(LARGE('Release Log'!$I$6:$I$4005,7),0))="","",INDEX('Release Log'!$F:$F,IFERROR(LARGE('Release Log'!$I$6:$I$4005,7),0))))</f>
        <v>Rep 13 (from COOIS)</v>
      </c>
      <c r="H44" s="36"/>
      <c r="I44" s="36"/>
      <c r="J44" s="36"/>
    </row>
    <row r="45" customFormat="false" ht="15" hidden="false" customHeight="false" outlineLevel="0" collapsed="false">
      <c r="B45" s="35" t="n">
        <f aca="false">IF(IFERROR(LARGE('Release Log'!$I$6:$I$4005,8),0)=0,"",IF(INDEX('Release Log'!$A:$A,IFERROR(LARGE('Release Log'!$I$6:$I$4005,8),0))="","",INDEX('Release Log'!$A:$A,IFERROR(LARGE('Release Log'!$I$6:$I$4005,8),0))))</f>
        <v>46297</v>
      </c>
      <c r="C45" s="36" t="str">
        <f aca="false">IF(IFERROR(LARGE('Release Log'!$I$6:$I$4005,8),0)=0,"",IF(INDEX('Release Log'!$C:$C,IFERROR(LARGE('Release Log'!$I$6:$I$4005,8),0))="","",INDEX('Release Log'!$C:$C,IFERROR(LARGE('Release Log'!$I$6:$I$4005,8),0))))</f>
        <v>92RRA00548AAA</v>
      </c>
      <c r="D45" s="37" t="str">
        <f aca="false">IF(IFERROR(LARGE('Release Log'!$I$6:$I$4005,8),0)=0,"",IF(INDEX('Release Log'!$G:$G,IFERROR(LARGE('Release Log'!$I$6:$I$4005,8),0))="","",INDEX('Release Log'!$G:$G,IFERROR(LARGE('Release Log'!$I$6:$I$4005,8),0))))</f>
        <v>R5B ERBIUM SPOOL ASSEMBLY - E2A</v>
      </c>
      <c r="E45" s="38" t="n">
        <f aca="false">IF(IFERROR(LARGE('Release Log'!$I$6:$I$4005,8),0)=0,"",IF(INDEX('Release Log'!$D:$D,IFERROR(LARGE('Release Log'!$I$6:$I$4005,8),0))="","",INDEX('Release Log'!$D:$D,IFERROR(LARGE('Release Log'!$I$6:$I$4005,8),0))))</f>
        <v>24</v>
      </c>
      <c r="F45" s="39" t="str">
        <f aca="false">IF(IFERROR(LARGE('Release Log'!$I$6:$I$4005,8),0)=0,"",IF(INDEX('Release Log'!$E:$E,IFERROR(LARGE('Release Log'!$I$6:$I$4005,8),0))="","",INDEX('Release Log'!$E:$E,IFERROR(LARGE('Release Log'!$I$6:$I$4005,8),0))))</f>
        <v/>
      </c>
      <c r="G45" s="36" t="str">
        <f aca="false">IF(IFERROR(LARGE('Release Log'!$I$6:$I$4005,8),0)=0,"",IF(INDEX('Release Log'!$F:$F,IFERROR(LARGE('Release Log'!$I$6:$I$4005,8),0))="","",INDEX('Release Log'!$F:$F,IFERROR(LARGE('Release Log'!$I$6:$I$4005,8),0))))</f>
        <v>Rep 13 (from COOIS)</v>
      </c>
      <c r="H45" s="36"/>
      <c r="I45" s="36"/>
      <c r="J45" s="36"/>
    </row>
  </sheetData>
  <mergeCells count="27">
    <mergeCell ref="D3:F3"/>
    <mergeCell ref="B6:C6"/>
    <mergeCell ref="E6:G6"/>
    <mergeCell ref="H6:J6"/>
    <mergeCell ref="L6:N6"/>
    <mergeCell ref="O6:Q6"/>
    <mergeCell ref="B7:C7"/>
    <mergeCell ref="E7:G7"/>
    <mergeCell ref="H7:J7"/>
    <mergeCell ref="L7:N7"/>
    <mergeCell ref="O7:Q7"/>
    <mergeCell ref="B8:C8"/>
    <mergeCell ref="E8:G8"/>
    <mergeCell ref="H8:J8"/>
    <mergeCell ref="L8:N8"/>
    <mergeCell ref="O8:Q8"/>
    <mergeCell ref="D10:J10"/>
    <mergeCell ref="F12:H12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</mergeCells>
  <conditionalFormatting sqref="H7">
    <cfRule type="expression" priority="2" aboveAverage="0" equalAverage="0" bottom="0" percent="0" rank="0" text="" dxfId="0">
      <formula>LEFT($H$7,1)="+"</formula>
    </cfRule>
    <cfRule type="expression" priority="3" aboveAverage="0" equalAverage="0" bottom="0" percent="0" rank="0" text="" dxfId="1">
      <formula>LEFT($H$7,1)="-"</formula>
    </cfRule>
  </conditionalFormatting>
  <conditionalFormatting sqref="D10">
    <cfRule type="dataBar" priority="4">
      <dataBar showValue="1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{3D5031B0-1262-499B-92E6-E6B283DBD0B9}</x14:id>
        </ext>
      </extLst>
    </cfRule>
  </conditionalFormatting>
  <conditionalFormatting sqref="G14:G33">
    <cfRule type="expression" priority="5" aboveAverage="0" equalAverage="0" bottom="0" percent="0" rank="0" text="" dxfId="2">
      <formula>AND($C14&lt;&gt;"",$G14=MIN($G$14:$G$33),MAX($G$14:$G$33)&gt;MIN($G$14:$G$33))</formula>
    </cfRule>
  </conditionalFormatting>
  <conditionalFormatting sqref="J14:J33">
    <cfRule type="expression" priority="6" aboveAverage="0" equalAverage="0" bottom="0" percent="0" rank="0" text="" dxfId="3">
      <formula>AND($C14&lt;&gt;"",$J14&gt;0)</formula>
    </cfRule>
    <cfRule type="expression" priority="7" aboveAverage="0" equalAverage="0" bottom="0" percent="0" rank="0" text="" dxfId="4">
      <formula>AND($C14&lt;&gt;"",$J14=0)</formula>
    </cfRule>
  </conditionalFormatting>
  <conditionalFormatting sqref="B14:B33">
    <cfRule type="expression" priority="8" aboveAverage="0" equalAverage="0" bottom="0" percent="0" rank="0" text="" dxfId="5">
      <formula>$B14=$B13</formula>
    </cfRule>
  </conditionalFormatting>
  <conditionalFormatting sqref="B14:J33">
    <cfRule type="expression" priority="9" aboveAverage="0" equalAverage="0" bottom="0" percent="0" rank="0" text="" dxfId="6">
      <formula>$C14&lt;&gt;""</formula>
    </cfRule>
  </conditionalFormatting>
  <dataValidations count="1">
    <dataValidation allowBlank="false" errorStyle="stop" operator="between" showDropDown="false" showErrorMessage="false" showInputMessage="false" sqref="D3" type="list">
      <formula1>Contracts!$A$6:$A$65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5031B0-1262-499B-92E6-E6B283DBD0B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D10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7" min="6" style="0" width="10"/>
    <col collapsed="false" customWidth="true" hidden="false" outlineLevel="0" max="8" min="8" style="0" width="16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6" hidden="false" customHeight="true" outlineLevel="0" collapsed="false">
      <c r="B2" s="40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11" t="str">
        <f aca="false">"As of "&amp;TEXT(Dashboard!$Q$3,"dd-mmm-yy")&amp;"  ·  week "&amp;_xlfn.ISOWEEKNUM(Dashboard!$Q$3)&amp;"  ·  "&amp;COUNTA(Contracts!$A$6:$A$65)&amp;" contracts"</f>
        <v>As of 05-Oct-26  ·  week 41  ·  12 contracts</v>
      </c>
      <c r="C3" s="1"/>
      <c r="D3" s="1"/>
      <c r="E3" s="1"/>
      <c r="F3" s="1"/>
      <c r="G3" s="1"/>
      <c r="H3" s="1"/>
      <c r="I3" s="1"/>
      <c r="J3" s="1"/>
      <c r="K3" s="1"/>
      <c r="L3" s="1"/>
    </row>
    <row r="5" customFormat="false" ht="27.75" hidden="false" customHeight="true" outlineLevel="0" collapsed="false">
      <c r="B5" s="25" t="s">
        <v>35</v>
      </c>
      <c r="C5" s="25" t="s">
        <v>36</v>
      </c>
      <c r="D5" s="25" t="s">
        <v>37</v>
      </c>
      <c r="E5" s="25" t="s">
        <v>38</v>
      </c>
      <c r="F5" s="25" t="s">
        <v>39</v>
      </c>
      <c r="G5" s="25" t="s">
        <v>40</v>
      </c>
      <c r="H5" s="25" t="s">
        <v>41</v>
      </c>
      <c r="I5" s="25" t="s">
        <v>42</v>
      </c>
      <c r="J5" s="25" t="s">
        <v>43</v>
      </c>
      <c r="K5" s="25" t="s">
        <v>44</v>
      </c>
      <c r="L5" s="25" t="s">
        <v>45</v>
      </c>
    </row>
    <row r="6" customFormat="false" ht="19.5" hidden="false" customHeight="true" outlineLevel="0" collapsed="false">
      <c r="B6" s="27" t="str">
        <f aca="false">IF(Contracts!$A$6="","",IF(Contracts!A6="","–",Contracts!A6))</f>
        <v>WKE-R24P-T1-C</v>
      </c>
      <c r="C6" s="26" t="str">
        <f aca="false">IF(Contracts!$A$6="","",IF(Contracts!B6="","–",Contracts!B6))</f>
        <v>Wamkelekile</v>
      </c>
      <c r="D6" s="26" t="str">
        <f aca="false">IF(Contracts!$A$6="","",IF(Contracts!C6="","–",Contracts!C6))</f>
        <v>92ERP24543A++</v>
      </c>
      <c r="E6" s="29" t="n">
        <f aca="false">IF(Contracts!$A$6="","",IF(Contracts!D6="","–",Contracts!D6))</f>
        <v>24</v>
      </c>
      <c r="F6" s="29" t="n">
        <f aca="false">IF(Contracts!$A$6="","",IF(Contracts!F6="","–",Contracts!F6))</f>
        <v>255</v>
      </c>
      <c r="G6" s="41" t="n">
        <f aca="false">IF(Contracts!$A$6="","",IF(Contracts!I6="","–",Contracts!I6))</f>
        <v>0</v>
      </c>
      <c r="H6" s="42" t="n">
        <f aca="false">IF(Contracts!$A$6="","",IF(Contracts!N6="","–",Contracts!N6))</f>
        <v>0</v>
      </c>
      <c r="I6" s="43" t="n">
        <f aca="false">IF(Contracts!$A$6="","",IF(Contracts!J6="","–",Contracts!J6))</f>
        <v>0</v>
      </c>
      <c r="J6" s="29" t="n">
        <f aca="false">IF(Contracts!$A$6="","",IF(Contracts!K6="","–",Contracts!K6))</f>
        <v>0</v>
      </c>
      <c r="K6" s="29" t="n">
        <f aca="false">IF(Contracts!$A$6="","",IF(Contracts!L6="","–",Contracts!L6))</f>
        <v>0</v>
      </c>
      <c r="L6" s="44" t="str">
        <f aca="false">IF(Contracts!$A$6="","",IF(Contracts!O6="","–",Contracts!O6))</f>
        <v>ON PLAN</v>
      </c>
    </row>
    <row r="7" customFormat="false" ht="19.5" hidden="false" customHeight="true" outlineLevel="0" collapsed="false">
      <c r="B7" s="27" t="str">
        <f aca="false">IF(Contracts!$A$7="","",IF(Contracts!A7="","–",Contracts!A7))</f>
        <v>WBA-R24P-T1-C</v>
      </c>
      <c r="C7" s="26" t="str">
        <f aca="false">IF(Contracts!$A$7="","",IF(Contracts!B7="","–",Contracts!B7))</f>
        <v>Waban</v>
      </c>
      <c r="D7" s="26" t="str">
        <f aca="false">IF(Contracts!$A$7="","",IF(Contracts!C7="","–",Contracts!C7))</f>
        <v>92ERP24545A++</v>
      </c>
      <c r="E7" s="29" t="n">
        <f aca="false">IF(Contracts!$A$7="","",IF(Contracts!D7="","–",Contracts!D7))</f>
        <v>24</v>
      </c>
      <c r="F7" s="29" t="n">
        <f aca="false">IF(Contracts!$A$7="","",IF(Contracts!F7="","–",Contracts!F7))</f>
        <v>200</v>
      </c>
      <c r="G7" s="41" t="str">
        <f aca="false">IF(Contracts!$A$7="","",IF(Contracts!I7="","–",Contracts!I7))</f>
        <v>–</v>
      </c>
      <c r="H7" s="42" t="str">
        <f aca="false">IF(Contracts!$A$7="","",IF(Contracts!N7="","–",Contracts!N7))</f>
        <v>–</v>
      </c>
      <c r="I7" s="43" t="str">
        <f aca="false">IF(Contracts!$A$7="","",IF(Contracts!J7="","–",Contracts!J7))</f>
        <v>–</v>
      </c>
      <c r="J7" s="29" t="n">
        <f aca="false">IF(Contracts!$A$7="","",IF(Contracts!K7="","–",Contracts!K7))</f>
        <v>0</v>
      </c>
      <c r="K7" s="29" t="str">
        <f aca="false">IF(Contracts!$A$7="","",IF(Contracts!L7="","–",Contracts!L7))</f>
        <v>–</v>
      </c>
      <c r="L7" s="44" t="str">
        <f aca="false">IF(Contracts!$A$7="","",IF(Contracts!O7="","–",Contracts!O7))</f>
        <v>NO KIT LIST</v>
      </c>
    </row>
    <row r="8" customFormat="false" ht="19.5" hidden="false" customHeight="true" outlineLevel="0" collapsed="false">
      <c r="B8" s="27" t="str">
        <f aca="false">IF(Contracts!$A$8="","",IF(Contracts!A8="","–",Contracts!A8))</f>
        <v>E2A-R4P-T1-C</v>
      </c>
      <c r="C8" s="26" t="str">
        <f aca="false">IF(Contracts!$A$8="","",IF(Contracts!B8="","–",Contracts!B8))</f>
        <v>E2A</v>
      </c>
      <c r="D8" s="26" t="str">
        <f aca="false">IF(Contracts!$A$8="","",IF(Contracts!C8="","–",Contracts!C8))</f>
        <v>92ERP04548A++</v>
      </c>
      <c r="E8" s="29" t="n">
        <f aca="false">IF(Contracts!$A$8="","",IF(Contracts!D8="","–",Contracts!D8))</f>
        <v>4</v>
      </c>
      <c r="F8" s="29" t="n">
        <f aca="false">IF(Contracts!$A$8="","",IF(Contracts!F8="","–",Contracts!F8))</f>
        <v>39</v>
      </c>
      <c r="G8" s="41" t="str">
        <f aca="false">IF(Contracts!$A$8="","",IF(Contracts!I8="","–",Contracts!I8))</f>
        <v>–</v>
      </c>
      <c r="H8" s="42" t="str">
        <f aca="false">IF(Contracts!$A$8="","",IF(Contracts!N8="","–",Contracts!N8))</f>
        <v>–</v>
      </c>
      <c r="I8" s="43" t="str">
        <f aca="false">IF(Contracts!$A$8="","",IF(Contracts!J8="","–",Contracts!J8))</f>
        <v>–</v>
      </c>
      <c r="J8" s="29" t="n">
        <f aca="false">IF(Contracts!$A$8="","",IF(Contracts!K8="","–",Contracts!K8))</f>
        <v>0</v>
      </c>
      <c r="K8" s="29" t="str">
        <f aca="false">IF(Contracts!$A$8="","",IF(Contracts!L8="","–",Contracts!L8))</f>
        <v>–</v>
      </c>
      <c r="L8" s="44" t="str">
        <f aca="false">IF(Contracts!$A$8="","",IF(Contracts!O8="","–",Contracts!O8))</f>
        <v>NO KIT LIST</v>
      </c>
    </row>
    <row r="9" customFormat="false" ht="19.5" hidden="false" customHeight="true" outlineLevel="0" collapsed="false">
      <c r="B9" s="27" t="str">
        <f aca="false">IF(Contracts!$A$9="","",IF(Contracts!A9="","–",Contracts!A9))</f>
        <v>E2A-R4P-T2-M</v>
      </c>
      <c r="C9" s="26" t="str">
        <f aca="false">IF(Contracts!$A$9="","",IF(Contracts!B9="","–",Contracts!B9))</f>
        <v>E2A</v>
      </c>
      <c r="D9" s="26" t="str">
        <f aca="false">IF(Contracts!$A$9="","",IF(Contracts!C9="","–",Contracts!C9))</f>
        <v>92ERP04548B++</v>
      </c>
      <c r="E9" s="29" t="n">
        <f aca="false">IF(Contracts!$A$9="","",IF(Contracts!D9="","–",Contracts!D9))</f>
        <v>4</v>
      </c>
      <c r="F9" s="29" t="n">
        <f aca="false">IF(Contracts!$A$9="","",IF(Contracts!F9="","–",Contracts!F9))</f>
        <v>11</v>
      </c>
      <c r="G9" s="41" t="str">
        <f aca="false">IF(Contracts!$A$9="","",IF(Contracts!I9="","–",Contracts!I9))</f>
        <v>–</v>
      </c>
      <c r="H9" s="42" t="str">
        <f aca="false">IF(Contracts!$A$9="","",IF(Contracts!N9="","–",Contracts!N9))</f>
        <v>–</v>
      </c>
      <c r="I9" s="43" t="str">
        <f aca="false">IF(Contracts!$A$9="","",IF(Contracts!J9="","–",Contracts!J9))</f>
        <v>–</v>
      </c>
      <c r="J9" s="29" t="n">
        <f aca="false">IF(Contracts!$A$9="","",IF(Contracts!K9="","–",Contracts!K9))</f>
        <v>0</v>
      </c>
      <c r="K9" s="29" t="str">
        <f aca="false">IF(Contracts!$A$9="","",IF(Contracts!L9="","–",Contracts!L9))</f>
        <v>–</v>
      </c>
      <c r="L9" s="44" t="str">
        <f aca="false">IF(Contracts!$A$9="","",IF(Contracts!O9="","–",Contracts!O9))</f>
        <v>NO KIT LIST</v>
      </c>
    </row>
    <row r="10" customFormat="false" ht="19.5" hidden="false" customHeight="true" outlineLevel="0" collapsed="false">
      <c r="B10" s="27" t="str">
        <f aca="false">IF(Contracts!$A$10="","",IF(Contracts!A10="","–",Contracts!A10))</f>
        <v>E2A-R6P-T3-M</v>
      </c>
      <c r="C10" s="26" t="str">
        <f aca="false">IF(Contracts!$A$10="","",IF(Contracts!B10="","–",Contracts!B10))</f>
        <v>E2A</v>
      </c>
      <c r="D10" s="26" t="str">
        <f aca="false">IF(Contracts!$A$10="","",IF(Contracts!C10="","–",Contracts!C10))</f>
        <v>92ERP06548A++</v>
      </c>
      <c r="E10" s="29" t="n">
        <f aca="false">IF(Contracts!$A$10="","",IF(Contracts!D10="","–",Contracts!D10))</f>
        <v>6</v>
      </c>
      <c r="F10" s="29" t="n">
        <f aca="false">IF(Contracts!$A$10="","",IF(Contracts!F10="","–",Contracts!F10))</f>
        <v>3</v>
      </c>
      <c r="G10" s="41" t="str">
        <f aca="false">IF(Contracts!$A$10="","",IF(Contracts!I10="","–",Contracts!I10))</f>
        <v>–</v>
      </c>
      <c r="H10" s="42" t="str">
        <f aca="false">IF(Contracts!$A$10="","",IF(Contracts!N10="","–",Contracts!N10))</f>
        <v>–</v>
      </c>
      <c r="I10" s="43" t="str">
        <f aca="false">IF(Contracts!$A$10="","",IF(Contracts!J10="","–",Contracts!J10))</f>
        <v>–</v>
      </c>
      <c r="J10" s="29" t="n">
        <f aca="false">IF(Contracts!$A$10="","",IF(Contracts!K10="","–",Contracts!K10))</f>
        <v>0</v>
      </c>
      <c r="K10" s="29" t="str">
        <f aca="false">IF(Contracts!$A$10="","",IF(Contracts!L10="","–",Contracts!L10))</f>
        <v>–</v>
      </c>
      <c r="L10" s="44" t="str">
        <f aca="false">IF(Contracts!$A$10="","",IF(Contracts!O10="","–",Contracts!O10))</f>
        <v>NO KIT LIST</v>
      </c>
    </row>
    <row r="11" customFormat="false" ht="19.5" hidden="false" customHeight="true" outlineLevel="0" collapsed="false">
      <c r="B11" s="27" t="str">
        <f aca="false">IF(Contracts!$A$11="","",IF(Contracts!A11="","–",Contracts!A11))</f>
        <v>E2A-R8P-T4-C</v>
      </c>
      <c r="C11" s="26" t="str">
        <f aca="false">IF(Contracts!$A$11="","",IF(Contracts!B11="","–",Contracts!B11))</f>
        <v>E2A</v>
      </c>
      <c r="D11" s="26" t="str">
        <f aca="false">IF(Contracts!$A$11="","",IF(Contracts!C11="","–",Contracts!C11))</f>
        <v>92ERP08548A++</v>
      </c>
      <c r="E11" s="29" t="n">
        <f aca="false">IF(Contracts!$A$11="","",IF(Contracts!D11="","–",Contracts!D11))</f>
        <v>8</v>
      </c>
      <c r="F11" s="29" t="n">
        <f aca="false">IF(Contracts!$A$11="","",IF(Contracts!F11="","–",Contracts!F11))</f>
        <v>10</v>
      </c>
      <c r="G11" s="41" t="str">
        <f aca="false">IF(Contracts!$A$11="","",IF(Contracts!I11="","–",Contracts!I11))</f>
        <v>–</v>
      </c>
      <c r="H11" s="42" t="str">
        <f aca="false">IF(Contracts!$A$11="","",IF(Contracts!N11="","–",Contracts!N11))</f>
        <v>–</v>
      </c>
      <c r="I11" s="43" t="str">
        <f aca="false">IF(Contracts!$A$11="","",IF(Contracts!J11="","–",Contracts!J11))</f>
        <v>–</v>
      </c>
      <c r="J11" s="29" t="n">
        <f aca="false">IF(Contracts!$A$11="","",IF(Contracts!K11="","–",Contracts!K11))</f>
        <v>0</v>
      </c>
      <c r="K11" s="29" t="str">
        <f aca="false">IF(Contracts!$A$11="","",IF(Contracts!L11="","–",Contracts!L11))</f>
        <v>–</v>
      </c>
      <c r="L11" s="44" t="str">
        <f aca="false">IF(Contracts!$A$11="","",IF(Contracts!O11="","–",Contracts!O11))</f>
        <v>NO KIT LIST</v>
      </c>
    </row>
    <row r="12" customFormat="false" ht="19.5" hidden="false" customHeight="true" outlineLevel="0" collapsed="false">
      <c r="B12" s="27" t="str">
        <f aca="false">IF(Contracts!$A$12="","",IF(Contracts!A12="","–",Contracts!A12))</f>
        <v>E2A-R12P-T5-C</v>
      </c>
      <c r="C12" s="26" t="str">
        <f aca="false">IF(Contracts!$A$12="","",IF(Contracts!B12="","–",Contracts!B12))</f>
        <v>E2A</v>
      </c>
      <c r="D12" s="26" t="str">
        <f aca="false">IF(Contracts!$A$12="","",IF(Contracts!C12="","–",Contracts!C12))</f>
        <v>92ERP12548A++</v>
      </c>
      <c r="E12" s="29" t="n">
        <f aca="false">IF(Contracts!$A$12="","",IF(Contracts!D12="","–",Contracts!D12))</f>
        <v>12</v>
      </c>
      <c r="F12" s="29" t="n">
        <f aca="false">IF(Contracts!$A$12="","",IF(Contracts!F12="","–",Contracts!F12))</f>
        <v>109</v>
      </c>
      <c r="G12" s="41" t="n">
        <f aca="false">IF(Contracts!$A$12="","",IF(Contracts!I12="","–",Contracts!I12))</f>
        <v>13</v>
      </c>
      <c r="H12" s="42" t="n">
        <f aca="false">IF(Contracts!$A$12="","",IF(Contracts!N12="","–",Contracts!N12))</f>
        <v>0.119266055045872</v>
      </c>
      <c r="I12" s="43" t="n">
        <f aca="false">IF(Contracts!$A$12="","",IF(Contracts!J12="","–",Contracts!J12))</f>
        <v>156</v>
      </c>
      <c r="J12" s="29" t="n">
        <f aca="false">IF(Contracts!$A$12="","",IF(Contracts!K12="","–",Contracts!K12))</f>
        <v>31</v>
      </c>
      <c r="K12" s="29" t="n">
        <f aca="false">IF(Contracts!$A$12="","",IF(Contracts!L12="","–",Contracts!L12))</f>
        <v>-18</v>
      </c>
      <c r="L12" s="44" t="str">
        <f aca="false">IF(Contracts!$A$12="","",IF(Contracts!O12="","–",Contracts!O12))</f>
        <v>BEHIND -18</v>
      </c>
    </row>
    <row r="13" customFormat="false" ht="19.5" hidden="false" customHeight="true" outlineLevel="0" collapsed="false">
      <c r="B13" s="27" t="str">
        <f aca="false">IF(Contracts!$A$13="","",IF(Contracts!A13="","–",Contracts!A13))</f>
        <v>E2A-R12P-T6-C</v>
      </c>
      <c r="C13" s="26" t="str">
        <f aca="false">IF(Contracts!$A$13="","",IF(Contracts!B13="","–",Contracts!B13))</f>
        <v>E2A</v>
      </c>
      <c r="D13" s="26" t="str">
        <f aca="false">IF(Contracts!$A$13="","",IF(Contracts!C13="","–",Contracts!C13))</f>
        <v>92ERP12548B++</v>
      </c>
      <c r="E13" s="29" t="n">
        <f aca="false">IF(Contracts!$A$13="","",IF(Contracts!D13="","–",Contracts!D13))</f>
        <v>12</v>
      </c>
      <c r="F13" s="29" t="n">
        <f aca="false">IF(Contracts!$A$13="","",IF(Contracts!F13="","–",Contracts!F13))</f>
        <v>5</v>
      </c>
      <c r="G13" s="41" t="str">
        <f aca="false">IF(Contracts!$A$13="","",IF(Contracts!I13="","–",Contracts!I13))</f>
        <v>–</v>
      </c>
      <c r="H13" s="42" t="str">
        <f aca="false">IF(Contracts!$A$13="","",IF(Contracts!N13="","–",Contracts!N13))</f>
        <v>–</v>
      </c>
      <c r="I13" s="43" t="str">
        <f aca="false">IF(Contracts!$A$13="","",IF(Contracts!J13="","–",Contracts!J13))</f>
        <v>–</v>
      </c>
      <c r="J13" s="29" t="n">
        <f aca="false">IF(Contracts!$A$13="","",IF(Contracts!K13="","–",Contracts!K13))</f>
        <v>0</v>
      </c>
      <c r="K13" s="29" t="str">
        <f aca="false">IF(Contracts!$A$13="","",IF(Contracts!L13="","–",Contracts!L13))</f>
        <v>–</v>
      </c>
      <c r="L13" s="44" t="str">
        <f aca="false">IF(Contracts!$A$13="","",IF(Contracts!O13="","–",Contracts!O13))</f>
        <v>NO KIT LIST</v>
      </c>
    </row>
    <row r="14" customFormat="false" ht="19.5" hidden="false" customHeight="true" outlineLevel="0" collapsed="false">
      <c r="B14" s="27" t="str">
        <f aca="false">IF(Contracts!$A$14="","",IF(Contracts!A14="","–",Contracts!A14))</f>
        <v>E2A-R16P-T7-C</v>
      </c>
      <c r="C14" s="26" t="str">
        <f aca="false">IF(Contracts!$A$14="","",IF(Contracts!B14="","–",Contracts!B14))</f>
        <v>E2A</v>
      </c>
      <c r="D14" s="26" t="str">
        <f aca="false">IF(Contracts!$A$14="","",IF(Contracts!C14="","–",Contracts!C14))</f>
        <v>92ERP16548A++</v>
      </c>
      <c r="E14" s="29" t="n">
        <f aca="false">IF(Contracts!$A$14="","",IF(Contracts!D14="","–",Contracts!D14))</f>
        <v>16</v>
      </c>
      <c r="F14" s="29" t="n">
        <f aca="false">IF(Contracts!$A$14="","",IF(Contracts!F14="","–",Contracts!F14))</f>
        <v>9</v>
      </c>
      <c r="G14" s="41" t="str">
        <f aca="false">IF(Contracts!$A$14="","",IF(Contracts!I14="","–",Contracts!I14))</f>
        <v>–</v>
      </c>
      <c r="H14" s="42" t="str">
        <f aca="false">IF(Contracts!$A$14="","",IF(Contracts!N14="","–",Contracts!N14))</f>
        <v>–</v>
      </c>
      <c r="I14" s="43" t="str">
        <f aca="false">IF(Contracts!$A$14="","",IF(Contracts!J14="","–",Contracts!J14))</f>
        <v>–</v>
      </c>
      <c r="J14" s="29" t="n">
        <f aca="false">IF(Contracts!$A$14="","",IF(Contracts!K14="","–",Contracts!K14))</f>
        <v>0</v>
      </c>
      <c r="K14" s="29" t="str">
        <f aca="false">IF(Contracts!$A$14="","",IF(Contracts!L14="","–",Contracts!L14))</f>
        <v>–</v>
      </c>
      <c r="L14" s="44" t="str">
        <f aca="false">IF(Contracts!$A$14="","",IF(Contracts!O14="","–",Contracts!O14))</f>
        <v>NO KIT LIST</v>
      </c>
    </row>
    <row r="15" customFormat="false" ht="19.5" hidden="false" customHeight="true" outlineLevel="0" collapsed="false">
      <c r="B15" s="27" t="str">
        <f aca="false">IF(Contracts!$A$15="","",IF(Contracts!A15="","–",Contracts!A15))</f>
        <v>DARAJA-R8P (TBC)</v>
      </c>
      <c r="C15" s="26" t="str">
        <f aca="false">IF(Contracts!$A$15="","",IF(Contracts!B15="","–",Contracts!B15))</f>
        <v>Daraja Ext to SA</v>
      </c>
      <c r="D15" s="26" t="str">
        <f aca="false">IF(Contracts!$A$15="","",IF(Contracts!C15="","–",Contracts!C15))</f>
        <v>Not yet released</v>
      </c>
      <c r="E15" s="29" t="n">
        <f aca="false">IF(Contracts!$A$15="","",IF(Contracts!D15="","–",Contracts!D15))</f>
        <v>8</v>
      </c>
      <c r="F15" s="29" t="n">
        <f aca="false">IF(Contracts!$A$15="","",IF(Contracts!F15="","–",Contracts!F15))</f>
        <v>10</v>
      </c>
      <c r="G15" s="41" t="str">
        <f aca="false">IF(Contracts!$A$15="","",IF(Contracts!I15="","–",Contracts!I15))</f>
        <v>–</v>
      </c>
      <c r="H15" s="42" t="str">
        <f aca="false">IF(Contracts!$A$15="","",IF(Contracts!N15="","–",Contracts!N15))</f>
        <v>–</v>
      </c>
      <c r="I15" s="43" t="str">
        <f aca="false">IF(Contracts!$A$15="","",IF(Contracts!J15="","–",Contracts!J15))</f>
        <v>–</v>
      </c>
      <c r="J15" s="29" t="n">
        <f aca="false">IF(Contracts!$A$15="","",IF(Contracts!K15="","–",Contracts!K15))</f>
        <v>0</v>
      </c>
      <c r="K15" s="29" t="str">
        <f aca="false">IF(Contracts!$A$15="","",IF(Contracts!L15="","–",Contracts!L15))</f>
        <v>–</v>
      </c>
      <c r="L15" s="44" t="str">
        <f aca="false">IF(Contracts!$A$15="","",IF(Contracts!O15="","–",Contracts!O15))</f>
        <v>NO KIT LIST</v>
      </c>
    </row>
    <row r="16" customFormat="false" ht="19.5" hidden="false" customHeight="true" outlineLevel="0" collapsed="false">
      <c r="B16" s="27" t="str">
        <f aca="false">IF(Contracts!$A$16="","",IF(Contracts!A16="","–",Contracts!A16))</f>
        <v>DARAJA-R24P (TBC)</v>
      </c>
      <c r="C16" s="26" t="str">
        <f aca="false">IF(Contracts!$A$16="","",IF(Contracts!B16="","–",Contracts!B16))</f>
        <v>Daraja Ext to SA</v>
      </c>
      <c r="D16" s="26" t="str">
        <f aca="false">IF(Contracts!$A$16="","",IF(Contracts!C16="","–",Contracts!C16))</f>
        <v>Not yet released</v>
      </c>
      <c r="E16" s="29" t="n">
        <f aca="false">IF(Contracts!$A$16="","",IF(Contracts!D16="","–",Contracts!D16))</f>
        <v>24</v>
      </c>
      <c r="F16" s="29" t="n">
        <f aca="false">IF(Contracts!$A$16="","",IF(Contracts!F16="","–",Contracts!F16))</f>
        <v>46</v>
      </c>
      <c r="G16" s="41" t="str">
        <f aca="false">IF(Contracts!$A$16="","",IF(Contracts!I16="","–",Contracts!I16))</f>
        <v>–</v>
      </c>
      <c r="H16" s="42" t="str">
        <f aca="false">IF(Contracts!$A$16="","",IF(Contracts!N16="","–",Contracts!N16))</f>
        <v>–</v>
      </c>
      <c r="I16" s="43" t="str">
        <f aca="false">IF(Contracts!$A$16="","",IF(Contracts!J16="","–",Contracts!J16))</f>
        <v>–</v>
      </c>
      <c r="J16" s="29" t="n">
        <f aca="false">IF(Contracts!$A$16="","",IF(Contracts!K16="","–",Contracts!K16))</f>
        <v>0</v>
      </c>
      <c r="K16" s="29" t="str">
        <f aca="false">IF(Contracts!$A$16="","",IF(Contracts!L16="","–",Contracts!L16))</f>
        <v>–</v>
      </c>
      <c r="L16" s="44" t="str">
        <f aca="false">IF(Contracts!$A$16="","",IF(Contracts!O16="","–",Contracts!O16))</f>
        <v>NO KIT LIST</v>
      </c>
    </row>
    <row r="17" customFormat="false" ht="19.5" hidden="false" customHeight="true" outlineLevel="0" collapsed="false">
      <c r="B17" s="27" t="str">
        <f aca="false">IF(Contracts!$A$17="","",IF(Contracts!A17="","–",Contracts!A17))</f>
        <v>REUNION-SOUTH-R16P (TBC)</v>
      </c>
      <c r="C17" s="26" t="str">
        <f aca="false">IF(Contracts!$A$17="","",IF(Contracts!B17="","–",Contracts!B17))</f>
        <v>Reunion-South Africa (wet plant only)</v>
      </c>
      <c r="D17" s="26" t="str">
        <f aca="false">IF(Contracts!$A$17="","",IF(Contracts!C17="","–",Contracts!C17))</f>
        <v>Not yet released</v>
      </c>
      <c r="E17" s="29" t="n">
        <f aca="false">IF(Contracts!$A$17="","",IF(Contracts!D17="","–",Contracts!D17))</f>
        <v>16</v>
      </c>
      <c r="F17" s="29" t="n">
        <f aca="false">IF(Contracts!$A$17="","",IF(Contracts!F17="","–",Contracts!F17))</f>
        <v>31</v>
      </c>
      <c r="G17" s="41" t="str">
        <f aca="false">IF(Contracts!$A$17="","",IF(Contracts!I17="","–",Contracts!I17))</f>
        <v>–</v>
      </c>
      <c r="H17" s="42" t="str">
        <f aca="false">IF(Contracts!$A$17="","",IF(Contracts!N17="","–",Contracts!N17))</f>
        <v>–</v>
      </c>
      <c r="I17" s="43" t="str">
        <f aca="false">IF(Contracts!$A$17="","",IF(Contracts!J17="","–",Contracts!J17))</f>
        <v>–</v>
      </c>
      <c r="J17" s="29" t="n">
        <f aca="false">IF(Contracts!$A$17="","",IF(Contracts!K17="","–",Contracts!K17))</f>
        <v>0</v>
      </c>
      <c r="K17" s="29" t="str">
        <f aca="false">IF(Contracts!$A$17="","",IF(Contracts!L17="","–",Contracts!L17))</f>
        <v>–</v>
      </c>
      <c r="L17" s="44" t="str">
        <f aca="false">IF(Contracts!$A$17="","",IF(Contracts!O17="","–",Contracts!O17))</f>
        <v>NO KIT LIST</v>
      </c>
    </row>
    <row r="18" customFormat="false" ht="19.5" hidden="false" customHeight="true" outlineLevel="0" collapsed="false">
      <c r="B18" s="27" t="str">
        <f aca="false">IF(Contracts!$A$18="","",IF(Contracts!A18="","–",Contracts!A18))</f>
        <v/>
      </c>
      <c r="C18" s="26" t="str">
        <f aca="false">IF(Contracts!$A$18="","",IF(Contracts!B18="","–",Contracts!B18))</f>
        <v/>
      </c>
      <c r="D18" s="26" t="str">
        <f aca="false">IF(Contracts!$A$18="","",IF(Contracts!C18="","–",Contracts!C18))</f>
        <v/>
      </c>
      <c r="E18" s="29" t="str">
        <f aca="false">IF(Contracts!$A$18="","",IF(Contracts!D18="","–",Contracts!D18))</f>
        <v/>
      </c>
      <c r="F18" s="29" t="str">
        <f aca="false">IF(Contracts!$A$18="","",IF(Contracts!F18="","–",Contracts!F18))</f>
        <v/>
      </c>
      <c r="G18" s="41" t="str">
        <f aca="false">IF(Contracts!$A$18="","",IF(Contracts!I18="","–",Contracts!I18))</f>
        <v/>
      </c>
      <c r="H18" s="42" t="str">
        <f aca="false">IF(Contracts!$A$18="","",IF(Contracts!N18="","–",Contracts!N18))</f>
        <v/>
      </c>
      <c r="I18" s="43" t="str">
        <f aca="false">IF(Contracts!$A$18="","",IF(Contracts!J18="","–",Contracts!J18))</f>
        <v/>
      </c>
      <c r="J18" s="29" t="str">
        <f aca="false">IF(Contracts!$A$18="","",IF(Contracts!K18="","–",Contracts!K18))</f>
        <v/>
      </c>
      <c r="K18" s="29" t="str">
        <f aca="false">IF(Contracts!$A$18="","",IF(Contracts!L18="","–",Contracts!L18))</f>
        <v/>
      </c>
      <c r="L18" s="44" t="str">
        <f aca="false">IF(Contracts!$A$18="","",IF(Contracts!O18="","–",Contracts!O18))</f>
        <v/>
      </c>
    </row>
    <row r="19" customFormat="false" ht="19.5" hidden="false" customHeight="true" outlineLevel="0" collapsed="false">
      <c r="B19" s="27" t="str">
        <f aca="false">IF(Contracts!$A$19="","",IF(Contracts!A19="","–",Contracts!A19))</f>
        <v/>
      </c>
      <c r="C19" s="26" t="str">
        <f aca="false">IF(Contracts!$A$19="","",IF(Contracts!B19="","–",Contracts!B19))</f>
        <v/>
      </c>
      <c r="D19" s="26" t="str">
        <f aca="false">IF(Contracts!$A$19="","",IF(Contracts!C19="","–",Contracts!C19))</f>
        <v/>
      </c>
      <c r="E19" s="29" t="str">
        <f aca="false">IF(Contracts!$A$19="","",IF(Contracts!D19="","–",Contracts!D19))</f>
        <v/>
      </c>
      <c r="F19" s="29" t="str">
        <f aca="false">IF(Contracts!$A$19="","",IF(Contracts!F19="","–",Contracts!F19))</f>
        <v/>
      </c>
      <c r="G19" s="41" t="str">
        <f aca="false">IF(Contracts!$A$19="","",IF(Contracts!I19="","–",Contracts!I19))</f>
        <v/>
      </c>
      <c r="H19" s="42" t="str">
        <f aca="false">IF(Contracts!$A$19="","",IF(Contracts!N19="","–",Contracts!N19))</f>
        <v/>
      </c>
      <c r="I19" s="43" t="str">
        <f aca="false">IF(Contracts!$A$19="","",IF(Contracts!J19="","–",Contracts!J19))</f>
        <v/>
      </c>
      <c r="J19" s="29" t="str">
        <f aca="false">IF(Contracts!$A$19="","",IF(Contracts!K19="","–",Contracts!K19))</f>
        <v/>
      </c>
      <c r="K19" s="29" t="str">
        <f aca="false">IF(Contracts!$A$19="","",IF(Contracts!L19="","–",Contracts!L19))</f>
        <v/>
      </c>
      <c r="L19" s="44" t="str">
        <f aca="false">IF(Contracts!$A$19="","",IF(Contracts!O19="","–",Contracts!O19))</f>
        <v/>
      </c>
    </row>
    <row r="20" customFormat="false" ht="19.5" hidden="false" customHeight="true" outlineLevel="0" collapsed="false">
      <c r="B20" s="27" t="str">
        <f aca="false">IF(Contracts!$A$20="","",IF(Contracts!A20="","–",Contracts!A20))</f>
        <v/>
      </c>
      <c r="C20" s="26" t="str">
        <f aca="false">IF(Contracts!$A$20="","",IF(Contracts!B20="","–",Contracts!B20))</f>
        <v/>
      </c>
      <c r="D20" s="26" t="str">
        <f aca="false">IF(Contracts!$A$20="","",IF(Contracts!C20="","–",Contracts!C20))</f>
        <v/>
      </c>
      <c r="E20" s="29" t="str">
        <f aca="false">IF(Contracts!$A$20="","",IF(Contracts!D20="","–",Contracts!D20))</f>
        <v/>
      </c>
      <c r="F20" s="29" t="str">
        <f aca="false">IF(Contracts!$A$20="","",IF(Contracts!F20="","–",Contracts!F20))</f>
        <v/>
      </c>
      <c r="G20" s="41" t="str">
        <f aca="false">IF(Contracts!$A$20="","",IF(Contracts!I20="","–",Contracts!I20))</f>
        <v/>
      </c>
      <c r="H20" s="42" t="str">
        <f aca="false">IF(Contracts!$A$20="","",IF(Contracts!N20="","–",Contracts!N20))</f>
        <v/>
      </c>
      <c r="I20" s="43" t="str">
        <f aca="false">IF(Contracts!$A$20="","",IF(Contracts!J20="","–",Contracts!J20))</f>
        <v/>
      </c>
      <c r="J20" s="29" t="str">
        <f aca="false">IF(Contracts!$A$20="","",IF(Contracts!K20="","–",Contracts!K20))</f>
        <v/>
      </c>
      <c r="K20" s="29" t="str">
        <f aca="false">IF(Contracts!$A$20="","",IF(Contracts!L20="","–",Contracts!L20))</f>
        <v/>
      </c>
      <c r="L20" s="44" t="str">
        <f aca="false">IF(Contracts!$A$20="","",IF(Contracts!O20="","–",Contracts!O20))</f>
        <v/>
      </c>
    </row>
    <row r="21" customFormat="false" ht="19.5" hidden="false" customHeight="true" outlineLevel="0" collapsed="false">
      <c r="B21" s="27" t="str">
        <f aca="false">IF(Contracts!$A$21="","",IF(Contracts!A21="","–",Contracts!A21))</f>
        <v/>
      </c>
      <c r="C21" s="26" t="str">
        <f aca="false">IF(Contracts!$A$21="","",IF(Contracts!B21="","–",Contracts!B21))</f>
        <v/>
      </c>
      <c r="D21" s="26" t="str">
        <f aca="false">IF(Contracts!$A$21="","",IF(Contracts!C21="","–",Contracts!C21))</f>
        <v/>
      </c>
      <c r="E21" s="29" t="str">
        <f aca="false">IF(Contracts!$A$21="","",IF(Contracts!D21="","–",Contracts!D21))</f>
        <v/>
      </c>
      <c r="F21" s="29" t="str">
        <f aca="false">IF(Contracts!$A$21="","",IF(Contracts!F21="","–",Contracts!F21))</f>
        <v/>
      </c>
      <c r="G21" s="41" t="str">
        <f aca="false">IF(Contracts!$A$21="","",IF(Contracts!I21="","–",Contracts!I21))</f>
        <v/>
      </c>
      <c r="H21" s="42" t="str">
        <f aca="false">IF(Contracts!$A$21="","",IF(Contracts!N21="","–",Contracts!N21))</f>
        <v/>
      </c>
      <c r="I21" s="43" t="str">
        <f aca="false">IF(Contracts!$A$21="","",IF(Contracts!J21="","–",Contracts!J21))</f>
        <v/>
      </c>
      <c r="J21" s="29" t="str">
        <f aca="false">IF(Contracts!$A$21="","",IF(Contracts!K21="","–",Contracts!K21))</f>
        <v/>
      </c>
      <c r="K21" s="29" t="str">
        <f aca="false">IF(Contracts!$A$21="","",IF(Contracts!L21="","–",Contracts!L21))</f>
        <v/>
      </c>
      <c r="L21" s="44" t="str">
        <f aca="false">IF(Contracts!$A$21="","",IF(Contracts!O21="","–",Contracts!O21))</f>
        <v/>
      </c>
    </row>
    <row r="22" customFormat="false" ht="19.5" hidden="false" customHeight="true" outlineLevel="0" collapsed="false">
      <c r="B22" s="27" t="str">
        <f aca="false">IF(Contracts!$A$22="","",IF(Contracts!A22="","–",Contracts!A22))</f>
        <v/>
      </c>
      <c r="C22" s="26" t="str">
        <f aca="false">IF(Contracts!$A$22="","",IF(Contracts!B22="","–",Contracts!B22))</f>
        <v/>
      </c>
      <c r="D22" s="26" t="str">
        <f aca="false">IF(Contracts!$A$22="","",IF(Contracts!C22="","–",Contracts!C22))</f>
        <v/>
      </c>
      <c r="E22" s="29" t="str">
        <f aca="false">IF(Contracts!$A$22="","",IF(Contracts!D22="","–",Contracts!D22))</f>
        <v/>
      </c>
      <c r="F22" s="29" t="str">
        <f aca="false">IF(Contracts!$A$22="","",IF(Contracts!F22="","–",Contracts!F22))</f>
        <v/>
      </c>
      <c r="G22" s="41" t="str">
        <f aca="false">IF(Contracts!$A$22="","",IF(Contracts!I22="","–",Contracts!I22))</f>
        <v/>
      </c>
      <c r="H22" s="42" t="str">
        <f aca="false">IF(Contracts!$A$22="","",IF(Contracts!N22="","–",Contracts!N22))</f>
        <v/>
      </c>
      <c r="I22" s="43" t="str">
        <f aca="false">IF(Contracts!$A$22="","",IF(Contracts!J22="","–",Contracts!J22))</f>
        <v/>
      </c>
      <c r="J22" s="29" t="str">
        <f aca="false">IF(Contracts!$A$22="","",IF(Contracts!K22="","–",Contracts!K22))</f>
        <v/>
      </c>
      <c r="K22" s="29" t="str">
        <f aca="false">IF(Contracts!$A$22="","",IF(Contracts!L22="","–",Contracts!L22))</f>
        <v/>
      </c>
      <c r="L22" s="44" t="str">
        <f aca="false">IF(Contracts!$A$22="","",IF(Contracts!O22="","–",Contracts!O22))</f>
        <v/>
      </c>
    </row>
    <row r="23" customFormat="false" ht="19.5" hidden="false" customHeight="true" outlineLevel="0" collapsed="false">
      <c r="B23" s="27" t="str">
        <f aca="false">IF(Contracts!$A$23="","",IF(Contracts!A23="","–",Contracts!A23))</f>
        <v/>
      </c>
      <c r="C23" s="26" t="str">
        <f aca="false">IF(Contracts!$A$23="","",IF(Contracts!B23="","–",Contracts!B23))</f>
        <v/>
      </c>
      <c r="D23" s="26" t="str">
        <f aca="false">IF(Contracts!$A$23="","",IF(Contracts!C23="","–",Contracts!C23))</f>
        <v/>
      </c>
      <c r="E23" s="29" t="str">
        <f aca="false">IF(Contracts!$A$23="","",IF(Contracts!D23="","–",Contracts!D23))</f>
        <v/>
      </c>
      <c r="F23" s="29" t="str">
        <f aca="false">IF(Contracts!$A$23="","",IF(Contracts!F23="","–",Contracts!F23))</f>
        <v/>
      </c>
      <c r="G23" s="41" t="str">
        <f aca="false">IF(Contracts!$A$23="","",IF(Contracts!I23="","–",Contracts!I23))</f>
        <v/>
      </c>
      <c r="H23" s="42" t="str">
        <f aca="false">IF(Contracts!$A$23="","",IF(Contracts!N23="","–",Contracts!N23))</f>
        <v/>
      </c>
      <c r="I23" s="43" t="str">
        <f aca="false">IF(Contracts!$A$23="","",IF(Contracts!J23="","–",Contracts!J23))</f>
        <v/>
      </c>
      <c r="J23" s="29" t="str">
        <f aca="false">IF(Contracts!$A$23="","",IF(Contracts!K23="","–",Contracts!K23))</f>
        <v/>
      </c>
      <c r="K23" s="29" t="str">
        <f aca="false">IF(Contracts!$A$23="","",IF(Contracts!L23="","–",Contracts!L23))</f>
        <v/>
      </c>
      <c r="L23" s="44" t="str">
        <f aca="false">IF(Contracts!$A$23="","",IF(Contracts!O23="","–",Contracts!O23))</f>
        <v/>
      </c>
    </row>
    <row r="24" customFormat="false" ht="19.5" hidden="false" customHeight="true" outlineLevel="0" collapsed="false">
      <c r="B24" s="27" t="str">
        <f aca="false">IF(Contracts!$A$24="","",IF(Contracts!A24="","–",Contracts!A24))</f>
        <v/>
      </c>
      <c r="C24" s="26" t="str">
        <f aca="false">IF(Contracts!$A$24="","",IF(Contracts!B24="","–",Contracts!B24))</f>
        <v/>
      </c>
      <c r="D24" s="26" t="str">
        <f aca="false">IF(Contracts!$A$24="","",IF(Contracts!C24="","–",Contracts!C24))</f>
        <v/>
      </c>
      <c r="E24" s="29" t="str">
        <f aca="false">IF(Contracts!$A$24="","",IF(Contracts!D24="","–",Contracts!D24))</f>
        <v/>
      </c>
      <c r="F24" s="29" t="str">
        <f aca="false">IF(Contracts!$A$24="","",IF(Contracts!F24="","–",Contracts!F24))</f>
        <v/>
      </c>
      <c r="G24" s="41" t="str">
        <f aca="false">IF(Contracts!$A$24="","",IF(Contracts!I24="","–",Contracts!I24))</f>
        <v/>
      </c>
      <c r="H24" s="42" t="str">
        <f aca="false">IF(Contracts!$A$24="","",IF(Contracts!N24="","–",Contracts!N24))</f>
        <v/>
      </c>
      <c r="I24" s="43" t="str">
        <f aca="false">IF(Contracts!$A$24="","",IF(Contracts!J24="","–",Contracts!J24))</f>
        <v/>
      </c>
      <c r="J24" s="29" t="str">
        <f aca="false">IF(Contracts!$A$24="","",IF(Contracts!K24="","–",Contracts!K24))</f>
        <v/>
      </c>
      <c r="K24" s="29" t="str">
        <f aca="false">IF(Contracts!$A$24="","",IF(Contracts!L24="","–",Contracts!L24))</f>
        <v/>
      </c>
      <c r="L24" s="44" t="str">
        <f aca="false">IF(Contracts!$A$24="","",IF(Contracts!O24="","–",Contracts!O24))</f>
        <v/>
      </c>
    </row>
    <row r="25" customFormat="false" ht="19.5" hidden="false" customHeight="true" outlineLevel="0" collapsed="false">
      <c r="B25" s="27" t="str">
        <f aca="false">IF(Contracts!$A$25="","",IF(Contracts!A25="","–",Contracts!A25))</f>
        <v/>
      </c>
      <c r="C25" s="26" t="str">
        <f aca="false">IF(Contracts!$A$25="","",IF(Contracts!B25="","–",Contracts!B25))</f>
        <v/>
      </c>
      <c r="D25" s="26" t="str">
        <f aca="false">IF(Contracts!$A$25="","",IF(Contracts!C25="","–",Contracts!C25))</f>
        <v/>
      </c>
      <c r="E25" s="29" t="str">
        <f aca="false">IF(Contracts!$A$25="","",IF(Contracts!D25="","–",Contracts!D25))</f>
        <v/>
      </c>
      <c r="F25" s="29" t="str">
        <f aca="false">IF(Contracts!$A$25="","",IF(Contracts!F25="","–",Contracts!F25))</f>
        <v/>
      </c>
      <c r="G25" s="41" t="str">
        <f aca="false">IF(Contracts!$A$25="","",IF(Contracts!I25="","–",Contracts!I25))</f>
        <v/>
      </c>
      <c r="H25" s="42" t="str">
        <f aca="false">IF(Contracts!$A$25="","",IF(Contracts!N25="","–",Contracts!N25))</f>
        <v/>
      </c>
      <c r="I25" s="43" t="str">
        <f aca="false">IF(Contracts!$A$25="","",IF(Contracts!J25="","–",Contracts!J25))</f>
        <v/>
      </c>
      <c r="J25" s="29" t="str">
        <f aca="false">IF(Contracts!$A$25="","",IF(Contracts!K25="","–",Contracts!K25))</f>
        <v/>
      </c>
      <c r="K25" s="29" t="str">
        <f aca="false">IF(Contracts!$A$25="","",IF(Contracts!L25="","–",Contracts!L25))</f>
        <v/>
      </c>
      <c r="L25" s="44" t="str">
        <f aca="false">IF(Contracts!$A$25="","",IF(Contracts!O25="","–",Contracts!O25))</f>
        <v/>
      </c>
    </row>
    <row r="26" customFormat="false" ht="19.5" hidden="false" customHeight="true" outlineLevel="0" collapsed="false">
      <c r="B26" s="27" t="str">
        <f aca="false">IF(Contracts!$A$26="","",IF(Contracts!A26="","–",Contracts!A26))</f>
        <v/>
      </c>
      <c r="C26" s="26" t="str">
        <f aca="false">IF(Contracts!$A$26="","",IF(Contracts!B26="","–",Contracts!B26))</f>
        <v/>
      </c>
      <c r="D26" s="26" t="str">
        <f aca="false">IF(Contracts!$A$26="","",IF(Contracts!C26="","–",Contracts!C26))</f>
        <v/>
      </c>
      <c r="E26" s="29" t="str">
        <f aca="false">IF(Contracts!$A$26="","",IF(Contracts!D26="","–",Contracts!D26))</f>
        <v/>
      </c>
      <c r="F26" s="29" t="str">
        <f aca="false">IF(Contracts!$A$26="","",IF(Contracts!F26="","–",Contracts!F26))</f>
        <v/>
      </c>
      <c r="G26" s="41" t="str">
        <f aca="false">IF(Contracts!$A$26="","",IF(Contracts!I26="","–",Contracts!I26))</f>
        <v/>
      </c>
      <c r="H26" s="42" t="str">
        <f aca="false">IF(Contracts!$A$26="","",IF(Contracts!N26="","–",Contracts!N26))</f>
        <v/>
      </c>
      <c r="I26" s="43" t="str">
        <f aca="false">IF(Contracts!$A$26="","",IF(Contracts!J26="","–",Contracts!J26))</f>
        <v/>
      </c>
      <c r="J26" s="29" t="str">
        <f aca="false">IF(Contracts!$A$26="","",IF(Contracts!K26="","–",Contracts!K26))</f>
        <v/>
      </c>
      <c r="K26" s="29" t="str">
        <f aca="false">IF(Contracts!$A$26="","",IF(Contracts!L26="","–",Contracts!L26))</f>
        <v/>
      </c>
      <c r="L26" s="44" t="str">
        <f aca="false">IF(Contracts!$A$26="","",IF(Contracts!O26="","–",Contracts!O26))</f>
        <v/>
      </c>
    </row>
    <row r="27" customFormat="false" ht="19.5" hidden="false" customHeight="true" outlineLevel="0" collapsed="false">
      <c r="B27" s="27" t="str">
        <f aca="false">IF(Contracts!$A$27="","",IF(Contracts!A27="","–",Contracts!A27))</f>
        <v/>
      </c>
      <c r="C27" s="26" t="str">
        <f aca="false">IF(Contracts!$A$27="","",IF(Contracts!B27="","–",Contracts!B27))</f>
        <v/>
      </c>
      <c r="D27" s="26" t="str">
        <f aca="false">IF(Contracts!$A$27="","",IF(Contracts!C27="","–",Contracts!C27))</f>
        <v/>
      </c>
      <c r="E27" s="29" t="str">
        <f aca="false">IF(Contracts!$A$27="","",IF(Contracts!D27="","–",Contracts!D27))</f>
        <v/>
      </c>
      <c r="F27" s="29" t="str">
        <f aca="false">IF(Contracts!$A$27="","",IF(Contracts!F27="","–",Contracts!F27))</f>
        <v/>
      </c>
      <c r="G27" s="41" t="str">
        <f aca="false">IF(Contracts!$A$27="","",IF(Contracts!I27="","–",Contracts!I27))</f>
        <v/>
      </c>
      <c r="H27" s="42" t="str">
        <f aca="false">IF(Contracts!$A$27="","",IF(Contracts!N27="","–",Contracts!N27))</f>
        <v/>
      </c>
      <c r="I27" s="43" t="str">
        <f aca="false">IF(Contracts!$A$27="","",IF(Contracts!J27="","–",Contracts!J27))</f>
        <v/>
      </c>
      <c r="J27" s="29" t="str">
        <f aca="false">IF(Contracts!$A$27="","",IF(Contracts!K27="","–",Contracts!K27))</f>
        <v/>
      </c>
      <c r="K27" s="29" t="str">
        <f aca="false">IF(Contracts!$A$27="","",IF(Contracts!L27="","–",Contracts!L27))</f>
        <v/>
      </c>
      <c r="L27" s="44" t="str">
        <f aca="false">IF(Contracts!$A$27="","",IF(Contracts!O27="","–",Contracts!O27))</f>
        <v/>
      </c>
    </row>
    <row r="28" customFormat="false" ht="19.5" hidden="false" customHeight="true" outlineLevel="0" collapsed="false">
      <c r="B28" s="27" t="str">
        <f aca="false">IF(Contracts!$A$28="","",IF(Contracts!A28="","–",Contracts!A28))</f>
        <v/>
      </c>
      <c r="C28" s="26" t="str">
        <f aca="false">IF(Contracts!$A$28="","",IF(Contracts!B28="","–",Contracts!B28))</f>
        <v/>
      </c>
      <c r="D28" s="26" t="str">
        <f aca="false">IF(Contracts!$A$28="","",IF(Contracts!C28="","–",Contracts!C28))</f>
        <v/>
      </c>
      <c r="E28" s="29" t="str">
        <f aca="false">IF(Contracts!$A$28="","",IF(Contracts!D28="","–",Contracts!D28))</f>
        <v/>
      </c>
      <c r="F28" s="29" t="str">
        <f aca="false">IF(Contracts!$A$28="","",IF(Contracts!F28="","–",Contracts!F28))</f>
        <v/>
      </c>
      <c r="G28" s="41" t="str">
        <f aca="false">IF(Contracts!$A$28="","",IF(Contracts!I28="","–",Contracts!I28))</f>
        <v/>
      </c>
      <c r="H28" s="42" t="str">
        <f aca="false">IF(Contracts!$A$28="","",IF(Contracts!N28="","–",Contracts!N28))</f>
        <v/>
      </c>
      <c r="I28" s="43" t="str">
        <f aca="false">IF(Contracts!$A$28="","",IF(Contracts!J28="","–",Contracts!J28))</f>
        <v/>
      </c>
      <c r="J28" s="29" t="str">
        <f aca="false">IF(Contracts!$A$28="","",IF(Contracts!K28="","–",Contracts!K28))</f>
        <v/>
      </c>
      <c r="K28" s="29" t="str">
        <f aca="false">IF(Contracts!$A$28="","",IF(Contracts!L28="","–",Contracts!L28))</f>
        <v/>
      </c>
      <c r="L28" s="44" t="str">
        <f aca="false">IF(Contracts!$A$28="","",IF(Contracts!O28="","–",Contracts!O28))</f>
        <v/>
      </c>
    </row>
    <row r="29" customFormat="false" ht="19.5" hidden="false" customHeight="true" outlineLevel="0" collapsed="false">
      <c r="B29" s="27" t="str">
        <f aca="false">IF(Contracts!$A$29="","",IF(Contracts!A29="","–",Contracts!A29))</f>
        <v/>
      </c>
      <c r="C29" s="26" t="str">
        <f aca="false">IF(Contracts!$A$29="","",IF(Contracts!B29="","–",Contracts!B29))</f>
        <v/>
      </c>
      <c r="D29" s="26" t="str">
        <f aca="false">IF(Contracts!$A$29="","",IF(Contracts!C29="","–",Contracts!C29))</f>
        <v/>
      </c>
      <c r="E29" s="29" t="str">
        <f aca="false">IF(Contracts!$A$29="","",IF(Contracts!D29="","–",Contracts!D29))</f>
        <v/>
      </c>
      <c r="F29" s="29" t="str">
        <f aca="false">IF(Contracts!$A$29="","",IF(Contracts!F29="","–",Contracts!F29))</f>
        <v/>
      </c>
      <c r="G29" s="41" t="str">
        <f aca="false">IF(Contracts!$A$29="","",IF(Contracts!I29="","–",Contracts!I29))</f>
        <v/>
      </c>
      <c r="H29" s="42" t="str">
        <f aca="false">IF(Contracts!$A$29="","",IF(Contracts!N29="","–",Contracts!N29))</f>
        <v/>
      </c>
      <c r="I29" s="43" t="str">
        <f aca="false">IF(Contracts!$A$29="","",IF(Contracts!J29="","–",Contracts!J29))</f>
        <v/>
      </c>
      <c r="J29" s="29" t="str">
        <f aca="false">IF(Contracts!$A$29="","",IF(Contracts!K29="","–",Contracts!K29))</f>
        <v/>
      </c>
      <c r="K29" s="29" t="str">
        <f aca="false">IF(Contracts!$A$29="","",IF(Contracts!L29="","–",Contracts!L29))</f>
        <v/>
      </c>
      <c r="L29" s="44" t="str">
        <f aca="false">IF(Contracts!$A$29="","",IF(Contracts!O29="","–",Contracts!O29))</f>
        <v/>
      </c>
    </row>
    <row r="30" customFormat="false" ht="19.5" hidden="false" customHeight="true" outlineLevel="0" collapsed="false">
      <c r="B30" s="27" t="str">
        <f aca="false">IF(Contracts!$A$30="","",IF(Contracts!A30="","–",Contracts!A30))</f>
        <v/>
      </c>
      <c r="C30" s="26" t="str">
        <f aca="false">IF(Contracts!$A$30="","",IF(Contracts!B30="","–",Contracts!B30))</f>
        <v/>
      </c>
      <c r="D30" s="26" t="str">
        <f aca="false">IF(Contracts!$A$30="","",IF(Contracts!C30="","–",Contracts!C30))</f>
        <v/>
      </c>
      <c r="E30" s="29" t="str">
        <f aca="false">IF(Contracts!$A$30="","",IF(Contracts!D30="","–",Contracts!D30))</f>
        <v/>
      </c>
      <c r="F30" s="29" t="str">
        <f aca="false">IF(Contracts!$A$30="","",IF(Contracts!F30="","–",Contracts!F30))</f>
        <v/>
      </c>
      <c r="G30" s="41" t="str">
        <f aca="false">IF(Contracts!$A$30="","",IF(Contracts!I30="","–",Contracts!I30))</f>
        <v/>
      </c>
      <c r="H30" s="42" t="str">
        <f aca="false">IF(Contracts!$A$30="","",IF(Contracts!N30="","–",Contracts!N30))</f>
        <v/>
      </c>
      <c r="I30" s="43" t="str">
        <f aca="false">IF(Contracts!$A$30="","",IF(Contracts!J30="","–",Contracts!J30))</f>
        <v/>
      </c>
      <c r="J30" s="29" t="str">
        <f aca="false">IF(Contracts!$A$30="","",IF(Contracts!K30="","–",Contracts!K30))</f>
        <v/>
      </c>
      <c r="K30" s="29" t="str">
        <f aca="false">IF(Contracts!$A$30="","",IF(Contracts!L30="","–",Contracts!L30))</f>
        <v/>
      </c>
      <c r="L30" s="44" t="str">
        <f aca="false">IF(Contracts!$A$30="","",IF(Contracts!O30="","–",Contracts!O30))</f>
        <v/>
      </c>
    </row>
    <row r="31" customFormat="false" ht="19.5" hidden="false" customHeight="true" outlineLevel="0" collapsed="false">
      <c r="B31" s="27" t="str">
        <f aca="false">IF(Contracts!$A$31="","",IF(Contracts!A31="","–",Contracts!A31))</f>
        <v/>
      </c>
      <c r="C31" s="26" t="str">
        <f aca="false">IF(Contracts!$A$31="","",IF(Contracts!B31="","–",Contracts!B31))</f>
        <v/>
      </c>
      <c r="D31" s="26" t="str">
        <f aca="false">IF(Contracts!$A$31="","",IF(Contracts!C31="","–",Contracts!C31))</f>
        <v/>
      </c>
      <c r="E31" s="29" t="str">
        <f aca="false">IF(Contracts!$A$31="","",IF(Contracts!D31="","–",Contracts!D31))</f>
        <v/>
      </c>
      <c r="F31" s="29" t="str">
        <f aca="false">IF(Contracts!$A$31="","",IF(Contracts!F31="","–",Contracts!F31))</f>
        <v/>
      </c>
      <c r="G31" s="41" t="str">
        <f aca="false">IF(Contracts!$A$31="","",IF(Contracts!I31="","–",Contracts!I31))</f>
        <v/>
      </c>
      <c r="H31" s="42" t="str">
        <f aca="false">IF(Contracts!$A$31="","",IF(Contracts!N31="","–",Contracts!N31))</f>
        <v/>
      </c>
      <c r="I31" s="43" t="str">
        <f aca="false">IF(Contracts!$A$31="","",IF(Contracts!J31="","–",Contracts!J31))</f>
        <v/>
      </c>
      <c r="J31" s="29" t="str">
        <f aca="false">IF(Contracts!$A$31="","",IF(Contracts!K31="","–",Contracts!K31))</f>
        <v/>
      </c>
      <c r="K31" s="29" t="str">
        <f aca="false">IF(Contracts!$A$31="","",IF(Contracts!L31="","–",Contracts!L31))</f>
        <v/>
      </c>
      <c r="L31" s="44" t="str">
        <f aca="false">IF(Contracts!$A$31="","",IF(Contracts!O31="","–",Contracts!O31))</f>
        <v/>
      </c>
    </row>
    <row r="32" customFormat="false" ht="19.5" hidden="false" customHeight="true" outlineLevel="0" collapsed="false">
      <c r="B32" s="27" t="str">
        <f aca="false">IF(Contracts!$A$32="","",IF(Contracts!A32="","–",Contracts!A32))</f>
        <v/>
      </c>
      <c r="C32" s="26" t="str">
        <f aca="false">IF(Contracts!$A$32="","",IF(Contracts!B32="","–",Contracts!B32))</f>
        <v/>
      </c>
      <c r="D32" s="26" t="str">
        <f aca="false">IF(Contracts!$A$32="","",IF(Contracts!C32="","–",Contracts!C32))</f>
        <v/>
      </c>
      <c r="E32" s="29" t="str">
        <f aca="false">IF(Contracts!$A$32="","",IF(Contracts!D32="","–",Contracts!D32))</f>
        <v/>
      </c>
      <c r="F32" s="29" t="str">
        <f aca="false">IF(Contracts!$A$32="","",IF(Contracts!F32="","–",Contracts!F32))</f>
        <v/>
      </c>
      <c r="G32" s="41" t="str">
        <f aca="false">IF(Contracts!$A$32="","",IF(Contracts!I32="","–",Contracts!I32))</f>
        <v/>
      </c>
      <c r="H32" s="42" t="str">
        <f aca="false">IF(Contracts!$A$32="","",IF(Contracts!N32="","–",Contracts!N32))</f>
        <v/>
      </c>
      <c r="I32" s="43" t="str">
        <f aca="false">IF(Contracts!$A$32="","",IF(Contracts!J32="","–",Contracts!J32))</f>
        <v/>
      </c>
      <c r="J32" s="29" t="str">
        <f aca="false">IF(Contracts!$A$32="","",IF(Contracts!K32="","–",Contracts!K32))</f>
        <v/>
      </c>
      <c r="K32" s="29" t="str">
        <f aca="false">IF(Contracts!$A$32="","",IF(Contracts!L32="","–",Contracts!L32))</f>
        <v/>
      </c>
      <c r="L32" s="44" t="str">
        <f aca="false">IF(Contracts!$A$32="","",IF(Contracts!O32="","–",Contracts!O32))</f>
        <v/>
      </c>
    </row>
    <row r="33" customFormat="false" ht="19.5" hidden="false" customHeight="true" outlineLevel="0" collapsed="false">
      <c r="B33" s="27" t="str">
        <f aca="false">IF(Contracts!$A$33="","",IF(Contracts!A33="","–",Contracts!A33))</f>
        <v/>
      </c>
      <c r="C33" s="26" t="str">
        <f aca="false">IF(Contracts!$A$33="","",IF(Contracts!B33="","–",Contracts!B33))</f>
        <v/>
      </c>
      <c r="D33" s="26" t="str">
        <f aca="false">IF(Contracts!$A$33="","",IF(Contracts!C33="","–",Contracts!C33))</f>
        <v/>
      </c>
      <c r="E33" s="29" t="str">
        <f aca="false">IF(Contracts!$A$33="","",IF(Contracts!D33="","–",Contracts!D33))</f>
        <v/>
      </c>
      <c r="F33" s="29" t="str">
        <f aca="false">IF(Contracts!$A$33="","",IF(Contracts!F33="","–",Contracts!F33))</f>
        <v/>
      </c>
      <c r="G33" s="41" t="str">
        <f aca="false">IF(Contracts!$A$33="","",IF(Contracts!I33="","–",Contracts!I33))</f>
        <v/>
      </c>
      <c r="H33" s="42" t="str">
        <f aca="false">IF(Contracts!$A$33="","",IF(Contracts!N33="","–",Contracts!N33))</f>
        <v/>
      </c>
      <c r="I33" s="43" t="str">
        <f aca="false">IF(Contracts!$A$33="","",IF(Contracts!J33="","–",Contracts!J33))</f>
        <v/>
      </c>
      <c r="J33" s="29" t="str">
        <f aca="false">IF(Contracts!$A$33="","",IF(Contracts!K33="","–",Contracts!K33))</f>
        <v/>
      </c>
      <c r="K33" s="29" t="str">
        <f aca="false">IF(Contracts!$A$33="","",IF(Contracts!L33="","–",Contracts!L33))</f>
        <v/>
      </c>
      <c r="L33" s="44" t="str">
        <f aca="false">IF(Contracts!$A$33="","",IF(Contracts!O33="","–",Contracts!O33))</f>
        <v/>
      </c>
    </row>
    <row r="34" customFormat="false" ht="19.5" hidden="false" customHeight="true" outlineLevel="0" collapsed="false">
      <c r="B34" s="27" t="str">
        <f aca="false">IF(Contracts!$A$34="","",IF(Contracts!A34="","–",Contracts!A34))</f>
        <v/>
      </c>
      <c r="C34" s="26" t="str">
        <f aca="false">IF(Contracts!$A$34="","",IF(Contracts!B34="","–",Contracts!B34))</f>
        <v/>
      </c>
      <c r="D34" s="26" t="str">
        <f aca="false">IF(Contracts!$A$34="","",IF(Contracts!C34="","–",Contracts!C34))</f>
        <v/>
      </c>
      <c r="E34" s="29" t="str">
        <f aca="false">IF(Contracts!$A$34="","",IF(Contracts!D34="","–",Contracts!D34))</f>
        <v/>
      </c>
      <c r="F34" s="29" t="str">
        <f aca="false">IF(Contracts!$A$34="","",IF(Contracts!F34="","–",Contracts!F34))</f>
        <v/>
      </c>
      <c r="G34" s="41" t="str">
        <f aca="false">IF(Contracts!$A$34="","",IF(Contracts!I34="","–",Contracts!I34))</f>
        <v/>
      </c>
      <c r="H34" s="42" t="str">
        <f aca="false">IF(Contracts!$A$34="","",IF(Contracts!N34="","–",Contracts!N34))</f>
        <v/>
      </c>
      <c r="I34" s="43" t="str">
        <f aca="false">IF(Contracts!$A$34="","",IF(Contracts!J34="","–",Contracts!J34))</f>
        <v/>
      </c>
      <c r="J34" s="29" t="str">
        <f aca="false">IF(Contracts!$A$34="","",IF(Contracts!K34="","–",Contracts!K34))</f>
        <v/>
      </c>
      <c r="K34" s="29" t="str">
        <f aca="false">IF(Contracts!$A$34="","",IF(Contracts!L34="","–",Contracts!L34))</f>
        <v/>
      </c>
      <c r="L34" s="44" t="str">
        <f aca="false">IF(Contracts!$A$34="","",IF(Contracts!O34="","–",Contracts!O34))</f>
        <v/>
      </c>
    </row>
    <row r="35" customFormat="false" ht="19.5" hidden="false" customHeight="true" outlineLevel="0" collapsed="false">
      <c r="B35" s="27" t="str">
        <f aca="false">IF(Contracts!$A$35="","",IF(Contracts!A35="","–",Contracts!A35))</f>
        <v/>
      </c>
      <c r="C35" s="26" t="str">
        <f aca="false">IF(Contracts!$A$35="","",IF(Contracts!B35="","–",Contracts!B35))</f>
        <v/>
      </c>
      <c r="D35" s="26" t="str">
        <f aca="false">IF(Contracts!$A$35="","",IF(Contracts!C35="","–",Contracts!C35))</f>
        <v/>
      </c>
      <c r="E35" s="29" t="str">
        <f aca="false">IF(Contracts!$A$35="","",IF(Contracts!D35="","–",Contracts!D35))</f>
        <v/>
      </c>
      <c r="F35" s="29" t="str">
        <f aca="false">IF(Contracts!$A$35="","",IF(Contracts!F35="","–",Contracts!F35))</f>
        <v/>
      </c>
      <c r="G35" s="41" t="str">
        <f aca="false">IF(Contracts!$A$35="","",IF(Contracts!I35="","–",Contracts!I35))</f>
        <v/>
      </c>
      <c r="H35" s="42" t="str">
        <f aca="false">IF(Contracts!$A$35="","",IF(Contracts!N35="","–",Contracts!N35))</f>
        <v/>
      </c>
      <c r="I35" s="43" t="str">
        <f aca="false">IF(Contracts!$A$35="","",IF(Contracts!J35="","–",Contracts!J35))</f>
        <v/>
      </c>
      <c r="J35" s="29" t="str">
        <f aca="false">IF(Contracts!$A$35="","",IF(Contracts!K35="","–",Contracts!K35))</f>
        <v/>
      </c>
      <c r="K35" s="29" t="str">
        <f aca="false">IF(Contracts!$A$35="","",IF(Contracts!L35="","–",Contracts!L35))</f>
        <v/>
      </c>
      <c r="L35" s="44" t="str">
        <f aca="false">IF(Contracts!$A$35="","",IF(Contracts!O35="","–",Contracts!O35))</f>
        <v/>
      </c>
    </row>
    <row r="36" customFormat="false" ht="19.5" hidden="false" customHeight="true" outlineLevel="0" collapsed="false">
      <c r="B36" s="27" t="str">
        <f aca="false">IF(Contracts!$A$36="","",IF(Contracts!A36="","–",Contracts!A36))</f>
        <v/>
      </c>
      <c r="C36" s="26" t="str">
        <f aca="false">IF(Contracts!$A$36="","",IF(Contracts!B36="","–",Contracts!B36))</f>
        <v/>
      </c>
      <c r="D36" s="26" t="str">
        <f aca="false">IF(Contracts!$A$36="","",IF(Contracts!C36="","–",Contracts!C36))</f>
        <v/>
      </c>
      <c r="E36" s="29" t="str">
        <f aca="false">IF(Contracts!$A$36="","",IF(Contracts!D36="","–",Contracts!D36))</f>
        <v/>
      </c>
      <c r="F36" s="29" t="str">
        <f aca="false">IF(Contracts!$A$36="","",IF(Contracts!F36="","–",Contracts!F36))</f>
        <v/>
      </c>
      <c r="G36" s="41" t="str">
        <f aca="false">IF(Contracts!$A$36="","",IF(Contracts!I36="","–",Contracts!I36))</f>
        <v/>
      </c>
      <c r="H36" s="42" t="str">
        <f aca="false">IF(Contracts!$A$36="","",IF(Contracts!N36="","–",Contracts!N36))</f>
        <v/>
      </c>
      <c r="I36" s="43" t="str">
        <f aca="false">IF(Contracts!$A$36="","",IF(Contracts!J36="","–",Contracts!J36))</f>
        <v/>
      </c>
      <c r="J36" s="29" t="str">
        <f aca="false">IF(Contracts!$A$36="","",IF(Contracts!K36="","–",Contracts!K36))</f>
        <v/>
      </c>
      <c r="K36" s="29" t="str">
        <f aca="false">IF(Contracts!$A$36="","",IF(Contracts!L36="","–",Contracts!L36))</f>
        <v/>
      </c>
      <c r="L36" s="44" t="str">
        <f aca="false">IF(Contracts!$A$36="","",IF(Contracts!O36="","–",Contracts!O36))</f>
        <v/>
      </c>
    </row>
    <row r="37" customFormat="false" ht="19.5" hidden="false" customHeight="true" outlineLevel="0" collapsed="false">
      <c r="B37" s="27" t="str">
        <f aca="false">IF(Contracts!$A$37="","",IF(Contracts!A37="","–",Contracts!A37))</f>
        <v/>
      </c>
      <c r="C37" s="26" t="str">
        <f aca="false">IF(Contracts!$A$37="","",IF(Contracts!B37="","–",Contracts!B37))</f>
        <v/>
      </c>
      <c r="D37" s="26" t="str">
        <f aca="false">IF(Contracts!$A$37="","",IF(Contracts!C37="","–",Contracts!C37))</f>
        <v/>
      </c>
      <c r="E37" s="29" t="str">
        <f aca="false">IF(Contracts!$A$37="","",IF(Contracts!D37="","–",Contracts!D37))</f>
        <v/>
      </c>
      <c r="F37" s="29" t="str">
        <f aca="false">IF(Contracts!$A$37="","",IF(Contracts!F37="","–",Contracts!F37))</f>
        <v/>
      </c>
      <c r="G37" s="41" t="str">
        <f aca="false">IF(Contracts!$A$37="","",IF(Contracts!I37="","–",Contracts!I37))</f>
        <v/>
      </c>
      <c r="H37" s="42" t="str">
        <f aca="false">IF(Contracts!$A$37="","",IF(Contracts!N37="","–",Contracts!N37))</f>
        <v/>
      </c>
      <c r="I37" s="43" t="str">
        <f aca="false">IF(Contracts!$A$37="","",IF(Contracts!J37="","–",Contracts!J37))</f>
        <v/>
      </c>
      <c r="J37" s="29" t="str">
        <f aca="false">IF(Contracts!$A$37="","",IF(Contracts!K37="","–",Contracts!K37))</f>
        <v/>
      </c>
      <c r="K37" s="29" t="str">
        <f aca="false">IF(Contracts!$A$37="","",IF(Contracts!L37="","–",Contracts!L37))</f>
        <v/>
      </c>
      <c r="L37" s="44" t="str">
        <f aca="false">IF(Contracts!$A$37="","",IF(Contracts!O37="","–",Contracts!O37))</f>
        <v/>
      </c>
    </row>
    <row r="38" customFormat="false" ht="19.5" hidden="false" customHeight="true" outlineLevel="0" collapsed="false">
      <c r="B38" s="27" t="str">
        <f aca="false">IF(Contracts!$A$38="","",IF(Contracts!A38="","–",Contracts!A38))</f>
        <v/>
      </c>
      <c r="C38" s="26" t="str">
        <f aca="false">IF(Contracts!$A$38="","",IF(Contracts!B38="","–",Contracts!B38))</f>
        <v/>
      </c>
      <c r="D38" s="26" t="str">
        <f aca="false">IF(Contracts!$A$38="","",IF(Contracts!C38="","–",Contracts!C38))</f>
        <v/>
      </c>
      <c r="E38" s="29" t="str">
        <f aca="false">IF(Contracts!$A$38="","",IF(Contracts!D38="","–",Contracts!D38))</f>
        <v/>
      </c>
      <c r="F38" s="29" t="str">
        <f aca="false">IF(Contracts!$A$38="","",IF(Contracts!F38="","–",Contracts!F38))</f>
        <v/>
      </c>
      <c r="G38" s="41" t="str">
        <f aca="false">IF(Contracts!$A$38="","",IF(Contracts!I38="","–",Contracts!I38))</f>
        <v/>
      </c>
      <c r="H38" s="42" t="str">
        <f aca="false">IF(Contracts!$A$38="","",IF(Contracts!N38="","–",Contracts!N38))</f>
        <v/>
      </c>
      <c r="I38" s="43" t="str">
        <f aca="false">IF(Contracts!$A$38="","",IF(Contracts!J38="","–",Contracts!J38))</f>
        <v/>
      </c>
      <c r="J38" s="29" t="str">
        <f aca="false">IF(Contracts!$A$38="","",IF(Contracts!K38="","–",Contracts!K38))</f>
        <v/>
      </c>
      <c r="K38" s="29" t="str">
        <f aca="false">IF(Contracts!$A$38="","",IF(Contracts!L38="","–",Contracts!L38))</f>
        <v/>
      </c>
      <c r="L38" s="44" t="str">
        <f aca="false">IF(Contracts!$A$38="","",IF(Contracts!O38="","–",Contracts!O38))</f>
        <v/>
      </c>
    </row>
    <row r="39" customFormat="false" ht="19.5" hidden="false" customHeight="true" outlineLevel="0" collapsed="false">
      <c r="B39" s="27" t="str">
        <f aca="false">IF(Contracts!$A$39="","",IF(Contracts!A39="","–",Contracts!A39))</f>
        <v/>
      </c>
      <c r="C39" s="26" t="str">
        <f aca="false">IF(Contracts!$A$39="","",IF(Contracts!B39="","–",Contracts!B39))</f>
        <v/>
      </c>
      <c r="D39" s="26" t="str">
        <f aca="false">IF(Contracts!$A$39="","",IF(Contracts!C39="","–",Contracts!C39))</f>
        <v/>
      </c>
      <c r="E39" s="29" t="str">
        <f aca="false">IF(Contracts!$A$39="","",IF(Contracts!D39="","–",Contracts!D39))</f>
        <v/>
      </c>
      <c r="F39" s="29" t="str">
        <f aca="false">IF(Contracts!$A$39="","",IF(Contracts!F39="","–",Contracts!F39))</f>
        <v/>
      </c>
      <c r="G39" s="41" t="str">
        <f aca="false">IF(Contracts!$A$39="","",IF(Contracts!I39="","–",Contracts!I39))</f>
        <v/>
      </c>
      <c r="H39" s="42" t="str">
        <f aca="false">IF(Contracts!$A$39="","",IF(Contracts!N39="","–",Contracts!N39))</f>
        <v/>
      </c>
      <c r="I39" s="43" t="str">
        <f aca="false">IF(Contracts!$A$39="","",IF(Contracts!J39="","–",Contracts!J39))</f>
        <v/>
      </c>
      <c r="J39" s="29" t="str">
        <f aca="false">IF(Contracts!$A$39="","",IF(Contracts!K39="","–",Contracts!K39))</f>
        <v/>
      </c>
      <c r="K39" s="29" t="str">
        <f aca="false">IF(Contracts!$A$39="","",IF(Contracts!L39="","–",Contracts!L39))</f>
        <v/>
      </c>
      <c r="L39" s="44" t="str">
        <f aca="false">IF(Contracts!$A$39="","",IF(Contracts!O39="","–",Contracts!O39))</f>
        <v/>
      </c>
    </row>
    <row r="40" customFormat="false" ht="19.5" hidden="false" customHeight="true" outlineLevel="0" collapsed="false">
      <c r="B40" s="27" t="str">
        <f aca="false">IF(Contracts!$A$40="","",IF(Contracts!A40="","–",Contracts!A40))</f>
        <v/>
      </c>
      <c r="C40" s="26" t="str">
        <f aca="false">IF(Contracts!$A$40="","",IF(Contracts!B40="","–",Contracts!B40))</f>
        <v/>
      </c>
      <c r="D40" s="26" t="str">
        <f aca="false">IF(Contracts!$A$40="","",IF(Contracts!C40="","–",Contracts!C40))</f>
        <v/>
      </c>
      <c r="E40" s="29" t="str">
        <f aca="false">IF(Contracts!$A$40="","",IF(Contracts!D40="","–",Contracts!D40))</f>
        <v/>
      </c>
      <c r="F40" s="29" t="str">
        <f aca="false">IF(Contracts!$A$40="","",IF(Contracts!F40="","–",Contracts!F40))</f>
        <v/>
      </c>
      <c r="G40" s="41" t="str">
        <f aca="false">IF(Contracts!$A$40="","",IF(Contracts!I40="","–",Contracts!I40))</f>
        <v/>
      </c>
      <c r="H40" s="42" t="str">
        <f aca="false">IF(Contracts!$A$40="","",IF(Contracts!N40="","–",Contracts!N40))</f>
        <v/>
      </c>
      <c r="I40" s="43" t="str">
        <f aca="false">IF(Contracts!$A$40="","",IF(Contracts!J40="","–",Contracts!J40))</f>
        <v/>
      </c>
      <c r="J40" s="29" t="str">
        <f aca="false">IF(Contracts!$A$40="","",IF(Contracts!K40="","–",Contracts!K40))</f>
        <v/>
      </c>
      <c r="K40" s="29" t="str">
        <f aca="false">IF(Contracts!$A$40="","",IF(Contracts!L40="","–",Contracts!L40))</f>
        <v/>
      </c>
      <c r="L40" s="44" t="str">
        <f aca="false">IF(Contracts!$A$40="","",IF(Contracts!O40="","–",Contracts!O40))</f>
        <v/>
      </c>
    </row>
    <row r="41" customFormat="false" ht="19.5" hidden="false" customHeight="true" outlineLevel="0" collapsed="false">
      <c r="B41" s="27" t="str">
        <f aca="false">IF(Contracts!$A$41="","",IF(Contracts!A41="","–",Contracts!A41))</f>
        <v/>
      </c>
      <c r="C41" s="26" t="str">
        <f aca="false">IF(Contracts!$A$41="","",IF(Contracts!B41="","–",Contracts!B41))</f>
        <v/>
      </c>
      <c r="D41" s="26" t="str">
        <f aca="false">IF(Contracts!$A$41="","",IF(Contracts!C41="","–",Contracts!C41))</f>
        <v/>
      </c>
      <c r="E41" s="29" t="str">
        <f aca="false">IF(Contracts!$A$41="","",IF(Contracts!D41="","–",Contracts!D41))</f>
        <v/>
      </c>
      <c r="F41" s="29" t="str">
        <f aca="false">IF(Contracts!$A$41="","",IF(Contracts!F41="","–",Contracts!F41))</f>
        <v/>
      </c>
      <c r="G41" s="41" t="str">
        <f aca="false">IF(Contracts!$A$41="","",IF(Contracts!I41="","–",Contracts!I41))</f>
        <v/>
      </c>
      <c r="H41" s="42" t="str">
        <f aca="false">IF(Contracts!$A$41="","",IF(Contracts!N41="","–",Contracts!N41))</f>
        <v/>
      </c>
      <c r="I41" s="43" t="str">
        <f aca="false">IF(Contracts!$A$41="","",IF(Contracts!J41="","–",Contracts!J41))</f>
        <v/>
      </c>
      <c r="J41" s="29" t="str">
        <f aca="false">IF(Contracts!$A$41="","",IF(Contracts!K41="","–",Contracts!K41))</f>
        <v/>
      </c>
      <c r="K41" s="29" t="str">
        <f aca="false">IF(Contracts!$A$41="","",IF(Contracts!L41="","–",Contracts!L41))</f>
        <v/>
      </c>
      <c r="L41" s="44" t="str">
        <f aca="false">IF(Contracts!$A$41="","",IF(Contracts!O41="","–",Contracts!O41))</f>
        <v/>
      </c>
    </row>
    <row r="42" customFormat="false" ht="19.5" hidden="false" customHeight="true" outlineLevel="0" collapsed="false">
      <c r="B42" s="27" t="str">
        <f aca="false">IF(Contracts!$A$42="","",IF(Contracts!A42="","–",Contracts!A42))</f>
        <v/>
      </c>
      <c r="C42" s="26" t="str">
        <f aca="false">IF(Contracts!$A$42="","",IF(Contracts!B42="","–",Contracts!B42))</f>
        <v/>
      </c>
      <c r="D42" s="26" t="str">
        <f aca="false">IF(Contracts!$A$42="","",IF(Contracts!C42="","–",Contracts!C42))</f>
        <v/>
      </c>
      <c r="E42" s="29" t="str">
        <f aca="false">IF(Contracts!$A$42="","",IF(Contracts!D42="","–",Contracts!D42))</f>
        <v/>
      </c>
      <c r="F42" s="29" t="str">
        <f aca="false">IF(Contracts!$A$42="","",IF(Contracts!F42="","–",Contracts!F42))</f>
        <v/>
      </c>
      <c r="G42" s="41" t="str">
        <f aca="false">IF(Contracts!$A$42="","",IF(Contracts!I42="","–",Contracts!I42))</f>
        <v/>
      </c>
      <c r="H42" s="42" t="str">
        <f aca="false">IF(Contracts!$A$42="","",IF(Contracts!N42="","–",Contracts!N42))</f>
        <v/>
      </c>
      <c r="I42" s="43" t="str">
        <f aca="false">IF(Contracts!$A$42="","",IF(Contracts!J42="","–",Contracts!J42))</f>
        <v/>
      </c>
      <c r="J42" s="29" t="str">
        <f aca="false">IF(Contracts!$A$42="","",IF(Contracts!K42="","–",Contracts!K42))</f>
        <v/>
      </c>
      <c r="K42" s="29" t="str">
        <f aca="false">IF(Contracts!$A$42="","",IF(Contracts!L42="","–",Contracts!L42))</f>
        <v/>
      </c>
      <c r="L42" s="44" t="str">
        <f aca="false">IF(Contracts!$A$42="","",IF(Contracts!O42="","–",Contracts!O42))</f>
        <v/>
      </c>
    </row>
    <row r="43" customFormat="false" ht="19.5" hidden="false" customHeight="true" outlineLevel="0" collapsed="false">
      <c r="B43" s="27" t="str">
        <f aca="false">IF(Contracts!$A$43="","",IF(Contracts!A43="","–",Contracts!A43))</f>
        <v/>
      </c>
      <c r="C43" s="26" t="str">
        <f aca="false">IF(Contracts!$A$43="","",IF(Contracts!B43="","–",Contracts!B43))</f>
        <v/>
      </c>
      <c r="D43" s="26" t="str">
        <f aca="false">IF(Contracts!$A$43="","",IF(Contracts!C43="","–",Contracts!C43))</f>
        <v/>
      </c>
      <c r="E43" s="29" t="str">
        <f aca="false">IF(Contracts!$A$43="","",IF(Contracts!D43="","–",Contracts!D43))</f>
        <v/>
      </c>
      <c r="F43" s="29" t="str">
        <f aca="false">IF(Contracts!$A$43="","",IF(Contracts!F43="","–",Contracts!F43))</f>
        <v/>
      </c>
      <c r="G43" s="41" t="str">
        <f aca="false">IF(Contracts!$A$43="","",IF(Contracts!I43="","–",Contracts!I43))</f>
        <v/>
      </c>
      <c r="H43" s="42" t="str">
        <f aca="false">IF(Contracts!$A$43="","",IF(Contracts!N43="","–",Contracts!N43))</f>
        <v/>
      </c>
      <c r="I43" s="43" t="str">
        <f aca="false">IF(Contracts!$A$43="","",IF(Contracts!J43="","–",Contracts!J43))</f>
        <v/>
      </c>
      <c r="J43" s="29" t="str">
        <f aca="false">IF(Contracts!$A$43="","",IF(Contracts!K43="","–",Contracts!K43))</f>
        <v/>
      </c>
      <c r="K43" s="29" t="str">
        <f aca="false">IF(Contracts!$A$43="","",IF(Contracts!L43="","–",Contracts!L43))</f>
        <v/>
      </c>
      <c r="L43" s="44" t="str">
        <f aca="false">IF(Contracts!$A$43="","",IF(Contracts!O43="","–",Contracts!O43))</f>
        <v/>
      </c>
    </row>
    <row r="44" customFormat="false" ht="19.5" hidden="false" customHeight="true" outlineLevel="0" collapsed="false">
      <c r="B44" s="27" t="str">
        <f aca="false">IF(Contracts!$A$44="","",IF(Contracts!A44="","–",Contracts!A44))</f>
        <v/>
      </c>
      <c r="C44" s="26" t="str">
        <f aca="false">IF(Contracts!$A$44="","",IF(Contracts!B44="","–",Contracts!B44))</f>
        <v/>
      </c>
      <c r="D44" s="26" t="str">
        <f aca="false">IF(Contracts!$A$44="","",IF(Contracts!C44="","–",Contracts!C44))</f>
        <v/>
      </c>
      <c r="E44" s="29" t="str">
        <f aca="false">IF(Contracts!$A$44="","",IF(Contracts!D44="","–",Contracts!D44))</f>
        <v/>
      </c>
      <c r="F44" s="29" t="str">
        <f aca="false">IF(Contracts!$A$44="","",IF(Contracts!F44="","–",Contracts!F44))</f>
        <v/>
      </c>
      <c r="G44" s="41" t="str">
        <f aca="false">IF(Contracts!$A$44="","",IF(Contracts!I44="","–",Contracts!I44))</f>
        <v/>
      </c>
      <c r="H44" s="42" t="str">
        <f aca="false">IF(Contracts!$A$44="","",IF(Contracts!N44="","–",Contracts!N44))</f>
        <v/>
      </c>
      <c r="I44" s="43" t="str">
        <f aca="false">IF(Contracts!$A$44="","",IF(Contracts!J44="","–",Contracts!J44))</f>
        <v/>
      </c>
      <c r="J44" s="29" t="str">
        <f aca="false">IF(Contracts!$A$44="","",IF(Contracts!K44="","–",Contracts!K44))</f>
        <v/>
      </c>
      <c r="K44" s="29" t="str">
        <f aca="false">IF(Contracts!$A$44="","",IF(Contracts!L44="","–",Contracts!L44))</f>
        <v/>
      </c>
      <c r="L44" s="44" t="str">
        <f aca="false">IF(Contracts!$A$44="","",IF(Contracts!O44="","–",Contracts!O44))</f>
        <v/>
      </c>
    </row>
    <row r="45" customFormat="false" ht="19.5" hidden="false" customHeight="true" outlineLevel="0" collapsed="false">
      <c r="B45" s="27" t="str">
        <f aca="false">IF(Contracts!$A$45="","",IF(Contracts!A45="","–",Contracts!A45))</f>
        <v/>
      </c>
      <c r="C45" s="26" t="str">
        <f aca="false">IF(Contracts!$A$45="","",IF(Contracts!B45="","–",Contracts!B45))</f>
        <v/>
      </c>
      <c r="D45" s="26" t="str">
        <f aca="false">IF(Contracts!$A$45="","",IF(Contracts!C45="","–",Contracts!C45))</f>
        <v/>
      </c>
      <c r="E45" s="29" t="str">
        <f aca="false">IF(Contracts!$A$45="","",IF(Contracts!D45="","–",Contracts!D45))</f>
        <v/>
      </c>
      <c r="F45" s="29" t="str">
        <f aca="false">IF(Contracts!$A$45="","",IF(Contracts!F45="","–",Contracts!F45))</f>
        <v/>
      </c>
      <c r="G45" s="41" t="str">
        <f aca="false">IF(Contracts!$A$45="","",IF(Contracts!I45="","–",Contracts!I45))</f>
        <v/>
      </c>
      <c r="H45" s="42" t="str">
        <f aca="false">IF(Contracts!$A$45="","",IF(Contracts!N45="","–",Contracts!N45))</f>
        <v/>
      </c>
      <c r="I45" s="43" t="str">
        <f aca="false">IF(Contracts!$A$45="","",IF(Contracts!J45="","–",Contracts!J45))</f>
        <v/>
      </c>
      <c r="J45" s="29" t="str">
        <f aca="false">IF(Contracts!$A$45="","",IF(Contracts!K45="","–",Contracts!K45))</f>
        <v/>
      </c>
      <c r="K45" s="29" t="str">
        <f aca="false">IF(Contracts!$A$45="","",IF(Contracts!L45="","–",Contracts!L45))</f>
        <v/>
      </c>
      <c r="L45" s="44" t="str">
        <f aca="false">IF(Contracts!$A$45="","",IF(Contracts!O45="","–",Contracts!O45))</f>
        <v/>
      </c>
    </row>
    <row r="46" customFormat="false" ht="19.5" hidden="false" customHeight="true" outlineLevel="0" collapsed="false">
      <c r="B46" s="27" t="str">
        <f aca="false">IF(Contracts!$A$46="","",IF(Contracts!A46="","–",Contracts!A46))</f>
        <v/>
      </c>
      <c r="C46" s="26" t="str">
        <f aca="false">IF(Contracts!$A$46="","",IF(Contracts!B46="","–",Contracts!B46))</f>
        <v/>
      </c>
      <c r="D46" s="26" t="str">
        <f aca="false">IF(Contracts!$A$46="","",IF(Contracts!C46="","–",Contracts!C46))</f>
        <v/>
      </c>
      <c r="E46" s="29" t="str">
        <f aca="false">IF(Contracts!$A$46="","",IF(Contracts!D46="","–",Contracts!D46))</f>
        <v/>
      </c>
      <c r="F46" s="29" t="str">
        <f aca="false">IF(Contracts!$A$46="","",IF(Contracts!F46="","–",Contracts!F46))</f>
        <v/>
      </c>
      <c r="G46" s="41" t="str">
        <f aca="false">IF(Contracts!$A$46="","",IF(Contracts!I46="","–",Contracts!I46))</f>
        <v/>
      </c>
      <c r="H46" s="42" t="str">
        <f aca="false">IF(Contracts!$A$46="","",IF(Contracts!N46="","–",Contracts!N46))</f>
        <v/>
      </c>
      <c r="I46" s="43" t="str">
        <f aca="false">IF(Contracts!$A$46="","",IF(Contracts!J46="","–",Contracts!J46))</f>
        <v/>
      </c>
      <c r="J46" s="29" t="str">
        <f aca="false">IF(Contracts!$A$46="","",IF(Contracts!K46="","–",Contracts!K46))</f>
        <v/>
      </c>
      <c r="K46" s="29" t="str">
        <f aca="false">IF(Contracts!$A$46="","",IF(Contracts!L46="","–",Contracts!L46))</f>
        <v/>
      </c>
      <c r="L46" s="44" t="str">
        <f aca="false">IF(Contracts!$A$46="","",IF(Contracts!O46="","–",Contracts!O46))</f>
        <v/>
      </c>
    </row>
    <row r="47" customFormat="false" ht="19.5" hidden="false" customHeight="true" outlineLevel="0" collapsed="false">
      <c r="B47" s="27" t="str">
        <f aca="false">IF(Contracts!$A$47="","",IF(Contracts!A47="","–",Contracts!A47))</f>
        <v/>
      </c>
      <c r="C47" s="26" t="str">
        <f aca="false">IF(Contracts!$A$47="","",IF(Contracts!B47="","–",Contracts!B47))</f>
        <v/>
      </c>
      <c r="D47" s="26" t="str">
        <f aca="false">IF(Contracts!$A$47="","",IF(Contracts!C47="","–",Contracts!C47))</f>
        <v/>
      </c>
      <c r="E47" s="29" t="str">
        <f aca="false">IF(Contracts!$A$47="","",IF(Contracts!D47="","–",Contracts!D47))</f>
        <v/>
      </c>
      <c r="F47" s="29" t="str">
        <f aca="false">IF(Contracts!$A$47="","",IF(Contracts!F47="","–",Contracts!F47))</f>
        <v/>
      </c>
      <c r="G47" s="41" t="str">
        <f aca="false">IF(Contracts!$A$47="","",IF(Contracts!I47="","–",Contracts!I47))</f>
        <v/>
      </c>
      <c r="H47" s="42" t="str">
        <f aca="false">IF(Contracts!$A$47="","",IF(Contracts!N47="","–",Contracts!N47))</f>
        <v/>
      </c>
      <c r="I47" s="43" t="str">
        <f aca="false">IF(Contracts!$A$47="","",IF(Contracts!J47="","–",Contracts!J47))</f>
        <v/>
      </c>
      <c r="J47" s="29" t="str">
        <f aca="false">IF(Contracts!$A$47="","",IF(Contracts!K47="","–",Contracts!K47))</f>
        <v/>
      </c>
      <c r="K47" s="29" t="str">
        <f aca="false">IF(Contracts!$A$47="","",IF(Contracts!L47="","–",Contracts!L47))</f>
        <v/>
      </c>
      <c r="L47" s="44" t="str">
        <f aca="false">IF(Contracts!$A$47="","",IF(Contracts!O47="","–",Contracts!O47))</f>
        <v/>
      </c>
    </row>
    <row r="48" customFormat="false" ht="19.5" hidden="false" customHeight="true" outlineLevel="0" collapsed="false">
      <c r="B48" s="27" t="str">
        <f aca="false">IF(Contracts!$A$48="","",IF(Contracts!A48="","–",Contracts!A48))</f>
        <v/>
      </c>
      <c r="C48" s="26" t="str">
        <f aca="false">IF(Contracts!$A$48="","",IF(Contracts!B48="","–",Contracts!B48))</f>
        <v/>
      </c>
      <c r="D48" s="26" t="str">
        <f aca="false">IF(Contracts!$A$48="","",IF(Contracts!C48="","–",Contracts!C48))</f>
        <v/>
      </c>
      <c r="E48" s="29" t="str">
        <f aca="false">IF(Contracts!$A$48="","",IF(Contracts!D48="","–",Contracts!D48))</f>
        <v/>
      </c>
      <c r="F48" s="29" t="str">
        <f aca="false">IF(Contracts!$A$48="","",IF(Contracts!F48="","–",Contracts!F48))</f>
        <v/>
      </c>
      <c r="G48" s="41" t="str">
        <f aca="false">IF(Contracts!$A$48="","",IF(Contracts!I48="","–",Contracts!I48))</f>
        <v/>
      </c>
      <c r="H48" s="42" t="str">
        <f aca="false">IF(Contracts!$A$48="","",IF(Contracts!N48="","–",Contracts!N48))</f>
        <v/>
      </c>
      <c r="I48" s="43" t="str">
        <f aca="false">IF(Contracts!$A$48="","",IF(Contracts!J48="","–",Contracts!J48))</f>
        <v/>
      </c>
      <c r="J48" s="29" t="str">
        <f aca="false">IF(Contracts!$A$48="","",IF(Contracts!K48="","–",Contracts!K48))</f>
        <v/>
      </c>
      <c r="K48" s="29" t="str">
        <f aca="false">IF(Contracts!$A$48="","",IF(Contracts!L48="","–",Contracts!L48))</f>
        <v/>
      </c>
      <c r="L48" s="44" t="str">
        <f aca="false">IF(Contracts!$A$48="","",IF(Contracts!O48="","–",Contracts!O48))</f>
        <v/>
      </c>
    </row>
    <row r="49" customFormat="false" ht="19.5" hidden="false" customHeight="true" outlineLevel="0" collapsed="false">
      <c r="B49" s="27" t="str">
        <f aca="false">IF(Contracts!$A$49="","",IF(Contracts!A49="","–",Contracts!A49))</f>
        <v/>
      </c>
      <c r="C49" s="26" t="str">
        <f aca="false">IF(Contracts!$A$49="","",IF(Contracts!B49="","–",Contracts!B49))</f>
        <v/>
      </c>
      <c r="D49" s="26" t="str">
        <f aca="false">IF(Contracts!$A$49="","",IF(Contracts!C49="","–",Contracts!C49))</f>
        <v/>
      </c>
      <c r="E49" s="29" t="str">
        <f aca="false">IF(Contracts!$A$49="","",IF(Contracts!D49="","–",Contracts!D49))</f>
        <v/>
      </c>
      <c r="F49" s="29" t="str">
        <f aca="false">IF(Contracts!$A$49="","",IF(Contracts!F49="","–",Contracts!F49))</f>
        <v/>
      </c>
      <c r="G49" s="41" t="str">
        <f aca="false">IF(Contracts!$A$49="","",IF(Contracts!I49="","–",Contracts!I49))</f>
        <v/>
      </c>
      <c r="H49" s="42" t="str">
        <f aca="false">IF(Contracts!$A$49="","",IF(Contracts!N49="","–",Contracts!N49))</f>
        <v/>
      </c>
      <c r="I49" s="43" t="str">
        <f aca="false">IF(Contracts!$A$49="","",IF(Contracts!J49="","–",Contracts!J49))</f>
        <v/>
      </c>
      <c r="J49" s="29" t="str">
        <f aca="false">IF(Contracts!$A$49="","",IF(Contracts!K49="","–",Contracts!K49))</f>
        <v/>
      </c>
      <c r="K49" s="29" t="str">
        <f aca="false">IF(Contracts!$A$49="","",IF(Contracts!L49="","–",Contracts!L49))</f>
        <v/>
      </c>
      <c r="L49" s="44" t="str">
        <f aca="false">IF(Contracts!$A$49="","",IF(Contracts!O49="","–",Contracts!O49))</f>
        <v/>
      </c>
    </row>
    <row r="50" customFormat="false" ht="19.5" hidden="false" customHeight="true" outlineLevel="0" collapsed="false">
      <c r="B50" s="27" t="str">
        <f aca="false">IF(Contracts!$A$50="","",IF(Contracts!A50="","–",Contracts!A50))</f>
        <v/>
      </c>
      <c r="C50" s="26" t="str">
        <f aca="false">IF(Contracts!$A$50="","",IF(Contracts!B50="","–",Contracts!B50))</f>
        <v/>
      </c>
      <c r="D50" s="26" t="str">
        <f aca="false">IF(Contracts!$A$50="","",IF(Contracts!C50="","–",Contracts!C50))</f>
        <v/>
      </c>
      <c r="E50" s="29" t="str">
        <f aca="false">IF(Contracts!$A$50="","",IF(Contracts!D50="","–",Contracts!D50))</f>
        <v/>
      </c>
      <c r="F50" s="29" t="str">
        <f aca="false">IF(Contracts!$A$50="","",IF(Contracts!F50="","–",Contracts!F50))</f>
        <v/>
      </c>
      <c r="G50" s="41" t="str">
        <f aca="false">IF(Contracts!$A$50="","",IF(Contracts!I50="","–",Contracts!I50))</f>
        <v/>
      </c>
      <c r="H50" s="42" t="str">
        <f aca="false">IF(Contracts!$A$50="","",IF(Contracts!N50="","–",Contracts!N50))</f>
        <v/>
      </c>
      <c r="I50" s="43" t="str">
        <f aca="false">IF(Contracts!$A$50="","",IF(Contracts!J50="","–",Contracts!J50))</f>
        <v/>
      </c>
      <c r="J50" s="29" t="str">
        <f aca="false">IF(Contracts!$A$50="","",IF(Contracts!K50="","–",Contracts!K50))</f>
        <v/>
      </c>
      <c r="K50" s="29" t="str">
        <f aca="false">IF(Contracts!$A$50="","",IF(Contracts!L50="","–",Contracts!L50))</f>
        <v/>
      </c>
      <c r="L50" s="44" t="str">
        <f aca="false">IF(Contracts!$A$50="","",IF(Contracts!O50="","–",Contracts!O50))</f>
        <v/>
      </c>
    </row>
    <row r="51" customFormat="false" ht="19.5" hidden="false" customHeight="true" outlineLevel="0" collapsed="false">
      <c r="B51" s="27" t="str">
        <f aca="false">IF(Contracts!$A$51="","",IF(Contracts!A51="","–",Contracts!A51))</f>
        <v/>
      </c>
      <c r="C51" s="26" t="str">
        <f aca="false">IF(Contracts!$A$51="","",IF(Contracts!B51="","–",Contracts!B51))</f>
        <v/>
      </c>
      <c r="D51" s="26" t="str">
        <f aca="false">IF(Contracts!$A$51="","",IF(Contracts!C51="","–",Contracts!C51))</f>
        <v/>
      </c>
      <c r="E51" s="29" t="str">
        <f aca="false">IF(Contracts!$A$51="","",IF(Contracts!D51="","–",Contracts!D51))</f>
        <v/>
      </c>
      <c r="F51" s="29" t="str">
        <f aca="false">IF(Contracts!$A$51="","",IF(Contracts!F51="","–",Contracts!F51))</f>
        <v/>
      </c>
      <c r="G51" s="41" t="str">
        <f aca="false">IF(Contracts!$A$51="","",IF(Contracts!I51="","–",Contracts!I51))</f>
        <v/>
      </c>
      <c r="H51" s="42" t="str">
        <f aca="false">IF(Contracts!$A$51="","",IF(Contracts!N51="","–",Contracts!N51))</f>
        <v/>
      </c>
      <c r="I51" s="43" t="str">
        <f aca="false">IF(Contracts!$A$51="","",IF(Contracts!J51="","–",Contracts!J51))</f>
        <v/>
      </c>
      <c r="J51" s="29" t="str">
        <f aca="false">IF(Contracts!$A$51="","",IF(Contracts!K51="","–",Contracts!K51))</f>
        <v/>
      </c>
      <c r="K51" s="29" t="str">
        <f aca="false">IF(Contracts!$A$51="","",IF(Contracts!L51="","–",Contracts!L51))</f>
        <v/>
      </c>
      <c r="L51" s="44" t="str">
        <f aca="false">IF(Contracts!$A$51="","",IF(Contracts!O51="","–",Contracts!O51))</f>
        <v/>
      </c>
    </row>
    <row r="52" customFormat="false" ht="19.5" hidden="false" customHeight="true" outlineLevel="0" collapsed="false">
      <c r="B52" s="27" t="str">
        <f aca="false">IF(Contracts!$A$52="","",IF(Contracts!A52="","–",Contracts!A52))</f>
        <v/>
      </c>
      <c r="C52" s="26" t="str">
        <f aca="false">IF(Contracts!$A$52="","",IF(Contracts!B52="","–",Contracts!B52))</f>
        <v/>
      </c>
      <c r="D52" s="26" t="str">
        <f aca="false">IF(Contracts!$A$52="","",IF(Contracts!C52="","–",Contracts!C52))</f>
        <v/>
      </c>
      <c r="E52" s="29" t="str">
        <f aca="false">IF(Contracts!$A$52="","",IF(Contracts!D52="","–",Contracts!D52))</f>
        <v/>
      </c>
      <c r="F52" s="29" t="str">
        <f aca="false">IF(Contracts!$A$52="","",IF(Contracts!F52="","–",Contracts!F52))</f>
        <v/>
      </c>
      <c r="G52" s="41" t="str">
        <f aca="false">IF(Contracts!$A$52="","",IF(Contracts!I52="","–",Contracts!I52))</f>
        <v/>
      </c>
      <c r="H52" s="42" t="str">
        <f aca="false">IF(Contracts!$A$52="","",IF(Contracts!N52="","–",Contracts!N52))</f>
        <v/>
      </c>
      <c r="I52" s="43" t="str">
        <f aca="false">IF(Contracts!$A$52="","",IF(Contracts!J52="","–",Contracts!J52))</f>
        <v/>
      </c>
      <c r="J52" s="29" t="str">
        <f aca="false">IF(Contracts!$A$52="","",IF(Contracts!K52="","–",Contracts!K52))</f>
        <v/>
      </c>
      <c r="K52" s="29" t="str">
        <f aca="false">IF(Contracts!$A$52="","",IF(Contracts!L52="","–",Contracts!L52))</f>
        <v/>
      </c>
      <c r="L52" s="44" t="str">
        <f aca="false">IF(Contracts!$A$52="","",IF(Contracts!O52="","–",Contracts!O52))</f>
        <v/>
      </c>
    </row>
    <row r="53" customFormat="false" ht="19.5" hidden="false" customHeight="true" outlineLevel="0" collapsed="false">
      <c r="B53" s="27" t="str">
        <f aca="false">IF(Contracts!$A$53="","",IF(Contracts!A53="","–",Contracts!A53))</f>
        <v/>
      </c>
      <c r="C53" s="26" t="str">
        <f aca="false">IF(Contracts!$A$53="","",IF(Contracts!B53="","–",Contracts!B53))</f>
        <v/>
      </c>
      <c r="D53" s="26" t="str">
        <f aca="false">IF(Contracts!$A$53="","",IF(Contracts!C53="","–",Contracts!C53))</f>
        <v/>
      </c>
      <c r="E53" s="29" t="str">
        <f aca="false">IF(Contracts!$A$53="","",IF(Contracts!D53="","–",Contracts!D53))</f>
        <v/>
      </c>
      <c r="F53" s="29" t="str">
        <f aca="false">IF(Contracts!$A$53="","",IF(Contracts!F53="","–",Contracts!F53))</f>
        <v/>
      </c>
      <c r="G53" s="41" t="str">
        <f aca="false">IF(Contracts!$A$53="","",IF(Contracts!I53="","–",Contracts!I53))</f>
        <v/>
      </c>
      <c r="H53" s="42" t="str">
        <f aca="false">IF(Contracts!$A$53="","",IF(Contracts!N53="","–",Contracts!N53))</f>
        <v/>
      </c>
      <c r="I53" s="43" t="str">
        <f aca="false">IF(Contracts!$A$53="","",IF(Contracts!J53="","–",Contracts!J53))</f>
        <v/>
      </c>
      <c r="J53" s="29" t="str">
        <f aca="false">IF(Contracts!$A$53="","",IF(Contracts!K53="","–",Contracts!K53))</f>
        <v/>
      </c>
      <c r="K53" s="29" t="str">
        <f aca="false">IF(Contracts!$A$53="","",IF(Contracts!L53="","–",Contracts!L53))</f>
        <v/>
      </c>
      <c r="L53" s="44" t="str">
        <f aca="false">IF(Contracts!$A$53="","",IF(Contracts!O53="","–",Contracts!O53))</f>
        <v/>
      </c>
    </row>
    <row r="54" customFormat="false" ht="19.5" hidden="false" customHeight="true" outlineLevel="0" collapsed="false">
      <c r="B54" s="27" t="str">
        <f aca="false">IF(Contracts!$A$54="","",IF(Contracts!A54="","–",Contracts!A54))</f>
        <v/>
      </c>
      <c r="C54" s="26" t="str">
        <f aca="false">IF(Contracts!$A$54="","",IF(Contracts!B54="","–",Contracts!B54))</f>
        <v/>
      </c>
      <c r="D54" s="26" t="str">
        <f aca="false">IF(Contracts!$A$54="","",IF(Contracts!C54="","–",Contracts!C54))</f>
        <v/>
      </c>
      <c r="E54" s="29" t="str">
        <f aca="false">IF(Contracts!$A$54="","",IF(Contracts!D54="","–",Contracts!D54))</f>
        <v/>
      </c>
      <c r="F54" s="29" t="str">
        <f aca="false">IF(Contracts!$A$54="","",IF(Contracts!F54="","–",Contracts!F54))</f>
        <v/>
      </c>
      <c r="G54" s="41" t="str">
        <f aca="false">IF(Contracts!$A$54="","",IF(Contracts!I54="","–",Contracts!I54))</f>
        <v/>
      </c>
      <c r="H54" s="42" t="str">
        <f aca="false">IF(Contracts!$A$54="","",IF(Contracts!N54="","–",Contracts!N54))</f>
        <v/>
      </c>
      <c r="I54" s="43" t="str">
        <f aca="false">IF(Contracts!$A$54="","",IF(Contracts!J54="","–",Contracts!J54))</f>
        <v/>
      </c>
      <c r="J54" s="29" t="str">
        <f aca="false">IF(Contracts!$A$54="","",IF(Contracts!K54="","–",Contracts!K54))</f>
        <v/>
      </c>
      <c r="K54" s="29" t="str">
        <f aca="false">IF(Contracts!$A$54="","",IF(Contracts!L54="","–",Contracts!L54))</f>
        <v/>
      </c>
      <c r="L54" s="44" t="str">
        <f aca="false">IF(Contracts!$A$54="","",IF(Contracts!O54="","–",Contracts!O54))</f>
        <v/>
      </c>
    </row>
    <row r="55" customFormat="false" ht="19.5" hidden="false" customHeight="true" outlineLevel="0" collapsed="false">
      <c r="B55" s="27" t="str">
        <f aca="false">IF(Contracts!$A$55="","",IF(Contracts!A55="","–",Contracts!A55))</f>
        <v/>
      </c>
      <c r="C55" s="26" t="str">
        <f aca="false">IF(Contracts!$A$55="","",IF(Contracts!B55="","–",Contracts!B55))</f>
        <v/>
      </c>
      <c r="D55" s="26" t="str">
        <f aca="false">IF(Contracts!$A$55="","",IF(Contracts!C55="","–",Contracts!C55))</f>
        <v/>
      </c>
      <c r="E55" s="29" t="str">
        <f aca="false">IF(Contracts!$A$55="","",IF(Contracts!D55="","–",Contracts!D55))</f>
        <v/>
      </c>
      <c r="F55" s="29" t="str">
        <f aca="false">IF(Contracts!$A$55="","",IF(Contracts!F55="","–",Contracts!F55))</f>
        <v/>
      </c>
      <c r="G55" s="41" t="str">
        <f aca="false">IF(Contracts!$A$55="","",IF(Contracts!I55="","–",Contracts!I55))</f>
        <v/>
      </c>
      <c r="H55" s="42" t="str">
        <f aca="false">IF(Contracts!$A$55="","",IF(Contracts!N55="","–",Contracts!N55))</f>
        <v/>
      </c>
      <c r="I55" s="43" t="str">
        <f aca="false">IF(Contracts!$A$55="","",IF(Contracts!J55="","–",Contracts!J55))</f>
        <v/>
      </c>
      <c r="J55" s="29" t="str">
        <f aca="false">IF(Contracts!$A$55="","",IF(Contracts!K55="","–",Contracts!K55))</f>
        <v/>
      </c>
      <c r="K55" s="29" t="str">
        <f aca="false">IF(Contracts!$A$55="","",IF(Contracts!L55="","–",Contracts!L55))</f>
        <v/>
      </c>
      <c r="L55" s="44" t="str">
        <f aca="false">IF(Contracts!$A$55="","",IF(Contracts!O55="","–",Contracts!O55))</f>
        <v/>
      </c>
    </row>
    <row r="56" customFormat="false" ht="19.5" hidden="false" customHeight="true" outlineLevel="0" collapsed="false">
      <c r="B56" s="27" t="str">
        <f aca="false">IF(Contracts!$A$56="","",IF(Contracts!A56="","–",Contracts!A56))</f>
        <v/>
      </c>
      <c r="C56" s="26" t="str">
        <f aca="false">IF(Contracts!$A$56="","",IF(Contracts!B56="","–",Contracts!B56))</f>
        <v/>
      </c>
      <c r="D56" s="26" t="str">
        <f aca="false">IF(Contracts!$A$56="","",IF(Contracts!C56="","–",Contracts!C56))</f>
        <v/>
      </c>
      <c r="E56" s="29" t="str">
        <f aca="false">IF(Contracts!$A$56="","",IF(Contracts!D56="","–",Contracts!D56))</f>
        <v/>
      </c>
      <c r="F56" s="29" t="str">
        <f aca="false">IF(Contracts!$A$56="","",IF(Contracts!F56="","–",Contracts!F56))</f>
        <v/>
      </c>
      <c r="G56" s="41" t="str">
        <f aca="false">IF(Contracts!$A$56="","",IF(Contracts!I56="","–",Contracts!I56))</f>
        <v/>
      </c>
      <c r="H56" s="42" t="str">
        <f aca="false">IF(Contracts!$A$56="","",IF(Contracts!N56="","–",Contracts!N56))</f>
        <v/>
      </c>
      <c r="I56" s="43" t="str">
        <f aca="false">IF(Contracts!$A$56="","",IF(Contracts!J56="","–",Contracts!J56))</f>
        <v/>
      </c>
      <c r="J56" s="29" t="str">
        <f aca="false">IF(Contracts!$A$56="","",IF(Contracts!K56="","–",Contracts!K56))</f>
        <v/>
      </c>
      <c r="K56" s="29" t="str">
        <f aca="false">IF(Contracts!$A$56="","",IF(Contracts!L56="","–",Contracts!L56))</f>
        <v/>
      </c>
      <c r="L56" s="44" t="str">
        <f aca="false">IF(Contracts!$A$56="","",IF(Contracts!O56="","–",Contracts!O56))</f>
        <v/>
      </c>
    </row>
    <row r="57" customFormat="false" ht="19.5" hidden="false" customHeight="true" outlineLevel="0" collapsed="false">
      <c r="B57" s="27" t="str">
        <f aca="false">IF(Contracts!$A$57="","",IF(Contracts!A57="","–",Contracts!A57))</f>
        <v/>
      </c>
      <c r="C57" s="26" t="str">
        <f aca="false">IF(Contracts!$A$57="","",IF(Contracts!B57="","–",Contracts!B57))</f>
        <v/>
      </c>
      <c r="D57" s="26" t="str">
        <f aca="false">IF(Contracts!$A$57="","",IF(Contracts!C57="","–",Contracts!C57))</f>
        <v/>
      </c>
      <c r="E57" s="29" t="str">
        <f aca="false">IF(Contracts!$A$57="","",IF(Contracts!D57="","–",Contracts!D57))</f>
        <v/>
      </c>
      <c r="F57" s="29" t="str">
        <f aca="false">IF(Contracts!$A$57="","",IF(Contracts!F57="","–",Contracts!F57))</f>
        <v/>
      </c>
      <c r="G57" s="41" t="str">
        <f aca="false">IF(Contracts!$A$57="","",IF(Contracts!I57="","–",Contracts!I57))</f>
        <v/>
      </c>
      <c r="H57" s="42" t="str">
        <f aca="false">IF(Contracts!$A$57="","",IF(Contracts!N57="","–",Contracts!N57))</f>
        <v/>
      </c>
      <c r="I57" s="43" t="str">
        <f aca="false">IF(Contracts!$A$57="","",IF(Contracts!J57="","–",Contracts!J57))</f>
        <v/>
      </c>
      <c r="J57" s="29" t="str">
        <f aca="false">IF(Contracts!$A$57="","",IF(Contracts!K57="","–",Contracts!K57))</f>
        <v/>
      </c>
      <c r="K57" s="29" t="str">
        <f aca="false">IF(Contracts!$A$57="","",IF(Contracts!L57="","–",Contracts!L57))</f>
        <v/>
      </c>
      <c r="L57" s="44" t="str">
        <f aca="false">IF(Contracts!$A$57="","",IF(Contracts!O57="","–",Contracts!O57))</f>
        <v/>
      </c>
    </row>
    <row r="58" customFormat="false" ht="19.5" hidden="false" customHeight="true" outlineLevel="0" collapsed="false">
      <c r="B58" s="27" t="str">
        <f aca="false">IF(Contracts!$A$58="","",IF(Contracts!A58="","–",Contracts!A58))</f>
        <v/>
      </c>
      <c r="C58" s="26" t="str">
        <f aca="false">IF(Contracts!$A$58="","",IF(Contracts!B58="","–",Contracts!B58))</f>
        <v/>
      </c>
      <c r="D58" s="26" t="str">
        <f aca="false">IF(Contracts!$A$58="","",IF(Contracts!C58="","–",Contracts!C58))</f>
        <v/>
      </c>
      <c r="E58" s="29" t="str">
        <f aca="false">IF(Contracts!$A$58="","",IF(Contracts!D58="","–",Contracts!D58))</f>
        <v/>
      </c>
      <c r="F58" s="29" t="str">
        <f aca="false">IF(Contracts!$A$58="","",IF(Contracts!F58="","–",Contracts!F58))</f>
        <v/>
      </c>
      <c r="G58" s="41" t="str">
        <f aca="false">IF(Contracts!$A$58="","",IF(Contracts!I58="","–",Contracts!I58))</f>
        <v/>
      </c>
      <c r="H58" s="42" t="str">
        <f aca="false">IF(Contracts!$A$58="","",IF(Contracts!N58="","–",Contracts!N58))</f>
        <v/>
      </c>
      <c r="I58" s="43" t="str">
        <f aca="false">IF(Contracts!$A$58="","",IF(Contracts!J58="","–",Contracts!J58))</f>
        <v/>
      </c>
      <c r="J58" s="29" t="str">
        <f aca="false">IF(Contracts!$A$58="","",IF(Contracts!K58="","–",Contracts!K58))</f>
        <v/>
      </c>
      <c r="K58" s="29" t="str">
        <f aca="false">IF(Contracts!$A$58="","",IF(Contracts!L58="","–",Contracts!L58))</f>
        <v/>
      </c>
      <c r="L58" s="44" t="str">
        <f aca="false">IF(Contracts!$A$58="","",IF(Contracts!O58="","–",Contracts!O58))</f>
        <v/>
      </c>
    </row>
    <row r="59" customFormat="false" ht="19.5" hidden="false" customHeight="true" outlineLevel="0" collapsed="false">
      <c r="B59" s="27" t="str">
        <f aca="false">IF(Contracts!$A$59="","",IF(Contracts!A59="","–",Contracts!A59))</f>
        <v/>
      </c>
      <c r="C59" s="26" t="str">
        <f aca="false">IF(Contracts!$A$59="","",IF(Contracts!B59="","–",Contracts!B59))</f>
        <v/>
      </c>
      <c r="D59" s="26" t="str">
        <f aca="false">IF(Contracts!$A$59="","",IF(Contracts!C59="","–",Contracts!C59))</f>
        <v/>
      </c>
      <c r="E59" s="29" t="str">
        <f aca="false">IF(Contracts!$A$59="","",IF(Contracts!D59="","–",Contracts!D59))</f>
        <v/>
      </c>
      <c r="F59" s="29" t="str">
        <f aca="false">IF(Contracts!$A$59="","",IF(Contracts!F59="","–",Contracts!F59))</f>
        <v/>
      </c>
      <c r="G59" s="41" t="str">
        <f aca="false">IF(Contracts!$A$59="","",IF(Contracts!I59="","–",Contracts!I59))</f>
        <v/>
      </c>
      <c r="H59" s="42" t="str">
        <f aca="false">IF(Contracts!$A$59="","",IF(Contracts!N59="","–",Contracts!N59))</f>
        <v/>
      </c>
      <c r="I59" s="43" t="str">
        <f aca="false">IF(Contracts!$A$59="","",IF(Contracts!J59="","–",Contracts!J59))</f>
        <v/>
      </c>
      <c r="J59" s="29" t="str">
        <f aca="false">IF(Contracts!$A$59="","",IF(Contracts!K59="","–",Contracts!K59))</f>
        <v/>
      </c>
      <c r="K59" s="29" t="str">
        <f aca="false">IF(Contracts!$A$59="","",IF(Contracts!L59="","–",Contracts!L59))</f>
        <v/>
      </c>
      <c r="L59" s="44" t="str">
        <f aca="false">IF(Contracts!$A$59="","",IF(Contracts!O59="","–",Contracts!O59))</f>
        <v/>
      </c>
    </row>
    <row r="60" customFormat="false" ht="19.5" hidden="false" customHeight="true" outlineLevel="0" collapsed="false">
      <c r="B60" s="27" t="str">
        <f aca="false">IF(Contracts!$A$60="","",IF(Contracts!A60="","–",Contracts!A60))</f>
        <v/>
      </c>
      <c r="C60" s="26" t="str">
        <f aca="false">IF(Contracts!$A$60="","",IF(Contracts!B60="","–",Contracts!B60))</f>
        <v/>
      </c>
      <c r="D60" s="26" t="str">
        <f aca="false">IF(Contracts!$A$60="","",IF(Contracts!C60="","–",Contracts!C60))</f>
        <v/>
      </c>
      <c r="E60" s="29" t="str">
        <f aca="false">IF(Contracts!$A$60="","",IF(Contracts!D60="","–",Contracts!D60))</f>
        <v/>
      </c>
      <c r="F60" s="29" t="str">
        <f aca="false">IF(Contracts!$A$60="","",IF(Contracts!F60="","–",Contracts!F60))</f>
        <v/>
      </c>
      <c r="G60" s="41" t="str">
        <f aca="false">IF(Contracts!$A$60="","",IF(Contracts!I60="","–",Contracts!I60))</f>
        <v/>
      </c>
      <c r="H60" s="42" t="str">
        <f aca="false">IF(Contracts!$A$60="","",IF(Contracts!N60="","–",Contracts!N60))</f>
        <v/>
      </c>
      <c r="I60" s="43" t="str">
        <f aca="false">IF(Contracts!$A$60="","",IF(Contracts!J60="","–",Contracts!J60))</f>
        <v/>
      </c>
      <c r="J60" s="29" t="str">
        <f aca="false">IF(Contracts!$A$60="","",IF(Contracts!K60="","–",Contracts!K60))</f>
        <v/>
      </c>
      <c r="K60" s="29" t="str">
        <f aca="false">IF(Contracts!$A$60="","",IF(Contracts!L60="","–",Contracts!L60))</f>
        <v/>
      </c>
      <c r="L60" s="44" t="str">
        <f aca="false">IF(Contracts!$A$60="","",IF(Contracts!O60="","–",Contracts!O60))</f>
        <v/>
      </c>
    </row>
    <row r="61" customFormat="false" ht="19.5" hidden="false" customHeight="true" outlineLevel="0" collapsed="false">
      <c r="B61" s="27" t="str">
        <f aca="false">IF(Contracts!$A$61="","",IF(Contracts!A61="","–",Contracts!A61))</f>
        <v/>
      </c>
      <c r="C61" s="26" t="str">
        <f aca="false">IF(Contracts!$A$61="","",IF(Contracts!B61="","–",Contracts!B61))</f>
        <v/>
      </c>
      <c r="D61" s="26" t="str">
        <f aca="false">IF(Contracts!$A$61="","",IF(Contracts!C61="","–",Contracts!C61))</f>
        <v/>
      </c>
      <c r="E61" s="29" t="str">
        <f aca="false">IF(Contracts!$A$61="","",IF(Contracts!D61="","–",Contracts!D61))</f>
        <v/>
      </c>
      <c r="F61" s="29" t="str">
        <f aca="false">IF(Contracts!$A$61="","",IF(Contracts!F61="","–",Contracts!F61))</f>
        <v/>
      </c>
      <c r="G61" s="41" t="str">
        <f aca="false">IF(Contracts!$A$61="","",IF(Contracts!I61="","–",Contracts!I61))</f>
        <v/>
      </c>
      <c r="H61" s="42" t="str">
        <f aca="false">IF(Contracts!$A$61="","",IF(Contracts!N61="","–",Contracts!N61))</f>
        <v/>
      </c>
      <c r="I61" s="43" t="str">
        <f aca="false">IF(Contracts!$A$61="","",IF(Contracts!J61="","–",Contracts!J61))</f>
        <v/>
      </c>
      <c r="J61" s="29" t="str">
        <f aca="false">IF(Contracts!$A$61="","",IF(Contracts!K61="","–",Contracts!K61))</f>
        <v/>
      </c>
      <c r="K61" s="29" t="str">
        <f aca="false">IF(Contracts!$A$61="","",IF(Contracts!L61="","–",Contracts!L61))</f>
        <v/>
      </c>
      <c r="L61" s="44" t="str">
        <f aca="false">IF(Contracts!$A$61="","",IF(Contracts!O61="","–",Contracts!O61))</f>
        <v/>
      </c>
    </row>
    <row r="62" customFormat="false" ht="19.5" hidden="false" customHeight="true" outlineLevel="0" collapsed="false">
      <c r="B62" s="27" t="str">
        <f aca="false">IF(Contracts!$A$62="","",IF(Contracts!A62="","–",Contracts!A62))</f>
        <v/>
      </c>
      <c r="C62" s="26" t="str">
        <f aca="false">IF(Contracts!$A$62="","",IF(Contracts!B62="","–",Contracts!B62))</f>
        <v/>
      </c>
      <c r="D62" s="26" t="str">
        <f aca="false">IF(Contracts!$A$62="","",IF(Contracts!C62="","–",Contracts!C62))</f>
        <v/>
      </c>
      <c r="E62" s="29" t="str">
        <f aca="false">IF(Contracts!$A$62="","",IF(Contracts!D62="","–",Contracts!D62))</f>
        <v/>
      </c>
      <c r="F62" s="29" t="str">
        <f aca="false">IF(Contracts!$A$62="","",IF(Contracts!F62="","–",Contracts!F62))</f>
        <v/>
      </c>
      <c r="G62" s="41" t="str">
        <f aca="false">IF(Contracts!$A$62="","",IF(Contracts!I62="","–",Contracts!I62))</f>
        <v/>
      </c>
      <c r="H62" s="42" t="str">
        <f aca="false">IF(Contracts!$A$62="","",IF(Contracts!N62="","–",Contracts!N62))</f>
        <v/>
      </c>
      <c r="I62" s="43" t="str">
        <f aca="false">IF(Contracts!$A$62="","",IF(Contracts!J62="","–",Contracts!J62))</f>
        <v/>
      </c>
      <c r="J62" s="29" t="str">
        <f aca="false">IF(Contracts!$A$62="","",IF(Contracts!K62="","–",Contracts!K62))</f>
        <v/>
      </c>
      <c r="K62" s="29" t="str">
        <f aca="false">IF(Contracts!$A$62="","",IF(Contracts!L62="","–",Contracts!L62))</f>
        <v/>
      </c>
      <c r="L62" s="44" t="str">
        <f aca="false">IF(Contracts!$A$62="","",IF(Contracts!O62="","–",Contracts!O62))</f>
        <v/>
      </c>
    </row>
    <row r="63" customFormat="false" ht="19.5" hidden="false" customHeight="true" outlineLevel="0" collapsed="false">
      <c r="B63" s="27" t="str">
        <f aca="false">IF(Contracts!$A$63="","",IF(Contracts!A63="","–",Contracts!A63))</f>
        <v/>
      </c>
      <c r="C63" s="26" t="str">
        <f aca="false">IF(Contracts!$A$63="","",IF(Contracts!B63="","–",Contracts!B63))</f>
        <v/>
      </c>
      <c r="D63" s="26" t="str">
        <f aca="false">IF(Contracts!$A$63="","",IF(Contracts!C63="","–",Contracts!C63))</f>
        <v/>
      </c>
      <c r="E63" s="29" t="str">
        <f aca="false">IF(Contracts!$A$63="","",IF(Contracts!D63="","–",Contracts!D63))</f>
        <v/>
      </c>
      <c r="F63" s="29" t="str">
        <f aca="false">IF(Contracts!$A$63="","",IF(Contracts!F63="","–",Contracts!F63))</f>
        <v/>
      </c>
      <c r="G63" s="41" t="str">
        <f aca="false">IF(Contracts!$A$63="","",IF(Contracts!I63="","–",Contracts!I63))</f>
        <v/>
      </c>
      <c r="H63" s="42" t="str">
        <f aca="false">IF(Contracts!$A$63="","",IF(Contracts!N63="","–",Contracts!N63))</f>
        <v/>
      </c>
      <c r="I63" s="43" t="str">
        <f aca="false">IF(Contracts!$A$63="","",IF(Contracts!J63="","–",Contracts!J63))</f>
        <v/>
      </c>
      <c r="J63" s="29" t="str">
        <f aca="false">IF(Contracts!$A$63="","",IF(Contracts!K63="","–",Contracts!K63))</f>
        <v/>
      </c>
      <c r="K63" s="29" t="str">
        <f aca="false">IF(Contracts!$A$63="","",IF(Contracts!L63="","–",Contracts!L63))</f>
        <v/>
      </c>
      <c r="L63" s="44" t="str">
        <f aca="false">IF(Contracts!$A$63="","",IF(Contracts!O63="","–",Contracts!O63))</f>
        <v/>
      </c>
    </row>
    <row r="64" customFormat="false" ht="19.5" hidden="false" customHeight="true" outlineLevel="0" collapsed="false">
      <c r="B64" s="27" t="str">
        <f aca="false">IF(Contracts!$A$64="","",IF(Contracts!A64="","–",Contracts!A64))</f>
        <v/>
      </c>
      <c r="C64" s="26" t="str">
        <f aca="false">IF(Contracts!$A$64="","",IF(Contracts!B64="","–",Contracts!B64))</f>
        <v/>
      </c>
      <c r="D64" s="26" t="str">
        <f aca="false">IF(Contracts!$A$64="","",IF(Contracts!C64="","–",Contracts!C64))</f>
        <v/>
      </c>
      <c r="E64" s="29" t="str">
        <f aca="false">IF(Contracts!$A$64="","",IF(Contracts!D64="","–",Contracts!D64))</f>
        <v/>
      </c>
      <c r="F64" s="29" t="str">
        <f aca="false">IF(Contracts!$A$64="","",IF(Contracts!F64="","–",Contracts!F64))</f>
        <v/>
      </c>
      <c r="G64" s="41" t="str">
        <f aca="false">IF(Contracts!$A$64="","",IF(Contracts!I64="","–",Contracts!I64))</f>
        <v/>
      </c>
      <c r="H64" s="42" t="str">
        <f aca="false">IF(Contracts!$A$64="","",IF(Contracts!N64="","–",Contracts!N64))</f>
        <v/>
      </c>
      <c r="I64" s="43" t="str">
        <f aca="false">IF(Contracts!$A$64="","",IF(Contracts!J64="","–",Contracts!J64))</f>
        <v/>
      </c>
      <c r="J64" s="29" t="str">
        <f aca="false">IF(Contracts!$A$64="","",IF(Contracts!K64="","–",Contracts!K64))</f>
        <v/>
      </c>
      <c r="K64" s="29" t="str">
        <f aca="false">IF(Contracts!$A$64="","",IF(Contracts!L64="","–",Contracts!L64))</f>
        <v/>
      </c>
      <c r="L64" s="44" t="str">
        <f aca="false">IF(Contracts!$A$64="","",IF(Contracts!O64="","–",Contracts!O64))</f>
        <v/>
      </c>
    </row>
    <row r="65" customFormat="false" ht="19.5" hidden="false" customHeight="true" outlineLevel="0" collapsed="false">
      <c r="B65" s="27" t="str">
        <f aca="false">IF(Contracts!$A$65="","",IF(Contracts!A65="","–",Contracts!A65))</f>
        <v/>
      </c>
      <c r="C65" s="26" t="str">
        <f aca="false">IF(Contracts!$A$65="","",IF(Contracts!B65="","–",Contracts!B65))</f>
        <v/>
      </c>
      <c r="D65" s="26" t="str">
        <f aca="false">IF(Contracts!$A$65="","",IF(Contracts!C65="","–",Contracts!C65))</f>
        <v/>
      </c>
      <c r="E65" s="29" t="str">
        <f aca="false">IF(Contracts!$A$65="","",IF(Contracts!D65="","–",Contracts!D65))</f>
        <v/>
      </c>
      <c r="F65" s="29" t="str">
        <f aca="false">IF(Contracts!$A$65="","",IF(Contracts!F65="","–",Contracts!F65))</f>
        <v/>
      </c>
      <c r="G65" s="41" t="str">
        <f aca="false">IF(Contracts!$A$65="","",IF(Contracts!I65="","–",Contracts!I65))</f>
        <v/>
      </c>
      <c r="H65" s="42" t="str">
        <f aca="false">IF(Contracts!$A$65="","",IF(Contracts!N65="","–",Contracts!N65))</f>
        <v/>
      </c>
      <c r="I65" s="43" t="str">
        <f aca="false">IF(Contracts!$A$65="","",IF(Contracts!J65="","–",Contracts!J65))</f>
        <v/>
      </c>
      <c r="J65" s="29" t="str">
        <f aca="false">IF(Contracts!$A$65="","",IF(Contracts!K65="","–",Contracts!K65))</f>
        <v/>
      </c>
      <c r="K65" s="29" t="str">
        <f aca="false">IF(Contracts!$A$65="","",IF(Contracts!L65="","–",Contracts!L65))</f>
        <v/>
      </c>
      <c r="L65" s="44" t="str">
        <f aca="false">IF(Contracts!$A$65="","",IF(Contracts!O65="","–",Contracts!O65))</f>
        <v/>
      </c>
    </row>
  </sheetData>
  <conditionalFormatting sqref="H6:H65">
    <cfRule type="dataBar" priority="2">
      <dataBar showValue="1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{6610C873-60FB-4BFB-96D5-2FCE9FAF11D9}</x14:id>
        </ext>
      </extLst>
    </cfRule>
  </conditionalFormatting>
  <conditionalFormatting sqref="L6:L65">
    <cfRule type="expression" priority="3" aboveAverage="0" equalAverage="0" bottom="0" percent="0" rank="0" text="" dxfId="7">
      <formula>LEFT($L6,8)="COMPLETE"</formula>
    </cfRule>
    <cfRule type="expression" priority="4" aboveAverage="0" equalAverage="0" bottom="0" percent="0" rank="0" text="" dxfId="7">
      <formula>LEFT($L6,5)="AHEAD"</formula>
    </cfRule>
    <cfRule type="expression" priority="5" aboveAverage="0" equalAverage="0" bottom="0" percent="0" rank="0" text="" dxfId="8">
      <formula>LEFT($L6,7)="ON PLAN"</formula>
    </cfRule>
    <cfRule type="expression" priority="6" aboveAverage="0" equalAverage="0" bottom="0" percent="0" rank="0" text="" dxfId="9">
      <formula>LEFT($L6,6)="BEHIND"</formula>
    </cfRule>
    <cfRule type="expression" priority="7" aboveAverage="0" equalAverage="0" bottom="0" percent="0" rank="0" text="" dxfId="10">
      <formula>LEFT($L6,6)="NO KIT"</formula>
    </cfRule>
  </conditionalFormatting>
  <conditionalFormatting sqref="B6:L65">
    <cfRule type="expression" priority="8" aboveAverage="0" equalAverage="0" bottom="0" percent="0" rank="0" text="" dxfId="6">
      <formula>$B6&lt;&gt;""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10C873-60FB-4BFB-96D5-2FCE9FAF11D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H6:H65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D6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6" min="5" style="0" width="7.2"/>
  </cols>
  <sheetData>
    <row r="1" customFormat="false" ht="33.75" hidden="false" customHeight="true" outlineLevel="0" collapsed="false">
      <c r="B1" s="45" t="s">
        <v>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customFormat="false" ht="15" hidden="false" customHeight="false" outlineLevel="0" collapsed="false">
      <c r="B2" s="11" t="str">
        <f aca="false">"Repeater numbers per ISO week · housing (final build) = plan week W · AMPS build = W−1 · kit release = W−" &amp; "lead (Contracts, default 2) · as of "&amp;TEXT(Dashboard!$Q$3,"dd-mmm-yy")&amp;" (W"&amp;_xlfn.ISOWEEKNUM(Dashboard!$Q$3)&amp;")"</f>
        <v>Repeater numbers per ISO week · housing (final build) = plan week W · AMPS build = W−1 · kit release = W−lead (Contracts, default 2) · as of 05-Oct-26 (W41)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4" customFormat="false" ht="15" hidden="false" customHeight="true" outlineLevel="0" collapsed="false">
      <c r="B4" s="46" t="s">
        <v>47</v>
      </c>
      <c r="C4" s="47" t="n">
        <f aca="false">Dashboard!$Q$3-7*6</f>
        <v>46258</v>
      </c>
      <c r="E4" s="48" t="s">
        <v>48</v>
      </c>
      <c r="F4" s="48"/>
      <c r="G4" s="49" t="s">
        <v>40</v>
      </c>
      <c r="H4" s="49"/>
      <c r="I4" s="50" t="s">
        <v>49</v>
      </c>
      <c r="J4" s="50"/>
      <c r="K4" s="51" t="s">
        <v>50</v>
      </c>
      <c r="L4" s="51"/>
      <c r="M4" s="52" t="s">
        <v>51</v>
      </c>
      <c r="N4" s="52"/>
      <c r="O4" s="53" t="s">
        <v>52</v>
      </c>
      <c r="P4" s="53"/>
    </row>
    <row r="6" customFormat="false" ht="15" hidden="false" customHeight="false" outlineLevel="0" collapsed="false">
      <c r="B6" s="54"/>
      <c r="C6" s="54"/>
      <c r="D6" s="54"/>
      <c r="E6" s="55" t="n">
        <f aca="false">IF(OR(0=0,_xlfn.ISOWEEKNUM(E8)=1),YEAR(E8+3),"")</f>
        <v>2026</v>
      </c>
      <c r="F6" s="55" t="str">
        <f aca="false">IF(OR(1=0,_xlfn.ISOWEEKNUM(F8)=1),YEAR(F8+3),"")</f>
        <v/>
      </c>
      <c r="G6" s="55" t="str">
        <f aca="false">IF(OR(2=0,_xlfn.ISOWEEKNUM(G8)=1),YEAR(G8+3),"")</f>
        <v/>
      </c>
      <c r="H6" s="55" t="str">
        <f aca="false">IF(OR(3=0,_xlfn.ISOWEEKNUM(H8)=1),YEAR(H8+3),"")</f>
        <v/>
      </c>
      <c r="I6" s="55" t="str">
        <f aca="false">IF(OR(4=0,_xlfn.ISOWEEKNUM(I8)=1),YEAR(I8+3),"")</f>
        <v/>
      </c>
      <c r="J6" s="55" t="str">
        <f aca="false">IF(OR(5=0,_xlfn.ISOWEEKNUM(J8)=1),YEAR(J8+3),"")</f>
        <v/>
      </c>
      <c r="K6" s="55" t="str">
        <f aca="false">IF(OR(6=0,_xlfn.ISOWEEKNUM(K8)=1),YEAR(K8+3),"")</f>
        <v/>
      </c>
      <c r="L6" s="55" t="str">
        <f aca="false">IF(OR(7=0,_xlfn.ISOWEEKNUM(L8)=1),YEAR(L8+3),"")</f>
        <v/>
      </c>
      <c r="M6" s="55" t="str">
        <f aca="false">IF(OR(8=0,_xlfn.ISOWEEKNUM(M8)=1),YEAR(M8+3),"")</f>
        <v/>
      </c>
      <c r="N6" s="55" t="str">
        <f aca="false">IF(OR(9=0,_xlfn.ISOWEEKNUM(N8)=1),YEAR(N8+3),"")</f>
        <v/>
      </c>
      <c r="O6" s="55" t="str">
        <f aca="false">IF(OR(10=0,_xlfn.ISOWEEKNUM(O8)=1),YEAR(O8+3),"")</f>
        <v/>
      </c>
      <c r="P6" s="55" t="str">
        <f aca="false">IF(OR(11=0,_xlfn.ISOWEEKNUM(P8)=1),YEAR(P8+3),"")</f>
        <v/>
      </c>
      <c r="Q6" s="55" t="str">
        <f aca="false">IF(OR(12=0,_xlfn.ISOWEEKNUM(Q8)=1),YEAR(Q8+3),"")</f>
        <v/>
      </c>
      <c r="R6" s="55" t="str">
        <f aca="false">IF(OR(13=0,_xlfn.ISOWEEKNUM(R8)=1),YEAR(R8+3),"")</f>
        <v/>
      </c>
      <c r="S6" s="55" t="str">
        <f aca="false">IF(OR(14=0,_xlfn.ISOWEEKNUM(S8)=1),YEAR(S8+3),"")</f>
        <v/>
      </c>
      <c r="T6" s="55" t="str">
        <f aca="false">IF(OR(15=0,_xlfn.ISOWEEKNUM(T8)=1),YEAR(T8+3),"")</f>
        <v/>
      </c>
      <c r="U6" s="55" t="str">
        <f aca="false">IF(OR(16=0,_xlfn.ISOWEEKNUM(U8)=1),YEAR(U8+3),"")</f>
        <v/>
      </c>
      <c r="V6" s="55" t="str">
        <f aca="false">IF(OR(17=0,_xlfn.ISOWEEKNUM(V8)=1),YEAR(V8+3),"")</f>
        <v/>
      </c>
      <c r="W6" s="55" t="str">
        <f aca="false">IF(OR(18=0,_xlfn.ISOWEEKNUM(W8)=1),YEAR(W8+3),"")</f>
        <v/>
      </c>
      <c r="X6" s="55" t="n">
        <f aca="false">IF(OR(19=0,_xlfn.ISOWEEKNUM(X8)=1),YEAR(X8+3),"")</f>
        <v>2027</v>
      </c>
      <c r="Y6" s="55" t="str">
        <f aca="false">IF(OR(20=0,_xlfn.ISOWEEKNUM(Y8)=1),YEAR(Y8+3),"")</f>
        <v/>
      </c>
      <c r="Z6" s="55" t="str">
        <f aca="false">IF(OR(21=0,_xlfn.ISOWEEKNUM(Z8)=1),YEAR(Z8+3),"")</f>
        <v/>
      </c>
      <c r="AA6" s="55" t="str">
        <f aca="false">IF(OR(22=0,_xlfn.ISOWEEKNUM(AA8)=1),YEAR(AA8+3),"")</f>
        <v/>
      </c>
      <c r="AB6" s="55" t="str">
        <f aca="false">IF(OR(23=0,_xlfn.ISOWEEKNUM(AB8)=1),YEAR(AB8+3),"")</f>
        <v/>
      </c>
      <c r="AC6" s="55" t="str">
        <f aca="false">IF(OR(24=0,_xlfn.ISOWEEKNUM(AC8)=1),YEAR(AC8+3),"")</f>
        <v/>
      </c>
      <c r="AD6" s="55" t="str">
        <f aca="false">IF(OR(25=0,_xlfn.ISOWEEKNUM(AD8)=1),YEAR(AD8+3),"")</f>
        <v/>
      </c>
      <c r="AE6" s="55" t="str">
        <f aca="false">IF(OR(26=0,_xlfn.ISOWEEKNUM(AE8)=1),YEAR(AE8+3),"")</f>
        <v/>
      </c>
      <c r="AF6" s="55" t="str">
        <f aca="false">IF(OR(27=0,_xlfn.ISOWEEKNUM(AF8)=1),YEAR(AF8+3),"")</f>
        <v/>
      </c>
      <c r="AG6" s="55" t="str">
        <f aca="false">IF(OR(28=0,_xlfn.ISOWEEKNUM(AG8)=1),YEAR(AG8+3),"")</f>
        <v/>
      </c>
      <c r="AH6" s="55" t="str">
        <f aca="false">IF(OR(29=0,_xlfn.ISOWEEKNUM(AH8)=1),YEAR(AH8+3),"")</f>
        <v/>
      </c>
      <c r="AI6" s="55" t="str">
        <f aca="false">IF(OR(30=0,_xlfn.ISOWEEKNUM(AI8)=1),YEAR(AI8+3),"")</f>
        <v/>
      </c>
      <c r="AJ6" s="55" t="str">
        <f aca="false">IF(OR(31=0,_xlfn.ISOWEEKNUM(AJ8)=1),YEAR(AJ8+3),"")</f>
        <v/>
      </c>
      <c r="AK6" s="55" t="str">
        <f aca="false">IF(OR(32=0,_xlfn.ISOWEEKNUM(AK8)=1),YEAR(AK8+3),"")</f>
        <v/>
      </c>
      <c r="AL6" s="55" t="str">
        <f aca="false">IF(OR(33=0,_xlfn.ISOWEEKNUM(AL8)=1),YEAR(AL8+3),"")</f>
        <v/>
      </c>
      <c r="AM6" s="55" t="str">
        <f aca="false">IF(OR(34=0,_xlfn.ISOWEEKNUM(AM8)=1),YEAR(AM8+3),"")</f>
        <v/>
      </c>
      <c r="AN6" s="55" t="str">
        <f aca="false">IF(OR(35=0,_xlfn.ISOWEEKNUM(AN8)=1),YEAR(AN8+3),"")</f>
        <v/>
      </c>
      <c r="AO6" s="55" t="str">
        <f aca="false">IF(OR(36=0,_xlfn.ISOWEEKNUM(AO8)=1),YEAR(AO8+3),"")</f>
        <v/>
      </c>
      <c r="AP6" s="55" t="str">
        <f aca="false">IF(OR(37=0,_xlfn.ISOWEEKNUM(AP8)=1),YEAR(AP8+3),"")</f>
        <v/>
      </c>
      <c r="AQ6" s="55" t="str">
        <f aca="false">IF(OR(38=0,_xlfn.ISOWEEKNUM(AQ8)=1),YEAR(AQ8+3),"")</f>
        <v/>
      </c>
      <c r="AR6" s="55" t="str">
        <f aca="false">IF(OR(39=0,_xlfn.ISOWEEKNUM(AR8)=1),YEAR(AR8+3),"")</f>
        <v/>
      </c>
      <c r="AS6" s="55" t="str">
        <f aca="false">IF(OR(40=0,_xlfn.ISOWEEKNUM(AS8)=1),YEAR(AS8+3),"")</f>
        <v/>
      </c>
      <c r="AT6" s="55" t="str">
        <f aca="false">IF(OR(41=0,_xlfn.ISOWEEKNUM(AT8)=1),YEAR(AT8+3),"")</f>
        <v/>
      </c>
      <c r="AU6" s="55" t="str">
        <f aca="false">IF(OR(42=0,_xlfn.ISOWEEKNUM(AU8)=1),YEAR(AU8+3),"")</f>
        <v/>
      </c>
      <c r="AV6" s="55" t="str">
        <f aca="false">IF(OR(43=0,_xlfn.ISOWEEKNUM(AV8)=1),YEAR(AV8+3),"")</f>
        <v/>
      </c>
      <c r="AW6" s="55" t="str">
        <f aca="false">IF(OR(44=0,_xlfn.ISOWEEKNUM(AW8)=1),YEAR(AW8+3),"")</f>
        <v/>
      </c>
      <c r="AX6" s="55" t="str">
        <f aca="false">IF(OR(45=0,_xlfn.ISOWEEKNUM(AX8)=1),YEAR(AX8+3),"")</f>
        <v/>
      </c>
      <c r="AY6" s="55" t="str">
        <f aca="false">IF(OR(46=0,_xlfn.ISOWEEKNUM(AY8)=1),YEAR(AY8+3),"")</f>
        <v/>
      </c>
      <c r="AZ6" s="55" t="str">
        <f aca="false">IF(OR(47=0,_xlfn.ISOWEEKNUM(AZ8)=1),YEAR(AZ8+3),"")</f>
        <v/>
      </c>
      <c r="BA6" s="55" t="str">
        <f aca="false">IF(OR(48=0,_xlfn.ISOWEEKNUM(BA8)=1),YEAR(BA8+3),"")</f>
        <v/>
      </c>
      <c r="BB6" s="55" t="str">
        <f aca="false">IF(OR(49=0,_xlfn.ISOWEEKNUM(BB8)=1),YEAR(BB8+3),"")</f>
        <v/>
      </c>
      <c r="BC6" s="55" t="str">
        <f aca="false">IF(OR(50=0,_xlfn.ISOWEEKNUM(BC8)=1),YEAR(BC8+3),"")</f>
        <v/>
      </c>
      <c r="BD6" s="55" t="str">
        <f aca="false">IF(OR(51=0,_xlfn.ISOWEEKNUM(BD8)=1),YEAR(BD8+3),"")</f>
        <v/>
      </c>
    </row>
    <row r="7" customFormat="false" ht="19.5" hidden="false" customHeight="true" outlineLevel="0" collapsed="false">
      <c r="B7" s="25" t="s">
        <v>35</v>
      </c>
      <c r="C7" s="25" t="s">
        <v>53</v>
      </c>
      <c r="D7" s="25" t="s">
        <v>54</v>
      </c>
      <c r="E7" s="56" t="str">
        <f aca="false">"W"&amp;TEXT(_xlfn.ISOWEEKNUM(E8),"00")</f>
        <v>W35</v>
      </c>
      <c r="F7" s="56" t="str">
        <f aca="false">"W"&amp;TEXT(_xlfn.ISOWEEKNUM(F8),"00")</f>
        <v>W36</v>
      </c>
      <c r="G7" s="56" t="str">
        <f aca="false">"W"&amp;TEXT(_xlfn.ISOWEEKNUM(G8),"00")</f>
        <v>W37</v>
      </c>
      <c r="H7" s="56" t="str">
        <f aca="false">"W"&amp;TEXT(_xlfn.ISOWEEKNUM(H8),"00")</f>
        <v>W38</v>
      </c>
      <c r="I7" s="56" t="str">
        <f aca="false">"W"&amp;TEXT(_xlfn.ISOWEEKNUM(I8),"00")</f>
        <v>W39</v>
      </c>
      <c r="J7" s="56" t="str">
        <f aca="false">"W"&amp;TEXT(_xlfn.ISOWEEKNUM(J8),"00")</f>
        <v>W40</v>
      </c>
      <c r="K7" s="56" t="str">
        <f aca="false">"W"&amp;TEXT(_xlfn.ISOWEEKNUM(K8),"00")</f>
        <v>W41</v>
      </c>
      <c r="L7" s="56" t="str">
        <f aca="false">"W"&amp;TEXT(_xlfn.ISOWEEKNUM(L8),"00")</f>
        <v>W42</v>
      </c>
      <c r="M7" s="56" t="str">
        <f aca="false">"W"&amp;TEXT(_xlfn.ISOWEEKNUM(M8),"00")</f>
        <v>W43</v>
      </c>
      <c r="N7" s="56" t="str">
        <f aca="false">"W"&amp;TEXT(_xlfn.ISOWEEKNUM(N8),"00")</f>
        <v>W44</v>
      </c>
      <c r="O7" s="56" t="str">
        <f aca="false">"W"&amp;TEXT(_xlfn.ISOWEEKNUM(O8),"00")</f>
        <v>W45</v>
      </c>
      <c r="P7" s="56" t="str">
        <f aca="false">"W"&amp;TEXT(_xlfn.ISOWEEKNUM(P8),"00")</f>
        <v>W46</v>
      </c>
      <c r="Q7" s="56" t="str">
        <f aca="false">"W"&amp;TEXT(_xlfn.ISOWEEKNUM(Q8),"00")</f>
        <v>W47</v>
      </c>
      <c r="R7" s="56" t="str">
        <f aca="false">"W"&amp;TEXT(_xlfn.ISOWEEKNUM(R8),"00")</f>
        <v>W48</v>
      </c>
      <c r="S7" s="56" t="str">
        <f aca="false">"W"&amp;TEXT(_xlfn.ISOWEEKNUM(S8),"00")</f>
        <v>W49</v>
      </c>
      <c r="T7" s="56" t="str">
        <f aca="false">"W"&amp;TEXT(_xlfn.ISOWEEKNUM(T8),"00")</f>
        <v>W50</v>
      </c>
      <c r="U7" s="56" t="str">
        <f aca="false">"W"&amp;TEXT(_xlfn.ISOWEEKNUM(U8),"00")</f>
        <v>W51</v>
      </c>
      <c r="V7" s="56" t="str">
        <f aca="false">"W"&amp;TEXT(_xlfn.ISOWEEKNUM(V8),"00")</f>
        <v>W52</v>
      </c>
      <c r="W7" s="56" t="str">
        <f aca="false">"W"&amp;TEXT(_xlfn.ISOWEEKNUM(W8),"00")</f>
        <v>W53</v>
      </c>
      <c r="X7" s="56" t="str">
        <f aca="false">"W"&amp;TEXT(_xlfn.ISOWEEKNUM(X8),"00")</f>
        <v>W01</v>
      </c>
      <c r="Y7" s="56" t="str">
        <f aca="false">"W"&amp;TEXT(_xlfn.ISOWEEKNUM(Y8),"00")</f>
        <v>W02</v>
      </c>
      <c r="Z7" s="56" t="str">
        <f aca="false">"W"&amp;TEXT(_xlfn.ISOWEEKNUM(Z8),"00")</f>
        <v>W03</v>
      </c>
      <c r="AA7" s="56" t="str">
        <f aca="false">"W"&amp;TEXT(_xlfn.ISOWEEKNUM(AA8),"00")</f>
        <v>W04</v>
      </c>
      <c r="AB7" s="56" t="str">
        <f aca="false">"W"&amp;TEXT(_xlfn.ISOWEEKNUM(AB8),"00")</f>
        <v>W05</v>
      </c>
      <c r="AC7" s="56" t="str">
        <f aca="false">"W"&amp;TEXT(_xlfn.ISOWEEKNUM(AC8),"00")</f>
        <v>W06</v>
      </c>
      <c r="AD7" s="56" t="str">
        <f aca="false">"W"&amp;TEXT(_xlfn.ISOWEEKNUM(AD8),"00")</f>
        <v>W07</v>
      </c>
      <c r="AE7" s="56" t="str">
        <f aca="false">"W"&amp;TEXT(_xlfn.ISOWEEKNUM(AE8),"00")</f>
        <v>W08</v>
      </c>
      <c r="AF7" s="56" t="str">
        <f aca="false">"W"&amp;TEXT(_xlfn.ISOWEEKNUM(AF8),"00")</f>
        <v>W09</v>
      </c>
      <c r="AG7" s="56" t="str">
        <f aca="false">"W"&amp;TEXT(_xlfn.ISOWEEKNUM(AG8),"00")</f>
        <v>W10</v>
      </c>
      <c r="AH7" s="56" t="str">
        <f aca="false">"W"&amp;TEXT(_xlfn.ISOWEEKNUM(AH8),"00")</f>
        <v>W11</v>
      </c>
      <c r="AI7" s="56" t="str">
        <f aca="false">"W"&amp;TEXT(_xlfn.ISOWEEKNUM(AI8),"00")</f>
        <v>W12</v>
      </c>
      <c r="AJ7" s="56" t="str">
        <f aca="false">"W"&amp;TEXT(_xlfn.ISOWEEKNUM(AJ8),"00")</f>
        <v>W13</v>
      </c>
      <c r="AK7" s="56" t="str">
        <f aca="false">"W"&amp;TEXT(_xlfn.ISOWEEKNUM(AK8),"00")</f>
        <v>W14</v>
      </c>
      <c r="AL7" s="56" t="str">
        <f aca="false">"W"&amp;TEXT(_xlfn.ISOWEEKNUM(AL8),"00")</f>
        <v>W15</v>
      </c>
      <c r="AM7" s="56" t="str">
        <f aca="false">"W"&amp;TEXT(_xlfn.ISOWEEKNUM(AM8),"00")</f>
        <v>W16</v>
      </c>
      <c r="AN7" s="56" t="str">
        <f aca="false">"W"&amp;TEXT(_xlfn.ISOWEEKNUM(AN8),"00")</f>
        <v>W17</v>
      </c>
      <c r="AO7" s="56" t="str">
        <f aca="false">"W"&amp;TEXT(_xlfn.ISOWEEKNUM(AO8),"00")</f>
        <v>W18</v>
      </c>
      <c r="AP7" s="56" t="str">
        <f aca="false">"W"&amp;TEXT(_xlfn.ISOWEEKNUM(AP8),"00")</f>
        <v>W19</v>
      </c>
      <c r="AQ7" s="56" t="str">
        <f aca="false">"W"&amp;TEXT(_xlfn.ISOWEEKNUM(AQ8),"00")</f>
        <v>W20</v>
      </c>
      <c r="AR7" s="56" t="str">
        <f aca="false">"W"&amp;TEXT(_xlfn.ISOWEEKNUM(AR8),"00")</f>
        <v>W21</v>
      </c>
      <c r="AS7" s="56" t="str">
        <f aca="false">"W"&amp;TEXT(_xlfn.ISOWEEKNUM(AS8),"00")</f>
        <v>W22</v>
      </c>
      <c r="AT7" s="56" t="str">
        <f aca="false">"W"&amp;TEXT(_xlfn.ISOWEEKNUM(AT8),"00")</f>
        <v>W23</v>
      </c>
      <c r="AU7" s="56" t="str">
        <f aca="false">"W"&amp;TEXT(_xlfn.ISOWEEKNUM(AU8),"00")</f>
        <v>W24</v>
      </c>
      <c r="AV7" s="56" t="str">
        <f aca="false">"W"&amp;TEXT(_xlfn.ISOWEEKNUM(AV8),"00")</f>
        <v>W25</v>
      </c>
      <c r="AW7" s="56" t="str">
        <f aca="false">"W"&amp;TEXT(_xlfn.ISOWEEKNUM(AW8),"00")</f>
        <v>W26</v>
      </c>
      <c r="AX7" s="56" t="str">
        <f aca="false">"W"&amp;TEXT(_xlfn.ISOWEEKNUM(AX8),"00")</f>
        <v>W27</v>
      </c>
      <c r="AY7" s="56" t="str">
        <f aca="false">"W"&amp;TEXT(_xlfn.ISOWEEKNUM(AY8),"00")</f>
        <v>W28</v>
      </c>
      <c r="AZ7" s="56" t="str">
        <f aca="false">"W"&amp;TEXT(_xlfn.ISOWEEKNUM(AZ8),"00")</f>
        <v>W29</v>
      </c>
      <c r="BA7" s="56" t="str">
        <f aca="false">"W"&amp;TEXT(_xlfn.ISOWEEKNUM(BA8),"00")</f>
        <v>W30</v>
      </c>
      <c r="BB7" s="56" t="str">
        <f aca="false">"W"&amp;TEXT(_xlfn.ISOWEEKNUM(BB8),"00")</f>
        <v>W31</v>
      </c>
      <c r="BC7" s="56" t="str">
        <f aca="false">"W"&amp;TEXT(_xlfn.ISOWEEKNUM(BC8),"00")</f>
        <v>W32</v>
      </c>
      <c r="BD7" s="56" t="str">
        <f aca="false">"W"&amp;TEXT(_xlfn.ISOWEEKNUM(BD8),"00")</f>
        <v>W33</v>
      </c>
    </row>
    <row r="8" customFormat="false" ht="15" hidden="false" customHeight="false" outlineLevel="0" collapsed="false">
      <c r="B8" s="54"/>
      <c r="C8" s="54"/>
      <c r="D8" s="54"/>
      <c r="E8" s="57" t="n">
        <f aca="false">$C$4-WEEKDAY($C$4,2)+1+0</f>
        <v>46258</v>
      </c>
      <c r="F8" s="57" t="n">
        <f aca="false">$C$4-WEEKDAY($C$4,2)+1+7</f>
        <v>46265</v>
      </c>
      <c r="G8" s="57" t="n">
        <f aca="false">$C$4-WEEKDAY($C$4,2)+1+14</f>
        <v>46272</v>
      </c>
      <c r="H8" s="57" t="n">
        <f aca="false">$C$4-WEEKDAY($C$4,2)+1+21</f>
        <v>46279</v>
      </c>
      <c r="I8" s="57" t="n">
        <f aca="false">$C$4-WEEKDAY($C$4,2)+1+28</f>
        <v>46286</v>
      </c>
      <c r="J8" s="57" t="n">
        <f aca="false">$C$4-WEEKDAY($C$4,2)+1+35</f>
        <v>46293</v>
      </c>
      <c r="K8" s="57" t="n">
        <f aca="false">$C$4-WEEKDAY($C$4,2)+1+42</f>
        <v>46300</v>
      </c>
      <c r="L8" s="57" t="n">
        <f aca="false">$C$4-WEEKDAY($C$4,2)+1+49</f>
        <v>46307</v>
      </c>
      <c r="M8" s="57" t="n">
        <f aca="false">$C$4-WEEKDAY($C$4,2)+1+56</f>
        <v>46314</v>
      </c>
      <c r="N8" s="57" t="n">
        <f aca="false">$C$4-WEEKDAY($C$4,2)+1+63</f>
        <v>46321</v>
      </c>
      <c r="O8" s="57" t="n">
        <f aca="false">$C$4-WEEKDAY($C$4,2)+1+70</f>
        <v>46328</v>
      </c>
      <c r="P8" s="57" t="n">
        <f aca="false">$C$4-WEEKDAY($C$4,2)+1+77</f>
        <v>46335</v>
      </c>
      <c r="Q8" s="57" t="n">
        <f aca="false">$C$4-WEEKDAY($C$4,2)+1+84</f>
        <v>46342</v>
      </c>
      <c r="R8" s="57" t="n">
        <f aca="false">$C$4-WEEKDAY($C$4,2)+1+91</f>
        <v>46349</v>
      </c>
      <c r="S8" s="57" t="n">
        <f aca="false">$C$4-WEEKDAY($C$4,2)+1+98</f>
        <v>46356</v>
      </c>
      <c r="T8" s="57" t="n">
        <f aca="false">$C$4-WEEKDAY($C$4,2)+1+105</f>
        <v>46363</v>
      </c>
      <c r="U8" s="57" t="n">
        <f aca="false">$C$4-WEEKDAY($C$4,2)+1+112</f>
        <v>46370</v>
      </c>
      <c r="V8" s="57" t="n">
        <f aca="false">$C$4-WEEKDAY($C$4,2)+1+119</f>
        <v>46377</v>
      </c>
      <c r="W8" s="57" t="n">
        <f aca="false">$C$4-WEEKDAY($C$4,2)+1+126</f>
        <v>46384</v>
      </c>
      <c r="X8" s="57" t="n">
        <f aca="false">$C$4-WEEKDAY($C$4,2)+1+133</f>
        <v>46391</v>
      </c>
      <c r="Y8" s="57" t="n">
        <f aca="false">$C$4-WEEKDAY($C$4,2)+1+140</f>
        <v>46398</v>
      </c>
      <c r="Z8" s="57" t="n">
        <f aca="false">$C$4-WEEKDAY($C$4,2)+1+147</f>
        <v>46405</v>
      </c>
      <c r="AA8" s="57" t="n">
        <f aca="false">$C$4-WEEKDAY($C$4,2)+1+154</f>
        <v>46412</v>
      </c>
      <c r="AB8" s="57" t="n">
        <f aca="false">$C$4-WEEKDAY($C$4,2)+1+161</f>
        <v>46419</v>
      </c>
      <c r="AC8" s="57" t="n">
        <f aca="false">$C$4-WEEKDAY($C$4,2)+1+168</f>
        <v>46426</v>
      </c>
      <c r="AD8" s="57" t="n">
        <f aca="false">$C$4-WEEKDAY($C$4,2)+1+175</f>
        <v>46433</v>
      </c>
      <c r="AE8" s="57" t="n">
        <f aca="false">$C$4-WEEKDAY($C$4,2)+1+182</f>
        <v>46440</v>
      </c>
      <c r="AF8" s="57" t="n">
        <f aca="false">$C$4-WEEKDAY($C$4,2)+1+189</f>
        <v>46447</v>
      </c>
      <c r="AG8" s="57" t="n">
        <f aca="false">$C$4-WEEKDAY($C$4,2)+1+196</f>
        <v>46454</v>
      </c>
      <c r="AH8" s="57" t="n">
        <f aca="false">$C$4-WEEKDAY($C$4,2)+1+203</f>
        <v>46461</v>
      </c>
      <c r="AI8" s="57" t="n">
        <f aca="false">$C$4-WEEKDAY($C$4,2)+1+210</f>
        <v>46468</v>
      </c>
      <c r="AJ8" s="57" t="n">
        <f aca="false">$C$4-WEEKDAY($C$4,2)+1+217</f>
        <v>46475</v>
      </c>
      <c r="AK8" s="57" t="n">
        <f aca="false">$C$4-WEEKDAY($C$4,2)+1+224</f>
        <v>46482</v>
      </c>
      <c r="AL8" s="57" t="n">
        <f aca="false">$C$4-WEEKDAY($C$4,2)+1+231</f>
        <v>46489</v>
      </c>
      <c r="AM8" s="57" t="n">
        <f aca="false">$C$4-WEEKDAY($C$4,2)+1+238</f>
        <v>46496</v>
      </c>
      <c r="AN8" s="57" t="n">
        <f aca="false">$C$4-WEEKDAY($C$4,2)+1+245</f>
        <v>46503</v>
      </c>
      <c r="AO8" s="57" t="n">
        <f aca="false">$C$4-WEEKDAY($C$4,2)+1+252</f>
        <v>46510</v>
      </c>
      <c r="AP8" s="57" t="n">
        <f aca="false">$C$4-WEEKDAY($C$4,2)+1+259</f>
        <v>46517</v>
      </c>
      <c r="AQ8" s="57" t="n">
        <f aca="false">$C$4-WEEKDAY($C$4,2)+1+266</f>
        <v>46524</v>
      </c>
      <c r="AR8" s="57" t="n">
        <f aca="false">$C$4-WEEKDAY($C$4,2)+1+273</f>
        <v>46531</v>
      </c>
      <c r="AS8" s="57" t="n">
        <f aca="false">$C$4-WEEKDAY($C$4,2)+1+280</f>
        <v>46538</v>
      </c>
      <c r="AT8" s="57" t="n">
        <f aca="false">$C$4-WEEKDAY($C$4,2)+1+287</f>
        <v>46545</v>
      </c>
      <c r="AU8" s="57" t="n">
        <f aca="false">$C$4-WEEKDAY($C$4,2)+1+294</f>
        <v>46552</v>
      </c>
      <c r="AV8" s="57" t="n">
        <f aca="false">$C$4-WEEKDAY($C$4,2)+1+301</f>
        <v>46559</v>
      </c>
      <c r="AW8" s="57" t="n">
        <f aca="false">$C$4-WEEKDAY($C$4,2)+1+308</f>
        <v>46566</v>
      </c>
      <c r="AX8" s="57" t="n">
        <f aca="false">$C$4-WEEKDAY($C$4,2)+1+315</f>
        <v>46573</v>
      </c>
      <c r="AY8" s="57" t="n">
        <f aca="false">$C$4-WEEKDAY($C$4,2)+1+322</f>
        <v>46580</v>
      </c>
      <c r="AZ8" s="57" t="n">
        <f aca="false">$C$4-WEEKDAY($C$4,2)+1+329</f>
        <v>46587</v>
      </c>
      <c r="BA8" s="57" t="n">
        <f aca="false">$C$4-WEEKDAY($C$4,2)+1+336</f>
        <v>46594</v>
      </c>
      <c r="BB8" s="57" t="n">
        <f aca="false">$C$4-WEEKDAY($C$4,2)+1+343</f>
        <v>46601</v>
      </c>
      <c r="BC8" s="57" t="n">
        <f aca="false">$C$4-WEEKDAY($C$4,2)+1+350</f>
        <v>46608</v>
      </c>
      <c r="BD8" s="57" t="n">
        <f aca="false">$C$4-WEEKDAY($C$4,2)+1+357</f>
        <v>46615</v>
      </c>
    </row>
    <row r="10" customFormat="false" ht="16.5" hidden="false" customHeight="true" outlineLevel="0" collapsed="false">
      <c r="B10" s="32" t="str">
        <f aca="false">IF(Contracts!$A$6="","",Contracts!$A$6)</f>
        <v>WKE-R24P-T1-C</v>
      </c>
      <c r="C10" s="58" t="str">
        <f aca="false">IF(Contracts!$A$6="","","Kit release")</f>
        <v>Kit release</v>
      </c>
      <c r="D10" s="59" t="str">
        <f aca="false">IF($B$10="","",SUMPRODUCT(--(E10:BD10&lt;&gt;""))&amp;" wks")</f>
        <v>32 wks</v>
      </c>
      <c r="E10" s="60" t="str">
        <f aca="true">IF($B$10="","",IF(N(OFFSET(GanttCalc!$B$4,0,1+N(Contracts!$Q$6)))-N(OFFSET(GanttCalc!$B$4,0,0+N(Contracts!$Q$6)))&lt;=0,"",IF(N(OFFSET(GanttCalc!$B$4,0,1+N(Contracts!$Q$6)))-N(OFFSET(GanttCalc!$B$4,0,0+N(Contracts!$Q$6)))=1,"R"&amp;OFFSET(GanttCalc!$B$4,0,1+N(Contracts!$Q$6)),"R"&amp;(OFFSET(GanttCalc!$B$4,0,0+N(Contracts!$Q$6))+1)&amp;"-"&amp;OFFSET(GanttCalc!$B$4,0,1+N(Contracts!$Q$6)))))</f>
        <v/>
      </c>
      <c r="F10" s="60" t="str">
        <f aca="true">IF($B$10="","",IF(N(OFFSET(GanttCalc!$B$4,0,2+N(Contracts!$Q$6)))-N(OFFSET(GanttCalc!$B$4,0,1+N(Contracts!$Q$6)))&lt;=0,"",IF(N(OFFSET(GanttCalc!$B$4,0,2+N(Contracts!$Q$6)))-N(OFFSET(GanttCalc!$B$4,0,1+N(Contracts!$Q$6)))=1,"R"&amp;OFFSET(GanttCalc!$B$4,0,2+N(Contracts!$Q$6)),"R"&amp;(OFFSET(GanttCalc!$B$4,0,1+N(Contracts!$Q$6))+1)&amp;"-"&amp;OFFSET(GanttCalc!$B$4,0,2+N(Contracts!$Q$6)))))</f>
        <v/>
      </c>
      <c r="G10" s="60" t="str">
        <f aca="true">IF($B$10="","",IF(N(OFFSET(GanttCalc!$B$4,0,3+N(Contracts!$Q$6)))-N(OFFSET(GanttCalc!$B$4,0,2+N(Contracts!$Q$6)))&lt;=0,"",IF(N(OFFSET(GanttCalc!$B$4,0,3+N(Contracts!$Q$6)))-N(OFFSET(GanttCalc!$B$4,0,2+N(Contracts!$Q$6)))=1,"R"&amp;OFFSET(GanttCalc!$B$4,0,3+N(Contracts!$Q$6)),"R"&amp;(OFFSET(GanttCalc!$B$4,0,2+N(Contracts!$Q$6))+1)&amp;"-"&amp;OFFSET(GanttCalc!$B$4,0,3+N(Contracts!$Q$6)))))</f>
        <v/>
      </c>
      <c r="H10" s="60" t="str">
        <f aca="true">IF($B$10="","",IF(N(OFFSET(GanttCalc!$B$4,0,4+N(Contracts!$Q$6)))-N(OFFSET(GanttCalc!$B$4,0,3+N(Contracts!$Q$6)))&lt;=0,"",IF(N(OFFSET(GanttCalc!$B$4,0,4+N(Contracts!$Q$6)))-N(OFFSET(GanttCalc!$B$4,0,3+N(Contracts!$Q$6)))=1,"R"&amp;OFFSET(GanttCalc!$B$4,0,4+N(Contracts!$Q$6)),"R"&amp;(OFFSET(GanttCalc!$B$4,0,3+N(Contracts!$Q$6))+1)&amp;"-"&amp;OFFSET(GanttCalc!$B$4,0,4+N(Contracts!$Q$6)))))</f>
        <v/>
      </c>
      <c r="I10" s="60" t="str">
        <f aca="true">IF($B$10="","",IF(N(OFFSET(GanttCalc!$B$4,0,5+N(Contracts!$Q$6)))-N(OFFSET(GanttCalc!$B$4,0,4+N(Contracts!$Q$6)))&lt;=0,"",IF(N(OFFSET(GanttCalc!$B$4,0,5+N(Contracts!$Q$6)))-N(OFFSET(GanttCalc!$B$4,0,4+N(Contracts!$Q$6)))=1,"R"&amp;OFFSET(GanttCalc!$B$4,0,5+N(Contracts!$Q$6)),"R"&amp;(OFFSET(GanttCalc!$B$4,0,4+N(Contracts!$Q$6))+1)&amp;"-"&amp;OFFSET(GanttCalc!$B$4,0,5+N(Contracts!$Q$6)))))</f>
        <v/>
      </c>
      <c r="J10" s="60" t="str">
        <f aca="true">IF($B$10="","",IF(N(OFFSET(GanttCalc!$B$4,0,6+N(Contracts!$Q$6)))-N(OFFSET(GanttCalc!$B$4,0,5+N(Contracts!$Q$6)))&lt;=0,"",IF(N(OFFSET(GanttCalc!$B$4,0,6+N(Contracts!$Q$6)))-N(OFFSET(GanttCalc!$B$4,0,5+N(Contracts!$Q$6)))=1,"R"&amp;OFFSET(GanttCalc!$B$4,0,6+N(Contracts!$Q$6)),"R"&amp;(OFFSET(GanttCalc!$B$4,0,5+N(Contracts!$Q$6))+1)&amp;"-"&amp;OFFSET(GanttCalc!$B$4,0,6+N(Contracts!$Q$6)))))</f>
        <v/>
      </c>
      <c r="K10" s="60" t="str">
        <f aca="true">IF($B$10="","",IF(N(OFFSET(GanttCalc!$B$4,0,7+N(Contracts!$Q$6)))-N(OFFSET(GanttCalc!$B$4,0,6+N(Contracts!$Q$6)))&lt;=0,"",IF(N(OFFSET(GanttCalc!$B$4,0,7+N(Contracts!$Q$6)))-N(OFFSET(GanttCalc!$B$4,0,6+N(Contracts!$Q$6)))=1,"R"&amp;OFFSET(GanttCalc!$B$4,0,7+N(Contracts!$Q$6)),"R"&amp;(OFFSET(GanttCalc!$B$4,0,6+N(Contracts!$Q$6))+1)&amp;"-"&amp;OFFSET(GanttCalc!$B$4,0,7+N(Contracts!$Q$6)))))</f>
        <v/>
      </c>
      <c r="L10" s="60" t="str">
        <f aca="true">IF($B$10="","",IF(N(OFFSET(GanttCalc!$B$4,0,8+N(Contracts!$Q$6)))-N(OFFSET(GanttCalc!$B$4,0,7+N(Contracts!$Q$6)))&lt;=0,"",IF(N(OFFSET(GanttCalc!$B$4,0,8+N(Contracts!$Q$6)))-N(OFFSET(GanttCalc!$B$4,0,7+N(Contracts!$Q$6)))=1,"R"&amp;OFFSET(GanttCalc!$B$4,0,8+N(Contracts!$Q$6)),"R"&amp;(OFFSET(GanttCalc!$B$4,0,7+N(Contracts!$Q$6))+1)&amp;"-"&amp;OFFSET(GanttCalc!$B$4,0,8+N(Contracts!$Q$6)))))</f>
        <v>R1</v>
      </c>
      <c r="M10" s="60" t="str">
        <f aca="true">IF($B$10="","",IF(N(OFFSET(GanttCalc!$B$4,0,9+N(Contracts!$Q$6)))-N(OFFSET(GanttCalc!$B$4,0,8+N(Contracts!$Q$6)))&lt;=0,"",IF(N(OFFSET(GanttCalc!$B$4,0,9+N(Contracts!$Q$6)))-N(OFFSET(GanttCalc!$B$4,0,8+N(Contracts!$Q$6)))=1,"R"&amp;OFFSET(GanttCalc!$B$4,0,9+N(Contracts!$Q$6)),"R"&amp;(OFFSET(GanttCalc!$B$4,0,8+N(Contracts!$Q$6))+1)&amp;"-"&amp;OFFSET(GanttCalc!$B$4,0,9+N(Contracts!$Q$6)))))</f>
        <v>R2</v>
      </c>
      <c r="N10" s="60" t="str">
        <f aca="true">IF($B$10="","",IF(N(OFFSET(GanttCalc!$B$4,0,10+N(Contracts!$Q$6)))-N(OFFSET(GanttCalc!$B$4,0,9+N(Contracts!$Q$6)))&lt;=0,"",IF(N(OFFSET(GanttCalc!$B$4,0,10+N(Contracts!$Q$6)))-N(OFFSET(GanttCalc!$B$4,0,9+N(Contracts!$Q$6)))=1,"R"&amp;OFFSET(GanttCalc!$B$4,0,10+N(Contracts!$Q$6)),"R"&amp;(OFFSET(GanttCalc!$B$4,0,9+N(Contracts!$Q$6))+1)&amp;"-"&amp;OFFSET(GanttCalc!$B$4,0,10+N(Contracts!$Q$6)))))</f>
        <v>R3</v>
      </c>
      <c r="O10" s="60" t="str">
        <f aca="true">IF($B$10="","",IF(N(OFFSET(GanttCalc!$B$4,0,11+N(Contracts!$Q$6)))-N(OFFSET(GanttCalc!$B$4,0,10+N(Contracts!$Q$6)))&lt;=0,"",IF(N(OFFSET(GanttCalc!$B$4,0,11+N(Contracts!$Q$6)))-N(OFFSET(GanttCalc!$B$4,0,10+N(Contracts!$Q$6)))=1,"R"&amp;OFFSET(GanttCalc!$B$4,0,11+N(Contracts!$Q$6)),"R"&amp;(OFFSET(GanttCalc!$B$4,0,10+N(Contracts!$Q$6))+1)&amp;"-"&amp;OFFSET(GanttCalc!$B$4,0,11+N(Contracts!$Q$6)))))</f>
        <v>R4</v>
      </c>
      <c r="P10" s="60" t="str">
        <f aca="true">IF($B$10="","",IF(N(OFFSET(GanttCalc!$B$4,0,12+N(Contracts!$Q$6)))-N(OFFSET(GanttCalc!$B$4,0,11+N(Contracts!$Q$6)))&lt;=0,"",IF(N(OFFSET(GanttCalc!$B$4,0,12+N(Contracts!$Q$6)))-N(OFFSET(GanttCalc!$B$4,0,11+N(Contracts!$Q$6)))=1,"R"&amp;OFFSET(GanttCalc!$B$4,0,12+N(Contracts!$Q$6)),"R"&amp;(OFFSET(GanttCalc!$B$4,0,11+N(Contracts!$Q$6))+1)&amp;"-"&amp;OFFSET(GanttCalc!$B$4,0,12+N(Contracts!$Q$6)))))</f>
        <v>R5-6</v>
      </c>
      <c r="Q10" s="60" t="str">
        <f aca="true">IF($B$10="","",IF(N(OFFSET(GanttCalc!$B$4,0,13+N(Contracts!$Q$6)))-N(OFFSET(GanttCalc!$B$4,0,12+N(Contracts!$Q$6)))&lt;=0,"",IF(N(OFFSET(GanttCalc!$B$4,0,13+N(Contracts!$Q$6)))-N(OFFSET(GanttCalc!$B$4,0,12+N(Contracts!$Q$6)))=1,"R"&amp;OFFSET(GanttCalc!$B$4,0,13+N(Contracts!$Q$6)),"R"&amp;(OFFSET(GanttCalc!$B$4,0,12+N(Contracts!$Q$6))+1)&amp;"-"&amp;OFFSET(GanttCalc!$B$4,0,13+N(Contracts!$Q$6)))))</f>
        <v>R7</v>
      </c>
      <c r="R10" s="60" t="str">
        <f aca="true">IF($B$10="","",IF(N(OFFSET(GanttCalc!$B$4,0,14+N(Contracts!$Q$6)))-N(OFFSET(GanttCalc!$B$4,0,13+N(Contracts!$Q$6)))&lt;=0,"",IF(N(OFFSET(GanttCalc!$B$4,0,14+N(Contracts!$Q$6)))-N(OFFSET(GanttCalc!$B$4,0,13+N(Contracts!$Q$6)))=1,"R"&amp;OFFSET(GanttCalc!$B$4,0,14+N(Contracts!$Q$6)),"R"&amp;(OFFSET(GanttCalc!$B$4,0,13+N(Contracts!$Q$6))+1)&amp;"-"&amp;OFFSET(GanttCalc!$B$4,0,14+N(Contracts!$Q$6)))))</f>
        <v/>
      </c>
      <c r="S10" s="60" t="str">
        <f aca="true">IF($B$10="","",IF(N(OFFSET(GanttCalc!$B$4,0,15+N(Contracts!$Q$6)))-N(OFFSET(GanttCalc!$B$4,0,14+N(Contracts!$Q$6)))&lt;=0,"",IF(N(OFFSET(GanttCalc!$B$4,0,15+N(Contracts!$Q$6)))-N(OFFSET(GanttCalc!$B$4,0,14+N(Contracts!$Q$6)))=1,"R"&amp;OFFSET(GanttCalc!$B$4,0,15+N(Contracts!$Q$6)),"R"&amp;(OFFSET(GanttCalc!$B$4,0,14+N(Contracts!$Q$6))+1)&amp;"-"&amp;OFFSET(GanttCalc!$B$4,0,15+N(Contracts!$Q$6)))))</f>
        <v/>
      </c>
      <c r="T10" s="60" t="str">
        <f aca="true">IF($B$10="","",IF(N(OFFSET(GanttCalc!$B$4,0,16+N(Contracts!$Q$6)))-N(OFFSET(GanttCalc!$B$4,0,15+N(Contracts!$Q$6)))&lt;=0,"",IF(N(OFFSET(GanttCalc!$B$4,0,16+N(Contracts!$Q$6)))-N(OFFSET(GanttCalc!$B$4,0,15+N(Contracts!$Q$6)))=1,"R"&amp;OFFSET(GanttCalc!$B$4,0,16+N(Contracts!$Q$6)),"R"&amp;(OFFSET(GanttCalc!$B$4,0,15+N(Contracts!$Q$6))+1)&amp;"-"&amp;OFFSET(GanttCalc!$B$4,0,16+N(Contracts!$Q$6)))))</f>
        <v/>
      </c>
      <c r="U10" s="60" t="str">
        <f aca="true">IF($B$10="","",IF(N(OFFSET(GanttCalc!$B$4,0,17+N(Contracts!$Q$6)))-N(OFFSET(GanttCalc!$B$4,0,16+N(Contracts!$Q$6)))&lt;=0,"",IF(N(OFFSET(GanttCalc!$B$4,0,17+N(Contracts!$Q$6)))-N(OFFSET(GanttCalc!$B$4,0,16+N(Contracts!$Q$6)))=1,"R"&amp;OFFSET(GanttCalc!$B$4,0,17+N(Contracts!$Q$6)),"R"&amp;(OFFSET(GanttCalc!$B$4,0,16+N(Contracts!$Q$6))+1)&amp;"-"&amp;OFFSET(GanttCalc!$B$4,0,17+N(Contracts!$Q$6)))))</f>
        <v/>
      </c>
      <c r="V10" s="60" t="str">
        <f aca="true">IF($B$10="","",IF(N(OFFSET(GanttCalc!$B$4,0,18+N(Contracts!$Q$6)))-N(OFFSET(GanttCalc!$B$4,0,17+N(Contracts!$Q$6)))&lt;=0,"",IF(N(OFFSET(GanttCalc!$B$4,0,18+N(Contracts!$Q$6)))-N(OFFSET(GanttCalc!$B$4,0,17+N(Contracts!$Q$6)))=1,"R"&amp;OFFSET(GanttCalc!$B$4,0,18+N(Contracts!$Q$6)),"R"&amp;(OFFSET(GanttCalc!$B$4,0,17+N(Contracts!$Q$6))+1)&amp;"-"&amp;OFFSET(GanttCalc!$B$4,0,18+N(Contracts!$Q$6)))))</f>
        <v/>
      </c>
      <c r="W10" s="60" t="str">
        <f aca="true">IF($B$10="","",IF(N(OFFSET(GanttCalc!$B$4,0,19+N(Contracts!$Q$6)))-N(OFFSET(GanttCalc!$B$4,0,18+N(Contracts!$Q$6)))&lt;=0,"",IF(N(OFFSET(GanttCalc!$B$4,0,19+N(Contracts!$Q$6)))-N(OFFSET(GanttCalc!$B$4,0,18+N(Contracts!$Q$6)))=1,"R"&amp;OFFSET(GanttCalc!$B$4,0,19+N(Contracts!$Q$6)),"R"&amp;(OFFSET(GanttCalc!$B$4,0,18+N(Contracts!$Q$6))+1)&amp;"-"&amp;OFFSET(GanttCalc!$B$4,0,19+N(Contracts!$Q$6)))))</f>
        <v/>
      </c>
      <c r="X10" s="60" t="str">
        <f aca="true">IF($B$10="","",IF(N(OFFSET(GanttCalc!$B$4,0,20+N(Contracts!$Q$6)))-N(OFFSET(GanttCalc!$B$4,0,19+N(Contracts!$Q$6)))&lt;=0,"",IF(N(OFFSET(GanttCalc!$B$4,0,20+N(Contracts!$Q$6)))-N(OFFSET(GanttCalc!$B$4,0,19+N(Contracts!$Q$6)))=1,"R"&amp;OFFSET(GanttCalc!$B$4,0,20+N(Contracts!$Q$6)),"R"&amp;(OFFSET(GanttCalc!$B$4,0,19+N(Contracts!$Q$6))+1)&amp;"-"&amp;OFFSET(GanttCalc!$B$4,0,20+N(Contracts!$Q$6)))))</f>
        <v/>
      </c>
      <c r="Y10" s="60" t="str">
        <f aca="true">IF($B$10="","",IF(N(OFFSET(GanttCalc!$B$4,0,21+N(Contracts!$Q$6)))-N(OFFSET(GanttCalc!$B$4,0,20+N(Contracts!$Q$6)))&lt;=0,"",IF(N(OFFSET(GanttCalc!$B$4,0,21+N(Contracts!$Q$6)))-N(OFFSET(GanttCalc!$B$4,0,20+N(Contracts!$Q$6)))=1,"R"&amp;OFFSET(GanttCalc!$B$4,0,21+N(Contracts!$Q$6)),"R"&amp;(OFFSET(GanttCalc!$B$4,0,20+N(Contracts!$Q$6))+1)&amp;"-"&amp;OFFSET(GanttCalc!$B$4,0,21+N(Contracts!$Q$6)))))</f>
        <v>R8</v>
      </c>
      <c r="Z10" s="60" t="str">
        <f aca="true">IF($B$10="","",IF(N(OFFSET(GanttCalc!$B$4,0,22+N(Contracts!$Q$6)))-N(OFFSET(GanttCalc!$B$4,0,21+N(Contracts!$Q$6)))&lt;=0,"",IF(N(OFFSET(GanttCalc!$B$4,0,22+N(Contracts!$Q$6)))-N(OFFSET(GanttCalc!$B$4,0,21+N(Contracts!$Q$6)))=1,"R"&amp;OFFSET(GanttCalc!$B$4,0,22+N(Contracts!$Q$6)),"R"&amp;(OFFSET(GanttCalc!$B$4,0,21+N(Contracts!$Q$6))+1)&amp;"-"&amp;OFFSET(GanttCalc!$B$4,0,22+N(Contracts!$Q$6)))))</f>
        <v>R9-12</v>
      </c>
      <c r="AA10" s="60" t="str">
        <f aca="true">IF($B$10="","",IF(N(OFFSET(GanttCalc!$B$4,0,23+N(Contracts!$Q$6)))-N(OFFSET(GanttCalc!$B$4,0,22+N(Contracts!$Q$6)))&lt;=0,"",IF(N(OFFSET(GanttCalc!$B$4,0,23+N(Contracts!$Q$6)))-N(OFFSET(GanttCalc!$B$4,0,22+N(Contracts!$Q$6)))=1,"R"&amp;OFFSET(GanttCalc!$B$4,0,23+N(Contracts!$Q$6)),"R"&amp;(OFFSET(GanttCalc!$B$4,0,22+N(Contracts!$Q$6))+1)&amp;"-"&amp;OFFSET(GanttCalc!$B$4,0,23+N(Contracts!$Q$6)))))</f>
        <v>R13-15</v>
      </c>
      <c r="AB10" s="60" t="str">
        <f aca="true">IF($B$10="","",IF(N(OFFSET(GanttCalc!$B$4,0,24+N(Contracts!$Q$6)))-N(OFFSET(GanttCalc!$B$4,0,23+N(Contracts!$Q$6)))&lt;=0,"",IF(N(OFFSET(GanttCalc!$B$4,0,24+N(Contracts!$Q$6)))-N(OFFSET(GanttCalc!$B$4,0,23+N(Contracts!$Q$6)))=1,"R"&amp;OFFSET(GanttCalc!$B$4,0,24+N(Contracts!$Q$6)),"R"&amp;(OFFSET(GanttCalc!$B$4,0,23+N(Contracts!$Q$6))+1)&amp;"-"&amp;OFFSET(GanttCalc!$B$4,0,24+N(Contracts!$Q$6)))))</f>
        <v>R16-19</v>
      </c>
      <c r="AC10" s="60" t="str">
        <f aca="true">IF($B$10="","",IF(N(OFFSET(GanttCalc!$B$4,0,25+N(Contracts!$Q$6)))-N(OFFSET(GanttCalc!$B$4,0,24+N(Contracts!$Q$6)))&lt;=0,"",IF(N(OFFSET(GanttCalc!$B$4,0,25+N(Contracts!$Q$6)))-N(OFFSET(GanttCalc!$B$4,0,24+N(Contracts!$Q$6)))=1,"R"&amp;OFFSET(GanttCalc!$B$4,0,25+N(Contracts!$Q$6)),"R"&amp;(OFFSET(GanttCalc!$B$4,0,24+N(Contracts!$Q$6))+1)&amp;"-"&amp;OFFSET(GanttCalc!$B$4,0,25+N(Contracts!$Q$6)))))</f>
        <v>R20-23</v>
      </c>
      <c r="AD10" s="60" t="str">
        <f aca="true">IF($B$10="","",IF(N(OFFSET(GanttCalc!$B$4,0,26+N(Contracts!$Q$6)))-N(OFFSET(GanttCalc!$B$4,0,25+N(Contracts!$Q$6)))&lt;=0,"",IF(N(OFFSET(GanttCalc!$B$4,0,26+N(Contracts!$Q$6)))-N(OFFSET(GanttCalc!$B$4,0,25+N(Contracts!$Q$6)))=1,"R"&amp;OFFSET(GanttCalc!$B$4,0,26+N(Contracts!$Q$6)),"R"&amp;(OFFSET(GanttCalc!$B$4,0,25+N(Contracts!$Q$6))+1)&amp;"-"&amp;OFFSET(GanttCalc!$B$4,0,26+N(Contracts!$Q$6)))))</f>
        <v>R24-27</v>
      </c>
      <c r="AE10" s="60" t="str">
        <f aca="true">IF($B$10="","",IF(N(OFFSET(GanttCalc!$B$4,0,27+N(Contracts!$Q$6)))-N(OFFSET(GanttCalc!$B$4,0,26+N(Contracts!$Q$6)))&lt;=0,"",IF(N(OFFSET(GanttCalc!$B$4,0,27+N(Contracts!$Q$6)))-N(OFFSET(GanttCalc!$B$4,0,26+N(Contracts!$Q$6)))=1,"R"&amp;OFFSET(GanttCalc!$B$4,0,27+N(Contracts!$Q$6)),"R"&amp;(OFFSET(GanttCalc!$B$4,0,26+N(Contracts!$Q$6))+1)&amp;"-"&amp;OFFSET(GanttCalc!$B$4,0,27+N(Contracts!$Q$6)))))</f>
        <v>R28-32</v>
      </c>
      <c r="AF10" s="60" t="str">
        <f aca="true">IF($B$10="","",IF(N(OFFSET(GanttCalc!$B$4,0,28+N(Contracts!$Q$6)))-N(OFFSET(GanttCalc!$B$4,0,27+N(Contracts!$Q$6)))&lt;=0,"",IF(N(OFFSET(GanttCalc!$B$4,0,28+N(Contracts!$Q$6)))-N(OFFSET(GanttCalc!$B$4,0,27+N(Contracts!$Q$6)))=1,"R"&amp;OFFSET(GanttCalc!$B$4,0,28+N(Contracts!$Q$6)),"R"&amp;(OFFSET(GanttCalc!$B$4,0,27+N(Contracts!$Q$6))+1)&amp;"-"&amp;OFFSET(GanttCalc!$B$4,0,28+N(Contracts!$Q$6)))))</f>
        <v>R33-36</v>
      </c>
      <c r="AG10" s="60" t="str">
        <f aca="true">IF($B$10="","",IF(N(OFFSET(GanttCalc!$B$4,0,29+N(Contracts!$Q$6)))-N(OFFSET(GanttCalc!$B$4,0,28+N(Contracts!$Q$6)))&lt;=0,"",IF(N(OFFSET(GanttCalc!$B$4,0,29+N(Contracts!$Q$6)))-N(OFFSET(GanttCalc!$B$4,0,28+N(Contracts!$Q$6)))=1,"R"&amp;OFFSET(GanttCalc!$B$4,0,29+N(Contracts!$Q$6)),"R"&amp;(OFFSET(GanttCalc!$B$4,0,28+N(Contracts!$Q$6))+1)&amp;"-"&amp;OFFSET(GanttCalc!$B$4,0,29+N(Contracts!$Q$6)))))</f>
        <v>R37-40</v>
      </c>
      <c r="AH10" s="60" t="str">
        <f aca="true">IF($B$10="","",IF(N(OFFSET(GanttCalc!$B$4,0,30+N(Contracts!$Q$6)))-N(OFFSET(GanttCalc!$B$4,0,29+N(Contracts!$Q$6)))&lt;=0,"",IF(N(OFFSET(GanttCalc!$B$4,0,30+N(Contracts!$Q$6)))-N(OFFSET(GanttCalc!$B$4,0,29+N(Contracts!$Q$6)))=1,"R"&amp;OFFSET(GanttCalc!$B$4,0,30+N(Contracts!$Q$6)),"R"&amp;(OFFSET(GanttCalc!$B$4,0,29+N(Contracts!$Q$6))+1)&amp;"-"&amp;OFFSET(GanttCalc!$B$4,0,30+N(Contracts!$Q$6)))))</f>
        <v>R41-45</v>
      </c>
      <c r="AI10" s="60" t="str">
        <f aca="true">IF($B$10="","",IF(N(OFFSET(GanttCalc!$B$4,0,31+N(Contracts!$Q$6)))-N(OFFSET(GanttCalc!$B$4,0,30+N(Contracts!$Q$6)))&lt;=0,"",IF(N(OFFSET(GanttCalc!$B$4,0,31+N(Contracts!$Q$6)))-N(OFFSET(GanttCalc!$B$4,0,30+N(Contracts!$Q$6)))=1,"R"&amp;OFFSET(GanttCalc!$B$4,0,31+N(Contracts!$Q$6)),"R"&amp;(OFFSET(GanttCalc!$B$4,0,30+N(Contracts!$Q$6))+1)&amp;"-"&amp;OFFSET(GanttCalc!$B$4,0,31+N(Contracts!$Q$6)))))</f>
        <v>R46-49</v>
      </c>
      <c r="AJ10" s="60" t="str">
        <f aca="true">IF($B$10="","",IF(N(OFFSET(GanttCalc!$B$4,0,32+N(Contracts!$Q$6)))-N(OFFSET(GanttCalc!$B$4,0,31+N(Contracts!$Q$6)))&lt;=0,"",IF(N(OFFSET(GanttCalc!$B$4,0,32+N(Contracts!$Q$6)))-N(OFFSET(GanttCalc!$B$4,0,31+N(Contracts!$Q$6)))=1,"R"&amp;OFFSET(GanttCalc!$B$4,0,32+N(Contracts!$Q$6)),"R"&amp;(OFFSET(GanttCalc!$B$4,0,31+N(Contracts!$Q$6))+1)&amp;"-"&amp;OFFSET(GanttCalc!$B$4,0,32+N(Contracts!$Q$6)))))</f>
        <v>R50-52</v>
      </c>
      <c r="AK10" s="60" t="str">
        <f aca="true">IF($B$10="","",IF(N(OFFSET(GanttCalc!$B$4,0,33+N(Contracts!$Q$6)))-N(OFFSET(GanttCalc!$B$4,0,32+N(Contracts!$Q$6)))&lt;=0,"",IF(N(OFFSET(GanttCalc!$B$4,0,33+N(Contracts!$Q$6)))-N(OFFSET(GanttCalc!$B$4,0,32+N(Contracts!$Q$6)))=1,"R"&amp;OFFSET(GanttCalc!$B$4,0,33+N(Contracts!$Q$6)),"R"&amp;(OFFSET(GanttCalc!$B$4,0,32+N(Contracts!$Q$6))+1)&amp;"-"&amp;OFFSET(GanttCalc!$B$4,0,33+N(Contracts!$Q$6)))))</f>
        <v>R53-56</v>
      </c>
      <c r="AL10" s="60" t="str">
        <f aca="true">IF($B$10="","",IF(N(OFFSET(GanttCalc!$B$4,0,34+N(Contracts!$Q$6)))-N(OFFSET(GanttCalc!$B$4,0,33+N(Contracts!$Q$6)))&lt;=0,"",IF(N(OFFSET(GanttCalc!$B$4,0,34+N(Contracts!$Q$6)))-N(OFFSET(GanttCalc!$B$4,0,33+N(Contracts!$Q$6)))=1,"R"&amp;OFFSET(GanttCalc!$B$4,0,34+N(Contracts!$Q$6)),"R"&amp;(OFFSET(GanttCalc!$B$4,0,33+N(Contracts!$Q$6))+1)&amp;"-"&amp;OFFSET(GanttCalc!$B$4,0,34+N(Contracts!$Q$6)))))</f>
        <v>R57-60</v>
      </c>
      <c r="AM10" s="60" t="str">
        <f aca="true">IF($B$10="","",IF(N(OFFSET(GanttCalc!$B$4,0,35+N(Contracts!$Q$6)))-N(OFFSET(GanttCalc!$B$4,0,34+N(Contracts!$Q$6)))&lt;=0,"",IF(N(OFFSET(GanttCalc!$B$4,0,35+N(Contracts!$Q$6)))-N(OFFSET(GanttCalc!$B$4,0,34+N(Contracts!$Q$6)))=1,"R"&amp;OFFSET(GanttCalc!$B$4,0,35+N(Contracts!$Q$6)),"R"&amp;(OFFSET(GanttCalc!$B$4,0,34+N(Contracts!$Q$6))+1)&amp;"-"&amp;OFFSET(GanttCalc!$B$4,0,35+N(Contracts!$Q$6)))))</f>
        <v>R61-62</v>
      </c>
      <c r="AN10" s="60" t="str">
        <f aca="true">IF($B$10="","",IF(N(OFFSET(GanttCalc!$B$4,0,36+N(Contracts!$Q$6)))-N(OFFSET(GanttCalc!$B$4,0,35+N(Contracts!$Q$6)))&lt;=0,"",IF(N(OFFSET(GanttCalc!$B$4,0,36+N(Contracts!$Q$6)))-N(OFFSET(GanttCalc!$B$4,0,35+N(Contracts!$Q$6)))=1,"R"&amp;OFFSET(GanttCalc!$B$4,0,36+N(Contracts!$Q$6)),"R"&amp;(OFFSET(GanttCalc!$B$4,0,35+N(Contracts!$Q$6))+1)&amp;"-"&amp;OFFSET(GanttCalc!$B$4,0,36+N(Contracts!$Q$6)))))</f>
        <v>R63</v>
      </c>
      <c r="AO10" s="60" t="str">
        <f aca="true">IF($B$10="","",IF(N(OFFSET(GanttCalc!$B$4,0,37+N(Contracts!$Q$6)))-N(OFFSET(GanttCalc!$B$4,0,36+N(Contracts!$Q$6)))&lt;=0,"",IF(N(OFFSET(GanttCalc!$B$4,0,37+N(Contracts!$Q$6)))-N(OFFSET(GanttCalc!$B$4,0,36+N(Contracts!$Q$6)))=1,"R"&amp;OFFSET(GanttCalc!$B$4,0,37+N(Contracts!$Q$6)),"R"&amp;(OFFSET(GanttCalc!$B$4,0,36+N(Contracts!$Q$6))+1)&amp;"-"&amp;OFFSET(GanttCalc!$B$4,0,37+N(Contracts!$Q$6)))))</f>
        <v/>
      </c>
      <c r="AP10" s="60" t="str">
        <f aca="true">IF($B$10="","",IF(N(OFFSET(GanttCalc!$B$4,0,38+N(Contracts!$Q$6)))-N(OFFSET(GanttCalc!$B$4,0,37+N(Contracts!$Q$6)))&lt;=0,"",IF(N(OFFSET(GanttCalc!$B$4,0,38+N(Contracts!$Q$6)))-N(OFFSET(GanttCalc!$B$4,0,37+N(Contracts!$Q$6)))=1,"R"&amp;OFFSET(GanttCalc!$B$4,0,38+N(Contracts!$Q$6)),"R"&amp;(OFFSET(GanttCalc!$B$4,0,37+N(Contracts!$Q$6))+1)&amp;"-"&amp;OFFSET(GanttCalc!$B$4,0,38+N(Contracts!$Q$6)))))</f>
        <v/>
      </c>
      <c r="AQ10" s="60" t="str">
        <f aca="true">IF($B$10="","",IF(N(OFFSET(GanttCalc!$B$4,0,39+N(Contracts!$Q$6)))-N(OFFSET(GanttCalc!$B$4,0,38+N(Contracts!$Q$6)))&lt;=0,"",IF(N(OFFSET(GanttCalc!$B$4,0,39+N(Contracts!$Q$6)))-N(OFFSET(GanttCalc!$B$4,0,38+N(Contracts!$Q$6)))=1,"R"&amp;OFFSET(GanttCalc!$B$4,0,39+N(Contracts!$Q$6)),"R"&amp;(OFFSET(GanttCalc!$B$4,0,38+N(Contracts!$Q$6))+1)&amp;"-"&amp;OFFSET(GanttCalc!$B$4,0,39+N(Contracts!$Q$6)))))</f>
        <v/>
      </c>
      <c r="AR10" s="60" t="str">
        <f aca="true">IF($B$10="","",IF(N(OFFSET(GanttCalc!$B$4,0,40+N(Contracts!$Q$6)))-N(OFFSET(GanttCalc!$B$4,0,39+N(Contracts!$Q$6)))&lt;=0,"",IF(N(OFFSET(GanttCalc!$B$4,0,40+N(Contracts!$Q$6)))-N(OFFSET(GanttCalc!$B$4,0,39+N(Contracts!$Q$6)))=1,"R"&amp;OFFSET(GanttCalc!$B$4,0,40+N(Contracts!$Q$6)),"R"&amp;(OFFSET(GanttCalc!$B$4,0,39+N(Contracts!$Q$6))+1)&amp;"-"&amp;OFFSET(GanttCalc!$B$4,0,40+N(Contracts!$Q$6)))))</f>
        <v/>
      </c>
      <c r="AS10" s="60" t="str">
        <f aca="true">IF($B$10="","",IF(N(OFFSET(GanttCalc!$B$4,0,41+N(Contracts!$Q$6)))-N(OFFSET(GanttCalc!$B$4,0,40+N(Contracts!$Q$6)))&lt;=0,"",IF(N(OFFSET(GanttCalc!$B$4,0,41+N(Contracts!$Q$6)))-N(OFFSET(GanttCalc!$B$4,0,40+N(Contracts!$Q$6)))=1,"R"&amp;OFFSET(GanttCalc!$B$4,0,41+N(Contracts!$Q$6)),"R"&amp;(OFFSET(GanttCalc!$B$4,0,40+N(Contracts!$Q$6))+1)&amp;"-"&amp;OFFSET(GanttCalc!$B$4,0,41+N(Contracts!$Q$6)))))</f>
        <v/>
      </c>
      <c r="AT10" s="60" t="str">
        <f aca="true">IF($B$10="","",IF(N(OFFSET(GanttCalc!$B$4,0,42+N(Contracts!$Q$6)))-N(OFFSET(GanttCalc!$B$4,0,41+N(Contracts!$Q$6)))&lt;=0,"",IF(N(OFFSET(GanttCalc!$B$4,0,42+N(Contracts!$Q$6)))-N(OFFSET(GanttCalc!$B$4,0,41+N(Contracts!$Q$6)))=1,"R"&amp;OFFSET(GanttCalc!$B$4,0,42+N(Contracts!$Q$6)),"R"&amp;(OFFSET(GanttCalc!$B$4,0,41+N(Contracts!$Q$6))+1)&amp;"-"&amp;OFFSET(GanttCalc!$B$4,0,42+N(Contracts!$Q$6)))))</f>
        <v/>
      </c>
      <c r="AU10" s="60" t="str">
        <f aca="true">IF($B$10="","",IF(N(OFFSET(GanttCalc!$B$4,0,43+N(Contracts!$Q$6)))-N(OFFSET(GanttCalc!$B$4,0,42+N(Contracts!$Q$6)))&lt;=0,"",IF(N(OFFSET(GanttCalc!$B$4,0,43+N(Contracts!$Q$6)))-N(OFFSET(GanttCalc!$B$4,0,42+N(Contracts!$Q$6)))=1,"R"&amp;OFFSET(GanttCalc!$B$4,0,43+N(Contracts!$Q$6)),"R"&amp;(OFFSET(GanttCalc!$B$4,0,42+N(Contracts!$Q$6))+1)&amp;"-"&amp;OFFSET(GanttCalc!$B$4,0,43+N(Contracts!$Q$6)))))</f>
        <v>R64-68</v>
      </c>
      <c r="AV10" s="60" t="str">
        <f aca="true">IF($B$10="","",IF(N(OFFSET(GanttCalc!$B$4,0,44+N(Contracts!$Q$6)))-N(OFFSET(GanttCalc!$B$4,0,43+N(Contracts!$Q$6)))&lt;=0,"",IF(N(OFFSET(GanttCalc!$B$4,0,44+N(Contracts!$Q$6)))-N(OFFSET(GanttCalc!$B$4,0,43+N(Contracts!$Q$6)))=1,"R"&amp;OFFSET(GanttCalc!$B$4,0,44+N(Contracts!$Q$6)),"R"&amp;(OFFSET(GanttCalc!$B$4,0,43+N(Contracts!$Q$6))+1)&amp;"-"&amp;OFFSET(GanttCalc!$B$4,0,44+N(Contracts!$Q$6)))))</f>
        <v>R69-74</v>
      </c>
      <c r="AW10" s="60" t="str">
        <f aca="true">IF($B$10="","",IF(N(OFFSET(GanttCalc!$B$4,0,45+N(Contracts!$Q$6)))-N(OFFSET(GanttCalc!$B$4,0,44+N(Contracts!$Q$6)))&lt;=0,"",IF(N(OFFSET(GanttCalc!$B$4,0,45+N(Contracts!$Q$6)))-N(OFFSET(GanttCalc!$B$4,0,44+N(Contracts!$Q$6)))=1,"R"&amp;OFFSET(GanttCalc!$B$4,0,45+N(Contracts!$Q$6)),"R"&amp;(OFFSET(GanttCalc!$B$4,0,44+N(Contracts!$Q$6))+1)&amp;"-"&amp;OFFSET(GanttCalc!$B$4,0,45+N(Contracts!$Q$6)))))</f>
        <v>R75-81</v>
      </c>
      <c r="AX10" s="60" t="str">
        <f aca="true">IF($B$10="","",IF(N(OFFSET(GanttCalc!$B$4,0,46+N(Contracts!$Q$6)))-N(OFFSET(GanttCalc!$B$4,0,45+N(Contracts!$Q$6)))&lt;=0,"",IF(N(OFFSET(GanttCalc!$B$4,0,46+N(Contracts!$Q$6)))-N(OFFSET(GanttCalc!$B$4,0,45+N(Contracts!$Q$6)))=1,"R"&amp;OFFSET(GanttCalc!$B$4,0,46+N(Contracts!$Q$6)),"R"&amp;(OFFSET(GanttCalc!$B$4,0,45+N(Contracts!$Q$6))+1)&amp;"-"&amp;OFFSET(GanttCalc!$B$4,0,46+N(Contracts!$Q$6)))))</f>
        <v>R82-88</v>
      </c>
      <c r="AY10" s="60" t="str">
        <f aca="true">IF($B$10="","",IF(N(OFFSET(GanttCalc!$B$4,0,47+N(Contracts!$Q$6)))-N(OFFSET(GanttCalc!$B$4,0,46+N(Contracts!$Q$6)))&lt;=0,"",IF(N(OFFSET(GanttCalc!$B$4,0,47+N(Contracts!$Q$6)))-N(OFFSET(GanttCalc!$B$4,0,46+N(Contracts!$Q$6)))=1,"R"&amp;OFFSET(GanttCalc!$B$4,0,47+N(Contracts!$Q$6)),"R"&amp;(OFFSET(GanttCalc!$B$4,0,46+N(Contracts!$Q$6))+1)&amp;"-"&amp;OFFSET(GanttCalc!$B$4,0,47+N(Contracts!$Q$6)))))</f>
        <v>R89-95</v>
      </c>
      <c r="AZ10" s="60" t="str">
        <f aca="true">IF($B$10="","",IF(N(OFFSET(GanttCalc!$B$4,0,48+N(Contracts!$Q$6)))-N(OFFSET(GanttCalc!$B$4,0,47+N(Contracts!$Q$6)))&lt;=0,"",IF(N(OFFSET(GanttCalc!$B$4,0,48+N(Contracts!$Q$6)))-N(OFFSET(GanttCalc!$B$4,0,47+N(Contracts!$Q$6)))=1,"R"&amp;OFFSET(GanttCalc!$B$4,0,48+N(Contracts!$Q$6)),"R"&amp;(OFFSET(GanttCalc!$B$4,0,47+N(Contracts!$Q$6))+1)&amp;"-"&amp;OFFSET(GanttCalc!$B$4,0,48+N(Contracts!$Q$6)))))</f>
        <v>R96-102</v>
      </c>
      <c r="BA10" s="60" t="str">
        <f aca="true">IF($B$10="","",IF(N(OFFSET(GanttCalc!$B$4,0,49+N(Contracts!$Q$6)))-N(OFFSET(GanttCalc!$B$4,0,48+N(Contracts!$Q$6)))&lt;=0,"",IF(N(OFFSET(GanttCalc!$B$4,0,49+N(Contracts!$Q$6)))-N(OFFSET(GanttCalc!$B$4,0,48+N(Contracts!$Q$6)))=1,"R"&amp;OFFSET(GanttCalc!$B$4,0,49+N(Contracts!$Q$6)),"R"&amp;(OFFSET(GanttCalc!$B$4,0,48+N(Contracts!$Q$6))+1)&amp;"-"&amp;OFFSET(GanttCalc!$B$4,0,49+N(Contracts!$Q$6)))))</f>
        <v>R103-109</v>
      </c>
      <c r="BB10" s="60" t="str">
        <f aca="true">IF($B$10="","",IF(N(OFFSET(GanttCalc!$B$4,0,50+N(Contracts!$Q$6)))-N(OFFSET(GanttCalc!$B$4,0,49+N(Contracts!$Q$6)))&lt;=0,"",IF(N(OFFSET(GanttCalc!$B$4,0,50+N(Contracts!$Q$6)))-N(OFFSET(GanttCalc!$B$4,0,49+N(Contracts!$Q$6)))=1,"R"&amp;OFFSET(GanttCalc!$B$4,0,50+N(Contracts!$Q$6)),"R"&amp;(OFFSET(GanttCalc!$B$4,0,49+N(Contracts!$Q$6))+1)&amp;"-"&amp;OFFSET(GanttCalc!$B$4,0,50+N(Contracts!$Q$6)))))</f>
        <v>R110-116</v>
      </c>
      <c r="BC10" s="60" t="str">
        <f aca="true">IF($B$10="","",IF(N(OFFSET(GanttCalc!$B$4,0,51+N(Contracts!$Q$6)))-N(OFFSET(GanttCalc!$B$4,0,50+N(Contracts!$Q$6)))&lt;=0,"",IF(N(OFFSET(GanttCalc!$B$4,0,51+N(Contracts!$Q$6)))-N(OFFSET(GanttCalc!$B$4,0,50+N(Contracts!$Q$6)))=1,"R"&amp;OFFSET(GanttCalc!$B$4,0,51+N(Contracts!$Q$6)),"R"&amp;(OFFSET(GanttCalc!$B$4,0,50+N(Contracts!$Q$6))+1)&amp;"-"&amp;OFFSET(GanttCalc!$B$4,0,51+N(Contracts!$Q$6)))))</f>
        <v>R117-124</v>
      </c>
      <c r="BD10" s="60" t="str">
        <f aca="true">IF($B$10="","",IF(N(OFFSET(GanttCalc!$B$4,0,52+N(Contracts!$Q$6)))-N(OFFSET(GanttCalc!$B$4,0,51+N(Contracts!$Q$6)))&lt;=0,"",IF(N(OFFSET(GanttCalc!$B$4,0,52+N(Contracts!$Q$6)))-N(OFFSET(GanttCalc!$B$4,0,51+N(Contracts!$Q$6)))=1,"R"&amp;OFFSET(GanttCalc!$B$4,0,52+N(Contracts!$Q$6)),"R"&amp;(OFFSET(GanttCalc!$B$4,0,51+N(Contracts!$Q$6))+1)&amp;"-"&amp;OFFSET(GanttCalc!$B$4,0,52+N(Contracts!$Q$6)))))</f>
        <v>R125-131</v>
      </c>
    </row>
    <row r="11" customFormat="false" ht="16.5" hidden="false" customHeight="true" outlineLevel="0" collapsed="false">
      <c r="B11" s="61" t="str">
        <f aca="false">IF(Contracts!$A$6="","",Contracts!$C$6)</f>
        <v>92ERP24543A++</v>
      </c>
      <c r="C11" s="62" t="str">
        <f aca="false">IF(Contracts!$A$6="","","AMPS build")</f>
        <v>AMPS build</v>
      </c>
      <c r="D11" s="59" t="str">
        <f aca="false">IF($B$10="","",SUMPRODUCT(--(E11:BD11&lt;&gt;""))&amp;" wks")</f>
        <v>31 wks</v>
      </c>
      <c r="E11" s="60" t="str">
        <f aca="false">IF($B$10="","",IF(N(GanttCalc!D4)-N(GanttCalc!C4)&lt;=0,"",IF(N(GanttCalc!D4)-N(GanttCalc!C4)=1,"R"&amp;GanttCalc!D4,"R"&amp;(GanttCalc!C4+1)&amp;"-"&amp;GanttCalc!D4)))</f>
        <v/>
      </c>
      <c r="F11" s="60" t="str">
        <f aca="false">IF($B$10="","",IF(N(GanttCalc!E4)-N(GanttCalc!D4)&lt;=0,"",IF(N(GanttCalc!E4)-N(GanttCalc!D4)=1,"R"&amp;GanttCalc!E4,"R"&amp;(GanttCalc!D4+1)&amp;"-"&amp;GanttCalc!E4)))</f>
        <v/>
      </c>
      <c r="G11" s="60" t="str">
        <f aca="false">IF($B$10="","",IF(N(GanttCalc!F4)-N(GanttCalc!E4)&lt;=0,"",IF(N(GanttCalc!F4)-N(GanttCalc!E4)=1,"R"&amp;GanttCalc!F4,"R"&amp;(GanttCalc!E4+1)&amp;"-"&amp;GanttCalc!F4)))</f>
        <v/>
      </c>
      <c r="H11" s="60" t="str">
        <f aca="false">IF($B$10="","",IF(N(GanttCalc!G4)-N(GanttCalc!F4)&lt;=0,"",IF(N(GanttCalc!G4)-N(GanttCalc!F4)=1,"R"&amp;GanttCalc!G4,"R"&amp;(GanttCalc!F4+1)&amp;"-"&amp;GanttCalc!G4)))</f>
        <v/>
      </c>
      <c r="I11" s="60" t="str">
        <f aca="false">IF($B$10="","",IF(N(GanttCalc!H4)-N(GanttCalc!G4)&lt;=0,"",IF(N(GanttCalc!H4)-N(GanttCalc!G4)=1,"R"&amp;GanttCalc!H4,"R"&amp;(GanttCalc!G4+1)&amp;"-"&amp;GanttCalc!H4)))</f>
        <v/>
      </c>
      <c r="J11" s="60" t="str">
        <f aca="false">IF($B$10="","",IF(N(GanttCalc!I4)-N(GanttCalc!H4)&lt;=0,"",IF(N(GanttCalc!I4)-N(GanttCalc!H4)=1,"R"&amp;GanttCalc!I4,"R"&amp;(GanttCalc!H4+1)&amp;"-"&amp;GanttCalc!I4)))</f>
        <v/>
      </c>
      <c r="K11" s="60" t="str">
        <f aca="false">IF($B$10="","",IF(N(GanttCalc!J4)-N(GanttCalc!I4)&lt;=0,"",IF(N(GanttCalc!J4)-N(GanttCalc!I4)=1,"R"&amp;GanttCalc!J4,"R"&amp;(GanttCalc!I4+1)&amp;"-"&amp;GanttCalc!J4)))</f>
        <v/>
      </c>
      <c r="L11" s="60" t="str">
        <f aca="false">IF($B$10="","",IF(N(GanttCalc!K4)-N(GanttCalc!J4)&lt;=0,"",IF(N(GanttCalc!K4)-N(GanttCalc!J4)=1,"R"&amp;GanttCalc!K4,"R"&amp;(GanttCalc!J4+1)&amp;"-"&amp;GanttCalc!K4)))</f>
        <v/>
      </c>
      <c r="M11" s="60" t="str">
        <f aca="false">IF($B$10="","",IF(N(GanttCalc!L4)-N(GanttCalc!K4)&lt;=0,"",IF(N(GanttCalc!L4)-N(GanttCalc!K4)=1,"R"&amp;GanttCalc!L4,"R"&amp;(GanttCalc!K4+1)&amp;"-"&amp;GanttCalc!L4)))</f>
        <v>R1</v>
      </c>
      <c r="N11" s="60" t="str">
        <f aca="false">IF($B$10="","",IF(N(GanttCalc!M4)-N(GanttCalc!L4)&lt;=0,"",IF(N(GanttCalc!M4)-N(GanttCalc!L4)=1,"R"&amp;GanttCalc!M4,"R"&amp;(GanttCalc!L4+1)&amp;"-"&amp;GanttCalc!M4)))</f>
        <v>R2</v>
      </c>
      <c r="O11" s="60" t="str">
        <f aca="false">IF($B$10="","",IF(N(GanttCalc!N4)-N(GanttCalc!M4)&lt;=0,"",IF(N(GanttCalc!N4)-N(GanttCalc!M4)=1,"R"&amp;GanttCalc!N4,"R"&amp;(GanttCalc!M4+1)&amp;"-"&amp;GanttCalc!N4)))</f>
        <v>R3</v>
      </c>
      <c r="P11" s="60" t="str">
        <f aca="false">IF($B$10="","",IF(N(GanttCalc!O4)-N(GanttCalc!N4)&lt;=0,"",IF(N(GanttCalc!O4)-N(GanttCalc!N4)=1,"R"&amp;GanttCalc!O4,"R"&amp;(GanttCalc!N4+1)&amp;"-"&amp;GanttCalc!O4)))</f>
        <v>R4</v>
      </c>
      <c r="Q11" s="60" t="str">
        <f aca="false">IF($B$10="","",IF(N(GanttCalc!P4)-N(GanttCalc!O4)&lt;=0,"",IF(N(GanttCalc!P4)-N(GanttCalc!O4)=1,"R"&amp;GanttCalc!P4,"R"&amp;(GanttCalc!O4+1)&amp;"-"&amp;GanttCalc!P4)))</f>
        <v>R5-6</v>
      </c>
      <c r="R11" s="60" t="str">
        <f aca="false">IF($B$10="","",IF(N(GanttCalc!Q4)-N(GanttCalc!P4)&lt;=0,"",IF(N(GanttCalc!Q4)-N(GanttCalc!P4)=1,"R"&amp;GanttCalc!Q4,"R"&amp;(GanttCalc!P4+1)&amp;"-"&amp;GanttCalc!Q4)))</f>
        <v>R7</v>
      </c>
      <c r="S11" s="60" t="str">
        <f aca="false">IF($B$10="","",IF(N(GanttCalc!R4)-N(GanttCalc!Q4)&lt;=0,"",IF(N(GanttCalc!R4)-N(GanttCalc!Q4)=1,"R"&amp;GanttCalc!R4,"R"&amp;(GanttCalc!Q4+1)&amp;"-"&amp;GanttCalc!R4)))</f>
        <v/>
      </c>
      <c r="T11" s="60" t="str">
        <f aca="false">IF($B$10="","",IF(N(GanttCalc!S4)-N(GanttCalc!R4)&lt;=0,"",IF(N(GanttCalc!S4)-N(GanttCalc!R4)=1,"R"&amp;GanttCalc!S4,"R"&amp;(GanttCalc!R4+1)&amp;"-"&amp;GanttCalc!S4)))</f>
        <v/>
      </c>
      <c r="U11" s="60" t="str">
        <f aca="false">IF($B$10="","",IF(N(GanttCalc!T4)-N(GanttCalc!S4)&lt;=0,"",IF(N(GanttCalc!T4)-N(GanttCalc!S4)=1,"R"&amp;GanttCalc!T4,"R"&amp;(GanttCalc!S4+1)&amp;"-"&amp;GanttCalc!T4)))</f>
        <v/>
      </c>
      <c r="V11" s="60" t="str">
        <f aca="false">IF($B$10="","",IF(N(GanttCalc!U4)-N(GanttCalc!T4)&lt;=0,"",IF(N(GanttCalc!U4)-N(GanttCalc!T4)=1,"R"&amp;GanttCalc!U4,"R"&amp;(GanttCalc!T4+1)&amp;"-"&amp;GanttCalc!U4)))</f>
        <v/>
      </c>
      <c r="W11" s="60" t="str">
        <f aca="false">IF($B$10="","",IF(N(GanttCalc!V4)-N(GanttCalc!U4)&lt;=0,"",IF(N(GanttCalc!V4)-N(GanttCalc!U4)=1,"R"&amp;GanttCalc!V4,"R"&amp;(GanttCalc!U4+1)&amp;"-"&amp;GanttCalc!V4)))</f>
        <v/>
      </c>
      <c r="X11" s="60" t="str">
        <f aca="false">IF($B$10="","",IF(N(GanttCalc!W4)-N(GanttCalc!V4)&lt;=0,"",IF(N(GanttCalc!W4)-N(GanttCalc!V4)=1,"R"&amp;GanttCalc!W4,"R"&amp;(GanttCalc!V4+1)&amp;"-"&amp;GanttCalc!W4)))</f>
        <v/>
      </c>
      <c r="Y11" s="60" t="str">
        <f aca="false">IF($B$10="","",IF(N(GanttCalc!X4)-N(GanttCalc!W4)&lt;=0,"",IF(N(GanttCalc!X4)-N(GanttCalc!W4)=1,"R"&amp;GanttCalc!X4,"R"&amp;(GanttCalc!W4+1)&amp;"-"&amp;GanttCalc!X4)))</f>
        <v/>
      </c>
      <c r="Z11" s="60" t="str">
        <f aca="false">IF($B$10="","",IF(N(GanttCalc!Y4)-N(GanttCalc!X4)&lt;=0,"",IF(N(GanttCalc!Y4)-N(GanttCalc!X4)=1,"R"&amp;GanttCalc!Y4,"R"&amp;(GanttCalc!X4+1)&amp;"-"&amp;GanttCalc!Y4)))</f>
        <v>R8</v>
      </c>
      <c r="AA11" s="60" t="str">
        <f aca="false">IF($B$10="","",IF(N(GanttCalc!Z4)-N(GanttCalc!Y4)&lt;=0,"",IF(N(GanttCalc!Z4)-N(GanttCalc!Y4)=1,"R"&amp;GanttCalc!Z4,"R"&amp;(GanttCalc!Y4+1)&amp;"-"&amp;GanttCalc!Z4)))</f>
        <v>R9-12</v>
      </c>
      <c r="AB11" s="60" t="str">
        <f aca="false">IF($B$10="","",IF(N(GanttCalc!AA4)-N(GanttCalc!Z4)&lt;=0,"",IF(N(GanttCalc!AA4)-N(GanttCalc!Z4)=1,"R"&amp;GanttCalc!AA4,"R"&amp;(GanttCalc!Z4+1)&amp;"-"&amp;GanttCalc!AA4)))</f>
        <v>R13-15</v>
      </c>
      <c r="AC11" s="60" t="str">
        <f aca="false">IF($B$10="","",IF(N(GanttCalc!AB4)-N(GanttCalc!AA4)&lt;=0,"",IF(N(GanttCalc!AB4)-N(GanttCalc!AA4)=1,"R"&amp;GanttCalc!AB4,"R"&amp;(GanttCalc!AA4+1)&amp;"-"&amp;GanttCalc!AB4)))</f>
        <v>R16-19</v>
      </c>
      <c r="AD11" s="60" t="str">
        <f aca="false">IF($B$10="","",IF(N(GanttCalc!AC4)-N(GanttCalc!AB4)&lt;=0,"",IF(N(GanttCalc!AC4)-N(GanttCalc!AB4)=1,"R"&amp;GanttCalc!AC4,"R"&amp;(GanttCalc!AB4+1)&amp;"-"&amp;GanttCalc!AC4)))</f>
        <v>R20-23</v>
      </c>
      <c r="AE11" s="60" t="str">
        <f aca="false">IF($B$10="","",IF(N(GanttCalc!AD4)-N(GanttCalc!AC4)&lt;=0,"",IF(N(GanttCalc!AD4)-N(GanttCalc!AC4)=1,"R"&amp;GanttCalc!AD4,"R"&amp;(GanttCalc!AC4+1)&amp;"-"&amp;GanttCalc!AD4)))</f>
        <v>R24-27</v>
      </c>
      <c r="AF11" s="60" t="str">
        <f aca="false">IF($B$10="","",IF(N(GanttCalc!AE4)-N(GanttCalc!AD4)&lt;=0,"",IF(N(GanttCalc!AE4)-N(GanttCalc!AD4)=1,"R"&amp;GanttCalc!AE4,"R"&amp;(GanttCalc!AD4+1)&amp;"-"&amp;GanttCalc!AE4)))</f>
        <v>R28-32</v>
      </c>
      <c r="AG11" s="60" t="str">
        <f aca="false">IF($B$10="","",IF(N(GanttCalc!AF4)-N(GanttCalc!AE4)&lt;=0,"",IF(N(GanttCalc!AF4)-N(GanttCalc!AE4)=1,"R"&amp;GanttCalc!AF4,"R"&amp;(GanttCalc!AE4+1)&amp;"-"&amp;GanttCalc!AF4)))</f>
        <v>R33-36</v>
      </c>
      <c r="AH11" s="60" t="str">
        <f aca="false">IF($B$10="","",IF(N(GanttCalc!AG4)-N(GanttCalc!AF4)&lt;=0,"",IF(N(GanttCalc!AG4)-N(GanttCalc!AF4)=1,"R"&amp;GanttCalc!AG4,"R"&amp;(GanttCalc!AF4+1)&amp;"-"&amp;GanttCalc!AG4)))</f>
        <v>R37-40</v>
      </c>
      <c r="AI11" s="60" t="str">
        <f aca="false">IF($B$10="","",IF(N(GanttCalc!AH4)-N(GanttCalc!AG4)&lt;=0,"",IF(N(GanttCalc!AH4)-N(GanttCalc!AG4)=1,"R"&amp;GanttCalc!AH4,"R"&amp;(GanttCalc!AG4+1)&amp;"-"&amp;GanttCalc!AH4)))</f>
        <v>R41-45</v>
      </c>
      <c r="AJ11" s="60" t="str">
        <f aca="false">IF($B$10="","",IF(N(GanttCalc!AI4)-N(GanttCalc!AH4)&lt;=0,"",IF(N(GanttCalc!AI4)-N(GanttCalc!AH4)=1,"R"&amp;GanttCalc!AI4,"R"&amp;(GanttCalc!AH4+1)&amp;"-"&amp;GanttCalc!AI4)))</f>
        <v>R46-49</v>
      </c>
      <c r="AK11" s="60" t="str">
        <f aca="false">IF($B$10="","",IF(N(GanttCalc!AJ4)-N(GanttCalc!AI4)&lt;=0,"",IF(N(GanttCalc!AJ4)-N(GanttCalc!AI4)=1,"R"&amp;GanttCalc!AJ4,"R"&amp;(GanttCalc!AI4+1)&amp;"-"&amp;GanttCalc!AJ4)))</f>
        <v>R50-52</v>
      </c>
      <c r="AL11" s="60" t="str">
        <f aca="false">IF($B$10="","",IF(N(GanttCalc!AK4)-N(GanttCalc!AJ4)&lt;=0,"",IF(N(GanttCalc!AK4)-N(GanttCalc!AJ4)=1,"R"&amp;GanttCalc!AK4,"R"&amp;(GanttCalc!AJ4+1)&amp;"-"&amp;GanttCalc!AK4)))</f>
        <v>R53-56</v>
      </c>
      <c r="AM11" s="60" t="str">
        <f aca="false">IF($B$10="","",IF(N(GanttCalc!AL4)-N(GanttCalc!AK4)&lt;=0,"",IF(N(GanttCalc!AL4)-N(GanttCalc!AK4)=1,"R"&amp;GanttCalc!AL4,"R"&amp;(GanttCalc!AK4+1)&amp;"-"&amp;GanttCalc!AL4)))</f>
        <v>R57-60</v>
      </c>
      <c r="AN11" s="60" t="str">
        <f aca="false">IF($B$10="","",IF(N(GanttCalc!AM4)-N(GanttCalc!AL4)&lt;=0,"",IF(N(GanttCalc!AM4)-N(GanttCalc!AL4)=1,"R"&amp;GanttCalc!AM4,"R"&amp;(GanttCalc!AL4+1)&amp;"-"&amp;GanttCalc!AM4)))</f>
        <v>R61-62</v>
      </c>
      <c r="AO11" s="60" t="str">
        <f aca="false">IF($B$10="","",IF(N(GanttCalc!AN4)-N(GanttCalc!AM4)&lt;=0,"",IF(N(GanttCalc!AN4)-N(GanttCalc!AM4)=1,"R"&amp;GanttCalc!AN4,"R"&amp;(GanttCalc!AM4+1)&amp;"-"&amp;GanttCalc!AN4)))</f>
        <v>R63</v>
      </c>
      <c r="AP11" s="60" t="str">
        <f aca="false">IF($B$10="","",IF(N(GanttCalc!AO4)-N(GanttCalc!AN4)&lt;=0,"",IF(N(GanttCalc!AO4)-N(GanttCalc!AN4)=1,"R"&amp;GanttCalc!AO4,"R"&amp;(GanttCalc!AN4+1)&amp;"-"&amp;GanttCalc!AO4)))</f>
        <v/>
      </c>
      <c r="AQ11" s="60" t="str">
        <f aca="false">IF($B$10="","",IF(N(GanttCalc!AP4)-N(GanttCalc!AO4)&lt;=0,"",IF(N(GanttCalc!AP4)-N(GanttCalc!AO4)=1,"R"&amp;GanttCalc!AP4,"R"&amp;(GanttCalc!AO4+1)&amp;"-"&amp;GanttCalc!AP4)))</f>
        <v/>
      </c>
      <c r="AR11" s="60" t="str">
        <f aca="false">IF($B$10="","",IF(N(GanttCalc!AQ4)-N(GanttCalc!AP4)&lt;=0,"",IF(N(GanttCalc!AQ4)-N(GanttCalc!AP4)=1,"R"&amp;GanttCalc!AQ4,"R"&amp;(GanttCalc!AP4+1)&amp;"-"&amp;GanttCalc!AQ4)))</f>
        <v/>
      </c>
      <c r="AS11" s="60" t="str">
        <f aca="false">IF($B$10="","",IF(N(GanttCalc!AR4)-N(GanttCalc!AQ4)&lt;=0,"",IF(N(GanttCalc!AR4)-N(GanttCalc!AQ4)=1,"R"&amp;GanttCalc!AR4,"R"&amp;(GanttCalc!AQ4+1)&amp;"-"&amp;GanttCalc!AR4)))</f>
        <v/>
      </c>
      <c r="AT11" s="60" t="str">
        <f aca="false">IF($B$10="","",IF(N(GanttCalc!AS4)-N(GanttCalc!AR4)&lt;=0,"",IF(N(GanttCalc!AS4)-N(GanttCalc!AR4)=1,"R"&amp;GanttCalc!AS4,"R"&amp;(GanttCalc!AR4+1)&amp;"-"&amp;GanttCalc!AS4)))</f>
        <v/>
      </c>
      <c r="AU11" s="60" t="str">
        <f aca="false">IF($B$10="","",IF(N(GanttCalc!AT4)-N(GanttCalc!AS4)&lt;=0,"",IF(N(GanttCalc!AT4)-N(GanttCalc!AS4)=1,"R"&amp;GanttCalc!AT4,"R"&amp;(GanttCalc!AS4+1)&amp;"-"&amp;GanttCalc!AT4)))</f>
        <v/>
      </c>
      <c r="AV11" s="60" t="str">
        <f aca="false">IF($B$10="","",IF(N(GanttCalc!AU4)-N(GanttCalc!AT4)&lt;=0,"",IF(N(GanttCalc!AU4)-N(GanttCalc!AT4)=1,"R"&amp;GanttCalc!AU4,"R"&amp;(GanttCalc!AT4+1)&amp;"-"&amp;GanttCalc!AU4)))</f>
        <v>R64-68</v>
      </c>
      <c r="AW11" s="60" t="str">
        <f aca="false">IF($B$10="","",IF(N(GanttCalc!AV4)-N(GanttCalc!AU4)&lt;=0,"",IF(N(GanttCalc!AV4)-N(GanttCalc!AU4)=1,"R"&amp;GanttCalc!AV4,"R"&amp;(GanttCalc!AU4+1)&amp;"-"&amp;GanttCalc!AV4)))</f>
        <v>R69-74</v>
      </c>
      <c r="AX11" s="60" t="str">
        <f aca="false">IF($B$10="","",IF(N(GanttCalc!AW4)-N(GanttCalc!AV4)&lt;=0,"",IF(N(GanttCalc!AW4)-N(GanttCalc!AV4)=1,"R"&amp;GanttCalc!AW4,"R"&amp;(GanttCalc!AV4+1)&amp;"-"&amp;GanttCalc!AW4)))</f>
        <v>R75-81</v>
      </c>
      <c r="AY11" s="60" t="str">
        <f aca="false">IF($B$10="","",IF(N(GanttCalc!AX4)-N(GanttCalc!AW4)&lt;=0,"",IF(N(GanttCalc!AX4)-N(GanttCalc!AW4)=1,"R"&amp;GanttCalc!AX4,"R"&amp;(GanttCalc!AW4+1)&amp;"-"&amp;GanttCalc!AX4)))</f>
        <v>R82-88</v>
      </c>
      <c r="AZ11" s="60" t="str">
        <f aca="false">IF($B$10="","",IF(N(GanttCalc!AY4)-N(GanttCalc!AX4)&lt;=0,"",IF(N(GanttCalc!AY4)-N(GanttCalc!AX4)=1,"R"&amp;GanttCalc!AY4,"R"&amp;(GanttCalc!AX4+1)&amp;"-"&amp;GanttCalc!AY4)))</f>
        <v>R89-95</v>
      </c>
      <c r="BA11" s="60" t="str">
        <f aca="false">IF($B$10="","",IF(N(GanttCalc!AZ4)-N(GanttCalc!AY4)&lt;=0,"",IF(N(GanttCalc!AZ4)-N(GanttCalc!AY4)=1,"R"&amp;GanttCalc!AZ4,"R"&amp;(GanttCalc!AY4+1)&amp;"-"&amp;GanttCalc!AZ4)))</f>
        <v>R96-102</v>
      </c>
      <c r="BB11" s="60" t="str">
        <f aca="false">IF($B$10="","",IF(N(GanttCalc!BA4)-N(GanttCalc!AZ4)&lt;=0,"",IF(N(GanttCalc!BA4)-N(GanttCalc!AZ4)=1,"R"&amp;GanttCalc!BA4,"R"&amp;(GanttCalc!AZ4+1)&amp;"-"&amp;GanttCalc!BA4)))</f>
        <v>R103-109</v>
      </c>
      <c r="BC11" s="60" t="str">
        <f aca="false">IF($B$10="","",IF(N(GanttCalc!BB4)-N(GanttCalc!BA4)&lt;=0,"",IF(N(GanttCalc!BB4)-N(GanttCalc!BA4)=1,"R"&amp;GanttCalc!BB4,"R"&amp;(GanttCalc!BA4+1)&amp;"-"&amp;GanttCalc!BB4)))</f>
        <v>R110-116</v>
      </c>
      <c r="BD11" s="60" t="str">
        <f aca="false">IF($B$10="","",IF(N(GanttCalc!BC4)-N(GanttCalc!BB4)&lt;=0,"",IF(N(GanttCalc!BC4)-N(GanttCalc!BB4)=1,"R"&amp;GanttCalc!BC4,"R"&amp;(GanttCalc!BB4+1)&amp;"-"&amp;GanttCalc!BC4)))</f>
        <v>R117-124</v>
      </c>
    </row>
    <row r="12" customFormat="false" ht="16.5" hidden="false" customHeight="true" outlineLevel="0" collapsed="false">
      <c r="B12" s="63" t="str">
        <f aca="false">IF(Contracts!$A$6="","",IF(Contracts!$I$6="","no kit list","kitted: "&amp;Contracts!$I$6&amp;" / "&amp;Contracts!$F$6))</f>
        <v>kitted: 0 / 255</v>
      </c>
      <c r="C12" s="64" t="str">
        <f aca="false">IF(Contracts!$A$6="","","Final build")</f>
        <v>Final build</v>
      </c>
      <c r="D12" s="59" t="str">
        <f aca="false">IF($B$10="","",SUMPRODUCT(--(E12:BD12&lt;&gt;""))&amp;" wks")</f>
        <v>30 wks</v>
      </c>
      <c r="E12" s="60" t="str">
        <f aca="false">IF($B$10="","",IF(N(GanttCalc!C4)-N(GanttCalc!B4)&lt;=0,"",IF(N(GanttCalc!C4)-N(GanttCalc!B4)=1,"R"&amp;GanttCalc!C4,"R"&amp;(GanttCalc!B4+1)&amp;"-"&amp;GanttCalc!C4)))</f>
        <v/>
      </c>
      <c r="F12" s="60" t="str">
        <f aca="false">IF($B$10="","",IF(N(GanttCalc!D4)-N(GanttCalc!C4)&lt;=0,"",IF(N(GanttCalc!D4)-N(GanttCalc!C4)=1,"R"&amp;GanttCalc!D4,"R"&amp;(GanttCalc!C4+1)&amp;"-"&amp;GanttCalc!D4)))</f>
        <v/>
      </c>
      <c r="G12" s="60" t="str">
        <f aca="false">IF($B$10="","",IF(N(GanttCalc!E4)-N(GanttCalc!D4)&lt;=0,"",IF(N(GanttCalc!E4)-N(GanttCalc!D4)=1,"R"&amp;GanttCalc!E4,"R"&amp;(GanttCalc!D4+1)&amp;"-"&amp;GanttCalc!E4)))</f>
        <v/>
      </c>
      <c r="H12" s="60" t="str">
        <f aca="false">IF($B$10="","",IF(N(GanttCalc!F4)-N(GanttCalc!E4)&lt;=0,"",IF(N(GanttCalc!F4)-N(GanttCalc!E4)=1,"R"&amp;GanttCalc!F4,"R"&amp;(GanttCalc!E4+1)&amp;"-"&amp;GanttCalc!F4)))</f>
        <v/>
      </c>
      <c r="I12" s="60" t="str">
        <f aca="false">IF($B$10="","",IF(N(GanttCalc!G4)-N(GanttCalc!F4)&lt;=0,"",IF(N(GanttCalc!G4)-N(GanttCalc!F4)=1,"R"&amp;GanttCalc!G4,"R"&amp;(GanttCalc!F4+1)&amp;"-"&amp;GanttCalc!G4)))</f>
        <v/>
      </c>
      <c r="J12" s="60" t="str">
        <f aca="false">IF($B$10="","",IF(N(GanttCalc!H4)-N(GanttCalc!G4)&lt;=0,"",IF(N(GanttCalc!H4)-N(GanttCalc!G4)=1,"R"&amp;GanttCalc!H4,"R"&amp;(GanttCalc!G4+1)&amp;"-"&amp;GanttCalc!H4)))</f>
        <v/>
      </c>
      <c r="K12" s="60" t="str">
        <f aca="false">IF($B$10="","",IF(N(GanttCalc!I4)-N(GanttCalc!H4)&lt;=0,"",IF(N(GanttCalc!I4)-N(GanttCalc!H4)=1,"R"&amp;GanttCalc!I4,"R"&amp;(GanttCalc!H4+1)&amp;"-"&amp;GanttCalc!I4)))</f>
        <v/>
      </c>
      <c r="L12" s="60" t="str">
        <f aca="false">IF($B$10="","",IF(N(GanttCalc!J4)-N(GanttCalc!I4)&lt;=0,"",IF(N(GanttCalc!J4)-N(GanttCalc!I4)=1,"R"&amp;GanttCalc!J4,"R"&amp;(GanttCalc!I4+1)&amp;"-"&amp;GanttCalc!J4)))</f>
        <v/>
      </c>
      <c r="M12" s="60" t="str">
        <f aca="false">IF($B$10="","",IF(N(GanttCalc!K4)-N(GanttCalc!J4)&lt;=0,"",IF(N(GanttCalc!K4)-N(GanttCalc!J4)=1,"R"&amp;GanttCalc!K4,"R"&amp;(GanttCalc!J4+1)&amp;"-"&amp;GanttCalc!K4)))</f>
        <v/>
      </c>
      <c r="N12" s="60" t="str">
        <f aca="false">IF($B$10="","",IF(N(GanttCalc!L4)-N(GanttCalc!K4)&lt;=0,"",IF(N(GanttCalc!L4)-N(GanttCalc!K4)=1,"R"&amp;GanttCalc!L4,"R"&amp;(GanttCalc!K4+1)&amp;"-"&amp;GanttCalc!L4)))</f>
        <v>R1</v>
      </c>
      <c r="O12" s="60" t="str">
        <f aca="false">IF($B$10="","",IF(N(GanttCalc!M4)-N(GanttCalc!L4)&lt;=0,"",IF(N(GanttCalc!M4)-N(GanttCalc!L4)=1,"R"&amp;GanttCalc!M4,"R"&amp;(GanttCalc!L4+1)&amp;"-"&amp;GanttCalc!M4)))</f>
        <v>R2</v>
      </c>
      <c r="P12" s="60" t="str">
        <f aca="false">IF($B$10="","",IF(N(GanttCalc!N4)-N(GanttCalc!M4)&lt;=0,"",IF(N(GanttCalc!N4)-N(GanttCalc!M4)=1,"R"&amp;GanttCalc!N4,"R"&amp;(GanttCalc!M4+1)&amp;"-"&amp;GanttCalc!N4)))</f>
        <v>R3</v>
      </c>
      <c r="Q12" s="60" t="str">
        <f aca="false">IF($B$10="","",IF(N(GanttCalc!O4)-N(GanttCalc!N4)&lt;=0,"",IF(N(GanttCalc!O4)-N(GanttCalc!N4)=1,"R"&amp;GanttCalc!O4,"R"&amp;(GanttCalc!N4+1)&amp;"-"&amp;GanttCalc!O4)))</f>
        <v>R4</v>
      </c>
      <c r="R12" s="60" t="str">
        <f aca="false">IF($B$10="","",IF(N(GanttCalc!P4)-N(GanttCalc!O4)&lt;=0,"",IF(N(GanttCalc!P4)-N(GanttCalc!O4)=1,"R"&amp;GanttCalc!P4,"R"&amp;(GanttCalc!O4+1)&amp;"-"&amp;GanttCalc!P4)))</f>
        <v>R5-6</v>
      </c>
      <c r="S12" s="60" t="str">
        <f aca="false">IF($B$10="","",IF(N(GanttCalc!Q4)-N(GanttCalc!P4)&lt;=0,"",IF(N(GanttCalc!Q4)-N(GanttCalc!P4)=1,"R"&amp;GanttCalc!Q4,"R"&amp;(GanttCalc!P4+1)&amp;"-"&amp;GanttCalc!Q4)))</f>
        <v>R7</v>
      </c>
      <c r="T12" s="60" t="str">
        <f aca="false">IF($B$10="","",IF(N(GanttCalc!R4)-N(GanttCalc!Q4)&lt;=0,"",IF(N(GanttCalc!R4)-N(GanttCalc!Q4)=1,"R"&amp;GanttCalc!R4,"R"&amp;(GanttCalc!Q4+1)&amp;"-"&amp;GanttCalc!R4)))</f>
        <v/>
      </c>
      <c r="U12" s="60" t="str">
        <f aca="false">IF($B$10="","",IF(N(GanttCalc!S4)-N(GanttCalc!R4)&lt;=0,"",IF(N(GanttCalc!S4)-N(GanttCalc!R4)=1,"R"&amp;GanttCalc!S4,"R"&amp;(GanttCalc!R4+1)&amp;"-"&amp;GanttCalc!S4)))</f>
        <v/>
      </c>
      <c r="V12" s="60" t="str">
        <f aca="false">IF($B$10="","",IF(N(GanttCalc!T4)-N(GanttCalc!S4)&lt;=0,"",IF(N(GanttCalc!T4)-N(GanttCalc!S4)=1,"R"&amp;GanttCalc!T4,"R"&amp;(GanttCalc!S4+1)&amp;"-"&amp;GanttCalc!T4)))</f>
        <v/>
      </c>
      <c r="W12" s="60" t="str">
        <f aca="false">IF($B$10="","",IF(N(GanttCalc!U4)-N(GanttCalc!T4)&lt;=0,"",IF(N(GanttCalc!U4)-N(GanttCalc!T4)=1,"R"&amp;GanttCalc!U4,"R"&amp;(GanttCalc!T4+1)&amp;"-"&amp;GanttCalc!U4)))</f>
        <v/>
      </c>
      <c r="X12" s="60" t="str">
        <f aca="false">IF($B$10="","",IF(N(GanttCalc!V4)-N(GanttCalc!U4)&lt;=0,"",IF(N(GanttCalc!V4)-N(GanttCalc!U4)=1,"R"&amp;GanttCalc!V4,"R"&amp;(GanttCalc!U4+1)&amp;"-"&amp;GanttCalc!V4)))</f>
        <v/>
      </c>
      <c r="Y12" s="60" t="str">
        <f aca="false">IF($B$10="","",IF(N(GanttCalc!W4)-N(GanttCalc!V4)&lt;=0,"",IF(N(GanttCalc!W4)-N(GanttCalc!V4)=1,"R"&amp;GanttCalc!W4,"R"&amp;(GanttCalc!V4+1)&amp;"-"&amp;GanttCalc!W4)))</f>
        <v/>
      </c>
      <c r="Z12" s="60" t="str">
        <f aca="false">IF($B$10="","",IF(N(GanttCalc!X4)-N(GanttCalc!W4)&lt;=0,"",IF(N(GanttCalc!X4)-N(GanttCalc!W4)=1,"R"&amp;GanttCalc!X4,"R"&amp;(GanttCalc!W4+1)&amp;"-"&amp;GanttCalc!X4)))</f>
        <v/>
      </c>
      <c r="AA12" s="60" t="str">
        <f aca="false">IF($B$10="","",IF(N(GanttCalc!Y4)-N(GanttCalc!X4)&lt;=0,"",IF(N(GanttCalc!Y4)-N(GanttCalc!X4)=1,"R"&amp;GanttCalc!Y4,"R"&amp;(GanttCalc!X4+1)&amp;"-"&amp;GanttCalc!Y4)))</f>
        <v>R8</v>
      </c>
      <c r="AB12" s="60" t="str">
        <f aca="false">IF($B$10="","",IF(N(GanttCalc!Z4)-N(GanttCalc!Y4)&lt;=0,"",IF(N(GanttCalc!Z4)-N(GanttCalc!Y4)=1,"R"&amp;GanttCalc!Z4,"R"&amp;(GanttCalc!Y4+1)&amp;"-"&amp;GanttCalc!Z4)))</f>
        <v>R9-12</v>
      </c>
      <c r="AC12" s="60" t="str">
        <f aca="false">IF($B$10="","",IF(N(GanttCalc!AA4)-N(GanttCalc!Z4)&lt;=0,"",IF(N(GanttCalc!AA4)-N(GanttCalc!Z4)=1,"R"&amp;GanttCalc!AA4,"R"&amp;(GanttCalc!Z4+1)&amp;"-"&amp;GanttCalc!AA4)))</f>
        <v>R13-15</v>
      </c>
      <c r="AD12" s="60" t="str">
        <f aca="false">IF($B$10="","",IF(N(GanttCalc!AB4)-N(GanttCalc!AA4)&lt;=0,"",IF(N(GanttCalc!AB4)-N(GanttCalc!AA4)=1,"R"&amp;GanttCalc!AB4,"R"&amp;(GanttCalc!AA4+1)&amp;"-"&amp;GanttCalc!AB4)))</f>
        <v>R16-19</v>
      </c>
      <c r="AE12" s="60" t="str">
        <f aca="false">IF($B$10="","",IF(N(GanttCalc!AC4)-N(GanttCalc!AB4)&lt;=0,"",IF(N(GanttCalc!AC4)-N(GanttCalc!AB4)=1,"R"&amp;GanttCalc!AC4,"R"&amp;(GanttCalc!AB4+1)&amp;"-"&amp;GanttCalc!AC4)))</f>
        <v>R20-23</v>
      </c>
      <c r="AF12" s="60" t="str">
        <f aca="false">IF($B$10="","",IF(N(GanttCalc!AD4)-N(GanttCalc!AC4)&lt;=0,"",IF(N(GanttCalc!AD4)-N(GanttCalc!AC4)=1,"R"&amp;GanttCalc!AD4,"R"&amp;(GanttCalc!AC4+1)&amp;"-"&amp;GanttCalc!AD4)))</f>
        <v>R24-27</v>
      </c>
      <c r="AG12" s="60" t="str">
        <f aca="false">IF($B$10="","",IF(N(GanttCalc!AE4)-N(GanttCalc!AD4)&lt;=0,"",IF(N(GanttCalc!AE4)-N(GanttCalc!AD4)=1,"R"&amp;GanttCalc!AE4,"R"&amp;(GanttCalc!AD4+1)&amp;"-"&amp;GanttCalc!AE4)))</f>
        <v>R28-32</v>
      </c>
      <c r="AH12" s="60" t="str">
        <f aca="false">IF($B$10="","",IF(N(GanttCalc!AF4)-N(GanttCalc!AE4)&lt;=0,"",IF(N(GanttCalc!AF4)-N(GanttCalc!AE4)=1,"R"&amp;GanttCalc!AF4,"R"&amp;(GanttCalc!AE4+1)&amp;"-"&amp;GanttCalc!AF4)))</f>
        <v>R33-36</v>
      </c>
      <c r="AI12" s="60" t="str">
        <f aca="false">IF($B$10="","",IF(N(GanttCalc!AG4)-N(GanttCalc!AF4)&lt;=0,"",IF(N(GanttCalc!AG4)-N(GanttCalc!AF4)=1,"R"&amp;GanttCalc!AG4,"R"&amp;(GanttCalc!AF4+1)&amp;"-"&amp;GanttCalc!AG4)))</f>
        <v>R37-40</v>
      </c>
      <c r="AJ12" s="60" t="str">
        <f aca="false">IF($B$10="","",IF(N(GanttCalc!AH4)-N(GanttCalc!AG4)&lt;=0,"",IF(N(GanttCalc!AH4)-N(GanttCalc!AG4)=1,"R"&amp;GanttCalc!AH4,"R"&amp;(GanttCalc!AG4+1)&amp;"-"&amp;GanttCalc!AH4)))</f>
        <v>R41-45</v>
      </c>
      <c r="AK12" s="60" t="str">
        <f aca="false">IF($B$10="","",IF(N(GanttCalc!AI4)-N(GanttCalc!AH4)&lt;=0,"",IF(N(GanttCalc!AI4)-N(GanttCalc!AH4)=1,"R"&amp;GanttCalc!AI4,"R"&amp;(GanttCalc!AH4+1)&amp;"-"&amp;GanttCalc!AI4)))</f>
        <v>R46-49</v>
      </c>
      <c r="AL12" s="60" t="str">
        <f aca="false">IF($B$10="","",IF(N(GanttCalc!AJ4)-N(GanttCalc!AI4)&lt;=0,"",IF(N(GanttCalc!AJ4)-N(GanttCalc!AI4)=1,"R"&amp;GanttCalc!AJ4,"R"&amp;(GanttCalc!AI4+1)&amp;"-"&amp;GanttCalc!AJ4)))</f>
        <v>R50-52</v>
      </c>
      <c r="AM12" s="60" t="str">
        <f aca="false">IF($B$10="","",IF(N(GanttCalc!AK4)-N(GanttCalc!AJ4)&lt;=0,"",IF(N(GanttCalc!AK4)-N(GanttCalc!AJ4)=1,"R"&amp;GanttCalc!AK4,"R"&amp;(GanttCalc!AJ4+1)&amp;"-"&amp;GanttCalc!AK4)))</f>
        <v>R53-56</v>
      </c>
      <c r="AN12" s="60" t="str">
        <f aca="false">IF($B$10="","",IF(N(GanttCalc!AL4)-N(GanttCalc!AK4)&lt;=0,"",IF(N(GanttCalc!AL4)-N(GanttCalc!AK4)=1,"R"&amp;GanttCalc!AL4,"R"&amp;(GanttCalc!AK4+1)&amp;"-"&amp;GanttCalc!AL4)))</f>
        <v>R57-60</v>
      </c>
      <c r="AO12" s="60" t="str">
        <f aca="false">IF($B$10="","",IF(N(GanttCalc!AM4)-N(GanttCalc!AL4)&lt;=0,"",IF(N(GanttCalc!AM4)-N(GanttCalc!AL4)=1,"R"&amp;GanttCalc!AM4,"R"&amp;(GanttCalc!AL4+1)&amp;"-"&amp;GanttCalc!AM4)))</f>
        <v>R61-62</v>
      </c>
      <c r="AP12" s="60" t="str">
        <f aca="false">IF($B$10="","",IF(N(GanttCalc!AN4)-N(GanttCalc!AM4)&lt;=0,"",IF(N(GanttCalc!AN4)-N(GanttCalc!AM4)=1,"R"&amp;GanttCalc!AN4,"R"&amp;(GanttCalc!AM4+1)&amp;"-"&amp;GanttCalc!AN4)))</f>
        <v>R63</v>
      </c>
      <c r="AQ12" s="60" t="str">
        <f aca="false">IF($B$10="","",IF(N(GanttCalc!AO4)-N(GanttCalc!AN4)&lt;=0,"",IF(N(GanttCalc!AO4)-N(GanttCalc!AN4)=1,"R"&amp;GanttCalc!AO4,"R"&amp;(GanttCalc!AN4+1)&amp;"-"&amp;GanttCalc!AO4)))</f>
        <v/>
      </c>
      <c r="AR12" s="60" t="str">
        <f aca="false">IF($B$10="","",IF(N(GanttCalc!AP4)-N(GanttCalc!AO4)&lt;=0,"",IF(N(GanttCalc!AP4)-N(GanttCalc!AO4)=1,"R"&amp;GanttCalc!AP4,"R"&amp;(GanttCalc!AO4+1)&amp;"-"&amp;GanttCalc!AP4)))</f>
        <v/>
      </c>
      <c r="AS12" s="60" t="str">
        <f aca="false">IF($B$10="","",IF(N(GanttCalc!AQ4)-N(GanttCalc!AP4)&lt;=0,"",IF(N(GanttCalc!AQ4)-N(GanttCalc!AP4)=1,"R"&amp;GanttCalc!AQ4,"R"&amp;(GanttCalc!AP4+1)&amp;"-"&amp;GanttCalc!AQ4)))</f>
        <v/>
      </c>
      <c r="AT12" s="60" t="str">
        <f aca="false">IF($B$10="","",IF(N(GanttCalc!AR4)-N(GanttCalc!AQ4)&lt;=0,"",IF(N(GanttCalc!AR4)-N(GanttCalc!AQ4)=1,"R"&amp;GanttCalc!AR4,"R"&amp;(GanttCalc!AQ4+1)&amp;"-"&amp;GanttCalc!AR4)))</f>
        <v/>
      </c>
      <c r="AU12" s="60" t="str">
        <f aca="false">IF($B$10="","",IF(N(GanttCalc!AS4)-N(GanttCalc!AR4)&lt;=0,"",IF(N(GanttCalc!AS4)-N(GanttCalc!AR4)=1,"R"&amp;GanttCalc!AS4,"R"&amp;(GanttCalc!AR4+1)&amp;"-"&amp;GanttCalc!AS4)))</f>
        <v/>
      </c>
      <c r="AV12" s="60" t="str">
        <f aca="false">IF($B$10="","",IF(N(GanttCalc!AT4)-N(GanttCalc!AS4)&lt;=0,"",IF(N(GanttCalc!AT4)-N(GanttCalc!AS4)=1,"R"&amp;GanttCalc!AT4,"R"&amp;(GanttCalc!AS4+1)&amp;"-"&amp;GanttCalc!AT4)))</f>
        <v/>
      </c>
      <c r="AW12" s="60" t="str">
        <f aca="false">IF($B$10="","",IF(N(GanttCalc!AU4)-N(GanttCalc!AT4)&lt;=0,"",IF(N(GanttCalc!AU4)-N(GanttCalc!AT4)=1,"R"&amp;GanttCalc!AU4,"R"&amp;(GanttCalc!AT4+1)&amp;"-"&amp;GanttCalc!AU4)))</f>
        <v>R64-68</v>
      </c>
      <c r="AX12" s="60" t="str">
        <f aca="false">IF($B$10="","",IF(N(GanttCalc!AV4)-N(GanttCalc!AU4)&lt;=0,"",IF(N(GanttCalc!AV4)-N(GanttCalc!AU4)=1,"R"&amp;GanttCalc!AV4,"R"&amp;(GanttCalc!AU4+1)&amp;"-"&amp;GanttCalc!AV4)))</f>
        <v>R69-74</v>
      </c>
      <c r="AY12" s="60" t="str">
        <f aca="false">IF($B$10="","",IF(N(GanttCalc!AW4)-N(GanttCalc!AV4)&lt;=0,"",IF(N(GanttCalc!AW4)-N(GanttCalc!AV4)=1,"R"&amp;GanttCalc!AW4,"R"&amp;(GanttCalc!AV4+1)&amp;"-"&amp;GanttCalc!AW4)))</f>
        <v>R75-81</v>
      </c>
      <c r="AZ12" s="60" t="str">
        <f aca="false">IF($B$10="","",IF(N(GanttCalc!AX4)-N(GanttCalc!AW4)&lt;=0,"",IF(N(GanttCalc!AX4)-N(GanttCalc!AW4)=1,"R"&amp;GanttCalc!AX4,"R"&amp;(GanttCalc!AW4+1)&amp;"-"&amp;GanttCalc!AX4)))</f>
        <v>R82-88</v>
      </c>
      <c r="BA12" s="60" t="str">
        <f aca="false">IF($B$10="","",IF(N(GanttCalc!AY4)-N(GanttCalc!AX4)&lt;=0,"",IF(N(GanttCalc!AY4)-N(GanttCalc!AX4)=1,"R"&amp;GanttCalc!AY4,"R"&amp;(GanttCalc!AX4+1)&amp;"-"&amp;GanttCalc!AY4)))</f>
        <v>R89-95</v>
      </c>
      <c r="BB12" s="60" t="str">
        <f aca="false">IF($B$10="","",IF(N(GanttCalc!AZ4)-N(GanttCalc!AY4)&lt;=0,"",IF(N(GanttCalc!AZ4)-N(GanttCalc!AY4)=1,"R"&amp;GanttCalc!AZ4,"R"&amp;(GanttCalc!AY4+1)&amp;"-"&amp;GanttCalc!AZ4)))</f>
        <v>R96-102</v>
      </c>
      <c r="BC12" s="60" t="str">
        <f aca="false">IF($B$10="","",IF(N(GanttCalc!BA4)-N(GanttCalc!AZ4)&lt;=0,"",IF(N(GanttCalc!BA4)-N(GanttCalc!AZ4)=1,"R"&amp;GanttCalc!BA4,"R"&amp;(GanttCalc!AZ4+1)&amp;"-"&amp;GanttCalc!BA4)))</f>
        <v>R103-109</v>
      </c>
      <c r="BD12" s="60" t="str">
        <f aca="false">IF($B$10="","",IF(N(GanttCalc!BB4)-N(GanttCalc!BA4)&lt;=0,"",IF(N(GanttCalc!BB4)-N(GanttCalc!BA4)=1,"R"&amp;GanttCalc!BB4,"R"&amp;(GanttCalc!BA4+1)&amp;"-"&amp;GanttCalc!BB4)))</f>
        <v>R110-116</v>
      </c>
    </row>
    <row r="13" customFormat="false" ht="6" hidden="false" customHeight="true" outlineLevel="0" collapsed="false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customFormat="false" ht="16.5" hidden="false" customHeight="true" outlineLevel="0" collapsed="false">
      <c r="B14" s="32" t="str">
        <f aca="false">IF(Contracts!$A$7="","",Contracts!$A$7)</f>
        <v>WBA-R24P-T1-C</v>
      </c>
      <c r="C14" s="58" t="str">
        <f aca="false">IF(Contracts!$A$7="","","Kit release")</f>
        <v>Kit release</v>
      </c>
      <c r="D14" s="59" t="str">
        <f aca="false">IF($B$14="","",SUMPRODUCT(--(E14:BD14&lt;&gt;""))&amp;" wks")</f>
        <v>0 wks</v>
      </c>
      <c r="E14" s="60" t="str">
        <f aca="true">IF($B$14="","",IF(N(OFFSET(GanttCalc!$B$5,0,1+N(Contracts!$Q$7)))-N(OFFSET(GanttCalc!$B$5,0,0+N(Contracts!$Q$7)))&lt;=0,"",IF(N(OFFSET(GanttCalc!$B$5,0,1+N(Contracts!$Q$7)))-N(OFFSET(GanttCalc!$B$5,0,0+N(Contracts!$Q$7)))=1,"R"&amp;OFFSET(GanttCalc!$B$5,0,1+N(Contracts!$Q$7)),"R"&amp;(OFFSET(GanttCalc!$B$5,0,0+N(Contracts!$Q$7))+1)&amp;"-"&amp;OFFSET(GanttCalc!$B$5,0,1+N(Contracts!$Q$7)))))</f>
        <v/>
      </c>
      <c r="F14" s="60" t="str">
        <f aca="true">IF($B$14="","",IF(N(OFFSET(GanttCalc!$B$5,0,2+N(Contracts!$Q$7)))-N(OFFSET(GanttCalc!$B$5,0,1+N(Contracts!$Q$7)))&lt;=0,"",IF(N(OFFSET(GanttCalc!$B$5,0,2+N(Contracts!$Q$7)))-N(OFFSET(GanttCalc!$B$5,0,1+N(Contracts!$Q$7)))=1,"R"&amp;OFFSET(GanttCalc!$B$5,0,2+N(Contracts!$Q$7)),"R"&amp;(OFFSET(GanttCalc!$B$5,0,1+N(Contracts!$Q$7))+1)&amp;"-"&amp;OFFSET(GanttCalc!$B$5,0,2+N(Contracts!$Q$7)))))</f>
        <v/>
      </c>
      <c r="G14" s="60" t="str">
        <f aca="true">IF($B$14="","",IF(N(OFFSET(GanttCalc!$B$5,0,3+N(Contracts!$Q$7)))-N(OFFSET(GanttCalc!$B$5,0,2+N(Contracts!$Q$7)))&lt;=0,"",IF(N(OFFSET(GanttCalc!$B$5,0,3+N(Contracts!$Q$7)))-N(OFFSET(GanttCalc!$B$5,0,2+N(Contracts!$Q$7)))=1,"R"&amp;OFFSET(GanttCalc!$B$5,0,3+N(Contracts!$Q$7)),"R"&amp;(OFFSET(GanttCalc!$B$5,0,2+N(Contracts!$Q$7))+1)&amp;"-"&amp;OFFSET(GanttCalc!$B$5,0,3+N(Contracts!$Q$7)))))</f>
        <v/>
      </c>
      <c r="H14" s="60" t="str">
        <f aca="true">IF($B$14="","",IF(N(OFFSET(GanttCalc!$B$5,0,4+N(Contracts!$Q$7)))-N(OFFSET(GanttCalc!$B$5,0,3+N(Contracts!$Q$7)))&lt;=0,"",IF(N(OFFSET(GanttCalc!$B$5,0,4+N(Contracts!$Q$7)))-N(OFFSET(GanttCalc!$B$5,0,3+N(Contracts!$Q$7)))=1,"R"&amp;OFFSET(GanttCalc!$B$5,0,4+N(Contracts!$Q$7)),"R"&amp;(OFFSET(GanttCalc!$B$5,0,3+N(Contracts!$Q$7))+1)&amp;"-"&amp;OFFSET(GanttCalc!$B$5,0,4+N(Contracts!$Q$7)))))</f>
        <v/>
      </c>
      <c r="I14" s="60" t="str">
        <f aca="true">IF($B$14="","",IF(N(OFFSET(GanttCalc!$B$5,0,5+N(Contracts!$Q$7)))-N(OFFSET(GanttCalc!$B$5,0,4+N(Contracts!$Q$7)))&lt;=0,"",IF(N(OFFSET(GanttCalc!$B$5,0,5+N(Contracts!$Q$7)))-N(OFFSET(GanttCalc!$B$5,0,4+N(Contracts!$Q$7)))=1,"R"&amp;OFFSET(GanttCalc!$B$5,0,5+N(Contracts!$Q$7)),"R"&amp;(OFFSET(GanttCalc!$B$5,0,4+N(Contracts!$Q$7))+1)&amp;"-"&amp;OFFSET(GanttCalc!$B$5,0,5+N(Contracts!$Q$7)))))</f>
        <v/>
      </c>
      <c r="J14" s="60" t="str">
        <f aca="true">IF($B$14="","",IF(N(OFFSET(GanttCalc!$B$5,0,6+N(Contracts!$Q$7)))-N(OFFSET(GanttCalc!$B$5,0,5+N(Contracts!$Q$7)))&lt;=0,"",IF(N(OFFSET(GanttCalc!$B$5,0,6+N(Contracts!$Q$7)))-N(OFFSET(GanttCalc!$B$5,0,5+N(Contracts!$Q$7)))=1,"R"&amp;OFFSET(GanttCalc!$B$5,0,6+N(Contracts!$Q$7)),"R"&amp;(OFFSET(GanttCalc!$B$5,0,5+N(Contracts!$Q$7))+1)&amp;"-"&amp;OFFSET(GanttCalc!$B$5,0,6+N(Contracts!$Q$7)))))</f>
        <v/>
      </c>
      <c r="K14" s="60" t="str">
        <f aca="true">IF($B$14="","",IF(N(OFFSET(GanttCalc!$B$5,0,7+N(Contracts!$Q$7)))-N(OFFSET(GanttCalc!$B$5,0,6+N(Contracts!$Q$7)))&lt;=0,"",IF(N(OFFSET(GanttCalc!$B$5,0,7+N(Contracts!$Q$7)))-N(OFFSET(GanttCalc!$B$5,0,6+N(Contracts!$Q$7)))=1,"R"&amp;OFFSET(GanttCalc!$B$5,0,7+N(Contracts!$Q$7)),"R"&amp;(OFFSET(GanttCalc!$B$5,0,6+N(Contracts!$Q$7))+1)&amp;"-"&amp;OFFSET(GanttCalc!$B$5,0,7+N(Contracts!$Q$7)))))</f>
        <v/>
      </c>
      <c r="L14" s="60" t="str">
        <f aca="true">IF($B$14="","",IF(N(OFFSET(GanttCalc!$B$5,0,8+N(Contracts!$Q$7)))-N(OFFSET(GanttCalc!$B$5,0,7+N(Contracts!$Q$7)))&lt;=0,"",IF(N(OFFSET(GanttCalc!$B$5,0,8+N(Contracts!$Q$7)))-N(OFFSET(GanttCalc!$B$5,0,7+N(Contracts!$Q$7)))=1,"R"&amp;OFFSET(GanttCalc!$B$5,0,8+N(Contracts!$Q$7)),"R"&amp;(OFFSET(GanttCalc!$B$5,0,7+N(Contracts!$Q$7))+1)&amp;"-"&amp;OFFSET(GanttCalc!$B$5,0,8+N(Contracts!$Q$7)))))</f>
        <v/>
      </c>
      <c r="M14" s="60" t="str">
        <f aca="true">IF($B$14="","",IF(N(OFFSET(GanttCalc!$B$5,0,9+N(Contracts!$Q$7)))-N(OFFSET(GanttCalc!$B$5,0,8+N(Contracts!$Q$7)))&lt;=0,"",IF(N(OFFSET(GanttCalc!$B$5,0,9+N(Contracts!$Q$7)))-N(OFFSET(GanttCalc!$B$5,0,8+N(Contracts!$Q$7)))=1,"R"&amp;OFFSET(GanttCalc!$B$5,0,9+N(Contracts!$Q$7)),"R"&amp;(OFFSET(GanttCalc!$B$5,0,8+N(Contracts!$Q$7))+1)&amp;"-"&amp;OFFSET(GanttCalc!$B$5,0,9+N(Contracts!$Q$7)))))</f>
        <v/>
      </c>
      <c r="N14" s="60" t="str">
        <f aca="true">IF($B$14="","",IF(N(OFFSET(GanttCalc!$B$5,0,10+N(Contracts!$Q$7)))-N(OFFSET(GanttCalc!$B$5,0,9+N(Contracts!$Q$7)))&lt;=0,"",IF(N(OFFSET(GanttCalc!$B$5,0,10+N(Contracts!$Q$7)))-N(OFFSET(GanttCalc!$B$5,0,9+N(Contracts!$Q$7)))=1,"R"&amp;OFFSET(GanttCalc!$B$5,0,10+N(Contracts!$Q$7)),"R"&amp;(OFFSET(GanttCalc!$B$5,0,9+N(Contracts!$Q$7))+1)&amp;"-"&amp;OFFSET(GanttCalc!$B$5,0,10+N(Contracts!$Q$7)))))</f>
        <v/>
      </c>
      <c r="O14" s="60" t="str">
        <f aca="true">IF($B$14="","",IF(N(OFFSET(GanttCalc!$B$5,0,11+N(Contracts!$Q$7)))-N(OFFSET(GanttCalc!$B$5,0,10+N(Contracts!$Q$7)))&lt;=0,"",IF(N(OFFSET(GanttCalc!$B$5,0,11+N(Contracts!$Q$7)))-N(OFFSET(GanttCalc!$B$5,0,10+N(Contracts!$Q$7)))=1,"R"&amp;OFFSET(GanttCalc!$B$5,0,11+N(Contracts!$Q$7)),"R"&amp;(OFFSET(GanttCalc!$B$5,0,10+N(Contracts!$Q$7))+1)&amp;"-"&amp;OFFSET(GanttCalc!$B$5,0,11+N(Contracts!$Q$7)))))</f>
        <v/>
      </c>
      <c r="P14" s="60" t="str">
        <f aca="true">IF($B$14="","",IF(N(OFFSET(GanttCalc!$B$5,0,12+N(Contracts!$Q$7)))-N(OFFSET(GanttCalc!$B$5,0,11+N(Contracts!$Q$7)))&lt;=0,"",IF(N(OFFSET(GanttCalc!$B$5,0,12+N(Contracts!$Q$7)))-N(OFFSET(GanttCalc!$B$5,0,11+N(Contracts!$Q$7)))=1,"R"&amp;OFFSET(GanttCalc!$B$5,0,12+N(Contracts!$Q$7)),"R"&amp;(OFFSET(GanttCalc!$B$5,0,11+N(Contracts!$Q$7))+1)&amp;"-"&amp;OFFSET(GanttCalc!$B$5,0,12+N(Contracts!$Q$7)))))</f>
        <v/>
      </c>
      <c r="Q14" s="60" t="str">
        <f aca="true">IF($B$14="","",IF(N(OFFSET(GanttCalc!$B$5,0,13+N(Contracts!$Q$7)))-N(OFFSET(GanttCalc!$B$5,0,12+N(Contracts!$Q$7)))&lt;=0,"",IF(N(OFFSET(GanttCalc!$B$5,0,13+N(Contracts!$Q$7)))-N(OFFSET(GanttCalc!$B$5,0,12+N(Contracts!$Q$7)))=1,"R"&amp;OFFSET(GanttCalc!$B$5,0,13+N(Contracts!$Q$7)),"R"&amp;(OFFSET(GanttCalc!$B$5,0,12+N(Contracts!$Q$7))+1)&amp;"-"&amp;OFFSET(GanttCalc!$B$5,0,13+N(Contracts!$Q$7)))))</f>
        <v/>
      </c>
      <c r="R14" s="60" t="str">
        <f aca="true">IF($B$14="","",IF(N(OFFSET(GanttCalc!$B$5,0,14+N(Contracts!$Q$7)))-N(OFFSET(GanttCalc!$B$5,0,13+N(Contracts!$Q$7)))&lt;=0,"",IF(N(OFFSET(GanttCalc!$B$5,0,14+N(Contracts!$Q$7)))-N(OFFSET(GanttCalc!$B$5,0,13+N(Contracts!$Q$7)))=1,"R"&amp;OFFSET(GanttCalc!$B$5,0,14+N(Contracts!$Q$7)),"R"&amp;(OFFSET(GanttCalc!$B$5,0,13+N(Contracts!$Q$7))+1)&amp;"-"&amp;OFFSET(GanttCalc!$B$5,0,14+N(Contracts!$Q$7)))))</f>
        <v/>
      </c>
      <c r="S14" s="60" t="str">
        <f aca="true">IF($B$14="","",IF(N(OFFSET(GanttCalc!$B$5,0,15+N(Contracts!$Q$7)))-N(OFFSET(GanttCalc!$B$5,0,14+N(Contracts!$Q$7)))&lt;=0,"",IF(N(OFFSET(GanttCalc!$B$5,0,15+N(Contracts!$Q$7)))-N(OFFSET(GanttCalc!$B$5,0,14+N(Contracts!$Q$7)))=1,"R"&amp;OFFSET(GanttCalc!$B$5,0,15+N(Contracts!$Q$7)),"R"&amp;(OFFSET(GanttCalc!$B$5,0,14+N(Contracts!$Q$7))+1)&amp;"-"&amp;OFFSET(GanttCalc!$B$5,0,15+N(Contracts!$Q$7)))))</f>
        <v/>
      </c>
      <c r="T14" s="60" t="str">
        <f aca="true">IF($B$14="","",IF(N(OFFSET(GanttCalc!$B$5,0,16+N(Contracts!$Q$7)))-N(OFFSET(GanttCalc!$B$5,0,15+N(Contracts!$Q$7)))&lt;=0,"",IF(N(OFFSET(GanttCalc!$B$5,0,16+N(Contracts!$Q$7)))-N(OFFSET(GanttCalc!$B$5,0,15+N(Contracts!$Q$7)))=1,"R"&amp;OFFSET(GanttCalc!$B$5,0,16+N(Contracts!$Q$7)),"R"&amp;(OFFSET(GanttCalc!$B$5,0,15+N(Contracts!$Q$7))+1)&amp;"-"&amp;OFFSET(GanttCalc!$B$5,0,16+N(Contracts!$Q$7)))))</f>
        <v/>
      </c>
      <c r="U14" s="60" t="str">
        <f aca="true">IF($B$14="","",IF(N(OFFSET(GanttCalc!$B$5,0,17+N(Contracts!$Q$7)))-N(OFFSET(GanttCalc!$B$5,0,16+N(Contracts!$Q$7)))&lt;=0,"",IF(N(OFFSET(GanttCalc!$B$5,0,17+N(Contracts!$Q$7)))-N(OFFSET(GanttCalc!$B$5,0,16+N(Contracts!$Q$7)))=1,"R"&amp;OFFSET(GanttCalc!$B$5,0,17+N(Contracts!$Q$7)),"R"&amp;(OFFSET(GanttCalc!$B$5,0,16+N(Contracts!$Q$7))+1)&amp;"-"&amp;OFFSET(GanttCalc!$B$5,0,17+N(Contracts!$Q$7)))))</f>
        <v/>
      </c>
      <c r="V14" s="60" t="str">
        <f aca="true">IF($B$14="","",IF(N(OFFSET(GanttCalc!$B$5,0,18+N(Contracts!$Q$7)))-N(OFFSET(GanttCalc!$B$5,0,17+N(Contracts!$Q$7)))&lt;=0,"",IF(N(OFFSET(GanttCalc!$B$5,0,18+N(Contracts!$Q$7)))-N(OFFSET(GanttCalc!$B$5,0,17+N(Contracts!$Q$7)))=1,"R"&amp;OFFSET(GanttCalc!$B$5,0,18+N(Contracts!$Q$7)),"R"&amp;(OFFSET(GanttCalc!$B$5,0,17+N(Contracts!$Q$7))+1)&amp;"-"&amp;OFFSET(GanttCalc!$B$5,0,18+N(Contracts!$Q$7)))))</f>
        <v/>
      </c>
      <c r="W14" s="60" t="str">
        <f aca="true">IF($B$14="","",IF(N(OFFSET(GanttCalc!$B$5,0,19+N(Contracts!$Q$7)))-N(OFFSET(GanttCalc!$B$5,0,18+N(Contracts!$Q$7)))&lt;=0,"",IF(N(OFFSET(GanttCalc!$B$5,0,19+N(Contracts!$Q$7)))-N(OFFSET(GanttCalc!$B$5,0,18+N(Contracts!$Q$7)))=1,"R"&amp;OFFSET(GanttCalc!$B$5,0,19+N(Contracts!$Q$7)),"R"&amp;(OFFSET(GanttCalc!$B$5,0,18+N(Contracts!$Q$7))+1)&amp;"-"&amp;OFFSET(GanttCalc!$B$5,0,19+N(Contracts!$Q$7)))))</f>
        <v/>
      </c>
      <c r="X14" s="60" t="str">
        <f aca="true">IF($B$14="","",IF(N(OFFSET(GanttCalc!$B$5,0,20+N(Contracts!$Q$7)))-N(OFFSET(GanttCalc!$B$5,0,19+N(Contracts!$Q$7)))&lt;=0,"",IF(N(OFFSET(GanttCalc!$B$5,0,20+N(Contracts!$Q$7)))-N(OFFSET(GanttCalc!$B$5,0,19+N(Contracts!$Q$7)))=1,"R"&amp;OFFSET(GanttCalc!$B$5,0,20+N(Contracts!$Q$7)),"R"&amp;(OFFSET(GanttCalc!$B$5,0,19+N(Contracts!$Q$7))+1)&amp;"-"&amp;OFFSET(GanttCalc!$B$5,0,20+N(Contracts!$Q$7)))))</f>
        <v/>
      </c>
      <c r="Y14" s="60" t="str">
        <f aca="true">IF($B$14="","",IF(N(OFFSET(GanttCalc!$B$5,0,21+N(Contracts!$Q$7)))-N(OFFSET(GanttCalc!$B$5,0,20+N(Contracts!$Q$7)))&lt;=0,"",IF(N(OFFSET(GanttCalc!$B$5,0,21+N(Contracts!$Q$7)))-N(OFFSET(GanttCalc!$B$5,0,20+N(Contracts!$Q$7)))=1,"R"&amp;OFFSET(GanttCalc!$B$5,0,21+N(Contracts!$Q$7)),"R"&amp;(OFFSET(GanttCalc!$B$5,0,20+N(Contracts!$Q$7))+1)&amp;"-"&amp;OFFSET(GanttCalc!$B$5,0,21+N(Contracts!$Q$7)))))</f>
        <v/>
      </c>
      <c r="Z14" s="60" t="str">
        <f aca="true">IF($B$14="","",IF(N(OFFSET(GanttCalc!$B$5,0,22+N(Contracts!$Q$7)))-N(OFFSET(GanttCalc!$B$5,0,21+N(Contracts!$Q$7)))&lt;=0,"",IF(N(OFFSET(GanttCalc!$B$5,0,22+N(Contracts!$Q$7)))-N(OFFSET(GanttCalc!$B$5,0,21+N(Contracts!$Q$7)))=1,"R"&amp;OFFSET(GanttCalc!$B$5,0,22+N(Contracts!$Q$7)),"R"&amp;(OFFSET(GanttCalc!$B$5,0,21+N(Contracts!$Q$7))+1)&amp;"-"&amp;OFFSET(GanttCalc!$B$5,0,22+N(Contracts!$Q$7)))))</f>
        <v/>
      </c>
      <c r="AA14" s="60" t="str">
        <f aca="true">IF($B$14="","",IF(N(OFFSET(GanttCalc!$B$5,0,23+N(Contracts!$Q$7)))-N(OFFSET(GanttCalc!$B$5,0,22+N(Contracts!$Q$7)))&lt;=0,"",IF(N(OFFSET(GanttCalc!$B$5,0,23+N(Contracts!$Q$7)))-N(OFFSET(GanttCalc!$B$5,0,22+N(Contracts!$Q$7)))=1,"R"&amp;OFFSET(GanttCalc!$B$5,0,23+N(Contracts!$Q$7)),"R"&amp;(OFFSET(GanttCalc!$B$5,0,22+N(Contracts!$Q$7))+1)&amp;"-"&amp;OFFSET(GanttCalc!$B$5,0,23+N(Contracts!$Q$7)))))</f>
        <v/>
      </c>
      <c r="AB14" s="60" t="str">
        <f aca="true">IF($B$14="","",IF(N(OFFSET(GanttCalc!$B$5,0,24+N(Contracts!$Q$7)))-N(OFFSET(GanttCalc!$B$5,0,23+N(Contracts!$Q$7)))&lt;=0,"",IF(N(OFFSET(GanttCalc!$B$5,0,24+N(Contracts!$Q$7)))-N(OFFSET(GanttCalc!$B$5,0,23+N(Contracts!$Q$7)))=1,"R"&amp;OFFSET(GanttCalc!$B$5,0,24+N(Contracts!$Q$7)),"R"&amp;(OFFSET(GanttCalc!$B$5,0,23+N(Contracts!$Q$7))+1)&amp;"-"&amp;OFFSET(GanttCalc!$B$5,0,24+N(Contracts!$Q$7)))))</f>
        <v/>
      </c>
      <c r="AC14" s="60" t="str">
        <f aca="true">IF($B$14="","",IF(N(OFFSET(GanttCalc!$B$5,0,25+N(Contracts!$Q$7)))-N(OFFSET(GanttCalc!$B$5,0,24+N(Contracts!$Q$7)))&lt;=0,"",IF(N(OFFSET(GanttCalc!$B$5,0,25+N(Contracts!$Q$7)))-N(OFFSET(GanttCalc!$B$5,0,24+N(Contracts!$Q$7)))=1,"R"&amp;OFFSET(GanttCalc!$B$5,0,25+N(Contracts!$Q$7)),"R"&amp;(OFFSET(GanttCalc!$B$5,0,24+N(Contracts!$Q$7))+1)&amp;"-"&amp;OFFSET(GanttCalc!$B$5,0,25+N(Contracts!$Q$7)))))</f>
        <v/>
      </c>
      <c r="AD14" s="60" t="str">
        <f aca="true">IF($B$14="","",IF(N(OFFSET(GanttCalc!$B$5,0,26+N(Contracts!$Q$7)))-N(OFFSET(GanttCalc!$B$5,0,25+N(Contracts!$Q$7)))&lt;=0,"",IF(N(OFFSET(GanttCalc!$B$5,0,26+N(Contracts!$Q$7)))-N(OFFSET(GanttCalc!$B$5,0,25+N(Contracts!$Q$7)))=1,"R"&amp;OFFSET(GanttCalc!$B$5,0,26+N(Contracts!$Q$7)),"R"&amp;(OFFSET(GanttCalc!$B$5,0,25+N(Contracts!$Q$7))+1)&amp;"-"&amp;OFFSET(GanttCalc!$B$5,0,26+N(Contracts!$Q$7)))))</f>
        <v/>
      </c>
      <c r="AE14" s="60" t="str">
        <f aca="true">IF($B$14="","",IF(N(OFFSET(GanttCalc!$B$5,0,27+N(Contracts!$Q$7)))-N(OFFSET(GanttCalc!$B$5,0,26+N(Contracts!$Q$7)))&lt;=0,"",IF(N(OFFSET(GanttCalc!$B$5,0,27+N(Contracts!$Q$7)))-N(OFFSET(GanttCalc!$B$5,0,26+N(Contracts!$Q$7)))=1,"R"&amp;OFFSET(GanttCalc!$B$5,0,27+N(Contracts!$Q$7)),"R"&amp;(OFFSET(GanttCalc!$B$5,0,26+N(Contracts!$Q$7))+1)&amp;"-"&amp;OFFSET(GanttCalc!$B$5,0,27+N(Contracts!$Q$7)))))</f>
        <v/>
      </c>
      <c r="AF14" s="60" t="str">
        <f aca="true">IF($B$14="","",IF(N(OFFSET(GanttCalc!$B$5,0,28+N(Contracts!$Q$7)))-N(OFFSET(GanttCalc!$B$5,0,27+N(Contracts!$Q$7)))&lt;=0,"",IF(N(OFFSET(GanttCalc!$B$5,0,28+N(Contracts!$Q$7)))-N(OFFSET(GanttCalc!$B$5,0,27+N(Contracts!$Q$7)))=1,"R"&amp;OFFSET(GanttCalc!$B$5,0,28+N(Contracts!$Q$7)),"R"&amp;(OFFSET(GanttCalc!$B$5,0,27+N(Contracts!$Q$7))+1)&amp;"-"&amp;OFFSET(GanttCalc!$B$5,0,28+N(Contracts!$Q$7)))))</f>
        <v/>
      </c>
      <c r="AG14" s="60" t="str">
        <f aca="true">IF($B$14="","",IF(N(OFFSET(GanttCalc!$B$5,0,29+N(Contracts!$Q$7)))-N(OFFSET(GanttCalc!$B$5,0,28+N(Contracts!$Q$7)))&lt;=0,"",IF(N(OFFSET(GanttCalc!$B$5,0,29+N(Contracts!$Q$7)))-N(OFFSET(GanttCalc!$B$5,0,28+N(Contracts!$Q$7)))=1,"R"&amp;OFFSET(GanttCalc!$B$5,0,29+N(Contracts!$Q$7)),"R"&amp;(OFFSET(GanttCalc!$B$5,0,28+N(Contracts!$Q$7))+1)&amp;"-"&amp;OFFSET(GanttCalc!$B$5,0,29+N(Contracts!$Q$7)))))</f>
        <v/>
      </c>
      <c r="AH14" s="60" t="str">
        <f aca="true">IF($B$14="","",IF(N(OFFSET(GanttCalc!$B$5,0,30+N(Contracts!$Q$7)))-N(OFFSET(GanttCalc!$B$5,0,29+N(Contracts!$Q$7)))&lt;=0,"",IF(N(OFFSET(GanttCalc!$B$5,0,30+N(Contracts!$Q$7)))-N(OFFSET(GanttCalc!$B$5,0,29+N(Contracts!$Q$7)))=1,"R"&amp;OFFSET(GanttCalc!$B$5,0,30+N(Contracts!$Q$7)),"R"&amp;(OFFSET(GanttCalc!$B$5,0,29+N(Contracts!$Q$7))+1)&amp;"-"&amp;OFFSET(GanttCalc!$B$5,0,30+N(Contracts!$Q$7)))))</f>
        <v/>
      </c>
      <c r="AI14" s="60" t="str">
        <f aca="true">IF($B$14="","",IF(N(OFFSET(GanttCalc!$B$5,0,31+N(Contracts!$Q$7)))-N(OFFSET(GanttCalc!$B$5,0,30+N(Contracts!$Q$7)))&lt;=0,"",IF(N(OFFSET(GanttCalc!$B$5,0,31+N(Contracts!$Q$7)))-N(OFFSET(GanttCalc!$B$5,0,30+N(Contracts!$Q$7)))=1,"R"&amp;OFFSET(GanttCalc!$B$5,0,31+N(Contracts!$Q$7)),"R"&amp;(OFFSET(GanttCalc!$B$5,0,30+N(Contracts!$Q$7))+1)&amp;"-"&amp;OFFSET(GanttCalc!$B$5,0,31+N(Contracts!$Q$7)))))</f>
        <v/>
      </c>
      <c r="AJ14" s="60" t="str">
        <f aca="true">IF($B$14="","",IF(N(OFFSET(GanttCalc!$B$5,0,32+N(Contracts!$Q$7)))-N(OFFSET(GanttCalc!$B$5,0,31+N(Contracts!$Q$7)))&lt;=0,"",IF(N(OFFSET(GanttCalc!$B$5,0,32+N(Contracts!$Q$7)))-N(OFFSET(GanttCalc!$B$5,0,31+N(Contracts!$Q$7)))=1,"R"&amp;OFFSET(GanttCalc!$B$5,0,32+N(Contracts!$Q$7)),"R"&amp;(OFFSET(GanttCalc!$B$5,0,31+N(Contracts!$Q$7))+1)&amp;"-"&amp;OFFSET(GanttCalc!$B$5,0,32+N(Contracts!$Q$7)))))</f>
        <v/>
      </c>
      <c r="AK14" s="60" t="str">
        <f aca="true">IF($B$14="","",IF(N(OFFSET(GanttCalc!$B$5,0,33+N(Contracts!$Q$7)))-N(OFFSET(GanttCalc!$B$5,0,32+N(Contracts!$Q$7)))&lt;=0,"",IF(N(OFFSET(GanttCalc!$B$5,0,33+N(Contracts!$Q$7)))-N(OFFSET(GanttCalc!$B$5,0,32+N(Contracts!$Q$7)))=1,"R"&amp;OFFSET(GanttCalc!$B$5,0,33+N(Contracts!$Q$7)),"R"&amp;(OFFSET(GanttCalc!$B$5,0,32+N(Contracts!$Q$7))+1)&amp;"-"&amp;OFFSET(GanttCalc!$B$5,0,33+N(Contracts!$Q$7)))))</f>
        <v/>
      </c>
      <c r="AL14" s="60" t="str">
        <f aca="true">IF($B$14="","",IF(N(OFFSET(GanttCalc!$B$5,0,34+N(Contracts!$Q$7)))-N(OFFSET(GanttCalc!$B$5,0,33+N(Contracts!$Q$7)))&lt;=0,"",IF(N(OFFSET(GanttCalc!$B$5,0,34+N(Contracts!$Q$7)))-N(OFFSET(GanttCalc!$B$5,0,33+N(Contracts!$Q$7)))=1,"R"&amp;OFFSET(GanttCalc!$B$5,0,34+N(Contracts!$Q$7)),"R"&amp;(OFFSET(GanttCalc!$B$5,0,33+N(Contracts!$Q$7))+1)&amp;"-"&amp;OFFSET(GanttCalc!$B$5,0,34+N(Contracts!$Q$7)))))</f>
        <v/>
      </c>
      <c r="AM14" s="60" t="str">
        <f aca="true">IF($B$14="","",IF(N(OFFSET(GanttCalc!$B$5,0,35+N(Contracts!$Q$7)))-N(OFFSET(GanttCalc!$B$5,0,34+N(Contracts!$Q$7)))&lt;=0,"",IF(N(OFFSET(GanttCalc!$B$5,0,35+N(Contracts!$Q$7)))-N(OFFSET(GanttCalc!$B$5,0,34+N(Contracts!$Q$7)))=1,"R"&amp;OFFSET(GanttCalc!$B$5,0,35+N(Contracts!$Q$7)),"R"&amp;(OFFSET(GanttCalc!$B$5,0,34+N(Contracts!$Q$7))+1)&amp;"-"&amp;OFFSET(GanttCalc!$B$5,0,35+N(Contracts!$Q$7)))))</f>
        <v/>
      </c>
      <c r="AN14" s="60" t="str">
        <f aca="true">IF($B$14="","",IF(N(OFFSET(GanttCalc!$B$5,0,36+N(Contracts!$Q$7)))-N(OFFSET(GanttCalc!$B$5,0,35+N(Contracts!$Q$7)))&lt;=0,"",IF(N(OFFSET(GanttCalc!$B$5,0,36+N(Contracts!$Q$7)))-N(OFFSET(GanttCalc!$B$5,0,35+N(Contracts!$Q$7)))=1,"R"&amp;OFFSET(GanttCalc!$B$5,0,36+N(Contracts!$Q$7)),"R"&amp;(OFFSET(GanttCalc!$B$5,0,35+N(Contracts!$Q$7))+1)&amp;"-"&amp;OFFSET(GanttCalc!$B$5,0,36+N(Contracts!$Q$7)))))</f>
        <v/>
      </c>
      <c r="AO14" s="60" t="str">
        <f aca="true">IF($B$14="","",IF(N(OFFSET(GanttCalc!$B$5,0,37+N(Contracts!$Q$7)))-N(OFFSET(GanttCalc!$B$5,0,36+N(Contracts!$Q$7)))&lt;=0,"",IF(N(OFFSET(GanttCalc!$B$5,0,37+N(Contracts!$Q$7)))-N(OFFSET(GanttCalc!$B$5,0,36+N(Contracts!$Q$7)))=1,"R"&amp;OFFSET(GanttCalc!$B$5,0,37+N(Contracts!$Q$7)),"R"&amp;(OFFSET(GanttCalc!$B$5,0,36+N(Contracts!$Q$7))+1)&amp;"-"&amp;OFFSET(GanttCalc!$B$5,0,37+N(Contracts!$Q$7)))))</f>
        <v/>
      </c>
      <c r="AP14" s="60" t="str">
        <f aca="true">IF($B$14="","",IF(N(OFFSET(GanttCalc!$B$5,0,38+N(Contracts!$Q$7)))-N(OFFSET(GanttCalc!$B$5,0,37+N(Contracts!$Q$7)))&lt;=0,"",IF(N(OFFSET(GanttCalc!$B$5,0,38+N(Contracts!$Q$7)))-N(OFFSET(GanttCalc!$B$5,0,37+N(Contracts!$Q$7)))=1,"R"&amp;OFFSET(GanttCalc!$B$5,0,38+N(Contracts!$Q$7)),"R"&amp;(OFFSET(GanttCalc!$B$5,0,37+N(Contracts!$Q$7))+1)&amp;"-"&amp;OFFSET(GanttCalc!$B$5,0,38+N(Contracts!$Q$7)))))</f>
        <v/>
      </c>
      <c r="AQ14" s="60" t="str">
        <f aca="true">IF($B$14="","",IF(N(OFFSET(GanttCalc!$B$5,0,39+N(Contracts!$Q$7)))-N(OFFSET(GanttCalc!$B$5,0,38+N(Contracts!$Q$7)))&lt;=0,"",IF(N(OFFSET(GanttCalc!$B$5,0,39+N(Contracts!$Q$7)))-N(OFFSET(GanttCalc!$B$5,0,38+N(Contracts!$Q$7)))=1,"R"&amp;OFFSET(GanttCalc!$B$5,0,39+N(Contracts!$Q$7)),"R"&amp;(OFFSET(GanttCalc!$B$5,0,38+N(Contracts!$Q$7))+1)&amp;"-"&amp;OFFSET(GanttCalc!$B$5,0,39+N(Contracts!$Q$7)))))</f>
        <v/>
      </c>
      <c r="AR14" s="60" t="str">
        <f aca="true">IF($B$14="","",IF(N(OFFSET(GanttCalc!$B$5,0,40+N(Contracts!$Q$7)))-N(OFFSET(GanttCalc!$B$5,0,39+N(Contracts!$Q$7)))&lt;=0,"",IF(N(OFFSET(GanttCalc!$B$5,0,40+N(Contracts!$Q$7)))-N(OFFSET(GanttCalc!$B$5,0,39+N(Contracts!$Q$7)))=1,"R"&amp;OFFSET(GanttCalc!$B$5,0,40+N(Contracts!$Q$7)),"R"&amp;(OFFSET(GanttCalc!$B$5,0,39+N(Contracts!$Q$7))+1)&amp;"-"&amp;OFFSET(GanttCalc!$B$5,0,40+N(Contracts!$Q$7)))))</f>
        <v/>
      </c>
      <c r="AS14" s="60" t="str">
        <f aca="true">IF($B$14="","",IF(N(OFFSET(GanttCalc!$B$5,0,41+N(Contracts!$Q$7)))-N(OFFSET(GanttCalc!$B$5,0,40+N(Contracts!$Q$7)))&lt;=0,"",IF(N(OFFSET(GanttCalc!$B$5,0,41+N(Contracts!$Q$7)))-N(OFFSET(GanttCalc!$B$5,0,40+N(Contracts!$Q$7)))=1,"R"&amp;OFFSET(GanttCalc!$B$5,0,41+N(Contracts!$Q$7)),"R"&amp;(OFFSET(GanttCalc!$B$5,0,40+N(Contracts!$Q$7))+1)&amp;"-"&amp;OFFSET(GanttCalc!$B$5,0,41+N(Contracts!$Q$7)))))</f>
        <v/>
      </c>
      <c r="AT14" s="60" t="str">
        <f aca="true">IF($B$14="","",IF(N(OFFSET(GanttCalc!$B$5,0,42+N(Contracts!$Q$7)))-N(OFFSET(GanttCalc!$B$5,0,41+N(Contracts!$Q$7)))&lt;=0,"",IF(N(OFFSET(GanttCalc!$B$5,0,42+N(Contracts!$Q$7)))-N(OFFSET(GanttCalc!$B$5,0,41+N(Contracts!$Q$7)))=1,"R"&amp;OFFSET(GanttCalc!$B$5,0,42+N(Contracts!$Q$7)),"R"&amp;(OFFSET(GanttCalc!$B$5,0,41+N(Contracts!$Q$7))+1)&amp;"-"&amp;OFFSET(GanttCalc!$B$5,0,42+N(Contracts!$Q$7)))))</f>
        <v/>
      </c>
      <c r="AU14" s="60" t="str">
        <f aca="true">IF($B$14="","",IF(N(OFFSET(GanttCalc!$B$5,0,43+N(Contracts!$Q$7)))-N(OFFSET(GanttCalc!$B$5,0,42+N(Contracts!$Q$7)))&lt;=0,"",IF(N(OFFSET(GanttCalc!$B$5,0,43+N(Contracts!$Q$7)))-N(OFFSET(GanttCalc!$B$5,0,42+N(Contracts!$Q$7)))=1,"R"&amp;OFFSET(GanttCalc!$B$5,0,43+N(Contracts!$Q$7)),"R"&amp;(OFFSET(GanttCalc!$B$5,0,42+N(Contracts!$Q$7))+1)&amp;"-"&amp;OFFSET(GanttCalc!$B$5,0,43+N(Contracts!$Q$7)))))</f>
        <v/>
      </c>
      <c r="AV14" s="60" t="str">
        <f aca="true">IF($B$14="","",IF(N(OFFSET(GanttCalc!$B$5,0,44+N(Contracts!$Q$7)))-N(OFFSET(GanttCalc!$B$5,0,43+N(Contracts!$Q$7)))&lt;=0,"",IF(N(OFFSET(GanttCalc!$B$5,0,44+N(Contracts!$Q$7)))-N(OFFSET(GanttCalc!$B$5,0,43+N(Contracts!$Q$7)))=1,"R"&amp;OFFSET(GanttCalc!$B$5,0,44+N(Contracts!$Q$7)),"R"&amp;(OFFSET(GanttCalc!$B$5,0,43+N(Contracts!$Q$7))+1)&amp;"-"&amp;OFFSET(GanttCalc!$B$5,0,44+N(Contracts!$Q$7)))))</f>
        <v/>
      </c>
      <c r="AW14" s="60" t="str">
        <f aca="true">IF($B$14="","",IF(N(OFFSET(GanttCalc!$B$5,0,45+N(Contracts!$Q$7)))-N(OFFSET(GanttCalc!$B$5,0,44+N(Contracts!$Q$7)))&lt;=0,"",IF(N(OFFSET(GanttCalc!$B$5,0,45+N(Contracts!$Q$7)))-N(OFFSET(GanttCalc!$B$5,0,44+N(Contracts!$Q$7)))=1,"R"&amp;OFFSET(GanttCalc!$B$5,0,45+N(Contracts!$Q$7)),"R"&amp;(OFFSET(GanttCalc!$B$5,0,44+N(Contracts!$Q$7))+1)&amp;"-"&amp;OFFSET(GanttCalc!$B$5,0,45+N(Contracts!$Q$7)))))</f>
        <v/>
      </c>
      <c r="AX14" s="60" t="str">
        <f aca="true">IF($B$14="","",IF(N(OFFSET(GanttCalc!$B$5,0,46+N(Contracts!$Q$7)))-N(OFFSET(GanttCalc!$B$5,0,45+N(Contracts!$Q$7)))&lt;=0,"",IF(N(OFFSET(GanttCalc!$B$5,0,46+N(Contracts!$Q$7)))-N(OFFSET(GanttCalc!$B$5,0,45+N(Contracts!$Q$7)))=1,"R"&amp;OFFSET(GanttCalc!$B$5,0,46+N(Contracts!$Q$7)),"R"&amp;(OFFSET(GanttCalc!$B$5,0,45+N(Contracts!$Q$7))+1)&amp;"-"&amp;OFFSET(GanttCalc!$B$5,0,46+N(Contracts!$Q$7)))))</f>
        <v/>
      </c>
      <c r="AY14" s="60" t="str">
        <f aca="true">IF($B$14="","",IF(N(OFFSET(GanttCalc!$B$5,0,47+N(Contracts!$Q$7)))-N(OFFSET(GanttCalc!$B$5,0,46+N(Contracts!$Q$7)))&lt;=0,"",IF(N(OFFSET(GanttCalc!$B$5,0,47+N(Contracts!$Q$7)))-N(OFFSET(GanttCalc!$B$5,0,46+N(Contracts!$Q$7)))=1,"R"&amp;OFFSET(GanttCalc!$B$5,0,47+N(Contracts!$Q$7)),"R"&amp;(OFFSET(GanttCalc!$B$5,0,46+N(Contracts!$Q$7))+1)&amp;"-"&amp;OFFSET(GanttCalc!$B$5,0,47+N(Contracts!$Q$7)))))</f>
        <v/>
      </c>
      <c r="AZ14" s="60" t="str">
        <f aca="true">IF($B$14="","",IF(N(OFFSET(GanttCalc!$B$5,0,48+N(Contracts!$Q$7)))-N(OFFSET(GanttCalc!$B$5,0,47+N(Contracts!$Q$7)))&lt;=0,"",IF(N(OFFSET(GanttCalc!$B$5,0,48+N(Contracts!$Q$7)))-N(OFFSET(GanttCalc!$B$5,0,47+N(Contracts!$Q$7)))=1,"R"&amp;OFFSET(GanttCalc!$B$5,0,48+N(Contracts!$Q$7)),"R"&amp;(OFFSET(GanttCalc!$B$5,0,47+N(Contracts!$Q$7))+1)&amp;"-"&amp;OFFSET(GanttCalc!$B$5,0,48+N(Contracts!$Q$7)))))</f>
        <v/>
      </c>
      <c r="BA14" s="60" t="str">
        <f aca="true">IF($B$14="","",IF(N(OFFSET(GanttCalc!$B$5,0,49+N(Contracts!$Q$7)))-N(OFFSET(GanttCalc!$B$5,0,48+N(Contracts!$Q$7)))&lt;=0,"",IF(N(OFFSET(GanttCalc!$B$5,0,49+N(Contracts!$Q$7)))-N(OFFSET(GanttCalc!$B$5,0,48+N(Contracts!$Q$7)))=1,"R"&amp;OFFSET(GanttCalc!$B$5,0,49+N(Contracts!$Q$7)),"R"&amp;(OFFSET(GanttCalc!$B$5,0,48+N(Contracts!$Q$7))+1)&amp;"-"&amp;OFFSET(GanttCalc!$B$5,0,49+N(Contracts!$Q$7)))))</f>
        <v/>
      </c>
      <c r="BB14" s="60" t="str">
        <f aca="true">IF($B$14="","",IF(N(OFFSET(GanttCalc!$B$5,0,50+N(Contracts!$Q$7)))-N(OFFSET(GanttCalc!$B$5,0,49+N(Contracts!$Q$7)))&lt;=0,"",IF(N(OFFSET(GanttCalc!$B$5,0,50+N(Contracts!$Q$7)))-N(OFFSET(GanttCalc!$B$5,0,49+N(Contracts!$Q$7)))=1,"R"&amp;OFFSET(GanttCalc!$B$5,0,50+N(Contracts!$Q$7)),"R"&amp;(OFFSET(GanttCalc!$B$5,0,49+N(Contracts!$Q$7))+1)&amp;"-"&amp;OFFSET(GanttCalc!$B$5,0,50+N(Contracts!$Q$7)))))</f>
        <v/>
      </c>
      <c r="BC14" s="60" t="str">
        <f aca="true">IF($B$14="","",IF(N(OFFSET(GanttCalc!$B$5,0,51+N(Contracts!$Q$7)))-N(OFFSET(GanttCalc!$B$5,0,50+N(Contracts!$Q$7)))&lt;=0,"",IF(N(OFFSET(GanttCalc!$B$5,0,51+N(Contracts!$Q$7)))-N(OFFSET(GanttCalc!$B$5,0,50+N(Contracts!$Q$7)))=1,"R"&amp;OFFSET(GanttCalc!$B$5,0,51+N(Contracts!$Q$7)),"R"&amp;(OFFSET(GanttCalc!$B$5,0,50+N(Contracts!$Q$7))+1)&amp;"-"&amp;OFFSET(GanttCalc!$B$5,0,51+N(Contracts!$Q$7)))))</f>
        <v/>
      </c>
      <c r="BD14" s="60" t="str">
        <f aca="true">IF($B$14="","",IF(N(OFFSET(GanttCalc!$B$5,0,52+N(Contracts!$Q$7)))-N(OFFSET(GanttCalc!$B$5,0,51+N(Contracts!$Q$7)))&lt;=0,"",IF(N(OFFSET(GanttCalc!$B$5,0,52+N(Contracts!$Q$7)))-N(OFFSET(GanttCalc!$B$5,0,51+N(Contracts!$Q$7)))=1,"R"&amp;OFFSET(GanttCalc!$B$5,0,52+N(Contracts!$Q$7)),"R"&amp;(OFFSET(GanttCalc!$B$5,0,51+N(Contracts!$Q$7))+1)&amp;"-"&amp;OFFSET(GanttCalc!$B$5,0,52+N(Contracts!$Q$7)))))</f>
        <v/>
      </c>
    </row>
    <row r="15" customFormat="false" ht="16.5" hidden="false" customHeight="true" outlineLevel="0" collapsed="false">
      <c r="B15" s="61" t="str">
        <f aca="false">IF(Contracts!$A$7="","",Contracts!$C$7)</f>
        <v>92ERP24545A++</v>
      </c>
      <c r="C15" s="62" t="str">
        <f aca="false">IF(Contracts!$A$7="","","AMPS build")</f>
        <v>AMPS build</v>
      </c>
      <c r="D15" s="59" t="str">
        <f aca="false">IF($B$14="","",SUMPRODUCT(--(E15:BD15&lt;&gt;""))&amp;" wks")</f>
        <v>0 wks</v>
      </c>
      <c r="E15" s="60" t="str">
        <f aca="false">IF($B$14="","",IF(N(GanttCalc!D5)-N(GanttCalc!C5)&lt;=0,"",IF(N(GanttCalc!D5)-N(GanttCalc!C5)=1,"R"&amp;GanttCalc!D5,"R"&amp;(GanttCalc!C5+1)&amp;"-"&amp;GanttCalc!D5)))</f>
        <v/>
      </c>
      <c r="F15" s="60" t="str">
        <f aca="false">IF($B$14="","",IF(N(GanttCalc!E5)-N(GanttCalc!D5)&lt;=0,"",IF(N(GanttCalc!E5)-N(GanttCalc!D5)=1,"R"&amp;GanttCalc!E5,"R"&amp;(GanttCalc!D5+1)&amp;"-"&amp;GanttCalc!E5)))</f>
        <v/>
      </c>
      <c r="G15" s="60" t="str">
        <f aca="false">IF($B$14="","",IF(N(GanttCalc!F5)-N(GanttCalc!E5)&lt;=0,"",IF(N(GanttCalc!F5)-N(GanttCalc!E5)=1,"R"&amp;GanttCalc!F5,"R"&amp;(GanttCalc!E5+1)&amp;"-"&amp;GanttCalc!F5)))</f>
        <v/>
      </c>
      <c r="H15" s="60" t="str">
        <f aca="false">IF($B$14="","",IF(N(GanttCalc!G5)-N(GanttCalc!F5)&lt;=0,"",IF(N(GanttCalc!G5)-N(GanttCalc!F5)=1,"R"&amp;GanttCalc!G5,"R"&amp;(GanttCalc!F5+1)&amp;"-"&amp;GanttCalc!G5)))</f>
        <v/>
      </c>
      <c r="I15" s="60" t="str">
        <f aca="false">IF($B$14="","",IF(N(GanttCalc!H5)-N(GanttCalc!G5)&lt;=0,"",IF(N(GanttCalc!H5)-N(GanttCalc!G5)=1,"R"&amp;GanttCalc!H5,"R"&amp;(GanttCalc!G5+1)&amp;"-"&amp;GanttCalc!H5)))</f>
        <v/>
      </c>
      <c r="J15" s="60" t="str">
        <f aca="false">IF($B$14="","",IF(N(GanttCalc!I5)-N(GanttCalc!H5)&lt;=0,"",IF(N(GanttCalc!I5)-N(GanttCalc!H5)=1,"R"&amp;GanttCalc!I5,"R"&amp;(GanttCalc!H5+1)&amp;"-"&amp;GanttCalc!I5)))</f>
        <v/>
      </c>
      <c r="K15" s="60" t="str">
        <f aca="false">IF($B$14="","",IF(N(GanttCalc!J5)-N(GanttCalc!I5)&lt;=0,"",IF(N(GanttCalc!J5)-N(GanttCalc!I5)=1,"R"&amp;GanttCalc!J5,"R"&amp;(GanttCalc!I5+1)&amp;"-"&amp;GanttCalc!J5)))</f>
        <v/>
      </c>
      <c r="L15" s="60" t="str">
        <f aca="false">IF($B$14="","",IF(N(GanttCalc!K5)-N(GanttCalc!J5)&lt;=0,"",IF(N(GanttCalc!K5)-N(GanttCalc!J5)=1,"R"&amp;GanttCalc!K5,"R"&amp;(GanttCalc!J5+1)&amp;"-"&amp;GanttCalc!K5)))</f>
        <v/>
      </c>
      <c r="M15" s="60" t="str">
        <f aca="false">IF($B$14="","",IF(N(GanttCalc!L5)-N(GanttCalc!K5)&lt;=0,"",IF(N(GanttCalc!L5)-N(GanttCalc!K5)=1,"R"&amp;GanttCalc!L5,"R"&amp;(GanttCalc!K5+1)&amp;"-"&amp;GanttCalc!L5)))</f>
        <v/>
      </c>
      <c r="N15" s="60" t="str">
        <f aca="false">IF($B$14="","",IF(N(GanttCalc!M5)-N(GanttCalc!L5)&lt;=0,"",IF(N(GanttCalc!M5)-N(GanttCalc!L5)=1,"R"&amp;GanttCalc!M5,"R"&amp;(GanttCalc!L5+1)&amp;"-"&amp;GanttCalc!M5)))</f>
        <v/>
      </c>
      <c r="O15" s="60" t="str">
        <f aca="false">IF($B$14="","",IF(N(GanttCalc!N5)-N(GanttCalc!M5)&lt;=0,"",IF(N(GanttCalc!N5)-N(GanttCalc!M5)=1,"R"&amp;GanttCalc!N5,"R"&amp;(GanttCalc!M5+1)&amp;"-"&amp;GanttCalc!N5)))</f>
        <v/>
      </c>
      <c r="P15" s="60" t="str">
        <f aca="false">IF($B$14="","",IF(N(GanttCalc!O5)-N(GanttCalc!N5)&lt;=0,"",IF(N(GanttCalc!O5)-N(GanttCalc!N5)=1,"R"&amp;GanttCalc!O5,"R"&amp;(GanttCalc!N5+1)&amp;"-"&amp;GanttCalc!O5)))</f>
        <v/>
      </c>
      <c r="Q15" s="60" t="str">
        <f aca="false">IF($B$14="","",IF(N(GanttCalc!P5)-N(GanttCalc!O5)&lt;=0,"",IF(N(GanttCalc!P5)-N(GanttCalc!O5)=1,"R"&amp;GanttCalc!P5,"R"&amp;(GanttCalc!O5+1)&amp;"-"&amp;GanttCalc!P5)))</f>
        <v/>
      </c>
      <c r="R15" s="60" t="str">
        <f aca="false">IF($B$14="","",IF(N(GanttCalc!Q5)-N(GanttCalc!P5)&lt;=0,"",IF(N(GanttCalc!Q5)-N(GanttCalc!P5)=1,"R"&amp;GanttCalc!Q5,"R"&amp;(GanttCalc!P5+1)&amp;"-"&amp;GanttCalc!Q5)))</f>
        <v/>
      </c>
      <c r="S15" s="60" t="str">
        <f aca="false">IF($B$14="","",IF(N(GanttCalc!R5)-N(GanttCalc!Q5)&lt;=0,"",IF(N(GanttCalc!R5)-N(GanttCalc!Q5)=1,"R"&amp;GanttCalc!R5,"R"&amp;(GanttCalc!Q5+1)&amp;"-"&amp;GanttCalc!R5)))</f>
        <v/>
      </c>
      <c r="T15" s="60" t="str">
        <f aca="false">IF($B$14="","",IF(N(GanttCalc!S5)-N(GanttCalc!R5)&lt;=0,"",IF(N(GanttCalc!S5)-N(GanttCalc!R5)=1,"R"&amp;GanttCalc!S5,"R"&amp;(GanttCalc!R5+1)&amp;"-"&amp;GanttCalc!S5)))</f>
        <v/>
      </c>
      <c r="U15" s="60" t="str">
        <f aca="false">IF($B$14="","",IF(N(GanttCalc!T5)-N(GanttCalc!S5)&lt;=0,"",IF(N(GanttCalc!T5)-N(GanttCalc!S5)=1,"R"&amp;GanttCalc!T5,"R"&amp;(GanttCalc!S5+1)&amp;"-"&amp;GanttCalc!T5)))</f>
        <v/>
      </c>
      <c r="V15" s="60" t="str">
        <f aca="false">IF($B$14="","",IF(N(GanttCalc!U5)-N(GanttCalc!T5)&lt;=0,"",IF(N(GanttCalc!U5)-N(GanttCalc!T5)=1,"R"&amp;GanttCalc!U5,"R"&amp;(GanttCalc!T5+1)&amp;"-"&amp;GanttCalc!U5)))</f>
        <v/>
      </c>
      <c r="W15" s="60" t="str">
        <f aca="false">IF($B$14="","",IF(N(GanttCalc!V5)-N(GanttCalc!U5)&lt;=0,"",IF(N(GanttCalc!V5)-N(GanttCalc!U5)=1,"R"&amp;GanttCalc!V5,"R"&amp;(GanttCalc!U5+1)&amp;"-"&amp;GanttCalc!V5)))</f>
        <v/>
      </c>
      <c r="X15" s="60" t="str">
        <f aca="false">IF($B$14="","",IF(N(GanttCalc!W5)-N(GanttCalc!V5)&lt;=0,"",IF(N(GanttCalc!W5)-N(GanttCalc!V5)=1,"R"&amp;GanttCalc!W5,"R"&amp;(GanttCalc!V5+1)&amp;"-"&amp;GanttCalc!W5)))</f>
        <v/>
      </c>
      <c r="Y15" s="60" t="str">
        <f aca="false">IF($B$14="","",IF(N(GanttCalc!X5)-N(GanttCalc!W5)&lt;=0,"",IF(N(GanttCalc!X5)-N(GanttCalc!W5)=1,"R"&amp;GanttCalc!X5,"R"&amp;(GanttCalc!W5+1)&amp;"-"&amp;GanttCalc!X5)))</f>
        <v/>
      </c>
      <c r="Z15" s="60" t="str">
        <f aca="false">IF($B$14="","",IF(N(GanttCalc!Y5)-N(GanttCalc!X5)&lt;=0,"",IF(N(GanttCalc!Y5)-N(GanttCalc!X5)=1,"R"&amp;GanttCalc!Y5,"R"&amp;(GanttCalc!X5+1)&amp;"-"&amp;GanttCalc!Y5)))</f>
        <v/>
      </c>
      <c r="AA15" s="60" t="str">
        <f aca="false">IF($B$14="","",IF(N(GanttCalc!Z5)-N(GanttCalc!Y5)&lt;=0,"",IF(N(GanttCalc!Z5)-N(GanttCalc!Y5)=1,"R"&amp;GanttCalc!Z5,"R"&amp;(GanttCalc!Y5+1)&amp;"-"&amp;GanttCalc!Z5)))</f>
        <v/>
      </c>
      <c r="AB15" s="60" t="str">
        <f aca="false">IF($B$14="","",IF(N(GanttCalc!AA5)-N(GanttCalc!Z5)&lt;=0,"",IF(N(GanttCalc!AA5)-N(GanttCalc!Z5)=1,"R"&amp;GanttCalc!AA5,"R"&amp;(GanttCalc!Z5+1)&amp;"-"&amp;GanttCalc!AA5)))</f>
        <v/>
      </c>
      <c r="AC15" s="60" t="str">
        <f aca="false">IF($B$14="","",IF(N(GanttCalc!AB5)-N(GanttCalc!AA5)&lt;=0,"",IF(N(GanttCalc!AB5)-N(GanttCalc!AA5)=1,"R"&amp;GanttCalc!AB5,"R"&amp;(GanttCalc!AA5+1)&amp;"-"&amp;GanttCalc!AB5)))</f>
        <v/>
      </c>
      <c r="AD15" s="60" t="str">
        <f aca="false">IF($B$14="","",IF(N(GanttCalc!AC5)-N(GanttCalc!AB5)&lt;=0,"",IF(N(GanttCalc!AC5)-N(GanttCalc!AB5)=1,"R"&amp;GanttCalc!AC5,"R"&amp;(GanttCalc!AB5+1)&amp;"-"&amp;GanttCalc!AC5)))</f>
        <v/>
      </c>
      <c r="AE15" s="60" t="str">
        <f aca="false">IF($B$14="","",IF(N(GanttCalc!AD5)-N(GanttCalc!AC5)&lt;=0,"",IF(N(GanttCalc!AD5)-N(GanttCalc!AC5)=1,"R"&amp;GanttCalc!AD5,"R"&amp;(GanttCalc!AC5+1)&amp;"-"&amp;GanttCalc!AD5)))</f>
        <v/>
      </c>
      <c r="AF15" s="60" t="str">
        <f aca="false">IF($B$14="","",IF(N(GanttCalc!AE5)-N(GanttCalc!AD5)&lt;=0,"",IF(N(GanttCalc!AE5)-N(GanttCalc!AD5)=1,"R"&amp;GanttCalc!AE5,"R"&amp;(GanttCalc!AD5+1)&amp;"-"&amp;GanttCalc!AE5)))</f>
        <v/>
      </c>
      <c r="AG15" s="60" t="str">
        <f aca="false">IF($B$14="","",IF(N(GanttCalc!AF5)-N(GanttCalc!AE5)&lt;=0,"",IF(N(GanttCalc!AF5)-N(GanttCalc!AE5)=1,"R"&amp;GanttCalc!AF5,"R"&amp;(GanttCalc!AE5+1)&amp;"-"&amp;GanttCalc!AF5)))</f>
        <v/>
      </c>
      <c r="AH15" s="60" t="str">
        <f aca="false">IF($B$14="","",IF(N(GanttCalc!AG5)-N(GanttCalc!AF5)&lt;=0,"",IF(N(GanttCalc!AG5)-N(GanttCalc!AF5)=1,"R"&amp;GanttCalc!AG5,"R"&amp;(GanttCalc!AF5+1)&amp;"-"&amp;GanttCalc!AG5)))</f>
        <v/>
      </c>
      <c r="AI15" s="60" t="str">
        <f aca="false">IF($B$14="","",IF(N(GanttCalc!AH5)-N(GanttCalc!AG5)&lt;=0,"",IF(N(GanttCalc!AH5)-N(GanttCalc!AG5)=1,"R"&amp;GanttCalc!AH5,"R"&amp;(GanttCalc!AG5+1)&amp;"-"&amp;GanttCalc!AH5)))</f>
        <v/>
      </c>
      <c r="AJ15" s="60" t="str">
        <f aca="false">IF($B$14="","",IF(N(GanttCalc!AI5)-N(GanttCalc!AH5)&lt;=0,"",IF(N(GanttCalc!AI5)-N(GanttCalc!AH5)=1,"R"&amp;GanttCalc!AI5,"R"&amp;(GanttCalc!AH5+1)&amp;"-"&amp;GanttCalc!AI5)))</f>
        <v/>
      </c>
      <c r="AK15" s="60" t="str">
        <f aca="false">IF($B$14="","",IF(N(GanttCalc!AJ5)-N(GanttCalc!AI5)&lt;=0,"",IF(N(GanttCalc!AJ5)-N(GanttCalc!AI5)=1,"R"&amp;GanttCalc!AJ5,"R"&amp;(GanttCalc!AI5+1)&amp;"-"&amp;GanttCalc!AJ5)))</f>
        <v/>
      </c>
      <c r="AL15" s="60" t="str">
        <f aca="false">IF($B$14="","",IF(N(GanttCalc!AK5)-N(GanttCalc!AJ5)&lt;=0,"",IF(N(GanttCalc!AK5)-N(GanttCalc!AJ5)=1,"R"&amp;GanttCalc!AK5,"R"&amp;(GanttCalc!AJ5+1)&amp;"-"&amp;GanttCalc!AK5)))</f>
        <v/>
      </c>
      <c r="AM15" s="60" t="str">
        <f aca="false">IF($B$14="","",IF(N(GanttCalc!AL5)-N(GanttCalc!AK5)&lt;=0,"",IF(N(GanttCalc!AL5)-N(GanttCalc!AK5)=1,"R"&amp;GanttCalc!AL5,"R"&amp;(GanttCalc!AK5+1)&amp;"-"&amp;GanttCalc!AL5)))</f>
        <v/>
      </c>
      <c r="AN15" s="60" t="str">
        <f aca="false">IF($B$14="","",IF(N(GanttCalc!AM5)-N(GanttCalc!AL5)&lt;=0,"",IF(N(GanttCalc!AM5)-N(GanttCalc!AL5)=1,"R"&amp;GanttCalc!AM5,"R"&amp;(GanttCalc!AL5+1)&amp;"-"&amp;GanttCalc!AM5)))</f>
        <v/>
      </c>
      <c r="AO15" s="60" t="str">
        <f aca="false">IF($B$14="","",IF(N(GanttCalc!AN5)-N(GanttCalc!AM5)&lt;=0,"",IF(N(GanttCalc!AN5)-N(GanttCalc!AM5)=1,"R"&amp;GanttCalc!AN5,"R"&amp;(GanttCalc!AM5+1)&amp;"-"&amp;GanttCalc!AN5)))</f>
        <v/>
      </c>
      <c r="AP15" s="60" t="str">
        <f aca="false">IF($B$14="","",IF(N(GanttCalc!AO5)-N(GanttCalc!AN5)&lt;=0,"",IF(N(GanttCalc!AO5)-N(GanttCalc!AN5)=1,"R"&amp;GanttCalc!AO5,"R"&amp;(GanttCalc!AN5+1)&amp;"-"&amp;GanttCalc!AO5)))</f>
        <v/>
      </c>
      <c r="AQ15" s="60" t="str">
        <f aca="false">IF($B$14="","",IF(N(GanttCalc!AP5)-N(GanttCalc!AO5)&lt;=0,"",IF(N(GanttCalc!AP5)-N(GanttCalc!AO5)=1,"R"&amp;GanttCalc!AP5,"R"&amp;(GanttCalc!AO5+1)&amp;"-"&amp;GanttCalc!AP5)))</f>
        <v/>
      </c>
      <c r="AR15" s="60" t="str">
        <f aca="false">IF($B$14="","",IF(N(GanttCalc!AQ5)-N(GanttCalc!AP5)&lt;=0,"",IF(N(GanttCalc!AQ5)-N(GanttCalc!AP5)=1,"R"&amp;GanttCalc!AQ5,"R"&amp;(GanttCalc!AP5+1)&amp;"-"&amp;GanttCalc!AQ5)))</f>
        <v/>
      </c>
      <c r="AS15" s="60" t="str">
        <f aca="false">IF($B$14="","",IF(N(GanttCalc!AR5)-N(GanttCalc!AQ5)&lt;=0,"",IF(N(GanttCalc!AR5)-N(GanttCalc!AQ5)=1,"R"&amp;GanttCalc!AR5,"R"&amp;(GanttCalc!AQ5+1)&amp;"-"&amp;GanttCalc!AR5)))</f>
        <v/>
      </c>
      <c r="AT15" s="60" t="str">
        <f aca="false">IF($B$14="","",IF(N(GanttCalc!AS5)-N(GanttCalc!AR5)&lt;=0,"",IF(N(GanttCalc!AS5)-N(GanttCalc!AR5)=1,"R"&amp;GanttCalc!AS5,"R"&amp;(GanttCalc!AR5+1)&amp;"-"&amp;GanttCalc!AS5)))</f>
        <v/>
      </c>
      <c r="AU15" s="60" t="str">
        <f aca="false">IF($B$14="","",IF(N(GanttCalc!AT5)-N(GanttCalc!AS5)&lt;=0,"",IF(N(GanttCalc!AT5)-N(GanttCalc!AS5)=1,"R"&amp;GanttCalc!AT5,"R"&amp;(GanttCalc!AS5+1)&amp;"-"&amp;GanttCalc!AT5)))</f>
        <v/>
      </c>
      <c r="AV15" s="60" t="str">
        <f aca="false">IF($B$14="","",IF(N(GanttCalc!AU5)-N(GanttCalc!AT5)&lt;=0,"",IF(N(GanttCalc!AU5)-N(GanttCalc!AT5)=1,"R"&amp;GanttCalc!AU5,"R"&amp;(GanttCalc!AT5+1)&amp;"-"&amp;GanttCalc!AU5)))</f>
        <v/>
      </c>
      <c r="AW15" s="60" t="str">
        <f aca="false">IF($B$14="","",IF(N(GanttCalc!AV5)-N(GanttCalc!AU5)&lt;=0,"",IF(N(GanttCalc!AV5)-N(GanttCalc!AU5)=1,"R"&amp;GanttCalc!AV5,"R"&amp;(GanttCalc!AU5+1)&amp;"-"&amp;GanttCalc!AV5)))</f>
        <v/>
      </c>
      <c r="AX15" s="60" t="str">
        <f aca="false">IF($B$14="","",IF(N(GanttCalc!AW5)-N(GanttCalc!AV5)&lt;=0,"",IF(N(GanttCalc!AW5)-N(GanttCalc!AV5)=1,"R"&amp;GanttCalc!AW5,"R"&amp;(GanttCalc!AV5+1)&amp;"-"&amp;GanttCalc!AW5)))</f>
        <v/>
      </c>
      <c r="AY15" s="60" t="str">
        <f aca="false">IF($B$14="","",IF(N(GanttCalc!AX5)-N(GanttCalc!AW5)&lt;=0,"",IF(N(GanttCalc!AX5)-N(GanttCalc!AW5)=1,"R"&amp;GanttCalc!AX5,"R"&amp;(GanttCalc!AW5+1)&amp;"-"&amp;GanttCalc!AX5)))</f>
        <v/>
      </c>
      <c r="AZ15" s="60" t="str">
        <f aca="false">IF($B$14="","",IF(N(GanttCalc!AY5)-N(GanttCalc!AX5)&lt;=0,"",IF(N(GanttCalc!AY5)-N(GanttCalc!AX5)=1,"R"&amp;GanttCalc!AY5,"R"&amp;(GanttCalc!AX5+1)&amp;"-"&amp;GanttCalc!AY5)))</f>
        <v/>
      </c>
      <c r="BA15" s="60" t="str">
        <f aca="false">IF($B$14="","",IF(N(GanttCalc!AZ5)-N(GanttCalc!AY5)&lt;=0,"",IF(N(GanttCalc!AZ5)-N(GanttCalc!AY5)=1,"R"&amp;GanttCalc!AZ5,"R"&amp;(GanttCalc!AY5+1)&amp;"-"&amp;GanttCalc!AZ5)))</f>
        <v/>
      </c>
      <c r="BB15" s="60" t="str">
        <f aca="false">IF($B$14="","",IF(N(GanttCalc!BA5)-N(GanttCalc!AZ5)&lt;=0,"",IF(N(GanttCalc!BA5)-N(GanttCalc!AZ5)=1,"R"&amp;GanttCalc!BA5,"R"&amp;(GanttCalc!AZ5+1)&amp;"-"&amp;GanttCalc!BA5)))</f>
        <v/>
      </c>
      <c r="BC15" s="60" t="str">
        <f aca="false">IF($B$14="","",IF(N(GanttCalc!BB5)-N(GanttCalc!BA5)&lt;=0,"",IF(N(GanttCalc!BB5)-N(GanttCalc!BA5)=1,"R"&amp;GanttCalc!BB5,"R"&amp;(GanttCalc!BA5+1)&amp;"-"&amp;GanttCalc!BB5)))</f>
        <v/>
      </c>
      <c r="BD15" s="60" t="str">
        <f aca="false">IF($B$14="","",IF(N(GanttCalc!BC5)-N(GanttCalc!BB5)&lt;=0,"",IF(N(GanttCalc!BC5)-N(GanttCalc!BB5)=1,"R"&amp;GanttCalc!BC5,"R"&amp;(GanttCalc!BB5+1)&amp;"-"&amp;GanttCalc!BC5)))</f>
        <v/>
      </c>
    </row>
    <row r="16" customFormat="false" ht="16.5" hidden="false" customHeight="true" outlineLevel="0" collapsed="false">
      <c r="B16" s="63" t="str">
        <f aca="false">IF(Contracts!$A$7="","",IF(Contracts!$I$7="","no kit list","kitted: "&amp;Contracts!$I$7&amp;" / "&amp;Contracts!$F$7))</f>
        <v>no kit list</v>
      </c>
      <c r="C16" s="64" t="str">
        <f aca="false">IF(Contracts!$A$7="","","Final build")</f>
        <v>Final build</v>
      </c>
      <c r="D16" s="59" t="str">
        <f aca="false">IF($B$14="","",SUMPRODUCT(--(E16:BD16&lt;&gt;""))&amp;" wks")</f>
        <v>0 wks</v>
      </c>
      <c r="E16" s="60" t="str">
        <f aca="false">IF($B$14="","",IF(N(GanttCalc!C5)-N(GanttCalc!B5)&lt;=0,"",IF(N(GanttCalc!C5)-N(GanttCalc!B5)=1,"R"&amp;GanttCalc!C5,"R"&amp;(GanttCalc!B5+1)&amp;"-"&amp;GanttCalc!C5)))</f>
        <v/>
      </c>
      <c r="F16" s="60" t="str">
        <f aca="false">IF($B$14="","",IF(N(GanttCalc!D5)-N(GanttCalc!C5)&lt;=0,"",IF(N(GanttCalc!D5)-N(GanttCalc!C5)=1,"R"&amp;GanttCalc!D5,"R"&amp;(GanttCalc!C5+1)&amp;"-"&amp;GanttCalc!D5)))</f>
        <v/>
      </c>
      <c r="G16" s="60" t="str">
        <f aca="false">IF($B$14="","",IF(N(GanttCalc!E5)-N(GanttCalc!D5)&lt;=0,"",IF(N(GanttCalc!E5)-N(GanttCalc!D5)=1,"R"&amp;GanttCalc!E5,"R"&amp;(GanttCalc!D5+1)&amp;"-"&amp;GanttCalc!E5)))</f>
        <v/>
      </c>
      <c r="H16" s="60" t="str">
        <f aca="false">IF($B$14="","",IF(N(GanttCalc!F5)-N(GanttCalc!E5)&lt;=0,"",IF(N(GanttCalc!F5)-N(GanttCalc!E5)=1,"R"&amp;GanttCalc!F5,"R"&amp;(GanttCalc!E5+1)&amp;"-"&amp;GanttCalc!F5)))</f>
        <v/>
      </c>
      <c r="I16" s="60" t="str">
        <f aca="false">IF($B$14="","",IF(N(GanttCalc!G5)-N(GanttCalc!F5)&lt;=0,"",IF(N(GanttCalc!G5)-N(GanttCalc!F5)=1,"R"&amp;GanttCalc!G5,"R"&amp;(GanttCalc!F5+1)&amp;"-"&amp;GanttCalc!G5)))</f>
        <v/>
      </c>
      <c r="J16" s="60" t="str">
        <f aca="false">IF($B$14="","",IF(N(GanttCalc!H5)-N(GanttCalc!G5)&lt;=0,"",IF(N(GanttCalc!H5)-N(GanttCalc!G5)=1,"R"&amp;GanttCalc!H5,"R"&amp;(GanttCalc!G5+1)&amp;"-"&amp;GanttCalc!H5)))</f>
        <v/>
      </c>
      <c r="K16" s="60" t="str">
        <f aca="false">IF($B$14="","",IF(N(GanttCalc!I5)-N(GanttCalc!H5)&lt;=0,"",IF(N(GanttCalc!I5)-N(GanttCalc!H5)=1,"R"&amp;GanttCalc!I5,"R"&amp;(GanttCalc!H5+1)&amp;"-"&amp;GanttCalc!I5)))</f>
        <v/>
      </c>
      <c r="L16" s="60" t="str">
        <f aca="false">IF($B$14="","",IF(N(GanttCalc!J5)-N(GanttCalc!I5)&lt;=0,"",IF(N(GanttCalc!J5)-N(GanttCalc!I5)=1,"R"&amp;GanttCalc!J5,"R"&amp;(GanttCalc!I5+1)&amp;"-"&amp;GanttCalc!J5)))</f>
        <v/>
      </c>
      <c r="M16" s="60" t="str">
        <f aca="false">IF($B$14="","",IF(N(GanttCalc!K5)-N(GanttCalc!J5)&lt;=0,"",IF(N(GanttCalc!K5)-N(GanttCalc!J5)=1,"R"&amp;GanttCalc!K5,"R"&amp;(GanttCalc!J5+1)&amp;"-"&amp;GanttCalc!K5)))</f>
        <v/>
      </c>
      <c r="N16" s="60" t="str">
        <f aca="false">IF($B$14="","",IF(N(GanttCalc!L5)-N(GanttCalc!K5)&lt;=0,"",IF(N(GanttCalc!L5)-N(GanttCalc!K5)=1,"R"&amp;GanttCalc!L5,"R"&amp;(GanttCalc!K5+1)&amp;"-"&amp;GanttCalc!L5)))</f>
        <v/>
      </c>
      <c r="O16" s="60" t="str">
        <f aca="false">IF($B$14="","",IF(N(GanttCalc!M5)-N(GanttCalc!L5)&lt;=0,"",IF(N(GanttCalc!M5)-N(GanttCalc!L5)=1,"R"&amp;GanttCalc!M5,"R"&amp;(GanttCalc!L5+1)&amp;"-"&amp;GanttCalc!M5)))</f>
        <v/>
      </c>
      <c r="P16" s="60" t="str">
        <f aca="false">IF($B$14="","",IF(N(GanttCalc!N5)-N(GanttCalc!M5)&lt;=0,"",IF(N(GanttCalc!N5)-N(GanttCalc!M5)=1,"R"&amp;GanttCalc!N5,"R"&amp;(GanttCalc!M5+1)&amp;"-"&amp;GanttCalc!N5)))</f>
        <v/>
      </c>
      <c r="Q16" s="60" t="str">
        <f aca="false">IF($B$14="","",IF(N(GanttCalc!O5)-N(GanttCalc!N5)&lt;=0,"",IF(N(GanttCalc!O5)-N(GanttCalc!N5)=1,"R"&amp;GanttCalc!O5,"R"&amp;(GanttCalc!N5+1)&amp;"-"&amp;GanttCalc!O5)))</f>
        <v/>
      </c>
      <c r="R16" s="60" t="str">
        <f aca="false">IF($B$14="","",IF(N(GanttCalc!P5)-N(GanttCalc!O5)&lt;=0,"",IF(N(GanttCalc!P5)-N(GanttCalc!O5)=1,"R"&amp;GanttCalc!P5,"R"&amp;(GanttCalc!O5+1)&amp;"-"&amp;GanttCalc!P5)))</f>
        <v/>
      </c>
      <c r="S16" s="60" t="str">
        <f aca="false">IF($B$14="","",IF(N(GanttCalc!Q5)-N(GanttCalc!P5)&lt;=0,"",IF(N(GanttCalc!Q5)-N(GanttCalc!P5)=1,"R"&amp;GanttCalc!Q5,"R"&amp;(GanttCalc!P5+1)&amp;"-"&amp;GanttCalc!Q5)))</f>
        <v/>
      </c>
      <c r="T16" s="60" t="str">
        <f aca="false">IF($B$14="","",IF(N(GanttCalc!R5)-N(GanttCalc!Q5)&lt;=0,"",IF(N(GanttCalc!R5)-N(GanttCalc!Q5)=1,"R"&amp;GanttCalc!R5,"R"&amp;(GanttCalc!Q5+1)&amp;"-"&amp;GanttCalc!R5)))</f>
        <v/>
      </c>
      <c r="U16" s="60" t="str">
        <f aca="false">IF($B$14="","",IF(N(GanttCalc!S5)-N(GanttCalc!R5)&lt;=0,"",IF(N(GanttCalc!S5)-N(GanttCalc!R5)=1,"R"&amp;GanttCalc!S5,"R"&amp;(GanttCalc!R5+1)&amp;"-"&amp;GanttCalc!S5)))</f>
        <v/>
      </c>
      <c r="V16" s="60" t="str">
        <f aca="false">IF($B$14="","",IF(N(GanttCalc!T5)-N(GanttCalc!S5)&lt;=0,"",IF(N(GanttCalc!T5)-N(GanttCalc!S5)=1,"R"&amp;GanttCalc!T5,"R"&amp;(GanttCalc!S5+1)&amp;"-"&amp;GanttCalc!T5)))</f>
        <v/>
      </c>
      <c r="W16" s="60" t="str">
        <f aca="false">IF($B$14="","",IF(N(GanttCalc!U5)-N(GanttCalc!T5)&lt;=0,"",IF(N(GanttCalc!U5)-N(GanttCalc!T5)=1,"R"&amp;GanttCalc!U5,"R"&amp;(GanttCalc!T5+1)&amp;"-"&amp;GanttCalc!U5)))</f>
        <v/>
      </c>
      <c r="X16" s="60" t="str">
        <f aca="false">IF($B$14="","",IF(N(GanttCalc!V5)-N(GanttCalc!U5)&lt;=0,"",IF(N(GanttCalc!V5)-N(GanttCalc!U5)=1,"R"&amp;GanttCalc!V5,"R"&amp;(GanttCalc!U5+1)&amp;"-"&amp;GanttCalc!V5)))</f>
        <v/>
      </c>
      <c r="Y16" s="60" t="str">
        <f aca="false">IF($B$14="","",IF(N(GanttCalc!W5)-N(GanttCalc!V5)&lt;=0,"",IF(N(GanttCalc!W5)-N(GanttCalc!V5)=1,"R"&amp;GanttCalc!W5,"R"&amp;(GanttCalc!V5+1)&amp;"-"&amp;GanttCalc!W5)))</f>
        <v/>
      </c>
      <c r="Z16" s="60" t="str">
        <f aca="false">IF($B$14="","",IF(N(GanttCalc!X5)-N(GanttCalc!W5)&lt;=0,"",IF(N(GanttCalc!X5)-N(GanttCalc!W5)=1,"R"&amp;GanttCalc!X5,"R"&amp;(GanttCalc!W5+1)&amp;"-"&amp;GanttCalc!X5)))</f>
        <v/>
      </c>
      <c r="AA16" s="60" t="str">
        <f aca="false">IF($B$14="","",IF(N(GanttCalc!Y5)-N(GanttCalc!X5)&lt;=0,"",IF(N(GanttCalc!Y5)-N(GanttCalc!X5)=1,"R"&amp;GanttCalc!Y5,"R"&amp;(GanttCalc!X5+1)&amp;"-"&amp;GanttCalc!Y5)))</f>
        <v/>
      </c>
      <c r="AB16" s="60" t="str">
        <f aca="false">IF($B$14="","",IF(N(GanttCalc!Z5)-N(GanttCalc!Y5)&lt;=0,"",IF(N(GanttCalc!Z5)-N(GanttCalc!Y5)=1,"R"&amp;GanttCalc!Z5,"R"&amp;(GanttCalc!Y5+1)&amp;"-"&amp;GanttCalc!Z5)))</f>
        <v/>
      </c>
      <c r="AC16" s="60" t="str">
        <f aca="false">IF($B$14="","",IF(N(GanttCalc!AA5)-N(GanttCalc!Z5)&lt;=0,"",IF(N(GanttCalc!AA5)-N(GanttCalc!Z5)=1,"R"&amp;GanttCalc!AA5,"R"&amp;(GanttCalc!Z5+1)&amp;"-"&amp;GanttCalc!AA5)))</f>
        <v/>
      </c>
      <c r="AD16" s="60" t="str">
        <f aca="false">IF($B$14="","",IF(N(GanttCalc!AB5)-N(GanttCalc!AA5)&lt;=0,"",IF(N(GanttCalc!AB5)-N(GanttCalc!AA5)=1,"R"&amp;GanttCalc!AB5,"R"&amp;(GanttCalc!AA5+1)&amp;"-"&amp;GanttCalc!AB5)))</f>
        <v/>
      </c>
      <c r="AE16" s="60" t="str">
        <f aca="false">IF($B$14="","",IF(N(GanttCalc!AC5)-N(GanttCalc!AB5)&lt;=0,"",IF(N(GanttCalc!AC5)-N(GanttCalc!AB5)=1,"R"&amp;GanttCalc!AC5,"R"&amp;(GanttCalc!AB5+1)&amp;"-"&amp;GanttCalc!AC5)))</f>
        <v/>
      </c>
      <c r="AF16" s="60" t="str">
        <f aca="false">IF($B$14="","",IF(N(GanttCalc!AD5)-N(GanttCalc!AC5)&lt;=0,"",IF(N(GanttCalc!AD5)-N(GanttCalc!AC5)=1,"R"&amp;GanttCalc!AD5,"R"&amp;(GanttCalc!AC5+1)&amp;"-"&amp;GanttCalc!AD5)))</f>
        <v/>
      </c>
      <c r="AG16" s="60" t="str">
        <f aca="false">IF($B$14="","",IF(N(GanttCalc!AE5)-N(GanttCalc!AD5)&lt;=0,"",IF(N(GanttCalc!AE5)-N(GanttCalc!AD5)=1,"R"&amp;GanttCalc!AE5,"R"&amp;(GanttCalc!AD5+1)&amp;"-"&amp;GanttCalc!AE5)))</f>
        <v/>
      </c>
      <c r="AH16" s="60" t="str">
        <f aca="false">IF($B$14="","",IF(N(GanttCalc!AF5)-N(GanttCalc!AE5)&lt;=0,"",IF(N(GanttCalc!AF5)-N(GanttCalc!AE5)=1,"R"&amp;GanttCalc!AF5,"R"&amp;(GanttCalc!AE5+1)&amp;"-"&amp;GanttCalc!AF5)))</f>
        <v/>
      </c>
      <c r="AI16" s="60" t="str">
        <f aca="false">IF($B$14="","",IF(N(GanttCalc!AG5)-N(GanttCalc!AF5)&lt;=0,"",IF(N(GanttCalc!AG5)-N(GanttCalc!AF5)=1,"R"&amp;GanttCalc!AG5,"R"&amp;(GanttCalc!AF5+1)&amp;"-"&amp;GanttCalc!AG5)))</f>
        <v/>
      </c>
      <c r="AJ16" s="60" t="str">
        <f aca="false">IF($B$14="","",IF(N(GanttCalc!AH5)-N(GanttCalc!AG5)&lt;=0,"",IF(N(GanttCalc!AH5)-N(GanttCalc!AG5)=1,"R"&amp;GanttCalc!AH5,"R"&amp;(GanttCalc!AG5+1)&amp;"-"&amp;GanttCalc!AH5)))</f>
        <v/>
      </c>
      <c r="AK16" s="60" t="str">
        <f aca="false">IF($B$14="","",IF(N(GanttCalc!AI5)-N(GanttCalc!AH5)&lt;=0,"",IF(N(GanttCalc!AI5)-N(GanttCalc!AH5)=1,"R"&amp;GanttCalc!AI5,"R"&amp;(GanttCalc!AH5+1)&amp;"-"&amp;GanttCalc!AI5)))</f>
        <v/>
      </c>
      <c r="AL16" s="60" t="str">
        <f aca="false">IF($B$14="","",IF(N(GanttCalc!AJ5)-N(GanttCalc!AI5)&lt;=0,"",IF(N(GanttCalc!AJ5)-N(GanttCalc!AI5)=1,"R"&amp;GanttCalc!AJ5,"R"&amp;(GanttCalc!AI5+1)&amp;"-"&amp;GanttCalc!AJ5)))</f>
        <v/>
      </c>
      <c r="AM16" s="60" t="str">
        <f aca="false">IF($B$14="","",IF(N(GanttCalc!AK5)-N(GanttCalc!AJ5)&lt;=0,"",IF(N(GanttCalc!AK5)-N(GanttCalc!AJ5)=1,"R"&amp;GanttCalc!AK5,"R"&amp;(GanttCalc!AJ5+1)&amp;"-"&amp;GanttCalc!AK5)))</f>
        <v/>
      </c>
      <c r="AN16" s="60" t="str">
        <f aca="false">IF($B$14="","",IF(N(GanttCalc!AL5)-N(GanttCalc!AK5)&lt;=0,"",IF(N(GanttCalc!AL5)-N(GanttCalc!AK5)=1,"R"&amp;GanttCalc!AL5,"R"&amp;(GanttCalc!AK5+1)&amp;"-"&amp;GanttCalc!AL5)))</f>
        <v/>
      </c>
      <c r="AO16" s="60" t="str">
        <f aca="false">IF($B$14="","",IF(N(GanttCalc!AM5)-N(GanttCalc!AL5)&lt;=0,"",IF(N(GanttCalc!AM5)-N(GanttCalc!AL5)=1,"R"&amp;GanttCalc!AM5,"R"&amp;(GanttCalc!AL5+1)&amp;"-"&amp;GanttCalc!AM5)))</f>
        <v/>
      </c>
      <c r="AP16" s="60" t="str">
        <f aca="false">IF($B$14="","",IF(N(GanttCalc!AN5)-N(GanttCalc!AM5)&lt;=0,"",IF(N(GanttCalc!AN5)-N(GanttCalc!AM5)=1,"R"&amp;GanttCalc!AN5,"R"&amp;(GanttCalc!AM5+1)&amp;"-"&amp;GanttCalc!AN5)))</f>
        <v/>
      </c>
      <c r="AQ16" s="60" t="str">
        <f aca="false">IF($B$14="","",IF(N(GanttCalc!AO5)-N(GanttCalc!AN5)&lt;=0,"",IF(N(GanttCalc!AO5)-N(GanttCalc!AN5)=1,"R"&amp;GanttCalc!AO5,"R"&amp;(GanttCalc!AN5+1)&amp;"-"&amp;GanttCalc!AO5)))</f>
        <v/>
      </c>
      <c r="AR16" s="60" t="str">
        <f aca="false">IF($B$14="","",IF(N(GanttCalc!AP5)-N(GanttCalc!AO5)&lt;=0,"",IF(N(GanttCalc!AP5)-N(GanttCalc!AO5)=1,"R"&amp;GanttCalc!AP5,"R"&amp;(GanttCalc!AO5+1)&amp;"-"&amp;GanttCalc!AP5)))</f>
        <v/>
      </c>
      <c r="AS16" s="60" t="str">
        <f aca="false">IF($B$14="","",IF(N(GanttCalc!AQ5)-N(GanttCalc!AP5)&lt;=0,"",IF(N(GanttCalc!AQ5)-N(GanttCalc!AP5)=1,"R"&amp;GanttCalc!AQ5,"R"&amp;(GanttCalc!AP5+1)&amp;"-"&amp;GanttCalc!AQ5)))</f>
        <v/>
      </c>
      <c r="AT16" s="60" t="str">
        <f aca="false">IF($B$14="","",IF(N(GanttCalc!AR5)-N(GanttCalc!AQ5)&lt;=0,"",IF(N(GanttCalc!AR5)-N(GanttCalc!AQ5)=1,"R"&amp;GanttCalc!AR5,"R"&amp;(GanttCalc!AQ5+1)&amp;"-"&amp;GanttCalc!AR5)))</f>
        <v/>
      </c>
      <c r="AU16" s="60" t="str">
        <f aca="false">IF($B$14="","",IF(N(GanttCalc!AS5)-N(GanttCalc!AR5)&lt;=0,"",IF(N(GanttCalc!AS5)-N(GanttCalc!AR5)=1,"R"&amp;GanttCalc!AS5,"R"&amp;(GanttCalc!AR5+1)&amp;"-"&amp;GanttCalc!AS5)))</f>
        <v/>
      </c>
      <c r="AV16" s="60" t="str">
        <f aca="false">IF($B$14="","",IF(N(GanttCalc!AT5)-N(GanttCalc!AS5)&lt;=0,"",IF(N(GanttCalc!AT5)-N(GanttCalc!AS5)=1,"R"&amp;GanttCalc!AT5,"R"&amp;(GanttCalc!AS5+1)&amp;"-"&amp;GanttCalc!AT5)))</f>
        <v/>
      </c>
      <c r="AW16" s="60" t="str">
        <f aca="false">IF($B$14="","",IF(N(GanttCalc!AU5)-N(GanttCalc!AT5)&lt;=0,"",IF(N(GanttCalc!AU5)-N(GanttCalc!AT5)=1,"R"&amp;GanttCalc!AU5,"R"&amp;(GanttCalc!AT5+1)&amp;"-"&amp;GanttCalc!AU5)))</f>
        <v/>
      </c>
      <c r="AX16" s="60" t="str">
        <f aca="false">IF($B$14="","",IF(N(GanttCalc!AV5)-N(GanttCalc!AU5)&lt;=0,"",IF(N(GanttCalc!AV5)-N(GanttCalc!AU5)=1,"R"&amp;GanttCalc!AV5,"R"&amp;(GanttCalc!AU5+1)&amp;"-"&amp;GanttCalc!AV5)))</f>
        <v/>
      </c>
      <c r="AY16" s="60" t="str">
        <f aca="false">IF($B$14="","",IF(N(GanttCalc!AW5)-N(GanttCalc!AV5)&lt;=0,"",IF(N(GanttCalc!AW5)-N(GanttCalc!AV5)=1,"R"&amp;GanttCalc!AW5,"R"&amp;(GanttCalc!AV5+1)&amp;"-"&amp;GanttCalc!AW5)))</f>
        <v/>
      </c>
      <c r="AZ16" s="60" t="str">
        <f aca="false">IF($B$14="","",IF(N(GanttCalc!AX5)-N(GanttCalc!AW5)&lt;=0,"",IF(N(GanttCalc!AX5)-N(GanttCalc!AW5)=1,"R"&amp;GanttCalc!AX5,"R"&amp;(GanttCalc!AW5+1)&amp;"-"&amp;GanttCalc!AX5)))</f>
        <v/>
      </c>
      <c r="BA16" s="60" t="str">
        <f aca="false">IF($B$14="","",IF(N(GanttCalc!AY5)-N(GanttCalc!AX5)&lt;=0,"",IF(N(GanttCalc!AY5)-N(GanttCalc!AX5)=1,"R"&amp;GanttCalc!AY5,"R"&amp;(GanttCalc!AX5+1)&amp;"-"&amp;GanttCalc!AY5)))</f>
        <v/>
      </c>
      <c r="BB16" s="60" t="str">
        <f aca="false">IF($B$14="","",IF(N(GanttCalc!AZ5)-N(GanttCalc!AY5)&lt;=0,"",IF(N(GanttCalc!AZ5)-N(GanttCalc!AY5)=1,"R"&amp;GanttCalc!AZ5,"R"&amp;(GanttCalc!AY5+1)&amp;"-"&amp;GanttCalc!AZ5)))</f>
        <v/>
      </c>
      <c r="BC16" s="60" t="str">
        <f aca="false">IF($B$14="","",IF(N(GanttCalc!BA5)-N(GanttCalc!AZ5)&lt;=0,"",IF(N(GanttCalc!BA5)-N(GanttCalc!AZ5)=1,"R"&amp;GanttCalc!BA5,"R"&amp;(GanttCalc!AZ5+1)&amp;"-"&amp;GanttCalc!BA5)))</f>
        <v/>
      </c>
      <c r="BD16" s="60" t="str">
        <f aca="false">IF($B$14="","",IF(N(GanttCalc!BB5)-N(GanttCalc!BA5)&lt;=0,"",IF(N(GanttCalc!BB5)-N(GanttCalc!BA5)=1,"R"&amp;GanttCalc!BB5,"R"&amp;(GanttCalc!BA5+1)&amp;"-"&amp;GanttCalc!BB5)))</f>
        <v/>
      </c>
    </row>
    <row r="17" customFormat="false" ht="6" hidden="false" customHeight="true" outlineLevel="0" collapsed="false"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customFormat="false" ht="16.5" hidden="false" customHeight="true" outlineLevel="0" collapsed="false">
      <c r="B18" s="32" t="str">
        <f aca="false">IF(Contracts!$A$8="","",Contracts!$A$8)</f>
        <v>E2A-R4P-T1-C</v>
      </c>
      <c r="C18" s="58" t="str">
        <f aca="false">IF(Contracts!$A$8="","","Kit release")</f>
        <v>Kit release</v>
      </c>
      <c r="D18" s="59" t="str">
        <f aca="false">IF($B$18="","",SUMPRODUCT(--(E18:BD18&lt;&gt;""))&amp;" wks")</f>
        <v>6 wks</v>
      </c>
      <c r="E18" s="60" t="str">
        <f aca="true">IF($B$18="","",IF(N(OFFSET(GanttCalc!$B$6,0,1+N(Contracts!$Q$8)))-N(OFFSET(GanttCalc!$B$6,0,0+N(Contracts!$Q$8)))&lt;=0,"",IF(N(OFFSET(GanttCalc!$B$6,0,1+N(Contracts!$Q$8)))-N(OFFSET(GanttCalc!$B$6,0,0+N(Contracts!$Q$8)))=1,"R"&amp;OFFSET(GanttCalc!$B$6,0,1+N(Contracts!$Q$8)),"R"&amp;(OFFSET(GanttCalc!$B$6,0,0+N(Contracts!$Q$8))+1)&amp;"-"&amp;OFFSET(GanttCalc!$B$6,0,1+N(Contracts!$Q$8)))))</f>
        <v/>
      </c>
      <c r="F18" s="60" t="str">
        <f aca="true">IF($B$18="","",IF(N(OFFSET(GanttCalc!$B$6,0,2+N(Contracts!$Q$8)))-N(OFFSET(GanttCalc!$B$6,0,1+N(Contracts!$Q$8)))&lt;=0,"",IF(N(OFFSET(GanttCalc!$B$6,0,2+N(Contracts!$Q$8)))-N(OFFSET(GanttCalc!$B$6,0,1+N(Contracts!$Q$8)))=1,"R"&amp;OFFSET(GanttCalc!$B$6,0,2+N(Contracts!$Q$8)),"R"&amp;(OFFSET(GanttCalc!$B$6,0,1+N(Contracts!$Q$8))+1)&amp;"-"&amp;OFFSET(GanttCalc!$B$6,0,2+N(Contracts!$Q$8)))))</f>
        <v/>
      </c>
      <c r="G18" s="60" t="str">
        <f aca="true">IF($B$18="","",IF(N(OFFSET(GanttCalc!$B$6,0,3+N(Contracts!$Q$8)))-N(OFFSET(GanttCalc!$B$6,0,2+N(Contracts!$Q$8)))&lt;=0,"",IF(N(OFFSET(GanttCalc!$B$6,0,3+N(Contracts!$Q$8)))-N(OFFSET(GanttCalc!$B$6,0,2+N(Contracts!$Q$8)))=1,"R"&amp;OFFSET(GanttCalc!$B$6,0,3+N(Contracts!$Q$8)),"R"&amp;(OFFSET(GanttCalc!$B$6,0,2+N(Contracts!$Q$8))+1)&amp;"-"&amp;OFFSET(GanttCalc!$B$6,0,3+N(Contracts!$Q$8)))))</f>
        <v/>
      </c>
      <c r="H18" s="60" t="str">
        <f aca="true">IF($B$18="","",IF(N(OFFSET(GanttCalc!$B$6,0,4+N(Contracts!$Q$8)))-N(OFFSET(GanttCalc!$B$6,0,3+N(Contracts!$Q$8)))&lt;=0,"",IF(N(OFFSET(GanttCalc!$B$6,0,4+N(Contracts!$Q$8)))-N(OFFSET(GanttCalc!$B$6,0,3+N(Contracts!$Q$8)))=1,"R"&amp;OFFSET(GanttCalc!$B$6,0,4+N(Contracts!$Q$8)),"R"&amp;(OFFSET(GanttCalc!$B$6,0,3+N(Contracts!$Q$8))+1)&amp;"-"&amp;OFFSET(GanttCalc!$B$6,0,4+N(Contracts!$Q$8)))))</f>
        <v/>
      </c>
      <c r="I18" s="60" t="str">
        <f aca="true">IF($B$18="","",IF(N(OFFSET(GanttCalc!$B$6,0,5+N(Contracts!$Q$8)))-N(OFFSET(GanttCalc!$B$6,0,4+N(Contracts!$Q$8)))&lt;=0,"",IF(N(OFFSET(GanttCalc!$B$6,0,5+N(Contracts!$Q$8)))-N(OFFSET(GanttCalc!$B$6,0,4+N(Contracts!$Q$8)))=1,"R"&amp;OFFSET(GanttCalc!$B$6,0,5+N(Contracts!$Q$8)),"R"&amp;(OFFSET(GanttCalc!$B$6,0,4+N(Contracts!$Q$8))+1)&amp;"-"&amp;OFFSET(GanttCalc!$B$6,0,5+N(Contracts!$Q$8)))))</f>
        <v/>
      </c>
      <c r="J18" s="60" t="str">
        <f aca="true">IF($B$18="","",IF(N(OFFSET(GanttCalc!$B$6,0,6+N(Contracts!$Q$8)))-N(OFFSET(GanttCalc!$B$6,0,5+N(Contracts!$Q$8)))&lt;=0,"",IF(N(OFFSET(GanttCalc!$B$6,0,6+N(Contracts!$Q$8)))-N(OFFSET(GanttCalc!$B$6,0,5+N(Contracts!$Q$8)))=1,"R"&amp;OFFSET(GanttCalc!$B$6,0,6+N(Contracts!$Q$8)),"R"&amp;(OFFSET(GanttCalc!$B$6,0,5+N(Contracts!$Q$8))+1)&amp;"-"&amp;OFFSET(GanttCalc!$B$6,0,6+N(Contracts!$Q$8)))))</f>
        <v/>
      </c>
      <c r="K18" s="60" t="str">
        <f aca="true">IF($B$18="","",IF(N(OFFSET(GanttCalc!$B$6,0,7+N(Contracts!$Q$8)))-N(OFFSET(GanttCalc!$B$6,0,6+N(Contracts!$Q$8)))&lt;=0,"",IF(N(OFFSET(GanttCalc!$B$6,0,7+N(Contracts!$Q$8)))-N(OFFSET(GanttCalc!$B$6,0,6+N(Contracts!$Q$8)))=1,"R"&amp;OFFSET(GanttCalc!$B$6,0,7+N(Contracts!$Q$8)),"R"&amp;(OFFSET(GanttCalc!$B$6,0,6+N(Contracts!$Q$8))+1)&amp;"-"&amp;OFFSET(GanttCalc!$B$6,0,7+N(Contracts!$Q$8)))))</f>
        <v/>
      </c>
      <c r="L18" s="60" t="str">
        <f aca="true">IF($B$18="","",IF(N(OFFSET(GanttCalc!$B$6,0,8+N(Contracts!$Q$8)))-N(OFFSET(GanttCalc!$B$6,0,7+N(Contracts!$Q$8)))&lt;=0,"",IF(N(OFFSET(GanttCalc!$B$6,0,8+N(Contracts!$Q$8)))-N(OFFSET(GanttCalc!$B$6,0,7+N(Contracts!$Q$8)))=1,"R"&amp;OFFSET(GanttCalc!$B$6,0,8+N(Contracts!$Q$8)),"R"&amp;(OFFSET(GanttCalc!$B$6,0,7+N(Contracts!$Q$8))+1)&amp;"-"&amp;OFFSET(GanttCalc!$B$6,0,8+N(Contracts!$Q$8)))))</f>
        <v/>
      </c>
      <c r="M18" s="60" t="str">
        <f aca="true">IF($B$18="","",IF(N(OFFSET(GanttCalc!$B$6,0,9+N(Contracts!$Q$8)))-N(OFFSET(GanttCalc!$B$6,0,8+N(Contracts!$Q$8)))&lt;=0,"",IF(N(OFFSET(GanttCalc!$B$6,0,9+N(Contracts!$Q$8)))-N(OFFSET(GanttCalc!$B$6,0,8+N(Contracts!$Q$8)))=1,"R"&amp;OFFSET(GanttCalc!$B$6,0,9+N(Contracts!$Q$8)),"R"&amp;(OFFSET(GanttCalc!$B$6,0,8+N(Contracts!$Q$8))+1)&amp;"-"&amp;OFFSET(GanttCalc!$B$6,0,9+N(Contracts!$Q$8)))))</f>
        <v/>
      </c>
      <c r="N18" s="60" t="str">
        <f aca="true">IF($B$18="","",IF(N(OFFSET(GanttCalc!$B$6,0,10+N(Contracts!$Q$8)))-N(OFFSET(GanttCalc!$B$6,0,9+N(Contracts!$Q$8)))&lt;=0,"",IF(N(OFFSET(GanttCalc!$B$6,0,10+N(Contracts!$Q$8)))-N(OFFSET(GanttCalc!$B$6,0,9+N(Contracts!$Q$8)))=1,"R"&amp;OFFSET(GanttCalc!$B$6,0,10+N(Contracts!$Q$8)),"R"&amp;(OFFSET(GanttCalc!$B$6,0,9+N(Contracts!$Q$8))+1)&amp;"-"&amp;OFFSET(GanttCalc!$B$6,0,10+N(Contracts!$Q$8)))))</f>
        <v>R1-5</v>
      </c>
      <c r="O18" s="60" t="str">
        <f aca="true">IF($B$18="","",IF(N(OFFSET(GanttCalc!$B$6,0,11+N(Contracts!$Q$8)))-N(OFFSET(GanttCalc!$B$6,0,10+N(Contracts!$Q$8)))&lt;=0,"",IF(N(OFFSET(GanttCalc!$B$6,0,11+N(Contracts!$Q$8)))-N(OFFSET(GanttCalc!$B$6,0,10+N(Contracts!$Q$8)))=1,"R"&amp;OFFSET(GanttCalc!$B$6,0,11+N(Contracts!$Q$8)),"R"&amp;(OFFSET(GanttCalc!$B$6,0,10+N(Contracts!$Q$8))+1)&amp;"-"&amp;OFFSET(GanttCalc!$B$6,0,11+N(Contracts!$Q$8)))))</f>
        <v>R6-11</v>
      </c>
      <c r="P18" s="60" t="str">
        <f aca="true">IF($B$18="","",IF(N(OFFSET(GanttCalc!$B$6,0,12+N(Contracts!$Q$8)))-N(OFFSET(GanttCalc!$B$6,0,11+N(Contracts!$Q$8)))&lt;=0,"",IF(N(OFFSET(GanttCalc!$B$6,0,12+N(Contracts!$Q$8)))-N(OFFSET(GanttCalc!$B$6,0,11+N(Contracts!$Q$8)))=1,"R"&amp;OFFSET(GanttCalc!$B$6,0,12+N(Contracts!$Q$8)),"R"&amp;(OFFSET(GanttCalc!$B$6,0,11+N(Contracts!$Q$8))+1)&amp;"-"&amp;OFFSET(GanttCalc!$B$6,0,12+N(Contracts!$Q$8)))))</f>
        <v>R12</v>
      </c>
      <c r="Q18" s="60" t="str">
        <f aca="true">IF($B$18="","",IF(N(OFFSET(GanttCalc!$B$6,0,13+N(Contracts!$Q$8)))-N(OFFSET(GanttCalc!$B$6,0,12+N(Contracts!$Q$8)))&lt;=0,"",IF(N(OFFSET(GanttCalc!$B$6,0,13+N(Contracts!$Q$8)))-N(OFFSET(GanttCalc!$B$6,0,12+N(Contracts!$Q$8)))=1,"R"&amp;OFFSET(GanttCalc!$B$6,0,13+N(Contracts!$Q$8)),"R"&amp;(OFFSET(GanttCalc!$B$6,0,12+N(Contracts!$Q$8))+1)&amp;"-"&amp;OFFSET(GanttCalc!$B$6,0,13+N(Contracts!$Q$8)))))</f>
        <v>R13-20</v>
      </c>
      <c r="R18" s="60" t="str">
        <f aca="true">IF($B$18="","",IF(N(OFFSET(GanttCalc!$B$6,0,14+N(Contracts!$Q$8)))-N(OFFSET(GanttCalc!$B$6,0,13+N(Contracts!$Q$8)))&lt;=0,"",IF(N(OFFSET(GanttCalc!$B$6,0,14+N(Contracts!$Q$8)))-N(OFFSET(GanttCalc!$B$6,0,13+N(Contracts!$Q$8)))=1,"R"&amp;OFFSET(GanttCalc!$B$6,0,14+N(Contracts!$Q$8)),"R"&amp;(OFFSET(GanttCalc!$B$6,0,13+N(Contracts!$Q$8))+1)&amp;"-"&amp;OFFSET(GanttCalc!$B$6,0,14+N(Contracts!$Q$8)))))</f>
        <v>R21-28</v>
      </c>
      <c r="S18" s="60" t="str">
        <f aca="true">IF($B$18="","",IF(N(OFFSET(GanttCalc!$B$6,0,15+N(Contracts!$Q$8)))-N(OFFSET(GanttCalc!$B$6,0,14+N(Contracts!$Q$8)))&lt;=0,"",IF(N(OFFSET(GanttCalc!$B$6,0,15+N(Contracts!$Q$8)))-N(OFFSET(GanttCalc!$B$6,0,14+N(Contracts!$Q$8)))=1,"R"&amp;OFFSET(GanttCalc!$B$6,0,15+N(Contracts!$Q$8)),"R"&amp;(OFFSET(GanttCalc!$B$6,0,14+N(Contracts!$Q$8))+1)&amp;"-"&amp;OFFSET(GanttCalc!$B$6,0,15+N(Contracts!$Q$8)))))</f>
        <v/>
      </c>
      <c r="T18" s="60" t="str">
        <f aca="true">IF($B$18="","",IF(N(OFFSET(GanttCalc!$B$6,0,16+N(Contracts!$Q$8)))-N(OFFSET(GanttCalc!$B$6,0,15+N(Contracts!$Q$8)))&lt;=0,"",IF(N(OFFSET(GanttCalc!$B$6,0,16+N(Contracts!$Q$8)))-N(OFFSET(GanttCalc!$B$6,0,15+N(Contracts!$Q$8)))=1,"R"&amp;OFFSET(GanttCalc!$B$6,0,16+N(Contracts!$Q$8)),"R"&amp;(OFFSET(GanttCalc!$B$6,0,15+N(Contracts!$Q$8))+1)&amp;"-"&amp;OFFSET(GanttCalc!$B$6,0,16+N(Contracts!$Q$8)))))</f>
        <v/>
      </c>
      <c r="U18" s="60" t="str">
        <f aca="true">IF($B$18="","",IF(N(OFFSET(GanttCalc!$B$6,0,17+N(Contracts!$Q$8)))-N(OFFSET(GanttCalc!$B$6,0,16+N(Contracts!$Q$8)))&lt;=0,"",IF(N(OFFSET(GanttCalc!$B$6,0,17+N(Contracts!$Q$8)))-N(OFFSET(GanttCalc!$B$6,0,16+N(Contracts!$Q$8)))=1,"R"&amp;OFFSET(GanttCalc!$B$6,0,17+N(Contracts!$Q$8)),"R"&amp;(OFFSET(GanttCalc!$B$6,0,16+N(Contracts!$Q$8))+1)&amp;"-"&amp;OFFSET(GanttCalc!$B$6,0,17+N(Contracts!$Q$8)))))</f>
        <v/>
      </c>
      <c r="V18" s="60" t="str">
        <f aca="true">IF($B$18="","",IF(N(OFFSET(GanttCalc!$B$6,0,18+N(Contracts!$Q$8)))-N(OFFSET(GanttCalc!$B$6,0,17+N(Contracts!$Q$8)))&lt;=0,"",IF(N(OFFSET(GanttCalc!$B$6,0,18+N(Contracts!$Q$8)))-N(OFFSET(GanttCalc!$B$6,0,17+N(Contracts!$Q$8)))=1,"R"&amp;OFFSET(GanttCalc!$B$6,0,18+N(Contracts!$Q$8)),"R"&amp;(OFFSET(GanttCalc!$B$6,0,17+N(Contracts!$Q$8))+1)&amp;"-"&amp;OFFSET(GanttCalc!$B$6,0,18+N(Contracts!$Q$8)))))</f>
        <v/>
      </c>
      <c r="W18" s="60" t="str">
        <f aca="true">IF($B$18="","",IF(N(OFFSET(GanttCalc!$B$6,0,19+N(Contracts!$Q$8)))-N(OFFSET(GanttCalc!$B$6,0,18+N(Contracts!$Q$8)))&lt;=0,"",IF(N(OFFSET(GanttCalc!$B$6,0,19+N(Contracts!$Q$8)))-N(OFFSET(GanttCalc!$B$6,0,18+N(Contracts!$Q$8)))=1,"R"&amp;OFFSET(GanttCalc!$B$6,0,19+N(Contracts!$Q$8)),"R"&amp;(OFFSET(GanttCalc!$B$6,0,18+N(Contracts!$Q$8))+1)&amp;"-"&amp;OFFSET(GanttCalc!$B$6,0,19+N(Contracts!$Q$8)))))</f>
        <v/>
      </c>
      <c r="X18" s="60" t="str">
        <f aca="true">IF($B$18="","",IF(N(OFFSET(GanttCalc!$B$6,0,20+N(Contracts!$Q$8)))-N(OFFSET(GanttCalc!$B$6,0,19+N(Contracts!$Q$8)))&lt;=0,"",IF(N(OFFSET(GanttCalc!$B$6,0,20+N(Contracts!$Q$8)))-N(OFFSET(GanttCalc!$B$6,0,19+N(Contracts!$Q$8)))=1,"R"&amp;OFFSET(GanttCalc!$B$6,0,20+N(Contracts!$Q$8)),"R"&amp;(OFFSET(GanttCalc!$B$6,0,19+N(Contracts!$Q$8))+1)&amp;"-"&amp;OFFSET(GanttCalc!$B$6,0,20+N(Contracts!$Q$8)))))</f>
        <v/>
      </c>
      <c r="Y18" s="60" t="str">
        <f aca="true">IF($B$18="","",IF(N(OFFSET(GanttCalc!$B$6,0,21+N(Contracts!$Q$8)))-N(OFFSET(GanttCalc!$B$6,0,20+N(Contracts!$Q$8)))&lt;=0,"",IF(N(OFFSET(GanttCalc!$B$6,0,21+N(Contracts!$Q$8)))-N(OFFSET(GanttCalc!$B$6,0,20+N(Contracts!$Q$8)))=1,"R"&amp;OFFSET(GanttCalc!$B$6,0,21+N(Contracts!$Q$8)),"R"&amp;(OFFSET(GanttCalc!$B$6,0,20+N(Contracts!$Q$8))+1)&amp;"-"&amp;OFFSET(GanttCalc!$B$6,0,21+N(Contracts!$Q$8)))))</f>
        <v>R29-39</v>
      </c>
      <c r="Z18" s="60" t="str">
        <f aca="true">IF($B$18="","",IF(N(OFFSET(GanttCalc!$B$6,0,22+N(Contracts!$Q$8)))-N(OFFSET(GanttCalc!$B$6,0,21+N(Contracts!$Q$8)))&lt;=0,"",IF(N(OFFSET(GanttCalc!$B$6,0,22+N(Contracts!$Q$8)))-N(OFFSET(GanttCalc!$B$6,0,21+N(Contracts!$Q$8)))=1,"R"&amp;OFFSET(GanttCalc!$B$6,0,22+N(Contracts!$Q$8)),"R"&amp;(OFFSET(GanttCalc!$B$6,0,21+N(Contracts!$Q$8))+1)&amp;"-"&amp;OFFSET(GanttCalc!$B$6,0,22+N(Contracts!$Q$8)))))</f>
        <v/>
      </c>
      <c r="AA18" s="60" t="str">
        <f aca="true">IF($B$18="","",IF(N(OFFSET(GanttCalc!$B$6,0,23+N(Contracts!$Q$8)))-N(OFFSET(GanttCalc!$B$6,0,22+N(Contracts!$Q$8)))&lt;=0,"",IF(N(OFFSET(GanttCalc!$B$6,0,23+N(Contracts!$Q$8)))-N(OFFSET(GanttCalc!$B$6,0,22+N(Contracts!$Q$8)))=1,"R"&amp;OFFSET(GanttCalc!$B$6,0,23+N(Contracts!$Q$8)),"R"&amp;(OFFSET(GanttCalc!$B$6,0,22+N(Contracts!$Q$8))+1)&amp;"-"&amp;OFFSET(GanttCalc!$B$6,0,23+N(Contracts!$Q$8)))))</f>
        <v/>
      </c>
      <c r="AB18" s="60" t="str">
        <f aca="true">IF($B$18="","",IF(N(OFFSET(GanttCalc!$B$6,0,24+N(Contracts!$Q$8)))-N(OFFSET(GanttCalc!$B$6,0,23+N(Contracts!$Q$8)))&lt;=0,"",IF(N(OFFSET(GanttCalc!$B$6,0,24+N(Contracts!$Q$8)))-N(OFFSET(GanttCalc!$B$6,0,23+N(Contracts!$Q$8)))=1,"R"&amp;OFFSET(GanttCalc!$B$6,0,24+N(Contracts!$Q$8)),"R"&amp;(OFFSET(GanttCalc!$B$6,0,23+N(Contracts!$Q$8))+1)&amp;"-"&amp;OFFSET(GanttCalc!$B$6,0,24+N(Contracts!$Q$8)))))</f>
        <v/>
      </c>
      <c r="AC18" s="60" t="str">
        <f aca="true">IF($B$18="","",IF(N(OFFSET(GanttCalc!$B$6,0,25+N(Contracts!$Q$8)))-N(OFFSET(GanttCalc!$B$6,0,24+N(Contracts!$Q$8)))&lt;=0,"",IF(N(OFFSET(GanttCalc!$B$6,0,25+N(Contracts!$Q$8)))-N(OFFSET(GanttCalc!$B$6,0,24+N(Contracts!$Q$8)))=1,"R"&amp;OFFSET(GanttCalc!$B$6,0,25+N(Contracts!$Q$8)),"R"&amp;(OFFSET(GanttCalc!$B$6,0,24+N(Contracts!$Q$8))+1)&amp;"-"&amp;OFFSET(GanttCalc!$B$6,0,25+N(Contracts!$Q$8)))))</f>
        <v/>
      </c>
      <c r="AD18" s="60" t="str">
        <f aca="true">IF($B$18="","",IF(N(OFFSET(GanttCalc!$B$6,0,26+N(Contracts!$Q$8)))-N(OFFSET(GanttCalc!$B$6,0,25+N(Contracts!$Q$8)))&lt;=0,"",IF(N(OFFSET(GanttCalc!$B$6,0,26+N(Contracts!$Q$8)))-N(OFFSET(GanttCalc!$B$6,0,25+N(Contracts!$Q$8)))=1,"R"&amp;OFFSET(GanttCalc!$B$6,0,26+N(Contracts!$Q$8)),"R"&amp;(OFFSET(GanttCalc!$B$6,0,25+N(Contracts!$Q$8))+1)&amp;"-"&amp;OFFSET(GanttCalc!$B$6,0,26+N(Contracts!$Q$8)))))</f>
        <v/>
      </c>
      <c r="AE18" s="60" t="str">
        <f aca="true">IF($B$18="","",IF(N(OFFSET(GanttCalc!$B$6,0,27+N(Contracts!$Q$8)))-N(OFFSET(GanttCalc!$B$6,0,26+N(Contracts!$Q$8)))&lt;=0,"",IF(N(OFFSET(GanttCalc!$B$6,0,27+N(Contracts!$Q$8)))-N(OFFSET(GanttCalc!$B$6,0,26+N(Contracts!$Q$8)))=1,"R"&amp;OFFSET(GanttCalc!$B$6,0,27+N(Contracts!$Q$8)),"R"&amp;(OFFSET(GanttCalc!$B$6,0,26+N(Contracts!$Q$8))+1)&amp;"-"&amp;OFFSET(GanttCalc!$B$6,0,27+N(Contracts!$Q$8)))))</f>
        <v/>
      </c>
      <c r="AF18" s="60" t="str">
        <f aca="true">IF($B$18="","",IF(N(OFFSET(GanttCalc!$B$6,0,28+N(Contracts!$Q$8)))-N(OFFSET(GanttCalc!$B$6,0,27+N(Contracts!$Q$8)))&lt;=0,"",IF(N(OFFSET(GanttCalc!$B$6,0,28+N(Contracts!$Q$8)))-N(OFFSET(GanttCalc!$B$6,0,27+N(Contracts!$Q$8)))=1,"R"&amp;OFFSET(GanttCalc!$B$6,0,28+N(Contracts!$Q$8)),"R"&amp;(OFFSET(GanttCalc!$B$6,0,27+N(Contracts!$Q$8))+1)&amp;"-"&amp;OFFSET(GanttCalc!$B$6,0,28+N(Contracts!$Q$8)))))</f>
        <v/>
      </c>
      <c r="AG18" s="60" t="str">
        <f aca="true">IF($B$18="","",IF(N(OFFSET(GanttCalc!$B$6,0,29+N(Contracts!$Q$8)))-N(OFFSET(GanttCalc!$B$6,0,28+N(Contracts!$Q$8)))&lt;=0,"",IF(N(OFFSET(GanttCalc!$B$6,0,29+N(Contracts!$Q$8)))-N(OFFSET(GanttCalc!$B$6,0,28+N(Contracts!$Q$8)))=1,"R"&amp;OFFSET(GanttCalc!$B$6,0,29+N(Contracts!$Q$8)),"R"&amp;(OFFSET(GanttCalc!$B$6,0,28+N(Contracts!$Q$8))+1)&amp;"-"&amp;OFFSET(GanttCalc!$B$6,0,29+N(Contracts!$Q$8)))))</f>
        <v/>
      </c>
      <c r="AH18" s="60" t="str">
        <f aca="true">IF($B$18="","",IF(N(OFFSET(GanttCalc!$B$6,0,30+N(Contracts!$Q$8)))-N(OFFSET(GanttCalc!$B$6,0,29+N(Contracts!$Q$8)))&lt;=0,"",IF(N(OFFSET(GanttCalc!$B$6,0,30+N(Contracts!$Q$8)))-N(OFFSET(GanttCalc!$B$6,0,29+N(Contracts!$Q$8)))=1,"R"&amp;OFFSET(GanttCalc!$B$6,0,30+N(Contracts!$Q$8)),"R"&amp;(OFFSET(GanttCalc!$B$6,0,29+N(Contracts!$Q$8))+1)&amp;"-"&amp;OFFSET(GanttCalc!$B$6,0,30+N(Contracts!$Q$8)))))</f>
        <v/>
      </c>
      <c r="AI18" s="60" t="str">
        <f aca="true">IF($B$18="","",IF(N(OFFSET(GanttCalc!$B$6,0,31+N(Contracts!$Q$8)))-N(OFFSET(GanttCalc!$B$6,0,30+N(Contracts!$Q$8)))&lt;=0,"",IF(N(OFFSET(GanttCalc!$B$6,0,31+N(Contracts!$Q$8)))-N(OFFSET(GanttCalc!$B$6,0,30+N(Contracts!$Q$8)))=1,"R"&amp;OFFSET(GanttCalc!$B$6,0,31+N(Contracts!$Q$8)),"R"&amp;(OFFSET(GanttCalc!$B$6,0,30+N(Contracts!$Q$8))+1)&amp;"-"&amp;OFFSET(GanttCalc!$B$6,0,31+N(Contracts!$Q$8)))))</f>
        <v/>
      </c>
      <c r="AJ18" s="60" t="str">
        <f aca="true">IF($B$18="","",IF(N(OFFSET(GanttCalc!$B$6,0,32+N(Contracts!$Q$8)))-N(OFFSET(GanttCalc!$B$6,0,31+N(Contracts!$Q$8)))&lt;=0,"",IF(N(OFFSET(GanttCalc!$B$6,0,32+N(Contracts!$Q$8)))-N(OFFSET(GanttCalc!$B$6,0,31+N(Contracts!$Q$8)))=1,"R"&amp;OFFSET(GanttCalc!$B$6,0,32+N(Contracts!$Q$8)),"R"&amp;(OFFSET(GanttCalc!$B$6,0,31+N(Contracts!$Q$8))+1)&amp;"-"&amp;OFFSET(GanttCalc!$B$6,0,32+N(Contracts!$Q$8)))))</f>
        <v/>
      </c>
      <c r="AK18" s="60" t="str">
        <f aca="true">IF($B$18="","",IF(N(OFFSET(GanttCalc!$B$6,0,33+N(Contracts!$Q$8)))-N(OFFSET(GanttCalc!$B$6,0,32+N(Contracts!$Q$8)))&lt;=0,"",IF(N(OFFSET(GanttCalc!$B$6,0,33+N(Contracts!$Q$8)))-N(OFFSET(GanttCalc!$B$6,0,32+N(Contracts!$Q$8)))=1,"R"&amp;OFFSET(GanttCalc!$B$6,0,33+N(Contracts!$Q$8)),"R"&amp;(OFFSET(GanttCalc!$B$6,0,32+N(Contracts!$Q$8))+1)&amp;"-"&amp;OFFSET(GanttCalc!$B$6,0,33+N(Contracts!$Q$8)))))</f>
        <v/>
      </c>
      <c r="AL18" s="60" t="str">
        <f aca="true">IF($B$18="","",IF(N(OFFSET(GanttCalc!$B$6,0,34+N(Contracts!$Q$8)))-N(OFFSET(GanttCalc!$B$6,0,33+N(Contracts!$Q$8)))&lt;=0,"",IF(N(OFFSET(GanttCalc!$B$6,0,34+N(Contracts!$Q$8)))-N(OFFSET(GanttCalc!$B$6,0,33+N(Contracts!$Q$8)))=1,"R"&amp;OFFSET(GanttCalc!$B$6,0,34+N(Contracts!$Q$8)),"R"&amp;(OFFSET(GanttCalc!$B$6,0,33+N(Contracts!$Q$8))+1)&amp;"-"&amp;OFFSET(GanttCalc!$B$6,0,34+N(Contracts!$Q$8)))))</f>
        <v/>
      </c>
      <c r="AM18" s="60" t="str">
        <f aca="true">IF($B$18="","",IF(N(OFFSET(GanttCalc!$B$6,0,35+N(Contracts!$Q$8)))-N(OFFSET(GanttCalc!$B$6,0,34+N(Contracts!$Q$8)))&lt;=0,"",IF(N(OFFSET(GanttCalc!$B$6,0,35+N(Contracts!$Q$8)))-N(OFFSET(GanttCalc!$B$6,0,34+N(Contracts!$Q$8)))=1,"R"&amp;OFFSET(GanttCalc!$B$6,0,35+N(Contracts!$Q$8)),"R"&amp;(OFFSET(GanttCalc!$B$6,0,34+N(Contracts!$Q$8))+1)&amp;"-"&amp;OFFSET(GanttCalc!$B$6,0,35+N(Contracts!$Q$8)))))</f>
        <v/>
      </c>
      <c r="AN18" s="60" t="str">
        <f aca="true">IF($B$18="","",IF(N(OFFSET(GanttCalc!$B$6,0,36+N(Contracts!$Q$8)))-N(OFFSET(GanttCalc!$B$6,0,35+N(Contracts!$Q$8)))&lt;=0,"",IF(N(OFFSET(GanttCalc!$B$6,0,36+N(Contracts!$Q$8)))-N(OFFSET(GanttCalc!$B$6,0,35+N(Contracts!$Q$8)))=1,"R"&amp;OFFSET(GanttCalc!$B$6,0,36+N(Contracts!$Q$8)),"R"&amp;(OFFSET(GanttCalc!$B$6,0,35+N(Contracts!$Q$8))+1)&amp;"-"&amp;OFFSET(GanttCalc!$B$6,0,36+N(Contracts!$Q$8)))))</f>
        <v/>
      </c>
      <c r="AO18" s="60" t="str">
        <f aca="true">IF($B$18="","",IF(N(OFFSET(GanttCalc!$B$6,0,37+N(Contracts!$Q$8)))-N(OFFSET(GanttCalc!$B$6,0,36+N(Contracts!$Q$8)))&lt;=0,"",IF(N(OFFSET(GanttCalc!$B$6,0,37+N(Contracts!$Q$8)))-N(OFFSET(GanttCalc!$B$6,0,36+N(Contracts!$Q$8)))=1,"R"&amp;OFFSET(GanttCalc!$B$6,0,37+N(Contracts!$Q$8)),"R"&amp;(OFFSET(GanttCalc!$B$6,0,36+N(Contracts!$Q$8))+1)&amp;"-"&amp;OFFSET(GanttCalc!$B$6,0,37+N(Contracts!$Q$8)))))</f>
        <v/>
      </c>
      <c r="AP18" s="60" t="str">
        <f aca="true">IF($B$18="","",IF(N(OFFSET(GanttCalc!$B$6,0,38+N(Contracts!$Q$8)))-N(OFFSET(GanttCalc!$B$6,0,37+N(Contracts!$Q$8)))&lt;=0,"",IF(N(OFFSET(GanttCalc!$B$6,0,38+N(Contracts!$Q$8)))-N(OFFSET(GanttCalc!$B$6,0,37+N(Contracts!$Q$8)))=1,"R"&amp;OFFSET(GanttCalc!$B$6,0,38+N(Contracts!$Q$8)),"R"&amp;(OFFSET(GanttCalc!$B$6,0,37+N(Contracts!$Q$8))+1)&amp;"-"&amp;OFFSET(GanttCalc!$B$6,0,38+N(Contracts!$Q$8)))))</f>
        <v/>
      </c>
      <c r="AQ18" s="60" t="str">
        <f aca="true">IF($B$18="","",IF(N(OFFSET(GanttCalc!$B$6,0,39+N(Contracts!$Q$8)))-N(OFFSET(GanttCalc!$B$6,0,38+N(Contracts!$Q$8)))&lt;=0,"",IF(N(OFFSET(GanttCalc!$B$6,0,39+N(Contracts!$Q$8)))-N(OFFSET(GanttCalc!$B$6,0,38+N(Contracts!$Q$8)))=1,"R"&amp;OFFSET(GanttCalc!$B$6,0,39+N(Contracts!$Q$8)),"R"&amp;(OFFSET(GanttCalc!$B$6,0,38+N(Contracts!$Q$8))+1)&amp;"-"&amp;OFFSET(GanttCalc!$B$6,0,39+N(Contracts!$Q$8)))))</f>
        <v/>
      </c>
      <c r="AR18" s="60" t="str">
        <f aca="true">IF($B$18="","",IF(N(OFFSET(GanttCalc!$B$6,0,40+N(Contracts!$Q$8)))-N(OFFSET(GanttCalc!$B$6,0,39+N(Contracts!$Q$8)))&lt;=0,"",IF(N(OFFSET(GanttCalc!$B$6,0,40+N(Contracts!$Q$8)))-N(OFFSET(GanttCalc!$B$6,0,39+N(Contracts!$Q$8)))=1,"R"&amp;OFFSET(GanttCalc!$B$6,0,40+N(Contracts!$Q$8)),"R"&amp;(OFFSET(GanttCalc!$B$6,0,39+N(Contracts!$Q$8))+1)&amp;"-"&amp;OFFSET(GanttCalc!$B$6,0,40+N(Contracts!$Q$8)))))</f>
        <v/>
      </c>
      <c r="AS18" s="60" t="str">
        <f aca="true">IF($B$18="","",IF(N(OFFSET(GanttCalc!$B$6,0,41+N(Contracts!$Q$8)))-N(OFFSET(GanttCalc!$B$6,0,40+N(Contracts!$Q$8)))&lt;=0,"",IF(N(OFFSET(GanttCalc!$B$6,0,41+N(Contracts!$Q$8)))-N(OFFSET(GanttCalc!$B$6,0,40+N(Contracts!$Q$8)))=1,"R"&amp;OFFSET(GanttCalc!$B$6,0,41+N(Contracts!$Q$8)),"R"&amp;(OFFSET(GanttCalc!$B$6,0,40+N(Contracts!$Q$8))+1)&amp;"-"&amp;OFFSET(GanttCalc!$B$6,0,41+N(Contracts!$Q$8)))))</f>
        <v/>
      </c>
      <c r="AT18" s="60" t="str">
        <f aca="true">IF($B$18="","",IF(N(OFFSET(GanttCalc!$B$6,0,42+N(Contracts!$Q$8)))-N(OFFSET(GanttCalc!$B$6,0,41+N(Contracts!$Q$8)))&lt;=0,"",IF(N(OFFSET(GanttCalc!$B$6,0,42+N(Contracts!$Q$8)))-N(OFFSET(GanttCalc!$B$6,0,41+N(Contracts!$Q$8)))=1,"R"&amp;OFFSET(GanttCalc!$B$6,0,42+N(Contracts!$Q$8)),"R"&amp;(OFFSET(GanttCalc!$B$6,0,41+N(Contracts!$Q$8))+1)&amp;"-"&amp;OFFSET(GanttCalc!$B$6,0,42+N(Contracts!$Q$8)))))</f>
        <v/>
      </c>
      <c r="AU18" s="60" t="str">
        <f aca="true">IF($B$18="","",IF(N(OFFSET(GanttCalc!$B$6,0,43+N(Contracts!$Q$8)))-N(OFFSET(GanttCalc!$B$6,0,42+N(Contracts!$Q$8)))&lt;=0,"",IF(N(OFFSET(GanttCalc!$B$6,0,43+N(Contracts!$Q$8)))-N(OFFSET(GanttCalc!$B$6,0,42+N(Contracts!$Q$8)))=1,"R"&amp;OFFSET(GanttCalc!$B$6,0,43+N(Contracts!$Q$8)),"R"&amp;(OFFSET(GanttCalc!$B$6,0,42+N(Contracts!$Q$8))+1)&amp;"-"&amp;OFFSET(GanttCalc!$B$6,0,43+N(Contracts!$Q$8)))))</f>
        <v/>
      </c>
      <c r="AV18" s="60" t="str">
        <f aca="true">IF($B$18="","",IF(N(OFFSET(GanttCalc!$B$6,0,44+N(Contracts!$Q$8)))-N(OFFSET(GanttCalc!$B$6,0,43+N(Contracts!$Q$8)))&lt;=0,"",IF(N(OFFSET(GanttCalc!$B$6,0,44+N(Contracts!$Q$8)))-N(OFFSET(GanttCalc!$B$6,0,43+N(Contracts!$Q$8)))=1,"R"&amp;OFFSET(GanttCalc!$B$6,0,44+N(Contracts!$Q$8)),"R"&amp;(OFFSET(GanttCalc!$B$6,0,43+N(Contracts!$Q$8))+1)&amp;"-"&amp;OFFSET(GanttCalc!$B$6,0,44+N(Contracts!$Q$8)))))</f>
        <v/>
      </c>
      <c r="AW18" s="60" t="str">
        <f aca="true">IF($B$18="","",IF(N(OFFSET(GanttCalc!$B$6,0,45+N(Contracts!$Q$8)))-N(OFFSET(GanttCalc!$B$6,0,44+N(Contracts!$Q$8)))&lt;=0,"",IF(N(OFFSET(GanttCalc!$B$6,0,45+N(Contracts!$Q$8)))-N(OFFSET(GanttCalc!$B$6,0,44+N(Contracts!$Q$8)))=1,"R"&amp;OFFSET(GanttCalc!$B$6,0,45+N(Contracts!$Q$8)),"R"&amp;(OFFSET(GanttCalc!$B$6,0,44+N(Contracts!$Q$8))+1)&amp;"-"&amp;OFFSET(GanttCalc!$B$6,0,45+N(Contracts!$Q$8)))))</f>
        <v/>
      </c>
      <c r="AX18" s="60" t="str">
        <f aca="true">IF($B$18="","",IF(N(OFFSET(GanttCalc!$B$6,0,46+N(Contracts!$Q$8)))-N(OFFSET(GanttCalc!$B$6,0,45+N(Contracts!$Q$8)))&lt;=0,"",IF(N(OFFSET(GanttCalc!$B$6,0,46+N(Contracts!$Q$8)))-N(OFFSET(GanttCalc!$B$6,0,45+N(Contracts!$Q$8)))=1,"R"&amp;OFFSET(GanttCalc!$B$6,0,46+N(Contracts!$Q$8)),"R"&amp;(OFFSET(GanttCalc!$B$6,0,45+N(Contracts!$Q$8))+1)&amp;"-"&amp;OFFSET(GanttCalc!$B$6,0,46+N(Contracts!$Q$8)))))</f>
        <v/>
      </c>
      <c r="AY18" s="60" t="str">
        <f aca="true">IF($B$18="","",IF(N(OFFSET(GanttCalc!$B$6,0,47+N(Contracts!$Q$8)))-N(OFFSET(GanttCalc!$B$6,0,46+N(Contracts!$Q$8)))&lt;=0,"",IF(N(OFFSET(GanttCalc!$B$6,0,47+N(Contracts!$Q$8)))-N(OFFSET(GanttCalc!$B$6,0,46+N(Contracts!$Q$8)))=1,"R"&amp;OFFSET(GanttCalc!$B$6,0,47+N(Contracts!$Q$8)),"R"&amp;(OFFSET(GanttCalc!$B$6,0,46+N(Contracts!$Q$8))+1)&amp;"-"&amp;OFFSET(GanttCalc!$B$6,0,47+N(Contracts!$Q$8)))))</f>
        <v/>
      </c>
      <c r="AZ18" s="60" t="str">
        <f aca="true">IF($B$18="","",IF(N(OFFSET(GanttCalc!$B$6,0,48+N(Contracts!$Q$8)))-N(OFFSET(GanttCalc!$B$6,0,47+N(Contracts!$Q$8)))&lt;=0,"",IF(N(OFFSET(GanttCalc!$B$6,0,48+N(Contracts!$Q$8)))-N(OFFSET(GanttCalc!$B$6,0,47+N(Contracts!$Q$8)))=1,"R"&amp;OFFSET(GanttCalc!$B$6,0,48+N(Contracts!$Q$8)),"R"&amp;(OFFSET(GanttCalc!$B$6,0,47+N(Contracts!$Q$8))+1)&amp;"-"&amp;OFFSET(GanttCalc!$B$6,0,48+N(Contracts!$Q$8)))))</f>
        <v/>
      </c>
      <c r="BA18" s="60" t="str">
        <f aca="true">IF($B$18="","",IF(N(OFFSET(GanttCalc!$B$6,0,49+N(Contracts!$Q$8)))-N(OFFSET(GanttCalc!$B$6,0,48+N(Contracts!$Q$8)))&lt;=0,"",IF(N(OFFSET(GanttCalc!$B$6,0,49+N(Contracts!$Q$8)))-N(OFFSET(GanttCalc!$B$6,0,48+N(Contracts!$Q$8)))=1,"R"&amp;OFFSET(GanttCalc!$B$6,0,49+N(Contracts!$Q$8)),"R"&amp;(OFFSET(GanttCalc!$B$6,0,48+N(Contracts!$Q$8))+1)&amp;"-"&amp;OFFSET(GanttCalc!$B$6,0,49+N(Contracts!$Q$8)))))</f>
        <v/>
      </c>
      <c r="BB18" s="60" t="str">
        <f aca="true">IF($B$18="","",IF(N(OFFSET(GanttCalc!$B$6,0,50+N(Contracts!$Q$8)))-N(OFFSET(GanttCalc!$B$6,0,49+N(Contracts!$Q$8)))&lt;=0,"",IF(N(OFFSET(GanttCalc!$B$6,0,50+N(Contracts!$Q$8)))-N(OFFSET(GanttCalc!$B$6,0,49+N(Contracts!$Q$8)))=1,"R"&amp;OFFSET(GanttCalc!$B$6,0,50+N(Contracts!$Q$8)),"R"&amp;(OFFSET(GanttCalc!$B$6,0,49+N(Contracts!$Q$8))+1)&amp;"-"&amp;OFFSET(GanttCalc!$B$6,0,50+N(Contracts!$Q$8)))))</f>
        <v/>
      </c>
      <c r="BC18" s="60" t="str">
        <f aca="true">IF($B$18="","",IF(N(OFFSET(GanttCalc!$B$6,0,51+N(Contracts!$Q$8)))-N(OFFSET(GanttCalc!$B$6,0,50+N(Contracts!$Q$8)))&lt;=0,"",IF(N(OFFSET(GanttCalc!$B$6,0,51+N(Contracts!$Q$8)))-N(OFFSET(GanttCalc!$B$6,0,50+N(Contracts!$Q$8)))=1,"R"&amp;OFFSET(GanttCalc!$B$6,0,51+N(Contracts!$Q$8)),"R"&amp;(OFFSET(GanttCalc!$B$6,0,50+N(Contracts!$Q$8))+1)&amp;"-"&amp;OFFSET(GanttCalc!$B$6,0,51+N(Contracts!$Q$8)))))</f>
        <v/>
      </c>
      <c r="BD18" s="60" t="str">
        <f aca="true">IF($B$18="","",IF(N(OFFSET(GanttCalc!$B$6,0,52+N(Contracts!$Q$8)))-N(OFFSET(GanttCalc!$B$6,0,51+N(Contracts!$Q$8)))&lt;=0,"",IF(N(OFFSET(GanttCalc!$B$6,0,52+N(Contracts!$Q$8)))-N(OFFSET(GanttCalc!$B$6,0,51+N(Contracts!$Q$8)))=1,"R"&amp;OFFSET(GanttCalc!$B$6,0,52+N(Contracts!$Q$8)),"R"&amp;(OFFSET(GanttCalc!$B$6,0,51+N(Contracts!$Q$8))+1)&amp;"-"&amp;OFFSET(GanttCalc!$B$6,0,52+N(Contracts!$Q$8)))))</f>
        <v/>
      </c>
    </row>
    <row r="19" customFormat="false" ht="16.5" hidden="false" customHeight="true" outlineLevel="0" collapsed="false">
      <c r="B19" s="61" t="str">
        <f aca="false">IF(Contracts!$A$8="","",Contracts!$C$8)</f>
        <v>92ERP04548A++</v>
      </c>
      <c r="C19" s="62" t="str">
        <f aca="false">IF(Contracts!$A$8="","","AMPS build")</f>
        <v>AMPS build</v>
      </c>
      <c r="D19" s="59" t="str">
        <f aca="false">IF($B$18="","",SUMPRODUCT(--(E19:BD19&lt;&gt;""))&amp;" wks")</f>
        <v>6 wks</v>
      </c>
      <c r="E19" s="60" t="str">
        <f aca="false">IF($B$18="","",IF(N(GanttCalc!D6)-N(GanttCalc!C6)&lt;=0,"",IF(N(GanttCalc!D6)-N(GanttCalc!C6)=1,"R"&amp;GanttCalc!D6,"R"&amp;(GanttCalc!C6+1)&amp;"-"&amp;GanttCalc!D6)))</f>
        <v/>
      </c>
      <c r="F19" s="60" t="str">
        <f aca="false">IF($B$18="","",IF(N(GanttCalc!E6)-N(GanttCalc!D6)&lt;=0,"",IF(N(GanttCalc!E6)-N(GanttCalc!D6)=1,"R"&amp;GanttCalc!E6,"R"&amp;(GanttCalc!D6+1)&amp;"-"&amp;GanttCalc!E6)))</f>
        <v/>
      </c>
      <c r="G19" s="60" t="str">
        <f aca="false">IF($B$18="","",IF(N(GanttCalc!F6)-N(GanttCalc!E6)&lt;=0,"",IF(N(GanttCalc!F6)-N(GanttCalc!E6)=1,"R"&amp;GanttCalc!F6,"R"&amp;(GanttCalc!E6+1)&amp;"-"&amp;GanttCalc!F6)))</f>
        <v/>
      </c>
      <c r="H19" s="60" t="str">
        <f aca="false">IF($B$18="","",IF(N(GanttCalc!G6)-N(GanttCalc!F6)&lt;=0,"",IF(N(GanttCalc!G6)-N(GanttCalc!F6)=1,"R"&amp;GanttCalc!G6,"R"&amp;(GanttCalc!F6+1)&amp;"-"&amp;GanttCalc!G6)))</f>
        <v/>
      </c>
      <c r="I19" s="60" t="str">
        <f aca="false">IF($B$18="","",IF(N(GanttCalc!H6)-N(GanttCalc!G6)&lt;=0,"",IF(N(GanttCalc!H6)-N(GanttCalc!G6)=1,"R"&amp;GanttCalc!H6,"R"&amp;(GanttCalc!G6+1)&amp;"-"&amp;GanttCalc!H6)))</f>
        <v/>
      </c>
      <c r="J19" s="60" t="str">
        <f aca="false">IF($B$18="","",IF(N(GanttCalc!I6)-N(GanttCalc!H6)&lt;=0,"",IF(N(GanttCalc!I6)-N(GanttCalc!H6)=1,"R"&amp;GanttCalc!I6,"R"&amp;(GanttCalc!H6+1)&amp;"-"&amp;GanttCalc!I6)))</f>
        <v/>
      </c>
      <c r="K19" s="60" t="str">
        <f aca="false">IF($B$18="","",IF(N(GanttCalc!J6)-N(GanttCalc!I6)&lt;=0,"",IF(N(GanttCalc!J6)-N(GanttCalc!I6)=1,"R"&amp;GanttCalc!J6,"R"&amp;(GanttCalc!I6+1)&amp;"-"&amp;GanttCalc!J6)))</f>
        <v/>
      </c>
      <c r="L19" s="60" t="str">
        <f aca="false">IF($B$18="","",IF(N(GanttCalc!K6)-N(GanttCalc!J6)&lt;=0,"",IF(N(GanttCalc!K6)-N(GanttCalc!J6)=1,"R"&amp;GanttCalc!K6,"R"&amp;(GanttCalc!J6+1)&amp;"-"&amp;GanttCalc!K6)))</f>
        <v/>
      </c>
      <c r="M19" s="60" t="str">
        <f aca="false">IF($B$18="","",IF(N(GanttCalc!L6)-N(GanttCalc!K6)&lt;=0,"",IF(N(GanttCalc!L6)-N(GanttCalc!K6)=1,"R"&amp;GanttCalc!L6,"R"&amp;(GanttCalc!K6+1)&amp;"-"&amp;GanttCalc!L6)))</f>
        <v/>
      </c>
      <c r="N19" s="60" t="str">
        <f aca="false">IF($B$18="","",IF(N(GanttCalc!M6)-N(GanttCalc!L6)&lt;=0,"",IF(N(GanttCalc!M6)-N(GanttCalc!L6)=1,"R"&amp;GanttCalc!M6,"R"&amp;(GanttCalc!L6+1)&amp;"-"&amp;GanttCalc!M6)))</f>
        <v/>
      </c>
      <c r="O19" s="60" t="str">
        <f aca="false">IF($B$18="","",IF(N(GanttCalc!N6)-N(GanttCalc!M6)&lt;=0,"",IF(N(GanttCalc!N6)-N(GanttCalc!M6)=1,"R"&amp;GanttCalc!N6,"R"&amp;(GanttCalc!M6+1)&amp;"-"&amp;GanttCalc!N6)))</f>
        <v>R1-5</v>
      </c>
      <c r="P19" s="60" t="str">
        <f aca="false">IF($B$18="","",IF(N(GanttCalc!O6)-N(GanttCalc!N6)&lt;=0,"",IF(N(GanttCalc!O6)-N(GanttCalc!N6)=1,"R"&amp;GanttCalc!O6,"R"&amp;(GanttCalc!N6+1)&amp;"-"&amp;GanttCalc!O6)))</f>
        <v>R6-11</v>
      </c>
      <c r="Q19" s="60" t="str">
        <f aca="false">IF($B$18="","",IF(N(GanttCalc!P6)-N(GanttCalc!O6)&lt;=0,"",IF(N(GanttCalc!P6)-N(GanttCalc!O6)=1,"R"&amp;GanttCalc!P6,"R"&amp;(GanttCalc!O6+1)&amp;"-"&amp;GanttCalc!P6)))</f>
        <v>R12</v>
      </c>
      <c r="R19" s="60" t="str">
        <f aca="false">IF($B$18="","",IF(N(GanttCalc!Q6)-N(GanttCalc!P6)&lt;=0,"",IF(N(GanttCalc!Q6)-N(GanttCalc!P6)=1,"R"&amp;GanttCalc!Q6,"R"&amp;(GanttCalc!P6+1)&amp;"-"&amp;GanttCalc!Q6)))</f>
        <v>R13-20</v>
      </c>
      <c r="S19" s="60" t="str">
        <f aca="false">IF($B$18="","",IF(N(GanttCalc!R6)-N(GanttCalc!Q6)&lt;=0,"",IF(N(GanttCalc!R6)-N(GanttCalc!Q6)=1,"R"&amp;GanttCalc!R6,"R"&amp;(GanttCalc!Q6+1)&amp;"-"&amp;GanttCalc!R6)))</f>
        <v>R21-28</v>
      </c>
      <c r="T19" s="60" t="str">
        <f aca="false">IF($B$18="","",IF(N(GanttCalc!S6)-N(GanttCalc!R6)&lt;=0,"",IF(N(GanttCalc!S6)-N(GanttCalc!R6)=1,"R"&amp;GanttCalc!S6,"R"&amp;(GanttCalc!R6+1)&amp;"-"&amp;GanttCalc!S6)))</f>
        <v/>
      </c>
      <c r="U19" s="60" t="str">
        <f aca="false">IF($B$18="","",IF(N(GanttCalc!T6)-N(GanttCalc!S6)&lt;=0,"",IF(N(GanttCalc!T6)-N(GanttCalc!S6)=1,"R"&amp;GanttCalc!T6,"R"&amp;(GanttCalc!S6+1)&amp;"-"&amp;GanttCalc!T6)))</f>
        <v/>
      </c>
      <c r="V19" s="60" t="str">
        <f aca="false">IF($B$18="","",IF(N(GanttCalc!U6)-N(GanttCalc!T6)&lt;=0,"",IF(N(GanttCalc!U6)-N(GanttCalc!T6)=1,"R"&amp;GanttCalc!U6,"R"&amp;(GanttCalc!T6+1)&amp;"-"&amp;GanttCalc!U6)))</f>
        <v/>
      </c>
      <c r="W19" s="60" t="str">
        <f aca="false">IF($B$18="","",IF(N(GanttCalc!V6)-N(GanttCalc!U6)&lt;=0,"",IF(N(GanttCalc!V6)-N(GanttCalc!U6)=1,"R"&amp;GanttCalc!V6,"R"&amp;(GanttCalc!U6+1)&amp;"-"&amp;GanttCalc!V6)))</f>
        <v/>
      </c>
      <c r="X19" s="60" t="str">
        <f aca="false">IF($B$18="","",IF(N(GanttCalc!W6)-N(GanttCalc!V6)&lt;=0,"",IF(N(GanttCalc!W6)-N(GanttCalc!V6)=1,"R"&amp;GanttCalc!W6,"R"&amp;(GanttCalc!V6+1)&amp;"-"&amp;GanttCalc!W6)))</f>
        <v/>
      </c>
      <c r="Y19" s="60" t="str">
        <f aca="false">IF($B$18="","",IF(N(GanttCalc!X6)-N(GanttCalc!W6)&lt;=0,"",IF(N(GanttCalc!X6)-N(GanttCalc!W6)=1,"R"&amp;GanttCalc!X6,"R"&amp;(GanttCalc!W6+1)&amp;"-"&amp;GanttCalc!X6)))</f>
        <v/>
      </c>
      <c r="Z19" s="60" t="str">
        <f aca="false">IF($B$18="","",IF(N(GanttCalc!Y6)-N(GanttCalc!X6)&lt;=0,"",IF(N(GanttCalc!Y6)-N(GanttCalc!X6)=1,"R"&amp;GanttCalc!Y6,"R"&amp;(GanttCalc!X6+1)&amp;"-"&amp;GanttCalc!Y6)))</f>
        <v>R29-39</v>
      </c>
      <c r="AA19" s="60" t="str">
        <f aca="false">IF($B$18="","",IF(N(GanttCalc!Z6)-N(GanttCalc!Y6)&lt;=0,"",IF(N(GanttCalc!Z6)-N(GanttCalc!Y6)=1,"R"&amp;GanttCalc!Z6,"R"&amp;(GanttCalc!Y6+1)&amp;"-"&amp;GanttCalc!Z6)))</f>
        <v/>
      </c>
      <c r="AB19" s="60" t="str">
        <f aca="false">IF($B$18="","",IF(N(GanttCalc!AA6)-N(GanttCalc!Z6)&lt;=0,"",IF(N(GanttCalc!AA6)-N(GanttCalc!Z6)=1,"R"&amp;GanttCalc!AA6,"R"&amp;(GanttCalc!Z6+1)&amp;"-"&amp;GanttCalc!AA6)))</f>
        <v/>
      </c>
      <c r="AC19" s="60" t="str">
        <f aca="false">IF($B$18="","",IF(N(GanttCalc!AB6)-N(GanttCalc!AA6)&lt;=0,"",IF(N(GanttCalc!AB6)-N(GanttCalc!AA6)=1,"R"&amp;GanttCalc!AB6,"R"&amp;(GanttCalc!AA6+1)&amp;"-"&amp;GanttCalc!AB6)))</f>
        <v/>
      </c>
      <c r="AD19" s="60" t="str">
        <f aca="false">IF($B$18="","",IF(N(GanttCalc!AC6)-N(GanttCalc!AB6)&lt;=0,"",IF(N(GanttCalc!AC6)-N(GanttCalc!AB6)=1,"R"&amp;GanttCalc!AC6,"R"&amp;(GanttCalc!AB6+1)&amp;"-"&amp;GanttCalc!AC6)))</f>
        <v/>
      </c>
      <c r="AE19" s="60" t="str">
        <f aca="false">IF($B$18="","",IF(N(GanttCalc!AD6)-N(GanttCalc!AC6)&lt;=0,"",IF(N(GanttCalc!AD6)-N(GanttCalc!AC6)=1,"R"&amp;GanttCalc!AD6,"R"&amp;(GanttCalc!AC6+1)&amp;"-"&amp;GanttCalc!AD6)))</f>
        <v/>
      </c>
      <c r="AF19" s="60" t="str">
        <f aca="false">IF($B$18="","",IF(N(GanttCalc!AE6)-N(GanttCalc!AD6)&lt;=0,"",IF(N(GanttCalc!AE6)-N(GanttCalc!AD6)=1,"R"&amp;GanttCalc!AE6,"R"&amp;(GanttCalc!AD6+1)&amp;"-"&amp;GanttCalc!AE6)))</f>
        <v/>
      </c>
      <c r="AG19" s="60" t="str">
        <f aca="false">IF($B$18="","",IF(N(GanttCalc!AF6)-N(GanttCalc!AE6)&lt;=0,"",IF(N(GanttCalc!AF6)-N(GanttCalc!AE6)=1,"R"&amp;GanttCalc!AF6,"R"&amp;(GanttCalc!AE6+1)&amp;"-"&amp;GanttCalc!AF6)))</f>
        <v/>
      </c>
      <c r="AH19" s="60" t="str">
        <f aca="false">IF($B$18="","",IF(N(GanttCalc!AG6)-N(GanttCalc!AF6)&lt;=0,"",IF(N(GanttCalc!AG6)-N(GanttCalc!AF6)=1,"R"&amp;GanttCalc!AG6,"R"&amp;(GanttCalc!AF6+1)&amp;"-"&amp;GanttCalc!AG6)))</f>
        <v/>
      </c>
      <c r="AI19" s="60" t="str">
        <f aca="false">IF($B$18="","",IF(N(GanttCalc!AH6)-N(GanttCalc!AG6)&lt;=0,"",IF(N(GanttCalc!AH6)-N(GanttCalc!AG6)=1,"R"&amp;GanttCalc!AH6,"R"&amp;(GanttCalc!AG6+1)&amp;"-"&amp;GanttCalc!AH6)))</f>
        <v/>
      </c>
      <c r="AJ19" s="60" t="str">
        <f aca="false">IF($B$18="","",IF(N(GanttCalc!AI6)-N(GanttCalc!AH6)&lt;=0,"",IF(N(GanttCalc!AI6)-N(GanttCalc!AH6)=1,"R"&amp;GanttCalc!AI6,"R"&amp;(GanttCalc!AH6+1)&amp;"-"&amp;GanttCalc!AI6)))</f>
        <v/>
      </c>
      <c r="AK19" s="60" t="str">
        <f aca="false">IF($B$18="","",IF(N(GanttCalc!AJ6)-N(GanttCalc!AI6)&lt;=0,"",IF(N(GanttCalc!AJ6)-N(GanttCalc!AI6)=1,"R"&amp;GanttCalc!AJ6,"R"&amp;(GanttCalc!AI6+1)&amp;"-"&amp;GanttCalc!AJ6)))</f>
        <v/>
      </c>
      <c r="AL19" s="60" t="str">
        <f aca="false">IF($B$18="","",IF(N(GanttCalc!AK6)-N(GanttCalc!AJ6)&lt;=0,"",IF(N(GanttCalc!AK6)-N(GanttCalc!AJ6)=1,"R"&amp;GanttCalc!AK6,"R"&amp;(GanttCalc!AJ6+1)&amp;"-"&amp;GanttCalc!AK6)))</f>
        <v/>
      </c>
      <c r="AM19" s="60" t="str">
        <f aca="false">IF($B$18="","",IF(N(GanttCalc!AL6)-N(GanttCalc!AK6)&lt;=0,"",IF(N(GanttCalc!AL6)-N(GanttCalc!AK6)=1,"R"&amp;GanttCalc!AL6,"R"&amp;(GanttCalc!AK6+1)&amp;"-"&amp;GanttCalc!AL6)))</f>
        <v/>
      </c>
      <c r="AN19" s="60" t="str">
        <f aca="false">IF($B$18="","",IF(N(GanttCalc!AM6)-N(GanttCalc!AL6)&lt;=0,"",IF(N(GanttCalc!AM6)-N(GanttCalc!AL6)=1,"R"&amp;GanttCalc!AM6,"R"&amp;(GanttCalc!AL6+1)&amp;"-"&amp;GanttCalc!AM6)))</f>
        <v/>
      </c>
      <c r="AO19" s="60" t="str">
        <f aca="false">IF($B$18="","",IF(N(GanttCalc!AN6)-N(GanttCalc!AM6)&lt;=0,"",IF(N(GanttCalc!AN6)-N(GanttCalc!AM6)=1,"R"&amp;GanttCalc!AN6,"R"&amp;(GanttCalc!AM6+1)&amp;"-"&amp;GanttCalc!AN6)))</f>
        <v/>
      </c>
      <c r="AP19" s="60" t="str">
        <f aca="false">IF($B$18="","",IF(N(GanttCalc!AO6)-N(GanttCalc!AN6)&lt;=0,"",IF(N(GanttCalc!AO6)-N(GanttCalc!AN6)=1,"R"&amp;GanttCalc!AO6,"R"&amp;(GanttCalc!AN6+1)&amp;"-"&amp;GanttCalc!AO6)))</f>
        <v/>
      </c>
      <c r="AQ19" s="60" t="str">
        <f aca="false">IF($B$18="","",IF(N(GanttCalc!AP6)-N(GanttCalc!AO6)&lt;=0,"",IF(N(GanttCalc!AP6)-N(GanttCalc!AO6)=1,"R"&amp;GanttCalc!AP6,"R"&amp;(GanttCalc!AO6+1)&amp;"-"&amp;GanttCalc!AP6)))</f>
        <v/>
      </c>
      <c r="AR19" s="60" t="str">
        <f aca="false">IF($B$18="","",IF(N(GanttCalc!AQ6)-N(GanttCalc!AP6)&lt;=0,"",IF(N(GanttCalc!AQ6)-N(GanttCalc!AP6)=1,"R"&amp;GanttCalc!AQ6,"R"&amp;(GanttCalc!AP6+1)&amp;"-"&amp;GanttCalc!AQ6)))</f>
        <v/>
      </c>
      <c r="AS19" s="60" t="str">
        <f aca="false">IF($B$18="","",IF(N(GanttCalc!AR6)-N(GanttCalc!AQ6)&lt;=0,"",IF(N(GanttCalc!AR6)-N(GanttCalc!AQ6)=1,"R"&amp;GanttCalc!AR6,"R"&amp;(GanttCalc!AQ6+1)&amp;"-"&amp;GanttCalc!AR6)))</f>
        <v/>
      </c>
      <c r="AT19" s="60" t="str">
        <f aca="false">IF($B$18="","",IF(N(GanttCalc!AS6)-N(GanttCalc!AR6)&lt;=0,"",IF(N(GanttCalc!AS6)-N(GanttCalc!AR6)=1,"R"&amp;GanttCalc!AS6,"R"&amp;(GanttCalc!AR6+1)&amp;"-"&amp;GanttCalc!AS6)))</f>
        <v/>
      </c>
      <c r="AU19" s="60" t="str">
        <f aca="false">IF($B$18="","",IF(N(GanttCalc!AT6)-N(GanttCalc!AS6)&lt;=0,"",IF(N(GanttCalc!AT6)-N(GanttCalc!AS6)=1,"R"&amp;GanttCalc!AT6,"R"&amp;(GanttCalc!AS6+1)&amp;"-"&amp;GanttCalc!AT6)))</f>
        <v/>
      </c>
      <c r="AV19" s="60" t="str">
        <f aca="false">IF($B$18="","",IF(N(GanttCalc!AU6)-N(GanttCalc!AT6)&lt;=0,"",IF(N(GanttCalc!AU6)-N(GanttCalc!AT6)=1,"R"&amp;GanttCalc!AU6,"R"&amp;(GanttCalc!AT6+1)&amp;"-"&amp;GanttCalc!AU6)))</f>
        <v/>
      </c>
      <c r="AW19" s="60" t="str">
        <f aca="false">IF($B$18="","",IF(N(GanttCalc!AV6)-N(GanttCalc!AU6)&lt;=0,"",IF(N(GanttCalc!AV6)-N(GanttCalc!AU6)=1,"R"&amp;GanttCalc!AV6,"R"&amp;(GanttCalc!AU6+1)&amp;"-"&amp;GanttCalc!AV6)))</f>
        <v/>
      </c>
      <c r="AX19" s="60" t="str">
        <f aca="false">IF($B$18="","",IF(N(GanttCalc!AW6)-N(GanttCalc!AV6)&lt;=0,"",IF(N(GanttCalc!AW6)-N(GanttCalc!AV6)=1,"R"&amp;GanttCalc!AW6,"R"&amp;(GanttCalc!AV6+1)&amp;"-"&amp;GanttCalc!AW6)))</f>
        <v/>
      </c>
      <c r="AY19" s="60" t="str">
        <f aca="false">IF($B$18="","",IF(N(GanttCalc!AX6)-N(GanttCalc!AW6)&lt;=0,"",IF(N(GanttCalc!AX6)-N(GanttCalc!AW6)=1,"R"&amp;GanttCalc!AX6,"R"&amp;(GanttCalc!AW6+1)&amp;"-"&amp;GanttCalc!AX6)))</f>
        <v/>
      </c>
      <c r="AZ19" s="60" t="str">
        <f aca="false">IF($B$18="","",IF(N(GanttCalc!AY6)-N(GanttCalc!AX6)&lt;=0,"",IF(N(GanttCalc!AY6)-N(GanttCalc!AX6)=1,"R"&amp;GanttCalc!AY6,"R"&amp;(GanttCalc!AX6+1)&amp;"-"&amp;GanttCalc!AY6)))</f>
        <v/>
      </c>
      <c r="BA19" s="60" t="str">
        <f aca="false">IF($B$18="","",IF(N(GanttCalc!AZ6)-N(GanttCalc!AY6)&lt;=0,"",IF(N(GanttCalc!AZ6)-N(GanttCalc!AY6)=1,"R"&amp;GanttCalc!AZ6,"R"&amp;(GanttCalc!AY6+1)&amp;"-"&amp;GanttCalc!AZ6)))</f>
        <v/>
      </c>
      <c r="BB19" s="60" t="str">
        <f aca="false">IF($B$18="","",IF(N(GanttCalc!BA6)-N(GanttCalc!AZ6)&lt;=0,"",IF(N(GanttCalc!BA6)-N(GanttCalc!AZ6)=1,"R"&amp;GanttCalc!BA6,"R"&amp;(GanttCalc!AZ6+1)&amp;"-"&amp;GanttCalc!BA6)))</f>
        <v/>
      </c>
      <c r="BC19" s="60" t="str">
        <f aca="false">IF($B$18="","",IF(N(GanttCalc!BB6)-N(GanttCalc!BA6)&lt;=0,"",IF(N(GanttCalc!BB6)-N(GanttCalc!BA6)=1,"R"&amp;GanttCalc!BB6,"R"&amp;(GanttCalc!BA6+1)&amp;"-"&amp;GanttCalc!BB6)))</f>
        <v/>
      </c>
      <c r="BD19" s="60" t="str">
        <f aca="false">IF($B$18="","",IF(N(GanttCalc!BC6)-N(GanttCalc!BB6)&lt;=0,"",IF(N(GanttCalc!BC6)-N(GanttCalc!BB6)=1,"R"&amp;GanttCalc!BC6,"R"&amp;(GanttCalc!BB6+1)&amp;"-"&amp;GanttCalc!BC6)))</f>
        <v/>
      </c>
    </row>
    <row r="20" customFormat="false" ht="16.5" hidden="false" customHeight="true" outlineLevel="0" collapsed="false">
      <c r="B20" s="63" t="str">
        <f aca="false">IF(Contracts!$A$8="","",IF(Contracts!$I$8="","no kit list","kitted: "&amp;Contracts!$I$8&amp;" / "&amp;Contracts!$F$8))</f>
        <v>no kit list</v>
      </c>
      <c r="C20" s="64" t="str">
        <f aca="false">IF(Contracts!$A$8="","","Final build")</f>
        <v>Final build</v>
      </c>
      <c r="D20" s="59" t="str">
        <f aca="false">IF($B$18="","",SUMPRODUCT(--(E20:BD20&lt;&gt;""))&amp;" wks")</f>
        <v>6 wks</v>
      </c>
      <c r="E20" s="60" t="str">
        <f aca="false">IF($B$18="","",IF(N(GanttCalc!C6)-N(GanttCalc!B6)&lt;=0,"",IF(N(GanttCalc!C6)-N(GanttCalc!B6)=1,"R"&amp;GanttCalc!C6,"R"&amp;(GanttCalc!B6+1)&amp;"-"&amp;GanttCalc!C6)))</f>
        <v/>
      </c>
      <c r="F20" s="60" t="str">
        <f aca="false">IF($B$18="","",IF(N(GanttCalc!D6)-N(GanttCalc!C6)&lt;=0,"",IF(N(GanttCalc!D6)-N(GanttCalc!C6)=1,"R"&amp;GanttCalc!D6,"R"&amp;(GanttCalc!C6+1)&amp;"-"&amp;GanttCalc!D6)))</f>
        <v/>
      </c>
      <c r="G20" s="60" t="str">
        <f aca="false">IF($B$18="","",IF(N(GanttCalc!E6)-N(GanttCalc!D6)&lt;=0,"",IF(N(GanttCalc!E6)-N(GanttCalc!D6)=1,"R"&amp;GanttCalc!E6,"R"&amp;(GanttCalc!D6+1)&amp;"-"&amp;GanttCalc!E6)))</f>
        <v/>
      </c>
      <c r="H20" s="60" t="str">
        <f aca="false">IF($B$18="","",IF(N(GanttCalc!F6)-N(GanttCalc!E6)&lt;=0,"",IF(N(GanttCalc!F6)-N(GanttCalc!E6)=1,"R"&amp;GanttCalc!F6,"R"&amp;(GanttCalc!E6+1)&amp;"-"&amp;GanttCalc!F6)))</f>
        <v/>
      </c>
      <c r="I20" s="60" t="str">
        <f aca="false">IF($B$18="","",IF(N(GanttCalc!G6)-N(GanttCalc!F6)&lt;=0,"",IF(N(GanttCalc!G6)-N(GanttCalc!F6)=1,"R"&amp;GanttCalc!G6,"R"&amp;(GanttCalc!F6+1)&amp;"-"&amp;GanttCalc!G6)))</f>
        <v/>
      </c>
      <c r="J20" s="60" t="str">
        <f aca="false">IF($B$18="","",IF(N(GanttCalc!H6)-N(GanttCalc!G6)&lt;=0,"",IF(N(GanttCalc!H6)-N(GanttCalc!G6)=1,"R"&amp;GanttCalc!H6,"R"&amp;(GanttCalc!G6+1)&amp;"-"&amp;GanttCalc!H6)))</f>
        <v/>
      </c>
      <c r="K20" s="60" t="str">
        <f aca="false">IF($B$18="","",IF(N(GanttCalc!I6)-N(GanttCalc!H6)&lt;=0,"",IF(N(GanttCalc!I6)-N(GanttCalc!H6)=1,"R"&amp;GanttCalc!I6,"R"&amp;(GanttCalc!H6+1)&amp;"-"&amp;GanttCalc!I6)))</f>
        <v/>
      </c>
      <c r="L20" s="60" t="str">
        <f aca="false">IF($B$18="","",IF(N(GanttCalc!J6)-N(GanttCalc!I6)&lt;=0,"",IF(N(GanttCalc!J6)-N(GanttCalc!I6)=1,"R"&amp;GanttCalc!J6,"R"&amp;(GanttCalc!I6+1)&amp;"-"&amp;GanttCalc!J6)))</f>
        <v/>
      </c>
      <c r="M20" s="60" t="str">
        <f aca="false">IF($B$18="","",IF(N(GanttCalc!K6)-N(GanttCalc!J6)&lt;=0,"",IF(N(GanttCalc!K6)-N(GanttCalc!J6)=1,"R"&amp;GanttCalc!K6,"R"&amp;(GanttCalc!J6+1)&amp;"-"&amp;GanttCalc!K6)))</f>
        <v/>
      </c>
      <c r="N20" s="60" t="str">
        <f aca="false">IF($B$18="","",IF(N(GanttCalc!L6)-N(GanttCalc!K6)&lt;=0,"",IF(N(GanttCalc!L6)-N(GanttCalc!K6)=1,"R"&amp;GanttCalc!L6,"R"&amp;(GanttCalc!K6+1)&amp;"-"&amp;GanttCalc!L6)))</f>
        <v/>
      </c>
      <c r="O20" s="60" t="str">
        <f aca="false">IF($B$18="","",IF(N(GanttCalc!M6)-N(GanttCalc!L6)&lt;=0,"",IF(N(GanttCalc!M6)-N(GanttCalc!L6)=1,"R"&amp;GanttCalc!M6,"R"&amp;(GanttCalc!L6+1)&amp;"-"&amp;GanttCalc!M6)))</f>
        <v/>
      </c>
      <c r="P20" s="60" t="str">
        <f aca="false">IF($B$18="","",IF(N(GanttCalc!N6)-N(GanttCalc!M6)&lt;=0,"",IF(N(GanttCalc!N6)-N(GanttCalc!M6)=1,"R"&amp;GanttCalc!N6,"R"&amp;(GanttCalc!M6+1)&amp;"-"&amp;GanttCalc!N6)))</f>
        <v>R1-5</v>
      </c>
      <c r="Q20" s="60" t="str">
        <f aca="false">IF($B$18="","",IF(N(GanttCalc!O6)-N(GanttCalc!N6)&lt;=0,"",IF(N(GanttCalc!O6)-N(GanttCalc!N6)=1,"R"&amp;GanttCalc!O6,"R"&amp;(GanttCalc!N6+1)&amp;"-"&amp;GanttCalc!O6)))</f>
        <v>R6-11</v>
      </c>
      <c r="R20" s="60" t="str">
        <f aca="false">IF($B$18="","",IF(N(GanttCalc!P6)-N(GanttCalc!O6)&lt;=0,"",IF(N(GanttCalc!P6)-N(GanttCalc!O6)=1,"R"&amp;GanttCalc!P6,"R"&amp;(GanttCalc!O6+1)&amp;"-"&amp;GanttCalc!P6)))</f>
        <v>R12</v>
      </c>
      <c r="S20" s="60" t="str">
        <f aca="false">IF($B$18="","",IF(N(GanttCalc!Q6)-N(GanttCalc!P6)&lt;=0,"",IF(N(GanttCalc!Q6)-N(GanttCalc!P6)=1,"R"&amp;GanttCalc!Q6,"R"&amp;(GanttCalc!P6+1)&amp;"-"&amp;GanttCalc!Q6)))</f>
        <v>R13-20</v>
      </c>
      <c r="T20" s="60" t="str">
        <f aca="false">IF($B$18="","",IF(N(GanttCalc!R6)-N(GanttCalc!Q6)&lt;=0,"",IF(N(GanttCalc!R6)-N(GanttCalc!Q6)=1,"R"&amp;GanttCalc!R6,"R"&amp;(GanttCalc!Q6+1)&amp;"-"&amp;GanttCalc!R6)))</f>
        <v>R21-28</v>
      </c>
      <c r="U20" s="60" t="str">
        <f aca="false">IF($B$18="","",IF(N(GanttCalc!S6)-N(GanttCalc!R6)&lt;=0,"",IF(N(GanttCalc!S6)-N(GanttCalc!R6)=1,"R"&amp;GanttCalc!S6,"R"&amp;(GanttCalc!R6+1)&amp;"-"&amp;GanttCalc!S6)))</f>
        <v/>
      </c>
      <c r="V20" s="60" t="str">
        <f aca="false">IF($B$18="","",IF(N(GanttCalc!T6)-N(GanttCalc!S6)&lt;=0,"",IF(N(GanttCalc!T6)-N(GanttCalc!S6)=1,"R"&amp;GanttCalc!T6,"R"&amp;(GanttCalc!S6+1)&amp;"-"&amp;GanttCalc!T6)))</f>
        <v/>
      </c>
      <c r="W20" s="60" t="str">
        <f aca="false">IF($B$18="","",IF(N(GanttCalc!U6)-N(GanttCalc!T6)&lt;=0,"",IF(N(GanttCalc!U6)-N(GanttCalc!T6)=1,"R"&amp;GanttCalc!U6,"R"&amp;(GanttCalc!T6+1)&amp;"-"&amp;GanttCalc!U6)))</f>
        <v/>
      </c>
      <c r="X20" s="60" t="str">
        <f aca="false">IF($B$18="","",IF(N(GanttCalc!V6)-N(GanttCalc!U6)&lt;=0,"",IF(N(GanttCalc!V6)-N(GanttCalc!U6)=1,"R"&amp;GanttCalc!V6,"R"&amp;(GanttCalc!U6+1)&amp;"-"&amp;GanttCalc!V6)))</f>
        <v/>
      </c>
      <c r="Y20" s="60" t="str">
        <f aca="false">IF($B$18="","",IF(N(GanttCalc!W6)-N(GanttCalc!V6)&lt;=0,"",IF(N(GanttCalc!W6)-N(GanttCalc!V6)=1,"R"&amp;GanttCalc!W6,"R"&amp;(GanttCalc!V6+1)&amp;"-"&amp;GanttCalc!W6)))</f>
        <v/>
      </c>
      <c r="Z20" s="60" t="str">
        <f aca="false">IF($B$18="","",IF(N(GanttCalc!X6)-N(GanttCalc!W6)&lt;=0,"",IF(N(GanttCalc!X6)-N(GanttCalc!W6)=1,"R"&amp;GanttCalc!X6,"R"&amp;(GanttCalc!W6+1)&amp;"-"&amp;GanttCalc!X6)))</f>
        <v/>
      </c>
      <c r="AA20" s="60" t="str">
        <f aca="false">IF($B$18="","",IF(N(GanttCalc!Y6)-N(GanttCalc!X6)&lt;=0,"",IF(N(GanttCalc!Y6)-N(GanttCalc!X6)=1,"R"&amp;GanttCalc!Y6,"R"&amp;(GanttCalc!X6+1)&amp;"-"&amp;GanttCalc!Y6)))</f>
        <v>R29-39</v>
      </c>
      <c r="AB20" s="60" t="str">
        <f aca="false">IF($B$18="","",IF(N(GanttCalc!Z6)-N(GanttCalc!Y6)&lt;=0,"",IF(N(GanttCalc!Z6)-N(GanttCalc!Y6)=1,"R"&amp;GanttCalc!Z6,"R"&amp;(GanttCalc!Y6+1)&amp;"-"&amp;GanttCalc!Z6)))</f>
        <v/>
      </c>
      <c r="AC20" s="60" t="str">
        <f aca="false">IF($B$18="","",IF(N(GanttCalc!AA6)-N(GanttCalc!Z6)&lt;=0,"",IF(N(GanttCalc!AA6)-N(GanttCalc!Z6)=1,"R"&amp;GanttCalc!AA6,"R"&amp;(GanttCalc!Z6+1)&amp;"-"&amp;GanttCalc!AA6)))</f>
        <v/>
      </c>
      <c r="AD20" s="60" t="str">
        <f aca="false">IF($B$18="","",IF(N(GanttCalc!AB6)-N(GanttCalc!AA6)&lt;=0,"",IF(N(GanttCalc!AB6)-N(GanttCalc!AA6)=1,"R"&amp;GanttCalc!AB6,"R"&amp;(GanttCalc!AA6+1)&amp;"-"&amp;GanttCalc!AB6)))</f>
        <v/>
      </c>
      <c r="AE20" s="60" t="str">
        <f aca="false">IF($B$18="","",IF(N(GanttCalc!AC6)-N(GanttCalc!AB6)&lt;=0,"",IF(N(GanttCalc!AC6)-N(GanttCalc!AB6)=1,"R"&amp;GanttCalc!AC6,"R"&amp;(GanttCalc!AB6+1)&amp;"-"&amp;GanttCalc!AC6)))</f>
        <v/>
      </c>
      <c r="AF20" s="60" t="str">
        <f aca="false">IF($B$18="","",IF(N(GanttCalc!AD6)-N(GanttCalc!AC6)&lt;=0,"",IF(N(GanttCalc!AD6)-N(GanttCalc!AC6)=1,"R"&amp;GanttCalc!AD6,"R"&amp;(GanttCalc!AC6+1)&amp;"-"&amp;GanttCalc!AD6)))</f>
        <v/>
      </c>
      <c r="AG20" s="60" t="str">
        <f aca="false">IF($B$18="","",IF(N(GanttCalc!AE6)-N(GanttCalc!AD6)&lt;=0,"",IF(N(GanttCalc!AE6)-N(GanttCalc!AD6)=1,"R"&amp;GanttCalc!AE6,"R"&amp;(GanttCalc!AD6+1)&amp;"-"&amp;GanttCalc!AE6)))</f>
        <v/>
      </c>
      <c r="AH20" s="60" t="str">
        <f aca="false">IF($B$18="","",IF(N(GanttCalc!AF6)-N(GanttCalc!AE6)&lt;=0,"",IF(N(GanttCalc!AF6)-N(GanttCalc!AE6)=1,"R"&amp;GanttCalc!AF6,"R"&amp;(GanttCalc!AE6+1)&amp;"-"&amp;GanttCalc!AF6)))</f>
        <v/>
      </c>
      <c r="AI20" s="60" t="str">
        <f aca="false">IF($B$18="","",IF(N(GanttCalc!AG6)-N(GanttCalc!AF6)&lt;=0,"",IF(N(GanttCalc!AG6)-N(GanttCalc!AF6)=1,"R"&amp;GanttCalc!AG6,"R"&amp;(GanttCalc!AF6+1)&amp;"-"&amp;GanttCalc!AG6)))</f>
        <v/>
      </c>
      <c r="AJ20" s="60" t="str">
        <f aca="false">IF($B$18="","",IF(N(GanttCalc!AH6)-N(GanttCalc!AG6)&lt;=0,"",IF(N(GanttCalc!AH6)-N(GanttCalc!AG6)=1,"R"&amp;GanttCalc!AH6,"R"&amp;(GanttCalc!AG6+1)&amp;"-"&amp;GanttCalc!AH6)))</f>
        <v/>
      </c>
      <c r="AK20" s="60" t="str">
        <f aca="false">IF($B$18="","",IF(N(GanttCalc!AI6)-N(GanttCalc!AH6)&lt;=0,"",IF(N(GanttCalc!AI6)-N(GanttCalc!AH6)=1,"R"&amp;GanttCalc!AI6,"R"&amp;(GanttCalc!AH6+1)&amp;"-"&amp;GanttCalc!AI6)))</f>
        <v/>
      </c>
      <c r="AL20" s="60" t="str">
        <f aca="false">IF($B$18="","",IF(N(GanttCalc!AJ6)-N(GanttCalc!AI6)&lt;=0,"",IF(N(GanttCalc!AJ6)-N(GanttCalc!AI6)=1,"R"&amp;GanttCalc!AJ6,"R"&amp;(GanttCalc!AI6+1)&amp;"-"&amp;GanttCalc!AJ6)))</f>
        <v/>
      </c>
      <c r="AM20" s="60" t="str">
        <f aca="false">IF($B$18="","",IF(N(GanttCalc!AK6)-N(GanttCalc!AJ6)&lt;=0,"",IF(N(GanttCalc!AK6)-N(GanttCalc!AJ6)=1,"R"&amp;GanttCalc!AK6,"R"&amp;(GanttCalc!AJ6+1)&amp;"-"&amp;GanttCalc!AK6)))</f>
        <v/>
      </c>
      <c r="AN20" s="60" t="str">
        <f aca="false">IF($B$18="","",IF(N(GanttCalc!AL6)-N(GanttCalc!AK6)&lt;=0,"",IF(N(GanttCalc!AL6)-N(GanttCalc!AK6)=1,"R"&amp;GanttCalc!AL6,"R"&amp;(GanttCalc!AK6+1)&amp;"-"&amp;GanttCalc!AL6)))</f>
        <v/>
      </c>
      <c r="AO20" s="60" t="str">
        <f aca="false">IF($B$18="","",IF(N(GanttCalc!AM6)-N(GanttCalc!AL6)&lt;=0,"",IF(N(GanttCalc!AM6)-N(GanttCalc!AL6)=1,"R"&amp;GanttCalc!AM6,"R"&amp;(GanttCalc!AL6+1)&amp;"-"&amp;GanttCalc!AM6)))</f>
        <v/>
      </c>
      <c r="AP20" s="60" t="str">
        <f aca="false">IF($B$18="","",IF(N(GanttCalc!AN6)-N(GanttCalc!AM6)&lt;=0,"",IF(N(GanttCalc!AN6)-N(GanttCalc!AM6)=1,"R"&amp;GanttCalc!AN6,"R"&amp;(GanttCalc!AM6+1)&amp;"-"&amp;GanttCalc!AN6)))</f>
        <v/>
      </c>
      <c r="AQ20" s="60" t="str">
        <f aca="false">IF($B$18="","",IF(N(GanttCalc!AO6)-N(GanttCalc!AN6)&lt;=0,"",IF(N(GanttCalc!AO6)-N(GanttCalc!AN6)=1,"R"&amp;GanttCalc!AO6,"R"&amp;(GanttCalc!AN6+1)&amp;"-"&amp;GanttCalc!AO6)))</f>
        <v/>
      </c>
      <c r="AR20" s="60" t="str">
        <f aca="false">IF($B$18="","",IF(N(GanttCalc!AP6)-N(GanttCalc!AO6)&lt;=0,"",IF(N(GanttCalc!AP6)-N(GanttCalc!AO6)=1,"R"&amp;GanttCalc!AP6,"R"&amp;(GanttCalc!AO6+1)&amp;"-"&amp;GanttCalc!AP6)))</f>
        <v/>
      </c>
      <c r="AS20" s="60" t="str">
        <f aca="false">IF($B$18="","",IF(N(GanttCalc!AQ6)-N(GanttCalc!AP6)&lt;=0,"",IF(N(GanttCalc!AQ6)-N(GanttCalc!AP6)=1,"R"&amp;GanttCalc!AQ6,"R"&amp;(GanttCalc!AP6+1)&amp;"-"&amp;GanttCalc!AQ6)))</f>
        <v/>
      </c>
      <c r="AT20" s="60" t="str">
        <f aca="false">IF($B$18="","",IF(N(GanttCalc!AR6)-N(GanttCalc!AQ6)&lt;=0,"",IF(N(GanttCalc!AR6)-N(GanttCalc!AQ6)=1,"R"&amp;GanttCalc!AR6,"R"&amp;(GanttCalc!AQ6+1)&amp;"-"&amp;GanttCalc!AR6)))</f>
        <v/>
      </c>
      <c r="AU20" s="60" t="str">
        <f aca="false">IF($B$18="","",IF(N(GanttCalc!AS6)-N(GanttCalc!AR6)&lt;=0,"",IF(N(GanttCalc!AS6)-N(GanttCalc!AR6)=1,"R"&amp;GanttCalc!AS6,"R"&amp;(GanttCalc!AR6+1)&amp;"-"&amp;GanttCalc!AS6)))</f>
        <v/>
      </c>
      <c r="AV20" s="60" t="str">
        <f aca="false">IF($B$18="","",IF(N(GanttCalc!AT6)-N(GanttCalc!AS6)&lt;=0,"",IF(N(GanttCalc!AT6)-N(GanttCalc!AS6)=1,"R"&amp;GanttCalc!AT6,"R"&amp;(GanttCalc!AS6+1)&amp;"-"&amp;GanttCalc!AT6)))</f>
        <v/>
      </c>
      <c r="AW20" s="60" t="str">
        <f aca="false">IF($B$18="","",IF(N(GanttCalc!AU6)-N(GanttCalc!AT6)&lt;=0,"",IF(N(GanttCalc!AU6)-N(GanttCalc!AT6)=1,"R"&amp;GanttCalc!AU6,"R"&amp;(GanttCalc!AT6+1)&amp;"-"&amp;GanttCalc!AU6)))</f>
        <v/>
      </c>
      <c r="AX20" s="60" t="str">
        <f aca="false">IF($B$18="","",IF(N(GanttCalc!AV6)-N(GanttCalc!AU6)&lt;=0,"",IF(N(GanttCalc!AV6)-N(GanttCalc!AU6)=1,"R"&amp;GanttCalc!AV6,"R"&amp;(GanttCalc!AU6+1)&amp;"-"&amp;GanttCalc!AV6)))</f>
        <v/>
      </c>
      <c r="AY20" s="60" t="str">
        <f aca="false">IF($B$18="","",IF(N(GanttCalc!AW6)-N(GanttCalc!AV6)&lt;=0,"",IF(N(GanttCalc!AW6)-N(GanttCalc!AV6)=1,"R"&amp;GanttCalc!AW6,"R"&amp;(GanttCalc!AV6+1)&amp;"-"&amp;GanttCalc!AW6)))</f>
        <v/>
      </c>
      <c r="AZ20" s="60" t="str">
        <f aca="false">IF($B$18="","",IF(N(GanttCalc!AX6)-N(GanttCalc!AW6)&lt;=0,"",IF(N(GanttCalc!AX6)-N(GanttCalc!AW6)=1,"R"&amp;GanttCalc!AX6,"R"&amp;(GanttCalc!AW6+1)&amp;"-"&amp;GanttCalc!AX6)))</f>
        <v/>
      </c>
      <c r="BA20" s="60" t="str">
        <f aca="false">IF($B$18="","",IF(N(GanttCalc!AY6)-N(GanttCalc!AX6)&lt;=0,"",IF(N(GanttCalc!AY6)-N(GanttCalc!AX6)=1,"R"&amp;GanttCalc!AY6,"R"&amp;(GanttCalc!AX6+1)&amp;"-"&amp;GanttCalc!AY6)))</f>
        <v/>
      </c>
      <c r="BB20" s="60" t="str">
        <f aca="false">IF($B$18="","",IF(N(GanttCalc!AZ6)-N(GanttCalc!AY6)&lt;=0,"",IF(N(GanttCalc!AZ6)-N(GanttCalc!AY6)=1,"R"&amp;GanttCalc!AZ6,"R"&amp;(GanttCalc!AY6+1)&amp;"-"&amp;GanttCalc!AZ6)))</f>
        <v/>
      </c>
      <c r="BC20" s="60" t="str">
        <f aca="false">IF($B$18="","",IF(N(GanttCalc!BA6)-N(GanttCalc!AZ6)&lt;=0,"",IF(N(GanttCalc!BA6)-N(GanttCalc!AZ6)=1,"R"&amp;GanttCalc!BA6,"R"&amp;(GanttCalc!AZ6+1)&amp;"-"&amp;GanttCalc!BA6)))</f>
        <v/>
      </c>
      <c r="BD20" s="60" t="str">
        <f aca="false">IF($B$18="","",IF(N(GanttCalc!BB6)-N(GanttCalc!BA6)&lt;=0,"",IF(N(GanttCalc!BB6)-N(GanttCalc!BA6)=1,"R"&amp;GanttCalc!BB6,"R"&amp;(GanttCalc!BA6+1)&amp;"-"&amp;GanttCalc!BB6)))</f>
        <v/>
      </c>
    </row>
    <row r="21" customFormat="false" ht="6" hidden="false" customHeight="true" outlineLevel="0" collapsed="false"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customFormat="false" ht="16.5" hidden="false" customHeight="true" outlineLevel="0" collapsed="false">
      <c r="B22" s="32" t="str">
        <f aca="false">IF(Contracts!$A$9="","",Contracts!$A$9)</f>
        <v>E2A-R4P-T2-M</v>
      </c>
      <c r="C22" s="58" t="str">
        <f aca="false">IF(Contracts!$A$9="","","Kit release")</f>
        <v>Kit release</v>
      </c>
      <c r="D22" s="59" t="str">
        <f aca="false">IF($B$22="","",SUMPRODUCT(--(E22:BD22&lt;&gt;""))&amp;" wks")</f>
        <v>6 wks</v>
      </c>
      <c r="E22" s="60" t="str">
        <f aca="true">IF($B$22="","",IF(N(OFFSET(GanttCalc!$B$7,0,1+N(Contracts!$Q$9)))-N(OFFSET(GanttCalc!$B$7,0,0+N(Contracts!$Q$9)))&lt;=0,"",IF(N(OFFSET(GanttCalc!$B$7,0,1+N(Contracts!$Q$9)))-N(OFFSET(GanttCalc!$B$7,0,0+N(Contracts!$Q$9)))=1,"R"&amp;OFFSET(GanttCalc!$B$7,0,1+N(Contracts!$Q$9)),"R"&amp;(OFFSET(GanttCalc!$B$7,0,0+N(Contracts!$Q$9))+1)&amp;"-"&amp;OFFSET(GanttCalc!$B$7,0,1+N(Contracts!$Q$9)))))</f>
        <v/>
      </c>
      <c r="F22" s="60" t="str">
        <f aca="true">IF($B$22="","",IF(N(OFFSET(GanttCalc!$B$7,0,2+N(Contracts!$Q$9)))-N(OFFSET(GanttCalc!$B$7,0,1+N(Contracts!$Q$9)))&lt;=0,"",IF(N(OFFSET(GanttCalc!$B$7,0,2+N(Contracts!$Q$9)))-N(OFFSET(GanttCalc!$B$7,0,1+N(Contracts!$Q$9)))=1,"R"&amp;OFFSET(GanttCalc!$B$7,0,2+N(Contracts!$Q$9)),"R"&amp;(OFFSET(GanttCalc!$B$7,0,1+N(Contracts!$Q$9))+1)&amp;"-"&amp;OFFSET(GanttCalc!$B$7,0,2+N(Contracts!$Q$9)))))</f>
        <v/>
      </c>
      <c r="G22" s="60" t="str">
        <f aca="true">IF($B$22="","",IF(N(OFFSET(GanttCalc!$B$7,0,3+N(Contracts!$Q$9)))-N(OFFSET(GanttCalc!$B$7,0,2+N(Contracts!$Q$9)))&lt;=0,"",IF(N(OFFSET(GanttCalc!$B$7,0,3+N(Contracts!$Q$9)))-N(OFFSET(GanttCalc!$B$7,0,2+N(Contracts!$Q$9)))=1,"R"&amp;OFFSET(GanttCalc!$B$7,0,3+N(Contracts!$Q$9)),"R"&amp;(OFFSET(GanttCalc!$B$7,0,2+N(Contracts!$Q$9))+1)&amp;"-"&amp;OFFSET(GanttCalc!$B$7,0,3+N(Contracts!$Q$9)))))</f>
        <v/>
      </c>
      <c r="H22" s="60" t="str">
        <f aca="true">IF($B$22="","",IF(N(OFFSET(GanttCalc!$B$7,0,4+N(Contracts!$Q$9)))-N(OFFSET(GanttCalc!$B$7,0,3+N(Contracts!$Q$9)))&lt;=0,"",IF(N(OFFSET(GanttCalc!$B$7,0,4+N(Contracts!$Q$9)))-N(OFFSET(GanttCalc!$B$7,0,3+N(Contracts!$Q$9)))=1,"R"&amp;OFFSET(GanttCalc!$B$7,0,4+N(Contracts!$Q$9)),"R"&amp;(OFFSET(GanttCalc!$B$7,0,3+N(Contracts!$Q$9))+1)&amp;"-"&amp;OFFSET(GanttCalc!$B$7,0,4+N(Contracts!$Q$9)))))</f>
        <v/>
      </c>
      <c r="I22" s="60" t="str">
        <f aca="true">IF($B$22="","",IF(N(OFFSET(GanttCalc!$B$7,0,5+N(Contracts!$Q$9)))-N(OFFSET(GanttCalc!$B$7,0,4+N(Contracts!$Q$9)))&lt;=0,"",IF(N(OFFSET(GanttCalc!$B$7,0,5+N(Contracts!$Q$9)))-N(OFFSET(GanttCalc!$B$7,0,4+N(Contracts!$Q$9)))=1,"R"&amp;OFFSET(GanttCalc!$B$7,0,5+N(Contracts!$Q$9)),"R"&amp;(OFFSET(GanttCalc!$B$7,0,4+N(Contracts!$Q$9))+1)&amp;"-"&amp;OFFSET(GanttCalc!$B$7,0,5+N(Contracts!$Q$9)))))</f>
        <v/>
      </c>
      <c r="J22" s="60" t="str">
        <f aca="true">IF($B$22="","",IF(N(OFFSET(GanttCalc!$B$7,0,6+N(Contracts!$Q$9)))-N(OFFSET(GanttCalc!$B$7,0,5+N(Contracts!$Q$9)))&lt;=0,"",IF(N(OFFSET(GanttCalc!$B$7,0,6+N(Contracts!$Q$9)))-N(OFFSET(GanttCalc!$B$7,0,5+N(Contracts!$Q$9)))=1,"R"&amp;OFFSET(GanttCalc!$B$7,0,6+N(Contracts!$Q$9)),"R"&amp;(OFFSET(GanttCalc!$B$7,0,5+N(Contracts!$Q$9))+1)&amp;"-"&amp;OFFSET(GanttCalc!$B$7,0,6+N(Contracts!$Q$9)))))</f>
        <v/>
      </c>
      <c r="K22" s="60" t="str">
        <f aca="true">IF($B$22="","",IF(N(OFFSET(GanttCalc!$B$7,0,7+N(Contracts!$Q$9)))-N(OFFSET(GanttCalc!$B$7,0,6+N(Contracts!$Q$9)))&lt;=0,"",IF(N(OFFSET(GanttCalc!$B$7,0,7+N(Contracts!$Q$9)))-N(OFFSET(GanttCalc!$B$7,0,6+N(Contracts!$Q$9)))=1,"R"&amp;OFFSET(GanttCalc!$B$7,0,7+N(Contracts!$Q$9)),"R"&amp;(OFFSET(GanttCalc!$B$7,0,6+N(Contracts!$Q$9))+1)&amp;"-"&amp;OFFSET(GanttCalc!$B$7,0,7+N(Contracts!$Q$9)))))</f>
        <v/>
      </c>
      <c r="L22" s="60" t="str">
        <f aca="true">IF($B$22="","",IF(N(OFFSET(GanttCalc!$B$7,0,8+N(Contracts!$Q$9)))-N(OFFSET(GanttCalc!$B$7,0,7+N(Contracts!$Q$9)))&lt;=0,"",IF(N(OFFSET(GanttCalc!$B$7,0,8+N(Contracts!$Q$9)))-N(OFFSET(GanttCalc!$B$7,0,7+N(Contracts!$Q$9)))=1,"R"&amp;OFFSET(GanttCalc!$B$7,0,8+N(Contracts!$Q$9)),"R"&amp;(OFFSET(GanttCalc!$B$7,0,7+N(Contracts!$Q$9))+1)&amp;"-"&amp;OFFSET(GanttCalc!$B$7,0,8+N(Contracts!$Q$9)))))</f>
        <v/>
      </c>
      <c r="M22" s="60" t="str">
        <f aca="true">IF($B$22="","",IF(N(OFFSET(GanttCalc!$B$7,0,9+N(Contracts!$Q$9)))-N(OFFSET(GanttCalc!$B$7,0,8+N(Contracts!$Q$9)))&lt;=0,"",IF(N(OFFSET(GanttCalc!$B$7,0,9+N(Contracts!$Q$9)))-N(OFFSET(GanttCalc!$B$7,0,8+N(Contracts!$Q$9)))=1,"R"&amp;OFFSET(GanttCalc!$B$7,0,9+N(Contracts!$Q$9)),"R"&amp;(OFFSET(GanttCalc!$B$7,0,8+N(Contracts!$Q$9))+1)&amp;"-"&amp;OFFSET(GanttCalc!$B$7,0,9+N(Contracts!$Q$9)))))</f>
        <v/>
      </c>
      <c r="N22" s="60" t="str">
        <f aca="true">IF($B$22="","",IF(N(OFFSET(GanttCalc!$B$7,0,10+N(Contracts!$Q$9)))-N(OFFSET(GanttCalc!$B$7,0,9+N(Contracts!$Q$9)))&lt;=0,"",IF(N(OFFSET(GanttCalc!$B$7,0,10+N(Contracts!$Q$9)))-N(OFFSET(GanttCalc!$B$7,0,9+N(Contracts!$Q$9)))=1,"R"&amp;OFFSET(GanttCalc!$B$7,0,10+N(Contracts!$Q$9)),"R"&amp;(OFFSET(GanttCalc!$B$7,0,9+N(Contracts!$Q$9))+1)&amp;"-"&amp;OFFSET(GanttCalc!$B$7,0,10+N(Contracts!$Q$9)))))</f>
        <v/>
      </c>
      <c r="O22" s="60" t="str">
        <f aca="true">IF($B$22="","",IF(N(OFFSET(GanttCalc!$B$7,0,11+N(Contracts!$Q$9)))-N(OFFSET(GanttCalc!$B$7,0,10+N(Contracts!$Q$9)))&lt;=0,"",IF(N(OFFSET(GanttCalc!$B$7,0,11+N(Contracts!$Q$9)))-N(OFFSET(GanttCalc!$B$7,0,10+N(Contracts!$Q$9)))=1,"R"&amp;OFFSET(GanttCalc!$B$7,0,11+N(Contracts!$Q$9)),"R"&amp;(OFFSET(GanttCalc!$B$7,0,10+N(Contracts!$Q$9))+1)&amp;"-"&amp;OFFSET(GanttCalc!$B$7,0,11+N(Contracts!$Q$9)))))</f>
        <v/>
      </c>
      <c r="P22" s="60" t="str">
        <f aca="true">IF($B$22="","",IF(N(OFFSET(GanttCalc!$B$7,0,12+N(Contracts!$Q$9)))-N(OFFSET(GanttCalc!$B$7,0,11+N(Contracts!$Q$9)))&lt;=0,"",IF(N(OFFSET(GanttCalc!$B$7,0,12+N(Contracts!$Q$9)))-N(OFFSET(GanttCalc!$B$7,0,11+N(Contracts!$Q$9)))=1,"R"&amp;OFFSET(GanttCalc!$B$7,0,12+N(Contracts!$Q$9)),"R"&amp;(OFFSET(GanttCalc!$B$7,0,11+N(Contracts!$Q$9))+1)&amp;"-"&amp;OFFSET(GanttCalc!$B$7,0,12+N(Contracts!$Q$9)))))</f>
        <v/>
      </c>
      <c r="Q22" s="60" t="str">
        <f aca="true">IF($B$22="","",IF(N(OFFSET(GanttCalc!$B$7,0,13+N(Contracts!$Q$9)))-N(OFFSET(GanttCalc!$B$7,0,12+N(Contracts!$Q$9)))&lt;=0,"",IF(N(OFFSET(GanttCalc!$B$7,0,13+N(Contracts!$Q$9)))-N(OFFSET(GanttCalc!$B$7,0,12+N(Contracts!$Q$9)))=1,"R"&amp;OFFSET(GanttCalc!$B$7,0,13+N(Contracts!$Q$9)),"R"&amp;(OFFSET(GanttCalc!$B$7,0,12+N(Contracts!$Q$9))+1)&amp;"-"&amp;OFFSET(GanttCalc!$B$7,0,13+N(Contracts!$Q$9)))))</f>
        <v/>
      </c>
      <c r="R22" s="60" t="str">
        <f aca="true">IF($B$22="","",IF(N(OFFSET(GanttCalc!$B$7,0,14+N(Contracts!$Q$9)))-N(OFFSET(GanttCalc!$B$7,0,13+N(Contracts!$Q$9)))&lt;=0,"",IF(N(OFFSET(GanttCalc!$B$7,0,14+N(Contracts!$Q$9)))-N(OFFSET(GanttCalc!$B$7,0,13+N(Contracts!$Q$9)))=1,"R"&amp;OFFSET(GanttCalc!$B$7,0,14+N(Contracts!$Q$9)),"R"&amp;(OFFSET(GanttCalc!$B$7,0,13+N(Contracts!$Q$9))+1)&amp;"-"&amp;OFFSET(GanttCalc!$B$7,0,14+N(Contracts!$Q$9)))))</f>
        <v/>
      </c>
      <c r="S22" s="60" t="str">
        <f aca="true">IF($B$22="","",IF(N(OFFSET(GanttCalc!$B$7,0,15+N(Contracts!$Q$9)))-N(OFFSET(GanttCalc!$B$7,0,14+N(Contracts!$Q$9)))&lt;=0,"",IF(N(OFFSET(GanttCalc!$B$7,0,15+N(Contracts!$Q$9)))-N(OFFSET(GanttCalc!$B$7,0,14+N(Contracts!$Q$9)))=1,"R"&amp;OFFSET(GanttCalc!$B$7,0,15+N(Contracts!$Q$9)),"R"&amp;(OFFSET(GanttCalc!$B$7,0,14+N(Contracts!$Q$9))+1)&amp;"-"&amp;OFFSET(GanttCalc!$B$7,0,15+N(Contracts!$Q$9)))))</f>
        <v/>
      </c>
      <c r="T22" s="60" t="str">
        <f aca="true">IF($B$22="","",IF(N(OFFSET(GanttCalc!$B$7,0,16+N(Contracts!$Q$9)))-N(OFFSET(GanttCalc!$B$7,0,15+N(Contracts!$Q$9)))&lt;=0,"",IF(N(OFFSET(GanttCalc!$B$7,0,16+N(Contracts!$Q$9)))-N(OFFSET(GanttCalc!$B$7,0,15+N(Contracts!$Q$9)))=1,"R"&amp;OFFSET(GanttCalc!$B$7,0,16+N(Contracts!$Q$9)),"R"&amp;(OFFSET(GanttCalc!$B$7,0,15+N(Contracts!$Q$9))+1)&amp;"-"&amp;OFFSET(GanttCalc!$B$7,0,16+N(Contracts!$Q$9)))))</f>
        <v/>
      </c>
      <c r="U22" s="60" t="str">
        <f aca="true">IF($B$22="","",IF(N(OFFSET(GanttCalc!$B$7,0,17+N(Contracts!$Q$9)))-N(OFFSET(GanttCalc!$B$7,0,16+N(Contracts!$Q$9)))&lt;=0,"",IF(N(OFFSET(GanttCalc!$B$7,0,17+N(Contracts!$Q$9)))-N(OFFSET(GanttCalc!$B$7,0,16+N(Contracts!$Q$9)))=1,"R"&amp;OFFSET(GanttCalc!$B$7,0,17+N(Contracts!$Q$9)),"R"&amp;(OFFSET(GanttCalc!$B$7,0,16+N(Contracts!$Q$9))+1)&amp;"-"&amp;OFFSET(GanttCalc!$B$7,0,17+N(Contracts!$Q$9)))))</f>
        <v/>
      </c>
      <c r="V22" s="60" t="str">
        <f aca="true">IF($B$22="","",IF(N(OFFSET(GanttCalc!$B$7,0,18+N(Contracts!$Q$9)))-N(OFFSET(GanttCalc!$B$7,0,17+N(Contracts!$Q$9)))&lt;=0,"",IF(N(OFFSET(GanttCalc!$B$7,0,18+N(Contracts!$Q$9)))-N(OFFSET(GanttCalc!$B$7,0,17+N(Contracts!$Q$9)))=1,"R"&amp;OFFSET(GanttCalc!$B$7,0,18+N(Contracts!$Q$9)),"R"&amp;(OFFSET(GanttCalc!$B$7,0,17+N(Contracts!$Q$9))+1)&amp;"-"&amp;OFFSET(GanttCalc!$B$7,0,18+N(Contracts!$Q$9)))))</f>
        <v/>
      </c>
      <c r="W22" s="60" t="str">
        <f aca="true">IF($B$22="","",IF(N(OFFSET(GanttCalc!$B$7,0,19+N(Contracts!$Q$9)))-N(OFFSET(GanttCalc!$B$7,0,18+N(Contracts!$Q$9)))&lt;=0,"",IF(N(OFFSET(GanttCalc!$B$7,0,19+N(Contracts!$Q$9)))-N(OFFSET(GanttCalc!$B$7,0,18+N(Contracts!$Q$9)))=1,"R"&amp;OFFSET(GanttCalc!$B$7,0,19+N(Contracts!$Q$9)),"R"&amp;(OFFSET(GanttCalc!$B$7,0,18+N(Contracts!$Q$9))+1)&amp;"-"&amp;OFFSET(GanttCalc!$B$7,0,19+N(Contracts!$Q$9)))))</f>
        <v/>
      </c>
      <c r="X22" s="60" t="str">
        <f aca="true">IF($B$22="","",IF(N(OFFSET(GanttCalc!$B$7,0,20+N(Contracts!$Q$9)))-N(OFFSET(GanttCalc!$B$7,0,19+N(Contracts!$Q$9)))&lt;=0,"",IF(N(OFFSET(GanttCalc!$B$7,0,20+N(Contracts!$Q$9)))-N(OFFSET(GanttCalc!$B$7,0,19+N(Contracts!$Q$9)))=1,"R"&amp;OFFSET(GanttCalc!$B$7,0,20+N(Contracts!$Q$9)),"R"&amp;(OFFSET(GanttCalc!$B$7,0,19+N(Contracts!$Q$9))+1)&amp;"-"&amp;OFFSET(GanttCalc!$B$7,0,20+N(Contracts!$Q$9)))))</f>
        <v/>
      </c>
      <c r="Y22" s="60" t="str">
        <f aca="true">IF($B$22="","",IF(N(OFFSET(GanttCalc!$B$7,0,21+N(Contracts!$Q$9)))-N(OFFSET(GanttCalc!$B$7,0,20+N(Contracts!$Q$9)))&lt;=0,"",IF(N(OFFSET(GanttCalc!$B$7,0,21+N(Contracts!$Q$9)))-N(OFFSET(GanttCalc!$B$7,0,20+N(Contracts!$Q$9)))=1,"R"&amp;OFFSET(GanttCalc!$B$7,0,21+N(Contracts!$Q$9)),"R"&amp;(OFFSET(GanttCalc!$B$7,0,20+N(Contracts!$Q$9))+1)&amp;"-"&amp;OFFSET(GanttCalc!$B$7,0,21+N(Contracts!$Q$9)))))</f>
        <v/>
      </c>
      <c r="Z22" s="60" t="str">
        <f aca="true">IF($B$22="","",IF(N(OFFSET(GanttCalc!$B$7,0,22+N(Contracts!$Q$9)))-N(OFFSET(GanttCalc!$B$7,0,21+N(Contracts!$Q$9)))&lt;=0,"",IF(N(OFFSET(GanttCalc!$B$7,0,22+N(Contracts!$Q$9)))-N(OFFSET(GanttCalc!$B$7,0,21+N(Contracts!$Q$9)))=1,"R"&amp;OFFSET(GanttCalc!$B$7,0,22+N(Contracts!$Q$9)),"R"&amp;(OFFSET(GanttCalc!$B$7,0,21+N(Contracts!$Q$9))+1)&amp;"-"&amp;OFFSET(GanttCalc!$B$7,0,22+N(Contracts!$Q$9)))))</f>
        <v/>
      </c>
      <c r="AA22" s="60" t="str">
        <f aca="true">IF($B$22="","",IF(N(OFFSET(GanttCalc!$B$7,0,23+N(Contracts!$Q$9)))-N(OFFSET(GanttCalc!$B$7,0,22+N(Contracts!$Q$9)))&lt;=0,"",IF(N(OFFSET(GanttCalc!$B$7,0,23+N(Contracts!$Q$9)))-N(OFFSET(GanttCalc!$B$7,0,22+N(Contracts!$Q$9)))=1,"R"&amp;OFFSET(GanttCalc!$B$7,0,23+N(Contracts!$Q$9)),"R"&amp;(OFFSET(GanttCalc!$B$7,0,22+N(Contracts!$Q$9))+1)&amp;"-"&amp;OFFSET(GanttCalc!$B$7,0,23+N(Contracts!$Q$9)))))</f>
        <v/>
      </c>
      <c r="AB22" s="60" t="str">
        <f aca="true">IF($B$22="","",IF(N(OFFSET(GanttCalc!$B$7,0,24+N(Contracts!$Q$9)))-N(OFFSET(GanttCalc!$B$7,0,23+N(Contracts!$Q$9)))&lt;=0,"",IF(N(OFFSET(GanttCalc!$B$7,0,24+N(Contracts!$Q$9)))-N(OFFSET(GanttCalc!$B$7,0,23+N(Contracts!$Q$9)))=1,"R"&amp;OFFSET(GanttCalc!$B$7,0,24+N(Contracts!$Q$9)),"R"&amp;(OFFSET(GanttCalc!$B$7,0,23+N(Contracts!$Q$9))+1)&amp;"-"&amp;OFFSET(GanttCalc!$B$7,0,24+N(Contracts!$Q$9)))))</f>
        <v/>
      </c>
      <c r="AC22" s="60" t="str">
        <f aca="true">IF($B$22="","",IF(N(OFFSET(GanttCalc!$B$7,0,25+N(Contracts!$Q$9)))-N(OFFSET(GanttCalc!$B$7,0,24+N(Contracts!$Q$9)))&lt;=0,"",IF(N(OFFSET(GanttCalc!$B$7,0,25+N(Contracts!$Q$9)))-N(OFFSET(GanttCalc!$B$7,0,24+N(Contracts!$Q$9)))=1,"R"&amp;OFFSET(GanttCalc!$B$7,0,25+N(Contracts!$Q$9)),"R"&amp;(OFFSET(GanttCalc!$B$7,0,24+N(Contracts!$Q$9))+1)&amp;"-"&amp;OFFSET(GanttCalc!$B$7,0,25+N(Contracts!$Q$9)))))</f>
        <v/>
      </c>
      <c r="AD22" s="60" t="str">
        <f aca="true">IF($B$22="","",IF(N(OFFSET(GanttCalc!$B$7,0,26+N(Contracts!$Q$9)))-N(OFFSET(GanttCalc!$B$7,0,25+N(Contracts!$Q$9)))&lt;=0,"",IF(N(OFFSET(GanttCalc!$B$7,0,26+N(Contracts!$Q$9)))-N(OFFSET(GanttCalc!$B$7,0,25+N(Contracts!$Q$9)))=1,"R"&amp;OFFSET(GanttCalc!$B$7,0,26+N(Contracts!$Q$9)),"R"&amp;(OFFSET(GanttCalc!$B$7,0,25+N(Contracts!$Q$9))+1)&amp;"-"&amp;OFFSET(GanttCalc!$B$7,0,26+N(Contracts!$Q$9)))))</f>
        <v/>
      </c>
      <c r="AE22" s="60" t="str">
        <f aca="true">IF($B$22="","",IF(N(OFFSET(GanttCalc!$B$7,0,27+N(Contracts!$Q$9)))-N(OFFSET(GanttCalc!$B$7,0,26+N(Contracts!$Q$9)))&lt;=0,"",IF(N(OFFSET(GanttCalc!$B$7,0,27+N(Contracts!$Q$9)))-N(OFFSET(GanttCalc!$B$7,0,26+N(Contracts!$Q$9)))=1,"R"&amp;OFFSET(GanttCalc!$B$7,0,27+N(Contracts!$Q$9)),"R"&amp;(OFFSET(GanttCalc!$B$7,0,26+N(Contracts!$Q$9))+1)&amp;"-"&amp;OFFSET(GanttCalc!$B$7,0,27+N(Contracts!$Q$9)))))</f>
        <v/>
      </c>
      <c r="AF22" s="60" t="str">
        <f aca="true">IF($B$22="","",IF(N(OFFSET(GanttCalc!$B$7,0,28+N(Contracts!$Q$9)))-N(OFFSET(GanttCalc!$B$7,0,27+N(Contracts!$Q$9)))&lt;=0,"",IF(N(OFFSET(GanttCalc!$B$7,0,28+N(Contracts!$Q$9)))-N(OFFSET(GanttCalc!$B$7,0,27+N(Contracts!$Q$9)))=1,"R"&amp;OFFSET(GanttCalc!$B$7,0,28+N(Contracts!$Q$9)),"R"&amp;(OFFSET(GanttCalc!$B$7,0,27+N(Contracts!$Q$9))+1)&amp;"-"&amp;OFFSET(GanttCalc!$B$7,0,28+N(Contracts!$Q$9)))))</f>
        <v/>
      </c>
      <c r="AG22" s="60" t="str">
        <f aca="true">IF($B$22="","",IF(N(OFFSET(GanttCalc!$B$7,0,29+N(Contracts!$Q$9)))-N(OFFSET(GanttCalc!$B$7,0,28+N(Contracts!$Q$9)))&lt;=0,"",IF(N(OFFSET(GanttCalc!$B$7,0,29+N(Contracts!$Q$9)))-N(OFFSET(GanttCalc!$B$7,0,28+N(Contracts!$Q$9)))=1,"R"&amp;OFFSET(GanttCalc!$B$7,0,29+N(Contracts!$Q$9)),"R"&amp;(OFFSET(GanttCalc!$B$7,0,28+N(Contracts!$Q$9))+1)&amp;"-"&amp;OFFSET(GanttCalc!$B$7,0,29+N(Contracts!$Q$9)))))</f>
        <v/>
      </c>
      <c r="AH22" s="60" t="str">
        <f aca="true">IF($B$22="","",IF(N(OFFSET(GanttCalc!$B$7,0,30+N(Contracts!$Q$9)))-N(OFFSET(GanttCalc!$B$7,0,29+N(Contracts!$Q$9)))&lt;=0,"",IF(N(OFFSET(GanttCalc!$B$7,0,30+N(Contracts!$Q$9)))-N(OFFSET(GanttCalc!$B$7,0,29+N(Contracts!$Q$9)))=1,"R"&amp;OFFSET(GanttCalc!$B$7,0,30+N(Contracts!$Q$9)),"R"&amp;(OFFSET(GanttCalc!$B$7,0,29+N(Contracts!$Q$9))+1)&amp;"-"&amp;OFFSET(GanttCalc!$B$7,0,30+N(Contracts!$Q$9)))))</f>
        <v/>
      </c>
      <c r="AI22" s="60" t="str">
        <f aca="true">IF($B$22="","",IF(N(OFFSET(GanttCalc!$B$7,0,31+N(Contracts!$Q$9)))-N(OFFSET(GanttCalc!$B$7,0,30+N(Contracts!$Q$9)))&lt;=0,"",IF(N(OFFSET(GanttCalc!$B$7,0,31+N(Contracts!$Q$9)))-N(OFFSET(GanttCalc!$B$7,0,30+N(Contracts!$Q$9)))=1,"R"&amp;OFFSET(GanttCalc!$B$7,0,31+N(Contracts!$Q$9)),"R"&amp;(OFFSET(GanttCalc!$B$7,0,30+N(Contracts!$Q$9))+1)&amp;"-"&amp;OFFSET(GanttCalc!$B$7,0,31+N(Contracts!$Q$9)))))</f>
        <v/>
      </c>
      <c r="AJ22" s="60" t="str">
        <f aca="true">IF($B$22="","",IF(N(OFFSET(GanttCalc!$B$7,0,32+N(Contracts!$Q$9)))-N(OFFSET(GanttCalc!$B$7,0,31+N(Contracts!$Q$9)))&lt;=0,"",IF(N(OFFSET(GanttCalc!$B$7,0,32+N(Contracts!$Q$9)))-N(OFFSET(GanttCalc!$B$7,0,31+N(Contracts!$Q$9)))=1,"R"&amp;OFFSET(GanttCalc!$B$7,0,32+N(Contracts!$Q$9)),"R"&amp;(OFFSET(GanttCalc!$B$7,0,31+N(Contracts!$Q$9))+1)&amp;"-"&amp;OFFSET(GanttCalc!$B$7,0,32+N(Contracts!$Q$9)))))</f>
        <v/>
      </c>
      <c r="AK22" s="60" t="str">
        <f aca="true">IF($B$22="","",IF(N(OFFSET(GanttCalc!$B$7,0,33+N(Contracts!$Q$9)))-N(OFFSET(GanttCalc!$B$7,0,32+N(Contracts!$Q$9)))&lt;=0,"",IF(N(OFFSET(GanttCalc!$B$7,0,33+N(Contracts!$Q$9)))-N(OFFSET(GanttCalc!$B$7,0,32+N(Contracts!$Q$9)))=1,"R"&amp;OFFSET(GanttCalc!$B$7,0,33+N(Contracts!$Q$9)),"R"&amp;(OFFSET(GanttCalc!$B$7,0,32+N(Contracts!$Q$9))+1)&amp;"-"&amp;OFFSET(GanttCalc!$B$7,0,33+N(Contracts!$Q$9)))))</f>
        <v>R1</v>
      </c>
      <c r="AL22" s="60" t="str">
        <f aca="true">IF($B$22="","",IF(N(OFFSET(GanttCalc!$B$7,0,34+N(Contracts!$Q$9)))-N(OFFSET(GanttCalc!$B$7,0,33+N(Contracts!$Q$9)))&lt;=0,"",IF(N(OFFSET(GanttCalc!$B$7,0,34+N(Contracts!$Q$9)))-N(OFFSET(GanttCalc!$B$7,0,33+N(Contracts!$Q$9)))=1,"R"&amp;OFFSET(GanttCalc!$B$7,0,34+N(Contracts!$Q$9)),"R"&amp;(OFFSET(GanttCalc!$B$7,0,33+N(Contracts!$Q$9))+1)&amp;"-"&amp;OFFSET(GanttCalc!$B$7,0,34+N(Contracts!$Q$9)))))</f>
        <v/>
      </c>
      <c r="AM22" s="60" t="str">
        <f aca="true">IF($B$22="","",IF(N(OFFSET(GanttCalc!$B$7,0,35+N(Contracts!$Q$9)))-N(OFFSET(GanttCalc!$B$7,0,34+N(Contracts!$Q$9)))&lt;=0,"",IF(N(OFFSET(GanttCalc!$B$7,0,35+N(Contracts!$Q$9)))-N(OFFSET(GanttCalc!$B$7,0,34+N(Contracts!$Q$9)))=1,"R"&amp;OFFSET(GanttCalc!$B$7,0,35+N(Contracts!$Q$9)),"R"&amp;(OFFSET(GanttCalc!$B$7,0,34+N(Contracts!$Q$9))+1)&amp;"-"&amp;OFFSET(GanttCalc!$B$7,0,35+N(Contracts!$Q$9)))))</f>
        <v>R2-3</v>
      </c>
      <c r="AN22" s="60" t="str">
        <f aca="true">IF($B$22="","",IF(N(OFFSET(GanttCalc!$B$7,0,36+N(Contracts!$Q$9)))-N(OFFSET(GanttCalc!$B$7,0,35+N(Contracts!$Q$9)))&lt;=0,"",IF(N(OFFSET(GanttCalc!$B$7,0,36+N(Contracts!$Q$9)))-N(OFFSET(GanttCalc!$B$7,0,35+N(Contracts!$Q$9)))=1,"R"&amp;OFFSET(GanttCalc!$B$7,0,36+N(Contracts!$Q$9)),"R"&amp;(OFFSET(GanttCalc!$B$7,0,35+N(Contracts!$Q$9))+1)&amp;"-"&amp;OFFSET(GanttCalc!$B$7,0,36+N(Contracts!$Q$9)))))</f>
        <v>R4-8</v>
      </c>
      <c r="AO22" s="60" t="str">
        <f aca="true">IF($B$22="","",IF(N(OFFSET(GanttCalc!$B$7,0,37+N(Contracts!$Q$9)))-N(OFFSET(GanttCalc!$B$7,0,36+N(Contracts!$Q$9)))&lt;=0,"",IF(N(OFFSET(GanttCalc!$B$7,0,37+N(Contracts!$Q$9)))-N(OFFSET(GanttCalc!$B$7,0,36+N(Contracts!$Q$9)))=1,"R"&amp;OFFSET(GanttCalc!$B$7,0,37+N(Contracts!$Q$9)),"R"&amp;(OFFSET(GanttCalc!$B$7,0,36+N(Contracts!$Q$9))+1)&amp;"-"&amp;OFFSET(GanttCalc!$B$7,0,37+N(Contracts!$Q$9)))))</f>
        <v/>
      </c>
      <c r="AP22" s="60" t="str">
        <f aca="true">IF($B$22="","",IF(N(OFFSET(GanttCalc!$B$7,0,38+N(Contracts!$Q$9)))-N(OFFSET(GanttCalc!$B$7,0,37+N(Contracts!$Q$9)))&lt;=0,"",IF(N(OFFSET(GanttCalc!$B$7,0,38+N(Contracts!$Q$9)))-N(OFFSET(GanttCalc!$B$7,0,37+N(Contracts!$Q$9)))=1,"R"&amp;OFFSET(GanttCalc!$B$7,0,38+N(Contracts!$Q$9)),"R"&amp;(OFFSET(GanttCalc!$B$7,0,37+N(Contracts!$Q$9))+1)&amp;"-"&amp;OFFSET(GanttCalc!$B$7,0,38+N(Contracts!$Q$9)))))</f>
        <v/>
      </c>
      <c r="AQ22" s="60" t="str">
        <f aca="true">IF($B$22="","",IF(N(OFFSET(GanttCalc!$B$7,0,39+N(Contracts!$Q$9)))-N(OFFSET(GanttCalc!$B$7,0,38+N(Contracts!$Q$9)))&lt;=0,"",IF(N(OFFSET(GanttCalc!$B$7,0,39+N(Contracts!$Q$9)))-N(OFFSET(GanttCalc!$B$7,0,38+N(Contracts!$Q$9)))=1,"R"&amp;OFFSET(GanttCalc!$B$7,0,39+N(Contracts!$Q$9)),"R"&amp;(OFFSET(GanttCalc!$B$7,0,38+N(Contracts!$Q$9))+1)&amp;"-"&amp;OFFSET(GanttCalc!$B$7,0,39+N(Contracts!$Q$9)))))</f>
        <v/>
      </c>
      <c r="AR22" s="60" t="str">
        <f aca="true">IF($B$22="","",IF(N(OFFSET(GanttCalc!$B$7,0,40+N(Contracts!$Q$9)))-N(OFFSET(GanttCalc!$B$7,0,39+N(Contracts!$Q$9)))&lt;=0,"",IF(N(OFFSET(GanttCalc!$B$7,0,40+N(Contracts!$Q$9)))-N(OFFSET(GanttCalc!$B$7,0,39+N(Contracts!$Q$9)))=1,"R"&amp;OFFSET(GanttCalc!$B$7,0,40+N(Contracts!$Q$9)),"R"&amp;(OFFSET(GanttCalc!$B$7,0,39+N(Contracts!$Q$9))+1)&amp;"-"&amp;OFFSET(GanttCalc!$B$7,0,40+N(Contracts!$Q$9)))))</f>
        <v>R9</v>
      </c>
      <c r="AS22" s="60" t="str">
        <f aca="true">IF($B$22="","",IF(N(OFFSET(GanttCalc!$B$7,0,41+N(Contracts!$Q$9)))-N(OFFSET(GanttCalc!$B$7,0,40+N(Contracts!$Q$9)))&lt;=0,"",IF(N(OFFSET(GanttCalc!$B$7,0,41+N(Contracts!$Q$9)))-N(OFFSET(GanttCalc!$B$7,0,40+N(Contracts!$Q$9)))=1,"R"&amp;OFFSET(GanttCalc!$B$7,0,41+N(Contracts!$Q$9)),"R"&amp;(OFFSET(GanttCalc!$B$7,0,40+N(Contracts!$Q$9))+1)&amp;"-"&amp;OFFSET(GanttCalc!$B$7,0,41+N(Contracts!$Q$9)))))</f>
        <v>R10</v>
      </c>
      <c r="AT22" s="60" t="str">
        <f aca="true">IF($B$22="","",IF(N(OFFSET(GanttCalc!$B$7,0,42+N(Contracts!$Q$9)))-N(OFFSET(GanttCalc!$B$7,0,41+N(Contracts!$Q$9)))&lt;=0,"",IF(N(OFFSET(GanttCalc!$B$7,0,42+N(Contracts!$Q$9)))-N(OFFSET(GanttCalc!$B$7,0,41+N(Contracts!$Q$9)))=1,"R"&amp;OFFSET(GanttCalc!$B$7,0,42+N(Contracts!$Q$9)),"R"&amp;(OFFSET(GanttCalc!$B$7,0,41+N(Contracts!$Q$9))+1)&amp;"-"&amp;OFFSET(GanttCalc!$B$7,0,42+N(Contracts!$Q$9)))))</f>
        <v>R11</v>
      </c>
      <c r="AU22" s="60" t="str">
        <f aca="true">IF($B$22="","",IF(N(OFFSET(GanttCalc!$B$7,0,43+N(Contracts!$Q$9)))-N(OFFSET(GanttCalc!$B$7,0,42+N(Contracts!$Q$9)))&lt;=0,"",IF(N(OFFSET(GanttCalc!$B$7,0,43+N(Contracts!$Q$9)))-N(OFFSET(GanttCalc!$B$7,0,42+N(Contracts!$Q$9)))=1,"R"&amp;OFFSET(GanttCalc!$B$7,0,43+N(Contracts!$Q$9)),"R"&amp;(OFFSET(GanttCalc!$B$7,0,42+N(Contracts!$Q$9))+1)&amp;"-"&amp;OFFSET(GanttCalc!$B$7,0,43+N(Contracts!$Q$9)))))</f>
        <v/>
      </c>
      <c r="AV22" s="60" t="str">
        <f aca="true">IF($B$22="","",IF(N(OFFSET(GanttCalc!$B$7,0,44+N(Contracts!$Q$9)))-N(OFFSET(GanttCalc!$B$7,0,43+N(Contracts!$Q$9)))&lt;=0,"",IF(N(OFFSET(GanttCalc!$B$7,0,44+N(Contracts!$Q$9)))-N(OFFSET(GanttCalc!$B$7,0,43+N(Contracts!$Q$9)))=1,"R"&amp;OFFSET(GanttCalc!$B$7,0,44+N(Contracts!$Q$9)),"R"&amp;(OFFSET(GanttCalc!$B$7,0,43+N(Contracts!$Q$9))+1)&amp;"-"&amp;OFFSET(GanttCalc!$B$7,0,44+N(Contracts!$Q$9)))))</f>
        <v/>
      </c>
      <c r="AW22" s="60" t="str">
        <f aca="true">IF($B$22="","",IF(N(OFFSET(GanttCalc!$B$7,0,45+N(Contracts!$Q$9)))-N(OFFSET(GanttCalc!$B$7,0,44+N(Contracts!$Q$9)))&lt;=0,"",IF(N(OFFSET(GanttCalc!$B$7,0,45+N(Contracts!$Q$9)))-N(OFFSET(GanttCalc!$B$7,0,44+N(Contracts!$Q$9)))=1,"R"&amp;OFFSET(GanttCalc!$B$7,0,45+N(Contracts!$Q$9)),"R"&amp;(OFFSET(GanttCalc!$B$7,0,44+N(Contracts!$Q$9))+1)&amp;"-"&amp;OFFSET(GanttCalc!$B$7,0,45+N(Contracts!$Q$9)))))</f>
        <v/>
      </c>
      <c r="AX22" s="60" t="str">
        <f aca="true">IF($B$22="","",IF(N(OFFSET(GanttCalc!$B$7,0,46+N(Contracts!$Q$9)))-N(OFFSET(GanttCalc!$B$7,0,45+N(Contracts!$Q$9)))&lt;=0,"",IF(N(OFFSET(GanttCalc!$B$7,0,46+N(Contracts!$Q$9)))-N(OFFSET(GanttCalc!$B$7,0,45+N(Contracts!$Q$9)))=1,"R"&amp;OFFSET(GanttCalc!$B$7,0,46+N(Contracts!$Q$9)),"R"&amp;(OFFSET(GanttCalc!$B$7,0,45+N(Contracts!$Q$9))+1)&amp;"-"&amp;OFFSET(GanttCalc!$B$7,0,46+N(Contracts!$Q$9)))))</f>
        <v/>
      </c>
      <c r="AY22" s="60" t="str">
        <f aca="true">IF($B$22="","",IF(N(OFFSET(GanttCalc!$B$7,0,47+N(Contracts!$Q$9)))-N(OFFSET(GanttCalc!$B$7,0,46+N(Contracts!$Q$9)))&lt;=0,"",IF(N(OFFSET(GanttCalc!$B$7,0,47+N(Contracts!$Q$9)))-N(OFFSET(GanttCalc!$B$7,0,46+N(Contracts!$Q$9)))=1,"R"&amp;OFFSET(GanttCalc!$B$7,0,47+N(Contracts!$Q$9)),"R"&amp;(OFFSET(GanttCalc!$B$7,0,46+N(Contracts!$Q$9))+1)&amp;"-"&amp;OFFSET(GanttCalc!$B$7,0,47+N(Contracts!$Q$9)))))</f>
        <v/>
      </c>
      <c r="AZ22" s="60" t="str">
        <f aca="true">IF($B$22="","",IF(N(OFFSET(GanttCalc!$B$7,0,48+N(Contracts!$Q$9)))-N(OFFSET(GanttCalc!$B$7,0,47+N(Contracts!$Q$9)))&lt;=0,"",IF(N(OFFSET(GanttCalc!$B$7,0,48+N(Contracts!$Q$9)))-N(OFFSET(GanttCalc!$B$7,0,47+N(Contracts!$Q$9)))=1,"R"&amp;OFFSET(GanttCalc!$B$7,0,48+N(Contracts!$Q$9)),"R"&amp;(OFFSET(GanttCalc!$B$7,0,47+N(Contracts!$Q$9))+1)&amp;"-"&amp;OFFSET(GanttCalc!$B$7,0,48+N(Contracts!$Q$9)))))</f>
        <v/>
      </c>
      <c r="BA22" s="60" t="str">
        <f aca="true">IF($B$22="","",IF(N(OFFSET(GanttCalc!$B$7,0,49+N(Contracts!$Q$9)))-N(OFFSET(GanttCalc!$B$7,0,48+N(Contracts!$Q$9)))&lt;=0,"",IF(N(OFFSET(GanttCalc!$B$7,0,49+N(Contracts!$Q$9)))-N(OFFSET(GanttCalc!$B$7,0,48+N(Contracts!$Q$9)))=1,"R"&amp;OFFSET(GanttCalc!$B$7,0,49+N(Contracts!$Q$9)),"R"&amp;(OFFSET(GanttCalc!$B$7,0,48+N(Contracts!$Q$9))+1)&amp;"-"&amp;OFFSET(GanttCalc!$B$7,0,49+N(Contracts!$Q$9)))))</f>
        <v/>
      </c>
      <c r="BB22" s="60" t="str">
        <f aca="true">IF($B$22="","",IF(N(OFFSET(GanttCalc!$B$7,0,50+N(Contracts!$Q$9)))-N(OFFSET(GanttCalc!$B$7,0,49+N(Contracts!$Q$9)))&lt;=0,"",IF(N(OFFSET(GanttCalc!$B$7,0,50+N(Contracts!$Q$9)))-N(OFFSET(GanttCalc!$B$7,0,49+N(Contracts!$Q$9)))=1,"R"&amp;OFFSET(GanttCalc!$B$7,0,50+N(Contracts!$Q$9)),"R"&amp;(OFFSET(GanttCalc!$B$7,0,49+N(Contracts!$Q$9))+1)&amp;"-"&amp;OFFSET(GanttCalc!$B$7,0,50+N(Contracts!$Q$9)))))</f>
        <v/>
      </c>
      <c r="BC22" s="60" t="str">
        <f aca="true">IF($B$22="","",IF(N(OFFSET(GanttCalc!$B$7,0,51+N(Contracts!$Q$9)))-N(OFFSET(GanttCalc!$B$7,0,50+N(Contracts!$Q$9)))&lt;=0,"",IF(N(OFFSET(GanttCalc!$B$7,0,51+N(Contracts!$Q$9)))-N(OFFSET(GanttCalc!$B$7,0,50+N(Contracts!$Q$9)))=1,"R"&amp;OFFSET(GanttCalc!$B$7,0,51+N(Contracts!$Q$9)),"R"&amp;(OFFSET(GanttCalc!$B$7,0,50+N(Contracts!$Q$9))+1)&amp;"-"&amp;OFFSET(GanttCalc!$B$7,0,51+N(Contracts!$Q$9)))))</f>
        <v/>
      </c>
      <c r="BD22" s="60" t="str">
        <f aca="true">IF($B$22="","",IF(N(OFFSET(GanttCalc!$B$7,0,52+N(Contracts!$Q$9)))-N(OFFSET(GanttCalc!$B$7,0,51+N(Contracts!$Q$9)))&lt;=0,"",IF(N(OFFSET(GanttCalc!$B$7,0,52+N(Contracts!$Q$9)))-N(OFFSET(GanttCalc!$B$7,0,51+N(Contracts!$Q$9)))=1,"R"&amp;OFFSET(GanttCalc!$B$7,0,52+N(Contracts!$Q$9)),"R"&amp;(OFFSET(GanttCalc!$B$7,0,51+N(Contracts!$Q$9))+1)&amp;"-"&amp;OFFSET(GanttCalc!$B$7,0,52+N(Contracts!$Q$9)))))</f>
        <v/>
      </c>
    </row>
    <row r="23" customFormat="false" ht="16.5" hidden="false" customHeight="true" outlineLevel="0" collapsed="false">
      <c r="B23" s="61" t="str">
        <f aca="false">IF(Contracts!$A$9="","",Contracts!$C$9)</f>
        <v>92ERP04548B++</v>
      </c>
      <c r="C23" s="62" t="str">
        <f aca="false">IF(Contracts!$A$9="","","AMPS build")</f>
        <v>AMPS build</v>
      </c>
      <c r="D23" s="59" t="str">
        <f aca="false">IF($B$22="","",SUMPRODUCT(--(E23:BD23&lt;&gt;""))&amp;" wks")</f>
        <v>6 wks</v>
      </c>
      <c r="E23" s="60" t="str">
        <f aca="false">IF($B$22="","",IF(N(GanttCalc!D7)-N(GanttCalc!C7)&lt;=0,"",IF(N(GanttCalc!D7)-N(GanttCalc!C7)=1,"R"&amp;GanttCalc!D7,"R"&amp;(GanttCalc!C7+1)&amp;"-"&amp;GanttCalc!D7)))</f>
        <v/>
      </c>
      <c r="F23" s="60" t="str">
        <f aca="false">IF($B$22="","",IF(N(GanttCalc!E7)-N(GanttCalc!D7)&lt;=0,"",IF(N(GanttCalc!E7)-N(GanttCalc!D7)=1,"R"&amp;GanttCalc!E7,"R"&amp;(GanttCalc!D7+1)&amp;"-"&amp;GanttCalc!E7)))</f>
        <v/>
      </c>
      <c r="G23" s="60" t="str">
        <f aca="false">IF($B$22="","",IF(N(GanttCalc!F7)-N(GanttCalc!E7)&lt;=0,"",IF(N(GanttCalc!F7)-N(GanttCalc!E7)=1,"R"&amp;GanttCalc!F7,"R"&amp;(GanttCalc!E7+1)&amp;"-"&amp;GanttCalc!F7)))</f>
        <v/>
      </c>
      <c r="H23" s="60" t="str">
        <f aca="false">IF($B$22="","",IF(N(GanttCalc!G7)-N(GanttCalc!F7)&lt;=0,"",IF(N(GanttCalc!G7)-N(GanttCalc!F7)=1,"R"&amp;GanttCalc!G7,"R"&amp;(GanttCalc!F7+1)&amp;"-"&amp;GanttCalc!G7)))</f>
        <v/>
      </c>
      <c r="I23" s="60" t="str">
        <f aca="false">IF($B$22="","",IF(N(GanttCalc!H7)-N(GanttCalc!G7)&lt;=0,"",IF(N(GanttCalc!H7)-N(GanttCalc!G7)=1,"R"&amp;GanttCalc!H7,"R"&amp;(GanttCalc!G7+1)&amp;"-"&amp;GanttCalc!H7)))</f>
        <v/>
      </c>
      <c r="J23" s="60" t="str">
        <f aca="false">IF($B$22="","",IF(N(GanttCalc!I7)-N(GanttCalc!H7)&lt;=0,"",IF(N(GanttCalc!I7)-N(GanttCalc!H7)=1,"R"&amp;GanttCalc!I7,"R"&amp;(GanttCalc!H7+1)&amp;"-"&amp;GanttCalc!I7)))</f>
        <v/>
      </c>
      <c r="K23" s="60" t="str">
        <f aca="false">IF($B$22="","",IF(N(GanttCalc!J7)-N(GanttCalc!I7)&lt;=0,"",IF(N(GanttCalc!J7)-N(GanttCalc!I7)=1,"R"&amp;GanttCalc!J7,"R"&amp;(GanttCalc!I7+1)&amp;"-"&amp;GanttCalc!J7)))</f>
        <v/>
      </c>
      <c r="L23" s="60" t="str">
        <f aca="false">IF($B$22="","",IF(N(GanttCalc!K7)-N(GanttCalc!J7)&lt;=0,"",IF(N(GanttCalc!K7)-N(GanttCalc!J7)=1,"R"&amp;GanttCalc!K7,"R"&amp;(GanttCalc!J7+1)&amp;"-"&amp;GanttCalc!K7)))</f>
        <v/>
      </c>
      <c r="M23" s="60" t="str">
        <f aca="false">IF($B$22="","",IF(N(GanttCalc!L7)-N(GanttCalc!K7)&lt;=0,"",IF(N(GanttCalc!L7)-N(GanttCalc!K7)=1,"R"&amp;GanttCalc!L7,"R"&amp;(GanttCalc!K7+1)&amp;"-"&amp;GanttCalc!L7)))</f>
        <v/>
      </c>
      <c r="N23" s="60" t="str">
        <f aca="false">IF($B$22="","",IF(N(GanttCalc!M7)-N(GanttCalc!L7)&lt;=0,"",IF(N(GanttCalc!M7)-N(GanttCalc!L7)=1,"R"&amp;GanttCalc!M7,"R"&amp;(GanttCalc!L7+1)&amp;"-"&amp;GanttCalc!M7)))</f>
        <v/>
      </c>
      <c r="O23" s="60" t="str">
        <f aca="false">IF($B$22="","",IF(N(GanttCalc!N7)-N(GanttCalc!M7)&lt;=0,"",IF(N(GanttCalc!N7)-N(GanttCalc!M7)=1,"R"&amp;GanttCalc!N7,"R"&amp;(GanttCalc!M7+1)&amp;"-"&amp;GanttCalc!N7)))</f>
        <v/>
      </c>
      <c r="P23" s="60" t="str">
        <f aca="false">IF($B$22="","",IF(N(GanttCalc!O7)-N(GanttCalc!N7)&lt;=0,"",IF(N(GanttCalc!O7)-N(GanttCalc!N7)=1,"R"&amp;GanttCalc!O7,"R"&amp;(GanttCalc!N7+1)&amp;"-"&amp;GanttCalc!O7)))</f>
        <v/>
      </c>
      <c r="Q23" s="60" t="str">
        <f aca="false">IF($B$22="","",IF(N(GanttCalc!P7)-N(GanttCalc!O7)&lt;=0,"",IF(N(GanttCalc!P7)-N(GanttCalc!O7)=1,"R"&amp;GanttCalc!P7,"R"&amp;(GanttCalc!O7+1)&amp;"-"&amp;GanttCalc!P7)))</f>
        <v/>
      </c>
      <c r="R23" s="60" t="str">
        <f aca="false">IF($B$22="","",IF(N(GanttCalc!Q7)-N(GanttCalc!P7)&lt;=0,"",IF(N(GanttCalc!Q7)-N(GanttCalc!P7)=1,"R"&amp;GanttCalc!Q7,"R"&amp;(GanttCalc!P7+1)&amp;"-"&amp;GanttCalc!Q7)))</f>
        <v/>
      </c>
      <c r="S23" s="60" t="str">
        <f aca="false">IF($B$22="","",IF(N(GanttCalc!R7)-N(GanttCalc!Q7)&lt;=0,"",IF(N(GanttCalc!R7)-N(GanttCalc!Q7)=1,"R"&amp;GanttCalc!R7,"R"&amp;(GanttCalc!Q7+1)&amp;"-"&amp;GanttCalc!R7)))</f>
        <v/>
      </c>
      <c r="T23" s="60" t="str">
        <f aca="false">IF($B$22="","",IF(N(GanttCalc!S7)-N(GanttCalc!R7)&lt;=0,"",IF(N(GanttCalc!S7)-N(GanttCalc!R7)=1,"R"&amp;GanttCalc!S7,"R"&amp;(GanttCalc!R7+1)&amp;"-"&amp;GanttCalc!S7)))</f>
        <v/>
      </c>
      <c r="U23" s="60" t="str">
        <f aca="false">IF($B$22="","",IF(N(GanttCalc!T7)-N(GanttCalc!S7)&lt;=0,"",IF(N(GanttCalc!T7)-N(GanttCalc!S7)=1,"R"&amp;GanttCalc!T7,"R"&amp;(GanttCalc!S7+1)&amp;"-"&amp;GanttCalc!T7)))</f>
        <v/>
      </c>
      <c r="V23" s="60" t="str">
        <f aca="false">IF($B$22="","",IF(N(GanttCalc!U7)-N(GanttCalc!T7)&lt;=0,"",IF(N(GanttCalc!U7)-N(GanttCalc!T7)=1,"R"&amp;GanttCalc!U7,"R"&amp;(GanttCalc!T7+1)&amp;"-"&amp;GanttCalc!U7)))</f>
        <v/>
      </c>
      <c r="W23" s="60" t="str">
        <f aca="false">IF($B$22="","",IF(N(GanttCalc!V7)-N(GanttCalc!U7)&lt;=0,"",IF(N(GanttCalc!V7)-N(GanttCalc!U7)=1,"R"&amp;GanttCalc!V7,"R"&amp;(GanttCalc!U7+1)&amp;"-"&amp;GanttCalc!V7)))</f>
        <v/>
      </c>
      <c r="X23" s="60" t="str">
        <f aca="false">IF($B$22="","",IF(N(GanttCalc!W7)-N(GanttCalc!V7)&lt;=0,"",IF(N(GanttCalc!W7)-N(GanttCalc!V7)=1,"R"&amp;GanttCalc!W7,"R"&amp;(GanttCalc!V7+1)&amp;"-"&amp;GanttCalc!W7)))</f>
        <v/>
      </c>
      <c r="Y23" s="60" t="str">
        <f aca="false">IF($B$22="","",IF(N(GanttCalc!X7)-N(GanttCalc!W7)&lt;=0,"",IF(N(GanttCalc!X7)-N(GanttCalc!W7)=1,"R"&amp;GanttCalc!X7,"R"&amp;(GanttCalc!W7+1)&amp;"-"&amp;GanttCalc!X7)))</f>
        <v/>
      </c>
      <c r="Z23" s="60" t="str">
        <f aca="false">IF($B$22="","",IF(N(GanttCalc!Y7)-N(GanttCalc!X7)&lt;=0,"",IF(N(GanttCalc!Y7)-N(GanttCalc!X7)=1,"R"&amp;GanttCalc!Y7,"R"&amp;(GanttCalc!X7+1)&amp;"-"&amp;GanttCalc!Y7)))</f>
        <v/>
      </c>
      <c r="AA23" s="60" t="str">
        <f aca="false">IF($B$22="","",IF(N(GanttCalc!Z7)-N(GanttCalc!Y7)&lt;=0,"",IF(N(GanttCalc!Z7)-N(GanttCalc!Y7)=1,"R"&amp;GanttCalc!Z7,"R"&amp;(GanttCalc!Y7+1)&amp;"-"&amp;GanttCalc!Z7)))</f>
        <v/>
      </c>
      <c r="AB23" s="60" t="str">
        <f aca="false">IF($B$22="","",IF(N(GanttCalc!AA7)-N(GanttCalc!Z7)&lt;=0,"",IF(N(GanttCalc!AA7)-N(GanttCalc!Z7)=1,"R"&amp;GanttCalc!AA7,"R"&amp;(GanttCalc!Z7+1)&amp;"-"&amp;GanttCalc!AA7)))</f>
        <v/>
      </c>
      <c r="AC23" s="60" t="str">
        <f aca="false">IF($B$22="","",IF(N(GanttCalc!AB7)-N(GanttCalc!AA7)&lt;=0,"",IF(N(GanttCalc!AB7)-N(GanttCalc!AA7)=1,"R"&amp;GanttCalc!AB7,"R"&amp;(GanttCalc!AA7+1)&amp;"-"&amp;GanttCalc!AB7)))</f>
        <v/>
      </c>
      <c r="AD23" s="60" t="str">
        <f aca="false">IF($B$22="","",IF(N(GanttCalc!AC7)-N(GanttCalc!AB7)&lt;=0,"",IF(N(GanttCalc!AC7)-N(GanttCalc!AB7)=1,"R"&amp;GanttCalc!AC7,"R"&amp;(GanttCalc!AB7+1)&amp;"-"&amp;GanttCalc!AC7)))</f>
        <v/>
      </c>
      <c r="AE23" s="60" t="str">
        <f aca="false">IF($B$22="","",IF(N(GanttCalc!AD7)-N(GanttCalc!AC7)&lt;=0,"",IF(N(GanttCalc!AD7)-N(GanttCalc!AC7)=1,"R"&amp;GanttCalc!AD7,"R"&amp;(GanttCalc!AC7+1)&amp;"-"&amp;GanttCalc!AD7)))</f>
        <v/>
      </c>
      <c r="AF23" s="60" t="str">
        <f aca="false">IF($B$22="","",IF(N(GanttCalc!AE7)-N(GanttCalc!AD7)&lt;=0,"",IF(N(GanttCalc!AE7)-N(GanttCalc!AD7)=1,"R"&amp;GanttCalc!AE7,"R"&amp;(GanttCalc!AD7+1)&amp;"-"&amp;GanttCalc!AE7)))</f>
        <v/>
      </c>
      <c r="AG23" s="60" t="str">
        <f aca="false">IF($B$22="","",IF(N(GanttCalc!AF7)-N(GanttCalc!AE7)&lt;=0,"",IF(N(GanttCalc!AF7)-N(GanttCalc!AE7)=1,"R"&amp;GanttCalc!AF7,"R"&amp;(GanttCalc!AE7+1)&amp;"-"&amp;GanttCalc!AF7)))</f>
        <v/>
      </c>
      <c r="AH23" s="60" t="str">
        <f aca="false">IF($B$22="","",IF(N(GanttCalc!AG7)-N(GanttCalc!AF7)&lt;=0,"",IF(N(GanttCalc!AG7)-N(GanttCalc!AF7)=1,"R"&amp;GanttCalc!AG7,"R"&amp;(GanttCalc!AF7+1)&amp;"-"&amp;GanttCalc!AG7)))</f>
        <v/>
      </c>
      <c r="AI23" s="60" t="str">
        <f aca="false">IF($B$22="","",IF(N(GanttCalc!AH7)-N(GanttCalc!AG7)&lt;=0,"",IF(N(GanttCalc!AH7)-N(GanttCalc!AG7)=1,"R"&amp;GanttCalc!AH7,"R"&amp;(GanttCalc!AG7+1)&amp;"-"&amp;GanttCalc!AH7)))</f>
        <v/>
      </c>
      <c r="AJ23" s="60" t="str">
        <f aca="false">IF($B$22="","",IF(N(GanttCalc!AI7)-N(GanttCalc!AH7)&lt;=0,"",IF(N(GanttCalc!AI7)-N(GanttCalc!AH7)=1,"R"&amp;GanttCalc!AI7,"R"&amp;(GanttCalc!AH7+1)&amp;"-"&amp;GanttCalc!AI7)))</f>
        <v/>
      </c>
      <c r="AK23" s="60" t="str">
        <f aca="false">IF($B$22="","",IF(N(GanttCalc!AJ7)-N(GanttCalc!AI7)&lt;=0,"",IF(N(GanttCalc!AJ7)-N(GanttCalc!AI7)=1,"R"&amp;GanttCalc!AJ7,"R"&amp;(GanttCalc!AI7+1)&amp;"-"&amp;GanttCalc!AJ7)))</f>
        <v/>
      </c>
      <c r="AL23" s="60" t="str">
        <f aca="false">IF($B$22="","",IF(N(GanttCalc!AK7)-N(GanttCalc!AJ7)&lt;=0,"",IF(N(GanttCalc!AK7)-N(GanttCalc!AJ7)=1,"R"&amp;GanttCalc!AK7,"R"&amp;(GanttCalc!AJ7+1)&amp;"-"&amp;GanttCalc!AK7)))</f>
        <v>R1</v>
      </c>
      <c r="AM23" s="60" t="str">
        <f aca="false">IF($B$22="","",IF(N(GanttCalc!AL7)-N(GanttCalc!AK7)&lt;=0,"",IF(N(GanttCalc!AL7)-N(GanttCalc!AK7)=1,"R"&amp;GanttCalc!AL7,"R"&amp;(GanttCalc!AK7+1)&amp;"-"&amp;GanttCalc!AL7)))</f>
        <v/>
      </c>
      <c r="AN23" s="60" t="str">
        <f aca="false">IF($B$22="","",IF(N(GanttCalc!AM7)-N(GanttCalc!AL7)&lt;=0,"",IF(N(GanttCalc!AM7)-N(GanttCalc!AL7)=1,"R"&amp;GanttCalc!AM7,"R"&amp;(GanttCalc!AL7+1)&amp;"-"&amp;GanttCalc!AM7)))</f>
        <v>R2-3</v>
      </c>
      <c r="AO23" s="60" t="str">
        <f aca="false">IF($B$22="","",IF(N(GanttCalc!AN7)-N(GanttCalc!AM7)&lt;=0,"",IF(N(GanttCalc!AN7)-N(GanttCalc!AM7)=1,"R"&amp;GanttCalc!AN7,"R"&amp;(GanttCalc!AM7+1)&amp;"-"&amp;GanttCalc!AN7)))</f>
        <v>R4-8</v>
      </c>
      <c r="AP23" s="60" t="str">
        <f aca="false">IF($B$22="","",IF(N(GanttCalc!AO7)-N(GanttCalc!AN7)&lt;=0,"",IF(N(GanttCalc!AO7)-N(GanttCalc!AN7)=1,"R"&amp;GanttCalc!AO7,"R"&amp;(GanttCalc!AN7+1)&amp;"-"&amp;GanttCalc!AO7)))</f>
        <v/>
      </c>
      <c r="AQ23" s="60" t="str">
        <f aca="false">IF($B$22="","",IF(N(GanttCalc!AP7)-N(GanttCalc!AO7)&lt;=0,"",IF(N(GanttCalc!AP7)-N(GanttCalc!AO7)=1,"R"&amp;GanttCalc!AP7,"R"&amp;(GanttCalc!AO7+1)&amp;"-"&amp;GanttCalc!AP7)))</f>
        <v/>
      </c>
      <c r="AR23" s="60" t="str">
        <f aca="false">IF($B$22="","",IF(N(GanttCalc!AQ7)-N(GanttCalc!AP7)&lt;=0,"",IF(N(GanttCalc!AQ7)-N(GanttCalc!AP7)=1,"R"&amp;GanttCalc!AQ7,"R"&amp;(GanttCalc!AP7+1)&amp;"-"&amp;GanttCalc!AQ7)))</f>
        <v/>
      </c>
      <c r="AS23" s="60" t="str">
        <f aca="false">IF($B$22="","",IF(N(GanttCalc!AR7)-N(GanttCalc!AQ7)&lt;=0,"",IF(N(GanttCalc!AR7)-N(GanttCalc!AQ7)=1,"R"&amp;GanttCalc!AR7,"R"&amp;(GanttCalc!AQ7+1)&amp;"-"&amp;GanttCalc!AR7)))</f>
        <v>R9</v>
      </c>
      <c r="AT23" s="60" t="str">
        <f aca="false">IF($B$22="","",IF(N(GanttCalc!AS7)-N(GanttCalc!AR7)&lt;=0,"",IF(N(GanttCalc!AS7)-N(GanttCalc!AR7)=1,"R"&amp;GanttCalc!AS7,"R"&amp;(GanttCalc!AR7+1)&amp;"-"&amp;GanttCalc!AS7)))</f>
        <v>R10</v>
      </c>
      <c r="AU23" s="60" t="str">
        <f aca="false">IF($B$22="","",IF(N(GanttCalc!AT7)-N(GanttCalc!AS7)&lt;=0,"",IF(N(GanttCalc!AT7)-N(GanttCalc!AS7)=1,"R"&amp;GanttCalc!AT7,"R"&amp;(GanttCalc!AS7+1)&amp;"-"&amp;GanttCalc!AT7)))</f>
        <v>R11</v>
      </c>
      <c r="AV23" s="60" t="str">
        <f aca="false">IF($B$22="","",IF(N(GanttCalc!AU7)-N(GanttCalc!AT7)&lt;=0,"",IF(N(GanttCalc!AU7)-N(GanttCalc!AT7)=1,"R"&amp;GanttCalc!AU7,"R"&amp;(GanttCalc!AT7+1)&amp;"-"&amp;GanttCalc!AU7)))</f>
        <v/>
      </c>
      <c r="AW23" s="60" t="str">
        <f aca="false">IF($B$22="","",IF(N(GanttCalc!AV7)-N(GanttCalc!AU7)&lt;=0,"",IF(N(GanttCalc!AV7)-N(GanttCalc!AU7)=1,"R"&amp;GanttCalc!AV7,"R"&amp;(GanttCalc!AU7+1)&amp;"-"&amp;GanttCalc!AV7)))</f>
        <v/>
      </c>
      <c r="AX23" s="60" t="str">
        <f aca="false">IF($B$22="","",IF(N(GanttCalc!AW7)-N(GanttCalc!AV7)&lt;=0,"",IF(N(GanttCalc!AW7)-N(GanttCalc!AV7)=1,"R"&amp;GanttCalc!AW7,"R"&amp;(GanttCalc!AV7+1)&amp;"-"&amp;GanttCalc!AW7)))</f>
        <v/>
      </c>
      <c r="AY23" s="60" t="str">
        <f aca="false">IF($B$22="","",IF(N(GanttCalc!AX7)-N(GanttCalc!AW7)&lt;=0,"",IF(N(GanttCalc!AX7)-N(GanttCalc!AW7)=1,"R"&amp;GanttCalc!AX7,"R"&amp;(GanttCalc!AW7+1)&amp;"-"&amp;GanttCalc!AX7)))</f>
        <v/>
      </c>
      <c r="AZ23" s="60" t="str">
        <f aca="false">IF($B$22="","",IF(N(GanttCalc!AY7)-N(GanttCalc!AX7)&lt;=0,"",IF(N(GanttCalc!AY7)-N(GanttCalc!AX7)=1,"R"&amp;GanttCalc!AY7,"R"&amp;(GanttCalc!AX7+1)&amp;"-"&amp;GanttCalc!AY7)))</f>
        <v/>
      </c>
      <c r="BA23" s="60" t="str">
        <f aca="false">IF($B$22="","",IF(N(GanttCalc!AZ7)-N(GanttCalc!AY7)&lt;=0,"",IF(N(GanttCalc!AZ7)-N(GanttCalc!AY7)=1,"R"&amp;GanttCalc!AZ7,"R"&amp;(GanttCalc!AY7+1)&amp;"-"&amp;GanttCalc!AZ7)))</f>
        <v/>
      </c>
      <c r="BB23" s="60" t="str">
        <f aca="false">IF($B$22="","",IF(N(GanttCalc!BA7)-N(GanttCalc!AZ7)&lt;=0,"",IF(N(GanttCalc!BA7)-N(GanttCalc!AZ7)=1,"R"&amp;GanttCalc!BA7,"R"&amp;(GanttCalc!AZ7+1)&amp;"-"&amp;GanttCalc!BA7)))</f>
        <v/>
      </c>
      <c r="BC23" s="60" t="str">
        <f aca="false">IF($B$22="","",IF(N(GanttCalc!BB7)-N(GanttCalc!BA7)&lt;=0,"",IF(N(GanttCalc!BB7)-N(GanttCalc!BA7)=1,"R"&amp;GanttCalc!BB7,"R"&amp;(GanttCalc!BA7+1)&amp;"-"&amp;GanttCalc!BB7)))</f>
        <v/>
      </c>
      <c r="BD23" s="60" t="str">
        <f aca="false">IF($B$22="","",IF(N(GanttCalc!BC7)-N(GanttCalc!BB7)&lt;=0,"",IF(N(GanttCalc!BC7)-N(GanttCalc!BB7)=1,"R"&amp;GanttCalc!BC7,"R"&amp;(GanttCalc!BB7+1)&amp;"-"&amp;GanttCalc!BC7)))</f>
        <v/>
      </c>
    </row>
    <row r="24" customFormat="false" ht="16.5" hidden="false" customHeight="true" outlineLevel="0" collapsed="false">
      <c r="B24" s="63" t="str">
        <f aca="false">IF(Contracts!$A$9="","",IF(Contracts!$I$9="","no kit list","kitted: "&amp;Contracts!$I$9&amp;" / "&amp;Contracts!$F$9))</f>
        <v>no kit list</v>
      </c>
      <c r="C24" s="64" t="str">
        <f aca="false">IF(Contracts!$A$9="","","Final build")</f>
        <v>Final build</v>
      </c>
      <c r="D24" s="59" t="str">
        <f aca="false">IF($B$22="","",SUMPRODUCT(--(E24:BD24&lt;&gt;""))&amp;" wks")</f>
        <v>6 wks</v>
      </c>
      <c r="E24" s="60" t="str">
        <f aca="false">IF($B$22="","",IF(N(GanttCalc!C7)-N(GanttCalc!B7)&lt;=0,"",IF(N(GanttCalc!C7)-N(GanttCalc!B7)=1,"R"&amp;GanttCalc!C7,"R"&amp;(GanttCalc!B7+1)&amp;"-"&amp;GanttCalc!C7)))</f>
        <v/>
      </c>
      <c r="F24" s="60" t="str">
        <f aca="false">IF($B$22="","",IF(N(GanttCalc!D7)-N(GanttCalc!C7)&lt;=0,"",IF(N(GanttCalc!D7)-N(GanttCalc!C7)=1,"R"&amp;GanttCalc!D7,"R"&amp;(GanttCalc!C7+1)&amp;"-"&amp;GanttCalc!D7)))</f>
        <v/>
      </c>
      <c r="G24" s="60" t="str">
        <f aca="false">IF($B$22="","",IF(N(GanttCalc!E7)-N(GanttCalc!D7)&lt;=0,"",IF(N(GanttCalc!E7)-N(GanttCalc!D7)=1,"R"&amp;GanttCalc!E7,"R"&amp;(GanttCalc!D7+1)&amp;"-"&amp;GanttCalc!E7)))</f>
        <v/>
      </c>
      <c r="H24" s="60" t="str">
        <f aca="false">IF($B$22="","",IF(N(GanttCalc!F7)-N(GanttCalc!E7)&lt;=0,"",IF(N(GanttCalc!F7)-N(GanttCalc!E7)=1,"R"&amp;GanttCalc!F7,"R"&amp;(GanttCalc!E7+1)&amp;"-"&amp;GanttCalc!F7)))</f>
        <v/>
      </c>
      <c r="I24" s="60" t="str">
        <f aca="false">IF($B$22="","",IF(N(GanttCalc!G7)-N(GanttCalc!F7)&lt;=0,"",IF(N(GanttCalc!G7)-N(GanttCalc!F7)=1,"R"&amp;GanttCalc!G7,"R"&amp;(GanttCalc!F7+1)&amp;"-"&amp;GanttCalc!G7)))</f>
        <v/>
      </c>
      <c r="J24" s="60" t="str">
        <f aca="false">IF($B$22="","",IF(N(GanttCalc!H7)-N(GanttCalc!G7)&lt;=0,"",IF(N(GanttCalc!H7)-N(GanttCalc!G7)=1,"R"&amp;GanttCalc!H7,"R"&amp;(GanttCalc!G7+1)&amp;"-"&amp;GanttCalc!H7)))</f>
        <v/>
      </c>
      <c r="K24" s="60" t="str">
        <f aca="false">IF($B$22="","",IF(N(GanttCalc!I7)-N(GanttCalc!H7)&lt;=0,"",IF(N(GanttCalc!I7)-N(GanttCalc!H7)=1,"R"&amp;GanttCalc!I7,"R"&amp;(GanttCalc!H7+1)&amp;"-"&amp;GanttCalc!I7)))</f>
        <v/>
      </c>
      <c r="L24" s="60" t="str">
        <f aca="false">IF($B$22="","",IF(N(GanttCalc!J7)-N(GanttCalc!I7)&lt;=0,"",IF(N(GanttCalc!J7)-N(GanttCalc!I7)=1,"R"&amp;GanttCalc!J7,"R"&amp;(GanttCalc!I7+1)&amp;"-"&amp;GanttCalc!J7)))</f>
        <v/>
      </c>
      <c r="M24" s="60" t="str">
        <f aca="false">IF($B$22="","",IF(N(GanttCalc!K7)-N(GanttCalc!J7)&lt;=0,"",IF(N(GanttCalc!K7)-N(GanttCalc!J7)=1,"R"&amp;GanttCalc!K7,"R"&amp;(GanttCalc!J7+1)&amp;"-"&amp;GanttCalc!K7)))</f>
        <v/>
      </c>
      <c r="N24" s="60" t="str">
        <f aca="false">IF($B$22="","",IF(N(GanttCalc!L7)-N(GanttCalc!K7)&lt;=0,"",IF(N(GanttCalc!L7)-N(GanttCalc!K7)=1,"R"&amp;GanttCalc!L7,"R"&amp;(GanttCalc!K7+1)&amp;"-"&amp;GanttCalc!L7)))</f>
        <v/>
      </c>
      <c r="O24" s="60" t="str">
        <f aca="false">IF($B$22="","",IF(N(GanttCalc!M7)-N(GanttCalc!L7)&lt;=0,"",IF(N(GanttCalc!M7)-N(GanttCalc!L7)=1,"R"&amp;GanttCalc!M7,"R"&amp;(GanttCalc!L7+1)&amp;"-"&amp;GanttCalc!M7)))</f>
        <v/>
      </c>
      <c r="P24" s="60" t="str">
        <f aca="false">IF($B$22="","",IF(N(GanttCalc!N7)-N(GanttCalc!M7)&lt;=0,"",IF(N(GanttCalc!N7)-N(GanttCalc!M7)=1,"R"&amp;GanttCalc!N7,"R"&amp;(GanttCalc!M7+1)&amp;"-"&amp;GanttCalc!N7)))</f>
        <v/>
      </c>
      <c r="Q24" s="60" t="str">
        <f aca="false">IF($B$22="","",IF(N(GanttCalc!O7)-N(GanttCalc!N7)&lt;=0,"",IF(N(GanttCalc!O7)-N(GanttCalc!N7)=1,"R"&amp;GanttCalc!O7,"R"&amp;(GanttCalc!N7+1)&amp;"-"&amp;GanttCalc!O7)))</f>
        <v/>
      </c>
      <c r="R24" s="60" t="str">
        <f aca="false">IF($B$22="","",IF(N(GanttCalc!P7)-N(GanttCalc!O7)&lt;=0,"",IF(N(GanttCalc!P7)-N(GanttCalc!O7)=1,"R"&amp;GanttCalc!P7,"R"&amp;(GanttCalc!O7+1)&amp;"-"&amp;GanttCalc!P7)))</f>
        <v/>
      </c>
      <c r="S24" s="60" t="str">
        <f aca="false">IF($B$22="","",IF(N(GanttCalc!Q7)-N(GanttCalc!P7)&lt;=0,"",IF(N(GanttCalc!Q7)-N(GanttCalc!P7)=1,"R"&amp;GanttCalc!Q7,"R"&amp;(GanttCalc!P7+1)&amp;"-"&amp;GanttCalc!Q7)))</f>
        <v/>
      </c>
      <c r="T24" s="60" t="str">
        <f aca="false">IF($B$22="","",IF(N(GanttCalc!R7)-N(GanttCalc!Q7)&lt;=0,"",IF(N(GanttCalc!R7)-N(GanttCalc!Q7)=1,"R"&amp;GanttCalc!R7,"R"&amp;(GanttCalc!Q7+1)&amp;"-"&amp;GanttCalc!R7)))</f>
        <v/>
      </c>
      <c r="U24" s="60" t="str">
        <f aca="false">IF($B$22="","",IF(N(GanttCalc!S7)-N(GanttCalc!R7)&lt;=0,"",IF(N(GanttCalc!S7)-N(GanttCalc!R7)=1,"R"&amp;GanttCalc!S7,"R"&amp;(GanttCalc!R7+1)&amp;"-"&amp;GanttCalc!S7)))</f>
        <v/>
      </c>
      <c r="V24" s="60" t="str">
        <f aca="false">IF($B$22="","",IF(N(GanttCalc!T7)-N(GanttCalc!S7)&lt;=0,"",IF(N(GanttCalc!T7)-N(GanttCalc!S7)=1,"R"&amp;GanttCalc!T7,"R"&amp;(GanttCalc!S7+1)&amp;"-"&amp;GanttCalc!T7)))</f>
        <v/>
      </c>
      <c r="W24" s="60" t="str">
        <f aca="false">IF($B$22="","",IF(N(GanttCalc!U7)-N(GanttCalc!T7)&lt;=0,"",IF(N(GanttCalc!U7)-N(GanttCalc!T7)=1,"R"&amp;GanttCalc!U7,"R"&amp;(GanttCalc!T7+1)&amp;"-"&amp;GanttCalc!U7)))</f>
        <v/>
      </c>
      <c r="X24" s="60" t="str">
        <f aca="false">IF($B$22="","",IF(N(GanttCalc!V7)-N(GanttCalc!U7)&lt;=0,"",IF(N(GanttCalc!V7)-N(GanttCalc!U7)=1,"R"&amp;GanttCalc!V7,"R"&amp;(GanttCalc!U7+1)&amp;"-"&amp;GanttCalc!V7)))</f>
        <v/>
      </c>
      <c r="Y24" s="60" t="str">
        <f aca="false">IF($B$22="","",IF(N(GanttCalc!W7)-N(GanttCalc!V7)&lt;=0,"",IF(N(GanttCalc!W7)-N(GanttCalc!V7)=1,"R"&amp;GanttCalc!W7,"R"&amp;(GanttCalc!V7+1)&amp;"-"&amp;GanttCalc!W7)))</f>
        <v/>
      </c>
      <c r="Z24" s="60" t="str">
        <f aca="false">IF($B$22="","",IF(N(GanttCalc!X7)-N(GanttCalc!W7)&lt;=0,"",IF(N(GanttCalc!X7)-N(GanttCalc!W7)=1,"R"&amp;GanttCalc!X7,"R"&amp;(GanttCalc!W7+1)&amp;"-"&amp;GanttCalc!X7)))</f>
        <v/>
      </c>
      <c r="AA24" s="60" t="str">
        <f aca="false">IF($B$22="","",IF(N(GanttCalc!Y7)-N(GanttCalc!X7)&lt;=0,"",IF(N(GanttCalc!Y7)-N(GanttCalc!X7)=1,"R"&amp;GanttCalc!Y7,"R"&amp;(GanttCalc!X7+1)&amp;"-"&amp;GanttCalc!Y7)))</f>
        <v/>
      </c>
      <c r="AB24" s="60" t="str">
        <f aca="false">IF($B$22="","",IF(N(GanttCalc!Z7)-N(GanttCalc!Y7)&lt;=0,"",IF(N(GanttCalc!Z7)-N(GanttCalc!Y7)=1,"R"&amp;GanttCalc!Z7,"R"&amp;(GanttCalc!Y7+1)&amp;"-"&amp;GanttCalc!Z7)))</f>
        <v/>
      </c>
      <c r="AC24" s="60" t="str">
        <f aca="false">IF($B$22="","",IF(N(GanttCalc!AA7)-N(GanttCalc!Z7)&lt;=0,"",IF(N(GanttCalc!AA7)-N(GanttCalc!Z7)=1,"R"&amp;GanttCalc!AA7,"R"&amp;(GanttCalc!Z7+1)&amp;"-"&amp;GanttCalc!AA7)))</f>
        <v/>
      </c>
      <c r="AD24" s="60" t="str">
        <f aca="false">IF($B$22="","",IF(N(GanttCalc!AB7)-N(GanttCalc!AA7)&lt;=0,"",IF(N(GanttCalc!AB7)-N(GanttCalc!AA7)=1,"R"&amp;GanttCalc!AB7,"R"&amp;(GanttCalc!AA7+1)&amp;"-"&amp;GanttCalc!AB7)))</f>
        <v/>
      </c>
      <c r="AE24" s="60" t="str">
        <f aca="false">IF($B$22="","",IF(N(GanttCalc!AC7)-N(GanttCalc!AB7)&lt;=0,"",IF(N(GanttCalc!AC7)-N(GanttCalc!AB7)=1,"R"&amp;GanttCalc!AC7,"R"&amp;(GanttCalc!AB7+1)&amp;"-"&amp;GanttCalc!AC7)))</f>
        <v/>
      </c>
      <c r="AF24" s="60" t="str">
        <f aca="false">IF($B$22="","",IF(N(GanttCalc!AD7)-N(GanttCalc!AC7)&lt;=0,"",IF(N(GanttCalc!AD7)-N(GanttCalc!AC7)=1,"R"&amp;GanttCalc!AD7,"R"&amp;(GanttCalc!AC7+1)&amp;"-"&amp;GanttCalc!AD7)))</f>
        <v/>
      </c>
      <c r="AG24" s="60" t="str">
        <f aca="false">IF($B$22="","",IF(N(GanttCalc!AE7)-N(GanttCalc!AD7)&lt;=0,"",IF(N(GanttCalc!AE7)-N(GanttCalc!AD7)=1,"R"&amp;GanttCalc!AE7,"R"&amp;(GanttCalc!AD7+1)&amp;"-"&amp;GanttCalc!AE7)))</f>
        <v/>
      </c>
      <c r="AH24" s="60" t="str">
        <f aca="false">IF($B$22="","",IF(N(GanttCalc!AF7)-N(GanttCalc!AE7)&lt;=0,"",IF(N(GanttCalc!AF7)-N(GanttCalc!AE7)=1,"R"&amp;GanttCalc!AF7,"R"&amp;(GanttCalc!AE7+1)&amp;"-"&amp;GanttCalc!AF7)))</f>
        <v/>
      </c>
      <c r="AI24" s="60" t="str">
        <f aca="false">IF($B$22="","",IF(N(GanttCalc!AG7)-N(GanttCalc!AF7)&lt;=0,"",IF(N(GanttCalc!AG7)-N(GanttCalc!AF7)=1,"R"&amp;GanttCalc!AG7,"R"&amp;(GanttCalc!AF7+1)&amp;"-"&amp;GanttCalc!AG7)))</f>
        <v/>
      </c>
      <c r="AJ24" s="60" t="str">
        <f aca="false">IF($B$22="","",IF(N(GanttCalc!AH7)-N(GanttCalc!AG7)&lt;=0,"",IF(N(GanttCalc!AH7)-N(GanttCalc!AG7)=1,"R"&amp;GanttCalc!AH7,"R"&amp;(GanttCalc!AG7+1)&amp;"-"&amp;GanttCalc!AH7)))</f>
        <v/>
      </c>
      <c r="AK24" s="60" t="str">
        <f aca="false">IF($B$22="","",IF(N(GanttCalc!AI7)-N(GanttCalc!AH7)&lt;=0,"",IF(N(GanttCalc!AI7)-N(GanttCalc!AH7)=1,"R"&amp;GanttCalc!AI7,"R"&amp;(GanttCalc!AH7+1)&amp;"-"&amp;GanttCalc!AI7)))</f>
        <v/>
      </c>
      <c r="AL24" s="60" t="str">
        <f aca="false">IF($B$22="","",IF(N(GanttCalc!AJ7)-N(GanttCalc!AI7)&lt;=0,"",IF(N(GanttCalc!AJ7)-N(GanttCalc!AI7)=1,"R"&amp;GanttCalc!AJ7,"R"&amp;(GanttCalc!AI7+1)&amp;"-"&amp;GanttCalc!AJ7)))</f>
        <v/>
      </c>
      <c r="AM24" s="60" t="str">
        <f aca="false">IF($B$22="","",IF(N(GanttCalc!AK7)-N(GanttCalc!AJ7)&lt;=0,"",IF(N(GanttCalc!AK7)-N(GanttCalc!AJ7)=1,"R"&amp;GanttCalc!AK7,"R"&amp;(GanttCalc!AJ7+1)&amp;"-"&amp;GanttCalc!AK7)))</f>
        <v>R1</v>
      </c>
      <c r="AN24" s="60" t="str">
        <f aca="false">IF($B$22="","",IF(N(GanttCalc!AL7)-N(GanttCalc!AK7)&lt;=0,"",IF(N(GanttCalc!AL7)-N(GanttCalc!AK7)=1,"R"&amp;GanttCalc!AL7,"R"&amp;(GanttCalc!AK7+1)&amp;"-"&amp;GanttCalc!AL7)))</f>
        <v/>
      </c>
      <c r="AO24" s="60" t="str">
        <f aca="false">IF($B$22="","",IF(N(GanttCalc!AM7)-N(GanttCalc!AL7)&lt;=0,"",IF(N(GanttCalc!AM7)-N(GanttCalc!AL7)=1,"R"&amp;GanttCalc!AM7,"R"&amp;(GanttCalc!AL7+1)&amp;"-"&amp;GanttCalc!AM7)))</f>
        <v>R2-3</v>
      </c>
      <c r="AP24" s="60" t="str">
        <f aca="false">IF($B$22="","",IF(N(GanttCalc!AN7)-N(GanttCalc!AM7)&lt;=0,"",IF(N(GanttCalc!AN7)-N(GanttCalc!AM7)=1,"R"&amp;GanttCalc!AN7,"R"&amp;(GanttCalc!AM7+1)&amp;"-"&amp;GanttCalc!AN7)))</f>
        <v>R4-8</v>
      </c>
      <c r="AQ24" s="60" t="str">
        <f aca="false">IF($B$22="","",IF(N(GanttCalc!AO7)-N(GanttCalc!AN7)&lt;=0,"",IF(N(GanttCalc!AO7)-N(GanttCalc!AN7)=1,"R"&amp;GanttCalc!AO7,"R"&amp;(GanttCalc!AN7+1)&amp;"-"&amp;GanttCalc!AO7)))</f>
        <v/>
      </c>
      <c r="AR24" s="60" t="str">
        <f aca="false">IF($B$22="","",IF(N(GanttCalc!AP7)-N(GanttCalc!AO7)&lt;=0,"",IF(N(GanttCalc!AP7)-N(GanttCalc!AO7)=1,"R"&amp;GanttCalc!AP7,"R"&amp;(GanttCalc!AO7+1)&amp;"-"&amp;GanttCalc!AP7)))</f>
        <v/>
      </c>
      <c r="AS24" s="60" t="str">
        <f aca="false">IF($B$22="","",IF(N(GanttCalc!AQ7)-N(GanttCalc!AP7)&lt;=0,"",IF(N(GanttCalc!AQ7)-N(GanttCalc!AP7)=1,"R"&amp;GanttCalc!AQ7,"R"&amp;(GanttCalc!AP7+1)&amp;"-"&amp;GanttCalc!AQ7)))</f>
        <v/>
      </c>
      <c r="AT24" s="60" t="str">
        <f aca="false">IF($B$22="","",IF(N(GanttCalc!AR7)-N(GanttCalc!AQ7)&lt;=0,"",IF(N(GanttCalc!AR7)-N(GanttCalc!AQ7)=1,"R"&amp;GanttCalc!AR7,"R"&amp;(GanttCalc!AQ7+1)&amp;"-"&amp;GanttCalc!AR7)))</f>
        <v>R9</v>
      </c>
      <c r="AU24" s="60" t="str">
        <f aca="false">IF($B$22="","",IF(N(GanttCalc!AS7)-N(GanttCalc!AR7)&lt;=0,"",IF(N(GanttCalc!AS7)-N(GanttCalc!AR7)=1,"R"&amp;GanttCalc!AS7,"R"&amp;(GanttCalc!AR7+1)&amp;"-"&amp;GanttCalc!AS7)))</f>
        <v>R10</v>
      </c>
      <c r="AV24" s="60" t="str">
        <f aca="false">IF($B$22="","",IF(N(GanttCalc!AT7)-N(GanttCalc!AS7)&lt;=0,"",IF(N(GanttCalc!AT7)-N(GanttCalc!AS7)=1,"R"&amp;GanttCalc!AT7,"R"&amp;(GanttCalc!AS7+1)&amp;"-"&amp;GanttCalc!AT7)))</f>
        <v>R11</v>
      </c>
      <c r="AW24" s="60" t="str">
        <f aca="false">IF($B$22="","",IF(N(GanttCalc!AU7)-N(GanttCalc!AT7)&lt;=0,"",IF(N(GanttCalc!AU7)-N(GanttCalc!AT7)=1,"R"&amp;GanttCalc!AU7,"R"&amp;(GanttCalc!AT7+1)&amp;"-"&amp;GanttCalc!AU7)))</f>
        <v/>
      </c>
      <c r="AX24" s="60" t="str">
        <f aca="false">IF($B$22="","",IF(N(GanttCalc!AV7)-N(GanttCalc!AU7)&lt;=0,"",IF(N(GanttCalc!AV7)-N(GanttCalc!AU7)=1,"R"&amp;GanttCalc!AV7,"R"&amp;(GanttCalc!AU7+1)&amp;"-"&amp;GanttCalc!AV7)))</f>
        <v/>
      </c>
      <c r="AY24" s="60" t="str">
        <f aca="false">IF($B$22="","",IF(N(GanttCalc!AW7)-N(GanttCalc!AV7)&lt;=0,"",IF(N(GanttCalc!AW7)-N(GanttCalc!AV7)=1,"R"&amp;GanttCalc!AW7,"R"&amp;(GanttCalc!AV7+1)&amp;"-"&amp;GanttCalc!AW7)))</f>
        <v/>
      </c>
      <c r="AZ24" s="60" t="str">
        <f aca="false">IF($B$22="","",IF(N(GanttCalc!AX7)-N(GanttCalc!AW7)&lt;=0,"",IF(N(GanttCalc!AX7)-N(GanttCalc!AW7)=1,"R"&amp;GanttCalc!AX7,"R"&amp;(GanttCalc!AW7+1)&amp;"-"&amp;GanttCalc!AX7)))</f>
        <v/>
      </c>
      <c r="BA24" s="60" t="str">
        <f aca="false">IF($B$22="","",IF(N(GanttCalc!AY7)-N(GanttCalc!AX7)&lt;=0,"",IF(N(GanttCalc!AY7)-N(GanttCalc!AX7)=1,"R"&amp;GanttCalc!AY7,"R"&amp;(GanttCalc!AX7+1)&amp;"-"&amp;GanttCalc!AY7)))</f>
        <v/>
      </c>
      <c r="BB24" s="60" t="str">
        <f aca="false">IF($B$22="","",IF(N(GanttCalc!AZ7)-N(GanttCalc!AY7)&lt;=0,"",IF(N(GanttCalc!AZ7)-N(GanttCalc!AY7)=1,"R"&amp;GanttCalc!AZ7,"R"&amp;(GanttCalc!AY7+1)&amp;"-"&amp;GanttCalc!AZ7)))</f>
        <v/>
      </c>
      <c r="BC24" s="60" t="str">
        <f aca="false">IF($B$22="","",IF(N(GanttCalc!BA7)-N(GanttCalc!AZ7)&lt;=0,"",IF(N(GanttCalc!BA7)-N(GanttCalc!AZ7)=1,"R"&amp;GanttCalc!BA7,"R"&amp;(GanttCalc!AZ7+1)&amp;"-"&amp;GanttCalc!BA7)))</f>
        <v/>
      </c>
      <c r="BD24" s="60" t="str">
        <f aca="false">IF($B$22="","",IF(N(GanttCalc!BB7)-N(GanttCalc!BA7)&lt;=0,"",IF(N(GanttCalc!BB7)-N(GanttCalc!BA7)=1,"R"&amp;GanttCalc!BB7,"R"&amp;(GanttCalc!BA7+1)&amp;"-"&amp;GanttCalc!BB7)))</f>
        <v/>
      </c>
    </row>
    <row r="25" customFormat="false" ht="6" hidden="false" customHeight="true" outlineLevel="0" collapsed="false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customFormat="false" ht="16.5" hidden="false" customHeight="true" outlineLevel="0" collapsed="false">
      <c r="B26" s="32" t="str">
        <f aca="false">IF(Contracts!$A$10="","",Contracts!$A$10)</f>
        <v>E2A-R6P-T3-M</v>
      </c>
      <c r="C26" s="58" t="str">
        <f aca="false">IF(Contracts!$A$10="","","Kit release")</f>
        <v>Kit release</v>
      </c>
      <c r="D26" s="59" t="str">
        <f aca="false">IF($B$26="","",SUMPRODUCT(--(E26:BD26&lt;&gt;""))&amp;" wks")</f>
        <v>1 wks</v>
      </c>
      <c r="E26" s="60" t="str">
        <f aca="true">IF($B$26="","",IF(N(OFFSET(GanttCalc!$B$8,0,1+N(Contracts!$Q$10)))-N(OFFSET(GanttCalc!$B$8,0,0+N(Contracts!$Q$10)))&lt;=0,"",IF(N(OFFSET(GanttCalc!$B$8,0,1+N(Contracts!$Q$10)))-N(OFFSET(GanttCalc!$B$8,0,0+N(Contracts!$Q$10)))=1,"R"&amp;OFFSET(GanttCalc!$B$8,0,1+N(Contracts!$Q$10)),"R"&amp;(OFFSET(GanttCalc!$B$8,0,0+N(Contracts!$Q$10))+1)&amp;"-"&amp;OFFSET(GanttCalc!$B$8,0,1+N(Contracts!$Q$10)))))</f>
        <v/>
      </c>
      <c r="F26" s="60" t="str">
        <f aca="true">IF($B$26="","",IF(N(OFFSET(GanttCalc!$B$8,0,2+N(Contracts!$Q$10)))-N(OFFSET(GanttCalc!$B$8,0,1+N(Contracts!$Q$10)))&lt;=0,"",IF(N(OFFSET(GanttCalc!$B$8,0,2+N(Contracts!$Q$10)))-N(OFFSET(GanttCalc!$B$8,0,1+N(Contracts!$Q$10)))=1,"R"&amp;OFFSET(GanttCalc!$B$8,0,2+N(Contracts!$Q$10)),"R"&amp;(OFFSET(GanttCalc!$B$8,0,1+N(Contracts!$Q$10))+1)&amp;"-"&amp;OFFSET(GanttCalc!$B$8,0,2+N(Contracts!$Q$10)))))</f>
        <v/>
      </c>
      <c r="G26" s="60" t="str">
        <f aca="true">IF($B$26="","",IF(N(OFFSET(GanttCalc!$B$8,0,3+N(Contracts!$Q$10)))-N(OFFSET(GanttCalc!$B$8,0,2+N(Contracts!$Q$10)))&lt;=0,"",IF(N(OFFSET(GanttCalc!$B$8,0,3+N(Contracts!$Q$10)))-N(OFFSET(GanttCalc!$B$8,0,2+N(Contracts!$Q$10)))=1,"R"&amp;OFFSET(GanttCalc!$B$8,0,3+N(Contracts!$Q$10)),"R"&amp;(OFFSET(GanttCalc!$B$8,0,2+N(Contracts!$Q$10))+1)&amp;"-"&amp;OFFSET(GanttCalc!$B$8,0,3+N(Contracts!$Q$10)))))</f>
        <v/>
      </c>
      <c r="H26" s="60" t="str">
        <f aca="true">IF($B$26="","",IF(N(OFFSET(GanttCalc!$B$8,0,4+N(Contracts!$Q$10)))-N(OFFSET(GanttCalc!$B$8,0,3+N(Contracts!$Q$10)))&lt;=0,"",IF(N(OFFSET(GanttCalc!$B$8,0,4+N(Contracts!$Q$10)))-N(OFFSET(GanttCalc!$B$8,0,3+N(Contracts!$Q$10)))=1,"R"&amp;OFFSET(GanttCalc!$B$8,0,4+N(Contracts!$Q$10)),"R"&amp;(OFFSET(GanttCalc!$B$8,0,3+N(Contracts!$Q$10))+1)&amp;"-"&amp;OFFSET(GanttCalc!$B$8,0,4+N(Contracts!$Q$10)))))</f>
        <v/>
      </c>
      <c r="I26" s="60" t="str">
        <f aca="true">IF($B$26="","",IF(N(OFFSET(GanttCalc!$B$8,0,5+N(Contracts!$Q$10)))-N(OFFSET(GanttCalc!$B$8,0,4+N(Contracts!$Q$10)))&lt;=0,"",IF(N(OFFSET(GanttCalc!$B$8,0,5+N(Contracts!$Q$10)))-N(OFFSET(GanttCalc!$B$8,0,4+N(Contracts!$Q$10)))=1,"R"&amp;OFFSET(GanttCalc!$B$8,0,5+N(Contracts!$Q$10)),"R"&amp;(OFFSET(GanttCalc!$B$8,0,4+N(Contracts!$Q$10))+1)&amp;"-"&amp;OFFSET(GanttCalc!$B$8,0,5+N(Contracts!$Q$10)))))</f>
        <v/>
      </c>
      <c r="J26" s="60" t="str">
        <f aca="true">IF($B$26="","",IF(N(OFFSET(GanttCalc!$B$8,0,6+N(Contracts!$Q$10)))-N(OFFSET(GanttCalc!$B$8,0,5+N(Contracts!$Q$10)))&lt;=0,"",IF(N(OFFSET(GanttCalc!$B$8,0,6+N(Contracts!$Q$10)))-N(OFFSET(GanttCalc!$B$8,0,5+N(Contracts!$Q$10)))=1,"R"&amp;OFFSET(GanttCalc!$B$8,0,6+N(Contracts!$Q$10)),"R"&amp;(OFFSET(GanttCalc!$B$8,0,5+N(Contracts!$Q$10))+1)&amp;"-"&amp;OFFSET(GanttCalc!$B$8,0,6+N(Contracts!$Q$10)))))</f>
        <v/>
      </c>
      <c r="K26" s="60" t="str">
        <f aca="true">IF($B$26="","",IF(N(OFFSET(GanttCalc!$B$8,0,7+N(Contracts!$Q$10)))-N(OFFSET(GanttCalc!$B$8,0,6+N(Contracts!$Q$10)))&lt;=0,"",IF(N(OFFSET(GanttCalc!$B$8,0,7+N(Contracts!$Q$10)))-N(OFFSET(GanttCalc!$B$8,0,6+N(Contracts!$Q$10)))=1,"R"&amp;OFFSET(GanttCalc!$B$8,0,7+N(Contracts!$Q$10)),"R"&amp;(OFFSET(GanttCalc!$B$8,0,6+N(Contracts!$Q$10))+1)&amp;"-"&amp;OFFSET(GanttCalc!$B$8,0,7+N(Contracts!$Q$10)))))</f>
        <v/>
      </c>
      <c r="L26" s="60" t="str">
        <f aca="true">IF($B$26="","",IF(N(OFFSET(GanttCalc!$B$8,0,8+N(Contracts!$Q$10)))-N(OFFSET(GanttCalc!$B$8,0,7+N(Contracts!$Q$10)))&lt;=0,"",IF(N(OFFSET(GanttCalc!$B$8,0,8+N(Contracts!$Q$10)))-N(OFFSET(GanttCalc!$B$8,0,7+N(Contracts!$Q$10)))=1,"R"&amp;OFFSET(GanttCalc!$B$8,0,8+N(Contracts!$Q$10)),"R"&amp;(OFFSET(GanttCalc!$B$8,0,7+N(Contracts!$Q$10))+1)&amp;"-"&amp;OFFSET(GanttCalc!$B$8,0,8+N(Contracts!$Q$10)))))</f>
        <v/>
      </c>
      <c r="M26" s="60" t="str">
        <f aca="true">IF($B$26="","",IF(N(OFFSET(GanttCalc!$B$8,0,9+N(Contracts!$Q$10)))-N(OFFSET(GanttCalc!$B$8,0,8+N(Contracts!$Q$10)))&lt;=0,"",IF(N(OFFSET(GanttCalc!$B$8,0,9+N(Contracts!$Q$10)))-N(OFFSET(GanttCalc!$B$8,0,8+N(Contracts!$Q$10)))=1,"R"&amp;OFFSET(GanttCalc!$B$8,0,9+N(Contracts!$Q$10)),"R"&amp;(OFFSET(GanttCalc!$B$8,0,8+N(Contracts!$Q$10))+1)&amp;"-"&amp;OFFSET(GanttCalc!$B$8,0,9+N(Contracts!$Q$10)))))</f>
        <v/>
      </c>
      <c r="N26" s="60" t="str">
        <f aca="true">IF($B$26="","",IF(N(OFFSET(GanttCalc!$B$8,0,10+N(Contracts!$Q$10)))-N(OFFSET(GanttCalc!$B$8,0,9+N(Contracts!$Q$10)))&lt;=0,"",IF(N(OFFSET(GanttCalc!$B$8,0,10+N(Contracts!$Q$10)))-N(OFFSET(GanttCalc!$B$8,0,9+N(Contracts!$Q$10)))=1,"R"&amp;OFFSET(GanttCalc!$B$8,0,10+N(Contracts!$Q$10)),"R"&amp;(OFFSET(GanttCalc!$B$8,0,9+N(Contracts!$Q$10))+1)&amp;"-"&amp;OFFSET(GanttCalc!$B$8,0,10+N(Contracts!$Q$10)))))</f>
        <v/>
      </c>
      <c r="O26" s="60" t="str">
        <f aca="true">IF($B$26="","",IF(N(OFFSET(GanttCalc!$B$8,0,11+N(Contracts!$Q$10)))-N(OFFSET(GanttCalc!$B$8,0,10+N(Contracts!$Q$10)))&lt;=0,"",IF(N(OFFSET(GanttCalc!$B$8,0,11+N(Contracts!$Q$10)))-N(OFFSET(GanttCalc!$B$8,0,10+N(Contracts!$Q$10)))=1,"R"&amp;OFFSET(GanttCalc!$B$8,0,11+N(Contracts!$Q$10)),"R"&amp;(OFFSET(GanttCalc!$B$8,0,10+N(Contracts!$Q$10))+1)&amp;"-"&amp;OFFSET(GanttCalc!$B$8,0,11+N(Contracts!$Q$10)))))</f>
        <v/>
      </c>
      <c r="P26" s="60" t="str">
        <f aca="true">IF($B$26="","",IF(N(OFFSET(GanttCalc!$B$8,0,12+N(Contracts!$Q$10)))-N(OFFSET(GanttCalc!$B$8,0,11+N(Contracts!$Q$10)))&lt;=0,"",IF(N(OFFSET(GanttCalc!$B$8,0,12+N(Contracts!$Q$10)))-N(OFFSET(GanttCalc!$B$8,0,11+N(Contracts!$Q$10)))=1,"R"&amp;OFFSET(GanttCalc!$B$8,0,12+N(Contracts!$Q$10)),"R"&amp;(OFFSET(GanttCalc!$B$8,0,11+N(Contracts!$Q$10))+1)&amp;"-"&amp;OFFSET(GanttCalc!$B$8,0,12+N(Contracts!$Q$10)))))</f>
        <v/>
      </c>
      <c r="Q26" s="60" t="str">
        <f aca="true">IF($B$26="","",IF(N(OFFSET(GanttCalc!$B$8,0,13+N(Contracts!$Q$10)))-N(OFFSET(GanttCalc!$B$8,0,12+N(Contracts!$Q$10)))&lt;=0,"",IF(N(OFFSET(GanttCalc!$B$8,0,13+N(Contracts!$Q$10)))-N(OFFSET(GanttCalc!$B$8,0,12+N(Contracts!$Q$10)))=1,"R"&amp;OFFSET(GanttCalc!$B$8,0,13+N(Contracts!$Q$10)),"R"&amp;(OFFSET(GanttCalc!$B$8,0,12+N(Contracts!$Q$10))+1)&amp;"-"&amp;OFFSET(GanttCalc!$B$8,0,13+N(Contracts!$Q$10)))))</f>
        <v/>
      </c>
      <c r="R26" s="60" t="str">
        <f aca="true">IF($B$26="","",IF(N(OFFSET(GanttCalc!$B$8,0,14+N(Contracts!$Q$10)))-N(OFFSET(GanttCalc!$B$8,0,13+N(Contracts!$Q$10)))&lt;=0,"",IF(N(OFFSET(GanttCalc!$B$8,0,14+N(Contracts!$Q$10)))-N(OFFSET(GanttCalc!$B$8,0,13+N(Contracts!$Q$10)))=1,"R"&amp;OFFSET(GanttCalc!$B$8,0,14+N(Contracts!$Q$10)),"R"&amp;(OFFSET(GanttCalc!$B$8,0,13+N(Contracts!$Q$10))+1)&amp;"-"&amp;OFFSET(GanttCalc!$B$8,0,14+N(Contracts!$Q$10)))))</f>
        <v/>
      </c>
      <c r="S26" s="60" t="str">
        <f aca="true">IF($B$26="","",IF(N(OFFSET(GanttCalc!$B$8,0,15+N(Contracts!$Q$10)))-N(OFFSET(GanttCalc!$B$8,0,14+N(Contracts!$Q$10)))&lt;=0,"",IF(N(OFFSET(GanttCalc!$B$8,0,15+N(Contracts!$Q$10)))-N(OFFSET(GanttCalc!$B$8,0,14+N(Contracts!$Q$10)))=1,"R"&amp;OFFSET(GanttCalc!$B$8,0,15+N(Contracts!$Q$10)),"R"&amp;(OFFSET(GanttCalc!$B$8,0,14+N(Contracts!$Q$10))+1)&amp;"-"&amp;OFFSET(GanttCalc!$B$8,0,15+N(Contracts!$Q$10)))))</f>
        <v/>
      </c>
      <c r="T26" s="60" t="str">
        <f aca="true">IF($B$26="","",IF(N(OFFSET(GanttCalc!$B$8,0,16+N(Contracts!$Q$10)))-N(OFFSET(GanttCalc!$B$8,0,15+N(Contracts!$Q$10)))&lt;=0,"",IF(N(OFFSET(GanttCalc!$B$8,0,16+N(Contracts!$Q$10)))-N(OFFSET(GanttCalc!$B$8,0,15+N(Contracts!$Q$10)))=1,"R"&amp;OFFSET(GanttCalc!$B$8,0,16+N(Contracts!$Q$10)),"R"&amp;(OFFSET(GanttCalc!$B$8,0,15+N(Contracts!$Q$10))+1)&amp;"-"&amp;OFFSET(GanttCalc!$B$8,0,16+N(Contracts!$Q$10)))))</f>
        <v/>
      </c>
      <c r="U26" s="60" t="str">
        <f aca="true">IF($B$26="","",IF(N(OFFSET(GanttCalc!$B$8,0,17+N(Contracts!$Q$10)))-N(OFFSET(GanttCalc!$B$8,0,16+N(Contracts!$Q$10)))&lt;=0,"",IF(N(OFFSET(GanttCalc!$B$8,0,17+N(Contracts!$Q$10)))-N(OFFSET(GanttCalc!$B$8,0,16+N(Contracts!$Q$10)))=1,"R"&amp;OFFSET(GanttCalc!$B$8,0,17+N(Contracts!$Q$10)),"R"&amp;(OFFSET(GanttCalc!$B$8,0,16+N(Contracts!$Q$10))+1)&amp;"-"&amp;OFFSET(GanttCalc!$B$8,0,17+N(Contracts!$Q$10)))))</f>
        <v/>
      </c>
      <c r="V26" s="60" t="str">
        <f aca="true">IF($B$26="","",IF(N(OFFSET(GanttCalc!$B$8,0,18+N(Contracts!$Q$10)))-N(OFFSET(GanttCalc!$B$8,0,17+N(Contracts!$Q$10)))&lt;=0,"",IF(N(OFFSET(GanttCalc!$B$8,0,18+N(Contracts!$Q$10)))-N(OFFSET(GanttCalc!$B$8,0,17+N(Contracts!$Q$10)))=1,"R"&amp;OFFSET(GanttCalc!$B$8,0,18+N(Contracts!$Q$10)),"R"&amp;(OFFSET(GanttCalc!$B$8,0,17+N(Contracts!$Q$10))+1)&amp;"-"&amp;OFFSET(GanttCalc!$B$8,0,18+N(Contracts!$Q$10)))))</f>
        <v/>
      </c>
      <c r="W26" s="60" t="str">
        <f aca="true">IF($B$26="","",IF(N(OFFSET(GanttCalc!$B$8,0,19+N(Contracts!$Q$10)))-N(OFFSET(GanttCalc!$B$8,0,18+N(Contracts!$Q$10)))&lt;=0,"",IF(N(OFFSET(GanttCalc!$B$8,0,19+N(Contracts!$Q$10)))-N(OFFSET(GanttCalc!$B$8,0,18+N(Contracts!$Q$10)))=1,"R"&amp;OFFSET(GanttCalc!$B$8,0,19+N(Contracts!$Q$10)),"R"&amp;(OFFSET(GanttCalc!$B$8,0,18+N(Contracts!$Q$10))+1)&amp;"-"&amp;OFFSET(GanttCalc!$B$8,0,19+N(Contracts!$Q$10)))))</f>
        <v/>
      </c>
      <c r="X26" s="60" t="str">
        <f aca="true">IF($B$26="","",IF(N(OFFSET(GanttCalc!$B$8,0,20+N(Contracts!$Q$10)))-N(OFFSET(GanttCalc!$B$8,0,19+N(Contracts!$Q$10)))&lt;=0,"",IF(N(OFFSET(GanttCalc!$B$8,0,20+N(Contracts!$Q$10)))-N(OFFSET(GanttCalc!$B$8,0,19+N(Contracts!$Q$10)))=1,"R"&amp;OFFSET(GanttCalc!$B$8,0,20+N(Contracts!$Q$10)),"R"&amp;(OFFSET(GanttCalc!$B$8,0,19+N(Contracts!$Q$10))+1)&amp;"-"&amp;OFFSET(GanttCalc!$B$8,0,20+N(Contracts!$Q$10)))))</f>
        <v/>
      </c>
      <c r="Y26" s="60" t="str">
        <f aca="true">IF($B$26="","",IF(N(OFFSET(GanttCalc!$B$8,0,21+N(Contracts!$Q$10)))-N(OFFSET(GanttCalc!$B$8,0,20+N(Contracts!$Q$10)))&lt;=0,"",IF(N(OFFSET(GanttCalc!$B$8,0,21+N(Contracts!$Q$10)))-N(OFFSET(GanttCalc!$B$8,0,20+N(Contracts!$Q$10)))=1,"R"&amp;OFFSET(GanttCalc!$B$8,0,21+N(Contracts!$Q$10)),"R"&amp;(OFFSET(GanttCalc!$B$8,0,20+N(Contracts!$Q$10))+1)&amp;"-"&amp;OFFSET(GanttCalc!$B$8,0,21+N(Contracts!$Q$10)))))</f>
        <v/>
      </c>
      <c r="Z26" s="60" t="str">
        <f aca="true">IF($B$26="","",IF(N(OFFSET(GanttCalc!$B$8,0,22+N(Contracts!$Q$10)))-N(OFFSET(GanttCalc!$B$8,0,21+N(Contracts!$Q$10)))&lt;=0,"",IF(N(OFFSET(GanttCalc!$B$8,0,22+N(Contracts!$Q$10)))-N(OFFSET(GanttCalc!$B$8,0,21+N(Contracts!$Q$10)))=1,"R"&amp;OFFSET(GanttCalc!$B$8,0,22+N(Contracts!$Q$10)),"R"&amp;(OFFSET(GanttCalc!$B$8,0,21+N(Contracts!$Q$10))+1)&amp;"-"&amp;OFFSET(GanttCalc!$B$8,0,22+N(Contracts!$Q$10)))))</f>
        <v/>
      </c>
      <c r="AA26" s="60" t="str">
        <f aca="true">IF($B$26="","",IF(N(OFFSET(GanttCalc!$B$8,0,23+N(Contracts!$Q$10)))-N(OFFSET(GanttCalc!$B$8,0,22+N(Contracts!$Q$10)))&lt;=0,"",IF(N(OFFSET(GanttCalc!$B$8,0,23+N(Contracts!$Q$10)))-N(OFFSET(GanttCalc!$B$8,0,22+N(Contracts!$Q$10)))=1,"R"&amp;OFFSET(GanttCalc!$B$8,0,23+N(Contracts!$Q$10)),"R"&amp;(OFFSET(GanttCalc!$B$8,0,22+N(Contracts!$Q$10))+1)&amp;"-"&amp;OFFSET(GanttCalc!$B$8,0,23+N(Contracts!$Q$10)))))</f>
        <v/>
      </c>
      <c r="AB26" s="60" t="str">
        <f aca="true">IF($B$26="","",IF(N(OFFSET(GanttCalc!$B$8,0,24+N(Contracts!$Q$10)))-N(OFFSET(GanttCalc!$B$8,0,23+N(Contracts!$Q$10)))&lt;=0,"",IF(N(OFFSET(GanttCalc!$B$8,0,24+N(Contracts!$Q$10)))-N(OFFSET(GanttCalc!$B$8,0,23+N(Contracts!$Q$10)))=1,"R"&amp;OFFSET(GanttCalc!$B$8,0,24+N(Contracts!$Q$10)),"R"&amp;(OFFSET(GanttCalc!$B$8,0,23+N(Contracts!$Q$10))+1)&amp;"-"&amp;OFFSET(GanttCalc!$B$8,0,24+N(Contracts!$Q$10)))))</f>
        <v/>
      </c>
      <c r="AC26" s="60" t="str">
        <f aca="true">IF($B$26="","",IF(N(OFFSET(GanttCalc!$B$8,0,25+N(Contracts!$Q$10)))-N(OFFSET(GanttCalc!$B$8,0,24+N(Contracts!$Q$10)))&lt;=0,"",IF(N(OFFSET(GanttCalc!$B$8,0,25+N(Contracts!$Q$10)))-N(OFFSET(GanttCalc!$B$8,0,24+N(Contracts!$Q$10)))=1,"R"&amp;OFFSET(GanttCalc!$B$8,0,25+N(Contracts!$Q$10)),"R"&amp;(OFFSET(GanttCalc!$B$8,0,24+N(Contracts!$Q$10))+1)&amp;"-"&amp;OFFSET(GanttCalc!$B$8,0,25+N(Contracts!$Q$10)))))</f>
        <v/>
      </c>
      <c r="AD26" s="60" t="str">
        <f aca="true">IF($B$26="","",IF(N(OFFSET(GanttCalc!$B$8,0,26+N(Contracts!$Q$10)))-N(OFFSET(GanttCalc!$B$8,0,25+N(Contracts!$Q$10)))&lt;=0,"",IF(N(OFFSET(GanttCalc!$B$8,0,26+N(Contracts!$Q$10)))-N(OFFSET(GanttCalc!$B$8,0,25+N(Contracts!$Q$10)))=1,"R"&amp;OFFSET(GanttCalc!$B$8,0,26+N(Contracts!$Q$10)),"R"&amp;(OFFSET(GanttCalc!$B$8,0,25+N(Contracts!$Q$10))+1)&amp;"-"&amp;OFFSET(GanttCalc!$B$8,0,26+N(Contracts!$Q$10)))))</f>
        <v/>
      </c>
      <c r="AE26" s="60" t="str">
        <f aca="true">IF($B$26="","",IF(N(OFFSET(GanttCalc!$B$8,0,27+N(Contracts!$Q$10)))-N(OFFSET(GanttCalc!$B$8,0,26+N(Contracts!$Q$10)))&lt;=0,"",IF(N(OFFSET(GanttCalc!$B$8,0,27+N(Contracts!$Q$10)))-N(OFFSET(GanttCalc!$B$8,0,26+N(Contracts!$Q$10)))=1,"R"&amp;OFFSET(GanttCalc!$B$8,0,27+N(Contracts!$Q$10)),"R"&amp;(OFFSET(GanttCalc!$B$8,0,26+N(Contracts!$Q$10))+1)&amp;"-"&amp;OFFSET(GanttCalc!$B$8,0,27+N(Contracts!$Q$10)))))</f>
        <v/>
      </c>
      <c r="AF26" s="60" t="str">
        <f aca="true">IF($B$26="","",IF(N(OFFSET(GanttCalc!$B$8,0,28+N(Contracts!$Q$10)))-N(OFFSET(GanttCalc!$B$8,0,27+N(Contracts!$Q$10)))&lt;=0,"",IF(N(OFFSET(GanttCalc!$B$8,0,28+N(Contracts!$Q$10)))-N(OFFSET(GanttCalc!$B$8,0,27+N(Contracts!$Q$10)))=1,"R"&amp;OFFSET(GanttCalc!$B$8,0,28+N(Contracts!$Q$10)),"R"&amp;(OFFSET(GanttCalc!$B$8,0,27+N(Contracts!$Q$10))+1)&amp;"-"&amp;OFFSET(GanttCalc!$B$8,0,28+N(Contracts!$Q$10)))))</f>
        <v/>
      </c>
      <c r="AG26" s="60" t="str">
        <f aca="true">IF($B$26="","",IF(N(OFFSET(GanttCalc!$B$8,0,29+N(Contracts!$Q$10)))-N(OFFSET(GanttCalc!$B$8,0,28+N(Contracts!$Q$10)))&lt;=0,"",IF(N(OFFSET(GanttCalc!$B$8,0,29+N(Contracts!$Q$10)))-N(OFFSET(GanttCalc!$B$8,0,28+N(Contracts!$Q$10)))=1,"R"&amp;OFFSET(GanttCalc!$B$8,0,29+N(Contracts!$Q$10)),"R"&amp;(OFFSET(GanttCalc!$B$8,0,28+N(Contracts!$Q$10))+1)&amp;"-"&amp;OFFSET(GanttCalc!$B$8,0,29+N(Contracts!$Q$10)))))</f>
        <v>R1-3</v>
      </c>
      <c r="AH26" s="60" t="str">
        <f aca="true">IF($B$26="","",IF(N(OFFSET(GanttCalc!$B$8,0,30+N(Contracts!$Q$10)))-N(OFFSET(GanttCalc!$B$8,0,29+N(Contracts!$Q$10)))&lt;=0,"",IF(N(OFFSET(GanttCalc!$B$8,0,30+N(Contracts!$Q$10)))-N(OFFSET(GanttCalc!$B$8,0,29+N(Contracts!$Q$10)))=1,"R"&amp;OFFSET(GanttCalc!$B$8,0,30+N(Contracts!$Q$10)),"R"&amp;(OFFSET(GanttCalc!$B$8,0,29+N(Contracts!$Q$10))+1)&amp;"-"&amp;OFFSET(GanttCalc!$B$8,0,30+N(Contracts!$Q$10)))))</f>
        <v/>
      </c>
      <c r="AI26" s="60" t="str">
        <f aca="true">IF($B$26="","",IF(N(OFFSET(GanttCalc!$B$8,0,31+N(Contracts!$Q$10)))-N(OFFSET(GanttCalc!$B$8,0,30+N(Contracts!$Q$10)))&lt;=0,"",IF(N(OFFSET(GanttCalc!$B$8,0,31+N(Contracts!$Q$10)))-N(OFFSET(GanttCalc!$B$8,0,30+N(Contracts!$Q$10)))=1,"R"&amp;OFFSET(GanttCalc!$B$8,0,31+N(Contracts!$Q$10)),"R"&amp;(OFFSET(GanttCalc!$B$8,0,30+N(Contracts!$Q$10))+1)&amp;"-"&amp;OFFSET(GanttCalc!$B$8,0,31+N(Contracts!$Q$10)))))</f>
        <v/>
      </c>
      <c r="AJ26" s="60" t="str">
        <f aca="true">IF($B$26="","",IF(N(OFFSET(GanttCalc!$B$8,0,32+N(Contracts!$Q$10)))-N(OFFSET(GanttCalc!$B$8,0,31+N(Contracts!$Q$10)))&lt;=0,"",IF(N(OFFSET(GanttCalc!$B$8,0,32+N(Contracts!$Q$10)))-N(OFFSET(GanttCalc!$B$8,0,31+N(Contracts!$Q$10)))=1,"R"&amp;OFFSET(GanttCalc!$B$8,0,32+N(Contracts!$Q$10)),"R"&amp;(OFFSET(GanttCalc!$B$8,0,31+N(Contracts!$Q$10))+1)&amp;"-"&amp;OFFSET(GanttCalc!$B$8,0,32+N(Contracts!$Q$10)))))</f>
        <v/>
      </c>
      <c r="AK26" s="60" t="str">
        <f aca="true">IF($B$26="","",IF(N(OFFSET(GanttCalc!$B$8,0,33+N(Contracts!$Q$10)))-N(OFFSET(GanttCalc!$B$8,0,32+N(Contracts!$Q$10)))&lt;=0,"",IF(N(OFFSET(GanttCalc!$B$8,0,33+N(Contracts!$Q$10)))-N(OFFSET(GanttCalc!$B$8,0,32+N(Contracts!$Q$10)))=1,"R"&amp;OFFSET(GanttCalc!$B$8,0,33+N(Contracts!$Q$10)),"R"&amp;(OFFSET(GanttCalc!$B$8,0,32+N(Contracts!$Q$10))+1)&amp;"-"&amp;OFFSET(GanttCalc!$B$8,0,33+N(Contracts!$Q$10)))))</f>
        <v/>
      </c>
      <c r="AL26" s="60" t="str">
        <f aca="true">IF($B$26="","",IF(N(OFFSET(GanttCalc!$B$8,0,34+N(Contracts!$Q$10)))-N(OFFSET(GanttCalc!$B$8,0,33+N(Contracts!$Q$10)))&lt;=0,"",IF(N(OFFSET(GanttCalc!$B$8,0,34+N(Contracts!$Q$10)))-N(OFFSET(GanttCalc!$B$8,0,33+N(Contracts!$Q$10)))=1,"R"&amp;OFFSET(GanttCalc!$B$8,0,34+N(Contracts!$Q$10)),"R"&amp;(OFFSET(GanttCalc!$B$8,0,33+N(Contracts!$Q$10))+1)&amp;"-"&amp;OFFSET(GanttCalc!$B$8,0,34+N(Contracts!$Q$10)))))</f>
        <v/>
      </c>
      <c r="AM26" s="60" t="str">
        <f aca="true">IF($B$26="","",IF(N(OFFSET(GanttCalc!$B$8,0,35+N(Contracts!$Q$10)))-N(OFFSET(GanttCalc!$B$8,0,34+N(Contracts!$Q$10)))&lt;=0,"",IF(N(OFFSET(GanttCalc!$B$8,0,35+N(Contracts!$Q$10)))-N(OFFSET(GanttCalc!$B$8,0,34+N(Contracts!$Q$10)))=1,"R"&amp;OFFSET(GanttCalc!$B$8,0,35+N(Contracts!$Q$10)),"R"&amp;(OFFSET(GanttCalc!$B$8,0,34+N(Contracts!$Q$10))+1)&amp;"-"&amp;OFFSET(GanttCalc!$B$8,0,35+N(Contracts!$Q$10)))))</f>
        <v/>
      </c>
      <c r="AN26" s="60" t="str">
        <f aca="true">IF($B$26="","",IF(N(OFFSET(GanttCalc!$B$8,0,36+N(Contracts!$Q$10)))-N(OFFSET(GanttCalc!$B$8,0,35+N(Contracts!$Q$10)))&lt;=0,"",IF(N(OFFSET(GanttCalc!$B$8,0,36+N(Contracts!$Q$10)))-N(OFFSET(GanttCalc!$B$8,0,35+N(Contracts!$Q$10)))=1,"R"&amp;OFFSET(GanttCalc!$B$8,0,36+N(Contracts!$Q$10)),"R"&amp;(OFFSET(GanttCalc!$B$8,0,35+N(Contracts!$Q$10))+1)&amp;"-"&amp;OFFSET(GanttCalc!$B$8,0,36+N(Contracts!$Q$10)))))</f>
        <v/>
      </c>
      <c r="AO26" s="60" t="str">
        <f aca="true">IF($B$26="","",IF(N(OFFSET(GanttCalc!$B$8,0,37+N(Contracts!$Q$10)))-N(OFFSET(GanttCalc!$B$8,0,36+N(Contracts!$Q$10)))&lt;=0,"",IF(N(OFFSET(GanttCalc!$B$8,0,37+N(Contracts!$Q$10)))-N(OFFSET(GanttCalc!$B$8,0,36+N(Contracts!$Q$10)))=1,"R"&amp;OFFSET(GanttCalc!$B$8,0,37+N(Contracts!$Q$10)),"R"&amp;(OFFSET(GanttCalc!$B$8,0,36+N(Contracts!$Q$10))+1)&amp;"-"&amp;OFFSET(GanttCalc!$B$8,0,37+N(Contracts!$Q$10)))))</f>
        <v/>
      </c>
      <c r="AP26" s="60" t="str">
        <f aca="true">IF($B$26="","",IF(N(OFFSET(GanttCalc!$B$8,0,38+N(Contracts!$Q$10)))-N(OFFSET(GanttCalc!$B$8,0,37+N(Contracts!$Q$10)))&lt;=0,"",IF(N(OFFSET(GanttCalc!$B$8,0,38+N(Contracts!$Q$10)))-N(OFFSET(GanttCalc!$B$8,0,37+N(Contracts!$Q$10)))=1,"R"&amp;OFFSET(GanttCalc!$B$8,0,38+N(Contracts!$Q$10)),"R"&amp;(OFFSET(GanttCalc!$B$8,0,37+N(Contracts!$Q$10))+1)&amp;"-"&amp;OFFSET(GanttCalc!$B$8,0,38+N(Contracts!$Q$10)))))</f>
        <v/>
      </c>
      <c r="AQ26" s="60" t="str">
        <f aca="true">IF($B$26="","",IF(N(OFFSET(GanttCalc!$B$8,0,39+N(Contracts!$Q$10)))-N(OFFSET(GanttCalc!$B$8,0,38+N(Contracts!$Q$10)))&lt;=0,"",IF(N(OFFSET(GanttCalc!$B$8,0,39+N(Contracts!$Q$10)))-N(OFFSET(GanttCalc!$B$8,0,38+N(Contracts!$Q$10)))=1,"R"&amp;OFFSET(GanttCalc!$B$8,0,39+N(Contracts!$Q$10)),"R"&amp;(OFFSET(GanttCalc!$B$8,0,38+N(Contracts!$Q$10))+1)&amp;"-"&amp;OFFSET(GanttCalc!$B$8,0,39+N(Contracts!$Q$10)))))</f>
        <v/>
      </c>
      <c r="AR26" s="60" t="str">
        <f aca="true">IF($B$26="","",IF(N(OFFSET(GanttCalc!$B$8,0,40+N(Contracts!$Q$10)))-N(OFFSET(GanttCalc!$B$8,0,39+N(Contracts!$Q$10)))&lt;=0,"",IF(N(OFFSET(GanttCalc!$B$8,0,40+N(Contracts!$Q$10)))-N(OFFSET(GanttCalc!$B$8,0,39+N(Contracts!$Q$10)))=1,"R"&amp;OFFSET(GanttCalc!$B$8,0,40+N(Contracts!$Q$10)),"R"&amp;(OFFSET(GanttCalc!$B$8,0,39+N(Contracts!$Q$10))+1)&amp;"-"&amp;OFFSET(GanttCalc!$B$8,0,40+N(Contracts!$Q$10)))))</f>
        <v/>
      </c>
      <c r="AS26" s="60" t="str">
        <f aca="true">IF($B$26="","",IF(N(OFFSET(GanttCalc!$B$8,0,41+N(Contracts!$Q$10)))-N(OFFSET(GanttCalc!$B$8,0,40+N(Contracts!$Q$10)))&lt;=0,"",IF(N(OFFSET(GanttCalc!$B$8,0,41+N(Contracts!$Q$10)))-N(OFFSET(GanttCalc!$B$8,0,40+N(Contracts!$Q$10)))=1,"R"&amp;OFFSET(GanttCalc!$B$8,0,41+N(Contracts!$Q$10)),"R"&amp;(OFFSET(GanttCalc!$B$8,0,40+N(Contracts!$Q$10))+1)&amp;"-"&amp;OFFSET(GanttCalc!$B$8,0,41+N(Contracts!$Q$10)))))</f>
        <v/>
      </c>
      <c r="AT26" s="60" t="str">
        <f aca="true">IF($B$26="","",IF(N(OFFSET(GanttCalc!$B$8,0,42+N(Contracts!$Q$10)))-N(OFFSET(GanttCalc!$B$8,0,41+N(Contracts!$Q$10)))&lt;=0,"",IF(N(OFFSET(GanttCalc!$B$8,0,42+N(Contracts!$Q$10)))-N(OFFSET(GanttCalc!$B$8,0,41+N(Contracts!$Q$10)))=1,"R"&amp;OFFSET(GanttCalc!$B$8,0,42+N(Contracts!$Q$10)),"R"&amp;(OFFSET(GanttCalc!$B$8,0,41+N(Contracts!$Q$10))+1)&amp;"-"&amp;OFFSET(GanttCalc!$B$8,0,42+N(Contracts!$Q$10)))))</f>
        <v/>
      </c>
      <c r="AU26" s="60" t="str">
        <f aca="true">IF($B$26="","",IF(N(OFFSET(GanttCalc!$B$8,0,43+N(Contracts!$Q$10)))-N(OFFSET(GanttCalc!$B$8,0,42+N(Contracts!$Q$10)))&lt;=0,"",IF(N(OFFSET(GanttCalc!$B$8,0,43+N(Contracts!$Q$10)))-N(OFFSET(GanttCalc!$B$8,0,42+N(Contracts!$Q$10)))=1,"R"&amp;OFFSET(GanttCalc!$B$8,0,43+N(Contracts!$Q$10)),"R"&amp;(OFFSET(GanttCalc!$B$8,0,42+N(Contracts!$Q$10))+1)&amp;"-"&amp;OFFSET(GanttCalc!$B$8,0,43+N(Contracts!$Q$10)))))</f>
        <v/>
      </c>
      <c r="AV26" s="60" t="str">
        <f aca="true">IF($B$26="","",IF(N(OFFSET(GanttCalc!$B$8,0,44+N(Contracts!$Q$10)))-N(OFFSET(GanttCalc!$B$8,0,43+N(Contracts!$Q$10)))&lt;=0,"",IF(N(OFFSET(GanttCalc!$B$8,0,44+N(Contracts!$Q$10)))-N(OFFSET(GanttCalc!$B$8,0,43+N(Contracts!$Q$10)))=1,"R"&amp;OFFSET(GanttCalc!$B$8,0,44+N(Contracts!$Q$10)),"R"&amp;(OFFSET(GanttCalc!$B$8,0,43+N(Contracts!$Q$10))+1)&amp;"-"&amp;OFFSET(GanttCalc!$B$8,0,44+N(Contracts!$Q$10)))))</f>
        <v/>
      </c>
      <c r="AW26" s="60" t="str">
        <f aca="true">IF($B$26="","",IF(N(OFFSET(GanttCalc!$B$8,0,45+N(Contracts!$Q$10)))-N(OFFSET(GanttCalc!$B$8,0,44+N(Contracts!$Q$10)))&lt;=0,"",IF(N(OFFSET(GanttCalc!$B$8,0,45+N(Contracts!$Q$10)))-N(OFFSET(GanttCalc!$B$8,0,44+N(Contracts!$Q$10)))=1,"R"&amp;OFFSET(GanttCalc!$B$8,0,45+N(Contracts!$Q$10)),"R"&amp;(OFFSET(GanttCalc!$B$8,0,44+N(Contracts!$Q$10))+1)&amp;"-"&amp;OFFSET(GanttCalc!$B$8,0,45+N(Contracts!$Q$10)))))</f>
        <v/>
      </c>
      <c r="AX26" s="60" t="str">
        <f aca="true">IF($B$26="","",IF(N(OFFSET(GanttCalc!$B$8,0,46+N(Contracts!$Q$10)))-N(OFFSET(GanttCalc!$B$8,0,45+N(Contracts!$Q$10)))&lt;=0,"",IF(N(OFFSET(GanttCalc!$B$8,0,46+N(Contracts!$Q$10)))-N(OFFSET(GanttCalc!$B$8,0,45+N(Contracts!$Q$10)))=1,"R"&amp;OFFSET(GanttCalc!$B$8,0,46+N(Contracts!$Q$10)),"R"&amp;(OFFSET(GanttCalc!$B$8,0,45+N(Contracts!$Q$10))+1)&amp;"-"&amp;OFFSET(GanttCalc!$B$8,0,46+N(Contracts!$Q$10)))))</f>
        <v/>
      </c>
      <c r="AY26" s="60" t="str">
        <f aca="true">IF($B$26="","",IF(N(OFFSET(GanttCalc!$B$8,0,47+N(Contracts!$Q$10)))-N(OFFSET(GanttCalc!$B$8,0,46+N(Contracts!$Q$10)))&lt;=0,"",IF(N(OFFSET(GanttCalc!$B$8,0,47+N(Contracts!$Q$10)))-N(OFFSET(GanttCalc!$B$8,0,46+N(Contracts!$Q$10)))=1,"R"&amp;OFFSET(GanttCalc!$B$8,0,47+N(Contracts!$Q$10)),"R"&amp;(OFFSET(GanttCalc!$B$8,0,46+N(Contracts!$Q$10))+1)&amp;"-"&amp;OFFSET(GanttCalc!$B$8,0,47+N(Contracts!$Q$10)))))</f>
        <v/>
      </c>
      <c r="AZ26" s="60" t="str">
        <f aca="true">IF($B$26="","",IF(N(OFFSET(GanttCalc!$B$8,0,48+N(Contracts!$Q$10)))-N(OFFSET(GanttCalc!$B$8,0,47+N(Contracts!$Q$10)))&lt;=0,"",IF(N(OFFSET(GanttCalc!$B$8,0,48+N(Contracts!$Q$10)))-N(OFFSET(GanttCalc!$B$8,0,47+N(Contracts!$Q$10)))=1,"R"&amp;OFFSET(GanttCalc!$B$8,0,48+N(Contracts!$Q$10)),"R"&amp;(OFFSET(GanttCalc!$B$8,0,47+N(Contracts!$Q$10))+1)&amp;"-"&amp;OFFSET(GanttCalc!$B$8,0,48+N(Contracts!$Q$10)))))</f>
        <v/>
      </c>
      <c r="BA26" s="60" t="str">
        <f aca="true">IF($B$26="","",IF(N(OFFSET(GanttCalc!$B$8,0,49+N(Contracts!$Q$10)))-N(OFFSET(GanttCalc!$B$8,0,48+N(Contracts!$Q$10)))&lt;=0,"",IF(N(OFFSET(GanttCalc!$B$8,0,49+N(Contracts!$Q$10)))-N(OFFSET(GanttCalc!$B$8,0,48+N(Contracts!$Q$10)))=1,"R"&amp;OFFSET(GanttCalc!$B$8,0,49+N(Contracts!$Q$10)),"R"&amp;(OFFSET(GanttCalc!$B$8,0,48+N(Contracts!$Q$10))+1)&amp;"-"&amp;OFFSET(GanttCalc!$B$8,0,49+N(Contracts!$Q$10)))))</f>
        <v/>
      </c>
      <c r="BB26" s="60" t="str">
        <f aca="true">IF($B$26="","",IF(N(OFFSET(GanttCalc!$B$8,0,50+N(Contracts!$Q$10)))-N(OFFSET(GanttCalc!$B$8,0,49+N(Contracts!$Q$10)))&lt;=0,"",IF(N(OFFSET(GanttCalc!$B$8,0,50+N(Contracts!$Q$10)))-N(OFFSET(GanttCalc!$B$8,0,49+N(Contracts!$Q$10)))=1,"R"&amp;OFFSET(GanttCalc!$B$8,0,50+N(Contracts!$Q$10)),"R"&amp;(OFFSET(GanttCalc!$B$8,0,49+N(Contracts!$Q$10))+1)&amp;"-"&amp;OFFSET(GanttCalc!$B$8,0,50+N(Contracts!$Q$10)))))</f>
        <v/>
      </c>
      <c r="BC26" s="60" t="str">
        <f aca="true">IF($B$26="","",IF(N(OFFSET(GanttCalc!$B$8,0,51+N(Contracts!$Q$10)))-N(OFFSET(GanttCalc!$B$8,0,50+N(Contracts!$Q$10)))&lt;=0,"",IF(N(OFFSET(GanttCalc!$B$8,0,51+N(Contracts!$Q$10)))-N(OFFSET(GanttCalc!$B$8,0,50+N(Contracts!$Q$10)))=1,"R"&amp;OFFSET(GanttCalc!$B$8,0,51+N(Contracts!$Q$10)),"R"&amp;(OFFSET(GanttCalc!$B$8,0,50+N(Contracts!$Q$10))+1)&amp;"-"&amp;OFFSET(GanttCalc!$B$8,0,51+N(Contracts!$Q$10)))))</f>
        <v/>
      </c>
      <c r="BD26" s="60" t="str">
        <f aca="true">IF($B$26="","",IF(N(OFFSET(GanttCalc!$B$8,0,52+N(Contracts!$Q$10)))-N(OFFSET(GanttCalc!$B$8,0,51+N(Contracts!$Q$10)))&lt;=0,"",IF(N(OFFSET(GanttCalc!$B$8,0,52+N(Contracts!$Q$10)))-N(OFFSET(GanttCalc!$B$8,0,51+N(Contracts!$Q$10)))=1,"R"&amp;OFFSET(GanttCalc!$B$8,0,52+N(Contracts!$Q$10)),"R"&amp;(OFFSET(GanttCalc!$B$8,0,51+N(Contracts!$Q$10))+1)&amp;"-"&amp;OFFSET(GanttCalc!$B$8,0,52+N(Contracts!$Q$10)))))</f>
        <v/>
      </c>
    </row>
    <row r="27" customFormat="false" ht="16.5" hidden="false" customHeight="true" outlineLevel="0" collapsed="false">
      <c r="B27" s="61" t="str">
        <f aca="false">IF(Contracts!$A$10="","",Contracts!$C$10)</f>
        <v>92ERP06548A++</v>
      </c>
      <c r="C27" s="62" t="str">
        <f aca="false">IF(Contracts!$A$10="","","AMPS build")</f>
        <v>AMPS build</v>
      </c>
      <c r="D27" s="59" t="str">
        <f aca="false">IF($B$26="","",SUMPRODUCT(--(E27:BD27&lt;&gt;""))&amp;" wks")</f>
        <v>1 wks</v>
      </c>
      <c r="E27" s="60" t="str">
        <f aca="false">IF($B$26="","",IF(N(GanttCalc!D8)-N(GanttCalc!C8)&lt;=0,"",IF(N(GanttCalc!D8)-N(GanttCalc!C8)=1,"R"&amp;GanttCalc!D8,"R"&amp;(GanttCalc!C8+1)&amp;"-"&amp;GanttCalc!D8)))</f>
        <v/>
      </c>
      <c r="F27" s="60" t="str">
        <f aca="false">IF($B$26="","",IF(N(GanttCalc!E8)-N(GanttCalc!D8)&lt;=0,"",IF(N(GanttCalc!E8)-N(GanttCalc!D8)=1,"R"&amp;GanttCalc!E8,"R"&amp;(GanttCalc!D8+1)&amp;"-"&amp;GanttCalc!E8)))</f>
        <v/>
      </c>
      <c r="G27" s="60" t="str">
        <f aca="false">IF($B$26="","",IF(N(GanttCalc!F8)-N(GanttCalc!E8)&lt;=0,"",IF(N(GanttCalc!F8)-N(GanttCalc!E8)=1,"R"&amp;GanttCalc!F8,"R"&amp;(GanttCalc!E8+1)&amp;"-"&amp;GanttCalc!F8)))</f>
        <v/>
      </c>
      <c r="H27" s="60" t="str">
        <f aca="false">IF($B$26="","",IF(N(GanttCalc!G8)-N(GanttCalc!F8)&lt;=0,"",IF(N(GanttCalc!G8)-N(GanttCalc!F8)=1,"R"&amp;GanttCalc!G8,"R"&amp;(GanttCalc!F8+1)&amp;"-"&amp;GanttCalc!G8)))</f>
        <v/>
      </c>
      <c r="I27" s="60" t="str">
        <f aca="false">IF($B$26="","",IF(N(GanttCalc!H8)-N(GanttCalc!G8)&lt;=0,"",IF(N(GanttCalc!H8)-N(GanttCalc!G8)=1,"R"&amp;GanttCalc!H8,"R"&amp;(GanttCalc!G8+1)&amp;"-"&amp;GanttCalc!H8)))</f>
        <v/>
      </c>
      <c r="J27" s="60" t="str">
        <f aca="false">IF($B$26="","",IF(N(GanttCalc!I8)-N(GanttCalc!H8)&lt;=0,"",IF(N(GanttCalc!I8)-N(GanttCalc!H8)=1,"R"&amp;GanttCalc!I8,"R"&amp;(GanttCalc!H8+1)&amp;"-"&amp;GanttCalc!I8)))</f>
        <v/>
      </c>
      <c r="K27" s="60" t="str">
        <f aca="false">IF($B$26="","",IF(N(GanttCalc!J8)-N(GanttCalc!I8)&lt;=0,"",IF(N(GanttCalc!J8)-N(GanttCalc!I8)=1,"R"&amp;GanttCalc!J8,"R"&amp;(GanttCalc!I8+1)&amp;"-"&amp;GanttCalc!J8)))</f>
        <v/>
      </c>
      <c r="L27" s="60" t="str">
        <f aca="false">IF($B$26="","",IF(N(GanttCalc!K8)-N(GanttCalc!J8)&lt;=0,"",IF(N(GanttCalc!K8)-N(GanttCalc!J8)=1,"R"&amp;GanttCalc!K8,"R"&amp;(GanttCalc!J8+1)&amp;"-"&amp;GanttCalc!K8)))</f>
        <v/>
      </c>
      <c r="M27" s="60" t="str">
        <f aca="false">IF($B$26="","",IF(N(GanttCalc!L8)-N(GanttCalc!K8)&lt;=0,"",IF(N(GanttCalc!L8)-N(GanttCalc!K8)=1,"R"&amp;GanttCalc!L8,"R"&amp;(GanttCalc!K8+1)&amp;"-"&amp;GanttCalc!L8)))</f>
        <v/>
      </c>
      <c r="N27" s="60" t="str">
        <f aca="false">IF($B$26="","",IF(N(GanttCalc!M8)-N(GanttCalc!L8)&lt;=0,"",IF(N(GanttCalc!M8)-N(GanttCalc!L8)=1,"R"&amp;GanttCalc!M8,"R"&amp;(GanttCalc!L8+1)&amp;"-"&amp;GanttCalc!M8)))</f>
        <v/>
      </c>
      <c r="O27" s="60" t="str">
        <f aca="false">IF($B$26="","",IF(N(GanttCalc!N8)-N(GanttCalc!M8)&lt;=0,"",IF(N(GanttCalc!N8)-N(GanttCalc!M8)=1,"R"&amp;GanttCalc!N8,"R"&amp;(GanttCalc!M8+1)&amp;"-"&amp;GanttCalc!N8)))</f>
        <v/>
      </c>
      <c r="P27" s="60" t="str">
        <f aca="false">IF($B$26="","",IF(N(GanttCalc!O8)-N(GanttCalc!N8)&lt;=0,"",IF(N(GanttCalc!O8)-N(GanttCalc!N8)=1,"R"&amp;GanttCalc!O8,"R"&amp;(GanttCalc!N8+1)&amp;"-"&amp;GanttCalc!O8)))</f>
        <v/>
      </c>
      <c r="Q27" s="60" t="str">
        <f aca="false">IF($B$26="","",IF(N(GanttCalc!P8)-N(GanttCalc!O8)&lt;=0,"",IF(N(GanttCalc!P8)-N(GanttCalc!O8)=1,"R"&amp;GanttCalc!P8,"R"&amp;(GanttCalc!O8+1)&amp;"-"&amp;GanttCalc!P8)))</f>
        <v/>
      </c>
      <c r="R27" s="60" t="str">
        <f aca="false">IF($B$26="","",IF(N(GanttCalc!Q8)-N(GanttCalc!P8)&lt;=0,"",IF(N(GanttCalc!Q8)-N(GanttCalc!P8)=1,"R"&amp;GanttCalc!Q8,"R"&amp;(GanttCalc!P8+1)&amp;"-"&amp;GanttCalc!Q8)))</f>
        <v/>
      </c>
      <c r="S27" s="60" t="str">
        <f aca="false">IF($B$26="","",IF(N(GanttCalc!R8)-N(GanttCalc!Q8)&lt;=0,"",IF(N(GanttCalc!R8)-N(GanttCalc!Q8)=1,"R"&amp;GanttCalc!R8,"R"&amp;(GanttCalc!Q8+1)&amp;"-"&amp;GanttCalc!R8)))</f>
        <v/>
      </c>
      <c r="T27" s="60" t="str">
        <f aca="false">IF($B$26="","",IF(N(GanttCalc!S8)-N(GanttCalc!R8)&lt;=0,"",IF(N(GanttCalc!S8)-N(GanttCalc!R8)=1,"R"&amp;GanttCalc!S8,"R"&amp;(GanttCalc!R8+1)&amp;"-"&amp;GanttCalc!S8)))</f>
        <v/>
      </c>
      <c r="U27" s="60" t="str">
        <f aca="false">IF($B$26="","",IF(N(GanttCalc!T8)-N(GanttCalc!S8)&lt;=0,"",IF(N(GanttCalc!T8)-N(GanttCalc!S8)=1,"R"&amp;GanttCalc!T8,"R"&amp;(GanttCalc!S8+1)&amp;"-"&amp;GanttCalc!T8)))</f>
        <v/>
      </c>
      <c r="V27" s="60" t="str">
        <f aca="false">IF($B$26="","",IF(N(GanttCalc!U8)-N(GanttCalc!T8)&lt;=0,"",IF(N(GanttCalc!U8)-N(GanttCalc!T8)=1,"R"&amp;GanttCalc!U8,"R"&amp;(GanttCalc!T8+1)&amp;"-"&amp;GanttCalc!U8)))</f>
        <v/>
      </c>
      <c r="W27" s="60" t="str">
        <f aca="false">IF($B$26="","",IF(N(GanttCalc!V8)-N(GanttCalc!U8)&lt;=0,"",IF(N(GanttCalc!V8)-N(GanttCalc!U8)=1,"R"&amp;GanttCalc!V8,"R"&amp;(GanttCalc!U8+1)&amp;"-"&amp;GanttCalc!V8)))</f>
        <v/>
      </c>
      <c r="X27" s="60" t="str">
        <f aca="false">IF($B$26="","",IF(N(GanttCalc!W8)-N(GanttCalc!V8)&lt;=0,"",IF(N(GanttCalc!W8)-N(GanttCalc!V8)=1,"R"&amp;GanttCalc!W8,"R"&amp;(GanttCalc!V8+1)&amp;"-"&amp;GanttCalc!W8)))</f>
        <v/>
      </c>
      <c r="Y27" s="60" t="str">
        <f aca="false">IF($B$26="","",IF(N(GanttCalc!X8)-N(GanttCalc!W8)&lt;=0,"",IF(N(GanttCalc!X8)-N(GanttCalc!W8)=1,"R"&amp;GanttCalc!X8,"R"&amp;(GanttCalc!W8+1)&amp;"-"&amp;GanttCalc!X8)))</f>
        <v/>
      </c>
      <c r="Z27" s="60" t="str">
        <f aca="false">IF($B$26="","",IF(N(GanttCalc!Y8)-N(GanttCalc!X8)&lt;=0,"",IF(N(GanttCalc!Y8)-N(GanttCalc!X8)=1,"R"&amp;GanttCalc!Y8,"R"&amp;(GanttCalc!X8+1)&amp;"-"&amp;GanttCalc!Y8)))</f>
        <v/>
      </c>
      <c r="AA27" s="60" t="str">
        <f aca="false">IF($B$26="","",IF(N(GanttCalc!Z8)-N(GanttCalc!Y8)&lt;=0,"",IF(N(GanttCalc!Z8)-N(GanttCalc!Y8)=1,"R"&amp;GanttCalc!Z8,"R"&amp;(GanttCalc!Y8+1)&amp;"-"&amp;GanttCalc!Z8)))</f>
        <v/>
      </c>
      <c r="AB27" s="60" t="str">
        <f aca="false">IF($B$26="","",IF(N(GanttCalc!AA8)-N(GanttCalc!Z8)&lt;=0,"",IF(N(GanttCalc!AA8)-N(GanttCalc!Z8)=1,"R"&amp;GanttCalc!AA8,"R"&amp;(GanttCalc!Z8+1)&amp;"-"&amp;GanttCalc!AA8)))</f>
        <v/>
      </c>
      <c r="AC27" s="60" t="str">
        <f aca="false">IF($B$26="","",IF(N(GanttCalc!AB8)-N(GanttCalc!AA8)&lt;=0,"",IF(N(GanttCalc!AB8)-N(GanttCalc!AA8)=1,"R"&amp;GanttCalc!AB8,"R"&amp;(GanttCalc!AA8+1)&amp;"-"&amp;GanttCalc!AB8)))</f>
        <v/>
      </c>
      <c r="AD27" s="60" t="str">
        <f aca="false">IF($B$26="","",IF(N(GanttCalc!AC8)-N(GanttCalc!AB8)&lt;=0,"",IF(N(GanttCalc!AC8)-N(GanttCalc!AB8)=1,"R"&amp;GanttCalc!AC8,"R"&amp;(GanttCalc!AB8+1)&amp;"-"&amp;GanttCalc!AC8)))</f>
        <v/>
      </c>
      <c r="AE27" s="60" t="str">
        <f aca="false">IF($B$26="","",IF(N(GanttCalc!AD8)-N(GanttCalc!AC8)&lt;=0,"",IF(N(GanttCalc!AD8)-N(GanttCalc!AC8)=1,"R"&amp;GanttCalc!AD8,"R"&amp;(GanttCalc!AC8+1)&amp;"-"&amp;GanttCalc!AD8)))</f>
        <v/>
      </c>
      <c r="AF27" s="60" t="str">
        <f aca="false">IF($B$26="","",IF(N(GanttCalc!AE8)-N(GanttCalc!AD8)&lt;=0,"",IF(N(GanttCalc!AE8)-N(GanttCalc!AD8)=1,"R"&amp;GanttCalc!AE8,"R"&amp;(GanttCalc!AD8+1)&amp;"-"&amp;GanttCalc!AE8)))</f>
        <v/>
      </c>
      <c r="AG27" s="60" t="str">
        <f aca="false">IF($B$26="","",IF(N(GanttCalc!AF8)-N(GanttCalc!AE8)&lt;=0,"",IF(N(GanttCalc!AF8)-N(GanttCalc!AE8)=1,"R"&amp;GanttCalc!AF8,"R"&amp;(GanttCalc!AE8+1)&amp;"-"&amp;GanttCalc!AF8)))</f>
        <v/>
      </c>
      <c r="AH27" s="60" t="str">
        <f aca="false">IF($B$26="","",IF(N(GanttCalc!AG8)-N(GanttCalc!AF8)&lt;=0,"",IF(N(GanttCalc!AG8)-N(GanttCalc!AF8)=1,"R"&amp;GanttCalc!AG8,"R"&amp;(GanttCalc!AF8+1)&amp;"-"&amp;GanttCalc!AG8)))</f>
        <v>R1-3</v>
      </c>
      <c r="AI27" s="60" t="str">
        <f aca="false">IF($B$26="","",IF(N(GanttCalc!AH8)-N(GanttCalc!AG8)&lt;=0,"",IF(N(GanttCalc!AH8)-N(GanttCalc!AG8)=1,"R"&amp;GanttCalc!AH8,"R"&amp;(GanttCalc!AG8+1)&amp;"-"&amp;GanttCalc!AH8)))</f>
        <v/>
      </c>
      <c r="AJ27" s="60" t="str">
        <f aca="false">IF($B$26="","",IF(N(GanttCalc!AI8)-N(GanttCalc!AH8)&lt;=0,"",IF(N(GanttCalc!AI8)-N(GanttCalc!AH8)=1,"R"&amp;GanttCalc!AI8,"R"&amp;(GanttCalc!AH8+1)&amp;"-"&amp;GanttCalc!AI8)))</f>
        <v/>
      </c>
      <c r="AK27" s="60" t="str">
        <f aca="false">IF($B$26="","",IF(N(GanttCalc!AJ8)-N(GanttCalc!AI8)&lt;=0,"",IF(N(GanttCalc!AJ8)-N(GanttCalc!AI8)=1,"R"&amp;GanttCalc!AJ8,"R"&amp;(GanttCalc!AI8+1)&amp;"-"&amp;GanttCalc!AJ8)))</f>
        <v/>
      </c>
      <c r="AL27" s="60" t="str">
        <f aca="false">IF($B$26="","",IF(N(GanttCalc!AK8)-N(GanttCalc!AJ8)&lt;=0,"",IF(N(GanttCalc!AK8)-N(GanttCalc!AJ8)=1,"R"&amp;GanttCalc!AK8,"R"&amp;(GanttCalc!AJ8+1)&amp;"-"&amp;GanttCalc!AK8)))</f>
        <v/>
      </c>
      <c r="AM27" s="60" t="str">
        <f aca="false">IF($B$26="","",IF(N(GanttCalc!AL8)-N(GanttCalc!AK8)&lt;=0,"",IF(N(GanttCalc!AL8)-N(GanttCalc!AK8)=1,"R"&amp;GanttCalc!AL8,"R"&amp;(GanttCalc!AK8+1)&amp;"-"&amp;GanttCalc!AL8)))</f>
        <v/>
      </c>
      <c r="AN27" s="60" t="str">
        <f aca="false">IF($B$26="","",IF(N(GanttCalc!AM8)-N(GanttCalc!AL8)&lt;=0,"",IF(N(GanttCalc!AM8)-N(GanttCalc!AL8)=1,"R"&amp;GanttCalc!AM8,"R"&amp;(GanttCalc!AL8+1)&amp;"-"&amp;GanttCalc!AM8)))</f>
        <v/>
      </c>
      <c r="AO27" s="60" t="str">
        <f aca="false">IF($B$26="","",IF(N(GanttCalc!AN8)-N(GanttCalc!AM8)&lt;=0,"",IF(N(GanttCalc!AN8)-N(GanttCalc!AM8)=1,"R"&amp;GanttCalc!AN8,"R"&amp;(GanttCalc!AM8+1)&amp;"-"&amp;GanttCalc!AN8)))</f>
        <v/>
      </c>
      <c r="AP27" s="60" t="str">
        <f aca="false">IF($B$26="","",IF(N(GanttCalc!AO8)-N(GanttCalc!AN8)&lt;=0,"",IF(N(GanttCalc!AO8)-N(GanttCalc!AN8)=1,"R"&amp;GanttCalc!AO8,"R"&amp;(GanttCalc!AN8+1)&amp;"-"&amp;GanttCalc!AO8)))</f>
        <v/>
      </c>
      <c r="AQ27" s="60" t="str">
        <f aca="false">IF($B$26="","",IF(N(GanttCalc!AP8)-N(GanttCalc!AO8)&lt;=0,"",IF(N(GanttCalc!AP8)-N(GanttCalc!AO8)=1,"R"&amp;GanttCalc!AP8,"R"&amp;(GanttCalc!AO8+1)&amp;"-"&amp;GanttCalc!AP8)))</f>
        <v/>
      </c>
      <c r="AR27" s="60" t="str">
        <f aca="false">IF($B$26="","",IF(N(GanttCalc!AQ8)-N(GanttCalc!AP8)&lt;=0,"",IF(N(GanttCalc!AQ8)-N(GanttCalc!AP8)=1,"R"&amp;GanttCalc!AQ8,"R"&amp;(GanttCalc!AP8+1)&amp;"-"&amp;GanttCalc!AQ8)))</f>
        <v/>
      </c>
      <c r="AS27" s="60" t="str">
        <f aca="false">IF($B$26="","",IF(N(GanttCalc!AR8)-N(GanttCalc!AQ8)&lt;=0,"",IF(N(GanttCalc!AR8)-N(GanttCalc!AQ8)=1,"R"&amp;GanttCalc!AR8,"R"&amp;(GanttCalc!AQ8+1)&amp;"-"&amp;GanttCalc!AR8)))</f>
        <v/>
      </c>
      <c r="AT27" s="60" t="str">
        <f aca="false">IF($B$26="","",IF(N(GanttCalc!AS8)-N(GanttCalc!AR8)&lt;=0,"",IF(N(GanttCalc!AS8)-N(GanttCalc!AR8)=1,"R"&amp;GanttCalc!AS8,"R"&amp;(GanttCalc!AR8+1)&amp;"-"&amp;GanttCalc!AS8)))</f>
        <v/>
      </c>
      <c r="AU27" s="60" t="str">
        <f aca="false">IF($B$26="","",IF(N(GanttCalc!AT8)-N(GanttCalc!AS8)&lt;=0,"",IF(N(GanttCalc!AT8)-N(GanttCalc!AS8)=1,"R"&amp;GanttCalc!AT8,"R"&amp;(GanttCalc!AS8+1)&amp;"-"&amp;GanttCalc!AT8)))</f>
        <v/>
      </c>
      <c r="AV27" s="60" t="str">
        <f aca="false">IF($B$26="","",IF(N(GanttCalc!AU8)-N(GanttCalc!AT8)&lt;=0,"",IF(N(GanttCalc!AU8)-N(GanttCalc!AT8)=1,"R"&amp;GanttCalc!AU8,"R"&amp;(GanttCalc!AT8+1)&amp;"-"&amp;GanttCalc!AU8)))</f>
        <v/>
      </c>
      <c r="AW27" s="60" t="str">
        <f aca="false">IF($B$26="","",IF(N(GanttCalc!AV8)-N(GanttCalc!AU8)&lt;=0,"",IF(N(GanttCalc!AV8)-N(GanttCalc!AU8)=1,"R"&amp;GanttCalc!AV8,"R"&amp;(GanttCalc!AU8+1)&amp;"-"&amp;GanttCalc!AV8)))</f>
        <v/>
      </c>
      <c r="AX27" s="60" t="str">
        <f aca="false">IF($B$26="","",IF(N(GanttCalc!AW8)-N(GanttCalc!AV8)&lt;=0,"",IF(N(GanttCalc!AW8)-N(GanttCalc!AV8)=1,"R"&amp;GanttCalc!AW8,"R"&amp;(GanttCalc!AV8+1)&amp;"-"&amp;GanttCalc!AW8)))</f>
        <v/>
      </c>
      <c r="AY27" s="60" t="str">
        <f aca="false">IF($B$26="","",IF(N(GanttCalc!AX8)-N(GanttCalc!AW8)&lt;=0,"",IF(N(GanttCalc!AX8)-N(GanttCalc!AW8)=1,"R"&amp;GanttCalc!AX8,"R"&amp;(GanttCalc!AW8+1)&amp;"-"&amp;GanttCalc!AX8)))</f>
        <v/>
      </c>
      <c r="AZ27" s="60" t="str">
        <f aca="false">IF($B$26="","",IF(N(GanttCalc!AY8)-N(GanttCalc!AX8)&lt;=0,"",IF(N(GanttCalc!AY8)-N(GanttCalc!AX8)=1,"R"&amp;GanttCalc!AY8,"R"&amp;(GanttCalc!AX8+1)&amp;"-"&amp;GanttCalc!AY8)))</f>
        <v/>
      </c>
      <c r="BA27" s="60" t="str">
        <f aca="false">IF($B$26="","",IF(N(GanttCalc!AZ8)-N(GanttCalc!AY8)&lt;=0,"",IF(N(GanttCalc!AZ8)-N(GanttCalc!AY8)=1,"R"&amp;GanttCalc!AZ8,"R"&amp;(GanttCalc!AY8+1)&amp;"-"&amp;GanttCalc!AZ8)))</f>
        <v/>
      </c>
      <c r="BB27" s="60" t="str">
        <f aca="false">IF($B$26="","",IF(N(GanttCalc!BA8)-N(GanttCalc!AZ8)&lt;=0,"",IF(N(GanttCalc!BA8)-N(GanttCalc!AZ8)=1,"R"&amp;GanttCalc!BA8,"R"&amp;(GanttCalc!AZ8+1)&amp;"-"&amp;GanttCalc!BA8)))</f>
        <v/>
      </c>
      <c r="BC27" s="60" t="str">
        <f aca="false">IF($B$26="","",IF(N(GanttCalc!BB8)-N(GanttCalc!BA8)&lt;=0,"",IF(N(GanttCalc!BB8)-N(GanttCalc!BA8)=1,"R"&amp;GanttCalc!BB8,"R"&amp;(GanttCalc!BA8+1)&amp;"-"&amp;GanttCalc!BB8)))</f>
        <v/>
      </c>
      <c r="BD27" s="60" t="str">
        <f aca="false">IF($B$26="","",IF(N(GanttCalc!BC8)-N(GanttCalc!BB8)&lt;=0,"",IF(N(GanttCalc!BC8)-N(GanttCalc!BB8)=1,"R"&amp;GanttCalc!BC8,"R"&amp;(GanttCalc!BB8+1)&amp;"-"&amp;GanttCalc!BC8)))</f>
        <v/>
      </c>
    </row>
    <row r="28" customFormat="false" ht="16.5" hidden="false" customHeight="true" outlineLevel="0" collapsed="false">
      <c r="B28" s="63" t="str">
        <f aca="false">IF(Contracts!$A$10="","",IF(Contracts!$I$10="","no kit list","kitted: "&amp;Contracts!$I$10&amp;" / "&amp;Contracts!$F$10))</f>
        <v>no kit list</v>
      </c>
      <c r="C28" s="64" t="str">
        <f aca="false">IF(Contracts!$A$10="","","Final build")</f>
        <v>Final build</v>
      </c>
      <c r="D28" s="59" t="str">
        <f aca="false">IF($B$26="","",SUMPRODUCT(--(E28:BD28&lt;&gt;""))&amp;" wks")</f>
        <v>1 wks</v>
      </c>
      <c r="E28" s="60" t="str">
        <f aca="false">IF($B$26="","",IF(N(GanttCalc!C8)-N(GanttCalc!B8)&lt;=0,"",IF(N(GanttCalc!C8)-N(GanttCalc!B8)=1,"R"&amp;GanttCalc!C8,"R"&amp;(GanttCalc!B8+1)&amp;"-"&amp;GanttCalc!C8)))</f>
        <v/>
      </c>
      <c r="F28" s="60" t="str">
        <f aca="false">IF($B$26="","",IF(N(GanttCalc!D8)-N(GanttCalc!C8)&lt;=0,"",IF(N(GanttCalc!D8)-N(GanttCalc!C8)=1,"R"&amp;GanttCalc!D8,"R"&amp;(GanttCalc!C8+1)&amp;"-"&amp;GanttCalc!D8)))</f>
        <v/>
      </c>
      <c r="G28" s="60" t="str">
        <f aca="false">IF($B$26="","",IF(N(GanttCalc!E8)-N(GanttCalc!D8)&lt;=0,"",IF(N(GanttCalc!E8)-N(GanttCalc!D8)=1,"R"&amp;GanttCalc!E8,"R"&amp;(GanttCalc!D8+1)&amp;"-"&amp;GanttCalc!E8)))</f>
        <v/>
      </c>
      <c r="H28" s="60" t="str">
        <f aca="false">IF($B$26="","",IF(N(GanttCalc!F8)-N(GanttCalc!E8)&lt;=0,"",IF(N(GanttCalc!F8)-N(GanttCalc!E8)=1,"R"&amp;GanttCalc!F8,"R"&amp;(GanttCalc!E8+1)&amp;"-"&amp;GanttCalc!F8)))</f>
        <v/>
      </c>
      <c r="I28" s="60" t="str">
        <f aca="false">IF($B$26="","",IF(N(GanttCalc!G8)-N(GanttCalc!F8)&lt;=0,"",IF(N(GanttCalc!G8)-N(GanttCalc!F8)=1,"R"&amp;GanttCalc!G8,"R"&amp;(GanttCalc!F8+1)&amp;"-"&amp;GanttCalc!G8)))</f>
        <v/>
      </c>
      <c r="J28" s="60" t="str">
        <f aca="false">IF($B$26="","",IF(N(GanttCalc!H8)-N(GanttCalc!G8)&lt;=0,"",IF(N(GanttCalc!H8)-N(GanttCalc!G8)=1,"R"&amp;GanttCalc!H8,"R"&amp;(GanttCalc!G8+1)&amp;"-"&amp;GanttCalc!H8)))</f>
        <v/>
      </c>
      <c r="K28" s="60" t="str">
        <f aca="false">IF($B$26="","",IF(N(GanttCalc!I8)-N(GanttCalc!H8)&lt;=0,"",IF(N(GanttCalc!I8)-N(GanttCalc!H8)=1,"R"&amp;GanttCalc!I8,"R"&amp;(GanttCalc!H8+1)&amp;"-"&amp;GanttCalc!I8)))</f>
        <v/>
      </c>
      <c r="L28" s="60" t="str">
        <f aca="false">IF($B$26="","",IF(N(GanttCalc!J8)-N(GanttCalc!I8)&lt;=0,"",IF(N(GanttCalc!J8)-N(GanttCalc!I8)=1,"R"&amp;GanttCalc!J8,"R"&amp;(GanttCalc!I8+1)&amp;"-"&amp;GanttCalc!J8)))</f>
        <v/>
      </c>
      <c r="M28" s="60" t="str">
        <f aca="false">IF($B$26="","",IF(N(GanttCalc!K8)-N(GanttCalc!J8)&lt;=0,"",IF(N(GanttCalc!K8)-N(GanttCalc!J8)=1,"R"&amp;GanttCalc!K8,"R"&amp;(GanttCalc!J8+1)&amp;"-"&amp;GanttCalc!K8)))</f>
        <v/>
      </c>
      <c r="N28" s="60" t="str">
        <f aca="false">IF($B$26="","",IF(N(GanttCalc!L8)-N(GanttCalc!K8)&lt;=0,"",IF(N(GanttCalc!L8)-N(GanttCalc!K8)=1,"R"&amp;GanttCalc!L8,"R"&amp;(GanttCalc!K8+1)&amp;"-"&amp;GanttCalc!L8)))</f>
        <v/>
      </c>
      <c r="O28" s="60" t="str">
        <f aca="false">IF($B$26="","",IF(N(GanttCalc!M8)-N(GanttCalc!L8)&lt;=0,"",IF(N(GanttCalc!M8)-N(GanttCalc!L8)=1,"R"&amp;GanttCalc!M8,"R"&amp;(GanttCalc!L8+1)&amp;"-"&amp;GanttCalc!M8)))</f>
        <v/>
      </c>
      <c r="P28" s="60" t="str">
        <f aca="false">IF($B$26="","",IF(N(GanttCalc!N8)-N(GanttCalc!M8)&lt;=0,"",IF(N(GanttCalc!N8)-N(GanttCalc!M8)=1,"R"&amp;GanttCalc!N8,"R"&amp;(GanttCalc!M8+1)&amp;"-"&amp;GanttCalc!N8)))</f>
        <v/>
      </c>
      <c r="Q28" s="60" t="str">
        <f aca="false">IF($B$26="","",IF(N(GanttCalc!O8)-N(GanttCalc!N8)&lt;=0,"",IF(N(GanttCalc!O8)-N(GanttCalc!N8)=1,"R"&amp;GanttCalc!O8,"R"&amp;(GanttCalc!N8+1)&amp;"-"&amp;GanttCalc!O8)))</f>
        <v/>
      </c>
      <c r="R28" s="60" t="str">
        <f aca="false">IF($B$26="","",IF(N(GanttCalc!P8)-N(GanttCalc!O8)&lt;=0,"",IF(N(GanttCalc!P8)-N(GanttCalc!O8)=1,"R"&amp;GanttCalc!P8,"R"&amp;(GanttCalc!O8+1)&amp;"-"&amp;GanttCalc!P8)))</f>
        <v/>
      </c>
      <c r="S28" s="60" t="str">
        <f aca="false">IF($B$26="","",IF(N(GanttCalc!Q8)-N(GanttCalc!P8)&lt;=0,"",IF(N(GanttCalc!Q8)-N(GanttCalc!P8)=1,"R"&amp;GanttCalc!Q8,"R"&amp;(GanttCalc!P8+1)&amp;"-"&amp;GanttCalc!Q8)))</f>
        <v/>
      </c>
      <c r="T28" s="60" t="str">
        <f aca="false">IF($B$26="","",IF(N(GanttCalc!R8)-N(GanttCalc!Q8)&lt;=0,"",IF(N(GanttCalc!R8)-N(GanttCalc!Q8)=1,"R"&amp;GanttCalc!R8,"R"&amp;(GanttCalc!Q8+1)&amp;"-"&amp;GanttCalc!R8)))</f>
        <v/>
      </c>
      <c r="U28" s="60" t="str">
        <f aca="false">IF($B$26="","",IF(N(GanttCalc!S8)-N(GanttCalc!R8)&lt;=0,"",IF(N(GanttCalc!S8)-N(GanttCalc!R8)=1,"R"&amp;GanttCalc!S8,"R"&amp;(GanttCalc!R8+1)&amp;"-"&amp;GanttCalc!S8)))</f>
        <v/>
      </c>
      <c r="V28" s="60" t="str">
        <f aca="false">IF($B$26="","",IF(N(GanttCalc!T8)-N(GanttCalc!S8)&lt;=0,"",IF(N(GanttCalc!T8)-N(GanttCalc!S8)=1,"R"&amp;GanttCalc!T8,"R"&amp;(GanttCalc!S8+1)&amp;"-"&amp;GanttCalc!T8)))</f>
        <v/>
      </c>
      <c r="W28" s="60" t="str">
        <f aca="false">IF($B$26="","",IF(N(GanttCalc!U8)-N(GanttCalc!T8)&lt;=0,"",IF(N(GanttCalc!U8)-N(GanttCalc!T8)=1,"R"&amp;GanttCalc!U8,"R"&amp;(GanttCalc!T8+1)&amp;"-"&amp;GanttCalc!U8)))</f>
        <v/>
      </c>
      <c r="X28" s="60" t="str">
        <f aca="false">IF($B$26="","",IF(N(GanttCalc!V8)-N(GanttCalc!U8)&lt;=0,"",IF(N(GanttCalc!V8)-N(GanttCalc!U8)=1,"R"&amp;GanttCalc!V8,"R"&amp;(GanttCalc!U8+1)&amp;"-"&amp;GanttCalc!V8)))</f>
        <v/>
      </c>
      <c r="Y28" s="60" t="str">
        <f aca="false">IF($B$26="","",IF(N(GanttCalc!W8)-N(GanttCalc!V8)&lt;=0,"",IF(N(GanttCalc!W8)-N(GanttCalc!V8)=1,"R"&amp;GanttCalc!W8,"R"&amp;(GanttCalc!V8+1)&amp;"-"&amp;GanttCalc!W8)))</f>
        <v/>
      </c>
      <c r="Z28" s="60" t="str">
        <f aca="false">IF($B$26="","",IF(N(GanttCalc!X8)-N(GanttCalc!W8)&lt;=0,"",IF(N(GanttCalc!X8)-N(GanttCalc!W8)=1,"R"&amp;GanttCalc!X8,"R"&amp;(GanttCalc!W8+1)&amp;"-"&amp;GanttCalc!X8)))</f>
        <v/>
      </c>
      <c r="AA28" s="60" t="str">
        <f aca="false">IF($B$26="","",IF(N(GanttCalc!Y8)-N(GanttCalc!X8)&lt;=0,"",IF(N(GanttCalc!Y8)-N(GanttCalc!X8)=1,"R"&amp;GanttCalc!Y8,"R"&amp;(GanttCalc!X8+1)&amp;"-"&amp;GanttCalc!Y8)))</f>
        <v/>
      </c>
      <c r="AB28" s="60" t="str">
        <f aca="false">IF($B$26="","",IF(N(GanttCalc!Z8)-N(GanttCalc!Y8)&lt;=0,"",IF(N(GanttCalc!Z8)-N(GanttCalc!Y8)=1,"R"&amp;GanttCalc!Z8,"R"&amp;(GanttCalc!Y8+1)&amp;"-"&amp;GanttCalc!Z8)))</f>
        <v/>
      </c>
      <c r="AC28" s="60" t="str">
        <f aca="false">IF($B$26="","",IF(N(GanttCalc!AA8)-N(GanttCalc!Z8)&lt;=0,"",IF(N(GanttCalc!AA8)-N(GanttCalc!Z8)=1,"R"&amp;GanttCalc!AA8,"R"&amp;(GanttCalc!Z8+1)&amp;"-"&amp;GanttCalc!AA8)))</f>
        <v/>
      </c>
      <c r="AD28" s="60" t="str">
        <f aca="false">IF($B$26="","",IF(N(GanttCalc!AB8)-N(GanttCalc!AA8)&lt;=0,"",IF(N(GanttCalc!AB8)-N(GanttCalc!AA8)=1,"R"&amp;GanttCalc!AB8,"R"&amp;(GanttCalc!AA8+1)&amp;"-"&amp;GanttCalc!AB8)))</f>
        <v/>
      </c>
      <c r="AE28" s="60" t="str">
        <f aca="false">IF($B$26="","",IF(N(GanttCalc!AC8)-N(GanttCalc!AB8)&lt;=0,"",IF(N(GanttCalc!AC8)-N(GanttCalc!AB8)=1,"R"&amp;GanttCalc!AC8,"R"&amp;(GanttCalc!AB8+1)&amp;"-"&amp;GanttCalc!AC8)))</f>
        <v/>
      </c>
      <c r="AF28" s="60" t="str">
        <f aca="false">IF($B$26="","",IF(N(GanttCalc!AD8)-N(GanttCalc!AC8)&lt;=0,"",IF(N(GanttCalc!AD8)-N(GanttCalc!AC8)=1,"R"&amp;GanttCalc!AD8,"R"&amp;(GanttCalc!AC8+1)&amp;"-"&amp;GanttCalc!AD8)))</f>
        <v/>
      </c>
      <c r="AG28" s="60" t="str">
        <f aca="false">IF($B$26="","",IF(N(GanttCalc!AE8)-N(GanttCalc!AD8)&lt;=0,"",IF(N(GanttCalc!AE8)-N(GanttCalc!AD8)=1,"R"&amp;GanttCalc!AE8,"R"&amp;(GanttCalc!AD8+1)&amp;"-"&amp;GanttCalc!AE8)))</f>
        <v/>
      </c>
      <c r="AH28" s="60" t="str">
        <f aca="false">IF($B$26="","",IF(N(GanttCalc!AF8)-N(GanttCalc!AE8)&lt;=0,"",IF(N(GanttCalc!AF8)-N(GanttCalc!AE8)=1,"R"&amp;GanttCalc!AF8,"R"&amp;(GanttCalc!AE8+1)&amp;"-"&amp;GanttCalc!AF8)))</f>
        <v/>
      </c>
      <c r="AI28" s="60" t="str">
        <f aca="false">IF($B$26="","",IF(N(GanttCalc!AG8)-N(GanttCalc!AF8)&lt;=0,"",IF(N(GanttCalc!AG8)-N(GanttCalc!AF8)=1,"R"&amp;GanttCalc!AG8,"R"&amp;(GanttCalc!AF8+1)&amp;"-"&amp;GanttCalc!AG8)))</f>
        <v>R1-3</v>
      </c>
      <c r="AJ28" s="60" t="str">
        <f aca="false">IF($B$26="","",IF(N(GanttCalc!AH8)-N(GanttCalc!AG8)&lt;=0,"",IF(N(GanttCalc!AH8)-N(GanttCalc!AG8)=1,"R"&amp;GanttCalc!AH8,"R"&amp;(GanttCalc!AG8+1)&amp;"-"&amp;GanttCalc!AH8)))</f>
        <v/>
      </c>
      <c r="AK28" s="60" t="str">
        <f aca="false">IF($B$26="","",IF(N(GanttCalc!AI8)-N(GanttCalc!AH8)&lt;=0,"",IF(N(GanttCalc!AI8)-N(GanttCalc!AH8)=1,"R"&amp;GanttCalc!AI8,"R"&amp;(GanttCalc!AH8+1)&amp;"-"&amp;GanttCalc!AI8)))</f>
        <v/>
      </c>
      <c r="AL28" s="60" t="str">
        <f aca="false">IF($B$26="","",IF(N(GanttCalc!AJ8)-N(GanttCalc!AI8)&lt;=0,"",IF(N(GanttCalc!AJ8)-N(GanttCalc!AI8)=1,"R"&amp;GanttCalc!AJ8,"R"&amp;(GanttCalc!AI8+1)&amp;"-"&amp;GanttCalc!AJ8)))</f>
        <v/>
      </c>
      <c r="AM28" s="60" t="str">
        <f aca="false">IF($B$26="","",IF(N(GanttCalc!AK8)-N(GanttCalc!AJ8)&lt;=0,"",IF(N(GanttCalc!AK8)-N(GanttCalc!AJ8)=1,"R"&amp;GanttCalc!AK8,"R"&amp;(GanttCalc!AJ8+1)&amp;"-"&amp;GanttCalc!AK8)))</f>
        <v/>
      </c>
      <c r="AN28" s="60" t="str">
        <f aca="false">IF($B$26="","",IF(N(GanttCalc!AL8)-N(GanttCalc!AK8)&lt;=0,"",IF(N(GanttCalc!AL8)-N(GanttCalc!AK8)=1,"R"&amp;GanttCalc!AL8,"R"&amp;(GanttCalc!AK8+1)&amp;"-"&amp;GanttCalc!AL8)))</f>
        <v/>
      </c>
      <c r="AO28" s="60" t="str">
        <f aca="false">IF($B$26="","",IF(N(GanttCalc!AM8)-N(GanttCalc!AL8)&lt;=0,"",IF(N(GanttCalc!AM8)-N(GanttCalc!AL8)=1,"R"&amp;GanttCalc!AM8,"R"&amp;(GanttCalc!AL8+1)&amp;"-"&amp;GanttCalc!AM8)))</f>
        <v/>
      </c>
      <c r="AP28" s="60" t="str">
        <f aca="false">IF($B$26="","",IF(N(GanttCalc!AN8)-N(GanttCalc!AM8)&lt;=0,"",IF(N(GanttCalc!AN8)-N(GanttCalc!AM8)=1,"R"&amp;GanttCalc!AN8,"R"&amp;(GanttCalc!AM8+1)&amp;"-"&amp;GanttCalc!AN8)))</f>
        <v/>
      </c>
      <c r="AQ28" s="60" t="str">
        <f aca="false">IF($B$26="","",IF(N(GanttCalc!AO8)-N(GanttCalc!AN8)&lt;=0,"",IF(N(GanttCalc!AO8)-N(GanttCalc!AN8)=1,"R"&amp;GanttCalc!AO8,"R"&amp;(GanttCalc!AN8+1)&amp;"-"&amp;GanttCalc!AO8)))</f>
        <v/>
      </c>
      <c r="AR28" s="60" t="str">
        <f aca="false">IF($B$26="","",IF(N(GanttCalc!AP8)-N(GanttCalc!AO8)&lt;=0,"",IF(N(GanttCalc!AP8)-N(GanttCalc!AO8)=1,"R"&amp;GanttCalc!AP8,"R"&amp;(GanttCalc!AO8+1)&amp;"-"&amp;GanttCalc!AP8)))</f>
        <v/>
      </c>
      <c r="AS28" s="60" t="str">
        <f aca="false">IF($B$26="","",IF(N(GanttCalc!AQ8)-N(GanttCalc!AP8)&lt;=0,"",IF(N(GanttCalc!AQ8)-N(GanttCalc!AP8)=1,"R"&amp;GanttCalc!AQ8,"R"&amp;(GanttCalc!AP8+1)&amp;"-"&amp;GanttCalc!AQ8)))</f>
        <v/>
      </c>
      <c r="AT28" s="60" t="str">
        <f aca="false">IF($B$26="","",IF(N(GanttCalc!AR8)-N(GanttCalc!AQ8)&lt;=0,"",IF(N(GanttCalc!AR8)-N(GanttCalc!AQ8)=1,"R"&amp;GanttCalc!AR8,"R"&amp;(GanttCalc!AQ8+1)&amp;"-"&amp;GanttCalc!AR8)))</f>
        <v/>
      </c>
      <c r="AU28" s="60" t="str">
        <f aca="false">IF($B$26="","",IF(N(GanttCalc!AS8)-N(GanttCalc!AR8)&lt;=0,"",IF(N(GanttCalc!AS8)-N(GanttCalc!AR8)=1,"R"&amp;GanttCalc!AS8,"R"&amp;(GanttCalc!AR8+1)&amp;"-"&amp;GanttCalc!AS8)))</f>
        <v/>
      </c>
      <c r="AV28" s="60" t="str">
        <f aca="false">IF($B$26="","",IF(N(GanttCalc!AT8)-N(GanttCalc!AS8)&lt;=0,"",IF(N(GanttCalc!AT8)-N(GanttCalc!AS8)=1,"R"&amp;GanttCalc!AT8,"R"&amp;(GanttCalc!AS8+1)&amp;"-"&amp;GanttCalc!AT8)))</f>
        <v/>
      </c>
      <c r="AW28" s="60" t="str">
        <f aca="false">IF($B$26="","",IF(N(GanttCalc!AU8)-N(GanttCalc!AT8)&lt;=0,"",IF(N(GanttCalc!AU8)-N(GanttCalc!AT8)=1,"R"&amp;GanttCalc!AU8,"R"&amp;(GanttCalc!AT8+1)&amp;"-"&amp;GanttCalc!AU8)))</f>
        <v/>
      </c>
      <c r="AX28" s="60" t="str">
        <f aca="false">IF($B$26="","",IF(N(GanttCalc!AV8)-N(GanttCalc!AU8)&lt;=0,"",IF(N(GanttCalc!AV8)-N(GanttCalc!AU8)=1,"R"&amp;GanttCalc!AV8,"R"&amp;(GanttCalc!AU8+1)&amp;"-"&amp;GanttCalc!AV8)))</f>
        <v/>
      </c>
      <c r="AY28" s="60" t="str">
        <f aca="false">IF($B$26="","",IF(N(GanttCalc!AW8)-N(GanttCalc!AV8)&lt;=0,"",IF(N(GanttCalc!AW8)-N(GanttCalc!AV8)=1,"R"&amp;GanttCalc!AW8,"R"&amp;(GanttCalc!AV8+1)&amp;"-"&amp;GanttCalc!AW8)))</f>
        <v/>
      </c>
      <c r="AZ28" s="60" t="str">
        <f aca="false">IF($B$26="","",IF(N(GanttCalc!AX8)-N(GanttCalc!AW8)&lt;=0,"",IF(N(GanttCalc!AX8)-N(GanttCalc!AW8)=1,"R"&amp;GanttCalc!AX8,"R"&amp;(GanttCalc!AW8+1)&amp;"-"&amp;GanttCalc!AX8)))</f>
        <v/>
      </c>
      <c r="BA28" s="60" t="str">
        <f aca="false">IF($B$26="","",IF(N(GanttCalc!AY8)-N(GanttCalc!AX8)&lt;=0,"",IF(N(GanttCalc!AY8)-N(GanttCalc!AX8)=1,"R"&amp;GanttCalc!AY8,"R"&amp;(GanttCalc!AX8+1)&amp;"-"&amp;GanttCalc!AY8)))</f>
        <v/>
      </c>
      <c r="BB28" s="60" t="str">
        <f aca="false">IF($B$26="","",IF(N(GanttCalc!AZ8)-N(GanttCalc!AY8)&lt;=0,"",IF(N(GanttCalc!AZ8)-N(GanttCalc!AY8)=1,"R"&amp;GanttCalc!AZ8,"R"&amp;(GanttCalc!AY8+1)&amp;"-"&amp;GanttCalc!AZ8)))</f>
        <v/>
      </c>
      <c r="BC28" s="60" t="str">
        <f aca="false">IF($B$26="","",IF(N(GanttCalc!BA8)-N(GanttCalc!AZ8)&lt;=0,"",IF(N(GanttCalc!BA8)-N(GanttCalc!AZ8)=1,"R"&amp;GanttCalc!BA8,"R"&amp;(GanttCalc!AZ8+1)&amp;"-"&amp;GanttCalc!BA8)))</f>
        <v/>
      </c>
      <c r="BD28" s="60" t="str">
        <f aca="false">IF($B$26="","",IF(N(GanttCalc!BB8)-N(GanttCalc!BA8)&lt;=0,"",IF(N(GanttCalc!BB8)-N(GanttCalc!BA8)=1,"R"&amp;GanttCalc!BB8,"R"&amp;(GanttCalc!BA8+1)&amp;"-"&amp;GanttCalc!BB8)))</f>
        <v/>
      </c>
    </row>
    <row r="29" customFormat="false" ht="6" hidden="false" customHeight="true" outlineLevel="0" collapsed="false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customFormat="false" ht="16.5" hidden="false" customHeight="true" outlineLevel="0" collapsed="false">
      <c r="B30" s="32" t="str">
        <f aca="false">IF(Contracts!$A$11="","",Contracts!$A$11)</f>
        <v>E2A-R8P-T4-C</v>
      </c>
      <c r="C30" s="58" t="str">
        <f aca="false">IF(Contracts!$A$11="","","Kit release")</f>
        <v>Kit release</v>
      </c>
      <c r="D30" s="59" t="str">
        <f aca="false">IF($B$30="","",SUMPRODUCT(--(E30:BD30&lt;&gt;""))&amp;" wks")</f>
        <v>2 wks</v>
      </c>
      <c r="E30" s="60" t="str">
        <f aca="true">IF($B$30="","",IF(N(OFFSET(GanttCalc!$B$9,0,1+N(Contracts!$Q$11)))-N(OFFSET(GanttCalc!$B$9,0,0+N(Contracts!$Q$11)))&lt;=0,"",IF(N(OFFSET(GanttCalc!$B$9,0,1+N(Contracts!$Q$11)))-N(OFFSET(GanttCalc!$B$9,0,0+N(Contracts!$Q$11)))=1,"R"&amp;OFFSET(GanttCalc!$B$9,0,1+N(Contracts!$Q$11)),"R"&amp;(OFFSET(GanttCalc!$B$9,0,0+N(Contracts!$Q$11))+1)&amp;"-"&amp;OFFSET(GanttCalc!$B$9,0,1+N(Contracts!$Q$11)))))</f>
        <v/>
      </c>
      <c r="F30" s="60" t="str">
        <f aca="true">IF($B$30="","",IF(N(OFFSET(GanttCalc!$B$9,0,2+N(Contracts!$Q$11)))-N(OFFSET(GanttCalc!$B$9,0,1+N(Contracts!$Q$11)))&lt;=0,"",IF(N(OFFSET(GanttCalc!$B$9,0,2+N(Contracts!$Q$11)))-N(OFFSET(GanttCalc!$B$9,0,1+N(Contracts!$Q$11)))=1,"R"&amp;OFFSET(GanttCalc!$B$9,0,2+N(Contracts!$Q$11)),"R"&amp;(OFFSET(GanttCalc!$B$9,0,1+N(Contracts!$Q$11))+1)&amp;"-"&amp;OFFSET(GanttCalc!$B$9,0,2+N(Contracts!$Q$11)))))</f>
        <v/>
      </c>
      <c r="G30" s="60" t="str">
        <f aca="true">IF($B$30="","",IF(N(OFFSET(GanttCalc!$B$9,0,3+N(Contracts!$Q$11)))-N(OFFSET(GanttCalc!$B$9,0,2+N(Contracts!$Q$11)))&lt;=0,"",IF(N(OFFSET(GanttCalc!$B$9,0,3+N(Contracts!$Q$11)))-N(OFFSET(GanttCalc!$B$9,0,2+N(Contracts!$Q$11)))=1,"R"&amp;OFFSET(GanttCalc!$B$9,0,3+N(Contracts!$Q$11)),"R"&amp;(OFFSET(GanttCalc!$B$9,0,2+N(Contracts!$Q$11))+1)&amp;"-"&amp;OFFSET(GanttCalc!$B$9,0,3+N(Contracts!$Q$11)))))</f>
        <v/>
      </c>
      <c r="H30" s="60" t="str">
        <f aca="true">IF($B$30="","",IF(N(OFFSET(GanttCalc!$B$9,0,4+N(Contracts!$Q$11)))-N(OFFSET(GanttCalc!$B$9,0,3+N(Contracts!$Q$11)))&lt;=0,"",IF(N(OFFSET(GanttCalc!$B$9,0,4+N(Contracts!$Q$11)))-N(OFFSET(GanttCalc!$B$9,0,3+N(Contracts!$Q$11)))=1,"R"&amp;OFFSET(GanttCalc!$B$9,0,4+N(Contracts!$Q$11)),"R"&amp;(OFFSET(GanttCalc!$B$9,0,3+N(Contracts!$Q$11))+1)&amp;"-"&amp;OFFSET(GanttCalc!$B$9,0,4+N(Contracts!$Q$11)))))</f>
        <v/>
      </c>
      <c r="I30" s="60" t="str">
        <f aca="true">IF($B$30="","",IF(N(OFFSET(GanttCalc!$B$9,0,5+N(Contracts!$Q$11)))-N(OFFSET(GanttCalc!$B$9,0,4+N(Contracts!$Q$11)))&lt;=0,"",IF(N(OFFSET(GanttCalc!$B$9,0,5+N(Contracts!$Q$11)))-N(OFFSET(GanttCalc!$B$9,0,4+N(Contracts!$Q$11)))=1,"R"&amp;OFFSET(GanttCalc!$B$9,0,5+N(Contracts!$Q$11)),"R"&amp;(OFFSET(GanttCalc!$B$9,0,4+N(Contracts!$Q$11))+1)&amp;"-"&amp;OFFSET(GanttCalc!$B$9,0,5+N(Contracts!$Q$11)))))</f>
        <v/>
      </c>
      <c r="J30" s="60" t="str">
        <f aca="true">IF($B$30="","",IF(N(OFFSET(GanttCalc!$B$9,0,6+N(Contracts!$Q$11)))-N(OFFSET(GanttCalc!$B$9,0,5+N(Contracts!$Q$11)))&lt;=0,"",IF(N(OFFSET(GanttCalc!$B$9,0,6+N(Contracts!$Q$11)))-N(OFFSET(GanttCalc!$B$9,0,5+N(Contracts!$Q$11)))=1,"R"&amp;OFFSET(GanttCalc!$B$9,0,6+N(Contracts!$Q$11)),"R"&amp;(OFFSET(GanttCalc!$B$9,0,5+N(Contracts!$Q$11))+1)&amp;"-"&amp;OFFSET(GanttCalc!$B$9,0,6+N(Contracts!$Q$11)))))</f>
        <v/>
      </c>
      <c r="K30" s="60" t="str">
        <f aca="true">IF($B$30="","",IF(N(OFFSET(GanttCalc!$B$9,0,7+N(Contracts!$Q$11)))-N(OFFSET(GanttCalc!$B$9,0,6+N(Contracts!$Q$11)))&lt;=0,"",IF(N(OFFSET(GanttCalc!$B$9,0,7+N(Contracts!$Q$11)))-N(OFFSET(GanttCalc!$B$9,0,6+N(Contracts!$Q$11)))=1,"R"&amp;OFFSET(GanttCalc!$B$9,0,7+N(Contracts!$Q$11)),"R"&amp;(OFFSET(GanttCalc!$B$9,0,6+N(Contracts!$Q$11))+1)&amp;"-"&amp;OFFSET(GanttCalc!$B$9,0,7+N(Contracts!$Q$11)))))</f>
        <v/>
      </c>
      <c r="L30" s="60" t="str">
        <f aca="true">IF($B$30="","",IF(N(OFFSET(GanttCalc!$B$9,0,8+N(Contracts!$Q$11)))-N(OFFSET(GanttCalc!$B$9,0,7+N(Contracts!$Q$11)))&lt;=0,"",IF(N(OFFSET(GanttCalc!$B$9,0,8+N(Contracts!$Q$11)))-N(OFFSET(GanttCalc!$B$9,0,7+N(Contracts!$Q$11)))=1,"R"&amp;OFFSET(GanttCalc!$B$9,0,8+N(Contracts!$Q$11)),"R"&amp;(OFFSET(GanttCalc!$B$9,0,7+N(Contracts!$Q$11))+1)&amp;"-"&amp;OFFSET(GanttCalc!$B$9,0,8+N(Contracts!$Q$11)))))</f>
        <v/>
      </c>
      <c r="M30" s="60" t="str">
        <f aca="true">IF($B$30="","",IF(N(OFFSET(GanttCalc!$B$9,0,9+N(Contracts!$Q$11)))-N(OFFSET(GanttCalc!$B$9,0,8+N(Contracts!$Q$11)))&lt;=0,"",IF(N(OFFSET(GanttCalc!$B$9,0,9+N(Contracts!$Q$11)))-N(OFFSET(GanttCalc!$B$9,0,8+N(Contracts!$Q$11)))=1,"R"&amp;OFFSET(GanttCalc!$B$9,0,9+N(Contracts!$Q$11)),"R"&amp;(OFFSET(GanttCalc!$B$9,0,8+N(Contracts!$Q$11))+1)&amp;"-"&amp;OFFSET(GanttCalc!$B$9,0,9+N(Contracts!$Q$11)))))</f>
        <v/>
      </c>
      <c r="N30" s="60" t="str">
        <f aca="true">IF($B$30="","",IF(N(OFFSET(GanttCalc!$B$9,0,10+N(Contracts!$Q$11)))-N(OFFSET(GanttCalc!$B$9,0,9+N(Contracts!$Q$11)))&lt;=0,"",IF(N(OFFSET(GanttCalc!$B$9,0,10+N(Contracts!$Q$11)))-N(OFFSET(GanttCalc!$B$9,0,9+N(Contracts!$Q$11)))=1,"R"&amp;OFFSET(GanttCalc!$B$9,0,10+N(Contracts!$Q$11)),"R"&amp;(OFFSET(GanttCalc!$B$9,0,9+N(Contracts!$Q$11))+1)&amp;"-"&amp;OFFSET(GanttCalc!$B$9,0,10+N(Contracts!$Q$11)))))</f>
        <v/>
      </c>
      <c r="O30" s="60" t="str">
        <f aca="true">IF($B$30="","",IF(N(OFFSET(GanttCalc!$B$9,0,11+N(Contracts!$Q$11)))-N(OFFSET(GanttCalc!$B$9,0,10+N(Contracts!$Q$11)))&lt;=0,"",IF(N(OFFSET(GanttCalc!$B$9,0,11+N(Contracts!$Q$11)))-N(OFFSET(GanttCalc!$B$9,0,10+N(Contracts!$Q$11)))=1,"R"&amp;OFFSET(GanttCalc!$B$9,0,11+N(Contracts!$Q$11)),"R"&amp;(OFFSET(GanttCalc!$B$9,0,10+N(Contracts!$Q$11))+1)&amp;"-"&amp;OFFSET(GanttCalc!$B$9,0,11+N(Contracts!$Q$11)))))</f>
        <v/>
      </c>
      <c r="P30" s="60" t="str">
        <f aca="true">IF($B$30="","",IF(N(OFFSET(GanttCalc!$B$9,0,12+N(Contracts!$Q$11)))-N(OFFSET(GanttCalc!$B$9,0,11+N(Contracts!$Q$11)))&lt;=0,"",IF(N(OFFSET(GanttCalc!$B$9,0,12+N(Contracts!$Q$11)))-N(OFFSET(GanttCalc!$B$9,0,11+N(Contracts!$Q$11)))=1,"R"&amp;OFFSET(GanttCalc!$B$9,0,12+N(Contracts!$Q$11)),"R"&amp;(OFFSET(GanttCalc!$B$9,0,11+N(Contracts!$Q$11))+1)&amp;"-"&amp;OFFSET(GanttCalc!$B$9,0,12+N(Contracts!$Q$11)))))</f>
        <v/>
      </c>
      <c r="Q30" s="60" t="str">
        <f aca="true">IF($B$30="","",IF(N(OFFSET(GanttCalc!$B$9,0,13+N(Contracts!$Q$11)))-N(OFFSET(GanttCalc!$B$9,0,12+N(Contracts!$Q$11)))&lt;=0,"",IF(N(OFFSET(GanttCalc!$B$9,0,13+N(Contracts!$Q$11)))-N(OFFSET(GanttCalc!$B$9,0,12+N(Contracts!$Q$11)))=1,"R"&amp;OFFSET(GanttCalc!$B$9,0,13+N(Contracts!$Q$11)),"R"&amp;(OFFSET(GanttCalc!$B$9,0,12+N(Contracts!$Q$11))+1)&amp;"-"&amp;OFFSET(GanttCalc!$B$9,0,13+N(Contracts!$Q$11)))))</f>
        <v/>
      </c>
      <c r="R30" s="60" t="str">
        <f aca="true">IF($B$30="","",IF(N(OFFSET(GanttCalc!$B$9,0,14+N(Contracts!$Q$11)))-N(OFFSET(GanttCalc!$B$9,0,13+N(Contracts!$Q$11)))&lt;=0,"",IF(N(OFFSET(GanttCalc!$B$9,0,14+N(Contracts!$Q$11)))-N(OFFSET(GanttCalc!$B$9,0,13+N(Contracts!$Q$11)))=1,"R"&amp;OFFSET(GanttCalc!$B$9,0,14+N(Contracts!$Q$11)),"R"&amp;(OFFSET(GanttCalc!$B$9,0,13+N(Contracts!$Q$11))+1)&amp;"-"&amp;OFFSET(GanttCalc!$B$9,0,14+N(Contracts!$Q$11)))))</f>
        <v/>
      </c>
      <c r="S30" s="60" t="str">
        <f aca="true">IF($B$30="","",IF(N(OFFSET(GanttCalc!$B$9,0,15+N(Contracts!$Q$11)))-N(OFFSET(GanttCalc!$B$9,0,14+N(Contracts!$Q$11)))&lt;=0,"",IF(N(OFFSET(GanttCalc!$B$9,0,15+N(Contracts!$Q$11)))-N(OFFSET(GanttCalc!$B$9,0,14+N(Contracts!$Q$11)))=1,"R"&amp;OFFSET(GanttCalc!$B$9,0,15+N(Contracts!$Q$11)),"R"&amp;(OFFSET(GanttCalc!$B$9,0,14+N(Contracts!$Q$11))+1)&amp;"-"&amp;OFFSET(GanttCalc!$B$9,0,15+N(Contracts!$Q$11)))))</f>
        <v>R1-8</v>
      </c>
      <c r="T30" s="60" t="str">
        <f aca="true">IF($B$30="","",IF(N(OFFSET(GanttCalc!$B$9,0,16+N(Contracts!$Q$11)))-N(OFFSET(GanttCalc!$B$9,0,15+N(Contracts!$Q$11)))&lt;=0,"",IF(N(OFFSET(GanttCalc!$B$9,0,16+N(Contracts!$Q$11)))-N(OFFSET(GanttCalc!$B$9,0,15+N(Contracts!$Q$11)))=1,"R"&amp;OFFSET(GanttCalc!$B$9,0,16+N(Contracts!$Q$11)),"R"&amp;(OFFSET(GanttCalc!$B$9,0,15+N(Contracts!$Q$11))+1)&amp;"-"&amp;OFFSET(GanttCalc!$B$9,0,16+N(Contracts!$Q$11)))))</f>
        <v/>
      </c>
      <c r="U30" s="60" t="str">
        <f aca="true">IF($B$30="","",IF(N(OFFSET(GanttCalc!$B$9,0,17+N(Contracts!$Q$11)))-N(OFFSET(GanttCalc!$B$9,0,16+N(Contracts!$Q$11)))&lt;=0,"",IF(N(OFFSET(GanttCalc!$B$9,0,17+N(Contracts!$Q$11)))-N(OFFSET(GanttCalc!$B$9,0,16+N(Contracts!$Q$11)))=1,"R"&amp;OFFSET(GanttCalc!$B$9,0,17+N(Contracts!$Q$11)),"R"&amp;(OFFSET(GanttCalc!$B$9,0,16+N(Contracts!$Q$11))+1)&amp;"-"&amp;OFFSET(GanttCalc!$B$9,0,17+N(Contracts!$Q$11)))))</f>
        <v/>
      </c>
      <c r="V30" s="60" t="str">
        <f aca="true">IF($B$30="","",IF(N(OFFSET(GanttCalc!$B$9,0,18+N(Contracts!$Q$11)))-N(OFFSET(GanttCalc!$B$9,0,17+N(Contracts!$Q$11)))&lt;=0,"",IF(N(OFFSET(GanttCalc!$B$9,0,18+N(Contracts!$Q$11)))-N(OFFSET(GanttCalc!$B$9,0,17+N(Contracts!$Q$11)))=1,"R"&amp;OFFSET(GanttCalc!$B$9,0,18+N(Contracts!$Q$11)),"R"&amp;(OFFSET(GanttCalc!$B$9,0,17+N(Contracts!$Q$11))+1)&amp;"-"&amp;OFFSET(GanttCalc!$B$9,0,18+N(Contracts!$Q$11)))))</f>
        <v>R9-10</v>
      </c>
      <c r="W30" s="60" t="str">
        <f aca="true">IF($B$30="","",IF(N(OFFSET(GanttCalc!$B$9,0,19+N(Contracts!$Q$11)))-N(OFFSET(GanttCalc!$B$9,0,18+N(Contracts!$Q$11)))&lt;=0,"",IF(N(OFFSET(GanttCalc!$B$9,0,19+N(Contracts!$Q$11)))-N(OFFSET(GanttCalc!$B$9,0,18+N(Contracts!$Q$11)))=1,"R"&amp;OFFSET(GanttCalc!$B$9,0,19+N(Contracts!$Q$11)),"R"&amp;(OFFSET(GanttCalc!$B$9,0,18+N(Contracts!$Q$11))+1)&amp;"-"&amp;OFFSET(GanttCalc!$B$9,0,19+N(Contracts!$Q$11)))))</f>
        <v/>
      </c>
      <c r="X30" s="60" t="str">
        <f aca="true">IF($B$30="","",IF(N(OFFSET(GanttCalc!$B$9,0,20+N(Contracts!$Q$11)))-N(OFFSET(GanttCalc!$B$9,0,19+N(Contracts!$Q$11)))&lt;=0,"",IF(N(OFFSET(GanttCalc!$B$9,0,20+N(Contracts!$Q$11)))-N(OFFSET(GanttCalc!$B$9,0,19+N(Contracts!$Q$11)))=1,"R"&amp;OFFSET(GanttCalc!$B$9,0,20+N(Contracts!$Q$11)),"R"&amp;(OFFSET(GanttCalc!$B$9,0,19+N(Contracts!$Q$11))+1)&amp;"-"&amp;OFFSET(GanttCalc!$B$9,0,20+N(Contracts!$Q$11)))))</f>
        <v/>
      </c>
      <c r="Y30" s="60" t="str">
        <f aca="true">IF($B$30="","",IF(N(OFFSET(GanttCalc!$B$9,0,21+N(Contracts!$Q$11)))-N(OFFSET(GanttCalc!$B$9,0,20+N(Contracts!$Q$11)))&lt;=0,"",IF(N(OFFSET(GanttCalc!$B$9,0,21+N(Contracts!$Q$11)))-N(OFFSET(GanttCalc!$B$9,0,20+N(Contracts!$Q$11)))=1,"R"&amp;OFFSET(GanttCalc!$B$9,0,21+N(Contracts!$Q$11)),"R"&amp;(OFFSET(GanttCalc!$B$9,0,20+N(Contracts!$Q$11))+1)&amp;"-"&amp;OFFSET(GanttCalc!$B$9,0,21+N(Contracts!$Q$11)))))</f>
        <v/>
      </c>
      <c r="Z30" s="60" t="str">
        <f aca="true">IF($B$30="","",IF(N(OFFSET(GanttCalc!$B$9,0,22+N(Contracts!$Q$11)))-N(OFFSET(GanttCalc!$B$9,0,21+N(Contracts!$Q$11)))&lt;=0,"",IF(N(OFFSET(GanttCalc!$B$9,0,22+N(Contracts!$Q$11)))-N(OFFSET(GanttCalc!$B$9,0,21+N(Contracts!$Q$11)))=1,"R"&amp;OFFSET(GanttCalc!$B$9,0,22+N(Contracts!$Q$11)),"R"&amp;(OFFSET(GanttCalc!$B$9,0,21+N(Contracts!$Q$11))+1)&amp;"-"&amp;OFFSET(GanttCalc!$B$9,0,22+N(Contracts!$Q$11)))))</f>
        <v/>
      </c>
      <c r="AA30" s="60" t="str">
        <f aca="true">IF($B$30="","",IF(N(OFFSET(GanttCalc!$B$9,0,23+N(Contracts!$Q$11)))-N(OFFSET(GanttCalc!$B$9,0,22+N(Contracts!$Q$11)))&lt;=0,"",IF(N(OFFSET(GanttCalc!$B$9,0,23+N(Contracts!$Q$11)))-N(OFFSET(GanttCalc!$B$9,0,22+N(Contracts!$Q$11)))=1,"R"&amp;OFFSET(GanttCalc!$B$9,0,23+N(Contracts!$Q$11)),"R"&amp;(OFFSET(GanttCalc!$B$9,0,22+N(Contracts!$Q$11))+1)&amp;"-"&amp;OFFSET(GanttCalc!$B$9,0,23+N(Contracts!$Q$11)))))</f>
        <v/>
      </c>
      <c r="AB30" s="60" t="str">
        <f aca="true">IF($B$30="","",IF(N(OFFSET(GanttCalc!$B$9,0,24+N(Contracts!$Q$11)))-N(OFFSET(GanttCalc!$B$9,0,23+N(Contracts!$Q$11)))&lt;=0,"",IF(N(OFFSET(GanttCalc!$B$9,0,24+N(Contracts!$Q$11)))-N(OFFSET(GanttCalc!$B$9,0,23+N(Contracts!$Q$11)))=1,"R"&amp;OFFSET(GanttCalc!$B$9,0,24+N(Contracts!$Q$11)),"R"&amp;(OFFSET(GanttCalc!$B$9,0,23+N(Contracts!$Q$11))+1)&amp;"-"&amp;OFFSET(GanttCalc!$B$9,0,24+N(Contracts!$Q$11)))))</f>
        <v/>
      </c>
      <c r="AC30" s="60" t="str">
        <f aca="true">IF($B$30="","",IF(N(OFFSET(GanttCalc!$B$9,0,25+N(Contracts!$Q$11)))-N(OFFSET(GanttCalc!$B$9,0,24+N(Contracts!$Q$11)))&lt;=0,"",IF(N(OFFSET(GanttCalc!$B$9,0,25+N(Contracts!$Q$11)))-N(OFFSET(GanttCalc!$B$9,0,24+N(Contracts!$Q$11)))=1,"R"&amp;OFFSET(GanttCalc!$B$9,0,25+N(Contracts!$Q$11)),"R"&amp;(OFFSET(GanttCalc!$B$9,0,24+N(Contracts!$Q$11))+1)&amp;"-"&amp;OFFSET(GanttCalc!$B$9,0,25+N(Contracts!$Q$11)))))</f>
        <v/>
      </c>
      <c r="AD30" s="60" t="str">
        <f aca="true">IF($B$30="","",IF(N(OFFSET(GanttCalc!$B$9,0,26+N(Contracts!$Q$11)))-N(OFFSET(GanttCalc!$B$9,0,25+N(Contracts!$Q$11)))&lt;=0,"",IF(N(OFFSET(GanttCalc!$B$9,0,26+N(Contracts!$Q$11)))-N(OFFSET(GanttCalc!$B$9,0,25+N(Contracts!$Q$11)))=1,"R"&amp;OFFSET(GanttCalc!$B$9,0,26+N(Contracts!$Q$11)),"R"&amp;(OFFSET(GanttCalc!$B$9,0,25+N(Contracts!$Q$11))+1)&amp;"-"&amp;OFFSET(GanttCalc!$B$9,0,26+N(Contracts!$Q$11)))))</f>
        <v/>
      </c>
      <c r="AE30" s="60" t="str">
        <f aca="true">IF($B$30="","",IF(N(OFFSET(GanttCalc!$B$9,0,27+N(Contracts!$Q$11)))-N(OFFSET(GanttCalc!$B$9,0,26+N(Contracts!$Q$11)))&lt;=0,"",IF(N(OFFSET(GanttCalc!$B$9,0,27+N(Contracts!$Q$11)))-N(OFFSET(GanttCalc!$B$9,0,26+N(Contracts!$Q$11)))=1,"R"&amp;OFFSET(GanttCalc!$B$9,0,27+N(Contracts!$Q$11)),"R"&amp;(OFFSET(GanttCalc!$B$9,0,26+N(Contracts!$Q$11))+1)&amp;"-"&amp;OFFSET(GanttCalc!$B$9,0,27+N(Contracts!$Q$11)))))</f>
        <v/>
      </c>
      <c r="AF30" s="60" t="str">
        <f aca="true">IF($B$30="","",IF(N(OFFSET(GanttCalc!$B$9,0,28+N(Contracts!$Q$11)))-N(OFFSET(GanttCalc!$B$9,0,27+N(Contracts!$Q$11)))&lt;=0,"",IF(N(OFFSET(GanttCalc!$B$9,0,28+N(Contracts!$Q$11)))-N(OFFSET(GanttCalc!$B$9,0,27+N(Contracts!$Q$11)))=1,"R"&amp;OFFSET(GanttCalc!$B$9,0,28+N(Contracts!$Q$11)),"R"&amp;(OFFSET(GanttCalc!$B$9,0,27+N(Contracts!$Q$11))+1)&amp;"-"&amp;OFFSET(GanttCalc!$B$9,0,28+N(Contracts!$Q$11)))))</f>
        <v/>
      </c>
      <c r="AG30" s="60" t="str">
        <f aca="true">IF($B$30="","",IF(N(OFFSET(GanttCalc!$B$9,0,29+N(Contracts!$Q$11)))-N(OFFSET(GanttCalc!$B$9,0,28+N(Contracts!$Q$11)))&lt;=0,"",IF(N(OFFSET(GanttCalc!$B$9,0,29+N(Contracts!$Q$11)))-N(OFFSET(GanttCalc!$B$9,0,28+N(Contracts!$Q$11)))=1,"R"&amp;OFFSET(GanttCalc!$B$9,0,29+N(Contracts!$Q$11)),"R"&amp;(OFFSET(GanttCalc!$B$9,0,28+N(Contracts!$Q$11))+1)&amp;"-"&amp;OFFSET(GanttCalc!$B$9,0,29+N(Contracts!$Q$11)))))</f>
        <v/>
      </c>
      <c r="AH30" s="60" t="str">
        <f aca="true">IF($B$30="","",IF(N(OFFSET(GanttCalc!$B$9,0,30+N(Contracts!$Q$11)))-N(OFFSET(GanttCalc!$B$9,0,29+N(Contracts!$Q$11)))&lt;=0,"",IF(N(OFFSET(GanttCalc!$B$9,0,30+N(Contracts!$Q$11)))-N(OFFSET(GanttCalc!$B$9,0,29+N(Contracts!$Q$11)))=1,"R"&amp;OFFSET(GanttCalc!$B$9,0,30+N(Contracts!$Q$11)),"R"&amp;(OFFSET(GanttCalc!$B$9,0,29+N(Contracts!$Q$11))+1)&amp;"-"&amp;OFFSET(GanttCalc!$B$9,0,30+N(Contracts!$Q$11)))))</f>
        <v/>
      </c>
      <c r="AI30" s="60" t="str">
        <f aca="true">IF($B$30="","",IF(N(OFFSET(GanttCalc!$B$9,0,31+N(Contracts!$Q$11)))-N(OFFSET(GanttCalc!$B$9,0,30+N(Contracts!$Q$11)))&lt;=0,"",IF(N(OFFSET(GanttCalc!$B$9,0,31+N(Contracts!$Q$11)))-N(OFFSET(GanttCalc!$B$9,0,30+N(Contracts!$Q$11)))=1,"R"&amp;OFFSET(GanttCalc!$B$9,0,31+N(Contracts!$Q$11)),"R"&amp;(OFFSET(GanttCalc!$B$9,0,30+N(Contracts!$Q$11))+1)&amp;"-"&amp;OFFSET(GanttCalc!$B$9,0,31+N(Contracts!$Q$11)))))</f>
        <v/>
      </c>
      <c r="AJ30" s="60" t="str">
        <f aca="true">IF($B$30="","",IF(N(OFFSET(GanttCalc!$B$9,0,32+N(Contracts!$Q$11)))-N(OFFSET(GanttCalc!$B$9,0,31+N(Contracts!$Q$11)))&lt;=0,"",IF(N(OFFSET(GanttCalc!$B$9,0,32+N(Contracts!$Q$11)))-N(OFFSET(GanttCalc!$B$9,0,31+N(Contracts!$Q$11)))=1,"R"&amp;OFFSET(GanttCalc!$B$9,0,32+N(Contracts!$Q$11)),"R"&amp;(OFFSET(GanttCalc!$B$9,0,31+N(Contracts!$Q$11))+1)&amp;"-"&amp;OFFSET(GanttCalc!$B$9,0,32+N(Contracts!$Q$11)))))</f>
        <v/>
      </c>
      <c r="AK30" s="60" t="str">
        <f aca="true">IF($B$30="","",IF(N(OFFSET(GanttCalc!$B$9,0,33+N(Contracts!$Q$11)))-N(OFFSET(GanttCalc!$B$9,0,32+N(Contracts!$Q$11)))&lt;=0,"",IF(N(OFFSET(GanttCalc!$B$9,0,33+N(Contracts!$Q$11)))-N(OFFSET(GanttCalc!$B$9,0,32+N(Contracts!$Q$11)))=1,"R"&amp;OFFSET(GanttCalc!$B$9,0,33+N(Contracts!$Q$11)),"R"&amp;(OFFSET(GanttCalc!$B$9,0,32+N(Contracts!$Q$11))+1)&amp;"-"&amp;OFFSET(GanttCalc!$B$9,0,33+N(Contracts!$Q$11)))))</f>
        <v/>
      </c>
      <c r="AL30" s="60" t="str">
        <f aca="true">IF($B$30="","",IF(N(OFFSET(GanttCalc!$B$9,0,34+N(Contracts!$Q$11)))-N(OFFSET(GanttCalc!$B$9,0,33+N(Contracts!$Q$11)))&lt;=0,"",IF(N(OFFSET(GanttCalc!$B$9,0,34+N(Contracts!$Q$11)))-N(OFFSET(GanttCalc!$B$9,0,33+N(Contracts!$Q$11)))=1,"R"&amp;OFFSET(GanttCalc!$B$9,0,34+N(Contracts!$Q$11)),"R"&amp;(OFFSET(GanttCalc!$B$9,0,33+N(Contracts!$Q$11))+1)&amp;"-"&amp;OFFSET(GanttCalc!$B$9,0,34+N(Contracts!$Q$11)))))</f>
        <v/>
      </c>
      <c r="AM30" s="60" t="str">
        <f aca="true">IF($B$30="","",IF(N(OFFSET(GanttCalc!$B$9,0,35+N(Contracts!$Q$11)))-N(OFFSET(GanttCalc!$B$9,0,34+N(Contracts!$Q$11)))&lt;=0,"",IF(N(OFFSET(GanttCalc!$B$9,0,35+N(Contracts!$Q$11)))-N(OFFSET(GanttCalc!$B$9,0,34+N(Contracts!$Q$11)))=1,"R"&amp;OFFSET(GanttCalc!$B$9,0,35+N(Contracts!$Q$11)),"R"&amp;(OFFSET(GanttCalc!$B$9,0,34+N(Contracts!$Q$11))+1)&amp;"-"&amp;OFFSET(GanttCalc!$B$9,0,35+N(Contracts!$Q$11)))))</f>
        <v/>
      </c>
      <c r="AN30" s="60" t="str">
        <f aca="true">IF($B$30="","",IF(N(OFFSET(GanttCalc!$B$9,0,36+N(Contracts!$Q$11)))-N(OFFSET(GanttCalc!$B$9,0,35+N(Contracts!$Q$11)))&lt;=0,"",IF(N(OFFSET(GanttCalc!$B$9,0,36+N(Contracts!$Q$11)))-N(OFFSET(GanttCalc!$B$9,0,35+N(Contracts!$Q$11)))=1,"R"&amp;OFFSET(GanttCalc!$B$9,0,36+N(Contracts!$Q$11)),"R"&amp;(OFFSET(GanttCalc!$B$9,0,35+N(Contracts!$Q$11))+1)&amp;"-"&amp;OFFSET(GanttCalc!$B$9,0,36+N(Contracts!$Q$11)))))</f>
        <v/>
      </c>
      <c r="AO30" s="60" t="str">
        <f aca="true">IF($B$30="","",IF(N(OFFSET(GanttCalc!$B$9,0,37+N(Contracts!$Q$11)))-N(OFFSET(GanttCalc!$B$9,0,36+N(Contracts!$Q$11)))&lt;=0,"",IF(N(OFFSET(GanttCalc!$B$9,0,37+N(Contracts!$Q$11)))-N(OFFSET(GanttCalc!$B$9,0,36+N(Contracts!$Q$11)))=1,"R"&amp;OFFSET(GanttCalc!$B$9,0,37+N(Contracts!$Q$11)),"R"&amp;(OFFSET(GanttCalc!$B$9,0,36+N(Contracts!$Q$11))+1)&amp;"-"&amp;OFFSET(GanttCalc!$B$9,0,37+N(Contracts!$Q$11)))))</f>
        <v/>
      </c>
      <c r="AP30" s="60" t="str">
        <f aca="true">IF($B$30="","",IF(N(OFFSET(GanttCalc!$B$9,0,38+N(Contracts!$Q$11)))-N(OFFSET(GanttCalc!$B$9,0,37+N(Contracts!$Q$11)))&lt;=0,"",IF(N(OFFSET(GanttCalc!$B$9,0,38+N(Contracts!$Q$11)))-N(OFFSET(GanttCalc!$B$9,0,37+N(Contracts!$Q$11)))=1,"R"&amp;OFFSET(GanttCalc!$B$9,0,38+N(Contracts!$Q$11)),"R"&amp;(OFFSET(GanttCalc!$B$9,0,37+N(Contracts!$Q$11))+1)&amp;"-"&amp;OFFSET(GanttCalc!$B$9,0,38+N(Contracts!$Q$11)))))</f>
        <v/>
      </c>
      <c r="AQ30" s="60" t="str">
        <f aca="true">IF($B$30="","",IF(N(OFFSET(GanttCalc!$B$9,0,39+N(Contracts!$Q$11)))-N(OFFSET(GanttCalc!$B$9,0,38+N(Contracts!$Q$11)))&lt;=0,"",IF(N(OFFSET(GanttCalc!$B$9,0,39+N(Contracts!$Q$11)))-N(OFFSET(GanttCalc!$B$9,0,38+N(Contracts!$Q$11)))=1,"R"&amp;OFFSET(GanttCalc!$B$9,0,39+N(Contracts!$Q$11)),"R"&amp;(OFFSET(GanttCalc!$B$9,0,38+N(Contracts!$Q$11))+1)&amp;"-"&amp;OFFSET(GanttCalc!$B$9,0,39+N(Contracts!$Q$11)))))</f>
        <v/>
      </c>
      <c r="AR30" s="60" t="str">
        <f aca="true">IF($B$30="","",IF(N(OFFSET(GanttCalc!$B$9,0,40+N(Contracts!$Q$11)))-N(OFFSET(GanttCalc!$B$9,0,39+N(Contracts!$Q$11)))&lt;=0,"",IF(N(OFFSET(GanttCalc!$B$9,0,40+N(Contracts!$Q$11)))-N(OFFSET(GanttCalc!$B$9,0,39+N(Contracts!$Q$11)))=1,"R"&amp;OFFSET(GanttCalc!$B$9,0,40+N(Contracts!$Q$11)),"R"&amp;(OFFSET(GanttCalc!$B$9,0,39+N(Contracts!$Q$11))+1)&amp;"-"&amp;OFFSET(GanttCalc!$B$9,0,40+N(Contracts!$Q$11)))))</f>
        <v/>
      </c>
      <c r="AS30" s="60" t="str">
        <f aca="true">IF($B$30="","",IF(N(OFFSET(GanttCalc!$B$9,0,41+N(Contracts!$Q$11)))-N(OFFSET(GanttCalc!$B$9,0,40+N(Contracts!$Q$11)))&lt;=0,"",IF(N(OFFSET(GanttCalc!$B$9,0,41+N(Contracts!$Q$11)))-N(OFFSET(GanttCalc!$B$9,0,40+N(Contracts!$Q$11)))=1,"R"&amp;OFFSET(GanttCalc!$B$9,0,41+N(Contracts!$Q$11)),"R"&amp;(OFFSET(GanttCalc!$B$9,0,40+N(Contracts!$Q$11))+1)&amp;"-"&amp;OFFSET(GanttCalc!$B$9,0,41+N(Contracts!$Q$11)))))</f>
        <v/>
      </c>
      <c r="AT30" s="60" t="str">
        <f aca="true">IF($B$30="","",IF(N(OFFSET(GanttCalc!$B$9,0,42+N(Contracts!$Q$11)))-N(OFFSET(GanttCalc!$B$9,0,41+N(Contracts!$Q$11)))&lt;=0,"",IF(N(OFFSET(GanttCalc!$B$9,0,42+N(Contracts!$Q$11)))-N(OFFSET(GanttCalc!$B$9,0,41+N(Contracts!$Q$11)))=1,"R"&amp;OFFSET(GanttCalc!$B$9,0,42+N(Contracts!$Q$11)),"R"&amp;(OFFSET(GanttCalc!$B$9,0,41+N(Contracts!$Q$11))+1)&amp;"-"&amp;OFFSET(GanttCalc!$B$9,0,42+N(Contracts!$Q$11)))))</f>
        <v/>
      </c>
      <c r="AU30" s="60" t="str">
        <f aca="true">IF($B$30="","",IF(N(OFFSET(GanttCalc!$B$9,0,43+N(Contracts!$Q$11)))-N(OFFSET(GanttCalc!$B$9,0,42+N(Contracts!$Q$11)))&lt;=0,"",IF(N(OFFSET(GanttCalc!$B$9,0,43+N(Contracts!$Q$11)))-N(OFFSET(GanttCalc!$B$9,0,42+N(Contracts!$Q$11)))=1,"R"&amp;OFFSET(GanttCalc!$B$9,0,43+N(Contracts!$Q$11)),"R"&amp;(OFFSET(GanttCalc!$B$9,0,42+N(Contracts!$Q$11))+1)&amp;"-"&amp;OFFSET(GanttCalc!$B$9,0,43+N(Contracts!$Q$11)))))</f>
        <v/>
      </c>
      <c r="AV30" s="60" t="str">
        <f aca="true">IF($B$30="","",IF(N(OFFSET(GanttCalc!$B$9,0,44+N(Contracts!$Q$11)))-N(OFFSET(GanttCalc!$B$9,0,43+N(Contracts!$Q$11)))&lt;=0,"",IF(N(OFFSET(GanttCalc!$B$9,0,44+N(Contracts!$Q$11)))-N(OFFSET(GanttCalc!$B$9,0,43+N(Contracts!$Q$11)))=1,"R"&amp;OFFSET(GanttCalc!$B$9,0,44+N(Contracts!$Q$11)),"R"&amp;(OFFSET(GanttCalc!$B$9,0,43+N(Contracts!$Q$11))+1)&amp;"-"&amp;OFFSET(GanttCalc!$B$9,0,44+N(Contracts!$Q$11)))))</f>
        <v/>
      </c>
      <c r="AW30" s="60" t="str">
        <f aca="true">IF($B$30="","",IF(N(OFFSET(GanttCalc!$B$9,0,45+N(Contracts!$Q$11)))-N(OFFSET(GanttCalc!$B$9,0,44+N(Contracts!$Q$11)))&lt;=0,"",IF(N(OFFSET(GanttCalc!$B$9,0,45+N(Contracts!$Q$11)))-N(OFFSET(GanttCalc!$B$9,0,44+N(Contracts!$Q$11)))=1,"R"&amp;OFFSET(GanttCalc!$B$9,0,45+N(Contracts!$Q$11)),"R"&amp;(OFFSET(GanttCalc!$B$9,0,44+N(Contracts!$Q$11))+1)&amp;"-"&amp;OFFSET(GanttCalc!$B$9,0,45+N(Contracts!$Q$11)))))</f>
        <v/>
      </c>
      <c r="AX30" s="60" t="str">
        <f aca="true">IF($B$30="","",IF(N(OFFSET(GanttCalc!$B$9,0,46+N(Contracts!$Q$11)))-N(OFFSET(GanttCalc!$B$9,0,45+N(Contracts!$Q$11)))&lt;=0,"",IF(N(OFFSET(GanttCalc!$B$9,0,46+N(Contracts!$Q$11)))-N(OFFSET(GanttCalc!$B$9,0,45+N(Contracts!$Q$11)))=1,"R"&amp;OFFSET(GanttCalc!$B$9,0,46+N(Contracts!$Q$11)),"R"&amp;(OFFSET(GanttCalc!$B$9,0,45+N(Contracts!$Q$11))+1)&amp;"-"&amp;OFFSET(GanttCalc!$B$9,0,46+N(Contracts!$Q$11)))))</f>
        <v/>
      </c>
      <c r="AY30" s="60" t="str">
        <f aca="true">IF($B$30="","",IF(N(OFFSET(GanttCalc!$B$9,0,47+N(Contracts!$Q$11)))-N(OFFSET(GanttCalc!$B$9,0,46+N(Contracts!$Q$11)))&lt;=0,"",IF(N(OFFSET(GanttCalc!$B$9,0,47+N(Contracts!$Q$11)))-N(OFFSET(GanttCalc!$B$9,0,46+N(Contracts!$Q$11)))=1,"R"&amp;OFFSET(GanttCalc!$B$9,0,47+N(Contracts!$Q$11)),"R"&amp;(OFFSET(GanttCalc!$B$9,0,46+N(Contracts!$Q$11))+1)&amp;"-"&amp;OFFSET(GanttCalc!$B$9,0,47+N(Contracts!$Q$11)))))</f>
        <v/>
      </c>
      <c r="AZ30" s="60" t="str">
        <f aca="true">IF($B$30="","",IF(N(OFFSET(GanttCalc!$B$9,0,48+N(Contracts!$Q$11)))-N(OFFSET(GanttCalc!$B$9,0,47+N(Contracts!$Q$11)))&lt;=0,"",IF(N(OFFSET(GanttCalc!$B$9,0,48+N(Contracts!$Q$11)))-N(OFFSET(GanttCalc!$B$9,0,47+N(Contracts!$Q$11)))=1,"R"&amp;OFFSET(GanttCalc!$B$9,0,48+N(Contracts!$Q$11)),"R"&amp;(OFFSET(GanttCalc!$B$9,0,47+N(Contracts!$Q$11))+1)&amp;"-"&amp;OFFSET(GanttCalc!$B$9,0,48+N(Contracts!$Q$11)))))</f>
        <v/>
      </c>
      <c r="BA30" s="60" t="str">
        <f aca="true">IF($B$30="","",IF(N(OFFSET(GanttCalc!$B$9,0,49+N(Contracts!$Q$11)))-N(OFFSET(GanttCalc!$B$9,0,48+N(Contracts!$Q$11)))&lt;=0,"",IF(N(OFFSET(GanttCalc!$B$9,0,49+N(Contracts!$Q$11)))-N(OFFSET(GanttCalc!$B$9,0,48+N(Contracts!$Q$11)))=1,"R"&amp;OFFSET(GanttCalc!$B$9,0,49+N(Contracts!$Q$11)),"R"&amp;(OFFSET(GanttCalc!$B$9,0,48+N(Contracts!$Q$11))+1)&amp;"-"&amp;OFFSET(GanttCalc!$B$9,0,49+N(Contracts!$Q$11)))))</f>
        <v/>
      </c>
      <c r="BB30" s="60" t="str">
        <f aca="true">IF($B$30="","",IF(N(OFFSET(GanttCalc!$B$9,0,50+N(Contracts!$Q$11)))-N(OFFSET(GanttCalc!$B$9,0,49+N(Contracts!$Q$11)))&lt;=0,"",IF(N(OFFSET(GanttCalc!$B$9,0,50+N(Contracts!$Q$11)))-N(OFFSET(GanttCalc!$B$9,0,49+N(Contracts!$Q$11)))=1,"R"&amp;OFFSET(GanttCalc!$B$9,0,50+N(Contracts!$Q$11)),"R"&amp;(OFFSET(GanttCalc!$B$9,0,49+N(Contracts!$Q$11))+1)&amp;"-"&amp;OFFSET(GanttCalc!$B$9,0,50+N(Contracts!$Q$11)))))</f>
        <v/>
      </c>
      <c r="BC30" s="60" t="str">
        <f aca="true">IF($B$30="","",IF(N(OFFSET(GanttCalc!$B$9,0,51+N(Contracts!$Q$11)))-N(OFFSET(GanttCalc!$B$9,0,50+N(Contracts!$Q$11)))&lt;=0,"",IF(N(OFFSET(GanttCalc!$B$9,0,51+N(Contracts!$Q$11)))-N(OFFSET(GanttCalc!$B$9,0,50+N(Contracts!$Q$11)))=1,"R"&amp;OFFSET(GanttCalc!$B$9,0,51+N(Contracts!$Q$11)),"R"&amp;(OFFSET(GanttCalc!$B$9,0,50+N(Contracts!$Q$11))+1)&amp;"-"&amp;OFFSET(GanttCalc!$B$9,0,51+N(Contracts!$Q$11)))))</f>
        <v/>
      </c>
      <c r="BD30" s="60" t="str">
        <f aca="true">IF($B$30="","",IF(N(OFFSET(GanttCalc!$B$9,0,52+N(Contracts!$Q$11)))-N(OFFSET(GanttCalc!$B$9,0,51+N(Contracts!$Q$11)))&lt;=0,"",IF(N(OFFSET(GanttCalc!$B$9,0,52+N(Contracts!$Q$11)))-N(OFFSET(GanttCalc!$B$9,0,51+N(Contracts!$Q$11)))=1,"R"&amp;OFFSET(GanttCalc!$B$9,0,52+N(Contracts!$Q$11)),"R"&amp;(OFFSET(GanttCalc!$B$9,0,51+N(Contracts!$Q$11))+1)&amp;"-"&amp;OFFSET(GanttCalc!$B$9,0,52+N(Contracts!$Q$11)))))</f>
        <v/>
      </c>
    </row>
    <row r="31" customFormat="false" ht="16.5" hidden="false" customHeight="true" outlineLevel="0" collapsed="false">
      <c r="B31" s="61" t="str">
        <f aca="false">IF(Contracts!$A$11="","",Contracts!$C$11)</f>
        <v>92ERP08548A++</v>
      </c>
      <c r="C31" s="62" t="str">
        <f aca="false">IF(Contracts!$A$11="","","AMPS build")</f>
        <v>AMPS build</v>
      </c>
      <c r="D31" s="59" t="str">
        <f aca="false">IF($B$30="","",SUMPRODUCT(--(E31:BD31&lt;&gt;""))&amp;" wks")</f>
        <v>2 wks</v>
      </c>
      <c r="E31" s="60" t="str">
        <f aca="false">IF($B$30="","",IF(N(GanttCalc!D9)-N(GanttCalc!C9)&lt;=0,"",IF(N(GanttCalc!D9)-N(GanttCalc!C9)=1,"R"&amp;GanttCalc!D9,"R"&amp;(GanttCalc!C9+1)&amp;"-"&amp;GanttCalc!D9)))</f>
        <v/>
      </c>
      <c r="F31" s="60" t="str">
        <f aca="false">IF($B$30="","",IF(N(GanttCalc!E9)-N(GanttCalc!D9)&lt;=0,"",IF(N(GanttCalc!E9)-N(GanttCalc!D9)=1,"R"&amp;GanttCalc!E9,"R"&amp;(GanttCalc!D9+1)&amp;"-"&amp;GanttCalc!E9)))</f>
        <v/>
      </c>
      <c r="G31" s="60" t="str">
        <f aca="false">IF($B$30="","",IF(N(GanttCalc!F9)-N(GanttCalc!E9)&lt;=0,"",IF(N(GanttCalc!F9)-N(GanttCalc!E9)=1,"R"&amp;GanttCalc!F9,"R"&amp;(GanttCalc!E9+1)&amp;"-"&amp;GanttCalc!F9)))</f>
        <v/>
      </c>
      <c r="H31" s="60" t="str">
        <f aca="false">IF($B$30="","",IF(N(GanttCalc!G9)-N(GanttCalc!F9)&lt;=0,"",IF(N(GanttCalc!G9)-N(GanttCalc!F9)=1,"R"&amp;GanttCalc!G9,"R"&amp;(GanttCalc!F9+1)&amp;"-"&amp;GanttCalc!G9)))</f>
        <v/>
      </c>
      <c r="I31" s="60" t="str">
        <f aca="false">IF($B$30="","",IF(N(GanttCalc!H9)-N(GanttCalc!G9)&lt;=0,"",IF(N(GanttCalc!H9)-N(GanttCalc!G9)=1,"R"&amp;GanttCalc!H9,"R"&amp;(GanttCalc!G9+1)&amp;"-"&amp;GanttCalc!H9)))</f>
        <v/>
      </c>
      <c r="J31" s="60" t="str">
        <f aca="false">IF($B$30="","",IF(N(GanttCalc!I9)-N(GanttCalc!H9)&lt;=0,"",IF(N(GanttCalc!I9)-N(GanttCalc!H9)=1,"R"&amp;GanttCalc!I9,"R"&amp;(GanttCalc!H9+1)&amp;"-"&amp;GanttCalc!I9)))</f>
        <v/>
      </c>
      <c r="K31" s="60" t="str">
        <f aca="false">IF($B$30="","",IF(N(GanttCalc!J9)-N(GanttCalc!I9)&lt;=0,"",IF(N(GanttCalc!J9)-N(GanttCalc!I9)=1,"R"&amp;GanttCalc!J9,"R"&amp;(GanttCalc!I9+1)&amp;"-"&amp;GanttCalc!J9)))</f>
        <v/>
      </c>
      <c r="L31" s="60" t="str">
        <f aca="false">IF($B$30="","",IF(N(GanttCalc!K9)-N(GanttCalc!J9)&lt;=0,"",IF(N(GanttCalc!K9)-N(GanttCalc!J9)=1,"R"&amp;GanttCalc!K9,"R"&amp;(GanttCalc!J9+1)&amp;"-"&amp;GanttCalc!K9)))</f>
        <v/>
      </c>
      <c r="M31" s="60" t="str">
        <f aca="false">IF($B$30="","",IF(N(GanttCalc!L9)-N(GanttCalc!K9)&lt;=0,"",IF(N(GanttCalc!L9)-N(GanttCalc!K9)=1,"R"&amp;GanttCalc!L9,"R"&amp;(GanttCalc!K9+1)&amp;"-"&amp;GanttCalc!L9)))</f>
        <v/>
      </c>
      <c r="N31" s="60" t="str">
        <f aca="false">IF($B$30="","",IF(N(GanttCalc!M9)-N(GanttCalc!L9)&lt;=0,"",IF(N(GanttCalc!M9)-N(GanttCalc!L9)=1,"R"&amp;GanttCalc!M9,"R"&amp;(GanttCalc!L9+1)&amp;"-"&amp;GanttCalc!M9)))</f>
        <v/>
      </c>
      <c r="O31" s="60" t="str">
        <f aca="false">IF($B$30="","",IF(N(GanttCalc!N9)-N(GanttCalc!M9)&lt;=0,"",IF(N(GanttCalc!N9)-N(GanttCalc!M9)=1,"R"&amp;GanttCalc!N9,"R"&amp;(GanttCalc!M9+1)&amp;"-"&amp;GanttCalc!N9)))</f>
        <v/>
      </c>
      <c r="P31" s="60" t="str">
        <f aca="false">IF($B$30="","",IF(N(GanttCalc!O9)-N(GanttCalc!N9)&lt;=0,"",IF(N(GanttCalc!O9)-N(GanttCalc!N9)=1,"R"&amp;GanttCalc!O9,"R"&amp;(GanttCalc!N9+1)&amp;"-"&amp;GanttCalc!O9)))</f>
        <v/>
      </c>
      <c r="Q31" s="60" t="str">
        <f aca="false">IF($B$30="","",IF(N(GanttCalc!P9)-N(GanttCalc!O9)&lt;=0,"",IF(N(GanttCalc!P9)-N(GanttCalc!O9)=1,"R"&amp;GanttCalc!P9,"R"&amp;(GanttCalc!O9+1)&amp;"-"&amp;GanttCalc!P9)))</f>
        <v/>
      </c>
      <c r="R31" s="60" t="str">
        <f aca="false">IF($B$30="","",IF(N(GanttCalc!Q9)-N(GanttCalc!P9)&lt;=0,"",IF(N(GanttCalc!Q9)-N(GanttCalc!P9)=1,"R"&amp;GanttCalc!Q9,"R"&amp;(GanttCalc!P9+1)&amp;"-"&amp;GanttCalc!Q9)))</f>
        <v/>
      </c>
      <c r="S31" s="60" t="str">
        <f aca="false">IF($B$30="","",IF(N(GanttCalc!R9)-N(GanttCalc!Q9)&lt;=0,"",IF(N(GanttCalc!R9)-N(GanttCalc!Q9)=1,"R"&amp;GanttCalc!R9,"R"&amp;(GanttCalc!Q9+1)&amp;"-"&amp;GanttCalc!R9)))</f>
        <v/>
      </c>
      <c r="T31" s="60" t="str">
        <f aca="false">IF($B$30="","",IF(N(GanttCalc!S9)-N(GanttCalc!R9)&lt;=0,"",IF(N(GanttCalc!S9)-N(GanttCalc!R9)=1,"R"&amp;GanttCalc!S9,"R"&amp;(GanttCalc!R9+1)&amp;"-"&amp;GanttCalc!S9)))</f>
        <v>R1-8</v>
      </c>
      <c r="U31" s="60" t="str">
        <f aca="false">IF($B$30="","",IF(N(GanttCalc!T9)-N(GanttCalc!S9)&lt;=0,"",IF(N(GanttCalc!T9)-N(GanttCalc!S9)=1,"R"&amp;GanttCalc!T9,"R"&amp;(GanttCalc!S9+1)&amp;"-"&amp;GanttCalc!T9)))</f>
        <v/>
      </c>
      <c r="V31" s="60" t="str">
        <f aca="false">IF($B$30="","",IF(N(GanttCalc!U9)-N(GanttCalc!T9)&lt;=0,"",IF(N(GanttCalc!U9)-N(GanttCalc!T9)=1,"R"&amp;GanttCalc!U9,"R"&amp;(GanttCalc!T9+1)&amp;"-"&amp;GanttCalc!U9)))</f>
        <v/>
      </c>
      <c r="W31" s="60" t="str">
        <f aca="false">IF($B$30="","",IF(N(GanttCalc!V9)-N(GanttCalc!U9)&lt;=0,"",IF(N(GanttCalc!V9)-N(GanttCalc!U9)=1,"R"&amp;GanttCalc!V9,"R"&amp;(GanttCalc!U9+1)&amp;"-"&amp;GanttCalc!V9)))</f>
        <v>R9-10</v>
      </c>
      <c r="X31" s="60" t="str">
        <f aca="false">IF($B$30="","",IF(N(GanttCalc!W9)-N(GanttCalc!V9)&lt;=0,"",IF(N(GanttCalc!W9)-N(GanttCalc!V9)=1,"R"&amp;GanttCalc!W9,"R"&amp;(GanttCalc!V9+1)&amp;"-"&amp;GanttCalc!W9)))</f>
        <v/>
      </c>
      <c r="Y31" s="60" t="str">
        <f aca="false">IF($B$30="","",IF(N(GanttCalc!X9)-N(GanttCalc!W9)&lt;=0,"",IF(N(GanttCalc!X9)-N(GanttCalc!W9)=1,"R"&amp;GanttCalc!X9,"R"&amp;(GanttCalc!W9+1)&amp;"-"&amp;GanttCalc!X9)))</f>
        <v/>
      </c>
      <c r="Z31" s="60" t="str">
        <f aca="false">IF($B$30="","",IF(N(GanttCalc!Y9)-N(GanttCalc!X9)&lt;=0,"",IF(N(GanttCalc!Y9)-N(GanttCalc!X9)=1,"R"&amp;GanttCalc!Y9,"R"&amp;(GanttCalc!X9+1)&amp;"-"&amp;GanttCalc!Y9)))</f>
        <v/>
      </c>
      <c r="AA31" s="60" t="str">
        <f aca="false">IF($B$30="","",IF(N(GanttCalc!Z9)-N(GanttCalc!Y9)&lt;=0,"",IF(N(GanttCalc!Z9)-N(GanttCalc!Y9)=1,"R"&amp;GanttCalc!Z9,"R"&amp;(GanttCalc!Y9+1)&amp;"-"&amp;GanttCalc!Z9)))</f>
        <v/>
      </c>
      <c r="AB31" s="60" t="str">
        <f aca="false">IF($B$30="","",IF(N(GanttCalc!AA9)-N(GanttCalc!Z9)&lt;=0,"",IF(N(GanttCalc!AA9)-N(GanttCalc!Z9)=1,"R"&amp;GanttCalc!AA9,"R"&amp;(GanttCalc!Z9+1)&amp;"-"&amp;GanttCalc!AA9)))</f>
        <v/>
      </c>
      <c r="AC31" s="60" t="str">
        <f aca="false">IF($B$30="","",IF(N(GanttCalc!AB9)-N(GanttCalc!AA9)&lt;=0,"",IF(N(GanttCalc!AB9)-N(GanttCalc!AA9)=1,"R"&amp;GanttCalc!AB9,"R"&amp;(GanttCalc!AA9+1)&amp;"-"&amp;GanttCalc!AB9)))</f>
        <v/>
      </c>
      <c r="AD31" s="60" t="str">
        <f aca="false">IF($B$30="","",IF(N(GanttCalc!AC9)-N(GanttCalc!AB9)&lt;=0,"",IF(N(GanttCalc!AC9)-N(GanttCalc!AB9)=1,"R"&amp;GanttCalc!AC9,"R"&amp;(GanttCalc!AB9+1)&amp;"-"&amp;GanttCalc!AC9)))</f>
        <v/>
      </c>
      <c r="AE31" s="60" t="str">
        <f aca="false">IF($B$30="","",IF(N(GanttCalc!AD9)-N(GanttCalc!AC9)&lt;=0,"",IF(N(GanttCalc!AD9)-N(GanttCalc!AC9)=1,"R"&amp;GanttCalc!AD9,"R"&amp;(GanttCalc!AC9+1)&amp;"-"&amp;GanttCalc!AD9)))</f>
        <v/>
      </c>
      <c r="AF31" s="60" t="str">
        <f aca="false">IF($B$30="","",IF(N(GanttCalc!AE9)-N(GanttCalc!AD9)&lt;=0,"",IF(N(GanttCalc!AE9)-N(GanttCalc!AD9)=1,"R"&amp;GanttCalc!AE9,"R"&amp;(GanttCalc!AD9+1)&amp;"-"&amp;GanttCalc!AE9)))</f>
        <v/>
      </c>
      <c r="AG31" s="60" t="str">
        <f aca="false">IF($B$30="","",IF(N(GanttCalc!AF9)-N(GanttCalc!AE9)&lt;=0,"",IF(N(GanttCalc!AF9)-N(GanttCalc!AE9)=1,"R"&amp;GanttCalc!AF9,"R"&amp;(GanttCalc!AE9+1)&amp;"-"&amp;GanttCalc!AF9)))</f>
        <v/>
      </c>
      <c r="AH31" s="60" t="str">
        <f aca="false">IF($B$30="","",IF(N(GanttCalc!AG9)-N(GanttCalc!AF9)&lt;=0,"",IF(N(GanttCalc!AG9)-N(GanttCalc!AF9)=1,"R"&amp;GanttCalc!AG9,"R"&amp;(GanttCalc!AF9+1)&amp;"-"&amp;GanttCalc!AG9)))</f>
        <v/>
      </c>
      <c r="AI31" s="60" t="str">
        <f aca="false">IF($B$30="","",IF(N(GanttCalc!AH9)-N(GanttCalc!AG9)&lt;=0,"",IF(N(GanttCalc!AH9)-N(GanttCalc!AG9)=1,"R"&amp;GanttCalc!AH9,"R"&amp;(GanttCalc!AG9+1)&amp;"-"&amp;GanttCalc!AH9)))</f>
        <v/>
      </c>
      <c r="AJ31" s="60" t="str">
        <f aca="false">IF($B$30="","",IF(N(GanttCalc!AI9)-N(GanttCalc!AH9)&lt;=0,"",IF(N(GanttCalc!AI9)-N(GanttCalc!AH9)=1,"R"&amp;GanttCalc!AI9,"R"&amp;(GanttCalc!AH9+1)&amp;"-"&amp;GanttCalc!AI9)))</f>
        <v/>
      </c>
      <c r="AK31" s="60" t="str">
        <f aca="false">IF($B$30="","",IF(N(GanttCalc!AJ9)-N(GanttCalc!AI9)&lt;=0,"",IF(N(GanttCalc!AJ9)-N(GanttCalc!AI9)=1,"R"&amp;GanttCalc!AJ9,"R"&amp;(GanttCalc!AI9+1)&amp;"-"&amp;GanttCalc!AJ9)))</f>
        <v/>
      </c>
      <c r="AL31" s="60" t="str">
        <f aca="false">IF($B$30="","",IF(N(GanttCalc!AK9)-N(GanttCalc!AJ9)&lt;=0,"",IF(N(GanttCalc!AK9)-N(GanttCalc!AJ9)=1,"R"&amp;GanttCalc!AK9,"R"&amp;(GanttCalc!AJ9+1)&amp;"-"&amp;GanttCalc!AK9)))</f>
        <v/>
      </c>
      <c r="AM31" s="60" t="str">
        <f aca="false">IF($B$30="","",IF(N(GanttCalc!AL9)-N(GanttCalc!AK9)&lt;=0,"",IF(N(GanttCalc!AL9)-N(GanttCalc!AK9)=1,"R"&amp;GanttCalc!AL9,"R"&amp;(GanttCalc!AK9+1)&amp;"-"&amp;GanttCalc!AL9)))</f>
        <v/>
      </c>
      <c r="AN31" s="60" t="str">
        <f aca="false">IF($B$30="","",IF(N(GanttCalc!AM9)-N(GanttCalc!AL9)&lt;=0,"",IF(N(GanttCalc!AM9)-N(GanttCalc!AL9)=1,"R"&amp;GanttCalc!AM9,"R"&amp;(GanttCalc!AL9+1)&amp;"-"&amp;GanttCalc!AM9)))</f>
        <v/>
      </c>
      <c r="AO31" s="60" t="str">
        <f aca="false">IF($B$30="","",IF(N(GanttCalc!AN9)-N(GanttCalc!AM9)&lt;=0,"",IF(N(GanttCalc!AN9)-N(GanttCalc!AM9)=1,"R"&amp;GanttCalc!AN9,"R"&amp;(GanttCalc!AM9+1)&amp;"-"&amp;GanttCalc!AN9)))</f>
        <v/>
      </c>
      <c r="AP31" s="60" t="str">
        <f aca="false">IF($B$30="","",IF(N(GanttCalc!AO9)-N(GanttCalc!AN9)&lt;=0,"",IF(N(GanttCalc!AO9)-N(GanttCalc!AN9)=1,"R"&amp;GanttCalc!AO9,"R"&amp;(GanttCalc!AN9+1)&amp;"-"&amp;GanttCalc!AO9)))</f>
        <v/>
      </c>
      <c r="AQ31" s="60" t="str">
        <f aca="false">IF($B$30="","",IF(N(GanttCalc!AP9)-N(GanttCalc!AO9)&lt;=0,"",IF(N(GanttCalc!AP9)-N(GanttCalc!AO9)=1,"R"&amp;GanttCalc!AP9,"R"&amp;(GanttCalc!AO9+1)&amp;"-"&amp;GanttCalc!AP9)))</f>
        <v/>
      </c>
      <c r="AR31" s="60" t="str">
        <f aca="false">IF($B$30="","",IF(N(GanttCalc!AQ9)-N(GanttCalc!AP9)&lt;=0,"",IF(N(GanttCalc!AQ9)-N(GanttCalc!AP9)=1,"R"&amp;GanttCalc!AQ9,"R"&amp;(GanttCalc!AP9+1)&amp;"-"&amp;GanttCalc!AQ9)))</f>
        <v/>
      </c>
      <c r="AS31" s="60" t="str">
        <f aca="false">IF($B$30="","",IF(N(GanttCalc!AR9)-N(GanttCalc!AQ9)&lt;=0,"",IF(N(GanttCalc!AR9)-N(GanttCalc!AQ9)=1,"R"&amp;GanttCalc!AR9,"R"&amp;(GanttCalc!AQ9+1)&amp;"-"&amp;GanttCalc!AR9)))</f>
        <v/>
      </c>
      <c r="AT31" s="60" t="str">
        <f aca="false">IF($B$30="","",IF(N(GanttCalc!AS9)-N(GanttCalc!AR9)&lt;=0,"",IF(N(GanttCalc!AS9)-N(GanttCalc!AR9)=1,"R"&amp;GanttCalc!AS9,"R"&amp;(GanttCalc!AR9+1)&amp;"-"&amp;GanttCalc!AS9)))</f>
        <v/>
      </c>
      <c r="AU31" s="60" t="str">
        <f aca="false">IF($B$30="","",IF(N(GanttCalc!AT9)-N(GanttCalc!AS9)&lt;=0,"",IF(N(GanttCalc!AT9)-N(GanttCalc!AS9)=1,"R"&amp;GanttCalc!AT9,"R"&amp;(GanttCalc!AS9+1)&amp;"-"&amp;GanttCalc!AT9)))</f>
        <v/>
      </c>
      <c r="AV31" s="60" t="str">
        <f aca="false">IF($B$30="","",IF(N(GanttCalc!AU9)-N(GanttCalc!AT9)&lt;=0,"",IF(N(GanttCalc!AU9)-N(GanttCalc!AT9)=1,"R"&amp;GanttCalc!AU9,"R"&amp;(GanttCalc!AT9+1)&amp;"-"&amp;GanttCalc!AU9)))</f>
        <v/>
      </c>
      <c r="AW31" s="60" t="str">
        <f aca="false">IF($B$30="","",IF(N(GanttCalc!AV9)-N(GanttCalc!AU9)&lt;=0,"",IF(N(GanttCalc!AV9)-N(GanttCalc!AU9)=1,"R"&amp;GanttCalc!AV9,"R"&amp;(GanttCalc!AU9+1)&amp;"-"&amp;GanttCalc!AV9)))</f>
        <v/>
      </c>
      <c r="AX31" s="60" t="str">
        <f aca="false">IF($B$30="","",IF(N(GanttCalc!AW9)-N(GanttCalc!AV9)&lt;=0,"",IF(N(GanttCalc!AW9)-N(GanttCalc!AV9)=1,"R"&amp;GanttCalc!AW9,"R"&amp;(GanttCalc!AV9+1)&amp;"-"&amp;GanttCalc!AW9)))</f>
        <v/>
      </c>
      <c r="AY31" s="60" t="str">
        <f aca="false">IF($B$30="","",IF(N(GanttCalc!AX9)-N(GanttCalc!AW9)&lt;=0,"",IF(N(GanttCalc!AX9)-N(GanttCalc!AW9)=1,"R"&amp;GanttCalc!AX9,"R"&amp;(GanttCalc!AW9+1)&amp;"-"&amp;GanttCalc!AX9)))</f>
        <v/>
      </c>
      <c r="AZ31" s="60" t="str">
        <f aca="false">IF($B$30="","",IF(N(GanttCalc!AY9)-N(GanttCalc!AX9)&lt;=0,"",IF(N(GanttCalc!AY9)-N(GanttCalc!AX9)=1,"R"&amp;GanttCalc!AY9,"R"&amp;(GanttCalc!AX9+1)&amp;"-"&amp;GanttCalc!AY9)))</f>
        <v/>
      </c>
      <c r="BA31" s="60" t="str">
        <f aca="false">IF($B$30="","",IF(N(GanttCalc!AZ9)-N(GanttCalc!AY9)&lt;=0,"",IF(N(GanttCalc!AZ9)-N(GanttCalc!AY9)=1,"R"&amp;GanttCalc!AZ9,"R"&amp;(GanttCalc!AY9+1)&amp;"-"&amp;GanttCalc!AZ9)))</f>
        <v/>
      </c>
      <c r="BB31" s="60" t="str">
        <f aca="false">IF($B$30="","",IF(N(GanttCalc!BA9)-N(GanttCalc!AZ9)&lt;=0,"",IF(N(GanttCalc!BA9)-N(GanttCalc!AZ9)=1,"R"&amp;GanttCalc!BA9,"R"&amp;(GanttCalc!AZ9+1)&amp;"-"&amp;GanttCalc!BA9)))</f>
        <v/>
      </c>
      <c r="BC31" s="60" t="str">
        <f aca="false">IF($B$30="","",IF(N(GanttCalc!BB9)-N(GanttCalc!BA9)&lt;=0,"",IF(N(GanttCalc!BB9)-N(GanttCalc!BA9)=1,"R"&amp;GanttCalc!BB9,"R"&amp;(GanttCalc!BA9+1)&amp;"-"&amp;GanttCalc!BB9)))</f>
        <v/>
      </c>
      <c r="BD31" s="60" t="str">
        <f aca="false">IF($B$30="","",IF(N(GanttCalc!BC9)-N(GanttCalc!BB9)&lt;=0,"",IF(N(GanttCalc!BC9)-N(GanttCalc!BB9)=1,"R"&amp;GanttCalc!BC9,"R"&amp;(GanttCalc!BB9+1)&amp;"-"&amp;GanttCalc!BC9)))</f>
        <v/>
      </c>
    </row>
    <row r="32" customFormat="false" ht="16.5" hidden="false" customHeight="true" outlineLevel="0" collapsed="false">
      <c r="B32" s="63" t="str">
        <f aca="false">IF(Contracts!$A$11="","",IF(Contracts!$I$11="","no kit list","kitted: "&amp;Contracts!$I$11&amp;" / "&amp;Contracts!$F$11))</f>
        <v>no kit list</v>
      </c>
      <c r="C32" s="64" t="str">
        <f aca="false">IF(Contracts!$A$11="","","Final build")</f>
        <v>Final build</v>
      </c>
      <c r="D32" s="59" t="str">
        <f aca="false">IF($B$30="","",SUMPRODUCT(--(E32:BD32&lt;&gt;""))&amp;" wks")</f>
        <v>2 wks</v>
      </c>
      <c r="E32" s="60" t="str">
        <f aca="false">IF($B$30="","",IF(N(GanttCalc!C9)-N(GanttCalc!B9)&lt;=0,"",IF(N(GanttCalc!C9)-N(GanttCalc!B9)=1,"R"&amp;GanttCalc!C9,"R"&amp;(GanttCalc!B9+1)&amp;"-"&amp;GanttCalc!C9)))</f>
        <v/>
      </c>
      <c r="F32" s="60" t="str">
        <f aca="false">IF($B$30="","",IF(N(GanttCalc!D9)-N(GanttCalc!C9)&lt;=0,"",IF(N(GanttCalc!D9)-N(GanttCalc!C9)=1,"R"&amp;GanttCalc!D9,"R"&amp;(GanttCalc!C9+1)&amp;"-"&amp;GanttCalc!D9)))</f>
        <v/>
      </c>
      <c r="G32" s="60" t="str">
        <f aca="false">IF($B$30="","",IF(N(GanttCalc!E9)-N(GanttCalc!D9)&lt;=0,"",IF(N(GanttCalc!E9)-N(GanttCalc!D9)=1,"R"&amp;GanttCalc!E9,"R"&amp;(GanttCalc!D9+1)&amp;"-"&amp;GanttCalc!E9)))</f>
        <v/>
      </c>
      <c r="H32" s="60" t="str">
        <f aca="false">IF($B$30="","",IF(N(GanttCalc!F9)-N(GanttCalc!E9)&lt;=0,"",IF(N(GanttCalc!F9)-N(GanttCalc!E9)=1,"R"&amp;GanttCalc!F9,"R"&amp;(GanttCalc!E9+1)&amp;"-"&amp;GanttCalc!F9)))</f>
        <v/>
      </c>
      <c r="I32" s="60" t="str">
        <f aca="false">IF($B$30="","",IF(N(GanttCalc!G9)-N(GanttCalc!F9)&lt;=0,"",IF(N(GanttCalc!G9)-N(GanttCalc!F9)=1,"R"&amp;GanttCalc!G9,"R"&amp;(GanttCalc!F9+1)&amp;"-"&amp;GanttCalc!G9)))</f>
        <v/>
      </c>
      <c r="J32" s="60" t="str">
        <f aca="false">IF($B$30="","",IF(N(GanttCalc!H9)-N(GanttCalc!G9)&lt;=0,"",IF(N(GanttCalc!H9)-N(GanttCalc!G9)=1,"R"&amp;GanttCalc!H9,"R"&amp;(GanttCalc!G9+1)&amp;"-"&amp;GanttCalc!H9)))</f>
        <v/>
      </c>
      <c r="K32" s="60" t="str">
        <f aca="false">IF($B$30="","",IF(N(GanttCalc!I9)-N(GanttCalc!H9)&lt;=0,"",IF(N(GanttCalc!I9)-N(GanttCalc!H9)=1,"R"&amp;GanttCalc!I9,"R"&amp;(GanttCalc!H9+1)&amp;"-"&amp;GanttCalc!I9)))</f>
        <v/>
      </c>
      <c r="L32" s="60" t="str">
        <f aca="false">IF($B$30="","",IF(N(GanttCalc!J9)-N(GanttCalc!I9)&lt;=0,"",IF(N(GanttCalc!J9)-N(GanttCalc!I9)=1,"R"&amp;GanttCalc!J9,"R"&amp;(GanttCalc!I9+1)&amp;"-"&amp;GanttCalc!J9)))</f>
        <v/>
      </c>
      <c r="M32" s="60" t="str">
        <f aca="false">IF($B$30="","",IF(N(GanttCalc!K9)-N(GanttCalc!J9)&lt;=0,"",IF(N(GanttCalc!K9)-N(GanttCalc!J9)=1,"R"&amp;GanttCalc!K9,"R"&amp;(GanttCalc!J9+1)&amp;"-"&amp;GanttCalc!K9)))</f>
        <v/>
      </c>
      <c r="N32" s="60" t="str">
        <f aca="false">IF($B$30="","",IF(N(GanttCalc!L9)-N(GanttCalc!K9)&lt;=0,"",IF(N(GanttCalc!L9)-N(GanttCalc!K9)=1,"R"&amp;GanttCalc!L9,"R"&amp;(GanttCalc!K9+1)&amp;"-"&amp;GanttCalc!L9)))</f>
        <v/>
      </c>
      <c r="O32" s="60" t="str">
        <f aca="false">IF($B$30="","",IF(N(GanttCalc!M9)-N(GanttCalc!L9)&lt;=0,"",IF(N(GanttCalc!M9)-N(GanttCalc!L9)=1,"R"&amp;GanttCalc!M9,"R"&amp;(GanttCalc!L9+1)&amp;"-"&amp;GanttCalc!M9)))</f>
        <v/>
      </c>
      <c r="P32" s="60" t="str">
        <f aca="false">IF($B$30="","",IF(N(GanttCalc!N9)-N(GanttCalc!M9)&lt;=0,"",IF(N(GanttCalc!N9)-N(GanttCalc!M9)=1,"R"&amp;GanttCalc!N9,"R"&amp;(GanttCalc!M9+1)&amp;"-"&amp;GanttCalc!N9)))</f>
        <v/>
      </c>
      <c r="Q32" s="60" t="str">
        <f aca="false">IF($B$30="","",IF(N(GanttCalc!O9)-N(GanttCalc!N9)&lt;=0,"",IF(N(GanttCalc!O9)-N(GanttCalc!N9)=1,"R"&amp;GanttCalc!O9,"R"&amp;(GanttCalc!N9+1)&amp;"-"&amp;GanttCalc!O9)))</f>
        <v/>
      </c>
      <c r="R32" s="60" t="str">
        <f aca="false">IF($B$30="","",IF(N(GanttCalc!P9)-N(GanttCalc!O9)&lt;=0,"",IF(N(GanttCalc!P9)-N(GanttCalc!O9)=1,"R"&amp;GanttCalc!P9,"R"&amp;(GanttCalc!O9+1)&amp;"-"&amp;GanttCalc!P9)))</f>
        <v/>
      </c>
      <c r="S32" s="60" t="str">
        <f aca="false">IF($B$30="","",IF(N(GanttCalc!Q9)-N(GanttCalc!P9)&lt;=0,"",IF(N(GanttCalc!Q9)-N(GanttCalc!P9)=1,"R"&amp;GanttCalc!Q9,"R"&amp;(GanttCalc!P9+1)&amp;"-"&amp;GanttCalc!Q9)))</f>
        <v/>
      </c>
      <c r="T32" s="60" t="str">
        <f aca="false">IF($B$30="","",IF(N(GanttCalc!R9)-N(GanttCalc!Q9)&lt;=0,"",IF(N(GanttCalc!R9)-N(GanttCalc!Q9)=1,"R"&amp;GanttCalc!R9,"R"&amp;(GanttCalc!Q9+1)&amp;"-"&amp;GanttCalc!R9)))</f>
        <v/>
      </c>
      <c r="U32" s="60" t="str">
        <f aca="false">IF($B$30="","",IF(N(GanttCalc!S9)-N(GanttCalc!R9)&lt;=0,"",IF(N(GanttCalc!S9)-N(GanttCalc!R9)=1,"R"&amp;GanttCalc!S9,"R"&amp;(GanttCalc!R9+1)&amp;"-"&amp;GanttCalc!S9)))</f>
        <v>R1-8</v>
      </c>
      <c r="V32" s="60" t="str">
        <f aca="false">IF($B$30="","",IF(N(GanttCalc!T9)-N(GanttCalc!S9)&lt;=0,"",IF(N(GanttCalc!T9)-N(GanttCalc!S9)=1,"R"&amp;GanttCalc!T9,"R"&amp;(GanttCalc!S9+1)&amp;"-"&amp;GanttCalc!T9)))</f>
        <v/>
      </c>
      <c r="W32" s="60" t="str">
        <f aca="false">IF($B$30="","",IF(N(GanttCalc!U9)-N(GanttCalc!T9)&lt;=0,"",IF(N(GanttCalc!U9)-N(GanttCalc!T9)=1,"R"&amp;GanttCalc!U9,"R"&amp;(GanttCalc!T9+1)&amp;"-"&amp;GanttCalc!U9)))</f>
        <v/>
      </c>
      <c r="X32" s="60" t="str">
        <f aca="false">IF($B$30="","",IF(N(GanttCalc!V9)-N(GanttCalc!U9)&lt;=0,"",IF(N(GanttCalc!V9)-N(GanttCalc!U9)=1,"R"&amp;GanttCalc!V9,"R"&amp;(GanttCalc!U9+1)&amp;"-"&amp;GanttCalc!V9)))</f>
        <v>R9-10</v>
      </c>
      <c r="Y32" s="60" t="str">
        <f aca="false">IF($B$30="","",IF(N(GanttCalc!W9)-N(GanttCalc!V9)&lt;=0,"",IF(N(GanttCalc!W9)-N(GanttCalc!V9)=1,"R"&amp;GanttCalc!W9,"R"&amp;(GanttCalc!V9+1)&amp;"-"&amp;GanttCalc!W9)))</f>
        <v/>
      </c>
      <c r="Z32" s="60" t="str">
        <f aca="false">IF($B$30="","",IF(N(GanttCalc!X9)-N(GanttCalc!W9)&lt;=0,"",IF(N(GanttCalc!X9)-N(GanttCalc!W9)=1,"R"&amp;GanttCalc!X9,"R"&amp;(GanttCalc!W9+1)&amp;"-"&amp;GanttCalc!X9)))</f>
        <v/>
      </c>
      <c r="AA32" s="60" t="str">
        <f aca="false">IF($B$30="","",IF(N(GanttCalc!Y9)-N(GanttCalc!X9)&lt;=0,"",IF(N(GanttCalc!Y9)-N(GanttCalc!X9)=1,"R"&amp;GanttCalc!Y9,"R"&amp;(GanttCalc!X9+1)&amp;"-"&amp;GanttCalc!Y9)))</f>
        <v/>
      </c>
      <c r="AB32" s="60" t="str">
        <f aca="false">IF($B$30="","",IF(N(GanttCalc!Z9)-N(GanttCalc!Y9)&lt;=0,"",IF(N(GanttCalc!Z9)-N(GanttCalc!Y9)=1,"R"&amp;GanttCalc!Z9,"R"&amp;(GanttCalc!Y9+1)&amp;"-"&amp;GanttCalc!Z9)))</f>
        <v/>
      </c>
      <c r="AC32" s="60" t="str">
        <f aca="false">IF($B$30="","",IF(N(GanttCalc!AA9)-N(GanttCalc!Z9)&lt;=0,"",IF(N(GanttCalc!AA9)-N(GanttCalc!Z9)=1,"R"&amp;GanttCalc!AA9,"R"&amp;(GanttCalc!Z9+1)&amp;"-"&amp;GanttCalc!AA9)))</f>
        <v/>
      </c>
      <c r="AD32" s="60" t="str">
        <f aca="false">IF($B$30="","",IF(N(GanttCalc!AB9)-N(GanttCalc!AA9)&lt;=0,"",IF(N(GanttCalc!AB9)-N(GanttCalc!AA9)=1,"R"&amp;GanttCalc!AB9,"R"&amp;(GanttCalc!AA9+1)&amp;"-"&amp;GanttCalc!AB9)))</f>
        <v/>
      </c>
      <c r="AE32" s="60" t="str">
        <f aca="false">IF($B$30="","",IF(N(GanttCalc!AC9)-N(GanttCalc!AB9)&lt;=0,"",IF(N(GanttCalc!AC9)-N(GanttCalc!AB9)=1,"R"&amp;GanttCalc!AC9,"R"&amp;(GanttCalc!AB9+1)&amp;"-"&amp;GanttCalc!AC9)))</f>
        <v/>
      </c>
      <c r="AF32" s="60" t="str">
        <f aca="false">IF($B$30="","",IF(N(GanttCalc!AD9)-N(GanttCalc!AC9)&lt;=0,"",IF(N(GanttCalc!AD9)-N(GanttCalc!AC9)=1,"R"&amp;GanttCalc!AD9,"R"&amp;(GanttCalc!AC9+1)&amp;"-"&amp;GanttCalc!AD9)))</f>
        <v/>
      </c>
      <c r="AG32" s="60" t="str">
        <f aca="false">IF($B$30="","",IF(N(GanttCalc!AE9)-N(GanttCalc!AD9)&lt;=0,"",IF(N(GanttCalc!AE9)-N(GanttCalc!AD9)=1,"R"&amp;GanttCalc!AE9,"R"&amp;(GanttCalc!AD9+1)&amp;"-"&amp;GanttCalc!AE9)))</f>
        <v/>
      </c>
      <c r="AH32" s="60" t="str">
        <f aca="false">IF($B$30="","",IF(N(GanttCalc!AF9)-N(GanttCalc!AE9)&lt;=0,"",IF(N(GanttCalc!AF9)-N(GanttCalc!AE9)=1,"R"&amp;GanttCalc!AF9,"R"&amp;(GanttCalc!AE9+1)&amp;"-"&amp;GanttCalc!AF9)))</f>
        <v/>
      </c>
      <c r="AI32" s="60" t="str">
        <f aca="false">IF($B$30="","",IF(N(GanttCalc!AG9)-N(GanttCalc!AF9)&lt;=0,"",IF(N(GanttCalc!AG9)-N(GanttCalc!AF9)=1,"R"&amp;GanttCalc!AG9,"R"&amp;(GanttCalc!AF9+1)&amp;"-"&amp;GanttCalc!AG9)))</f>
        <v/>
      </c>
      <c r="AJ32" s="60" t="str">
        <f aca="false">IF($B$30="","",IF(N(GanttCalc!AH9)-N(GanttCalc!AG9)&lt;=0,"",IF(N(GanttCalc!AH9)-N(GanttCalc!AG9)=1,"R"&amp;GanttCalc!AH9,"R"&amp;(GanttCalc!AG9+1)&amp;"-"&amp;GanttCalc!AH9)))</f>
        <v/>
      </c>
      <c r="AK32" s="60" t="str">
        <f aca="false">IF($B$30="","",IF(N(GanttCalc!AI9)-N(GanttCalc!AH9)&lt;=0,"",IF(N(GanttCalc!AI9)-N(GanttCalc!AH9)=1,"R"&amp;GanttCalc!AI9,"R"&amp;(GanttCalc!AH9+1)&amp;"-"&amp;GanttCalc!AI9)))</f>
        <v/>
      </c>
      <c r="AL32" s="60" t="str">
        <f aca="false">IF($B$30="","",IF(N(GanttCalc!AJ9)-N(GanttCalc!AI9)&lt;=0,"",IF(N(GanttCalc!AJ9)-N(GanttCalc!AI9)=1,"R"&amp;GanttCalc!AJ9,"R"&amp;(GanttCalc!AI9+1)&amp;"-"&amp;GanttCalc!AJ9)))</f>
        <v/>
      </c>
      <c r="AM32" s="60" t="str">
        <f aca="false">IF($B$30="","",IF(N(GanttCalc!AK9)-N(GanttCalc!AJ9)&lt;=0,"",IF(N(GanttCalc!AK9)-N(GanttCalc!AJ9)=1,"R"&amp;GanttCalc!AK9,"R"&amp;(GanttCalc!AJ9+1)&amp;"-"&amp;GanttCalc!AK9)))</f>
        <v/>
      </c>
      <c r="AN32" s="60" t="str">
        <f aca="false">IF($B$30="","",IF(N(GanttCalc!AL9)-N(GanttCalc!AK9)&lt;=0,"",IF(N(GanttCalc!AL9)-N(GanttCalc!AK9)=1,"R"&amp;GanttCalc!AL9,"R"&amp;(GanttCalc!AK9+1)&amp;"-"&amp;GanttCalc!AL9)))</f>
        <v/>
      </c>
      <c r="AO32" s="60" t="str">
        <f aca="false">IF($B$30="","",IF(N(GanttCalc!AM9)-N(GanttCalc!AL9)&lt;=0,"",IF(N(GanttCalc!AM9)-N(GanttCalc!AL9)=1,"R"&amp;GanttCalc!AM9,"R"&amp;(GanttCalc!AL9+1)&amp;"-"&amp;GanttCalc!AM9)))</f>
        <v/>
      </c>
      <c r="AP32" s="60" t="str">
        <f aca="false">IF($B$30="","",IF(N(GanttCalc!AN9)-N(GanttCalc!AM9)&lt;=0,"",IF(N(GanttCalc!AN9)-N(GanttCalc!AM9)=1,"R"&amp;GanttCalc!AN9,"R"&amp;(GanttCalc!AM9+1)&amp;"-"&amp;GanttCalc!AN9)))</f>
        <v/>
      </c>
      <c r="AQ32" s="60" t="str">
        <f aca="false">IF($B$30="","",IF(N(GanttCalc!AO9)-N(GanttCalc!AN9)&lt;=0,"",IF(N(GanttCalc!AO9)-N(GanttCalc!AN9)=1,"R"&amp;GanttCalc!AO9,"R"&amp;(GanttCalc!AN9+1)&amp;"-"&amp;GanttCalc!AO9)))</f>
        <v/>
      </c>
      <c r="AR32" s="60" t="str">
        <f aca="false">IF($B$30="","",IF(N(GanttCalc!AP9)-N(GanttCalc!AO9)&lt;=0,"",IF(N(GanttCalc!AP9)-N(GanttCalc!AO9)=1,"R"&amp;GanttCalc!AP9,"R"&amp;(GanttCalc!AO9+1)&amp;"-"&amp;GanttCalc!AP9)))</f>
        <v/>
      </c>
      <c r="AS32" s="60" t="str">
        <f aca="false">IF($B$30="","",IF(N(GanttCalc!AQ9)-N(GanttCalc!AP9)&lt;=0,"",IF(N(GanttCalc!AQ9)-N(GanttCalc!AP9)=1,"R"&amp;GanttCalc!AQ9,"R"&amp;(GanttCalc!AP9+1)&amp;"-"&amp;GanttCalc!AQ9)))</f>
        <v/>
      </c>
      <c r="AT32" s="60" t="str">
        <f aca="false">IF($B$30="","",IF(N(GanttCalc!AR9)-N(GanttCalc!AQ9)&lt;=0,"",IF(N(GanttCalc!AR9)-N(GanttCalc!AQ9)=1,"R"&amp;GanttCalc!AR9,"R"&amp;(GanttCalc!AQ9+1)&amp;"-"&amp;GanttCalc!AR9)))</f>
        <v/>
      </c>
      <c r="AU32" s="60" t="str">
        <f aca="false">IF($B$30="","",IF(N(GanttCalc!AS9)-N(GanttCalc!AR9)&lt;=0,"",IF(N(GanttCalc!AS9)-N(GanttCalc!AR9)=1,"R"&amp;GanttCalc!AS9,"R"&amp;(GanttCalc!AR9+1)&amp;"-"&amp;GanttCalc!AS9)))</f>
        <v/>
      </c>
      <c r="AV32" s="60" t="str">
        <f aca="false">IF($B$30="","",IF(N(GanttCalc!AT9)-N(GanttCalc!AS9)&lt;=0,"",IF(N(GanttCalc!AT9)-N(GanttCalc!AS9)=1,"R"&amp;GanttCalc!AT9,"R"&amp;(GanttCalc!AS9+1)&amp;"-"&amp;GanttCalc!AT9)))</f>
        <v/>
      </c>
      <c r="AW32" s="60" t="str">
        <f aca="false">IF($B$30="","",IF(N(GanttCalc!AU9)-N(GanttCalc!AT9)&lt;=0,"",IF(N(GanttCalc!AU9)-N(GanttCalc!AT9)=1,"R"&amp;GanttCalc!AU9,"R"&amp;(GanttCalc!AT9+1)&amp;"-"&amp;GanttCalc!AU9)))</f>
        <v/>
      </c>
      <c r="AX32" s="60" t="str">
        <f aca="false">IF($B$30="","",IF(N(GanttCalc!AV9)-N(GanttCalc!AU9)&lt;=0,"",IF(N(GanttCalc!AV9)-N(GanttCalc!AU9)=1,"R"&amp;GanttCalc!AV9,"R"&amp;(GanttCalc!AU9+1)&amp;"-"&amp;GanttCalc!AV9)))</f>
        <v/>
      </c>
      <c r="AY32" s="60" t="str">
        <f aca="false">IF($B$30="","",IF(N(GanttCalc!AW9)-N(GanttCalc!AV9)&lt;=0,"",IF(N(GanttCalc!AW9)-N(GanttCalc!AV9)=1,"R"&amp;GanttCalc!AW9,"R"&amp;(GanttCalc!AV9+1)&amp;"-"&amp;GanttCalc!AW9)))</f>
        <v/>
      </c>
      <c r="AZ32" s="60" t="str">
        <f aca="false">IF($B$30="","",IF(N(GanttCalc!AX9)-N(GanttCalc!AW9)&lt;=0,"",IF(N(GanttCalc!AX9)-N(GanttCalc!AW9)=1,"R"&amp;GanttCalc!AX9,"R"&amp;(GanttCalc!AW9+1)&amp;"-"&amp;GanttCalc!AX9)))</f>
        <v/>
      </c>
      <c r="BA32" s="60" t="str">
        <f aca="false">IF($B$30="","",IF(N(GanttCalc!AY9)-N(GanttCalc!AX9)&lt;=0,"",IF(N(GanttCalc!AY9)-N(GanttCalc!AX9)=1,"R"&amp;GanttCalc!AY9,"R"&amp;(GanttCalc!AX9+1)&amp;"-"&amp;GanttCalc!AY9)))</f>
        <v/>
      </c>
      <c r="BB32" s="60" t="str">
        <f aca="false">IF($B$30="","",IF(N(GanttCalc!AZ9)-N(GanttCalc!AY9)&lt;=0,"",IF(N(GanttCalc!AZ9)-N(GanttCalc!AY9)=1,"R"&amp;GanttCalc!AZ9,"R"&amp;(GanttCalc!AY9+1)&amp;"-"&amp;GanttCalc!AZ9)))</f>
        <v/>
      </c>
      <c r="BC32" s="60" t="str">
        <f aca="false">IF($B$30="","",IF(N(GanttCalc!BA9)-N(GanttCalc!AZ9)&lt;=0,"",IF(N(GanttCalc!BA9)-N(GanttCalc!AZ9)=1,"R"&amp;GanttCalc!BA9,"R"&amp;(GanttCalc!AZ9+1)&amp;"-"&amp;GanttCalc!BA9)))</f>
        <v/>
      </c>
      <c r="BD32" s="60" t="str">
        <f aca="false">IF($B$30="","",IF(N(GanttCalc!BB9)-N(GanttCalc!BA9)&lt;=0,"",IF(N(GanttCalc!BB9)-N(GanttCalc!BA9)=1,"R"&amp;GanttCalc!BB9,"R"&amp;(GanttCalc!BA9+1)&amp;"-"&amp;GanttCalc!BB9)))</f>
        <v/>
      </c>
    </row>
    <row r="33" customFormat="false" ht="6" hidden="false" customHeight="true" outlineLevel="0" collapsed="false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customFormat="false" ht="16.5" hidden="false" customHeight="true" outlineLevel="0" collapsed="false">
      <c r="B34" s="32" t="str">
        <f aca="false">IF(Contracts!$A$12="","",Contracts!$A$12)</f>
        <v>E2A-R12P-T5-C</v>
      </c>
      <c r="C34" s="58" t="str">
        <f aca="false">IF(Contracts!$A$12="","","Kit release")</f>
        <v>Kit release</v>
      </c>
      <c r="D34" s="59" t="str">
        <f aca="false">IF($B$34="","",SUMPRODUCT(--(E34:BD34&lt;&gt;""))&amp;" wks")</f>
        <v>23 wks</v>
      </c>
      <c r="E34" s="60" t="str">
        <f aca="true">IF($B$34="","",IF(N(OFFSET(GanttCalc!$B$10,0,1+N(Contracts!$Q$12)))-N(OFFSET(GanttCalc!$B$10,0,0+N(Contracts!$Q$12)))&lt;=0,"",IF(N(OFFSET(GanttCalc!$B$10,0,1+N(Contracts!$Q$12)))-N(OFFSET(GanttCalc!$B$10,0,0+N(Contracts!$Q$12)))=1,"R"&amp;OFFSET(GanttCalc!$B$10,0,1+N(Contracts!$Q$12)),"R"&amp;(OFFSET(GanttCalc!$B$10,0,0+N(Contracts!$Q$12))+1)&amp;"-"&amp;OFFSET(GanttCalc!$B$10,0,1+N(Contracts!$Q$12)))))</f>
        <v/>
      </c>
      <c r="F34" s="60" t="str">
        <f aca="true">IF($B$34="","",IF(N(OFFSET(GanttCalc!$B$10,0,2+N(Contracts!$Q$12)))-N(OFFSET(GanttCalc!$B$10,0,1+N(Contracts!$Q$12)))&lt;=0,"",IF(N(OFFSET(GanttCalc!$B$10,0,2+N(Contracts!$Q$12)))-N(OFFSET(GanttCalc!$B$10,0,1+N(Contracts!$Q$12)))=1,"R"&amp;OFFSET(GanttCalc!$B$10,0,2+N(Contracts!$Q$12)),"R"&amp;(OFFSET(GanttCalc!$B$10,0,1+N(Contracts!$Q$12))+1)&amp;"-"&amp;OFFSET(GanttCalc!$B$10,0,2+N(Contracts!$Q$12)))))</f>
        <v>R20</v>
      </c>
      <c r="G34" s="60" t="str">
        <f aca="true">IF($B$34="","",IF(N(OFFSET(GanttCalc!$B$10,0,3+N(Contracts!$Q$12)))-N(OFFSET(GanttCalc!$B$10,0,2+N(Contracts!$Q$12)))&lt;=0,"",IF(N(OFFSET(GanttCalc!$B$10,0,3+N(Contracts!$Q$12)))-N(OFFSET(GanttCalc!$B$10,0,2+N(Contracts!$Q$12)))=1,"R"&amp;OFFSET(GanttCalc!$B$10,0,3+N(Contracts!$Q$12)),"R"&amp;(OFFSET(GanttCalc!$B$10,0,2+N(Contracts!$Q$12))+1)&amp;"-"&amp;OFFSET(GanttCalc!$B$10,0,3+N(Contracts!$Q$12)))))</f>
        <v>R21-22</v>
      </c>
      <c r="H34" s="60" t="str">
        <f aca="true">IF($B$34="","",IF(N(OFFSET(GanttCalc!$B$10,0,4+N(Contracts!$Q$12)))-N(OFFSET(GanttCalc!$B$10,0,3+N(Contracts!$Q$12)))&lt;=0,"",IF(N(OFFSET(GanttCalc!$B$10,0,4+N(Contracts!$Q$12)))-N(OFFSET(GanttCalc!$B$10,0,3+N(Contracts!$Q$12)))=1,"R"&amp;OFFSET(GanttCalc!$B$10,0,4+N(Contracts!$Q$12)),"R"&amp;(OFFSET(GanttCalc!$B$10,0,3+N(Contracts!$Q$12))+1)&amp;"-"&amp;OFFSET(GanttCalc!$B$10,0,4+N(Contracts!$Q$12)))))</f>
        <v>R23-24</v>
      </c>
      <c r="I34" s="60" t="str">
        <f aca="true">IF($B$34="","",IF(N(OFFSET(GanttCalc!$B$10,0,5+N(Contracts!$Q$12)))-N(OFFSET(GanttCalc!$B$10,0,4+N(Contracts!$Q$12)))&lt;=0,"",IF(N(OFFSET(GanttCalc!$B$10,0,5+N(Contracts!$Q$12)))-N(OFFSET(GanttCalc!$B$10,0,4+N(Contracts!$Q$12)))=1,"R"&amp;OFFSET(GanttCalc!$B$10,0,5+N(Contracts!$Q$12)),"R"&amp;(OFFSET(GanttCalc!$B$10,0,4+N(Contracts!$Q$12))+1)&amp;"-"&amp;OFFSET(GanttCalc!$B$10,0,5+N(Contracts!$Q$12)))))</f>
        <v>R25-26</v>
      </c>
      <c r="J34" s="60" t="str">
        <f aca="true">IF($B$34="","",IF(N(OFFSET(GanttCalc!$B$10,0,6+N(Contracts!$Q$12)))-N(OFFSET(GanttCalc!$B$10,0,5+N(Contracts!$Q$12)))&lt;=0,"",IF(N(OFFSET(GanttCalc!$B$10,0,6+N(Contracts!$Q$12)))-N(OFFSET(GanttCalc!$B$10,0,5+N(Contracts!$Q$12)))=1,"R"&amp;OFFSET(GanttCalc!$B$10,0,6+N(Contracts!$Q$12)),"R"&amp;(OFFSET(GanttCalc!$B$10,0,5+N(Contracts!$Q$12))+1)&amp;"-"&amp;OFFSET(GanttCalc!$B$10,0,6+N(Contracts!$Q$12)))))</f>
        <v>R27-28</v>
      </c>
      <c r="K34" s="60" t="str">
        <f aca="true">IF($B$34="","",IF(N(OFFSET(GanttCalc!$B$10,0,7+N(Contracts!$Q$12)))-N(OFFSET(GanttCalc!$B$10,0,6+N(Contracts!$Q$12)))&lt;=0,"",IF(N(OFFSET(GanttCalc!$B$10,0,7+N(Contracts!$Q$12)))-N(OFFSET(GanttCalc!$B$10,0,6+N(Contracts!$Q$12)))=1,"R"&amp;OFFSET(GanttCalc!$B$10,0,7+N(Contracts!$Q$12)),"R"&amp;(OFFSET(GanttCalc!$B$10,0,6+N(Contracts!$Q$12))+1)&amp;"-"&amp;OFFSET(GanttCalc!$B$10,0,7+N(Contracts!$Q$12)))))</f>
        <v>R29-31</v>
      </c>
      <c r="L34" s="60" t="str">
        <f aca="true">IF($B$34="","",IF(N(OFFSET(GanttCalc!$B$10,0,8+N(Contracts!$Q$12)))-N(OFFSET(GanttCalc!$B$10,0,7+N(Contracts!$Q$12)))&lt;=0,"",IF(N(OFFSET(GanttCalc!$B$10,0,8+N(Contracts!$Q$12)))-N(OFFSET(GanttCalc!$B$10,0,7+N(Contracts!$Q$12)))=1,"R"&amp;OFFSET(GanttCalc!$B$10,0,8+N(Contracts!$Q$12)),"R"&amp;(OFFSET(GanttCalc!$B$10,0,7+N(Contracts!$Q$12))+1)&amp;"-"&amp;OFFSET(GanttCalc!$B$10,0,8+N(Contracts!$Q$12)))))</f>
        <v>R32</v>
      </c>
      <c r="M34" s="60" t="str">
        <f aca="true">IF($B$34="","",IF(N(OFFSET(GanttCalc!$B$10,0,9+N(Contracts!$Q$12)))-N(OFFSET(GanttCalc!$B$10,0,8+N(Contracts!$Q$12)))&lt;=0,"",IF(N(OFFSET(GanttCalc!$B$10,0,9+N(Contracts!$Q$12)))-N(OFFSET(GanttCalc!$B$10,0,8+N(Contracts!$Q$12)))=1,"R"&amp;OFFSET(GanttCalc!$B$10,0,9+N(Contracts!$Q$12)),"R"&amp;(OFFSET(GanttCalc!$B$10,0,8+N(Contracts!$Q$12))+1)&amp;"-"&amp;OFFSET(GanttCalc!$B$10,0,9+N(Contracts!$Q$12)))))</f>
        <v>R33</v>
      </c>
      <c r="N34" s="60" t="str">
        <f aca="true">IF($B$34="","",IF(N(OFFSET(GanttCalc!$B$10,0,10+N(Contracts!$Q$12)))-N(OFFSET(GanttCalc!$B$10,0,9+N(Contracts!$Q$12)))&lt;=0,"",IF(N(OFFSET(GanttCalc!$B$10,0,10+N(Contracts!$Q$12)))-N(OFFSET(GanttCalc!$B$10,0,9+N(Contracts!$Q$12)))=1,"R"&amp;OFFSET(GanttCalc!$B$10,0,10+N(Contracts!$Q$12)),"R"&amp;(OFFSET(GanttCalc!$B$10,0,9+N(Contracts!$Q$12))+1)&amp;"-"&amp;OFFSET(GanttCalc!$B$10,0,10+N(Contracts!$Q$12)))))</f>
        <v/>
      </c>
      <c r="O34" s="60" t="str">
        <f aca="true">IF($B$34="","",IF(N(OFFSET(GanttCalc!$B$10,0,11+N(Contracts!$Q$12)))-N(OFFSET(GanttCalc!$B$10,0,10+N(Contracts!$Q$12)))&lt;=0,"",IF(N(OFFSET(GanttCalc!$B$10,0,11+N(Contracts!$Q$12)))-N(OFFSET(GanttCalc!$B$10,0,10+N(Contracts!$Q$12)))=1,"R"&amp;OFFSET(GanttCalc!$B$10,0,11+N(Contracts!$Q$12)),"R"&amp;(OFFSET(GanttCalc!$B$10,0,10+N(Contracts!$Q$12))+1)&amp;"-"&amp;OFFSET(GanttCalc!$B$10,0,11+N(Contracts!$Q$12)))))</f>
        <v/>
      </c>
      <c r="P34" s="60" t="str">
        <f aca="true">IF($B$34="","",IF(N(OFFSET(GanttCalc!$B$10,0,12+N(Contracts!$Q$12)))-N(OFFSET(GanttCalc!$B$10,0,11+N(Contracts!$Q$12)))&lt;=0,"",IF(N(OFFSET(GanttCalc!$B$10,0,12+N(Contracts!$Q$12)))-N(OFFSET(GanttCalc!$B$10,0,11+N(Contracts!$Q$12)))=1,"R"&amp;OFFSET(GanttCalc!$B$10,0,12+N(Contracts!$Q$12)),"R"&amp;(OFFSET(GanttCalc!$B$10,0,11+N(Contracts!$Q$12))+1)&amp;"-"&amp;OFFSET(GanttCalc!$B$10,0,12+N(Contracts!$Q$12)))))</f>
        <v/>
      </c>
      <c r="Q34" s="60" t="str">
        <f aca="true">IF($B$34="","",IF(N(OFFSET(GanttCalc!$B$10,0,13+N(Contracts!$Q$12)))-N(OFFSET(GanttCalc!$B$10,0,12+N(Contracts!$Q$12)))&lt;=0,"",IF(N(OFFSET(GanttCalc!$B$10,0,13+N(Contracts!$Q$12)))-N(OFFSET(GanttCalc!$B$10,0,12+N(Contracts!$Q$12)))=1,"R"&amp;OFFSET(GanttCalc!$B$10,0,13+N(Contracts!$Q$12)),"R"&amp;(OFFSET(GanttCalc!$B$10,0,12+N(Contracts!$Q$12))+1)&amp;"-"&amp;OFFSET(GanttCalc!$B$10,0,13+N(Contracts!$Q$12)))))</f>
        <v/>
      </c>
      <c r="R34" s="60" t="str">
        <f aca="true">IF($B$34="","",IF(N(OFFSET(GanttCalc!$B$10,0,14+N(Contracts!$Q$12)))-N(OFFSET(GanttCalc!$B$10,0,13+N(Contracts!$Q$12)))&lt;=0,"",IF(N(OFFSET(GanttCalc!$B$10,0,14+N(Contracts!$Q$12)))-N(OFFSET(GanttCalc!$B$10,0,13+N(Contracts!$Q$12)))=1,"R"&amp;OFFSET(GanttCalc!$B$10,0,14+N(Contracts!$Q$12)),"R"&amp;(OFFSET(GanttCalc!$B$10,0,13+N(Contracts!$Q$12))+1)&amp;"-"&amp;OFFSET(GanttCalc!$B$10,0,14+N(Contracts!$Q$12)))))</f>
        <v>R34-35</v>
      </c>
      <c r="S34" s="60" t="str">
        <f aca="true">IF($B$34="","",IF(N(OFFSET(GanttCalc!$B$10,0,15+N(Contracts!$Q$12)))-N(OFFSET(GanttCalc!$B$10,0,14+N(Contracts!$Q$12)))&lt;=0,"",IF(N(OFFSET(GanttCalc!$B$10,0,15+N(Contracts!$Q$12)))-N(OFFSET(GanttCalc!$B$10,0,14+N(Contracts!$Q$12)))=1,"R"&amp;OFFSET(GanttCalc!$B$10,0,15+N(Contracts!$Q$12)),"R"&amp;(OFFSET(GanttCalc!$B$10,0,14+N(Contracts!$Q$12))+1)&amp;"-"&amp;OFFSET(GanttCalc!$B$10,0,15+N(Contracts!$Q$12)))))</f>
        <v/>
      </c>
      <c r="T34" s="60" t="str">
        <f aca="true">IF($B$34="","",IF(N(OFFSET(GanttCalc!$B$10,0,16+N(Contracts!$Q$12)))-N(OFFSET(GanttCalc!$B$10,0,15+N(Contracts!$Q$12)))&lt;=0,"",IF(N(OFFSET(GanttCalc!$B$10,0,16+N(Contracts!$Q$12)))-N(OFFSET(GanttCalc!$B$10,0,15+N(Contracts!$Q$12)))=1,"R"&amp;OFFSET(GanttCalc!$B$10,0,16+N(Contracts!$Q$12)),"R"&amp;(OFFSET(GanttCalc!$B$10,0,15+N(Contracts!$Q$12))+1)&amp;"-"&amp;OFFSET(GanttCalc!$B$10,0,16+N(Contracts!$Q$12)))))</f>
        <v/>
      </c>
      <c r="U34" s="60" t="str">
        <f aca="true">IF($B$34="","",IF(N(OFFSET(GanttCalc!$B$10,0,17+N(Contracts!$Q$12)))-N(OFFSET(GanttCalc!$B$10,0,16+N(Contracts!$Q$12)))&lt;=0,"",IF(N(OFFSET(GanttCalc!$B$10,0,17+N(Contracts!$Q$12)))-N(OFFSET(GanttCalc!$B$10,0,16+N(Contracts!$Q$12)))=1,"R"&amp;OFFSET(GanttCalc!$B$10,0,17+N(Contracts!$Q$12)),"R"&amp;(OFFSET(GanttCalc!$B$10,0,16+N(Contracts!$Q$12))+1)&amp;"-"&amp;OFFSET(GanttCalc!$B$10,0,17+N(Contracts!$Q$12)))))</f>
        <v/>
      </c>
      <c r="V34" s="60" t="str">
        <f aca="true">IF($B$34="","",IF(N(OFFSET(GanttCalc!$B$10,0,18+N(Contracts!$Q$12)))-N(OFFSET(GanttCalc!$B$10,0,17+N(Contracts!$Q$12)))&lt;=0,"",IF(N(OFFSET(GanttCalc!$B$10,0,18+N(Contracts!$Q$12)))-N(OFFSET(GanttCalc!$B$10,0,17+N(Contracts!$Q$12)))=1,"R"&amp;OFFSET(GanttCalc!$B$10,0,18+N(Contracts!$Q$12)),"R"&amp;(OFFSET(GanttCalc!$B$10,0,17+N(Contracts!$Q$12))+1)&amp;"-"&amp;OFFSET(GanttCalc!$B$10,0,18+N(Contracts!$Q$12)))))</f>
        <v>R36-44</v>
      </c>
      <c r="W34" s="60" t="str">
        <f aca="true">IF($B$34="","",IF(N(OFFSET(GanttCalc!$B$10,0,19+N(Contracts!$Q$12)))-N(OFFSET(GanttCalc!$B$10,0,18+N(Contracts!$Q$12)))&lt;=0,"",IF(N(OFFSET(GanttCalc!$B$10,0,19+N(Contracts!$Q$12)))-N(OFFSET(GanttCalc!$B$10,0,18+N(Contracts!$Q$12)))=1,"R"&amp;OFFSET(GanttCalc!$B$10,0,19+N(Contracts!$Q$12)),"R"&amp;(OFFSET(GanttCalc!$B$10,0,18+N(Contracts!$Q$12))+1)&amp;"-"&amp;OFFSET(GanttCalc!$B$10,0,19+N(Contracts!$Q$12)))))</f>
        <v>R45-46</v>
      </c>
      <c r="X34" s="60" t="str">
        <f aca="true">IF($B$34="","",IF(N(OFFSET(GanttCalc!$B$10,0,20+N(Contracts!$Q$12)))-N(OFFSET(GanttCalc!$B$10,0,19+N(Contracts!$Q$12)))&lt;=0,"",IF(N(OFFSET(GanttCalc!$B$10,0,20+N(Contracts!$Q$12)))-N(OFFSET(GanttCalc!$B$10,0,19+N(Contracts!$Q$12)))=1,"R"&amp;OFFSET(GanttCalc!$B$10,0,20+N(Contracts!$Q$12)),"R"&amp;(OFFSET(GanttCalc!$B$10,0,19+N(Contracts!$Q$12))+1)&amp;"-"&amp;OFFSET(GanttCalc!$B$10,0,20+N(Contracts!$Q$12)))))</f>
        <v>R47-52</v>
      </c>
      <c r="Y34" s="60" t="str">
        <f aca="true">IF($B$34="","",IF(N(OFFSET(GanttCalc!$B$10,0,21+N(Contracts!$Q$12)))-N(OFFSET(GanttCalc!$B$10,0,20+N(Contracts!$Q$12)))&lt;=0,"",IF(N(OFFSET(GanttCalc!$B$10,0,21+N(Contracts!$Q$12)))-N(OFFSET(GanttCalc!$B$10,0,20+N(Contracts!$Q$12)))=1,"R"&amp;OFFSET(GanttCalc!$B$10,0,21+N(Contracts!$Q$12)),"R"&amp;(OFFSET(GanttCalc!$B$10,0,20+N(Contracts!$Q$12))+1)&amp;"-"&amp;OFFSET(GanttCalc!$B$10,0,21+N(Contracts!$Q$12)))))</f>
        <v/>
      </c>
      <c r="Z34" s="60" t="str">
        <f aca="true">IF($B$34="","",IF(N(OFFSET(GanttCalc!$B$10,0,22+N(Contracts!$Q$12)))-N(OFFSET(GanttCalc!$B$10,0,21+N(Contracts!$Q$12)))&lt;=0,"",IF(N(OFFSET(GanttCalc!$B$10,0,22+N(Contracts!$Q$12)))-N(OFFSET(GanttCalc!$B$10,0,21+N(Contracts!$Q$12)))=1,"R"&amp;OFFSET(GanttCalc!$B$10,0,22+N(Contracts!$Q$12)),"R"&amp;(OFFSET(GanttCalc!$B$10,0,21+N(Contracts!$Q$12))+1)&amp;"-"&amp;OFFSET(GanttCalc!$B$10,0,22+N(Contracts!$Q$12)))))</f>
        <v/>
      </c>
      <c r="AA34" s="60" t="str">
        <f aca="true">IF($B$34="","",IF(N(OFFSET(GanttCalc!$B$10,0,23+N(Contracts!$Q$12)))-N(OFFSET(GanttCalc!$B$10,0,22+N(Contracts!$Q$12)))&lt;=0,"",IF(N(OFFSET(GanttCalc!$B$10,0,23+N(Contracts!$Q$12)))-N(OFFSET(GanttCalc!$B$10,0,22+N(Contracts!$Q$12)))=1,"R"&amp;OFFSET(GanttCalc!$B$10,0,23+N(Contracts!$Q$12)),"R"&amp;(OFFSET(GanttCalc!$B$10,0,22+N(Contracts!$Q$12))+1)&amp;"-"&amp;OFFSET(GanttCalc!$B$10,0,23+N(Contracts!$Q$12)))))</f>
        <v/>
      </c>
      <c r="AB34" s="60" t="str">
        <f aca="true">IF($B$34="","",IF(N(OFFSET(GanttCalc!$B$10,0,24+N(Contracts!$Q$12)))-N(OFFSET(GanttCalc!$B$10,0,23+N(Contracts!$Q$12)))&lt;=0,"",IF(N(OFFSET(GanttCalc!$B$10,0,24+N(Contracts!$Q$12)))-N(OFFSET(GanttCalc!$B$10,0,23+N(Contracts!$Q$12)))=1,"R"&amp;OFFSET(GanttCalc!$B$10,0,24+N(Contracts!$Q$12)),"R"&amp;(OFFSET(GanttCalc!$B$10,0,23+N(Contracts!$Q$12))+1)&amp;"-"&amp;OFFSET(GanttCalc!$B$10,0,24+N(Contracts!$Q$12)))))</f>
        <v/>
      </c>
      <c r="AC34" s="60" t="str">
        <f aca="true">IF($B$34="","",IF(N(OFFSET(GanttCalc!$B$10,0,25+N(Contracts!$Q$12)))-N(OFFSET(GanttCalc!$B$10,0,24+N(Contracts!$Q$12)))&lt;=0,"",IF(N(OFFSET(GanttCalc!$B$10,0,25+N(Contracts!$Q$12)))-N(OFFSET(GanttCalc!$B$10,0,24+N(Contracts!$Q$12)))=1,"R"&amp;OFFSET(GanttCalc!$B$10,0,25+N(Contracts!$Q$12)),"R"&amp;(OFFSET(GanttCalc!$B$10,0,24+N(Contracts!$Q$12))+1)&amp;"-"&amp;OFFSET(GanttCalc!$B$10,0,25+N(Contracts!$Q$12)))))</f>
        <v/>
      </c>
      <c r="AD34" s="60" t="str">
        <f aca="true">IF($B$34="","",IF(N(OFFSET(GanttCalc!$B$10,0,26+N(Contracts!$Q$12)))-N(OFFSET(GanttCalc!$B$10,0,25+N(Contracts!$Q$12)))&lt;=0,"",IF(N(OFFSET(GanttCalc!$B$10,0,26+N(Contracts!$Q$12)))-N(OFFSET(GanttCalc!$B$10,0,25+N(Contracts!$Q$12)))=1,"R"&amp;OFFSET(GanttCalc!$B$10,0,26+N(Contracts!$Q$12)),"R"&amp;(OFFSET(GanttCalc!$B$10,0,25+N(Contracts!$Q$12))+1)&amp;"-"&amp;OFFSET(GanttCalc!$B$10,0,26+N(Contracts!$Q$12)))))</f>
        <v/>
      </c>
      <c r="AE34" s="60" t="str">
        <f aca="true">IF($B$34="","",IF(N(OFFSET(GanttCalc!$B$10,0,27+N(Contracts!$Q$12)))-N(OFFSET(GanttCalc!$B$10,0,26+N(Contracts!$Q$12)))&lt;=0,"",IF(N(OFFSET(GanttCalc!$B$10,0,27+N(Contracts!$Q$12)))-N(OFFSET(GanttCalc!$B$10,0,26+N(Contracts!$Q$12)))=1,"R"&amp;OFFSET(GanttCalc!$B$10,0,27+N(Contracts!$Q$12)),"R"&amp;(OFFSET(GanttCalc!$B$10,0,26+N(Contracts!$Q$12))+1)&amp;"-"&amp;OFFSET(GanttCalc!$B$10,0,27+N(Contracts!$Q$12)))))</f>
        <v/>
      </c>
      <c r="AF34" s="60" t="str">
        <f aca="true">IF($B$34="","",IF(N(OFFSET(GanttCalc!$B$10,0,28+N(Contracts!$Q$12)))-N(OFFSET(GanttCalc!$B$10,0,27+N(Contracts!$Q$12)))&lt;=0,"",IF(N(OFFSET(GanttCalc!$B$10,0,28+N(Contracts!$Q$12)))-N(OFFSET(GanttCalc!$B$10,0,27+N(Contracts!$Q$12)))=1,"R"&amp;OFFSET(GanttCalc!$B$10,0,28+N(Contracts!$Q$12)),"R"&amp;(OFFSET(GanttCalc!$B$10,0,27+N(Contracts!$Q$12))+1)&amp;"-"&amp;OFFSET(GanttCalc!$B$10,0,28+N(Contracts!$Q$12)))))</f>
        <v/>
      </c>
      <c r="AG34" s="60" t="str">
        <f aca="true">IF($B$34="","",IF(N(OFFSET(GanttCalc!$B$10,0,29+N(Contracts!$Q$12)))-N(OFFSET(GanttCalc!$B$10,0,28+N(Contracts!$Q$12)))&lt;=0,"",IF(N(OFFSET(GanttCalc!$B$10,0,29+N(Contracts!$Q$12)))-N(OFFSET(GanttCalc!$B$10,0,28+N(Contracts!$Q$12)))=1,"R"&amp;OFFSET(GanttCalc!$B$10,0,29+N(Contracts!$Q$12)),"R"&amp;(OFFSET(GanttCalc!$B$10,0,28+N(Contracts!$Q$12))+1)&amp;"-"&amp;OFFSET(GanttCalc!$B$10,0,29+N(Contracts!$Q$12)))))</f>
        <v/>
      </c>
      <c r="AH34" s="60" t="str">
        <f aca="true">IF($B$34="","",IF(N(OFFSET(GanttCalc!$B$10,0,30+N(Contracts!$Q$12)))-N(OFFSET(GanttCalc!$B$10,0,29+N(Contracts!$Q$12)))&lt;=0,"",IF(N(OFFSET(GanttCalc!$B$10,0,30+N(Contracts!$Q$12)))-N(OFFSET(GanttCalc!$B$10,0,29+N(Contracts!$Q$12)))=1,"R"&amp;OFFSET(GanttCalc!$B$10,0,30+N(Contracts!$Q$12)),"R"&amp;(OFFSET(GanttCalc!$B$10,0,29+N(Contracts!$Q$12))+1)&amp;"-"&amp;OFFSET(GanttCalc!$B$10,0,30+N(Contracts!$Q$12)))))</f>
        <v/>
      </c>
      <c r="AI34" s="60" t="str">
        <f aca="true">IF($B$34="","",IF(N(OFFSET(GanttCalc!$B$10,0,31+N(Contracts!$Q$12)))-N(OFFSET(GanttCalc!$B$10,0,30+N(Contracts!$Q$12)))&lt;=0,"",IF(N(OFFSET(GanttCalc!$B$10,0,31+N(Contracts!$Q$12)))-N(OFFSET(GanttCalc!$B$10,0,30+N(Contracts!$Q$12)))=1,"R"&amp;OFFSET(GanttCalc!$B$10,0,31+N(Contracts!$Q$12)),"R"&amp;(OFFSET(GanttCalc!$B$10,0,30+N(Contracts!$Q$12))+1)&amp;"-"&amp;OFFSET(GanttCalc!$B$10,0,31+N(Contracts!$Q$12)))))</f>
        <v/>
      </c>
      <c r="AJ34" s="60" t="str">
        <f aca="true">IF($B$34="","",IF(N(OFFSET(GanttCalc!$B$10,0,32+N(Contracts!$Q$12)))-N(OFFSET(GanttCalc!$B$10,0,31+N(Contracts!$Q$12)))&lt;=0,"",IF(N(OFFSET(GanttCalc!$B$10,0,32+N(Contracts!$Q$12)))-N(OFFSET(GanttCalc!$B$10,0,31+N(Contracts!$Q$12)))=1,"R"&amp;OFFSET(GanttCalc!$B$10,0,32+N(Contracts!$Q$12)),"R"&amp;(OFFSET(GanttCalc!$B$10,0,31+N(Contracts!$Q$12))+1)&amp;"-"&amp;OFFSET(GanttCalc!$B$10,0,32+N(Contracts!$Q$12)))))</f>
        <v/>
      </c>
      <c r="AK34" s="60" t="str">
        <f aca="true">IF($B$34="","",IF(N(OFFSET(GanttCalc!$B$10,0,33+N(Contracts!$Q$12)))-N(OFFSET(GanttCalc!$B$10,0,32+N(Contracts!$Q$12)))&lt;=0,"",IF(N(OFFSET(GanttCalc!$B$10,0,33+N(Contracts!$Q$12)))-N(OFFSET(GanttCalc!$B$10,0,32+N(Contracts!$Q$12)))=1,"R"&amp;OFFSET(GanttCalc!$B$10,0,33+N(Contracts!$Q$12)),"R"&amp;(OFFSET(GanttCalc!$B$10,0,32+N(Contracts!$Q$12))+1)&amp;"-"&amp;OFFSET(GanttCalc!$B$10,0,33+N(Contracts!$Q$12)))))</f>
        <v>R53</v>
      </c>
      <c r="AL34" s="60" t="str">
        <f aca="true">IF($B$34="","",IF(N(OFFSET(GanttCalc!$B$10,0,34+N(Contracts!$Q$12)))-N(OFFSET(GanttCalc!$B$10,0,33+N(Contracts!$Q$12)))&lt;=0,"",IF(N(OFFSET(GanttCalc!$B$10,0,34+N(Contracts!$Q$12)))-N(OFFSET(GanttCalc!$B$10,0,33+N(Contracts!$Q$12)))=1,"R"&amp;OFFSET(GanttCalc!$B$10,0,34+N(Contracts!$Q$12)),"R"&amp;(OFFSET(GanttCalc!$B$10,0,33+N(Contracts!$Q$12))+1)&amp;"-"&amp;OFFSET(GanttCalc!$B$10,0,34+N(Contracts!$Q$12)))))</f>
        <v>R54</v>
      </c>
      <c r="AM34" s="60" t="str">
        <f aca="true">IF($B$34="","",IF(N(OFFSET(GanttCalc!$B$10,0,35+N(Contracts!$Q$12)))-N(OFFSET(GanttCalc!$B$10,0,34+N(Contracts!$Q$12)))&lt;=0,"",IF(N(OFFSET(GanttCalc!$B$10,0,35+N(Contracts!$Q$12)))-N(OFFSET(GanttCalc!$B$10,0,34+N(Contracts!$Q$12)))=1,"R"&amp;OFFSET(GanttCalc!$B$10,0,35+N(Contracts!$Q$12)),"R"&amp;(OFFSET(GanttCalc!$B$10,0,34+N(Contracts!$Q$12))+1)&amp;"-"&amp;OFFSET(GanttCalc!$B$10,0,35+N(Contracts!$Q$12)))))</f>
        <v>R55</v>
      </c>
      <c r="AN34" s="60" t="str">
        <f aca="true">IF($B$34="","",IF(N(OFFSET(GanttCalc!$B$10,0,36+N(Contracts!$Q$12)))-N(OFFSET(GanttCalc!$B$10,0,35+N(Contracts!$Q$12)))&lt;=0,"",IF(N(OFFSET(GanttCalc!$B$10,0,36+N(Contracts!$Q$12)))-N(OFFSET(GanttCalc!$B$10,0,35+N(Contracts!$Q$12)))=1,"R"&amp;OFFSET(GanttCalc!$B$10,0,36+N(Contracts!$Q$12)),"R"&amp;(OFFSET(GanttCalc!$B$10,0,35+N(Contracts!$Q$12))+1)&amp;"-"&amp;OFFSET(GanttCalc!$B$10,0,36+N(Contracts!$Q$12)))))</f>
        <v>R56-60</v>
      </c>
      <c r="AO34" s="60" t="str">
        <f aca="true">IF($B$34="","",IF(N(OFFSET(GanttCalc!$B$10,0,37+N(Contracts!$Q$12)))-N(OFFSET(GanttCalc!$B$10,0,36+N(Contracts!$Q$12)))&lt;=0,"",IF(N(OFFSET(GanttCalc!$B$10,0,37+N(Contracts!$Q$12)))-N(OFFSET(GanttCalc!$B$10,0,36+N(Contracts!$Q$12)))=1,"R"&amp;OFFSET(GanttCalc!$B$10,0,37+N(Contracts!$Q$12)),"R"&amp;(OFFSET(GanttCalc!$B$10,0,36+N(Contracts!$Q$12))+1)&amp;"-"&amp;OFFSET(GanttCalc!$B$10,0,37+N(Contracts!$Q$12)))))</f>
        <v>R61-67</v>
      </c>
      <c r="AP34" s="60" t="str">
        <f aca="true">IF($B$34="","",IF(N(OFFSET(GanttCalc!$B$10,0,38+N(Contracts!$Q$12)))-N(OFFSET(GanttCalc!$B$10,0,37+N(Contracts!$Q$12)))&lt;=0,"",IF(N(OFFSET(GanttCalc!$B$10,0,38+N(Contracts!$Q$12)))-N(OFFSET(GanttCalc!$B$10,0,37+N(Contracts!$Q$12)))=1,"R"&amp;OFFSET(GanttCalc!$B$10,0,38+N(Contracts!$Q$12)),"R"&amp;(OFFSET(GanttCalc!$B$10,0,37+N(Contracts!$Q$12))+1)&amp;"-"&amp;OFFSET(GanttCalc!$B$10,0,38+N(Contracts!$Q$12)))))</f>
        <v>R68-79</v>
      </c>
      <c r="AQ34" s="60" t="str">
        <f aca="true">IF($B$34="","",IF(N(OFFSET(GanttCalc!$B$10,0,39+N(Contracts!$Q$12)))-N(OFFSET(GanttCalc!$B$10,0,38+N(Contracts!$Q$12)))&lt;=0,"",IF(N(OFFSET(GanttCalc!$B$10,0,39+N(Contracts!$Q$12)))-N(OFFSET(GanttCalc!$B$10,0,38+N(Contracts!$Q$12)))=1,"R"&amp;OFFSET(GanttCalc!$B$10,0,39+N(Contracts!$Q$12)),"R"&amp;(OFFSET(GanttCalc!$B$10,0,38+N(Contracts!$Q$12))+1)&amp;"-"&amp;OFFSET(GanttCalc!$B$10,0,39+N(Contracts!$Q$12)))))</f>
        <v>R80-90</v>
      </c>
      <c r="AR34" s="60" t="str">
        <f aca="true">IF($B$34="","",IF(N(OFFSET(GanttCalc!$B$10,0,40+N(Contracts!$Q$12)))-N(OFFSET(GanttCalc!$B$10,0,39+N(Contracts!$Q$12)))&lt;=0,"",IF(N(OFFSET(GanttCalc!$B$10,0,40+N(Contracts!$Q$12)))-N(OFFSET(GanttCalc!$B$10,0,39+N(Contracts!$Q$12)))=1,"R"&amp;OFFSET(GanttCalc!$B$10,0,40+N(Contracts!$Q$12)),"R"&amp;(OFFSET(GanttCalc!$B$10,0,39+N(Contracts!$Q$12))+1)&amp;"-"&amp;OFFSET(GanttCalc!$B$10,0,40+N(Contracts!$Q$12)))))</f>
        <v>R91-102</v>
      </c>
      <c r="AS34" s="60" t="str">
        <f aca="true">IF($B$34="","",IF(N(OFFSET(GanttCalc!$B$10,0,41+N(Contracts!$Q$12)))-N(OFFSET(GanttCalc!$B$10,0,40+N(Contracts!$Q$12)))&lt;=0,"",IF(N(OFFSET(GanttCalc!$B$10,0,41+N(Contracts!$Q$12)))-N(OFFSET(GanttCalc!$B$10,0,40+N(Contracts!$Q$12)))=1,"R"&amp;OFFSET(GanttCalc!$B$10,0,41+N(Contracts!$Q$12)),"R"&amp;(OFFSET(GanttCalc!$B$10,0,40+N(Contracts!$Q$12))+1)&amp;"-"&amp;OFFSET(GanttCalc!$B$10,0,41+N(Contracts!$Q$12)))))</f>
        <v>R103-113</v>
      </c>
      <c r="AT34" s="60" t="str">
        <f aca="true">IF($B$34="","",IF(N(OFFSET(GanttCalc!$B$10,0,42+N(Contracts!$Q$12)))-N(OFFSET(GanttCalc!$B$10,0,41+N(Contracts!$Q$12)))&lt;=0,"",IF(N(OFFSET(GanttCalc!$B$10,0,42+N(Contracts!$Q$12)))-N(OFFSET(GanttCalc!$B$10,0,41+N(Contracts!$Q$12)))=1,"R"&amp;OFFSET(GanttCalc!$B$10,0,42+N(Contracts!$Q$12)),"R"&amp;(OFFSET(GanttCalc!$B$10,0,41+N(Contracts!$Q$12))+1)&amp;"-"&amp;OFFSET(GanttCalc!$B$10,0,42+N(Contracts!$Q$12)))))</f>
        <v>R114-124</v>
      </c>
      <c r="AU34" s="60" t="str">
        <f aca="true">IF($B$34="","",IF(N(OFFSET(GanttCalc!$B$10,0,43+N(Contracts!$Q$12)))-N(OFFSET(GanttCalc!$B$10,0,42+N(Contracts!$Q$12)))&lt;=0,"",IF(N(OFFSET(GanttCalc!$B$10,0,43+N(Contracts!$Q$12)))-N(OFFSET(GanttCalc!$B$10,0,42+N(Contracts!$Q$12)))=1,"R"&amp;OFFSET(GanttCalc!$B$10,0,43+N(Contracts!$Q$12)),"R"&amp;(OFFSET(GanttCalc!$B$10,0,42+N(Contracts!$Q$12))+1)&amp;"-"&amp;OFFSET(GanttCalc!$B$10,0,43+N(Contracts!$Q$12)))))</f>
        <v>R125-126</v>
      </c>
      <c r="AV34" s="60" t="str">
        <f aca="true">IF($B$34="","",IF(N(OFFSET(GanttCalc!$B$10,0,44+N(Contracts!$Q$12)))-N(OFFSET(GanttCalc!$B$10,0,43+N(Contracts!$Q$12)))&lt;=0,"",IF(N(OFFSET(GanttCalc!$B$10,0,44+N(Contracts!$Q$12)))-N(OFFSET(GanttCalc!$B$10,0,43+N(Contracts!$Q$12)))=1,"R"&amp;OFFSET(GanttCalc!$B$10,0,44+N(Contracts!$Q$12)),"R"&amp;(OFFSET(GanttCalc!$B$10,0,43+N(Contracts!$Q$12))+1)&amp;"-"&amp;OFFSET(GanttCalc!$B$10,0,44+N(Contracts!$Q$12)))))</f>
        <v/>
      </c>
      <c r="AW34" s="60" t="str">
        <f aca="true">IF($B$34="","",IF(N(OFFSET(GanttCalc!$B$10,0,45+N(Contracts!$Q$12)))-N(OFFSET(GanttCalc!$B$10,0,44+N(Contracts!$Q$12)))&lt;=0,"",IF(N(OFFSET(GanttCalc!$B$10,0,45+N(Contracts!$Q$12)))-N(OFFSET(GanttCalc!$B$10,0,44+N(Contracts!$Q$12)))=1,"R"&amp;OFFSET(GanttCalc!$B$10,0,45+N(Contracts!$Q$12)),"R"&amp;(OFFSET(GanttCalc!$B$10,0,44+N(Contracts!$Q$12))+1)&amp;"-"&amp;OFFSET(GanttCalc!$B$10,0,45+N(Contracts!$Q$12)))))</f>
        <v/>
      </c>
      <c r="AX34" s="60" t="str">
        <f aca="true">IF($B$34="","",IF(N(OFFSET(GanttCalc!$B$10,0,46+N(Contracts!$Q$12)))-N(OFFSET(GanttCalc!$B$10,0,45+N(Contracts!$Q$12)))&lt;=0,"",IF(N(OFFSET(GanttCalc!$B$10,0,46+N(Contracts!$Q$12)))-N(OFFSET(GanttCalc!$B$10,0,45+N(Contracts!$Q$12)))=1,"R"&amp;OFFSET(GanttCalc!$B$10,0,46+N(Contracts!$Q$12)),"R"&amp;(OFFSET(GanttCalc!$B$10,0,45+N(Contracts!$Q$12))+1)&amp;"-"&amp;OFFSET(GanttCalc!$B$10,0,46+N(Contracts!$Q$12)))))</f>
        <v/>
      </c>
      <c r="AY34" s="60" t="str">
        <f aca="true">IF($B$34="","",IF(N(OFFSET(GanttCalc!$B$10,0,47+N(Contracts!$Q$12)))-N(OFFSET(GanttCalc!$B$10,0,46+N(Contracts!$Q$12)))&lt;=0,"",IF(N(OFFSET(GanttCalc!$B$10,0,47+N(Contracts!$Q$12)))-N(OFFSET(GanttCalc!$B$10,0,46+N(Contracts!$Q$12)))=1,"R"&amp;OFFSET(GanttCalc!$B$10,0,47+N(Contracts!$Q$12)),"R"&amp;(OFFSET(GanttCalc!$B$10,0,46+N(Contracts!$Q$12))+1)&amp;"-"&amp;OFFSET(GanttCalc!$B$10,0,47+N(Contracts!$Q$12)))))</f>
        <v/>
      </c>
      <c r="AZ34" s="60" t="str">
        <f aca="true">IF($B$34="","",IF(N(OFFSET(GanttCalc!$B$10,0,48+N(Contracts!$Q$12)))-N(OFFSET(GanttCalc!$B$10,0,47+N(Contracts!$Q$12)))&lt;=0,"",IF(N(OFFSET(GanttCalc!$B$10,0,48+N(Contracts!$Q$12)))-N(OFFSET(GanttCalc!$B$10,0,47+N(Contracts!$Q$12)))=1,"R"&amp;OFFSET(GanttCalc!$B$10,0,48+N(Contracts!$Q$12)),"R"&amp;(OFFSET(GanttCalc!$B$10,0,47+N(Contracts!$Q$12))+1)&amp;"-"&amp;OFFSET(GanttCalc!$B$10,0,48+N(Contracts!$Q$12)))))</f>
        <v/>
      </c>
      <c r="BA34" s="60" t="str">
        <f aca="true">IF($B$34="","",IF(N(OFFSET(GanttCalc!$B$10,0,49+N(Contracts!$Q$12)))-N(OFFSET(GanttCalc!$B$10,0,48+N(Contracts!$Q$12)))&lt;=0,"",IF(N(OFFSET(GanttCalc!$B$10,0,49+N(Contracts!$Q$12)))-N(OFFSET(GanttCalc!$B$10,0,48+N(Contracts!$Q$12)))=1,"R"&amp;OFFSET(GanttCalc!$B$10,0,49+N(Contracts!$Q$12)),"R"&amp;(OFFSET(GanttCalc!$B$10,0,48+N(Contracts!$Q$12))+1)&amp;"-"&amp;OFFSET(GanttCalc!$B$10,0,49+N(Contracts!$Q$12)))))</f>
        <v/>
      </c>
      <c r="BB34" s="60" t="str">
        <f aca="true">IF($B$34="","",IF(N(OFFSET(GanttCalc!$B$10,0,50+N(Contracts!$Q$12)))-N(OFFSET(GanttCalc!$B$10,0,49+N(Contracts!$Q$12)))&lt;=0,"",IF(N(OFFSET(GanttCalc!$B$10,0,50+N(Contracts!$Q$12)))-N(OFFSET(GanttCalc!$B$10,0,49+N(Contracts!$Q$12)))=1,"R"&amp;OFFSET(GanttCalc!$B$10,0,50+N(Contracts!$Q$12)),"R"&amp;(OFFSET(GanttCalc!$B$10,0,49+N(Contracts!$Q$12))+1)&amp;"-"&amp;OFFSET(GanttCalc!$B$10,0,50+N(Contracts!$Q$12)))))</f>
        <v/>
      </c>
      <c r="BC34" s="60" t="str">
        <f aca="true">IF($B$34="","",IF(N(OFFSET(GanttCalc!$B$10,0,51+N(Contracts!$Q$12)))-N(OFFSET(GanttCalc!$B$10,0,50+N(Contracts!$Q$12)))&lt;=0,"",IF(N(OFFSET(GanttCalc!$B$10,0,51+N(Contracts!$Q$12)))-N(OFFSET(GanttCalc!$B$10,0,50+N(Contracts!$Q$12)))=1,"R"&amp;OFFSET(GanttCalc!$B$10,0,51+N(Contracts!$Q$12)),"R"&amp;(OFFSET(GanttCalc!$B$10,0,50+N(Contracts!$Q$12))+1)&amp;"-"&amp;OFFSET(GanttCalc!$B$10,0,51+N(Contracts!$Q$12)))))</f>
        <v/>
      </c>
      <c r="BD34" s="60" t="str">
        <f aca="true">IF($B$34="","",IF(N(OFFSET(GanttCalc!$B$10,0,52+N(Contracts!$Q$12)))-N(OFFSET(GanttCalc!$B$10,0,51+N(Contracts!$Q$12)))&lt;=0,"",IF(N(OFFSET(GanttCalc!$B$10,0,52+N(Contracts!$Q$12)))-N(OFFSET(GanttCalc!$B$10,0,51+N(Contracts!$Q$12)))=1,"R"&amp;OFFSET(GanttCalc!$B$10,0,52+N(Contracts!$Q$12)),"R"&amp;(OFFSET(GanttCalc!$B$10,0,51+N(Contracts!$Q$12))+1)&amp;"-"&amp;OFFSET(GanttCalc!$B$10,0,52+N(Contracts!$Q$12)))))</f>
        <v/>
      </c>
    </row>
    <row r="35" customFormat="false" ht="16.5" hidden="false" customHeight="true" outlineLevel="0" collapsed="false">
      <c r="B35" s="61" t="str">
        <f aca="false">IF(Contracts!$A$12="","",Contracts!$C$12)</f>
        <v>92ERP12548A++</v>
      </c>
      <c r="C35" s="62" t="str">
        <f aca="false">IF(Contracts!$A$12="","","AMPS build")</f>
        <v>AMPS build</v>
      </c>
      <c r="D35" s="59" t="str">
        <f aca="false">IF($B$34="","",SUMPRODUCT(--(E35:BD35&lt;&gt;""))&amp;" wks")</f>
        <v>24 wks</v>
      </c>
      <c r="E35" s="60" t="str">
        <f aca="false">IF($B$34="","",IF(N(GanttCalc!D10)-N(GanttCalc!C10)&lt;=0,"",IF(N(GanttCalc!D10)-N(GanttCalc!C10)=1,"R"&amp;GanttCalc!D10,"R"&amp;(GanttCalc!C10+1)&amp;"-"&amp;GanttCalc!D10)))</f>
        <v>R18-19</v>
      </c>
      <c r="F35" s="60" t="str">
        <f aca="false">IF($B$34="","",IF(N(GanttCalc!E10)-N(GanttCalc!D10)&lt;=0,"",IF(N(GanttCalc!E10)-N(GanttCalc!D10)=1,"R"&amp;GanttCalc!E10,"R"&amp;(GanttCalc!D10+1)&amp;"-"&amp;GanttCalc!E10)))</f>
        <v/>
      </c>
      <c r="G35" s="60" t="str">
        <f aca="false">IF($B$34="","",IF(N(GanttCalc!F10)-N(GanttCalc!E10)&lt;=0,"",IF(N(GanttCalc!F10)-N(GanttCalc!E10)=1,"R"&amp;GanttCalc!F10,"R"&amp;(GanttCalc!E10+1)&amp;"-"&amp;GanttCalc!F10)))</f>
        <v>R20</v>
      </c>
      <c r="H35" s="60" t="str">
        <f aca="false">IF($B$34="","",IF(N(GanttCalc!G10)-N(GanttCalc!F10)&lt;=0,"",IF(N(GanttCalc!G10)-N(GanttCalc!F10)=1,"R"&amp;GanttCalc!G10,"R"&amp;(GanttCalc!F10+1)&amp;"-"&amp;GanttCalc!G10)))</f>
        <v>R21-22</v>
      </c>
      <c r="I35" s="60" t="str">
        <f aca="false">IF($B$34="","",IF(N(GanttCalc!H10)-N(GanttCalc!G10)&lt;=0,"",IF(N(GanttCalc!H10)-N(GanttCalc!G10)=1,"R"&amp;GanttCalc!H10,"R"&amp;(GanttCalc!G10+1)&amp;"-"&amp;GanttCalc!H10)))</f>
        <v>R23-24</v>
      </c>
      <c r="J35" s="60" t="str">
        <f aca="false">IF($B$34="","",IF(N(GanttCalc!I10)-N(GanttCalc!H10)&lt;=0,"",IF(N(GanttCalc!I10)-N(GanttCalc!H10)=1,"R"&amp;GanttCalc!I10,"R"&amp;(GanttCalc!H10+1)&amp;"-"&amp;GanttCalc!I10)))</f>
        <v>R25-26</v>
      </c>
      <c r="K35" s="60" t="str">
        <f aca="false">IF($B$34="","",IF(N(GanttCalc!J10)-N(GanttCalc!I10)&lt;=0,"",IF(N(GanttCalc!J10)-N(GanttCalc!I10)=1,"R"&amp;GanttCalc!J10,"R"&amp;(GanttCalc!I10+1)&amp;"-"&amp;GanttCalc!J10)))</f>
        <v>R27-28</v>
      </c>
      <c r="L35" s="60" t="str">
        <f aca="false">IF($B$34="","",IF(N(GanttCalc!K10)-N(GanttCalc!J10)&lt;=0,"",IF(N(GanttCalc!K10)-N(GanttCalc!J10)=1,"R"&amp;GanttCalc!K10,"R"&amp;(GanttCalc!J10+1)&amp;"-"&amp;GanttCalc!K10)))</f>
        <v>R29-31</v>
      </c>
      <c r="M35" s="60" t="str">
        <f aca="false">IF($B$34="","",IF(N(GanttCalc!L10)-N(GanttCalc!K10)&lt;=0,"",IF(N(GanttCalc!L10)-N(GanttCalc!K10)=1,"R"&amp;GanttCalc!L10,"R"&amp;(GanttCalc!K10+1)&amp;"-"&amp;GanttCalc!L10)))</f>
        <v>R32</v>
      </c>
      <c r="N35" s="60" t="str">
        <f aca="false">IF($B$34="","",IF(N(GanttCalc!M10)-N(GanttCalc!L10)&lt;=0,"",IF(N(GanttCalc!M10)-N(GanttCalc!L10)=1,"R"&amp;GanttCalc!M10,"R"&amp;(GanttCalc!L10+1)&amp;"-"&amp;GanttCalc!M10)))</f>
        <v>R33</v>
      </c>
      <c r="O35" s="60" t="str">
        <f aca="false">IF($B$34="","",IF(N(GanttCalc!N10)-N(GanttCalc!M10)&lt;=0,"",IF(N(GanttCalc!N10)-N(GanttCalc!M10)=1,"R"&amp;GanttCalc!N10,"R"&amp;(GanttCalc!M10+1)&amp;"-"&amp;GanttCalc!N10)))</f>
        <v/>
      </c>
      <c r="P35" s="60" t="str">
        <f aca="false">IF($B$34="","",IF(N(GanttCalc!O10)-N(GanttCalc!N10)&lt;=0,"",IF(N(GanttCalc!O10)-N(GanttCalc!N10)=1,"R"&amp;GanttCalc!O10,"R"&amp;(GanttCalc!N10+1)&amp;"-"&amp;GanttCalc!O10)))</f>
        <v/>
      </c>
      <c r="Q35" s="60" t="str">
        <f aca="false">IF($B$34="","",IF(N(GanttCalc!P10)-N(GanttCalc!O10)&lt;=0,"",IF(N(GanttCalc!P10)-N(GanttCalc!O10)=1,"R"&amp;GanttCalc!P10,"R"&amp;(GanttCalc!O10+1)&amp;"-"&amp;GanttCalc!P10)))</f>
        <v/>
      </c>
      <c r="R35" s="60" t="str">
        <f aca="false">IF($B$34="","",IF(N(GanttCalc!Q10)-N(GanttCalc!P10)&lt;=0,"",IF(N(GanttCalc!Q10)-N(GanttCalc!P10)=1,"R"&amp;GanttCalc!Q10,"R"&amp;(GanttCalc!P10+1)&amp;"-"&amp;GanttCalc!Q10)))</f>
        <v/>
      </c>
      <c r="S35" s="60" t="str">
        <f aca="false">IF($B$34="","",IF(N(GanttCalc!R10)-N(GanttCalc!Q10)&lt;=0,"",IF(N(GanttCalc!R10)-N(GanttCalc!Q10)=1,"R"&amp;GanttCalc!R10,"R"&amp;(GanttCalc!Q10+1)&amp;"-"&amp;GanttCalc!R10)))</f>
        <v>R34-35</v>
      </c>
      <c r="T35" s="60" t="str">
        <f aca="false">IF($B$34="","",IF(N(GanttCalc!S10)-N(GanttCalc!R10)&lt;=0,"",IF(N(GanttCalc!S10)-N(GanttCalc!R10)=1,"R"&amp;GanttCalc!S10,"R"&amp;(GanttCalc!R10+1)&amp;"-"&amp;GanttCalc!S10)))</f>
        <v/>
      </c>
      <c r="U35" s="60" t="str">
        <f aca="false">IF($B$34="","",IF(N(GanttCalc!T10)-N(GanttCalc!S10)&lt;=0,"",IF(N(GanttCalc!T10)-N(GanttCalc!S10)=1,"R"&amp;GanttCalc!T10,"R"&amp;(GanttCalc!S10+1)&amp;"-"&amp;GanttCalc!T10)))</f>
        <v/>
      </c>
      <c r="V35" s="60" t="str">
        <f aca="false">IF($B$34="","",IF(N(GanttCalc!U10)-N(GanttCalc!T10)&lt;=0,"",IF(N(GanttCalc!U10)-N(GanttCalc!T10)=1,"R"&amp;GanttCalc!U10,"R"&amp;(GanttCalc!T10+1)&amp;"-"&amp;GanttCalc!U10)))</f>
        <v/>
      </c>
      <c r="W35" s="60" t="str">
        <f aca="false">IF($B$34="","",IF(N(GanttCalc!V10)-N(GanttCalc!U10)&lt;=0,"",IF(N(GanttCalc!V10)-N(GanttCalc!U10)=1,"R"&amp;GanttCalc!V10,"R"&amp;(GanttCalc!U10+1)&amp;"-"&amp;GanttCalc!V10)))</f>
        <v>R36-44</v>
      </c>
      <c r="X35" s="60" t="str">
        <f aca="false">IF($B$34="","",IF(N(GanttCalc!W10)-N(GanttCalc!V10)&lt;=0,"",IF(N(GanttCalc!W10)-N(GanttCalc!V10)=1,"R"&amp;GanttCalc!W10,"R"&amp;(GanttCalc!V10+1)&amp;"-"&amp;GanttCalc!W10)))</f>
        <v>R45-46</v>
      </c>
      <c r="Y35" s="60" t="str">
        <f aca="false">IF($B$34="","",IF(N(GanttCalc!X10)-N(GanttCalc!W10)&lt;=0,"",IF(N(GanttCalc!X10)-N(GanttCalc!W10)=1,"R"&amp;GanttCalc!X10,"R"&amp;(GanttCalc!W10+1)&amp;"-"&amp;GanttCalc!X10)))</f>
        <v>R47-52</v>
      </c>
      <c r="Z35" s="60" t="str">
        <f aca="false">IF($B$34="","",IF(N(GanttCalc!Y10)-N(GanttCalc!X10)&lt;=0,"",IF(N(GanttCalc!Y10)-N(GanttCalc!X10)=1,"R"&amp;GanttCalc!Y10,"R"&amp;(GanttCalc!X10+1)&amp;"-"&amp;GanttCalc!Y10)))</f>
        <v/>
      </c>
      <c r="AA35" s="60" t="str">
        <f aca="false">IF($B$34="","",IF(N(GanttCalc!Z10)-N(GanttCalc!Y10)&lt;=0,"",IF(N(GanttCalc!Z10)-N(GanttCalc!Y10)=1,"R"&amp;GanttCalc!Z10,"R"&amp;(GanttCalc!Y10+1)&amp;"-"&amp;GanttCalc!Z10)))</f>
        <v/>
      </c>
      <c r="AB35" s="60" t="str">
        <f aca="false">IF($B$34="","",IF(N(GanttCalc!AA10)-N(GanttCalc!Z10)&lt;=0,"",IF(N(GanttCalc!AA10)-N(GanttCalc!Z10)=1,"R"&amp;GanttCalc!AA10,"R"&amp;(GanttCalc!Z10+1)&amp;"-"&amp;GanttCalc!AA10)))</f>
        <v/>
      </c>
      <c r="AC35" s="60" t="str">
        <f aca="false">IF($B$34="","",IF(N(GanttCalc!AB10)-N(GanttCalc!AA10)&lt;=0,"",IF(N(GanttCalc!AB10)-N(GanttCalc!AA10)=1,"R"&amp;GanttCalc!AB10,"R"&amp;(GanttCalc!AA10+1)&amp;"-"&amp;GanttCalc!AB10)))</f>
        <v/>
      </c>
      <c r="AD35" s="60" t="str">
        <f aca="false">IF($B$34="","",IF(N(GanttCalc!AC10)-N(GanttCalc!AB10)&lt;=0,"",IF(N(GanttCalc!AC10)-N(GanttCalc!AB10)=1,"R"&amp;GanttCalc!AC10,"R"&amp;(GanttCalc!AB10+1)&amp;"-"&amp;GanttCalc!AC10)))</f>
        <v/>
      </c>
      <c r="AE35" s="60" t="str">
        <f aca="false">IF($B$34="","",IF(N(GanttCalc!AD10)-N(GanttCalc!AC10)&lt;=0,"",IF(N(GanttCalc!AD10)-N(GanttCalc!AC10)=1,"R"&amp;GanttCalc!AD10,"R"&amp;(GanttCalc!AC10+1)&amp;"-"&amp;GanttCalc!AD10)))</f>
        <v/>
      </c>
      <c r="AF35" s="60" t="str">
        <f aca="false">IF($B$34="","",IF(N(GanttCalc!AE10)-N(GanttCalc!AD10)&lt;=0,"",IF(N(GanttCalc!AE10)-N(GanttCalc!AD10)=1,"R"&amp;GanttCalc!AE10,"R"&amp;(GanttCalc!AD10+1)&amp;"-"&amp;GanttCalc!AE10)))</f>
        <v/>
      </c>
      <c r="AG35" s="60" t="str">
        <f aca="false">IF($B$34="","",IF(N(GanttCalc!AF10)-N(GanttCalc!AE10)&lt;=0,"",IF(N(GanttCalc!AF10)-N(GanttCalc!AE10)=1,"R"&amp;GanttCalc!AF10,"R"&amp;(GanttCalc!AE10+1)&amp;"-"&amp;GanttCalc!AF10)))</f>
        <v/>
      </c>
      <c r="AH35" s="60" t="str">
        <f aca="false">IF($B$34="","",IF(N(GanttCalc!AG10)-N(GanttCalc!AF10)&lt;=0,"",IF(N(GanttCalc!AG10)-N(GanttCalc!AF10)=1,"R"&amp;GanttCalc!AG10,"R"&amp;(GanttCalc!AF10+1)&amp;"-"&amp;GanttCalc!AG10)))</f>
        <v/>
      </c>
      <c r="AI35" s="60" t="str">
        <f aca="false">IF($B$34="","",IF(N(GanttCalc!AH10)-N(GanttCalc!AG10)&lt;=0,"",IF(N(GanttCalc!AH10)-N(GanttCalc!AG10)=1,"R"&amp;GanttCalc!AH10,"R"&amp;(GanttCalc!AG10+1)&amp;"-"&amp;GanttCalc!AH10)))</f>
        <v/>
      </c>
      <c r="AJ35" s="60" t="str">
        <f aca="false">IF($B$34="","",IF(N(GanttCalc!AI10)-N(GanttCalc!AH10)&lt;=0,"",IF(N(GanttCalc!AI10)-N(GanttCalc!AH10)=1,"R"&amp;GanttCalc!AI10,"R"&amp;(GanttCalc!AH10+1)&amp;"-"&amp;GanttCalc!AI10)))</f>
        <v/>
      </c>
      <c r="AK35" s="60" t="str">
        <f aca="false">IF($B$34="","",IF(N(GanttCalc!AJ10)-N(GanttCalc!AI10)&lt;=0,"",IF(N(GanttCalc!AJ10)-N(GanttCalc!AI10)=1,"R"&amp;GanttCalc!AJ10,"R"&amp;(GanttCalc!AI10+1)&amp;"-"&amp;GanttCalc!AJ10)))</f>
        <v/>
      </c>
      <c r="AL35" s="60" t="str">
        <f aca="false">IF($B$34="","",IF(N(GanttCalc!AK10)-N(GanttCalc!AJ10)&lt;=0,"",IF(N(GanttCalc!AK10)-N(GanttCalc!AJ10)=1,"R"&amp;GanttCalc!AK10,"R"&amp;(GanttCalc!AJ10+1)&amp;"-"&amp;GanttCalc!AK10)))</f>
        <v>R53</v>
      </c>
      <c r="AM35" s="60" t="str">
        <f aca="false">IF($B$34="","",IF(N(GanttCalc!AL10)-N(GanttCalc!AK10)&lt;=0,"",IF(N(GanttCalc!AL10)-N(GanttCalc!AK10)=1,"R"&amp;GanttCalc!AL10,"R"&amp;(GanttCalc!AK10+1)&amp;"-"&amp;GanttCalc!AL10)))</f>
        <v>R54</v>
      </c>
      <c r="AN35" s="60" t="str">
        <f aca="false">IF($B$34="","",IF(N(GanttCalc!AM10)-N(GanttCalc!AL10)&lt;=0,"",IF(N(GanttCalc!AM10)-N(GanttCalc!AL10)=1,"R"&amp;GanttCalc!AM10,"R"&amp;(GanttCalc!AL10+1)&amp;"-"&amp;GanttCalc!AM10)))</f>
        <v>R55</v>
      </c>
      <c r="AO35" s="60" t="str">
        <f aca="false">IF($B$34="","",IF(N(GanttCalc!AN10)-N(GanttCalc!AM10)&lt;=0,"",IF(N(GanttCalc!AN10)-N(GanttCalc!AM10)=1,"R"&amp;GanttCalc!AN10,"R"&amp;(GanttCalc!AM10+1)&amp;"-"&amp;GanttCalc!AN10)))</f>
        <v>R56-60</v>
      </c>
      <c r="AP35" s="60" t="str">
        <f aca="false">IF($B$34="","",IF(N(GanttCalc!AO10)-N(GanttCalc!AN10)&lt;=0,"",IF(N(GanttCalc!AO10)-N(GanttCalc!AN10)=1,"R"&amp;GanttCalc!AO10,"R"&amp;(GanttCalc!AN10+1)&amp;"-"&amp;GanttCalc!AO10)))</f>
        <v>R61-67</v>
      </c>
      <c r="AQ35" s="60" t="str">
        <f aca="false">IF($B$34="","",IF(N(GanttCalc!AP10)-N(GanttCalc!AO10)&lt;=0,"",IF(N(GanttCalc!AP10)-N(GanttCalc!AO10)=1,"R"&amp;GanttCalc!AP10,"R"&amp;(GanttCalc!AO10+1)&amp;"-"&amp;GanttCalc!AP10)))</f>
        <v>R68-79</v>
      </c>
      <c r="AR35" s="60" t="str">
        <f aca="false">IF($B$34="","",IF(N(GanttCalc!AQ10)-N(GanttCalc!AP10)&lt;=0,"",IF(N(GanttCalc!AQ10)-N(GanttCalc!AP10)=1,"R"&amp;GanttCalc!AQ10,"R"&amp;(GanttCalc!AP10+1)&amp;"-"&amp;GanttCalc!AQ10)))</f>
        <v>R80-90</v>
      </c>
      <c r="AS35" s="60" t="str">
        <f aca="false">IF($B$34="","",IF(N(GanttCalc!AR10)-N(GanttCalc!AQ10)&lt;=0,"",IF(N(GanttCalc!AR10)-N(GanttCalc!AQ10)=1,"R"&amp;GanttCalc!AR10,"R"&amp;(GanttCalc!AQ10+1)&amp;"-"&amp;GanttCalc!AR10)))</f>
        <v>R91-102</v>
      </c>
      <c r="AT35" s="60" t="str">
        <f aca="false">IF($B$34="","",IF(N(GanttCalc!AS10)-N(GanttCalc!AR10)&lt;=0,"",IF(N(GanttCalc!AS10)-N(GanttCalc!AR10)=1,"R"&amp;GanttCalc!AS10,"R"&amp;(GanttCalc!AR10+1)&amp;"-"&amp;GanttCalc!AS10)))</f>
        <v>R103-113</v>
      </c>
      <c r="AU35" s="60" t="str">
        <f aca="false">IF($B$34="","",IF(N(GanttCalc!AT10)-N(GanttCalc!AS10)&lt;=0,"",IF(N(GanttCalc!AT10)-N(GanttCalc!AS10)=1,"R"&amp;GanttCalc!AT10,"R"&amp;(GanttCalc!AS10+1)&amp;"-"&amp;GanttCalc!AT10)))</f>
        <v>R114-124</v>
      </c>
      <c r="AV35" s="60" t="str">
        <f aca="false">IF($B$34="","",IF(N(GanttCalc!AU10)-N(GanttCalc!AT10)&lt;=0,"",IF(N(GanttCalc!AU10)-N(GanttCalc!AT10)=1,"R"&amp;GanttCalc!AU10,"R"&amp;(GanttCalc!AT10+1)&amp;"-"&amp;GanttCalc!AU10)))</f>
        <v>R125-126</v>
      </c>
      <c r="AW35" s="60" t="str">
        <f aca="false">IF($B$34="","",IF(N(GanttCalc!AV10)-N(GanttCalc!AU10)&lt;=0,"",IF(N(GanttCalc!AV10)-N(GanttCalc!AU10)=1,"R"&amp;GanttCalc!AV10,"R"&amp;(GanttCalc!AU10+1)&amp;"-"&amp;GanttCalc!AV10)))</f>
        <v/>
      </c>
      <c r="AX35" s="60" t="str">
        <f aca="false">IF($B$34="","",IF(N(GanttCalc!AW10)-N(GanttCalc!AV10)&lt;=0,"",IF(N(GanttCalc!AW10)-N(GanttCalc!AV10)=1,"R"&amp;GanttCalc!AW10,"R"&amp;(GanttCalc!AV10+1)&amp;"-"&amp;GanttCalc!AW10)))</f>
        <v/>
      </c>
      <c r="AY35" s="60" t="str">
        <f aca="false">IF($B$34="","",IF(N(GanttCalc!AX10)-N(GanttCalc!AW10)&lt;=0,"",IF(N(GanttCalc!AX10)-N(GanttCalc!AW10)=1,"R"&amp;GanttCalc!AX10,"R"&amp;(GanttCalc!AW10+1)&amp;"-"&amp;GanttCalc!AX10)))</f>
        <v/>
      </c>
      <c r="AZ35" s="60" t="str">
        <f aca="false">IF($B$34="","",IF(N(GanttCalc!AY10)-N(GanttCalc!AX10)&lt;=0,"",IF(N(GanttCalc!AY10)-N(GanttCalc!AX10)=1,"R"&amp;GanttCalc!AY10,"R"&amp;(GanttCalc!AX10+1)&amp;"-"&amp;GanttCalc!AY10)))</f>
        <v/>
      </c>
      <c r="BA35" s="60" t="str">
        <f aca="false">IF($B$34="","",IF(N(GanttCalc!AZ10)-N(GanttCalc!AY10)&lt;=0,"",IF(N(GanttCalc!AZ10)-N(GanttCalc!AY10)=1,"R"&amp;GanttCalc!AZ10,"R"&amp;(GanttCalc!AY10+1)&amp;"-"&amp;GanttCalc!AZ10)))</f>
        <v/>
      </c>
      <c r="BB35" s="60" t="str">
        <f aca="false">IF($B$34="","",IF(N(GanttCalc!BA10)-N(GanttCalc!AZ10)&lt;=0,"",IF(N(GanttCalc!BA10)-N(GanttCalc!AZ10)=1,"R"&amp;GanttCalc!BA10,"R"&amp;(GanttCalc!AZ10+1)&amp;"-"&amp;GanttCalc!BA10)))</f>
        <v/>
      </c>
      <c r="BC35" s="60" t="str">
        <f aca="false">IF($B$34="","",IF(N(GanttCalc!BB10)-N(GanttCalc!BA10)&lt;=0,"",IF(N(GanttCalc!BB10)-N(GanttCalc!BA10)=1,"R"&amp;GanttCalc!BB10,"R"&amp;(GanttCalc!BA10+1)&amp;"-"&amp;GanttCalc!BB10)))</f>
        <v/>
      </c>
      <c r="BD35" s="60" t="str">
        <f aca="false">IF($B$34="","",IF(N(GanttCalc!BC10)-N(GanttCalc!BB10)&lt;=0,"",IF(N(GanttCalc!BC10)-N(GanttCalc!BB10)=1,"R"&amp;GanttCalc!BC10,"R"&amp;(GanttCalc!BB10+1)&amp;"-"&amp;GanttCalc!BC10)))</f>
        <v/>
      </c>
    </row>
    <row r="36" customFormat="false" ht="16.5" hidden="false" customHeight="true" outlineLevel="0" collapsed="false">
      <c r="B36" s="63" t="str">
        <f aca="false">IF(Contracts!$A$12="","",IF(Contracts!$I$12="","no kit list","kitted: "&amp;Contracts!$I$12&amp;" / "&amp;Contracts!$F$12))</f>
        <v>kitted: 13 / 109</v>
      </c>
      <c r="C36" s="64" t="str">
        <f aca="false">IF(Contracts!$A$12="","","Final build")</f>
        <v>Final build</v>
      </c>
      <c r="D36" s="59" t="str">
        <f aca="false">IF($B$34="","",SUMPRODUCT(--(E36:BD36&lt;&gt;""))&amp;" wks")</f>
        <v>25 wks</v>
      </c>
      <c r="E36" s="60" t="str">
        <f aca="false">IF($B$34="","",IF(N(GanttCalc!C10)-N(GanttCalc!B10)&lt;=0,"",IF(N(GanttCalc!C10)-N(GanttCalc!B10)=1,"R"&amp;GanttCalc!C10,"R"&amp;(GanttCalc!B10+1)&amp;"-"&amp;GanttCalc!C10)))</f>
        <v>R15-17</v>
      </c>
      <c r="F36" s="60" t="str">
        <f aca="false">IF($B$34="","",IF(N(GanttCalc!D10)-N(GanttCalc!C10)&lt;=0,"",IF(N(GanttCalc!D10)-N(GanttCalc!C10)=1,"R"&amp;GanttCalc!D10,"R"&amp;(GanttCalc!C10+1)&amp;"-"&amp;GanttCalc!D10)))</f>
        <v>R18-19</v>
      </c>
      <c r="G36" s="60" t="str">
        <f aca="false">IF($B$34="","",IF(N(GanttCalc!E10)-N(GanttCalc!D10)&lt;=0,"",IF(N(GanttCalc!E10)-N(GanttCalc!D10)=1,"R"&amp;GanttCalc!E10,"R"&amp;(GanttCalc!D10+1)&amp;"-"&amp;GanttCalc!E10)))</f>
        <v/>
      </c>
      <c r="H36" s="60" t="str">
        <f aca="false">IF($B$34="","",IF(N(GanttCalc!F10)-N(GanttCalc!E10)&lt;=0,"",IF(N(GanttCalc!F10)-N(GanttCalc!E10)=1,"R"&amp;GanttCalc!F10,"R"&amp;(GanttCalc!E10+1)&amp;"-"&amp;GanttCalc!F10)))</f>
        <v>R20</v>
      </c>
      <c r="I36" s="60" t="str">
        <f aca="false">IF($B$34="","",IF(N(GanttCalc!G10)-N(GanttCalc!F10)&lt;=0,"",IF(N(GanttCalc!G10)-N(GanttCalc!F10)=1,"R"&amp;GanttCalc!G10,"R"&amp;(GanttCalc!F10+1)&amp;"-"&amp;GanttCalc!G10)))</f>
        <v>R21-22</v>
      </c>
      <c r="J36" s="60" t="str">
        <f aca="false">IF($B$34="","",IF(N(GanttCalc!H10)-N(GanttCalc!G10)&lt;=0,"",IF(N(GanttCalc!H10)-N(GanttCalc!G10)=1,"R"&amp;GanttCalc!H10,"R"&amp;(GanttCalc!G10+1)&amp;"-"&amp;GanttCalc!H10)))</f>
        <v>R23-24</v>
      </c>
      <c r="K36" s="60" t="str">
        <f aca="false">IF($B$34="","",IF(N(GanttCalc!I10)-N(GanttCalc!H10)&lt;=0,"",IF(N(GanttCalc!I10)-N(GanttCalc!H10)=1,"R"&amp;GanttCalc!I10,"R"&amp;(GanttCalc!H10+1)&amp;"-"&amp;GanttCalc!I10)))</f>
        <v>R25-26</v>
      </c>
      <c r="L36" s="60" t="str">
        <f aca="false">IF($B$34="","",IF(N(GanttCalc!J10)-N(GanttCalc!I10)&lt;=0,"",IF(N(GanttCalc!J10)-N(GanttCalc!I10)=1,"R"&amp;GanttCalc!J10,"R"&amp;(GanttCalc!I10+1)&amp;"-"&amp;GanttCalc!J10)))</f>
        <v>R27-28</v>
      </c>
      <c r="M36" s="60" t="str">
        <f aca="false">IF($B$34="","",IF(N(GanttCalc!K10)-N(GanttCalc!J10)&lt;=0,"",IF(N(GanttCalc!K10)-N(GanttCalc!J10)=1,"R"&amp;GanttCalc!K10,"R"&amp;(GanttCalc!J10+1)&amp;"-"&amp;GanttCalc!K10)))</f>
        <v>R29-31</v>
      </c>
      <c r="N36" s="60" t="str">
        <f aca="false">IF($B$34="","",IF(N(GanttCalc!L10)-N(GanttCalc!K10)&lt;=0,"",IF(N(GanttCalc!L10)-N(GanttCalc!K10)=1,"R"&amp;GanttCalc!L10,"R"&amp;(GanttCalc!K10+1)&amp;"-"&amp;GanttCalc!L10)))</f>
        <v>R32</v>
      </c>
      <c r="O36" s="60" t="str">
        <f aca="false">IF($B$34="","",IF(N(GanttCalc!M10)-N(GanttCalc!L10)&lt;=0,"",IF(N(GanttCalc!M10)-N(GanttCalc!L10)=1,"R"&amp;GanttCalc!M10,"R"&amp;(GanttCalc!L10+1)&amp;"-"&amp;GanttCalc!M10)))</f>
        <v>R33</v>
      </c>
      <c r="P36" s="60" t="str">
        <f aca="false">IF($B$34="","",IF(N(GanttCalc!N10)-N(GanttCalc!M10)&lt;=0,"",IF(N(GanttCalc!N10)-N(GanttCalc!M10)=1,"R"&amp;GanttCalc!N10,"R"&amp;(GanttCalc!M10+1)&amp;"-"&amp;GanttCalc!N10)))</f>
        <v/>
      </c>
      <c r="Q36" s="60" t="str">
        <f aca="false">IF($B$34="","",IF(N(GanttCalc!O10)-N(GanttCalc!N10)&lt;=0,"",IF(N(GanttCalc!O10)-N(GanttCalc!N10)=1,"R"&amp;GanttCalc!O10,"R"&amp;(GanttCalc!N10+1)&amp;"-"&amp;GanttCalc!O10)))</f>
        <v/>
      </c>
      <c r="R36" s="60" t="str">
        <f aca="false">IF($B$34="","",IF(N(GanttCalc!P10)-N(GanttCalc!O10)&lt;=0,"",IF(N(GanttCalc!P10)-N(GanttCalc!O10)=1,"R"&amp;GanttCalc!P10,"R"&amp;(GanttCalc!O10+1)&amp;"-"&amp;GanttCalc!P10)))</f>
        <v/>
      </c>
      <c r="S36" s="60" t="str">
        <f aca="false">IF($B$34="","",IF(N(GanttCalc!Q10)-N(GanttCalc!P10)&lt;=0,"",IF(N(GanttCalc!Q10)-N(GanttCalc!P10)=1,"R"&amp;GanttCalc!Q10,"R"&amp;(GanttCalc!P10+1)&amp;"-"&amp;GanttCalc!Q10)))</f>
        <v/>
      </c>
      <c r="T36" s="60" t="str">
        <f aca="false">IF($B$34="","",IF(N(GanttCalc!R10)-N(GanttCalc!Q10)&lt;=0,"",IF(N(GanttCalc!R10)-N(GanttCalc!Q10)=1,"R"&amp;GanttCalc!R10,"R"&amp;(GanttCalc!Q10+1)&amp;"-"&amp;GanttCalc!R10)))</f>
        <v>R34-35</v>
      </c>
      <c r="U36" s="60" t="str">
        <f aca="false">IF($B$34="","",IF(N(GanttCalc!S10)-N(GanttCalc!R10)&lt;=0,"",IF(N(GanttCalc!S10)-N(GanttCalc!R10)=1,"R"&amp;GanttCalc!S10,"R"&amp;(GanttCalc!R10+1)&amp;"-"&amp;GanttCalc!S10)))</f>
        <v/>
      </c>
      <c r="V36" s="60" t="str">
        <f aca="false">IF($B$34="","",IF(N(GanttCalc!T10)-N(GanttCalc!S10)&lt;=0,"",IF(N(GanttCalc!T10)-N(GanttCalc!S10)=1,"R"&amp;GanttCalc!T10,"R"&amp;(GanttCalc!S10+1)&amp;"-"&amp;GanttCalc!T10)))</f>
        <v/>
      </c>
      <c r="W36" s="60" t="str">
        <f aca="false">IF($B$34="","",IF(N(GanttCalc!U10)-N(GanttCalc!T10)&lt;=0,"",IF(N(GanttCalc!U10)-N(GanttCalc!T10)=1,"R"&amp;GanttCalc!U10,"R"&amp;(GanttCalc!T10+1)&amp;"-"&amp;GanttCalc!U10)))</f>
        <v/>
      </c>
      <c r="X36" s="60" t="str">
        <f aca="false">IF($B$34="","",IF(N(GanttCalc!V10)-N(GanttCalc!U10)&lt;=0,"",IF(N(GanttCalc!V10)-N(GanttCalc!U10)=1,"R"&amp;GanttCalc!V10,"R"&amp;(GanttCalc!U10+1)&amp;"-"&amp;GanttCalc!V10)))</f>
        <v>R36-44</v>
      </c>
      <c r="Y36" s="60" t="str">
        <f aca="false">IF($B$34="","",IF(N(GanttCalc!W10)-N(GanttCalc!V10)&lt;=0,"",IF(N(GanttCalc!W10)-N(GanttCalc!V10)=1,"R"&amp;GanttCalc!W10,"R"&amp;(GanttCalc!V10+1)&amp;"-"&amp;GanttCalc!W10)))</f>
        <v>R45-46</v>
      </c>
      <c r="Z36" s="60" t="str">
        <f aca="false">IF($B$34="","",IF(N(GanttCalc!X10)-N(GanttCalc!W10)&lt;=0,"",IF(N(GanttCalc!X10)-N(GanttCalc!W10)=1,"R"&amp;GanttCalc!X10,"R"&amp;(GanttCalc!W10+1)&amp;"-"&amp;GanttCalc!X10)))</f>
        <v>R47-52</v>
      </c>
      <c r="AA36" s="60" t="str">
        <f aca="false">IF($B$34="","",IF(N(GanttCalc!Y10)-N(GanttCalc!X10)&lt;=0,"",IF(N(GanttCalc!Y10)-N(GanttCalc!X10)=1,"R"&amp;GanttCalc!Y10,"R"&amp;(GanttCalc!X10+1)&amp;"-"&amp;GanttCalc!Y10)))</f>
        <v/>
      </c>
      <c r="AB36" s="60" t="str">
        <f aca="false">IF($B$34="","",IF(N(GanttCalc!Z10)-N(GanttCalc!Y10)&lt;=0,"",IF(N(GanttCalc!Z10)-N(GanttCalc!Y10)=1,"R"&amp;GanttCalc!Z10,"R"&amp;(GanttCalc!Y10+1)&amp;"-"&amp;GanttCalc!Z10)))</f>
        <v/>
      </c>
      <c r="AC36" s="60" t="str">
        <f aca="false">IF($B$34="","",IF(N(GanttCalc!AA10)-N(GanttCalc!Z10)&lt;=0,"",IF(N(GanttCalc!AA10)-N(GanttCalc!Z10)=1,"R"&amp;GanttCalc!AA10,"R"&amp;(GanttCalc!Z10+1)&amp;"-"&amp;GanttCalc!AA10)))</f>
        <v/>
      </c>
      <c r="AD36" s="60" t="str">
        <f aca="false">IF($B$34="","",IF(N(GanttCalc!AB10)-N(GanttCalc!AA10)&lt;=0,"",IF(N(GanttCalc!AB10)-N(GanttCalc!AA10)=1,"R"&amp;GanttCalc!AB10,"R"&amp;(GanttCalc!AA10+1)&amp;"-"&amp;GanttCalc!AB10)))</f>
        <v/>
      </c>
      <c r="AE36" s="60" t="str">
        <f aca="false">IF($B$34="","",IF(N(GanttCalc!AC10)-N(GanttCalc!AB10)&lt;=0,"",IF(N(GanttCalc!AC10)-N(GanttCalc!AB10)=1,"R"&amp;GanttCalc!AC10,"R"&amp;(GanttCalc!AB10+1)&amp;"-"&amp;GanttCalc!AC10)))</f>
        <v/>
      </c>
      <c r="AF36" s="60" t="str">
        <f aca="false">IF($B$34="","",IF(N(GanttCalc!AD10)-N(GanttCalc!AC10)&lt;=0,"",IF(N(GanttCalc!AD10)-N(GanttCalc!AC10)=1,"R"&amp;GanttCalc!AD10,"R"&amp;(GanttCalc!AC10+1)&amp;"-"&amp;GanttCalc!AD10)))</f>
        <v/>
      </c>
      <c r="AG36" s="60" t="str">
        <f aca="false">IF($B$34="","",IF(N(GanttCalc!AE10)-N(GanttCalc!AD10)&lt;=0,"",IF(N(GanttCalc!AE10)-N(GanttCalc!AD10)=1,"R"&amp;GanttCalc!AE10,"R"&amp;(GanttCalc!AD10+1)&amp;"-"&amp;GanttCalc!AE10)))</f>
        <v/>
      </c>
      <c r="AH36" s="60" t="str">
        <f aca="false">IF($B$34="","",IF(N(GanttCalc!AF10)-N(GanttCalc!AE10)&lt;=0,"",IF(N(GanttCalc!AF10)-N(GanttCalc!AE10)=1,"R"&amp;GanttCalc!AF10,"R"&amp;(GanttCalc!AE10+1)&amp;"-"&amp;GanttCalc!AF10)))</f>
        <v/>
      </c>
      <c r="AI36" s="60" t="str">
        <f aca="false">IF($B$34="","",IF(N(GanttCalc!AG10)-N(GanttCalc!AF10)&lt;=0,"",IF(N(GanttCalc!AG10)-N(GanttCalc!AF10)=1,"R"&amp;GanttCalc!AG10,"R"&amp;(GanttCalc!AF10+1)&amp;"-"&amp;GanttCalc!AG10)))</f>
        <v/>
      </c>
      <c r="AJ36" s="60" t="str">
        <f aca="false">IF($B$34="","",IF(N(GanttCalc!AH10)-N(GanttCalc!AG10)&lt;=0,"",IF(N(GanttCalc!AH10)-N(GanttCalc!AG10)=1,"R"&amp;GanttCalc!AH10,"R"&amp;(GanttCalc!AG10+1)&amp;"-"&amp;GanttCalc!AH10)))</f>
        <v/>
      </c>
      <c r="AK36" s="60" t="str">
        <f aca="false">IF($B$34="","",IF(N(GanttCalc!AI10)-N(GanttCalc!AH10)&lt;=0,"",IF(N(GanttCalc!AI10)-N(GanttCalc!AH10)=1,"R"&amp;GanttCalc!AI10,"R"&amp;(GanttCalc!AH10+1)&amp;"-"&amp;GanttCalc!AI10)))</f>
        <v/>
      </c>
      <c r="AL36" s="60" t="str">
        <f aca="false">IF($B$34="","",IF(N(GanttCalc!AJ10)-N(GanttCalc!AI10)&lt;=0,"",IF(N(GanttCalc!AJ10)-N(GanttCalc!AI10)=1,"R"&amp;GanttCalc!AJ10,"R"&amp;(GanttCalc!AI10+1)&amp;"-"&amp;GanttCalc!AJ10)))</f>
        <v/>
      </c>
      <c r="AM36" s="60" t="str">
        <f aca="false">IF($B$34="","",IF(N(GanttCalc!AK10)-N(GanttCalc!AJ10)&lt;=0,"",IF(N(GanttCalc!AK10)-N(GanttCalc!AJ10)=1,"R"&amp;GanttCalc!AK10,"R"&amp;(GanttCalc!AJ10+1)&amp;"-"&amp;GanttCalc!AK10)))</f>
        <v>R53</v>
      </c>
      <c r="AN36" s="60" t="str">
        <f aca="false">IF($B$34="","",IF(N(GanttCalc!AL10)-N(GanttCalc!AK10)&lt;=0,"",IF(N(GanttCalc!AL10)-N(GanttCalc!AK10)=1,"R"&amp;GanttCalc!AL10,"R"&amp;(GanttCalc!AK10+1)&amp;"-"&amp;GanttCalc!AL10)))</f>
        <v>R54</v>
      </c>
      <c r="AO36" s="60" t="str">
        <f aca="false">IF($B$34="","",IF(N(GanttCalc!AM10)-N(GanttCalc!AL10)&lt;=0,"",IF(N(GanttCalc!AM10)-N(GanttCalc!AL10)=1,"R"&amp;GanttCalc!AM10,"R"&amp;(GanttCalc!AL10+1)&amp;"-"&amp;GanttCalc!AM10)))</f>
        <v>R55</v>
      </c>
      <c r="AP36" s="60" t="str">
        <f aca="false">IF($B$34="","",IF(N(GanttCalc!AN10)-N(GanttCalc!AM10)&lt;=0,"",IF(N(GanttCalc!AN10)-N(GanttCalc!AM10)=1,"R"&amp;GanttCalc!AN10,"R"&amp;(GanttCalc!AM10+1)&amp;"-"&amp;GanttCalc!AN10)))</f>
        <v>R56-60</v>
      </c>
      <c r="AQ36" s="60" t="str">
        <f aca="false">IF($B$34="","",IF(N(GanttCalc!AO10)-N(GanttCalc!AN10)&lt;=0,"",IF(N(GanttCalc!AO10)-N(GanttCalc!AN10)=1,"R"&amp;GanttCalc!AO10,"R"&amp;(GanttCalc!AN10+1)&amp;"-"&amp;GanttCalc!AO10)))</f>
        <v>R61-67</v>
      </c>
      <c r="AR36" s="60" t="str">
        <f aca="false">IF($B$34="","",IF(N(GanttCalc!AP10)-N(GanttCalc!AO10)&lt;=0,"",IF(N(GanttCalc!AP10)-N(GanttCalc!AO10)=1,"R"&amp;GanttCalc!AP10,"R"&amp;(GanttCalc!AO10+1)&amp;"-"&amp;GanttCalc!AP10)))</f>
        <v>R68-79</v>
      </c>
      <c r="AS36" s="60" t="str">
        <f aca="false">IF($B$34="","",IF(N(GanttCalc!AQ10)-N(GanttCalc!AP10)&lt;=0,"",IF(N(GanttCalc!AQ10)-N(GanttCalc!AP10)=1,"R"&amp;GanttCalc!AQ10,"R"&amp;(GanttCalc!AP10+1)&amp;"-"&amp;GanttCalc!AQ10)))</f>
        <v>R80-90</v>
      </c>
      <c r="AT36" s="60" t="str">
        <f aca="false">IF($B$34="","",IF(N(GanttCalc!AR10)-N(GanttCalc!AQ10)&lt;=0,"",IF(N(GanttCalc!AR10)-N(GanttCalc!AQ10)=1,"R"&amp;GanttCalc!AR10,"R"&amp;(GanttCalc!AQ10+1)&amp;"-"&amp;GanttCalc!AR10)))</f>
        <v>R91-102</v>
      </c>
      <c r="AU36" s="60" t="str">
        <f aca="false">IF($B$34="","",IF(N(GanttCalc!AS10)-N(GanttCalc!AR10)&lt;=0,"",IF(N(GanttCalc!AS10)-N(GanttCalc!AR10)=1,"R"&amp;GanttCalc!AS10,"R"&amp;(GanttCalc!AR10+1)&amp;"-"&amp;GanttCalc!AS10)))</f>
        <v>R103-113</v>
      </c>
      <c r="AV36" s="60" t="str">
        <f aca="false">IF($B$34="","",IF(N(GanttCalc!AT10)-N(GanttCalc!AS10)&lt;=0,"",IF(N(GanttCalc!AT10)-N(GanttCalc!AS10)=1,"R"&amp;GanttCalc!AT10,"R"&amp;(GanttCalc!AS10+1)&amp;"-"&amp;GanttCalc!AT10)))</f>
        <v>R114-124</v>
      </c>
      <c r="AW36" s="60" t="str">
        <f aca="false">IF($B$34="","",IF(N(GanttCalc!AU10)-N(GanttCalc!AT10)&lt;=0,"",IF(N(GanttCalc!AU10)-N(GanttCalc!AT10)=1,"R"&amp;GanttCalc!AU10,"R"&amp;(GanttCalc!AT10+1)&amp;"-"&amp;GanttCalc!AU10)))</f>
        <v>R125-126</v>
      </c>
      <c r="AX36" s="60" t="str">
        <f aca="false">IF($B$34="","",IF(N(GanttCalc!AV10)-N(GanttCalc!AU10)&lt;=0,"",IF(N(GanttCalc!AV10)-N(GanttCalc!AU10)=1,"R"&amp;GanttCalc!AV10,"R"&amp;(GanttCalc!AU10+1)&amp;"-"&amp;GanttCalc!AV10)))</f>
        <v/>
      </c>
      <c r="AY36" s="60" t="str">
        <f aca="false">IF($B$34="","",IF(N(GanttCalc!AW10)-N(GanttCalc!AV10)&lt;=0,"",IF(N(GanttCalc!AW10)-N(GanttCalc!AV10)=1,"R"&amp;GanttCalc!AW10,"R"&amp;(GanttCalc!AV10+1)&amp;"-"&amp;GanttCalc!AW10)))</f>
        <v/>
      </c>
      <c r="AZ36" s="60" t="str">
        <f aca="false">IF($B$34="","",IF(N(GanttCalc!AX10)-N(GanttCalc!AW10)&lt;=0,"",IF(N(GanttCalc!AX10)-N(GanttCalc!AW10)=1,"R"&amp;GanttCalc!AX10,"R"&amp;(GanttCalc!AW10+1)&amp;"-"&amp;GanttCalc!AX10)))</f>
        <v/>
      </c>
      <c r="BA36" s="60" t="str">
        <f aca="false">IF($B$34="","",IF(N(GanttCalc!AY10)-N(GanttCalc!AX10)&lt;=0,"",IF(N(GanttCalc!AY10)-N(GanttCalc!AX10)=1,"R"&amp;GanttCalc!AY10,"R"&amp;(GanttCalc!AX10+1)&amp;"-"&amp;GanttCalc!AY10)))</f>
        <v/>
      </c>
      <c r="BB36" s="60" t="str">
        <f aca="false">IF($B$34="","",IF(N(GanttCalc!AZ10)-N(GanttCalc!AY10)&lt;=0,"",IF(N(GanttCalc!AZ10)-N(GanttCalc!AY10)=1,"R"&amp;GanttCalc!AZ10,"R"&amp;(GanttCalc!AY10+1)&amp;"-"&amp;GanttCalc!AZ10)))</f>
        <v/>
      </c>
      <c r="BC36" s="60" t="str">
        <f aca="false">IF($B$34="","",IF(N(GanttCalc!BA10)-N(GanttCalc!AZ10)&lt;=0,"",IF(N(GanttCalc!BA10)-N(GanttCalc!AZ10)=1,"R"&amp;GanttCalc!BA10,"R"&amp;(GanttCalc!AZ10+1)&amp;"-"&amp;GanttCalc!BA10)))</f>
        <v/>
      </c>
      <c r="BD36" s="60" t="str">
        <f aca="false">IF($B$34="","",IF(N(GanttCalc!BB10)-N(GanttCalc!BA10)&lt;=0,"",IF(N(GanttCalc!BB10)-N(GanttCalc!BA10)=1,"R"&amp;GanttCalc!BB10,"R"&amp;(GanttCalc!BA10+1)&amp;"-"&amp;GanttCalc!BB10)))</f>
        <v/>
      </c>
    </row>
    <row r="37" customFormat="false" ht="6" hidden="false" customHeight="true" outlineLevel="0" collapsed="false"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customFormat="false" ht="16.5" hidden="false" customHeight="true" outlineLevel="0" collapsed="false">
      <c r="B38" s="32" t="str">
        <f aca="false">IF(Contracts!$A$13="","",Contracts!$A$13)</f>
        <v>E2A-R12P-T6-C</v>
      </c>
      <c r="C38" s="58" t="str">
        <f aca="false">IF(Contracts!$A$13="","","Kit release")</f>
        <v>Kit release</v>
      </c>
      <c r="D38" s="59" t="str">
        <f aca="false">IF($B$38="","",SUMPRODUCT(--(E38:BD38&lt;&gt;""))&amp;" wks")</f>
        <v>3 wks</v>
      </c>
      <c r="E38" s="60" t="str">
        <f aca="true">IF($B$38="","",IF(N(OFFSET(GanttCalc!$B$11,0,1+N(Contracts!$Q$13)))-N(OFFSET(GanttCalc!$B$11,0,0+N(Contracts!$Q$13)))&lt;=0,"",IF(N(OFFSET(GanttCalc!$B$11,0,1+N(Contracts!$Q$13)))-N(OFFSET(GanttCalc!$B$11,0,0+N(Contracts!$Q$13)))=1,"R"&amp;OFFSET(GanttCalc!$B$11,0,1+N(Contracts!$Q$13)),"R"&amp;(OFFSET(GanttCalc!$B$11,0,0+N(Contracts!$Q$13))+1)&amp;"-"&amp;OFFSET(GanttCalc!$B$11,0,1+N(Contracts!$Q$13)))))</f>
        <v/>
      </c>
      <c r="F38" s="60" t="str">
        <f aca="true">IF($B$38="","",IF(N(OFFSET(GanttCalc!$B$11,0,2+N(Contracts!$Q$13)))-N(OFFSET(GanttCalc!$B$11,0,1+N(Contracts!$Q$13)))&lt;=0,"",IF(N(OFFSET(GanttCalc!$B$11,0,2+N(Contracts!$Q$13)))-N(OFFSET(GanttCalc!$B$11,0,1+N(Contracts!$Q$13)))=1,"R"&amp;OFFSET(GanttCalc!$B$11,0,2+N(Contracts!$Q$13)),"R"&amp;(OFFSET(GanttCalc!$B$11,0,1+N(Contracts!$Q$13))+1)&amp;"-"&amp;OFFSET(GanttCalc!$B$11,0,2+N(Contracts!$Q$13)))))</f>
        <v/>
      </c>
      <c r="G38" s="60" t="str">
        <f aca="true">IF($B$38="","",IF(N(OFFSET(GanttCalc!$B$11,0,3+N(Contracts!$Q$13)))-N(OFFSET(GanttCalc!$B$11,0,2+N(Contracts!$Q$13)))&lt;=0,"",IF(N(OFFSET(GanttCalc!$B$11,0,3+N(Contracts!$Q$13)))-N(OFFSET(GanttCalc!$B$11,0,2+N(Contracts!$Q$13)))=1,"R"&amp;OFFSET(GanttCalc!$B$11,0,3+N(Contracts!$Q$13)),"R"&amp;(OFFSET(GanttCalc!$B$11,0,2+N(Contracts!$Q$13))+1)&amp;"-"&amp;OFFSET(GanttCalc!$B$11,0,3+N(Contracts!$Q$13)))))</f>
        <v/>
      </c>
      <c r="H38" s="60" t="str">
        <f aca="true">IF($B$38="","",IF(N(OFFSET(GanttCalc!$B$11,0,4+N(Contracts!$Q$13)))-N(OFFSET(GanttCalc!$B$11,0,3+N(Contracts!$Q$13)))&lt;=0,"",IF(N(OFFSET(GanttCalc!$B$11,0,4+N(Contracts!$Q$13)))-N(OFFSET(GanttCalc!$B$11,0,3+N(Contracts!$Q$13)))=1,"R"&amp;OFFSET(GanttCalc!$B$11,0,4+N(Contracts!$Q$13)),"R"&amp;(OFFSET(GanttCalc!$B$11,0,3+N(Contracts!$Q$13))+1)&amp;"-"&amp;OFFSET(GanttCalc!$B$11,0,4+N(Contracts!$Q$13)))))</f>
        <v/>
      </c>
      <c r="I38" s="60" t="str">
        <f aca="true">IF($B$38="","",IF(N(OFFSET(GanttCalc!$B$11,0,5+N(Contracts!$Q$13)))-N(OFFSET(GanttCalc!$B$11,0,4+N(Contracts!$Q$13)))&lt;=0,"",IF(N(OFFSET(GanttCalc!$B$11,0,5+N(Contracts!$Q$13)))-N(OFFSET(GanttCalc!$B$11,0,4+N(Contracts!$Q$13)))=1,"R"&amp;OFFSET(GanttCalc!$B$11,0,5+N(Contracts!$Q$13)),"R"&amp;(OFFSET(GanttCalc!$B$11,0,4+N(Contracts!$Q$13))+1)&amp;"-"&amp;OFFSET(GanttCalc!$B$11,0,5+N(Contracts!$Q$13)))))</f>
        <v/>
      </c>
      <c r="J38" s="60" t="str">
        <f aca="true">IF($B$38="","",IF(N(OFFSET(GanttCalc!$B$11,0,6+N(Contracts!$Q$13)))-N(OFFSET(GanttCalc!$B$11,0,5+N(Contracts!$Q$13)))&lt;=0,"",IF(N(OFFSET(GanttCalc!$B$11,0,6+N(Contracts!$Q$13)))-N(OFFSET(GanttCalc!$B$11,0,5+N(Contracts!$Q$13)))=1,"R"&amp;OFFSET(GanttCalc!$B$11,0,6+N(Contracts!$Q$13)),"R"&amp;(OFFSET(GanttCalc!$B$11,0,5+N(Contracts!$Q$13))+1)&amp;"-"&amp;OFFSET(GanttCalc!$B$11,0,6+N(Contracts!$Q$13)))))</f>
        <v/>
      </c>
      <c r="K38" s="60" t="str">
        <f aca="true">IF($B$38="","",IF(N(OFFSET(GanttCalc!$B$11,0,7+N(Contracts!$Q$13)))-N(OFFSET(GanttCalc!$B$11,0,6+N(Contracts!$Q$13)))&lt;=0,"",IF(N(OFFSET(GanttCalc!$B$11,0,7+N(Contracts!$Q$13)))-N(OFFSET(GanttCalc!$B$11,0,6+N(Contracts!$Q$13)))=1,"R"&amp;OFFSET(GanttCalc!$B$11,0,7+N(Contracts!$Q$13)),"R"&amp;(OFFSET(GanttCalc!$B$11,0,6+N(Contracts!$Q$13))+1)&amp;"-"&amp;OFFSET(GanttCalc!$B$11,0,7+N(Contracts!$Q$13)))))</f>
        <v/>
      </c>
      <c r="L38" s="60" t="str">
        <f aca="true">IF($B$38="","",IF(N(OFFSET(GanttCalc!$B$11,0,8+N(Contracts!$Q$13)))-N(OFFSET(GanttCalc!$B$11,0,7+N(Contracts!$Q$13)))&lt;=0,"",IF(N(OFFSET(GanttCalc!$B$11,0,8+N(Contracts!$Q$13)))-N(OFFSET(GanttCalc!$B$11,0,7+N(Contracts!$Q$13)))=1,"R"&amp;OFFSET(GanttCalc!$B$11,0,8+N(Contracts!$Q$13)),"R"&amp;(OFFSET(GanttCalc!$B$11,0,7+N(Contracts!$Q$13))+1)&amp;"-"&amp;OFFSET(GanttCalc!$B$11,0,8+N(Contracts!$Q$13)))))</f>
        <v/>
      </c>
      <c r="M38" s="60" t="str">
        <f aca="true">IF($B$38="","",IF(N(OFFSET(GanttCalc!$B$11,0,9+N(Contracts!$Q$13)))-N(OFFSET(GanttCalc!$B$11,0,8+N(Contracts!$Q$13)))&lt;=0,"",IF(N(OFFSET(GanttCalc!$B$11,0,9+N(Contracts!$Q$13)))-N(OFFSET(GanttCalc!$B$11,0,8+N(Contracts!$Q$13)))=1,"R"&amp;OFFSET(GanttCalc!$B$11,0,9+N(Contracts!$Q$13)),"R"&amp;(OFFSET(GanttCalc!$B$11,0,8+N(Contracts!$Q$13))+1)&amp;"-"&amp;OFFSET(GanttCalc!$B$11,0,9+N(Contracts!$Q$13)))))</f>
        <v/>
      </c>
      <c r="N38" s="60" t="str">
        <f aca="true">IF($B$38="","",IF(N(OFFSET(GanttCalc!$B$11,0,10+N(Contracts!$Q$13)))-N(OFFSET(GanttCalc!$B$11,0,9+N(Contracts!$Q$13)))&lt;=0,"",IF(N(OFFSET(GanttCalc!$B$11,0,10+N(Contracts!$Q$13)))-N(OFFSET(GanttCalc!$B$11,0,9+N(Contracts!$Q$13)))=1,"R"&amp;OFFSET(GanttCalc!$B$11,0,10+N(Contracts!$Q$13)),"R"&amp;(OFFSET(GanttCalc!$B$11,0,9+N(Contracts!$Q$13))+1)&amp;"-"&amp;OFFSET(GanttCalc!$B$11,0,10+N(Contracts!$Q$13)))))</f>
        <v/>
      </c>
      <c r="O38" s="60" t="str">
        <f aca="true">IF($B$38="","",IF(N(OFFSET(GanttCalc!$B$11,0,11+N(Contracts!$Q$13)))-N(OFFSET(GanttCalc!$B$11,0,10+N(Contracts!$Q$13)))&lt;=0,"",IF(N(OFFSET(GanttCalc!$B$11,0,11+N(Contracts!$Q$13)))-N(OFFSET(GanttCalc!$B$11,0,10+N(Contracts!$Q$13)))=1,"R"&amp;OFFSET(GanttCalc!$B$11,0,11+N(Contracts!$Q$13)),"R"&amp;(OFFSET(GanttCalc!$B$11,0,10+N(Contracts!$Q$13))+1)&amp;"-"&amp;OFFSET(GanttCalc!$B$11,0,11+N(Contracts!$Q$13)))))</f>
        <v/>
      </c>
      <c r="P38" s="60" t="str">
        <f aca="true">IF($B$38="","",IF(N(OFFSET(GanttCalc!$B$11,0,12+N(Contracts!$Q$13)))-N(OFFSET(GanttCalc!$B$11,0,11+N(Contracts!$Q$13)))&lt;=0,"",IF(N(OFFSET(GanttCalc!$B$11,0,12+N(Contracts!$Q$13)))-N(OFFSET(GanttCalc!$B$11,0,11+N(Contracts!$Q$13)))=1,"R"&amp;OFFSET(GanttCalc!$B$11,0,12+N(Contracts!$Q$13)),"R"&amp;(OFFSET(GanttCalc!$B$11,0,11+N(Contracts!$Q$13))+1)&amp;"-"&amp;OFFSET(GanttCalc!$B$11,0,12+N(Contracts!$Q$13)))))</f>
        <v/>
      </c>
      <c r="Q38" s="60" t="str">
        <f aca="true">IF($B$38="","",IF(N(OFFSET(GanttCalc!$B$11,0,13+N(Contracts!$Q$13)))-N(OFFSET(GanttCalc!$B$11,0,12+N(Contracts!$Q$13)))&lt;=0,"",IF(N(OFFSET(GanttCalc!$B$11,0,13+N(Contracts!$Q$13)))-N(OFFSET(GanttCalc!$B$11,0,12+N(Contracts!$Q$13)))=1,"R"&amp;OFFSET(GanttCalc!$B$11,0,13+N(Contracts!$Q$13)),"R"&amp;(OFFSET(GanttCalc!$B$11,0,12+N(Contracts!$Q$13))+1)&amp;"-"&amp;OFFSET(GanttCalc!$B$11,0,13+N(Contracts!$Q$13)))))</f>
        <v/>
      </c>
      <c r="R38" s="60" t="str">
        <f aca="true">IF($B$38="","",IF(N(OFFSET(GanttCalc!$B$11,0,14+N(Contracts!$Q$13)))-N(OFFSET(GanttCalc!$B$11,0,13+N(Contracts!$Q$13)))&lt;=0,"",IF(N(OFFSET(GanttCalc!$B$11,0,14+N(Contracts!$Q$13)))-N(OFFSET(GanttCalc!$B$11,0,13+N(Contracts!$Q$13)))=1,"R"&amp;OFFSET(GanttCalc!$B$11,0,14+N(Contracts!$Q$13)),"R"&amp;(OFFSET(GanttCalc!$B$11,0,13+N(Contracts!$Q$13))+1)&amp;"-"&amp;OFFSET(GanttCalc!$B$11,0,14+N(Contracts!$Q$13)))))</f>
        <v/>
      </c>
      <c r="S38" s="60" t="str">
        <f aca="true">IF($B$38="","",IF(N(OFFSET(GanttCalc!$B$11,0,15+N(Contracts!$Q$13)))-N(OFFSET(GanttCalc!$B$11,0,14+N(Contracts!$Q$13)))&lt;=0,"",IF(N(OFFSET(GanttCalc!$B$11,0,15+N(Contracts!$Q$13)))-N(OFFSET(GanttCalc!$B$11,0,14+N(Contracts!$Q$13)))=1,"R"&amp;OFFSET(GanttCalc!$B$11,0,15+N(Contracts!$Q$13)),"R"&amp;(OFFSET(GanttCalc!$B$11,0,14+N(Contracts!$Q$13))+1)&amp;"-"&amp;OFFSET(GanttCalc!$B$11,0,15+N(Contracts!$Q$13)))))</f>
        <v/>
      </c>
      <c r="T38" s="60" t="str">
        <f aca="true">IF($B$38="","",IF(N(OFFSET(GanttCalc!$B$11,0,16+N(Contracts!$Q$13)))-N(OFFSET(GanttCalc!$B$11,0,15+N(Contracts!$Q$13)))&lt;=0,"",IF(N(OFFSET(GanttCalc!$B$11,0,16+N(Contracts!$Q$13)))-N(OFFSET(GanttCalc!$B$11,0,15+N(Contracts!$Q$13)))=1,"R"&amp;OFFSET(GanttCalc!$B$11,0,16+N(Contracts!$Q$13)),"R"&amp;(OFFSET(GanttCalc!$B$11,0,15+N(Contracts!$Q$13))+1)&amp;"-"&amp;OFFSET(GanttCalc!$B$11,0,16+N(Contracts!$Q$13)))))</f>
        <v/>
      </c>
      <c r="U38" s="60" t="str">
        <f aca="true">IF($B$38="","",IF(N(OFFSET(GanttCalc!$B$11,0,17+N(Contracts!$Q$13)))-N(OFFSET(GanttCalc!$B$11,0,16+N(Contracts!$Q$13)))&lt;=0,"",IF(N(OFFSET(GanttCalc!$B$11,0,17+N(Contracts!$Q$13)))-N(OFFSET(GanttCalc!$B$11,0,16+N(Contracts!$Q$13)))=1,"R"&amp;OFFSET(GanttCalc!$B$11,0,17+N(Contracts!$Q$13)),"R"&amp;(OFFSET(GanttCalc!$B$11,0,16+N(Contracts!$Q$13))+1)&amp;"-"&amp;OFFSET(GanttCalc!$B$11,0,17+N(Contracts!$Q$13)))))</f>
        <v/>
      </c>
      <c r="V38" s="60" t="str">
        <f aca="true">IF($B$38="","",IF(N(OFFSET(GanttCalc!$B$11,0,18+N(Contracts!$Q$13)))-N(OFFSET(GanttCalc!$B$11,0,17+N(Contracts!$Q$13)))&lt;=0,"",IF(N(OFFSET(GanttCalc!$B$11,0,18+N(Contracts!$Q$13)))-N(OFFSET(GanttCalc!$B$11,0,17+N(Contracts!$Q$13)))=1,"R"&amp;OFFSET(GanttCalc!$B$11,0,18+N(Contracts!$Q$13)),"R"&amp;(OFFSET(GanttCalc!$B$11,0,17+N(Contracts!$Q$13))+1)&amp;"-"&amp;OFFSET(GanttCalc!$B$11,0,18+N(Contracts!$Q$13)))))</f>
        <v/>
      </c>
      <c r="W38" s="60" t="str">
        <f aca="true">IF($B$38="","",IF(N(OFFSET(GanttCalc!$B$11,0,19+N(Contracts!$Q$13)))-N(OFFSET(GanttCalc!$B$11,0,18+N(Contracts!$Q$13)))&lt;=0,"",IF(N(OFFSET(GanttCalc!$B$11,0,19+N(Contracts!$Q$13)))-N(OFFSET(GanttCalc!$B$11,0,18+N(Contracts!$Q$13)))=1,"R"&amp;OFFSET(GanttCalc!$B$11,0,19+N(Contracts!$Q$13)),"R"&amp;(OFFSET(GanttCalc!$B$11,0,18+N(Contracts!$Q$13))+1)&amp;"-"&amp;OFFSET(GanttCalc!$B$11,0,19+N(Contracts!$Q$13)))))</f>
        <v/>
      </c>
      <c r="X38" s="60" t="str">
        <f aca="true">IF($B$38="","",IF(N(OFFSET(GanttCalc!$B$11,0,20+N(Contracts!$Q$13)))-N(OFFSET(GanttCalc!$B$11,0,19+N(Contracts!$Q$13)))&lt;=0,"",IF(N(OFFSET(GanttCalc!$B$11,0,20+N(Contracts!$Q$13)))-N(OFFSET(GanttCalc!$B$11,0,19+N(Contracts!$Q$13)))=1,"R"&amp;OFFSET(GanttCalc!$B$11,0,20+N(Contracts!$Q$13)),"R"&amp;(OFFSET(GanttCalc!$B$11,0,19+N(Contracts!$Q$13))+1)&amp;"-"&amp;OFFSET(GanttCalc!$B$11,0,20+N(Contracts!$Q$13)))))</f>
        <v/>
      </c>
      <c r="Y38" s="60" t="str">
        <f aca="true">IF($B$38="","",IF(N(OFFSET(GanttCalc!$B$11,0,21+N(Contracts!$Q$13)))-N(OFFSET(GanttCalc!$B$11,0,20+N(Contracts!$Q$13)))&lt;=0,"",IF(N(OFFSET(GanttCalc!$B$11,0,21+N(Contracts!$Q$13)))-N(OFFSET(GanttCalc!$B$11,0,20+N(Contracts!$Q$13)))=1,"R"&amp;OFFSET(GanttCalc!$B$11,0,21+N(Contracts!$Q$13)),"R"&amp;(OFFSET(GanttCalc!$B$11,0,20+N(Contracts!$Q$13))+1)&amp;"-"&amp;OFFSET(GanttCalc!$B$11,0,21+N(Contracts!$Q$13)))))</f>
        <v/>
      </c>
      <c r="Z38" s="60" t="str">
        <f aca="true">IF($B$38="","",IF(N(OFFSET(GanttCalc!$B$11,0,22+N(Contracts!$Q$13)))-N(OFFSET(GanttCalc!$B$11,0,21+N(Contracts!$Q$13)))&lt;=0,"",IF(N(OFFSET(GanttCalc!$B$11,0,22+N(Contracts!$Q$13)))-N(OFFSET(GanttCalc!$B$11,0,21+N(Contracts!$Q$13)))=1,"R"&amp;OFFSET(GanttCalc!$B$11,0,22+N(Contracts!$Q$13)),"R"&amp;(OFFSET(GanttCalc!$B$11,0,21+N(Contracts!$Q$13))+1)&amp;"-"&amp;OFFSET(GanttCalc!$B$11,0,22+N(Contracts!$Q$13)))))</f>
        <v/>
      </c>
      <c r="AA38" s="60" t="str">
        <f aca="true">IF($B$38="","",IF(N(OFFSET(GanttCalc!$B$11,0,23+N(Contracts!$Q$13)))-N(OFFSET(GanttCalc!$B$11,0,22+N(Contracts!$Q$13)))&lt;=0,"",IF(N(OFFSET(GanttCalc!$B$11,0,23+N(Contracts!$Q$13)))-N(OFFSET(GanttCalc!$B$11,0,22+N(Contracts!$Q$13)))=1,"R"&amp;OFFSET(GanttCalc!$B$11,0,23+N(Contracts!$Q$13)),"R"&amp;(OFFSET(GanttCalc!$B$11,0,22+N(Contracts!$Q$13))+1)&amp;"-"&amp;OFFSET(GanttCalc!$B$11,0,23+N(Contracts!$Q$13)))))</f>
        <v/>
      </c>
      <c r="AB38" s="60" t="str">
        <f aca="true">IF($B$38="","",IF(N(OFFSET(GanttCalc!$B$11,0,24+N(Contracts!$Q$13)))-N(OFFSET(GanttCalc!$B$11,0,23+N(Contracts!$Q$13)))&lt;=0,"",IF(N(OFFSET(GanttCalc!$B$11,0,24+N(Contracts!$Q$13)))-N(OFFSET(GanttCalc!$B$11,0,23+N(Contracts!$Q$13)))=1,"R"&amp;OFFSET(GanttCalc!$B$11,0,24+N(Contracts!$Q$13)),"R"&amp;(OFFSET(GanttCalc!$B$11,0,23+N(Contracts!$Q$13))+1)&amp;"-"&amp;OFFSET(GanttCalc!$B$11,0,24+N(Contracts!$Q$13)))))</f>
        <v/>
      </c>
      <c r="AC38" s="60" t="str">
        <f aca="true">IF($B$38="","",IF(N(OFFSET(GanttCalc!$B$11,0,25+N(Contracts!$Q$13)))-N(OFFSET(GanttCalc!$B$11,0,24+N(Contracts!$Q$13)))&lt;=0,"",IF(N(OFFSET(GanttCalc!$B$11,0,25+N(Contracts!$Q$13)))-N(OFFSET(GanttCalc!$B$11,0,24+N(Contracts!$Q$13)))=1,"R"&amp;OFFSET(GanttCalc!$B$11,0,25+N(Contracts!$Q$13)),"R"&amp;(OFFSET(GanttCalc!$B$11,0,24+N(Contracts!$Q$13))+1)&amp;"-"&amp;OFFSET(GanttCalc!$B$11,0,25+N(Contracts!$Q$13)))))</f>
        <v/>
      </c>
      <c r="AD38" s="60" t="str">
        <f aca="true">IF($B$38="","",IF(N(OFFSET(GanttCalc!$B$11,0,26+N(Contracts!$Q$13)))-N(OFFSET(GanttCalc!$B$11,0,25+N(Contracts!$Q$13)))&lt;=0,"",IF(N(OFFSET(GanttCalc!$B$11,0,26+N(Contracts!$Q$13)))-N(OFFSET(GanttCalc!$B$11,0,25+N(Contracts!$Q$13)))=1,"R"&amp;OFFSET(GanttCalc!$B$11,0,26+N(Contracts!$Q$13)),"R"&amp;(OFFSET(GanttCalc!$B$11,0,25+N(Contracts!$Q$13))+1)&amp;"-"&amp;OFFSET(GanttCalc!$B$11,0,26+N(Contracts!$Q$13)))))</f>
        <v/>
      </c>
      <c r="AE38" s="60" t="str">
        <f aca="true">IF($B$38="","",IF(N(OFFSET(GanttCalc!$B$11,0,27+N(Contracts!$Q$13)))-N(OFFSET(GanttCalc!$B$11,0,26+N(Contracts!$Q$13)))&lt;=0,"",IF(N(OFFSET(GanttCalc!$B$11,0,27+N(Contracts!$Q$13)))-N(OFFSET(GanttCalc!$B$11,0,26+N(Contracts!$Q$13)))=1,"R"&amp;OFFSET(GanttCalc!$B$11,0,27+N(Contracts!$Q$13)),"R"&amp;(OFFSET(GanttCalc!$B$11,0,26+N(Contracts!$Q$13))+1)&amp;"-"&amp;OFFSET(GanttCalc!$B$11,0,27+N(Contracts!$Q$13)))))</f>
        <v/>
      </c>
      <c r="AF38" s="60" t="str">
        <f aca="true">IF($B$38="","",IF(N(OFFSET(GanttCalc!$B$11,0,28+N(Contracts!$Q$13)))-N(OFFSET(GanttCalc!$B$11,0,27+N(Contracts!$Q$13)))&lt;=0,"",IF(N(OFFSET(GanttCalc!$B$11,0,28+N(Contracts!$Q$13)))-N(OFFSET(GanttCalc!$B$11,0,27+N(Contracts!$Q$13)))=1,"R"&amp;OFFSET(GanttCalc!$B$11,0,28+N(Contracts!$Q$13)),"R"&amp;(OFFSET(GanttCalc!$B$11,0,27+N(Contracts!$Q$13))+1)&amp;"-"&amp;OFFSET(GanttCalc!$B$11,0,28+N(Contracts!$Q$13)))))</f>
        <v/>
      </c>
      <c r="AG38" s="60" t="str">
        <f aca="true">IF($B$38="","",IF(N(OFFSET(GanttCalc!$B$11,0,29+N(Contracts!$Q$13)))-N(OFFSET(GanttCalc!$B$11,0,28+N(Contracts!$Q$13)))&lt;=0,"",IF(N(OFFSET(GanttCalc!$B$11,0,29+N(Contracts!$Q$13)))-N(OFFSET(GanttCalc!$B$11,0,28+N(Contracts!$Q$13)))=1,"R"&amp;OFFSET(GanttCalc!$B$11,0,29+N(Contracts!$Q$13)),"R"&amp;(OFFSET(GanttCalc!$B$11,0,28+N(Contracts!$Q$13))+1)&amp;"-"&amp;OFFSET(GanttCalc!$B$11,0,29+N(Contracts!$Q$13)))))</f>
        <v/>
      </c>
      <c r="AH38" s="60" t="str">
        <f aca="true">IF($B$38="","",IF(N(OFFSET(GanttCalc!$B$11,0,30+N(Contracts!$Q$13)))-N(OFFSET(GanttCalc!$B$11,0,29+N(Contracts!$Q$13)))&lt;=0,"",IF(N(OFFSET(GanttCalc!$B$11,0,30+N(Contracts!$Q$13)))-N(OFFSET(GanttCalc!$B$11,0,29+N(Contracts!$Q$13)))=1,"R"&amp;OFFSET(GanttCalc!$B$11,0,30+N(Contracts!$Q$13)),"R"&amp;(OFFSET(GanttCalc!$B$11,0,29+N(Contracts!$Q$13))+1)&amp;"-"&amp;OFFSET(GanttCalc!$B$11,0,30+N(Contracts!$Q$13)))))</f>
        <v/>
      </c>
      <c r="AI38" s="60" t="str">
        <f aca="true">IF($B$38="","",IF(N(OFFSET(GanttCalc!$B$11,0,31+N(Contracts!$Q$13)))-N(OFFSET(GanttCalc!$B$11,0,30+N(Contracts!$Q$13)))&lt;=0,"",IF(N(OFFSET(GanttCalc!$B$11,0,31+N(Contracts!$Q$13)))-N(OFFSET(GanttCalc!$B$11,0,30+N(Contracts!$Q$13)))=1,"R"&amp;OFFSET(GanttCalc!$B$11,0,31+N(Contracts!$Q$13)),"R"&amp;(OFFSET(GanttCalc!$B$11,0,30+N(Contracts!$Q$13))+1)&amp;"-"&amp;OFFSET(GanttCalc!$B$11,0,31+N(Contracts!$Q$13)))))</f>
        <v/>
      </c>
      <c r="AJ38" s="60" t="str">
        <f aca="true">IF($B$38="","",IF(N(OFFSET(GanttCalc!$B$11,0,32+N(Contracts!$Q$13)))-N(OFFSET(GanttCalc!$B$11,0,31+N(Contracts!$Q$13)))&lt;=0,"",IF(N(OFFSET(GanttCalc!$B$11,0,32+N(Contracts!$Q$13)))-N(OFFSET(GanttCalc!$B$11,0,31+N(Contracts!$Q$13)))=1,"R"&amp;OFFSET(GanttCalc!$B$11,0,32+N(Contracts!$Q$13)),"R"&amp;(OFFSET(GanttCalc!$B$11,0,31+N(Contracts!$Q$13))+1)&amp;"-"&amp;OFFSET(GanttCalc!$B$11,0,32+N(Contracts!$Q$13)))))</f>
        <v/>
      </c>
      <c r="AK38" s="60" t="str">
        <f aca="true">IF($B$38="","",IF(N(OFFSET(GanttCalc!$B$11,0,33+N(Contracts!$Q$13)))-N(OFFSET(GanttCalc!$B$11,0,32+N(Contracts!$Q$13)))&lt;=0,"",IF(N(OFFSET(GanttCalc!$B$11,0,33+N(Contracts!$Q$13)))-N(OFFSET(GanttCalc!$B$11,0,32+N(Contracts!$Q$13)))=1,"R"&amp;OFFSET(GanttCalc!$B$11,0,33+N(Contracts!$Q$13)),"R"&amp;(OFFSET(GanttCalc!$B$11,0,32+N(Contracts!$Q$13))+1)&amp;"-"&amp;OFFSET(GanttCalc!$B$11,0,33+N(Contracts!$Q$13)))))</f>
        <v>R1-2</v>
      </c>
      <c r="AL38" s="60" t="str">
        <f aca="true">IF($B$38="","",IF(N(OFFSET(GanttCalc!$B$11,0,34+N(Contracts!$Q$13)))-N(OFFSET(GanttCalc!$B$11,0,33+N(Contracts!$Q$13)))&lt;=0,"",IF(N(OFFSET(GanttCalc!$B$11,0,34+N(Contracts!$Q$13)))-N(OFFSET(GanttCalc!$B$11,0,33+N(Contracts!$Q$13)))=1,"R"&amp;OFFSET(GanttCalc!$B$11,0,34+N(Contracts!$Q$13)),"R"&amp;(OFFSET(GanttCalc!$B$11,0,33+N(Contracts!$Q$13))+1)&amp;"-"&amp;OFFSET(GanttCalc!$B$11,0,34+N(Contracts!$Q$13)))))</f>
        <v>R3</v>
      </c>
      <c r="AM38" s="60" t="str">
        <f aca="true">IF($B$38="","",IF(N(OFFSET(GanttCalc!$B$11,0,35+N(Contracts!$Q$13)))-N(OFFSET(GanttCalc!$B$11,0,34+N(Contracts!$Q$13)))&lt;=0,"",IF(N(OFFSET(GanttCalc!$B$11,0,35+N(Contracts!$Q$13)))-N(OFFSET(GanttCalc!$B$11,0,34+N(Contracts!$Q$13)))=1,"R"&amp;OFFSET(GanttCalc!$B$11,0,35+N(Contracts!$Q$13)),"R"&amp;(OFFSET(GanttCalc!$B$11,0,34+N(Contracts!$Q$13))+1)&amp;"-"&amp;OFFSET(GanttCalc!$B$11,0,35+N(Contracts!$Q$13)))))</f>
        <v/>
      </c>
      <c r="AN38" s="60" t="str">
        <f aca="true">IF($B$38="","",IF(N(OFFSET(GanttCalc!$B$11,0,36+N(Contracts!$Q$13)))-N(OFFSET(GanttCalc!$B$11,0,35+N(Contracts!$Q$13)))&lt;=0,"",IF(N(OFFSET(GanttCalc!$B$11,0,36+N(Contracts!$Q$13)))-N(OFFSET(GanttCalc!$B$11,0,35+N(Contracts!$Q$13)))=1,"R"&amp;OFFSET(GanttCalc!$B$11,0,36+N(Contracts!$Q$13)),"R"&amp;(OFFSET(GanttCalc!$B$11,0,35+N(Contracts!$Q$13))+1)&amp;"-"&amp;OFFSET(GanttCalc!$B$11,0,36+N(Contracts!$Q$13)))))</f>
        <v/>
      </c>
      <c r="AO38" s="60" t="str">
        <f aca="true">IF($B$38="","",IF(N(OFFSET(GanttCalc!$B$11,0,37+N(Contracts!$Q$13)))-N(OFFSET(GanttCalc!$B$11,0,36+N(Contracts!$Q$13)))&lt;=0,"",IF(N(OFFSET(GanttCalc!$B$11,0,37+N(Contracts!$Q$13)))-N(OFFSET(GanttCalc!$B$11,0,36+N(Contracts!$Q$13)))=1,"R"&amp;OFFSET(GanttCalc!$B$11,0,37+N(Contracts!$Q$13)),"R"&amp;(OFFSET(GanttCalc!$B$11,0,36+N(Contracts!$Q$13))+1)&amp;"-"&amp;OFFSET(GanttCalc!$B$11,0,37+N(Contracts!$Q$13)))))</f>
        <v/>
      </c>
      <c r="AP38" s="60" t="str">
        <f aca="true">IF($B$38="","",IF(N(OFFSET(GanttCalc!$B$11,0,38+N(Contracts!$Q$13)))-N(OFFSET(GanttCalc!$B$11,0,37+N(Contracts!$Q$13)))&lt;=0,"",IF(N(OFFSET(GanttCalc!$B$11,0,38+N(Contracts!$Q$13)))-N(OFFSET(GanttCalc!$B$11,0,37+N(Contracts!$Q$13)))=1,"R"&amp;OFFSET(GanttCalc!$B$11,0,38+N(Contracts!$Q$13)),"R"&amp;(OFFSET(GanttCalc!$B$11,0,37+N(Contracts!$Q$13))+1)&amp;"-"&amp;OFFSET(GanttCalc!$B$11,0,38+N(Contracts!$Q$13)))))</f>
        <v/>
      </c>
      <c r="AQ38" s="60" t="str">
        <f aca="true">IF($B$38="","",IF(N(OFFSET(GanttCalc!$B$11,0,39+N(Contracts!$Q$13)))-N(OFFSET(GanttCalc!$B$11,0,38+N(Contracts!$Q$13)))&lt;=0,"",IF(N(OFFSET(GanttCalc!$B$11,0,39+N(Contracts!$Q$13)))-N(OFFSET(GanttCalc!$B$11,0,38+N(Contracts!$Q$13)))=1,"R"&amp;OFFSET(GanttCalc!$B$11,0,39+N(Contracts!$Q$13)),"R"&amp;(OFFSET(GanttCalc!$B$11,0,38+N(Contracts!$Q$13))+1)&amp;"-"&amp;OFFSET(GanttCalc!$B$11,0,39+N(Contracts!$Q$13)))))</f>
        <v/>
      </c>
      <c r="AR38" s="60" t="str">
        <f aca="true">IF($B$38="","",IF(N(OFFSET(GanttCalc!$B$11,0,40+N(Contracts!$Q$13)))-N(OFFSET(GanttCalc!$B$11,0,39+N(Contracts!$Q$13)))&lt;=0,"",IF(N(OFFSET(GanttCalc!$B$11,0,40+N(Contracts!$Q$13)))-N(OFFSET(GanttCalc!$B$11,0,39+N(Contracts!$Q$13)))=1,"R"&amp;OFFSET(GanttCalc!$B$11,0,40+N(Contracts!$Q$13)),"R"&amp;(OFFSET(GanttCalc!$B$11,0,39+N(Contracts!$Q$13))+1)&amp;"-"&amp;OFFSET(GanttCalc!$B$11,0,40+N(Contracts!$Q$13)))))</f>
        <v/>
      </c>
      <c r="AS38" s="60" t="str">
        <f aca="true">IF($B$38="","",IF(N(OFFSET(GanttCalc!$B$11,0,41+N(Contracts!$Q$13)))-N(OFFSET(GanttCalc!$B$11,0,40+N(Contracts!$Q$13)))&lt;=0,"",IF(N(OFFSET(GanttCalc!$B$11,0,41+N(Contracts!$Q$13)))-N(OFFSET(GanttCalc!$B$11,0,40+N(Contracts!$Q$13)))=1,"R"&amp;OFFSET(GanttCalc!$B$11,0,41+N(Contracts!$Q$13)),"R"&amp;(OFFSET(GanttCalc!$B$11,0,40+N(Contracts!$Q$13))+1)&amp;"-"&amp;OFFSET(GanttCalc!$B$11,0,41+N(Contracts!$Q$13)))))</f>
        <v/>
      </c>
      <c r="AT38" s="60" t="str">
        <f aca="true">IF($B$38="","",IF(N(OFFSET(GanttCalc!$B$11,0,42+N(Contracts!$Q$13)))-N(OFFSET(GanttCalc!$B$11,0,41+N(Contracts!$Q$13)))&lt;=0,"",IF(N(OFFSET(GanttCalc!$B$11,0,42+N(Contracts!$Q$13)))-N(OFFSET(GanttCalc!$B$11,0,41+N(Contracts!$Q$13)))=1,"R"&amp;OFFSET(GanttCalc!$B$11,0,42+N(Contracts!$Q$13)),"R"&amp;(OFFSET(GanttCalc!$B$11,0,41+N(Contracts!$Q$13))+1)&amp;"-"&amp;OFFSET(GanttCalc!$B$11,0,42+N(Contracts!$Q$13)))))</f>
        <v/>
      </c>
      <c r="AU38" s="60" t="str">
        <f aca="true">IF($B$38="","",IF(N(OFFSET(GanttCalc!$B$11,0,43+N(Contracts!$Q$13)))-N(OFFSET(GanttCalc!$B$11,0,42+N(Contracts!$Q$13)))&lt;=0,"",IF(N(OFFSET(GanttCalc!$B$11,0,43+N(Contracts!$Q$13)))-N(OFFSET(GanttCalc!$B$11,0,42+N(Contracts!$Q$13)))=1,"R"&amp;OFFSET(GanttCalc!$B$11,0,43+N(Contracts!$Q$13)),"R"&amp;(OFFSET(GanttCalc!$B$11,0,42+N(Contracts!$Q$13))+1)&amp;"-"&amp;OFFSET(GanttCalc!$B$11,0,43+N(Contracts!$Q$13)))))</f>
        <v>R4-5</v>
      </c>
      <c r="AV38" s="60" t="str">
        <f aca="true">IF($B$38="","",IF(N(OFFSET(GanttCalc!$B$11,0,44+N(Contracts!$Q$13)))-N(OFFSET(GanttCalc!$B$11,0,43+N(Contracts!$Q$13)))&lt;=0,"",IF(N(OFFSET(GanttCalc!$B$11,0,44+N(Contracts!$Q$13)))-N(OFFSET(GanttCalc!$B$11,0,43+N(Contracts!$Q$13)))=1,"R"&amp;OFFSET(GanttCalc!$B$11,0,44+N(Contracts!$Q$13)),"R"&amp;(OFFSET(GanttCalc!$B$11,0,43+N(Contracts!$Q$13))+1)&amp;"-"&amp;OFFSET(GanttCalc!$B$11,0,44+N(Contracts!$Q$13)))))</f>
        <v/>
      </c>
      <c r="AW38" s="60" t="str">
        <f aca="true">IF($B$38="","",IF(N(OFFSET(GanttCalc!$B$11,0,45+N(Contracts!$Q$13)))-N(OFFSET(GanttCalc!$B$11,0,44+N(Contracts!$Q$13)))&lt;=0,"",IF(N(OFFSET(GanttCalc!$B$11,0,45+N(Contracts!$Q$13)))-N(OFFSET(GanttCalc!$B$11,0,44+N(Contracts!$Q$13)))=1,"R"&amp;OFFSET(GanttCalc!$B$11,0,45+N(Contracts!$Q$13)),"R"&amp;(OFFSET(GanttCalc!$B$11,0,44+N(Contracts!$Q$13))+1)&amp;"-"&amp;OFFSET(GanttCalc!$B$11,0,45+N(Contracts!$Q$13)))))</f>
        <v/>
      </c>
      <c r="AX38" s="60" t="str">
        <f aca="true">IF($B$38="","",IF(N(OFFSET(GanttCalc!$B$11,0,46+N(Contracts!$Q$13)))-N(OFFSET(GanttCalc!$B$11,0,45+N(Contracts!$Q$13)))&lt;=0,"",IF(N(OFFSET(GanttCalc!$B$11,0,46+N(Contracts!$Q$13)))-N(OFFSET(GanttCalc!$B$11,0,45+N(Contracts!$Q$13)))=1,"R"&amp;OFFSET(GanttCalc!$B$11,0,46+N(Contracts!$Q$13)),"R"&amp;(OFFSET(GanttCalc!$B$11,0,45+N(Contracts!$Q$13))+1)&amp;"-"&amp;OFFSET(GanttCalc!$B$11,0,46+N(Contracts!$Q$13)))))</f>
        <v/>
      </c>
      <c r="AY38" s="60" t="str">
        <f aca="true">IF($B$38="","",IF(N(OFFSET(GanttCalc!$B$11,0,47+N(Contracts!$Q$13)))-N(OFFSET(GanttCalc!$B$11,0,46+N(Contracts!$Q$13)))&lt;=0,"",IF(N(OFFSET(GanttCalc!$B$11,0,47+N(Contracts!$Q$13)))-N(OFFSET(GanttCalc!$B$11,0,46+N(Contracts!$Q$13)))=1,"R"&amp;OFFSET(GanttCalc!$B$11,0,47+N(Contracts!$Q$13)),"R"&amp;(OFFSET(GanttCalc!$B$11,0,46+N(Contracts!$Q$13))+1)&amp;"-"&amp;OFFSET(GanttCalc!$B$11,0,47+N(Contracts!$Q$13)))))</f>
        <v/>
      </c>
      <c r="AZ38" s="60" t="str">
        <f aca="true">IF($B$38="","",IF(N(OFFSET(GanttCalc!$B$11,0,48+N(Contracts!$Q$13)))-N(OFFSET(GanttCalc!$B$11,0,47+N(Contracts!$Q$13)))&lt;=0,"",IF(N(OFFSET(GanttCalc!$B$11,0,48+N(Contracts!$Q$13)))-N(OFFSET(GanttCalc!$B$11,0,47+N(Contracts!$Q$13)))=1,"R"&amp;OFFSET(GanttCalc!$B$11,0,48+N(Contracts!$Q$13)),"R"&amp;(OFFSET(GanttCalc!$B$11,0,47+N(Contracts!$Q$13))+1)&amp;"-"&amp;OFFSET(GanttCalc!$B$11,0,48+N(Contracts!$Q$13)))))</f>
        <v/>
      </c>
      <c r="BA38" s="60" t="str">
        <f aca="true">IF($B$38="","",IF(N(OFFSET(GanttCalc!$B$11,0,49+N(Contracts!$Q$13)))-N(OFFSET(GanttCalc!$B$11,0,48+N(Contracts!$Q$13)))&lt;=0,"",IF(N(OFFSET(GanttCalc!$B$11,0,49+N(Contracts!$Q$13)))-N(OFFSET(GanttCalc!$B$11,0,48+N(Contracts!$Q$13)))=1,"R"&amp;OFFSET(GanttCalc!$B$11,0,49+N(Contracts!$Q$13)),"R"&amp;(OFFSET(GanttCalc!$B$11,0,48+N(Contracts!$Q$13))+1)&amp;"-"&amp;OFFSET(GanttCalc!$B$11,0,49+N(Contracts!$Q$13)))))</f>
        <v/>
      </c>
      <c r="BB38" s="60" t="str">
        <f aca="true">IF($B$38="","",IF(N(OFFSET(GanttCalc!$B$11,0,50+N(Contracts!$Q$13)))-N(OFFSET(GanttCalc!$B$11,0,49+N(Contracts!$Q$13)))&lt;=0,"",IF(N(OFFSET(GanttCalc!$B$11,0,50+N(Contracts!$Q$13)))-N(OFFSET(GanttCalc!$B$11,0,49+N(Contracts!$Q$13)))=1,"R"&amp;OFFSET(GanttCalc!$B$11,0,50+N(Contracts!$Q$13)),"R"&amp;(OFFSET(GanttCalc!$B$11,0,49+N(Contracts!$Q$13))+1)&amp;"-"&amp;OFFSET(GanttCalc!$B$11,0,50+N(Contracts!$Q$13)))))</f>
        <v/>
      </c>
      <c r="BC38" s="60" t="str">
        <f aca="true">IF($B$38="","",IF(N(OFFSET(GanttCalc!$B$11,0,51+N(Contracts!$Q$13)))-N(OFFSET(GanttCalc!$B$11,0,50+N(Contracts!$Q$13)))&lt;=0,"",IF(N(OFFSET(GanttCalc!$B$11,0,51+N(Contracts!$Q$13)))-N(OFFSET(GanttCalc!$B$11,0,50+N(Contracts!$Q$13)))=1,"R"&amp;OFFSET(GanttCalc!$B$11,0,51+N(Contracts!$Q$13)),"R"&amp;(OFFSET(GanttCalc!$B$11,0,50+N(Contracts!$Q$13))+1)&amp;"-"&amp;OFFSET(GanttCalc!$B$11,0,51+N(Contracts!$Q$13)))))</f>
        <v/>
      </c>
      <c r="BD38" s="60" t="str">
        <f aca="true">IF($B$38="","",IF(N(OFFSET(GanttCalc!$B$11,0,52+N(Contracts!$Q$13)))-N(OFFSET(GanttCalc!$B$11,0,51+N(Contracts!$Q$13)))&lt;=0,"",IF(N(OFFSET(GanttCalc!$B$11,0,52+N(Contracts!$Q$13)))-N(OFFSET(GanttCalc!$B$11,0,51+N(Contracts!$Q$13)))=1,"R"&amp;OFFSET(GanttCalc!$B$11,0,52+N(Contracts!$Q$13)),"R"&amp;(OFFSET(GanttCalc!$B$11,0,51+N(Contracts!$Q$13))+1)&amp;"-"&amp;OFFSET(GanttCalc!$B$11,0,52+N(Contracts!$Q$13)))))</f>
        <v/>
      </c>
    </row>
    <row r="39" customFormat="false" ht="16.5" hidden="false" customHeight="true" outlineLevel="0" collapsed="false">
      <c r="B39" s="61" t="str">
        <f aca="false">IF(Contracts!$A$13="","",Contracts!$C$13)</f>
        <v>92ERP12548B++</v>
      </c>
      <c r="C39" s="62" t="str">
        <f aca="false">IF(Contracts!$A$13="","","AMPS build")</f>
        <v>AMPS build</v>
      </c>
      <c r="D39" s="59" t="str">
        <f aca="false">IF($B$38="","",SUMPRODUCT(--(E39:BD39&lt;&gt;""))&amp;" wks")</f>
        <v>3 wks</v>
      </c>
      <c r="E39" s="60" t="str">
        <f aca="false">IF($B$38="","",IF(N(GanttCalc!D11)-N(GanttCalc!C11)&lt;=0,"",IF(N(GanttCalc!D11)-N(GanttCalc!C11)=1,"R"&amp;GanttCalc!D11,"R"&amp;(GanttCalc!C11+1)&amp;"-"&amp;GanttCalc!D11)))</f>
        <v/>
      </c>
      <c r="F39" s="60" t="str">
        <f aca="false">IF($B$38="","",IF(N(GanttCalc!E11)-N(GanttCalc!D11)&lt;=0,"",IF(N(GanttCalc!E11)-N(GanttCalc!D11)=1,"R"&amp;GanttCalc!E11,"R"&amp;(GanttCalc!D11+1)&amp;"-"&amp;GanttCalc!E11)))</f>
        <v/>
      </c>
      <c r="G39" s="60" t="str">
        <f aca="false">IF($B$38="","",IF(N(GanttCalc!F11)-N(GanttCalc!E11)&lt;=0,"",IF(N(GanttCalc!F11)-N(GanttCalc!E11)=1,"R"&amp;GanttCalc!F11,"R"&amp;(GanttCalc!E11+1)&amp;"-"&amp;GanttCalc!F11)))</f>
        <v/>
      </c>
      <c r="H39" s="60" t="str">
        <f aca="false">IF($B$38="","",IF(N(GanttCalc!G11)-N(GanttCalc!F11)&lt;=0,"",IF(N(GanttCalc!G11)-N(GanttCalc!F11)=1,"R"&amp;GanttCalc!G11,"R"&amp;(GanttCalc!F11+1)&amp;"-"&amp;GanttCalc!G11)))</f>
        <v/>
      </c>
      <c r="I39" s="60" t="str">
        <f aca="false">IF($B$38="","",IF(N(GanttCalc!H11)-N(GanttCalc!G11)&lt;=0,"",IF(N(GanttCalc!H11)-N(GanttCalc!G11)=1,"R"&amp;GanttCalc!H11,"R"&amp;(GanttCalc!G11+1)&amp;"-"&amp;GanttCalc!H11)))</f>
        <v/>
      </c>
      <c r="J39" s="60" t="str">
        <f aca="false">IF($B$38="","",IF(N(GanttCalc!I11)-N(GanttCalc!H11)&lt;=0,"",IF(N(GanttCalc!I11)-N(GanttCalc!H11)=1,"R"&amp;GanttCalc!I11,"R"&amp;(GanttCalc!H11+1)&amp;"-"&amp;GanttCalc!I11)))</f>
        <v/>
      </c>
      <c r="K39" s="60" t="str">
        <f aca="false">IF($B$38="","",IF(N(GanttCalc!J11)-N(GanttCalc!I11)&lt;=0,"",IF(N(GanttCalc!J11)-N(GanttCalc!I11)=1,"R"&amp;GanttCalc!J11,"R"&amp;(GanttCalc!I11+1)&amp;"-"&amp;GanttCalc!J11)))</f>
        <v/>
      </c>
      <c r="L39" s="60" t="str">
        <f aca="false">IF($B$38="","",IF(N(GanttCalc!K11)-N(GanttCalc!J11)&lt;=0,"",IF(N(GanttCalc!K11)-N(GanttCalc!J11)=1,"R"&amp;GanttCalc!K11,"R"&amp;(GanttCalc!J11+1)&amp;"-"&amp;GanttCalc!K11)))</f>
        <v/>
      </c>
      <c r="M39" s="60" t="str">
        <f aca="false">IF($B$38="","",IF(N(GanttCalc!L11)-N(GanttCalc!K11)&lt;=0,"",IF(N(GanttCalc!L11)-N(GanttCalc!K11)=1,"R"&amp;GanttCalc!L11,"R"&amp;(GanttCalc!K11+1)&amp;"-"&amp;GanttCalc!L11)))</f>
        <v/>
      </c>
      <c r="N39" s="60" t="str">
        <f aca="false">IF($B$38="","",IF(N(GanttCalc!M11)-N(GanttCalc!L11)&lt;=0,"",IF(N(GanttCalc!M11)-N(GanttCalc!L11)=1,"R"&amp;GanttCalc!M11,"R"&amp;(GanttCalc!L11+1)&amp;"-"&amp;GanttCalc!M11)))</f>
        <v/>
      </c>
      <c r="O39" s="60" t="str">
        <f aca="false">IF($B$38="","",IF(N(GanttCalc!N11)-N(GanttCalc!M11)&lt;=0,"",IF(N(GanttCalc!N11)-N(GanttCalc!M11)=1,"R"&amp;GanttCalc!N11,"R"&amp;(GanttCalc!M11+1)&amp;"-"&amp;GanttCalc!N11)))</f>
        <v/>
      </c>
      <c r="P39" s="60" t="str">
        <f aca="false">IF($B$38="","",IF(N(GanttCalc!O11)-N(GanttCalc!N11)&lt;=0,"",IF(N(GanttCalc!O11)-N(GanttCalc!N11)=1,"R"&amp;GanttCalc!O11,"R"&amp;(GanttCalc!N11+1)&amp;"-"&amp;GanttCalc!O11)))</f>
        <v/>
      </c>
      <c r="Q39" s="60" t="str">
        <f aca="false">IF($B$38="","",IF(N(GanttCalc!P11)-N(GanttCalc!O11)&lt;=0,"",IF(N(GanttCalc!P11)-N(GanttCalc!O11)=1,"R"&amp;GanttCalc!P11,"R"&amp;(GanttCalc!O11+1)&amp;"-"&amp;GanttCalc!P11)))</f>
        <v/>
      </c>
      <c r="R39" s="60" t="str">
        <f aca="false">IF($B$38="","",IF(N(GanttCalc!Q11)-N(GanttCalc!P11)&lt;=0,"",IF(N(GanttCalc!Q11)-N(GanttCalc!P11)=1,"R"&amp;GanttCalc!Q11,"R"&amp;(GanttCalc!P11+1)&amp;"-"&amp;GanttCalc!Q11)))</f>
        <v/>
      </c>
      <c r="S39" s="60" t="str">
        <f aca="false">IF($B$38="","",IF(N(GanttCalc!R11)-N(GanttCalc!Q11)&lt;=0,"",IF(N(GanttCalc!R11)-N(GanttCalc!Q11)=1,"R"&amp;GanttCalc!R11,"R"&amp;(GanttCalc!Q11+1)&amp;"-"&amp;GanttCalc!R11)))</f>
        <v/>
      </c>
      <c r="T39" s="60" t="str">
        <f aca="false">IF($B$38="","",IF(N(GanttCalc!S11)-N(GanttCalc!R11)&lt;=0,"",IF(N(GanttCalc!S11)-N(GanttCalc!R11)=1,"R"&amp;GanttCalc!S11,"R"&amp;(GanttCalc!R11+1)&amp;"-"&amp;GanttCalc!S11)))</f>
        <v/>
      </c>
      <c r="U39" s="60" t="str">
        <f aca="false">IF($B$38="","",IF(N(GanttCalc!T11)-N(GanttCalc!S11)&lt;=0,"",IF(N(GanttCalc!T11)-N(GanttCalc!S11)=1,"R"&amp;GanttCalc!T11,"R"&amp;(GanttCalc!S11+1)&amp;"-"&amp;GanttCalc!T11)))</f>
        <v/>
      </c>
      <c r="V39" s="60" t="str">
        <f aca="false">IF($B$38="","",IF(N(GanttCalc!U11)-N(GanttCalc!T11)&lt;=0,"",IF(N(GanttCalc!U11)-N(GanttCalc!T11)=1,"R"&amp;GanttCalc!U11,"R"&amp;(GanttCalc!T11+1)&amp;"-"&amp;GanttCalc!U11)))</f>
        <v/>
      </c>
      <c r="W39" s="60" t="str">
        <f aca="false">IF($B$38="","",IF(N(GanttCalc!V11)-N(GanttCalc!U11)&lt;=0,"",IF(N(GanttCalc!V11)-N(GanttCalc!U11)=1,"R"&amp;GanttCalc!V11,"R"&amp;(GanttCalc!U11+1)&amp;"-"&amp;GanttCalc!V11)))</f>
        <v/>
      </c>
      <c r="X39" s="60" t="str">
        <f aca="false">IF($B$38="","",IF(N(GanttCalc!W11)-N(GanttCalc!V11)&lt;=0,"",IF(N(GanttCalc!W11)-N(GanttCalc!V11)=1,"R"&amp;GanttCalc!W11,"R"&amp;(GanttCalc!V11+1)&amp;"-"&amp;GanttCalc!W11)))</f>
        <v/>
      </c>
      <c r="Y39" s="60" t="str">
        <f aca="false">IF($B$38="","",IF(N(GanttCalc!X11)-N(GanttCalc!W11)&lt;=0,"",IF(N(GanttCalc!X11)-N(GanttCalc!W11)=1,"R"&amp;GanttCalc!X11,"R"&amp;(GanttCalc!W11+1)&amp;"-"&amp;GanttCalc!X11)))</f>
        <v/>
      </c>
      <c r="Z39" s="60" t="str">
        <f aca="false">IF($B$38="","",IF(N(GanttCalc!Y11)-N(GanttCalc!X11)&lt;=0,"",IF(N(GanttCalc!Y11)-N(GanttCalc!X11)=1,"R"&amp;GanttCalc!Y11,"R"&amp;(GanttCalc!X11+1)&amp;"-"&amp;GanttCalc!Y11)))</f>
        <v/>
      </c>
      <c r="AA39" s="60" t="str">
        <f aca="false">IF($B$38="","",IF(N(GanttCalc!Z11)-N(GanttCalc!Y11)&lt;=0,"",IF(N(GanttCalc!Z11)-N(GanttCalc!Y11)=1,"R"&amp;GanttCalc!Z11,"R"&amp;(GanttCalc!Y11+1)&amp;"-"&amp;GanttCalc!Z11)))</f>
        <v/>
      </c>
      <c r="AB39" s="60" t="str">
        <f aca="false">IF($B$38="","",IF(N(GanttCalc!AA11)-N(GanttCalc!Z11)&lt;=0,"",IF(N(GanttCalc!AA11)-N(GanttCalc!Z11)=1,"R"&amp;GanttCalc!AA11,"R"&amp;(GanttCalc!Z11+1)&amp;"-"&amp;GanttCalc!AA11)))</f>
        <v/>
      </c>
      <c r="AC39" s="60" t="str">
        <f aca="false">IF($B$38="","",IF(N(GanttCalc!AB11)-N(GanttCalc!AA11)&lt;=0,"",IF(N(GanttCalc!AB11)-N(GanttCalc!AA11)=1,"R"&amp;GanttCalc!AB11,"R"&amp;(GanttCalc!AA11+1)&amp;"-"&amp;GanttCalc!AB11)))</f>
        <v/>
      </c>
      <c r="AD39" s="60" t="str">
        <f aca="false">IF($B$38="","",IF(N(GanttCalc!AC11)-N(GanttCalc!AB11)&lt;=0,"",IF(N(GanttCalc!AC11)-N(GanttCalc!AB11)=1,"R"&amp;GanttCalc!AC11,"R"&amp;(GanttCalc!AB11+1)&amp;"-"&amp;GanttCalc!AC11)))</f>
        <v/>
      </c>
      <c r="AE39" s="60" t="str">
        <f aca="false">IF($B$38="","",IF(N(GanttCalc!AD11)-N(GanttCalc!AC11)&lt;=0,"",IF(N(GanttCalc!AD11)-N(GanttCalc!AC11)=1,"R"&amp;GanttCalc!AD11,"R"&amp;(GanttCalc!AC11+1)&amp;"-"&amp;GanttCalc!AD11)))</f>
        <v/>
      </c>
      <c r="AF39" s="60" t="str">
        <f aca="false">IF($B$38="","",IF(N(GanttCalc!AE11)-N(GanttCalc!AD11)&lt;=0,"",IF(N(GanttCalc!AE11)-N(GanttCalc!AD11)=1,"R"&amp;GanttCalc!AE11,"R"&amp;(GanttCalc!AD11+1)&amp;"-"&amp;GanttCalc!AE11)))</f>
        <v/>
      </c>
      <c r="AG39" s="60" t="str">
        <f aca="false">IF($B$38="","",IF(N(GanttCalc!AF11)-N(GanttCalc!AE11)&lt;=0,"",IF(N(GanttCalc!AF11)-N(GanttCalc!AE11)=1,"R"&amp;GanttCalc!AF11,"R"&amp;(GanttCalc!AE11+1)&amp;"-"&amp;GanttCalc!AF11)))</f>
        <v/>
      </c>
      <c r="AH39" s="60" t="str">
        <f aca="false">IF($B$38="","",IF(N(GanttCalc!AG11)-N(GanttCalc!AF11)&lt;=0,"",IF(N(GanttCalc!AG11)-N(GanttCalc!AF11)=1,"R"&amp;GanttCalc!AG11,"R"&amp;(GanttCalc!AF11+1)&amp;"-"&amp;GanttCalc!AG11)))</f>
        <v/>
      </c>
      <c r="AI39" s="60" t="str">
        <f aca="false">IF($B$38="","",IF(N(GanttCalc!AH11)-N(GanttCalc!AG11)&lt;=0,"",IF(N(GanttCalc!AH11)-N(GanttCalc!AG11)=1,"R"&amp;GanttCalc!AH11,"R"&amp;(GanttCalc!AG11+1)&amp;"-"&amp;GanttCalc!AH11)))</f>
        <v/>
      </c>
      <c r="AJ39" s="60" t="str">
        <f aca="false">IF($B$38="","",IF(N(GanttCalc!AI11)-N(GanttCalc!AH11)&lt;=0,"",IF(N(GanttCalc!AI11)-N(GanttCalc!AH11)=1,"R"&amp;GanttCalc!AI11,"R"&amp;(GanttCalc!AH11+1)&amp;"-"&amp;GanttCalc!AI11)))</f>
        <v/>
      </c>
      <c r="AK39" s="60" t="str">
        <f aca="false">IF($B$38="","",IF(N(GanttCalc!AJ11)-N(GanttCalc!AI11)&lt;=0,"",IF(N(GanttCalc!AJ11)-N(GanttCalc!AI11)=1,"R"&amp;GanttCalc!AJ11,"R"&amp;(GanttCalc!AI11+1)&amp;"-"&amp;GanttCalc!AJ11)))</f>
        <v/>
      </c>
      <c r="AL39" s="60" t="str">
        <f aca="false">IF($B$38="","",IF(N(GanttCalc!AK11)-N(GanttCalc!AJ11)&lt;=0,"",IF(N(GanttCalc!AK11)-N(GanttCalc!AJ11)=1,"R"&amp;GanttCalc!AK11,"R"&amp;(GanttCalc!AJ11+1)&amp;"-"&amp;GanttCalc!AK11)))</f>
        <v>R1-2</v>
      </c>
      <c r="AM39" s="60" t="str">
        <f aca="false">IF($B$38="","",IF(N(GanttCalc!AL11)-N(GanttCalc!AK11)&lt;=0,"",IF(N(GanttCalc!AL11)-N(GanttCalc!AK11)=1,"R"&amp;GanttCalc!AL11,"R"&amp;(GanttCalc!AK11+1)&amp;"-"&amp;GanttCalc!AL11)))</f>
        <v>R3</v>
      </c>
      <c r="AN39" s="60" t="str">
        <f aca="false">IF($B$38="","",IF(N(GanttCalc!AM11)-N(GanttCalc!AL11)&lt;=0,"",IF(N(GanttCalc!AM11)-N(GanttCalc!AL11)=1,"R"&amp;GanttCalc!AM11,"R"&amp;(GanttCalc!AL11+1)&amp;"-"&amp;GanttCalc!AM11)))</f>
        <v/>
      </c>
      <c r="AO39" s="60" t="str">
        <f aca="false">IF($B$38="","",IF(N(GanttCalc!AN11)-N(GanttCalc!AM11)&lt;=0,"",IF(N(GanttCalc!AN11)-N(GanttCalc!AM11)=1,"R"&amp;GanttCalc!AN11,"R"&amp;(GanttCalc!AM11+1)&amp;"-"&amp;GanttCalc!AN11)))</f>
        <v/>
      </c>
      <c r="AP39" s="60" t="str">
        <f aca="false">IF($B$38="","",IF(N(GanttCalc!AO11)-N(GanttCalc!AN11)&lt;=0,"",IF(N(GanttCalc!AO11)-N(GanttCalc!AN11)=1,"R"&amp;GanttCalc!AO11,"R"&amp;(GanttCalc!AN11+1)&amp;"-"&amp;GanttCalc!AO11)))</f>
        <v/>
      </c>
      <c r="AQ39" s="60" t="str">
        <f aca="false">IF($B$38="","",IF(N(GanttCalc!AP11)-N(GanttCalc!AO11)&lt;=0,"",IF(N(GanttCalc!AP11)-N(GanttCalc!AO11)=1,"R"&amp;GanttCalc!AP11,"R"&amp;(GanttCalc!AO11+1)&amp;"-"&amp;GanttCalc!AP11)))</f>
        <v/>
      </c>
      <c r="AR39" s="60" t="str">
        <f aca="false">IF($B$38="","",IF(N(GanttCalc!AQ11)-N(GanttCalc!AP11)&lt;=0,"",IF(N(GanttCalc!AQ11)-N(GanttCalc!AP11)=1,"R"&amp;GanttCalc!AQ11,"R"&amp;(GanttCalc!AP11+1)&amp;"-"&amp;GanttCalc!AQ11)))</f>
        <v/>
      </c>
      <c r="AS39" s="60" t="str">
        <f aca="false">IF($B$38="","",IF(N(GanttCalc!AR11)-N(GanttCalc!AQ11)&lt;=0,"",IF(N(GanttCalc!AR11)-N(GanttCalc!AQ11)=1,"R"&amp;GanttCalc!AR11,"R"&amp;(GanttCalc!AQ11+1)&amp;"-"&amp;GanttCalc!AR11)))</f>
        <v/>
      </c>
      <c r="AT39" s="60" t="str">
        <f aca="false">IF($B$38="","",IF(N(GanttCalc!AS11)-N(GanttCalc!AR11)&lt;=0,"",IF(N(GanttCalc!AS11)-N(GanttCalc!AR11)=1,"R"&amp;GanttCalc!AS11,"R"&amp;(GanttCalc!AR11+1)&amp;"-"&amp;GanttCalc!AS11)))</f>
        <v/>
      </c>
      <c r="AU39" s="60" t="str">
        <f aca="false">IF($B$38="","",IF(N(GanttCalc!AT11)-N(GanttCalc!AS11)&lt;=0,"",IF(N(GanttCalc!AT11)-N(GanttCalc!AS11)=1,"R"&amp;GanttCalc!AT11,"R"&amp;(GanttCalc!AS11+1)&amp;"-"&amp;GanttCalc!AT11)))</f>
        <v/>
      </c>
      <c r="AV39" s="60" t="str">
        <f aca="false">IF($B$38="","",IF(N(GanttCalc!AU11)-N(GanttCalc!AT11)&lt;=0,"",IF(N(GanttCalc!AU11)-N(GanttCalc!AT11)=1,"R"&amp;GanttCalc!AU11,"R"&amp;(GanttCalc!AT11+1)&amp;"-"&amp;GanttCalc!AU11)))</f>
        <v>R4-5</v>
      </c>
      <c r="AW39" s="60" t="str">
        <f aca="false">IF($B$38="","",IF(N(GanttCalc!AV11)-N(GanttCalc!AU11)&lt;=0,"",IF(N(GanttCalc!AV11)-N(GanttCalc!AU11)=1,"R"&amp;GanttCalc!AV11,"R"&amp;(GanttCalc!AU11+1)&amp;"-"&amp;GanttCalc!AV11)))</f>
        <v/>
      </c>
      <c r="AX39" s="60" t="str">
        <f aca="false">IF($B$38="","",IF(N(GanttCalc!AW11)-N(GanttCalc!AV11)&lt;=0,"",IF(N(GanttCalc!AW11)-N(GanttCalc!AV11)=1,"R"&amp;GanttCalc!AW11,"R"&amp;(GanttCalc!AV11+1)&amp;"-"&amp;GanttCalc!AW11)))</f>
        <v/>
      </c>
      <c r="AY39" s="60" t="str">
        <f aca="false">IF($B$38="","",IF(N(GanttCalc!AX11)-N(GanttCalc!AW11)&lt;=0,"",IF(N(GanttCalc!AX11)-N(GanttCalc!AW11)=1,"R"&amp;GanttCalc!AX11,"R"&amp;(GanttCalc!AW11+1)&amp;"-"&amp;GanttCalc!AX11)))</f>
        <v/>
      </c>
      <c r="AZ39" s="60" t="str">
        <f aca="false">IF($B$38="","",IF(N(GanttCalc!AY11)-N(GanttCalc!AX11)&lt;=0,"",IF(N(GanttCalc!AY11)-N(GanttCalc!AX11)=1,"R"&amp;GanttCalc!AY11,"R"&amp;(GanttCalc!AX11+1)&amp;"-"&amp;GanttCalc!AY11)))</f>
        <v/>
      </c>
      <c r="BA39" s="60" t="str">
        <f aca="false">IF($B$38="","",IF(N(GanttCalc!AZ11)-N(GanttCalc!AY11)&lt;=0,"",IF(N(GanttCalc!AZ11)-N(GanttCalc!AY11)=1,"R"&amp;GanttCalc!AZ11,"R"&amp;(GanttCalc!AY11+1)&amp;"-"&amp;GanttCalc!AZ11)))</f>
        <v/>
      </c>
      <c r="BB39" s="60" t="str">
        <f aca="false">IF($B$38="","",IF(N(GanttCalc!BA11)-N(GanttCalc!AZ11)&lt;=0,"",IF(N(GanttCalc!BA11)-N(GanttCalc!AZ11)=1,"R"&amp;GanttCalc!BA11,"R"&amp;(GanttCalc!AZ11+1)&amp;"-"&amp;GanttCalc!BA11)))</f>
        <v/>
      </c>
      <c r="BC39" s="60" t="str">
        <f aca="false">IF($B$38="","",IF(N(GanttCalc!BB11)-N(GanttCalc!BA11)&lt;=0,"",IF(N(GanttCalc!BB11)-N(GanttCalc!BA11)=1,"R"&amp;GanttCalc!BB11,"R"&amp;(GanttCalc!BA11+1)&amp;"-"&amp;GanttCalc!BB11)))</f>
        <v/>
      </c>
      <c r="BD39" s="60" t="str">
        <f aca="false">IF($B$38="","",IF(N(GanttCalc!BC11)-N(GanttCalc!BB11)&lt;=0,"",IF(N(GanttCalc!BC11)-N(GanttCalc!BB11)=1,"R"&amp;GanttCalc!BC11,"R"&amp;(GanttCalc!BB11+1)&amp;"-"&amp;GanttCalc!BC11)))</f>
        <v/>
      </c>
    </row>
    <row r="40" customFormat="false" ht="16.5" hidden="false" customHeight="true" outlineLevel="0" collapsed="false">
      <c r="B40" s="63" t="str">
        <f aca="false">IF(Contracts!$A$13="","",IF(Contracts!$I$13="","no kit list","kitted: "&amp;Contracts!$I$13&amp;" / "&amp;Contracts!$F$13))</f>
        <v>no kit list</v>
      </c>
      <c r="C40" s="64" t="str">
        <f aca="false">IF(Contracts!$A$13="","","Final build")</f>
        <v>Final build</v>
      </c>
      <c r="D40" s="59" t="str">
        <f aca="false">IF($B$38="","",SUMPRODUCT(--(E40:BD40&lt;&gt;""))&amp;" wks")</f>
        <v>3 wks</v>
      </c>
      <c r="E40" s="60" t="str">
        <f aca="false">IF($B$38="","",IF(N(GanttCalc!C11)-N(GanttCalc!B11)&lt;=0,"",IF(N(GanttCalc!C11)-N(GanttCalc!B11)=1,"R"&amp;GanttCalc!C11,"R"&amp;(GanttCalc!B11+1)&amp;"-"&amp;GanttCalc!C11)))</f>
        <v/>
      </c>
      <c r="F40" s="60" t="str">
        <f aca="false">IF($B$38="","",IF(N(GanttCalc!D11)-N(GanttCalc!C11)&lt;=0,"",IF(N(GanttCalc!D11)-N(GanttCalc!C11)=1,"R"&amp;GanttCalc!D11,"R"&amp;(GanttCalc!C11+1)&amp;"-"&amp;GanttCalc!D11)))</f>
        <v/>
      </c>
      <c r="G40" s="60" t="str">
        <f aca="false">IF($B$38="","",IF(N(GanttCalc!E11)-N(GanttCalc!D11)&lt;=0,"",IF(N(GanttCalc!E11)-N(GanttCalc!D11)=1,"R"&amp;GanttCalc!E11,"R"&amp;(GanttCalc!D11+1)&amp;"-"&amp;GanttCalc!E11)))</f>
        <v/>
      </c>
      <c r="H40" s="60" t="str">
        <f aca="false">IF($B$38="","",IF(N(GanttCalc!F11)-N(GanttCalc!E11)&lt;=0,"",IF(N(GanttCalc!F11)-N(GanttCalc!E11)=1,"R"&amp;GanttCalc!F11,"R"&amp;(GanttCalc!E11+1)&amp;"-"&amp;GanttCalc!F11)))</f>
        <v/>
      </c>
      <c r="I40" s="60" t="str">
        <f aca="false">IF($B$38="","",IF(N(GanttCalc!G11)-N(GanttCalc!F11)&lt;=0,"",IF(N(GanttCalc!G11)-N(GanttCalc!F11)=1,"R"&amp;GanttCalc!G11,"R"&amp;(GanttCalc!F11+1)&amp;"-"&amp;GanttCalc!G11)))</f>
        <v/>
      </c>
      <c r="J40" s="60" t="str">
        <f aca="false">IF($B$38="","",IF(N(GanttCalc!H11)-N(GanttCalc!G11)&lt;=0,"",IF(N(GanttCalc!H11)-N(GanttCalc!G11)=1,"R"&amp;GanttCalc!H11,"R"&amp;(GanttCalc!G11+1)&amp;"-"&amp;GanttCalc!H11)))</f>
        <v/>
      </c>
      <c r="K40" s="60" t="str">
        <f aca="false">IF($B$38="","",IF(N(GanttCalc!I11)-N(GanttCalc!H11)&lt;=0,"",IF(N(GanttCalc!I11)-N(GanttCalc!H11)=1,"R"&amp;GanttCalc!I11,"R"&amp;(GanttCalc!H11+1)&amp;"-"&amp;GanttCalc!I11)))</f>
        <v/>
      </c>
      <c r="L40" s="60" t="str">
        <f aca="false">IF($B$38="","",IF(N(GanttCalc!J11)-N(GanttCalc!I11)&lt;=0,"",IF(N(GanttCalc!J11)-N(GanttCalc!I11)=1,"R"&amp;GanttCalc!J11,"R"&amp;(GanttCalc!I11+1)&amp;"-"&amp;GanttCalc!J11)))</f>
        <v/>
      </c>
      <c r="M40" s="60" t="str">
        <f aca="false">IF($B$38="","",IF(N(GanttCalc!K11)-N(GanttCalc!J11)&lt;=0,"",IF(N(GanttCalc!K11)-N(GanttCalc!J11)=1,"R"&amp;GanttCalc!K11,"R"&amp;(GanttCalc!J11+1)&amp;"-"&amp;GanttCalc!K11)))</f>
        <v/>
      </c>
      <c r="N40" s="60" t="str">
        <f aca="false">IF($B$38="","",IF(N(GanttCalc!L11)-N(GanttCalc!K11)&lt;=0,"",IF(N(GanttCalc!L11)-N(GanttCalc!K11)=1,"R"&amp;GanttCalc!L11,"R"&amp;(GanttCalc!K11+1)&amp;"-"&amp;GanttCalc!L11)))</f>
        <v/>
      </c>
      <c r="O40" s="60" t="str">
        <f aca="false">IF($B$38="","",IF(N(GanttCalc!M11)-N(GanttCalc!L11)&lt;=0,"",IF(N(GanttCalc!M11)-N(GanttCalc!L11)=1,"R"&amp;GanttCalc!M11,"R"&amp;(GanttCalc!L11+1)&amp;"-"&amp;GanttCalc!M11)))</f>
        <v/>
      </c>
      <c r="P40" s="60" t="str">
        <f aca="false">IF($B$38="","",IF(N(GanttCalc!N11)-N(GanttCalc!M11)&lt;=0,"",IF(N(GanttCalc!N11)-N(GanttCalc!M11)=1,"R"&amp;GanttCalc!N11,"R"&amp;(GanttCalc!M11+1)&amp;"-"&amp;GanttCalc!N11)))</f>
        <v/>
      </c>
      <c r="Q40" s="60" t="str">
        <f aca="false">IF($B$38="","",IF(N(GanttCalc!O11)-N(GanttCalc!N11)&lt;=0,"",IF(N(GanttCalc!O11)-N(GanttCalc!N11)=1,"R"&amp;GanttCalc!O11,"R"&amp;(GanttCalc!N11+1)&amp;"-"&amp;GanttCalc!O11)))</f>
        <v/>
      </c>
      <c r="R40" s="60" t="str">
        <f aca="false">IF($B$38="","",IF(N(GanttCalc!P11)-N(GanttCalc!O11)&lt;=0,"",IF(N(GanttCalc!P11)-N(GanttCalc!O11)=1,"R"&amp;GanttCalc!P11,"R"&amp;(GanttCalc!O11+1)&amp;"-"&amp;GanttCalc!P11)))</f>
        <v/>
      </c>
      <c r="S40" s="60" t="str">
        <f aca="false">IF($B$38="","",IF(N(GanttCalc!Q11)-N(GanttCalc!P11)&lt;=0,"",IF(N(GanttCalc!Q11)-N(GanttCalc!P11)=1,"R"&amp;GanttCalc!Q11,"R"&amp;(GanttCalc!P11+1)&amp;"-"&amp;GanttCalc!Q11)))</f>
        <v/>
      </c>
      <c r="T40" s="60" t="str">
        <f aca="false">IF($B$38="","",IF(N(GanttCalc!R11)-N(GanttCalc!Q11)&lt;=0,"",IF(N(GanttCalc!R11)-N(GanttCalc!Q11)=1,"R"&amp;GanttCalc!R11,"R"&amp;(GanttCalc!Q11+1)&amp;"-"&amp;GanttCalc!R11)))</f>
        <v/>
      </c>
      <c r="U40" s="60" t="str">
        <f aca="false">IF($B$38="","",IF(N(GanttCalc!S11)-N(GanttCalc!R11)&lt;=0,"",IF(N(GanttCalc!S11)-N(GanttCalc!R11)=1,"R"&amp;GanttCalc!S11,"R"&amp;(GanttCalc!R11+1)&amp;"-"&amp;GanttCalc!S11)))</f>
        <v/>
      </c>
      <c r="V40" s="60" t="str">
        <f aca="false">IF($B$38="","",IF(N(GanttCalc!T11)-N(GanttCalc!S11)&lt;=0,"",IF(N(GanttCalc!T11)-N(GanttCalc!S11)=1,"R"&amp;GanttCalc!T11,"R"&amp;(GanttCalc!S11+1)&amp;"-"&amp;GanttCalc!T11)))</f>
        <v/>
      </c>
      <c r="W40" s="60" t="str">
        <f aca="false">IF($B$38="","",IF(N(GanttCalc!U11)-N(GanttCalc!T11)&lt;=0,"",IF(N(GanttCalc!U11)-N(GanttCalc!T11)=1,"R"&amp;GanttCalc!U11,"R"&amp;(GanttCalc!T11+1)&amp;"-"&amp;GanttCalc!U11)))</f>
        <v/>
      </c>
      <c r="X40" s="60" t="str">
        <f aca="false">IF($B$38="","",IF(N(GanttCalc!V11)-N(GanttCalc!U11)&lt;=0,"",IF(N(GanttCalc!V11)-N(GanttCalc!U11)=1,"R"&amp;GanttCalc!V11,"R"&amp;(GanttCalc!U11+1)&amp;"-"&amp;GanttCalc!V11)))</f>
        <v/>
      </c>
      <c r="Y40" s="60" t="str">
        <f aca="false">IF($B$38="","",IF(N(GanttCalc!W11)-N(GanttCalc!V11)&lt;=0,"",IF(N(GanttCalc!W11)-N(GanttCalc!V11)=1,"R"&amp;GanttCalc!W11,"R"&amp;(GanttCalc!V11+1)&amp;"-"&amp;GanttCalc!W11)))</f>
        <v/>
      </c>
      <c r="Z40" s="60" t="str">
        <f aca="false">IF($B$38="","",IF(N(GanttCalc!X11)-N(GanttCalc!W11)&lt;=0,"",IF(N(GanttCalc!X11)-N(GanttCalc!W11)=1,"R"&amp;GanttCalc!X11,"R"&amp;(GanttCalc!W11+1)&amp;"-"&amp;GanttCalc!X11)))</f>
        <v/>
      </c>
      <c r="AA40" s="60" t="str">
        <f aca="false">IF($B$38="","",IF(N(GanttCalc!Y11)-N(GanttCalc!X11)&lt;=0,"",IF(N(GanttCalc!Y11)-N(GanttCalc!X11)=1,"R"&amp;GanttCalc!Y11,"R"&amp;(GanttCalc!X11+1)&amp;"-"&amp;GanttCalc!Y11)))</f>
        <v/>
      </c>
      <c r="AB40" s="60" t="str">
        <f aca="false">IF($B$38="","",IF(N(GanttCalc!Z11)-N(GanttCalc!Y11)&lt;=0,"",IF(N(GanttCalc!Z11)-N(GanttCalc!Y11)=1,"R"&amp;GanttCalc!Z11,"R"&amp;(GanttCalc!Y11+1)&amp;"-"&amp;GanttCalc!Z11)))</f>
        <v/>
      </c>
      <c r="AC40" s="60" t="str">
        <f aca="false">IF($B$38="","",IF(N(GanttCalc!AA11)-N(GanttCalc!Z11)&lt;=0,"",IF(N(GanttCalc!AA11)-N(GanttCalc!Z11)=1,"R"&amp;GanttCalc!AA11,"R"&amp;(GanttCalc!Z11+1)&amp;"-"&amp;GanttCalc!AA11)))</f>
        <v/>
      </c>
      <c r="AD40" s="60" t="str">
        <f aca="false">IF($B$38="","",IF(N(GanttCalc!AB11)-N(GanttCalc!AA11)&lt;=0,"",IF(N(GanttCalc!AB11)-N(GanttCalc!AA11)=1,"R"&amp;GanttCalc!AB11,"R"&amp;(GanttCalc!AA11+1)&amp;"-"&amp;GanttCalc!AB11)))</f>
        <v/>
      </c>
      <c r="AE40" s="60" t="str">
        <f aca="false">IF($B$38="","",IF(N(GanttCalc!AC11)-N(GanttCalc!AB11)&lt;=0,"",IF(N(GanttCalc!AC11)-N(GanttCalc!AB11)=1,"R"&amp;GanttCalc!AC11,"R"&amp;(GanttCalc!AB11+1)&amp;"-"&amp;GanttCalc!AC11)))</f>
        <v/>
      </c>
      <c r="AF40" s="60" t="str">
        <f aca="false">IF($B$38="","",IF(N(GanttCalc!AD11)-N(GanttCalc!AC11)&lt;=0,"",IF(N(GanttCalc!AD11)-N(GanttCalc!AC11)=1,"R"&amp;GanttCalc!AD11,"R"&amp;(GanttCalc!AC11+1)&amp;"-"&amp;GanttCalc!AD11)))</f>
        <v/>
      </c>
      <c r="AG40" s="60" t="str">
        <f aca="false">IF($B$38="","",IF(N(GanttCalc!AE11)-N(GanttCalc!AD11)&lt;=0,"",IF(N(GanttCalc!AE11)-N(GanttCalc!AD11)=1,"R"&amp;GanttCalc!AE11,"R"&amp;(GanttCalc!AD11+1)&amp;"-"&amp;GanttCalc!AE11)))</f>
        <v/>
      </c>
      <c r="AH40" s="60" t="str">
        <f aca="false">IF($B$38="","",IF(N(GanttCalc!AF11)-N(GanttCalc!AE11)&lt;=0,"",IF(N(GanttCalc!AF11)-N(GanttCalc!AE11)=1,"R"&amp;GanttCalc!AF11,"R"&amp;(GanttCalc!AE11+1)&amp;"-"&amp;GanttCalc!AF11)))</f>
        <v/>
      </c>
      <c r="AI40" s="60" t="str">
        <f aca="false">IF($B$38="","",IF(N(GanttCalc!AG11)-N(GanttCalc!AF11)&lt;=0,"",IF(N(GanttCalc!AG11)-N(GanttCalc!AF11)=1,"R"&amp;GanttCalc!AG11,"R"&amp;(GanttCalc!AF11+1)&amp;"-"&amp;GanttCalc!AG11)))</f>
        <v/>
      </c>
      <c r="AJ40" s="60" t="str">
        <f aca="false">IF($B$38="","",IF(N(GanttCalc!AH11)-N(GanttCalc!AG11)&lt;=0,"",IF(N(GanttCalc!AH11)-N(GanttCalc!AG11)=1,"R"&amp;GanttCalc!AH11,"R"&amp;(GanttCalc!AG11+1)&amp;"-"&amp;GanttCalc!AH11)))</f>
        <v/>
      </c>
      <c r="AK40" s="60" t="str">
        <f aca="false">IF($B$38="","",IF(N(GanttCalc!AI11)-N(GanttCalc!AH11)&lt;=0,"",IF(N(GanttCalc!AI11)-N(GanttCalc!AH11)=1,"R"&amp;GanttCalc!AI11,"R"&amp;(GanttCalc!AH11+1)&amp;"-"&amp;GanttCalc!AI11)))</f>
        <v/>
      </c>
      <c r="AL40" s="60" t="str">
        <f aca="false">IF($B$38="","",IF(N(GanttCalc!AJ11)-N(GanttCalc!AI11)&lt;=0,"",IF(N(GanttCalc!AJ11)-N(GanttCalc!AI11)=1,"R"&amp;GanttCalc!AJ11,"R"&amp;(GanttCalc!AI11+1)&amp;"-"&amp;GanttCalc!AJ11)))</f>
        <v/>
      </c>
      <c r="AM40" s="60" t="str">
        <f aca="false">IF($B$38="","",IF(N(GanttCalc!AK11)-N(GanttCalc!AJ11)&lt;=0,"",IF(N(GanttCalc!AK11)-N(GanttCalc!AJ11)=1,"R"&amp;GanttCalc!AK11,"R"&amp;(GanttCalc!AJ11+1)&amp;"-"&amp;GanttCalc!AK11)))</f>
        <v>R1-2</v>
      </c>
      <c r="AN40" s="60" t="str">
        <f aca="false">IF($B$38="","",IF(N(GanttCalc!AL11)-N(GanttCalc!AK11)&lt;=0,"",IF(N(GanttCalc!AL11)-N(GanttCalc!AK11)=1,"R"&amp;GanttCalc!AL11,"R"&amp;(GanttCalc!AK11+1)&amp;"-"&amp;GanttCalc!AL11)))</f>
        <v>R3</v>
      </c>
      <c r="AO40" s="60" t="str">
        <f aca="false">IF($B$38="","",IF(N(GanttCalc!AM11)-N(GanttCalc!AL11)&lt;=0,"",IF(N(GanttCalc!AM11)-N(GanttCalc!AL11)=1,"R"&amp;GanttCalc!AM11,"R"&amp;(GanttCalc!AL11+1)&amp;"-"&amp;GanttCalc!AM11)))</f>
        <v/>
      </c>
      <c r="AP40" s="60" t="str">
        <f aca="false">IF($B$38="","",IF(N(GanttCalc!AN11)-N(GanttCalc!AM11)&lt;=0,"",IF(N(GanttCalc!AN11)-N(GanttCalc!AM11)=1,"R"&amp;GanttCalc!AN11,"R"&amp;(GanttCalc!AM11+1)&amp;"-"&amp;GanttCalc!AN11)))</f>
        <v/>
      </c>
      <c r="AQ40" s="60" t="str">
        <f aca="false">IF($B$38="","",IF(N(GanttCalc!AO11)-N(GanttCalc!AN11)&lt;=0,"",IF(N(GanttCalc!AO11)-N(GanttCalc!AN11)=1,"R"&amp;GanttCalc!AO11,"R"&amp;(GanttCalc!AN11+1)&amp;"-"&amp;GanttCalc!AO11)))</f>
        <v/>
      </c>
      <c r="AR40" s="60" t="str">
        <f aca="false">IF($B$38="","",IF(N(GanttCalc!AP11)-N(GanttCalc!AO11)&lt;=0,"",IF(N(GanttCalc!AP11)-N(GanttCalc!AO11)=1,"R"&amp;GanttCalc!AP11,"R"&amp;(GanttCalc!AO11+1)&amp;"-"&amp;GanttCalc!AP11)))</f>
        <v/>
      </c>
      <c r="AS40" s="60" t="str">
        <f aca="false">IF($B$38="","",IF(N(GanttCalc!AQ11)-N(GanttCalc!AP11)&lt;=0,"",IF(N(GanttCalc!AQ11)-N(GanttCalc!AP11)=1,"R"&amp;GanttCalc!AQ11,"R"&amp;(GanttCalc!AP11+1)&amp;"-"&amp;GanttCalc!AQ11)))</f>
        <v/>
      </c>
      <c r="AT40" s="60" t="str">
        <f aca="false">IF($B$38="","",IF(N(GanttCalc!AR11)-N(GanttCalc!AQ11)&lt;=0,"",IF(N(GanttCalc!AR11)-N(GanttCalc!AQ11)=1,"R"&amp;GanttCalc!AR11,"R"&amp;(GanttCalc!AQ11+1)&amp;"-"&amp;GanttCalc!AR11)))</f>
        <v/>
      </c>
      <c r="AU40" s="60" t="str">
        <f aca="false">IF($B$38="","",IF(N(GanttCalc!AS11)-N(GanttCalc!AR11)&lt;=0,"",IF(N(GanttCalc!AS11)-N(GanttCalc!AR11)=1,"R"&amp;GanttCalc!AS11,"R"&amp;(GanttCalc!AR11+1)&amp;"-"&amp;GanttCalc!AS11)))</f>
        <v/>
      </c>
      <c r="AV40" s="60" t="str">
        <f aca="false">IF($B$38="","",IF(N(GanttCalc!AT11)-N(GanttCalc!AS11)&lt;=0,"",IF(N(GanttCalc!AT11)-N(GanttCalc!AS11)=1,"R"&amp;GanttCalc!AT11,"R"&amp;(GanttCalc!AS11+1)&amp;"-"&amp;GanttCalc!AT11)))</f>
        <v/>
      </c>
      <c r="AW40" s="60" t="str">
        <f aca="false">IF($B$38="","",IF(N(GanttCalc!AU11)-N(GanttCalc!AT11)&lt;=0,"",IF(N(GanttCalc!AU11)-N(GanttCalc!AT11)=1,"R"&amp;GanttCalc!AU11,"R"&amp;(GanttCalc!AT11+1)&amp;"-"&amp;GanttCalc!AU11)))</f>
        <v>R4-5</v>
      </c>
      <c r="AX40" s="60" t="str">
        <f aca="false">IF($B$38="","",IF(N(GanttCalc!AV11)-N(GanttCalc!AU11)&lt;=0,"",IF(N(GanttCalc!AV11)-N(GanttCalc!AU11)=1,"R"&amp;GanttCalc!AV11,"R"&amp;(GanttCalc!AU11+1)&amp;"-"&amp;GanttCalc!AV11)))</f>
        <v/>
      </c>
      <c r="AY40" s="60" t="str">
        <f aca="false">IF($B$38="","",IF(N(GanttCalc!AW11)-N(GanttCalc!AV11)&lt;=0,"",IF(N(GanttCalc!AW11)-N(GanttCalc!AV11)=1,"R"&amp;GanttCalc!AW11,"R"&amp;(GanttCalc!AV11+1)&amp;"-"&amp;GanttCalc!AW11)))</f>
        <v/>
      </c>
      <c r="AZ40" s="60" t="str">
        <f aca="false">IF($B$38="","",IF(N(GanttCalc!AX11)-N(GanttCalc!AW11)&lt;=0,"",IF(N(GanttCalc!AX11)-N(GanttCalc!AW11)=1,"R"&amp;GanttCalc!AX11,"R"&amp;(GanttCalc!AW11+1)&amp;"-"&amp;GanttCalc!AX11)))</f>
        <v/>
      </c>
      <c r="BA40" s="60" t="str">
        <f aca="false">IF($B$38="","",IF(N(GanttCalc!AY11)-N(GanttCalc!AX11)&lt;=0,"",IF(N(GanttCalc!AY11)-N(GanttCalc!AX11)=1,"R"&amp;GanttCalc!AY11,"R"&amp;(GanttCalc!AX11+1)&amp;"-"&amp;GanttCalc!AY11)))</f>
        <v/>
      </c>
      <c r="BB40" s="60" t="str">
        <f aca="false">IF($B$38="","",IF(N(GanttCalc!AZ11)-N(GanttCalc!AY11)&lt;=0,"",IF(N(GanttCalc!AZ11)-N(GanttCalc!AY11)=1,"R"&amp;GanttCalc!AZ11,"R"&amp;(GanttCalc!AY11+1)&amp;"-"&amp;GanttCalc!AZ11)))</f>
        <v/>
      </c>
      <c r="BC40" s="60" t="str">
        <f aca="false">IF($B$38="","",IF(N(GanttCalc!BA11)-N(GanttCalc!AZ11)&lt;=0,"",IF(N(GanttCalc!BA11)-N(GanttCalc!AZ11)=1,"R"&amp;GanttCalc!BA11,"R"&amp;(GanttCalc!AZ11+1)&amp;"-"&amp;GanttCalc!BA11)))</f>
        <v/>
      </c>
      <c r="BD40" s="60" t="str">
        <f aca="false">IF($B$38="","",IF(N(GanttCalc!BB11)-N(GanttCalc!BA11)&lt;=0,"",IF(N(GanttCalc!BB11)-N(GanttCalc!BA11)=1,"R"&amp;GanttCalc!BB11,"R"&amp;(GanttCalc!BA11+1)&amp;"-"&amp;GanttCalc!BB11)))</f>
        <v/>
      </c>
    </row>
    <row r="41" customFormat="false" ht="6" hidden="false" customHeight="true" outlineLevel="0" collapsed="false"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customFormat="false" ht="16.5" hidden="false" customHeight="true" outlineLevel="0" collapsed="false">
      <c r="B42" s="32" t="str">
        <f aca="false">IF(Contracts!$A$14="","",Contracts!$A$14)</f>
        <v>E2A-R16P-T7-C</v>
      </c>
      <c r="C42" s="58" t="str">
        <f aca="false">IF(Contracts!$A$14="","","Kit release")</f>
        <v>Kit release</v>
      </c>
      <c r="D42" s="59" t="str">
        <f aca="false">IF($B$42="","",SUMPRODUCT(--(E42:BD42&lt;&gt;""))&amp;" wks")</f>
        <v>4 wks</v>
      </c>
      <c r="E42" s="60" t="str">
        <f aca="true">IF($B$42="","",IF(N(OFFSET(GanttCalc!$B$12,0,1+N(Contracts!$Q$14)))-N(OFFSET(GanttCalc!$B$12,0,0+N(Contracts!$Q$14)))&lt;=0,"",IF(N(OFFSET(GanttCalc!$B$12,0,1+N(Contracts!$Q$14)))-N(OFFSET(GanttCalc!$B$12,0,0+N(Contracts!$Q$14)))=1,"R"&amp;OFFSET(GanttCalc!$B$12,0,1+N(Contracts!$Q$14)),"R"&amp;(OFFSET(GanttCalc!$B$12,0,0+N(Contracts!$Q$14))+1)&amp;"-"&amp;OFFSET(GanttCalc!$B$12,0,1+N(Contracts!$Q$14)))))</f>
        <v/>
      </c>
      <c r="F42" s="60" t="str">
        <f aca="true">IF($B$42="","",IF(N(OFFSET(GanttCalc!$B$12,0,2+N(Contracts!$Q$14)))-N(OFFSET(GanttCalc!$B$12,0,1+N(Contracts!$Q$14)))&lt;=0,"",IF(N(OFFSET(GanttCalc!$B$12,0,2+N(Contracts!$Q$14)))-N(OFFSET(GanttCalc!$B$12,0,1+N(Contracts!$Q$14)))=1,"R"&amp;OFFSET(GanttCalc!$B$12,0,2+N(Contracts!$Q$14)),"R"&amp;(OFFSET(GanttCalc!$B$12,0,1+N(Contracts!$Q$14))+1)&amp;"-"&amp;OFFSET(GanttCalc!$B$12,0,2+N(Contracts!$Q$14)))))</f>
        <v/>
      </c>
      <c r="G42" s="60" t="str">
        <f aca="true">IF($B$42="","",IF(N(OFFSET(GanttCalc!$B$12,0,3+N(Contracts!$Q$14)))-N(OFFSET(GanttCalc!$B$12,0,2+N(Contracts!$Q$14)))&lt;=0,"",IF(N(OFFSET(GanttCalc!$B$12,0,3+N(Contracts!$Q$14)))-N(OFFSET(GanttCalc!$B$12,0,2+N(Contracts!$Q$14)))=1,"R"&amp;OFFSET(GanttCalc!$B$12,0,3+N(Contracts!$Q$14)),"R"&amp;(OFFSET(GanttCalc!$B$12,0,2+N(Contracts!$Q$14))+1)&amp;"-"&amp;OFFSET(GanttCalc!$B$12,0,3+N(Contracts!$Q$14)))))</f>
        <v/>
      </c>
      <c r="H42" s="60" t="str">
        <f aca="true">IF($B$42="","",IF(N(OFFSET(GanttCalc!$B$12,0,4+N(Contracts!$Q$14)))-N(OFFSET(GanttCalc!$B$12,0,3+N(Contracts!$Q$14)))&lt;=0,"",IF(N(OFFSET(GanttCalc!$B$12,0,4+N(Contracts!$Q$14)))-N(OFFSET(GanttCalc!$B$12,0,3+N(Contracts!$Q$14)))=1,"R"&amp;OFFSET(GanttCalc!$B$12,0,4+N(Contracts!$Q$14)),"R"&amp;(OFFSET(GanttCalc!$B$12,0,3+N(Contracts!$Q$14))+1)&amp;"-"&amp;OFFSET(GanttCalc!$B$12,0,4+N(Contracts!$Q$14)))))</f>
        <v/>
      </c>
      <c r="I42" s="60" t="str">
        <f aca="true">IF($B$42="","",IF(N(OFFSET(GanttCalc!$B$12,0,5+N(Contracts!$Q$14)))-N(OFFSET(GanttCalc!$B$12,0,4+N(Contracts!$Q$14)))&lt;=0,"",IF(N(OFFSET(GanttCalc!$B$12,0,5+N(Contracts!$Q$14)))-N(OFFSET(GanttCalc!$B$12,0,4+N(Contracts!$Q$14)))=1,"R"&amp;OFFSET(GanttCalc!$B$12,0,5+N(Contracts!$Q$14)),"R"&amp;(OFFSET(GanttCalc!$B$12,0,4+N(Contracts!$Q$14))+1)&amp;"-"&amp;OFFSET(GanttCalc!$B$12,0,5+N(Contracts!$Q$14)))))</f>
        <v/>
      </c>
      <c r="J42" s="60" t="str">
        <f aca="true">IF($B$42="","",IF(N(OFFSET(GanttCalc!$B$12,0,6+N(Contracts!$Q$14)))-N(OFFSET(GanttCalc!$B$12,0,5+N(Contracts!$Q$14)))&lt;=0,"",IF(N(OFFSET(GanttCalc!$B$12,0,6+N(Contracts!$Q$14)))-N(OFFSET(GanttCalc!$B$12,0,5+N(Contracts!$Q$14)))=1,"R"&amp;OFFSET(GanttCalc!$B$12,0,6+N(Contracts!$Q$14)),"R"&amp;(OFFSET(GanttCalc!$B$12,0,5+N(Contracts!$Q$14))+1)&amp;"-"&amp;OFFSET(GanttCalc!$B$12,0,6+N(Contracts!$Q$14)))))</f>
        <v/>
      </c>
      <c r="K42" s="60" t="str">
        <f aca="true">IF($B$42="","",IF(N(OFFSET(GanttCalc!$B$12,0,7+N(Contracts!$Q$14)))-N(OFFSET(GanttCalc!$B$12,0,6+N(Contracts!$Q$14)))&lt;=0,"",IF(N(OFFSET(GanttCalc!$B$12,0,7+N(Contracts!$Q$14)))-N(OFFSET(GanttCalc!$B$12,0,6+N(Contracts!$Q$14)))=1,"R"&amp;OFFSET(GanttCalc!$B$12,0,7+N(Contracts!$Q$14)),"R"&amp;(OFFSET(GanttCalc!$B$12,0,6+N(Contracts!$Q$14))+1)&amp;"-"&amp;OFFSET(GanttCalc!$B$12,0,7+N(Contracts!$Q$14)))))</f>
        <v/>
      </c>
      <c r="L42" s="60" t="str">
        <f aca="true">IF($B$42="","",IF(N(OFFSET(GanttCalc!$B$12,0,8+N(Contracts!$Q$14)))-N(OFFSET(GanttCalc!$B$12,0,7+N(Contracts!$Q$14)))&lt;=0,"",IF(N(OFFSET(GanttCalc!$B$12,0,8+N(Contracts!$Q$14)))-N(OFFSET(GanttCalc!$B$12,0,7+N(Contracts!$Q$14)))=1,"R"&amp;OFFSET(GanttCalc!$B$12,0,8+N(Contracts!$Q$14)),"R"&amp;(OFFSET(GanttCalc!$B$12,0,7+N(Contracts!$Q$14))+1)&amp;"-"&amp;OFFSET(GanttCalc!$B$12,0,8+N(Contracts!$Q$14)))))</f>
        <v/>
      </c>
      <c r="M42" s="60" t="str">
        <f aca="true">IF($B$42="","",IF(N(OFFSET(GanttCalc!$B$12,0,9+N(Contracts!$Q$14)))-N(OFFSET(GanttCalc!$B$12,0,8+N(Contracts!$Q$14)))&lt;=0,"",IF(N(OFFSET(GanttCalc!$B$12,0,9+N(Contracts!$Q$14)))-N(OFFSET(GanttCalc!$B$12,0,8+N(Contracts!$Q$14)))=1,"R"&amp;OFFSET(GanttCalc!$B$12,0,9+N(Contracts!$Q$14)),"R"&amp;(OFFSET(GanttCalc!$B$12,0,8+N(Contracts!$Q$14))+1)&amp;"-"&amp;OFFSET(GanttCalc!$B$12,0,9+N(Contracts!$Q$14)))))</f>
        <v/>
      </c>
      <c r="N42" s="60" t="str">
        <f aca="true">IF($B$42="","",IF(N(OFFSET(GanttCalc!$B$12,0,10+N(Contracts!$Q$14)))-N(OFFSET(GanttCalc!$B$12,0,9+N(Contracts!$Q$14)))&lt;=0,"",IF(N(OFFSET(GanttCalc!$B$12,0,10+N(Contracts!$Q$14)))-N(OFFSET(GanttCalc!$B$12,0,9+N(Contracts!$Q$14)))=1,"R"&amp;OFFSET(GanttCalc!$B$12,0,10+N(Contracts!$Q$14)),"R"&amp;(OFFSET(GanttCalc!$B$12,0,9+N(Contracts!$Q$14))+1)&amp;"-"&amp;OFFSET(GanttCalc!$B$12,0,10+N(Contracts!$Q$14)))))</f>
        <v/>
      </c>
      <c r="O42" s="60" t="str">
        <f aca="true">IF($B$42="","",IF(N(OFFSET(GanttCalc!$B$12,0,11+N(Contracts!$Q$14)))-N(OFFSET(GanttCalc!$B$12,0,10+N(Contracts!$Q$14)))&lt;=0,"",IF(N(OFFSET(GanttCalc!$B$12,0,11+N(Contracts!$Q$14)))-N(OFFSET(GanttCalc!$B$12,0,10+N(Contracts!$Q$14)))=1,"R"&amp;OFFSET(GanttCalc!$B$12,0,11+N(Contracts!$Q$14)),"R"&amp;(OFFSET(GanttCalc!$B$12,0,10+N(Contracts!$Q$14))+1)&amp;"-"&amp;OFFSET(GanttCalc!$B$12,0,11+N(Contracts!$Q$14)))))</f>
        <v/>
      </c>
      <c r="P42" s="60" t="str">
        <f aca="true">IF($B$42="","",IF(N(OFFSET(GanttCalc!$B$12,0,12+N(Contracts!$Q$14)))-N(OFFSET(GanttCalc!$B$12,0,11+N(Contracts!$Q$14)))&lt;=0,"",IF(N(OFFSET(GanttCalc!$B$12,0,12+N(Contracts!$Q$14)))-N(OFFSET(GanttCalc!$B$12,0,11+N(Contracts!$Q$14)))=1,"R"&amp;OFFSET(GanttCalc!$B$12,0,12+N(Contracts!$Q$14)),"R"&amp;(OFFSET(GanttCalc!$B$12,0,11+N(Contracts!$Q$14))+1)&amp;"-"&amp;OFFSET(GanttCalc!$B$12,0,12+N(Contracts!$Q$14)))))</f>
        <v/>
      </c>
      <c r="Q42" s="60" t="str">
        <f aca="true">IF($B$42="","",IF(N(OFFSET(GanttCalc!$B$12,0,13+N(Contracts!$Q$14)))-N(OFFSET(GanttCalc!$B$12,0,12+N(Contracts!$Q$14)))&lt;=0,"",IF(N(OFFSET(GanttCalc!$B$12,0,13+N(Contracts!$Q$14)))-N(OFFSET(GanttCalc!$B$12,0,12+N(Contracts!$Q$14)))=1,"R"&amp;OFFSET(GanttCalc!$B$12,0,13+N(Contracts!$Q$14)),"R"&amp;(OFFSET(GanttCalc!$B$12,0,12+N(Contracts!$Q$14))+1)&amp;"-"&amp;OFFSET(GanttCalc!$B$12,0,13+N(Contracts!$Q$14)))))</f>
        <v/>
      </c>
      <c r="R42" s="60" t="str">
        <f aca="true">IF($B$42="","",IF(N(OFFSET(GanttCalc!$B$12,0,14+N(Contracts!$Q$14)))-N(OFFSET(GanttCalc!$B$12,0,13+N(Contracts!$Q$14)))&lt;=0,"",IF(N(OFFSET(GanttCalc!$B$12,0,14+N(Contracts!$Q$14)))-N(OFFSET(GanttCalc!$B$12,0,13+N(Contracts!$Q$14)))=1,"R"&amp;OFFSET(GanttCalc!$B$12,0,14+N(Contracts!$Q$14)),"R"&amp;(OFFSET(GanttCalc!$B$12,0,13+N(Contracts!$Q$14))+1)&amp;"-"&amp;OFFSET(GanttCalc!$B$12,0,14+N(Contracts!$Q$14)))))</f>
        <v/>
      </c>
      <c r="S42" s="60" t="str">
        <f aca="true">IF($B$42="","",IF(N(OFFSET(GanttCalc!$B$12,0,15+N(Contracts!$Q$14)))-N(OFFSET(GanttCalc!$B$12,0,14+N(Contracts!$Q$14)))&lt;=0,"",IF(N(OFFSET(GanttCalc!$B$12,0,15+N(Contracts!$Q$14)))-N(OFFSET(GanttCalc!$B$12,0,14+N(Contracts!$Q$14)))=1,"R"&amp;OFFSET(GanttCalc!$B$12,0,15+N(Contracts!$Q$14)),"R"&amp;(OFFSET(GanttCalc!$B$12,0,14+N(Contracts!$Q$14))+1)&amp;"-"&amp;OFFSET(GanttCalc!$B$12,0,15+N(Contracts!$Q$14)))))</f>
        <v/>
      </c>
      <c r="T42" s="60" t="str">
        <f aca="true">IF($B$42="","",IF(N(OFFSET(GanttCalc!$B$12,0,16+N(Contracts!$Q$14)))-N(OFFSET(GanttCalc!$B$12,0,15+N(Contracts!$Q$14)))&lt;=0,"",IF(N(OFFSET(GanttCalc!$B$12,0,16+N(Contracts!$Q$14)))-N(OFFSET(GanttCalc!$B$12,0,15+N(Contracts!$Q$14)))=1,"R"&amp;OFFSET(GanttCalc!$B$12,0,16+N(Contracts!$Q$14)),"R"&amp;(OFFSET(GanttCalc!$B$12,0,15+N(Contracts!$Q$14))+1)&amp;"-"&amp;OFFSET(GanttCalc!$B$12,0,16+N(Contracts!$Q$14)))))</f>
        <v/>
      </c>
      <c r="U42" s="60" t="str">
        <f aca="true">IF($B$42="","",IF(N(OFFSET(GanttCalc!$B$12,0,17+N(Contracts!$Q$14)))-N(OFFSET(GanttCalc!$B$12,0,16+N(Contracts!$Q$14)))&lt;=0,"",IF(N(OFFSET(GanttCalc!$B$12,0,17+N(Contracts!$Q$14)))-N(OFFSET(GanttCalc!$B$12,0,16+N(Contracts!$Q$14)))=1,"R"&amp;OFFSET(GanttCalc!$B$12,0,17+N(Contracts!$Q$14)),"R"&amp;(OFFSET(GanttCalc!$B$12,0,16+N(Contracts!$Q$14))+1)&amp;"-"&amp;OFFSET(GanttCalc!$B$12,0,17+N(Contracts!$Q$14)))))</f>
        <v/>
      </c>
      <c r="V42" s="60" t="str">
        <f aca="true">IF($B$42="","",IF(N(OFFSET(GanttCalc!$B$12,0,18+N(Contracts!$Q$14)))-N(OFFSET(GanttCalc!$B$12,0,17+N(Contracts!$Q$14)))&lt;=0,"",IF(N(OFFSET(GanttCalc!$B$12,0,18+N(Contracts!$Q$14)))-N(OFFSET(GanttCalc!$B$12,0,17+N(Contracts!$Q$14)))=1,"R"&amp;OFFSET(GanttCalc!$B$12,0,18+N(Contracts!$Q$14)),"R"&amp;(OFFSET(GanttCalc!$B$12,0,17+N(Contracts!$Q$14))+1)&amp;"-"&amp;OFFSET(GanttCalc!$B$12,0,18+N(Contracts!$Q$14)))))</f>
        <v/>
      </c>
      <c r="W42" s="60" t="str">
        <f aca="true">IF($B$42="","",IF(N(OFFSET(GanttCalc!$B$12,0,19+N(Contracts!$Q$14)))-N(OFFSET(GanttCalc!$B$12,0,18+N(Contracts!$Q$14)))&lt;=0,"",IF(N(OFFSET(GanttCalc!$B$12,0,19+N(Contracts!$Q$14)))-N(OFFSET(GanttCalc!$B$12,0,18+N(Contracts!$Q$14)))=1,"R"&amp;OFFSET(GanttCalc!$B$12,0,19+N(Contracts!$Q$14)),"R"&amp;(OFFSET(GanttCalc!$B$12,0,18+N(Contracts!$Q$14))+1)&amp;"-"&amp;OFFSET(GanttCalc!$B$12,0,19+N(Contracts!$Q$14)))))</f>
        <v/>
      </c>
      <c r="X42" s="60" t="str">
        <f aca="true">IF($B$42="","",IF(N(OFFSET(GanttCalc!$B$12,0,20+N(Contracts!$Q$14)))-N(OFFSET(GanttCalc!$B$12,0,19+N(Contracts!$Q$14)))&lt;=0,"",IF(N(OFFSET(GanttCalc!$B$12,0,20+N(Contracts!$Q$14)))-N(OFFSET(GanttCalc!$B$12,0,19+N(Contracts!$Q$14)))=1,"R"&amp;OFFSET(GanttCalc!$B$12,0,20+N(Contracts!$Q$14)),"R"&amp;(OFFSET(GanttCalc!$B$12,0,19+N(Contracts!$Q$14))+1)&amp;"-"&amp;OFFSET(GanttCalc!$B$12,0,20+N(Contracts!$Q$14)))))</f>
        <v/>
      </c>
      <c r="Y42" s="60" t="str">
        <f aca="true">IF($B$42="","",IF(N(OFFSET(GanttCalc!$B$12,0,21+N(Contracts!$Q$14)))-N(OFFSET(GanttCalc!$B$12,0,20+N(Contracts!$Q$14)))&lt;=0,"",IF(N(OFFSET(GanttCalc!$B$12,0,21+N(Contracts!$Q$14)))-N(OFFSET(GanttCalc!$B$12,0,20+N(Contracts!$Q$14)))=1,"R"&amp;OFFSET(GanttCalc!$B$12,0,21+N(Contracts!$Q$14)),"R"&amp;(OFFSET(GanttCalc!$B$12,0,20+N(Contracts!$Q$14))+1)&amp;"-"&amp;OFFSET(GanttCalc!$B$12,0,21+N(Contracts!$Q$14)))))</f>
        <v/>
      </c>
      <c r="Z42" s="60" t="str">
        <f aca="true">IF($B$42="","",IF(N(OFFSET(GanttCalc!$B$12,0,22+N(Contracts!$Q$14)))-N(OFFSET(GanttCalc!$B$12,0,21+N(Contracts!$Q$14)))&lt;=0,"",IF(N(OFFSET(GanttCalc!$B$12,0,22+N(Contracts!$Q$14)))-N(OFFSET(GanttCalc!$B$12,0,21+N(Contracts!$Q$14)))=1,"R"&amp;OFFSET(GanttCalc!$B$12,0,22+N(Contracts!$Q$14)),"R"&amp;(OFFSET(GanttCalc!$B$12,0,21+N(Contracts!$Q$14))+1)&amp;"-"&amp;OFFSET(GanttCalc!$B$12,0,22+N(Contracts!$Q$14)))))</f>
        <v/>
      </c>
      <c r="AA42" s="60" t="str">
        <f aca="true">IF($B$42="","",IF(N(OFFSET(GanttCalc!$B$12,0,23+N(Contracts!$Q$14)))-N(OFFSET(GanttCalc!$B$12,0,22+N(Contracts!$Q$14)))&lt;=0,"",IF(N(OFFSET(GanttCalc!$B$12,0,23+N(Contracts!$Q$14)))-N(OFFSET(GanttCalc!$B$12,0,22+N(Contracts!$Q$14)))=1,"R"&amp;OFFSET(GanttCalc!$B$12,0,23+N(Contracts!$Q$14)),"R"&amp;(OFFSET(GanttCalc!$B$12,0,22+N(Contracts!$Q$14))+1)&amp;"-"&amp;OFFSET(GanttCalc!$B$12,0,23+N(Contracts!$Q$14)))))</f>
        <v/>
      </c>
      <c r="AB42" s="60" t="str">
        <f aca="true">IF($B$42="","",IF(N(OFFSET(GanttCalc!$B$12,0,24+N(Contracts!$Q$14)))-N(OFFSET(GanttCalc!$B$12,0,23+N(Contracts!$Q$14)))&lt;=0,"",IF(N(OFFSET(GanttCalc!$B$12,0,24+N(Contracts!$Q$14)))-N(OFFSET(GanttCalc!$B$12,0,23+N(Contracts!$Q$14)))=1,"R"&amp;OFFSET(GanttCalc!$B$12,0,24+N(Contracts!$Q$14)),"R"&amp;(OFFSET(GanttCalc!$B$12,0,23+N(Contracts!$Q$14))+1)&amp;"-"&amp;OFFSET(GanttCalc!$B$12,0,24+N(Contracts!$Q$14)))))</f>
        <v/>
      </c>
      <c r="AC42" s="60" t="str">
        <f aca="true">IF($B$42="","",IF(N(OFFSET(GanttCalc!$B$12,0,25+N(Contracts!$Q$14)))-N(OFFSET(GanttCalc!$B$12,0,24+N(Contracts!$Q$14)))&lt;=0,"",IF(N(OFFSET(GanttCalc!$B$12,0,25+N(Contracts!$Q$14)))-N(OFFSET(GanttCalc!$B$12,0,24+N(Contracts!$Q$14)))=1,"R"&amp;OFFSET(GanttCalc!$B$12,0,25+N(Contracts!$Q$14)),"R"&amp;(OFFSET(GanttCalc!$B$12,0,24+N(Contracts!$Q$14))+1)&amp;"-"&amp;OFFSET(GanttCalc!$B$12,0,25+N(Contracts!$Q$14)))))</f>
        <v/>
      </c>
      <c r="AD42" s="60" t="str">
        <f aca="true">IF($B$42="","",IF(N(OFFSET(GanttCalc!$B$12,0,26+N(Contracts!$Q$14)))-N(OFFSET(GanttCalc!$B$12,0,25+N(Contracts!$Q$14)))&lt;=0,"",IF(N(OFFSET(GanttCalc!$B$12,0,26+N(Contracts!$Q$14)))-N(OFFSET(GanttCalc!$B$12,0,25+N(Contracts!$Q$14)))=1,"R"&amp;OFFSET(GanttCalc!$B$12,0,26+N(Contracts!$Q$14)),"R"&amp;(OFFSET(GanttCalc!$B$12,0,25+N(Contracts!$Q$14))+1)&amp;"-"&amp;OFFSET(GanttCalc!$B$12,0,26+N(Contracts!$Q$14)))))</f>
        <v/>
      </c>
      <c r="AE42" s="60" t="str">
        <f aca="true">IF($B$42="","",IF(N(OFFSET(GanttCalc!$B$12,0,27+N(Contracts!$Q$14)))-N(OFFSET(GanttCalc!$B$12,0,26+N(Contracts!$Q$14)))&lt;=0,"",IF(N(OFFSET(GanttCalc!$B$12,0,27+N(Contracts!$Q$14)))-N(OFFSET(GanttCalc!$B$12,0,26+N(Contracts!$Q$14)))=1,"R"&amp;OFFSET(GanttCalc!$B$12,0,27+N(Contracts!$Q$14)),"R"&amp;(OFFSET(GanttCalc!$B$12,0,26+N(Contracts!$Q$14))+1)&amp;"-"&amp;OFFSET(GanttCalc!$B$12,0,27+N(Contracts!$Q$14)))))</f>
        <v/>
      </c>
      <c r="AF42" s="60" t="str">
        <f aca="true">IF($B$42="","",IF(N(OFFSET(GanttCalc!$B$12,0,28+N(Contracts!$Q$14)))-N(OFFSET(GanttCalc!$B$12,0,27+N(Contracts!$Q$14)))&lt;=0,"",IF(N(OFFSET(GanttCalc!$B$12,0,28+N(Contracts!$Q$14)))-N(OFFSET(GanttCalc!$B$12,0,27+N(Contracts!$Q$14)))=1,"R"&amp;OFFSET(GanttCalc!$B$12,0,28+N(Contracts!$Q$14)),"R"&amp;(OFFSET(GanttCalc!$B$12,0,27+N(Contracts!$Q$14))+1)&amp;"-"&amp;OFFSET(GanttCalc!$B$12,0,28+N(Contracts!$Q$14)))))</f>
        <v/>
      </c>
      <c r="AG42" s="60" t="str">
        <f aca="true">IF($B$42="","",IF(N(OFFSET(GanttCalc!$B$12,0,29+N(Contracts!$Q$14)))-N(OFFSET(GanttCalc!$B$12,0,28+N(Contracts!$Q$14)))&lt;=0,"",IF(N(OFFSET(GanttCalc!$B$12,0,29+N(Contracts!$Q$14)))-N(OFFSET(GanttCalc!$B$12,0,28+N(Contracts!$Q$14)))=1,"R"&amp;OFFSET(GanttCalc!$B$12,0,29+N(Contracts!$Q$14)),"R"&amp;(OFFSET(GanttCalc!$B$12,0,28+N(Contracts!$Q$14))+1)&amp;"-"&amp;OFFSET(GanttCalc!$B$12,0,29+N(Contracts!$Q$14)))))</f>
        <v/>
      </c>
      <c r="AH42" s="60" t="str">
        <f aca="true">IF($B$42="","",IF(N(OFFSET(GanttCalc!$B$12,0,30+N(Contracts!$Q$14)))-N(OFFSET(GanttCalc!$B$12,0,29+N(Contracts!$Q$14)))&lt;=0,"",IF(N(OFFSET(GanttCalc!$B$12,0,30+N(Contracts!$Q$14)))-N(OFFSET(GanttCalc!$B$12,0,29+N(Contracts!$Q$14)))=1,"R"&amp;OFFSET(GanttCalc!$B$12,0,30+N(Contracts!$Q$14)),"R"&amp;(OFFSET(GanttCalc!$B$12,0,29+N(Contracts!$Q$14))+1)&amp;"-"&amp;OFFSET(GanttCalc!$B$12,0,30+N(Contracts!$Q$14)))))</f>
        <v/>
      </c>
      <c r="AI42" s="60" t="str">
        <f aca="true">IF($B$42="","",IF(N(OFFSET(GanttCalc!$B$12,0,31+N(Contracts!$Q$14)))-N(OFFSET(GanttCalc!$B$12,0,30+N(Contracts!$Q$14)))&lt;=0,"",IF(N(OFFSET(GanttCalc!$B$12,0,31+N(Contracts!$Q$14)))-N(OFFSET(GanttCalc!$B$12,0,30+N(Contracts!$Q$14)))=1,"R"&amp;OFFSET(GanttCalc!$B$12,0,31+N(Contracts!$Q$14)),"R"&amp;(OFFSET(GanttCalc!$B$12,0,30+N(Contracts!$Q$14))+1)&amp;"-"&amp;OFFSET(GanttCalc!$B$12,0,31+N(Contracts!$Q$14)))))</f>
        <v/>
      </c>
      <c r="AJ42" s="60" t="str">
        <f aca="true">IF($B$42="","",IF(N(OFFSET(GanttCalc!$B$12,0,32+N(Contracts!$Q$14)))-N(OFFSET(GanttCalc!$B$12,0,31+N(Contracts!$Q$14)))&lt;=0,"",IF(N(OFFSET(GanttCalc!$B$12,0,32+N(Contracts!$Q$14)))-N(OFFSET(GanttCalc!$B$12,0,31+N(Contracts!$Q$14)))=1,"R"&amp;OFFSET(GanttCalc!$B$12,0,32+N(Contracts!$Q$14)),"R"&amp;(OFFSET(GanttCalc!$B$12,0,31+N(Contracts!$Q$14))+1)&amp;"-"&amp;OFFSET(GanttCalc!$B$12,0,32+N(Contracts!$Q$14)))))</f>
        <v>R1-2</v>
      </c>
      <c r="AK42" s="60" t="str">
        <f aca="true">IF($B$42="","",IF(N(OFFSET(GanttCalc!$B$12,0,33+N(Contracts!$Q$14)))-N(OFFSET(GanttCalc!$B$12,0,32+N(Contracts!$Q$14)))&lt;=0,"",IF(N(OFFSET(GanttCalc!$B$12,0,33+N(Contracts!$Q$14)))-N(OFFSET(GanttCalc!$B$12,0,32+N(Contracts!$Q$14)))=1,"R"&amp;OFFSET(GanttCalc!$B$12,0,33+N(Contracts!$Q$14)),"R"&amp;(OFFSET(GanttCalc!$B$12,0,32+N(Contracts!$Q$14))+1)&amp;"-"&amp;OFFSET(GanttCalc!$B$12,0,33+N(Contracts!$Q$14)))))</f>
        <v/>
      </c>
      <c r="AL42" s="60" t="str">
        <f aca="true">IF($B$42="","",IF(N(OFFSET(GanttCalc!$B$12,0,34+N(Contracts!$Q$14)))-N(OFFSET(GanttCalc!$B$12,0,33+N(Contracts!$Q$14)))&lt;=0,"",IF(N(OFFSET(GanttCalc!$B$12,0,34+N(Contracts!$Q$14)))-N(OFFSET(GanttCalc!$B$12,0,33+N(Contracts!$Q$14)))=1,"R"&amp;OFFSET(GanttCalc!$B$12,0,34+N(Contracts!$Q$14)),"R"&amp;(OFFSET(GanttCalc!$B$12,0,33+N(Contracts!$Q$14))+1)&amp;"-"&amp;OFFSET(GanttCalc!$B$12,0,34+N(Contracts!$Q$14)))))</f>
        <v/>
      </c>
      <c r="AM42" s="60" t="str">
        <f aca="true">IF($B$42="","",IF(N(OFFSET(GanttCalc!$B$12,0,35+N(Contracts!$Q$14)))-N(OFFSET(GanttCalc!$B$12,0,34+N(Contracts!$Q$14)))&lt;=0,"",IF(N(OFFSET(GanttCalc!$B$12,0,35+N(Contracts!$Q$14)))-N(OFFSET(GanttCalc!$B$12,0,34+N(Contracts!$Q$14)))=1,"R"&amp;OFFSET(GanttCalc!$B$12,0,35+N(Contracts!$Q$14)),"R"&amp;(OFFSET(GanttCalc!$B$12,0,34+N(Contracts!$Q$14))+1)&amp;"-"&amp;OFFSET(GanttCalc!$B$12,0,35+N(Contracts!$Q$14)))))</f>
        <v>R3-6</v>
      </c>
      <c r="AN42" s="60" t="str">
        <f aca="true">IF($B$42="","",IF(N(OFFSET(GanttCalc!$B$12,0,36+N(Contracts!$Q$14)))-N(OFFSET(GanttCalc!$B$12,0,35+N(Contracts!$Q$14)))&lt;=0,"",IF(N(OFFSET(GanttCalc!$B$12,0,36+N(Contracts!$Q$14)))-N(OFFSET(GanttCalc!$B$12,0,35+N(Contracts!$Q$14)))=1,"R"&amp;OFFSET(GanttCalc!$B$12,0,36+N(Contracts!$Q$14)),"R"&amp;(OFFSET(GanttCalc!$B$12,0,35+N(Contracts!$Q$14))+1)&amp;"-"&amp;OFFSET(GanttCalc!$B$12,0,36+N(Contracts!$Q$14)))))</f>
        <v>R7</v>
      </c>
      <c r="AO42" s="60" t="str">
        <f aca="true">IF($B$42="","",IF(N(OFFSET(GanttCalc!$B$12,0,37+N(Contracts!$Q$14)))-N(OFFSET(GanttCalc!$B$12,0,36+N(Contracts!$Q$14)))&lt;=0,"",IF(N(OFFSET(GanttCalc!$B$12,0,37+N(Contracts!$Q$14)))-N(OFFSET(GanttCalc!$B$12,0,36+N(Contracts!$Q$14)))=1,"R"&amp;OFFSET(GanttCalc!$B$12,0,37+N(Contracts!$Q$14)),"R"&amp;(OFFSET(GanttCalc!$B$12,0,36+N(Contracts!$Q$14))+1)&amp;"-"&amp;OFFSET(GanttCalc!$B$12,0,37+N(Contracts!$Q$14)))))</f>
        <v>R8-9</v>
      </c>
      <c r="AP42" s="60" t="str">
        <f aca="true">IF($B$42="","",IF(N(OFFSET(GanttCalc!$B$12,0,38+N(Contracts!$Q$14)))-N(OFFSET(GanttCalc!$B$12,0,37+N(Contracts!$Q$14)))&lt;=0,"",IF(N(OFFSET(GanttCalc!$B$12,0,38+N(Contracts!$Q$14)))-N(OFFSET(GanttCalc!$B$12,0,37+N(Contracts!$Q$14)))=1,"R"&amp;OFFSET(GanttCalc!$B$12,0,38+N(Contracts!$Q$14)),"R"&amp;(OFFSET(GanttCalc!$B$12,0,37+N(Contracts!$Q$14))+1)&amp;"-"&amp;OFFSET(GanttCalc!$B$12,0,38+N(Contracts!$Q$14)))))</f>
        <v/>
      </c>
      <c r="AQ42" s="60" t="str">
        <f aca="true">IF($B$42="","",IF(N(OFFSET(GanttCalc!$B$12,0,39+N(Contracts!$Q$14)))-N(OFFSET(GanttCalc!$B$12,0,38+N(Contracts!$Q$14)))&lt;=0,"",IF(N(OFFSET(GanttCalc!$B$12,0,39+N(Contracts!$Q$14)))-N(OFFSET(GanttCalc!$B$12,0,38+N(Contracts!$Q$14)))=1,"R"&amp;OFFSET(GanttCalc!$B$12,0,39+N(Contracts!$Q$14)),"R"&amp;(OFFSET(GanttCalc!$B$12,0,38+N(Contracts!$Q$14))+1)&amp;"-"&amp;OFFSET(GanttCalc!$B$12,0,39+N(Contracts!$Q$14)))))</f>
        <v/>
      </c>
      <c r="AR42" s="60" t="str">
        <f aca="true">IF($B$42="","",IF(N(OFFSET(GanttCalc!$B$12,0,40+N(Contracts!$Q$14)))-N(OFFSET(GanttCalc!$B$12,0,39+N(Contracts!$Q$14)))&lt;=0,"",IF(N(OFFSET(GanttCalc!$B$12,0,40+N(Contracts!$Q$14)))-N(OFFSET(GanttCalc!$B$12,0,39+N(Contracts!$Q$14)))=1,"R"&amp;OFFSET(GanttCalc!$B$12,0,40+N(Contracts!$Q$14)),"R"&amp;(OFFSET(GanttCalc!$B$12,0,39+N(Contracts!$Q$14))+1)&amp;"-"&amp;OFFSET(GanttCalc!$B$12,0,40+N(Contracts!$Q$14)))))</f>
        <v/>
      </c>
      <c r="AS42" s="60" t="str">
        <f aca="true">IF($B$42="","",IF(N(OFFSET(GanttCalc!$B$12,0,41+N(Contracts!$Q$14)))-N(OFFSET(GanttCalc!$B$12,0,40+N(Contracts!$Q$14)))&lt;=0,"",IF(N(OFFSET(GanttCalc!$B$12,0,41+N(Contracts!$Q$14)))-N(OFFSET(GanttCalc!$B$12,0,40+N(Contracts!$Q$14)))=1,"R"&amp;OFFSET(GanttCalc!$B$12,0,41+N(Contracts!$Q$14)),"R"&amp;(OFFSET(GanttCalc!$B$12,0,40+N(Contracts!$Q$14))+1)&amp;"-"&amp;OFFSET(GanttCalc!$B$12,0,41+N(Contracts!$Q$14)))))</f>
        <v/>
      </c>
      <c r="AT42" s="60" t="str">
        <f aca="true">IF($B$42="","",IF(N(OFFSET(GanttCalc!$B$12,0,42+N(Contracts!$Q$14)))-N(OFFSET(GanttCalc!$B$12,0,41+N(Contracts!$Q$14)))&lt;=0,"",IF(N(OFFSET(GanttCalc!$B$12,0,42+N(Contracts!$Q$14)))-N(OFFSET(GanttCalc!$B$12,0,41+N(Contracts!$Q$14)))=1,"R"&amp;OFFSET(GanttCalc!$B$12,0,42+N(Contracts!$Q$14)),"R"&amp;(OFFSET(GanttCalc!$B$12,0,41+N(Contracts!$Q$14))+1)&amp;"-"&amp;OFFSET(GanttCalc!$B$12,0,42+N(Contracts!$Q$14)))))</f>
        <v/>
      </c>
      <c r="AU42" s="60" t="str">
        <f aca="true">IF($B$42="","",IF(N(OFFSET(GanttCalc!$B$12,0,43+N(Contracts!$Q$14)))-N(OFFSET(GanttCalc!$B$12,0,42+N(Contracts!$Q$14)))&lt;=0,"",IF(N(OFFSET(GanttCalc!$B$12,0,43+N(Contracts!$Q$14)))-N(OFFSET(GanttCalc!$B$12,0,42+N(Contracts!$Q$14)))=1,"R"&amp;OFFSET(GanttCalc!$B$12,0,43+N(Contracts!$Q$14)),"R"&amp;(OFFSET(GanttCalc!$B$12,0,42+N(Contracts!$Q$14))+1)&amp;"-"&amp;OFFSET(GanttCalc!$B$12,0,43+N(Contracts!$Q$14)))))</f>
        <v/>
      </c>
      <c r="AV42" s="60" t="str">
        <f aca="true">IF($B$42="","",IF(N(OFFSET(GanttCalc!$B$12,0,44+N(Contracts!$Q$14)))-N(OFFSET(GanttCalc!$B$12,0,43+N(Contracts!$Q$14)))&lt;=0,"",IF(N(OFFSET(GanttCalc!$B$12,0,44+N(Contracts!$Q$14)))-N(OFFSET(GanttCalc!$B$12,0,43+N(Contracts!$Q$14)))=1,"R"&amp;OFFSET(GanttCalc!$B$12,0,44+N(Contracts!$Q$14)),"R"&amp;(OFFSET(GanttCalc!$B$12,0,43+N(Contracts!$Q$14))+1)&amp;"-"&amp;OFFSET(GanttCalc!$B$12,0,44+N(Contracts!$Q$14)))))</f>
        <v/>
      </c>
      <c r="AW42" s="60" t="str">
        <f aca="true">IF($B$42="","",IF(N(OFFSET(GanttCalc!$B$12,0,45+N(Contracts!$Q$14)))-N(OFFSET(GanttCalc!$B$12,0,44+N(Contracts!$Q$14)))&lt;=0,"",IF(N(OFFSET(GanttCalc!$B$12,0,45+N(Contracts!$Q$14)))-N(OFFSET(GanttCalc!$B$12,0,44+N(Contracts!$Q$14)))=1,"R"&amp;OFFSET(GanttCalc!$B$12,0,45+N(Contracts!$Q$14)),"R"&amp;(OFFSET(GanttCalc!$B$12,0,44+N(Contracts!$Q$14))+1)&amp;"-"&amp;OFFSET(GanttCalc!$B$12,0,45+N(Contracts!$Q$14)))))</f>
        <v/>
      </c>
      <c r="AX42" s="60" t="str">
        <f aca="true">IF($B$42="","",IF(N(OFFSET(GanttCalc!$B$12,0,46+N(Contracts!$Q$14)))-N(OFFSET(GanttCalc!$B$12,0,45+N(Contracts!$Q$14)))&lt;=0,"",IF(N(OFFSET(GanttCalc!$B$12,0,46+N(Contracts!$Q$14)))-N(OFFSET(GanttCalc!$B$12,0,45+N(Contracts!$Q$14)))=1,"R"&amp;OFFSET(GanttCalc!$B$12,0,46+N(Contracts!$Q$14)),"R"&amp;(OFFSET(GanttCalc!$B$12,0,45+N(Contracts!$Q$14))+1)&amp;"-"&amp;OFFSET(GanttCalc!$B$12,0,46+N(Contracts!$Q$14)))))</f>
        <v/>
      </c>
      <c r="AY42" s="60" t="str">
        <f aca="true">IF($B$42="","",IF(N(OFFSET(GanttCalc!$B$12,0,47+N(Contracts!$Q$14)))-N(OFFSET(GanttCalc!$B$12,0,46+N(Contracts!$Q$14)))&lt;=0,"",IF(N(OFFSET(GanttCalc!$B$12,0,47+N(Contracts!$Q$14)))-N(OFFSET(GanttCalc!$B$12,0,46+N(Contracts!$Q$14)))=1,"R"&amp;OFFSET(GanttCalc!$B$12,0,47+N(Contracts!$Q$14)),"R"&amp;(OFFSET(GanttCalc!$B$12,0,46+N(Contracts!$Q$14))+1)&amp;"-"&amp;OFFSET(GanttCalc!$B$12,0,47+N(Contracts!$Q$14)))))</f>
        <v/>
      </c>
      <c r="AZ42" s="60" t="str">
        <f aca="true">IF($B$42="","",IF(N(OFFSET(GanttCalc!$B$12,0,48+N(Contracts!$Q$14)))-N(OFFSET(GanttCalc!$B$12,0,47+N(Contracts!$Q$14)))&lt;=0,"",IF(N(OFFSET(GanttCalc!$B$12,0,48+N(Contracts!$Q$14)))-N(OFFSET(GanttCalc!$B$12,0,47+N(Contracts!$Q$14)))=1,"R"&amp;OFFSET(GanttCalc!$B$12,0,48+N(Contracts!$Q$14)),"R"&amp;(OFFSET(GanttCalc!$B$12,0,47+N(Contracts!$Q$14))+1)&amp;"-"&amp;OFFSET(GanttCalc!$B$12,0,48+N(Contracts!$Q$14)))))</f>
        <v/>
      </c>
      <c r="BA42" s="60" t="str">
        <f aca="true">IF($B$42="","",IF(N(OFFSET(GanttCalc!$B$12,0,49+N(Contracts!$Q$14)))-N(OFFSET(GanttCalc!$B$12,0,48+N(Contracts!$Q$14)))&lt;=0,"",IF(N(OFFSET(GanttCalc!$B$12,0,49+N(Contracts!$Q$14)))-N(OFFSET(GanttCalc!$B$12,0,48+N(Contracts!$Q$14)))=1,"R"&amp;OFFSET(GanttCalc!$B$12,0,49+N(Contracts!$Q$14)),"R"&amp;(OFFSET(GanttCalc!$B$12,0,48+N(Contracts!$Q$14))+1)&amp;"-"&amp;OFFSET(GanttCalc!$B$12,0,49+N(Contracts!$Q$14)))))</f>
        <v/>
      </c>
      <c r="BB42" s="60" t="str">
        <f aca="true">IF($B$42="","",IF(N(OFFSET(GanttCalc!$B$12,0,50+N(Contracts!$Q$14)))-N(OFFSET(GanttCalc!$B$12,0,49+N(Contracts!$Q$14)))&lt;=0,"",IF(N(OFFSET(GanttCalc!$B$12,0,50+N(Contracts!$Q$14)))-N(OFFSET(GanttCalc!$B$12,0,49+N(Contracts!$Q$14)))=1,"R"&amp;OFFSET(GanttCalc!$B$12,0,50+N(Contracts!$Q$14)),"R"&amp;(OFFSET(GanttCalc!$B$12,0,49+N(Contracts!$Q$14))+1)&amp;"-"&amp;OFFSET(GanttCalc!$B$12,0,50+N(Contracts!$Q$14)))))</f>
        <v/>
      </c>
      <c r="BC42" s="60" t="str">
        <f aca="true">IF($B$42="","",IF(N(OFFSET(GanttCalc!$B$12,0,51+N(Contracts!$Q$14)))-N(OFFSET(GanttCalc!$B$12,0,50+N(Contracts!$Q$14)))&lt;=0,"",IF(N(OFFSET(GanttCalc!$B$12,0,51+N(Contracts!$Q$14)))-N(OFFSET(GanttCalc!$B$12,0,50+N(Contracts!$Q$14)))=1,"R"&amp;OFFSET(GanttCalc!$B$12,0,51+N(Contracts!$Q$14)),"R"&amp;(OFFSET(GanttCalc!$B$12,0,50+N(Contracts!$Q$14))+1)&amp;"-"&amp;OFFSET(GanttCalc!$B$12,0,51+N(Contracts!$Q$14)))))</f>
        <v/>
      </c>
      <c r="BD42" s="60" t="str">
        <f aca="true">IF($B$42="","",IF(N(OFFSET(GanttCalc!$B$12,0,52+N(Contracts!$Q$14)))-N(OFFSET(GanttCalc!$B$12,0,51+N(Contracts!$Q$14)))&lt;=0,"",IF(N(OFFSET(GanttCalc!$B$12,0,52+N(Contracts!$Q$14)))-N(OFFSET(GanttCalc!$B$12,0,51+N(Contracts!$Q$14)))=1,"R"&amp;OFFSET(GanttCalc!$B$12,0,52+N(Contracts!$Q$14)),"R"&amp;(OFFSET(GanttCalc!$B$12,0,51+N(Contracts!$Q$14))+1)&amp;"-"&amp;OFFSET(GanttCalc!$B$12,0,52+N(Contracts!$Q$14)))))</f>
        <v/>
      </c>
    </row>
    <row r="43" customFormat="false" ht="16.5" hidden="false" customHeight="true" outlineLevel="0" collapsed="false">
      <c r="B43" s="61" t="str">
        <f aca="false">IF(Contracts!$A$14="","",Contracts!$C$14)</f>
        <v>92ERP16548A++</v>
      </c>
      <c r="C43" s="62" t="str">
        <f aca="false">IF(Contracts!$A$14="","","AMPS build")</f>
        <v>AMPS build</v>
      </c>
      <c r="D43" s="59" t="str">
        <f aca="false">IF($B$42="","",SUMPRODUCT(--(E43:BD43&lt;&gt;""))&amp;" wks")</f>
        <v>4 wks</v>
      </c>
      <c r="E43" s="60" t="str">
        <f aca="false">IF($B$42="","",IF(N(GanttCalc!D12)-N(GanttCalc!C12)&lt;=0,"",IF(N(GanttCalc!D12)-N(GanttCalc!C12)=1,"R"&amp;GanttCalc!D12,"R"&amp;(GanttCalc!C12+1)&amp;"-"&amp;GanttCalc!D12)))</f>
        <v/>
      </c>
      <c r="F43" s="60" t="str">
        <f aca="false">IF($B$42="","",IF(N(GanttCalc!E12)-N(GanttCalc!D12)&lt;=0,"",IF(N(GanttCalc!E12)-N(GanttCalc!D12)=1,"R"&amp;GanttCalc!E12,"R"&amp;(GanttCalc!D12+1)&amp;"-"&amp;GanttCalc!E12)))</f>
        <v/>
      </c>
      <c r="G43" s="60" t="str">
        <f aca="false">IF($B$42="","",IF(N(GanttCalc!F12)-N(GanttCalc!E12)&lt;=0,"",IF(N(GanttCalc!F12)-N(GanttCalc!E12)=1,"R"&amp;GanttCalc!F12,"R"&amp;(GanttCalc!E12+1)&amp;"-"&amp;GanttCalc!F12)))</f>
        <v/>
      </c>
      <c r="H43" s="60" t="str">
        <f aca="false">IF($B$42="","",IF(N(GanttCalc!G12)-N(GanttCalc!F12)&lt;=0,"",IF(N(GanttCalc!G12)-N(GanttCalc!F12)=1,"R"&amp;GanttCalc!G12,"R"&amp;(GanttCalc!F12+1)&amp;"-"&amp;GanttCalc!G12)))</f>
        <v/>
      </c>
      <c r="I43" s="60" t="str">
        <f aca="false">IF($B$42="","",IF(N(GanttCalc!H12)-N(GanttCalc!G12)&lt;=0,"",IF(N(GanttCalc!H12)-N(GanttCalc!G12)=1,"R"&amp;GanttCalc!H12,"R"&amp;(GanttCalc!G12+1)&amp;"-"&amp;GanttCalc!H12)))</f>
        <v/>
      </c>
      <c r="J43" s="60" t="str">
        <f aca="false">IF($B$42="","",IF(N(GanttCalc!I12)-N(GanttCalc!H12)&lt;=0,"",IF(N(GanttCalc!I12)-N(GanttCalc!H12)=1,"R"&amp;GanttCalc!I12,"R"&amp;(GanttCalc!H12+1)&amp;"-"&amp;GanttCalc!I12)))</f>
        <v/>
      </c>
      <c r="K43" s="60" t="str">
        <f aca="false">IF($B$42="","",IF(N(GanttCalc!J12)-N(GanttCalc!I12)&lt;=0,"",IF(N(GanttCalc!J12)-N(GanttCalc!I12)=1,"R"&amp;GanttCalc!J12,"R"&amp;(GanttCalc!I12+1)&amp;"-"&amp;GanttCalc!J12)))</f>
        <v/>
      </c>
      <c r="L43" s="60" t="str">
        <f aca="false">IF($B$42="","",IF(N(GanttCalc!K12)-N(GanttCalc!J12)&lt;=0,"",IF(N(GanttCalc!K12)-N(GanttCalc!J12)=1,"R"&amp;GanttCalc!K12,"R"&amp;(GanttCalc!J12+1)&amp;"-"&amp;GanttCalc!K12)))</f>
        <v/>
      </c>
      <c r="M43" s="60" t="str">
        <f aca="false">IF($B$42="","",IF(N(GanttCalc!L12)-N(GanttCalc!K12)&lt;=0,"",IF(N(GanttCalc!L12)-N(GanttCalc!K12)=1,"R"&amp;GanttCalc!L12,"R"&amp;(GanttCalc!K12+1)&amp;"-"&amp;GanttCalc!L12)))</f>
        <v/>
      </c>
      <c r="N43" s="60" t="str">
        <f aca="false">IF($B$42="","",IF(N(GanttCalc!M12)-N(GanttCalc!L12)&lt;=0,"",IF(N(GanttCalc!M12)-N(GanttCalc!L12)=1,"R"&amp;GanttCalc!M12,"R"&amp;(GanttCalc!L12+1)&amp;"-"&amp;GanttCalc!M12)))</f>
        <v/>
      </c>
      <c r="O43" s="60" t="str">
        <f aca="false">IF($B$42="","",IF(N(GanttCalc!N12)-N(GanttCalc!M12)&lt;=0,"",IF(N(GanttCalc!N12)-N(GanttCalc!M12)=1,"R"&amp;GanttCalc!N12,"R"&amp;(GanttCalc!M12+1)&amp;"-"&amp;GanttCalc!N12)))</f>
        <v/>
      </c>
      <c r="P43" s="60" t="str">
        <f aca="false">IF($B$42="","",IF(N(GanttCalc!O12)-N(GanttCalc!N12)&lt;=0,"",IF(N(GanttCalc!O12)-N(GanttCalc!N12)=1,"R"&amp;GanttCalc!O12,"R"&amp;(GanttCalc!N12+1)&amp;"-"&amp;GanttCalc!O12)))</f>
        <v/>
      </c>
      <c r="Q43" s="60" t="str">
        <f aca="false">IF($B$42="","",IF(N(GanttCalc!P12)-N(GanttCalc!O12)&lt;=0,"",IF(N(GanttCalc!P12)-N(GanttCalc!O12)=1,"R"&amp;GanttCalc!P12,"R"&amp;(GanttCalc!O12+1)&amp;"-"&amp;GanttCalc!P12)))</f>
        <v/>
      </c>
      <c r="R43" s="60" t="str">
        <f aca="false">IF($B$42="","",IF(N(GanttCalc!Q12)-N(GanttCalc!P12)&lt;=0,"",IF(N(GanttCalc!Q12)-N(GanttCalc!P12)=1,"R"&amp;GanttCalc!Q12,"R"&amp;(GanttCalc!P12+1)&amp;"-"&amp;GanttCalc!Q12)))</f>
        <v/>
      </c>
      <c r="S43" s="60" t="str">
        <f aca="false">IF($B$42="","",IF(N(GanttCalc!R12)-N(GanttCalc!Q12)&lt;=0,"",IF(N(GanttCalc!R12)-N(GanttCalc!Q12)=1,"R"&amp;GanttCalc!R12,"R"&amp;(GanttCalc!Q12+1)&amp;"-"&amp;GanttCalc!R12)))</f>
        <v/>
      </c>
      <c r="T43" s="60" t="str">
        <f aca="false">IF($B$42="","",IF(N(GanttCalc!S12)-N(GanttCalc!R12)&lt;=0,"",IF(N(GanttCalc!S12)-N(GanttCalc!R12)=1,"R"&amp;GanttCalc!S12,"R"&amp;(GanttCalc!R12+1)&amp;"-"&amp;GanttCalc!S12)))</f>
        <v/>
      </c>
      <c r="U43" s="60" t="str">
        <f aca="false">IF($B$42="","",IF(N(GanttCalc!T12)-N(GanttCalc!S12)&lt;=0,"",IF(N(GanttCalc!T12)-N(GanttCalc!S12)=1,"R"&amp;GanttCalc!T12,"R"&amp;(GanttCalc!S12+1)&amp;"-"&amp;GanttCalc!T12)))</f>
        <v/>
      </c>
      <c r="V43" s="60" t="str">
        <f aca="false">IF($B$42="","",IF(N(GanttCalc!U12)-N(GanttCalc!T12)&lt;=0,"",IF(N(GanttCalc!U12)-N(GanttCalc!T12)=1,"R"&amp;GanttCalc!U12,"R"&amp;(GanttCalc!T12+1)&amp;"-"&amp;GanttCalc!U12)))</f>
        <v/>
      </c>
      <c r="W43" s="60" t="str">
        <f aca="false">IF($B$42="","",IF(N(GanttCalc!V12)-N(GanttCalc!U12)&lt;=0,"",IF(N(GanttCalc!V12)-N(GanttCalc!U12)=1,"R"&amp;GanttCalc!V12,"R"&amp;(GanttCalc!U12+1)&amp;"-"&amp;GanttCalc!V12)))</f>
        <v/>
      </c>
      <c r="X43" s="60" t="str">
        <f aca="false">IF($B$42="","",IF(N(GanttCalc!W12)-N(GanttCalc!V12)&lt;=0,"",IF(N(GanttCalc!W12)-N(GanttCalc!V12)=1,"R"&amp;GanttCalc!W12,"R"&amp;(GanttCalc!V12+1)&amp;"-"&amp;GanttCalc!W12)))</f>
        <v/>
      </c>
      <c r="Y43" s="60" t="str">
        <f aca="false">IF($B$42="","",IF(N(GanttCalc!X12)-N(GanttCalc!W12)&lt;=0,"",IF(N(GanttCalc!X12)-N(GanttCalc!W12)=1,"R"&amp;GanttCalc!X12,"R"&amp;(GanttCalc!W12+1)&amp;"-"&amp;GanttCalc!X12)))</f>
        <v/>
      </c>
      <c r="Z43" s="60" t="str">
        <f aca="false">IF($B$42="","",IF(N(GanttCalc!Y12)-N(GanttCalc!X12)&lt;=0,"",IF(N(GanttCalc!Y12)-N(GanttCalc!X12)=1,"R"&amp;GanttCalc!Y12,"R"&amp;(GanttCalc!X12+1)&amp;"-"&amp;GanttCalc!Y12)))</f>
        <v/>
      </c>
      <c r="AA43" s="60" t="str">
        <f aca="false">IF($B$42="","",IF(N(GanttCalc!Z12)-N(GanttCalc!Y12)&lt;=0,"",IF(N(GanttCalc!Z12)-N(GanttCalc!Y12)=1,"R"&amp;GanttCalc!Z12,"R"&amp;(GanttCalc!Y12+1)&amp;"-"&amp;GanttCalc!Z12)))</f>
        <v/>
      </c>
      <c r="AB43" s="60" t="str">
        <f aca="false">IF($B$42="","",IF(N(GanttCalc!AA12)-N(GanttCalc!Z12)&lt;=0,"",IF(N(GanttCalc!AA12)-N(GanttCalc!Z12)=1,"R"&amp;GanttCalc!AA12,"R"&amp;(GanttCalc!Z12+1)&amp;"-"&amp;GanttCalc!AA12)))</f>
        <v/>
      </c>
      <c r="AC43" s="60" t="str">
        <f aca="false">IF($B$42="","",IF(N(GanttCalc!AB12)-N(GanttCalc!AA12)&lt;=0,"",IF(N(GanttCalc!AB12)-N(GanttCalc!AA12)=1,"R"&amp;GanttCalc!AB12,"R"&amp;(GanttCalc!AA12+1)&amp;"-"&amp;GanttCalc!AB12)))</f>
        <v/>
      </c>
      <c r="AD43" s="60" t="str">
        <f aca="false">IF($B$42="","",IF(N(GanttCalc!AC12)-N(GanttCalc!AB12)&lt;=0,"",IF(N(GanttCalc!AC12)-N(GanttCalc!AB12)=1,"R"&amp;GanttCalc!AC12,"R"&amp;(GanttCalc!AB12+1)&amp;"-"&amp;GanttCalc!AC12)))</f>
        <v/>
      </c>
      <c r="AE43" s="60" t="str">
        <f aca="false">IF($B$42="","",IF(N(GanttCalc!AD12)-N(GanttCalc!AC12)&lt;=0,"",IF(N(GanttCalc!AD12)-N(GanttCalc!AC12)=1,"R"&amp;GanttCalc!AD12,"R"&amp;(GanttCalc!AC12+1)&amp;"-"&amp;GanttCalc!AD12)))</f>
        <v/>
      </c>
      <c r="AF43" s="60" t="str">
        <f aca="false">IF($B$42="","",IF(N(GanttCalc!AE12)-N(GanttCalc!AD12)&lt;=0,"",IF(N(GanttCalc!AE12)-N(GanttCalc!AD12)=1,"R"&amp;GanttCalc!AE12,"R"&amp;(GanttCalc!AD12+1)&amp;"-"&amp;GanttCalc!AE12)))</f>
        <v/>
      </c>
      <c r="AG43" s="60" t="str">
        <f aca="false">IF($B$42="","",IF(N(GanttCalc!AF12)-N(GanttCalc!AE12)&lt;=0,"",IF(N(GanttCalc!AF12)-N(GanttCalc!AE12)=1,"R"&amp;GanttCalc!AF12,"R"&amp;(GanttCalc!AE12+1)&amp;"-"&amp;GanttCalc!AF12)))</f>
        <v/>
      </c>
      <c r="AH43" s="60" t="str">
        <f aca="false">IF($B$42="","",IF(N(GanttCalc!AG12)-N(GanttCalc!AF12)&lt;=0,"",IF(N(GanttCalc!AG12)-N(GanttCalc!AF12)=1,"R"&amp;GanttCalc!AG12,"R"&amp;(GanttCalc!AF12+1)&amp;"-"&amp;GanttCalc!AG12)))</f>
        <v/>
      </c>
      <c r="AI43" s="60" t="str">
        <f aca="false">IF($B$42="","",IF(N(GanttCalc!AH12)-N(GanttCalc!AG12)&lt;=0,"",IF(N(GanttCalc!AH12)-N(GanttCalc!AG12)=1,"R"&amp;GanttCalc!AH12,"R"&amp;(GanttCalc!AG12+1)&amp;"-"&amp;GanttCalc!AH12)))</f>
        <v/>
      </c>
      <c r="AJ43" s="60" t="str">
        <f aca="false">IF($B$42="","",IF(N(GanttCalc!AI12)-N(GanttCalc!AH12)&lt;=0,"",IF(N(GanttCalc!AI12)-N(GanttCalc!AH12)=1,"R"&amp;GanttCalc!AI12,"R"&amp;(GanttCalc!AH12+1)&amp;"-"&amp;GanttCalc!AI12)))</f>
        <v/>
      </c>
      <c r="AK43" s="60" t="str">
        <f aca="false">IF($B$42="","",IF(N(GanttCalc!AJ12)-N(GanttCalc!AI12)&lt;=0,"",IF(N(GanttCalc!AJ12)-N(GanttCalc!AI12)=1,"R"&amp;GanttCalc!AJ12,"R"&amp;(GanttCalc!AI12+1)&amp;"-"&amp;GanttCalc!AJ12)))</f>
        <v>R1-2</v>
      </c>
      <c r="AL43" s="60" t="str">
        <f aca="false">IF($B$42="","",IF(N(GanttCalc!AK12)-N(GanttCalc!AJ12)&lt;=0,"",IF(N(GanttCalc!AK12)-N(GanttCalc!AJ12)=1,"R"&amp;GanttCalc!AK12,"R"&amp;(GanttCalc!AJ12+1)&amp;"-"&amp;GanttCalc!AK12)))</f>
        <v/>
      </c>
      <c r="AM43" s="60" t="str">
        <f aca="false">IF($B$42="","",IF(N(GanttCalc!AL12)-N(GanttCalc!AK12)&lt;=0,"",IF(N(GanttCalc!AL12)-N(GanttCalc!AK12)=1,"R"&amp;GanttCalc!AL12,"R"&amp;(GanttCalc!AK12+1)&amp;"-"&amp;GanttCalc!AL12)))</f>
        <v/>
      </c>
      <c r="AN43" s="60" t="str">
        <f aca="false">IF($B$42="","",IF(N(GanttCalc!AM12)-N(GanttCalc!AL12)&lt;=0,"",IF(N(GanttCalc!AM12)-N(GanttCalc!AL12)=1,"R"&amp;GanttCalc!AM12,"R"&amp;(GanttCalc!AL12+1)&amp;"-"&amp;GanttCalc!AM12)))</f>
        <v>R3-6</v>
      </c>
      <c r="AO43" s="60" t="str">
        <f aca="false">IF($B$42="","",IF(N(GanttCalc!AN12)-N(GanttCalc!AM12)&lt;=0,"",IF(N(GanttCalc!AN12)-N(GanttCalc!AM12)=1,"R"&amp;GanttCalc!AN12,"R"&amp;(GanttCalc!AM12+1)&amp;"-"&amp;GanttCalc!AN12)))</f>
        <v>R7</v>
      </c>
      <c r="AP43" s="60" t="str">
        <f aca="false">IF($B$42="","",IF(N(GanttCalc!AO12)-N(GanttCalc!AN12)&lt;=0,"",IF(N(GanttCalc!AO12)-N(GanttCalc!AN12)=1,"R"&amp;GanttCalc!AO12,"R"&amp;(GanttCalc!AN12+1)&amp;"-"&amp;GanttCalc!AO12)))</f>
        <v>R8-9</v>
      </c>
      <c r="AQ43" s="60" t="str">
        <f aca="false">IF($B$42="","",IF(N(GanttCalc!AP12)-N(GanttCalc!AO12)&lt;=0,"",IF(N(GanttCalc!AP12)-N(GanttCalc!AO12)=1,"R"&amp;GanttCalc!AP12,"R"&amp;(GanttCalc!AO12+1)&amp;"-"&amp;GanttCalc!AP12)))</f>
        <v/>
      </c>
      <c r="AR43" s="60" t="str">
        <f aca="false">IF($B$42="","",IF(N(GanttCalc!AQ12)-N(GanttCalc!AP12)&lt;=0,"",IF(N(GanttCalc!AQ12)-N(GanttCalc!AP12)=1,"R"&amp;GanttCalc!AQ12,"R"&amp;(GanttCalc!AP12+1)&amp;"-"&amp;GanttCalc!AQ12)))</f>
        <v/>
      </c>
      <c r="AS43" s="60" t="str">
        <f aca="false">IF($B$42="","",IF(N(GanttCalc!AR12)-N(GanttCalc!AQ12)&lt;=0,"",IF(N(GanttCalc!AR12)-N(GanttCalc!AQ12)=1,"R"&amp;GanttCalc!AR12,"R"&amp;(GanttCalc!AQ12+1)&amp;"-"&amp;GanttCalc!AR12)))</f>
        <v/>
      </c>
      <c r="AT43" s="60" t="str">
        <f aca="false">IF($B$42="","",IF(N(GanttCalc!AS12)-N(GanttCalc!AR12)&lt;=0,"",IF(N(GanttCalc!AS12)-N(GanttCalc!AR12)=1,"R"&amp;GanttCalc!AS12,"R"&amp;(GanttCalc!AR12+1)&amp;"-"&amp;GanttCalc!AS12)))</f>
        <v/>
      </c>
      <c r="AU43" s="60" t="str">
        <f aca="false">IF($B$42="","",IF(N(GanttCalc!AT12)-N(GanttCalc!AS12)&lt;=0,"",IF(N(GanttCalc!AT12)-N(GanttCalc!AS12)=1,"R"&amp;GanttCalc!AT12,"R"&amp;(GanttCalc!AS12+1)&amp;"-"&amp;GanttCalc!AT12)))</f>
        <v/>
      </c>
      <c r="AV43" s="60" t="str">
        <f aca="false">IF($B$42="","",IF(N(GanttCalc!AU12)-N(GanttCalc!AT12)&lt;=0,"",IF(N(GanttCalc!AU12)-N(GanttCalc!AT12)=1,"R"&amp;GanttCalc!AU12,"R"&amp;(GanttCalc!AT12+1)&amp;"-"&amp;GanttCalc!AU12)))</f>
        <v/>
      </c>
      <c r="AW43" s="60" t="str">
        <f aca="false">IF($B$42="","",IF(N(GanttCalc!AV12)-N(GanttCalc!AU12)&lt;=0,"",IF(N(GanttCalc!AV12)-N(GanttCalc!AU12)=1,"R"&amp;GanttCalc!AV12,"R"&amp;(GanttCalc!AU12+1)&amp;"-"&amp;GanttCalc!AV12)))</f>
        <v/>
      </c>
      <c r="AX43" s="60" t="str">
        <f aca="false">IF($B$42="","",IF(N(GanttCalc!AW12)-N(GanttCalc!AV12)&lt;=0,"",IF(N(GanttCalc!AW12)-N(GanttCalc!AV12)=1,"R"&amp;GanttCalc!AW12,"R"&amp;(GanttCalc!AV12+1)&amp;"-"&amp;GanttCalc!AW12)))</f>
        <v/>
      </c>
      <c r="AY43" s="60" t="str">
        <f aca="false">IF($B$42="","",IF(N(GanttCalc!AX12)-N(GanttCalc!AW12)&lt;=0,"",IF(N(GanttCalc!AX12)-N(GanttCalc!AW12)=1,"R"&amp;GanttCalc!AX12,"R"&amp;(GanttCalc!AW12+1)&amp;"-"&amp;GanttCalc!AX12)))</f>
        <v/>
      </c>
      <c r="AZ43" s="60" t="str">
        <f aca="false">IF($B$42="","",IF(N(GanttCalc!AY12)-N(GanttCalc!AX12)&lt;=0,"",IF(N(GanttCalc!AY12)-N(GanttCalc!AX12)=1,"R"&amp;GanttCalc!AY12,"R"&amp;(GanttCalc!AX12+1)&amp;"-"&amp;GanttCalc!AY12)))</f>
        <v/>
      </c>
      <c r="BA43" s="60" t="str">
        <f aca="false">IF($B$42="","",IF(N(GanttCalc!AZ12)-N(GanttCalc!AY12)&lt;=0,"",IF(N(GanttCalc!AZ12)-N(GanttCalc!AY12)=1,"R"&amp;GanttCalc!AZ12,"R"&amp;(GanttCalc!AY12+1)&amp;"-"&amp;GanttCalc!AZ12)))</f>
        <v/>
      </c>
      <c r="BB43" s="60" t="str">
        <f aca="false">IF($B$42="","",IF(N(GanttCalc!BA12)-N(GanttCalc!AZ12)&lt;=0,"",IF(N(GanttCalc!BA12)-N(GanttCalc!AZ12)=1,"R"&amp;GanttCalc!BA12,"R"&amp;(GanttCalc!AZ12+1)&amp;"-"&amp;GanttCalc!BA12)))</f>
        <v/>
      </c>
      <c r="BC43" s="60" t="str">
        <f aca="false">IF($B$42="","",IF(N(GanttCalc!BB12)-N(GanttCalc!BA12)&lt;=0,"",IF(N(GanttCalc!BB12)-N(GanttCalc!BA12)=1,"R"&amp;GanttCalc!BB12,"R"&amp;(GanttCalc!BA12+1)&amp;"-"&amp;GanttCalc!BB12)))</f>
        <v/>
      </c>
      <c r="BD43" s="60" t="str">
        <f aca="false">IF($B$42="","",IF(N(GanttCalc!BC12)-N(GanttCalc!BB12)&lt;=0,"",IF(N(GanttCalc!BC12)-N(GanttCalc!BB12)=1,"R"&amp;GanttCalc!BC12,"R"&amp;(GanttCalc!BB12+1)&amp;"-"&amp;GanttCalc!BC12)))</f>
        <v/>
      </c>
    </row>
    <row r="44" customFormat="false" ht="16.5" hidden="false" customHeight="true" outlineLevel="0" collapsed="false">
      <c r="B44" s="63" t="str">
        <f aca="false">IF(Contracts!$A$14="","",IF(Contracts!$I$14="","no kit list","kitted: "&amp;Contracts!$I$14&amp;" / "&amp;Contracts!$F$14))</f>
        <v>no kit list</v>
      </c>
      <c r="C44" s="64" t="str">
        <f aca="false">IF(Contracts!$A$14="","","Final build")</f>
        <v>Final build</v>
      </c>
      <c r="D44" s="59" t="str">
        <f aca="false">IF($B$42="","",SUMPRODUCT(--(E44:BD44&lt;&gt;""))&amp;" wks")</f>
        <v>4 wks</v>
      </c>
      <c r="E44" s="60" t="str">
        <f aca="false">IF($B$42="","",IF(N(GanttCalc!C12)-N(GanttCalc!B12)&lt;=0,"",IF(N(GanttCalc!C12)-N(GanttCalc!B12)=1,"R"&amp;GanttCalc!C12,"R"&amp;(GanttCalc!B12+1)&amp;"-"&amp;GanttCalc!C12)))</f>
        <v/>
      </c>
      <c r="F44" s="60" t="str">
        <f aca="false">IF($B$42="","",IF(N(GanttCalc!D12)-N(GanttCalc!C12)&lt;=0,"",IF(N(GanttCalc!D12)-N(GanttCalc!C12)=1,"R"&amp;GanttCalc!D12,"R"&amp;(GanttCalc!C12+1)&amp;"-"&amp;GanttCalc!D12)))</f>
        <v/>
      </c>
      <c r="G44" s="60" t="str">
        <f aca="false">IF($B$42="","",IF(N(GanttCalc!E12)-N(GanttCalc!D12)&lt;=0,"",IF(N(GanttCalc!E12)-N(GanttCalc!D12)=1,"R"&amp;GanttCalc!E12,"R"&amp;(GanttCalc!D12+1)&amp;"-"&amp;GanttCalc!E12)))</f>
        <v/>
      </c>
      <c r="H44" s="60" t="str">
        <f aca="false">IF($B$42="","",IF(N(GanttCalc!F12)-N(GanttCalc!E12)&lt;=0,"",IF(N(GanttCalc!F12)-N(GanttCalc!E12)=1,"R"&amp;GanttCalc!F12,"R"&amp;(GanttCalc!E12+1)&amp;"-"&amp;GanttCalc!F12)))</f>
        <v/>
      </c>
      <c r="I44" s="60" t="str">
        <f aca="false">IF($B$42="","",IF(N(GanttCalc!G12)-N(GanttCalc!F12)&lt;=0,"",IF(N(GanttCalc!G12)-N(GanttCalc!F12)=1,"R"&amp;GanttCalc!G12,"R"&amp;(GanttCalc!F12+1)&amp;"-"&amp;GanttCalc!G12)))</f>
        <v/>
      </c>
      <c r="J44" s="60" t="str">
        <f aca="false">IF($B$42="","",IF(N(GanttCalc!H12)-N(GanttCalc!G12)&lt;=0,"",IF(N(GanttCalc!H12)-N(GanttCalc!G12)=1,"R"&amp;GanttCalc!H12,"R"&amp;(GanttCalc!G12+1)&amp;"-"&amp;GanttCalc!H12)))</f>
        <v/>
      </c>
      <c r="K44" s="60" t="str">
        <f aca="false">IF($B$42="","",IF(N(GanttCalc!I12)-N(GanttCalc!H12)&lt;=0,"",IF(N(GanttCalc!I12)-N(GanttCalc!H12)=1,"R"&amp;GanttCalc!I12,"R"&amp;(GanttCalc!H12+1)&amp;"-"&amp;GanttCalc!I12)))</f>
        <v/>
      </c>
      <c r="L44" s="60" t="str">
        <f aca="false">IF($B$42="","",IF(N(GanttCalc!J12)-N(GanttCalc!I12)&lt;=0,"",IF(N(GanttCalc!J12)-N(GanttCalc!I12)=1,"R"&amp;GanttCalc!J12,"R"&amp;(GanttCalc!I12+1)&amp;"-"&amp;GanttCalc!J12)))</f>
        <v/>
      </c>
      <c r="M44" s="60" t="str">
        <f aca="false">IF($B$42="","",IF(N(GanttCalc!K12)-N(GanttCalc!J12)&lt;=0,"",IF(N(GanttCalc!K12)-N(GanttCalc!J12)=1,"R"&amp;GanttCalc!K12,"R"&amp;(GanttCalc!J12+1)&amp;"-"&amp;GanttCalc!K12)))</f>
        <v/>
      </c>
      <c r="N44" s="60" t="str">
        <f aca="false">IF($B$42="","",IF(N(GanttCalc!L12)-N(GanttCalc!K12)&lt;=0,"",IF(N(GanttCalc!L12)-N(GanttCalc!K12)=1,"R"&amp;GanttCalc!L12,"R"&amp;(GanttCalc!K12+1)&amp;"-"&amp;GanttCalc!L12)))</f>
        <v/>
      </c>
      <c r="O44" s="60" t="str">
        <f aca="false">IF($B$42="","",IF(N(GanttCalc!M12)-N(GanttCalc!L12)&lt;=0,"",IF(N(GanttCalc!M12)-N(GanttCalc!L12)=1,"R"&amp;GanttCalc!M12,"R"&amp;(GanttCalc!L12+1)&amp;"-"&amp;GanttCalc!M12)))</f>
        <v/>
      </c>
      <c r="P44" s="60" t="str">
        <f aca="false">IF($B$42="","",IF(N(GanttCalc!N12)-N(GanttCalc!M12)&lt;=0,"",IF(N(GanttCalc!N12)-N(GanttCalc!M12)=1,"R"&amp;GanttCalc!N12,"R"&amp;(GanttCalc!M12+1)&amp;"-"&amp;GanttCalc!N12)))</f>
        <v/>
      </c>
      <c r="Q44" s="60" t="str">
        <f aca="false">IF($B$42="","",IF(N(GanttCalc!O12)-N(GanttCalc!N12)&lt;=0,"",IF(N(GanttCalc!O12)-N(GanttCalc!N12)=1,"R"&amp;GanttCalc!O12,"R"&amp;(GanttCalc!N12+1)&amp;"-"&amp;GanttCalc!O12)))</f>
        <v/>
      </c>
      <c r="R44" s="60" t="str">
        <f aca="false">IF($B$42="","",IF(N(GanttCalc!P12)-N(GanttCalc!O12)&lt;=0,"",IF(N(GanttCalc!P12)-N(GanttCalc!O12)=1,"R"&amp;GanttCalc!P12,"R"&amp;(GanttCalc!O12+1)&amp;"-"&amp;GanttCalc!P12)))</f>
        <v/>
      </c>
      <c r="S44" s="60" t="str">
        <f aca="false">IF($B$42="","",IF(N(GanttCalc!Q12)-N(GanttCalc!P12)&lt;=0,"",IF(N(GanttCalc!Q12)-N(GanttCalc!P12)=1,"R"&amp;GanttCalc!Q12,"R"&amp;(GanttCalc!P12+1)&amp;"-"&amp;GanttCalc!Q12)))</f>
        <v/>
      </c>
      <c r="T44" s="60" t="str">
        <f aca="false">IF($B$42="","",IF(N(GanttCalc!R12)-N(GanttCalc!Q12)&lt;=0,"",IF(N(GanttCalc!R12)-N(GanttCalc!Q12)=1,"R"&amp;GanttCalc!R12,"R"&amp;(GanttCalc!Q12+1)&amp;"-"&amp;GanttCalc!R12)))</f>
        <v/>
      </c>
      <c r="U44" s="60" t="str">
        <f aca="false">IF($B$42="","",IF(N(GanttCalc!S12)-N(GanttCalc!R12)&lt;=0,"",IF(N(GanttCalc!S12)-N(GanttCalc!R12)=1,"R"&amp;GanttCalc!S12,"R"&amp;(GanttCalc!R12+1)&amp;"-"&amp;GanttCalc!S12)))</f>
        <v/>
      </c>
      <c r="V44" s="60" t="str">
        <f aca="false">IF($B$42="","",IF(N(GanttCalc!T12)-N(GanttCalc!S12)&lt;=0,"",IF(N(GanttCalc!T12)-N(GanttCalc!S12)=1,"R"&amp;GanttCalc!T12,"R"&amp;(GanttCalc!S12+1)&amp;"-"&amp;GanttCalc!T12)))</f>
        <v/>
      </c>
      <c r="W44" s="60" t="str">
        <f aca="false">IF($B$42="","",IF(N(GanttCalc!U12)-N(GanttCalc!T12)&lt;=0,"",IF(N(GanttCalc!U12)-N(GanttCalc!T12)=1,"R"&amp;GanttCalc!U12,"R"&amp;(GanttCalc!T12+1)&amp;"-"&amp;GanttCalc!U12)))</f>
        <v/>
      </c>
      <c r="X44" s="60" t="str">
        <f aca="false">IF($B$42="","",IF(N(GanttCalc!V12)-N(GanttCalc!U12)&lt;=0,"",IF(N(GanttCalc!V12)-N(GanttCalc!U12)=1,"R"&amp;GanttCalc!V12,"R"&amp;(GanttCalc!U12+1)&amp;"-"&amp;GanttCalc!V12)))</f>
        <v/>
      </c>
      <c r="Y44" s="60" t="str">
        <f aca="false">IF($B$42="","",IF(N(GanttCalc!W12)-N(GanttCalc!V12)&lt;=0,"",IF(N(GanttCalc!W12)-N(GanttCalc!V12)=1,"R"&amp;GanttCalc!W12,"R"&amp;(GanttCalc!V12+1)&amp;"-"&amp;GanttCalc!W12)))</f>
        <v/>
      </c>
      <c r="Z44" s="60" t="str">
        <f aca="false">IF($B$42="","",IF(N(GanttCalc!X12)-N(GanttCalc!W12)&lt;=0,"",IF(N(GanttCalc!X12)-N(GanttCalc!W12)=1,"R"&amp;GanttCalc!X12,"R"&amp;(GanttCalc!W12+1)&amp;"-"&amp;GanttCalc!X12)))</f>
        <v/>
      </c>
      <c r="AA44" s="60" t="str">
        <f aca="false">IF($B$42="","",IF(N(GanttCalc!Y12)-N(GanttCalc!X12)&lt;=0,"",IF(N(GanttCalc!Y12)-N(GanttCalc!X12)=1,"R"&amp;GanttCalc!Y12,"R"&amp;(GanttCalc!X12+1)&amp;"-"&amp;GanttCalc!Y12)))</f>
        <v/>
      </c>
      <c r="AB44" s="60" t="str">
        <f aca="false">IF($B$42="","",IF(N(GanttCalc!Z12)-N(GanttCalc!Y12)&lt;=0,"",IF(N(GanttCalc!Z12)-N(GanttCalc!Y12)=1,"R"&amp;GanttCalc!Z12,"R"&amp;(GanttCalc!Y12+1)&amp;"-"&amp;GanttCalc!Z12)))</f>
        <v/>
      </c>
      <c r="AC44" s="60" t="str">
        <f aca="false">IF($B$42="","",IF(N(GanttCalc!AA12)-N(GanttCalc!Z12)&lt;=0,"",IF(N(GanttCalc!AA12)-N(GanttCalc!Z12)=1,"R"&amp;GanttCalc!AA12,"R"&amp;(GanttCalc!Z12+1)&amp;"-"&amp;GanttCalc!AA12)))</f>
        <v/>
      </c>
      <c r="AD44" s="60" t="str">
        <f aca="false">IF($B$42="","",IF(N(GanttCalc!AB12)-N(GanttCalc!AA12)&lt;=0,"",IF(N(GanttCalc!AB12)-N(GanttCalc!AA12)=1,"R"&amp;GanttCalc!AB12,"R"&amp;(GanttCalc!AA12+1)&amp;"-"&amp;GanttCalc!AB12)))</f>
        <v/>
      </c>
      <c r="AE44" s="60" t="str">
        <f aca="false">IF($B$42="","",IF(N(GanttCalc!AC12)-N(GanttCalc!AB12)&lt;=0,"",IF(N(GanttCalc!AC12)-N(GanttCalc!AB12)=1,"R"&amp;GanttCalc!AC12,"R"&amp;(GanttCalc!AB12+1)&amp;"-"&amp;GanttCalc!AC12)))</f>
        <v/>
      </c>
      <c r="AF44" s="60" t="str">
        <f aca="false">IF($B$42="","",IF(N(GanttCalc!AD12)-N(GanttCalc!AC12)&lt;=0,"",IF(N(GanttCalc!AD12)-N(GanttCalc!AC12)=1,"R"&amp;GanttCalc!AD12,"R"&amp;(GanttCalc!AC12+1)&amp;"-"&amp;GanttCalc!AD12)))</f>
        <v/>
      </c>
      <c r="AG44" s="60" t="str">
        <f aca="false">IF($B$42="","",IF(N(GanttCalc!AE12)-N(GanttCalc!AD12)&lt;=0,"",IF(N(GanttCalc!AE12)-N(GanttCalc!AD12)=1,"R"&amp;GanttCalc!AE12,"R"&amp;(GanttCalc!AD12+1)&amp;"-"&amp;GanttCalc!AE12)))</f>
        <v/>
      </c>
      <c r="AH44" s="60" t="str">
        <f aca="false">IF($B$42="","",IF(N(GanttCalc!AF12)-N(GanttCalc!AE12)&lt;=0,"",IF(N(GanttCalc!AF12)-N(GanttCalc!AE12)=1,"R"&amp;GanttCalc!AF12,"R"&amp;(GanttCalc!AE12+1)&amp;"-"&amp;GanttCalc!AF12)))</f>
        <v/>
      </c>
      <c r="AI44" s="60" t="str">
        <f aca="false">IF($B$42="","",IF(N(GanttCalc!AG12)-N(GanttCalc!AF12)&lt;=0,"",IF(N(GanttCalc!AG12)-N(GanttCalc!AF12)=1,"R"&amp;GanttCalc!AG12,"R"&amp;(GanttCalc!AF12+1)&amp;"-"&amp;GanttCalc!AG12)))</f>
        <v/>
      </c>
      <c r="AJ44" s="60" t="str">
        <f aca="false">IF($B$42="","",IF(N(GanttCalc!AH12)-N(GanttCalc!AG12)&lt;=0,"",IF(N(GanttCalc!AH12)-N(GanttCalc!AG12)=1,"R"&amp;GanttCalc!AH12,"R"&amp;(GanttCalc!AG12+1)&amp;"-"&amp;GanttCalc!AH12)))</f>
        <v/>
      </c>
      <c r="AK44" s="60" t="str">
        <f aca="false">IF($B$42="","",IF(N(GanttCalc!AI12)-N(GanttCalc!AH12)&lt;=0,"",IF(N(GanttCalc!AI12)-N(GanttCalc!AH12)=1,"R"&amp;GanttCalc!AI12,"R"&amp;(GanttCalc!AH12+1)&amp;"-"&amp;GanttCalc!AI12)))</f>
        <v/>
      </c>
      <c r="AL44" s="60" t="str">
        <f aca="false">IF($B$42="","",IF(N(GanttCalc!AJ12)-N(GanttCalc!AI12)&lt;=0,"",IF(N(GanttCalc!AJ12)-N(GanttCalc!AI12)=1,"R"&amp;GanttCalc!AJ12,"R"&amp;(GanttCalc!AI12+1)&amp;"-"&amp;GanttCalc!AJ12)))</f>
        <v>R1-2</v>
      </c>
      <c r="AM44" s="60" t="str">
        <f aca="false">IF($B$42="","",IF(N(GanttCalc!AK12)-N(GanttCalc!AJ12)&lt;=0,"",IF(N(GanttCalc!AK12)-N(GanttCalc!AJ12)=1,"R"&amp;GanttCalc!AK12,"R"&amp;(GanttCalc!AJ12+1)&amp;"-"&amp;GanttCalc!AK12)))</f>
        <v/>
      </c>
      <c r="AN44" s="60" t="str">
        <f aca="false">IF($B$42="","",IF(N(GanttCalc!AL12)-N(GanttCalc!AK12)&lt;=0,"",IF(N(GanttCalc!AL12)-N(GanttCalc!AK12)=1,"R"&amp;GanttCalc!AL12,"R"&amp;(GanttCalc!AK12+1)&amp;"-"&amp;GanttCalc!AL12)))</f>
        <v/>
      </c>
      <c r="AO44" s="60" t="str">
        <f aca="false">IF($B$42="","",IF(N(GanttCalc!AM12)-N(GanttCalc!AL12)&lt;=0,"",IF(N(GanttCalc!AM12)-N(GanttCalc!AL12)=1,"R"&amp;GanttCalc!AM12,"R"&amp;(GanttCalc!AL12+1)&amp;"-"&amp;GanttCalc!AM12)))</f>
        <v>R3-6</v>
      </c>
      <c r="AP44" s="60" t="str">
        <f aca="false">IF($B$42="","",IF(N(GanttCalc!AN12)-N(GanttCalc!AM12)&lt;=0,"",IF(N(GanttCalc!AN12)-N(GanttCalc!AM12)=1,"R"&amp;GanttCalc!AN12,"R"&amp;(GanttCalc!AM12+1)&amp;"-"&amp;GanttCalc!AN12)))</f>
        <v>R7</v>
      </c>
      <c r="AQ44" s="60" t="str">
        <f aca="false">IF($B$42="","",IF(N(GanttCalc!AO12)-N(GanttCalc!AN12)&lt;=0,"",IF(N(GanttCalc!AO12)-N(GanttCalc!AN12)=1,"R"&amp;GanttCalc!AO12,"R"&amp;(GanttCalc!AN12+1)&amp;"-"&amp;GanttCalc!AO12)))</f>
        <v>R8-9</v>
      </c>
      <c r="AR44" s="60" t="str">
        <f aca="false">IF($B$42="","",IF(N(GanttCalc!AP12)-N(GanttCalc!AO12)&lt;=0,"",IF(N(GanttCalc!AP12)-N(GanttCalc!AO12)=1,"R"&amp;GanttCalc!AP12,"R"&amp;(GanttCalc!AO12+1)&amp;"-"&amp;GanttCalc!AP12)))</f>
        <v/>
      </c>
      <c r="AS44" s="60" t="str">
        <f aca="false">IF($B$42="","",IF(N(GanttCalc!AQ12)-N(GanttCalc!AP12)&lt;=0,"",IF(N(GanttCalc!AQ12)-N(GanttCalc!AP12)=1,"R"&amp;GanttCalc!AQ12,"R"&amp;(GanttCalc!AP12+1)&amp;"-"&amp;GanttCalc!AQ12)))</f>
        <v/>
      </c>
      <c r="AT44" s="60" t="str">
        <f aca="false">IF($B$42="","",IF(N(GanttCalc!AR12)-N(GanttCalc!AQ12)&lt;=0,"",IF(N(GanttCalc!AR12)-N(GanttCalc!AQ12)=1,"R"&amp;GanttCalc!AR12,"R"&amp;(GanttCalc!AQ12+1)&amp;"-"&amp;GanttCalc!AR12)))</f>
        <v/>
      </c>
      <c r="AU44" s="60" t="str">
        <f aca="false">IF($B$42="","",IF(N(GanttCalc!AS12)-N(GanttCalc!AR12)&lt;=0,"",IF(N(GanttCalc!AS12)-N(GanttCalc!AR12)=1,"R"&amp;GanttCalc!AS12,"R"&amp;(GanttCalc!AR12+1)&amp;"-"&amp;GanttCalc!AS12)))</f>
        <v/>
      </c>
      <c r="AV44" s="60" t="str">
        <f aca="false">IF($B$42="","",IF(N(GanttCalc!AT12)-N(GanttCalc!AS12)&lt;=0,"",IF(N(GanttCalc!AT12)-N(GanttCalc!AS12)=1,"R"&amp;GanttCalc!AT12,"R"&amp;(GanttCalc!AS12+1)&amp;"-"&amp;GanttCalc!AT12)))</f>
        <v/>
      </c>
      <c r="AW44" s="60" t="str">
        <f aca="false">IF($B$42="","",IF(N(GanttCalc!AU12)-N(GanttCalc!AT12)&lt;=0,"",IF(N(GanttCalc!AU12)-N(GanttCalc!AT12)=1,"R"&amp;GanttCalc!AU12,"R"&amp;(GanttCalc!AT12+1)&amp;"-"&amp;GanttCalc!AU12)))</f>
        <v/>
      </c>
      <c r="AX44" s="60" t="str">
        <f aca="false">IF($B$42="","",IF(N(GanttCalc!AV12)-N(GanttCalc!AU12)&lt;=0,"",IF(N(GanttCalc!AV12)-N(GanttCalc!AU12)=1,"R"&amp;GanttCalc!AV12,"R"&amp;(GanttCalc!AU12+1)&amp;"-"&amp;GanttCalc!AV12)))</f>
        <v/>
      </c>
      <c r="AY44" s="60" t="str">
        <f aca="false">IF($B$42="","",IF(N(GanttCalc!AW12)-N(GanttCalc!AV12)&lt;=0,"",IF(N(GanttCalc!AW12)-N(GanttCalc!AV12)=1,"R"&amp;GanttCalc!AW12,"R"&amp;(GanttCalc!AV12+1)&amp;"-"&amp;GanttCalc!AW12)))</f>
        <v/>
      </c>
      <c r="AZ44" s="60" t="str">
        <f aca="false">IF($B$42="","",IF(N(GanttCalc!AX12)-N(GanttCalc!AW12)&lt;=0,"",IF(N(GanttCalc!AX12)-N(GanttCalc!AW12)=1,"R"&amp;GanttCalc!AX12,"R"&amp;(GanttCalc!AW12+1)&amp;"-"&amp;GanttCalc!AX12)))</f>
        <v/>
      </c>
      <c r="BA44" s="60" t="str">
        <f aca="false">IF($B$42="","",IF(N(GanttCalc!AY12)-N(GanttCalc!AX12)&lt;=0,"",IF(N(GanttCalc!AY12)-N(GanttCalc!AX12)=1,"R"&amp;GanttCalc!AY12,"R"&amp;(GanttCalc!AX12+1)&amp;"-"&amp;GanttCalc!AY12)))</f>
        <v/>
      </c>
      <c r="BB44" s="60" t="str">
        <f aca="false">IF($B$42="","",IF(N(GanttCalc!AZ12)-N(GanttCalc!AY12)&lt;=0,"",IF(N(GanttCalc!AZ12)-N(GanttCalc!AY12)=1,"R"&amp;GanttCalc!AZ12,"R"&amp;(GanttCalc!AY12+1)&amp;"-"&amp;GanttCalc!AZ12)))</f>
        <v/>
      </c>
      <c r="BC44" s="60" t="str">
        <f aca="false">IF($B$42="","",IF(N(GanttCalc!BA12)-N(GanttCalc!AZ12)&lt;=0,"",IF(N(GanttCalc!BA12)-N(GanttCalc!AZ12)=1,"R"&amp;GanttCalc!BA12,"R"&amp;(GanttCalc!AZ12+1)&amp;"-"&amp;GanttCalc!BA12)))</f>
        <v/>
      </c>
      <c r="BD44" s="60" t="str">
        <f aca="false">IF($B$42="","",IF(N(GanttCalc!BB12)-N(GanttCalc!BA12)&lt;=0,"",IF(N(GanttCalc!BB12)-N(GanttCalc!BA12)=1,"R"&amp;GanttCalc!BB12,"R"&amp;(GanttCalc!BA12+1)&amp;"-"&amp;GanttCalc!BB12)))</f>
        <v/>
      </c>
    </row>
    <row r="45" customFormat="false" ht="6" hidden="false" customHeight="true" outlineLevel="0" collapsed="false"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customFormat="false" ht="16.5" hidden="false" customHeight="true" outlineLevel="0" collapsed="false">
      <c r="B46" s="32" t="str">
        <f aca="false">IF(Contracts!$A$15="","",Contracts!$A$15)</f>
        <v>DARAJA-R8P (TBC)</v>
      </c>
      <c r="C46" s="58" t="str">
        <f aca="false">IF(Contracts!$A$15="","","Kit release")</f>
        <v>Kit release</v>
      </c>
      <c r="D46" s="59" t="str">
        <f aca="false">IF($B$46="","",SUMPRODUCT(--(E46:BD46&lt;&gt;""))&amp;" wks")</f>
        <v>0 wks</v>
      </c>
      <c r="E46" s="60" t="str">
        <f aca="true">IF($B$46="","",IF(N(OFFSET(GanttCalc!$B$13,0,1+N(Contracts!$Q$15)))-N(OFFSET(GanttCalc!$B$13,0,0+N(Contracts!$Q$15)))&lt;=0,"",IF(N(OFFSET(GanttCalc!$B$13,0,1+N(Contracts!$Q$15)))-N(OFFSET(GanttCalc!$B$13,0,0+N(Contracts!$Q$15)))=1,"R"&amp;OFFSET(GanttCalc!$B$13,0,1+N(Contracts!$Q$15)),"R"&amp;(OFFSET(GanttCalc!$B$13,0,0+N(Contracts!$Q$15))+1)&amp;"-"&amp;OFFSET(GanttCalc!$B$13,0,1+N(Contracts!$Q$15)))))</f>
        <v/>
      </c>
      <c r="F46" s="60" t="str">
        <f aca="true">IF($B$46="","",IF(N(OFFSET(GanttCalc!$B$13,0,2+N(Contracts!$Q$15)))-N(OFFSET(GanttCalc!$B$13,0,1+N(Contracts!$Q$15)))&lt;=0,"",IF(N(OFFSET(GanttCalc!$B$13,0,2+N(Contracts!$Q$15)))-N(OFFSET(GanttCalc!$B$13,0,1+N(Contracts!$Q$15)))=1,"R"&amp;OFFSET(GanttCalc!$B$13,0,2+N(Contracts!$Q$15)),"R"&amp;(OFFSET(GanttCalc!$B$13,0,1+N(Contracts!$Q$15))+1)&amp;"-"&amp;OFFSET(GanttCalc!$B$13,0,2+N(Contracts!$Q$15)))))</f>
        <v/>
      </c>
      <c r="G46" s="60" t="str">
        <f aca="true">IF($B$46="","",IF(N(OFFSET(GanttCalc!$B$13,0,3+N(Contracts!$Q$15)))-N(OFFSET(GanttCalc!$B$13,0,2+N(Contracts!$Q$15)))&lt;=0,"",IF(N(OFFSET(GanttCalc!$B$13,0,3+N(Contracts!$Q$15)))-N(OFFSET(GanttCalc!$B$13,0,2+N(Contracts!$Q$15)))=1,"R"&amp;OFFSET(GanttCalc!$B$13,0,3+N(Contracts!$Q$15)),"R"&amp;(OFFSET(GanttCalc!$B$13,0,2+N(Contracts!$Q$15))+1)&amp;"-"&amp;OFFSET(GanttCalc!$B$13,0,3+N(Contracts!$Q$15)))))</f>
        <v/>
      </c>
      <c r="H46" s="60" t="str">
        <f aca="true">IF($B$46="","",IF(N(OFFSET(GanttCalc!$B$13,0,4+N(Contracts!$Q$15)))-N(OFFSET(GanttCalc!$B$13,0,3+N(Contracts!$Q$15)))&lt;=0,"",IF(N(OFFSET(GanttCalc!$B$13,0,4+N(Contracts!$Q$15)))-N(OFFSET(GanttCalc!$B$13,0,3+N(Contracts!$Q$15)))=1,"R"&amp;OFFSET(GanttCalc!$B$13,0,4+N(Contracts!$Q$15)),"R"&amp;(OFFSET(GanttCalc!$B$13,0,3+N(Contracts!$Q$15))+1)&amp;"-"&amp;OFFSET(GanttCalc!$B$13,0,4+N(Contracts!$Q$15)))))</f>
        <v/>
      </c>
      <c r="I46" s="60" t="str">
        <f aca="true">IF($B$46="","",IF(N(OFFSET(GanttCalc!$B$13,0,5+N(Contracts!$Q$15)))-N(OFFSET(GanttCalc!$B$13,0,4+N(Contracts!$Q$15)))&lt;=0,"",IF(N(OFFSET(GanttCalc!$B$13,0,5+N(Contracts!$Q$15)))-N(OFFSET(GanttCalc!$B$13,0,4+N(Contracts!$Q$15)))=1,"R"&amp;OFFSET(GanttCalc!$B$13,0,5+N(Contracts!$Q$15)),"R"&amp;(OFFSET(GanttCalc!$B$13,0,4+N(Contracts!$Q$15))+1)&amp;"-"&amp;OFFSET(GanttCalc!$B$13,0,5+N(Contracts!$Q$15)))))</f>
        <v/>
      </c>
      <c r="J46" s="60" t="str">
        <f aca="true">IF($B$46="","",IF(N(OFFSET(GanttCalc!$B$13,0,6+N(Contracts!$Q$15)))-N(OFFSET(GanttCalc!$B$13,0,5+N(Contracts!$Q$15)))&lt;=0,"",IF(N(OFFSET(GanttCalc!$B$13,0,6+N(Contracts!$Q$15)))-N(OFFSET(GanttCalc!$B$13,0,5+N(Contracts!$Q$15)))=1,"R"&amp;OFFSET(GanttCalc!$B$13,0,6+N(Contracts!$Q$15)),"R"&amp;(OFFSET(GanttCalc!$B$13,0,5+N(Contracts!$Q$15))+1)&amp;"-"&amp;OFFSET(GanttCalc!$B$13,0,6+N(Contracts!$Q$15)))))</f>
        <v/>
      </c>
      <c r="K46" s="60" t="str">
        <f aca="true">IF($B$46="","",IF(N(OFFSET(GanttCalc!$B$13,0,7+N(Contracts!$Q$15)))-N(OFFSET(GanttCalc!$B$13,0,6+N(Contracts!$Q$15)))&lt;=0,"",IF(N(OFFSET(GanttCalc!$B$13,0,7+N(Contracts!$Q$15)))-N(OFFSET(GanttCalc!$B$13,0,6+N(Contracts!$Q$15)))=1,"R"&amp;OFFSET(GanttCalc!$B$13,0,7+N(Contracts!$Q$15)),"R"&amp;(OFFSET(GanttCalc!$B$13,0,6+N(Contracts!$Q$15))+1)&amp;"-"&amp;OFFSET(GanttCalc!$B$13,0,7+N(Contracts!$Q$15)))))</f>
        <v/>
      </c>
      <c r="L46" s="60" t="str">
        <f aca="true">IF($B$46="","",IF(N(OFFSET(GanttCalc!$B$13,0,8+N(Contracts!$Q$15)))-N(OFFSET(GanttCalc!$B$13,0,7+N(Contracts!$Q$15)))&lt;=0,"",IF(N(OFFSET(GanttCalc!$B$13,0,8+N(Contracts!$Q$15)))-N(OFFSET(GanttCalc!$B$13,0,7+N(Contracts!$Q$15)))=1,"R"&amp;OFFSET(GanttCalc!$B$13,0,8+N(Contracts!$Q$15)),"R"&amp;(OFFSET(GanttCalc!$B$13,0,7+N(Contracts!$Q$15))+1)&amp;"-"&amp;OFFSET(GanttCalc!$B$13,0,8+N(Contracts!$Q$15)))))</f>
        <v/>
      </c>
      <c r="M46" s="60" t="str">
        <f aca="true">IF($B$46="","",IF(N(OFFSET(GanttCalc!$B$13,0,9+N(Contracts!$Q$15)))-N(OFFSET(GanttCalc!$B$13,0,8+N(Contracts!$Q$15)))&lt;=0,"",IF(N(OFFSET(GanttCalc!$B$13,0,9+N(Contracts!$Q$15)))-N(OFFSET(GanttCalc!$B$13,0,8+N(Contracts!$Q$15)))=1,"R"&amp;OFFSET(GanttCalc!$B$13,0,9+N(Contracts!$Q$15)),"R"&amp;(OFFSET(GanttCalc!$B$13,0,8+N(Contracts!$Q$15))+1)&amp;"-"&amp;OFFSET(GanttCalc!$B$13,0,9+N(Contracts!$Q$15)))))</f>
        <v/>
      </c>
      <c r="N46" s="60" t="str">
        <f aca="true">IF($B$46="","",IF(N(OFFSET(GanttCalc!$B$13,0,10+N(Contracts!$Q$15)))-N(OFFSET(GanttCalc!$B$13,0,9+N(Contracts!$Q$15)))&lt;=0,"",IF(N(OFFSET(GanttCalc!$B$13,0,10+N(Contracts!$Q$15)))-N(OFFSET(GanttCalc!$B$13,0,9+N(Contracts!$Q$15)))=1,"R"&amp;OFFSET(GanttCalc!$B$13,0,10+N(Contracts!$Q$15)),"R"&amp;(OFFSET(GanttCalc!$B$13,0,9+N(Contracts!$Q$15))+1)&amp;"-"&amp;OFFSET(GanttCalc!$B$13,0,10+N(Contracts!$Q$15)))))</f>
        <v/>
      </c>
      <c r="O46" s="60" t="str">
        <f aca="true">IF($B$46="","",IF(N(OFFSET(GanttCalc!$B$13,0,11+N(Contracts!$Q$15)))-N(OFFSET(GanttCalc!$B$13,0,10+N(Contracts!$Q$15)))&lt;=0,"",IF(N(OFFSET(GanttCalc!$B$13,0,11+N(Contracts!$Q$15)))-N(OFFSET(GanttCalc!$B$13,0,10+N(Contracts!$Q$15)))=1,"R"&amp;OFFSET(GanttCalc!$B$13,0,11+N(Contracts!$Q$15)),"R"&amp;(OFFSET(GanttCalc!$B$13,0,10+N(Contracts!$Q$15))+1)&amp;"-"&amp;OFFSET(GanttCalc!$B$13,0,11+N(Contracts!$Q$15)))))</f>
        <v/>
      </c>
      <c r="P46" s="60" t="str">
        <f aca="true">IF($B$46="","",IF(N(OFFSET(GanttCalc!$B$13,0,12+N(Contracts!$Q$15)))-N(OFFSET(GanttCalc!$B$13,0,11+N(Contracts!$Q$15)))&lt;=0,"",IF(N(OFFSET(GanttCalc!$B$13,0,12+N(Contracts!$Q$15)))-N(OFFSET(GanttCalc!$B$13,0,11+N(Contracts!$Q$15)))=1,"R"&amp;OFFSET(GanttCalc!$B$13,0,12+N(Contracts!$Q$15)),"R"&amp;(OFFSET(GanttCalc!$B$13,0,11+N(Contracts!$Q$15))+1)&amp;"-"&amp;OFFSET(GanttCalc!$B$13,0,12+N(Contracts!$Q$15)))))</f>
        <v/>
      </c>
      <c r="Q46" s="60" t="str">
        <f aca="true">IF($B$46="","",IF(N(OFFSET(GanttCalc!$B$13,0,13+N(Contracts!$Q$15)))-N(OFFSET(GanttCalc!$B$13,0,12+N(Contracts!$Q$15)))&lt;=0,"",IF(N(OFFSET(GanttCalc!$B$13,0,13+N(Contracts!$Q$15)))-N(OFFSET(GanttCalc!$B$13,0,12+N(Contracts!$Q$15)))=1,"R"&amp;OFFSET(GanttCalc!$B$13,0,13+N(Contracts!$Q$15)),"R"&amp;(OFFSET(GanttCalc!$B$13,0,12+N(Contracts!$Q$15))+1)&amp;"-"&amp;OFFSET(GanttCalc!$B$13,0,13+N(Contracts!$Q$15)))))</f>
        <v/>
      </c>
      <c r="R46" s="60" t="str">
        <f aca="true">IF($B$46="","",IF(N(OFFSET(GanttCalc!$B$13,0,14+N(Contracts!$Q$15)))-N(OFFSET(GanttCalc!$B$13,0,13+N(Contracts!$Q$15)))&lt;=0,"",IF(N(OFFSET(GanttCalc!$B$13,0,14+N(Contracts!$Q$15)))-N(OFFSET(GanttCalc!$B$13,0,13+N(Contracts!$Q$15)))=1,"R"&amp;OFFSET(GanttCalc!$B$13,0,14+N(Contracts!$Q$15)),"R"&amp;(OFFSET(GanttCalc!$B$13,0,13+N(Contracts!$Q$15))+1)&amp;"-"&amp;OFFSET(GanttCalc!$B$13,0,14+N(Contracts!$Q$15)))))</f>
        <v/>
      </c>
      <c r="S46" s="60" t="str">
        <f aca="true">IF($B$46="","",IF(N(OFFSET(GanttCalc!$B$13,0,15+N(Contracts!$Q$15)))-N(OFFSET(GanttCalc!$B$13,0,14+N(Contracts!$Q$15)))&lt;=0,"",IF(N(OFFSET(GanttCalc!$B$13,0,15+N(Contracts!$Q$15)))-N(OFFSET(GanttCalc!$B$13,0,14+N(Contracts!$Q$15)))=1,"R"&amp;OFFSET(GanttCalc!$B$13,0,15+N(Contracts!$Q$15)),"R"&amp;(OFFSET(GanttCalc!$B$13,0,14+N(Contracts!$Q$15))+1)&amp;"-"&amp;OFFSET(GanttCalc!$B$13,0,15+N(Contracts!$Q$15)))))</f>
        <v/>
      </c>
      <c r="T46" s="60" t="str">
        <f aca="true">IF($B$46="","",IF(N(OFFSET(GanttCalc!$B$13,0,16+N(Contracts!$Q$15)))-N(OFFSET(GanttCalc!$B$13,0,15+N(Contracts!$Q$15)))&lt;=0,"",IF(N(OFFSET(GanttCalc!$B$13,0,16+N(Contracts!$Q$15)))-N(OFFSET(GanttCalc!$B$13,0,15+N(Contracts!$Q$15)))=1,"R"&amp;OFFSET(GanttCalc!$B$13,0,16+N(Contracts!$Q$15)),"R"&amp;(OFFSET(GanttCalc!$B$13,0,15+N(Contracts!$Q$15))+1)&amp;"-"&amp;OFFSET(GanttCalc!$B$13,0,16+N(Contracts!$Q$15)))))</f>
        <v/>
      </c>
      <c r="U46" s="60" t="str">
        <f aca="true">IF($B$46="","",IF(N(OFFSET(GanttCalc!$B$13,0,17+N(Contracts!$Q$15)))-N(OFFSET(GanttCalc!$B$13,0,16+N(Contracts!$Q$15)))&lt;=0,"",IF(N(OFFSET(GanttCalc!$B$13,0,17+N(Contracts!$Q$15)))-N(OFFSET(GanttCalc!$B$13,0,16+N(Contracts!$Q$15)))=1,"R"&amp;OFFSET(GanttCalc!$B$13,0,17+N(Contracts!$Q$15)),"R"&amp;(OFFSET(GanttCalc!$B$13,0,16+N(Contracts!$Q$15))+1)&amp;"-"&amp;OFFSET(GanttCalc!$B$13,0,17+N(Contracts!$Q$15)))))</f>
        <v/>
      </c>
      <c r="V46" s="60" t="str">
        <f aca="true">IF($B$46="","",IF(N(OFFSET(GanttCalc!$B$13,0,18+N(Contracts!$Q$15)))-N(OFFSET(GanttCalc!$B$13,0,17+N(Contracts!$Q$15)))&lt;=0,"",IF(N(OFFSET(GanttCalc!$B$13,0,18+N(Contracts!$Q$15)))-N(OFFSET(GanttCalc!$B$13,0,17+N(Contracts!$Q$15)))=1,"R"&amp;OFFSET(GanttCalc!$B$13,0,18+N(Contracts!$Q$15)),"R"&amp;(OFFSET(GanttCalc!$B$13,0,17+N(Contracts!$Q$15))+1)&amp;"-"&amp;OFFSET(GanttCalc!$B$13,0,18+N(Contracts!$Q$15)))))</f>
        <v/>
      </c>
      <c r="W46" s="60" t="str">
        <f aca="true">IF($B$46="","",IF(N(OFFSET(GanttCalc!$B$13,0,19+N(Contracts!$Q$15)))-N(OFFSET(GanttCalc!$B$13,0,18+N(Contracts!$Q$15)))&lt;=0,"",IF(N(OFFSET(GanttCalc!$B$13,0,19+N(Contracts!$Q$15)))-N(OFFSET(GanttCalc!$B$13,0,18+N(Contracts!$Q$15)))=1,"R"&amp;OFFSET(GanttCalc!$B$13,0,19+N(Contracts!$Q$15)),"R"&amp;(OFFSET(GanttCalc!$B$13,0,18+N(Contracts!$Q$15))+1)&amp;"-"&amp;OFFSET(GanttCalc!$B$13,0,19+N(Contracts!$Q$15)))))</f>
        <v/>
      </c>
      <c r="X46" s="60" t="str">
        <f aca="true">IF($B$46="","",IF(N(OFFSET(GanttCalc!$B$13,0,20+N(Contracts!$Q$15)))-N(OFFSET(GanttCalc!$B$13,0,19+N(Contracts!$Q$15)))&lt;=0,"",IF(N(OFFSET(GanttCalc!$B$13,0,20+N(Contracts!$Q$15)))-N(OFFSET(GanttCalc!$B$13,0,19+N(Contracts!$Q$15)))=1,"R"&amp;OFFSET(GanttCalc!$B$13,0,20+N(Contracts!$Q$15)),"R"&amp;(OFFSET(GanttCalc!$B$13,0,19+N(Contracts!$Q$15))+1)&amp;"-"&amp;OFFSET(GanttCalc!$B$13,0,20+N(Contracts!$Q$15)))))</f>
        <v/>
      </c>
      <c r="Y46" s="60" t="str">
        <f aca="true">IF($B$46="","",IF(N(OFFSET(GanttCalc!$B$13,0,21+N(Contracts!$Q$15)))-N(OFFSET(GanttCalc!$B$13,0,20+N(Contracts!$Q$15)))&lt;=0,"",IF(N(OFFSET(GanttCalc!$B$13,0,21+N(Contracts!$Q$15)))-N(OFFSET(GanttCalc!$B$13,0,20+N(Contracts!$Q$15)))=1,"R"&amp;OFFSET(GanttCalc!$B$13,0,21+N(Contracts!$Q$15)),"R"&amp;(OFFSET(GanttCalc!$B$13,0,20+N(Contracts!$Q$15))+1)&amp;"-"&amp;OFFSET(GanttCalc!$B$13,0,21+N(Contracts!$Q$15)))))</f>
        <v/>
      </c>
      <c r="Z46" s="60" t="str">
        <f aca="true">IF($B$46="","",IF(N(OFFSET(GanttCalc!$B$13,0,22+N(Contracts!$Q$15)))-N(OFFSET(GanttCalc!$B$13,0,21+N(Contracts!$Q$15)))&lt;=0,"",IF(N(OFFSET(GanttCalc!$B$13,0,22+N(Contracts!$Q$15)))-N(OFFSET(GanttCalc!$B$13,0,21+N(Contracts!$Q$15)))=1,"R"&amp;OFFSET(GanttCalc!$B$13,0,22+N(Contracts!$Q$15)),"R"&amp;(OFFSET(GanttCalc!$B$13,0,21+N(Contracts!$Q$15))+1)&amp;"-"&amp;OFFSET(GanttCalc!$B$13,0,22+N(Contracts!$Q$15)))))</f>
        <v/>
      </c>
      <c r="AA46" s="60" t="str">
        <f aca="true">IF($B$46="","",IF(N(OFFSET(GanttCalc!$B$13,0,23+N(Contracts!$Q$15)))-N(OFFSET(GanttCalc!$B$13,0,22+N(Contracts!$Q$15)))&lt;=0,"",IF(N(OFFSET(GanttCalc!$B$13,0,23+N(Contracts!$Q$15)))-N(OFFSET(GanttCalc!$B$13,0,22+N(Contracts!$Q$15)))=1,"R"&amp;OFFSET(GanttCalc!$B$13,0,23+N(Contracts!$Q$15)),"R"&amp;(OFFSET(GanttCalc!$B$13,0,22+N(Contracts!$Q$15))+1)&amp;"-"&amp;OFFSET(GanttCalc!$B$13,0,23+N(Contracts!$Q$15)))))</f>
        <v/>
      </c>
      <c r="AB46" s="60" t="str">
        <f aca="true">IF($B$46="","",IF(N(OFFSET(GanttCalc!$B$13,0,24+N(Contracts!$Q$15)))-N(OFFSET(GanttCalc!$B$13,0,23+N(Contracts!$Q$15)))&lt;=0,"",IF(N(OFFSET(GanttCalc!$B$13,0,24+N(Contracts!$Q$15)))-N(OFFSET(GanttCalc!$B$13,0,23+N(Contracts!$Q$15)))=1,"R"&amp;OFFSET(GanttCalc!$B$13,0,24+N(Contracts!$Q$15)),"R"&amp;(OFFSET(GanttCalc!$B$13,0,23+N(Contracts!$Q$15))+1)&amp;"-"&amp;OFFSET(GanttCalc!$B$13,0,24+N(Contracts!$Q$15)))))</f>
        <v/>
      </c>
      <c r="AC46" s="60" t="str">
        <f aca="true">IF($B$46="","",IF(N(OFFSET(GanttCalc!$B$13,0,25+N(Contracts!$Q$15)))-N(OFFSET(GanttCalc!$B$13,0,24+N(Contracts!$Q$15)))&lt;=0,"",IF(N(OFFSET(GanttCalc!$B$13,0,25+N(Contracts!$Q$15)))-N(OFFSET(GanttCalc!$B$13,0,24+N(Contracts!$Q$15)))=1,"R"&amp;OFFSET(GanttCalc!$B$13,0,25+N(Contracts!$Q$15)),"R"&amp;(OFFSET(GanttCalc!$B$13,0,24+N(Contracts!$Q$15))+1)&amp;"-"&amp;OFFSET(GanttCalc!$B$13,0,25+N(Contracts!$Q$15)))))</f>
        <v/>
      </c>
      <c r="AD46" s="60" t="str">
        <f aca="true">IF($B$46="","",IF(N(OFFSET(GanttCalc!$B$13,0,26+N(Contracts!$Q$15)))-N(OFFSET(GanttCalc!$B$13,0,25+N(Contracts!$Q$15)))&lt;=0,"",IF(N(OFFSET(GanttCalc!$B$13,0,26+N(Contracts!$Q$15)))-N(OFFSET(GanttCalc!$B$13,0,25+N(Contracts!$Q$15)))=1,"R"&amp;OFFSET(GanttCalc!$B$13,0,26+N(Contracts!$Q$15)),"R"&amp;(OFFSET(GanttCalc!$B$13,0,25+N(Contracts!$Q$15))+1)&amp;"-"&amp;OFFSET(GanttCalc!$B$13,0,26+N(Contracts!$Q$15)))))</f>
        <v/>
      </c>
      <c r="AE46" s="60" t="str">
        <f aca="true">IF($B$46="","",IF(N(OFFSET(GanttCalc!$B$13,0,27+N(Contracts!$Q$15)))-N(OFFSET(GanttCalc!$B$13,0,26+N(Contracts!$Q$15)))&lt;=0,"",IF(N(OFFSET(GanttCalc!$B$13,0,27+N(Contracts!$Q$15)))-N(OFFSET(GanttCalc!$B$13,0,26+N(Contracts!$Q$15)))=1,"R"&amp;OFFSET(GanttCalc!$B$13,0,27+N(Contracts!$Q$15)),"R"&amp;(OFFSET(GanttCalc!$B$13,0,26+N(Contracts!$Q$15))+1)&amp;"-"&amp;OFFSET(GanttCalc!$B$13,0,27+N(Contracts!$Q$15)))))</f>
        <v/>
      </c>
      <c r="AF46" s="60" t="str">
        <f aca="true">IF($B$46="","",IF(N(OFFSET(GanttCalc!$B$13,0,28+N(Contracts!$Q$15)))-N(OFFSET(GanttCalc!$B$13,0,27+N(Contracts!$Q$15)))&lt;=0,"",IF(N(OFFSET(GanttCalc!$B$13,0,28+N(Contracts!$Q$15)))-N(OFFSET(GanttCalc!$B$13,0,27+N(Contracts!$Q$15)))=1,"R"&amp;OFFSET(GanttCalc!$B$13,0,28+N(Contracts!$Q$15)),"R"&amp;(OFFSET(GanttCalc!$B$13,0,27+N(Contracts!$Q$15))+1)&amp;"-"&amp;OFFSET(GanttCalc!$B$13,0,28+N(Contracts!$Q$15)))))</f>
        <v/>
      </c>
      <c r="AG46" s="60" t="str">
        <f aca="true">IF($B$46="","",IF(N(OFFSET(GanttCalc!$B$13,0,29+N(Contracts!$Q$15)))-N(OFFSET(GanttCalc!$B$13,0,28+N(Contracts!$Q$15)))&lt;=0,"",IF(N(OFFSET(GanttCalc!$B$13,0,29+N(Contracts!$Q$15)))-N(OFFSET(GanttCalc!$B$13,0,28+N(Contracts!$Q$15)))=1,"R"&amp;OFFSET(GanttCalc!$B$13,0,29+N(Contracts!$Q$15)),"R"&amp;(OFFSET(GanttCalc!$B$13,0,28+N(Contracts!$Q$15))+1)&amp;"-"&amp;OFFSET(GanttCalc!$B$13,0,29+N(Contracts!$Q$15)))))</f>
        <v/>
      </c>
      <c r="AH46" s="60" t="str">
        <f aca="true">IF($B$46="","",IF(N(OFFSET(GanttCalc!$B$13,0,30+N(Contracts!$Q$15)))-N(OFFSET(GanttCalc!$B$13,0,29+N(Contracts!$Q$15)))&lt;=0,"",IF(N(OFFSET(GanttCalc!$B$13,0,30+N(Contracts!$Q$15)))-N(OFFSET(GanttCalc!$B$13,0,29+N(Contracts!$Q$15)))=1,"R"&amp;OFFSET(GanttCalc!$B$13,0,30+N(Contracts!$Q$15)),"R"&amp;(OFFSET(GanttCalc!$B$13,0,29+N(Contracts!$Q$15))+1)&amp;"-"&amp;OFFSET(GanttCalc!$B$13,0,30+N(Contracts!$Q$15)))))</f>
        <v/>
      </c>
      <c r="AI46" s="60" t="str">
        <f aca="true">IF($B$46="","",IF(N(OFFSET(GanttCalc!$B$13,0,31+N(Contracts!$Q$15)))-N(OFFSET(GanttCalc!$B$13,0,30+N(Contracts!$Q$15)))&lt;=0,"",IF(N(OFFSET(GanttCalc!$B$13,0,31+N(Contracts!$Q$15)))-N(OFFSET(GanttCalc!$B$13,0,30+N(Contracts!$Q$15)))=1,"R"&amp;OFFSET(GanttCalc!$B$13,0,31+N(Contracts!$Q$15)),"R"&amp;(OFFSET(GanttCalc!$B$13,0,30+N(Contracts!$Q$15))+1)&amp;"-"&amp;OFFSET(GanttCalc!$B$13,0,31+N(Contracts!$Q$15)))))</f>
        <v/>
      </c>
      <c r="AJ46" s="60" t="str">
        <f aca="true">IF($B$46="","",IF(N(OFFSET(GanttCalc!$B$13,0,32+N(Contracts!$Q$15)))-N(OFFSET(GanttCalc!$B$13,0,31+N(Contracts!$Q$15)))&lt;=0,"",IF(N(OFFSET(GanttCalc!$B$13,0,32+N(Contracts!$Q$15)))-N(OFFSET(GanttCalc!$B$13,0,31+N(Contracts!$Q$15)))=1,"R"&amp;OFFSET(GanttCalc!$B$13,0,32+N(Contracts!$Q$15)),"R"&amp;(OFFSET(GanttCalc!$B$13,0,31+N(Contracts!$Q$15))+1)&amp;"-"&amp;OFFSET(GanttCalc!$B$13,0,32+N(Contracts!$Q$15)))))</f>
        <v/>
      </c>
      <c r="AK46" s="60" t="str">
        <f aca="true">IF($B$46="","",IF(N(OFFSET(GanttCalc!$B$13,0,33+N(Contracts!$Q$15)))-N(OFFSET(GanttCalc!$B$13,0,32+N(Contracts!$Q$15)))&lt;=0,"",IF(N(OFFSET(GanttCalc!$B$13,0,33+N(Contracts!$Q$15)))-N(OFFSET(GanttCalc!$B$13,0,32+N(Contracts!$Q$15)))=1,"R"&amp;OFFSET(GanttCalc!$B$13,0,33+N(Contracts!$Q$15)),"R"&amp;(OFFSET(GanttCalc!$B$13,0,32+N(Contracts!$Q$15))+1)&amp;"-"&amp;OFFSET(GanttCalc!$B$13,0,33+N(Contracts!$Q$15)))))</f>
        <v/>
      </c>
      <c r="AL46" s="60" t="str">
        <f aca="true">IF($B$46="","",IF(N(OFFSET(GanttCalc!$B$13,0,34+N(Contracts!$Q$15)))-N(OFFSET(GanttCalc!$B$13,0,33+N(Contracts!$Q$15)))&lt;=0,"",IF(N(OFFSET(GanttCalc!$B$13,0,34+N(Contracts!$Q$15)))-N(OFFSET(GanttCalc!$B$13,0,33+N(Contracts!$Q$15)))=1,"R"&amp;OFFSET(GanttCalc!$B$13,0,34+N(Contracts!$Q$15)),"R"&amp;(OFFSET(GanttCalc!$B$13,0,33+N(Contracts!$Q$15))+1)&amp;"-"&amp;OFFSET(GanttCalc!$B$13,0,34+N(Contracts!$Q$15)))))</f>
        <v/>
      </c>
      <c r="AM46" s="60" t="str">
        <f aca="true">IF($B$46="","",IF(N(OFFSET(GanttCalc!$B$13,0,35+N(Contracts!$Q$15)))-N(OFFSET(GanttCalc!$B$13,0,34+N(Contracts!$Q$15)))&lt;=0,"",IF(N(OFFSET(GanttCalc!$B$13,0,35+N(Contracts!$Q$15)))-N(OFFSET(GanttCalc!$B$13,0,34+N(Contracts!$Q$15)))=1,"R"&amp;OFFSET(GanttCalc!$B$13,0,35+N(Contracts!$Q$15)),"R"&amp;(OFFSET(GanttCalc!$B$13,0,34+N(Contracts!$Q$15))+1)&amp;"-"&amp;OFFSET(GanttCalc!$B$13,0,35+N(Contracts!$Q$15)))))</f>
        <v/>
      </c>
      <c r="AN46" s="60" t="str">
        <f aca="true">IF($B$46="","",IF(N(OFFSET(GanttCalc!$B$13,0,36+N(Contracts!$Q$15)))-N(OFFSET(GanttCalc!$B$13,0,35+N(Contracts!$Q$15)))&lt;=0,"",IF(N(OFFSET(GanttCalc!$B$13,0,36+N(Contracts!$Q$15)))-N(OFFSET(GanttCalc!$B$13,0,35+N(Contracts!$Q$15)))=1,"R"&amp;OFFSET(GanttCalc!$B$13,0,36+N(Contracts!$Q$15)),"R"&amp;(OFFSET(GanttCalc!$B$13,0,35+N(Contracts!$Q$15))+1)&amp;"-"&amp;OFFSET(GanttCalc!$B$13,0,36+N(Contracts!$Q$15)))))</f>
        <v/>
      </c>
      <c r="AO46" s="60" t="str">
        <f aca="true">IF($B$46="","",IF(N(OFFSET(GanttCalc!$B$13,0,37+N(Contracts!$Q$15)))-N(OFFSET(GanttCalc!$B$13,0,36+N(Contracts!$Q$15)))&lt;=0,"",IF(N(OFFSET(GanttCalc!$B$13,0,37+N(Contracts!$Q$15)))-N(OFFSET(GanttCalc!$B$13,0,36+N(Contracts!$Q$15)))=1,"R"&amp;OFFSET(GanttCalc!$B$13,0,37+N(Contracts!$Q$15)),"R"&amp;(OFFSET(GanttCalc!$B$13,0,36+N(Contracts!$Q$15))+1)&amp;"-"&amp;OFFSET(GanttCalc!$B$13,0,37+N(Contracts!$Q$15)))))</f>
        <v/>
      </c>
      <c r="AP46" s="60" t="str">
        <f aca="true">IF($B$46="","",IF(N(OFFSET(GanttCalc!$B$13,0,38+N(Contracts!$Q$15)))-N(OFFSET(GanttCalc!$B$13,0,37+N(Contracts!$Q$15)))&lt;=0,"",IF(N(OFFSET(GanttCalc!$B$13,0,38+N(Contracts!$Q$15)))-N(OFFSET(GanttCalc!$B$13,0,37+N(Contracts!$Q$15)))=1,"R"&amp;OFFSET(GanttCalc!$B$13,0,38+N(Contracts!$Q$15)),"R"&amp;(OFFSET(GanttCalc!$B$13,0,37+N(Contracts!$Q$15))+1)&amp;"-"&amp;OFFSET(GanttCalc!$B$13,0,38+N(Contracts!$Q$15)))))</f>
        <v/>
      </c>
      <c r="AQ46" s="60" t="str">
        <f aca="true">IF($B$46="","",IF(N(OFFSET(GanttCalc!$B$13,0,39+N(Contracts!$Q$15)))-N(OFFSET(GanttCalc!$B$13,0,38+N(Contracts!$Q$15)))&lt;=0,"",IF(N(OFFSET(GanttCalc!$B$13,0,39+N(Contracts!$Q$15)))-N(OFFSET(GanttCalc!$B$13,0,38+N(Contracts!$Q$15)))=1,"R"&amp;OFFSET(GanttCalc!$B$13,0,39+N(Contracts!$Q$15)),"R"&amp;(OFFSET(GanttCalc!$B$13,0,38+N(Contracts!$Q$15))+1)&amp;"-"&amp;OFFSET(GanttCalc!$B$13,0,39+N(Contracts!$Q$15)))))</f>
        <v/>
      </c>
      <c r="AR46" s="60" t="str">
        <f aca="true">IF($B$46="","",IF(N(OFFSET(GanttCalc!$B$13,0,40+N(Contracts!$Q$15)))-N(OFFSET(GanttCalc!$B$13,0,39+N(Contracts!$Q$15)))&lt;=0,"",IF(N(OFFSET(GanttCalc!$B$13,0,40+N(Contracts!$Q$15)))-N(OFFSET(GanttCalc!$B$13,0,39+N(Contracts!$Q$15)))=1,"R"&amp;OFFSET(GanttCalc!$B$13,0,40+N(Contracts!$Q$15)),"R"&amp;(OFFSET(GanttCalc!$B$13,0,39+N(Contracts!$Q$15))+1)&amp;"-"&amp;OFFSET(GanttCalc!$B$13,0,40+N(Contracts!$Q$15)))))</f>
        <v/>
      </c>
      <c r="AS46" s="60" t="str">
        <f aca="true">IF($B$46="","",IF(N(OFFSET(GanttCalc!$B$13,0,41+N(Contracts!$Q$15)))-N(OFFSET(GanttCalc!$B$13,0,40+N(Contracts!$Q$15)))&lt;=0,"",IF(N(OFFSET(GanttCalc!$B$13,0,41+N(Contracts!$Q$15)))-N(OFFSET(GanttCalc!$B$13,0,40+N(Contracts!$Q$15)))=1,"R"&amp;OFFSET(GanttCalc!$B$13,0,41+N(Contracts!$Q$15)),"R"&amp;(OFFSET(GanttCalc!$B$13,0,40+N(Contracts!$Q$15))+1)&amp;"-"&amp;OFFSET(GanttCalc!$B$13,0,41+N(Contracts!$Q$15)))))</f>
        <v/>
      </c>
      <c r="AT46" s="60" t="str">
        <f aca="true">IF($B$46="","",IF(N(OFFSET(GanttCalc!$B$13,0,42+N(Contracts!$Q$15)))-N(OFFSET(GanttCalc!$B$13,0,41+N(Contracts!$Q$15)))&lt;=0,"",IF(N(OFFSET(GanttCalc!$B$13,0,42+N(Contracts!$Q$15)))-N(OFFSET(GanttCalc!$B$13,0,41+N(Contracts!$Q$15)))=1,"R"&amp;OFFSET(GanttCalc!$B$13,0,42+N(Contracts!$Q$15)),"R"&amp;(OFFSET(GanttCalc!$B$13,0,41+N(Contracts!$Q$15))+1)&amp;"-"&amp;OFFSET(GanttCalc!$B$13,0,42+N(Contracts!$Q$15)))))</f>
        <v/>
      </c>
      <c r="AU46" s="60" t="str">
        <f aca="true">IF($B$46="","",IF(N(OFFSET(GanttCalc!$B$13,0,43+N(Contracts!$Q$15)))-N(OFFSET(GanttCalc!$B$13,0,42+N(Contracts!$Q$15)))&lt;=0,"",IF(N(OFFSET(GanttCalc!$B$13,0,43+N(Contracts!$Q$15)))-N(OFFSET(GanttCalc!$B$13,0,42+N(Contracts!$Q$15)))=1,"R"&amp;OFFSET(GanttCalc!$B$13,0,43+N(Contracts!$Q$15)),"R"&amp;(OFFSET(GanttCalc!$B$13,0,42+N(Contracts!$Q$15))+1)&amp;"-"&amp;OFFSET(GanttCalc!$B$13,0,43+N(Contracts!$Q$15)))))</f>
        <v/>
      </c>
      <c r="AV46" s="60" t="str">
        <f aca="true">IF($B$46="","",IF(N(OFFSET(GanttCalc!$B$13,0,44+N(Contracts!$Q$15)))-N(OFFSET(GanttCalc!$B$13,0,43+N(Contracts!$Q$15)))&lt;=0,"",IF(N(OFFSET(GanttCalc!$B$13,0,44+N(Contracts!$Q$15)))-N(OFFSET(GanttCalc!$B$13,0,43+N(Contracts!$Q$15)))=1,"R"&amp;OFFSET(GanttCalc!$B$13,0,44+N(Contracts!$Q$15)),"R"&amp;(OFFSET(GanttCalc!$B$13,0,43+N(Contracts!$Q$15))+1)&amp;"-"&amp;OFFSET(GanttCalc!$B$13,0,44+N(Contracts!$Q$15)))))</f>
        <v/>
      </c>
      <c r="AW46" s="60" t="str">
        <f aca="true">IF($B$46="","",IF(N(OFFSET(GanttCalc!$B$13,0,45+N(Contracts!$Q$15)))-N(OFFSET(GanttCalc!$B$13,0,44+N(Contracts!$Q$15)))&lt;=0,"",IF(N(OFFSET(GanttCalc!$B$13,0,45+N(Contracts!$Q$15)))-N(OFFSET(GanttCalc!$B$13,0,44+N(Contracts!$Q$15)))=1,"R"&amp;OFFSET(GanttCalc!$B$13,0,45+N(Contracts!$Q$15)),"R"&amp;(OFFSET(GanttCalc!$B$13,0,44+N(Contracts!$Q$15))+1)&amp;"-"&amp;OFFSET(GanttCalc!$B$13,0,45+N(Contracts!$Q$15)))))</f>
        <v/>
      </c>
      <c r="AX46" s="60" t="str">
        <f aca="true">IF($B$46="","",IF(N(OFFSET(GanttCalc!$B$13,0,46+N(Contracts!$Q$15)))-N(OFFSET(GanttCalc!$B$13,0,45+N(Contracts!$Q$15)))&lt;=0,"",IF(N(OFFSET(GanttCalc!$B$13,0,46+N(Contracts!$Q$15)))-N(OFFSET(GanttCalc!$B$13,0,45+N(Contracts!$Q$15)))=1,"R"&amp;OFFSET(GanttCalc!$B$13,0,46+N(Contracts!$Q$15)),"R"&amp;(OFFSET(GanttCalc!$B$13,0,45+N(Contracts!$Q$15))+1)&amp;"-"&amp;OFFSET(GanttCalc!$B$13,0,46+N(Contracts!$Q$15)))))</f>
        <v/>
      </c>
      <c r="AY46" s="60" t="str">
        <f aca="true">IF($B$46="","",IF(N(OFFSET(GanttCalc!$B$13,0,47+N(Contracts!$Q$15)))-N(OFFSET(GanttCalc!$B$13,0,46+N(Contracts!$Q$15)))&lt;=0,"",IF(N(OFFSET(GanttCalc!$B$13,0,47+N(Contracts!$Q$15)))-N(OFFSET(GanttCalc!$B$13,0,46+N(Contracts!$Q$15)))=1,"R"&amp;OFFSET(GanttCalc!$B$13,0,47+N(Contracts!$Q$15)),"R"&amp;(OFFSET(GanttCalc!$B$13,0,46+N(Contracts!$Q$15))+1)&amp;"-"&amp;OFFSET(GanttCalc!$B$13,0,47+N(Contracts!$Q$15)))))</f>
        <v/>
      </c>
      <c r="AZ46" s="60" t="str">
        <f aca="true">IF($B$46="","",IF(N(OFFSET(GanttCalc!$B$13,0,48+N(Contracts!$Q$15)))-N(OFFSET(GanttCalc!$B$13,0,47+N(Contracts!$Q$15)))&lt;=0,"",IF(N(OFFSET(GanttCalc!$B$13,0,48+N(Contracts!$Q$15)))-N(OFFSET(GanttCalc!$B$13,0,47+N(Contracts!$Q$15)))=1,"R"&amp;OFFSET(GanttCalc!$B$13,0,48+N(Contracts!$Q$15)),"R"&amp;(OFFSET(GanttCalc!$B$13,0,47+N(Contracts!$Q$15))+1)&amp;"-"&amp;OFFSET(GanttCalc!$B$13,0,48+N(Contracts!$Q$15)))))</f>
        <v/>
      </c>
      <c r="BA46" s="60" t="str">
        <f aca="true">IF($B$46="","",IF(N(OFFSET(GanttCalc!$B$13,0,49+N(Contracts!$Q$15)))-N(OFFSET(GanttCalc!$B$13,0,48+N(Contracts!$Q$15)))&lt;=0,"",IF(N(OFFSET(GanttCalc!$B$13,0,49+N(Contracts!$Q$15)))-N(OFFSET(GanttCalc!$B$13,0,48+N(Contracts!$Q$15)))=1,"R"&amp;OFFSET(GanttCalc!$B$13,0,49+N(Contracts!$Q$15)),"R"&amp;(OFFSET(GanttCalc!$B$13,0,48+N(Contracts!$Q$15))+1)&amp;"-"&amp;OFFSET(GanttCalc!$B$13,0,49+N(Contracts!$Q$15)))))</f>
        <v/>
      </c>
      <c r="BB46" s="60" t="str">
        <f aca="true">IF($B$46="","",IF(N(OFFSET(GanttCalc!$B$13,0,50+N(Contracts!$Q$15)))-N(OFFSET(GanttCalc!$B$13,0,49+N(Contracts!$Q$15)))&lt;=0,"",IF(N(OFFSET(GanttCalc!$B$13,0,50+N(Contracts!$Q$15)))-N(OFFSET(GanttCalc!$B$13,0,49+N(Contracts!$Q$15)))=1,"R"&amp;OFFSET(GanttCalc!$B$13,0,50+N(Contracts!$Q$15)),"R"&amp;(OFFSET(GanttCalc!$B$13,0,49+N(Contracts!$Q$15))+1)&amp;"-"&amp;OFFSET(GanttCalc!$B$13,0,50+N(Contracts!$Q$15)))))</f>
        <v/>
      </c>
      <c r="BC46" s="60" t="str">
        <f aca="true">IF($B$46="","",IF(N(OFFSET(GanttCalc!$B$13,0,51+N(Contracts!$Q$15)))-N(OFFSET(GanttCalc!$B$13,0,50+N(Contracts!$Q$15)))&lt;=0,"",IF(N(OFFSET(GanttCalc!$B$13,0,51+N(Contracts!$Q$15)))-N(OFFSET(GanttCalc!$B$13,0,50+N(Contracts!$Q$15)))=1,"R"&amp;OFFSET(GanttCalc!$B$13,0,51+N(Contracts!$Q$15)),"R"&amp;(OFFSET(GanttCalc!$B$13,0,50+N(Contracts!$Q$15))+1)&amp;"-"&amp;OFFSET(GanttCalc!$B$13,0,51+N(Contracts!$Q$15)))))</f>
        <v/>
      </c>
      <c r="BD46" s="60" t="str">
        <f aca="true">IF($B$46="","",IF(N(OFFSET(GanttCalc!$B$13,0,52+N(Contracts!$Q$15)))-N(OFFSET(GanttCalc!$B$13,0,51+N(Contracts!$Q$15)))&lt;=0,"",IF(N(OFFSET(GanttCalc!$B$13,0,52+N(Contracts!$Q$15)))-N(OFFSET(GanttCalc!$B$13,0,51+N(Contracts!$Q$15)))=1,"R"&amp;OFFSET(GanttCalc!$B$13,0,52+N(Contracts!$Q$15)),"R"&amp;(OFFSET(GanttCalc!$B$13,0,51+N(Contracts!$Q$15))+1)&amp;"-"&amp;OFFSET(GanttCalc!$B$13,0,52+N(Contracts!$Q$15)))))</f>
        <v/>
      </c>
    </row>
    <row r="47" customFormat="false" ht="16.5" hidden="false" customHeight="true" outlineLevel="0" collapsed="false">
      <c r="B47" s="61" t="str">
        <f aca="false">IF(Contracts!$A$15="","",Contracts!$C$15)</f>
        <v>Not yet released</v>
      </c>
      <c r="C47" s="62" t="str">
        <f aca="false">IF(Contracts!$A$15="","","AMPS build")</f>
        <v>AMPS build</v>
      </c>
      <c r="D47" s="59" t="str">
        <f aca="false">IF($B$46="","",SUMPRODUCT(--(E47:BD47&lt;&gt;""))&amp;" wks")</f>
        <v>0 wks</v>
      </c>
      <c r="E47" s="60" t="str">
        <f aca="false">IF($B$46="","",IF(N(GanttCalc!D13)-N(GanttCalc!C13)&lt;=0,"",IF(N(GanttCalc!D13)-N(GanttCalc!C13)=1,"R"&amp;GanttCalc!D13,"R"&amp;(GanttCalc!C13+1)&amp;"-"&amp;GanttCalc!D13)))</f>
        <v/>
      </c>
      <c r="F47" s="60" t="str">
        <f aca="false">IF($B$46="","",IF(N(GanttCalc!E13)-N(GanttCalc!D13)&lt;=0,"",IF(N(GanttCalc!E13)-N(GanttCalc!D13)=1,"R"&amp;GanttCalc!E13,"R"&amp;(GanttCalc!D13+1)&amp;"-"&amp;GanttCalc!E13)))</f>
        <v/>
      </c>
      <c r="G47" s="60" t="str">
        <f aca="false">IF($B$46="","",IF(N(GanttCalc!F13)-N(GanttCalc!E13)&lt;=0,"",IF(N(GanttCalc!F13)-N(GanttCalc!E13)=1,"R"&amp;GanttCalc!F13,"R"&amp;(GanttCalc!E13+1)&amp;"-"&amp;GanttCalc!F13)))</f>
        <v/>
      </c>
      <c r="H47" s="60" t="str">
        <f aca="false">IF($B$46="","",IF(N(GanttCalc!G13)-N(GanttCalc!F13)&lt;=0,"",IF(N(GanttCalc!G13)-N(GanttCalc!F13)=1,"R"&amp;GanttCalc!G13,"R"&amp;(GanttCalc!F13+1)&amp;"-"&amp;GanttCalc!G13)))</f>
        <v/>
      </c>
      <c r="I47" s="60" t="str">
        <f aca="false">IF($B$46="","",IF(N(GanttCalc!H13)-N(GanttCalc!G13)&lt;=0,"",IF(N(GanttCalc!H13)-N(GanttCalc!G13)=1,"R"&amp;GanttCalc!H13,"R"&amp;(GanttCalc!G13+1)&amp;"-"&amp;GanttCalc!H13)))</f>
        <v/>
      </c>
      <c r="J47" s="60" t="str">
        <f aca="false">IF($B$46="","",IF(N(GanttCalc!I13)-N(GanttCalc!H13)&lt;=0,"",IF(N(GanttCalc!I13)-N(GanttCalc!H13)=1,"R"&amp;GanttCalc!I13,"R"&amp;(GanttCalc!H13+1)&amp;"-"&amp;GanttCalc!I13)))</f>
        <v/>
      </c>
      <c r="K47" s="60" t="str">
        <f aca="false">IF($B$46="","",IF(N(GanttCalc!J13)-N(GanttCalc!I13)&lt;=0,"",IF(N(GanttCalc!J13)-N(GanttCalc!I13)=1,"R"&amp;GanttCalc!J13,"R"&amp;(GanttCalc!I13+1)&amp;"-"&amp;GanttCalc!J13)))</f>
        <v/>
      </c>
      <c r="L47" s="60" t="str">
        <f aca="false">IF($B$46="","",IF(N(GanttCalc!K13)-N(GanttCalc!J13)&lt;=0,"",IF(N(GanttCalc!K13)-N(GanttCalc!J13)=1,"R"&amp;GanttCalc!K13,"R"&amp;(GanttCalc!J13+1)&amp;"-"&amp;GanttCalc!K13)))</f>
        <v/>
      </c>
      <c r="M47" s="60" t="str">
        <f aca="false">IF($B$46="","",IF(N(GanttCalc!L13)-N(GanttCalc!K13)&lt;=0,"",IF(N(GanttCalc!L13)-N(GanttCalc!K13)=1,"R"&amp;GanttCalc!L13,"R"&amp;(GanttCalc!K13+1)&amp;"-"&amp;GanttCalc!L13)))</f>
        <v/>
      </c>
      <c r="N47" s="60" t="str">
        <f aca="false">IF($B$46="","",IF(N(GanttCalc!M13)-N(GanttCalc!L13)&lt;=0,"",IF(N(GanttCalc!M13)-N(GanttCalc!L13)=1,"R"&amp;GanttCalc!M13,"R"&amp;(GanttCalc!L13+1)&amp;"-"&amp;GanttCalc!M13)))</f>
        <v/>
      </c>
      <c r="O47" s="60" t="str">
        <f aca="false">IF($B$46="","",IF(N(GanttCalc!N13)-N(GanttCalc!M13)&lt;=0,"",IF(N(GanttCalc!N13)-N(GanttCalc!M13)=1,"R"&amp;GanttCalc!N13,"R"&amp;(GanttCalc!M13+1)&amp;"-"&amp;GanttCalc!N13)))</f>
        <v/>
      </c>
      <c r="P47" s="60" t="str">
        <f aca="false">IF($B$46="","",IF(N(GanttCalc!O13)-N(GanttCalc!N13)&lt;=0,"",IF(N(GanttCalc!O13)-N(GanttCalc!N13)=1,"R"&amp;GanttCalc!O13,"R"&amp;(GanttCalc!N13+1)&amp;"-"&amp;GanttCalc!O13)))</f>
        <v/>
      </c>
      <c r="Q47" s="60" t="str">
        <f aca="false">IF($B$46="","",IF(N(GanttCalc!P13)-N(GanttCalc!O13)&lt;=0,"",IF(N(GanttCalc!P13)-N(GanttCalc!O13)=1,"R"&amp;GanttCalc!P13,"R"&amp;(GanttCalc!O13+1)&amp;"-"&amp;GanttCalc!P13)))</f>
        <v/>
      </c>
      <c r="R47" s="60" t="str">
        <f aca="false">IF($B$46="","",IF(N(GanttCalc!Q13)-N(GanttCalc!P13)&lt;=0,"",IF(N(GanttCalc!Q13)-N(GanttCalc!P13)=1,"R"&amp;GanttCalc!Q13,"R"&amp;(GanttCalc!P13+1)&amp;"-"&amp;GanttCalc!Q13)))</f>
        <v/>
      </c>
      <c r="S47" s="60" t="str">
        <f aca="false">IF($B$46="","",IF(N(GanttCalc!R13)-N(GanttCalc!Q13)&lt;=0,"",IF(N(GanttCalc!R13)-N(GanttCalc!Q13)=1,"R"&amp;GanttCalc!R13,"R"&amp;(GanttCalc!Q13+1)&amp;"-"&amp;GanttCalc!R13)))</f>
        <v/>
      </c>
      <c r="T47" s="60" t="str">
        <f aca="false">IF($B$46="","",IF(N(GanttCalc!S13)-N(GanttCalc!R13)&lt;=0,"",IF(N(GanttCalc!S13)-N(GanttCalc!R13)=1,"R"&amp;GanttCalc!S13,"R"&amp;(GanttCalc!R13+1)&amp;"-"&amp;GanttCalc!S13)))</f>
        <v/>
      </c>
      <c r="U47" s="60" t="str">
        <f aca="false">IF($B$46="","",IF(N(GanttCalc!T13)-N(GanttCalc!S13)&lt;=0,"",IF(N(GanttCalc!T13)-N(GanttCalc!S13)=1,"R"&amp;GanttCalc!T13,"R"&amp;(GanttCalc!S13+1)&amp;"-"&amp;GanttCalc!T13)))</f>
        <v/>
      </c>
      <c r="V47" s="60" t="str">
        <f aca="false">IF($B$46="","",IF(N(GanttCalc!U13)-N(GanttCalc!T13)&lt;=0,"",IF(N(GanttCalc!U13)-N(GanttCalc!T13)=1,"R"&amp;GanttCalc!U13,"R"&amp;(GanttCalc!T13+1)&amp;"-"&amp;GanttCalc!U13)))</f>
        <v/>
      </c>
      <c r="W47" s="60" t="str">
        <f aca="false">IF($B$46="","",IF(N(GanttCalc!V13)-N(GanttCalc!U13)&lt;=0,"",IF(N(GanttCalc!V13)-N(GanttCalc!U13)=1,"R"&amp;GanttCalc!V13,"R"&amp;(GanttCalc!U13+1)&amp;"-"&amp;GanttCalc!V13)))</f>
        <v/>
      </c>
      <c r="X47" s="60" t="str">
        <f aca="false">IF($B$46="","",IF(N(GanttCalc!W13)-N(GanttCalc!V13)&lt;=0,"",IF(N(GanttCalc!W13)-N(GanttCalc!V13)=1,"R"&amp;GanttCalc!W13,"R"&amp;(GanttCalc!V13+1)&amp;"-"&amp;GanttCalc!W13)))</f>
        <v/>
      </c>
      <c r="Y47" s="60" t="str">
        <f aca="false">IF($B$46="","",IF(N(GanttCalc!X13)-N(GanttCalc!W13)&lt;=0,"",IF(N(GanttCalc!X13)-N(GanttCalc!W13)=1,"R"&amp;GanttCalc!X13,"R"&amp;(GanttCalc!W13+1)&amp;"-"&amp;GanttCalc!X13)))</f>
        <v/>
      </c>
      <c r="Z47" s="60" t="str">
        <f aca="false">IF($B$46="","",IF(N(GanttCalc!Y13)-N(GanttCalc!X13)&lt;=0,"",IF(N(GanttCalc!Y13)-N(GanttCalc!X13)=1,"R"&amp;GanttCalc!Y13,"R"&amp;(GanttCalc!X13+1)&amp;"-"&amp;GanttCalc!Y13)))</f>
        <v/>
      </c>
      <c r="AA47" s="60" t="str">
        <f aca="false">IF($B$46="","",IF(N(GanttCalc!Z13)-N(GanttCalc!Y13)&lt;=0,"",IF(N(GanttCalc!Z13)-N(GanttCalc!Y13)=1,"R"&amp;GanttCalc!Z13,"R"&amp;(GanttCalc!Y13+1)&amp;"-"&amp;GanttCalc!Z13)))</f>
        <v/>
      </c>
      <c r="AB47" s="60" t="str">
        <f aca="false">IF($B$46="","",IF(N(GanttCalc!AA13)-N(GanttCalc!Z13)&lt;=0,"",IF(N(GanttCalc!AA13)-N(GanttCalc!Z13)=1,"R"&amp;GanttCalc!AA13,"R"&amp;(GanttCalc!Z13+1)&amp;"-"&amp;GanttCalc!AA13)))</f>
        <v/>
      </c>
      <c r="AC47" s="60" t="str">
        <f aca="false">IF($B$46="","",IF(N(GanttCalc!AB13)-N(GanttCalc!AA13)&lt;=0,"",IF(N(GanttCalc!AB13)-N(GanttCalc!AA13)=1,"R"&amp;GanttCalc!AB13,"R"&amp;(GanttCalc!AA13+1)&amp;"-"&amp;GanttCalc!AB13)))</f>
        <v/>
      </c>
      <c r="AD47" s="60" t="str">
        <f aca="false">IF($B$46="","",IF(N(GanttCalc!AC13)-N(GanttCalc!AB13)&lt;=0,"",IF(N(GanttCalc!AC13)-N(GanttCalc!AB13)=1,"R"&amp;GanttCalc!AC13,"R"&amp;(GanttCalc!AB13+1)&amp;"-"&amp;GanttCalc!AC13)))</f>
        <v/>
      </c>
      <c r="AE47" s="60" t="str">
        <f aca="false">IF($B$46="","",IF(N(GanttCalc!AD13)-N(GanttCalc!AC13)&lt;=0,"",IF(N(GanttCalc!AD13)-N(GanttCalc!AC13)=1,"R"&amp;GanttCalc!AD13,"R"&amp;(GanttCalc!AC13+1)&amp;"-"&amp;GanttCalc!AD13)))</f>
        <v/>
      </c>
      <c r="AF47" s="60" t="str">
        <f aca="false">IF($B$46="","",IF(N(GanttCalc!AE13)-N(GanttCalc!AD13)&lt;=0,"",IF(N(GanttCalc!AE13)-N(GanttCalc!AD13)=1,"R"&amp;GanttCalc!AE13,"R"&amp;(GanttCalc!AD13+1)&amp;"-"&amp;GanttCalc!AE13)))</f>
        <v/>
      </c>
      <c r="AG47" s="60" t="str">
        <f aca="false">IF($B$46="","",IF(N(GanttCalc!AF13)-N(GanttCalc!AE13)&lt;=0,"",IF(N(GanttCalc!AF13)-N(GanttCalc!AE13)=1,"R"&amp;GanttCalc!AF13,"R"&amp;(GanttCalc!AE13+1)&amp;"-"&amp;GanttCalc!AF13)))</f>
        <v/>
      </c>
      <c r="AH47" s="60" t="str">
        <f aca="false">IF($B$46="","",IF(N(GanttCalc!AG13)-N(GanttCalc!AF13)&lt;=0,"",IF(N(GanttCalc!AG13)-N(GanttCalc!AF13)=1,"R"&amp;GanttCalc!AG13,"R"&amp;(GanttCalc!AF13+1)&amp;"-"&amp;GanttCalc!AG13)))</f>
        <v/>
      </c>
      <c r="AI47" s="60" t="str">
        <f aca="false">IF($B$46="","",IF(N(GanttCalc!AH13)-N(GanttCalc!AG13)&lt;=0,"",IF(N(GanttCalc!AH13)-N(GanttCalc!AG13)=1,"R"&amp;GanttCalc!AH13,"R"&amp;(GanttCalc!AG13+1)&amp;"-"&amp;GanttCalc!AH13)))</f>
        <v/>
      </c>
      <c r="AJ47" s="60" t="str">
        <f aca="false">IF($B$46="","",IF(N(GanttCalc!AI13)-N(GanttCalc!AH13)&lt;=0,"",IF(N(GanttCalc!AI13)-N(GanttCalc!AH13)=1,"R"&amp;GanttCalc!AI13,"R"&amp;(GanttCalc!AH13+1)&amp;"-"&amp;GanttCalc!AI13)))</f>
        <v/>
      </c>
      <c r="AK47" s="60" t="str">
        <f aca="false">IF($B$46="","",IF(N(GanttCalc!AJ13)-N(GanttCalc!AI13)&lt;=0,"",IF(N(GanttCalc!AJ13)-N(GanttCalc!AI13)=1,"R"&amp;GanttCalc!AJ13,"R"&amp;(GanttCalc!AI13+1)&amp;"-"&amp;GanttCalc!AJ13)))</f>
        <v/>
      </c>
      <c r="AL47" s="60" t="str">
        <f aca="false">IF($B$46="","",IF(N(GanttCalc!AK13)-N(GanttCalc!AJ13)&lt;=0,"",IF(N(GanttCalc!AK13)-N(GanttCalc!AJ13)=1,"R"&amp;GanttCalc!AK13,"R"&amp;(GanttCalc!AJ13+1)&amp;"-"&amp;GanttCalc!AK13)))</f>
        <v/>
      </c>
      <c r="AM47" s="60" t="str">
        <f aca="false">IF($B$46="","",IF(N(GanttCalc!AL13)-N(GanttCalc!AK13)&lt;=0,"",IF(N(GanttCalc!AL13)-N(GanttCalc!AK13)=1,"R"&amp;GanttCalc!AL13,"R"&amp;(GanttCalc!AK13+1)&amp;"-"&amp;GanttCalc!AL13)))</f>
        <v/>
      </c>
      <c r="AN47" s="60" t="str">
        <f aca="false">IF($B$46="","",IF(N(GanttCalc!AM13)-N(GanttCalc!AL13)&lt;=0,"",IF(N(GanttCalc!AM13)-N(GanttCalc!AL13)=1,"R"&amp;GanttCalc!AM13,"R"&amp;(GanttCalc!AL13+1)&amp;"-"&amp;GanttCalc!AM13)))</f>
        <v/>
      </c>
      <c r="AO47" s="60" t="str">
        <f aca="false">IF($B$46="","",IF(N(GanttCalc!AN13)-N(GanttCalc!AM13)&lt;=0,"",IF(N(GanttCalc!AN13)-N(GanttCalc!AM13)=1,"R"&amp;GanttCalc!AN13,"R"&amp;(GanttCalc!AM13+1)&amp;"-"&amp;GanttCalc!AN13)))</f>
        <v/>
      </c>
      <c r="AP47" s="60" t="str">
        <f aca="false">IF($B$46="","",IF(N(GanttCalc!AO13)-N(GanttCalc!AN13)&lt;=0,"",IF(N(GanttCalc!AO13)-N(GanttCalc!AN13)=1,"R"&amp;GanttCalc!AO13,"R"&amp;(GanttCalc!AN13+1)&amp;"-"&amp;GanttCalc!AO13)))</f>
        <v/>
      </c>
      <c r="AQ47" s="60" t="str">
        <f aca="false">IF($B$46="","",IF(N(GanttCalc!AP13)-N(GanttCalc!AO13)&lt;=0,"",IF(N(GanttCalc!AP13)-N(GanttCalc!AO13)=1,"R"&amp;GanttCalc!AP13,"R"&amp;(GanttCalc!AO13+1)&amp;"-"&amp;GanttCalc!AP13)))</f>
        <v/>
      </c>
      <c r="AR47" s="60" t="str">
        <f aca="false">IF($B$46="","",IF(N(GanttCalc!AQ13)-N(GanttCalc!AP13)&lt;=0,"",IF(N(GanttCalc!AQ13)-N(GanttCalc!AP13)=1,"R"&amp;GanttCalc!AQ13,"R"&amp;(GanttCalc!AP13+1)&amp;"-"&amp;GanttCalc!AQ13)))</f>
        <v/>
      </c>
      <c r="AS47" s="60" t="str">
        <f aca="false">IF($B$46="","",IF(N(GanttCalc!AR13)-N(GanttCalc!AQ13)&lt;=0,"",IF(N(GanttCalc!AR13)-N(GanttCalc!AQ13)=1,"R"&amp;GanttCalc!AR13,"R"&amp;(GanttCalc!AQ13+1)&amp;"-"&amp;GanttCalc!AR13)))</f>
        <v/>
      </c>
      <c r="AT47" s="60" t="str">
        <f aca="false">IF($B$46="","",IF(N(GanttCalc!AS13)-N(GanttCalc!AR13)&lt;=0,"",IF(N(GanttCalc!AS13)-N(GanttCalc!AR13)=1,"R"&amp;GanttCalc!AS13,"R"&amp;(GanttCalc!AR13+1)&amp;"-"&amp;GanttCalc!AS13)))</f>
        <v/>
      </c>
      <c r="AU47" s="60" t="str">
        <f aca="false">IF($B$46="","",IF(N(GanttCalc!AT13)-N(GanttCalc!AS13)&lt;=0,"",IF(N(GanttCalc!AT13)-N(GanttCalc!AS13)=1,"R"&amp;GanttCalc!AT13,"R"&amp;(GanttCalc!AS13+1)&amp;"-"&amp;GanttCalc!AT13)))</f>
        <v/>
      </c>
      <c r="AV47" s="60" t="str">
        <f aca="false">IF($B$46="","",IF(N(GanttCalc!AU13)-N(GanttCalc!AT13)&lt;=0,"",IF(N(GanttCalc!AU13)-N(GanttCalc!AT13)=1,"R"&amp;GanttCalc!AU13,"R"&amp;(GanttCalc!AT13+1)&amp;"-"&amp;GanttCalc!AU13)))</f>
        <v/>
      </c>
      <c r="AW47" s="60" t="str">
        <f aca="false">IF($B$46="","",IF(N(GanttCalc!AV13)-N(GanttCalc!AU13)&lt;=0,"",IF(N(GanttCalc!AV13)-N(GanttCalc!AU13)=1,"R"&amp;GanttCalc!AV13,"R"&amp;(GanttCalc!AU13+1)&amp;"-"&amp;GanttCalc!AV13)))</f>
        <v/>
      </c>
      <c r="AX47" s="60" t="str">
        <f aca="false">IF($B$46="","",IF(N(GanttCalc!AW13)-N(GanttCalc!AV13)&lt;=0,"",IF(N(GanttCalc!AW13)-N(GanttCalc!AV13)=1,"R"&amp;GanttCalc!AW13,"R"&amp;(GanttCalc!AV13+1)&amp;"-"&amp;GanttCalc!AW13)))</f>
        <v/>
      </c>
      <c r="AY47" s="60" t="str">
        <f aca="false">IF($B$46="","",IF(N(GanttCalc!AX13)-N(GanttCalc!AW13)&lt;=0,"",IF(N(GanttCalc!AX13)-N(GanttCalc!AW13)=1,"R"&amp;GanttCalc!AX13,"R"&amp;(GanttCalc!AW13+1)&amp;"-"&amp;GanttCalc!AX13)))</f>
        <v/>
      </c>
      <c r="AZ47" s="60" t="str">
        <f aca="false">IF($B$46="","",IF(N(GanttCalc!AY13)-N(GanttCalc!AX13)&lt;=0,"",IF(N(GanttCalc!AY13)-N(GanttCalc!AX13)=1,"R"&amp;GanttCalc!AY13,"R"&amp;(GanttCalc!AX13+1)&amp;"-"&amp;GanttCalc!AY13)))</f>
        <v/>
      </c>
      <c r="BA47" s="60" t="str">
        <f aca="false">IF($B$46="","",IF(N(GanttCalc!AZ13)-N(GanttCalc!AY13)&lt;=0,"",IF(N(GanttCalc!AZ13)-N(GanttCalc!AY13)=1,"R"&amp;GanttCalc!AZ13,"R"&amp;(GanttCalc!AY13+1)&amp;"-"&amp;GanttCalc!AZ13)))</f>
        <v/>
      </c>
      <c r="BB47" s="60" t="str">
        <f aca="false">IF($B$46="","",IF(N(GanttCalc!BA13)-N(GanttCalc!AZ13)&lt;=0,"",IF(N(GanttCalc!BA13)-N(GanttCalc!AZ13)=1,"R"&amp;GanttCalc!BA13,"R"&amp;(GanttCalc!AZ13+1)&amp;"-"&amp;GanttCalc!BA13)))</f>
        <v/>
      </c>
      <c r="BC47" s="60" t="str">
        <f aca="false">IF($B$46="","",IF(N(GanttCalc!BB13)-N(GanttCalc!BA13)&lt;=0,"",IF(N(GanttCalc!BB13)-N(GanttCalc!BA13)=1,"R"&amp;GanttCalc!BB13,"R"&amp;(GanttCalc!BA13+1)&amp;"-"&amp;GanttCalc!BB13)))</f>
        <v/>
      </c>
      <c r="BD47" s="60" t="str">
        <f aca="false">IF($B$46="","",IF(N(GanttCalc!BC13)-N(GanttCalc!BB13)&lt;=0,"",IF(N(GanttCalc!BC13)-N(GanttCalc!BB13)=1,"R"&amp;GanttCalc!BC13,"R"&amp;(GanttCalc!BB13+1)&amp;"-"&amp;GanttCalc!BC13)))</f>
        <v/>
      </c>
    </row>
    <row r="48" customFormat="false" ht="16.5" hidden="false" customHeight="true" outlineLevel="0" collapsed="false">
      <c r="B48" s="63" t="str">
        <f aca="false">IF(Contracts!$A$15="","",IF(Contracts!$I$15="","no kit list","kitted: "&amp;Contracts!$I$15&amp;" / "&amp;Contracts!$F$15))</f>
        <v>no kit list</v>
      </c>
      <c r="C48" s="64" t="str">
        <f aca="false">IF(Contracts!$A$15="","","Final build")</f>
        <v>Final build</v>
      </c>
      <c r="D48" s="59" t="str">
        <f aca="false">IF($B$46="","",SUMPRODUCT(--(E48:BD48&lt;&gt;""))&amp;" wks")</f>
        <v>0 wks</v>
      </c>
      <c r="E48" s="60" t="str">
        <f aca="false">IF($B$46="","",IF(N(GanttCalc!C13)-N(GanttCalc!B13)&lt;=0,"",IF(N(GanttCalc!C13)-N(GanttCalc!B13)=1,"R"&amp;GanttCalc!C13,"R"&amp;(GanttCalc!B13+1)&amp;"-"&amp;GanttCalc!C13)))</f>
        <v/>
      </c>
      <c r="F48" s="60" t="str">
        <f aca="false">IF($B$46="","",IF(N(GanttCalc!D13)-N(GanttCalc!C13)&lt;=0,"",IF(N(GanttCalc!D13)-N(GanttCalc!C13)=1,"R"&amp;GanttCalc!D13,"R"&amp;(GanttCalc!C13+1)&amp;"-"&amp;GanttCalc!D13)))</f>
        <v/>
      </c>
      <c r="G48" s="60" t="str">
        <f aca="false">IF($B$46="","",IF(N(GanttCalc!E13)-N(GanttCalc!D13)&lt;=0,"",IF(N(GanttCalc!E13)-N(GanttCalc!D13)=1,"R"&amp;GanttCalc!E13,"R"&amp;(GanttCalc!D13+1)&amp;"-"&amp;GanttCalc!E13)))</f>
        <v/>
      </c>
      <c r="H48" s="60" t="str">
        <f aca="false">IF($B$46="","",IF(N(GanttCalc!F13)-N(GanttCalc!E13)&lt;=0,"",IF(N(GanttCalc!F13)-N(GanttCalc!E13)=1,"R"&amp;GanttCalc!F13,"R"&amp;(GanttCalc!E13+1)&amp;"-"&amp;GanttCalc!F13)))</f>
        <v/>
      </c>
      <c r="I48" s="60" t="str">
        <f aca="false">IF($B$46="","",IF(N(GanttCalc!G13)-N(GanttCalc!F13)&lt;=0,"",IF(N(GanttCalc!G13)-N(GanttCalc!F13)=1,"R"&amp;GanttCalc!G13,"R"&amp;(GanttCalc!F13+1)&amp;"-"&amp;GanttCalc!G13)))</f>
        <v/>
      </c>
      <c r="J48" s="60" t="str">
        <f aca="false">IF($B$46="","",IF(N(GanttCalc!H13)-N(GanttCalc!G13)&lt;=0,"",IF(N(GanttCalc!H13)-N(GanttCalc!G13)=1,"R"&amp;GanttCalc!H13,"R"&amp;(GanttCalc!G13+1)&amp;"-"&amp;GanttCalc!H13)))</f>
        <v/>
      </c>
      <c r="K48" s="60" t="str">
        <f aca="false">IF($B$46="","",IF(N(GanttCalc!I13)-N(GanttCalc!H13)&lt;=0,"",IF(N(GanttCalc!I13)-N(GanttCalc!H13)=1,"R"&amp;GanttCalc!I13,"R"&amp;(GanttCalc!H13+1)&amp;"-"&amp;GanttCalc!I13)))</f>
        <v/>
      </c>
      <c r="L48" s="60" t="str">
        <f aca="false">IF($B$46="","",IF(N(GanttCalc!J13)-N(GanttCalc!I13)&lt;=0,"",IF(N(GanttCalc!J13)-N(GanttCalc!I13)=1,"R"&amp;GanttCalc!J13,"R"&amp;(GanttCalc!I13+1)&amp;"-"&amp;GanttCalc!J13)))</f>
        <v/>
      </c>
      <c r="M48" s="60" t="str">
        <f aca="false">IF($B$46="","",IF(N(GanttCalc!K13)-N(GanttCalc!J13)&lt;=0,"",IF(N(GanttCalc!K13)-N(GanttCalc!J13)=1,"R"&amp;GanttCalc!K13,"R"&amp;(GanttCalc!J13+1)&amp;"-"&amp;GanttCalc!K13)))</f>
        <v/>
      </c>
      <c r="N48" s="60" t="str">
        <f aca="false">IF($B$46="","",IF(N(GanttCalc!L13)-N(GanttCalc!K13)&lt;=0,"",IF(N(GanttCalc!L13)-N(GanttCalc!K13)=1,"R"&amp;GanttCalc!L13,"R"&amp;(GanttCalc!K13+1)&amp;"-"&amp;GanttCalc!L13)))</f>
        <v/>
      </c>
      <c r="O48" s="60" t="str">
        <f aca="false">IF($B$46="","",IF(N(GanttCalc!M13)-N(GanttCalc!L13)&lt;=0,"",IF(N(GanttCalc!M13)-N(GanttCalc!L13)=1,"R"&amp;GanttCalc!M13,"R"&amp;(GanttCalc!L13+1)&amp;"-"&amp;GanttCalc!M13)))</f>
        <v/>
      </c>
      <c r="P48" s="60" t="str">
        <f aca="false">IF($B$46="","",IF(N(GanttCalc!N13)-N(GanttCalc!M13)&lt;=0,"",IF(N(GanttCalc!N13)-N(GanttCalc!M13)=1,"R"&amp;GanttCalc!N13,"R"&amp;(GanttCalc!M13+1)&amp;"-"&amp;GanttCalc!N13)))</f>
        <v/>
      </c>
      <c r="Q48" s="60" t="str">
        <f aca="false">IF($B$46="","",IF(N(GanttCalc!O13)-N(GanttCalc!N13)&lt;=0,"",IF(N(GanttCalc!O13)-N(GanttCalc!N13)=1,"R"&amp;GanttCalc!O13,"R"&amp;(GanttCalc!N13+1)&amp;"-"&amp;GanttCalc!O13)))</f>
        <v/>
      </c>
      <c r="R48" s="60" t="str">
        <f aca="false">IF($B$46="","",IF(N(GanttCalc!P13)-N(GanttCalc!O13)&lt;=0,"",IF(N(GanttCalc!P13)-N(GanttCalc!O13)=1,"R"&amp;GanttCalc!P13,"R"&amp;(GanttCalc!O13+1)&amp;"-"&amp;GanttCalc!P13)))</f>
        <v/>
      </c>
      <c r="S48" s="60" t="str">
        <f aca="false">IF($B$46="","",IF(N(GanttCalc!Q13)-N(GanttCalc!P13)&lt;=0,"",IF(N(GanttCalc!Q13)-N(GanttCalc!P13)=1,"R"&amp;GanttCalc!Q13,"R"&amp;(GanttCalc!P13+1)&amp;"-"&amp;GanttCalc!Q13)))</f>
        <v/>
      </c>
      <c r="T48" s="60" t="str">
        <f aca="false">IF($B$46="","",IF(N(GanttCalc!R13)-N(GanttCalc!Q13)&lt;=0,"",IF(N(GanttCalc!R13)-N(GanttCalc!Q13)=1,"R"&amp;GanttCalc!R13,"R"&amp;(GanttCalc!Q13+1)&amp;"-"&amp;GanttCalc!R13)))</f>
        <v/>
      </c>
      <c r="U48" s="60" t="str">
        <f aca="false">IF($B$46="","",IF(N(GanttCalc!S13)-N(GanttCalc!R13)&lt;=0,"",IF(N(GanttCalc!S13)-N(GanttCalc!R13)=1,"R"&amp;GanttCalc!S13,"R"&amp;(GanttCalc!R13+1)&amp;"-"&amp;GanttCalc!S13)))</f>
        <v/>
      </c>
      <c r="V48" s="60" t="str">
        <f aca="false">IF($B$46="","",IF(N(GanttCalc!T13)-N(GanttCalc!S13)&lt;=0,"",IF(N(GanttCalc!T13)-N(GanttCalc!S13)=1,"R"&amp;GanttCalc!T13,"R"&amp;(GanttCalc!S13+1)&amp;"-"&amp;GanttCalc!T13)))</f>
        <v/>
      </c>
      <c r="W48" s="60" t="str">
        <f aca="false">IF($B$46="","",IF(N(GanttCalc!U13)-N(GanttCalc!T13)&lt;=0,"",IF(N(GanttCalc!U13)-N(GanttCalc!T13)=1,"R"&amp;GanttCalc!U13,"R"&amp;(GanttCalc!T13+1)&amp;"-"&amp;GanttCalc!U13)))</f>
        <v/>
      </c>
      <c r="X48" s="60" t="str">
        <f aca="false">IF($B$46="","",IF(N(GanttCalc!V13)-N(GanttCalc!U13)&lt;=0,"",IF(N(GanttCalc!V13)-N(GanttCalc!U13)=1,"R"&amp;GanttCalc!V13,"R"&amp;(GanttCalc!U13+1)&amp;"-"&amp;GanttCalc!V13)))</f>
        <v/>
      </c>
      <c r="Y48" s="60" t="str">
        <f aca="false">IF($B$46="","",IF(N(GanttCalc!W13)-N(GanttCalc!V13)&lt;=0,"",IF(N(GanttCalc!W13)-N(GanttCalc!V13)=1,"R"&amp;GanttCalc!W13,"R"&amp;(GanttCalc!V13+1)&amp;"-"&amp;GanttCalc!W13)))</f>
        <v/>
      </c>
      <c r="Z48" s="60" t="str">
        <f aca="false">IF($B$46="","",IF(N(GanttCalc!X13)-N(GanttCalc!W13)&lt;=0,"",IF(N(GanttCalc!X13)-N(GanttCalc!W13)=1,"R"&amp;GanttCalc!X13,"R"&amp;(GanttCalc!W13+1)&amp;"-"&amp;GanttCalc!X13)))</f>
        <v/>
      </c>
      <c r="AA48" s="60" t="str">
        <f aca="false">IF($B$46="","",IF(N(GanttCalc!Y13)-N(GanttCalc!X13)&lt;=0,"",IF(N(GanttCalc!Y13)-N(GanttCalc!X13)=1,"R"&amp;GanttCalc!Y13,"R"&amp;(GanttCalc!X13+1)&amp;"-"&amp;GanttCalc!Y13)))</f>
        <v/>
      </c>
      <c r="AB48" s="60" t="str">
        <f aca="false">IF($B$46="","",IF(N(GanttCalc!Z13)-N(GanttCalc!Y13)&lt;=0,"",IF(N(GanttCalc!Z13)-N(GanttCalc!Y13)=1,"R"&amp;GanttCalc!Z13,"R"&amp;(GanttCalc!Y13+1)&amp;"-"&amp;GanttCalc!Z13)))</f>
        <v/>
      </c>
      <c r="AC48" s="60" t="str">
        <f aca="false">IF($B$46="","",IF(N(GanttCalc!AA13)-N(GanttCalc!Z13)&lt;=0,"",IF(N(GanttCalc!AA13)-N(GanttCalc!Z13)=1,"R"&amp;GanttCalc!AA13,"R"&amp;(GanttCalc!Z13+1)&amp;"-"&amp;GanttCalc!AA13)))</f>
        <v/>
      </c>
      <c r="AD48" s="60" t="str">
        <f aca="false">IF($B$46="","",IF(N(GanttCalc!AB13)-N(GanttCalc!AA13)&lt;=0,"",IF(N(GanttCalc!AB13)-N(GanttCalc!AA13)=1,"R"&amp;GanttCalc!AB13,"R"&amp;(GanttCalc!AA13+1)&amp;"-"&amp;GanttCalc!AB13)))</f>
        <v/>
      </c>
      <c r="AE48" s="60" t="str">
        <f aca="false">IF($B$46="","",IF(N(GanttCalc!AC13)-N(GanttCalc!AB13)&lt;=0,"",IF(N(GanttCalc!AC13)-N(GanttCalc!AB13)=1,"R"&amp;GanttCalc!AC13,"R"&amp;(GanttCalc!AB13+1)&amp;"-"&amp;GanttCalc!AC13)))</f>
        <v/>
      </c>
      <c r="AF48" s="60" t="str">
        <f aca="false">IF($B$46="","",IF(N(GanttCalc!AD13)-N(GanttCalc!AC13)&lt;=0,"",IF(N(GanttCalc!AD13)-N(GanttCalc!AC13)=1,"R"&amp;GanttCalc!AD13,"R"&amp;(GanttCalc!AC13+1)&amp;"-"&amp;GanttCalc!AD13)))</f>
        <v/>
      </c>
      <c r="AG48" s="60" t="str">
        <f aca="false">IF($B$46="","",IF(N(GanttCalc!AE13)-N(GanttCalc!AD13)&lt;=0,"",IF(N(GanttCalc!AE13)-N(GanttCalc!AD13)=1,"R"&amp;GanttCalc!AE13,"R"&amp;(GanttCalc!AD13+1)&amp;"-"&amp;GanttCalc!AE13)))</f>
        <v/>
      </c>
      <c r="AH48" s="60" t="str">
        <f aca="false">IF($B$46="","",IF(N(GanttCalc!AF13)-N(GanttCalc!AE13)&lt;=0,"",IF(N(GanttCalc!AF13)-N(GanttCalc!AE13)=1,"R"&amp;GanttCalc!AF13,"R"&amp;(GanttCalc!AE13+1)&amp;"-"&amp;GanttCalc!AF13)))</f>
        <v/>
      </c>
      <c r="AI48" s="60" t="str">
        <f aca="false">IF($B$46="","",IF(N(GanttCalc!AG13)-N(GanttCalc!AF13)&lt;=0,"",IF(N(GanttCalc!AG13)-N(GanttCalc!AF13)=1,"R"&amp;GanttCalc!AG13,"R"&amp;(GanttCalc!AF13+1)&amp;"-"&amp;GanttCalc!AG13)))</f>
        <v/>
      </c>
      <c r="AJ48" s="60" t="str">
        <f aca="false">IF($B$46="","",IF(N(GanttCalc!AH13)-N(GanttCalc!AG13)&lt;=0,"",IF(N(GanttCalc!AH13)-N(GanttCalc!AG13)=1,"R"&amp;GanttCalc!AH13,"R"&amp;(GanttCalc!AG13+1)&amp;"-"&amp;GanttCalc!AH13)))</f>
        <v/>
      </c>
      <c r="AK48" s="60" t="str">
        <f aca="false">IF($B$46="","",IF(N(GanttCalc!AI13)-N(GanttCalc!AH13)&lt;=0,"",IF(N(GanttCalc!AI13)-N(GanttCalc!AH13)=1,"R"&amp;GanttCalc!AI13,"R"&amp;(GanttCalc!AH13+1)&amp;"-"&amp;GanttCalc!AI13)))</f>
        <v/>
      </c>
      <c r="AL48" s="60" t="str">
        <f aca="false">IF($B$46="","",IF(N(GanttCalc!AJ13)-N(GanttCalc!AI13)&lt;=0,"",IF(N(GanttCalc!AJ13)-N(GanttCalc!AI13)=1,"R"&amp;GanttCalc!AJ13,"R"&amp;(GanttCalc!AI13+1)&amp;"-"&amp;GanttCalc!AJ13)))</f>
        <v/>
      </c>
      <c r="AM48" s="60" t="str">
        <f aca="false">IF($B$46="","",IF(N(GanttCalc!AK13)-N(GanttCalc!AJ13)&lt;=0,"",IF(N(GanttCalc!AK13)-N(GanttCalc!AJ13)=1,"R"&amp;GanttCalc!AK13,"R"&amp;(GanttCalc!AJ13+1)&amp;"-"&amp;GanttCalc!AK13)))</f>
        <v/>
      </c>
      <c r="AN48" s="60" t="str">
        <f aca="false">IF($B$46="","",IF(N(GanttCalc!AL13)-N(GanttCalc!AK13)&lt;=0,"",IF(N(GanttCalc!AL13)-N(GanttCalc!AK13)=1,"R"&amp;GanttCalc!AL13,"R"&amp;(GanttCalc!AK13+1)&amp;"-"&amp;GanttCalc!AL13)))</f>
        <v/>
      </c>
      <c r="AO48" s="60" t="str">
        <f aca="false">IF($B$46="","",IF(N(GanttCalc!AM13)-N(GanttCalc!AL13)&lt;=0,"",IF(N(GanttCalc!AM13)-N(GanttCalc!AL13)=1,"R"&amp;GanttCalc!AM13,"R"&amp;(GanttCalc!AL13+1)&amp;"-"&amp;GanttCalc!AM13)))</f>
        <v/>
      </c>
      <c r="AP48" s="60" t="str">
        <f aca="false">IF($B$46="","",IF(N(GanttCalc!AN13)-N(GanttCalc!AM13)&lt;=0,"",IF(N(GanttCalc!AN13)-N(GanttCalc!AM13)=1,"R"&amp;GanttCalc!AN13,"R"&amp;(GanttCalc!AM13+1)&amp;"-"&amp;GanttCalc!AN13)))</f>
        <v/>
      </c>
      <c r="AQ48" s="60" t="str">
        <f aca="false">IF($B$46="","",IF(N(GanttCalc!AO13)-N(GanttCalc!AN13)&lt;=0,"",IF(N(GanttCalc!AO13)-N(GanttCalc!AN13)=1,"R"&amp;GanttCalc!AO13,"R"&amp;(GanttCalc!AN13+1)&amp;"-"&amp;GanttCalc!AO13)))</f>
        <v/>
      </c>
      <c r="AR48" s="60" t="str">
        <f aca="false">IF($B$46="","",IF(N(GanttCalc!AP13)-N(GanttCalc!AO13)&lt;=0,"",IF(N(GanttCalc!AP13)-N(GanttCalc!AO13)=1,"R"&amp;GanttCalc!AP13,"R"&amp;(GanttCalc!AO13+1)&amp;"-"&amp;GanttCalc!AP13)))</f>
        <v/>
      </c>
      <c r="AS48" s="60" t="str">
        <f aca="false">IF($B$46="","",IF(N(GanttCalc!AQ13)-N(GanttCalc!AP13)&lt;=0,"",IF(N(GanttCalc!AQ13)-N(GanttCalc!AP13)=1,"R"&amp;GanttCalc!AQ13,"R"&amp;(GanttCalc!AP13+1)&amp;"-"&amp;GanttCalc!AQ13)))</f>
        <v/>
      </c>
      <c r="AT48" s="60" t="str">
        <f aca="false">IF($B$46="","",IF(N(GanttCalc!AR13)-N(GanttCalc!AQ13)&lt;=0,"",IF(N(GanttCalc!AR13)-N(GanttCalc!AQ13)=1,"R"&amp;GanttCalc!AR13,"R"&amp;(GanttCalc!AQ13+1)&amp;"-"&amp;GanttCalc!AR13)))</f>
        <v/>
      </c>
      <c r="AU48" s="60" t="str">
        <f aca="false">IF($B$46="","",IF(N(GanttCalc!AS13)-N(GanttCalc!AR13)&lt;=0,"",IF(N(GanttCalc!AS13)-N(GanttCalc!AR13)=1,"R"&amp;GanttCalc!AS13,"R"&amp;(GanttCalc!AR13+1)&amp;"-"&amp;GanttCalc!AS13)))</f>
        <v/>
      </c>
      <c r="AV48" s="60" t="str">
        <f aca="false">IF($B$46="","",IF(N(GanttCalc!AT13)-N(GanttCalc!AS13)&lt;=0,"",IF(N(GanttCalc!AT13)-N(GanttCalc!AS13)=1,"R"&amp;GanttCalc!AT13,"R"&amp;(GanttCalc!AS13+1)&amp;"-"&amp;GanttCalc!AT13)))</f>
        <v/>
      </c>
      <c r="AW48" s="60" t="str">
        <f aca="false">IF($B$46="","",IF(N(GanttCalc!AU13)-N(GanttCalc!AT13)&lt;=0,"",IF(N(GanttCalc!AU13)-N(GanttCalc!AT13)=1,"R"&amp;GanttCalc!AU13,"R"&amp;(GanttCalc!AT13+1)&amp;"-"&amp;GanttCalc!AU13)))</f>
        <v/>
      </c>
      <c r="AX48" s="60" t="str">
        <f aca="false">IF($B$46="","",IF(N(GanttCalc!AV13)-N(GanttCalc!AU13)&lt;=0,"",IF(N(GanttCalc!AV13)-N(GanttCalc!AU13)=1,"R"&amp;GanttCalc!AV13,"R"&amp;(GanttCalc!AU13+1)&amp;"-"&amp;GanttCalc!AV13)))</f>
        <v/>
      </c>
      <c r="AY48" s="60" t="str">
        <f aca="false">IF($B$46="","",IF(N(GanttCalc!AW13)-N(GanttCalc!AV13)&lt;=0,"",IF(N(GanttCalc!AW13)-N(GanttCalc!AV13)=1,"R"&amp;GanttCalc!AW13,"R"&amp;(GanttCalc!AV13+1)&amp;"-"&amp;GanttCalc!AW13)))</f>
        <v/>
      </c>
      <c r="AZ48" s="60" t="str">
        <f aca="false">IF($B$46="","",IF(N(GanttCalc!AX13)-N(GanttCalc!AW13)&lt;=0,"",IF(N(GanttCalc!AX13)-N(GanttCalc!AW13)=1,"R"&amp;GanttCalc!AX13,"R"&amp;(GanttCalc!AW13+1)&amp;"-"&amp;GanttCalc!AX13)))</f>
        <v/>
      </c>
      <c r="BA48" s="60" t="str">
        <f aca="false">IF($B$46="","",IF(N(GanttCalc!AY13)-N(GanttCalc!AX13)&lt;=0,"",IF(N(GanttCalc!AY13)-N(GanttCalc!AX13)=1,"R"&amp;GanttCalc!AY13,"R"&amp;(GanttCalc!AX13+1)&amp;"-"&amp;GanttCalc!AY13)))</f>
        <v/>
      </c>
      <c r="BB48" s="60" t="str">
        <f aca="false">IF($B$46="","",IF(N(GanttCalc!AZ13)-N(GanttCalc!AY13)&lt;=0,"",IF(N(GanttCalc!AZ13)-N(GanttCalc!AY13)=1,"R"&amp;GanttCalc!AZ13,"R"&amp;(GanttCalc!AY13+1)&amp;"-"&amp;GanttCalc!AZ13)))</f>
        <v/>
      </c>
      <c r="BC48" s="60" t="str">
        <f aca="false">IF($B$46="","",IF(N(GanttCalc!BA13)-N(GanttCalc!AZ13)&lt;=0,"",IF(N(GanttCalc!BA13)-N(GanttCalc!AZ13)=1,"R"&amp;GanttCalc!BA13,"R"&amp;(GanttCalc!AZ13+1)&amp;"-"&amp;GanttCalc!BA13)))</f>
        <v/>
      </c>
      <c r="BD48" s="60" t="str">
        <f aca="false">IF($B$46="","",IF(N(GanttCalc!BB13)-N(GanttCalc!BA13)&lt;=0,"",IF(N(GanttCalc!BB13)-N(GanttCalc!BA13)=1,"R"&amp;GanttCalc!BB13,"R"&amp;(GanttCalc!BA13+1)&amp;"-"&amp;GanttCalc!BB13)))</f>
        <v/>
      </c>
    </row>
    <row r="49" customFormat="false" ht="6" hidden="false" customHeight="true" outlineLevel="0" collapsed="false"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customFormat="false" ht="16.5" hidden="false" customHeight="true" outlineLevel="0" collapsed="false">
      <c r="B50" s="32" t="str">
        <f aca="false">IF(Contracts!$A$16="","",Contracts!$A$16)</f>
        <v>DARAJA-R24P (TBC)</v>
      </c>
      <c r="C50" s="58" t="str">
        <f aca="false">IF(Contracts!$A$16="","","Kit release")</f>
        <v>Kit release</v>
      </c>
      <c r="D50" s="59" t="str">
        <f aca="false">IF($B$50="","",SUMPRODUCT(--(E50:BD50&lt;&gt;""))&amp;" wks")</f>
        <v>0 wks</v>
      </c>
      <c r="E50" s="60" t="str">
        <f aca="true">IF($B$50="","",IF(N(OFFSET(GanttCalc!$B$14,0,1+N(Contracts!$Q$16)))-N(OFFSET(GanttCalc!$B$14,0,0+N(Contracts!$Q$16)))&lt;=0,"",IF(N(OFFSET(GanttCalc!$B$14,0,1+N(Contracts!$Q$16)))-N(OFFSET(GanttCalc!$B$14,0,0+N(Contracts!$Q$16)))=1,"R"&amp;OFFSET(GanttCalc!$B$14,0,1+N(Contracts!$Q$16)),"R"&amp;(OFFSET(GanttCalc!$B$14,0,0+N(Contracts!$Q$16))+1)&amp;"-"&amp;OFFSET(GanttCalc!$B$14,0,1+N(Contracts!$Q$16)))))</f>
        <v/>
      </c>
      <c r="F50" s="60" t="str">
        <f aca="true">IF($B$50="","",IF(N(OFFSET(GanttCalc!$B$14,0,2+N(Contracts!$Q$16)))-N(OFFSET(GanttCalc!$B$14,0,1+N(Contracts!$Q$16)))&lt;=0,"",IF(N(OFFSET(GanttCalc!$B$14,0,2+N(Contracts!$Q$16)))-N(OFFSET(GanttCalc!$B$14,0,1+N(Contracts!$Q$16)))=1,"R"&amp;OFFSET(GanttCalc!$B$14,0,2+N(Contracts!$Q$16)),"R"&amp;(OFFSET(GanttCalc!$B$14,0,1+N(Contracts!$Q$16))+1)&amp;"-"&amp;OFFSET(GanttCalc!$B$14,0,2+N(Contracts!$Q$16)))))</f>
        <v/>
      </c>
      <c r="G50" s="60" t="str">
        <f aca="true">IF($B$50="","",IF(N(OFFSET(GanttCalc!$B$14,0,3+N(Contracts!$Q$16)))-N(OFFSET(GanttCalc!$B$14,0,2+N(Contracts!$Q$16)))&lt;=0,"",IF(N(OFFSET(GanttCalc!$B$14,0,3+N(Contracts!$Q$16)))-N(OFFSET(GanttCalc!$B$14,0,2+N(Contracts!$Q$16)))=1,"R"&amp;OFFSET(GanttCalc!$B$14,0,3+N(Contracts!$Q$16)),"R"&amp;(OFFSET(GanttCalc!$B$14,0,2+N(Contracts!$Q$16))+1)&amp;"-"&amp;OFFSET(GanttCalc!$B$14,0,3+N(Contracts!$Q$16)))))</f>
        <v/>
      </c>
      <c r="H50" s="60" t="str">
        <f aca="true">IF($B$50="","",IF(N(OFFSET(GanttCalc!$B$14,0,4+N(Contracts!$Q$16)))-N(OFFSET(GanttCalc!$B$14,0,3+N(Contracts!$Q$16)))&lt;=0,"",IF(N(OFFSET(GanttCalc!$B$14,0,4+N(Contracts!$Q$16)))-N(OFFSET(GanttCalc!$B$14,0,3+N(Contracts!$Q$16)))=1,"R"&amp;OFFSET(GanttCalc!$B$14,0,4+N(Contracts!$Q$16)),"R"&amp;(OFFSET(GanttCalc!$B$14,0,3+N(Contracts!$Q$16))+1)&amp;"-"&amp;OFFSET(GanttCalc!$B$14,0,4+N(Contracts!$Q$16)))))</f>
        <v/>
      </c>
      <c r="I50" s="60" t="str">
        <f aca="true">IF($B$50="","",IF(N(OFFSET(GanttCalc!$B$14,0,5+N(Contracts!$Q$16)))-N(OFFSET(GanttCalc!$B$14,0,4+N(Contracts!$Q$16)))&lt;=0,"",IF(N(OFFSET(GanttCalc!$B$14,0,5+N(Contracts!$Q$16)))-N(OFFSET(GanttCalc!$B$14,0,4+N(Contracts!$Q$16)))=1,"R"&amp;OFFSET(GanttCalc!$B$14,0,5+N(Contracts!$Q$16)),"R"&amp;(OFFSET(GanttCalc!$B$14,0,4+N(Contracts!$Q$16))+1)&amp;"-"&amp;OFFSET(GanttCalc!$B$14,0,5+N(Contracts!$Q$16)))))</f>
        <v/>
      </c>
      <c r="J50" s="60" t="str">
        <f aca="true">IF($B$50="","",IF(N(OFFSET(GanttCalc!$B$14,0,6+N(Contracts!$Q$16)))-N(OFFSET(GanttCalc!$B$14,0,5+N(Contracts!$Q$16)))&lt;=0,"",IF(N(OFFSET(GanttCalc!$B$14,0,6+N(Contracts!$Q$16)))-N(OFFSET(GanttCalc!$B$14,0,5+N(Contracts!$Q$16)))=1,"R"&amp;OFFSET(GanttCalc!$B$14,0,6+N(Contracts!$Q$16)),"R"&amp;(OFFSET(GanttCalc!$B$14,0,5+N(Contracts!$Q$16))+1)&amp;"-"&amp;OFFSET(GanttCalc!$B$14,0,6+N(Contracts!$Q$16)))))</f>
        <v/>
      </c>
      <c r="K50" s="60" t="str">
        <f aca="true">IF($B$50="","",IF(N(OFFSET(GanttCalc!$B$14,0,7+N(Contracts!$Q$16)))-N(OFFSET(GanttCalc!$B$14,0,6+N(Contracts!$Q$16)))&lt;=0,"",IF(N(OFFSET(GanttCalc!$B$14,0,7+N(Contracts!$Q$16)))-N(OFFSET(GanttCalc!$B$14,0,6+N(Contracts!$Q$16)))=1,"R"&amp;OFFSET(GanttCalc!$B$14,0,7+N(Contracts!$Q$16)),"R"&amp;(OFFSET(GanttCalc!$B$14,0,6+N(Contracts!$Q$16))+1)&amp;"-"&amp;OFFSET(GanttCalc!$B$14,0,7+N(Contracts!$Q$16)))))</f>
        <v/>
      </c>
      <c r="L50" s="60" t="str">
        <f aca="true">IF($B$50="","",IF(N(OFFSET(GanttCalc!$B$14,0,8+N(Contracts!$Q$16)))-N(OFFSET(GanttCalc!$B$14,0,7+N(Contracts!$Q$16)))&lt;=0,"",IF(N(OFFSET(GanttCalc!$B$14,0,8+N(Contracts!$Q$16)))-N(OFFSET(GanttCalc!$B$14,0,7+N(Contracts!$Q$16)))=1,"R"&amp;OFFSET(GanttCalc!$B$14,0,8+N(Contracts!$Q$16)),"R"&amp;(OFFSET(GanttCalc!$B$14,0,7+N(Contracts!$Q$16))+1)&amp;"-"&amp;OFFSET(GanttCalc!$B$14,0,8+N(Contracts!$Q$16)))))</f>
        <v/>
      </c>
      <c r="M50" s="60" t="str">
        <f aca="true">IF($B$50="","",IF(N(OFFSET(GanttCalc!$B$14,0,9+N(Contracts!$Q$16)))-N(OFFSET(GanttCalc!$B$14,0,8+N(Contracts!$Q$16)))&lt;=0,"",IF(N(OFFSET(GanttCalc!$B$14,0,9+N(Contracts!$Q$16)))-N(OFFSET(GanttCalc!$B$14,0,8+N(Contracts!$Q$16)))=1,"R"&amp;OFFSET(GanttCalc!$B$14,0,9+N(Contracts!$Q$16)),"R"&amp;(OFFSET(GanttCalc!$B$14,0,8+N(Contracts!$Q$16))+1)&amp;"-"&amp;OFFSET(GanttCalc!$B$14,0,9+N(Contracts!$Q$16)))))</f>
        <v/>
      </c>
      <c r="N50" s="60" t="str">
        <f aca="true">IF($B$50="","",IF(N(OFFSET(GanttCalc!$B$14,0,10+N(Contracts!$Q$16)))-N(OFFSET(GanttCalc!$B$14,0,9+N(Contracts!$Q$16)))&lt;=0,"",IF(N(OFFSET(GanttCalc!$B$14,0,10+N(Contracts!$Q$16)))-N(OFFSET(GanttCalc!$B$14,0,9+N(Contracts!$Q$16)))=1,"R"&amp;OFFSET(GanttCalc!$B$14,0,10+N(Contracts!$Q$16)),"R"&amp;(OFFSET(GanttCalc!$B$14,0,9+N(Contracts!$Q$16))+1)&amp;"-"&amp;OFFSET(GanttCalc!$B$14,0,10+N(Contracts!$Q$16)))))</f>
        <v/>
      </c>
      <c r="O50" s="60" t="str">
        <f aca="true">IF($B$50="","",IF(N(OFFSET(GanttCalc!$B$14,0,11+N(Contracts!$Q$16)))-N(OFFSET(GanttCalc!$B$14,0,10+N(Contracts!$Q$16)))&lt;=0,"",IF(N(OFFSET(GanttCalc!$B$14,0,11+N(Contracts!$Q$16)))-N(OFFSET(GanttCalc!$B$14,0,10+N(Contracts!$Q$16)))=1,"R"&amp;OFFSET(GanttCalc!$B$14,0,11+N(Contracts!$Q$16)),"R"&amp;(OFFSET(GanttCalc!$B$14,0,10+N(Contracts!$Q$16))+1)&amp;"-"&amp;OFFSET(GanttCalc!$B$14,0,11+N(Contracts!$Q$16)))))</f>
        <v/>
      </c>
      <c r="P50" s="60" t="str">
        <f aca="true">IF($B$50="","",IF(N(OFFSET(GanttCalc!$B$14,0,12+N(Contracts!$Q$16)))-N(OFFSET(GanttCalc!$B$14,0,11+N(Contracts!$Q$16)))&lt;=0,"",IF(N(OFFSET(GanttCalc!$B$14,0,12+N(Contracts!$Q$16)))-N(OFFSET(GanttCalc!$B$14,0,11+N(Contracts!$Q$16)))=1,"R"&amp;OFFSET(GanttCalc!$B$14,0,12+N(Contracts!$Q$16)),"R"&amp;(OFFSET(GanttCalc!$B$14,0,11+N(Contracts!$Q$16))+1)&amp;"-"&amp;OFFSET(GanttCalc!$B$14,0,12+N(Contracts!$Q$16)))))</f>
        <v/>
      </c>
      <c r="Q50" s="60" t="str">
        <f aca="true">IF($B$50="","",IF(N(OFFSET(GanttCalc!$B$14,0,13+N(Contracts!$Q$16)))-N(OFFSET(GanttCalc!$B$14,0,12+N(Contracts!$Q$16)))&lt;=0,"",IF(N(OFFSET(GanttCalc!$B$14,0,13+N(Contracts!$Q$16)))-N(OFFSET(GanttCalc!$B$14,0,12+N(Contracts!$Q$16)))=1,"R"&amp;OFFSET(GanttCalc!$B$14,0,13+N(Contracts!$Q$16)),"R"&amp;(OFFSET(GanttCalc!$B$14,0,12+N(Contracts!$Q$16))+1)&amp;"-"&amp;OFFSET(GanttCalc!$B$14,0,13+N(Contracts!$Q$16)))))</f>
        <v/>
      </c>
      <c r="R50" s="60" t="str">
        <f aca="true">IF($B$50="","",IF(N(OFFSET(GanttCalc!$B$14,0,14+N(Contracts!$Q$16)))-N(OFFSET(GanttCalc!$B$14,0,13+N(Contracts!$Q$16)))&lt;=0,"",IF(N(OFFSET(GanttCalc!$B$14,0,14+N(Contracts!$Q$16)))-N(OFFSET(GanttCalc!$B$14,0,13+N(Contracts!$Q$16)))=1,"R"&amp;OFFSET(GanttCalc!$B$14,0,14+N(Contracts!$Q$16)),"R"&amp;(OFFSET(GanttCalc!$B$14,0,13+N(Contracts!$Q$16))+1)&amp;"-"&amp;OFFSET(GanttCalc!$B$14,0,14+N(Contracts!$Q$16)))))</f>
        <v/>
      </c>
      <c r="S50" s="60" t="str">
        <f aca="true">IF($B$50="","",IF(N(OFFSET(GanttCalc!$B$14,0,15+N(Contracts!$Q$16)))-N(OFFSET(GanttCalc!$B$14,0,14+N(Contracts!$Q$16)))&lt;=0,"",IF(N(OFFSET(GanttCalc!$B$14,0,15+N(Contracts!$Q$16)))-N(OFFSET(GanttCalc!$B$14,0,14+N(Contracts!$Q$16)))=1,"R"&amp;OFFSET(GanttCalc!$B$14,0,15+N(Contracts!$Q$16)),"R"&amp;(OFFSET(GanttCalc!$B$14,0,14+N(Contracts!$Q$16))+1)&amp;"-"&amp;OFFSET(GanttCalc!$B$14,0,15+N(Contracts!$Q$16)))))</f>
        <v/>
      </c>
      <c r="T50" s="60" t="str">
        <f aca="true">IF($B$50="","",IF(N(OFFSET(GanttCalc!$B$14,0,16+N(Contracts!$Q$16)))-N(OFFSET(GanttCalc!$B$14,0,15+N(Contracts!$Q$16)))&lt;=0,"",IF(N(OFFSET(GanttCalc!$B$14,0,16+N(Contracts!$Q$16)))-N(OFFSET(GanttCalc!$B$14,0,15+N(Contracts!$Q$16)))=1,"R"&amp;OFFSET(GanttCalc!$B$14,0,16+N(Contracts!$Q$16)),"R"&amp;(OFFSET(GanttCalc!$B$14,0,15+N(Contracts!$Q$16))+1)&amp;"-"&amp;OFFSET(GanttCalc!$B$14,0,16+N(Contracts!$Q$16)))))</f>
        <v/>
      </c>
      <c r="U50" s="60" t="str">
        <f aca="true">IF($B$50="","",IF(N(OFFSET(GanttCalc!$B$14,0,17+N(Contracts!$Q$16)))-N(OFFSET(GanttCalc!$B$14,0,16+N(Contracts!$Q$16)))&lt;=0,"",IF(N(OFFSET(GanttCalc!$B$14,0,17+N(Contracts!$Q$16)))-N(OFFSET(GanttCalc!$B$14,0,16+N(Contracts!$Q$16)))=1,"R"&amp;OFFSET(GanttCalc!$B$14,0,17+N(Contracts!$Q$16)),"R"&amp;(OFFSET(GanttCalc!$B$14,0,16+N(Contracts!$Q$16))+1)&amp;"-"&amp;OFFSET(GanttCalc!$B$14,0,17+N(Contracts!$Q$16)))))</f>
        <v/>
      </c>
      <c r="V50" s="60" t="str">
        <f aca="true">IF($B$50="","",IF(N(OFFSET(GanttCalc!$B$14,0,18+N(Contracts!$Q$16)))-N(OFFSET(GanttCalc!$B$14,0,17+N(Contracts!$Q$16)))&lt;=0,"",IF(N(OFFSET(GanttCalc!$B$14,0,18+N(Contracts!$Q$16)))-N(OFFSET(GanttCalc!$B$14,0,17+N(Contracts!$Q$16)))=1,"R"&amp;OFFSET(GanttCalc!$B$14,0,18+N(Contracts!$Q$16)),"R"&amp;(OFFSET(GanttCalc!$B$14,0,17+N(Contracts!$Q$16))+1)&amp;"-"&amp;OFFSET(GanttCalc!$B$14,0,18+N(Contracts!$Q$16)))))</f>
        <v/>
      </c>
      <c r="W50" s="60" t="str">
        <f aca="true">IF($B$50="","",IF(N(OFFSET(GanttCalc!$B$14,0,19+N(Contracts!$Q$16)))-N(OFFSET(GanttCalc!$B$14,0,18+N(Contracts!$Q$16)))&lt;=0,"",IF(N(OFFSET(GanttCalc!$B$14,0,19+N(Contracts!$Q$16)))-N(OFFSET(GanttCalc!$B$14,0,18+N(Contracts!$Q$16)))=1,"R"&amp;OFFSET(GanttCalc!$B$14,0,19+N(Contracts!$Q$16)),"R"&amp;(OFFSET(GanttCalc!$B$14,0,18+N(Contracts!$Q$16))+1)&amp;"-"&amp;OFFSET(GanttCalc!$B$14,0,19+N(Contracts!$Q$16)))))</f>
        <v/>
      </c>
      <c r="X50" s="60" t="str">
        <f aca="true">IF($B$50="","",IF(N(OFFSET(GanttCalc!$B$14,0,20+N(Contracts!$Q$16)))-N(OFFSET(GanttCalc!$B$14,0,19+N(Contracts!$Q$16)))&lt;=0,"",IF(N(OFFSET(GanttCalc!$B$14,0,20+N(Contracts!$Q$16)))-N(OFFSET(GanttCalc!$B$14,0,19+N(Contracts!$Q$16)))=1,"R"&amp;OFFSET(GanttCalc!$B$14,0,20+N(Contracts!$Q$16)),"R"&amp;(OFFSET(GanttCalc!$B$14,0,19+N(Contracts!$Q$16))+1)&amp;"-"&amp;OFFSET(GanttCalc!$B$14,0,20+N(Contracts!$Q$16)))))</f>
        <v/>
      </c>
      <c r="Y50" s="60" t="str">
        <f aca="true">IF($B$50="","",IF(N(OFFSET(GanttCalc!$B$14,0,21+N(Contracts!$Q$16)))-N(OFFSET(GanttCalc!$B$14,0,20+N(Contracts!$Q$16)))&lt;=0,"",IF(N(OFFSET(GanttCalc!$B$14,0,21+N(Contracts!$Q$16)))-N(OFFSET(GanttCalc!$B$14,0,20+N(Contracts!$Q$16)))=1,"R"&amp;OFFSET(GanttCalc!$B$14,0,21+N(Contracts!$Q$16)),"R"&amp;(OFFSET(GanttCalc!$B$14,0,20+N(Contracts!$Q$16))+1)&amp;"-"&amp;OFFSET(GanttCalc!$B$14,0,21+N(Contracts!$Q$16)))))</f>
        <v/>
      </c>
      <c r="Z50" s="60" t="str">
        <f aca="true">IF($B$50="","",IF(N(OFFSET(GanttCalc!$B$14,0,22+N(Contracts!$Q$16)))-N(OFFSET(GanttCalc!$B$14,0,21+N(Contracts!$Q$16)))&lt;=0,"",IF(N(OFFSET(GanttCalc!$B$14,0,22+N(Contracts!$Q$16)))-N(OFFSET(GanttCalc!$B$14,0,21+N(Contracts!$Q$16)))=1,"R"&amp;OFFSET(GanttCalc!$B$14,0,22+N(Contracts!$Q$16)),"R"&amp;(OFFSET(GanttCalc!$B$14,0,21+N(Contracts!$Q$16))+1)&amp;"-"&amp;OFFSET(GanttCalc!$B$14,0,22+N(Contracts!$Q$16)))))</f>
        <v/>
      </c>
      <c r="AA50" s="60" t="str">
        <f aca="true">IF($B$50="","",IF(N(OFFSET(GanttCalc!$B$14,0,23+N(Contracts!$Q$16)))-N(OFFSET(GanttCalc!$B$14,0,22+N(Contracts!$Q$16)))&lt;=0,"",IF(N(OFFSET(GanttCalc!$B$14,0,23+N(Contracts!$Q$16)))-N(OFFSET(GanttCalc!$B$14,0,22+N(Contracts!$Q$16)))=1,"R"&amp;OFFSET(GanttCalc!$B$14,0,23+N(Contracts!$Q$16)),"R"&amp;(OFFSET(GanttCalc!$B$14,0,22+N(Contracts!$Q$16))+1)&amp;"-"&amp;OFFSET(GanttCalc!$B$14,0,23+N(Contracts!$Q$16)))))</f>
        <v/>
      </c>
      <c r="AB50" s="60" t="str">
        <f aca="true">IF($B$50="","",IF(N(OFFSET(GanttCalc!$B$14,0,24+N(Contracts!$Q$16)))-N(OFFSET(GanttCalc!$B$14,0,23+N(Contracts!$Q$16)))&lt;=0,"",IF(N(OFFSET(GanttCalc!$B$14,0,24+N(Contracts!$Q$16)))-N(OFFSET(GanttCalc!$B$14,0,23+N(Contracts!$Q$16)))=1,"R"&amp;OFFSET(GanttCalc!$B$14,0,24+N(Contracts!$Q$16)),"R"&amp;(OFFSET(GanttCalc!$B$14,0,23+N(Contracts!$Q$16))+1)&amp;"-"&amp;OFFSET(GanttCalc!$B$14,0,24+N(Contracts!$Q$16)))))</f>
        <v/>
      </c>
      <c r="AC50" s="60" t="str">
        <f aca="true">IF($B$50="","",IF(N(OFFSET(GanttCalc!$B$14,0,25+N(Contracts!$Q$16)))-N(OFFSET(GanttCalc!$B$14,0,24+N(Contracts!$Q$16)))&lt;=0,"",IF(N(OFFSET(GanttCalc!$B$14,0,25+N(Contracts!$Q$16)))-N(OFFSET(GanttCalc!$B$14,0,24+N(Contracts!$Q$16)))=1,"R"&amp;OFFSET(GanttCalc!$B$14,0,25+N(Contracts!$Q$16)),"R"&amp;(OFFSET(GanttCalc!$B$14,0,24+N(Contracts!$Q$16))+1)&amp;"-"&amp;OFFSET(GanttCalc!$B$14,0,25+N(Contracts!$Q$16)))))</f>
        <v/>
      </c>
      <c r="AD50" s="60" t="str">
        <f aca="true">IF($B$50="","",IF(N(OFFSET(GanttCalc!$B$14,0,26+N(Contracts!$Q$16)))-N(OFFSET(GanttCalc!$B$14,0,25+N(Contracts!$Q$16)))&lt;=0,"",IF(N(OFFSET(GanttCalc!$B$14,0,26+N(Contracts!$Q$16)))-N(OFFSET(GanttCalc!$B$14,0,25+N(Contracts!$Q$16)))=1,"R"&amp;OFFSET(GanttCalc!$B$14,0,26+N(Contracts!$Q$16)),"R"&amp;(OFFSET(GanttCalc!$B$14,0,25+N(Contracts!$Q$16))+1)&amp;"-"&amp;OFFSET(GanttCalc!$B$14,0,26+N(Contracts!$Q$16)))))</f>
        <v/>
      </c>
      <c r="AE50" s="60" t="str">
        <f aca="true">IF($B$50="","",IF(N(OFFSET(GanttCalc!$B$14,0,27+N(Contracts!$Q$16)))-N(OFFSET(GanttCalc!$B$14,0,26+N(Contracts!$Q$16)))&lt;=0,"",IF(N(OFFSET(GanttCalc!$B$14,0,27+N(Contracts!$Q$16)))-N(OFFSET(GanttCalc!$B$14,0,26+N(Contracts!$Q$16)))=1,"R"&amp;OFFSET(GanttCalc!$B$14,0,27+N(Contracts!$Q$16)),"R"&amp;(OFFSET(GanttCalc!$B$14,0,26+N(Contracts!$Q$16))+1)&amp;"-"&amp;OFFSET(GanttCalc!$B$14,0,27+N(Contracts!$Q$16)))))</f>
        <v/>
      </c>
      <c r="AF50" s="60" t="str">
        <f aca="true">IF($B$50="","",IF(N(OFFSET(GanttCalc!$B$14,0,28+N(Contracts!$Q$16)))-N(OFFSET(GanttCalc!$B$14,0,27+N(Contracts!$Q$16)))&lt;=0,"",IF(N(OFFSET(GanttCalc!$B$14,0,28+N(Contracts!$Q$16)))-N(OFFSET(GanttCalc!$B$14,0,27+N(Contracts!$Q$16)))=1,"R"&amp;OFFSET(GanttCalc!$B$14,0,28+N(Contracts!$Q$16)),"R"&amp;(OFFSET(GanttCalc!$B$14,0,27+N(Contracts!$Q$16))+1)&amp;"-"&amp;OFFSET(GanttCalc!$B$14,0,28+N(Contracts!$Q$16)))))</f>
        <v/>
      </c>
      <c r="AG50" s="60" t="str">
        <f aca="true">IF($B$50="","",IF(N(OFFSET(GanttCalc!$B$14,0,29+N(Contracts!$Q$16)))-N(OFFSET(GanttCalc!$B$14,0,28+N(Contracts!$Q$16)))&lt;=0,"",IF(N(OFFSET(GanttCalc!$B$14,0,29+N(Contracts!$Q$16)))-N(OFFSET(GanttCalc!$B$14,0,28+N(Contracts!$Q$16)))=1,"R"&amp;OFFSET(GanttCalc!$B$14,0,29+N(Contracts!$Q$16)),"R"&amp;(OFFSET(GanttCalc!$B$14,0,28+N(Contracts!$Q$16))+1)&amp;"-"&amp;OFFSET(GanttCalc!$B$14,0,29+N(Contracts!$Q$16)))))</f>
        <v/>
      </c>
      <c r="AH50" s="60" t="str">
        <f aca="true">IF($B$50="","",IF(N(OFFSET(GanttCalc!$B$14,0,30+N(Contracts!$Q$16)))-N(OFFSET(GanttCalc!$B$14,0,29+N(Contracts!$Q$16)))&lt;=0,"",IF(N(OFFSET(GanttCalc!$B$14,0,30+N(Contracts!$Q$16)))-N(OFFSET(GanttCalc!$B$14,0,29+N(Contracts!$Q$16)))=1,"R"&amp;OFFSET(GanttCalc!$B$14,0,30+N(Contracts!$Q$16)),"R"&amp;(OFFSET(GanttCalc!$B$14,0,29+N(Contracts!$Q$16))+1)&amp;"-"&amp;OFFSET(GanttCalc!$B$14,0,30+N(Contracts!$Q$16)))))</f>
        <v/>
      </c>
      <c r="AI50" s="60" t="str">
        <f aca="true">IF($B$50="","",IF(N(OFFSET(GanttCalc!$B$14,0,31+N(Contracts!$Q$16)))-N(OFFSET(GanttCalc!$B$14,0,30+N(Contracts!$Q$16)))&lt;=0,"",IF(N(OFFSET(GanttCalc!$B$14,0,31+N(Contracts!$Q$16)))-N(OFFSET(GanttCalc!$B$14,0,30+N(Contracts!$Q$16)))=1,"R"&amp;OFFSET(GanttCalc!$B$14,0,31+N(Contracts!$Q$16)),"R"&amp;(OFFSET(GanttCalc!$B$14,0,30+N(Contracts!$Q$16))+1)&amp;"-"&amp;OFFSET(GanttCalc!$B$14,0,31+N(Contracts!$Q$16)))))</f>
        <v/>
      </c>
      <c r="AJ50" s="60" t="str">
        <f aca="true">IF($B$50="","",IF(N(OFFSET(GanttCalc!$B$14,0,32+N(Contracts!$Q$16)))-N(OFFSET(GanttCalc!$B$14,0,31+N(Contracts!$Q$16)))&lt;=0,"",IF(N(OFFSET(GanttCalc!$B$14,0,32+N(Contracts!$Q$16)))-N(OFFSET(GanttCalc!$B$14,0,31+N(Contracts!$Q$16)))=1,"R"&amp;OFFSET(GanttCalc!$B$14,0,32+N(Contracts!$Q$16)),"R"&amp;(OFFSET(GanttCalc!$B$14,0,31+N(Contracts!$Q$16))+1)&amp;"-"&amp;OFFSET(GanttCalc!$B$14,0,32+N(Contracts!$Q$16)))))</f>
        <v/>
      </c>
      <c r="AK50" s="60" t="str">
        <f aca="true">IF($B$50="","",IF(N(OFFSET(GanttCalc!$B$14,0,33+N(Contracts!$Q$16)))-N(OFFSET(GanttCalc!$B$14,0,32+N(Contracts!$Q$16)))&lt;=0,"",IF(N(OFFSET(GanttCalc!$B$14,0,33+N(Contracts!$Q$16)))-N(OFFSET(GanttCalc!$B$14,0,32+N(Contracts!$Q$16)))=1,"R"&amp;OFFSET(GanttCalc!$B$14,0,33+N(Contracts!$Q$16)),"R"&amp;(OFFSET(GanttCalc!$B$14,0,32+N(Contracts!$Q$16))+1)&amp;"-"&amp;OFFSET(GanttCalc!$B$14,0,33+N(Contracts!$Q$16)))))</f>
        <v/>
      </c>
      <c r="AL50" s="60" t="str">
        <f aca="true">IF($B$50="","",IF(N(OFFSET(GanttCalc!$B$14,0,34+N(Contracts!$Q$16)))-N(OFFSET(GanttCalc!$B$14,0,33+N(Contracts!$Q$16)))&lt;=0,"",IF(N(OFFSET(GanttCalc!$B$14,0,34+N(Contracts!$Q$16)))-N(OFFSET(GanttCalc!$B$14,0,33+N(Contracts!$Q$16)))=1,"R"&amp;OFFSET(GanttCalc!$B$14,0,34+N(Contracts!$Q$16)),"R"&amp;(OFFSET(GanttCalc!$B$14,0,33+N(Contracts!$Q$16))+1)&amp;"-"&amp;OFFSET(GanttCalc!$B$14,0,34+N(Contracts!$Q$16)))))</f>
        <v/>
      </c>
      <c r="AM50" s="60" t="str">
        <f aca="true">IF($B$50="","",IF(N(OFFSET(GanttCalc!$B$14,0,35+N(Contracts!$Q$16)))-N(OFFSET(GanttCalc!$B$14,0,34+N(Contracts!$Q$16)))&lt;=0,"",IF(N(OFFSET(GanttCalc!$B$14,0,35+N(Contracts!$Q$16)))-N(OFFSET(GanttCalc!$B$14,0,34+N(Contracts!$Q$16)))=1,"R"&amp;OFFSET(GanttCalc!$B$14,0,35+N(Contracts!$Q$16)),"R"&amp;(OFFSET(GanttCalc!$B$14,0,34+N(Contracts!$Q$16))+1)&amp;"-"&amp;OFFSET(GanttCalc!$B$14,0,35+N(Contracts!$Q$16)))))</f>
        <v/>
      </c>
      <c r="AN50" s="60" t="str">
        <f aca="true">IF($B$50="","",IF(N(OFFSET(GanttCalc!$B$14,0,36+N(Contracts!$Q$16)))-N(OFFSET(GanttCalc!$B$14,0,35+N(Contracts!$Q$16)))&lt;=0,"",IF(N(OFFSET(GanttCalc!$B$14,0,36+N(Contracts!$Q$16)))-N(OFFSET(GanttCalc!$B$14,0,35+N(Contracts!$Q$16)))=1,"R"&amp;OFFSET(GanttCalc!$B$14,0,36+N(Contracts!$Q$16)),"R"&amp;(OFFSET(GanttCalc!$B$14,0,35+N(Contracts!$Q$16))+1)&amp;"-"&amp;OFFSET(GanttCalc!$B$14,0,36+N(Contracts!$Q$16)))))</f>
        <v/>
      </c>
      <c r="AO50" s="60" t="str">
        <f aca="true">IF($B$50="","",IF(N(OFFSET(GanttCalc!$B$14,0,37+N(Contracts!$Q$16)))-N(OFFSET(GanttCalc!$B$14,0,36+N(Contracts!$Q$16)))&lt;=0,"",IF(N(OFFSET(GanttCalc!$B$14,0,37+N(Contracts!$Q$16)))-N(OFFSET(GanttCalc!$B$14,0,36+N(Contracts!$Q$16)))=1,"R"&amp;OFFSET(GanttCalc!$B$14,0,37+N(Contracts!$Q$16)),"R"&amp;(OFFSET(GanttCalc!$B$14,0,36+N(Contracts!$Q$16))+1)&amp;"-"&amp;OFFSET(GanttCalc!$B$14,0,37+N(Contracts!$Q$16)))))</f>
        <v/>
      </c>
      <c r="AP50" s="60" t="str">
        <f aca="true">IF($B$50="","",IF(N(OFFSET(GanttCalc!$B$14,0,38+N(Contracts!$Q$16)))-N(OFFSET(GanttCalc!$B$14,0,37+N(Contracts!$Q$16)))&lt;=0,"",IF(N(OFFSET(GanttCalc!$B$14,0,38+N(Contracts!$Q$16)))-N(OFFSET(GanttCalc!$B$14,0,37+N(Contracts!$Q$16)))=1,"R"&amp;OFFSET(GanttCalc!$B$14,0,38+N(Contracts!$Q$16)),"R"&amp;(OFFSET(GanttCalc!$B$14,0,37+N(Contracts!$Q$16))+1)&amp;"-"&amp;OFFSET(GanttCalc!$B$14,0,38+N(Contracts!$Q$16)))))</f>
        <v/>
      </c>
      <c r="AQ50" s="60" t="str">
        <f aca="true">IF($B$50="","",IF(N(OFFSET(GanttCalc!$B$14,0,39+N(Contracts!$Q$16)))-N(OFFSET(GanttCalc!$B$14,0,38+N(Contracts!$Q$16)))&lt;=0,"",IF(N(OFFSET(GanttCalc!$B$14,0,39+N(Contracts!$Q$16)))-N(OFFSET(GanttCalc!$B$14,0,38+N(Contracts!$Q$16)))=1,"R"&amp;OFFSET(GanttCalc!$B$14,0,39+N(Contracts!$Q$16)),"R"&amp;(OFFSET(GanttCalc!$B$14,0,38+N(Contracts!$Q$16))+1)&amp;"-"&amp;OFFSET(GanttCalc!$B$14,0,39+N(Contracts!$Q$16)))))</f>
        <v/>
      </c>
      <c r="AR50" s="60" t="str">
        <f aca="true">IF($B$50="","",IF(N(OFFSET(GanttCalc!$B$14,0,40+N(Contracts!$Q$16)))-N(OFFSET(GanttCalc!$B$14,0,39+N(Contracts!$Q$16)))&lt;=0,"",IF(N(OFFSET(GanttCalc!$B$14,0,40+N(Contracts!$Q$16)))-N(OFFSET(GanttCalc!$B$14,0,39+N(Contracts!$Q$16)))=1,"R"&amp;OFFSET(GanttCalc!$B$14,0,40+N(Contracts!$Q$16)),"R"&amp;(OFFSET(GanttCalc!$B$14,0,39+N(Contracts!$Q$16))+1)&amp;"-"&amp;OFFSET(GanttCalc!$B$14,0,40+N(Contracts!$Q$16)))))</f>
        <v/>
      </c>
      <c r="AS50" s="60" t="str">
        <f aca="true">IF($B$50="","",IF(N(OFFSET(GanttCalc!$B$14,0,41+N(Contracts!$Q$16)))-N(OFFSET(GanttCalc!$B$14,0,40+N(Contracts!$Q$16)))&lt;=0,"",IF(N(OFFSET(GanttCalc!$B$14,0,41+N(Contracts!$Q$16)))-N(OFFSET(GanttCalc!$B$14,0,40+N(Contracts!$Q$16)))=1,"R"&amp;OFFSET(GanttCalc!$B$14,0,41+N(Contracts!$Q$16)),"R"&amp;(OFFSET(GanttCalc!$B$14,0,40+N(Contracts!$Q$16))+1)&amp;"-"&amp;OFFSET(GanttCalc!$B$14,0,41+N(Contracts!$Q$16)))))</f>
        <v/>
      </c>
      <c r="AT50" s="60" t="str">
        <f aca="true">IF($B$50="","",IF(N(OFFSET(GanttCalc!$B$14,0,42+N(Contracts!$Q$16)))-N(OFFSET(GanttCalc!$B$14,0,41+N(Contracts!$Q$16)))&lt;=0,"",IF(N(OFFSET(GanttCalc!$B$14,0,42+N(Contracts!$Q$16)))-N(OFFSET(GanttCalc!$B$14,0,41+N(Contracts!$Q$16)))=1,"R"&amp;OFFSET(GanttCalc!$B$14,0,42+N(Contracts!$Q$16)),"R"&amp;(OFFSET(GanttCalc!$B$14,0,41+N(Contracts!$Q$16))+1)&amp;"-"&amp;OFFSET(GanttCalc!$B$14,0,42+N(Contracts!$Q$16)))))</f>
        <v/>
      </c>
      <c r="AU50" s="60" t="str">
        <f aca="true">IF($B$50="","",IF(N(OFFSET(GanttCalc!$B$14,0,43+N(Contracts!$Q$16)))-N(OFFSET(GanttCalc!$B$14,0,42+N(Contracts!$Q$16)))&lt;=0,"",IF(N(OFFSET(GanttCalc!$B$14,0,43+N(Contracts!$Q$16)))-N(OFFSET(GanttCalc!$B$14,0,42+N(Contracts!$Q$16)))=1,"R"&amp;OFFSET(GanttCalc!$B$14,0,43+N(Contracts!$Q$16)),"R"&amp;(OFFSET(GanttCalc!$B$14,0,42+N(Contracts!$Q$16))+1)&amp;"-"&amp;OFFSET(GanttCalc!$B$14,0,43+N(Contracts!$Q$16)))))</f>
        <v/>
      </c>
      <c r="AV50" s="60" t="str">
        <f aca="true">IF($B$50="","",IF(N(OFFSET(GanttCalc!$B$14,0,44+N(Contracts!$Q$16)))-N(OFFSET(GanttCalc!$B$14,0,43+N(Contracts!$Q$16)))&lt;=0,"",IF(N(OFFSET(GanttCalc!$B$14,0,44+N(Contracts!$Q$16)))-N(OFFSET(GanttCalc!$B$14,0,43+N(Contracts!$Q$16)))=1,"R"&amp;OFFSET(GanttCalc!$B$14,0,44+N(Contracts!$Q$16)),"R"&amp;(OFFSET(GanttCalc!$B$14,0,43+N(Contracts!$Q$16))+1)&amp;"-"&amp;OFFSET(GanttCalc!$B$14,0,44+N(Contracts!$Q$16)))))</f>
        <v/>
      </c>
      <c r="AW50" s="60" t="str">
        <f aca="true">IF($B$50="","",IF(N(OFFSET(GanttCalc!$B$14,0,45+N(Contracts!$Q$16)))-N(OFFSET(GanttCalc!$B$14,0,44+N(Contracts!$Q$16)))&lt;=0,"",IF(N(OFFSET(GanttCalc!$B$14,0,45+N(Contracts!$Q$16)))-N(OFFSET(GanttCalc!$B$14,0,44+N(Contracts!$Q$16)))=1,"R"&amp;OFFSET(GanttCalc!$B$14,0,45+N(Contracts!$Q$16)),"R"&amp;(OFFSET(GanttCalc!$B$14,0,44+N(Contracts!$Q$16))+1)&amp;"-"&amp;OFFSET(GanttCalc!$B$14,0,45+N(Contracts!$Q$16)))))</f>
        <v/>
      </c>
      <c r="AX50" s="60" t="str">
        <f aca="true">IF($B$50="","",IF(N(OFFSET(GanttCalc!$B$14,0,46+N(Contracts!$Q$16)))-N(OFFSET(GanttCalc!$B$14,0,45+N(Contracts!$Q$16)))&lt;=0,"",IF(N(OFFSET(GanttCalc!$B$14,0,46+N(Contracts!$Q$16)))-N(OFFSET(GanttCalc!$B$14,0,45+N(Contracts!$Q$16)))=1,"R"&amp;OFFSET(GanttCalc!$B$14,0,46+N(Contracts!$Q$16)),"R"&amp;(OFFSET(GanttCalc!$B$14,0,45+N(Contracts!$Q$16))+1)&amp;"-"&amp;OFFSET(GanttCalc!$B$14,0,46+N(Contracts!$Q$16)))))</f>
        <v/>
      </c>
      <c r="AY50" s="60" t="str">
        <f aca="true">IF($B$50="","",IF(N(OFFSET(GanttCalc!$B$14,0,47+N(Contracts!$Q$16)))-N(OFFSET(GanttCalc!$B$14,0,46+N(Contracts!$Q$16)))&lt;=0,"",IF(N(OFFSET(GanttCalc!$B$14,0,47+N(Contracts!$Q$16)))-N(OFFSET(GanttCalc!$B$14,0,46+N(Contracts!$Q$16)))=1,"R"&amp;OFFSET(GanttCalc!$B$14,0,47+N(Contracts!$Q$16)),"R"&amp;(OFFSET(GanttCalc!$B$14,0,46+N(Contracts!$Q$16))+1)&amp;"-"&amp;OFFSET(GanttCalc!$B$14,0,47+N(Contracts!$Q$16)))))</f>
        <v/>
      </c>
      <c r="AZ50" s="60" t="str">
        <f aca="true">IF($B$50="","",IF(N(OFFSET(GanttCalc!$B$14,0,48+N(Contracts!$Q$16)))-N(OFFSET(GanttCalc!$B$14,0,47+N(Contracts!$Q$16)))&lt;=0,"",IF(N(OFFSET(GanttCalc!$B$14,0,48+N(Contracts!$Q$16)))-N(OFFSET(GanttCalc!$B$14,0,47+N(Contracts!$Q$16)))=1,"R"&amp;OFFSET(GanttCalc!$B$14,0,48+N(Contracts!$Q$16)),"R"&amp;(OFFSET(GanttCalc!$B$14,0,47+N(Contracts!$Q$16))+1)&amp;"-"&amp;OFFSET(GanttCalc!$B$14,0,48+N(Contracts!$Q$16)))))</f>
        <v/>
      </c>
      <c r="BA50" s="60" t="str">
        <f aca="true">IF($B$50="","",IF(N(OFFSET(GanttCalc!$B$14,0,49+N(Contracts!$Q$16)))-N(OFFSET(GanttCalc!$B$14,0,48+N(Contracts!$Q$16)))&lt;=0,"",IF(N(OFFSET(GanttCalc!$B$14,0,49+N(Contracts!$Q$16)))-N(OFFSET(GanttCalc!$B$14,0,48+N(Contracts!$Q$16)))=1,"R"&amp;OFFSET(GanttCalc!$B$14,0,49+N(Contracts!$Q$16)),"R"&amp;(OFFSET(GanttCalc!$B$14,0,48+N(Contracts!$Q$16))+1)&amp;"-"&amp;OFFSET(GanttCalc!$B$14,0,49+N(Contracts!$Q$16)))))</f>
        <v/>
      </c>
      <c r="BB50" s="60" t="str">
        <f aca="true">IF($B$50="","",IF(N(OFFSET(GanttCalc!$B$14,0,50+N(Contracts!$Q$16)))-N(OFFSET(GanttCalc!$B$14,0,49+N(Contracts!$Q$16)))&lt;=0,"",IF(N(OFFSET(GanttCalc!$B$14,0,50+N(Contracts!$Q$16)))-N(OFFSET(GanttCalc!$B$14,0,49+N(Contracts!$Q$16)))=1,"R"&amp;OFFSET(GanttCalc!$B$14,0,50+N(Contracts!$Q$16)),"R"&amp;(OFFSET(GanttCalc!$B$14,0,49+N(Contracts!$Q$16))+1)&amp;"-"&amp;OFFSET(GanttCalc!$B$14,0,50+N(Contracts!$Q$16)))))</f>
        <v/>
      </c>
      <c r="BC50" s="60" t="str">
        <f aca="true">IF($B$50="","",IF(N(OFFSET(GanttCalc!$B$14,0,51+N(Contracts!$Q$16)))-N(OFFSET(GanttCalc!$B$14,0,50+N(Contracts!$Q$16)))&lt;=0,"",IF(N(OFFSET(GanttCalc!$B$14,0,51+N(Contracts!$Q$16)))-N(OFFSET(GanttCalc!$B$14,0,50+N(Contracts!$Q$16)))=1,"R"&amp;OFFSET(GanttCalc!$B$14,0,51+N(Contracts!$Q$16)),"R"&amp;(OFFSET(GanttCalc!$B$14,0,50+N(Contracts!$Q$16))+1)&amp;"-"&amp;OFFSET(GanttCalc!$B$14,0,51+N(Contracts!$Q$16)))))</f>
        <v/>
      </c>
      <c r="BD50" s="60" t="str">
        <f aca="true">IF($B$50="","",IF(N(OFFSET(GanttCalc!$B$14,0,52+N(Contracts!$Q$16)))-N(OFFSET(GanttCalc!$B$14,0,51+N(Contracts!$Q$16)))&lt;=0,"",IF(N(OFFSET(GanttCalc!$B$14,0,52+N(Contracts!$Q$16)))-N(OFFSET(GanttCalc!$B$14,0,51+N(Contracts!$Q$16)))=1,"R"&amp;OFFSET(GanttCalc!$B$14,0,52+N(Contracts!$Q$16)),"R"&amp;(OFFSET(GanttCalc!$B$14,0,51+N(Contracts!$Q$16))+1)&amp;"-"&amp;OFFSET(GanttCalc!$B$14,0,52+N(Contracts!$Q$16)))))</f>
        <v/>
      </c>
    </row>
    <row r="51" customFormat="false" ht="16.5" hidden="false" customHeight="true" outlineLevel="0" collapsed="false">
      <c r="B51" s="61" t="str">
        <f aca="false">IF(Contracts!$A$16="","",Contracts!$C$16)</f>
        <v>Not yet released</v>
      </c>
      <c r="C51" s="62" t="str">
        <f aca="false">IF(Contracts!$A$16="","","AMPS build")</f>
        <v>AMPS build</v>
      </c>
      <c r="D51" s="59" t="str">
        <f aca="false">IF($B$50="","",SUMPRODUCT(--(E51:BD51&lt;&gt;""))&amp;" wks")</f>
        <v>0 wks</v>
      </c>
      <c r="E51" s="60" t="str">
        <f aca="false">IF($B$50="","",IF(N(GanttCalc!D14)-N(GanttCalc!C14)&lt;=0,"",IF(N(GanttCalc!D14)-N(GanttCalc!C14)=1,"R"&amp;GanttCalc!D14,"R"&amp;(GanttCalc!C14+1)&amp;"-"&amp;GanttCalc!D14)))</f>
        <v/>
      </c>
      <c r="F51" s="60" t="str">
        <f aca="false">IF($B$50="","",IF(N(GanttCalc!E14)-N(GanttCalc!D14)&lt;=0,"",IF(N(GanttCalc!E14)-N(GanttCalc!D14)=1,"R"&amp;GanttCalc!E14,"R"&amp;(GanttCalc!D14+1)&amp;"-"&amp;GanttCalc!E14)))</f>
        <v/>
      </c>
      <c r="G51" s="60" t="str">
        <f aca="false">IF($B$50="","",IF(N(GanttCalc!F14)-N(GanttCalc!E14)&lt;=0,"",IF(N(GanttCalc!F14)-N(GanttCalc!E14)=1,"R"&amp;GanttCalc!F14,"R"&amp;(GanttCalc!E14+1)&amp;"-"&amp;GanttCalc!F14)))</f>
        <v/>
      </c>
      <c r="H51" s="60" t="str">
        <f aca="false">IF($B$50="","",IF(N(GanttCalc!G14)-N(GanttCalc!F14)&lt;=0,"",IF(N(GanttCalc!G14)-N(GanttCalc!F14)=1,"R"&amp;GanttCalc!G14,"R"&amp;(GanttCalc!F14+1)&amp;"-"&amp;GanttCalc!G14)))</f>
        <v/>
      </c>
      <c r="I51" s="60" t="str">
        <f aca="false">IF($B$50="","",IF(N(GanttCalc!H14)-N(GanttCalc!G14)&lt;=0,"",IF(N(GanttCalc!H14)-N(GanttCalc!G14)=1,"R"&amp;GanttCalc!H14,"R"&amp;(GanttCalc!G14+1)&amp;"-"&amp;GanttCalc!H14)))</f>
        <v/>
      </c>
      <c r="J51" s="60" t="str">
        <f aca="false">IF($B$50="","",IF(N(GanttCalc!I14)-N(GanttCalc!H14)&lt;=0,"",IF(N(GanttCalc!I14)-N(GanttCalc!H14)=1,"R"&amp;GanttCalc!I14,"R"&amp;(GanttCalc!H14+1)&amp;"-"&amp;GanttCalc!I14)))</f>
        <v/>
      </c>
      <c r="K51" s="60" t="str">
        <f aca="false">IF($B$50="","",IF(N(GanttCalc!J14)-N(GanttCalc!I14)&lt;=0,"",IF(N(GanttCalc!J14)-N(GanttCalc!I14)=1,"R"&amp;GanttCalc!J14,"R"&amp;(GanttCalc!I14+1)&amp;"-"&amp;GanttCalc!J14)))</f>
        <v/>
      </c>
      <c r="L51" s="60" t="str">
        <f aca="false">IF($B$50="","",IF(N(GanttCalc!K14)-N(GanttCalc!J14)&lt;=0,"",IF(N(GanttCalc!K14)-N(GanttCalc!J14)=1,"R"&amp;GanttCalc!K14,"R"&amp;(GanttCalc!J14+1)&amp;"-"&amp;GanttCalc!K14)))</f>
        <v/>
      </c>
      <c r="M51" s="60" t="str">
        <f aca="false">IF($B$50="","",IF(N(GanttCalc!L14)-N(GanttCalc!K14)&lt;=0,"",IF(N(GanttCalc!L14)-N(GanttCalc!K14)=1,"R"&amp;GanttCalc!L14,"R"&amp;(GanttCalc!K14+1)&amp;"-"&amp;GanttCalc!L14)))</f>
        <v/>
      </c>
      <c r="N51" s="60" t="str">
        <f aca="false">IF($B$50="","",IF(N(GanttCalc!M14)-N(GanttCalc!L14)&lt;=0,"",IF(N(GanttCalc!M14)-N(GanttCalc!L14)=1,"R"&amp;GanttCalc!M14,"R"&amp;(GanttCalc!L14+1)&amp;"-"&amp;GanttCalc!M14)))</f>
        <v/>
      </c>
      <c r="O51" s="60" t="str">
        <f aca="false">IF($B$50="","",IF(N(GanttCalc!N14)-N(GanttCalc!M14)&lt;=0,"",IF(N(GanttCalc!N14)-N(GanttCalc!M14)=1,"R"&amp;GanttCalc!N14,"R"&amp;(GanttCalc!M14+1)&amp;"-"&amp;GanttCalc!N14)))</f>
        <v/>
      </c>
      <c r="P51" s="60" t="str">
        <f aca="false">IF($B$50="","",IF(N(GanttCalc!O14)-N(GanttCalc!N14)&lt;=0,"",IF(N(GanttCalc!O14)-N(GanttCalc!N14)=1,"R"&amp;GanttCalc!O14,"R"&amp;(GanttCalc!N14+1)&amp;"-"&amp;GanttCalc!O14)))</f>
        <v/>
      </c>
      <c r="Q51" s="60" t="str">
        <f aca="false">IF($B$50="","",IF(N(GanttCalc!P14)-N(GanttCalc!O14)&lt;=0,"",IF(N(GanttCalc!P14)-N(GanttCalc!O14)=1,"R"&amp;GanttCalc!P14,"R"&amp;(GanttCalc!O14+1)&amp;"-"&amp;GanttCalc!P14)))</f>
        <v/>
      </c>
      <c r="R51" s="60" t="str">
        <f aca="false">IF($B$50="","",IF(N(GanttCalc!Q14)-N(GanttCalc!P14)&lt;=0,"",IF(N(GanttCalc!Q14)-N(GanttCalc!P14)=1,"R"&amp;GanttCalc!Q14,"R"&amp;(GanttCalc!P14+1)&amp;"-"&amp;GanttCalc!Q14)))</f>
        <v/>
      </c>
      <c r="S51" s="60" t="str">
        <f aca="false">IF($B$50="","",IF(N(GanttCalc!R14)-N(GanttCalc!Q14)&lt;=0,"",IF(N(GanttCalc!R14)-N(GanttCalc!Q14)=1,"R"&amp;GanttCalc!R14,"R"&amp;(GanttCalc!Q14+1)&amp;"-"&amp;GanttCalc!R14)))</f>
        <v/>
      </c>
      <c r="T51" s="60" t="str">
        <f aca="false">IF($B$50="","",IF(N(GanttCalc!S14)-N(GanttCalc!R14)&lt;=0,"",IF(N(GanttCalc!S14)-N(GanttCalc!R14)=1,"R"&amp;GanttCalc!S14,"R"&amp;(GanttCalc!R14+1)&amp;"-"&amp;GanttCalc!S14)))</f>
        <v/>
      </c>
      <c r="U51" s="60" t="str">
        <f aca="false">IF($B$50="","",IF(N(GanttCalc!T14)-N(GanttCalc!S14)&lt;=0,"",IF(N(GanttCalc!T14)-N(GanttCalc!S14)=1,"R"&amp;GanttCalc!T14,"R"&amp;(GanttCalc!S14+1)&amp;"-"&amp;GanttCalc!T14)))</f>
        <v/>
      </c>
      <c r="V51" s="60" t="str">
        <f aca="false">IF($B$50="","",IF(N(GanttCalc!U14)-N(GanttCalc!T14)&lt;=0,"",IF(N(GanttCalc!U14)-N(GanttCalc!T14)=1,"R"&amp;GanttCalc!U14,"R"&amp;(GanttCalc!T14+1)&amp;"-"&amp;GanttCalc!U14)))</f>
        <v/>
      </c>
      <c r="W51" s="60" t="str">
        <f aca="false">IF($B$50="","",IF(N(GanttCalc!V14)-N(GanttCalc!U14)&lt;=0,"",IF(N(GanttCalc!V14)-N(GanttCalc!U14)=1,"R"&amp;GanttCalc!V14,"R"&amp;(GanttCalc!U14+1)&amp;"-"&amp;GanttCalc!V14)))</f>
        <v/>
      </c>
      <c r="X51" s="60" t="str">
        <f aca="false">IF($B$50="","",IF(N(GanttCalc!W14)-N(GanttCalc!V14)&lt;=0,"",IF(N(GanttCalc!W14)-N(GanttCalc!V14)=1,"R"&amp;GanttCalc!W14,"R"&amp;(GanttCalc!V14+1)&amp;"-"&amp;GanttCalc!W14)))</f>
        <v/>
      </c>
      <c r="Y51" s="60" t="str">
        <f aca="false">IF($B$50="","",IF(N(GanttCalc!X14)-N(GanttCalc!W14)&lt;=0,"",IF(N(GanttCalc!X14)-N(GanttCalc!W14)=1,"R"&amp;GanttCalc!X14,"R"&amp;(GanttCalc!W14+1)&amp;"-"&amp;GanttCalc!X14)))</f>
        <v/>
      </c>
      <c r="Z51" s="60" t="str">
        <f aca="false">IF($B$50="","",IF(N(GanttCalc!Y14)-N(GanttCalc!X14)&lt;=0,"",IF(N(GanttCalc!Y14)-N(GanttCalc!X14)=1,"R"&amp;GanttCalc!Y14,"R"&amp;(GanttCalc!X14+1)&amp;"-"&amp;GanttCalc!Y14)))</f>
        <v/>
      </c>
      <c r="AA51" s="60" t="str">
        <f aca="false">IF($B$50="","",IF(N(GanttCalc!Z14)-N(GanttCalc!Y14)&lt;=0,"",IF(N(GanttCalc!Z14)-N(GanttCalc!Y14)=1,"R"&amp;GanttCalc!Z14,"R"&amp;(GanttCalc!Y14+1)&amp;"-"&amp;GanttCalc!Z14)))</f>
        <v/>
      </c>
      <c r="AB51" s="60" t="str">
        <f aca="false">IF($B$50="","",IF(N(GanttCalc!AA14)-N(GanttCalc!Z14)&lt;=0,"",IF(N(GanttCalc!AA14)-N(GanttCalc!Z14)=1,"R"&amp;GanttCalc!AA14,"R"&amp;(GanttCalc!Z14+1)&amp;"-"&amp;GanttCalc!AA14)))</f>
        <v/>
      </c>
      <c r="AC51" s="60" t="str">
        <f aca="false">IF($B$50="","",IF(N(GanttCalc!AB14)-N(GanttCalc!AA14)&lt;=0,"",IF(N(GanttCalc!AB14)-N(GanttCalc!AA14)=1,"R"&amp;GanttCalc!AB14,"R"&amp;(GanttCalc!AA14+1)&amp;"-"&amp;GanttCalc!AB14)))</f>
        <v/>
      </c>
      <c r="AD51" s="60" t="str">
        <f aca="false">IF($B$50="","",IF(N(GanttCalc!AC14)-N(GanttCalc!AB14)&lt;=0,"",IF(N(GanttCalc!AC14)-N(GanttCalc!AB14)=1,"R"&amp;GanttCalc!AC14,"R"&amp;(GanttCalc!AB14+1)&amp;"-"&amp;GanttCalc!AC14)))</f>
        <v/>
      </c>
      <c r="AE51" s="60" t="str">
        <f aca="false">IF($B$50="","",IF(N(GanttCalc!AD14)-N(GanttCalc!AC14)&lt;=0,"",IF(N(GanttCalc!AD14)-N(GanttCalc!AC14)=1,"R"&amp;GanttCalc!AD14,"R"&amp;(GanttCalc!AC14+1)&amp;"-"&amp;GanttCalc!AD14)))</f>
        <v/>
      </c>
      <c r="AF51" s="60" t="str">
        <f aca="false">IF($B$50="","",IF(N(GanttCalc!AE14)-N(GanttCalc!AD14)&lt;=0,"",IF(N(GanttCalc!AE14)-N(GanttCalc!AD14)=1,"R"&amp;GanttCalc!AE14,"R"&amp;(GanttCalc!AD14+1)&amp;"-"&amp;GanttCalc!AE14)))</f>
        <v/>
      </c>
      <c r="AG51" s="60" t="str">
        <f aca="false">IF($B$50="","",IF(N(GanttCalc!AF14)-N(GanttCalc!AE14)&lt;=0,"",IF(N(GanttCalc!AF14)-N(GanttCalc!AE14)=1,"R"&amp;GanttCalc!AF14,"R"&amp;(GanttCalc!AE14+1)&amp;"-"&amp;GanttCalc!AF14)))</f>
        <v/>
      </c>
      <c r="AH51" s="60" t="str">
        <f aca="false">IF($B$50="","",IF(N(GanttCalc!AG14)-N(GanttCalc!AF14)&lt;=0,"",IF(N(GanttCalc!AG14)-N(GanttCalc!AF14)=1,"R"&amp;GanttCalc!AG14,"R"&amp;(GanttCalc!AF14+1)&amp;"-"&amp;GanttCalc!AG14)))</f>
        <v/>
      </c>
      <c r="AI51" s="60" t="str">
        <f aca="false">IF($B$50="","",IF(N(GanttCalc!AH14)-N(GanttCalc!AG14)&lt;=0,"",IF(N(GanttCalc!AH14)-N(GanttCalc!AG14)=1,"R"&amp;GanttCalc!AH14,"R"&amp;(GanttCalc!AG14+1)&amp;"-"&amp;GanttCalc!AH14)))</f>
        <v/>
      </c>
      <c r="AJ51" s="60" t="str">
        <f aca="false">IF($B$50="","",IF(N(GanttCalc!AI14)-N(GanttCalc!AH14)&lt;=0,"",IF(N(GanttCalc!AI14)-N(GanttCalc!AH14)=1,"R"&amp;GanttCalc!AI14,"R"&amp;(GanttCalc!AH14+1)&amp;"-"&amp;GanttCalc!AI14)))</f>
        <v/>
      </c>
      <c r="AK51" s="60" t="str">
        <f aca="false">IF($B$50="","",IF(N(GanttCalc!AJ14)-N(GanttCalc!AI14)&lt;=0,"",IF(N(GanttCalc!AJ14)-N(GanttCalc!AI14)=1,"R"&amp;GanttCalc!AJ14,"R"&amp;(GanttCalc!AI14+1)&amp;"-"&amp;GanttCalc!AJ14)))</f>
        <v/>
      </c>
      <c r="AL51" s="60" t="str">
        <f aca="false">IF($B$50="","",IF(N(GanttCalc!AK14)-N(GanttCalc!AJ14)&lt;=0,"",IF(N(GanttCalc!AK14)-N(GanttCalc!AJ14)=1,"R"&amp;GanttCalc!AK14,"R"&amp;(GanttCalc!AJ14+1)&amp;"-"&amp;GanttCalc!AK14)))</f>
        <v/>
      </c>
      <c r="AM51" s="60" t="str">
        <f aca="false">IF($B$50="","",IF(N(GanttCalc!AL14)-N(GanttCalc!AK14)&lt;=0,"",IF(N(GanttCalc!AL14)-N(GanttCalc!AK14)=1,"R"&amp;GanttCalc!AL14,"R"&amp;(GanttCalc!AK14+1)&amp;"-"&amp;GanttCalc!AL14)))</f>
        <v/>
      </c>
      <c r="AN51" s="60" t="str">
        <f aca="false">IF($B$50="","",IF(N(GanttCalc!AM14)-N(GanttCalc!AL14)&lt;=0,"",IF(N(GanttCalc!AM14)-N(GanttCalc!AL14)=1,"R"&amp;GanttCalc!AM14,"R"&amp;(GanttCalc!AL14+1)&amp;"-"&amp;GanttCalc!AM14)))</f>
        <v/>
      </c>
      <c r="AO51" s="60" t="str">
        <f aca="false">IF($B$50="","",IF(N(GanttCalc!AN14)-N(GanttCalc!AM14)&lt;=0,"",IF(N(GanttCalc!AN14)-N(GanttCalc!AM14)=1,"R"&amp;GanttCalc!AN14,"R"&amp;(GanttCalc!AM14+1)&amp;"-"&amp;GanttCalc!AN14)))</f>
        <v/>
      </c>
      <c r="AP51" s="60" t="str">
        <f aca="false">IF($B$50="","",IF(N(GanttCalc!AO14)-N(GanttCalc!AN14)&lt;=0,"",IF(N(GanttCalc!AO14)-N(GanttCalc!AN14)=1,"R"&amp;GanttCalc!AO14,"R"&amp;(GanttCalc!AN14+1)&amp;"-"&amp;GanttCalc!AO14)))</f>
        <v/>
      </c>
      <c r="AQ51" s="60" t="str">
        <f aca="false">IF($B$50="","",IF(N(GanttCalc!AP14)-N(GanttCalc!AO14)&lt;=0,"",IF(N(GanttCalc!AP14)-N(GanttCalc!AO14)=1,"R"&amp;GanttCalc!AP14,"R"&amp;(GanttCalc!AO14+1)&amp;"-"&amp;GanttCalc!AP14)))</f>
        <v/>
      </c>
      <c r="AR51" s="60" t="str">
        <f aca="false">IF($B$50="","",IF(N(GanttCalc!AQ14)-N(GanttCalc!AP14)&lt;=0,"",IF(N(GanttCalc!AQ14)-N(GanttCalc!AP14)=1,"R"&amp;GanttCalc!AQ14,"R"&amp;(GanttCalc!AP14+1)&amp;"-"&amp;GanttCalc!AQ14)))</f>
        <v/>
      </c>
      <c r="AS51" s="60" t="str">
        <f aca="false">IF($B$50="","",IF(N(GanttCalc!AR14)-N(GanttCalc!AQ14)&lt;=0,"",IF(N(GanttCalc!AR14)-N(GanttCalc!AQ14)=1,"R"&amp;GanttCalc!AR14,"R"&amp;(GanttCalc!AQ14+1)&amp;"-"&amp;GanttCalc!AR14)))</f>
        <v/>
      </c>
      <c r="AT51" s="60" t="str">
        <f aca="false">IF($B$50="","",IF(N(GanttCalc!AS14)-N(GanttCalc!AR14)&lt;=0,"",IF(N(GanttCalc!AS14)-N(GanttCalc!AR14)=1,"R"&amp;GanttCalc!AS14,"R"&amp;(GanttCalc!AR14+1)&amp;"-"&amp;GanttCalc!AS14)))</f>
        <v/>
      </c>
      <c r="AU51" s="60" t="str">
        <f aca="false">IF($B$50="","",IF(N(GanttCalc!AT14)-N(GanttCalc!AS14)&lt;=0,"",IF(N(GanttCalc!AT14)-N(GanttCalc!AS14)=1,"R"&amp;GanttCalc!AT14,"R"&amp;(GanttCalc!AS14+1)&amp;"-"&amp;GanttCalc!AT14)))</f>
        <v/>
      </c>
      <c r="AV51" s="60" t="str">
        <f aca="false">IF($B$50="","",IF(N(GanttCalc!AU14)-N(GanttCalc!AT14)&lt;=0,"",IF(N(GanttCalc!AU14)-N(GanttCalc!AT14)=1,"R"&amp;GanttCalc!AU14,"R"&amp;(GanttCalc!AT14+1)&amp;"-"&amp;GanttCalc!AU14)))</f>
        <v/>
      </c>
      <c r="AW51" s="60" t="str">
        <f aca="false">IF($B$50="","",IF(N(GanttCalc!AV14)-N(GanttCalc!AU14)&lt;=0,"",IF(N(GanttCalc!AV14)-N(GanttCalc!AU14)=1,"R"&amp;GanttCalc!AV14,"R"&amp;(GanttCalc!AU14+1)&amp;"-"&amp;GanttCalc!AV14)))</f>
        <v/>
      </c>
      <c r="AX51" s="60" t="str">
        <f aca="false">IF($B$50="","",IF(N(GanttCalc!AW14)-N(GanttCalc!AV14)&lt;=0,"",IF(N(GanttCalc!AW14)-N(GanttCalc!AV14)=1,"R"&amp;GanttCalc!AW14,"R"&amp;(GanttCalc!AV14+1)&amp;"-"&amp;GanttCalc!AW14)))</f>
        <v/>
      </c>
      <c r="AY51" s="60" t="str">
        <f aca="false">IF($B$50="","",IF(N(GanttCalc!AX14)-N(GanttCalc!AW14)&lt;=0,"",IF(N(GanttCalc!AX14)-N(GanttCalc!AW14)=1,"R"&amp;GanttCalc!AX14,"R"&amp;(GanttCalc!AW14+1)&amp;"-"&amp;GanttCalc!AX14)))</f>
        <v/>
      </c>
      <c r="AZ51" s="60" t="str">
        <f aca="false">IF($B$50="","",IF(N(GanttCalc!AY14)-N(GanttCalc!AX14)&lt;=0,"",IF(N(GanttCalc!AY14)-N(GanttCalc!AX14)=1,"R"&amp;GanttCalc!AY14,"R"&amp;(GanttCalc!AX14+1)&amp;"-"&amp;GanttCalc!AY14)))</f>
        <v/>
      </c>
      <c r="BA51" s="60" t="str">
        <f aca="false">IF($B$50="","",IF(N(GanttCalc!AZ14)-N(GanttCalc!AY14)&lt;=0,"",IF(N(GanttCalc!AZ14)-N(GanttCalc!AY14)=1,"R"&amp;GanttCalc!AZ14,"R"&amp;(GanttCalc!AY14+1)&amp;"-"&amp;GanttCalc!AZ14)))</f>
        <v/>
      </c>
      <c r="BB51" s="60" t="str">
        <f aca="false">IF($B$50="","",IF(N(GanttCalc!BA14)-N(GanttCalc!AZ14)&lt;=0,"",IF(N(GanttCalc!BA14)-N(GanttCalc!AZ14)=1,"R"&amp;GanttCalc!BA14,"R"&amp;(GanttCalc!AZ14+1)&amp;"-"&amp;GanttCalc!BA14)))</f>
        <v/>
      </c>
      <c r="BC51" s="60" t="str">
        <f aca="false">IF($B$50="","",IF(N(GanttCalc!BB14)-N(GanttCalc!BA14)&lt;=0,"",IF(N(GanttCalc!BB14)-N(GanttCalc!BA14)=1,"R"&amp;GanttCalc!BB14,"R"&amp;(GanttCalc!BA14+1)&amp;"-"&amp;GanttCalc!BB14)))</f>
        <v/>
      </c>
      <c r="BD51" s="60" t="str">
        <f aca="false">IF($B$50="","",IF(N(GanttCalc!BC14)-N(GanttCalc!BB14)&lt;=0,"",IF(N(GanttCalc!BC14)-N(GanttCalc!BB14)=1,"R"&amp;GanttCalc!BC14,"R"&amp;(GanttCalc!BB14+1)&amp;"-"&amp;GanttCalc!BC14)))</f>
        <v/>
      </c>
    </row>
    <row r="52" customFormat="false" ht="16.5" hidden="false" customHeight="true" outlineLevel="0" collapsed="false">
      <c r="B52" s="63" t="str">
        <f aca="false">IF(Contracts!$A$16="","",IF(Contracts!$I$16="","no kit list","kitted: "&amp;Contracts!$I$16&amp;" / "&amp;Contracts!$F$16))</f>
        <v>no kit list</v>
      </c>
      <c r="C52" s="64" t="str">
        <f aca="false">IF(Contracts!$A$16="","","Final build")</f>
        <v>Final build</v>
      </c>
      <c r="D52" s="59" t="str">
        <f aca="false">IF($B$50="","",SUMPRODUCT(--(E52:BD52&lt;&gt;""))&amp;" wks")</f>
        <v>0 wks</v>
      </c>
      <c r="E52" s="60" t="str">
        <f aca="false">IF($B$50="","",IF(N(GanttCalc!C14)-N(GanttCalc!B14)&lt;=0,"",IF(N(GanttCalc!C14)-N(GanttCalc!B14)=1,"R"&amp;GanttCalc!C14,"R"&amp;(GanttCalc!B14+1)&amp;"-"&amp;GanttCalc!C14)))</f>
        <v/>
      </c>
      <c r="F52" s="60" t="str">
        <f aca="false">IF($B$50="","",IF(N(GanttCalc!D14)-N(GanttCalc!C14)&lt;=0,"",IF(N(GanttCalc!D14)-N(GanttCalc!C14)=1,"R"&amp;GanttCalc!D14,"R"&amp;(GanttCalc!C14+1)&amp;"-"&amp;GanttCalc!D14)))</f>
        <v/>
      </c>
      <c r="G52" s="60" t="str">
        <f aca="false">IF($B$50="","",IF(N(GanttCalc!E14)-N(GanttCalc!D14)&lt;=0,"",IF(N(GanttCalc!E14)-N(GanttCalc!D14)=1,"R"&amp;GanttCalc!E14,"R"&amp;(GanttCalc!D14+1)&amp;"-"&amp;GanttCalc!E14)))</f>
        <v/>
      </c>
      <c r="H52" s="60" t="str">
        <f aca="false">IF($B$50="","",IF(N(GanttCalc!F14)-N(GanttCalc!E14)&lt;=0,"",IF(N(GanttCalc!F14)-N(GanttCalc!E14)=1,"R"&amp;GanttCalc!F14,"R"&amp;(GanttCalc!E14+1)&amp;"-"&amp;GanttCalc!F14)))</f>
        <v/>
      </c>
      <c r="I52" s="60" t="str">
        <f aca="false">IF($B$50="","",IF(N(GanttCalc!G14)-N(GanttCalc!F14)&lt;=0,"",IF(N(GanttCalc!G14)-N(GanttCalc!F14)=1,"R"&amp;GanttCalc!G14,"R"&amp;(GanttCalc!F14+1)&amp;"-"&amp;GanttCalc!G14)))</f>
        <v/>
      </c>
      <c r="J52" s="60" t="str">
        <f aca="false">IF($B$50="","",IF(N(GanttCalc!H14)-N(GanttCalc!G14)&lt;=0,"",IF(N(GanttCalc!H14)-N(GanttCalc!G14)=1,"R"&amp;GanttCalc!H14,"R"&amp;(GanttCalc!G14+1)&amp;"-"&amp;GanttCalc!H14)))</f>
        <v/>
      </c>
      <c r="K52" s="60" t="str">
        <f aca="false">IF($B$50="","",IF(N(GanttCalc!I14)-N(GanttCalc!H14)&lt;=0,"",IF(N(GanttCalc!I14)-N(GanttCalc!H14)=1,"R"&amp;GanttCalc!I14,"R"&amp;(GanttCalc!H14+1)&amp;"-"&amp;GanttCalc!I14)))</f>
        <v/>
      </c>
      <c r="L52" s="60" t="str">
        <f aca="false">IF($B$50="","",IF(N(GanttCalc!J14)-N(GanttCalc!I14)&lt;=0,"",IF(N(GanttCalc!J14)-N(GanttCalc!I14)=1,"R"&amp;GanttCalc!J14,"R"&amp;(GanttCalc!I14+1)&amp;"-"&amp;GanttCalc!J14)))</f>
        <v/>
      </c>
      <c r="M52" s="60" t="str">
        <f aca="false">IF($B$50="","",IF(N(GanttCalc!K14)-N(GanttCalc!J14)&lt;=0,"",IF(N(GanttCalc!K14)-N(GanttCalc!J14)=1,"R"&amp;GanttCalc!K14,"R"&amp;(GanttCalc!J14+1)&amp;"-"&amp;GanttCalc!K14)))</f>
        <v/>
      </c>
      <c r="N52" s="60" t="str">
        <f aca="false">IF($B$50="","",IF(N(GanttCalc!L14)-N(GanttCalc!K14)&lt;=0,"",IF(N(GanttCalc!L14)-N(GanttCalc!K14)=1,"R"&amp;GanttCalc!L14,"R"&amp;(GanttCalc!K14+1)&amp;"-"&amp;GanttCalc!L14)))</f>
        <v/>
      </c>
      <c r="O52" s="60" t="str">
        <f aca="false">IF($B$50="","",IF(N(GanttCalc!M14)-N(GanttCalc!L14)&lt;=0,"",IF(N(GanttCalc!M14)-N(GanttCalc!L14)=1,"R"&amp;GanttCalc!M14,"R"&amp;(GanttCalc!L14+1)&amp;"-"&amp;GanttCalc!M14)))</f>
        <v/>
      </c>
      <c r="P52" s="60" t="str">
        <f aca="false">IF($B$50="","",IF(N(GanttCalc!N14)-N(GanttCalc!M14)&lt;=0,"",IF(N(GanttCalc!N14)-N(GanttCalc!M14)=1,"R"&amp;GanttCalc!N14,"R"&amp;(GanttCalc!M14+1)&amp;"-"&amp;GanttCalc!N14)))</f>
        <v/>
      </c>
      <c r="Q52" s="60" t="str">
        <f aca="false">IF($B$50="","",IF(N(GanttCalc!O14)-N(GanttCalc!N14)&lt;=0,"",IF(N(GanttCalc!O14)-N(GanttCalc!N14)=1,"R"&amp;GanttCalc!O14,"R"&amp;(GanttCalc!N14+1)&amp;"-"&amp;GanttCalc!O14)))</f>
        <v/>
      </c>
      <c r="R52" s="60" t="str">
        <f aca="false">IF($B$50="","",IF(N(GanttCalc!P14)-N(GanttCalc!O14)&lt;=0,"",IF(N(GanttCalc!P14)-N(GanttCalc!O14)=1,"R"&amp;GanttCalc!P14,"R"&amp;(GanttCalc!O14+1)&amp;"-"&amp;GanttCalc!P14)))</f>
        <v/>
      </c>
      <c r="S52" s="60" t="str">
        <f aca="false">IF($B$50="","",IF(N(GanttCalc!Q14)-N(GanttCalc!P14)&lt;=0,"",IF(N(GanttCalc!Q14)-N(GanttCalc!P14)=1,"R"&amp;GanttCalc!Q14,"R"&amp;(GanttCalc!P14+1)&amp;"-"&amp;GanttCalc!Q14)))</f>
        <v/>
      </c>
      <c r="T52" s="60" t="str">
        <f aca="false">IF($B$50="","",IF(N(GanttCalc!R14)-N(GanttCalc!Q14)&lt;=0,"",IF(N(GanttCalc!R14)-N(GanttCalc!Q14)=1,"R"&amp;GanttCalc!R14,"R"&amp;(GanttCalc!Q14+1)&amp;"-"&amp;GanttCalc!R14)))</f>
        <v/>
      </c>
      <c r="U52" s="60" t="str">
        <f aca="false">IF($B$50="","",IF(N(GanttCalc!S14)-N(GanttCalc!R14)&lt;=0,"",IF(N(GanttCalc!S14)-N(GanttCalc!R14)=1,"R"&amp;GanttCalc!S14,"R"&amp;(GanttCalc!R14+1)&amp;"-"&amp;GanttCalc!S14)))</f>
        <v/>
      </c>
      <c r="V52" s="60" t="str">
        <f aca="false">IF($B$50="","",IF(N(GanttCalc!T14)-N(GanttCalc!S14)&lt;=0,"",IF(N(GanttCalc!T14)-N(GanttCalc!S14)=1,"R"&amp;GanttCalc!T14,"R"&amp;(GanttCalc!S14+1)&amp;"-"&amp;GanttCalc!T14)))</f>
        <v/>
      </c>
      <c r="W52" s="60" t="str">
        <f aca="false">IF($B$50="","",IF(N(GanttCalc!U14)-N(GanttCalc!T14)&lt;=0,"",IF(N(GanttCalc!U14)-N(GanttCalc!T14)=1,"R"&amp;GanttCalc!U14,"R"&amp;(GanttCalc!T14+1)&amp;"-"&amp;GanttCalc!U14)))</f>
        <v/>
      </c>
      <c r="X52" s="60" t="str">
        <f aca="false">IF($B$50="","",IF(N(GanttCalc!V14)-N(GanttCalc!U14)&lt;=0,"",IF(N(GanttCalc!V14)-N(GanttCalc!U14)=1,"R"&amp;GanttCalc!V14,"R"&amp;(GanttCalc!U14+1)&amp;"-"&amp;GanttCalc!V14)))</f>
        <v/>
      </c>
      <c r="Y52" s="60" t="str">
        <f aca="false">IF($B$50="","",IF(N(GanttCalc!W14)-N(GanttCalc!V14)&lt;=0,"",IF(N(GanttCalc!W14)-N(GanttCalc!V14)=1,"R"&amp;GanttCalc!W14,"R"&amp;(GanttCalc!V14+1)&amp;"-"&amp;GanttCalc!W14)))</f>
        <v/>
      </c>
      <c r="Z52" s="60" t="str">
        <f aca="false">IF($B$50="","",IF(N(GanttCalc!X14)-N(GanttCalc!W14)&lt;=0,"",IF(N(GanttCalc!X14)-N(GanttCalc!W14)=1,"R"&amp;GanttCalc!X14,"R"&amp;(GanttCalc!W14+1)&amp;"-"&amp;GanttCalc!X14)))</f>
        <v/>
      </c>
      <c r="AA52" s="60" t="str">
        <f aca="false">IF($B$50="","",IF(N(GanttCalc!Y14)-N(GanttCalc!X14)&lt;=0,"",IF(N(GanttCalc!Y14)-N(GanttCalc!X14)=1,"R"&amp;GanttCalc!Y14,"R"&amp;(GanttCalc!X14+1)&amp;"-"&amp;GanttCalc!Y14)))</f>
        <v/>
      </c>
      <c r="AB52" s="60" t="str">
        <f aca="false">IF($B$50="","",IF(N(GanttCalc!Z14)-N(GanttCalc!Y14)&lt;=0,"",IF(N(GanttCalc!Z14)-N(GanttCalc!Y14)=1,"R"&amp;GanttCalc!Z14,"R"&amp;(GanttCalc!Y14+1)&amp;"-"&amp;GanttCalc!Z14)))</f>
        <v/>
      </c>
      <c r="AC52" s="60" t="str">
        <f aca="false">IF($B$50="","",IF(N(GanttCalc!AA14)-N(GanttCalc!Z14)&lt;=0,"",IF(N(GanttCalc!AA14)-N(GanttCalc!Z14)=1,"R"&amp;GanttCalc!AA14,"R"&amp;(GanttCalc!Z14+1)&amp;"-"&amp;GanttCalc!AA14)))</f>
        <v/>
      </c>
      <c r="AD52" s="60" t="str">
        <f aca="false">IF($B$50="","",IF(N(GanttCalc!AB14)-N(GanttCalc!AA14)&lt;=0,"",IF(N(GanttCalc!AB14)-N(GanttCalc!AA14)=1,"R"&amp;GanttCalc!AB14,"R"&amp;(GanttCalc!AA14+1)&amp;"-"&amp;GanttCalc!AB14)))</f>
        <v/>
      </c>
      <c r="AE52" s="60" t="str">
        <f aca="false">IF($B$50="","",IF(N(GanttCalc!AC14)-N(GanttCalc!AB14)&lt;=0,"",IF(N(GanttCalc!AC14)-N(GanttCalc!AB14)=1,"R"&amp;GanttCalc!AC14,"R"&amp;(GanttCalc!AB14+1)&amp;"-"&amp;GanttCalc!AC14)))</f>
        <v/>
      </c>
      <c r="AF52" s="60" t="str">
        <f aca="false">IF($B$50="","",IF(N(GanttCalc!AD14)-N(GanttCalc!AC14)&lt;=0,"",IF(N(GanttCalc!AD14)-N(GanttCalc!AC14)=1,"R"&amp;GanttCalc!AD14,"R"&amp;(GanttCalc!AC14+1)&amp;"-"&amp;GanttCalc!AD14)))</f>
        <v/>
      </c>
      <c r="AG52" s="60" t="str">
        <f aca="false">IF($B$50="","",IF(N(GanttCalc!AE14)-N(GanttCalc!AD14)&lt;=0,"",IF(N(GanttCalc!AE14)-N(GanttCalc!AD14)=1,"R"&amp;GanttCalc!AE14,"R"&amp;(GanttCalc!AD14+1)&amp;"-"&amp;GanttCalc!AE14)))</f>
        <v/>
      </c>
      <c r="AH52" s="60" t="str">
        <f aca="false">IF($B$50="","",IF(N(GanttCalc!AF14)-N(GanttCalc!AE14)&lt;=0,"",IF(N(GanttCalc!AF14)-N(GanttCalc!AE14)=1,"R"&amp;GanttCalc!AF14,"R"&amp;(GanttCalc!AE14+1)&amp;"-"&amp;GanttCalc!AF14)))</f>
        <v/>
      </c>
      <c r="AI52" s="60" t="str">
        <f aca="false">IF($B$50="","",IF(N(GanttCalc!AG14)-N(GanttCalc!AF14)&lt;=0,"",IF(N(GanttCalc!AG14)-N(GanttCalc!AF14)=1,"R"&amp;GanttCalc!AG14,"R"&amp;(GanttCalc!AF14+1)&amp;"-"&amp;GanttCalc!AG14)))</f>
        <v/>
      </c>
      <c r="AJ52" s="60" t="str">
        <f aca="false">IF($B$50="","",IF(N(GanttCalc!AH14)-N(GanttCalc!AG14)&lt;=0,"",IF(N(GanttCalc!AH14)-N(GanttCalc!AG14)=1,"R"&amp;GanttCalc!AH14,"R"&amp;(GanttCalc!AG14+1)&amp;"-"&amp;GanttCalc!AH14)))</f>
        <v/>
      </c>
      <c r="AK52" s="60" t="str">
        <f aca="false">IF($B$50="","",IF(N(GanttCalc!AI14)-N(GanttCalc!AH14)&lt;=0,"",IF(N(GanttCalc!AI14)-N(GanttCalc!AH14)=1,"R"&amp;GanttCalc!AI14,"R"&amp;(GanttCalc!AH14+1)&amp;"-"&amp;GanttCalc!AI14)))</f>
        <v/>
      </c>
      <c r="AL52" s="60" t="str">
        <f aca="false">IF($B$50="","",IF(N(GanttCalc!AJ14)-N(GanttCalc!AI14)&lt;=0,"",IF(N(GanttCalc!AJ14)-N(GanttCalc!AI14)=1,"R"&amp;GanttCalc!AJ14,"R"&amp;(GanttCalc!AI14+1)&amp;"-"&amp;GanttCalc!AJ14)))</f>
        <v/>
      </c>
      <c r="AM52" s="60" t="str">
        <f aca="false">IF($B$50="","",IF(N(GanttCalc!AK14)-N(GanttCalc!AJ14)&lt;=0,"",IF(N(GanttCalc!AK14)-N(GanttCalc!AJ14)=1,"R"&amp;GanttCalc!AK14,"R"&amp;(GanttCalc!AJ14+1)&amp;"-"&amp;GanttCalc!AK14)))</f>
        <v/>
      </c>
      <c r="AN52" s="60" t="str">
        <f aca="false">IF($B$50="","",IF(N(GanttCalc!AL14)-N(GanttCalc!AK14)&lt;=0,"",IF(N(GanttCalc!AL14)-N(GanttCalc!AK14)=1,"R"&amp;GanttCalc!AL14,"R"&amp;(GanttCalc!AK14+1)&amp;"-"&amp;GanttCalc!AL14)))</f>
        <v/>
      </c>
      <c r="AO52" s="60" t="str">
        <f aca="false">IF($B$50="","",IF(N(GanttCalc!AM14)-N(GanttCalc!AL14)&lt;=0,"",IF(N(GanttCalc!AM14)-N(GanttCalc!AL14)=1,"R"&amp;GanttCalc!AM14,"R"&amp;(GanttCalc!AL14+1)&amp;"-"&amp;GanttCalc!AM14)))</f>
        <v/>
      </c>
      <c r="AP52" s="60" t="str">
        <f aca="false">IF($B$50="","",IF(N(GanttCalc!AN14)-N(GanttCalc!AM14)&lt;=0,"",IF(N(GanttCalc!AN14)-N(GanttCalc!AM14)=1,"R"&amp;GanttCalc!AN14,"R"&amp;(GanttCalc!AM14+1)&amp;"-"&amp;GanttCalc!AN14)))</f>
        <v/>
      </c>
      <c r="AQ52" s="60" t="str">
        <f aca="false">IF($B$50="","",IF(N(GanttCalc!AO14)-N(GanttCalc!AN14)&lt;=0,"",IF(N(GanttCalc!AO14)-N(GanttCalc!AN14)=1,"R"&amp;GanttCalc!AO14,"R"&amp;(GanttCalc!AN14+1)&amp;"-"&amp;GanttCalc!AO14)))</f>
        <v/>
      </c>
      <c r="AR52" s="60" t="str">
        <f aca="false">IF($B$50="","",IF(N(GanttCalc!AP14)-N(GanttCalc!AO14)&lt;=0,"",IF(N(GanttCalc!AP14)-N(GanttCalc!AO14)=1,"R"&amp;GanttCalc!AP14,"R"&amp;(GanttCalc!AO14+1)&amp;"-"&amp;GanttCalc!AP14)))</f>
        <v/>
      </c>
      <c r="AS52" s="60" t="str">
        <f aca="false">IF($B$50="","",IF(N(GanttCalc!AQ14)-N(GanttCalc!AP14)&lt;=0,"",IF(N(GanttCalc!AQ14)-N(GanttCalc!AP14)=1,"R"&amp;GanttCalc!AQ14,"R"&amp;(GanttCalc!AP14+1)&amp;"-"&amp;GanttCalc!AQ14)))</f>
        <v/>
      </c>
      <c r="AT52" s="60" t="str">
        <f aca="false">IF($B$50="","",IF(N(GanttCalc!AR14)-N(GanttCalc!AQ14)&lt;=0,"",IF(N(GanttCalc!AR14)-N(GanttCalc!AQ14)=1,"R"&amp;GanttCalc!AR14,"R"&amp;(GanttCalc!AQ14+1)&amp;"-"&amp;GanttCalc!AR14)))</f>
        <v/>
      </c>
      <c r="AU52" s="60" t="str">
        <f aca="false">IF($B$50="","",IF(N(GanttCalc!AS14)-N(GanttCalc!AR14)&lt;=0,"",IF(N(GanttCalc!AS14)-N(GanttCalc!AR14)=1,"R"&amp;GanttCalc!AS14,"R"&amp;(GanttCalc!AR14+1)&amp;"-"&amp;GanttCalc!AS14)))</f>
        <v/>
      </c>
      <c r="AV52" s="60" t="str">
        <f aca="false">IF($B$50="","",IF(N(GanttCalc!AT14)-N(GanttCalc!AS14)&lt;=0,"",IF(N(GanttCalc!AT14)-N(GanttCalc!AS14)=1,"R"&amp;GanttCalc!AT14,"R"&amp;(GanttCalc!AS14+1)&amp;"-"&amp;GanttCalc!AT14)))</f>
        <v/>
      </c>
      <c r="AW52" s="60" t="str">
        <f aca="false">IF($B$50="","",IF(N(GanttCalc!AU14)-N(GanttCalc!AT14)&lt;=0,"",IF(N(GanttCalc!AU14)-N(GanttCalc!AT14)=1,"R"&amp;GanttCalc!AU14,"R"&amp;(GanttCalc!AT14+1)&amp;"-"&amp;GanttCalc!AU14)))</f>
        <v/>
      </c>
      <c r="AX52" s="60" t="str">
        <f aca="false">IF($B$50="","",IF(N(GanttCalc!AV14)-N(GanttCalc!AU14)&lt;=0,"",IF(N(GanttCalc!AV14)-N(GanttCalc!AU14)=1,"R"&amp;GanttCalc!AV14,"R"&amp;(GanttCalc!AU14+1)&amp;"-"&amp;GanttCalc!AV14)))</f>
        <v/>
      </c>
      <c r="AY52" s="60" t="str">
        <f aca="false">IF($B$50="","",IF(N(GanttCalc!AW14)-N(GanttCalc!AV14)&lt;=0,"",IF(N(GanttCalc!AW14)-N(GanttCalc!AV14)=1,"R"&amp;GanttCalc!AW14,"R"&amp;(GanttCalc!AV14+1)&amp;"-"&amp;GanttCalc!AW14)))</f>
        <v/>
      </c>
      <c r="AZ52" s="60" t="str">
        <f aca="false">IF($B$50="","",IF(N(GanttCalc!AX14)-N(GanttCalc!AW14)&lt;=0,"",IF(N(GanttCalc!AX14)-N(GanttCalc!AW14)=1,"R"&amp;GanttCalc!AX14,"R"&amp;(GanttCalc!AW14+1)&amp;"-"&amp;GanttCalc!AX14)))</f>
        <v/>
      </c>
      <c r="BA52" s="60" t="str">
        <f aca="false">IF($B$50="","",IF(N(GanttCalc!AY14)-N(GanttCalc!AX14)&lt;=0,"",IF(N(GanttCalc!AY14)-N(GanttCalc!AX14)=1,"R"&amp;GanttCalc!AY14,"R"&amp;(GanttCalc!AX14+1)&amp;"-"&amp;GanttCalc!AY14)))</f>
        <v/>
      </c>
      <c r="BB52" s="60" t="str">
        <f aca="false">IF($B$50="","",IF(N(GanttCalc!AZ14)-N(GanttCalc!AY14)&lt;=0,"",IF(N(GanttCalc!AZ14)-N(GanttCalc!AY14)=1,"R"&amp;GanttCalc!AZ14,"R"&amp;(GanttCalc!AY14+1)&amp;"-"&amp;GanttCalc!AZ14)))</f>
        <v/>
      </c>
      <c r="BC52" s="60" t="str">
        <f aca="false">IF($B$50="","",IF(N(GanttCalc!BA14)-N(GanttCalc!AZ14)&lt;=0,"",IF(N(GanttCalc!BA14)-N(GanttCalc!AZ14)=1,"R"&amp;GanttCalc!BA14,"R"&amp;(GanttCalc!AZ14+1)&amp;"-"&amp;GanttCalc!BA14)))</f>
        <v/>
      </c>
      <c r="BD52" s="60" t="str">
        <f aca="false">IF($B$50="","",IF(N(GanttCalc!BB14)-N(GanttCalc!BA14)&lt;=0,"",IF(N(GanttCalc!BB14)-N(GanttCalc!BA14)=1,"R"&amp;GanttCalc!BB14,"R"&amp;(GanttCalc!BA14+1)&amp;"-"&amp;GanttCalc!BB14)))</f>
        <v/>
      </c>
    </row>
    <row r="53" customFormat="false" ht="6" hidden="false" customHeight="true" outlineLevel="0" collapsed="false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customFormat="false" ht="16.5" hidden="false" customHeight="true" outlineLevel="0" collapsed="false">
      <c r="B54" s="32" t="str">
        <f aca="false">IF(Contracts!$A$17="","",Contracts!$A$17)</f>
        <v>REUNION-SOUTH-R16P (TBC)</v>
      </c>
      <c r="C54" s="58" t="str">
        <f aca="false">IF(Contracts!$A$17="","","Kit release")</f>
        <v>Kit release</v>
      </c>
      <c r="D54" s="59" t="str">
        <f aca="false">IF($B$54="","",SUMPRODUCT(--(E54:BD54&lt;&gt;""))&amp;" wks")</f>
        <v>0 wks</v>
      </c>
      <c r="E54" s="60" t="str">
        <f aca="true">IF($B$54="","",IF(N(OFFSET(GanttCalc!$B$15,0,1+N(Contracts!$Q$17)))-N(OFFSET(GanttCalc!$B$15,0,0+N(Contracts!$Q$17)))&lt;=0,"",IF(N(OFFSET(GanttCalc!$B$15,0,1+N(Contracts!$Q$17)))-N(OFFSET(GanttCalc!$B$15,0,0+N(Contracts!$Q$17)))=1,"R"&amp;OFFSET(GanttCalc!$B$15,0,1+N(Contracts!$Q$17)),"R"&amp;(OFFSET(GanttCalc!$B$15,0,0+N(Contracts!$Q$17))+1)&amp;"-"&amp;OFFSET(GanttCalc!$B$15,0,1+N(Contracts!$Q$17)))))</f>
        <v/>
      </c>
      <c r="F54" s="60" t="str">
        <f aca="true">IF($B$54="","",IF(N(OFFSET(GanttCalc!$B$15,0,2+N(Contracts!$Q$17)))-N(OFFSET(GanttCalc!$B$15,0,1+N(Contracts!$Q$17)))&lt;=0,"",IF(N(OFFSET(GanttCalc!$B$15,0,2+N(Contracts!$Q$17)))-N(OFFSET(GanttCalc!$B$15,0,1+N(Contracts!$Q$17)))=1,"R"&amp;OFFSET(GanttCalc!$B$15,0,2+N(Contracts!$Q$17)),"R"&amp;(OFFSET(GanttCalc!$B$15,0,1+N(Contracts!$Q$17))+1)&amp;"-"&amp;OFFSET(GanttCalc!$B$15,0,2+N(Contracts!$Q$17)))))</f>
        <v/>
      </c>
      <c r="G54" s="60" t="str">
        <f aca="true">IF($B$54="","",IF(N(OFFSET(GanttCalc!$B$15,0,3+N(Contracts!$Q$17)))-N(OFFSET(GanttCalc!$B$15,0,2+N(Contracts!$Q$17)))&lt;=0,"",IF(N(OFFSET(GanttCalc!$B$15,0,3+N(Contracts!$Q$17)))-N(OFFSET(GanttCalc!$B$15,0,2+N(Contracts!$Q$17)))=1,"R"&amp;OFFSET(GanttCalc!$B$15,0,3+N(Contracts!$Q$17)),"R"&amp;(OFFSET(GanttCalc!$B$15,0,2+N(Contracts!$Q$17))+1)&amp;"-"&amp;OFFSET(GanttCalc!$B$15,0,3+N(Contracts!$Q$17)))))</f>
        <v/>
      </c>
      <c r="H54" s="60" t="str">
        <f aca="true">IF($B$54="","",IF(N(OFFSET(GanttCalc!$B$15,0,4+N(Contracts!$Q$17)))-N(OFFSET(GanttCalc!$B$15,0,3+N(Contracts!$Q$17)))&lt;=0,"",IF(N(OFFSET(GanttCalc!$B$15,0,4+N(Contracts!$Q$17)))-N(OFFSET(GanttCalc!$B$15,0,3+N(Contracts!$Q$17)))=1,"R"&amp;OFFSET(GanttCalc!$B$15,0,4+N(Contracts!$Q$17)),"R"&amp;(OFFSET(GanttCalc!$B$15,0,3+N(Contracts!$Q$17))+1)&amp;"-"&amp;OFFSET(GanttCalc!$B$15,0,4+N(Contracts!$Q$17)))))</f>
        <v/>
      </c>
      <c r="I54" s="60" t="str">
        <f aca="true">IF($B$54="","",IF(N(OFFSET(GanttCalc!$B$15,0,5+N(Contracts!$Q$17)))-N(OFFSET(GanttCalc!$B$15,0,4+N(Contracts!$Q$17)))&lt;=0,"",IF(N(OFFSET(GanttCalc!$B$15,0,5+N(Contracts!$Q$17)))-N(OFFSET(GanttCalc!$B$15,0,4+N(Contracts!$Q$17)))=1,"R"&amp;OFFSET(GanttCalc!$B$15,0,5+N(Contracts!$Q$17)),"R"&amp;(OFFSET(GanttCalc!$B$15,0,4+N(Contracts!$Q$17))+1)&amp;"-"&amp;OFFSET(GanttCalc!$B$15,0,5+N(Contracts!$Q$17)))))</f>
        <v/>
      </c>
      <c r="J54" s="60" t="str">
        <f aca="true">IF($B$54="","",IF(N(OFFSET(GanttCalc!$B$15,0,6+N(Contracts!$Q$17)))-N(OFFSET(GanttCalc!$B$15,0,5+N(Contracts!$Q$17)))&lt;=0,"",IF(N(OFFSET(GanttCalc!$B$15,0,6+N(Contracts!$Q$17)))-N(OFFSET(GanttCalc!$B$15,0,5+N(Contracts!$Q$17)))=1,"R"&amp;OFFSET(GanttCalc!$B$15,0,6+N(Contracts!$Q$17)),"R"&amp;(OFFSET(GanttCalc!$B$15,0,5+N(Contracts!$Q$17))+1)&amp;"-"&amp;OFFSET(GanttCalc!$B$15,0,6+N(Contracts!$Q$17)))))</f>
        <v/>
      </c>
      <c r="K54" s="60" t="str">
        <f aca="true">IF($B$54="","",IF(N(OFFSET(GanttCalc!$B$15,0,7+N(Contracts!$Q$17)))-N(OFFSET(GanttCalc!$B$15,0,6+N(Contracts!$Q$17)))&lt;=0,"",IF(N(OFFSET(GanttCalc!$B$15,0,7+N(Contracts!$Q$17)))-N(OFFSET(GanttCalc!$B$15,0,6+N(Contracts!$Q$17)))=1,"R"&amp;OFFSET(GanttCalc!$B$15,0,7+N(Contracts!$Q$17)),"R"&amp;(OFFSET(GanttCalc!$B$15,0,6+N(Contracts!$Q$17))+1)&amp;"-"&amp;OFFSET(GanttCalc!$B$15,0,7+N(Contracts!$Q$17)))))</f>
        <v/>
      </c>
      <c r="L54" s="60" t="str">
        <f aca="true">IF($B$54="","",IF(N(OFFSET(GanttCalc!$B$15,0,8+N(Contracts!$Q$17)))-N(OFFSET(GanttCalc!$B$15,0,7+N(Contracts!$Q$17)))&lt;=0,"",IF(N(OFFSET(GanttCalc!$B$15,0,8+N(Contracts!$Q$17)))-N(OFFSET(GanttCalc!$B$15,0,7+N(Contracts!$Q$17)))=1,"R"&amp;OFFSET(GanttCalc!$B$15,0,8+N(Contracts!$Q$17)),"R"&amp;(OFFSET(GanttCalc!$B$15,0,7+N(Contracts!$Q$17))+1)&amp;"-"&amp;OFFSET(GanttCalc!$B$15,0,8+N(Contracts!$Q$17)))))</f>
        <v/>
      </c>
      <c r="M54" s="60" t="str">
        <f aca="true">IF($B$54="","",IF(N(OFFSET(GanttCalc!$B$15,0,9+N(Contracts!$Q$17)))-N(OFFSET(GanttCalc!$B$15,0,8+N(Contracts!$Q$17)))&lt;=0,"",IF(N(OFFSET(GanttCalc!$B$15,0,9+N(Contracts!$Q$17)))-N(OFFSET(GanttCalc!$B$15,0,8+N(Contracts!$Q$17)))=1,"R"&amp;OFFSET(GanttCalc!$B$15,0,9+N(Contracts!$Q$17)),"R"&amp;(OFFSET(GanttCalc!$B$15,0,8+N(Contracts!$Q$17))+1)&amp;"-"&amp;OFFSET(GanttCalc!$B$15,0,9+N(Contracts!$Q$17)))))</f>
        <v/>
      </c>
      <c r="N54" s="60" t="str">
        <f aca="true">IF($B$54="","",IF(N(OFFSET(GanttCalc!$B$15,0,10+N(Contracts!$Q$17)))-N(OFFSET(GanttCalc!$B$15,0,9+N(Contracts!$Q$17)))&lt;=0,"",IF(N(OFFSET(GanttCalc!$B$15,0,10+N(Contracts!$Q$17)))-N(OFFSET(GanttCalc!$B$15,0,9+N(Contracts!$Q$17)))=1,"R"&amp;OFFSET(GanttCalc!$B$15,0,10+N(Contracts!$Q$17)),"R"&amp;(OFFSET(GanttCalc!$B$15,0,9+N(Contracts!$Q$17))+1)&amp;"-"&amp;OFFSET(GanttCalc!$B$15,0,10+N(Contracts!$Q$17)))))</f>
        <v/>
      </c>
      <c r="O54" s="60" t="str">
        <f aca="true">IF($B$54="","",IF(N(OFFSET(GanttCalc!$B$15,0,11+N(Contracts!$Q$17)))-N(OFFSET(GanttCalc!$B$15,0,10+N(Contracts!$Q$17)))&lt;=0,"",IF(N(OFFSET(GanttCalc!$B$15,0,11+N(Contracts!$Q$17)))-N(OFFSET(GanttCalc!$B$15,0,10+N(Contracts!$Q$17)))=1,"R"&amp;OFFSET(GanttCalc!$B$15,0,11+N(Contracts!$Q$17)),"R"&amp;(OFFSET(GanttCalc!$B$15,0,10+N(Contracts!$Q$17))+1)&amp;"-"&amp;OFFSET(GanttCalc!$B$15,0,11+N(Contracts!$Q$17)))))</f>
        <v/>
      </c>
      <c r="P54" s="60" t="str">
        <f aca="true">IF($B$54="","",IF(N(OFFSET(GanttCalc!$B$15,0,12+N(Contracts!$Q$17)))-N(OFFSET(GanttCalc!$B$15,0,11+N(Contracts!$Q$17)))&lt;=0,"",IF(N(OFFSET(GanttCalc!$B$15,0,12+N(Contracts!$Q$17)))-N(OFFSET(GanttCalc!$B$15,0,11+N(Contracts!$Q$17)))=1,"R"&amp;OFFSET(GanttCalc!$B$15,0,12+N(Contracts!$Q$17)),"R"&amp;(OFFSET(GanttCalc!$B$15,0,11+N(Contracts!$Q$17))+1)&amp;"-"&amp;OFFSET(GanttCalc!$B$15,0,12+N(Contracts!$Q$17)))))</f>
        <v/>
      </c>
      <c r="Q54" s="60" t="str">
        <f aca="true">IF($B$54="","",IF(N(OFFSET(GanttCalc!$B$15,0,13+N(Contracts!$Q$17)))-N(OFFSET(GanttCalc!$B$15,0,12+N(Contracts!$Q$17)))&lt;=0,"",IF(N(OFFSET(GanttCalc!$B$15,0,13+N(Contracts!$Q$17)))-N(OFFSET(GanttCalc!$B$15,0,12+N(Contracts!$Q$17)))=1,"R"&amp;OFFSET(GanttCalc!$B$15,0,13+N(Contracts!$Q$17)),"R"&amp;(OFFSET(GanttCalc!$B$15,0,12+N(Contracts!$Q$17))+1)&amp;"-"&amp;OFFSET(GanttCalc!$B$15,0,13+N(Contracts!$Q$17)))))</f>
        <v/>
      </c>
      <c r="R54" s="60" t="str">
        <f aca="true">IF($B$54="","",IF(N(OFFSET(GanttCalc!$B$15,0,14+N(Contracts!$Q$17)))-N(OFFSET(GanttCalc!$B$15,0,13+N(Contracts!$Q$17)))&lt;=0,"",IF(N(OFFSET(GanttCalc!$B$15,0,14+N(Contracts!$Q$17)))-N(OFFSET(GanttCalc!$B$15,0,13+N(Contracts!$Q$17)))=1,"R"&amp;OFFSET(GanttCalc!$B$15,0,14+N(Contracts!$Q$17)),"R"&amp;(OFFSET(GanttCalc!$B$15,0,13+N(Contracts!$Q$17))+1)&amp;"-"&amp;OFFSET(GanttCalc!$B$15,0,14+N(Contracts!$Q$17)))))</f>
        <v/>
      </c>
      <c r="S54" s="60" t="str">
        <f aca="true">IF($B$54="","",IF(N(OFFSET(GanttCalc!$B$15,0,15+N(Contracts!$Q$17)))-N(OFFSET(GanttCalc!$B$15,0,14+N(Contracts!$Q$17)))&lt;=0,"",IF(N(OFFSET(GanttCalc!$B$15,0,15+N(Contracts!$Q$17)))-N(OFFSET(GanttCalc!$B$15,0,14+N(Contracts!$Q$17)))=1,"R"&amp;OFFSET(GanttCalc!$B$15,0,15+N(Contracts!$Q$17)),"R"&amp;(OFFSET(GanttCalc!$B$15,0,14+N(Contracts!$Q$17))+1)&amp;"-"&amp;OFFSET(GanttCalc!$B$15,0,15+N(Contracts!$Q$17)))))</f>
        <v/>
      </c>
      <c r="T54" s="60" t="str">
        <f aca="true">IF($B$54="","",IF(N(OFFSET(GanttCalc!$B$15,0,16+N(Contracts!$Q$17)))-N(OFFSET(GanttCalc!$B$15,0,15+N(Contracts!$Q$17)))&lt;=0,"",IF(N(OFFSET(GanttCalc!$B$15,0,16+N(Contracts!$Q$17)))-N(OFFSET(GanttCalc!$B$15,0,15+N(Contracts!$Q$17)))=1,"R"&amp;OFFSET(GanttCalc!$B$15,0,16+N(Contracts!$Q$17)),"R"&amp;(OFFSET(GanttCalc!$B$15,0,15+N(Contracts!$Q$17))+1)&amp;"-"&amp;OFFSET(GanttCalc!$B$15,0,16+N(Contracts!$Q$17)))))</f>
        <v/>
      </c>
      <c r="U54" s="60" t="str">
        <f aca="true">IF($B$54="","",IF(N(OFFSET(GanttCalc!$B$15,0,17+N(Contracts!$Q$17)))-N(OFFSET(GanttCalc!$B$15,0,16+N(Contracts!$Q$17)))&lt;=0,"",IF(N(OFFSET(GanttCalc!$B$15,0,17+N(Contracts!$Q$17)))-N(OFFSET(GanttCalc!$B$15,0,16+N(Contracts!$Q$17)))=1,"R"&amp;OFFSET(GanttCalc!$B$15,0,17+N(Contracts!$Q$17)),"R"&amp;(OFFSET(GanttCalc!$B$15,0,16+N(Contracts!$Q$17))+1)&amp;"-"&amp;OFFSET(GanttCalc!$B$15,0,17+N(Contracts!$Q$17)))))</f>
        <v/>
      </c>
      <c r="V54" s="60" t="str">
        <f aca="true">IF($B$54="","",IF(N(OFFSET(GanttCalc!$B$15,0,18+N(Contracts!$Q$17)))-N(OFFSET(GanttCalc!$B$15,0,17+N(Contracts!$Q$17)))&lt;=0,"",IF(N(OFFSET(GanttCalc!$B$15,0,18+N(Contracts!$Q$17)))-N(OFFSET(GanttCalc!$B$15,0,17+N(Contracts!$Q$17)))=1,"R"&amp;OFFSET(GanttCalc!$B$15,0,18+N(Contracts!$Q$17)),"R"&amp;(OFFSET(GanttCalc!$B$15,0,17+N(Contracts!$Q$17))+1)&amp;"-"&amp;OFFSET(GanttCalc!$B$15,0,18+N(Contracts!$Q$17)))))</f>
        <v/>
      </c>
      <c r="W54" s="60" t="str">
        <f aca="true">IF($B$54="","",IF(N(OFFSET(GanttCalc!$B$15,0,19+N(Contracts!$Q$17)))-N(OFFSET(GanttCalc!$B$15,0,18+N(Contracts!$Q$17)))&lt;=0,"",IF(N(OFFSET(GanttCalc!$B$15,0,19+N(Contracts!$Q$17)))-N(OFFSET(GanttCalc!$B$15,0,18+N(Contracts!$Q$17)))=1,"R"&amp;OFFSET(GanttCalc!$B$15,0,19+N(Contracts!$Q$17)),"R"&amp;(OFFSET(GanttCalc!$B$15,0,18+N(Contracts!$Q$17))+1)&amp;"-"&amp;OFFSET(GanttCalc!$B$15,0,19+N(Contracts!$Q$17)))))</f>
        <v/>
      </c>
      <c r="X54" s="60" t="str">
        <f aca="true">IF($B$54="","",IF(N(OFFSET(GanttCalc!$B$15,0,20+N(Contracts!$Q$17)))-N(OFFSET(GanttCalc!$B$15,0,19+N(Contracts!$Q$17)))&lt;=0,"",IF(N(OFFSET(GanttCalc!$B$15,0,20+N(Contracts!$Q$17)))-N(OFFSET(GanttCalc!$B$15,0,19+N(Contracts!$Q$17)))=1,"R"&amp;OFFSET(GanttCalc!$B$15,0,20+N(Contracts!$Q$17)),"R"&amp;(OFFSET(GanttCalc!$B$15,0,19+N(Contracts!$Q$17))+1)&amp;"-"&amp;OFFSET(GanttCalc!$B$15,0,20+N(Contracts!$Q$17)))))</f>
        <v/>
      </c>
      <c r="Y54" s="60" t="str">
        <f aca="true">IF($B$54="","",IF(N(OFFSET(GanttCalc!$B$15,0,21+N(Contracts!$Q$17)))-N(OFFSET(GanttCalc!$B$15,0,20+N(Contracts!$Q$17)))&lt;=0,"",IF(N(OFFSET(GanttCalc!$B$15,0,21+N(Contracts!$Q$17)))-N(OFFSET(GanttCalc!$B$15,0,20+N(Contracts!$Q$17)))=1,"R"&amp;OFFSET(GanttCalc!$B$15,0,21+N(Contracts!$Q$17)),"R"&amp;(OFFSET(GanttCalc!$B$15,0,20+N(Contracts!$Q$17))+1)&amp;"-"&amp;OFFSET(GanttCalc!$B$15,0,21+N(Contracts!$Q$17)))))</f>
        <v/>
      </c>
      <c r="Z54" s="60" t="str">
        <f aca="true">IF($B$54="","",IF(N(OFFSET(GanttCalc!$B$15,0,22+N(Contracts!$Q$17)))-N(OFFSET(GanttCalc!$B$15,0,21+N(Contracts!$Q$17)))&lt;=0,"",IF(N(OFFSET(GanttCalc!$B$15,0,22+N(Contracts!$Q$17)))-N(OFFSET(GanttCalc!$B$15,0,21+N(Contracts!$Q$17)))=1,"R"&amp;OFFSET(GanttCalc!$B$15,0,22+N(Contracts!$Q$17)),"R"&amp;(OFFSET(GanttCalc!$B$15,0,21+N(Contracts!$Q$17))+1)&amp;"-"&amp;OFFSET(GanttCalc!$B$15,0,22+N(Contracts!$Q$17)))))</f>
        <v/>
      </c>
      <c r="AA54" s="60" t="str">
        <f aca="true">IF($B$54="","",IF(N(OFFSET(GanttCalc!$B$15,0,23+N(Contracts!$Q$17)))-N(OFFSET(GanttCalc!$B$15,0,22+N(Contracts!$Q$17)))&lt;=0,"",IF(N(OFFSET(GanttCalc!$B$15,0,23+N(Contracts!$Q$17)))-N(OFFSET(GanttCalc!$B$15,0,22+N(Contracts!$Q$17)))=1,"R"&amp;OFFSET(GanttCalc!$B$15,0,23+N(Contracts!$Q$17)),"R"&amp;(OFFSET(GanttCalc!$B$15,0,22+N(Contracts!$Q$17))+1)&amp;"-"&amp;OFFSET(GanttCalc!$B$15,0,23+N(Contracts!$Q$17)))))</f>
        <v/>
      </c>
      <c r="AB54" s="60" t="str">
        <f aca="true">IF($B$54="","",IF(N(OFFSET(GanttCalc!$B$15,0,24+N(Contracts!$Q$17)))-N(OFFSET(GanttCalc!$B$15,0,23+N(Contracts!$Q$17)))&lt;=0,"",IF(N(OFFSET(GanttCalc!$B$15,0,24+N(Contracts!$Q$17)))-N(OFFSET(GanttCalc!$B$15,0,23+N(Contracts!$Q$17)))=1,"R"&amp;OFFSET(GanttCalc!$B$15,0,24+N(Contracts!$Q$17)),"R"&amp;(OFFSET(GanttCalc!$B$15,0,23+N(Contracts!$Q$17))+1)&amp;"-"&amp;OFFSET(GanttCalc!$B$15,0,24+N(Contracts!$Q$17)))))</f>
        <v/>
      </c>
      <c r="AC54" s="60" t="str">
        <f aca="true">IF($B$54="","",IF(N(OFFSET(GanttCalc!$B$15,0,25+N(Contracts!$Q$17)))-N(OFFSET(GanttCalc!$B$15,0,24+N(Contracts!$Q$17)))&lt;=0,"",IF(N(OFFSET(GanttCalc!$B$15,0,25+N(Contracts!$Q$17)))-N(OFFSET(GanttCalc!$B$15,0,24+N(Contracts!$Q$17)))=1,"R"&amp;OFFSET(GanttCalc!$B$15,0,25+N(Contracts!$Q$17)),"R"&amp;(OFFSET(GanttCalc!$B$15,0,24+N(Contracts!$Q$17))+1)&amp;"-"&amp;OFFSET(GanttCalc!$B$15,0,25+N(Contracts!$Q$17)))))</f>
        <v/>
      </c>
      <c r="AD54" s="60" t="str">
        <f aca="true">IF($B$54="","",IF(N(OFFSET(GanttCalc!$B$15,0,26+N(Contracts!$Q$17)))-N(OFFSET(GanttCalc!$B$15,0,25+N(Contracts!$Q$17)))&lt;=0,"",IF(N(OFFSET(GanttCalc!$B$15,0,26+N(Contracts!$Q$17)))-N(OFFSET(GanttCalc!$B$15,0,25+N(Contracts!$Q$17)))=1,"R"&amp;OFFSET(GanttCalc!$B$15,0,26+N(Contracts!$Q$17)),"R"&amp;(OFFSET(GanttCalc!$B$15,0,25+N(Contracts!$Q$17))+1)&amp;"-"&amp;OFFSET(GanttCalc!$B$15,0,26+N(Contracts!$Q$17)))))</f>
        <v/>
      </c>
      <c r="AE54" s="60" t="str">
        <f aca="true">IF($B$54="","",IF(N(OFFSET(GanttCalc!$B$15,0,27+N(Contracts!$Q$17)))-N(OFFSET(GanttCalc!$B$15,0,26+N(Contracts!$Q$17)))&lt;=0,"",IF(N(OFFSET(GanttCalc!$B$15,0,27+N(Contracts!$Q$17)))-N(OFFSET(GanttCalc!$B$15,0,26+N(Contracts!$Q$17)))=1,"R"&amp;OFFSET(GanttCalc!$B$15,0,27+N(Contracts!$Q$17)),"R"&amp;(OFFSET(GanttCalc!$B$15,0,26+N(Contracts!$Q$17))+1)&amp;"-"&amp;OFFSET(GanttCalc!$B$15,0,27+N(Contracts!$Q$17)))))</f>
        <v/>
      </c>
      <c r="AF54" s="60" t="str">
        <f aca="true">IF($B$54="","",IF(N(OFFSET(GanttCalc!$B$15,0,28+N(Contracts!$Q$17)))-N(OFFSET(GanttCalc!$B$15,0,27+N(Contracts!$Q$17)))&lt;=0,"",IF(N(OFFSET(GanttCalc!$B$15,0,28+N(Contracts!$Q$17)))-N(OFFSET(GanttCalc!$B$15,0,27+N(Contracts!$Q$17)))=1,"R"&amp;OFFSET(GanttCalc!$B$15,0,28+N(Contracts!$Q$17)),"R"&amp;(OFFSET(GanttCalc!$B$15,0,27+N(Contracts!$Q$17))+1)&amp;"-"&amp;OFFSET(GanttCalc!$B$15,0,28+N(Contracts!$Q$17)))))</f>
        <v/>
      </c>
      <c r="AG54" s="60" t="str">
        <f aca="true">IF($B$54="","",IF(N(OFFSET(GanttCalc!$B$15,0,29+N(Contracts!$Q$17)))-N(OFFSET(GanttCalc!$B$15,0,28+N(Contracts!$Q$17)))&lt;=0,"",IF(N(OFFSET(GanttCalc!$B$15,0,29+N(Contracts!$Q$17)))-N(OFFSET(GanttCalc!$B$15,0,28+N(Contracts!$Q$17)))=1,"R"&amp;OFFSET(GanttCalc!$B$15,0,29+N(Contracts!$Q$17)),"R"&amp;(OFFSET(GanttCalc!$B$15,0,28+N(Contracts!$Q$17))+1)&amp;"-"&amp;OFFSET(GanttCalc!$B$15,0,29+N(Contracts!$Q$17)))))</f>
        <v/>
      </c>
      <c r="AH54" s="60" t="str">
        <f aca="true">IF($B$54="","",IF(N(OFFSET(GanttCalc!$B$15,0,30+N(Contracts!$Q$17)))-N(OFFSET(GanttCalc!$B$15,0,29+N(Contracts!$Q$17)))&lt;=0,"",IF(N(OFFSET(GanttCalc!$B$15,0,30+N(Contracts!$Q$17)))-N(OFFSET(GanttCalc!$B$15,0,29+N(Contracts!$Q$17)))=1,"R"&amp;OFFSET(GanttCalc!$B$15,0,30+N(Contracts!$Q$17)),"R"&amp;(OFFSET(GanttCalc!$B$15,0,29+N(Contracts!$Q$17))+1)&amp;"-"&amp;OFFSET(GanttCalc!$B$15,0,30+N(Contracts!$Q$17)))))</f>
        <v/>
      </c>
      <c r="AI54" s="60" t="str">
        <f aca="true">IF($B$54="","",IF(N(OFFSET(GanttCalc!$B$15,0,31+N(Contracts!$Q$17)))-N(OFFSET(GanttCalc!$B$15,0,30+N(Contracts!$Q$17)))&lt;=0,"",IF(N(OFFSET(GanttCalc!$B$15,0,31+N(Contracts!$Q$17)))-N(OFFSET(GanttCalc!$B$15,0,30+N(Contracts!$Q$17)))=1,"R"&amp;OFFSET(GanttCalc!$B$15,0,31+N(Contracts!$Q$17)),"R"&amp;(OFFSET(GanttCalc!$B$15,0,30+N(Contracts!$Q$17))+1)&amp;"-"&amp;OFFSET(GanttCalc!$B$15,0,31+N(Contracts!$Q$17)))))</f>
        <v/>
      </c>
      <c r="AJ54" s="60" t="str">
        <f aca="true">IF($B$54="","",IF(N(OFFSET(GanttCalc!$B$15,0,32+N(Contracts!$Q$17)))-N(OFFSET(GanttCalc!$B$15,0,31+N(Contracts!$Q$17)))&lt;=0,"",IF(N(OFFSET(GanttCalc!$B$15,0,32+N(Contracts!$Q$17)))-N(OFFSET(GanttCalc!$B$15,0,31+N(Contracts!$Q$17)))=1,"R"&amp;OFFSET(GanttCalc!$B$15,0,32+N(Contracts!$Q$17)),"R"&amp;(OFFSET(GanttCalc!$B$15,0,31+N(Contracts!$Q$17))+1)&amp;"-"&amp;OFFSET(GanttCalc!$B$15,0,32+N(Contracts!$Q$17)))))</f>
        <v/>
      </c>
      <c r="AK54" s="60" t="str">
        <f aca="true">IF($B$54="","",IF(N(OFFSET(GanttCalc!$B$15,0,33+N(Contracts!$Q$17)))-N(OFFSET(GanttCalc!$B$15,0,32+N(Contracts!$Q$17)))&lt;=0,"",IF(N(OFFSET(GanttCalc!$B$15,0,33+N(Contracts!$Q$17)))-N(OFFSET(GanttCalc!$B$15,0,32+N(Contracts!$Q$17)))=1,"R"&amp;OFFSET(GanttCalc!$B$15,0,33+N(Contracts!$Q$17)),"R"&amp;(OFFSET(GanttCalc!$B$15,0,32+N(Contracts!$Q$17))+1)&amp;"-"&amp;OFFSET(GanttCalc!$B$15,0,33+N(Contracts!$Q$17)))))</f>
        <v/>
      </c>
      <c r="AL54" s="60" t="str">
        <f aca="true">IF($B$54="","",IF(N(OFFSET(GanttCalc!$B$15,0,34+N(Contracts!$Q$17)))-N(OFFSET(GanttCalc!$B$15,0,33+N(Contracts!$Q$17)))&lt;=0,"",IF(N(OFFSET(GanttCalc!$B$15,0,34+N(Contracts!$Q$17)))-N(OFFSET(GanttCalc!$B$15,0,33+N(Contracts!$Q$17)))=1,"R"&amp;OFFSET(GanttCalc!$B$15,0,34+N(Contracts!$Q$17)),"R"&amp;(OFFSET(GanttCalc!$B$15,0,33+N(Contracts!$Q$17))+1)&amp;"-"&amp;OFFSET(GanttCalc!$B$15,0,34+N(Contracts!$Q$17)))))</f>
        <v/>
      </c>
      <c r="AM54" s="60" t="str">
        <f aca="true">IF($B$54="","",IF(N(OFFSET(GanttCalc!$B$15,0,35+N(Contracts!$Q$17)))-N(OFFSET(GanttCalc!$B$15,0,34+N(Contracts!$Q$17)))&lt;=0,"",IF(N(OFFSET(GanttCalc!$B$15,0,35+N(Contracts!$Q$17)))-N(OFFSET(GanttCalc!$B$15,0,34+N(Contracts!$Q$17)))=1,"R"&amp;OFFSET(GanttCalc!$B$15,0,35+N(Contracts!$Q$17)),"R"&amp;(OFFSET(GanttCalc!$B$15,0,34+N(Contracts!$Q$17))+1)&amp;"-"&amp;OFFSET(GanttCalc!$B$15,0,35+N(Contracts!$Q$17)))))</f>
        <v/>
      </c>
      <c r="AN54" s="60" t="str">
        <f aca="true">IF($B$54="","",IF(N(OFFSET(GanttCalc!$B$15,0,36+N(Contracts!$Q$17)))-N(OFFSET(GanttCalc!$B$15,0,35+N(Contracts!$Q$17)))&lt;=0,"",IF(N(OFFSET(GanttCalc!$B$15,0,36+N(Contracts!$Q$17)))-N(OFFSET(GanttCalc!$B$15,0,35+N(Contracts!$Q$17)))=1,"R"&amp;OFFSET(GanttCalc!$B$15,0,36+N(Contracts!$Q$17)),"R"&amp;(OFFSET(GanttCalc!$B$15,0,35+N(Contracts!$Q$17))+1)&amp;"-"&amp;OFFSET(GanttCalc!$B$15,0,36+N(Contracts!$Q$17)))))</f>
        <v/>
      </c>
      <c r="AO54" s="60" t="str">
        <f aca="true">IF($B$54="","",IF(N(OFFSET(GanttCalc!$B$15,0,37+N(Contracts!$Q$17)))-N(OFFSET(GanttCalc!$B$15,0,36+N(Contracts!$Q$17)))&lt;=0,"",IF(N(OFFSET(GanttCalc!$B$15,0,37+N(Contracts!$Q$17)))-N(OFFSET(GanttCalc!$B$15,0,36+N(Contracts!$Q$17)))=1,"R"&amp;OFFSET(GanttCalc!$B$15,0,37+N(Contracts!$Q$17)),"R"&amp;(OFFSET(GanttCalc!$B$15,0,36+N(Contracts!$Q$17))+1)&amp;"-"&amp;OFFSET(GanttCalc!$B$15,0,37+N(Contracts!$Q$17)))))</f>
        <v/>
      </c>
      <c r="AP54" s="60" t="str">
        <f aca="true">IF($B$54="","",IF(N(OFFSET(GanttCalc!$B$15,0,38+N(Contracts!$Q$17)))-N(OFFSET(GanttCalc!$B$15,0,37+N(Contracts!$Q$17)))&lt;=0,"",IF(N(OFFSET(GanttCalc!$B$15,0,38+N(Contracts!$Q$17)))-N(OFFSET(GanttCalc!$B$15,0,37+N(Contracts!$Q$17)))=1,"R"&amp;OFFSET(GanttCalc!$B$15,0,38+N(Contracts!$Q$17)),"R"&amp;(OFFSET(GanttCalc!$B$15,0,37+N(Contracts!$Q$17))+1)&amp;"-"&amp;OFFSET(GanttCalc!$B$15,0,38+N(Contracts!$Q$17)))))</f>
        <v/>
      </c>
      <c r="AQ54" s="60" t="str">
        <f aca="true">IF($B$54="","",IF(N(OFFSET(GanttCalc!$B$15,0,39+N(Contracts!$Q$17)))-N(OFFSET(GanttCalc!$B$15,0,38+N(Contracts!$Q$17)))&lt;=0,"",IF(N(OFFSET(GanttCalc!$B$15,0,39+N(Contracts!$Q$17)))-N(OFFSET(GanttCalc!$B$15,0,38+N(Contracts!$Q$17)))=1,"R"&amp;OFFSET(GanttCalc!$B$15,0,39+N(Contracts!$Q$17)),"R"&amp;(OFFSET(GanttCalc!$B$15,0,38+N(Contracts!$Q$17))+1)&amp;"-"&amp;OFFSET(GanttCalc!$B$15,0,39+N(Contracts!$Q$17)))))</f>
        <v/>
      </c>
      <c r="AR54" s="60" t="str">
        <f aca="true">IF($B$54="","",IF(N(OFFSET(GanttCalc!$B$15,0,40+N(Contracts!$Q$17)))-N(OFFSET(GanttCalc!$B$15,0,39+N(Contracts!$Q$17)))&lt;=0,"",IF(N(OFFSET(GanttCalc!$B$15,0,40+N(Contracts!$Q$17)))-N(OFFSET(GanttCalc!$B$15,0,39+N(Contracts!$Q$17)))=1,"R"&amp;OFFSET(GanttCalc!$B$15,0,40+N(Contracts!$Q$17)),"R"&amp;(OFFSET(GanttCalc!$B$15,0,39+N(Contracts!$Q$17))+1)&amp;"-"&amp;OFFSET(GanttCalc!$B$15,0,40+N(Contracts!$Q$17)))))</f>
        <v/>
      </c>
      <c r="AS54" s="60" t="str">
        <f aca="true">IF($B$54="","",IF(N(OFFSET(GanttCalc!$B$15,0,41+N(Contracts!$Q$17)))-N(OFFSET(GanttCalc!$B$15,0,40+N(Contracts!$Q$17)))&lt;=0,"",IF(N(OFFSET(GanttCalc!$B$15,0,41+N(Contracts!$Q$17)))-N(OFFSET(GanttCalc!$B$15,0,40+N(Contracts!$Q$17)))=1,"R"&amp;OFFSET(GanttCalc!$B$15,0,41+N(Contracts!$Q$17)),"R"&amp;(OFFSET(GanttCalc!$B$15,0,40+N(Contracts!$Q$17))+1)&amp;"-"&amp;OFFSET(GanttCalc!$B$15,0,41+N(Contracts!$Q$17)))))</f>
        <v/>
      </c>
      <c r="AT54" s="60" t="str">
        <f aca="true">IF($B$54="","",IF(N(OFFSET(GanttCalc!$B$15,0,42+N(Contracts!$Q$17)))-N(OFFSET(GanttCalc!$B$15,0,41+N(Contracts!$Q$17)))&lt;=0,"",IF(N(OFFSET(GanttCalc!$B$15,0,42+N(Contracts!$Q$17)))-N(OFFSET(GanttCalc!$B$15,0,41+N(Contracts!$Q$17)))=1,"R"&amp;OFFSET(GanttCalc!$B$15,0,42+N(Contracts!$Q$17)),"R"&amp;(OFFSET(GanttCalc!$B$15,0,41+N(Contracts!$Q$17))+1)&amp;"-"&amp;OFFSET(GanttCalc!$B$15,0,42+N(Contracts!$Q$17)))))</f>
        <v/>
      </c>
      <c r="AU54" s="60" t="str">
        <f aca="true">IF($B$54="","",IF(N(OFFSET(GanttCalc!$B$15,0,43+N(Contracts!$Q$17)))-N(OFFSET(GanttCalc!$B$15,0,42+N(Contracts!$Q$17)))&lt;=0,"",IF(N(OFFSET(GanttCalc!$B$15,0,43+N(Contracts!$Q$17)))-N(OFFSET(GanttCalc!$B$15,0,42+N(Contracts!$Q$17)))=1,"R"&amp;OFFSET(GanttCalc!$B$15,0,43+N(Contracts!$Q$17)),"R"&amp;(OFFSET(GanttCalc!$B$15,0,42+N(Contracts!$Q$17))+1)&amp;"-"&amp;OFFSET(GanttCalc!$B$15,0,43+N(Contracts!$Q$17)))))</f>
        <v/>
      </c>
      <c r="AV54" s="60" t="str">
        <f aca="true">IF($B$54="","",IF(N(OFFSET(GanttCalc!$B$15,0,44+N(Contracts!$Q$17)))-N(OFFSET(GanttCalc!$B$15,0,43+N(Contracts!$Q$17)))&lt;=0,"",IF(N(OFFSET(GanttCalc!$B$15,0,44+N(Contracts!$Q$17)))-N(OFFSET(GanttCalc!$B$15,0,43+N(Contracts!$Q$17)))=1,"R"&amp;OFFSET(GanttCalc!$B$15,0,44+N(Contracts!$Q$17)),"R"&amp;(OFFSET(GanttCalc!$B$15,0,43+N(Contracts!$Q$17))+1)&amp;"-"&amp;OFFSET(GanttCalc!$B$15,0,44+N(Contracts!$Q$17)))))</f>
        <v/>
      </c>
      <c r="AW54" s="60" t="str">
        <f aca="true">IF($B$54="","",IF(N(OFFSET(GanttCalc!$B$15,0,45+N(Contracts!$Q$17)))-N(OFFSET(GanttCalc!$B$15,0,44+N(Contracts!$Q$17)))&lt;=0,"",IF(N(OFFSET(GanttCalc!$B$15,0,45+N(Contracts!$Q$17)))-N(OFFSET(GanttCalc!$B$15,0,44+N(Contracts!$Q$17)))=1,"R"&amp;OFFSET(GanttCalc!$B$15,0,45+N(Contracts!$Q$17)),"R"&amp;(OFFSET(GanttCalc!$B$15,0,44+N(Contracts!$Q$17))+1)&amp;"-"&amp;OFFSET(GanttCalc!$B$15,0,45+N(Contracts!$Q$17)))))</f>
        <v/>
      </c>
      <c r="AX54" s="60" t="str">
        <f aca="true">IF($B$54="","",IF(N(OFFSET(GanttCalc!$B$15,0,46+N(Contracts!$Q$17)))-N(OFFSET(GanttCalc!$B$15,0,45+N(Contracts!$Q$17)))&lt;=0,"",IF(N(OFFSET(GanttCalc!$B$15,0,46+N(Contracts!$Q$17)))-N(OFFSET(GanttCalc!$B$15,0,45+N(Contracts!$Q$17)))=1,"R"&amp;OFFSET(GanttCalc!$B$15,0,46+N(Contracts!$Q$17)),"R"&amp;(OFFSET(GanttCalc!$B$15,0,45+N(Contracts!$Q$17))+1)&amp;"-"&amp;OFFSET(GanttCalc!$B$15,0,46+N(Contracts!$Q$17)))))</f>
        <v/>
      </c>
      <c r="AY54" s="60" t="str">
        <f aca="true">IF($B$54="","",IF(N(OFFSET(GanttCalc!$B$15,0,47+N(Contracts!$Q$17)))-N(OFFSET(GanttCalc!$B$15,0,46+N(Contracts!$Q$17)))&lt;=0,"",IF(N(OFFSET(GanttCalc!$B$15,0,47+N(Contracts!$Q$17)))-N(OFFSET(GanttCalc!$B$15,0,46+N(Contracts!$Q$17)))=1,"R"&amp;OFFSET(GanttCalc!$B$15,0,47+N(Contracts!$Q$17)),"R"&amp;(OFFSET(GanttCalc!$B$15,0,46+N(Contracts!$Q$17))+1)&amp;"-"&amp;OFFSET(GanttCalc!$B$15,0,47+N(Contracts!$Q$17)))))</f>
        <v/>
      </c>
      <c r="AZ54" s="60" t="str">
        <f aca="true">IF($B$54="","",IF(N(OFFSET(GanttCalc!$B$15,0,48+N(Contracts!$Q$17)))-N(OFFSET(GanttCalc!$B$15,0,47+N(Contracts!$Q$17)))&lt;=0,"",IF(N(OFFSET(GanttCalc!$B$15,0,48+N(Contracts!$Q$17)))-N(OFFSET(GanttCalc!$B$15,0,47+N(Contracts!$Q$17)))=1,"R"&amp;OFFSET(GanttCalc!$B$15,0,48+N(Contracts!$Q$17)),"R"&amp;(OFFSET(GanttCalc!$B$15,0,47+N(Contracts!$Q$17))+1)&amp;"-"&amp;OFFSET(GanttCalc!$B$15,0,48+N(Contracts!$Q$17)))))</f>
        <v/>
      </c>
      <c r="BA54" s="60" t="str">
        <f aca="true">IF($B$54="","",IF(N(OFFSET(GanttCalc!$B$15,0,49+N(Contracts!$Q$17)))-N(OFFSET(GanttCalc!$B$15,0,48+N(Contracts!$Q$17)))&lt;=0,"",IF(N(OFFSET(GanttCalc!$B$15,0,49+N(Contracts!$Q$17)))-N(OFFSET(GanttCalc!$B$15,0,48+N(Contracts!$Q$17)))=1,"R"&amp;OFFSET(GanttCalc!$B$15,0,49+N(Contracts!$Q$17)),"R"&amp;(OFFSET(GanttCalc!$B$15,0,48+N(Contracts!$Q$17))+1)&amp;"-"&amp;OFFSET(GanttCalc!$B$15,0,49+N(Contracts!$Q$17)))))</f>
        <v/>
      </c>
      <c r="BB54" s="60" t="str">
        <f aca="true">IF($B$54="","",IF(N(OFFSET(GanttCalc!$B$15,0,50+N(Contracts!$Q$17)))-N(OFFSET(GanttCalc!$B$15,0,49+N(Contracts!$Q$17)))&lt;=0,"",IF(N(OFFSET(GanttCalc!$B$15,0,50+N(Contracts!$Q$17)))-N(OFFSET(GanttCalc!$B$15,0,49+N(Contracts!$Q$17)))=1,"R"&amp;OFFSET(GanttCalc!$B$15,0,50+N(Contracts!$Q$17)),"R"&amp;(OFFSET(GanttCalc!$B$15,0,49+N(Contracts!$Q$17))+1)&amp;"-"&amp;OFFSET(GanttCalc!$B$15,0,50+N(Contracts!$Q$17)))))</f>
        <v/>
      </c>
      <c r="BC54" s="60" t="str">
        <f aca="true">IF($B$54="","",IF(N(OFFSET(GanttCalc!$B$15,0,51+N(Contracts!$Q$17)))-N(OFFSET(GanttCalc!$B$15,0,50+N(Contracts!$Q$17)))&lt;=0,"",IF(N(OFFSET(GanttCalc!$B$15,0,51+N(Contracts!$Q$17)))-N(OFFSET(GanttCalc!$B$15,0,50+N(Contracts!$Q$17)))=1,"R"&amp;OFFSET(GanttCalc!$B$15,0,51+N(Contracts!$Q$17)),"R"&amp;(OFFSET(GanttCalc!$B$15,0,50+N(Contracts!$Q$17))+1)&amp;"-"&amp;OFFSET(GanttCalc!$B$15,0,51+N(Contracts!$Q$17)))))</f>
        <v/>
      </c>
      <c r="BD54" s="60" t="str">
        <f aca="true">IF($B$54="","",IF(N(OFFSET(GanttCalc!$B$15,0,52+N(Contracts!$Q$17)))-N(OFFSET(GanttCalc!$B$15,0,51+N(Contracts!$Q$17)))&lt;=0,"",IF(N(OFFSET(GanttCalc!$B$15,0,52+N(Contracts!$Q$17)))-N(OFFSET(GanttCalc!$B$15,0,51+N(Contracts!$Q$17)))=1,"R"&amp;OFFSET(GanttCalc!$B$15,0,52+N(Contracts!$Q$17)),"R"&amp;(OFFSET(GanttCalc!$B$15,0,51+N(Contracts!$Q$17))+1)&amp;"-"&amp;OFFSET(GanttCalc!$B$15,0,52+N(Contracts!$Q$17)))))</f>
        <v/>
      </c>
    </row>
    <row r="55" customFormat="false" ht="16.5" hidden="false" customHeight="true" outlineLevel="0" collapsed="false">
      <c r="B55" s="61" t="str">
        <f aca="false">IF(Contracts!$A$17="","",Contracts!$C$17)</f>
        <v>Not yet released</v>
      </c>
      <c r="C55" s="62" t="str">
        <f aca="false">IF(Contracts!$A$17="","","AMPS build")</f>
        <v>AMPS build</v>
      </c>
      <c r="D55" s="59" t="str">
        <f aca="false">IF($B$54="","",SUMPRODUCT(--(E55:BD55&lt;&gt;""))&amp;" wks")</f>
        <v>0 wks</v>
      </c>
      <c r="E55" s="60" t="str">
        <f aca="false">IF($B$54="","",IF(N(GanttCalc!D15)-N(GanttCalc!C15)&lt;=0,"",IF(N(GanttCalc!D15)-N(GanttCalc!C15)=1,"R"&amp;GanttCalc!D15,"R"&amp;(GanttCalc!C15+1)&amp;"-"&amp;GanttCalc!D15)))</f>
        <v/>
      </c>
      <c r="F55" s="60" t="str">
        <f aca="false">IF($B$54="","",IF(N(GanttCalc!E15)-N(GanttCalc!D15)&lt;=0,"",IF(N(GanttCalc!E15)-N(GanttCalc!D15)=1,"R"&amp;GanttCalc!E15,"R"&amp;(GanttCalc!D15+1)&amp;"-"&amp;GanttCalc!E15)))</f>
        <v/>
      </c>
      <c r="G55" s="60" t="str">
        <f aca="false">IF($B$54="","",IF(N(GanttCalc!F15)-N(GanttCalc!E15)&lt;=0,"",IF(N(GanttCalc!F15)-N(GanttCalc!E15)=1,"R"&amp;GanttCalc!F15,"R"&amp;(GanttCalc!E15+1)&amp;"-"&amp;GanttCalc!F15)))</f>
        <v/>
      </c>
      <c r="H55" s="60" t="str">
        <f aca="false">IF($B$54="","",IF(N(GanttCalc!G15)-N(GanttCalc!F15)&lt;=0,"",IF(N(GanttCalc!G15)-N(GanttCalc!F15)=1,"R"&amp;GanttCalc!G15,"R"&amp;(GanttCalc!F15+1)&amp;"-"&amp;GanttCalc!G15)))</f>
        <v/>
      </c>
      <c r="I55" s="60" t="str">
        <f aca="false">IF($B$54="","",IF(N(GanttCalc!H15)-N(GanttCalc!G15)&lt;=0,"",IF(N(GanttCalc!H15)-N(GanttCalc!G15)=1,"R"&amp;GanttCalc!H15,"R"&amp;(GanttCalc!G15+1)&amp;"-"&amp;GanttCalc!H15)))</f>
        <v/>
      </c>
      <c r="J55" s="60" t="str">
        <f aca="false">IF($B$54="","",IF(N(GanttCalc!I15)-N(GanttCalc!H15)&lt;=0,"",IF(N(GanttCalc!I15)-N(GanttCalc!H15)=1,"R"&amp;GanttCalc!I15,"R"&amp;(GanttCalc!H15+1)&amp;"-"&amp;GanttCalc!I15)))</f>
        <v/>
      </c>
      <c r="K55" s="60" t="str">
        <f aca="false">IF($B$54="","",IF(N(GanttCalc!J15)-N(GanttCalc!I15)&lt;=0,"",IF(N(GanttCalc!J15)-N(GanttCalc!I15)=1,"R"&amp;GanttCalc!J15,"R"&amp;(GanttCalc!I15+1)&amp;"-"&amp;GanttCalc!J15)))</f>
        <v/>
      </c>
      <c r="L55" s="60" t="str">
        <f aca="false">IF($B$54="","",IF(N(GanttCalc!K15)-N(GanttCalc!J15)&lt;=0,"",IF(N(GanttCalc!K15)-N(GanttCalc!J15)=1,"R"&amp;GanttCalc!K15,"R"&amp;(GanttCalc!J15+1)&amp;"-"&amp;GanttCalc!K15)))</f>
        <v/>
      </c>
      <c r="M55" s="60" t="str">
        <f aca="false">IF($B$54="","",IF(N(GanttCalc!L15)-N(GanttCalc!K15)&lt;=0,"",IF(N(GanttCalc!L15)-N(GanttCalc!K15)=1,"R"&amp;GanttCalc!L15,"R"&amp;(GanttCalc!K15+1)&amp;"-"&amp;GanttCalc!L15)))</f>
        <v/>
      </c>
      <c r="N55" s="60" t="str">
        <f aca="false">IF($B$54="","",IF(N(GanttCalc!M15)-N(GanttCalc!L15)&lt;=0,"",IF(N(GanttCalc!M15)-N(GanttCalc!L15)=1,"R"&amp;GanttCalc!M15,"R"&amp;(GanttCalc!L15+1)&amp;"-"&amp;GanttCalc!M15)))</f>
        <v/>
      </c>
      <c r="O55" s="60" t="str">
        <f aca="false">IF($B$54="","",IF(N(GanttCalc!N15)-N(GanttCalc!M15)&lt;=0,"",IF(N(GanttCalc!N15)-N(GanttCalc!M15)=1,"R"&amp;GanttCalc!N15,"R"&amp;(GanttCalc!M15+1)&amp;"-"&amp;GanttCalc!N15)))</f>
        <v/>
      </c>
      <c r="P55" s="60" t="str">
        <f aca="false">IF($B$54="","",IF(N(GanttCalc!O15)-N(GanttCalc!N15)&lt;=0,"",IF(N(GanttCalc!O15)-N(GanttCalc!N15)=1,"R"&amp;GanttCalc!O15,"R"&amp;(GanttCalc!N15+1)&amp;"-"&amp;GanttCalc!O15)))</f>
        <v/>
      </c>
      <c r="Q55" s="60" t="str">
        <f aca="false">IF($B$54="","",IF(N(GanttCalc!P15)-N(GanttCalc!O15)&lt;=0,"",IF(N(GanttCalc!P15)-N(GanttCalc!O15)=1,"R"&amp;GanttCalc!P15,"R"&amp;(GanttCalc!O15+1)&amp;"-"&amp;GanttCalc!P15)))</f>
        <v/>
      </c>
      <c r="R55" s="60" t="str">
        <f aca="false">IF($B$54="","",IF(N(GanttCalc!Q15)-N(GanttCalc!P15)&lt;=0,"",IF(N(GanttCalc!Q15)-N(GanttCalc!P15)=1,"R"&amp;GanttCalc!Q15,"R"&amp;(GanttCalc!P15+1)&amp;"-"&amp;GanttCalc!Q15)))</f>
        <v/>
      </c>
      <c r="S55" s="60" t="str">
        <f aca="false">IF($B$54="","",IF(N(GanttCalc!R15)-N(GanttCalc!Q15)&lt;=0,"",IF(N(GanttCalc!R15)-N(GanttCalc!Q15)=1,"R"&amp;GanttCalc!R15,"R"&amp;(GanttCalc!Q15+1)&amp;"-"&amp;GanttCalc!R15)))</f>
        <v/>
      </c>
      <c r="T55" s="60" t="str">
        <f aca="false">IF($B$54="","",IF(N(GanttCalc!S15)-N(GanttCalc!R15)&lt;=0,"",IF(N(GanttCalc!S15)-N(GanttCalc!R15)=1,"R"&amp;GanttCalc!S15,"R"&amp;(GanttCalc!R15+1)&amp;"-"&amp;GanttCalc!S15)))</f>
        <v/>
      </c>
      <c r="U55" s="60" t="str">
        <f aca="false">IF($B$54="","",IF(N(GanttCalc!T15)-N(GanttCalc!S15)&lt;=0,"",IF(N(GanttCalc!T15)-N(GanttCalc!S15)=1,"R"&amp;GanttCalc!T15,"R"&amp;(GanttCalc!S15+1)&amp;"-"&amp;GanttCalc!T15)))</f>
        <v/>
      </c>
      <c r="V55" s="60" t="str">
        <f aca="false">IF($B$54="","",IF(N(GanttCalc!U15)-N(GanttCalc!T15)&lt;=0,"",IF(N(GanttCalc!U15)-N(GanttCalc!T15)=1,"R"&amp;GanttCalc!U15,"R"&amp;(GanttCalc!T15+1)&amp;"-"&amp;GanttCalc!U15)))</f>
        <v/>
      </c>
      <c r="W55" s="60" t="str">
        <f aca="false">IF($B$54="","",IF(N(GanttCalc!V15)-N(GanttCalc!U15)&lt;=0,"",IF(N(GanttCalc!V15)-N(GanttCalc!U15)=1,"R"&amp;GanttCalc!V15,"R"&amp;(GanttCalc!U15+1)&amp;"-"&amp;GanttCalc!V15)))</f>
        <v/>
      </c>
      <c r="X55" s="60" t="str">
        <f aca="false">IF($B$54="","",IF(N(GanttCalc!W15)-N(GanttCalc!V15)&lt;=0,"",IF(N(GanttCalc!W15)-N(GanttCalc!V15)=1,"R"&amp;GanttCalc!W15,"R"&amp;(GanttCalc!V15+1)&amp;"-"&amp;GanttCalc!W15)))</f>
        <v/>
      </c>
      <c r="Y55" s="60" t="str">
        <f aca="false">IF($B$54="","",IF(N(GanttCalc!X15)-N(GanttCalc!W15)&lt;=0,"",IF(N(GanttCalc!X15)-N(GanttCalc!W15)=1,"R"&amp;GanttCalc!X15,"R"&amp;(GanttCalc!W15+1)&amp;"-"&amp;GanttCalc!X15)))</f>
        <v/>
      </c>
      <c r="Z55" s="60" t="str">
        <f aca="false">IF($B$54="","",IF(N(GanttCalc!Y15)-N(GanttCalc!X15)&lt;=0,"",IF(N(GanttCalc!Y15)-N(GanttCalc!X15)=1,"R"&amp;GanttCalc!Y15,"R"&amp;(GanttCalc!X15+1)&amp;"-"&amp;GanttCalc!Y15)))</f>
        <v/>
      </c>
      <c r="AA55" s="60" t="str">
        <f aca="false">IF($B$54="","",IF(N(GanttCalc!Z15)-N(GanttCalc!Y15)&lt;=0,"",IF(N(GanttCalc!Z15)-N(GanttCalc!Y15)=1,"R"&amp;GanttCalc!Z15,"R"&amp;(GanttCalc!Y15+1)&amp;"-"&amp;GanttCalc!Z15)))</f>
        <v/>
      </c>
      <c r="AB55" s="60" t="str">
        <f aca="false">IF($B$54="","",IF(N(GanttCalc!AA15)-N(GanttCalc!Z15)&lt;=0,"",IF(N(GanttCalc!AA15)-N(GanttCalc!Z15)=1,"R"&amp;GanttCalc!AA15,"R"&amp;(GanttCalc!Z15+1)&amp;"-"&amp;GanttCalc!AA15)))</f>
        <v/>
      </c>
      <c r="AC55" s="60" t="str">
        <f aca="false">IF($B$54="","",IF(N(GanttCalc!AB15)-N(GanttCalc!AA15)&lt;=0,"",IF(N(GanttCalc!AB15)-N(GanttCalc!AA15)=1,"R"&amp;GanttCalc!AB15,"R"&amp;(GanttCalc!AA15+1)&amp;"-"&amp;GanttCalc!AB15)))</f>
        <v/>
      </c>
      <c r="AD55" s="60" t="str">
        <f aca="false">IF($B$54="","",IF(N(GanttCalc!AC15)-N(GanttCalc!AB15)&lt;=0,"",IF(N(GanttCalc!AC15)-N(GanttCalc!AB15)=1,"R"&amp;GanttCalc!AC15,"R"&amp;(GanttCalc!AB15+1)&amp;"-"&amp;GanttCalc!AC15)))</f>
        <v/>
      </c>
      <c r="AE55" s="60" t="str">
        <f aca="false">IF($B$54="","",IF(N(GanttCalc!AD15)-N(GanttCalc!AC15)&lt;=0,"",IF(N(GanttCalc!AD15)-N(GanttCalc!AC15)=1,"R"&amp;GanttCalc!AD15,"R"&amp;(GanttCalc!AC15+1)&amp;"-"&amp;GanttCalc!AD15)))</f>
        <v/>
      </c>
      <c r="AF55" s="60" t="str">
        <f aca="false">IF($B$54="","",IF(N(GanttCalc!AE15)-N(GanttCalc!AD15)&lt;=0,"",IF(N(GanttCalc!AE15)-N(GanttCalc!AD15)=1,"R"&amp;GanttCalc!AE15,"R"&amp;(GanttCalc!AD15+1)&amp;"-"&amp;GanttCalc!AE15)))</f>
        <v/>
      </c>
      <c r="AG55" s="60" t="str">
        <f aca="false">IF($B$54="","",IF(N(GanttCalc!AF15)-N(GanttCalc!AE15)&lt;=0,"",IF(N(GanttCalc!AF15)-N(GanttCalc!AE15)=1,"R"&amp;GanttCalc!AF15,"R"&amp;(GanttCalc!AE15+1)&amp;"-"&amp;GanttCalc!AF15)))</f>
        <v/>
      </c>
      <c r="AH55" s="60" t="str">
        <f aca="false">IF($B$54="","",IF(N(GanttCalc!AG15)-N(GanttCalc!AF15)&lt;=0,"",IF(N(GanttCalc!AG15)-N(GanttCalc!AF15)=1,"R"&amp;GanttCalc!AG15,"R"&amp;(GanttCalc!AF15+1)&amp;"-"&amp;GanttCalc!AG15)))</f>
        <v/>
      </c>
      <c r="AI55" s="60" t="str">
        <f aca="false">IF($B$54="","",IF(N(GanttCalc!AH15)-N(GanttCalc!AG15)&lt;=0,"",IF(N(GanttCalc!AH15)-N(GanttCalc!AG15)=1,"R"&amp;GanttCalc!AH15,"R"&amp;(GanttCalc!AG15+1)&amp;"-"&amp;GanttCalc!AH15)))</f>
        <v/>
      </c>
      <c r="AJ55" s="60" t="str">
        <f aca="false">IF($B$54="","",IF(N(GanttCalc!AI15)-N(GanttCalc!AH15)&lt;=0,"",IF(N(GanttCalc!AI15)-N(GanttCalc!AH15)=1,"R"&amp;GanttCalc!AI15,"R"&amp;(GanttCalc!AH15+1)&amp;"-"&amp;GanttCalc!AI15)))</f>
        <v/>
      </c>
      <c r="AK55" s="60" t="str">
        <f aca="false">IF($B$54="","",IF(N(GanttCalc!AJ15)-N(GanttCalc!AI15)&lt;=0,"",IF(N(GanttCalc!AJ15)-N(GanttCalc!AI15)=1,"R"&amp;GanttCalc!AJ15,"R"&amp;(GanttCalc!AI15+1)&amp;"-"&amp;GanttCalc!AJ15)))</f>
        <v/>
      </c>
      <c r="AL55" s="60" t="str">
        <f aca="false">IF($B$54="","",IF(N(GanttCalc!AK15)-N(GanttCalc!AJ15)&lt;=0,"",IF(N(GanttCalc!AK15)-N(GanttCalc!AJ15)=1,"R"&amp;GanttCalc!AK15,"R"&amp;(GanttCalc!AJ15+1)&amp;"-"&amp;GanttCalc!AK15)))</f>
        <v/>
      </c>
      <c r="AM55" s="60" t="str">
        <f aca="false">IF($B$54="","",IF(N(GanttCalc!AL15)-N(GanttCalc!AK15)&lt;=0,"",IF(N(GanttCalc!AL15)-N(GanttCalc!AK15)=1,"R"&amp;GanttCalc!AL15,"R"&amp;(GanttCalc!AK15+1)&amp;"-"&amp;GanttCalc!AL15)))</f>
        <v/>
      </c>
      <c r="AN55" s="60" t="str">
        <f aca="false">IF($B$54="","",IF(N(GanttCalc!AM15)-N(GanttCalc!AL15)&lt;=0,"",IF(N(GanttCalc!AM15)-N(GanttCalc!AL15)=1,"R"&amp;GanttCalc!AM15,"R"&amp;(GanttCalc!AL15+1)&amp;"-"&amp;GanttCalc!AM15)))</f>
        <v/>
      </c>
      <c r="AO55" s="60" t="str">
        <f aca="false">IF($B$54="","",IF(N(GanttCalc!AN15)-N(GanttCalc!AM15)&lt;=0,"",IF(N(GanttCalc!AN15)-N(GanttCalc!AM15)=1,"R"&amp;GanttCalc!AN15,"R"&amp;(GanttCalc!AM15+1)&amp;"-"&amp;GanttCalc!AN15)))</f>
        <v/>
      </c>
      <c r="AP55" s="60" t="str">
        <f aca="false">IF($B$54="","",IF(N(GanttCalc!AO15)-N(GanttCalc!AN15)&lt;=0,"",IF(N(GanttCalc!AO15)-N(GanttCalc!AN15)=1,"R"&amp;GanttCalc!AO15,"R"&amp;(GanttCalc!AN15+1)&amp;"-"&amp;GanttCalc!AO15)))</f>
        <v/>
      </c>
      <c r="AQ55" s="60" t="str">
        <f aca="false">IF($B$54="","",IF(N(GanttCalc!AP15)-N(GanttCalc!AO15)&lt;=0,"",IF(N(GanttCalc!AP15)-N(GanttCalc!AO15)=1,"R"&amp;GanttCalc!AP15,"R"&amp;(GanttCalc!AO15+1)&amp;"-"&amp;GanttCalc!AP15)))</f>
        <v/>
      </c>
      <c r="AR55" s="60" t="str">
        <f aca="false">IF($B$54="","",IF(N(GanttCalc!AQ15)-N(GanttCalc!AP15)&lt;=0,"",IF(N(GanttCalc!AQ15)-N(GanttCalc!AP15)=1,"R"&amp;GanttCalc!AQ15,"R"&amp;(GanttCalc!AP15+1)&amp;"-"&amp;GanttCalc!AQ15)))</f>
        <v/>
      </c>
      <c r="AS55" s="60" t="str">
        <f aca="false">IF($B$54="","",IF(N(GanttCalc!AR15)-N(GanttCalc!AQ15)&lt;=0,"",IF(N(GanttCalc!AR15)-N(GanttCalc!AQ15)=1,"R"&amp;GanttCalc!AR15,"R"&amp;(GanttCalc!AQ15+1)&amp;"-"&amp;GanttCalc!AR15)))</f>
        <v/>
      </c>
      <c r="AT55" s="60" t="str">
        <f aca="false">IF($B$54="","",IF(N(GanttCalc!AS15)-N(GanttCalc!AR15)&lt;=0,"",IF(N(GanttCalc!AS15)-N(GanttCalc!AR15)=1,"R"&amp;GanttCalc!AS15,"R"&amp;(GanttCalc!AR15+1)&amp;"-"&amp;GanttCalc!AS15)))</f>
        <v/>
      </c>
      <c r="AU55" s="60" t="str">
        <f aca="false">IF($B$54="","",IF(N(GanttCalc!AT15)-N(GanttCalc!AS15)&lt;=0,"",IF(N(GanttCalc!AT15)-N(GanttCalc!AS15)=1,"R"&amp;GanttCalc!AT15,"R"&amp;(GanttCalc!AS15+1)&amp;"-"&amp;GanttCalc!AT15)))</f>
        <v/>
      </c>
      <c r="AV55" s="60" t="str">
        <f aca="false">IF($B$54="","",IF(N(GanttCalc!AU15)-N(GanttCalc!AT15)&lt;=0,"",IF(N(GanttCalc!AU15)-N(GanttCalc!AT15)=1,"R"&amp;GanttCalc!AU15,"R"&amp;(GanttCalc!AT15+1)&amp;"-"&amp;GanttCalc!AU15)))</f>
        <v/>
      </c>
      <c r="AW55" s="60" t="str">
        <f aca="false">IF($B$54="","",IF(N(GanttCalc!AV15)-N(GanttCalc!AU15)&lt;=0,"",IF(N(GanttCalc!AV15)-N(GanttCalc!AU15)=1,"R"&amp;GanttCalc!AV15,"R"&amp;(GanttCalc!AU15+1)&amp;"-"&amp;GanttCalc!AV15)))</f>
        <v/>
      </c>
      <c r="AX55" s="60" t="str">
        <f aca="false">IF($B$54="","",IF(N(GanttCalc!AW15)-N(GanttCalc!AV15)&lt;=0,"",IF(N(GanttCalc!AW15)-N(GanttCalc!AV15)=1,"R"&amp;GanttCalc!AW15,"R"&amp;(GanttCalc!AV15+1)&amp;"-"&amp;GanttCalc!AW15)))</f>
        <v/>
      </c>
      <c r="AY55" s="60" t="str">
        <f aca="false">IF($B$54="","",IF(N(GanttCalc!AX15)-N(GanttCalc!AW15)&lt;=0,"",IF(N(GanttCalc!AX15)-N(GanttCalc!AW15)=1,"R"&amp;GanttCalc!AX15,"R"&amp;(GanttCalc!AW15+1)&amp;"-"&amp;GanttCalc!AX15)))</f>
        <v/>
      </c>
      <c r="AZ55" s="60" t="str">
        <f aca="false">IF($B$54="","",IF(N(GanttCalc!AY15)-N(GanttCalc!AX15)&lt;=0,"",IF(N(GanttCalc!AY15)-N(GanttCalc!AX15)=1,"R"&amp;GanttCalc!AY15,"R"&amp;(GanttCalc!AX15+1)&amp;"-"&amp;GanttCalc!AY15)))</f>
        <v/>
      </c>
      <c r="BA55" s="60" t="str">
        <f aca="false">IF($B$54="","",IF(N(GanttCalc!AZ15)-N(GanttCalc!AY15)&lt;=0,"",IF(N(GanttCalc!AZ15)-N(GanttCalc!AY15)=1,"R"&amp;GanttCalc!AZ15,"R"&amp;(GanttCalc!AY15+1)&amp;"-"&amp;GanttCalc!AZ15)))</f>
        <v/>
      </c>
      <c r="BB55" s="60" t="str">
        <f aca="false">IF($B$54="","",IF(N(GanttCalc!BA15)-N(GanttCalc!AZ15)&lt;=0,"",IF(N(GanttCalc!BA15)-N(GanttCalc!AZ15)=1,"R"&amp;GanttCalc!BA15,"R"&amp;(GanttCalc!AZ15+1)&amp;"-"&amp;GanttCalc!BA15)))</f>
        <v/>
      </c>
      <c r="BC55" s="60" t="str">
        <f aca="false">IF($B$54="","",IF(N(GanttCalc!BB15)-N(GanttCalc!BA15)&lt;=0,"",IF(N(GanttCalc!BB15)-N(GanttCalc!BA15)=1,"R"&amp;GanttCalc!BB15,"R"&amp;(GanttCalc!BA15+1)&amp;"-"&amp;GanttCalc!BB15)))</f>
        <v/>
      </c>
      <c r="BD55" s="60" t="str">
        <f aca="false">IF($B$54="","",IF(N(GanttCalc!BC15)-N(GanttCalc!BB15)&lt;=0,"",IF(N(GanttCalc!BC15)-N(GanttCalc!BB15)=1,"R"&amp;GanttCalc!BC15,"R"&amp;(GanttCalc!BB15+1)&amp;"-"&amp;GanttCalc!BC15)))</f>
        <v/>
      </c>
    </row>
    <row r="56" customFormat="false" ht="16.5" hidden="false" customHeight="true" outlineLevel="0" collapsed="false">
      <c r="B56" s="63" t="str">
        <f aca="false">IF(Contracts!$A$17="","",IF(Contracts!$I$17="","no kit list","kitted: "&amp;Contracts!$I$17&amp;" / "&amp;Contracts!$F$17))</f>
        <v>no kit list</v>
      </c>
      <c r="C56" s="64" t="str">
        <f aca="false">IF(Contracts!$A$17="","","Final build")</f>
        <v>Final build</v>
      </c>
      <c r="D56" s="59" t="str">
        <f aca="false">IF($B$54="","",SUMPRODUCT(--(E56:BD56&lt;&gt;""))&amp;" wks")</f>
        <v>0 wks</v>
      </c>
      <c r="E56" s="60" t="str">
        <f aca="false">IF($B$54="","",IF(N(GanttCalc!C15)-N(GanttCalc!B15)&lt;=0,"",IF(N(GanttCalc!C15)-N(GanttCalc!B15)=1,"R"&amp;GanttCalc!C15,"R"&amp;(GanttCalc!B15+1)&amp;"-"&amp;GanttCalc!C15)))</f>
        <v/>
      </c>
      <c r="F56" s="60" t="str">
        <f aca="false">IF($B$54="","",IF(N(GanttCalc!D15)-N(GanttCalc!C15)&lt;=0,"",IF(N(GanttCalc!D15)-N(GanttCalc!C15)=1,"R"&amp;GanttCalc!D15,"R"&amp;(GanttCalc!C15+1)&amp;"-"&amp;GanttCalc!D15)))</f>
        <v/>
      </c>
      <c r="G56" s="60" t="str">
        <f aca="false">IF($B$54="","",IF(N(GanttCalc!E15)-N(GanttCalc!D15)&lt;=0,"",IF(N(GanttCalc!E15)-N(GanttCalc!D15)=1,"R"&amp;GanttCalc!E15,"R"&amp;(GanttCalc!D15+1)&amp;"-"&amp;GanttCalc!E15)))</f>
        <v/>
      </c>
      <c r="H56" s="60" t="str">
        <f aca="false">IF($B$54="","",IF(N(GanttCalc!F15)-N(GanttCalc!E15)&lt;=0,"",IF(N(GanttCalc!F15)-N(GanttCalc!E15)=1,"R"&amp;GanttCalc!F15,"R"&amp;(GanttCalc!E15+1)&amp;"-"&amp;GanttCalc!F15)))</f>
        <v/>
      </c>
      <c r="I56" s="60" t="str">
        <f aca="false">IF($B$54="","",IF(N(GanttCalc!G15)-N(GanttCalc!F15)&lt;=0,"",IF(N(GanttCalc!G15)-N(GanttCalc!F15)=1,"R"&amp;GanttCalc!G15,"R"&amp;(GanttCalc!F15+1)&amp;"-"&amp;GanttCalc!G15)))</f>
        <v/>
      </c>
      <c r="J56" s="60" t="str">
        <f aca="false">IF($B$54="","",IF(N(GanttCalc!H15)-N(GanttCalc!G15)&lt;=0,"",IF(N(GanttCalc!H15)-N(GanttCalc!G15)=1,"R"&amp;GanttCalc!H15,"R"&amp;(GanttCalc!G15+1)&amp;"-"&amp;GanttCalc!H15)))</f>
        <v/>
      </c>
      <c r="K56" s="60" t="str">
        <f aca="false">IF($B$54="","",IF(N(GanttCalc!I15)-N(GanttCalc!H15)&lt;=0,"",IF(N(GanttCalc!I15)-N(GanttCalc!H15)=1,"R"&amp;GanttCalc!I15,"R"&amp;(GanttCalc!H15+1)&amp;"-"&amp;GanttCalc!I15)))</f>
        <v/>
      </c>
      <c r="L56" s="60" t="str">
        <f aca="false">IF($B$54="","",IF(N(GanttCalc!J15)-N(GanttCalc!I15)&lt;=0,"",IF(N(GanttCalc!J15)-N(GanttCalc!I15)=1,"R"&amp;GanttCalc!J15,"R"&amp;(GanttCalc!I15+1)&amp;"-"&amp;GanttCalc!J15)))</f>
        <v/>
      </c>
      <c r="M56" s="60" t="str">
        <f aca="false">IF($B$54="","",IF(N(GanttCalc!K15)-N(GanttCalc!J15)&lt;=0,"",IF(N(GanttCalc!K15)-N(GanttCalc!J15)=1,"R"&amp;GanttCalc!K15,"R"&amp;(GanttCalc!J15+1)&amp;"-"&amp;GanttCalc!K15)))</f>
        <v/>
      </c>
      <c r="N56" s="60" t="str">
        <f aca="false">IF($B$54="","",IF(N(GanttCalc!L15)-N(GanttCalc!K15)&lt;=0,"",IF(N(GanttCalc!L15)-N(GanttCalc!K15)=1,"R"&amp;GanttCalc!L15,"R"&amp;(GanttCalc!K15+1)&amp;"-"&amp;GanttCalc!L15)))</f>
        <v/>
      </c>
      <c r="O56" s="60" t="str">
        <f aca="false">IF($B$54="","",IF(N(GanttCalc!M15)-N(GanttCalc!L15)&lt;=0,"",IF(N(GanttCalc!M15)-N(GanttCalc!L15)=1,"R"&amp;GanttCalc!M15,"R"&amp;(GanttCalc!L15+1)&amp;"-"&amp;GanttCalc!M15)))</f>
        <v/>
      </c>
      <c r="P56" s="60" t="str">
        <f aca="false">IF($B$54="","",IF(N(GanttCalc!N15)-N(GanttCalc!M15)&lt;=0,"",IF(N(GanttCalc!N15)-N(GanttCalc!M15)=1,"R"&amp;GanttCalc!N15,"R"&amp;(GanttCalc!M15+1)&amp;"-"&amp;GanttCalc!N15)))</f>
        <v/>
      </c>
      <c r="Q56" s="60" t="str">
        <f aca="false">IF($B$54="","",IF(N(GanttCalc!O15)-N(GanttCalc!N15)&lt;=0,"",IF(N(GanttCalc!O15)-N(GanttCalc!N15)=1,"R"&amp;GanttCalc!O15,"R"&amp;(GanttCalc!N15+1)&amp;"-"&amp;GanttCalc!O15)))</f>
        <v/>
      </c>
      <c r="R56" s="60" t="str">
        <f aca="false">IF($B$54="","",IF(N(GanttCalc!P15)-N(GanttCalc!O15)&lt;=0,"",IF(N(GanttCalc!P15)-N(GanttCalc!O15)=1,"R"&amp;GanttCalc!P15,"R"&amp;(GanttCalc!O15+1)&amp;"-"&amp;GanttCalc!P15)))</f>
        <v/>
      </c>
      <c r="S56" s="60" t="str">
        <f aca="false">IF($B$54="","",IF(N(GanttCalc!Q15)-N(GanttCalc!P15)&lt;=0,"",IF(N(GanttCalc!Q15)-N(GanttCalc!P15)=1,"R"&amp;GanttCalc!Q15,"R"&amp;(GanttCalc!P15+1)&amp;"-"&amp;GanttCalc!Q15)))</f>
        <v/>
      </c>
      <c r="T56" s="60" t="str">
        <f aca="false">IF($B$54="","",IF(N(GanttCalc!R15)-N(GanttCalc!Q15)&lt;=0,"",IF(N(GanttCalc!R15)-N(GanttCalc!Q15)=1,"R"&amp;GanttCalc!R15,"R"&amp;(GanttCalc!Q15+1)&amp;"-"&amp;GanttCalc!R15)))</f>
        <v/>
      </c>
      <c r="U56" s="60" t="str">
        <f aca="false">IF($B$54="","",IF(N(GanttCalc!S15)-N(GanttCalc!R15)&lt;=0,"",IF(N(GanttCalc!S15)-N(GanttCalc!R15)=1,"R"&amp;GanttCalc!S15,"R"&amp;(GanttCalc!R15+1)&amp;"-"&amp;GanttCalc!S15)))</f>
        <v/>
      </c>
      <c r="V56" s="60" t="str">
        <f aca="false">IF($B$54="","",IF(N(GanttCalc!T15)-N(GanttCalc!S15)&lt;=0,"",IF(N(GanttCalc!T15)-N(GanttCalc!S15)=1,"R"&amp;GanttCalc!T15,"R"&amp;(GanttCalc!S15+1)&amp;"-"&amp;GanttCalc!T15)))</f>
        <v/>
      </c>
      <c r="W56" s="60" t="str">
        <f aca="false">IF($B$54="","",IF(N(GanttCalc!U15)-N(GanttCalc!T15)&lt;=0,"",IF(N(GanttCalc!U15)-N(GanttCalc!T15)=1,"R"&amp;GanttCalc!U15,"R"&amp;(GanttCalc!T15+1)&amp;"-"&amp;GanttCalc!U15)))</f>
        <v/>
      </c>
      <c r="X56" s="60" t="str">
        <f aca="false">IF($B$54="","",IF(N(GanttCalc!V15)-N(GanttCalc!U15)&lt;=0,"",IF(N(GanttCalc!V15)-N(GanttCalc!U15)=1,"R"&amp;GanttCalc!V15,"R"&amp;(GanttCalc!U15+1)&amp;"-"&amp;GanttCalc!V15)))</f>
        <v/>
      </c>
      <c r="Y56" s="60" t="str">
        <f aca="false">IF($B$54="","",IF(N(GanttCalc!W15)-N(GanttCalc!V15)&lt;=0,"",IF(N(GanttCalc!W15)-N(GanttCalc!V15)=1,"R"&amp;GanttCalc!W15,"R"&amp;(GanttCalc!V15+1)&amp;"-"&amp;GanttCalc!W15)))</f>
        <v/>
      </c>
      <c r="Z56" s="60" t="str">
        <f aca="false">IF($B$54="","",IF(N(GanttCalc!X15)-N(GanttCalc!W15)&lt;=0,"",IF(N(GanttCalc!X15)-N(GanttCalc!W15)=1,"R"&amp;GanttCalc!X15,"R"&amp;(GanttCalc!W15+1)&amp;"-"&amp;GanttCalc!X15)))</f>
        <v/>
      </c>
      <c r="AA56" s="60" t="str">
        <f aca="false">IF($B$54="","",IF(N(GanttCalc!Y15)-N(GanttCalc!X15)&lt;=0,"",IF(N(GanttCalc!Y15)-N(GanttCalc!X15)=1,"R"&amp;GanttCalc!Y15,"R"&amp;(GanttCalc!X15+1)&amp;"-"&amp;GanttCalc!Y15)))</f>
        <v/>
      </c>
      <c r="AB56" s="60" t="str">
        <f aca="false">IF($B$54="","",IF(N(GanttCalc!Z15)-N(GanttCalc!Y15)&lt;=0,"",IF(N(GanttCalc!Z15)-N(GanttCalc!Y15)=1,"R"&amp;GanttCalc!Z15,"R"&amp;(GanttCalc!Y15+1)&amp;"-"&amp;GanttCalc!Z15)))</f>
        <v/>
      </c>
      <c r="AC56" s="60" t="str">
        <f aca="false">IF($B$54="","",IF(N(GanttCalc!AA15)-N(GanttCalc!Z15)&lt;=0,"",IF(N(GanttCalc!AA15)-N(GanttCalc!Z15)=1,"R"&amp;GanttCalc!AA15,"R"&amp;(GanttCalc!Z15+1)&amp;"-"&amp;GanttCalc!AA15)))</f>
        <v/>
      </c>
      <c r="AD56" s="60" t="str">
        <f aca="false">IF($B$54="","",IF(N(GanttCalc!AB15)-N(GanttCalc!AA15)&lt;=0,"",IF(N(GanttCalc!AB15)-N(GanttCalc!AA15)=1,"R"&amp;GanttCalc!AB15,"R"&amp;(GanttCalc!AA15+1)&amp;"-"&amp;GanttCalc!AB15)))</f>
        <v/>
      </c>
      <c r="AE56" s="60" t="str">
        <f aca="false">IF($B$54="","",IF(N(GanttCalc!AC15)-N(GanttCalc!AB15)&lt;=0,"",IF(N(GanttCalc!AC15)-N(GanttCalc!AB15)=1,"R"&amp;GanttCalc!AC15,"R"&amp;(GanttCalc!AB15+1)&amp;"-"&amp;GanttCalc!AC15)))</f>
        <v/>
      </c>
      <c r="AF56" s="60" t="str">
        <f aca="false">IF($B$54="","",IF(N(GanttCalc!AD15)-N(GanttCalc!AC15)&lt;=0,"",IF(N(GanttCalc!AD15)-N(GanttCalc!AC15)=1,"R"&amp;GanttCalc!AD15,"R"&amp;(GanttCalc!AC15+1)&amp;"-"&amp;GanttCalc!AD15)))</f>
        <v/>
      </c>
      <c r="AG56" s="60" t="str">
        <f aca="false">IF($B$54="","",IF(N(GanttCalc!AE15)-N(GanttCalc!AD15)&lt;=0,"",IF(N(GanttCalc!AE15)-N(GanttCalc!AD15)=1,"R"&amp;GanttCalc!AE15,"R"&amp;(GanttCalc!AD15+1)&amp;"-"&amp;GanttCalc!AE15)))</f>
        <v/>
      </c>
      <c r="AH56" s="60" t="str">
        <f aca="false">IF($B$54="","",IF(N(GanttCalc!AF15)-N(GanttCalc!AE15)&lt;=0,"",IF(N(GanttCalc!AF15)-N(GanttCalc!AE15)=1,"R"&amp;GanttCalc!AF15,"R"&amp;(GanttCalc!AE15+1)&amp;"-"&amp;GanttCalc!AF15)))</f>
        <v/>
      </c>
      <c r="AI56" s="60" t="str">
        <f aca="false">IF($B$54="","",IF(N(GanttCalc!AG15)-N(GanttCalc!AF15)&lt;=0,"",IF(N(GanttCalc!AG15)-N(GanttCalc!AF15)=1,"R"&amp;GanttCalc!AG15,"R"&amp;(GanttCalc!AF15+1)&amp;"-"&amp;GanttCalc!AG15)))</f>
        <v/>
      </c>
      <c r="AJ56" s="60" t="str">
        <f aca="false">IF($B$54="","",IF(N(GanttCalc!AH15)-N(GanttCalc!AG15)&lt;=0,"",IF(N(GanttCalc!AH15)-N(GanttCalc!AG15)=1,"R"&amp;GanttCalc!AH15,"R"&amp;(GanttCalc!AG15+1)&amp;"-"&amp;GanttCalc!AH15)))</f>
        <v/>
      </c>
      <c r="AK56" s="60" t="str">
        <f aca="false">IF($B$54="","",IF(N(GanttCalc!AI15)-N(GanttCalc!AH15)&lt;=0,"",IF(N(GanttCalc!AI15)-N(GanttCalc!AH15)=1,"R"&amp;GanttCalc!AI15,"R"&amp;(GanttCalc!AH15+1)&amp;"-"&amp;GanttCalc!AI15)))</f>
        <v/>
      </c>
      <c r="AL56" s="60" t="str">
        <f aca="false">IF($B$54="","",IF(N(GanttCalc!AJ15)-N(GanttCalc!AI15)&lt;=0,"",IF(N(GanttCalc!AJ15)-N(GanttCalc!AI15)=1,"R"&amp;GanttCalc!AJ15,"R"&amp;(GanttCalc!AI15+1)&amp;"-"&amp;GanttCalc!AJ15)))</f>
        <v/>
      </c>
      <c r="AM56" s="60" t="str">
        <f aca="false">IF($B$54="","",IF(N(GanttCalc!AK15)-N(GanttCalc!AJ15)&lt;=0,"",IF(N(GanttCalc!AK15)-N(GanttCalc!AJ15)=1,"R"&amp;GanttCalc!AK15,"R"&amp;(GanttCalc!AJ15+1)&amp;"-"&amp;GanttCalc!AK15)))</f>
        <v/>
      </c>
      <c r="AN56" s="60" t="str">
        <f aca="false">IF($B$54="","",IF(N(GanttCalc!AL15)-N(GanttCalc!AK15)&lt;=0,"",IF(N(GanttCalc!AL15)-N(GanttCalc!AK15)=1,"R"&amp;GanttCalc!AL15,"R"&amp;(GanttCalc!AK15+1)&amp;"-"&amp;GanttCalc!AL15)))</f>
        <v/>
      </c>
      <c r="AO56" s="60" t="str">
        <f aca="false">IF($B$54="","",IF(N(GanttCalc!AM15)-N(GanttCalc!AL15)&lt;=0,"",IF(N(GanttCalc!AM15)-N(GanttCalc!AL15)=1,"R"&amp;GanttCalc!AM15,"R"&amp;(GanttCalc!AL15+1)&amp;"-"&amp;GanttCalc!AM15)))</f>
        <v/>
      </c>
      <c r="AP56" s="60" t="str">
        <f aca="false">IF($B$54="","",IF(N(GanttCalc!AN15)-N(GanttCalc!AM15)&lt;=0,"",IF(N(GanttCalc!AN15)-N(GanttCalc!AM15)=1,"R"&amp;GanttCalc!AN15,"R"&amp;(GanttCalc!AM15+1)&amp;"-"&amp;GanttCalc!AN15)))</f>
        <v/>
      </c>
      <c r="AQ56" s="60" t="str">
        <f aca="false">IF($B$54="","",IF(N(GanttCalc!AO15)-N(GanttCalc!AN15)&lt;=0,"",IF(N(GanttCalc!AO15)-N(GanttCalc!AN15)=1,"R"&amp;GanttCalc!AO15,"R"&amp;(GanttCalc!AN15+1)&amp;"-"&amp;GanttCalc!AO15)))</f>
        <v/>
      </c>
      <c r="AR56" s="60" t="str">
        <f aca="false">IF($B$54="","",IF(N(GanttCalc!AP15)-N(GanttCalc!AO15)&lt;=0,"",IF(N(GanttCalc!AP15)-N(GanttCalc!AO15)=1,"R"&amp;GanttCalc!AP15,"R"&amp;(GanttCalc!AO15+1)&amp;"-"&amp;GanttCalc!AP15)))</f>
        <v/>
      </c>
      <c r="AS56" s="60" t="str">
        <f aca="false">IF($B$54="","",IF(N(GanttCalc!AQ15)-N(GanttCalc!AP15)&lt;=0,"",IF(N(GanttCalc!AQ15)-N(GanttCalc!AP15)=1,"R"&amp;GanttCalc!AQ15,"R"&amp;(GanttCalc!AP15+1)&amp;"-"&amp;GanttCalc!AQ15)))</f>
        <v/>
      </c>
      <c r="AT56" s="60" t="str">
        <f aca="false">IF($B$54="","",IF(N(GanttCalc!AR15)-N(GanttCalc!AQ15)&lt;=0,"",IF(N(GanttCalc!AR15)-N(GanttCalc!AQ15)=1,"R"&amp;GanttCalc!AR15,"R"&amp;(GanttCalc!AQ15+1)&amp;"-"&amp;GanttCalc!AR15)))</f>
        <v/>
      </c>
      <c r="AU56" s="60" t="str">
        <f aca="false">IF($B$54="","",IF(N(GanttCalc!AS15)-N(GanttCalc!AR15)&lt;=0,"",IF(N(GanttCalc!AS15)-N(GanttCalc!AR15)=1,"R"&amp;GanttCalc!AS15,"R"&amp;(GanttCalc!AR15+1)&amp;"-"&amp;GanttCalc!AS15)))</f>
        <v/>
      </c>
      <c r="AV56" s="60" t="str">
        <f aca="false">IF($B$54="","",IF(N(GanttCalc!AT15)-N(GanttCalc!AS15)&lt;=0,"",IF(N(GanttCalc!AT15)-N(GanttCalc!AS15)=1,"R"&amp;GanttCalc!AT15,"R"&amp;(GanttCalc!AS15+1)&amp;"-"&amp;GanttCalc!AT15)))</f>
        <v/>
      </c>
      <c r="AW56" s="60" t="str">
        <f aca="false">IF($B$54="","",IF(N(GanttCalc!AU15)-N(GanttCalc!AT15)&lt;=0,"",IF(N(GanttCalc!AU15)-N(GanttCalc!AT15)=1,"R"&amp;GanttCalc!AU15,"R"&amp;(GanttCalc!AT15+1)&amp;"-"&amp;GanttCalc!AU15)))</f>
        <v/>
      </c>
      <c r="AX56" s="60" t="str">
        <f aca="false">IF($B$54="","",IF(N(GanttCalc!AV15)-N(GanttCalc!AU15)&lt;=0,"",IF(N(GanttCalc!AV15)-N(GanttCalc!AU15)=1,"R"&amp;GanttCalc!AV15,"R"&amp;(GanttCalc!AU15+1)&amp;"-"&amp;GanttCalc!AV15)))</f>
        <v/>
      </c>
      <c r="AY56" s="60" t="str">
        <f aca="false">IF($B$54="","",IF(N(GanttCalc!AW15)-N(GanttCalc!AV15)&lt;=0,"",IF(N(GanttCalc!AW15)-N(GanttCalc!AV15)=1,"R"&amp;GanttCalc!AW15,"R"&amp;(GanttCalc!AV15+1)&amp;"-"&amp;GanttCalc!AW15)))</f>
        <v/>
      </c>
      <c r="AZ56" s="60" t="str">
        <f aca="false">IF($B$54="","",IF(N(GanttCalc!AX15)-N(GanttCalc!AW15)&lt;=0,"",IF(N(GanttCalc!AX15)-N(GanttCalc!AW15)=1,"R"&amp;GanttCalc!AX15,"R"&amp;(GanttCalc!AW15+1)&amp;"-"&amp;GanttCalc!AX15)))</f>
        <v/>
      </c>
      <c r="BA56" s="60" t="str">
        <f aca="false">IF($B$54="","",IF(N(GanttCalc!AY15)-N(GanttCalc!AX15)&lt;=0,"",IF(N(GanttCalc!AY15)-N(GanttCalc!AX15)=1,"R"&amp;GanttCalc!AY15,"R"&amp;(GanttCalc!AX15+1)&amp;"-"&amp;GanttCalc!AY15)))</f>
        <v/>
      </c>
      <c r="BB56" s="60" t="str">
        <f aca="false">IF($B$54="","",IF(N(GanttCalc!AZ15)-N(GanttCalc!AY15)&lt;=0,"",IF(N(GanttCalc!AZ15)-N(GanttCalc!AY15)=1,"R"&amp;GanttCalc!AZ15,"R"&amp;(GanttCalc!AY15+1)&amp;"-"&amp;GanttCalc!AZ15)))</f>
        <v/>
      </c>
      <c r="BC56" s="60" t="str">
        <f aca="false">IF($B$54="","",IF(N(GanttCalc!BA15)-N(GanttCalc!AZ15)&lt;=0,"",IF(N(GanttCalc!BA15)-N(GanttCalc!AZ15)=1,"R"&amp;GanttCalc!BA15,"R"&amp;(GanttCalc!AZ15+1)&amp;"-"&amp;GanttCalc!BA15)))</f>
        <v/>
      </c>
      <c r="BD56" s="60" t="str">
        <f aca="false">IF($B$54="","",IF(N(GanttCalc!BB15)-N(GanttCalc!BA15)&lt;=0,"",IF(N(GanttCalc!BB15)-N(GanttCalc!BA15)=1,"R"&amp;GanttCalc!BB15,"R"&amp;(GanttCalc!BA15+1)&amp;"-"&amp;GanttCalc!BB15)))</f>
        <v/>
      </c>
    </row>
    <row r="57" customFormat="false" ht="6" hidden="false" customHeight="true" outlineLevel="0" collapsed="false"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customFormat="false" ht="16.5" hidden="false" customHeight="true" outlineLevel="0" collapsed="false">
      <c r="B58" s="32" t="str">
        <f aca="false">IF(Contracts!$A$18="","",Contracts!$A$18)</f>
        <v/>
      </c>
      <c r="C58" s="58" t="str">
        <f aca="false">IF(Contracts!$A$18="","","Kit release")</f>
        <v/>
      </c>
      <c r="D58" s="59" t="str">
        <f aca="false">IF($B$58="","",SUMPRODUCT(--(E58:BD58&lt;&gt;""))&amp;" wks")</f>
        <v/>
      </c>
      <c r="E58" s="60" t="str">
        <f aca="true">IF($B$58="","",IF(N(OFFSET(GanttCalc!$B$16,0,1+N(Contracts!$Q$18)))-N(OFFSET(GanttCalc!$B$16,0,0+N(Contracts!$Q$18)))&lt;=0,"",IF(N(OFFSET(GanttCalc!$B$16,0,1+N(Contracts!$Q$18)))-N(OFFSET(GanttCalc!$B$16,0,0+N(Contracts!$Q$18)))=1,"R"&amp;OFFSET(GanttCalc!$B$16,0,1+N(Contracts!$Q$18)),"R"&amp;(OFFSET(GanttCalc!$B$16,0,0+N(Contracts!$Q$18))+1)&amp;"-"&amp;OFFSET(GanttCalc!$B$16,0,1+N(Contracts!$Q$18)))))</f>
        <v/>
      </c>
      <c r="F58" s="60" t="str">
        <f aca="true">IF($B$58="","",IF(N(OFFSET(GanttCalc!$B$16,0,2+N(Contracts!$Q$18)))-N(OFFSET(GanttCalc!$B$16,0,1+N(Contracts!$Q$18)))&lt;=0,"",IF(N(OFFSET(GanttCalc!$B$16,0,2+N(Contracts!$Q$18)))-N(OFFSET(GanttCalc!$B$16,0,1+N(Contracts!$Q$18)))=1,"R"&amp;OFFSET(GanttCalc!$B$16,0,2+N(Contracts!$Q$18)),"R"&amp;(OFFSET(GanttCalc!$B$16,0,1+N(Contracts!$Q$18))+1)&amp;"-"&amp;OFFSET(GanttCalc!$B$16,0,2+N(Contracts!$Q$18)))))</f>
        <v/>
      </c>
      <c r="G58" s="60" t="str">
        <f aca="true">IF($B$58="","",IF(N(OFFSET(GanttCalc!$B$16,0,3+N(Contracts!$Q$18)))-N(OFFSET(GanttCalc!$B$16,0,2+N(Contracts!$Q$18)))&lt;=0,"",IF(N(OFFSET(GanttCalc!$B$16,0,3+N(Contracts!$Q$18)))-N(OFFSET(GanttCalc!$B$16,0,2+N(Contracts!$Q$18)))=1,"R"&amp;OFFSET(GanttCalc!$B$16,0,3+N(Contracts!$Q$18)),"R"&amp;(OFFSET(GanttCalc!$B$16,0,2+N(Contracts!$Q$18))+1)&amp;"-"&amp;OFFSET(GanttCalc!$B$16,0,3+N(Contracts!$Q$18)))))</f>
        <v/>
      </c>
      <c r="H58" s="60" t="str">
        <f aca="true">IF($B$58="","",IF(N(OFFSET(GanttCalc!$B$16,0,4+N(Contracts!$Q$18)))-N(OFFSET(GanttCalc!$B$16,0,3+N(Contracts!$Q$18)))&lt;=0,"",IF(N(OFFSET(GanttCalc!$B$16,0,4+N(Contracts!$Q$18)))-N(OFFSET(GanttCalc!$B$16,0,3+N(Contracts!$Q$18)))=1,"R"&amp;OFFSET(GanttCalc!$B$16,0,4+N(Contracts!$Q$18)),"R"&amp;(OFFSET(GanttCalc!$B$16,0,3+N(Contracts!$Q$18))+1)&amp;"-"&amp;OFFSET(GanttCalc!$B$16,0,4+N(Contracts!$Q$18)))))</f>
        <v/>
      </c>
      <c r="I58" s="60" t="str">
        <f aca="true">IF($B$58="","",IF(N(OFFSET(GanttCalc!$B$16,0,5+N(Contracts!$Q$18)))-N(OFFSET(GanttCalc!$B$16,0,4+N(Contracts!$Q$18)))&lt;=0,"",IF(N(OFFSET(GanttCalc!$B$16,0,5+N(Contracts!$Q$18)))-N(OFFSET(GanttCalc!$B$16,0,4+N(Contracts!$Q$18)))=1,"R"&amp;OFFSET(GanttCalc!$B$16,0,5+N(Contracts!$Q$18)),"R"&amp;(OFFSET(GanttCalc!$B$16,0,4+N(Contracts!$Q$18))+1)&amp;"-"&amp;OFFSET(GanttCalc!$B$16,0,5+N(Contracts!$Q$18)))))</f>
        <v/>
      </c>
      <c r="J58" s="60" t="str">
        <f aca="true">IF($B$58="","",IF(N(OFFSET(GanttCalc!$B$16,0,6+N(Contracts!$Q$18)))-N(OFFSET(GanttCalc!$B$16,0,5+N(Contracts!$Q$18)))&lt;=0,"",IF(N(OFFSET(GanttCalc!$B$16,0,6+N(Contracts!$Q$18)))-N(OFFSET(GanttCalc!$B$16,0,5+N(Contracts!$Q$18)))=1,"R"&amp;OFFSET(GanttCalc!$B$16,0,6+N(Contracts!$Q$18)),"R"&amp;(OFFSET(GanttCalc!$B$16,0,5+N(Contracts!$Q$18))+1)&amp;"-"&amp;OFFSET(GanttCalc!$B$16,0,6+N(Contracts!$Q$18)))))</f>
        <v/>
      </c>
      <c r="K58" s="60" t="str">
        <f aca="true">IF($B$58="","",IF(N(OFFSET(GanttCalc!$B$16,0,7+N(Contracts!$Q$18)))-N(OFFSET(GanttCalc!$B$16,0,6+N(Contracts!$Q$18)))&lt;=0,"",IF(N(OFFSET(GanttCalc!$B$16,0,7+N(Contracts!$Q$18)))-N(OFFSET(GanttCalc!$B$16,0,6+N(Contracts!$Q$18)))=1,"R"&amp;OFFSET(GanttCalc!$B$16,0,7+N(Contracts!$Q$18)),"R"&amp;(OFFSET(GanttCalc!$B$16,0,6+N(Contracts!$Q$18))+1)&amp;"-"&amp;OFFSET(GanttCalc!$B$16,0,7+N(Contracts!$Q$18)))))</f>
        <v/>
      </c>
      <c r="L58" s="60" t="str">
        <f aca="true">IF($B$58="","",IF(N(OFFSET(GanttCalc!$B$16,0,8+N(Contracts!$Q$18)))-N(OFFSET(GanttCalc!$B$16,0,7+N(Contracts!$Q$18)))&lt;=0,"",IF(N(OFFSET(GanttCalc!$B$16,0,8+N(Contracts!$Q$18)))-N(OFFSET(GanttCalc!$B$16,0,7+N(Contracts!$Q$18)))=1,"R"&amp;OFFSET(GanttCalc!$B$16,0,8+N(Contracts!$Q$18)),"R"&amp;(OFFSET(GanttCalc!$B$16,0,7+N(Contracts!$Q$18))+1)&amp;"-"&amp;OFFSET(GanttCalc!$B$16,0,8+N(Contracts!$Q$18)))))</f>
        <v/>
      </c>
      <c r="M58" s="60" t="str">
        <f aca="true">IF($B$58="","",IF(N(OFFSET(GanttCalc!$B$16,0,9+N(Contracts!$Q$18)))-N(OFFSET(GanttCalc!$B$16,0,8+N(Contracts!$Q$18)))&lt;=0,"",IF(N(OFFSET(GanttCalc!$B$16,0,9+N(Contracts!$Q$18)))-N(OFFSET(GanttCalc!$B$16,0,8+N(Contracts!$Q$18)))=1,"R"&amp;OFFSET(GanttCalc!$B$16,0,9+N(Contracts!$Q$18)),"R"&amp;(OFFSET(GanttCalc!$B$16,0,8+N(Contracts!$Q$18))+1)&amp;"-"&amp;OFFSET(GanttCalc!$B$16,0,9+N(Contracts!$Q$18)))))</f>
        <v/>
      </c>
      <c r="N58" s="60" t="str">
        <f aca="true">IF($B$58="","",IF(N(OFFSET(GanttCalc!$B$16,0,10+N(Contracts!$Q$18)))-N(OFFSET(GanttCalc!$B$16,0,9+N(Contracts!$Q$18)))&lt;=0,"",IF(N(OFFSET(GanttCalc!$B$16,0,10+N(Contracts!$Q$18)))-N(OFFSET(GanttCalc!$B$16,0,9+N(Contracts!$Q$18)))=1,"R"&amp;OFFSET(GanttCalc!$B$16,0,10+N(Contracts!$Q$18)),"R"&amp;(OFFSET(GanttCalc!$B$16,0,9+N(Contracts!$Q$18))+1)&amp;"-"&amp;OFFSET(GanttCalc!$B$16,0,10+N(Contracts!$Q$18)))))</f>
        <v/>
      </c>
      <c r="O58" s="60" t="str">
        <f aca="true">IF($B$58="","",IF(N(OFFSET(GanttCalc!$B$16,0,11+N(Contracts!$Q$18)))-N(OFFSET(GanttCalc!$B$16,0,10+N(Contracts!$Q$18)))&lt;=0,"",IF(N(OFFSET(GanttCalc!$B$16,0,11+N(Contracts!$Q$18)))-N(OFFSET(GanttCalc!$B$16,0,10+N(Contracts!$Q$18)))=1,"R"&amp;OFFSET(GanttCalc!$B$16,0,11+N(Contracts!$Q$18)),"R"&amp;(OFFSET(GanttCalc!$B$16,0,10+N(Contracts!$Q$18))+1)&amp;"-"&amp;OFFSET(GanttCalc!$B$16,0,11+N(Contracts!$Q$18)))))</f>
        <v/>
      </c>
      <c r="P58" s="60" t="str">
        <f aca="true">IF($B$58="","",IF(N(OFFSET(GanttCalc!$B$16,0,12+N(Contracts!$Q$18)))-N(OFFSET(GanttCalc!$B$16,0,11+N(Contracts!$Q$18)))&lt;=0,"",IF(N(OFFSET(GanttCalc!$B$16,0,12+N(Contracts!$Q$18)))-N(OFFSET(GanttCalc!$B$16,0,11+N(Contracts!$Q$18)))=1,"R"&amp;OFFSET(GanttCalc!$B$16,0,12+N(Contracts!$Q$18)),"R"&amp;(OFFSET(GanttCalc!$B$16,0,11+N(Contracts!$Q$18))+1)&amp;"-"&amp;OFFSET(GanttCalc!$B$16,0,12+N(Contracts!$Q$18)))))</f>
        <v/>
      </c>
      <c r="Q58" s="60" t="str">
        <f aca="true">IF($B$58="","",IF(N(OFFSET(GanttCalc!$B$16,0,13+N(Contracts!$Q$18)))-N(OFFSET(GanttCalc!$B$16,0,12+N(Contracts!$Q$18)))&lt;=0,"",IF(N(OFFSET(GanttCalc!$B$16,0,13+N(Contracts!$Q$18)))-N(OFFSET(GanttCalc!$B$16,0,12+N(Contracts!$Q$18)))=1,"R"&amp;OFFSET(GanttCalc!$B$16,0,13+N(Contracts!$Q$18)),"R"&amp;(OFFSET(GanttCalc!$B$16,0,12+N(Contracts!$Q$18))+1)&amp;"-"&amp;OFFSET(GanttCalc!$B$16,0,13+N(Contracts!$Q$18)))))</f>
        <v/>
      </c>
      <c r="R58" s="60" t="str">
        <f aca="true">IF($B$58="","",IF(N(OFFSET(GanttCalc!$B$16,0,14+N(Contracts!$Q$18)))-N(OFFSET(GanttCalc!$B$16,0,13+N(Contracts!$Q$18)))&lt;=0,"",IF(N(OFFSET(GanttCalc!$B$16,0,14+N(Contracts!$Q$18)))-N(OFFSET(GanttCalc!$B$16,0,13+N(Contracts!$Q$18)))=1,"R"&amp;OFFSET(GanttCalc!$B$16,0,14+N(Contracts!$Q$18)),"R"&amp;(OFFSET(GanttCalc!$B$16,0,13+N(Contracts!$Q$18))+1)&amp;"-"&amp;OFFSET(GanttCalc!$B$16,0,14+N(Contracts!$Q$18)))))</f>
        <v/>
      </c>
      <c r="S58" s="60" t="str">
        <f aca="true">IF($B$58="","",IF(N(OFFSET(GanttCalc!$B$16,0,15+N(Contracts!$Q$18)))-N(OFFSET(GanttCalc!$B$16,0,14+N(Contracts!$Q$18)))&lt;=0,"",IF(N(OFFSET(GanttCalc!$B$16,0,15+N(Contracts!$Q$18)))-N(OFFSET(GanttCalc!$B$16,0,14+N(Contracts!$Q$18)))=1,"R"&amp;OFFSET(GanttCalc!$B$16,0,15+N(Contracts!$Q$18)),"R"&amp;(OFFSET(GanttCalc!$B$16,0,14+N(Contracts!$Q$18))+1)&amp;"-"&amp;OFFSET(GanttCalc!$B$16,0,15+N(Contracts!$Q$18)))))</f>
        <v/>
      </c>
      <c r="T58" s="60" t="str">
        <f aca="true">IF($B$58="","",IF(N(OFFSET(GanttCalc!$B$16,0,16+N(Contracts!$Q$18)))-N(OFFSET(GanttCalc!$B$16,0,15+N(Contracts!$Q$18)))&lt;=0,"",IF(N(OFFSET(GanttCalc!$B$16,0,16+N(Contracts!$Q$18)))-N(OFFSET(GanttCalc!$B$16,0,15+N(Contracts!$Q$18)))=1,"R"&amp;OFFSET(GanttCalc!$B$16,0,16+N(Contracts!$Q$18)),"R"&amp;(OFFSET(GanttCalc!$B$16,0,15+N(Contracts!$Q$18))+1)&amp;"-"&amp;OFFSET(GanttCalc!$B$16,0,16+N(Contracts!$Q$18)))))</f>
        <v/>
      </c>
      <c r="U58" s="60" t="str">
        <f aca="true">IF($B$58="","",IF(N(OFFSET(GanttCalc!$B$16,0,17+N(Contracts!$Q$18)))-N(OFFSET(GanttCalc!$B$16,0,16+N(Contracts!$Q$18)))&lt;=0,"",IF(N(OFFSET(GanttCalc!$B$16,0,17+N(Contracts!$Q$18)))-N(OFFSET(GanttCalc!$B$16,0,16+N(Contracts!$Q$18)))=1,"R"&amp;OFFSET(GanttCalc!$B$16,0,17+N(Contracts!$Q$18)),"R"&amp;(OFFSET(GanttCalc!$B$16,0,16+N(Contracts!$Q$18))+1)&amp;"-"&amp;OFFSET(GanttCalc!$B$16,0,17+N(Contracts!$Q$18)))))</f>
        <v/>
      </c>
      <c r="V58" s="60" t="str">
        <f aca="true">IF($B$58="","",IF(N(OFFSET(GanttCalc!$B$16,0,18+N(Contracts!$Q$18)))-N(OFFSET(GanttCalc!$B$16,0,17+N(Contracts!$Q$18)))&lt;=0,"",IF(N(OFFSET(GanttCalc!$B$16,0,18+N(Contracts!$Q$18)))-N(OFFSET(GanttCalc!$B$16,0,17+N(Contracts!$Q$18)))=1,"R"&amp;OFFSET(GanttCalc!$B$16,0,18+N(Contracts!$Q$18)),"R"&amp;(OFFSET(GanttCalc!$B$16,0,17+N(Contracts!$Q$18))+1)&amp;"-"&amp;OFFSET(GanttCalc!$B$16,0,18+N(Contracts!$Q$18)))))</f>
        <v/>
      </c>
      <c r="W58" s="60" t="str">
        <f aca="true">IF($B$58="","",IF(N(OFFSET(GanttCalc!$B$16,0,19+N(Contracts!$Q$18)))-N(OFFSET(GanttCalc!$B$16,0,18+N(Contracts!$Q$18)))&lt;=0,"",IF(N(OFFSET(GanttCalc!$B$16,0,19+N(Contracts!$Q$18)))-N(OFFSET(GanttCalc!$B$16,0,18+N(Contracts!$Q$18)))=1,"R"&amp;OFFSET(GanttCalc!$B$16,0,19+N(Contracts!$Q$18)),"R"&amp;(OFFSET(GanttCalc!$B$16,0,18+N(Contracts!$Q$18))+1)&amp;"-"&amp;OFFSET(GanttCalc!$B$16,0,19+N(Contracts!$Q$18)))))</f>
        <v/>
      </c>
      <c r="X58" s="60" t="str">
        <f aca="true">IF($B$58="","",IF(N(OFFSET(GanttCalc!$B$16,0,20+N(Contracts!$Q$18)))-N(OFFSET(GanttCalc!$B$16,0,19+N(Contracts!$Q$18)))&lt;=0,"",IF(N(OFFSET(GanttCalc!$B$16,0,20+N(Contracts!$Q$18)))-N(OFFSET(GanttCalc!$B$16,0,19+N(Contracts!$Q$18)))=1,"R"&amp;OFFSET(GanttCalc!$B$16,0,20+N(Contracts!$Q$18)),"R"&amp;(OFFSET(GanttCalc!$B$16,0,19+N(Contracts!$Q$18))+1)&amp;"-"&amp;OFFSET(GanttCalc!$B$16,0,20+N(Contracts!$Q$18)))))</f>
        <v/>
      </c>
      <c r="Y58" s="60" t="str">
        <f aca="true">IF($B$58="","",IF(N(OFFSET(GanttCalc!$B$16,0,21+N(Contracts!$Q$18)))-N(OFFSET(GanttCalc!$B$16,0,20+N(Contracts!$Q$18)))&lt;=0,"",IF(N(OFFSET(GanttCalc!$B$16,0,21+N(Contracts!$Q$18)))-N(OFFSET(GanttCalc!$B$16,0,20+N(Contracts!$Q$18)))=1,"R"&amp;OFFSET(GanttCalc!$B$16,0,21+N(Contracts!$Q$18)),"R"&amp;(OFFSET(GanttCalc!$B$16,0,20+N(Contracts!$Q$18))+1)&amp;"-"&amp;OFFSET(GanttCalc!$B$16,0,21+N(Contracts!$Q$18)))))</f>
        <v/>
      </c>
      <c r="Z58" s="60" t="str">
        <f aca="true">IF($B$58="","",IF(N(OFFSET(GanttCalc!$B$16,0,22+N(Contracts!$Q$18)))-N(OFFSET(GanttCalc!$B$16,0,21+N(Contracts!$Q$18)))&lt;=0,"",IF(N(OFFSET(GanttCalc!$B$16,0,22+N(Contracts!$Q$18)))-N(OFFSET(GanttCalc!$B$16,0,21+N(Contracts!$Q$18)))=1,"R"&amp;OFFSET(GanttCalc!$B$16,0,22+N(Contracts!$Q$18)),"R"&amp;(OFFSET(GanttCalc!$B$16,0,21+N(Contracts!$Q$18))+1)&amp;"-"&amp;OFFSET(GanttCalc!$B$16,0,22+N(Contracts!$Q$18)))))</f>
        <v/>
      </c>
      <c r="AA58" s="60" t="str">
        <f aca="true">IF($B$58="","",IF(N(OFFSET(GanttCalc!$B$16,0,23+N(Contracts!$Q$18)))-N(OFFSET(GanttCalc!$B$16,0,22+N(Contracts!$Q$18)))&lt;=0,"",IF(N(OFFSET(GanttCalc!$B$16,0,23+N(Contracts!$Q$18)))-N(OFFSET(GanttCalc!$B$16,0,22+N(Contracts!$Q$18)))=1,"R"&amp;OFFSET(GanttCalc!$B$16,0,23+N(Contracts!$Q$18)),"R"&amp;(OFFSET(GanttCalc!$B$16,0,22+N(Contracts!$Q$18))+1)&amp;"-"&amp;OFFSET(GanttCalc!$B$16,0,23+N(Contracts!$Q$18)))))</f>
        <v/>
      </c>
      <c r="AB58" s="60" t="str">
        <f aca="true">IF($B$58="","",IF(N(OFFSET(GanttCalc!$B$16,0,24+N(Contracts!$Q$18)))-N(OFFSET(GanttCalc!$B$16,0,23+N(Contracts!$Q$18)))&lt;=0,"",IF(N(OFFSET(GanttCalc!$B$16,0,24+N(Contracts!$Q$18)))-N(OFFSET(GanttCalc!$B$16,0,23+N(Contracts!$Q$18)))=1,"R"&amp;OFFSET(GanttCalc!$B$16,0,24+N(Contracts!$Q$18)),"R"&amp;(OFFSET(GanttCalc!$B$16,0,23+N(Contracts!$Q$18))+1)&amp;"-"&amp;OFFSET(GanttCalc!$B$16,0,24+N(Contracts!$Q$18)))))</f>
        <v/>
      </c>
      <c r="AC58" s="60" t="str">
        <f aca="true">IF($B$58="","",IF(N(OFFSET(GanttCalc!$B$16,0,25+N(Contracts!$Q$18)))-N(OFFSET(GanttCalc!$B$16,0,24+N(Contracts!$Q$18)))&lt;=0,"",IF(N(OFFSET(GanttCalc!$B$16,0,25+N(Contracts!$Q$18)))-N(OFFSET(GanttCalc!$B$16,0,24+N(Contracts!$Q$18)))=1,"R"&amp;OFFSET(GanttCalc!$B$16,0,25+N(Contracts!$Q$18)),"R"&amp;(OFFSET(GanttCalc!$B$16,0,24+N(Contracts!$Q$18))+1)&amp;"-"&amp;OFFSET(GanttCalc!$B$16,0,25+N(Contracts!$Q$18)))))</f>
        <v/>
      </c>
      <c r="AD58" s="60" t="str">
        <f aca="true">IF($B$58="","",IF(N(OFFSET(GanttCalc!$B$16,0,26+N(Contracts!$Q$18)))-N(OFFSET(GanttCalc!$B$16,0,25+N(Contracts!$Q$18)))&lt;=0,"",IF(N(OFFSET(GanttCalc!$B$16,0,26+N(Contracts!$Q$18)))-N(OFFSET(GanttCalc!$B$16,0,25+N(Contracts!$Q$18)))=1,"R"&amp;OFFSET(GanttCalc!$B$16,0,26+N(Contracts!$Q$18)),"R"&amp;(OFFSET(GanttCalc!$B$16,0,25+N(Contracts!$Q$18))+1)&amp;"-"&amp;OFFSET(GanttCalc!$B$16,0,26+N(Contracts!$Q$18)))))</f>
        <v/>
      </c>
      <c r="AE58" s="60" t="str">
        <f aca="true">IF($B$58="","",IF(N(OFFSET(GanttCalc!$B$16,0,27+N(Contracts!$Q$18)))-N(OFFSET(GanttCalc!$B$16,0,26+N(Contracts!$Q$18)))&lt;=0,"",IF(N(OFFSET(GanttCalc!$B$16,0,27+N(Contracts!$Q$18)))-N(OFFSET(GanttCalc!$B$16,0,26+N(Contracts!$Q$18)))=1,"R"&amp;OFFSET(GanttCalc!$B$16,0,27+N(Contracts!$Q$18)),"R"&amp;(OFFSET(GanttCalc!$B$16,0,26+N(Contracts!$Q$18))+1)&amp;"-"&amp;OFFSET(GanttCalc!$B$16,0,27+N(Contracts!$Q$18)))))</f>
        <v/>
      </c>
      <c r="AF58" s="60" t="str">
        <f aca="true">IF($B$58="","",IF(N(OFFSET(GanttCalc!$B$16,0,28+N(Contracts!$Q$18)))-N(OFFSET(GanttCalc!$B$16,0,27+N(Contracts!$Q$18)))&lt;=0,"",IF(N(OFFSET(GanttCalc!$B$16,0,28+N(Contracts!$Q$18)))-N(OFFSET(GanttCalc!$B$16,0,27+N(Contracts!$Q$18)))=1,"R"&amp;OFFSET(GanttCalc!$B$16,0,28+N(Contracts!$Q$18)),"R"&amp;(OFFSET(GanttCalc!$B$16,0,27+N(Contracts!$Q$18))+1)&amp;"-"&amp;OFFSET(GanttCalc!$B$16,0,28+N(Contracts!$Q$18)))))</f>
        <v/>
      </c>
      <c r="AG58" s="60" t="str">
        <f aca="true">IF($B$58="","",IF(N(OFFSET(GanttCalc!$B$16,0,29+N(Contracts!$Q$18)))-N(OFFSET(GanttCalc!$B$16,0,28+N(Contracts!$Q$18)))&lt;=0,"",IF(N(OFFSET(GanttCalc!$B$16,0,29+N(Contracts!$Q$18)))-N(OFFSET(GanttCalc!$B$16,0,28+N(Contracts!$Q$18)))=1,"R"&amp;OFFSET(GanttCalc!$B$16,0,29+N(Contracts!$Q$18)),"R"&amp;(OFFSET(GanttCalc!$B$16,0,28+N(Contracts!$Q$18))+1)&amp;"-"&amp;OFFSET(GanttCalc!$B$16,0,29+N(Contracts!$Q$18)))))</f>
        <v/>
      </c>
      <c r="AH58" s="60" t="str">
        <f aca="true">IF($B$58="","",IF(N(OFFSET(GanttCalc!$B$16,0,30+N(Contracts!$Q$18)))-N(OFFSET(GanttCalc!$B$16,0,29+N(Contracts!$Q$18)))&lt;=0,"",IF(N(OFFSET(GanttCalc!$B$16,0,30+N(Contracts!$Q$18)))-N(OFFSET(GanttCalc!$B$16,0,29+N(Contracts!$Q$18)))=1,"R"&amp;OFFSET(GanttCalc!$B$16,0,30+N(Contracts!$Q$18)),"R"&amp;(OFFSET(GanttCalc!$B$16,0,29+N(Contracts!$Q$18))+1)&amp;"-"&amp;OFFSET(GanttCalc!$B$16,0,30+N(Contracts!$Q$18)))))</f>
        <v/>
      </c>
      <c r="AI58" s="60" t="str">
        <f aca="true">IF($B$58="","",IF(N(OFFSET(GanttCalc!$B$16,0,31+N(Contracts!$Q$18)))-N(OFFSET(GanttCalc!$B$16,0,30+N(Contracts!$Q$18)))&lt;=0,"",IF(N(OFFSET(GanttCalc!$B$16,0,31+N(Contracts!$Q$18)))-N(OFFSET(GanttCalc!$B$16,0,30+N(Contracts!$Q$18)))=1,"R"&amp;OFFSET(GanttCalc!$B$16,0,31+N(Contracts!$Q$18)),"R"&amp;(OFFSET(GanttCalc!$B$16,0,30+N(Contracts!$Q$18))+1)&amp;"-"&amp;OFFSET(GanttCalc!$B$16,0,31+N(Contracts!$Q$18)))))</f>
        <v/>
      </c>
      <c r="AJ58" s="60" t="str">
        <f aca="true">IF($B$58="","",IF(N(OFFSET(GanttCalc!$B$16,0,32+N(Contracts!$Q$18)))-N(OFFSET(GanttCalc!$B$16,0,31+N(Contracts!$Q$18)))&lt;=0,"",IF(N(OFFSET(GanttCalc!$B$16,0,32+N(Contracts!$Q$18)))-N(OFFSET(GanttCalc!$B$16,0,31+N(Contracts!$Q$18)))=1,"R"&amp;OFFSET(GanttCalc!$B$16,0,32+N(Contracts!$Q$18)),"R"&amp;(OFFSET(GanttCalc!$B$16,0,31+N(Contracts!$Q$18))+1)&amp;"-"&amp;OFFSET(GanttCalc!$B$16,0,32+N(Contracts!$Q$18)))))</f>
        <v/>
      </c>
      <c r="AK58" s="60" t="str">
        <f aca="true">IF($B$58="","",IF(N(OFFSET(GanttCalc!$B$16,0,33+N(Contracts!$Q$18)))-N(OFFSET(GanttCalc!$B$16,0,32+N(Contracts!$Q$18)))&lt;=0,"",IF(N(OFFSET(GanttCalc!$B$16,0,33+N(Contracts!$Q$18)))-N(OFFSET(GanttCalc!$B$16,0,32+N(Contracts!$Q$18)))=1,"R"&amp;OFFSET(GanttCalc!$B$16,0,33+N(Contracts!$Q$18)),"R"&amp;(OFFSET(GanttCalc!$B$16,0,32+N(Contracts!$Q$18))+1)&amp;"-"&amp;OFFSET(GanttCalc!$B$16,0,33+N(Contracts!$Q$18)))))</f>
        <v/>
      </c>
      <c r="AL58" s="60" t="str">
        <f aca="true">IF($B$58="","",IF(N(OFFSET(GanttCalc!$B$16,0,34+N(Contracts!$Q$18)))-N(OFFSET(GanttCalc!$B$16,0,33+N(Contracts!$Q$18)))&lt;=0,"",IF(N(OFFSET(GanttCalc!$B$16,0,34+N(Contracts!$Q$18)))-N(OFFSET(GanttCalc!$B$16,0,33+N(Contracts!$Q$18)))=1,"R"&amp;OFFSET(GanttCalc!$B$16,0,34+N(Contracts!$Q$18)),"R"&amp;(OFFSET(GanttCalc!$B$16,0,33+N(Contracts!$Q$18))+1)&amp;"-"&amp;OFFSET(GanttCalc!$B$16,0,34+N(Contracts!$Q$18)))))</f>
        <v/>
      </c>
      <c r="AM58" s="60" t="str">
        <f aca="true">IF($B$58="","",IF(N(OFFSET(GanttCalc!$B$16,0,35+N(Contracts!$Q$18)))-N(OFFSET(GanttCalc!$B$16,0,34+N(Contracts!$Q$18)))&lt;=0,"",IF(N(OFFSET(GanttCalc!$B$16,0,35+N(Contracts!$Q$18)))-N(OFFSET(GanttCalc!$B$16,0,34+N(Contracts!$Q$18)))=1,"R"&amp;OFFSET(GanttCalc!$B$16,0,35+N(Contracts!$Q$18)),"R"&amp;(OFFSET(GanttCalc!$B$16,0,34+N(Contracts!$Q$18))+1)&amp;"-"&amp;OFFSET(GanttCalc!$B$16,0,35+N(Contracts!$Q$18)))))</f>
        <v/>
      </c>
      <c r="AN58" s="60" t="str">
        <f aca="true">IF($B$58="","",IF(N(OFFSET(GanttCalc!$B$16,0,36+N(Contracts!$Q$18)))-N(OFFSET(GanttCalc!$B$16,0,35+N(Contracts!$Q$18)))&lt;=0,"",IF(N(OFFSET(GanttCalc!$B$16,0,36+N(Contracts!$Q$18)))-N(OFFSET(GanttCalc!$B$16,0,35+N(Contracts!$Q$18)))=1,"R"&amp;OFFSET(GanttCalc!$B$16,0,36+N(Contracts!$Q$18)),"R"&amp;(OFFSET(GanttCalc!$B$16,0,35+N(Contracts!$Q$18))+1)&amp;"-"&amp;OFFSET(GanttCalc!$B$16,0,36+N(Contracts!$Q$18)))))</f>
        <v/>
      </c>
      <c r="AO58" s="60" t="str">
        <f aca="true">IF($B$58="","",IF(N(OFFSET(GanttCalc!$B$16,0,37+N(Contracts!$Q$18)))-N(OFFSET(GanttCalc!$B$16,0,36+N(Contracts!$Q$18)))&lt;=0,"",IF(N(OFFSET(GanttCalc!$B$16,0,37+N(Contracts!$Q$18)))-N(OFFSET(GanttCalc!$B$16,0,36+N(Contracts!$Q$18)))=1,"R"&amp;OFFSET(GanttCalc!$B$16,0,37+N(Contracts!$Q$18)),"R"&amp;(OFFSET(GanttCalc!$B$16,0,36+N(Contracts!$Q$18))+1)&amp;"-"&amp;OFFSET(GanttCalc!$B$16,0,37+N(Contracts!$Q$18)))))</f>
        <v/>
      </c>
      <c r="AP58" s="60" t="str">
        <f aca="true">IF($B$58="","",IF(N(OFFSET(GanttCalc!$B$16,0,38+N(Contracts!$Q$18)))-N(OFFSET(GanttCalc!$B$16,0,37+N(Contracts!$Q$18)))&lt;=0,"",IF(N(OFFSET(GanttCalc!$B$16,0,38+N(Contracts!$Q$18)))-N(OFFSET(GanttCalc!$B$16,0,37+N(Contracts!$Q$18)))=1,"R"&amp;OFFSET(GanttCalc!$B$16,0,38+N(Contracts!$Q$18)),"R"&amp;(OFFSET(GanttCalc!$B$16,0,37+N(Contracts!$Q$18))+1)&amp;"-"&amp;OFFSET(GanttCalc!$B$16,0,38+N(Contracts!$Q$18)))))</f>
        <v/>
      </c>
      <c r="AQ58" s="60" t="str">
        <f aca="true">IF($B$58="","",IF(N(OFFSET(GanttCalc!$B$16,0,39+N(Contracts!$Q$18)))-N(OFFSET(GanttCalc!$B$16,0,38+N(Contracts!$Q$18)))&lt;=0,"",IF(N(OFFSET(GanttCalc!$B$16,0,39+N(Contracts!$Q$18)))-N(OFFSET(GanttCalc!$B$16,0,38+N(Contracts!$Q$18)))=1,"R"&amp;OFFSET(GanttCalc!$B$16,0,39+N(Contracts!$Q$18)),"R"&amp;(OFFSET(GanttCalc!$B$16,0,38+N(Contracts!$Q$18))+1)&amp;"-"&amp;OFFSET(GanttCalc!$B$16,0,39+N(Contracts!$Q$18)))))</f>
        <v/>
      </c>
      <c r="AR58" s="60" t="str">
        <f aca="true">IF($B$58="","",IF(N(OFFSET(GanttCalc!$B$16,0,40+N(Contracts!$Q$18)))-N(OFFSET(GanttCalc!$B$16,0,39+N(Contracts!$Q$18)))&lt;=0,"",IF(N(OFFSET(GanttCalc!$B$16,0,40+N(Contracts!$Q$18)))-N(OFFSET(GanttCalc!$B$16,0,39+N(Contracts!$Q$18)))=1,"R"&amp;OFFSET(GanttCalc!$B$16,0,40+N(Contracts!$Q$18)),"R"&amp;(OFFSET(GanttCalc!$B$16,0,39+N(Contracts!$Q$18))+1)&amp;"-"&amp;OFFSET(GanttCalc!$B$16,0,40+N(Contracts!$Q$18)))))</f>
        <v/>
      </c>
      <c r="AS58" s="60" t="str">
        <f aca="true">IF($B$58="","",IF(N(OFFSET(GanttCalc!$B$16,0,41+N(Contracts!$Q$18)))-N(OFFSET(GanttCalc!$B$16,0,40+N(Contracts!$Q$18)))&lt;=0,"",IF(N(OFFSET(GanttCalc!$B$16,0,41+N(Contracts!$Q$18)))-N(OFFSET(GanttCalc!$B$16,0,40+N(Contracts!$Q$18)))=1,"R"&amp;OFFSET(GanttCalc!$B$16,0,41+N(Contracts!$Q$18)),"R"&amp;(OFFSET(GanttCalc!$B$16,0,40+N(Contracts!$Q$18))+1)&amp;"-"&amp;OFFSET(GanttCalc!$B$16,0,41+N(Contracts!$Q$18)))))</f>
        <v/>
      </c>
      <c r="AT58" s="60" t="str">
        <f aca="true">IF($B$58="","",IF(N(OFFSET(GanttCalc!$B$16,0,42+N(Contracts!$Q$18)))-N(OFFSET(GanttCalc!$B$16,0,41+N(Contracts!$Q$18)))&lt;=0,"",IF(N(OFFSET(GanttCalc!$B$16,0,42+N(Contracts!$Q$18)))-N(OFFSET(GanttCalc!$B$16,0,41+N(Contracts!$Q$18)))=1,"R"&amp;OFFSET(GanttCalc!$B$16,0,42+N(Contracts!$Q$18)),"R"&amp;(OFFSET(GanttCalc!$B$16,0,41+N(Contracts!$Q$18))+1)&amp;"-"&amp;OFFSET(GanttCalc!$B$16,0,42+N(Contracts!$Q$18)))))</f>
        <v/>
      </c>
      <c r="AU58" s="60" t="str">
        <f aca="true">IF($B$58="","",IF(N(OFFSET(GanttCalc!$B$16,0,43+N(Contracts!$Q$18)))-N(OFFSET(GanttCalc!$B$16,0,42+N(Contracts!$Q$18)))&lt;=0,"",IF(N(OFFSET(GanttCalc!$B$16,0,43+N(Contracts!$Q$18)))-N(OFFSET(GanttCalc!$B$16,0,42+N(Contracts!$Q$18)))=1,"R"&amp;OFFSET(GanttCalc!$B$16,0,43+N(Contracts!$Q$18)),"R"&amp;(OFFSET(GanttCalc!$B$16,0,42+N(Contracts!$Q$18))+1)&amp;"-"&amp;OFFSET(GanttCalc!$B$16,0,43+N(Contracts!$Q$18)))))</f>
        <v/>
      </c>
      <c r="AV58" s="60" t="str">
        <f aca="true">IF($B$58="","",IF(N(OFFSET(GanttCalc!$B$16,0,44+N(Contracts!$Q$18)))-N(OFFSET(GanttCalc!$B$16,0,43+N(Contracts!$Q$18)))&lt;=0,"",IF(N(OFFSET(GanttCalc!$B$16,0,44+N(Contracts!$Q$18)))-N(OFFSET(GanttCalc!$B$16,0,43+N(Contracts!$Q$18)))=1,"R"&amp;OFFSET(GanttCalc!$B$16,0,44+N(Contracts!$Q$18)),"R"&amp;(OFFSET(GanttCalc!$B$16,0,43+N(Contracts!$Q$18))+1)&amp;"-"&amp;OFFSET(GanttCalc!$B$16,0,44+N(Contracts!$Q$18)))))</f>
        <v/>
      </c>
      <c r="AW58" s="60" t="str">
        <f aca="true">IF($B$58="","",IF(N(OFFSET(GanttCalc!$B$16,0,45+N(Contracts!$Q$18)))-N(OFFSET(GanttCalc!$B$16,0,44+N(Contracts!$Q$18)))&lt;=0,"",IF(N(OFFSET(GanttCalc!$B$16,0,45+N(Contracts!$Q$18)))-N(OFFSET(GanttCalc!$B$16,0,44+N(Contracts!$Q$18)))=1,"R"&amp;OFFSET(GanttCalc!$B$16,0,45+N(Contracts!$Q$18)),"R"&amp;(OFFSET(GanttCalc!$B$16,0,44+N(Contracts!$Q$18))+1)&amp;"-"&amp;OFFSET(GanttCalc!$B$16,0,45+N(Contracts!$Q$18)))))</f>
        <v/>
      </c>
      <c r="AX58" s="60" t="str">
        <f aca="true">IF($B$58="","",IF(N(OFFSET(GanttCalc!$B$16,0,46+N(Contracts!$Q$18)))-N(OFFSET(GanttCalc!$B$16,0,45+N(Contracts!$Q$18)))&lt;=0,"",IF(N(OFFSET(GanttCalc!$B$16,0,46+N(Contracts!$Q$18)))-N(OFFSET(GanttCalc!$B$16,0,45+N(Contracts!$Q$18)))=1,"R"&amp;OFFSET(GanttCalc!$B$16,0,46+N(Contracts!$Q$18)),"R"&amp;(OFFSET(GanttCalc!$B$16,0,45+N(Contracts!$Q$18))+1)&amp;"-"&amp;OFFSET(GanttCalc!$B$16,0,46+N(Contracts!$Q$18)))))</f>
        <v/>
      </c>
      <c r="AY58" s="60" t="str">
        <f aca="true">IF($B$58="","",IF(N(OFFSET(GanttCalc!$B$16,0,47+N(Contracts!$Q$18)))-N(OFFSET(GanttCalc!$B$16,0,46+N(Contracts!$Q$18)))&lt;=0,"",IF(N(OFFSET(GanttCalc!$B$16,0,47+N(Contracts!$Q$18)))-N(OFFSET(GanttCalc!$B$16,0,46+N(Contracts!$Q$18)))=1,"R"&amp;OFFSET(GanttCalc!$B$16,0,47+N(Contracts!$Q$18)),"R"&amp;(OFFSET(GanttCalc!$B$16,0,46+N(Contracts!$Q$18))+1)&amp;"-"&amp;OFFSET(GanttCalc!$B$16,0,47+N(Contracts!$Q$18)))))</f>
        <v/>
      </c>
      <c r="AZ58" s="60" t="str">
        <f aca="true">IF($B$58="","",IF(N(OFFSET(GanttCalc!$B$16,0,48+N(Contracts!$Q$18)))-N(OFFSET(GanttCalc!$B$16,0,47+N(Contracts!$Q$18)))&lt;=0,"",IF(N(OFFSET(GanttCalc!$B$16,0,48+N(Contracts!$Q$18)))-N(OFFSET(GanttCalc!$B$16,0,47+N(Contracts!$Q$18)))=1,"R"&amp;OFFSET(GanttCalc!$B$16,0,48+N(Contracts!$Q$18)),"R"&amp;(OFFSET(GanttCalc!$B$16,0,47+N(Contracts!$Q$18))+1)&amp;"-"&amp;OFFSET(GanttCalc!$B$16,0,48+N(Contracts!$Q$18)))))</f>
        <v/>
      </c>
      <c r="BA58" s="60" t="str">
        <f aca="true">IF($B$58="","",IF(N(OFFSET(GanttCalc!$B$16,0,49+N(Contracts!$Q$18)))-N(OFFSET(GanttCalc!$B$16,0,48+N(Contracts!$Q$18)))&lt;=0,"",IF(N(OFFSET(GanttCalc!$B$16,0,49+N(Contracts!$Q$18)))-N(OFFSET(GanttCalc!$B$16,0,48+N(Contracts!$Q$18)))=1,"R"&amp;OFFSET(GanttCalc!$B$16,0,49+N(Contracts!$Q$18)),"R"&amp;(OFFSET(GanttCalc!$B$16,0,48+N(Contracts!$Q$18))+1)&amp;"-"&amp;OFFSET(GanttCalc!$B$16,0,49+N(Contracts!$Q$18)))))</f>
        <v/>
      </c>
      <c r="BB58" s="60" t="str">
        <f aca="true">IF($B$58="","",IF(N(OFFSET(GanttCalc!$B$16,0,50+N(Contracts!$Q$18)))-N(OFFSET(GanttCalc!$B$16,0,49+N(Contracts!$Q$18)))&lt;=0,"",IF(N(OFFSET(GanttCalc!$B$16,0,50+N(Contracts!$Q$18)))-N(OFFSET(GanttCalc!$B$16,0,49+N(Contracts!$Q$18)))=1,"R"&amp;OFFSET(GanttCalc!$B$16,0,50+N(Contracts!$Q$18)),"R"&amp;(OFFSET(GanttCalc!$B$16,0,49+N(Contracts!$Q$18))+1)&amp;"-"&amp;OFFSET(GanttCalc!$B$16,0,50+N(Contracts!$Q$18)))))</f>
        <v/>
      </c>
      <c r="BC58" s="60" t="str">
        <f aca="true">IF($B$58="","",IF(N(OFFSET(GanttCalc!$B$16,0,51+N(Contracts!$Q$18)))-N(OFFSET(GanttCalc!$B$16,0,50+N(Contracts!$Q$18)))&lt;=0,"",IF(N(OFFSET(GanttCalc!$B$16,0,51+N(Contracts!$Q$18)))-N(OFFSET(GanttCalc!$B$16,0,50+N(Contracts!$Q$18)))=1,"R"&amp;OFFSET(GanttCalc!$B$16,0,51+N(Contracts!$Q$18)),"R"&amp;(OFFSET(GanttCalc!$B$16,0,50+N(Contracts!$Q$18))+1)&amp;"-"&amp;OFFSET(GanttCalc!$B$16,0,51+N(Contracts!$Q$18)))))</f>
        <v/>
      </c>
      <c r="BD58" s="60" t="str">
        <f aca="true">IF($B$58="","",IF(N(OFFSET(GanttCalc!$B$16,0,52+N(Contracts!$Q$18)))-N(OFFSET(GanttCalc!$B$16,0,51+N(Contracts!$Q$18)))&lt;=0,"",IF(N(OFFSET(GanttCalc!$B$16,0,52+N(Contracts!$Q$18)))-N(OFFSET(GanttCalc!$B$16,0,51+N(Contracts!$Q$18)))=1,"R"&amp;OFFSET(GanttCalc!$B$16,0,52+N(Contracts!$Q$18)),"R"&amp;(OFFSET(GanttCalc!$B$16,0,51+N(Contracts!$Q$18))+1)&amp;"-"&amp;OFFSET(GanttCalc!$B$16,0,52+N(Contracts!$Q$18)))))</f>
        <v/>
      </c>
    </row>
    <row r="59" customFormat="false" ht="16.5" hidden="false" customHeight="true" outlineLevel="0" collapsed="false">
      <c r="B59" s="61" t="str">
        <f aca="false">IF(Contracts!$A$18="","",Contracts!$C$18)</f>
        <v/>
      </c>
      <c r="C59" s="62" t="str">
        <f aca="false">IF(Contracts!$A$18="","","AMPS build")</f>
        <v/>
      </c>
      <c r="D59" s="59" t="str">
        <f aca="false">IF($B$58="","",SUMPRODUCT(--(E59:BD59&lt;&gt;""))&amp;" wks")</f>
        <v/>
      </c>
      <c r="E59" s="60" t="str">
        <f aca="false">IF($B$58="","",IF(N(GanttCalc!D16)-N(GanttCalc!C16)&lt;=0,"",IF(N(GanttCalc!D16)-N(GanttCalc!C16)=1,"R"&amp;GanttCalc!D16,"R"&amp;(GanttCalc!C16+1)&amp;"-"&amp;GanttCalc!D16)))</f>
        <v/>
      </c>
      <c r="F59" s="60" t="str">
        <f aca="false">IF($B$58="","",IF(N(GanttCalc!E16)-N(GanttCalc!D16)&lt;=0,"",IF(N(GanttCalc!E16)-N(GanttCalc!D16)=1,"R"&amp;GanttCalc!E16,"R"&amp;(GanttCalc!D16+1)&amp;"-"&amp;GanttCalc!E16)))</f>
        <v/>
      </c>
      <c r="G59" s="60" t="str">
        <f aca="false">IF($B$58="","",IF(N(GanttCalc!F16)-N(GanttCalc!E16)&lt;=0,"",IF(N(GanttCalc!F16)-N(GanttCalc!E16)=1,"R"&amp;GanttCalc!F16,"R"&amp;(GanttCalc!E16+1)&amp;"-"&amp;GanttCalc!F16)))</f>
        <v/>
      </c>
      <c r="H59" s="60" t="str">
        <f aca="false">IF($B$58="","",IF(N(GanttCalc!G16)-N(GanttCalc!F16)&lt;=0,"",IF(N(GanttCalc!G16)-N(GanttCalc!F16)=1,"R"&amp;GanttCalc!G16,"R"&amp;(GanttCalc!F16+1)&amp;"-"&amp;GanttCalc!G16)))</f>
        <v/>
      </c>
      <c r="I59" s="60" t="str">
        <f aca="false">IF($B$58="","",IF(N(GanttCalc!H16)-N(GanttCalc!G16)&lt;=0,"",IF(N(GanttCalc!H16)-N(GanttCalc!G16)=1,"R"&amp;GanttCalc!H16,"R"&amp;(GanttCalc!G16+1)&amp;"-"&amp;GanttCalc!H16)))</f>
        <v/>
      </c>
      <c r="J59" s="60" t="str">
        <f aca="false">IF($B$58="","",IF(N(GanttCalc!I16)-N(GanttCalc!H16)&lt;=0,"",IF(N(GanttCalc!I16)-N(GanttCalc!H16)=1,"R"&amp;GanttCalc!I16,"R"&amp;(GanttCalc!H16+1)&amp;"-"&amp;GanttCalc!I16)))</f>
        <v/>
      </c>
      <c r="K59" s="60" t="str">
        <f aca="false">IF($B$58="","",IF(N(GanttCalc!J16)-N(GanttCalc!I16)&lt;=0,"",IF(N(GanttCalc!J16)-N(GanttCalc!I16)=1,"R"&amp;GanttCalc!J16,"R"&amp;(GanttCalc!I16+1)&amp;"-"&amp;GanttCalc!J16)))</f>
        <v/>
      </c>
      <c r="L59" s="60" t="str">
        <f aca="false">IF($B$58="","",IF(N(GanttCalc!K16)-N(GanttCalc!J16)&lt;=0,"",IF(N(GanttCalc!K16)-N(GanttCalc!J16)=1,"R"&amp;GanttCalc!K16,"R"&amp;(GanttCalc!J16+1)&amp;"-"&amp;GanttCalc!K16)))</f>
        <v/>
      </c>
      <c r="M59" s="60" t="str">
        <f aca="false">IF($B$58="","",IF(N(GanttCalc!L16)-N(GanttCalc!K16)&lt;=0,"",IF(N(GanttCalc!L16)-N(GanttCalc!K16)=1,"R"&amp;GanttCalc!L16,"R"&amp;(GanttCalc!K16+1)&amp;"-"&amp;GanttCalc!L16)))</f>
        <v/>
      </c>
      <c r="N59" s="60" t="str">
        <f aca="false">IF($B$58="","",IF(N(GanttCalc!M16)-N(GanttCalc!L16)&lt;=0,"",IF(N(GanttCalc!M16)-N(GanttCalc!L16)=1,"R"&amp;GanttCalc!M16,"R"&amp;(GanttCalc!L16+1)&amp;"-"&amp;GanttCalc!M16)))</f>
        <v/>
      </c>
      <c r="O59" s="60" t="str">
        <f aca="false">IF($B$58="","",IF(N(GanttCalc!N16)-N(GanttCalc!M16)&lt;=0,"",IF(N(GanttCalc!N16)-N(GanttCalc!M16)=1,"R"&amp;GanttCalc!N16,"R"&amp;(GanttCalc!M16+1)&amp;"-"&amp;GanttCalc!N16)))</f>
        <v/>
      </c>
      <c r="P59" s="60" t="str">
        <f aca="false">IF($B$58="","",IF(N(GanttCalc!O16)-N(GanttCalc!N16)&lt;=0,"",IF(N(GanttCalc!O16)-N(GanttCalc!N16)=1,"R"&amp;GanttCalc!O16,"R"&amp;(GanttCalc!N16+1)&amp;"-"&amp;GanttCalc!O16)))</f>
        <v/>
      </c>
      <c r="Q59" s="60" t="str">
        <f aca="false">IF($B$58="","",IF(N(GanttCalc!P16)-N(GanttCalc!O16)&lt;=0,"",IF(N(GanttCalc!P16)-N(GanttCalc!O16)=1,"R"&amp;GanttCalc!P16,"R"&amp;(GanttCalc!O16+1)&amp;"-"&amp;GanttCalc!P16)))</f>
        <v/>
      </c>
      <c r="R59" s="60" t="str">
        <f aca="false">IF($B$58="","",IF(N(GanttCalc!Q16)-N(GanttCalc!P16)&lt;=0,"",IF(N(GanttCalc!Q16)-N(GanttCalc!P16)=1,"R"&amp;GanttCalc!Q16,"R"&amp;(GanttCalc!P16+1)&amp;"-"&amp;GanttCalc!Q16)))</f>
        <v/>
      </c>
      <c r="S59" s="60" t="str">
        <f aca="false">IF($B$58="","",IF(N(GanttCalc!R16)-N(GanttCalc!Q16)&lt;=0,"",IF(N(GanttCalc!R16)-N(GanttCalc!Q16)=1,"R"&amp;GanttCalc!R16,"R"&amp;(GanttCalc!Q16+1)&amp;"-"&amp;GanttCalc!R16)))</f>
        <v/>
      </c>
      <c r="T59" s="60" t="str">
        <f aca="false">IF($B$58="","",IF(N(GanttCalc!S16)-N(GanttCalc!R16)&lt;=0,"",IF(N(GanttCalc!S16)-N(GanttCalc!R16)=1,"R"&amp;GanttCalc!S16,"R"&amp;(GanttCalc!R16+1)&amp;"-"&amp;GanttCalc!S16)))</f>
        <v/>
      </c>
      <c r="U59" s="60" t="str">
        <f aca="false">IF($B$58="","",IF(N(GanttCalc!T16)-N(GanttCalc!S16)&lt;=0,"",IF(N(GanttCalc!T16)-N(GanttCalc!S16)=1,"R"&amp;GanttCalc!T16,"R"&amp;(GanttCalc!S16+1)&amp;"-"&amp;GanttCalc!T16)))</f>
        <v/>
      </c>
      <c r="V59" s="60" t="str">
        <f aca="false">IF($B$58="","",IF(N(GanttCalc!U16)-N(GanttCalc!T16)&lt;=0,"",IF(N(GanttCalc!U16)-N(GanttCalc!T16)=1,"R"&amp;GanttCalc!U16,"R"&amp;(GanttCalc!T16+1)&amp;"-"&amp;GanttCalc!U16)))</f>
        <v/>
      </c>
      <c r="W59" s="60" t="str">
        <f aca="false">IF($B$58="","",IF(N(GanttCalc!V16)-N(GanttCalc!U16)&lt;=0,"",IF(N(GanttCalc!V16)-N(GanttCalc!U16)=1,"R"&amp;GanttCalc!V16,"R"&amp;(GanttCalc!U16+1)&amp;"-"&amp;GanttCalc!V16)))</f>
        <v/>
      </c>
      <c r="X59" s="60" t="str">
        <f aca="false">IF($B$58="","",IF(N(GanttCalc!W16)-N(GanttCalc!V16)&lt;=0,"",IF(N(GanttCalc!W16)-N(GanttCalc!V16)=1,"R"&amp;GanttCalc!W16,"R"&amp;(GanttCalc!V16+1)&amp;"-"&amp;GanttCalc!W16)))</f>
        <v/>
      </c>
      <c r="Y59" s="60" t="str">
        <f aca="false">IF($B$58="","",IF(N(GanttCalc!X16)-N(GanttCalc!W16)&lt;=0,"",IF(N(GanttCalc!X16)-N(GanttCalc!W16)=1,"R"&amp;GanttCalc!X16,"R"&amp;(GanttCalc!W16+1)&amp;"-"&amp;GanttCalc!X16)))</f>
        <v/>
      </c>
      <c r="Z59" s="60" t="str">
        <f aca="false">IF($B$58="","",IF(N(GanttCalc!Y16)-N(GanttCalc!X16)&lt;=0,"",IF(N(GanttCalc!Y16)-N(GanttCalc!X16)=1,"R"&amp;GanttCalc!Y16,"R"&amp;(GanttCalc!X16+1)&amp;"-"&amp;GanttCalc!Y16)))</f>
        <v/>
      </c>
      <c r="AA59" s="60" t="str">
        <f aca="false">IF($B$58="","",IF(N(GanttCalc!Z16)-N(GanttCalc!Y16)&lt;=0,"",IF(N(GanttCalc!Z16)-N(GanttCalc!Y16)=1,"R"&amp;GanttCalc!Z16,"R"&amp;(GanttCalc!Y16+1)&amp;"-"&amp;GanttCalc!Z16)))</f>
        <v/>
      </c>
      <c r="AB59" s="60" t="str">
        <f aca="false">IF($B$58="","",IF(N(GanttCalc!AA16)-N(GanttCalc!Z16)&lt;=0,"",IF(N(GanttCalc!AA16)-N(GanttCalc!Z16)=1,"R"&amp;GanttCalc!AA16,"R"&amp;(GanttCalc!Z16+1)&amp;"-"&amp;GanttCalc!AA16)))</f>
        <v/>
      </c>
      <c r="AC59" s="60" t="str">
        <f aca="false">IF($B$58="","",IF(N(GanttCalc!AB16)-N(GanttCalc!AA16)&lt;=0,"",IF(N(GanttCalc!AB16)-N(GanttCalc!AA16)=1,"R"&amp;GanttCalc!AB16,"R"&amp;(GanttCalc!AA16+1)&amp;"-"&amp;GanttCalc!AB16)))</f>
        <v/>
      </c>
      <c r="AD59" s="60" t="str">
        <f aca="false">IF($B$58="","",IF(N(GanttCalc!AC16)-N(GanttCalc!AB16)&lt;=0,"",IF(N(GanttCalc!AC16)-N(GanttCalc!AB16)=1,"R"&amp;GanttCalc!AC16,"R"&amp;(GanttCalc!AB16+1)&amp;"-"&amp;GanttCalc!AC16)))</f>
        <v/>
      </c>
      <c r="AE59" s="60" t="str">
        <f aca="false">IF($B$58="","",IF(N(GanttCalc!AD16)-N(GanttCalc!AC16)&lt;=0,"",IF(N(GanttCalc!AD16)-N(GanttCalc!AC16)=1,"R"&amp;GanttCalc!AD16,"R"&amp;(GanttCalc!AC16+1)&amp;"-"&amp;GanttCalc!AD16)))</f>
        <v/>
      </c>
      <c r="AF59" s="60" t="str">
        <f aca="false">IF($B$58="","",IF(N(GanttCalc!AE16)-N(GanttCalc!AD16)&lt;=0,"",IF(N(GanttCalc!AE16)-N(GanttCalc!AD16)=1,"R"&amp;GanttCalc!AE16,"R"&amp;(GanttCalc!AD16+1)&amp;"-"&amp;GanttCalc!AE16)))</f>
        <v/>
      </c>
      <c r="AG59" s="60" t="str">
        <f aca="false">IF($B$58="","",IF(N(GanttCalc!AF16)-N(GanttCalc!AE16)&lt;=0,"",IF(N(GanttCalc!AF16)-N(GanttCalc!AE16)=1,"R"&amp;GanttCalc!AF16,"R"&amp;(GanttCalc!AE16+1)&amp;"-"&amp;GanttCalc!AF16)))</f>
        <v/>
      </c>
      <c r="AH59" s="60" t="str">
        <f aca="false">IF($B$58="","",IF(N(GanttCalc!AG16)-N(GanttCalc!AF16)&lt;=0,"",IF(N(GanttCalc!AG16)-N(GanttCalc!AF16)=1,"R"&amp;GanttCalc!AG16,"R"&amp;(GanttCalc!AF16+1)&amp;"-"&amp;GanttCalc!AG16)))</f>
        <v/>
      </c>
      <c r="AI59" s="60" t="str">
        <f aca="false">IF($B$58="","",IF(N(GanttCalc!AH16)-N(GanttCalc!AG16)&lt;=0,"",IF(N(GanttCalc!AH16)-N(GanttCalc!AG16)=1,"R"&amp;GanttCalc!AH16,"R"&amp;(GanttCalc!AG16+1)&amp;"-"&amp;GanttCalc!AH16)))</f>
        <v/>
      </c>
      <c r="AJ59" s="60" t="str">
        <f aca="false">IF($B$58="","",IF(N(GanttCalc!AI16)-N(GanttCalc!AH16)&lt;=0,"",IF(N(GanttCalc!AI16)-N(GanttCalc!AH16)=1,"R"&amp;GanttCalc!AI16,"R"&amp;(GanttCalc!AH16+1)&amp;"-"&amp;GanttCalc!AI16)))</f>
        <v/>
      </c>
      <c r="AK59" s="60" t="str">
        <f aca="false">IF($B$58="","",IF(N(GanttCalc!AJ16)-N(GanttCalc!AI16)&lt;=0,"",IF(N(GanttCalc!AJ16)-N(GanttCalc!AI16)=1,"R"&amp;GanttCalc!AJ16,"R"&amp;(GanttCalc!AI16+1)&amp;"-"&amp;GanttCalc!AJ16)))</f>
        <v/>
      </c>
      <c r="AL59" s="60" t="str">
        <f aca="false">IF($B$58="","",IF(N(GanttCalc!AK16)-N(GanttCalc!AJ16)&lt;=0,"",IF(N(GanttCalc!AK16)-N(GanttCalc!AJ16)=1,"R"&amp;GanttCalc!AK16,"R"&amp;(GanttCalc!AJ16+1)&amp;"-"&amp;GanttCalc!AK16)))</f>
        <v/>
      </c>
      <c r="AM59" s="60" t="str">
        <f aca="false">IF($B$58="","",IF(N(GanttCalc!AL16)-N(GanttCalc!AK16)&lt;=0,"",IF(N(GanttCalc!AL16)-N(GanttCalc!AK16)=1,"R"&amp;GanttCalc!AL16,"R"&amp;(GanttCalc!AK16+1)&amp;"-"&amp;GanttCalc!AL16)))</f>
        <v/>
      </c>
      <c r="AN59" s="60" t="str">
        <f aca="false">IF($B$58="","",IF(N(GanttCalc!AM16)-N(GanttCalc!AL16)&lt;=0,"",IF(N(GanttCalc!AM16)-N(GanttCalc!AL16)=1,"R"&amp;GanttCalc!AM16,"R"&amp;(GanttCalc!AL16+1)&amp;"-"&amp;GanttCalc!AM16)))</f>
        <v/>
      </c>
      <c r="AO59" s="60" t="str">
        <f aca="false">IF($B$58="","",IF(N(GanttCalc!AN16)-N(GanttCalc!AM16)&lt;=0,"",IF(N(GanttCalc!AN16)-N(GanttCalc!AM16)=1,"R"&amp;GanttCalc!AN16,"R"&amp;(GanttCalc!AM16+1)&amp;"-"&amp;GanttCalc!AN16)))</f>
        <v/>
      </c>
      <c r="AP59" s="60" t="str">
        <f aca="false">IF($B$58="","",IF(N(GanttCalc!AO16)-N(GanttCalc!AN16)&lt;=0,"",IF(N(GanttCalc!AO16)-N(GanttCalc!AN16)=1,"R"&amp;GanttCalc!AO16,"R"&amp;(GanttCalc!AN16+1)&amp;"-"&amp;GanttCalc!AO16)))</f>
        <v/>
      </c>
      <c r="AQ59" s="60" t="str">
        <f aca="false">IF($B$58="","",IF(N(GanttCalc!AP16)-N(GanttCalc!AO16)&lt;=0,"",IF(N(GanttCalc!AP16)-N(GanttCalc!AO16)=1,"R"&amp;GanttCalc!AP16,"R"&amp;(GanttCalc!AO16+1)&amp;"-"&amp;GanttCalc!AP16)))</f>
        <v/>
      </c>
      <c r="AR59" s="60" t="str">
        <f aca="false">IF($B$58="","",IF(N(GanttCalc!AQ16)-N(GanttCalc!AP16)&lt;=0,"",IF(N(GanttCalc!AQ16)-N(GanttCalc!AP16)=1,"R"&amp;GanttCalc!AQ16,"R"&amp;(GanttCalc!AP16+1)&amp;"-"&amp;GanttCalc!AQ16)))</f>
        <v/>
      </c>
      <c r="AS59" s="60" t="str">
        <f aca="false">IF($B$58="","",IF(N(GanttCalc!AR16)-N(GanttCalc!AQ16)&lt;=0,"",IF(N(GanttCalc!AR16)-N(GanttCalc!AQ16)=1,"R"&amp;GanttCalc!AR16,"R"&amp;(GanttCalc!AQ16+1)&amp;"-"&amp;GanttCalc!AR16)))</f>
        <v/>
      </c>
      <c r="AT59" s="60" t="str">
        <f aca="false">IF($B$58="","",IF(N(GanttCalc!AS16)-N(GanttCalc!AR16)&lt;=0,"",IF(N(GanttCalc!AS16)-N(GanttCalc!AR16)=1,"R"&amp;GanttCalc!AS16,"R"&amp;(GanttCalc!AR16+1)&amp;"-"&amp;GanttCalc!AS16)))</f>
        <v/>
      </c>
      <c r="AU59" s="60" t="str">
        <f aca="false">IF($B$58="","",IF(N(GanttCalc!AT16)-N(GanttCalc!AS16)&lt;=0,"",IF(N(GanttCalc!AT16)-N(GanttCalc!AS16)=1,"R"&amp;GanttCalc!AT16,"R"&amp;(GanttCalc!AS16+1)&amp;"-"&amp;GanttCalc!AT16)))</f>
        <v/>
      </c>
      <c r="AV59" s="60" t="str">
        <f aca="false">IF($B$58="","",IF(N(GanttCalc!AU16)-N(GanttCalc!AT16)&lt;=0,"",IF(N(GanttCalc!AU16)-N(GanttCalc!AT16)=1,"R"&amp;GanttCalc!AU16,"R"&amp;(GanttCalc!AT16+1)&amp;"-"&amp;GanttCalc!AU16)))</f>
        <v/>
      </c>
      <c r="AW59" s="60" t="str">
        <f aca="false">IF($B$58="","",IF(N(GanttCalc!AV16)-N(GanttCalc!AU16)&lt;=0,"",IF(N(GanttCalc!AV16)-N(GanttCalc!AU16)=1,"R"&amp;GanttCalc!AV16,"R"&amp;(GanttCalc!AU16+1)&amp;"-"&amp;GanttCalc!AV16)))</f>
        <v/>
      </c>
      <c r="AX59" s="60" t="str">
        <f aca="false">IF($B$58="","",IF(N(GanttCalc!AW16)-N(GanttCalc!AV16)&lt;=0,"",IF(N(GanttCalc!AW16)-N(GanttCalc!AV16)=1,"R"&amp;GanttCalc!AW16,"R"&amp;(GanttCalc!AV16+1)&amp;"-"&amp;GanttCalc!AW16)))</f>
        <v/>
      </c>
      <c r="AY59" s="60" t="str">
        <f aca="false">IF($B$58="","",IF(N(GanttCalc!AX16)-N(GanttCalc!AW16)&lt;=0,"",IF(N(GanttCalc!AX16)-N(GanttCalc!AW16)=1,"R"&amp;GanttCalc!AX16,"R"&amp;(GanttCalc!AW16+1)&amp;"-"&amp;GanttCalc!AX16)))</f>
        <v/>
      </c>
      <c r="AZ59" s="60" t="str">
        <f aca="false">IF($B$58="","",IF(N(GanttCalc!AY16)-N(GanttCalc!AX16)&lt;=0,"",IF(N(GanttCalc!AY16)-N(GanttCalc!AX16)=1,"R"&amp;GanttCalc!AY16,"R"&amp;(GanttCalc!AX16+1)&amp;"-"&amp;GanttCalc!AY16)))</f>
        <v/>
      </c>
      <c r="BA59" s="60" t="str">
        <f aca="false">IF($B$58="","",IF(N(GanttCalc!AZ16)-N(GanttCalc!AY16)&lt;=0,"",IF(N(GanttCalc!AZ16)-N(GanttCalc!AY16)=1,"R"&amp;GanttCalc!AZ16,"R"&amp;(GanttCalc!AY16+1)&amp;"-"&amp;GanttCalc!AZ16)))</f>
        <v/>
      </c>
      <c r="BB59" s="60" t="str">
        <f aca="false">IF($B$58="","",IF(N(GanttCalc!BA16)-N(GanttCalc!AZ16)&lt;=0,"",IF(N(GanttCalc!BA16)-N(GanttCalc!AZ16)=1,"R"&amp;GanttCalc!BA16,"R"&amp;(GanttCalc!AZ16+1)&amp;"-"&amp;GanttCalc!BA16)))</f>
        <v/>
      </c>
      <c r="BC59" s="60" t="str">
        <f aca="false">IF($B$58="","",IF(N(GanttCalc!BB16)-N(GanttCalc!BA16)&lt;=0,"",IF(N(GanttCalc!BB16)-N(GanttCalc!BA16)=1,"R"&amp;GanttCalc!BB16,"R"&amp;(GanttCalc!BA16+1)&amp;"-"&amp;GanttCalc!BB16)))</f>
        <v/>
      </c>
      <c r="BD59" s="60" t="str">
        <f aca="false">IF($B$58="","",IF(N(GanttCalc!BC16)-N(GanttCalc!BB16)&lt;=0,"",IF(N(GanttCalc!BC16)-N(GanttCalc!BB16)=1,"R"&amp;GanttCalc!BC16,"R"&amp;(GanttCalc!BB16+1)&amp;"-"&amp;GanttCalc!BC16)))</f>
        <v/>
      </c>
    </row>
    <row r="60" customFormat="false" ht="16.5" hidden="false" customHeight="true" outlineLevel="0" collapsed="false">
      <c r="B60" s="63" t="str">
        <f aca="false">IF(Contracts!$A$18="","",IF(Contracts!$I$18="","no kit list","kitted: "&amp;Contracts!$I$18&amp;" / "&amp;Contracts!$F$18))</f>
        <v/>
      </c>
      <c r="C60" s="64" t="str">
        <f aca="false">IF(Contracts!$A$18="","","Final build")</f>
        <v/>
      </c>
      <c r="D60" s="59" t="str">
        <f aca="false">IF($B$58="","",SUMPRODUCT(--(E60:BD60&lt;&gt;""))&amp;" wks")</f>
        <v/>
      </c>
      <c r="E60" s="60" t="str">
        <f aca="false">IF($B$58="","",IF(N(GanttCalc!C16)-N(GanttCalc!B16)&lt;=0,"",IF(N(GanttCalc!C16)-N(GanttCalc!B16)=1,"R"&amp;GanttCalc!C16,"R"&amp;(GanttCalc!B16+1)&amp;"-"&amp;GanttCalc!C16)))</f>
        <v/>
      </c>
      <c r="F60" s="60" t="str">
        <f aca="false">IF($B$58="","",IF(N(GanttCalc!D16)-N(GanttCalc!C16)&lt;=0,"",IF(N(GanttCalc!D16)-N(GanttCalc!C16)=1,"R"&amp;GanttCalc!D16,"R"&amp;(GanttCalc!C16+1)&amp;"-"&amp;GanttCalc!D16)))</f>
        <v/>
      </c>
      <c r="G60" s="60" t="str">
        <f aca="false">IF($B$58="","",IF(N(GanttCalc!E16)-N(GanttCalc!D16)&lt;=0,"",IF(N(GanttCalc!E16)-N(GanttCalc!D16)=1,"R"&amp;GanttCalc!E16,"R"&amp;(GanttCalc!D16+1)&amp;"-"&amp;GanttCalc!E16)))</f>
        <v/>
      </c>
      <c r="H60" s="60" t="str">
        <f aca="false">IF($B$58="","",IF(N(GanttCalc!F16)-N(GanttCalc!E16)&lt;=0,"",IF(N(GanttCalc!F16)-N(GanttCalc!E16)=1,"R"&amp;GanttCalc!F16,"R"&amp;(GanttCalc!E16+1)&amp;"-"&amp;GanttCalc!F16)))</f>
        <v/>
      </c>
      <c r="I60" s="60" t="str">
        <f aca="false">IF($B$58="","",IF(N(GanttCalc!G16)-N(GanttCalc!F16)&lt;=0,"",IF(N(GanttCalc!G16)-N(GanttCalc!F16)=1,"R"&amp;GanttCalc!G16,"R"&amp;(GanttCalc!F16+1)&amp;"-"&amp;GanttCalc!G16)))</f>
        <v/>
      </c>
      <c r="J60" s="60" t="str">
        <f aca="false">IF($B$58="","",IF(N(GanttCalc!H16)-N(GanttCalc!G16)&lt;=0,"",IF(N(GanttCalc!H16)-N(GanttCalc!G16)=1,"R"&amp;GanttCalc!H16,"R"&amp;(GanttCalc!G16+1)&amp;"-"&amp;GanttCalc!H16)))</f>
        <v/>
      </c>
      <c r="K60" s="60" t="str">
        <f aca="false">IF($B$58="","",IF(N(GanttCalc!I16)-N(GanttCalc!H16)&lt;=0,"",IF(N(GanttCalc!I16)-N(GanttCalc!H16)=1,"R"&amp;GanttCalc!I16,"R"&amp;(GanttCalc!H16+1)&amp;"-"&amp;GanttCalc!I16)))</f>
        <v/>
      </c>
      <c r="L60" s="60" t="str">
        <f aca="false">IF($B$58="","",IF(N(GanttCalc!J16)-N(GanttCalc!I16)&lt;=0,"",IF(N(GanttCalc!J16)-N(GanttCalc!I16)=1,"R"&amp;GanttCalc!J16,"R"&amp;(GanttCalc!I16+1)&amp;"-"&amp;GanttCalc!J16)))</f>
        <v/>
      </c>
      <c r="M60" s="60" t="str">
        <f aca="false">IF($B$58="","",IF(N(GanttCalc!K16)-N(GanttCalc!J16)&lt;=0,"",IF(N(GanttCalc!K16)-N(GanttCalc!J16)=1,"R"&amp;GanttCalc!K16,"R"&amp;(GanttCalc!J16+1)&amp;"-"&amp;GanttCalc!K16)))</f>
        <v/>
      </c>
      <c r="N60" s="60" t="str">
        <f aca="false">IF($B$58="","",IF(N(GanttCalc!L16)-N(GanttCalc!K16)&lt;=0,"",IF(N(GanttCalc!L16)-N(GanttCalc!K16)=1,"R"&amp;GanttCalc!L16,"R"&amp;(GanttCalc!K16+1)&amp;"-"&amp;GanttCalc!L16)))</f>
        <v/>
      </c>
      <c r="O60" s="60" t="str">
        <f aca="false">IF($B$58="","",IF(N(GanttCalc!M16)-N(GanttCalc!L16)&lt;=0,"",IF(N(GanttCalc!M16)-N(GanttCalc!L16)=1,"R"&amp;GanttCalc!M16,"R"&amp;(GanttCalc!L16+1)&amp;"-"&amp;GanttCalc!M16)))</f>
        <v/>
      </c>
      <c r="P60" s="60" t="str">
        <f aca="false">IF($B$58="","",IF(N(GanttCalc!N16)-N(GanttCalc!M16)&lt;=0,"",IF(N(GanttCalc!N16)-N(GanttCalc!M16)=1,"R"&amp;GanttCalc!N16,"R"&amp;(GanttCalc!M16+1)&amp;"-"&amp;GanttCalc!N16)))</f>
        <v/>
      </c>
      <c r="Q60" s="60" t="str">
        <f aca="false">IF($B$58="","",IF(N(GanttCalc!O16)-N(GanttCalc!N16)&lt;=0,"",IF(N(GanttCalc!O16)-N(GanttCalc!N16)=1,"R"&amp;GanttCalc!O16,"R"&amp;(GanttCalc!N16+1)&amp;"-"&amp;GanttCalc!O16)))</f>
        <v/>
      </c>
      <c r="R60" s="60" t="str">
        <f aca="false">IF($B$58="","",IF(N(GanttCalc!P16)-N(GanttCalc!O16)&lt;=0,"",IF(N(GanttCalc!P16)-N(GanttCalc!O16)=1,"R"&amp;GanttCalc!P16,"R"&amp;(GanttCalc!O16+1)&amp;"-"&amp;GanttCalc!P16)))</f>
        <v/>
      </c>
      <c r="S60" s="60" t="str">
        <f aca="false">IF($B$58="","",IF(N(GanttCalc!Q16)-N(GanttCalc!P16)&lt;=0,"",IF(N(GanttCalc!Q16)-N(GanttCalc!P16)=1,"R"&amp;GanttCalc!Q16,"R"&amp;(GanttCalc!P16+1)&amp;"-"&amp;GanttCalc!Q16)))</f>
        <v/>
      </c>
      <c r="T60" s="60" t="str">
        <f aca="false">IF($B$58="","",IF(N(GanttCalc!R16)-N(GanttCalc!Q16)&lt;=0,"",IF(N(GanttCalc!R16)-N(GanttCalc!Q16)=1,"R"&amp;GanttCalc!R16,"R"&amp;(GanttCalc!Q16+1)&amp;"-"&amp;GanttCalc!R16)))</f>
        <v/>
      </c>
      <c r="U60" s="60" t="str">
        <f aca="false">IF($B$58="","",IF(N(GanttCalc!S16)-N(GanttCalc!R16)&lt;=0,"",IF(N(GanttCalc!S16)-N(GanttCalc!R16)=1,"R"&amp;GanttCalc!S16,"R"&amp;(GanttCalc!R16+1)&amp;"-"&amp;GanttCalc!S16)))</f>
        <v/>
      </c>
      <c r="V60" s="60" t="str">
        <f aca="false">IF($B$58="","",IF(N(GanttCalc!T16)-N(GanttCalc!S16)&lt;=0,"",IF(N(GanttCalc!T16)-N(GanttCalc!S16)=1,"R"&amp;GanttCalc!T16,"R"&amp;(GanttCalc!S16+1)&amp;"-"&amp;GanttCalc!T16)))</f>
        <v/>
      </c>
      <c r="W60" s="60" t="str">
        <f aca="false">IF($B$58="","",IF(N(GanttCalc!U16)-N(GanttCalc!T16)&lt;=0,"",IF(N(GanttCalc!U16)-N(GanttCalc!T16)=1,"R"&amp;GanttCalc!U16,"R"&amp;(GanttCalc!T16+1)&amp;"-"&amp;GanttCalc!U16)))</f>
        <v/>
      </c>
      <c r="X60" s="60" t="str">
        <f aca="false">IF($B$58="","",IF(N(GanttCalc!V16)-N(GanttCalc!U16)&lt;=0,"",IF(N(GanttCalc!V16)-N(GanttCalc!U16)=1,"R"&amp;GanttCalc!V16,"R"&amp;(GanttCalc!U16+1)&amp;"-"&amp;GanttCalc!V16)))</f>
        <v/>
      </c>
      <c r="Y60" s="60" t="str">
        <f aca="false">IF($B$58="","",IF(N(GanttCalc!W16)-N(GanttCalc!V16)&lt;=0,"",IF(N(GanttCalc!W16)-N(GanttCalc!V16)=1,"R"&amp;GanttCalc!W16,"R"&amp;(GanttCalc!V16+1)&amp;"-"&amp;GanttCalc!W16)))</f>
        <v/>
      </c>
      <c r="Z60" s="60" t="str">
        <f aca="false">IF($B$58="","",IF(N(GanttCalc!X16)-N(GanttCalc!W16)&lt;=0,"",IF(N(GanttCalc!X16)-N(GanttCalc!W16)=1,"R"&amp;GanttCalc!X16,"R"&amp;(GanttCalc!W16+1)&amp;"-"&amp;GanttCalc!X16)))</f>
        <v/>
      </c>
      <c r="AA60" s="60" t="str">
        <f aca="false">IF($B$58="","",IF(N(GanttCalc!Y16)-N(GanttCalc!X16)&lt;=0,"",IF(N(GanttCalc!Y16)-N(GanttCalc!X16)=1,"R"&amp;GanttCalc!Y16,"R"&amp;(GanttCalc!X16+1)&amp;"-"&amp;GanttCalc!Y16)))</f>
        <v/>
      </c>
      <c r="AB60" s="60" t="str">
        <f aca="false">IF($B$58="","",IF(N(GanttCalc!Z16)-N(GanttCalc!Y16)&lt;=0,"",IF(N(GanttCalc!Z16)-N(GanttCalc!Y16)=1,"R"&amp;GanttCalc!Z16,"R"&amp;(GanttCalc!Y16+1)&amp;"-"&amp;GanttCalc!Z16)))</f>
        <v/>
      </c>
      <c r="AC60" s="60" t="str">
        <f aca="false">IF($B$58="","",IF(N(GanttCalc!AA16)-N(GanttCalc!Z16)&lt;=0,"",IF(N(GanttCalc!AA16)-N(GanttCalc!Z16)=1,"R"&amp;GanttCalc!AA16,"R"&amp;(GanttCalc!Z16+1)&amp;"-"&amp;GanttCalc!AA16)))</f>
        <v/>
      </c>
      <c r="AD60" s="60" t="str">
        <f aca="false">IF($B$58="","",IF(N(GanttCalc!AB16)-N(GanttCalc!AA16)&lt;=0,"",IF(N(GanttCalc!AB16)-N(GanttCalc!AA16)=1,"R"&amp;GanttCalc!AB16,"R"&amp;(GanttCalc!AA16+1)&amp;"-"&amp;GanttCalc!AB16)))</f>
        <v/>
      </c>
      <c r="AE60" s="60" t="str">
        <f aca="false">IF($B$58="","",IF(N(GanttCalc!AC16)-N(GanttCalc!AB16)&lt;=0,"",IF(N(GanttCalc!AC16)-N(GanttCalc!AB16)=1,"R"&amp;GanttCalc!AC16,"R"&amp;(GanttCalc!AB16+1)&amp;"-"&amp;GanttCalc!AC16)))</f>
        <v/>
      </c>
      <c r="AF60" s="60" t="str">
        <f aca="false">IF($B$58="","",IF(N(GanttCalc!AD16)-N(GanttCalc!AC16)&lt;=0,"",IF(N(GanttCalc!AD16)-N(GanttCalc!AC16)=1,"R"&amp;GanttCalc!AD16,"R"&amp;(GanttCalc!AC16+1)&amp;"-"&amp;GanttCalc!AD16)))</f>
        <v/>
      </c>
      <c r="AG60" s="60" t="str">
        <f aca="false">IF($B$58="","",IF(N(GanttCalc!AE16)-N(GanttCalc!AD16)&lt;=0,"",IF(N(GanttCalc!AE16)-N(GanttCalc!AD16)=1,"R"&amp;GanttCalc!AE16,"R"&amp;(GanttCalc!AD16+1)&amp;"-"&amp;GanttCalc!AE16)))</f>
        <v/>
      </c>
      <c r="AH60" s="60" t="str">
        <f aca="false">IF($B$58="","",IF(N(GanttCalc!AF16)-N(GanttCalc!AE16)&lt;=0,"",IF(N(GanttCalc!AF16)-N(GanttCalc!AE16)=1,"R"&amp;GanttCalc!AF16,"R"&amp;(GanttCalc!AE16+1)&amp;"-"&amp;GanttCalc!AF16)))</f>
        <v/>
      </c>
      <c r="AI60" s="60" t="str">
        <f aca="false">IF($B$58="","",IF(N(GanttCalc!AG16)-N(GanttCalc!AF16)&lt;=0,"",IF(N(GanttCalc!AG16)-N(GanttCalc!AF16)=1,"R"&amp;GanttCalc!AG16,"R"&amp;(GanttCalc!AF16+1)&amp;"-"&amp;GanttCalc!AG16)))</f>
        <v/>
      </c>
      <c r="AJ60" s="60" t="str">
        <f aca="false">IF($B$58="","",IF(N(GanttCalc!AH16)-N(GanttCalc!AG16)&lt;=0,"",IF(N(GanttCalc!AH16)-N(GanttCalc!AG16)=1,"R"&amp;GanttCalc!AH16,"R"&amp;(GanttCalc!AG16+1)&amp;"-"&amp;GanttCalc!AH16)))</f>
        <v/>
      </c>
      <c r="AK60" s="60" t="str">
        <f aca="false">IF($B$58="","",IF(N(GanttCalc!AI16)-N(GanttCalc!AH16)&lt;=0,"",IF(N(GanttCalc!AI16)-N(GanttCalc!AH16)=1,"R"&amp;GanttCalc!AI16,"R"&amp;(GanttCalc!AH16+1)&amp;"-"&amp;GanttCalc!AI16)))</f>
        <v/>
      </c>
      <c r="AL60" s="60" t="str">
        <f aca="false">IF($B$58="","",IF(N(GanttCalc!AJ16)-N(GanttCalc!AI16)&lt;=0,"",IF(N(GanttCalc!AJ16)-N(GanttCalc!AI16)=1,"R"&amp;GanttCalc!AJ16,"R"&amp;(GanttCalc!AI16+1)&amp;"-"&amp;GanttCalc!AJ16)))</f>
        <v/>
      </c>
      <c r="AM60" s="60" t="str">
        <f aca="false">IF($B$58="","",IF(N(GanttCalc!AK16)-N(GanttCalc!AJ16)&lt;=0,"",IF(N(GanttCalc!AK16)-N(GanttCalc!AJ16)=1,"R"&amp;GanttCalc!AK16,"R"&amp;(GanttCalc!AJ16+1)&amp;"-"&amp;GanttCalc!AK16)))</f>
        <v/>
      </c>
      <c r="AN60" s="60" t="str">
        <f aca="false">IF($B$58="","",IF(N(GanttCalc!AL16)-N(GanttCalc!AK16)&lt;=0,"",IF(N(GanttCalc!AL16)-N(GanttCalc!AK16)=1,"R"&amp;GanttCalc!AL16,"R"&amp;(GanttCalc!AK16+1)&amp;"-"&amp;GanttCalc!AL16)))</f>
        <v/>
      </c>
      <c r="AO60" s="60" t="str">
        <f aca="false">IF($B$58="","",IF(N(GanttCalc!AM16)-N(GanttCalc!AL16)&lt;=0,"",IF(N(GanttCalc!AM16)-N(GanttCalc!AL16)=1,"R"&amp;GanttCalc!AM16,"R"&amp;(GanttCalc!AL16+1)&amp;"-"&amp;GanttCalc!AM16)))</f>
        <v/>
      </c>
      <c r="AP60" s="60" t="str">
        <f aca="false">IF($B$58="","",IF(N(GanttCalc!AN16)-N(GanttCalc!AM16)&lt;=0,"",IF(N(GanttCalc!AN16)-N(GanttCalc!AM16)=1,"R"&amp;GanttCalc!AN16,"R"&amp;(GanttCalc!AM16+1)&amp;"-"&amp;GanttCalc!AN16)))</f>
        <v/>
      </c>
      <c r="AQ60" s="60" t="str">
        <f aca="false">IF($B$58="","",IF(N(GanttCalc!AO16)-N(GanttCalc!AN16)&lt;=0,"",IF(N(GanttCalc!AO16)-N(GanttCalc!AN16)=1,"R"&amp;GanttCalc!AO16,"R"&amp;(GanttCalc!AN16+1)&amp;"-"&amp;GanttCalc!AO16)))</f>
        <v/>
      </c>
      <c r="AR60" s="60" t="str">
        <f aca="false">IF($B$58="","",IF(N(GanttCalc!AP16)-N(GanttCalc!AO16)&lt;=0,"",IF(N(GanttCalc!AP16)-N(GanttCalc!AO16)=1,"R"&amp;GanttCalc!AP16,"R"&amp;(GanttCalc!AO16+1)&amp;"-"&amp;GanttCalc!AP16)))</f>
        <v/>
      </c>
      <c r="AS60" s="60" t="str">
        <f aca="false">IF($B$58="","",IF(N(GanttCalc!AQ16)-N(GanttCalc!AP16)&lt;=0,"",IF(N(GanttCalc!AQ16)-N(GanttCalc!AP16)=1,"R"&amp;GanttCalc!AQ16,"R"&amp;(GanttCalc!AP16+1)&amp;"-"&amp;GanttCalc!AQ16)))</f>
        <v/>
      </c>
      <c r="AT60" s="60" t="str">
        <f aca="false">IF($B$58="","",IF(N(GanttCalc!AR16)-N(GanttCalc!AQ16)&lt;=0,"",IF(N(GanttCalc!AR16)-N(GanttCalc!AQ16)=1,"R"&amp;GanttCalc!AR16,"R"&amp;(GanttCalc!AQ16+1)&amp;"-"&amp;GanttCalc!AR16)))</f>
        <v/>
      </c>
      <c r="AU60" s="60" t="str">
        <f aca="false">IF($B$58="","",IF(N(GanttCalc!AS16)-N(GanttCalc!AR16)&lt;=0,"",IF(N(GanttCalc!AS16)-N(GanttCalc!AR16)=1,"R"&amp;GanttCalc!AS16,"R"&amp;(GanttCalc!AR16+1)&amp;"-"&amp;GanttCalc!AS16)))</f>
        <v/>
      </c>
      <c r="AV60" s="60" t="str">
        <f aca="false">IF($B$58="","",IF(N(GanttCalc!AT16)-N(GanttCalc!AS16)&lt;=0,"",IF(N(GanttCalc!AT16)-N(GanttCalc!AS16)=1,"R"&amp;GanttCalc!AT16,"R"&amp;(GanttCalc!AS16+1)&amp;"-"&amp;GanttCalc!AT16)))</f>
        <v/>
      </c>
      <c r="AW60" s="60" t="str">
        <f aca="false">IF($B$58="","",IF(N(GanttCalc!AU16)-N(GanttCalc!AT16)&lt;=0,"",IF(N(GanttCalc!AU16)-N(GanttCalc!AT16)=1,"R"&amp;GanttCalc!AU16,"R"&amp;(GanttCalc!AT16+1)&amp;"-"&amp;GanttCalc!AU16)))</f>
        <v/>
      </c>
      <c r="AX60" s="60" t="str">
        <f aca="false">IF($B$58="","",IF(N(GanttCalc!AV16)-N(GanttCalc!AU16)&lt;=0,"",IF(N(GanttCalc!AV16)-N(GanttCalc!AU16)=1,"R"&amp;GanttCalc!AV16,"R"&amp;(GanttCalc!AU16+1)&amp;"-"&amp;GanttCalc!AV16)))</f>
        <v/>
      </c>
      <c r="AY60" s="60" t="str">
        <f aca="false">IF($B$58="","",IF(N(GanttCalc!AW16)-N(GanttCalc!AV16)&lt;=0,"",IF(N(GanttCalc!AW16)-N(GanttCalc!AV16)=1,"R"&amp;GanttCalc!AW16,"R"&amp;(GanttCalc!AV16+1)&amp;"-"&amp;GanttCalc!AW16)))</f>
        <v/>
      </c>
      <c r="AZ60" s="60" t="str">
        <f aca="false">IF($B$58="","",IF(N(GanttCalc!AX16)-N(GanttCalc!AW16)&lt;=0,"",IF(N(GanttCalc!AX16)-N(GanttCalc!AW16)=1,"R"&amp;GanttCalc!AX16,"R"&amp;(GanttCalc!AW16+1)&amp;"-"&amp;GanttCalc!AX16)))</f>
        <v/>
      </c>
      <c r="BA60" s="60" t="str">
        <f aca="false">IF($B$58="","",IF(N(GanttCalc!AY16)-N(GanttCalc!AX16)&lt;=0,"",IF(N(GanttCalc!AY16)-N(GanttCalc!AX16)=1,"R"&amp;GanttCalc!AY16,"R"&amp;(GanttCalc!AX16+1)&amp;"-"&amp;GanttCalc!AY16)))</f>
        <v/>
      </c>
      <c r="BB60" s="60" t="str">
        <f aca="false">IF($B$58="","",IF(N(GanttCalc!AZ16)-N(GanttCalc!AY16)&lt;=0,"",IF(N(GanttCalc!AZ16)-N(GanttCalc!AY16)=1,"R"&amp;GanttCalc!AZ16,"R"&amp;(GanttCalc!AY16+1)&amp;"-"&amp;GanttCalc!AZ16)))</f>
        <v/>
      </c>
      <c r="BC60" s="60" t="str">
        <f aca="false">IF($B$58="","",IF(N(GanttCalc!BA16)-N(GanttCalc!AZ16)&lt;=0,"",IF(N(GanttCalc!BA16)-N(GanttCalc!AZ16)=1,"R"&amp;GanttCalc!BA16,"R"&amp;(GanttCalc!AZ16+1)&amp;"-"&amp;GanttCalc!BA16)))</f>
        <v/>
      </c>
      <c r="BD60" s="60" t="str">
        <f aca="false">IF($B$58="","",IF(N(GanttCalc!BB16)-N(GanttCalc!BA16)&lt;=0,"",IF(N(GanttCalc!BB16)-N(GanttCalc!BA16)=1,"R"&amp;GanttCalc!BB16,"R"&amp;(GanttCalc!BA16+1)&amp;"-"&amp;GanttCalc!BB16)))</f>
        <v/>
      </c>
    </row>
    <row r="61" customFormat="false" ht="6" hidden="false" customHeight="true" outlineLevel="0" collapsed="false"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customFormat="false" ht="16.5" hidden="false" customHeight="true" outlineLevel="0" collapsed="false">
      <c r="B62" s="32" t="str">
        <f aca="false">IF(Contracts!$A$19="","",Contracts!$A$19)</f>
        <v/>
      </c>
      <c r="C62" s="58" t="str">
        <f aca="false">IF(Contracts!$A$19="","","Kit release")</f>
        <v/>
      </c>
      <c r="D62" s="59" t="str">
        <f aca="false">IF($B$62="","",SUMPRODUCT(--(E62:BD62&lt;&gt;""))&amp;" wks")</f>
        <v/>
      </c>
      <c r="E62" s="60" t="str">
        <f aca="true">IF($B$62="","",IF(N(OFFSET(GanttCalc!$B$17,0,1+N(Contracts!$Q$19)))-N(OFFSET(GanttCalc!$B$17,0,0+N(Contracts!$Q$19)))&lt;=0,"",IF(N(OFFSET(GanttCalc!$B$17,0,1+N(Contracts!$Q$19)))-N(OFFSET(GanttCalc!$B$17,0,0+N(Contracts!$Q$19)))=1,"R"&amp;OFFSET(GanttCalc!$B$17,0,1+N(Contracts!$Q$19)),"R"&amp;(OFFSET(GanttCalc!$B$17,0,0+N(Contracts!$Q$19))+1)&amp;"-"&amp;OFFSET(GanttCalc!$B$17,0,1+N(Contracts!$Q$19)))))</f>
        <v/>
      </c>
      <c r="F62" s="60" t="str">
        <f aca="true">IF($B$62="","",IF(N(OFFSET(GanttCalc!$B$17,0,2+N(Contracts!$Q$19)))-N(OFFSET(GanttCalc!$B$17,0,1+N(Contracts!$Q$19)))&lt;=0,"",IF(N(OFFSET(GanttCalc!$B$17,0,2+N(Contracts!$Q$19)))-N(OFFSET(GanttCalc!$B$17,0,1+N(Contracts!$Q$19)))=1,"R"&amp;OFFSET(GanttCalc!$B$17,0,2+N(Contracts!$Q$19)),"R"&amp;(OFFSET(GanttCalc!$B$17,0,1+N(Contracts!$Q$19))+1)&amp;"-"&amp;OFFSET(GanttCalc!$B$17,0,2+N(Contracts!$Q$19)))))</f>
        <v/>
      </c>
      <c r="G62" s="60" t="str">
        <f aca="true">IF($B$62="","",IF(N(OFFSET(GanttCalc!$B$17,0,3+N(Contracts!$Q$19)))-N(OFFSET(GanttCalc!$B$17,0,2+N(Contracts!$Q$19)))&lt;=0,"",IF(N(OFFSET(GanttCalc!$B$17,0,3+N(Contracts!$Q$19)))-N(OFFSET(GanttCalc!$B$17,0,2+N(Contracts!$Q$19)))=1,"R"&amp;OFFSET(GanttCalc!$B$17,0,3+N(Contracts!$Q$19)),"R"&amp;(OFFSET(GanttCalc!$B$17,0,2+N(Contracts!$Q$19))+1)&amp;"-"&amp;OFFSET(GanttCalc!$B$17,0,3+N(Contracts!$Q$19)))))</f>
        <v/>
      </c>
      <c r="H62" s="60" t="str">
        <f aca="true">IF($B$62="","",IF(N(OFFSET(GanttCalc!$B$17,0,4+N(Contracts!$Q$19)))-N(OFFSET(GanttCalc!$B$17,0,3+N(Contracts!$Q$19)))&lt;=0,"",IF(N(OFFSET(GanttCalc!$B$17,0,4+N(Contracts!$Q$19)))-N(OFFSET(GanttCalc!$B$17,0,3+N(Contracts!$Q$19)))=1,"R"&amp;OFFSET(GanttCalc!$B$17,0,4+N(Contracts!$Q$19)),"R"&amp;(OFFSET(GanttCalc!$B$17,0,3+N(Contracts!$Q$19))+1)&amp;"-"&amp;OFFSET(GanttCalc!$B$17,0,4+N(Contracts!$Q$19)))))</f>
        <v/>
      </c>
      <c r="I62" s="60" t="str">
        <f aca="true">IF($B$62="","",IF(N(OFFSET(GanttCalc!$B$17,0,5+N(Contracts!$Q$19)))-N(OFFSET(GanttCalc!$B$17,0,4+N(Contracts!$Q$19)))&lt;=0,"",IF(N(OFFSET(GanttCalc!$B$17,0,5+N(Contracts!$Q$19)))-N(OFFSET(GanttCalc!$B$17,0,4+N(Contracts!$Q$19)))=1,"R"&amp;OFFSET(GanttCalc!$B$17,0,5+N(Contracts!$Q$19)),"R"&amp;(OFFSET(GanttCalc!$B$17,0,4+N(Contracts!$Q$19))+1)&amp;"-"&amp;OFFSET(GanttCalc!$B$17,0,5+N(Contracts!$Q$19)))))</f>
        <v/>
      </c>
      <c r="J62" s="60" t="str">
        <f aca="true">IF($B$62="","",IF(N(OFFSET(GanttCalc!$B$17,0,6+N(Contracts!$Q$19)))-N(OFFSET(GanttCalc!$B$17,0,5+N(Contracts!$Q$19)))&lt;=0,"",IF(N(OFFSET(GanttCalc!$B$17,0,6+N(Contracts!$Q$19)))-N(OFFSET(GanttCalc!$B$17,0,5+N(Contracts!$Q$19)))=1,"R"&amp;OFFSET(GanttCalc!$B$17,0,6+N(Contracts!$Q$19)),"R"&amp;(OFFSET(GanttCalc!$B$17,0,5+N(Contracts!$Q$19))+1)&amp;"-"&amp;OFFSET(GanttCalc!$B$17,0,6+N(Contracts!$Q$19)))))</f>
        <v/>
      </c>
      <c r="K62" s="60" t="str">
        <f aca="true">IF($B$62="","",IF(N(OFFSET(GanttCalc!$B$17,0,7+N(Contracts!$Q$19)))-N(OFFSET(GanttCalc!$B$17,0,6+N(Contracts!$Q$19)))&lt;=0,"",IF(N(OFFSET(GanttCalc!$B$17,0,7+N(Contracts!$Q$19)))-N(OFFSET(GanttCalc!$B$17,0,6+N(Contracts!$Q$19)))=1,"R"&amp;OFFSET(GanttCalc!$B$17,0,7+N(Contracts!$Q$19)),"R"&amp;(OFFSET(GanttCalc!$B$17,0,6+N(Contracts!$Q$19))+1)&amp;"-"&amp;OFFSET(GanttCalc!$B$17,0,7+N(Contracts!$Q$19)))))</f>
        <v/>
      </c>
      <c r="L62" s="60" t="str">
        <f aca="true">IF($B$62="","",IF(N(OFFSET(GanttCalc!$B$17,0,8+N(Contracts!$Q$19)))-N(OFFSET(GanttCalc!$B$17,0,7+N(Contracts!$Q$19)))&lt;=0,"",IF(N(OFFSET(GanttCalc!$B$17,0,8+N(Contracts!$Q$19)))-N(OFFSET(GanttCalc!$B$17,0,7+N(Contracts!$Q$19)))=1,"R"&amp;OFFSET(GanttCalc!$B$17,0,8+N(Contracts!$Q$19)),"R"&amp;(OFFSET(GanttCalc!$B$17,0,7+N(Contracts!$Q$19))+1)&amp;"-"&amp;OFFSET(GanttCalc!$B$17,0,8+N(Contracts!$Q$19)))))</f>
        <v/>
      </c>
      <c r="M62" s="60" t="str">
        <f aca="true">IF($B$62="","",IF(N(OFFSET(GanttCalc!$B$17,0,9+N(Contracts!$Q$19)))-N(OFFSET(GanttCalc!$B$17,0,8+N(Contracts!$Q$19)))&lt;=0,"",IF(N(OFFSET(GanttCalc!$B$17,0,9+N(Contracts!$Q$19)))-N(OFFSET(GanttCalc!$B$17,0,8+N(Contracts!$Q$19)))=1,"R"&amp;OFFSET(GanttCalc!$B$17,0,9+N(Contracts!$Q$19)),"R"&amp;(OFFSET(GanttCalc!$B$17,0,8+N(Contracts!$Q$19))+1)&amp;"-"&amp;OFFSET(GanttCalc!$B$17,0,9+N(Contracts!$Q$19)))))</f>
        <v/>
      </c>
      <c r="N62" s="60" t="str">
        <f aca="true">IF($B$62="","",IF(N(OFFSET(GanttCalc!$B$17,0,10+N(Contracts!$Q$19)))-N(OFFSET(GanttCalc!$B$17,0,9+N(Contracts!$Q$19)))&lt;=0,"",IF(N(OFFSET(GanttCalc!$B$17,0,10+N(Contracts!$Q$19)))-N(OFFSET(GanttCalc!$B$17,0,9+N(Contracts!$Q$19)))=1,"R"&amp;OFFSET(GanttCalc!$B$17,0,10+N(Contracts!$Q$19)),"R"&amp;(OFFSET(GanttCalc!$B$17,0,9+N(Contracts!$Q$19))+1)&amp;"-"&amp;OFFSET(GanttCalc!$B$17,0,10+N(Contracts!$Q$19)))))</f>
        <v/>
      </c>
      <c r="O62" s="60" t="str">
        <f aca="true">IF($B$62="","",IF(N(OFFSET(GanttCalc!$B$17,0,11+N(Contracts!$Q$19)))-N(OFFSET(GanttCalc!$B$17,0,10+N(Contracts!$Q$19)))&lt;=0,"",IF(N(OFFSET(GanttCalc!$B$17,0,11+N(Contracts!$Q$19)))-N(OFFSET(GanttCalc!$B$17,0,10+N(Contracts!$Q$19)))=1,"R"&amp;OFFSET(GanttCalc!$B$17,0,11+N(Contracts!$Q$19)),"R"&amp;(OFFSET(GanttCalc!$B$17,0,10+N(Contracts!$Q$19))+1)&amp;"-"&amp;OFFSET(GanttCalc!$B$17,0,11+N(Contracts!$Q$19)))))</f>
        <v/>
      </c>
      <c r="P62" s="60" t="str">
        <f aca="true">IF($B$62="","",IF(N(OFFSET(GanttCalc!$B$17,0,12+N(Contracts!$Q$19)))-N(OFFSET(GanttCalc!$B$17,0,11+N(Contracts!$Q$19)))&lt;=0,"",IF(N(OFFSET(GanttCalc!$B$17,0,12+N(Contracts!$Q$19)))-N(OFFSET(GanttCalc!$B$17,0,11+N(Contracts!$Q$19)))=1,"R"&amp;OFFSET(GanttCalc!$B$17,0,12+N(Contracts!$Q$19)),"R"&amp;(OFFSET(GanttCalc!$B$17,0,11+N(Contracts!$Q$19))+1)&amp;"-"&amp;OFFSET(GanttCalc!$B$17,0,12+N(Contracts!$Q$19)))))</f>
        <v/>
      </c>
      <c r="Q62" s="60" t="str">
        <f aca="true">IF($B$62="","",IF(N(OFFSET(GanttCalc!$B$17,0,13+N(Contracts!$Q$19)))-N(OFFSET(GanttCalc!$B$17,0,12+N(Contracts!$Q$19)))&lt;=0,"",IF(N(OFFSET(GanttCalc!$B$17,0,13+N(Contracts!$Q$19)))-N(OFFSET(GanttCalc!$B$17,0,12+N(Contracts!$Q$19)))=1,"R"&amp;OFFSET(GanttCalc!$B$17,0,13+N(Contracts!$Q$19)),"R"&amp;(OFFSET(GanttCalc!$B$17,0,12+N(Contracts!$Q$19))+1)&amp;"-"&amp;OFFSET(GanttCalc!$B$17,0,13+N(Contracts!$Q$19)))))</f>
        <v/>
      </c>
      <c r="R62" s="60" t="str">
        <f aca="true">IF($B$62="","",IF(N(OFFSET(GanttCalc!$B$17,0,14+N(Contracts!$Q$19)))-N(OFFSET(GanttCalc!$B$17,0,13+N(Contracts!$Q$19)))&lt;=0,"",IF(N(OFFSET(GanttCalc!$B$17,0,14+N(Contracts!$Q$19)))-N(OFFSET(GanttCalc!$B$17,0,13+N(Contracts!$Q$19)))=1,"R"&amp;OFFSET(GanttCalc!$B$17,0,14+N(Contracts!$Q$19)),"R"&amp;(OFFSET(GanttCalc!$B$17,0,13+N(Contracts!$Q$19))+1)&amp;"-"&amp;OFFSET(GanttCalc!$B$17,0,14+N(Contracts!$Q$19)))))</f>
        <v/>
      </c>
      <c r="S62" s="60" t="str">
        <f aca="true">IF($B$62="","",IF(N(OFFSET(GanttCalc!$B$17,0,15+N(Contracts!$Q$19)))-N(OFFSET(GanttCalc!$B$17,0,14+N(Contracts!$Q$19)))&lt;=0,"",IF(N(OFFSET(GanttCalc!$B$17,0,15+N(Contracts!$Q$19)))-N(OFFSET(GanttCalc!$B$17,0,14+N(Contracts!$Q$19)))=1,"R"&amp;OFFSET(GanttCalc!$B$17,0,15+N(Contracts!$Q$19)),"R"&amp;(OFFSET(GanttCalc!$B$17,0,14+N(Contracts!$Q$19))+1)&amp;"-"&amp;OFFSET(GanttCalc!$B$17,0,15+N(Contracts!$Q$19)))))</f>
        <v/>
      </c>
      <c r="T62" s="60" t="str">
        <f aca="true">IF($B$62="","",IF(N(OFFSET(GanttCalc!$B$17,0,16+N(Contracts!$Q$19)))-N(OFFSET(GanttCalc!$B$17,0,15+N(Contracts!$Q$19)))&lt;=0,"",IF(N(OFFSET(GanttCalc!$B$17,0,16+N(Contracts!$Q$19)))-N(OFFSET(GanttCalc!$B$17,0,15+N(Contracts!$Q$19)))=1,"R"&amp;OFFSET(GanttCalc!$B$17,0,16+N(Contracts!$Q$19)),"R"&amp;(OFFSET(GanttCalc!$B$17,0,15+N(Contracts!$Q$19))+1)&amp;"-"&amp;OFFSET(GanttCalc!$B$17,0,16+N(Contracts!$Q$19)))))</f>
        <v/>
      </c>
      <c r="U62" s="60" t="str">
        <f aca="true">IF($B$62="","",IF(N(OFFSET(GanttCalc!$B$17,0,17+N(Contracts!$Q$19)))-N(OFFSET(GanttCalc!$B$17,0,16+N(Contracts!$Q$19)))&lt;=0,"",IF(N(OFFSET(GanttCalc!$B$17,0,17+N(Contracts!$Q$19)))-N(OFFSET(GanttCalc!$B$17,0,16+N(Contracts!$Q$19)))=1,"R"&amp;OFFSET(GanttCalc!$B$17,0,17+N(Contracts!$Q$19)),"R"&amp;(OFFSET(GanttCalc!$B$17,0,16+N(Contracts!$Q$19))+1)&amp;"-"&amp;OFFSET(GanttCalc!$B$17,0,17+N(Contracts!$Q$19)))))</f>
        <v/>
      </c>
      <c r="V62" s="60" t="str">
        <f aca="true">IF($B$62="","",IF(N(OFFSET(GanttCalc!$B$17,0,18+N(Contracts!$Q$19)))-N(OFFSET(GanttCalc!$B$17,0,17+N(Contracts!$Q$19)))&lt;=0,"",IF(N(OFFSET(GanttCalc!$B$17,0,18+N(Contracts!$Q$19)))-N(OFFSET(GanttCalc!$B$17,0,17+N(Contracts!$Q$19)))=1,"R"&amp;OFFSET(GanttCalc!$B$17,0,18+N(Contracts!$Q$19)),"R"&amp;(OFFSET(GanttCalc!$B$17,0,17+N(Contracts!$Q$19))+1)&amp;"-"&amp;OFFSET(GanttCalc!$B$17,0,18+N(Contracts!$Q$19)))))</f>
        <v/>
      </c>
      <c r="W62" s="60" t="str">
        <f aca="true">IF($B$62="","",IF(N(OFFSET(GanttCalc!$B$17,0,19+N(Contracts!$Q$19)))-N(OFFSET(GanttCalc!$B$17,0,18+N(Contracts!$Q$19)))&lt;=0,"",IF(N(OFFSET(GanttCalc!$B$17,0,19+N(Contracts!$Q$19)))-N(OFFSET(GanttCalc!$B$17,0,18+N(Contracts!$Q$19)))=1,"R"&amp;OFFSET(GanttCalc!$B$17,0,19+N(Contracts!$Q$19)),"R"&amp;(OFFSET(GanttCalc!$B$17,0,18+N(Contracts!$Q$19))+1)&amp;"-"&amp;OFFSET(GanttCalc!$B$17,0,19+N(Contracts!$Q$19)))))</f>
        <v/>
      </c>
      <c r="X62" s="60" t="str">
        <f aca="true">IF($B$62="","",IF(N(OFFSET(GanttCalc!$B$17,0,20+N(Contracts!$Q$19)))-N(OFFSET(GanttCalc!$B$17,0,19+N(Contracts!$Q$19)))&lt;=0,"",IF(N(OFFSET(GanttCalc!$B$17,0,20+N(Contracts!$Q$19)))-N(OFFSET(GanttCalc!$B$17,0,19+N(Contracts!$Q$19)))=1,"R"&amp;OFFSET(GanttCalc!$B$17,0,20+N(Contracts!$Q$19)),"R"&amp;(OFFSET(GanttCalc!$B$17,0,19+N(Contracts!$Q$19))+1)&amp;"-"&amp;OFFSET(GanttCalc!$B$17,0,20+N(Contracts!$Q$19)))))</f>
        <v/>
      </c>
      <c r="Y62" s="60" t="str">
        <f aca="true">IF($B$62="","",IF(N(OFFSET(GanttCalc!$B$17,0,21+N(Contracts!$Q$19)))-N(OFFSET(GanttCalc!$B$17,0,20+N(Contracts!$Q$19)))&lt;=0,"",IF(N(OFFSET(GanttCalc!$B$17,0,21+N(Contracts!$Q$19)))-N(OFFSET(GanttCalc!$B$17,0,20+N(Contracts!$Q$19)))=1,"R"&amp;OFFSET(GanttCalc!$B$17,0,21+N(Contracts!$Q$19)),"R"&amp;(OFFSET(GanttCalc!$B$17,0,20+N(Contracts!$Q$19))+1)&amp;"-"&amp;OFFSET(GanttCalc!$B$17,0,21+N(Contracts!$Q$19)))))</f>
        <v/>
      </c>
      <c r="Z62" s="60" t="str">
        <f aca="true">IF($B$62="","",IF(N(OFFSET(GanttCalc!$B$17,0,22+N(Contracts!$Q$19)))-N(OFFSET(GanttCalc!$B$17,0,21+N(Contracts!$Q$19)))&lt;=0,"",IF(N(OFFSET(GanttCalc!$B$17,0,22+N(Contracts!$Q$19)))-N(OFFSET(GanttCalc!$B$17,0,21+N(Contracts!$Q$19)))=1,"R"&amp;OFFSET(GanttCalc!$B$17,0,22+N(Contracts!$Q$19)),"R"&amp;(OFFSET(GanttCalc!$B$17,0,21+N(Contracts!$Q$19))+1)&amp;"-"&amp;OFFSET(GanttCalc!$B$17,0,22+N(Contracts!$Q$19)))))</f>
        <v/>
      </c>
      <c r="AA62" s="60" t="str">
        <f aca="true">IF($B$62="","",IF(N(OFFSET(GanttCalc!$B$17,0,23+N(Contracts!$Q$19)))-N(OFFSET(GanttCalc!$B$17,0,22+N(Contracts!$Q$19)))&lt;=0,"",IF(N(OFFSET(GanttCalc!$B$17,0,23+N(Contracts!$Q$19)))-N(OFFSET(GanttCalc!$B$17,0,22+N(Contracts!$Q$19)))=1,"R"&amp;OFFSET(GanttCalc!$B$17,0,23+N(Contracts!$Q$19)),"R"&amp;(OFFSET(GanttCalc!$B$17,0,22+N(Contracts!$Q$19))+1)&amp;"-"&amp;OFFSET(GanttCalc!$B$17,0,23+N(Contracts!$Q$19)))))</f>
        <v/>
      </c>
      <c r="AB62" s="60" t="str">
        <f aca="true">IF($B$62="","",IF(N(OFFSET(GanttCalc!$B$17,0,24+N(Contracts!$Q$19)))-N(OFFSET(GanttCalc!$B$17,0,23+N(Contracts!$Q$19)))&lt;=0,"",IF(N(OFFSET(GanttCalc!$B$17,0,24+N(Contracts!$Q$19)))-N(OFFSET(GanttCalc!$B$17,0,23+N(Contracts!$Q$19)))=1,"R"&amp;OFFSET(GanttCalc!$B$17,0,24+N(Contracts!$Q$19)),"R"&amp;(OFFSET(GanttCalc!$B$17,0,23+N(Contracts!$Q$19))+1)&amp;"-"&amp;OFFSET(GanttCalc!$B$17,0,24+N(Contracts!$Q$19)))))</f>
        <v/>
      </c>
      <c r="AC62" s="60" t="str">
        <f aca="true">IF($B$62="","",IF(N(OFFSET(GanttCalc!$B$17,0,25+N(Contracts!$Q$19)))-N(OFFSET(GanttCalc!$B$17,0,24+N(Contracts!$Q$19)))&lt;=0,"",IF(N(OFFSET(GanttCalc!$B$17,0,25+N(Contracts!$Q$19)))-N(OFFSET(GanttCalc!$B$17,0,24+N(Contracts!$Q$19)))=1,"R"&amp;OFFSET(GanttCalc!$B$17,0,25+N(Contracts!$Q$19)),"R"&amp;(OFFSET(GanttCalc!$B$17,0,24+N(Contracts!$Q$19))+1)&amp;"-"&amp;OFFSET(GanttCalc!$B$17,0,25+N(Contracts!$Q$19)))))</f>
        <v/>
      </c>
      <c r="AD62" s="60" t="str">
        <f aca="true">IF($B$62="","",IF(N(OFFSET(GanttCalc!$B$17,0,26+N(Contracts!$Q$19)))-N(OFFSET(GanttCalc!$B$17,0,25+N(Contracts!$Q$19)))&lt;=0,"",IF(N(OFFSET(GanttCalc!$B$17,0,26+N(Contracts!$Q$19)))-N(OFFSET(GanttCalc!$B$17,0,25+N(Contracts!$Q$19)))=1,"R"&amp;OFFSET(GanttCalc!$B$17,0,26+N(Contracts!$Q$19)),"R"&amp;(OFFSET(GanttCalc!$B$17,0,25+N(Contracts!$Q$19))+1)&amp;"-"&amp;OFFSET(GanttCalc!$B$17,0,26+N(Contracts!$Q$19)))))</f>
        <v/>
      </c>
      <c r="AE62" s="60" t="str">
        <f aca="true">IF($B$62="","",IF(N(OFFSET(GanttCalc!$B$17,0,27+N(Contracts!$Q$19)))-N(OFFSET(GanttCalc!$B$17,0,26+N(Contracts!$Q$19)))&lt;=0,"",IF(N(OFFSET(GanttCalc!$B$17,0,27+N(Contracts!$Q$19)))-N(OFFSET(GanttCalc!$B$17,0,26+N(Contracts!$Q$19)))=1,"R"&amp;OFFSET(GanttCalc!$B$17,0,27+N(Contracts!$Q$19)),"R"&amp;(OFFSET(GanttCalc!$B$17,0,26+N(Contracts!$Q$19))+1)&amp;"-"&amp;OFFSET(GanttCalc!$B$17,0,27+N(Contracts!$Q$19)))))</f>
        <v/>
      </c>
      <c r="AF62" s="60" t="str">
        <f aca="true">IF($B$62="","",IF(N(OFFSET(GanttCalc!$B$17,0,28+N(Contracts!$Q$19)))-N(OFFSET(GanttCalc!$B$17,0,27+N(Contracts!$Q$19)))&lt;=0,"",IF(N(OFFSET(GanttCalc!$B$17,0,28+N(Contracts!$Q$19)))-N(OFFSET(GanttCalc!$B$17,0,27+N(Contracts!$Q$19)))=1,"R"&amp;OFFSET(GanttCalc!$B$17,0,28+N(Contracts!$Q$19)),"R"&amp;(OFFSET(GanttCalc!$B$17,0,27+N(Contracts!$Q$19))+1)&amp;"-"&amp;OFFSET(GanttCalc!$B$17,0,28+N(Contracts!$Q$19)))))</f>
        <v/>
      </c>
      <c r="AG62" s="60" t="str">
        <f aca="true">IF($B$62="","",IF(N(OFFSET(GanttCalc!$B$17,0,29+N(Contracts!$Q$19)))-N(OFFSET(GanttCalc!$B$17,0,28+N(Contracts!$Q$19)))&lt;=0,"",IF(N(OFFSET(GanttCalc!$B$17,0,29+N(Contracts!$Q$19)))-N(OFFSET(GanttCalc!$B$17,0,28+N(Contracts!$Q$19)))=1,"R"&amp;OFFSET(GanttCalc!$B$17,0,29+N(Contracts!$Q$19)),"R"&amp;(OFFSET(GanttCalc!$B$17,0,28+N(Contracts!$Q$19))+1)&amp;"-"&amp;OFFSET(GanttCalc!$B$17,0,29+N(Contracts!$Q$19)))))</f>
        <v/>
      </c>
      <c r="AH62" s="60" t="str">
        <f aca="true">IF($B$62="","",IF(N(OFFSET(GanttCalc!$B$17,0,30+N(Contracts!$Q$19)))-N(OFFSET(GanttCalc!$B$17,0,29+N(Contracts!$Q$19)))&lt;=0,"",IF(N(OFFSET(GanttCalc!$B$17,0,30+N(Contracts!$Q$19)))-N(OFFSET(GanttCalc!$B$17,0,29+N(Contracts!$Q$19)))=1,"R"&amp;OFFSET(GanttCalc!$B$17,0,30+N(Contracts!$Q$19)),"R"&amp;(OFFSET(GanttCalc!$B$17,0,29+N(Contracts!$Q$19))+1)&amp;"-"&amp;OFFSET(GanttCalc!$B$17,0,30+N(Contracts!$Q$19)))))</f>
        <v/>
      </c>
      <c r="AI62" s="60" t="str">
        <f aca="true">IF($B$62="","",IF(N(OFFSET(GanttCalc!$B$17,0,31+N(Contracts!$Q$19)))-N(OFFSET(GanttCalc!$B$17,0,30+N(Contracts!$Q$19)))&lt;=0,"",IF(N(OFFSET(GanttCalc!$B$17,0,31+N(Contracts!$Q$19)))-N(OFFSET(GanttCalc!$B$17,0,30+N(Contracts!$Q$19)))=1,"R"&amp;OFFSET(GanttCalc!$B$17,0,31+N(Contracts!$Q$19)),"R"&amp;(OFFSET(GanttCalc!$B$17,0,30+N(Contracts!$Q$19))+1)&amp;"-"&amp;OFFSET(GanttCalc!$B$17,0,31+N(Contracts!$Q$19)))))</f>
        <v/>
      </c>
      <c r="AJ62" s="60" t="str">
        <f aca="true">IF($B$62="","",IF(N(OFFSET(GanttCalc!$B$17,0,32+N(Contracts!$Q$19)))-N(OFFSET(GanttCalc!$B$17,0,31+N(Contracts!$Q$19)))&lt;=0,"",IF(N(OFFSET(GanttCalc!$B$17,0,32+N(Contracts!$Q$19)))-N(OFFSET(GanttCalc!$B$17,0,31+N(Contracts!$Q$19)))=1,"R"&amp;OFFSET(GanttCalc!$B$17,0,32+N(Contracts!$Q$19)),"R"&amp;(OFFSET(GanttCalc!$B$17,0,31+N(Contracts!$Q$19))+1)&amp;"-"&amp;OFFSET(GanttCalc!$B$17,0,32+N(Contracts!$Q$19)))))</f>
        <v/>
      </c>
      <c r="AK62" s="60" t="str">
        <f aca="true">IF($B$62="","",IF(N(OFFSET(GanttCalc!$B$17,0,33+N(Contracts!$Q$19)))-N(OFFSET(GanttCalc!$B$17,0,32+N(Contracts!$Q$19)))&lt;=0,"",IF(N(OFFSET(GanttCalc!$B$17,0,33+N(Contracts!$Q$19)))-N(OFFSET(GanttCalc!$B$17,0,32+N(Contracts!$Q$19)))=1,"R"&amp;OFFSET(GanttCalc!$B$17,0,33+N(Contracts!$Q$19)),"R"&amp;(OFFSET(GanttCalc!$B$17,0,32+N(Contracts!$Q$19))+1)&amp;"-"&amp;OFFSET(GanttCalc!$B$17,0,33+N(Contracts!$Q$19)))))</f>
        <v/>
      </c>
      <c r="AL62" s="60" t="str">
        <f aca="true">IF($B$62="","",IF(N(OFFSET(GanttCalc!$B$17,0,34+N(Contracts!$Q$19)))-N(OFFSET(GanttCalc!$B$17,0,33+N(Contracts!$Q$19)))&lt;=0,"",IF(N(OFFSET(GanttCalc!$B$17,0,34+N(Contracts!$Q$19)))-N(OFFSET(GanttCalc!$B$17,0,33+N(Contracts!$Q$19)))=1,"R"&amp;OFFSET(GanttCalc!$B$17,0,34+N(Contracts!$Q$19)),"R"&amp;(OFFSET(GanttCalc!$B$17,0,33+N(Contracts!$Q$19))+1)&amp;"-"&amp;OFFSET(GanttCalc!$B$17,0,34+N(Contracts!$Q$19)))))</f>
        <v/>
      </c>
      <c r="AM62" s="60" t="str">
        <f aca="true">IF($B$62="","",IF(N(OFFSET(GanttCalc!$B$17,0,35+N(Contracts!$Q$19)))-N(OFFSET(GanttCalc!$B$17,0,34+N(Contracts!$Q$19)))&lt;=0,"",IF(N(OFFSET(GanttCalc!$B$17,0,35+N(Contracts!$Q$19)))-N(OFFSET(GanttCalc!$B$17,0,34+N(Contracts!$Q$19)))=1,"R"&amp;OFFSET(GanttCalc!$B$17,0,35+N(Contracts!$Q$19)),"R"&amp;(OFFSET(GanttCalc!$B$17,0,34+N(Contracts!$Q$19))+1)&amp;"-"&amp;OFFSET(GanttCalc!$B$17,0,35+N(Contracts!$Q$19)))))</f>
        <v/>
      </c>
      <c r="AN62" s="60" t="str">
        <f aca="true">IF($B$62="","",IF(N(OFFSET(GanttCalc!$B$17,0,36+N(Contracts!$Q$19)))-N(OFFSET(GanttCalc!$B$17,0,35+N(Contracts!$Q$19)))&lt;=0,"",IF(N(OFFSET(GanttCalc!$B$17,0,36+N(Contracts!$Q$19)))-N(OFFSET(GanttCalc!$B$17,0,35+N(Contracts!$Q$19)))=1,"R"&amp;OFFSET(GanttCalc!$B$17,0,36+N(Contracts!$Q$19)),"R"&amp;(OFFSET(GanttCalc!$B$17,0,35+N(Contracts!$Q$19))+1)&amp;"-"&amp;OFFSET(GanttCalc!$B$17,0,36+N(Contracts!$Q$19)))))</f>
        <v/>
      </c>
      <c r="AO62" s="60" t="str">
        <f aca="true">IF($B$62="","",IF(N(OFFSET(GanttCalc!$B$17,0,37+N(Contracts!$Q$19)))-N(OFFSET(GanttCalc!$B$17,0,36+N(Contracts!$Q$19)))&lt;=0,"",IF(N(OFFSET(GanttCalc!$B$17,0,37+N(Contracts!$Q$19)))-N(OFFSET(GanttCalc!$B$17,0,36+N(Contracts!$Q$19)))=1,"R"&amp;OFFSET(GanttCalc!$B$17,0,37+N(Contracts!$Q$19)),"R"&amp;(OFFSET(GanttCalc!$B$17,0,36+N(Contracts!$Q$19))+1)&amp;"-"&amp;OFFSET(GanttCalc!$B$17,0,37+N(Contracts!$Q$19)))))</f>
        <v/>
      </c>
      <c r="AP62" s="60" t="str">
        <f aca="true">IF($B$62="","",IF(N(OFFSET(GanttCalc!$B$17,0,38+N(Contracts!$Q$19)))-N(OFFSET(GanttCalc!$B$17,0,37+N(Contracts!$Q$19)))&lt;=0,"",IF(N(OFFSET(GanttCalc!$B$17,0,38+N(Contracts!$Q$19)))-N(OFFSET(GanttCalc!$B$17,0,37+N(Contracts!$Q$19)))=1,"R"&amp;OFFSET(GanttCalc!$B$17,0,38+N(Contracts!$Q$19)),"R"&amp;(OFFSET(GanttCalc!$B$17,0,37+N(Contracts!$Q$19))+1)&amp;"-"&amp;OFFSET(GanttCalc!$B$17,0,38+N(Contracts!$Q$19)))))</f>
        <v/>
      </c>
      <c r="AQ62" s="60" t="str">
        <f aca="true">IF($B$62="","",IF(N(OFFSET(GanttCalc!$B$17,0,39+N(Contracts!$Q$19)))-N(OFFSET(GanttCalc!$B$17,0,38+N(Contracts!$Q$19)))&lt;=0,"",IF(N(OFFSET(GanttCalc!$B$17,0,39+N(Contracts!$Q$19)))-N(OFFSET(GanttCalc!$B$17,0,38+N(Contracts!$Q$19)))=1,"R"&amp;OFFSET(GanttCalc!$B$17,0,39+N(Contracts!$Q$19)),"R"&amp;(OFFSET(GanttCalc!$B$17,0,38+N(Contracts!$Q$19))+1)&amp;"-"&amp;OFFSET(GanttCalc!$B$17,0,39+N(Contracts!$Q$19)))))</f>
        <v/>
      </c>
      <c r="AR62" s="60" t="str">
        <f aca="true">IF($B$62="","",IF(N(OFFSET(GanttCalc!$B$17,0,40+N(Contracts!$Q$19)))-N(OFFSET(GanttCalc!$B$17,0,39+N(Contracts!$Q$19)))&lt;=0,"",IF(N(OFFSET(GanttCalc!$B$17,0,40+N(Contracts!$Q$19)))-N(OFFSET(GanttCalc!$B$17,0,39+N(Contracts!$Q$19)))=1,"R"&amp;OFFSET(GanttCalc!$B$17,0,40+N(Contracts!$Q$19)),"R"&amp;(OFFSET(GanttCalc!$B$17,0,39+N(Contracts!$Q$19))+1)&amp;"-"&amp;OFFSET(GanttCalc!$B$17,0,40+N(Contracts!$Q$19)))))</f>
        <v/>
      </c>
      <c r="AS62" s="60" t="str">
        <f aca="true">IF($B$62="","",IF(N(OFFSET(GanttCalc!$B$17,0,41+N(Contracts!$Q$19)))-N(OFFSET(GanttCalc!$B$17,0,40+N(Contracts!$Q$19)))&lt;=0,"",IF(N(OFFSET(GanttCalc!$B$17,0,41+N(Contracts!$Q$19)))-N(OFFSET(GanttCalc!$B$17,0,40+N(Contracts!$Q$19)))=1,"R"&amp;OFFSET(GanttCalc!$B$17,0,41+N(Contracts!$Q$19)),"R"&amp;(OFFSET(GanttCalc!$B$17,0,40+N(Contracts!$Q$19))+1)&amp;"-"&amp;OFFSET(GanttCalc!$B$17,0,41+N(Contracts!$Q$19)))))</f>
        <v/>
      </c>
      <c r="AT62" s="60" t="str">
        <f aca="true">IF($B$62="","",IF(N(OFFSET(GanttCalc!$B$17,0,42+N(Contracts!$Q$19)))-N(OFFSET(GanttCalc!$B$17,0,41+N(Contracts!$Q$19)))&lt;=0,"",IF(N(OFFSET(GanttCalc!$B$17,0,42+N(Contracts!$Q$19)))-N(OFFSET(GanttCalc!$B$17,0,41+N(Contracts!$Q$19)))=1,"R"&amp;OFFSET(GanttCalc!$B$17,0,42+N(Contracts!$Q$19)),"R"&amp;(OFFSET(GanttCalc!$B$17,0,41+N(Contracts!$Q$19))+1)&amp;"-"&amp;OFFSET(GanttCalc!$B$17,0,42+N(Contracts!$Q$19)))))</f>
        <v/>
      </c>
      <c r="AU62" s="60" t="str">
        <f aca="true">IF($B$62="","",IF(N(OFFSET(GanttCalc!$B$17,0,43+N(Contracts!$Q$19)))-N(OFFSET(GanttCalc!$B$17,0,42+N(Contracts!$Q$19)))&lt;=0,"",IF(N(OFFSET(GanttCalc!$B$17,0,43+N(Contracts!$Q$19)))-N(OFFSET(GanttCalc!$B$17,0,42+N(Contracts!$Q$19)))=1,"R"&amp;OFFSET(GanttCalc!$B$17,0,43+N(Contracts!$Q$19)),"R"&amp;(OFFSET(GanttCalc!$B$17,0,42+N(Contracts!$Q$19))+1)&amp;"-"&amp;OFFSET(GanttCalc!$B$17,0,43+N(Contracts!$Q$19)))))</f>
        <v/>
      </c>
      <c r="AV62" s="60" t="str">
        <f aca="true">IF($B$62="","",IF(N(OFFSET(GanttCalc!$B$17,0,44+N(Contracts!$Q$19)))-N(OFFSET(GanttCalc!$B$17,0,43+N(Contracts!$Q$19)))&lt;=0,"",IF(N(OFFSET(GanttCalc!$B$17,0,44+N(Contracts!$Q$19)))-N(OFFSET(GanttCalc!$B$17,0,43+N(Contracts!$Q$19)))=1,"R"&amp;OFFSET(GanttCalc!$B$17,0,44+N(Contracts!$Q$19)),"R"&amp;(OFFSET(GanttCalc!$B$17,0,43+N(Contracts!$Q$19))+1)&amp;"-"&amp;OFFSET(GanttCalc!$B$17,0,44+N(Contracts!$Q$19)))))</f>
        <v/>
      </c>
      <c r="AW62" s="60" t="str">
        <f aca="true">IF($B$62="","",IF(N(OFFSET(GanttCalc!$B$17,0,45+N(Contracts!$Q$19)))-N(OFFSET(GanttCalc!$B$17,0,44+N(Contracts!$Q$19)))&lt;=0,"",IF(N(OFFSET(GanttCalc!$B$17,0,45+N(Contracts!$Q$19)))-N(OFFSET(GanttCalc!$B$17,0,44+N(Contracts!$Q$19)))=1,"R"&amp;OFFSET(GanttCalc!$B$17,0,45+N(Contracts!$Q$19)),"R"&amp;(OFFSET(GanttCalc!$B$17,0,44+N(Contracts!$Q$19))+1)&amp;"-"&amp;OFFSET(GanttCalc!$B$17,0,45+N(Contracts!$Q$19)))))</f>
        <v/>
      </c>
      <c r="AX62" s="60" t="str">
        <f aca="true">IF($B$62="","",IF(N(OFFSET(GanttCalc!$B$17,0,46+N(Contracts!$Q$19)))-N(OFFSET(GanttCalc!$B$17,0,45+N(Contracts!$Q$19)))&lt;=0,"",IF(N(OFFSET(GanttCalc!$B$17,0,46+N(Contracts!$Q$19)))-N(OFFSET(GanttCalc!$B$17,0,45+N(Contracts!$Q$19)))=1,"R"&amp;OFFSET(GanttCalc!$B$17,0,46+N(Contracts!$Q$19)),"R"&amp;(OFFSET(GanttCalc!$B$17,0,45+N(Contracts!$Q$19))+1)&amp;"-"&amp;OFFSET(GanttCalc!$B$17,0,46+N(Contracts!$Q$19)))))</f>
        <v/>
      </c>
      <c r="AY62" s="60" t="str">
        <f aca="true">IF($B$62="","",IF(N(OFFSET(GanttCalc!$B$17,0,47+N(Contracts!$Q$19)))-N(OFFSET(GanttCalc!$B$17,0,46+N(Contracts!$Q$19)))&lt;=0,"",IF(N(OFFSET(GanttCalc!$B$17,0,47+N(Contracts!$Q$19)))-N(OFFSET(GanttCalc!$B$17,0,46+N(Contracts!$Q$19)))=1,"R"&amp;OFFSET(GanttCalc!$B$17,0,47+N(Contracts!$Q$19)),"R"&amp;(OFFSET(GanttCalc!$B$17,0,46+N(Contracts!$Q$19))+1)&amp;"-"&amp;OFFSET(GanttCalc!$B$17,0,47+N(Contracts!$Q$19)))))</f>
        <v/>
      </c>
      <c r="AZ62" s="60" t="str">
        <f aca="true">IF($B$62="","",IF(N(OFFSET(GanttCalc!$B$17,0,48+N(Contracts!$Q$19)))-N(OFFSET(GanttCalc!$B$17,0,47+N(Contracts!$Q$19)))&lt;=0,"",IF(N(OFFSET(GanttCalc!$B$17,0,48+N(Contracts!$Q$19)))-N(OFFSET(GanttCalc!$B$17,0,47+N(Contracts!$Q$19)))=1,"R"&amp;OFFSET(GanttCalc!$B$17,0,48+N(Contracts!$Q$19)),"R"&amp;(OFFSET(GanttCalc!$B$17,0,47+N(Contracts!$Q$19))+1)&amp;"-"&amp;OFFSET(GanttCalc!$B$17,0,48+N(Contracts!$Q$19)))))</f>
        <v/>
      </c>
      <c r="BA62" s="60" t="str">
        <f aca="true">IF($B$62="","",IF(N(OFFSET(GanttCalc!$B$17,0,49+N(Contracts!$Q$19)))-N(OFFSET(GanttCalc!$B$17,0,48+N(Contracts!$Q$19)))&lt;=0,"",IF(N(OFFSET(GanttCalc!$B$17,0,49+N(Contracts!$Q$19)))-N(OFFSET(GanttCalc!$B$17,0,48+N(Contracts!$Q$19)))=1,"R"&amp;OFFSET(GanttCalc!$B$17,0,49+N(Contracts!$Q$19)),"R"&amp;(OFFSET(GanttCalc!$B$17,0,48+N(Contracts!$Q$19))+1)&amp;"-"&amp;OFFSET(GanttCalc!$B$17,0,49+N(Contracts!$Q$19)))))</f>
        <v/>
      </c>
      <c r="BB62" s="60" t="str">
        <f aca="true">IF($B$62="","",IF(N(OFFSET(GanttCalc!$B$17,0,50+N(Contracts!$Q$19)))-N(OFFSET(GanttCalc!$B$17,0,49+N(Contracts!$Q$19)))&lt;=0,"",IF(N(OFFSET(GanttCalc!$B$17,0,50+N(Contracts!$Q$19)))-N(OFFSET(GanttCalc!$B$17,0,49+N(Contracts!$Q$19)))=1,"R"&amp;OFFSET(GanttCalc!$B$17,0,50+N(Contracts!$Q$19)),"R"&amp;(OFFSET(GanttCalc!$B$17,0,49+N(Contracts!$Q$19))+1)&amp;"-"&amp;OFFSET(GanttCalc!$B$17,0,50+N(Contracts!$Q$19)))))</f>
        <v/>
      </c>
      <c r="BC62" s="60" t="str">
        <f aca="true">IF($B$62="","",IF(N(OFFSET(GanttCalc!$B$17,0,51+N(Contracts!$Q$19)))-N(OFFSET(GanttCalc!$B$17,0,50+N(Contracts!$Q$19)))&lt;=0,"",IF(N(OFFSET(GanttCalc!$B$17,0,51+N(Contracts!$Q$19)))-N(OFFSET(GanttCalc!$B$17,0,50+N(Contracts!$Q$19)))=1,"R"&amp;OFFSET(GanttCalc!$B$17,0,51+N(Contracts!$Q$19)),"R"&amp;(OFFSET(GanttCalc!$B$17,0,50+N(Contracts!$Q$19))+1)&amp;"-"&amp;OFFSET(GanttCalc!$B$17,0,51+N(Contracts!$Q$19)))))</f>
        <v/>
      </c>
      <c r="BD62" s="60" t="str">
        <f aca="true">IF($B$62="","",IF(N(OFFSET(GanttCalc!$B$17,0,52+N(Contracts!$Q$19)))-N(OFFSET(GanttCalc!$B$17,0,51+N(Contracts!$Q$19)))&lt;=0,"",IF(N(OFFSET(GanttCalc!$B$17,0,52+N(Contracts!$Q$19)))-N(OFFSET(GanttCalc!$B$17,0,51+N(Contracts!$Q$19)))=1,"R"&amp;OFFSET(GanttCalc!$B$17,0,52+N(Contracts!$Q$19)),"R"&amp;(OFFSET(GanttCalc!$B$17,0,51+N(Contracts!$Q$19))+1)&amp;"-"&amp;OFFSET(GanttCalc!$B$17,0,52+N(Contracts!$Q$19)))))</f>
        <v/>
      </c>
    </row>
    <row r="63" customFormat="false" ht="16.5" hidden="false" customHeight="true" outlineLevel="0" collapsed="false">
      <c r="B63" s="61" t="str">
        <f aca="false">IF(Contracts!$A$19="","",Contracts!$C$19)</f>
        <v/>
      </c>
      <c r="C63" s="62" t="str">
        <f aca="false">IF(Contracts!$A$19="","","AMPS build")</f>
        <v/>
      </c>
      <c r="D63" s="59" t="str">
        <f aca="false">IF($B$62="","",SUMPRODUCT(--(E63:BD63&lt;&gt;""))&amp;" wks")</f>
        <v/>
      </c>
      <c r="E63" s="60" t="str">
        <f aca="false">IF($B$62="","",IF(N(GanttCalc!D17)-N(GanttCalc!C17)&lt;=0,"",IF(N(GanttCalc!D17)-N(GanttCalc!C17)=1,"R"&amp;GanttCalc!D17,"R"&amp;(GanttCalc!C17+1)&amp;"-"&amp;GanttCalc!D17)))</f>
        <v/>
      </c>
      <c r="F63" s="60" t="str">
        <f aca="false">IF($B$62="","",IF(N(GanttCalc!E17)-N(GanttCalc!D17)&lt;=0,"",IF(N(GanttCalc!E17)-N(GanttCalc!D17)=1,"R"&amp;GanttCalc!E17,"R"&amp;(GanttCalc!D17+1)&amp;"-"&amp;GanttCalc!E17)))</f>
        <v/>
      </c>
      <c r="G63" s="60" t="str">
        <f aca="false">IF($B$62="","",IF(N(GanttCalc!F17)-N(GanttCalc!E17)&lt;=0,"",IF(N(GanttCalc!F17)-N(GanttCalc!E17)=1,"R"&amp;GanttCalc!F17,"R"&amp;(GanttCalc!E17+1)&amp;"-"&amp;GanttCalc!F17)))</f>
        <v/>
      </c>
      <c r="H63" s="60" t="str">
        <f aca="false">IF($B$62="","",IF(N(GanttCalc!G17)-N(GanttCalc!F17)&lt;=0,"",IF(N(GanttCalc!G17)-N(GanttCalc!F17)=1,"R"&amp;GanttCalc!G17,"R"&amp;(GanttCalc!F17+1)&amp;"-"&amp;GanttCalc!G17)))</f>
        <v/>
      </c>
      <c r="I63" s="60" t="str">
        <f aca="false">IF($B$62="","",IF(N(GanttCalc!H17)-N(GanttCalc!G17)&lt;=0,"",IF(N(GanttCalc!H17)-N(GanttCalc!G17)=1,"R"&amp;GanttCalc!H17,"R"&amp;(GanttCalc!G17+1)&amp;"-"&amp;GanttCalc!H17)))</f>
        <v/>
      </c>
      <c r="J63" s="60" t="str">
        <f aca="false">IF($B$62="","",IF(N(GanttCalc!I17)-N(GanttCalc!H17)&lt;=0,"",IF(N(GanttCalc!I17)-N(GanttCalc!H17)=1,"R"&amp;GanttCalc!I17,"R"&amp;(GanttCalc!H17+1)&amp;"-"&amp;GanttCalc!I17)))</f>
        <v/>
      </c>
      <c r="K63" s="60" t="str">
        <f aca="false">IF($B$62="","",IF(N(GanttCalc!J17)-N(GanttCalc!I17)&lt;=0,"",IF(N(GanttCalc!J17)-N(GanttCalc!I17)=1,"R"&amp;GanttCalc!J17,"R"&amp;(GanttCalc!I17+1)&amp;"-"&amp;GanttCalc!J17)))</f>
        <v/>
      </c>
      <c r="L63" s="60" t="str">
        <f aca="false">IF($B$62="","",IF(N(GanttCalc!K17)-N(GanttCalc!J17)&lt;=0,"",IF(N(GanttCalc!K17)-N(GanttCalc!J17)=1,"R"&amp;GanttCalc!K17,"R"&amp;(GanttCalc!J17+1)&amp;"-"&amp;GanttCalc!K17)))</f>
        <v/>
      </c>
      <c r="M63" s="60" t="str">
        <f aca="false">IF($B$62="","",IF(N(GanttCalc!L17)-N(GanttCalc!K17)&lt;=0,"",IF(N(GanttCalc!L17)-N(GanttCalc!K17)=1,"R"&amp;GanttCalc!L17,"R"&amp;(GanttCalc!K17+1)&amp;"-"&amp;GanttCalc!L17)))</f>
        <v/>
      </c>
      <c r="N63" s="60" t="str">
        <f aca="false">IF($B$62="","",IF(N(GanttCalc!M17)-N(GanttCalc!L17)&lt;=0,"",IF(N(GanttCalc!M17)-N(GanttCalc!L17)=1,"R"&amp;GanttCalc!M17,"R"&amp;(GanttCalc!L17+1)&amp;"-"&amp;GanttCalc!M17)))</f>
        <v/>
      </c>
      <c r="O63" s="60" t="str">
        <f aca="false">IF($B$62="","",IF(N(GanttCalc!N17)-N(GanttCalc!M17)&lt;=0,"",IF(N(GanttCalc!N17)-N(GanttCalc!M17)=1,"R"&amp;GanttCalc!N17,"R"&amp;(GanttCalc!M17+1)&amp;"-"&amp;GanttCalc!N17)))</f>
        <v/>
      </c>
      <c r="P63" s="60" t="str">
        <f aca="false">IF($B$62="","",IF(N(GanttCalc!O17)-N(GanttCalc!N17)&lt;=0,"",IF(N(GanttCalc!O17)-N(GanttCalc!N17)=1,"R"&amp;GanttCalc!O17,"R"&amp;(GanttCalc!N17+1)&amp;"-"&amp;GanttCalc!O17)))</f>
        <v/>
      </c>
      <c r="Q63" s="60" t="str">
        <f aca="false">IF($B$62="","",IF(N(GanttCalc!P17)-N(GanttCalc!O17)&lt;=0,"",IF(N(GanttCalc!P17)-N(GanttCalc!O17)=1,"R"&amp;GanttCalc!P17,"R"&amp;(GanttCalc!O17+1)&amp;"-"&amp;GanttCalc!P17)))</f>
        <v/>
      </c>
      <c r="R63" s="60" t="str">
        <f aca="false">IF($B$62="","",IF(N(GanttCalc!Q17)-N(GanttCalc!P17)&lt;=0,"",IF(N(GanttCalc!Q17)-N(GanttCalc!P17)=1,"R"&amp;GanttCalc!Q17,"R"&amp;(GanttCalc!P17+1)&amp;"-"&amp;GanttCalc!Q17)))</f>
        <v/>
      </c>
      <c r="S63" s="60" t="str">
        <f aca="false">IF($B$62="","",IF(N(GanttCalc!R17)-N(GanttCalc!Q17)&lt;=0,"",IF(N(GanttCalc!R17)-N(GanttCalc!Q17)=1,"R"&amp;GanttCalc!R17,"R"&amp;(GanttCalc!Q17+1)&amp;"-"&amp;GanttCalc!R17)))</f>
        <v/>
      </c>
      <c r="T63" s="60" t="str">
        <f aca="false">IF($B$62="","",IF(N(GanttCalc!S17)-N(GanttCalc!R17)&lt;=0,"",IF(N(GanttCalc!S17)-N(GanttCalc!R17)=1,"R"&amp;GanttCalc!S17,"R"&amp;(GanttCalc!R17+1)&amp;"-"&amp;GanttCalc!S17)))</f>
        <v/>
      </c>
      <c r="U63" s="60" t="str">
        <f aca="false">IF($B$62="","",IF(N(GanttCalc!T17)-N(GanttCalc!S17)&lt;=0,"",IF(N(GanttCalc!T17)-N(GanttCalc!S17)=1,"R"&amp;GanttCalc!T17,"R"&amp;(GanttCalc!S17+1)&amp;"-"&amp;GanttCalc!T17)))</f>
        <v/>
      </c>
      <c r="V63" s="60" t="str">
        <f aca="false">IF($B$62="","",IF(N(GanttCalc!U17)-N(GanttCalc!T17)&lt;=0,"",IF(N(GanttCalc!U17)-N(GanttCalc!T17)=1,"R"&amp;GanttCalc!U17,"R"&amp;(GanttCalc!T17+1)&amp;"-"&amp;GanttCalc!U17)))</f>
        <v/>
      </c>
      <c r="W63" s="60" t="str">
        <f aca="false">IF($B$62="","",IF(N(GanttCalc!V17)-N(GanttCalc!U17)&lt;=0,"",IF(N(GanttCalc!V17)-N(GanttCalc!U17)=1,"R"&amp;GanttCalc!V17,"R"&amp;(GanttCalc!U17+1)&amp;"-"&amp;GanttCalc!V17)))</f>
        <v/>
      </c>
      <c r="X63" s="60" t="str">
        <f aca="false">IF($B$62="","",IF(N(GanttCalc!W17)-N(GanttCalc!V17)&lt;=0,"",IF(N(GanttCalc!W17)-N(GanttCalc!V17)=1,"R"&amp;GanttCalc!W17,"R"&amp;(GanttCalc!V17+1)&amp;"-"&amp;GanttCalc!W17)))</f>
        <v/>
      </c>
      <c r="Y63" s="60" t="str">
        <f aca="false">IF($B$62="","",IF(N(GanttCalc!X17)-N(GanttCalc!W17)&lt;=0,"",IF(N(GanttCalc!X17)-N(GanttCalc!W17)=1,"R"&amp;GanttCalc!X17,"R"&amp;(GanttCalc!W17+1)&amp;"-"&amp;GanttCalc!X17)))</f>
        <v/>
      </c>
      <c r="Z63" s="60" t="str">
        <f aca="false">IF($B$62="","",IF(N(GanttCalc!Y17)-N(GanttCalc!X17)&lt;=0,"",IF(N(GanttCalc!Y17)-N(GanttCalc!X17)=1,"R"&amp;GanttCalc!Y17,"R"&amp;(GanttCalc!X17+1)&amp;"-"&amp;GanttCalc!Y17)))</f>
        <v/>
      </c>
      <c r="AA63" s="60" t="str">
        <f aca="false">IF($B$62="","",IF(N(GanttCalc!Z17)-N(GanttCalc!Y17)&lt;=0,"",IF(N(GanttCalc!Z17)-N(GanttCalc!Y17)=1,"R"&amp;GanttCalc!Z17,"R"&amp;(GanttCalc!Y17+1)&amp;"-"&amp;GanttCalc!Z17)))</f>
        <v/>
      </c>
      <c r="AB63" s="60" t="str">
        <f aca="false">IF($B$62="","",IF(N(GanttCalc!AA17)-N(GanttCalc!Z17)&lt;=0,"",IF(N(GanttCalc!AA17)-N(GanttCalc!Z17)=1,"R"&amp;GanttCalc!AA17,"R"&amp;(GanttCalc!Z17+1)&amp;"-"&amp;GanttCalc!AA17)))</f>
        <v/>
      </c>
      <c r="AC63" s="60" t="str">
        <f aca="false">IF($B$62="","",IF(N(GanttCalc!AB17)-N(GanttCalc!AA17)&lt;=0,"",IF(N(GanttCalc!AB17)-N(GanttCalc!AA17)=1,"R"&amp;GanttCalc!AB17,"R"&amp;(GanttCalc!AA17+1)&amp;"-"&amp;GanttCalc!AB17)))</f>
        <v/>
      </c>
      <c r="AD63" s="60" t="str">
        <f aca="false">IF($B$62="","",IF(N(GanttCalc!AC17)-N(GanttCalc!AB17)&lt;=0,"",IF(N(GanttCalc!AC17)-N(GanttCalc!AB17)=1,"R"&amp;GanttCalc!AC17,"R"&amp;(GanttCalc!AB17+1)&amp;"-"&amp;GanttCalc!AC17)))</f>
        <v/>
      </c>
      <c r="AE63" s="60" t="str">
        <f aca="false">IF($B$62="","",IF(N(GanttCalc!AD17)-N(GanttCalc!AC17)&lt;=0,"",IF(N(GanttCalc!AD17)-N(GanttCalc!AC17)=1,"R"&amp;GanttCalc!AD17,"R"&amp;(GanttCalc!AC17+1)&amp;"-"&amp;GanttCalc!AD17)))</f>
        <v/>
      </c>
      <c r="AF63" s="60" t="str">
        <f aca="false">IF($B$62="","",IF(N(GanttCalc!AE17)-N(GanttCalc!AD17)&lt;=0,"",IF(N(GanttCalc!AE17)-N(GanttCalc!AD17)=1,"R"&amp;GanttCalc!AE17,"R"&amp;(GanttCalc!AD17+1)&amp;"-"&amp;GanttCalc!AE17)))</f>
        <v/>
      </c>
      <c r="AG63" s="60" t="str">
        <f aca="false">IF($B$62="","",IF(N(GanttCalc!AF17)-N(GanttCalc!AE17)&lt;=0,"",IF(N(GanttCalc!AF17)-N(GanttCalc!AE17)=1,"R"&amp;GanttCalc!AF17,"R"&amp;(GanttCalc!AE17+1)&amp;"-"&amp;GanttCalc!AF17)))</f>
        <v/>
      </c>
      <c r="AH63" s="60" t="str">
        <f aca="false">IF($B$62="","",IF(N(GanttCalc!AG17)-N(GanttCalc!AF17)&lt;=0,"",IF(N(GanttCalc!AG17)-N(GanttCalc!AF17)=1,"R"&amp;GanttCalc!AG17,"R"&amp;(GanttCalc!AF17+1)&amp;"-"&amp;GanttCalc!AG17)))</f>
        <v/>
      </c>
      <c r="AI63" s="60" t="str">
        <f aca="false">IF($B$62="","",IF(N(GanttCalc!AH17)-N(GanttCalc!AG17)&lt;=0,"",IF(N(GanttCalc!AH17)-N(GanttCalc!AG17)=1,"R"&amp;GanttCalc!AH17,"R"&amp;(GanttCalc!AG17+1)&amp;"-"&amp;GanttCalc!AH17)))</f>
        <v/>
      </c>
      <c r="AJ63" s="60" t="str">
        <f aca="false">IF($B$62="","",IF(N(GanttCalc!AI17)-N(GanttCalc!AH17)&lt;=0,"",IF(N(GanttCalc!AI17)-N(GanttCalc!AH17)=1,"R"&amp;GanttCalc!AI17,"R"&amp;(GanttCalc!AH17+1)&amp;"-"&amp;GanttCalc!AI17)))</f>
        <v/>
      </c>
      <c r="AK63" s="60" t="str">
        <f aca="false">IF($B$62="","",IF(N(GanttCalc!AJ17)-N(GanttCalc!AI17)&lt;=0,"",IF(N(GanttCalc!AJ17)-N(GanttCalc!AI17)=1,"R"&amp;GanttCalc!AJ17,"R"&amp;(GanttCalc!AI17+1)&amp;"-"&amp;GanttCalc!AJ17)))</f>
        <v/>
      </c>
      <c r="AL63" s="60" t="str">
        <f aca="false">IF($B$62="","",IF(N(GanttCalc!AK17)-N(GanttCalc!AJ17)&lt;=0,"",IF(N(GanttCalc!AK17)-N(GanttCalc!AJ17)=1,"R"&amp;GanttCalc!AK17,"R"&amp;(GanttCalc!AJ17+1)&amp;"-"&amp;GanttCalc!AK17)))</f>
        <v/>
      </c>
      <c r="AM63" s="60" t="str">
        <f aca="false">IF($B$62="","",IF(N(GanttCalc!AL17)-N(GanttCalc!AK17)&lt;=0,"",IF(N(GanttCalc!AL17)-N(GanttCalc!AK17)=1,"R"&amp;GanttCalc!AL17,"R"&amp;(GanttCalc!AK17+1)&amp;"-"&amp;GanttCalc!AL17)))</f>
        <v/>
      </c>
      <c r="AN63" s="60" t="str">
        <f aca="false">IF($B$62="","",IF(N(GanttCalc!AM17)-N(GanttCalc!AL17)&lt;=0,"",IF(N(GanttCalc!AM17)-N(GanttCalc!AL17)=1,"R"&amp;GanttCalc!AM17,"R"&amp;(GanttCalc!AL17+1)&amp;"-"&amp;GanttCalc!AM17)))</f>
        <v/>
      </c>
      <c r="AO63" s="60" t="str">
        <f aca="false">IF($B$62="","",IF(N(GanttCalc!AN17)-N(GanttCalc!AM17)&lt;=0,"",IF(N(GanttCalc!AN17)-N(GanttCalc!AM17)=1,"R"&amp;GanttCalc!AN17,"R"&amp;(GanttCalc!AM17+1)&amp;"-"&amp;GanttCalc!AN17)))</f>
        <v/>
      </c>
      <c r="AP63" s="60" t="str">
        <f aca="false">IF($B$62="","",IF(N(GanttCalc!AO17)-N(GanttCalc!AN17)&lt;=0,"",IF(N(GanttCalc!AO17)-N(GanttCalc!AN17)=1,"R"&amp;GanttCalc!AO17,"R"&amp;(GanttCalc!AN17+1)&amp;"-"&amp;GanttCalc!AO17)))</f>
        <v/>
      </c>
      <c r="AQ63" s="60" t="str">
        <f aca="false">IF($B$62="","",IF(N(GanttCalc!AP17)-N(GanttCalc!AO17)&lt;=0,"",IF(N(GanttCalc!AP17)-N(GanttCalc!AO17)=1,"R"&amp;GanttCalc!AP17,"R"&amp;(GanttCalc!AO17+1)&amp;"-"&amp;GanttCalc!AP17)))</f>
        <v/>
      </c>
      <c r="AR63" s="60" t="str">
        <f aca="false">IF($B$62="","",IF(N(GanttCalc!AQ17)-N(GanttCalc!AP17)&lt;=0,"",IF(N(GanttCalc!AQ17)-N(GanttCalc!AP17)=1,"R"&amp;GanttCalc!AQ17,"R"&amp;(GanttCalc!AP17+1)&amp;"-"&amp;GanttCalc!AQ17)))</f>
        <v/>
      </c>
      <c r="AS63" s="60" t="str">
        <f aca="false">IF($B$62="","",IF(N(GanttCalc!AR17)-N(GanttCalc!AQ17)&lt;=0,"",IF(N(GanttCalc!AR17)-N(GanttCalc!AQ17)=1,"R"&amp;GanttCalc!AR17,"R"&amp;(GanttCalc!AQ17+1)&amp;"-"&amp;GanttCalc!AR17)))</f>
        <v/>
      </c>
      <c r="AT63" s="60" t="str">
        <f aca="false">IF($B$62="","",IF(N(GanttCalc!AS17)-N(GanttCalc!AR17)&lt;=0,"",IF(N(GanttCalc!AS17)-N(GanttCalc!AR17)=1,"R"&amp;GanttCalc!AS17,"R"&amp;(GanttCalc!AR17+1)&amp;"-"&amp;GanttCalc!AS17)))</f>
        <v/>
      </c>
      <c r="AU63" s="60" t="str">
        <f aca="false">IF($B$62="","",IF(N(GanttCalc!AT17)-N(GanttCalc!AS17)&lt;=0,"",IF(N(GanttCalc!AT17)-N(GanttCalc!AS17)=1,"R"&amp;GanttCalc!AT17,"R"&amp;(GanttCalc!AS17+1)&amp;"-"&amp;GanttCalc!AT17)))</f>
        <v/>
      </c>
      <c r="AV63" s="60" t="str">
        <f aca="false">IF($B$62="","",IF(N(GanttCalc!AU17)-N(GanttCalc!AT17)&lt;=0,"",IF(N(GanttCalc!AU17)-N(GanttCalc!AT17)=1,"R"&amp;GanttCalc!AU17,"R"&amp;(GanttCalc!AT17+1)&amp;"-"&amp;GanttCalc!AU17)))</f>
        <v/>
      </c>
      <c r="AW63" s="60" t="str">
        <f aca="false">IF($B$62="","",IF(N(GanttCalc!AV17)-N(GanttCalc!AU17)&lt;=0,"",IF(N(GanttCalc!AV17)-N(GanttCalc!AU17)=1,"R"&amp;GanttCalc!AV17,"R"&amp;(GanttCalc!AU17+1)&amp;"-"&amp;GanttCalc!AV17)))</f>
        <v/>
      </c>
      <c r="AX63" s="60" t="str">
        <f aca="false">IF($B$62="","",IF(N(GanttCalc!AW17)-N(GanttCalc!AV17)&lt;=0,"",IF(N(GanttCalc!AW17)-N(GanttCalc!AV17)=1,"R"&amp;GanttCalc!AW17,"R"&amp;(GanttCalc!AV17+1)&amp;"-"&amp;GanttCalc!AW17)))</f>
        <v/>
      </c>
      <c r="AY63" s="60" t="str">
        <f aca="false">IF($B$62="","",IF(N(GanttCalc!AX17)-N(GanttCalc!AW17)&lt;=0,"",IF(N(GanttCalc!AX17)-N(GanttCalc!AW17)=1,"R"&amp;GanttCalc!AX17,"R"&amp;(GanttCalc!AW17+1)&amp;"-"&amp;GanttCalc!AX17)))</f>
        <v/>
      </c>
      <c r="AZ63" s="60" t="str">
        <f aca="false">IF($B$62="","",IF(N(GanttCalc!AY17)-N(GanttCalc!AX17)&lt;=0,"",IF(N(GanttCalc!AY17)-N(GanttCalc!AX17)=1,"R"&amp;GanttCalc!AY17,"R"&amp;(GanttCalc!AX17+1)&amp;"-"&amp;GanttCalc!AY17)))</f>
        <v/>
      </c>
      <c r="BA63" s="60" t="str">
        <f aca="false">IF($B$62="","",IF(N(GanttCalc!AZ17)-N(GanttCalc!AY17)&lt;=0,"",IF(N(GanttCalc!AZ17)-N(GanttCalc!AY17)=1,"R"&amp;GanttCalc!AZ17,"R"&amp;(GanttCalc!AY17+1)&amp;"-"&amp;GanttCalc!AZ17)))</f>
        <v/>
      </c>
      <c r="BB63" s="60" t="str">
        <f aca="false">IF($B$62="","",IF(N(GanttCalc!BA17)-N(GanttCalc!AZ17)&lt;=0,"",IF(N(GanttCalc!BA17)-N(GanttCalc!AZ17)=1,"R"&amp;GanttCalc!BA17,"R"&amp;(GanttCalc!AZ17+1)&amp;"-"&amp;GanttCalc!BA17)))</f>
        <v/>
      </c>
      <c r="BC63" s="60" t="str">
        <f aca="false">IF($B$62="","",IF(N(GanttCalc!BB17)-N(GanttCalc!BA17)&lt;=0,"",IF(N(GanttCalc!BB17)-N(GanttCalc!BA17)=1,"R"&amp;GanttCalc!BB17,"R"&amp;(GanttCalc!BA17+1)&amp;"-"&amp;GanttCalc!BB17)))</f>
        <v/>
      </c>
      <c r="BD63" s="60" t="str">
        <f aca="false">IF($B$62="","",IF(N(GanttCalc!BC17)-N(GanttCalc!BB17)&lt;=0,"",IF(N(GanttCalc!BC17)-N(GanttCalc!BB17)=1,"R"&amp;GanttCalc!BC17,"R"&amp;(GanttCalc!BB17+1)&amp;"-"&amp;GanttCalc!BC17)))</f>
        <v/>
      </c>
    </row>
    <row r="64" customFormat="false" ht="16.5" hidden="false" customHeight="true" outlineLevel="0" collapsed="false">
      <c r="B64" s="63" t="str">
        <f aca="false">IF(Contracts!$A$19="","",IF(Contracts!$I$19="","no kit list","kitted: "&amp;Contracts!$I$19&amp;" / "&amp;Contracts!$F$19))</f>
        <v/>
      </c>
      <c r="C64" s="64" t="str">
        <f aca="false">IF(Contracts!$A$19="","","Final build")</f>
        <v/>
      </c>
      <c r="D64" s="59" t="str">
        <f aca="false">IF($B$62="","",SUMPRODUCT(--(E64:BD64&lt;&gt;""))&amp;" wks")</f>
        <v/>
      </c>
      <c r="E64" s="60" t="str">
        <f aca="false">IF($B$62="","",IF(N(GanttCalc!C17)-N(GanttCalc!B17)&lt;=0,"",IF(N(GanttCalc!C17)-N(GanttCalc!B17)=1,"R"&amp;GanttCalc!C17,"R"&amp;(GanttCalc!B17+1)&amp;"-"&amp;GanttCalc!C17)))</f>
        <v/>
      </c>
      <c r="F64" s="60" t="str">
        <f aca="false">IF($B$62="","",IF(N(GanttCalc!D17)-N(GanttCalc!C17)&lt;=0,"",IF(N(GanttCalc!D17)-N(GanttCalc!C17)=1,"R"&amp;GanttCalc!D17,"R"&amp;(GanttCalc!C17+1)&amp;"-"&amp;GanttCalc!D17)))</f>
        <v/>
      </c>
      <c r="G64" s="60" t="str">
        <f aca="false">IF($B$62="","",IF(N(GanttCalc!E17)-N(GanttCalc!D17)&lt;=0,"",IF(N(GanttCalc!E17)-N(GanttCalc!D17)=1,"R"&amp;GanttCalc!E17,"R"&amp;(GanttCalc!D17+1)&amp;"-"&amp;GanttCalc!E17)))</f>
        <v/>
      </c>
      <c r="H64" s="60" t="str">
        <f aca="false">IF($B$62="","",IF(N(GanttCalc!F17)-N(GanttCalc!E17)&lt;=0,"",IF(N(GanttCalc!F17)-N(GanttCalc!E17)=1,"R"&amp;GanttCalc!F17,"R"&amp;(GanttCalc!E17+1)&amp;"-"&amp;GanttCalc!F17)))</f>
        <v/>
      </c>
      <c r="I64" s="60" t="str">
        <f aca="false">IF($B$62="","",IF(N(GanttCalc!G17)-N(GanttCalc!F17)&lt;=0,"",IF(N(GanttCalc!G17)-N(GanttCalc!F17)=1,"R"&amp;GanttCalc!G17,"R"&amp;(GanttCalc!F17+1)&amp;"-"&amp;GanttCalc!G17)))</f>
        <v/>
      </c>
      <c r="J64" s="60" t="str">
        <f aca="false">IF($B$62="","",IF(N(GanttCalc!H17)-N(GanttCalc!G17)&lt;=0,"",IF(N(GanttCalc!H17)-N(GanttCalc!G17)=1,"R"&amp;GanttCalc!H17,"R"&amp;(GanttCalc!G17+1)&amp;"-"&amp;GanttCalc!H17)))</f>
        <v/>
      </c>
      <c r="K64" s="60" t="str">
        <f aca="false">IF($B$62="","",IF(N(GanttCalc!I17)-N(GanttCalc!H17)&lt;=0,"",IF(N(GanttCalc!I17)-N(GanttCalc!H17)=1,"R"&amp;GanttCalc!I17,"R"&amp;(GanttCalc!H17+1)&amp;"-"&amp;GanttCalc!I17)))</f>
        <v/>
      </c>
      <c r="L64" s="60" t="str">
        <f aca="false">IF($B$62="","",IF(N(GanttCalc!J17)-N(GanttCalc!I17)&lt;=0,"",IF(N(GanttCalc!J17)-N(GanttCalc!I17)=1,"R"&amp;GanttCalc!J17,"R"&amp;(GanttCalc!I17+1)&amp;"-"&amp;GanttCalc!J17)))</f>
        <v/>
      </c>
      <c r="M64" s="60" t="str">
        <f aca="false">IF($B$62="","",IF(N(GanttCalc!K17)-N(GanttCalc!J17)&lt;=0,"",IF(N(GanttCalc!K17)-N(GanttCalc!J17)=1,"R"&amp;GanttCalc!K17,"R"&amp;(GanttCalc!J17+1)&amp;"-"&amp;GanttCalc!K17)))</f>
        <v/>
      </c>
      <c r="N64" s="60" t="str">
        <f aca="false">IF($B$62="","",IF(N(GanttCalc!L17)-N(GanttCalc!K17)&lt;=0,"",IF(N(GanttCalc!L17)-N(GanttCalc!K17)=1,"R"&amp;GanttCalc!L17,"R"&amp;(GanttCalc!K17+1)&amp;"-"&amp;GanttCalc!L17)))</f>
        <v/>
      </c>
      <c r="O64" s="60" t="str">
        <f aca="false">IF($B$62="","",IF(N(GanttCalc!M17)-N(GanttCalc!L17)&lt;=0,"",IF(N(GanttCalc!M17)-N(GanttCalc!L17)=1,"R"&amp;GanttCalc!M17,"R"&amp;(GanttCalc!L17+1)&amp;"-"&amp;GanttCalc!M17)))</f>
        <v/>
      </c>
      <c r="P64" s="60" t="str">
        <f aca="false">IF($B$62="","",IF(N(GanttCalc!N17)-N(GanttCalc!M17)&lt;=0,"",IF(N(GanttCalc!N17)-N(GanttCalc!M17)=1,"R"&amp;GanttCalc!N17,"R"&amp;(GanttCalc!M17+1)&amp;"-"&amp;GanttCalc!N17)))</f>
        <v/>
      </c>
      <c r="Q64" s="60" t="str">
        <f aca="false">IF($B$62="","",IF(N(GanttCalc!O17)-N(GanttCalc!N17)&lt;=0,"",IF(N(GanttCalc!O17)-N(GanttCalc!N17)=1,"R"&amp;GanttCalc!O17,"R"&amp;(GanttCalc!N17+1)&amp;"-"&amp;GanttCalc!O17)))</f>
        <v/>
      </c>
      <c r="R64" s="60" t="str">
        <f aca="false">IF($B$62="","",IF(N(GanttCalc!P17)-N(GanttCalc!O17)&lt;=0,"",IF(N(GanttCalc!P17)-N(GanttCalc!O17)=1,"R"&amp;GanttCalc!P17,"R"&amp;(GanttCalc!O17+1)&amp;"-"&amp;GanttCalc!P17)))</f>
        <v/>
      </c>
      <c r="S64" s="60" t="str">
        <f aca="false">IF($B$62="","",IF(N(GanttCalc!Q17)-N(GanttCalc!P17)&lt;=0,"",IF(N(GanttCalc!Q17)-N(GanttCalc!P17)=1,"R"&amp;GanttCalc!Q17,"R"&amp;(GanttCalc!P17+1)&amp;"-"&amp;GanttCalc!Q17)))</f>
        <v/>
      </c>
      <c r="T64" s="60" t="str">
        <f aca="false">IF($B$62="","",IF(N(GanttCalc!R17)-N(GanttCalc!Q17)&lt;=0,"",IF(N(GanttCalc!R17)-N(GanttCalc!Q17)=1,"R"&amp;GanttCalc!R17,"R"&amp;(GanttCalc!Q17+1)&amp;"-"&amp;GanttCalc!R17)))</f>
        <v/>
      </c>
      <c r="U64" s="60" t="str">
        <f aca="false">IF($B$62="","",IF(N(GanttCalc!S17)-N(GanttCalc!R17)&lt;=0,"",IF(N(GanttCalc!S17)-N(GanttCalc!R17)=1,"R"&amp;GanttCalc!S17,"R"&amp;(GanttCalc!R17+1)&amp;"-"&amp;GanttCalc!S17)))</f>
        <v/>
      </c>
      <c r="V64" s="60" t="str">
        <f aca="false">IF($B$62="","",IF(N(GanttCalc!T17)-N(GanttCalc!S17)&lt;=0,"",IF(N(GanttCalc!T17)-N(GanttCalc!S17)=1,"R"&amp;GanttCalc!T17,"R"&amp;(GanttCalc!S17+1)&amp;"-"&amp;GanttCalc!T17)))</f>
        <v/>
      </c>
      <c r="W64" s="60" t="str">
        <f aca="false">IF($B$62="","",IF(N(GanttCalc!U17)-N(GanttCalc!T17)&lt;=0,"",IF(N(GanttCalc!U17)-N(GanttCalc!T17)=1,"R"&amp;GanttCalc!U17,"R"&amp;(GanttCalc!T17+1)&amp;"-"&amp;GanttCalc!U17)))</f>
        <v/>
      </c>
      <c r="X64" s="60" t="str">
        <f aca="false">IF($B$62="","",IF(N(GanttCalc!V17)-N(GanttCalc!U17)&lt;=0,"",IF(N(GanttCalc!V17)-N(GanttCalc!U17)=1,"R"&amp;GanttCalc!V17,"R"&amp;(GanttCalc!U17+1)&amp;"-"&amp;GanttCalc!V17)))</f>
        <v/>
      </c>
      <c r="Y64" s="60" t="str">
        <f aca="false">IF($B$62="","",IF(N(GanttCalc!W17)-N(GanttCalc!V17)&lt;=0,"",IF(N(GanttCalc!W17)-N(GanttCalc!V17)=1,"R"&amp;GanttCalc!W17,"R"&amp;(GanttCalc!V17+1)&amp;"-"&amp;GanttCalc!W17)))</f>
        <v/>
      </c>
      <c r="Z64" s="60" t="str">
        <f aca="false">IF($B$62="","",IF(N(GanttCalc!X17)-N(GanttCalc!W17)&lt;=0,"",IF(N(GanttCalc!X17)-N(GanttCalc!W17)=1,"R"&amp;GanttCalc!X17,"R"&amp;(GanttCalc!W17+1)&amp;"-"&amp;GanttCalc!X17)))</f>
        <v/>
      </c>
      <c r="AA64" s="60" t="str">
        <f aca="false">IF($B$62="","",IF(N(GanttCalc!Y17)-N(GanttCalc!X17)&lt;=0,"",IF(N(GanttCalc!Y17)-N(GanttCalc!X17)=1,"R"&amp;GanttCalc!Y17,"R"&amp;(GanttCalc!X17+1)&amp;"-"&amp;GanttCalc!Y17)))</f>
        <v/>
      </c>
      <c r="AB64" s="60" t="str">
        <f aca="false">IF($B$62="","",IF(N(GanttCalc!Z17)-N(GanttCalc!Y17)&lt;=0,"",IF(N(GanttCalc!Z17)-N(GanttCalc!Y17)=1,"R"&amp;GanttCalc!Z17,"R"&amp;(GanttCalc!Y17+1)&amp;"-"&amp;GanttCalc!Z17)))</f>
        <v/>
      </c>
      <c r="AC64" s="60" t="str">
        <f aca="false">IF($B$62="","",IF(N(GanttCalc!AA17)-N(GanttCalc!Z17)&lt;=0,"",IF(N(GanttCalc!AA17)-N(GanttCalc!Z17)=1,"R"&amp;GanttCalc!AA17,"R"&amp;(GanttCalc!Z17+1)&amp;"-"&amp;GanttCalc!AA17)))</f>
        <v/>
      </c>
      <c r="AD64" s="60" t="str">
        <f aca="false">IF($B$62="","",IF(N(GanttCalc!AB17)-N(GanttCalc!AA17)&lt;=0,"",IF(N(GanttCalc!AB17)-N(GanttCalc!AA17)=1,"R"&amp;GanttCalc!AB17,"R"&amp;(GanttCalc!AA17+1)&amp;"-"&amp;GanttCalc!AB17)))</f>
        <v/>
      </c>
      <c r="AE64" s="60" t="str">
        <f aca="false">IF($B$62="","",IF(N(GanttCalc!AC17)-N(GanttCalc!AB17)&lt;=0,"",IF(N(GanttCalc!AC17)-N(GanttCalc!AB17)=1,"R"&amp;GanttCalc!AC17,"R"&amp;(GanttCalc!AB17+1)&amp;"-"&amp;GanttCalc!AC17)))</f>
        <v/>
      </c>
      <c r="AF64" s="60" t="str">
        <f aca="false">IF($B$62="","",IF(N(GanttCalc!AD17)-N(GanttCalc!AC17)&lt;=0,"",IF(N(GanttCalc!AD17)-N(GanttCalc!AC17)=1,"R"&amp;GanttCalc!AD17,"R"&amp;(GanttCalc!AC17+1)&amp;"-"&amp;GanttCalc!AD17)))</f>
        <v/>
      </c>
      <c r="AG64" s="60" t="str">
        <f aca="false">IF($B$62="","",IF(N(GanttCalc!AE17)-N(GanttCalc!AD17)&lt;=0,"",IF(N(GanttCalc!AE17)-N(GanttCalc!AD17)=1,"R"&amp;GanttCalc!AE17,"R"&amp;(GanttCalc!AD17+1)&amp;"-"&amp;GanttCalc!AE17)))</f>
        <v/>
      </c>
      <c r="AH64" s="60" t="str">
        <f aca="false">IF($B$62="","",IF(N(GanttCalc!AF17)-N(GanttCalc!AE17)&lt;=0,"",IF(N(GanttCalc!AF17)-N(GanttCalc!AE17)=1,"R"&amp;GanttCalc!AF17,"R"&amp;(GanttCalc!AE17+1)&amp;"-"&amp;GanttCalc!AF17)))</f>
        <v/>
      </c>
      <c r="AI64" s="60" t="str">
        <f aca="false">IF($B$62="","",IF(N(GanttCalc!AG17)-N(GanttCalc!AF17)&lt;=0,"",IF(N(GanttCalc!AG17)-N(GanttCalc!AF17)=1,"R"&amp;GanttCalc!AG17,"R"&amp;(GanttCalc!AF17+1)&amp;"-"&amp;GanttCalc!AG17)))</f>
        <v/>
      </c>
      <c r="AJ64" s="60" t="str">
        <f aca="false">IF($B$62="","",IF(N(GanttCalc!AH17)-N(GanttCalc!AG17)&lt;=0,"",IF(N(GanttCalc!AH17)-N(GanttCalc!AG17)=1,"R"&amp;GanttCalc!AH17,"R"&amp;(GanttCalc!AG17+1)&amp;"-"&amp;GanttCalc!AH17)))</f>
        <v/>
      </c>
      <c r="AK64" s="60" t="str">
        <f aca="false">IF($B$62="","",IF(N(GanttCalc!AI17)-N(GanttCalc!AH17)&lt;=0,"",IF(N(GanttCalc!AI17)-N(GanttCalc!AH17)=1,"R"&amp;GanttCalc!AI17,"R"&amp;(GanttCalc!AH17+1)&amp;"-"&amp;GanttCalc!AI17)))</f>
        <v/>
      </c>
      <c r="AL64" s="60" t="str">
        <f aca="false">IF($B$62="","",IF(N(GanttCalc!AJ17)-N(GanttCalc!AI17)&lt;=0,"",IF(N(GanttCalc!AJ17)-N(GanttCalc!AI17)=1,"R"&amp;GanttCalc!AJ17,"R"&amp;(GanttCalc!AI17+1)&amp;"-"&amp;GanttCalc!AJ17)))</f>
        <v/>
      </c>
      <c r="AM64" s="60" t="str">
        <f aca="false">IF($B$62="","",IF(N(GanttCalc!AK17)-N(GanttCalc!AJ17)&lt;=0,"",IF(N(GanttCalc!AK17)-N(GanttCalc!AJ17)=1,"R"&amp;GanttCalc!AK17,"R"&amp;(GanttCalc!AJ17+1)&amp;"-"&amp;GanttCalc!AK17)))</f>
        <v/>
      </c>
      <c r="AN64" s="60" t="str">
        <f aca="false">IF($B$62="","",IF(N(GanttCalc!AL17)-N(GanttCalc!AK17)&lt;=0,"",IF(N(GanttCalc!AL17)-N(GanttCalc!AK17)=1,"R"&amp;GanttCalc!AL17,"R"&amp;(GanttCalc!AK17+1)&amp;"-"&amp;GanttCalc!AL17)))</f>
        <v/>
      </c>
      <c r="AO64" s="60" t="str">
        <f aca="false">IF($B$62="","",IF(N(GanttCalc!AM17)-N(GanttCalc!AL17)&lt;=0,"",IF(N(GanttCalc!AM17)-N(GanttCalc!AL17)=1,"R"&amp;GanttCalc!AM17,"R"&amp;(GanttCalc!AL17+1)&amp;"-"&amp;GanttCalc!AM17)))</f>
        <v/>
      </c>
      <c r="AP64" s="60" t="str">
        <f aca="false">IF($B$62="","",IF(N(GanttCalc!AN17)-N(GanttCalc!AM17)&lt;=0,"",IF(N(GanttCalc!AN17)-N(GanttCalc!AM17)=1,"R"&amp;GanttCalc!AN17,"R"&amp;(GanttCalc!AM17+1)&amp;"-"&amp;GanttCalc!AN17)))</f>
        <v/>
      </c>
      <c r="AQ64" s="60" t="str">
        <f aca="false">IF($B$62="","",IF(N(GanttCalc!AO17)-N(GanttCalc!AN17)&lt;=0,"",IF(N(GanttCalc!AO17)-N(GanttCalc!AN17)=1,"R"&amp;GanttCalc!AO17,"R"&amp;(GanttCalc!AN17+1)&amp;"-"&amp;GanttCalc!AO17)))</f>
        <v/>
      </c>
      <c r="AR64" s="60" t="str">
        <f aca="false">IF($B$62="","",IF(N(GanttCalc!AP17)-N(GanttCalc!AO17)&lt;=0,"",IF(N(GanttCalc!AP17)-N(GanttCalc!AO17)=1,"R"&amp;GanttCalc!AP17,"R"&amp;(GanttCalc!AO17+1)&amp;"-"&amp;GanttCalc!AP17)))</f>
        <v/>
      </c>
      <c r="AS64" s="60" t="str">
        <f aca="false">IF($B$62="","",IF(N(GanttCalc!AQ17)-N(GanttCalc!AP17)&lt;=0,"",IF(N(GanttCalc!AQ17)-N(GanttCalc!AP17)=1,"R"&amp;GanttCalc!AQ17,"R"&amp;(GanttCalc!AP17+1)&amp;"-"&amp;GanttCalc!AQ17)))</f>
        <v/>
      </c>
      <c r="AT64" s="60" t="str">
        <f aca="false">IF($B$62="","",IF(N(GanttCalc!AR17)-N(GanttCalc!AQ17)&lt;=0,"",IF(N(GanttCalc!AR17)-N(GanttCalc!AQ17)=1,"R"&amp;GanttCalc!AR17,"R"&amp;(GanttCalc!AQ17+1)&amp;"-"&amp;GanttCalc!AR17)))</f>
        <v/>
      </c>
      <c r="AU64" s="60" t="str">
        <f aca="false">IF($B$62="","",IF(N(GanttCalc!AS17)-N(GanttCalc!AR17)&lt;=0,"",IF(N(GanttCalc!AS17)-N(GanttCalc!AR17)=1,"R"&amp;GanttCalc!AS17,"R"&amp;(GanttCalc!AR17+1)&amp;"-"&amp;GanttCalc!AS17)))</f>
        <v/>
      </c>
      <c r="AV64" s="60" t="str">
        <f aca="false">IF($B$62="","",IF(N(GanttCalc!AT17)-N(GanttCalc!AS17)&lt;=0,"",IF(N(GanttCalc!AT17)-N(GanttCalc!AS17)=1,"R"&amp;GanttCalc!AT17,"R"&amp;(GanttCalc!AS17+1)&amp;"-"&amp;GanttCalc!AT17)))</f>
        <v/>
      </c>
      <c r="AW64" s="60" t="str">
        <f aca="false">IF($B$62="","",IF(N(GanttCalc!AU17)-N(GanttCalc!AT17)&lt;=0,"",IF(N(GanttCalc!AU17)-N(GanttCalc!AT17)=1,"R"&amp;GanttCalc!AU17,"R"&amp;(GanttCalc!AT17+1)&amp;"-"&amp;GanttCalc!AU17)))</f>
        <v/>
      </c>
      <c r="AX64" s="60" t="str">
        <f aca="false">IF($B$62="","",IF(N(GanttCalc!AV17)-N(GanttCalc!AU17)&lt;=0,"",IF(N(GanttCalc!AV17)-N(GanttCalc!AU17)=1,"R"&amp;GanttCalc!AV17,"R"&amp;(GanttCalc!AU17+1)&amp;"-"&amp;GanttCalc!AV17)))</f>
        <v/>
      </c>
      <c r="AY64" s="60" t="str">
        <f aca="false">IF($B$62="","",IF(N(GanttCalc!AW17)-N(GanttCalc!AV17)&lt;=0,"",IF(N(GanttCalc!AW17)-N(GanttCalc!AV17)=1,"R"&amp;GanttCalc!AW17,"R"&amp;(GanttCalc!AV17+1)&amp;"-"&amp;GanttCalc!AW17)))</f>
        <v/>
      </c>
      <c r="AZ64" s="60" t="str">
        <f aca="false">IF($B$62="","",IF(N(GanttCalc!AX17)-N(GanttCalc!AW17)&lt;=0,"",IF(N(GanttCalc!AX17)-N(GanttCalc!AW17)=1,"R"&amp;GanttCalc!AX17,"R"&amp;(GanttCalc!AW17+1)&amp;"-"&amp;GanttCalc!AX17)))</f>
        <v/>
      </c>
      <c r="BA64" s="60" t="str">
        <f aca="false">IF($B$62="","",IF(N(GanttCalc!AY17)-N(GanttCalc!AX17)&lt;=0,"",IF(N(GanttCalc!AY17)-N(GanttCalc!AX17)=1,"R"&amp;GanttCalc!AY17,"R"&amp;(GanttCalc!AX17+1)&amp;"-"&amp;GanttCalc!AY17)))</f>
        <v/>
      </c>
      <c r="BB64" s="60" t="str">
        <f aca="false">IF($B$62="","",IF(N(GanttCalc!AZ17)-N(GanttCalc!AY17)&lt;=0,"",IF(N(GanttCalc!AZ17)-N(GanttCalc!AY17)=1,"R"&amp;GanttCalc!AZ17,"R"&amp;(GanttCalc!AY17+1)&amp;"-"&amp;GanttCalc!AZ17)))</f>
        <v/>
      </c>
      <c r="BC64" s="60" t="str">
        <f aca="false">IF($B$62="","",IF(N(GanttCalc!BA17)-N(GanttCalc!AZ17)&lt;=0,"",IF(N(GanttCalc!BA17)-N(GanttCalc!AZ17)=1,"R"&amp;GanttCalc!BA17,"R"&amp;(GanttCalc!AZ17+1)&amp;"-"&amp;GanttCalc!BA17)))</f>
        <v/>
      </c>
      <c r="BD64" s="60" t="str">
        <f aca="false">IF($B$62="","",IF(N(GanttCalc!BB17)-N(GanttCalc!BA17)&lt;=0,"",IF(N(GanttCalc!BB17)-N(GanttCalc!BA17)=1,"R"&amp;GanttCalc!BB17,"R"&amp;(GanttCalc!BA17+1)&amp;"-"&amp;GanttCalc!BB17)))</f>
        <v/>
      </c>
    </row>
    <row r="65" customFormat="false" ht="6" hidden="false" customHeight="true" outlineLevel="0" collapsed="false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customFormat="false" ht="16.5" hidden="false" customHeight="true" outlineLevel="0" collapsed="false">
      <c r="B66" s="32" t="str">
        <f aca="false">IF(Contracts!$A$20="","",Contracts!$A$20)</f>
        <v/>
      </c>
      <c r="C66" s="58" t="str">
        <f aca="false">IF(Contracts!$A$20="","","Kit release")</f>
        <v/>
      </c>
      <c r="D66" s="59" t="str">
        <f aca="false">IF($B$66="","",SUMPRODUCT(--(E66:BD66&lt;&gt;""))&amp;" wks")</f>
        <v/>
      </c>
      <c r="E66" s="60" t="str">
        <f aca="true">IF($B$66="","",IF(N(OFFSET(GanttCalc!$B$18,0,1+N(Contracts!$Q$20)))-N(OFFSET(GanttCalc!$B$18,0,0+N(Contracts!$Q$20)))&lt;=0,"",IF(N(OFFSET(GanttCalc!$B$18,0,1+N(Contracts!$Q$20)))-N(OFFSET(GanttCalc!$B$18,0,0+N(Contracts!$Q$20)))=1,"R"&amp;OFFSET(GanttCalc!$B$18,0,1+N(Contracts!$Q$20)),"R"&amp;(OFFSET(GanttCalc!$B$18,0,0+N(Contracts!$Q$20))+1)&amp;"-"&amp;OFFSET(GanttCalc!$B$18,0,1+N(Contracts!$Q$20)))))</f>
        <v/>
      </c>
      <c r="F66" s="60" t="str">
        <f aca="true">IF($B$66="","",IF(N(OFFSET(GanttCalc!$B$18,0,2+N(Contracts!$Q$20)))-N(OFFSET(GanttCalc!$B$18,0,1+N(Contracts!$Q$20)))&lt;=0,"",IF(N(OFFSET(GanttCalc!$B$18,0,2+N(Contracts!$Q$20)))-N(OFFSET(GanttCalc!$B$18,0,1+N(Contracts!$Q$20)))=1,"R"&amp;OFFSET(GanttCalc!$B$18,0,2+N(Contracts!$Q$20)),"R"&amp;(OFFSET(GanttCalc!$B$18,0,1+N(Contracts!$Q$20))+1)&amp;"-"&amp;OFFSET(GanttCalc!$B$18,0,2+N(Contracts!$Q$20)))))</f>
        <v/>
      </c>
      <c r="G66" s="60" t="str">
        <f aca="true">IF($B$66="","",IF(N(OFFSET(GanttCalc!$B$18,0,3+N(Contracts!$Q$20)))-N(OFFSET(GanttCalc!$B$18,0,2+N(Contracts!$Q$20)))&lt;=0,"",IF(N(OFFSET(GanttCalc!$B$18,0,3+N(Contracts!$Q$20)))-N(OFFSET(GanttCalc!$B$18,0,2+N(Contracts!$Q$20)))=1,"R"&amp;OFFSET(GanttCalc!$B$18,0,3+N(Contracts!$Q$20)),"R"&amp;(OFFSET(GanttCalc!$B$18,0,2+N(Contracts!$Q$20))+1)&amp;"-"&amp;OFFSET(GanttCalc!$B$18,0,3+N(Contracts!$Q$20)))))</f>
        <v/>
      </c>
      <c r="H66" s="60" t="str">
        <f aca="true">IF($B$66="","",IF(N(OFFSET(GanttCalc!$B$18,0,4+N(Contracts!$Q$20)))-N(OFFSET(GanttCalc!$B$18,0,3+N(Contracts!$Q$20)))&lt;=0,"",IF(N(OFFSET(GanttCalc!$B$18,0,4+N(Contracts!$Q$20)))-N(OFFSET(GanttCalc!$B$18,0,3+N(Contracts!$Q$20)))=1,"R"&amp;OFFSET(GanttCalc!$B$18,0,4+N(Contracts!$Q$20)),"R"&amp;(OFFSET(GanttCalc!$B$18,0,3+N(Contracts!$Q$20))+1)&amp;"-"&amp;OFFSET(GanttCalc!$B$18,0,4+N(Contracts!$Q$20)))))</f>
        <v/>
      </c>
      <c r="I66" s="60" t="str">
        <f aca="true">IF($B$66="","",IF(N(OFFSET(GanttCalc!$B$18,0,5+N(Contracts!$Q$20)))-N(OFFSET(GanttCalc!$B$18,0,4+N(Contracts!$Q$20)))&lt;=0,"",IF(N(OFFSET(GanttCalc!$B$18,0,5+N(Contracts!$Q$20)))-N(OFFSET(GanttCalc!$B$18,0,4+N(Contracts!$Q$20)))=1,"R"&amp;OFFSET(GanttCalc!$B$18,0,5+N(Contracts!$Q$20)),"R"&amp;(OFFSET(GanttCalc!$B$18,0,4+N(Contracts!$Q$20))+1)&amp;"-"&amp;OFFSET(GanttCalc!$B$18,0,5+N(Contracts!$Q$20)))))</f>
        <v/>
      </c>
      <c r="J66" s="60" t="str">
        <f aca="true">IF($B$66="","",IF(N(OFFSET(GanttCalc!$B$18,0,6+N(Contracts!$Q$20)))-N(OFFSET(GanttCalc!$B$18,0,5+N(Contracts!$Q$20)))&lt;=0,"",IF(N(OFFSET(GanttCalc!$B$18,0,6+N(Contracts!$Q$20)))-N(OFFSET(GanttCalc!$B$18,0,5+N(Contracts!$Q$20)))=1,"R"&amp;OFFSET(GanttCalc!$B$18,0,6+N(Contracts!$Q$20)),"R"&amp;(OFFSET(GanttCalc!$B$18,0,5+N(Contracts!$Q$20))+1)&amp;"-"&amp;OFFSET(GanttCalc!$B$18,0,6+N(Contracts!$Q$20)))))</f>
        <v/>
      </c>
      <c r="K66" s="60" t="str">
        <f aca="true">IF($B$66="","",IF(N(OFFSET(GanttCalc!$B$18,0,7+N(Contracts!$Q$20)))-N(OFFSET(GanttCalc!$B$18,0,6+N(Contracts!$Q$20)))&lt;=0,"",IF(N(OFFSET(GanttCalc!$B$18,0,7+N(Contracts!$Q$20)))-N(OFFSET(GanttCalc!$B$18,0,6+N(Contracts!$Q$20)))=1,"R"&amp;OFFSET(GanttCalc!$B$18,0,7+N(Contracts!$Q$20)),"R"&amp;(OFFSET(GanttCalc!$B$18,0,6+N(Contracts!$Q$20))+1)&amp;"-"&amp;OFFSET(GanttCalc!$B$18,0,7+N(Contracts!$Q$20)))))</f>
        <v/>
      </c>
      <c r="L66" s="60" t="str">
        <f aca="true">IF($B$66="","",IF(N(OFFSET(GanttCalc!$B$18,0,8+N(Contracts!$Q$20)))-N(OFFSET(GanttCalc!$B$18,0,7+N(Contracts!$Q$20)))&lt;=0,"",IF(N(OFFSET(GanttCalc!$B$18,0,8+N(Contracts!$Q$20)))-N(OFFSET(GanttCalc!$B$18,0,7+N(Contracts!$Q$20)))=1,"R"&amp;OFFSET(GanttCalc!$B$18,0,8+N(Contracts!$Q$20)),"R"&amp;(OFFSET(GanttCalc!$B$18,0,7+N(Contracts!$Q$20))+1)&amp;"-"&amp;OFFSET(GanttCalc!$B$18,0,8+N(Contracts!$Q$20)))))</f>
        <v/>
      </c>
      <c r="M66" s="60" t="str">
        <f aca="true">IF($B$66="","",IF(N(OFFSET(GanttCalc!$B$18,0,9+N(Contracts!$Q$20)))-N(OFFSET(GanttCalc!$B$18,0,8+N(Contracts!$Q$20)))&lt;=0,"",IF(N(OFFSET(GanttCalc!$B$18,0,9+N(Contracts!$Q$20)))-N(OFFSET(GanttCalc!$B$18,0,8+N(Contracts!$Q$20)))=1,"R"&amp;OFFSET(GanttCalc!$B$18,0,9+N(Contracts!$Q$20)),"R"&amp;(OFFSET(GanttCalc!$B$18,0,8+N(Contracts!$Q$20))+1)&amp;"-"&amp;OFFSET(GanttCalc!$B$18,0,9+N(Contracts!$Q$20)))))</f>
        <v/>
      </c>
      <c r="N66" s="60" t="str">
        <f aca="true">IF($B$66="","",IF(N(OFFSET(GanttCalc!$B$18,0,10+N(Contracts!$Q$20)))-N(OFFSET(GanttCalc!$B$18,0,9+N(Contracts!$Q$20)))&lt;=0,"",IF(N(OFFSET(GanttCalc!$B$18,0,10+N(Contracts!$Q$20)))-N(OFFSET(GanttCalc!$B$18,0,9+N(Contracts!$Q$20)))=1,"R"&amp;OFFSET(GanttCalc!$B$18,0,10+N(Contracts!$Q$20)),"R"&amp;(OFFSET(GanttCalc!$B$18,0,9+N(Contracts!$Q$20))+1)&amp;"-"&amp;OFFSET(GanttCalc!$B$18,0,10+N(Contracts!$Q$20)))))</f>
        <v/>
      </c>
      <c r="O66" s="60" t="str">
        <f aca="true">IF($B$66="","",IF(N(OFFSET(GanttCalc!$B$18,0,11+N(Contracts!$Q$20)))-N(OFFSET(GanttCalc!$B$18,0,10+N(Contracts!$Q$20)))&lt;=0,"",IF(N(OFFSET(GanttCalc!$B$18,0,11+N(Contracts!$Q$20)))-N(OFFSET(GanttCalc!$B$18,0,10+N(Contracts!$Q$20)))=1,"R"&amp;OFFSET(GanttCalc!$B$18,0,11+N(Contracts!$Q$20)),"R"&amp;(OFFSET(GanttCalc!$B$18,0,10+N(Contracts!$Q$20))+1)&amp;"-"&amp;OFFSET(GanttCalc!$B$18,0,11+N(Contracts!$Q$20)))))</f>
        <v/>
      </c>
      <c r="P66" s="60" t="str">
        <f aca="true">IF($B$66="","",IF(N(OFFSET(GanttCalc!$B$18,0,12+N(Contracts!$Q$20)))-N(OFFSET(GanttCalc!$B$18,0,11+N(Contracts!$Q$20)))&lt;=0,"",IF(N(OFFSET(GanttCalc!$B$18,0,12+N(Contracts!$Q$20)))-N(OFFSET(GanttCalc!$B$18,0,11+N(Contracts!$Q$20)))=1,"R"&amp;OFFSET(GanttCalc!$B$18,0,12+N(Contracts!$Q$20)),"R"&amp;(OFFSET(GanttCalc!$B$18,0,11+N(Contracts!$Q$20))+1)&amp;"-"&amp;OFFSET(GanttCalc!$B$18,0,12+N(Contracts!$Q$20)))))</f>
        <v/>
      </c>
      <c r="Q66" s="60" t="str">
        <f aca="true">IF($B$66="","",IF(N(OFFSET(GanttCalc!$B$18,0,13+N(Contracts!$Q$20)))-N(OFFSET(GanttCalc!$B$18,0,12+N(Contracts!$Q$20)))&lt;=0,"",IF(N(OFFSET(GanttCalc!$B$18,0,13+N(Contracts!$Q$20)))-N(OFFSET(GanttCalc!$B$18,0,12+N(Contracts!$Q$20)))=1,"R"&amp;OFFSET(GanttCalc!$B$18,0,13+N(Contracts!$Q$20)),"R"&amp;(OFFSET(GanttCalc!$B$18,0,12+N(Contracts!$Q$20))+1)&amp;"-"&amp;OFFSET(GanttCalc!$B$18,0,13+N(Contracts!$Q$20)))))</f>
        <v/>
      </c>
      <c r="R66" s="60" t="str">
        <f aca="true">IF($B$66="","",IF(N(OFFSET(GanttCalc!$B$18,0,14+N(Contracts!$Q$20)))-N(OFFSET(GanttCalc!$B$18,0,13+N(Contracts!$Q$20)))&lt;=0,"",IF(N(OFFSET(GanttCalc!$B$18,0,14+N(Contracts!$Q$20)))-N(OFFSET(GanttCalc!$B$18,0,13+N(Contracts!$Q$20)))=1,"R"&amp;OFFSET(GanttCalc!$B$18,0,14+N(Contracts!$Q$20)),"R"&amp;(OFFSET(GanttCalc!$B$18,0,13+N(Contracts!$Q$20))+1)&amp;"-"&amp;OFFSET(GanttCalc!$B$18,0,14+N(Contracts!$Q$20)))))</f>
        <v/>
      </c>
      <c r="S66" s="60" t="str">
        <f aca="true">IF($B$66="","",IF(N(OFFSET(GanttCalc!$B$18,0,15+N(Contracts!$Q$20)))-N(OFFSET(GanttCalc!$B$18,0,14+N(Contracts!$Q$20)))&lt;=0,"",IF(N(OFFSET(GanttCalc!$B$18,0,15+N(Contracts!$Q$20)))-N(OFFSET(GanttCalc!$B$18,0,14+N(Contracts!$Q$20)))=1,"R"&amp;OFFSET(GanttCalc!$B$18,0,15+N(Contracts!$Q$20)),"R"&amp;(OFFSET(GanttCalc!$B$18,0,14+N(Contracts!$Q$20))+1)&amp;"-"&amp;OFFSET(GanttCalc!$B$18,0,15+N(Contracts!$Q$20)))))</f>
        <v/>
      </c>
      <c r="T66" s="60" t="str">
        <f aca="true">IF($B$66="","",IF(N(OFFSET(GanttCalc!$B$18,0,16+N(Contracts!$Q$20)))-N(OFFSET(GanttCalc!$B$18,0,15+N(Contracts!$Q$20)))&lt;=0,"",IF(N(OFFSET(GanttCalc!$B$18,0,16+N(Contracts!$Q$20)))-N(OFFSET(GanttCalc!$B$18,0,15+N(Contracts!$Q$20)))=1,"R"&amp;OFFSET(GanttCalc!$B$18,0,16+N(Contracts!$Q$20)),"R"&amp;(OFFSET(GanttCalc!$B$18,0,15+N(Contracts!$Q$20))+1)&amp;"-"&amp;OFFSET(GanttCalc!$B$18,0,16+N(Contracts!$Q$20)))))</f>
        <v/>
      </c>
      <c r="U66" s="60" t="str">
        <f aca="true">IF($B$66="","",IF(N(OFFSET(GanttCalc!$B$18,0,17+N(Contracts!$Q$20)))-N(OFFSET(GanttCalc!$B$18,0,16+N(Contracts!$Q$20)))&lt;=0,"",IF(N(OFFSET(GanttCalc!$B$18,0,17+N(Contracts!$Q$20)))-N(OFFSET(GanttCalc!$B$18,0,16+N(Contracts!$Q$20)))=1,"R"&amp;OFFSET(GanttCalc!$B$18,0,17+N(Contracts!$Q$20)),"R"&amp;(OFFSET(GanttCalc!$B$18,0,16+N(Contracts!$Q$20))+1)&amp;"-"&amp;OFFSET(GanttCalc!$B$18,0,17+N(Contracts!$Q$20)))))</f>
        <v/>
      </c>
      <c r="V66" s="60" t="str">
        <f aca="true">IF($B$66="","",IF(N(OFFSET(GanttCalc!$B$18,0,18+N(Contracts!$Q$20)))-N(OFFSET(GanttCalc!$B$18,0,17+N(Contracts!$Q$20)))&lt;=0,"",IF(N(OFFSET(GanttCalc!$B$18,0,18+N(Contracts!$Q$20)))-N(OFFSET(GanttCalc!$B$18,0,17+N(Contracts!$Q$20)))=1,"R"&amp;OFFSET(GanttCalc!$B$18,0,18+N(Contracts!$Q$20)),"R"&amp;(OFFSET(GanttCalc!$B$18,0,17+N(Contracts!$Q$20))+1)&amp;"-"&amp;OFFSET(GanttCalc!$B$18,0,18+N(Contracts!$Q$20)))))</f>
        <v/>
      </c>
      <c r="W66" s="60" t="str">
        <f aca="true">IF($B$66="","",IF(N(OFFSET(GanttCalc!$B$18,0,19+N(Contracts!$Q$20)))-N(OFFSET(GanttCalc!$B$18,0,18+N(Contracts!$Q$20)))&lt;=0,"",IF(N(OFFSET(GanttCalc!$B$18,0,19+N(Contracts!$Q$20)))-N(OFFSET(GanttCalc!$B$18,0,18+N(Contracts!$Q$20)))=1,"R"&amp;OFFSET(GanttCalc!$B$18,0,19+N(Contracts!$Q$20)),"R"&amp;(OFFSET(GanttCalc!$B$18,0,18+N(Contracts!$Q$20))+1)&amp;"-"&amp;OFFSET(GanttCalc!$B$18,0,19+N(Contracts!$Q$20)))))</f>
        <v/>
      </c>
      <c r="X66" s="60" t="str">
        <f aca="true">IF($B$66="","",IF(N(OFFSET(GanttCalc!$B$18,0,20+N(Contracts!$Q$20)))-N(OFFSET(GanttCalc!$B$18,0,19+N(Contracts!$Q$20)))&lt;=0,"",IF(N(OFFSET(GanttCalc!$B$18,0,20+N(Contracts!$Q$20)))-N(OFFSET(GanttCalc!$B$18,0,19+N(Contracts!$Q$20)))=1,"R"&amp;OFFSET(GanttCalc!$B$18,0,20+N(Contracts!$Q$20)),"R"&amp;(OFFSET(GanttCalc!$B$18,0,19+N(Contracts!$Q$20))+1)&amp;"-"&amp;OFFSET(GanttCalc!$B$18,0,20+N(Contracts!$Q$20)))))</f>
        <v/>
      </c>
      <c r="Y66" s="60" t="str">
        <f aca="true">IF($B$66="","",IF(N(OFFSET(GanttCalc!$B$18,0,21+N(Contracts!$Q$20)))-N(OFFSET(GanttCalc!$B$18,0,20+N(Contracts!$Q$20)))&lt;=0,"",IF(N(OFFSET(GanttCalc!$B$18,0,21+N(Contracts!$Q$20)))-N(OFFSET(GanttCalc!$B$18,0,20+N(Contracts!$Q$20)))=1,"R"&amp;OFFSET(GanttCalc!$B$18,0,21+N(Contracts!$Q$20)),"R"&amp;(OFFSET(GanttCalc!$B$18,0,20+N(Contracts!$Q$20))+1)&amp;"-"&amp;OFFSET(GanttCalc!$B$18,0,21+N(Contracts!$Q$20)))))</f>
        <v/>
      </c>
      <c r="Z66" s="60" t="str">
        <f aca="true">IF($B$66="","",IF(N(OFFSET(GanttCalc!$B$18,0,22+N(Contracts!$Q$20)))-N(OFFSET(GanttCalc!$B$18,0,21+N(Contracts!$Q$20)))&lt;=0,"",IF(N(OFFSET(GanttCalc!$B$18,0,22+N(Contracts!$Q$20)))-N(OFFSET(GanttCalc!$B$18,0,21+N(Contracts!$Q$20)))=1,"R"&amp;OFFSET(GanttCalc!$B$18,0,22+N(Contracts!$Q$20)),"R"&amp;(OFFSET(GanttCalc!$B$18,0,21+N(Contracts!$Q$20))+1)&amp;"-"&amp;OFFSET(GanttCalc!$B$18,0,22+N(Contracts!$Q$20)))))</f>
        <v/>
      </c>
      <c r="AA66" s="60" t="str">
        <f aca="true">IF($B$66="","",IF(N(OFFSET(GanttCalc!$B$18,0,23+N(Contracts!$Q$20)))-N(OFFSET(GanttCalc!$B$18,0,22+N(Contracts!$Q$20)))&lt;=0,"",IF(N(OFFSET(GanttCalc!$B$18,0,23+N(Contracts!$Q$20)))-N(OFFSET(GanttCalc!$B$18,0,22+N(Contracts!$Q$20)))=1,"R"&amp;OFFSET(GanttCalc!$B$18,0,23+N(Contracts!$Q$20)),"R"&amp;(OFFSET(GanttCalc!$B$18,0,22+N(Contracts!$Q$20))+1)&amp;"-"&amp;OFFSET(GanttCalc!$B$18,0,23+N(Contracts!$Q$20)))))</f>
        <v/>
      </c>
      <c r="AB66" s="60" t="str">
        <f aca="true">IF($B$66="","",IF(N(OFFSET(GanttCalc!$B$18,0,24+N(Contracts!$Q$20)))-N(OFFSET(GanttCalc!$B$18,0,23+N(Contracts!$Q$20)))&lt;=0,"",IF(N(OFFSET(GanttCalc!$B$18,0,24+N(Contracts!$Q$20)))-N(OFFSET(GanttCalc!$B$18,0,23+N(Contracts!$Q$20)))=1,"R"&amp;OFFSET(GanttCalc!$B$18,0,24+N(Contracts!$Q$20)),"R"&amp;(OFFSET(GanttCalc!$B$18,0,23+N(Contracts!$Q$20))+1)&amp;"-"&amp;OFFSET(GanttCalc!$B$18,0,24+N(Contracts!$Q$20)))))</f>
        <v/>
      </c>
      <c r="AC66" s="60" t="str">
        <f aca="true">IF($B$66="","",IF(N(OFFSET(GanttCalc!$B$18,0,25+N(Contracts!$Q$20)))-N(OFFSET(GanttCalc!$B$18,0,24+N(Contracts!$Q$20)))&lt;=0,"",IF(N(OFFSET(GanttCalc!$B$18,0,25+N(Contracts!$Q$20)))-N(OFFSET(GanttCalc!$B$18,0,24+N(Contracts!$Q$20)))=1,"R"&amp;OFFSET(GanttCalc!$B$18,0,25+N(Contracts!$Q$20)),"R"&amp;(OFFSET(GanttCalc!$B$18,0,24+N(Contracts!$Q$20))+1)&amp;"-"&amp;OFFSET(GanttCalc!$B$18,0,25+N(Contracts!$Q$20)))))</f>
        <v/>
      </c>
      <c r="AD66" s="60" t="str">
        <f aca="true">IF($B$66="","",IF(N(OFFSET(GanttCalc!$B$18,0,26+N(Contracts!$Q$20)))-N(OFFSET(GanttCalc!$B$18,0,25+N(Contracts!$Q$20)))&lt;=0,"",IF(N(OFFSET(GanttCalc!$B$18,0,26+N(Contracts!$Q$20)))-N(OFFSET(GanttCalc!$B$18,0,25+N(Contracts!$Q$20)))=1,"R"&amp;OFFSET(GanttCalc!$B$18,0,26+N(Contracts!$Q$20)),"R"&amp;(OFFSET(GanttCalc!$B$18,0,25+N(Contracts!$Q$20))+1)&amp;"-"&amp;OFFSET(GanttCalc!$B$18,0,26+N(Contracts!$Q$20)))))</f>
        <v/>
      </c>
      <c r="AE66" s="60" t="str">
        <f aca="true">IF($B$66="","",IF(N(OFFSET(GanttCalc!$B$18,0,27+N(Contracts!$Q$20)))-N(OFFSET(GanttCalc!$B$18,0,26+N(Contracts!$Q$20)))&lt;=0,"",IF(N(OFFSET(GanttCalc!$B$18,0,27+N(Contracts!$Q$20)))-N(OFFSET(GanttCalc!$B$18,0,26+N(Contracts!$Q$20)))=1,"R"&amp;OFFSET(GanttCalc!$B$18,0,27+N(Contracts!$Q$20)),"R"&amp;(OFFSET(GanttCalc!$B$18,0,26+N(Contracts!$Q$20))+1)&amp;"-"&amp;OFFSET(GanttCalc!$B$18,0,27+N(Contracts!$Q$20)))))</f>
        <v/>
      </c>
      <c r="AF66" s="60" t="str">
        <f aca="true">IF($B$66="","",IF(N(OFFSET(GanttCalc!$B$18,0,28+N(Contracts!$Q$20)))-N(OFFSET(GanttCalc!$B$18,0,27+N(Contracts!$Q$20)))&lt;=0,"",IF(N(OFFSET(GanttCalc!$B$18,0,28+N(Contracts!$Q$20)))-N(OFFSET(GanttCalc!$B$18,0,27+N(Contracts!$Q$20)))=1,"R"&amp;OFFSET(GanttCalc!$B$18,0,28+N(Contracts!$Q$20)),"R"&amp;(OFFSET(GanttCalc!$B$18,0,27+N(Contracts!$Q$20))+1)&amp;"-"&amp;OFFSET(GanttCalc!$B$18,0,28+N(Contracts!$Q$20)))))</f>
        <v/>
      </c>
      <c r="AG66" s="60" t="str">
        <f aca="true">IF($B$66="","",IF(N(OFFSET(GanttCalc!$B$18,0,29+N(Contracts!$Q$20)))-N(OFFSET(GanttCalc!$B$18,0,28+N(Contracts!$Q$20)))&lt;=0,"",IF(N(OFFSET(GanttCalc!$B$18,0,29+N(Contracts!$Q$20)))-N(OFFSET(GanttCalc!$B$18,0,28+N(Contracts!$Q$20)))=1,"R"&amp;OFFSET(GanttCalc!$B$18,0,29+N(Contracts!$Q$20)),"R"&amp;(OFFSET(GanttCalc!$B$18,0,28+N(Contracts!$Q$20))+1)&amp;"-"&amp;OFFSET(GanttCalc!$B$18,0,29+N(Contracts!$Q$20)))))</f>
        <v/>
      </c>
      <c r="AH66" s="60" t="str">
        <f aca="true">IF($B$66="","",IF(N(OFFSET(GanttCalc!$B$18,0,30+N(Contracts!$Q$20)))-N(OFFSET(GanttCalc!$B$18,0,29+N(Contracts!$Q$20)))&lt;=0,"",IF(N(OFFSET(GanttCalc!$B$18,0,30+N(Contracts!$Q$20)))-N(OFFSET(GanttCalc!$B$18,0,29+N(Contracts!$Q$20)))=1,"R"&amp;OFFSET(GanttCalc!$B$18,0,30+N(Contracts!$Q$20)),"R"&amp;(OFFSET(GanttCalc!$B$18,0,29+N(Contracts!$Q$20))+1)&amp;"-"&amp;OFFSET(GanttCalc!$B$18,0,30+N(Contracts!$Q$20)))))</f>
        <v/>
      </c>
      <c r="AI66" s="60" t="str">
        <f aca="true">IF($B$66="","",IF(N(OFFSET(GanttCalc!$B$18,0,31+N(Contracts!$Q$20)))-N(OFFSET(GanttCalc!$B$18,0,30+N(Contracts!$Q$20)))&lt;=0,"",IF(N(OFFSET(GanttCalc!$B$18,0,31+N(Contracts!$Q$20)))-N(OFFSET(GanttCalc!$B$18,0,30+N(Contracts!$Q$20)))=1,"R"&amp;OFFSET(GanttCalc!$B$18,0,31+N(Contracts!$Q$20)),"R"&amp;(OFFSET(GanttCalc!$B$18,0,30+N(Contracts!$Q$20))+1)&amp;"-"&amp;OFFSET(GanttCalc!$B$18,0,31+N(Contracts!$Q$20)))))</f>
        <v/>
      </c>
      <c r="AJ66" s="60" t="str">
        <f aca="true">IF($B$66="","",IF(N(OFFSET(GanttCalc!$B$18,0,32+N(Contracts!$Q$20)))-N(OFFSET(GanttCalc!$B$18,0,31+N(Contracts!$Q$20)))&lt;=0,"",IF(N(OFFSET(GanttCalc!$B$18,0,32+N(Contracts!$Q$20)))-N(OFFSET(GanttCalc!$B$18,0,31+N(Contracts!$Q$20)))=1,"R"&amp;OFFSET(GanttCalc!$B$18,0,32+N(Contracts!$Q$20)),"R"&amp;(OFFSET(GanttCalc!$B$18,0,31+N(Contracts!$Q$20))+1)&amp;"-"&amp;OFFSET(GanttCalc!$B$18,0,32+N(Contracts!$Q$20)))))</f>
        <v/>
      </c>
      <c r="AK66" s="60" t="str">
        <f aca="true">IF($B$66="","",IF(N(OFFSET(GanttCalc!$B$18,0,33+N(Contracts!$Q$20)))-N(OFFSET(GanttCalc!$B$18,0,32+N(Contracts!$Q$20)))&lt;=0,"",IF(N(OFFSET(GanttCalc!$B$18,0,33+N(Contracts!$Q$20)))-N(OFFSET(GanttCalc!$B$18,0,32+N(Contracts!$Q$20)))=1,"R"&amp;OFFSET(GanttCalc!$B$18,0,33+N(Contracts!$Q$20)),"R"&amp;(OFFSET(GanttCalc!$B$18,0,32+N(Contracts!$Q$20))+1)&amp;"-"&amp;OFFSET(GanttCalc!$B$18,0,33+N(Contracts!$Q$20)))))</f>
        <v/>
      </c>
      <c r="AL66" s="60" t="str">
        <f aca="true">IF($B$66="","",IF(N(OFFSET(GanttCalc!$B$18,0,34+N(Contracts!$Q$20)))-N(OFFSET(GanttCalc!$B$18,0,33+N(Contracts!$Q$20)))&lt;=0,"",IF(N(OFFSET(GanttCalc!$B$18,0,34+N(Contracts!$Q$20)))-N(OFFSET(GanttCalc!$B$18,0,33+N(Contracts!$Q$20)))=1,"R"&amp;OFFSET(GanttCalc!$B$18,0,34+N(Contracts!$Q$20)),"R"&amp;(OFFSET(GanttCalc!$B$18,0,33+N(Contracts!$Q$20))+1)&amp;"-"&amp;OFFSET(GanttCalc!$B$18,0,34+N(Contracts!$Q$20)))))</f>
        <v/>
      </c>
      <c r="AM66" s="60" t="str">
        <f aca="true">IF($B$66="","",IF(N(OFFSET(GanttCalc!$B$18,0,35+N(Contracts!$Q$20)))-N(OFFSET(GanttCalc!$B$18,0,34+N(Contracts!$Q$20)))&lt;=0,"",IF(N(OFFSET(GanttCalc!$B$18,0,35+N(Contracts!$Q$20)))-N(OFFSET(GanttCalc!$B$18,0,34+N(Contracts!$Q$20)))=1,"R"&amp;OFFSET(GanttCalc!$B$18,0,35+N(Contracts!$Q$20)),"R"&amp;(OFFSET(GanttCalc!$B$18,0,34+N(Contracts!$Q$20))+1)&amp;"-"&amp;OFFSET(GanttCalc!$B$18,0,35+N(Contracts!$Q$20)))))</f>
        <v/>
      </c>
      <c r="AN66" s="60" t="str">
        <f aca="true">IF($B$66="","",IF(N(OFFSET(GanttCalc!$B$18,0,36+N(Contracts!$Q$20)))-N(OFFSET(GanttCalc!$B$18,0,35+N(Contracts!$Q$20)))&lt;=0,"",IF(N(OFFSET(GanttCalc!$B$18,0,36+N(Contracts!$Q$20)))-N(OFFSET(GanttCalc!$B$18,0,35+N(Contracts!$Q$20)))=1,"R"&amp;OFFSET(GanttCalc!$B$18,0,36+N(Contracts!$Q$20)),"R"&amp;(OFFSET(GanttCalc!$B$18,0,35+N(Contracts!$Q$20))+1)&amp;"-"&amp;OFFSET(GanttCalc!$B$18,0,36+N(Contracts!$Q$20)))))</f>
        <v/>
      </c>
      <c r="AO66" s="60" t="str">
        <f aca="true">IF($B$66="","",IF(N(OFFSET(GanttCalc!$B$18,0,37+N(Contracts!$Q$20)))-N(OFFSET(GanttCalc!$B$18,0,36+N(Contracts!$Q$20)))&lt;=0,"",IF(N(OFFSET(GanttCalc!$B$18,0,37+N(Contracts!$Q$20)))-N(OFFSET(GanttCalc!$B$18,0,36+N(Contracts!$Q$20)))=1,"R"&amp;OFFSET(GanttCalc!$B$18,0,37+N(Contracts!$Q$20)),"R"&amp;(OFFSET(GanttCalc!$B$18,0,36+N(Contracts!$Q$20))+1)&amp;"-"&amp;OFFSET(GanttCalc!$B$18,0,37+N(Contracts!$Q$20)))))</f>
        <v/>
      </c>
      <c r="AP66" s="60" t="str">
        <f aca="true">IF($B$66="","",IF(N(OFFSET(GanttCalc!$B$18,0,38+N(Contracts!$Q$20)))-N(OFFSET(GanttCalc!$B$18,0,37+N(Contracts!$Q$20)))&lt;=0,"",IF(N(OFFSET(GanttCalc!$B$18,0,38+N(Contracts!$Q$20)))-N(OFFSET(GanttCalc!$B$18,0,37+N(Contracts!$Q$20)))=1,"R"&amp;OFFSET(GanttCalc!$B$18,0,38+N(Contracts!$Q$20)),"R"&amp;(OFFSET(GanttCalc!$B$18,0,37+N(Contracts!$Q$20))+1)&amp;"-"&amp;OFFSET(GanttCalc!$B$18,0,38+N(Contracts!$Q$20)))))</f>
        <v/>
      </c>
      <c r="AQ66" s="60" t="str">
        <f aca="true">IF($B$66="","",IF(N(OFFSET(GanttCalc!$B$18,0,39+N(Contracts!$Q$20)))-N(OFFSET(GanttCalc!$B$18,0,38+N(Contracts!$Q$20)))&lt;=0,"",IF(N(OFFSET(GanttCalc!$B$18,0,39+N(Contracts!$Q$20)))-N(OFFSET(GanttCalc!$B$18,0,38+N(Contracts!$Q$20)))=1,"R"&amp;OFFSET(GanttCalc!$B$18,0,39+N(Contracts!$Q$20)),"R"&amp;(OFFSET(GanttCalc!$B$18,0,38+N(Contracts!$Q$20))+1)&amp;"-"&amp;OFFSET(GanttCalc!$B$18,0,39+N(Contracts!$Q$20)))))</f>
        <v/>
      </c>
      <c r="AR66" s="60" t="str">
        <f aca="true">IF($B$66="","",IF(N(OFFSET(GanttCalc!$B$18,0,40+N(Contracts!$Q$20)))-N(OFFSET(GanttCalc!$B$18,0,39+N(Contracts!$Q$20)))&lt;=0,"",IF(N(OFFSET(GanttCalc!$B$18,0,40+N(Contracts!$Q$20)))-N(OFFSET(GanttCalc!$B$18,0,39+N(Contracts!$Q$20)))=1,"R"&amp;OFFSET(GanttCalc!$B$18,0,40+N(Contracts!$Q$20)),"R"&amp;(OFFSET(GanttCalc!$B$18,0,39+N(Contracts!$Q$20))+1)&amp;"-"&amp;OFFSET(GanttCalc!$B$18,0,40+N(Contracts!$Q$20)))))</f>
        <v/>
      </c>
      <c r="AS66" s="60" t="str">
        <f aca="true">IF($B$66="","",IF(N(OFFSET(GanttCalc!$B$18,0,41+N(Contracts!$Q$20)))-N(OFFSET(GanttCalc!$B$18,0,40+N(Contracts!$Q$20)))&lt;=0,"",IF(N(OFFSET(GanttCalc!$B$18,0,41+N(Contracts!$Q$20)))-N(OFFSET(GanttCalc!$B$18,0,40+N(Contracts!$Q$20)))=1,"R"&amp;OFFSET(GanttCalc!$B$18,0,41+N(Contracts!$Q$20)),"R"&amp;(OFFSET(GanttCalc!$B$18,0,40+N(Contracts!$Q$20))+1)&amp;"-"&amp;OFFSET(GanttCalc!$B$18,0,41+N(Contracts!$Q$20)))))</f>
        <v/>
      </c>
      <c r="AT66" s="60" t="str">
        <f aca="true">IF($B$66="","",IF(N(OFFSET(GanttCalc!$B$18,0,42+N(Contracts!$Q$20)))-N(OFFSET(GanttCalc!$B$18,0,41+N(Contracts!$Q$20)))&lt;=0,"",IF(N(OFFSET(GanttCalc!$B$18,0,42+N(Contracts!$Q$20)))-N(OFFSET(GanttCalc!$B$18,0,41+N(Contracts!$Q$20)))=1,"R"&amp;OFFSET(GanttCalc!$B$18,0,42+N(Contracts!$Q$20)),"R"&amp;(OFFSET(GanttCalc!$B$18,0,41+N(Contracts!$Q$20))+1)&amp;"-"&amp;OFFSET(GanttCalc!$B$18,0,42+N(Contracts!$Q$20)))))</f>
        <v/>
      </c>
      <c r="AU66" s="60" t="str">
        <f aca="true">IF($B$66="","",IF(N(OFFSET(GanttCalc!$B$18,0,43+N(Contracts!$Q$20)))-N(OFFSET(GanttCalc!$B$18,0,42+N(Contracts!$Q$20)))&lt;=0,"",IF(N(OFFSET(GanttCalc!$B$18,0,43+N(Contracts!$Q$20)))-N(OFFSET(GanttCalc!$B$18,0,42+N(Contracts!$Q$20)))=1,"R"&amp;OFFSET(GanttCalc!$B$18,0,43+N(Contracts!$Q$20)),"R"&amp;(OFFSET(GanttCalc!$B$18,0,42+N(Contracts!$Q$20))+1)&amp;"-"&amp;OFFSET(GanttCalc!$B$18,0,43+N(Contracts!$Q$20)))))</f>
        <v/>
      </c>
      <c r="AV66" s="60" t="str">
        <f aca="true">IF($B$66="","",IF(N(OFFSET(GanttCalc!$B$18,0,44+N(Contracts!$Q$20)))-N(OFFSET(GanttCalc!$B$18,0,43+N(Contracts!$Q$20)))&lt;=0,"",IF(N(OFFSET(GanttCalc!$B$18,0,44+N(Contracts!$Q$20)))-N(OFFSET(GanttCalc!$B$18,0,43+N(Contracts!$Q$20)))=1,"R"&amp;OFFSET(GanttCalc!$B$18,0,44+N(Contracts!$Q$20)),"R"&amp;(OFFSET(GanttCalc!$B$18,0,43+N(Contracts!$Q$20))+1)&amp;"-"&amp;OFFSET(GanttCalc!$B$18,0,44+N(Contracts!$Q$20)))))</f>
        <v/>
      </c>
      <c r="AW66" s="60" t="str">
        <f aca="true">IF($B$66="","",IF(N(OFFSET(GanttCalc!$B$18,0,45+N(Contracts!$Q$20)))-N(OFFSET(GanttCalc!$B$18,0,44+N(Contracts!$Q$20)))&lt;=0,"",IF(N(OFFSET(GanttCalc!$B$18,0,45+N(Contracts!$Q$20)))-N(OFFSET(GanttCalc!$B$18,0,44+N(Contracts!$Q$20)))=1,"R"&amp;OFFSET(GanttCalc!$B$18,0,45+N(Contracts!$Q$20)),"R"&amp;(OFFSET(GanttCalc!$B$18,0,44+N(Contracts!$Q$20))+1)&amp;"-"&amp;OFFSET(GanttCalc!$B$18,0,45+N(Contracts!$Q$20)))))</f>
        <v/>
      </c>
      <c r="AX66" s="60" t="str">
        <f aca="true">IF($B$66="","",IF(N(OFFSET(GanttCalc!$B$18,0,46+N(Contracts!$Q$20)))-N(OFFSET(GanttCalc!$B$18,0,45+N(Contracts!$Q$20)))&lt;=0,"",IF(N(OFFSET(GanttCalc!$B$18,0,46+N(Contracts!$Q$20)))-N(OFFSET(GanttCalc!$B$18,0,45+N(Contracts!$Q$20)))=1,"R"&amp;OFFSET(GanttCalc!$B$18,0,46+N(Contracts!$Q$20)),"R"&amp;(OFFSET(GanttCalc!$B$18,0,45+N(Contracts!$Q$20))+1)&amp;"-"&amp;OFFSET(GanttCalc!$B$18,0,46+N(Contracts!$Q$20)))))</f>
        <v/>
      </c>
      <c r="AY66" s="60" t="str">
        <f aca="true">IF($B$66="","",IF(N(OFFSET(GanttCalc!$B$18,0,47+N(Contracts!$Q$20)))-N(OFFSET(GanttCalc!$B$18,0,46+N(Contracts!$Q$20)))&lt;=0,"",IF(N(OFFSET(GanttCalc!$B$18,0,47+N(Contracts!$Q$20)))-N(OFFSET(GanttCalc!$B$18,0,46+N(Contracts!$Q$20)))=1,"R"&amp;OFFSET(GanttCalc!$B$18,0,47+N(Contracts!$Q$20)),"R"&amp;(OFFSET(GanttCalc!$B$18,0,46+N(Contracts!$Q$20))+1)&amp;"-"&amp;OFFSET(GanttCalc!$B$18,0,47+N(Contracts!$Q$20)))))</f>
        <v/>
      </c>
      <c r="AZ66" s="60" t="str">
        <f aca="true">IF($B$66="","",IF(N(OFFSET(GanttCalc!$B$18,0,48+N(Contracts!$Q$20)))-N(OFFSET(GanttCalc!$B$18,0,47+N(Contracts!$Q$20)))&lt;=0,"",IF(N(OFFSET(GanttCalc!$B$18,0,48+N(Contracts!$Q$20)))-N(OFFSET(GanttCalc!$B$18,0,47+N(Contracts!$Q$20)))=1,"R"&amp;OFFSET(GanttCalc!$B$18,0,48+N(Contracts!$Q$20)),"R"&amp;(OFFSET(GanttCalc!$B$18,0,47+N(Contracts!$Q$20))+1)&amp;"-"&amp;OFFSET(GanttCalc!$B$18,0,48+N(Contracts!$Q$20)))))</f>
        <v/>
      </c>
      <c r="BA66" s="60" t="str">
        <f aca="true">IF($B$66="","",IF(N(OFFSET(GanttCalc!$B$18,0,49+N(Contracts!$Q$20)))-N(OFFSET(GanttCalc!$B$18,0,48+N(Contracts!$Q$20)))&lt;=0,"",IF(N(OFFSET(GanttCalc!$B$18,0,49+N(Contracts!$Q$20)))-N(OFFSET(GanttCalc!$B$18,0,48+N(Contracts!$Q$20)))=1,"R"&amp;OFFSET(GanttCalc!$B$18,0,49+N(Contracts!$Q$20)),"R"&amp;(OFFSET(GanttCalc!$B$18,0,48+N(Contracts!$Q$20))+1)&amp;"-"&amp;OFFSET(GanttCalc!$B$18,0,49+N(Contracts!$Q$20)))))</f>
        <v/>
      </c>
      <c r="BB66" s="60" t="str">
        <f aca="true">IF($B$66="","",IF(N(OFFSET(GanttCalc!$B$18,0,50+N(Contracts!$Q$20)))-N(OFFSET(GanttCalc!$B$18,0,49+N(Contracts!$Q$20)))&lt;=0,"",IF(N(OFFSET(GanttCalc!$B$18,0,50+N(Contracts!$Q$20)))-N(OFFSET(GanttCalc!$B$18,0,49+N(Contracts!$Q$20)))=1,"R"&amp;OFFSET(GanttCalc!$B$18,0,50+N(Contracts!$Q$20)),"R"&amp;(OFFSET(GanttCalc!$B$18,0,49+N(Contracts!$Q$20))+1)&amp;"-"&amp;OFFSET(GanttCalc!$B$18,0,50+N(Contracts!$Q$20)))))</f>
        <v/>
      </c>
      <c r="BC66" s="60" t="str">
        <f aca="true">IF($B$66="","",IF(N(OFFSET(GanttCalc!$B$18,0,51+N(Contracts!$Q$20)))-N(OFFSET(GanttCalc!$B$18,0,50+N(Contracts!$Q$20)))&lt;=0,"",IF(N(OFFSET(GanttCalc!$B$18,0,51+N(Contracts!$Q$20)))-N(OFFSET(GanttCalc!$B$18,0,50+N(Contracts!$Q$20)))=1,"R"&amp;OFFSET(GanttCalc!$B$18,0,51+N(Contracts!$Q$20)),"R"&amp;(OFFSET(GanttCalc!$B$18,0,50+N(Contracts!$Q$20))+1)&amp;"-"&amp;OFFSET(GanttCalc!$B$18,0,51+N(Contracts!$Q$20)))))</f>
        <v/>
      </c>
      <c r="BD66" s="60" t="str">
        <f aca="true">IF($B$66="","",IF(N(OFFSET(GanttCalc!$B$18,0,52+N(Contracts!$Q$20)))-N(OFFSET(GanttCalc!$B$18,0,51+N(Contracts!$Q$20)))&lt;=0,"",IF(N(OFFSET(GanttCalc!$B$18,0,52+N(Contracts!$Q$20)))-N(OFFSET(GanttCalc!$B$18,0,51+N(Contracts!$Q$20)))=1,"R"&amp;OFFSET(GanttCalc!$B$18,0,52+N(Contracts!$Q$20)),"R"&amp;(OFFSET(GanttCalc!$B$18,0,51+N(Contracts!$Q$20))+1)&amp;"-"&amp;OFFSET(GanttCalc!$B$18,0,52+N(Contracts!$Q$20)))))</f>
        <v/>
      </c>
    </row>
    <row r="67" customFormat="false" ht="16.5" hidden="false" customHeight="true" outlineLevel="0" collapsed="false">
      <c r="B67" s="61" t="str">
        <f aca="false">IF(Contracts!$A$20="","",Contracts!$C$20)</f>
        <v/>
      </c>
      <c r="C67" s="62" t="str">
        <f aca="false">IF(Contracts!$A$20="","","AMPS build")</f>
        <v/>
      </c>
      <c r="D67" s="59" t="str">
        <f aca="false">IF($B$66="","",SUMPRODUCT(--(E67:BD67&lt;&gt;""))&amp;" wks")</f>
        <v/>
      </c>
      <c r="E67" s="60" t="str">
        <f aca="false">IF($B$66="","",IF(N(GanttCalc!D18)-N(GanttCalc!C18)&lt;=0,"",IF(N(GanttCalc!D18)-N(GanttCalc!C18)=1,"R"&amp;GanttCalc!D18,"R"&amp;(GanttCalc!C18+1)&amp;"-"&amp;GanttCalc!D18)))</f>
        <v/>
      </c>
      <c r="F67" s="60" t="str">
        <f aca="false">IF($B$66="","",IF(N(GanttCalc!E18)-N(GanttCalc!D18)&lt;=0,"",IF(N(GanttCalc!E18)-N(GanttCalc!D18)=1,"R"&amp;GanttCalc!E18,"R"&amp;(GanttCalc!D18+1)&amp;"-"&amp;GanttCalc!E18)))</f>
        <v/>
      </c>
      <c r="G67" s="60" t="str">
        <f aca="false">IF($B$66="","",IF(N(GanttCalc!F18)-N(GanttCalc!E18)&lt;=0,"",IF(N(GanttCalc!F18)-N(GanttCalc!E18)=1,"R"&amp;GanttCalc!F18,"R"&amp;(GanttCalc!E18+1)&amp;"-"&amp;GanttCalc!F18)))</f>
        <v/>
      </c>
      <c r="H67" s="60" t="str">
        <f aca="false">IF($B$66="","",IF(N(GanttCalc!G18)-N(GanttCalc!F18)&lt;=0,"",IF(N(GanttCalc!G18)-N(GanttCalc!F18)=1,"R"&amp;GanttCalc!G18,"R"&amp;(GanttCalc!F18+1)&amp;"-"&amp;GanttCalc!G18)))</f>
        <v/>
      </c>
      <c r="I67" s="60" t="str">
        <f aca="false">IF($B$66="","",IF(N(GanttCalc!H18)-N(GanttCalc!G18)&lt;=0,"",IF(N(GanttCalc!H18)-N(GanttCalc!G18)=1,"R"&amp;GanttCalc!H18,"R"&amp;(GanttCalc!G18+1)&amp;"-"&amp;GanttCalc!H18)))</f>
        <v/>
      </c>
      <c r="J67" s="60" t="str">
        <f aca="false">IF($B$66="","",IF(N(GanttCalc!I18)-N(GanttCalc!H18)&lt;=0,"",IF(N(GanttCalc!I18)-N(GanttCalc!H18)=1,"R"&amp;GanttCalc!I18,"R"&amp;(GanttCalc!H18+1)&amp;"-"&amp;GanttCalc!I18)))</f>
        <v/>
      </c>
      <c r="K67" s="60" t="str">
        <f aca="false">IF($B$66="","",IF(N(GanttCalc!J18)-N(GanttCalc!I18)&lt;=0,"",IF(N(GanttCalc!J18)-N(GanttCalc!I18)=1,"R"&amp;GanttCalc!J18,"R"&amp;(GanttCalc!I18+1)&amp;"-"&amp;GanttCalc!J18)))</f>
        <v/>
      </c>
      <c r="L67" s="60" t="str">
        <f aca="false">IF($B$66="","",IF(N(GanttCalc!K18)-N(GanttCalc!J18)&lt;=0,"",IF(N(GanttCalc!K18)-N(GanttCalc!J18)=1,"R"&amp;GanttCalc!K18,"R"&amp;(GanttCalc!J18+1)&amp;"-"&amp;GanttCalc!K18)))</f>
        <v/>
      </c>
      <c r="M67" s="60" t="str">
        <f aca="false">IF($B$66="","",IF(N(GanttCalc!L18)-N(GanttCalc!K18)&lt;=0,"",IF(N(GanttCalc!L18)-N(GanttCalc!K18)=1,"R"&amp;GanttCalc!L18,"R"&amp;(GanttCalc!K18+1)&amp;"-"&amp;GanttCalc!L18)))</f>
        <v/>
      </c>
      <c r="N67" s="60" t="str">
        <f aca="false">IF($B$66="","",IF(N(GanttCalc!M18)-N(GanttCalc!L18)&lt;=0,"",IF(N(GanttCalc!M18)-N(GanttCalc!L18)=1,"R"&amp;GanttCalc!M18,"R"&amp;(GanttCalc!L18+1)&amp;"-"&amp;GanttCalc!M18)))</f>
        <v/>
      </c>
      <c r="O67" s="60" t="str">
        <f aca="false">IF($B$66="","",IF(N(GanttCalc!N18)-N(GanttCalc!M18)&lt;=0,"",IF(N(GanttCalc!N18)-N(GanttCalc!M18)=1,"R"&amp;GanttCalc!N18,"R"&amp;(GanttCalc!M18+1)&amp;"-"&amp;GanttCalc!N18)))</f>
        <v/>
      </c>
      <c r="P67" s="60" t="str">
        <f aca="false">IF($B$66="","",IF(N(GanttCalc!O18)-N(GanttCalc!N18)&lt;=0,"",IF(N(GanttCalc!O18)-N(GanttCalc!N18)=1,"R"&amp;GanttCalc!O18,"R"&amp;(GanttCalc!N18+1)&amp;"-"&amp;GanttCalc!O18)))</f>
        <v/>
      </c>
      <c r="Q67" s="60" t="str">
        <f aca="false">IF($B$66="","",IF(N(GanttCalc!P18)-N(GanttCalc!O18)&lt;=0,"",IF(N(GanttCalc!P18)-N(GanttCalc!O18)=1,"R"&amp;GanttCalc!P18,"R"&amp;(GanttCalc!O18+1)&amp;"-"&amp;GanttCalc!P18)))</f>
        <v/>
      </c>
      <c r="R67" s="60" t="str">
        <f aca="false">IF($B$66="","",IF(N(GanttCalc!Q18)-N(GanttCalc!P18)&lt;=0,"",IF(N(GanttCalc!Q18)-N(GanttCalc!P18)=1,"R"&amp;GanttCalc!Q18,"R"&amp;(GanttCalc!P18+1)&amp;"-"&amp;GanttCalc!Q18)))</f>
        <v/>
      </c>
      <c r="S67" s="60" t="str">
        <f aca="false">IF($B$66="","",IF(N(GanttCalc!R18)-N(GanttCalc!Q18)&lt;=0,"",IF(N(GanttCalc!R18)-N(GanttCalc!Q18)=1,"R"&amp;GanttCalc!R18,"R"&amp;(GanttCalc!Q18+1)&amp;"-"&amp;GanttCalc!R18)))</f>
        <v/>
      </c>
      <c r="T67" s="60" t="str">
        <f aca="false">IF($B$66="","",IF(N(GanttCalc!S18)-N(GanttCalc!R18)&lt;=0,"",IF(N(GanttCalc!S18)-N(GanttCalc!R18)=1,"R"&amp;GanttCalc!S18,"R"&amp;(GanttCalc!R18+1)&amp;"-"&amp;GanttCalc!S18)))</f>
        <v/>
      </c>
      <c r="U67" s="60" t="str">
        <f aca="false">IF($B$66="","",IF(N(GanttCalc!T18)-N(GanttCalc!S18)&lt;=0,"",IF(N(GanttCalc!T18)-N(GanttCalc!S18)=1,"R"&amp;GanttCalc!T18,"R"&amp;(GanttCalc!S18+1)&amp;"-"&amp;GanttCalc!T18)))</f>
        <v/>
      </c>
      <c r="V67" s="60" t="str">
        <f aca="false">IF($B$66="","",IF(N(GanttCalc!U18)-N(GanttCalc!T18)&lt;=0,"",IF(N(GanttCalc!U18)-N(GanttCalc!T18)=1,"R"&amp;GanttCalc!U18,"R"&amp;(GanttCalc!T18+1)&amp;"-"&amp;GanttCalc!U18)))</f>
        <v/>
      </c>
      <c r="W67" s="60" t="str">
        <f aca="false">IF($B$66="","",IF(N(GanttCalc!V18)-N(GanttCalc!U18)&lt;=0,"",IF(N(GanttCalc!V18)-N(GanttCalc!U18)=1,"R"&amp;GanttCalc!V18,"R"&amp;(GanttCalc!U18+1)&amp;"-"&amp;GanttCalc!V18)))</f>
        <v/>
      </c>
      <c r="X67" s="60" t="str">
        <f aca="false">IF($B$66="","",IF(N(GanttCalc!W18)-N(GanttCalc!V18)&lt;=0,"",IF(N(GanttCalc!W18)-N(GanttCalc!V18)=1,"R"&amp;GanttCalc!W18,"R"&amp;(GanttCalc!V18+1)&amp;"-"&amp;GanttCalc!W18)))</f>
        <v/>
      </c>
      <c r="Y67" s="60" t="str">
        <f aca="false">IF($B$66="","",IF(N(GanttCalc!X18)-N(GanttCalc!W18)&lt;=0,"",IF(N(GanttCalc!X18)-N(GanttCalc!W18)=1,"R"&amp;GanttCalc!X18,"R"&amp;(GanttCalc!W18+1)&amp;"-"&amp;GanttCalc!X18)))</f>
        <v/>
      </c>
      <c r="Z67" s="60" t="str">
        <f aca="false">IF($B$66="","",IF(N(GanttCalc!Y18)-N(GanttCalc!X18)&lt;=0,"",IF(N(GanttCalc!Y18)-N(GanttCalc!X18)=1,"R"&amp;GanttCalc!Y18,"R"&amp;(GanttCalc!X18+1)&amp;"-"&amp;GanttCalc!Y18)))</f>
        <v/>
      </c>
      <c r="AA67" s="60" t="str">
        <f aca="false">IF($B$66="","",IF(N(GanttCalc!Z18)-N(GanttCalc!Y18)&lt;=0,"",IF(N(GanttCalc!Z18)-N(GanttCalc!Y18)=1,"R"&amp;GanttCalc!Z18,"R"&amp;(GanttCalc!Y18+1)&amp;"-"&amp;GanttCalc!Z18)))</f>
        <v/>
      </c>
      <c r="AB67" s="60" t="str">
        <f aca="false">IF($B$66="","",IF(N(GanttCalc!AA18)-N(GanttCalc!Z18)&lt;=0,"",IF(N(GanttCalc!AA18)-N(GanttCalc!Z18)=1,"R"&amp;GanttCalc!AA18,"R"&amp;(GanttCalc!Z18+1)&amp;"-"&amp;GanttCalc!AA18)))</f>
        <v/>
      </c>
      <c r="AC67" s="60" t="str">
        <f aca="false">IF($B$66="","",IF(N(GanttCalc!AB18)-N(GanttCalc!AA18)&lt;=0,"",IF(N(GanttCalc!AB18)-N(GanttCalc!AA18)=1,"R"&amp;GanttCalc!AB18,"R"&amp;(GanttCalc!AA18+1)&amp;"-"&amp;GanttCalc!AB18)))</f>
        <v/>
      </c>
      <c r="AD67" s="60" t="str">
        <f aca="false">IF($B$66="","",IF(N(GanttCalc!AC18)-N(GanttCalc!AB18)&lt;=0,"",IF(N(GanttCalc!AC18)-N(GanttCalc!AB18)=1,"R"&amp;GanttCalc!AC18,"R"&amp;(GanttCalc!AB18+1)&amp;"-"&amp;GanttCalc!AC18)))</f>
        <v/>
      </c>
      <c r="AE67" s="60" t="str">
        <f aca="false">IF($B$66="","",IF(N(GanttCalc!AD18)-N(GanttCalc!AC18)&lt;=0,"",IF(N(GanttCalc!AD18)-N(GanttCalc!AC18)=1,"R"&amp;GanttCalc!AD18,"R"&amp;(GanttCalc!AC18+1)&amp;"-"&amp;GanttCalc!AD18)))</f>
        <v/>
      </c>
      <c r="AF67" s="60" t="str">
        <f aca="false">IF($B$66="","",IF(N(GanttCalc!AE18)-N(GanttCalc!AD18)&lt;=0,"",IF(N(GanttCalc!AE18)-N(GanttCalc!AD18)=1,"R"&amp;GanttCalc!AE18,"R"&amp;(GanttCalc!AD18+1)&amp;"-"&amp;GanttCalc!AE18)))</f>
        <v/>
      </c>
      <c r="AG67" s="60" t="str">
        <f aca="false">IF($B$66="","",IF(N(GanttCalc!AF18)-N(GanttCalc!AE18)&lt;=0,"",IF(N(GanttCalc!AF18)-N(GanttCalc!AE18)=1,"R"&amp;GanttCalc!AF18,"R"&amp;(GanttCalc!AE18+1)&amp;"-"&amp;GanttCalc!AF18)))</f>
        <v/>
      </c>
      <c r="AH67" s="60" t="str">
        <f aca="false">IF($B$66="","",IF(N(GanttCalc!AG18)-N(GanttCalc!AF18)&lt;=0,"",IF(N(GanttCalc!AG18)-N(GanttCalc!AF18)=1,"R"&amp;GanttCalc!AG18,"R"&amp;(GanttCalc!AF18+1)&amp;"-"&amp;GanttCalc!AG18)))</f>
        <v/>
      </c>
      <c r="AI67" s="60" t="str">
        <f aca="false">IF($B$66="","",IF(N(GanttCalc!AH18)-N(GanttCalc!AG18)&lt;=0,"",IF(N(GanttCalc!AH18)-N(GanttCalc!AG18)=1,"R"&amp;GanttCalc!AH18,"R"&amp;(GanttCalc!AG18+1)&amp;"-"&amp;GanttCalc!AH18)))</f>
        <v/>
      </c>
      <c r="AJ67" s="60" t="str">
        <f aca="false">IF($B$66="","",IF(N(GanttCalc!AI18)-N(GanttCalc!AH18)&lt;=0,"",IF(N(GanttCalc!AI18)-N(GanttCalc!AH18)=1,"R"&amp;GanttCalc!AI18,"R"&amp;(GanttCalc!AH18+1)&amp;"-"&amp;GanttCalc!AI18)))</f>
        <v/>
      </c>
      <c r="AK67" s="60" t="str">
        <f aca="false">IF($B$66="","",IF(N(GanttCalc!AJ18)-N(GanttCalc!AI18)&lt;=0,"",IF(N(GanttCalc!AJ18)-N(GanttCalc!AI18)=1,"R"&amp;GanttCalc!AJ18,"R"&amp;(GanttCalc!AI18+1)&amp;"-"&amp;GanttCalc!AJ18)))</f>
        <v/>
      </c>
      <c r="AL67" s="60" t="str">
        <f aca="false">IF($B$66="","",IF(N(GanttCalc!AK18)-N(GanttCalc!AJ18)&lt;=0,"",IF(N(GanttCalc!AK18)-N(GanttCalc!AJ18)=1,"R"&amp;GanttCalc!AK18,"R"&amp;(GanttCalc!AJ18+1)&amp;"-"&amp;GanttCalc!AK18)))</f>
        <v/>
      </c>
      <c r="AM67" s="60" t="str">
        <f aca="false">IF($B$66="","",IF(N(GanttCalc!AL18)-N(GanttCalc!AK18)&lt;=0,"",IF(N(GanttCalc!AL18)-N(GanttCalc!AK18)=1,"R"&amp;GanttCalc!AL18,"R"&amp;(GanttCalc!AK18+1)&amp;"-"&amp;GanttCalc!AL18)))</f>
        <v/>
      </c>
      <c r="AN67" s="60" t="str">
        <f aca="false">IF($B$66="","",IF(N(GanttCalc!AM18)-N(GanttCalc!AL18)&lt;=0,"",IF(N(GanttCalc!AM18)-N(GanttCalc!AL18)=1,"R"&amp;GanttCalc!AM18,"R"&amp;(GanttCalc!AL18+1)&amp;"-"&amp;GanttCalc!AM18)))</f>
        <v/>
      </c>
      <c r="AO67" s="60" t="str">
        <f aca="false">IF($B$66="","",IF(N(GanttCalc!AN18)-N(GanttCalc!AM18)&lt;=0,"",IF(N(GanttCalc!AN18)-N(GanttCalc!AM18)=1,"R"&amp;GanttCalc!AN18,"R"&amp;(GanttCalc!AM18+1)&amp;"-"&amp;GanttCalc!AN18)))</f>
        <v/>
      </c>
      <c r="AP67" s="60" t="str">
        <f aca="false">IF($B$66="","",IF(N(GanttCalc!AO18)-N(GanttCalc!AN18)&lt;=0,"",IF(N(GanttCalc!AO18)-N(GanttCalc!AN18)=1,"R"&amp;GanttCalc!AO18,"R"&amp;(GanttCalc!AN18+1)&amp;"-"&amp;GanttCalc!AO18)))</f>
        <v/>
      </c>
      <c r="AQ67" s="60" t="str">
        <f aca="false">IF($B$66="","",IF(N(GanttCalc!AP18)-N(GanttCalc!AO18)&lt;=0,"",IF(N(GanttCalc!AP18)-N(GanttCalc!AO18)=1,"R"&amp;GanttCalc!AP18,"R"&amp;(GanttCalc!AO18+1)&amp;"-"&amp;GanttCalc!AP18)))</f>
        <v/>
      </c>
      <c r="AR67" s="60" t="str">
        <f aca="false">IF($B$66="","",IF(N(GanttCalc!AQ18)-N(GanttCalc!AP18)&lt;=0,"",IF(N(GanttCalc!AQ18)-N(GanttCalc!AP18)=1,"R"&amp;GanttCalc!AQ18,"R"&amp;(GanttCalc!AP18+1)&amp;"-"&amp;GanttCalc!AQ18)))</f>
        <v/>
      </c>
      <c r="AS67" s="60" t="str">
        <f aca="false">IF($B$66="","",IF(N(GanttCalc!AR18)-N(GanttCalc!AQ18)&lt;=0,"",IF(N(GanttCalc!AR18)-N(GanttCalc!AQ18)=1,"R"&amp;GanttCalc!AR18,"R"&amp;(GanttCalc!AQ18+1)&amp;"-"&amp;GanttCalc!AR18)))</f>
        <v/>
      </c>
      <c r="AT67" s="60" t="str">
        <f aca="false">IF($B$66="","",IF(N(GanttCalc!AS18)-N(GanttCalc!AR18)&lt;=0,"",IF(N(GanttCalc!AS18)-N(GanttCalc!AR18)=1,"R"&amp;GanttCalc!AS18,"R"&amp;(GanttCalc!AR18+1)&amp;"-"&amp;GanttCalc!AS18)))</f>
        <v/>
      </c>
      <c r="AU67" s="60" t="str">
        <f aca="false">IF($B$66="","",IF(N(GanttCalc!AT18)-N(GanttCalc!AS18)&lt;=0,"",IF(N(GanttCalc!AT18)-N(GanttCalc!AS18)=1,"R"&amp;GanttCalc!AT18,"R"&amp;(GanttCalc!AS18+1)&amp;"-"&amp;GanttCalc!AT18)))</f>
        <v/>
      </c>
      <c r="AV67" s="60" t="str">
        <f aca="false">IF($B$66="","",IF(N(GanttCalc!AU18)-N(GanttCalc!AT18)&lt;=0,"",IF(N(GanttCalc!AU18)-N(GanttCalc!AT18)=1,"R"&amp;GanttCalc!AU18,"R"&amp;(GanttCalc!AT18+1)&amp;"-"&amp;GanttCalc!AU18)))</f>
        <v/>
      </c>
      <c r="AW67" s="60" t="str">
        <f aca="false">IF($B$66="","",IF(N(GanttCalc!AV18)-N(GanttCalc!AU18)&lt;=0,"",IF(N(GanttCalc!AV18)-N(GanttCalc!AU18)=1,"R"&amp;GanttCalc!AV18,"R"&amp;(GanttCalc!AU18+1)&amp;"-"&amp;GanttCalc!AV18)))</f>
        <v/>
      </c>
      <c r="AX67" s="60" t="str">
        <f aca="false">IF($B$66="","",IF(N(GanttCalc!AW18)-N(GanttCalc!AV18)&lt;=0,"",IF(N(GanttCalc!AW18)-N(GanttCalc!AV18)=1,"R"&amp;GanttCalc!AW18,"R"&amp;(GanttCalc!AV18+1)&amp;"-"&amp;GanttCalc!AW18)))</f>
        <v/>
      </c>
      <c r="AY67" s="60" t="str">
        <f aca="false">IF($B$66="","",IF(N(GanttCalc!AX18)-N(GanttCalc!AW18)&lt;=0,"",IF(N(GanttCalc!AX18)-N(GanttCalc!AW18)=1,"R"&amp;GanttCalc!AX18,"R"&amp;(GanttCalc!AW18+1)&amp;"-"&amp;GanttCalc!AX18)))</f>
        <v/>
      </c>
      <c r="AZ67" s="60" t="str">
        <f aca="false">IF($B$66="","",IF(N(GanttCalc!AY18)-N(GanttCalc!AX18)&lt;=0,"",IF(N(GanttCalc!AY18)-N(GanttCalc!AX18)=1,"R"&amp;GanttCalc!AY18,"R"&amp;(GanttCalc!AX18+1)&amp;"-"&amp;GanttCalc!AY18)))</f>
        <v/>
      </c>
      <c r="BA67" s="60" t="str">
        <f aca="false">IF($B$66="","",IF(N(GanttCalc!AZ18)-N(GanttCalc!AY18)&lt;=0,"",IF(N(GanttCalc!AZ18)-N(GanttCalc!AY18)=1,"R"&amp;GanttCalc!AZ18,"R"&amp;(GanttCalc!AY18+1)&amp;"-"&amp;GanttCalc!AZ18)))</f>
        <v/>
      </c>
      <c r="BB67" s="60" t="str">
        <f aca="false">IF($B$66="","",IF(N(GanttCalc!BA18)-N(GanttCalc!AZ18)&lt;=0,"",IF(N(GanttCalc!BA18)-N(GanttCalc!AZ18)=1,"R"&amp;GanttCalc!BA18,"R"&amp;(GanttCalc!AZ18+1)&amp;"-"&amp;GanttCalc!BA18)))</f>
        <v/>
      </c>
      <c r="BC67" s="60" t="str">
        <f aca="false">IF($B$66="","",IF(N(GanttCalc!BB18)-N(GanttCalc!BA18)&lt;=0,"",IF(N(GanttCalc!BB18)-N(GanttCalc!BA18)=1,"R"&amp;GanttCalc!BB18,"R"&amp;(GanttCalc!BA18+1)&amp;"-"&amp;GanttCalc!BB18)))</f>
        <v/>
      </c>
      <c r="BD67" s="60" t="str">
        <f aca="false">IF($B$66="","",IF(N(GanttCalc!BC18)-N(GanttCalc!BB18)&lt;=0,"",IF(N(GanttCalc!BC18)-N(GanttCalc!BB18)=1,"R"&amp;GanttCalc!BC18,"R"&amp;(GanttCalc!BB18+1)&amp;"-"&amp;GanttCalc!BC18)))</f>
        <v/>
      </c>
    </row>
    <row r="68" customFormat="false" ht="16.5" hidden="false" customHeight="true" outlineLevel="0" collapsed="false">
      <c r="B68" s="63" t="str">
        <f aca="false">IF(Contracts!$A$20="","",IF(Contracts!$I$20="","no kit list","kitted: "&amp;Contracts!$I$20&amp;" / "&amp;Contracts!$F$20))</f>
        <v/>
      </c>
      <c r="C68" s="64" t="str">
        <f aca="false">IF(Contracts!$A$20="","","Final build")</f>
        <v/>
      </c>
      <c r="D68" s="59" t="str">
        <f aca="false">IF($B$66="","",SUMPRODUCT(--(E68:BD68&lt;&gt;""))&amp;" wks")</f>
        <v/>
      </c>
      <c r="E68" s="60" t="str">
        <f aca="false">IF($B$66="","",IF(N(GanttCalc!C18)-N(GanttCalc!B18)&lt;=0,"",IF(N(GanttCalc!C18)-N(GanttCalc!B18)=1,"R"&amp;GanttCalc!C18,"R"&amp;(GanttCalc!B18+1)&amp;"-"&amp;GanttCalc!C18)))</f>
        <v/>
      </c>
      <c r="F68" s="60" t="str">
        <f aca="false">IF($B$66="","",IF(N(GanttCalc!D18)-N(GanttCalc!C18)&lt;=0,"",IF(N(GanttCalc!D18)-N(GanttCalc!C18)=1,"R"&amp;GanttCalc!D18,"R"&amp;(GanttCalc!C18+1)&amp;"-"&amp;GanttCalc!D18)))</f>
        <v/>
      </c>
      <c r="G68" s="60" t="str">
        <f aca="false">IF($B$66="","",IF(N(GanttCalc!E18)-N(GanttCalc!D18)&lt;=0,"",IF(N(GanttCalc!E18)-N(GanttCalc!D18)=1,"R"&amp;GanttCalc!E18,"R"&amp;(GanttCalc!D18+1)&amp;"-"&amp;GanttCalc!E18)))</f>
        <v/>
      </c>
      <c r="H68" s="60" t="str">
        <f aca="false">IF($B$66="","",IF(N(GanttCalc!F18)-N(GanttCalc!E18)&lt;=0,"",IF(N(GanttCalc!F18)-N(GanttCalc!E18)=1,"R"&amp;GanttCalc!F18,"R"&amp;(GanttCalc!E18+1)&amp;"-"&amp;GanttCalc!F18)))</f>
        <v/>
      </c>
      <c r="I68" s="60" t="str">
        <f aca="false">IF($B$66="","",IF(N(GanttCalc!G18)-N(GanttCalc!F18)&lt;=0,"",IF(N(GanttCalc!G18)-N(GanttCalc!F18)=1,"R"&amp;GanttCalc!G18,"R"&amp;(GanttCalc!F18+1)&amp;"-"&amp;GanttCalc!G18)))</f>
        <v/>
      </c>
      <c r="J68" s="60" t="str">
        <f aca="false">IF($B$66="","",IF(N(GanttCalc!H18)-N(GanttCalc!G18)&lt;=0,"",IF(N(GanttCalc!H18)-N(GanttCalc!G18)=1,"R"&amp;GanttCalc!H18,"R"&amp;(GanttCalc!G18+1)&amp;"-"&amp;GanttCalc!H18)))</f>
        <v/>
      </c>
      <c r="K68" s="60" t="str">
        <f aca="false">IF($B$66="","",IF(N(GanttCalc!I18)-N(GanttCalc!H18)&lt;=0,"",IF(N(GanttCalc!I18)-N(GanttCalc!H18)=1,"R"&amp;GanttCalc!I18,"R"&amp;(GanttCalc!H18+1)&amp;"-"&amp;GanttCalc!I18)))</f>
        <v/>
      </c>
      <c r="L68" s="60" t="str">
        <f aca="false">IF($B$66="","",IF(N(GanttCalc!J18)-N(GanttCalc!I18)&lt;=0,"",IF(N(GanttCalc!J18)-N(GanttCalc!I18)=1,"R"&amp;GanttCalc!J18,"R"&amp;(GanttCalc!I18+1)&amp;"-"&amp;GanttCalc!J18)))</f>
        <v/>
      </c>
      <c r="M68" s="60" t="str">
        <f aca="false">IF($B$66="","",IF(N(GanttCalc!K18)-N(GanttCalc!J18)&lt;=0,"",IF(N(GanttCalc!K18)-N(GanttCalc!J18)=1,"R"&amp;GanttCalc!K18,"R"&amp;(GanttCalc!J18+1)&amp;"-"&amp;GanttCalc!K18)))</f>
        <v/>
      </c>
      <c r="N68" s="60" t="str">
        <f aca="false">IF($B$66="","",IF(N(GanttCalc!L18)-N(GanttCalc!K18)&lt;=0,"",IF(N(GanttCalc!L18)-N(GanttCalc!K18)=1,"R"&amp;GanttCalc!L18,"R"&amp;(GanttCalc!K18+1)&amp;"-"&amp;GanttCalc!L18)))</f>
        <v/>
      </c>
      <c r="O68" s="60" t="str">
        <f aca="false">IF($B$66="","",IF(N(GanttCalc!M18)-N(GanttCalc!L18)&lt;=0,"",IF(N(GanttCalc!M18)-N(GanttCalc!L18)=1,"R"&amp;GanttCalc!M18,"R"&amp;(GanttCalc!L18+1)&amp;"-"&amp;GanttCalc!M18)))</f>
        <v/>
      </c>
      <c r="P68" s="60" t="str">
        <f aca="false">IF($B$66="","",IF(N(GanttCalc!N18)-N(GanttCalc!M18)&lt;=0,"",IF(N(GanttCalc!N18)-N(GanttCalc!M18)=1,"R"&amp;GanttCalc!N18,"R"&amp;(GanttCalc!M18+1)&amp;"-"&amp;GanttCalc!N18)))</f>
        <v/>
      </c>
      <c r="Q68" s="60" t="str">
        <f aca="false">IF($B$66="","",IF(N(GanttCalc!O18)-N(GanttCalc!N18)&lt;=0,"",IF(N(GanttCalc!O18)-N(GanttCalc!N18)=1,"R"&amp;GanttCalc!O18,"R"&amp;(GanttCalc!N18+1)&amp;"-"&amp;GanttCalc!O18)))</f>
        <v/>
      </c>
      <c r="R68" s="60" t="str">
        <f aca="false">IF($B$66="","",IF(N(GanttCalc!P18)-N(GanttCalc!O18)&lt;=0,"",IF(N(GanttCalc!P18)-N(GanttCalc!O18)=1,"R"&amp;GanttCalc!P18,"R"&amp;(GanttCalc!O18+1)&amp;"-"&amp;GanttCalc!P18)))</f>
        <v/>
      </c>
      <c r="S68" s="60" t="str">
        <f aca="false">IF($B$66="","",IF(N(GanttCalc!Q18)-N(GanttCalc!P18)&lt;=0,"",IF(N(GanttCalc!Q18)-N(GanttCalc!P18)=1,"R"&amp;GanttCalc!Q18,"R"&amp;(GanttCalc!P18+1)&amp;"-"&amp;GanttCalc!Q18)))</f>
        <v/>
      </c>
      <c r="T68" s="60" t="str">
        <f aca="false">IF($B$66="","",IF(N(GanttCalc!R18)-N(GanttCalc!Q18)&lt;=0,"",IF(N(GanttCalc!R18)-N(GanttCalc!Q18)=1,"R"&amp;GanttCalc!R18,"R"&amp;(GanttCalc!Q18+1)&amp;"-"&amp;GanttCalc!R18)))</f>
        <v/>
      </c>
      <c r="U68" s="60" t="str">
        <f aca="false">IF($B$66="","",IF(N(GanttCalc!S18)-N(GanttCalc!R18)&lt;=0,"",IF(N(GanttCalc!S18)-N(GanttCalc!R18)=1,"R"&amp;GanttCalc!S18,"R"&amp;(GanttCalc!R18+1)&amp;"-"&amp;GanttCalc!S18)))</f>
        <v/>
      </c>
      <c r="V68" s="60" t="str">
        <f aca="false">IF($B$66="","",IF(N(GanttCalc!T18)-N(GanttCalc!S18)&lt;=0,"",IF(N(GanttCalc!T18)-N(GanttCalc!S18)=1,"R"&amp;GanttCalc!T18,"R"&amp;(GanttCalc!S18+1)&amp;"-"&amp;GanttCalc!T18)))</f>
        <v/>
      </c>
      <c r="W68" s="60" t="str">
        <f aca="false">IF($B$66="","",IF(N(GanttCalc!U18)-N(GanttCalc!T18)&lt;=0,"",IF(N(GanttCalc!U18)-N(GanttCalc!T18)=1,"R"&amp;GanttCalc!U18,"R"&amp;(GanttCalc!T18+1)&amp;"-"&amp;GanttCalc!U18)))</f>
        <v/>
      </c>
      <c r="X68" s="60" t="str">
        <f aca="false">IF($B$66="","",IF(N(GanttCalc!V18)-N(GanttCalc!U18)&lt;=0,"",IF(N(GanttCalc!V18)-N(GanttCalc!U18)=1,"R"&amp;GanttCalc!V18,"R"&amp;(GanttCalc!U18+1)&amp;"-"&amp;GanttCalc!V18)))</f>
        <v/>
      </c>
      <c r="Y68" s="60" t="str">
        <f aca="false">IF($B$66="","",IF(N(GanttCalc!W18)-N(GanttCalc!V18)&lt;=0,"",IF(N(GanttCalc!W18)-N(GanttCalc!V18)=1,"R"&amp;GanttCalc!W18,"R"&amp;(GanttCalc!V18+1)&amp;"-"&amp;GanttCalc!W18)))</f>
        <v/>
      </c>
      <c r="Z68" s="60" t="str">
        <f aca="false">IF($B$66="","",IF(N(GanttCalc!X18)-N(GanttCalc!W18)&lt;=0,"",IF(N(GanttCalc!X18)-N(GanttCalc!W18)=1,"R"&amp;GanttCalc!X18,"R"&amp;(GanttCalc!W18+1)&amp;"-"&amp;GanttCalc!X18)))</f>
        <v/>
      </c>
      <c r="AA68" s="60" t="str">
        <f aca="false">IF($B$66="","",IF(N(GanttCalc!Y18)-N(GanttCalc!X18)&lt;=0,"",IF(N(GanttCalc!Y18)-N(GanttCalc!X18)=1,"R"&amp;GanttCalc!Y18,"R"&amp;(GanttCalc!X18+1)&amp;"-"&amp;GanttCalc!Y18)))</f>
        <v/>
      </c>
      <c r="AB68" s="60" t="str">
        <f aca="false">IF($B$66="","",IF(N(GanttCalc!Z18)-N(GanttCalc!Y18)&lt;=0,"",IF(N(GanttCalc!Z18)-N(GanttCalc!Y18)=1,"R"&amp;GanttCalc!Z18,"R"&amp;(GanttCalc!Y18+1)&amp;"-"&amp;GanttCalc!Z18)))</f>
        <v/>
      </c>
      <c r="AC68" s="60" t="str">
        <f aca="false">IF($B$66="","",IF(N(GanttCalc!AA18)-N(GanttCalc!Z18)&lt;=0,"",IF(N(GanttCalc!AA18)-N(GanttCalc!Z18)=1,"R"&amp;GanttCalc!AA18,"R"&amp;(GanttCalc!Z18+1)&amp;"-"&amp;GanttCalc!AA18)))</f>
        <v/>
      </c>
      <c r="AD68" s="60" t="str">
        <f aca="false">IF($B$66="","",IF(N(GanttCalc!AB18)-N(GanttCalc!AA18)&lt;=0,"",IF(N(GanttCalc!AB18)-N(GanttCalc!AA18)=1,"R"&amp;GanttCalc!AB18,"R"&amp;(GanttCalc!AA18+1)&amp;"-"&amp;GanttCalc!AB18)))</f>
        <v/>
      </c>
      <c r="AE68" s="60" t="str">
        <f aca="false">IF($B$66="","",IF(N(GanttCalc!AC18)-N(GanttCalc!AB18)&lt;=0,"",IF(N(GanttCalc!AC18)-N(GanttCalc!AB18)=1,"R"&amp;GanttCalc!AC18,"R"&amp;(GanttCalc!AB18+1)&amp;"-"&amp;GanttCalc!AC18)))</f>
        <v/>
      </c>
      <c r="AF68" s="60" t="str">
        <f aca="false">IF($B$66="","",IF(N(GanttCalc!AD18)-N(GanttCalc!AC18)&lt;=0,"",IF(N(GanttCalc!AD18)-N(GanttCalc!AC18)=1,"R"&amp;GanttCalc!AD18,"R"&amp;(GanttCalc!AC18+1)&amp;"-"&amp;GanttCalc!AD18)))</f>
        <v/>
      </c>
      <c r="AG68" s="60" t="str">
        <f aca="false">IF($B$66="","",IF(N(GanttCalc!AE18)-N(GanttCalc!AD18)&lt;=0,"",IF(N(GanttCalc!AE18)-N(GanttCalc!AD18)=1,"R"&amp;GanttCalc!AE18,"R"&amp;(GanttCalc!AD18+1)&amp;"-"&amp;GanttCalc!AE18)))</f>
        <v/>
      </c>
      <c r="AH68" s="60" t="str">
        <f aca="false">IF($B$66="","",IF(N(GanttCalc!AF18)-N(GanttCalc!AE18)&lt;=0,"",IF(N(GanttCalc!AF18)-N(GanttCalc!AE18)=1,"R"&amp;GanttCalc!AF18,"R"&amp;(GanttCalc!AE18+1)&amp;"-"&amp;GanttCalc!AF18)))</f>
        <v/>
      </c>
      <c r="AI68" s="60" t="str">
        <f aca="false">IF($B$66="","",IF(N(GanttCalc!AG18)-N(GanttCalc!AF18)&lt;=0,"",IF(N(GanttCalc!AG18)-N(GanttCalc!AF18)=1,"R"&amp;GanttCalc!AG18,"R"&amp;(GanttCalc!AF18+1)&amp;"-"&amp;GanttCalc!AG18)))</f>
        <v/>
      </c>
      <c r="AJ68" s="60" t="str">
        <f aca="false">IF($B$66="","",IF(N(GanttCalc!AH18)-N(GanttCalc!AG18)&lt;=0,"",IF(N(GanttCalc!AH18)-N(GanttCalc!AG18)=1,"R"&amp;GanttCalc!AH18,"R"&amp;(GanttCalc!AG18+1)&amp;"-"&amp;GanttCalc!AH18)))</f>
        <v/>
      </c>
      <c r="AK68" s="60" t="str">
        <f aca="false">IF($B$66="","",IF(N(GanttCalc!AI18)-N(GanttCalc!AH18)&lt;=0,"",IF(N(GanttCalc!AI18)-N(GanttCalc!AH18)=1,"R"&amp;GanttCalc!AI18,"R"&amp;(GanttCalc!AH18+1)&amp;"-"&amp;GanttCalc!AI18)))</f>
        <v/>
      </c>
      <c r="AL68" s="60" t="str">
        <f aca="false">IF($B$66="","",IF(N(GanttCalc!AJ18)-N(GanttCalc!AI18)&lt;=0,"",IF(N(GanttCalc!AJ18)-N(GanttCalc!AI18)=1,"R"&amp;GanttCalc!AJ18,"R"&amp;(GanttCalc!AI18+1)&amp;"-"&amp;GanttCalc!AJ18)))</f>
        <v/>
      </c>
      <c r="AM68" s="60" t="str">
        <f aca="false">IF($B$66="","",IF(N(GanttCalc!AK18)-N(GanttCalc!AJ18)&lt;=0,"",IF(N(GanttCalc!AK18)-N(GanttCalc!AJ18)=1,"R"&amp;GanttCalc!AK18,"R"&amp;(GanttCalc!AJ18+1)&amp;"-"&amp;GanttCalc!AK18)))</f>
        <v/>
      </c>
      <c r="AN68" s="60" t="str">
        <f aca="false">IF($B$66="","",IF(N(GanttCalc!AL18)-N(GanttCalc!AK18)&lt;=0,"",IF(N(GanttCalc!AL18)-N(GanttCalc!AK18)=1,"R"&amp;GanttCalc!AL18,"R"&amp;(GanttCalc!AK18+1)&amp;"-"&amp;GanttCalc!AL18)))</f>
        <v/>
      </c>
      <c r="AO68" s="60" t="str">
        <f aca="false">IF($B$66="","",IF(N(GanttCalc!AM18)-N(GanttCalc!AL18)&lt;=0,"",IF(N(GanttCalc!AM18)-N(GanttCalc!AL18)=1,"R"&amp;GanttCalc!AM18,"R"&amp;(GanttCalc!AL18+1)&amp;"-"&amp;GanttCalc!AM18)))</f>
        <v/>
      </c>
      <c r="AP68" s="60" t="str">
        <f aca="false">IF($B$66="","",IF(N(GanttCalc!AN18)-N(GanttCalc!AM18)&lt;=0,"",IF(N(GanttCalc!AN18)-N(GanttCalc!AM18)=1,"R"&amp;GanttCalc!AN18,"R"&amp;(GanttCalc!AM18+1)&amp;"-"&amp;GanttCalc!AN18)))</f>
        <v/>
      </c>
      <c r="AQ68" s="60" t="str">
        <f aca="false">IF($B$66="","",IF(N(GanttCalc!AO18)-N(GanttCalc!AN18)&lt;=0,"",IF(N(GanttCalc!AO18)-N(GanttCalc!AN18)=1,"R"&amp;GanttCalc!AO18,"R"&amp;(GanttCalc!AN18+1)&amp;"-"&amp;GanttCalc!AO18)))</f>
        <v/>
      </c>
      <c r="AR68" s="60" t="str">
        <f aca="false">IF($B$66="","",IF(N(GanttCalc!AP18)-N(GanttCalc!AO18)&lt;=0,"",IF(N(GanttCalc!AP18)-N(GanttCalc!AO18)=1,"R"&amp;GanttCalc!AP18,"R"&amp;(GanttCalc!AO18+1)&amp;"-"&amp;GanttCalc!AP18)))</f>
        <v/>
      </c>
      <c r="AS68" s="60" t="str">
        <f aca="false">IF($B$66="","",IF(N(GanttCalc!AQ18)-N(GanttCalc!AP18)&lt;=0,"",IF(N(GanttCalc!AQ18)-N(GanttCalc!AP18)=1,"R"&amp;GanttCalc!AQ18,"R"&amp;(GanttCalc!AP18+1)&amp;"-"&amp;GanttCalc!AQ18)))</f>
        <v/>
      </c>
      <c r="AT68" s="60" t="str">
        <f aca="false">IF($B$66="","",IF(N(GanttCalc!AR18)-N(GanttCalc!AQ18)&lt;=0,"",IF(N(GanttCalc!AR18)-N(GanttCalc!AQ18)=1,"R"&amp;GanttCalc!AR18,"R"&amp;(GanttCalc!AQ18+1)&amp;"-"&amp;GanttCalc!AR18)))</f>
        <v/>
      </c>
      <c r="AU68" s="60" t="str">
        <f aca="false">IF($B$66="","",IF(N(GanttCalc!AS18)-N(GanttCalc!AR18)&lt;=0,"",IF(N(GanttCalc!AS18)-N(GanttCalc!AR18)=1,"R"&amp;GanttCalc!AS18,"R"&amp;(GanttCalc!AR18+1)&amp;"-"&amp;GanttCalc!AS18)))</f>
        <v/>
      </c>
      <c r="AV68" s="60" t="str">
        <f aca="false">IF($B$66="","",IF(N(GanttCalc!AT18)-N(GanttCalc!AS18)&lt;=0,"",IF(N(GanttCalc!AT18)-N(GanttCalc!AS18)=1,"R"&amp;GanttCalc!AT18,"R"&amp;(GanttCalc!AS18+1)&amp;"-"&amp;GanttCalc!AT18)))</f>
        <v/>
      </c>
      <c r="AW68" s="60" t="str">
        <f aca="false">IF($B$66="","",IF(N(GanttCalc!AU18)-N(GanttCalc!AT18)&lt;=0,"",IF(N(GanttCalc!AU18)-N(GanttCalc!AT18)=1,"R"&amp;GanttCalc!AU18,"R"&amp;(GanttCalc!AT18+1)&amp;"-"&amp;GanttCalc!AU18)))</f>
        <v/>
      </c>
      <c r="AX68" s="60" t="str">
        <f aca="false">IF($B$66="","",IF(N(GanttCalc!AV18)-N(GanttCalc!AU18)&lt;=0,"",IF(N(GanttCalc!AV18)-N(GanttCalc!AU18)=1,"R"&amp;GanttCalc!AV18,"R"&amp;(GanttCalc!AU18+1)&amp;"-"&amp;GanttCalc!AV18)))</f>
        <v/>
      </c>
      <c r="AY68" s="60" t="str">
        <f aca="false">IF($B$66="","",IF(N(GanttCalc!AW18)-N(GanttCalc!AV18)&lt;=0,"",IF(N(GanttCalc!AW18)-N(GanttCalc!AV18)=1,"R"&amp;GanttCalc!AW18,"R"&amp;(GanttCalc!AV18+1)&amp;"-"&amp;GanttCalc!AW18)))</f>
        <v/>
      </c>
      <c r="AZ68" s="60" t="str">
        <f aca="false">IF($B$66="","",IF(N(GanttCalc!AX18)-N(GanttCalc!AW18)&lt;=0,"",IF(N(GanttCalc!AX18)-N(GanttCalc!AW18)=1,"R"&amp;GanttCalc!AX18,"R"&amp;(GanttCalc!AW18+1)&amp;"-"&amp;GanttCalc!AX18)))</f>
        <v/>
      </c>
      <c r="BA68" s="60" t="str">
        <f aca="false">IF($B$66="","",IF(N(GanttCalc!AY18)-N(GanttCalc!AX18)&lt;=0,"",IF(N(GanttCalc!AY18)-N(GanttCalc!AX18)=1,"R"&amp;GanttCalc!AY18,"R"&amp;(GanttCalc!AX18+1)&amp;"-"&amp;GanttCalc!AY18)))</f>
        <v/>
      </c>
      <c r="BB68" s="60" t="str">
        <f aca="false">IF($B$66="","",IF(N(GanttCalc!AZ18)-N(GanttCalc!AY18)&lt;=0,"",IF(N(GanttCalc!AZ18)-N(GanttCalc!AY18)=1,"R"&amp;GanttCalc!AZ18,"R"&amp;(GanttCalc!AY18+1)&amp;"-"&amp;GanttCalc!AZ18)))</f>
        <v/>
      </c>
      <c r="BC68" s="60" t="str">
        <f aca="false">IF($B$66="","",IF(N(GanttCalc!BA18)-N(GanttCalc!AZ18)&lt;=0,"",IF(N(GanttCalc!BA18)-N(GanttCalc!AZ18)=1,"R"&amp;GanttCalc!BA18,"R"&amp;(GanttCalc!AZ18+1)&amp;"-"&amp;GanttCalc!BA18)))</f>
        <v/>
      </c>
      <c r="BD68" s="60" t="str">
        <f aca="false">IF($B$66="","",IF(N(GanttCalc!BB18)-N(GanttCalc!BA18)&lt;=0,"",IF(N(GanttCalc!BB18)-N(GanttCalc!BA18)=1,"R"&amp;GanttCalc!BB18,"R"&amp;(GanttCalc!BA18+1)&amp;"-"&amp;GanttCalc!BB18)))</f>
        <v/>
      </c>
    </row>
    <row r="69" customFormat="false" ht="6" hidden="false" customHeight="true" outlineLevel="0" collapsed="false"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</sheetData>
  <mergeCells count="6">
    <mergeCell ref="E4:F4"/>
    <mergeCell ref="G4:H4"/>
    <mergeCell ref="I4:J4"/>
    <mergeCell ref="K4:L4"/>
    <mergeCell ref="M4:N4"/>
    <mergeCell ref="O4:P4"/>
  </mergeCells>
  <conditionalFormatting sqref="E10:BD10">
    <cfRule type="expression" priority="2" aboveAverage="0" equalAverage="0" bottom="0" percent="0" rank="0" text="" dxfId="11">
      <formula>AND(E10&lt;&gt;"",N(Contracts!$I$6)&gt;=OFFSET(GanttCalc!$B$4,0,COLUMN(E10)-COLUMN($E$10)+1+N(Contracts!$Q$6)))</formula>
    </cfRule>
    <cfRule type="expression" priority="3" aboveAverage="0" equalAverage="0" bottom="0" percent="0" rank="0" text="" dxfId="12">
      <formula>AND(E10&lt;&gt;"",E$8&lt;=Dashboard!$Q$3)</formula>
    </cfRule>
    <cfRule type="expression" priority="4" aboveAverage="0" equalAverage="0" bottom="0" percent="0" rank="0" text="" dxfId="13">
      <formula>E10&lt;&gt;""</formula>
    </cfRule>
  </conditionalFormatting>
  <conditionalFormatting sqref="E11:BD11">
    <cfRule type="expression" priority="5" aboveAverage="0" equalAverage="0" bottom="0" percent="0" rank="0" text="" dxfId="14">
      <formula>E11&lt;&gt;""</formula>
    </cfRule>
  </conditionalFormatting>
  <conditionalFormatting sqref="E12:BD12">
    <cfRule type="expression" priority="6" aboveAverage="0" equalAverage="0" bottom="0" percent="0" rank="0" text="" dxfId="15">
      <formula>E12&lt;&gt;""</formula>
    </cfRule>
  </conditionalFormatting>
  <conditionalFormatting sqref="E14:BD14">
    <cfRule type="expression" priority="7" aboveAverage="0" equalAverage="0" bottom="0" percent="0" rank="0" text="" dxfId="11">
      <formula>AND(E14&lt;&gt;"",N(Contracts!$I$7)&gt;=OFFSET(GanttCalc!$B$5,0,COLUMN(E14)-COLUMN($E$14)+1+N(Contracts!$Q$7)))</formula>
    </cfRule>
    <cfRule type="expression" priority="8" aboveAverage="0" equalAverage="0" bottom="0" percent="0" rank="0" text="" dxfId="12">
      <formula>AND(E14&lt;&gt;"",E$8&lt;=Dashboard!$Q$3)</formula>
    </cfRule>
    <cfRule type="expression" priority="9" aboveAverage="0" equalAverage="0" bottom="0" percent="0" rank="0" text="" dxfId="13">
      <formula>E14&lt;&gt;""</formula>
    </cfRule>
  </conditionalFormatting>
  <conditionalFormatting sqref="E15:BD15">
    <cfRule type="expression" priority="10" aboveAverage="0" equalAverage="0" bottom="0" percent="0" rank="0" text="" dxfId="14">
      <formula>E15&lt;&gt;""</formula>
    </cfRule>
  </conditionalFormatting>
  <conditionalFormatting sqref="E16:BD16">
    <cfRule type="expression" priority="11" aboveAverage="0" equalAverage="0" bottom="0" percent="0" rank="0" text="" dxfId="15">
      <formula>E16&lt;&gt;""</formula>
    </cfRule>
  </conditionalFormatting>
  <conditionalFormatting sqref="E18:BD18">
    <cfRule type="expression" priority="12" aboveAverage="0" equalAverage="0" bottom="0" percent="0" rank="0" text="" dxfId="11">
      <formula>AND(E18&lt;&gt;"",N(Contracts!$I$8)&gt;=OFFSET(GanttCalc!$B$6,0,COLUMN(E18)-COLUMN($E$18)+1+N(Contracts!$Q$8)))</formula>
    </cfRule>
    <cfRule type="expression" priority="13" aboveAverage="0" equalAverage="0" bottom="0" percent="0" rank="0" text="" dxfId="12">
      <formula>AND(E18&lt;&gt;"",E$8&lt;=Dashboard!$Q$3)</formula>
    </cfRule>
    <cfRule type="expression" priority="14" aboveAverage="0" equalAverage="0" bottom="0" percent="0" rank="0" text="" dxfId="13">
      <formula>E18&lt;&gt;""</formula>
    </cfRule>
  </conditionalFormatting>
  <conditionalFormatting sqref="E19:BD19">
    <cfRule type="expression" priority="15" aboveAverage="0" equalAverage="0" bottom="0" percent="0" rank="0" text="" dxfId="14">
      <formula>E19&lt;&gt;""</formula>
    </cfRule>
  </conditionalFormatting>
  <conditionalFormatting sqref="E20:BD20">
    <cfRule type="expression" priority="16" aboveAverage="0" equalAverage="0" bottom="0" percent="0" rank="0" text="" dxfId="15">
      <formula>E20&lt;&gt;""</formula>
    </cfRule>
  </conditionalFormatting>
  <conditionalFormatting sqref="E22:BD22">
    <cfRule type="expression" priority="17" aboveAverage="0" equalAverage="0" bottom="0" percent="0" rank="0" text="" dxfId="11">
      <formula>AND(E22&lt;&gt;"",N(Contracts!$I$9)&gt;=OFFSET(GanttCalc!$B$7,0,COLUMN(E22)-COLUMN($E$22)+1+N(Contracts!$Q$9)))</formula>
    </cfRule>
    <cfRule type="expression" priority="18" aboveAverage="0" equalAverage="0" bottom="0" percent="0" rank="0" text="" dxfId="12">
      <formula>AND(E22&lt;&gt;"",E$8&lt;=Dashboard!$Q$3)</formula>
    </cfRule>
    <cfRule type="expression" priority="19" aboveAverage="0" equalAverage="0" bottom="0" percent="0" rank="0" text="" dxfId="13">
      <formula>E22&lt;&gt;""</formula>
    </cfRule>
  </conditionalFormatting>
  <conditionalFormatting sqref="E23:BD23">
    <cfRule type="expression" priority="20" aboveAverage="0" equalAverage="0" bottom="0" percent="0" rank="0" text="" dxfId="14">
      <formula>E23&lt;&gt;""</formula>
    </cfRule>
  </conditionalFormatting>
  <conditionalFormatting sqref="E24:BD24">
    <cfRule type="expression" priority="21" aboveAverage="0" equalAverage="0" bottom="0" percent="0" rank="0" text="" dxfId="15">
      <formula>E24&lt;&gt;""</formula>
    </cfRule>
  </conditionalFormatting>
  <conditionalFormatting sqref="E26:BD26">
    <cfRule type="expression" priority="22" aboveAverage="0" equalAverage="0" bottom="0" percent="0" rank="0" text="" dxfId="11">
      <formula>AND(E26&lt;&gt;"",N(Contracts!$I$10)&gt;=OFFSET(GanttCalc!$B$8,0,COLUMN(E26)-COLUMN($E$26)+1+N(Contracts!$Q$10)))</formula>
    </cfRule>
    <cfRule type="expression" priority="23" aboveAverage="0" equalAverage="0" bottom="0" percent="0" rank="0" text="" dxfId="12">
      <formula>AND(E26&lt;&gt;"",E$8&lt;=Dashboard!$Q$3)</formula>
    </cfRule>
    <cfRule type="expression" priority="24" aboveAverage="0" equalAverage="0" bottom="0" percent="0" rank="0" text="" dxfId="13">
      <formula>E26&lt;&gt;""</formula>
    </cfRule>
  </conditionalFormatting>
  <conditionalFormatting sqref="E27:BD27">
    <cfRule type="expression" priority="25" aboveAverage="0" equalAverage="0" bottom="0" percent="0" rank="0" text="" dxfId="14">
      <formula>E27&lt;&gt;""</formula>
    </cfRule>
  </conditionalFormatting>
  <conditionalFormatting sqref="E28:BD28">
    <cfRule type="expression" priority="26" aboveAverage="0" equalAverage="0" bottom="0" percent="0" rank="0" text="" dxfId="15">
      <formula>E28&lt;&gt;""</formula>
    </cfRule>
  </conditionalFormatting>
  <conditionalFormatting sqref="E30:BD30">
    <cfRule type="expression" priority="27" aboveAverage="0" equalAverage="0" bottom="0" percent="0" rank="0" text="" dxfId="11">
      <formula>AND(E30&lt;&gt;"",N(Contracts!$I$11)&gt;=OFFSET(GanttCalc!$B$9,0,COLUMN(E30)-COLUMN($E$30)+1+N(Contracts!$Q$11)))</formula>
    </cfRule>
    <cfRule type="expression" priority="28" aboveAverage="0" equalAverage="0" bottom="0" percent="0" rank="0" text="" dxfId="12">
      <formula>AND(E30&lt;&gt;"",E$8&lt;=Dashboard!$Q$3)</formula>
    </cfRule>
    <cfRule type="expression" priority="29" aboveAverage="0" equalAverage="0" bottom="0" percent="0" rank="0" text="" dxfId="13">
      <formula>E30&lt;&gt;""</formula>
    </cfRule>
  </conditionalFormatting>
  <conditionalFormatting sqref="E31:BD31">
    <cfRule type="expression" priority="30" aboveAverage="0" equalAverage="0" bottom="0" percent="0" rank="0" text="" dxfId="14">
      <formula>E31&lt;&gt;""</formula>
    </cfRule>
  </conditionalFormatting>
  <conditionalFormatting sqref="E32:BD32">
    <cfRule type="expression" priority="31" aboveAverage="0" equalAverage="0" bottom="0" percent="0" rank="0" text="" dxfId="15">
      <formula>E32&lt;&gt;""</formula>
    </cfRule>
  </conditionalFormatting>
  <conditionalFormatting sqref="E34:BD34">
    <cfRule type="expression" priority="32" aboveAverage="0" equalAverage="0" bottom="0" percent="0" rank="0" text="" dxfId="11">
      <formula>AND(E34&lt;&gt;"",N(Contracts!$I$12)&gt;=OFFSET(GanttCalc!$B$10,0,COLUMN(E34)-COLUMN($E$34)+1+N(Contracts!$Q$12)))</formula>
    </cfRule>
    <cfRule type="expression" priority="33" aboveAverage="0" equalAverage="0" bottom="0" percent="0" rank="0" text="" dxfId="12">
      <formula>AND(E34&lt;&gt;"",E$8&lt;=Dashboard!$Q$3)</formula>
    </cfRule>
    <cfRule type="expression" priority="34" aboveAverage="0" equalAverage="0" bottom="0" percent="0" rank="0" text="" dxfId="13">
      <formula>E34&lt;&gt;""</formula>
    </cfRule>
  </conditionalFormatting>
  <conditionalFormatting sqref="E35:BD35">
    <cfRule type="expression" priority="35" aboveAverage="0" equalAverage="0" bottom="0" percent="0" rank="0" text="" dxfId="14">
      <formula>E35&lt;&gt;""</formula>
    </cfRule>
  </conditionalFormatting>
  <conditionalFormatting sqref="E36:BD36">
    <cfRule type="expression" priority="36" aboveAverage="0" equalAverage="0" bottom="0" percent="0" rank="0" text="" dxfId="15">
      <formula>E36&lt;&gt;""</formula>
    </cfRule>
  </conditionalFormatting>
  <conditionalFormatting sqref="E38:BD38">
    <cfRule type="expression" priority="37" aboveAverage="0" equalAverage="0" bottom="0" percent="0" rank="0" text="" dxfId="11">
      <formula>AND(E38&lt;&gt;"",N(Contracts!$I$13)&gt;=OFFSET(GanttCalc!$B$11,0,COLUMN(E38)-COLUMN($E$38)+1+N(Contracts!$Q$13)))</formula>
    </cfRule>
    <cfRule type="expression" priority="38" aboveAverage="0" equalAverage="0" bottom="0" percent="0" rank="0" text="" dxfId="12">
      <formula>AND(E38&lt;&gt;"",E$8&lt;=Dashboard!$Q$3)</formula>
    </cfRule>
    <cfRule type="expression" priority="39" aboveAverage="0" equalAverage="0" bottom="0" percent="0" rank="0" text="" dxfId="13">
      <formula>E38&lt;&gt;""</formula>
    </cfRule>
  </conditionalFormatting>
  <conditionalFormatting sqref="E39:BD39">
    <cfRule type="expression" priority="40" aboveAverage="0" equalAverage="0" bottom="0" percent="0" rank="0" text="" dxfId="14">
      <formula>E39&lt;&gt;""</formula>
    </cfRule>
  </conditionalFormatting>
  <conditionalFormatting sqref="E40:BD40">
    <cfRule type="expression" priority="41" aboveAverage="0" equalAverage="0" bottom="0" percent="0" rank="0" text="" dxfId="15">
      <formula>E40&lt;&gt;""</formula>
    </cfRule>
  </conditionalFormatting>
  <conditionalFormatting sqref="E42:BD42">
    <cfRule type="expression" priority="42" aboveAverage="0" equalAverage="0" bottom="0" percent="0" rank="0" text="" dxfId="11">
      <formula>AND(E42&lt;&gt;"",N(Contracts!$I$14)&gt;=OFFSET(GanttCalc!$B$12,0,COLUMN(E42)-COLUMN($E$42)+1+N(Contracts!$Q$14)))</formula>
    </cfRule>
    <cfRule type="expression" priority="43" aboveAverage="0" equalAverage="0" bottom="0" percent="0" rank="0" text="" dxfId="12">
      <formula>AND(E42&lt;&gt;"",E$8&lt;=Dashboard!$Q$3)</formula>
    </cfRule>
    <cfRule type="expression" priority="44" aboveAverage="0" equalAverage="0" bottom="0" percent="0" rank="0" text="" dxfId="13">
      <formula>E42&lt;&gt;""</formula>
    </cfRule>
  </conditionalFormatting>
  <conditionalFormatting sqref="E43:BD43">
    <cfRule type="expression" priority="45" aboveAverage="0" equalAverage="0" bottom="0" percent="0" rank="0" text="" dxfId="14">
      <formula>E43&lt;&gt;""</formula>
    </cfRule>
  </conditionalFormatting>
  <conditionalFormatting sqref="E44:BD44">
    <cfRule type="expression" priority="46" aboveAverage="0" equalAverage="0" bottom="0" percent="0" rank="0" text="" dxfId="15">
      <formula>E44&lt;&gt;""</formula>
    </cfRule>
  </conditionalFormatting>
  <conditionalFormatting sqref="E46:BD46">
    <cfRule type="expression" priority="47" aboveAverage="0" equalAverage="0" bottom="0" percent="0" rank="0" text="" dxfId="11">
      <formula>AND(E46&lt;&gt;"",N(Contracts!$I$15)&gt;=OFFSET(GanttCalc!$B$13,0,COLUMN(E46)-COLUMN($E$46)+1+N(Contracts!$Q$15)))</formula>
    </cfRule>
    <cfRule type="expression" priority="48" aboveAverage="0" equalAverage="0" bottom="0" percent="0" rank="0" text="" dxfId="12">
      <formula>AND(E46&lt;&gt;"",E$8&lt;=Dashboard!$Q$3)</formula>
    </cfRule>
    <cfRule type="expression" priority="49" aboveAverage="0" equalAverage="0" bottom="0" percent="0" rank="0" text="" dxfId="13">
      <formula>E46&lt;&gt;""</formula>
    </cfRule>
  </conditionalFormatting>
  <conditionalFormatting sqref="E47:BD47">
    <cfRule type="expression" priority="50" aboveAverage="0" equalAverage="0" bottom="0" percent="0" rank="0" text="" dxfId="14">
      <formula>E47&lt;&gt;""</formula>
    </cfRule>
  </conditionalFormatting>
  <conditionalFormatting sqref="E48:BD48">
    <cfRule type="expression" priority="51" aboveAverage="0" equalAverage="0" bottom="0" percent="0" rank="0" text="" dxfId="15">
      <formula>E48&lt;&gt;""</formula>
    </cfRule>
  </conditionalFormatting>
  <conditionalFormatting sqref="E50:BD50">
    <cfRule type="expression" priority="52" aboveAverage="0" equalAverage="0" bottom="0" percent="0" rank="0" text="" dxfId="11">
      <formula>AND(E50&lt;&gt;"",N(Contracts!$I$16)&gt;=OFFSET(GanttCalc!$B$14,0,COLUMN(E50)-COLUMN($E$50)+1+N(Contracts!$Q$16)))</formula>
    </cfRule>
    <cfRule type="expression" priority="53" aboveAverage="0" equalAverage="0" bottom="0" percent="0" rank="0" text="" dxfId="12">
      <formula>AND(E50&lt;&gt;"",E$8&lt;=Dashboard!$Q$3)</formula>
    </cfRule>
    <cfRule type="expression" priority="54" aboveAverage="0" equalAverage="0" bottom="0" percent="0" rank="0" text="" dxfId="13">
      <formula>E50&lt;&gt;""</formula>
    </cfRule>
  </conditionalFormatting>
  <conditionalFormatting sqref="E51:BD51">
    <cfRule type="expression" priority="55" aboveAverage="0" equalAverage="0" bottom="0" percent="0" rank="0" text="" dxfId="14">
      <formula>E51&lt;&gt;""</formula>
    </cfRule>
  </conditionalFormatting>
  <conditionalFormatting sqref="E52:BD52">
    <cfRule type="expression" priority="56" aboveAverage="0" equalAverage="0" bottom="0" percent="0" rank="0" text="" dxfId="15">
      <formula>E52&lt;&gt;""</formula>
    </cfRule>
  </conditionalFormatting>
  <conditionalFormatting sqref="E54:BD54">
    <cfRule type="expression" priority="57" aboveAverage="0" equalAverage="0" bottom="0" percent="0" rank="0" text="" dxfId="11">
      <formula>AND(E54&lt;&gt;"",N(Contracts!$I$17)&gt;=OFFSET(GanttCalc!$B$15,0,COLUMN(E54)-COLUMN($E$54)+1+N(Contracts!$Q$17)))</formula>
    </cfRule>
    <cfRule type="expression" priority="58" aboveAverage="0" equalAverage="0" bottom="0" percent="0" rank="0" text="" dxfId="12">
      <formula>AND(E54&lt;&gt;"",E$8&lt;=Dashboard!$Q$3)</formula>
    </cfRule>
    <cfRule type="expression" priority="59" aboveAverage="0" equalAverage="0" bottom="0" percent="0" rank="0" text="" dxfId="13">
      <formula>E54&lt;&gt;""</formula>
    </cfRule>
  </conditionalFormatting>
  <conditionalFormatting sqref="E55:BD55">
    <cfRule type="expression" priority="60" aboveAverage="0" equalAverage="0" bottom="0" percent="0" rank="0" text="" dxfId="14">
      <formula>E55&lt;&gt;""</formula>
    </cfRule>
  </conditionalFormatting>
  <conditionalFormatting sqref="E56:BD56">
    <cfRule type="expression" priority="61" aboveAverage="0" equalAverage="0" bottom="0" percent="0" rank="0" text="" dxfId="15">
      <formula>E56&lt;&gt;""</formula>
    </cfRule>
  </conditionalFormatting>
  <conditionalFormatting sqref="E58:BD58">
    <cfRule type="expression" priority="62" aboveAverage="0" equalAverage="0" bottom="0" percent="0" rank="0" text="" dxfId="11">
      <formula>AND(E58&lt;&gt;"",N(Contracts!$I$18)&gt;=OFFSET(GanttCalc!$B$16,0,COLUMN(E58)-COLUMN($E$58)+1+N(Contracts!$Q$18)))</formula>
    </cfRule>
    <cfRule type="expression" priority="63" aboveAverage="0" equalAverage="0" bottom="0" percent="0" rank="0" text="" dxfId="12">
      <formula>AND(E58&lt;&gt;"",E$8&lt;=Dashboard!$Q$3)</formula>
    </cfRule>
    <cfRule type="expression" priority="64" aboveAverage="0" equalAverage="0" bottom="0" percent="0" rank="0" text="" dxfId="13">
      <formula>E58&lt;&gt;""</formula>
    </cfRule>
  </conditionalFormatting>
  <conditionalFormatting sqref="E59:BD59">
    <cfRule type="expression" priority="65" aboveAverage="0" equalAverage="0" bottom="0" percent="0" rank="0" text="" dxfId="14">
      <formula>E59&lt;&gt;""</formula>
    </cfRule>
  </conditionalFormatting>
  <conditionalFormatting sqref="E60:BD60">
    <cfRule type="expression" priority="66" aboveAverage="0" equalAverage="0" bottom="0" percent="0" rank="0" text="" dxfId="15">
      <formula>E60&lt;&gt;""</formula>
    </cfRule>
  </conditionalFormatting>
  <conditionalFormatting sqref="E62:BD62">
    <cfRule type="expression" priority="67" aboveAverage="0" equalAverage="0" bottom="0" percent="0" rank="0" text="" dxfId="11">
      <formula>AND(E62&lt;&gt;"",N(Contracts!$I$19)&gt;=OFFSET(GanttCalc!$B$17,0,COLUMN(E62)-COLUMN($E$62)+1+N(Contracts!$Q$19)))</formula>
    </cfRule>
    <cfRule type="expression" priority="68" aboveAverage="0" equalAverage="0" bottom="0" percent="0" rank="0" text="" dxfId="12">
      <formula>AND(E62&lt;&gt;"",E$8&lt;=Dashboard!$Q$3)</formula>
    </cfRule>
    <cfRule type="expression" priority="69" aboveAverage="0" equalAverage="0" bottom="0" percent="0" rank="0" text="" dxfId="13">
      <formula>E62&lt;&gt;""</formula>
    </cfRule>
  </conditionalFormatting>
  <conditionalFormatting sqref="E63:BD63">
    <cfRule type="expression" priority="70" aboveAverage="0" equalAverage="0" bottom="0" percent="0" rank="0" text="" dxfId="14">
      <formula>E63&lt;&gt;""</formula>
    </cfRule>
  </conditionalFormatting>
  <conditionalFormatting sqref="E64:BD64">
    <cfRule type="expression" priority="71" aboveAverage="0" equalAverage="0" bottom="0" percent="0" rank="0" text="" dxfId="15">
      <formula>E64&lt;&gt;""</formula>
    </cfRule>
  </conditionalFormatting>
  <conditionalFormatting sqref="E66:BD66">
    <cfRule type="expression" priority="72" aboveAverage="0" equalAverage="0" bottom="0" percent="0" rank="0" text="" dxfId="11">
      <formula>AND(E66&lt;&gt;"",N(Contracts!$I$20)&gt;=OFFSET(GanttCalc!$B$18,0,COLUMN(E66)-COLUMN($E$66)+1+N(Contracts!$Q$20)))</formula>
    </cfRule>
    <cfRule type="expression" priority="73" aboveAverage="0" equalAverage="0" bottom="0" percent="0" rank="0" text="" dxfId="12">
      <formula>AND(E66&lt;&gt;"",E$8&lt;=Dashboard!$Q$3)</formula>
    </cfRule>
    <cfRule type="expression" priority="74" aboveAverage="0" equalAverage="0" bottom="0" percent="0" rank="0" text="" dxfId="13">
      <formula>E66&lt;&gt;""</formula>
    </cfRule>
  </conditionalFormatting>
  <conditionalFormatting sqref="E67:BD67">
    <cfRule type="expression" priority="75" aboveAverage="0" equalAverage="0" bottom="0" percent="0" rank="0" text="" dxfId="14">
      <formula>E67&lt;&gt;""</formula>
    </cfRule>
  </conditionalFormatting>
  <conditionalFormatting sqref="E68:BD68">
    <cfRule type="expression" priority="76" aboveAverage="0" equalAverage="0" bottom="0" percent="0" rank="0" text="" dxfId="15">
      <formula>E68&lt;&gt;""</formula>
    </cfRule>
  </conditionalFormatting>
  <conditionalFormatting sqref="E7:BD8">
    <cfRule type="expression" priority="77" aboveAverage="0" equalAverage="0" bottom="0" percent="0" rank="0" text="" dxfId="16">
      <formula>E$8=Dashboard!$Q$3</formula>
    </cfRule>
  </conditionalFormatting>
  <conditionalFormatting sqref="E10:BD70">
    <cfRule type="expression" priority="78" aboveAverage="0" equalAverage="0" bottom="0" percent="0" rank="0" text="" dxfId="17">
      <formula>AND(E$8=Dashboard!$Q$3,E10="")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10"/>
  </cols>
  <sheetData>
    <row r="1" customFormat="false" ht="19.7" hidden="false" customHeight="false" outlineLevel="0" collapsed="false">
      <c r="A1" s="66" t="s">
        <v>55</v>
      </c>
    </row>
    <row r="2" customFormat="false" ht="15" hidden="false" customHeight="false" outlineLevel="0" collapsed="false">
      <c r="A2" s="67" t="s">
        <v>56</v>
      </c>
    </row>
    <row r="5" customFormat="false" ht="31.5" hidden="false" customHeight="true" outlineLevel="0" collapsed="false">
      <c r="A5" s="68" t="s">
        <v>57</v>
      </c>
      <c r="B5" s="68" t="s">
        <v>36</v>
      </c>
      <c r="C5" s="68" t="s">
        <v>58</v>
      </c>
      <c r="D5" s="68" t="s">
        <v>38</v>
      </c>
      <c r="E5" s="68" t="s">
        <v>59</v>
      </c>
      <c r="F5" s="68" t="s">
        <v>60</v>
      </c>
      <c r="G5" s="68" t="s">
        <v>61</v>
      </c>
      <c r="H5" s="69" t="s">
        <v>62</v>
      </c>
      <c r="I5" s="69" t="s">
        <v>63</v>
      </c>
      <c r="J5" s="69" t="s">
        <v>42</v>
      </c>
      <c r="K5" s="69" t="s">
        <v>43</v>
      </c>
      <c r="L5" s="69" t="s">
        <v>44</v>
      </c>
      <c r="M5" s="69" t="s">
        <v>64</v>
      </c>
      <c r="N5" s="69" t="s">
        <v>65</v>
      </c>
      <c r="O5" s="69" t="s">
        <v>45</v>
      </c>
      <c r="P5" s="69" t="s">
        <v>66</v>
      </c>
      <c r="Q5" s="68" t="s">
        <v>67</v>
      </c>
    </row>
    <row r="6" customFormat="false" ht="15" hidden="false" customHeight="false" outlineLevel="0" collapsed="false">
      <c r="A6" s="70" t="s">
        <v>68</v>
      </c>
      <c r="B6" s="71" t="s">
        <v>69</v>
      </c>
      <c r="C6" s="71" t="s">
        <v>70</v>
      </c>
      <c r="D6" s="72" t="n">
        <v>24</v>
      </c>
      <c r="E6" s="72" t="n">
        <v>24</v>
      </c>
      <c r="F6" s="72" t="n">
        <v>255</v>
      </c>
      <c r="G6" s="71"/>
      <c r="H6" s="73" t="n">
        <f aca="false">IF(A6="","",COUNTIF('Kit Lists'!$A$6:$A$605,A6))</f>
        <v>16</v>
      </c>
      <c r="I6" s="73" t="n">
        <f aca="false">IF(OR(A6="",H6=0),"",_xlfn.MINIFS('Kit Lists'!$I$6:$I$605,'Kit Lists'!$A$6:$A$605,A6))</f>
        <v>0</v>
      </c>
      <c r="J6" s="73" t="n">
        <f aca="false">IF(I6="","",I6*E6)</f>
        <v>0</v>
      </c>
      <c r="K6" s="73" t="n">
        <f aca="false">IF(A6="","",SUMIFS('Weekly Plan'!$D$6:$D$1505,'Weekly Plan'!$A$6:$A$1505,A6,'Weekly Plan'!$E$6:$E$1505,"&lt;="&amp;(Dashboard!$Q$3+7*N(Q6))))</f>
        <v>0</v>
      </c>
      <c r="L6" s="73" t="n">
        <f aca="false">IF(I6="","",I6-K6)</f>
        <v>0</v>
      </c>
      <c r="M6" s="73" t="n">
        <f aca="false">IF(A6="","",SUMIFS('Weekly Plan'!$D$6:$D$1505,'Weekly Plan'!$A$6:$A$1505,A6))</f>
        <v>255</v>
      </c>
      <c r="N6" s="74" t="n">
        <f aca="false">IF(OR(I6="",N(F6)=0),"",I6/F6)</f>
        <v>0</v>
      </c>
      <c r="O6" s="75" t="str">
        <f aca="false">IF(A6="","",IF(H6=0,"NO KIT LIST",IF(I6&gt;=F6,"COMPLETE",IF(L6&gt;0,"AHEAD +"&amp;L6,IF(L6=0,"ON PLAN","BEHIND "&amp;L6)))))</f>
        <v>ON PLAN</v>
      </c>
      <c r="P6" s="76" t="str">
        <f aca="false">IF(A6="","",IF(COUNTIF('Release Log'!$B$6:$B$4005,A6)=0,"–",_xlfn.MAXIFS('Release Log'!$A$6:$A$4005,'Release Log'!$B$6:$B$4005,A6)))</f>
        <v>–</v>
      </c>
      <c r="Q6" s="72" t="n">
        <v>2</v>
      </c>
    </row>
    <row r="7" customFormat="false" ht="15" hidden="false" customHeight="false" outlineLevel="0" collapsed="false">
      <c r="A7" s="70" t="s">
        <v>71</v>
      </c>
      <c r="B7" s="71" t="s">
        <v>72</v>
      </c>
      <c r="C7" s="71" t="s">
        <v>73</v>
      </c>
      <c r="D7" s="72" t="n">
        <v>24</v>
      </c>
      <c r="E7" s="72" t="n">
        <v>24</v>
      </c>
      <c r="F7" s="72" t="n">
        <v>200</v>
      </c>
      <c r="G7" s="71"/>
      <c r="H7" s="73" t="n">
        <f aca="false">IF(A7="","",COUNTIF('Kit Lists'!$A$6:$A$605,A7))</f>
        <v>0</v>
      </c>
      <c r="I7" s="73" t="str">
        <f aca="false">IF(OR(A7="",H7=0),"",_xlfn.MINIFS('Kit Lists'!$I$6:$I$605,'Kit Lists'!$A$6:$A$605,A7))</f>
        <v/>
      </c>
      <c r="J7" s="73" t="str">
        <f aca="false">IF(I7="","",I7*E7)</f>
        <v/>
      </c>
      <c r="K7" s="73" t="n">
        <f aca="false">IF(A7="","",SUMIFS('Weekly Plan'!$D$6:$D$1505,'Weekly Plan'!$A$6:$A$1505,A7,'Weekly Plan'!$E$6:$E$1505,"&lt;="&amp;(Dashboard!$Q$3+7*N(Q7))))</f>
        <v>0</v>
      </c>
      <c r="L7" s="73" t="str">
        <f aca="false">IF(I7="","",I7-K7)</f>
        <v/>
      </c>
      <c r="M7" s="73" t="n">
        <f aca="false">IF(A7="","",SUMIFS('Weekly Plan'!$D$6:$D$1505,'Weekly Plan'!$A$6:$A$1505,A7))</f>
        <v>200</v>
      </c>
      <c r="N7" s="74" t="str">
        <f aca="false">IF(OR(I7="",N(F7)=0),"",I7/F7)</f>
        <v/>
      </c>
      <c r="O7" s="75" t="str">
        <f aca="false">IF(A7="","",IF(H7=0,"NO KIT LIST",IF(I7&gt;=F7,"COMPLETE",IF(L7&gt;0,"AHEAD +"&amp;L7,IF(L7=0,"ON PLAN","BEHIND "&amp;L7)))))</f>
        <v>NO KIT LIST</v>
      </c>
      <c r="P7" s="76" t="str">
        <f aca="false">IF(A7="","",IF(COUNTIF('Release Log'!$B$6:$B$4005,A7)=0,"–",_xlfn.MAXIFS('Release Log'!$A$6:$A$4005,'Release Log'!$B$6:$B$4005,A7)))</f>
        <v>–</v>
      </c>
      <c r="Q7" s="72" t="n">
        <v>2</v>
      </c>
    </row>
    <row r="8" customFormat="false" ht="15" hidden="false" customHeight="false" outlineLevel="0" collapsed="false">
      <c r="A8" s="70" t="s">
        <v>74</v>
      </c>
      <c r="B8" s="71" t="s">
        <v>75</v>
      </c>
      <c r="C8" s="71" t="s">
        <v>76</v>
      </c>
      <c r="D8" s="72" t="n">
        <v>4</v>
      </c>
      <c r="E8" s="72" t="n">
        <v>4</v>
      </c>
      <c r="F8" s="72" t="n">
        <v>39</v>
      </c>
      <c r="G8" s="71"/>
      <c r="H8" s="73" t="n">
        <f aca="false">IF(A8="","",COUNTIF('Kit Lists'!$A$6:$A$605,A8))</f>
        <v>0</v>
      </c>
      <c r="I8" s="73" t="str">
        <f aca="false">IF(OR(A8="",H8=0),"",_xlfn.MINIFS('Kit Lists'!$I$6:$I$605,'Kit Lists'!$A$6:$A$605,A8))</f>
        <v/>
      </c>
      <c r="J8" s="73" t="str">
        <f aca="false">IF(I8="","",I8*E8)</f>
        <v/>
      </c>
      <c r="K8" s="73" t="n">
        <f aca="false">IF(A8="","",SUMIFS('Weekly Plan'!$D$6:$D$1505,'Weekly Plan'!$A$6:$A$1505,A8,'Weekly Plan'!$E$6:$E$1505,"&lt;="&amp;(Dashboard!$Q$3+7*N(Q8))))</f>
        <v>0</v>
      </c>
      <c r="L8" s="73" t="str">
        <f aca="false">IF(I8="","",I8-K8)</f>
        <v/>
      </c>
      <c r="M8" s="73" t="n">
        <f aca="false">IF(A8="","",SUMIFS('Weekly Plan'!$D$6:$D$1505,'Weekly Plan'!$A$6:$A$1505,A8))</f>
        <v>39</v>
      </c>
      <c r="N8" s="74" t="str">
        <f aca="false">IF(OR(I8="",N(F8)=0),"",I8/F8)</f>
        <v/>
      </c>
      <c r="O8" s="75" t="str">
        <f aca="false">IF(A8="","",IF(H8=0,"NO KIT LIST",IF(I8&gt;=F8,"COMPLETE",IF(L8&gt;0,"AHEAD +"&amp;L8,IF(L8=0,"ON PLAN","BEHIND "&amp;L8)))))</f>
        <v>NO KIT LIST</v>
      </c>
      <c r="P8" s="76" t="str">
        <f aca="false">IF(A8="","",IF(COUNTIF('Release Log'!$B$6:$B$4005,A8)=0,"–",_xlfn.MAXIFS('Release Log'!$A$6:$A$4005,'Release Log'!$B$6:$B$4005,A8)))</f>
        <v>–</v>
      </c>
      <c r="Q8" s="72" t="n">
        <v>2</v>
      </c>
    </row>
    <row r="9" customFormat="false" ht="15" hidden="false" customHeight="false" outlineLevel="0" collapsed="false">
      <c r="A9" s="70" t="s">
        <v>77</v>
      </c>
      <c r="B9" s="71" t="s">
        <v>75</v>
      </c>
      <c r="C9" s="71" t="s">
        <v>78</v>
      </c>
      <c r="D9" s="72" t="n">
        <v>4</v>
      </c>
      <c r="E9" s="72" t="n">
        <v>4</v>
      </c>
      <c r="F9" s="72" t="n">
        <v>11</v>
      </c>
      <c r="G9" s="71"/>
      <c r="H9" s="73" t="n">
        <f aca="false">IF(A9="","",COUNTIF('Kit Lists'!$A$6:$A$605,A9))</f>
        <v>0</v>
      </c>
      <c r="I9" s="73" t="str">
        <f aca="false">IF(OR(A9="",H9=0),"",_xlfn.MINIFS('Kit Lists'!$I$6:$I$605,'Kit Lists'!$A$6:$A$605,A9))</f>
        <v/>
      </c>
      <c r="J9" s="73" t="str">
        <f aca="false">IF(I9="","",I9*E9)</f>
        <v/>
      </c>
      <c r="K9" s="73" t="n">
        <f aca="false">IF(A9="","",SUMIFS('Weekly Plan'!$D$6:$D$1505,'Weekly Plan'!$A$6:$A$1505,A9,'Weekly Plan'!$E$6:$E$1505,"&lt;="&amp;(Dashboard!$Q$3+7*N(Q9))))</f>
        <v>0</v>
      </c>
      <c r="L9" s="73" t="str">
        <f aca="false">IF(I9="","",I9-K9)</f>
        <v/>
      </c>
      <c r="M9" s="73" t="n">
        <f aca="false">IF(A9="","",SUMIFS('Weekly Plan'!$D$6:$D$1505,'Weekly Plan'!$A$6:$A$1505,A9))</f>
        <v>11</v>
      </c>
      <c r="N9" s="74" t="str">
        <f aca="false">IF(OR(I9="",N(F9)=0),"",I9/F9)</f>
        <v/>
      </c>
      <c r="O9" s="75" t="str">
        <f aca="false">IF(A9="","",IF(H9=0,"NO KIT LIST",IF(I9&gt;=F9,"COMPLETE",IF(L9&gt;0,"AHEAD +"&amp;L9,IF(L9=0,"ON PLAN","BEHIND "&amp;L9)))))</f>
        <v>NO KIT LIST</v>
      </c>
      <c r="P9" s="76" t="str">
        <f aca="false">IF(A9="","",IF(COUNTIF('Release Log'!$B$6:$B$4005,A9)=0,"–",_xlfn.MAXIFS('Release Log'!$A$6:$A$4005,'Release Log'!$B$6:$B$4005,A9)))</f>
        <v>–</v>
      </c>
      <c r="Q9" s="72" t="n">
        <v>2</v>
      </c>
    </row>
    <row r="10" customFormat="false" ht="15" hidden="false" customHeight="false" outlineLevel="0" collapsed="false">
      <c r="A10" s="70" t="s">
        <v>79</v>
      </c>
      <c r="B10" s="71" t="s">
        <v>75</v>
      </c>
      <c r="C10" s="71" t="s">
        <v>80</v>
      </c>
      <c r="D10" s="72" t="n">
        <v>6</v>
      </c>
      <c r="E10" s="72" t="n">
        <v>6</v>
      </c>
      <c r="F10" s="72" t="n">
        <v>3</v>
      </c>
      <c r="G10" s="71"/>
      <c r="H10" s="73" t="n">
        <f aca="false">IF(A10="","",COUNTIF('Kit Lists'!$A$6:$A$605,A10))</f>
        <v>0</v>
      </c>
      <c r="I10" s="73" t="str">
        <f aca="false">IF(OR(A10="",H10=0),"",_xlfn.MINIFS('Kit Lists'!$I$6:$I$605,'Kit Lists'!$A$6:$A$605,A10))</f>
        <v/>
      </c>
      <c r="J10" s="73" t="str">
        <f aca="false">IF(I10="","",I10*E10)</f>
        <v/>
      </c>
      <c r="K10" s="73" t="n">
        <f aca="false">IF(A10="","",SUMIFS('Weekly Plan'!$D$6:$D$1505,'Weekly Plan'!$A$6:$A$1505,A10,'Weekly Plan'!$E$6:$E$1505,"&lt;="&amp;(Dashboard!$Q$3+7*N(Q10))))</f>
        <v>0</v>
      </c>
      <c r="L10" s="73" t="str">
        <f aca="false">IF(I10="","",I10-K10)</f>
        <v/>
      </c>
      <c r="M10" s="73" t="n">
        <f aca="false">IF(A10="","",SUMIFS('Weekly Plan'!$D$6:$D$1505,'Weekly Plan'!$A$6:$A$1505,A10))</f>
        <v>3</v>
      </c>
      <c r="N10" s="74" t="str">
        <f aca="false">IF(OR(I10="",N(F10)=0),"",I10/F10)</f>
        <v/>
      </c>
      <c r="O10" s="75" t="str">
        <f aca="false">IF(A10="","",IF(H10=0,"NO KIT LIST",IF(I10&gt;=F10,"COMPLETE",IF(L10&gt;0,"AHEAD +"&amp;L10,IF(L10=0,"ON PLAN","BEHIND "&amp;L10)))))</f>
        <v>NO KIT LIST</v>
      </c>
      <c r="P10" s="76" t="str">
        <f aca="false">IF(A10="","",IF(COUNTIF('Release Log'!$B$6:$B$4005,A10)=0,"–",_xlfn.MAXIFS('Release Log'!$A$6:$A$4005,'Release Log'!$B$6:$B$4005,A10)))</f>
        <v>–</v>
      </c>
      <c r="Q10" s="72" t="n">
        <v>2</v>
      </c>
    </row>
    <row r="11" customFormat="false" ht="15" hidden="false" customHeight="false" outlineLevel="0" collapsed="false">
      <c r="A11" s="70" t="s">
        <v>81</v>
      </c>
      <c r="B11" s="71" t="s">
        <v>75</v>
      </c>
      <c r="C11" s="71" t="s">
        <v>82</v>
      </c>
      <c r="D11" s="72" t="n">
        <v>8</v>
      </c>
      <c r="E11" s="72" t="n">
        <v>8</v>
      </c>
      <c r="F11" s="72" t="n">
        <v>10</v>
      </c>
      <c r="G11" s="71"/>
      <c r="H11" s="73" t="n">
        <f aca="false">IF(A11="","",COUNTIF('Kit Lists'!$A$6:$A$605,A11))</f>
        <v>0</v>
      </c>
      <c r="I11" s="73" t="str">
        <f aca="false">IF(OR(A11="",H11=0),"",_xlfn.MINIFS('Kit Lists'!$I$6:$I$605,'Kit Lists'!$A$6:$A$605,A11))</f>
        <v/>
      </c>
      <c r="J11" s="73" t="str">
        <f aca="false">IF(I11="","",I11*E11)</f>
        <v/>
      </c>
      <c r="K11" s="73" t="n">
        <f aca="false">IF(A11="","",SUMIFS('Weekly Plan'!$D$6:$D$1505,'Weekly Plan'!$A$6:$A$1505,A11,'Weekly Plan'!$E$6:$E$1505,"&lt;="&amp;(Dashboard!$Q$3+7*N(Q11))))</f>
        <v>0</v>
      </c>
      <c r="L11" s="73" t="str">
        <f aca="false">IF(I11="","",I11-K11)</f>
        <v/>
      </c>
      <c r="M11" s="73" t="n">
        <f aca="false">IF(A11="","",SUMIFS('Weekly Plan'!$D$6:$D$1505,'Weekly Plan'!$A$6:$A$1505,A11))</f>
        <v>10</v>
      </c>
      <c r="N11" s="74" t="str">
        <f aca="false">IF(OR(I11="",N(F11)=0),"",I11/F11)</f>
        <v/>
      </c>
      <c r="O11" s="75" t="str">
        <f aca="false">IF(A11="","",IF(H11=0,"NO KIT LIST",IF(I11&gt;=F11,"COMPLETE",IF(L11&gt;0,"AHEAD +"&amp;L11,IF(L11=0,"ON PLAN","BEHIND "&amp;L11)))))</f>
        <v>NO KIT LIST</v>
      </c>
      <c r="P11" s="76" t="str">
        <f aca="false">IF(A11="","",IF(COUNTIF('Release Log'!$B$6:$B$4005,A11)=0,"–",_xlfn.MAXIFS('Release Log'!$A$6:$A$4005,'Release Log'!$B$6:$B$4005,A11)))</f>
        <v>–</v>
      </c>
      <c r="Q11" s="72" t="n">
        <v>2</v>
      </c>
    </row>
    <row r="12" customFormat="false" ht="15" hidden="false" customHeight="false" outlineLevel="0" collapsed="false">
      <c r="A12" s="70" t="s">
        <v>3</v>
      </c>
      <c r="B12" s="71" t="s">
        <v>75</v>
      </c>
      <c r="C12" s="71" t="s">
        <v>83</v>
      </c>
      <c r="D12" s="72" t="n">
        <v>12</v>
      </c>
      <c r="E12" s="72" t="n">
        <v>12</v>
      </c>
      <c r="F12" s="72" t="n">
        <v>109</v>
      </c>
      <c r="G12" s="71"/>
      <c r="H12" s="73" t="n">
        <f aca="false">IF(A12="","",COUNTIF('Kit Lists'!$A$6:$A$605,A12))</f>
        <v>14</v>
      </c>
      <c r="I12" s="73" t="n">
        <f aca="false">IF(OR(A12="",H12=0),"",_xlfn.MINIFS('Kit Lists'!$I$6:$I$605,'Kit Lists'!$A$6:$A$605,A12))</f>
        <v>13</v>
      </c>
      <c r="J12" s="73" t="n">
        <f aca="false">IF(I12="","",I12*E12)</f>
        <v>156</v>
      </c>
      <c r="K12" s="73" t="n">
        <f aca="false">IF(A12="","",SUMIFS('Weekly Plan'!$D$6:$D$1505,'Weekly Plan'!$A$6:$A$1505,A12,'Weekly Plan'!$E$6:$E$1505,"&lt;="&amp;(Dashboard!$Q$3+7*N(Q12))))</f>
        <v>31</v>
      </c>
      <c r="L12" s="73" t="n">
        <f aca="false">IF(I12="","",I12-K12)</f>
        <v>-18</v>
      </c>
      <c r="M12" s="73" t="n">
        <f aca="false">IF(A12="","",SUMIFS('Weekly Plan'!$D$6:$D$1505,'Weekly Plan'!$A$6:$A$1505,A12))</f>
        <v>126</v>
      </c>
      <c r="N12" s="74" t="n">
        <f aca="false">IF(OR(I12="",N(F12)=0),"",I12/F12)</f>
        <v>0.119266055045872</v>
      </c>
      <c r="O12" s="75" t="str">
        <f aca="false">IF(A12="","",IF(H12=0,"NO KIT LIST",IF(I12&gt;=F12,"COMPLETE",IF(L12&gt;0,"AHEAD +"&amp;L12,IF(L12=0,"ON PLAN","BEHIND "&amp;L12)))))</f>
        <v>BEHIND -18</v>
      </c>
      <c r="P12" s="76" t="n">
        <f aca="false">IF(A12="","",IF(COUNTIF('Release Log'!$B$6:$B$4005,A12)=0,"–",_xlfn.MAXIFS('Release Log'!$A$6:$A$4005,'Release Log'!$B$6:$B$4005,A12)))</f>
        <v>46297</v>
      </c>
      <c r="Q12" s="72" t="n">
        <v>2</v>
      </c>
    </row>
    <row r="13" customFormat="false" ht="15" hidden="false" customHeight="false" outlineLevel="0" collapsed="false">
      <c r="A13" s="70" t="s">
        <v>84</v>
      </c>
      <c r="B13" s="71" t="s">
        <v>75</v>
      </c>
      <c r="C13" s="71" t="s">
        <v>85</v>
      </c>
      <c r="D13" s="72" t="n">
        <v>12</v>
      </c>
      <c r="E13" s="72" t="n">
        <v>12</v>
      </c>
      <c r="F13" s="72" t="n">
        <v>5</v>
      </c>
      <c r="G13" s="71"/>
      <c r="H13" s="73" t="n">
        <f aca="false">IF(A13="","",COUNTIF('Kit Lists'!$A$6:$A$605,A13))</f>
        <v>0</v>
      </c>
      <c r="I13" s="73" t="str">
        <f aca="false">IF(OR(A13="",H13=0),"",_xlfn.MINIFS('Kit Lists'!$I$6:$I$605,'Kit Lists'!$A$6:$A$605,A13))</f>
        <v/>
      </c>
      <c r="J13" s="73" t="str">
        <f aca="false">IF(I13="","",I13*E13)</f>
        <v/>
      </c>
      <c r="K13" s="73" t="n">
        <f aca="false">IF(A13="","",SUMIFS('Weekly Plan'!$D$6:$D$1505,'Weekly Plan'!$A$6:$A$1505,A13,'Weekly Plan'!$E$6:$E$1505,"&lt;="&amp;(Dashboard!$Q$3+7*N(Q13))))</f>
        <v>0</v>
      </c>
      <c r="L13" s="73" t="str">
        <f aca="false">IF(I13="","",I13-K13)</f>
        <v/>
      </c>
      <c r="M13" s="73" t="n">
        <f aca="false">IF(A13="","",SUMIFS('Weekly Plan'!$D$6:$D$1505,'Weekly Plan'!$A$6:$A$1505,A13))</f>
        <v>5</v>
      </c>
      <c r="N13" s="74" t="str">
        <f aca="false">IF(OR(I13="",N(F13)=0),"",I13/F13)</f>
        <v/>
      </c>
      <c r="O13" s="75" t="str">
        <f aca="false">IF(A13="","",IF(H13=0,"NO KIT LIST",IF(I13&gt;=F13,"COMPLETE",IF(L13&gt;0,"AHEAD +"&amp;L13,IF(L13=0,"ON PLAN","BEHIND "&amp;L13)))))</f>
        <v>NO KIT LIST</v>
      </c>
      <c r="P13" s="76" t="str">
        <f aca="false">IF(A13="","",IF(COUNTIF('Release Log'!$B$6:$B$4005,A13)=0,"–",_xlfn.MAXIFS('Release Log'!$A$6:$A$4005,'Release Log'!$B$6:$B$4005,A13)))</f>
        <v>–</v>
      </c>
      <c r="Q13" s="72" t="n">
        <v>2</v>
      </c>
    </row>
    <row r="14" customFormat="false" ht="15" hidden="false" customHeight="false" outlineLevel="0" collapsed="false">
      <c r="A14" s="70" t="s">
        <v>86</v>
      </c>
      <c r="B14" s="71" t="s">
        <v>75</v>
      </c>
      <c r="C14" s="71" t="s">
        <v>87</v>
      </c>
      <c r="D14" s="72" t="n">
        <v>16</v>
      </c>
      <c r="E14" s="72" t="n">
        <v>16</v>
      </c>
      <c r="F14" s="72" t="n">
        <v>9</v>
      </c>
      <c r="G14" s="71"/>
      <c r="H14" s="73" t="n">
        <f aca="false">IF(A14="","",COUNTIF('Kit Lists'!$A$6:$A$605,A14))</f>
        <v>0</v>
      </c>
      <c r="I14" s="73" t="str">
        <f aca="false">IF(OR(A14="",H14=0),"",_xlfn.MINIFS('Kit Lists'!$I$6:$I$605,'Kit Lists'!$A$6:$A$605,A14))</f>
        <v/>
      </c>
      <c r="J14" s="73" t="str">
        <f aca="false">IF(I14="","",I14*E14)</f>
        <v/>
      </c>
      <c r="K14" s="73" t="n">
        <f aca="false">IF(A14="","",SUMIFS('Weekly Plan'!$D$6:$D$1505,'Weekly Plan'!$A$6:$A$1505,A14,'Weekly Plan'!$E$6:$E$1505,"&lt;="&amp;(Dashboard!$Q$3+7*N(Q14))))</f>
        <v>0</v>
      </c>
      <c r="L14" s="73" t="str">
        <f aca="false">IF(I14="","",I14-K14)</f>
        <v/>
      </c>
      <c r="M14" s="73" t="n">
        <f aca="false">IF(A14="","",SUMIFS('Weekly Plan'!$D$6:$D$1505,'Weekly Plan'!$A$6:$A$1505,A14))</f>
        <v>9</v>
      </c>
      <c r="N14" s="74" t="str">
        <f aca="false">IF(OR(I14="",N(F14)=0),"",I14/F14)</f>
        <v/>
      </c>
      <c r="O14" s="75" t="str">
        <f aca="false">IF(A14="","",IF(H14=0,"NO KIT LIST",IF(I14&gt;=F14,"COMPLETE",IF(L14&gt;0,"AHEAD +"&amp;L14,IF(L14=0,"ON PLAN","BEHIND "&amp;L14)))))</f>
        <v>NO KIT LIST</v>
      </c>
      <c r="P14" s="76" t="str">
        <f aca="false">IF(A14="","",IF(COUNTIF('Release Log'!$B$6:$B$4005,A14)=0,"–",_xlfn.MAXIFS('Release Log'!$A$6:$A$4005,'Release Log'!$B$6:$B$4005,A14)))</f>
        <v>–</v>
      </c>
      <c r="Q14" s="72" t="n">
        <v>2</v>
      </c>
    </row>
    <row r="15" customFormat="false" ht="15" hidden="false" customHeight="false" outlineLevel="0" collapsed="false">
      <c r="A15" s="70" t="s">
        <v>88</v>
      </c>
      <c r="B15" s="71" t="s">
        <v>89</v>
      </c>
      <c r="C15" s="71" t="s">
        <v>90</v>
      </c>
      <c r="D15" s="72" t="n">
        <v>8</v>
      </c>
      <c r="E15" s="72" t="n">
        <v>8</v>
      </c>
      <c r="F15" s="72" t="n">
        <v>10</v>
      </c>
      <c r="G15" s="71" t="s">
        <v>91</v>
      </c>
      <c r="H15" s="73" t="n">
        <f aca="false">IF(A15="","",COUNTIF('Kit Lists'!$A$6:$A$605,A15))</f>
        <v>0</v>
      </c>
      <c r="I15" s="73" t="str">
        <f aca="false">IF(OR(A15="",H15=0),"",_xlfn.MINIFS('Kit Lists'!$I$6:$I$605,'Kit Lists'!$A$6:$A$605,A15))</f>
        <v/>
      </c>
      <c r="J15" s="73" t="str">
        <f aca="false">IF(I15="","",I15*E15)</f>
        <v/>
      </c>
      <c r="K15" s="73" t="n">
        <f aca="false">IF(A15="","",SUMIFS('Weekly Plan'!$D$6:$D$1505,'Weekly Plan'!$A$6:$A$1505,A15,'Weekly Plan'!$E$6:$E$1505,"&lt;="&amp;(Dashboard!$Q$3+7*N(Q15))))</f>
        <v>0</v>
      </c>
      <c r="L15" s="73" t="str">
        <f aca="false">IF(I15="","",I15-K15)</f>
        <v/>
      </c>
      <c r="M15" s="73" t="n">
        <f aca="false">IF(A15="","",SUMIFS('Weekly Plan'!$D$6:$D$1505,'Weekly Plan'!$A$6:$A$1505,A15))</f>
        <v>10</v>
      </c>
      <c r="N15" s="74" t="str">
        <f aca="false">IF(OR(I15="",N(F15)=0),"",I15/F15)</f>
        <v/>
      </c>
      <c r="O15" s="75" t="str">
        <f aca="false">IF(A15="","",IF(H15=0,"NO KIT LIST",IF(I15&gt;=F15,"COMPLETE",IF(L15&gt;0,"AHEAD +"&amp;L15,IF(L15=0,"ON PLAN","BEHIND "&amp;L15)))))</f>
        <v>NO KIT LIST</v>
      </c>
      <c r="P15" s="76" t="str">
        <f aca="false">IF(A15="","",IF(COUNTIF('Release Log'!$B$6:$B$4005,A15)=0,"–",_xlfn.MAXIFS('Release Log'!$A$6:$A$4005,'Release Log'!$B$6:$B$4005,A15)))</f>
        <v>–</v>
      </c>
      <c r="Q15" s="72" t="n">
        <v>2</v>
      </c>
    </row>
    <row r="16" customFormat="false" ht="15" hidden="false" customHeight="false" outlineLevel="0" collapsed="false">
      <c r="A16" s="70" t="s">
        <v>92</v>
      </c>
      <c r="B16" s="71" t="s">
        <v>89</v>
      </c>
      <c r="C16" s="71" t="s">
        <v>90</v>
      </c>
      <c r="D16" s="72" t="n">
        <v>24</v>
      </c>
      <c r="E16" s="72" t="n">
        <v>24</v>
      </c>
      <c r="F16" s="72" t="n">
        <v>46</v>
      </c>
      <c r="G16" s="71" t="s">
        <v>91</v>
      </c>
      <c r="H16" s="73" t="n">
        <f aca="false">IF(A16="","",COUNTIF('Kit Lists'!$A$6:$A$605,A16))</f>
        <v>0</v>
      </c>
      <c r="I16" s="73" t="str">
        <f aca="false">IF(OR(A16="",H16=0),"",_xlfn.MINIFS('Kit Lists'!$I$6:$I$605,'Kit Lists'!$A$6:$A$605,A16))</f>
        <v/>
      </c>
      <c r="J16" s="73" t="str">
        <f aca="false">IF(I16="","",I16*E16)</f>
        <v/>
      </c>
      <c r="K16" s="73" t="n">
        <f aca="false">IF(A16="","",SUMIFS('Weekly Plan'!$D$6:$D$1505,'Weekly Plan'!$A$6:$A$1505,A16,'Weekly Plan'!$E$6:$E$1505,"&lt;="&amp;(Dashboard!$Q$3+7*N(Q16))))</f>
        <v>0</v>
      </c>
      <c r="L16" s="73" t="str">
        <f aca="false">IF(I16="","",I16-K16)</f>
        <v/>
      </c>
      <c r="M16" s="73" t="n">
        <f aca="false">IF(A16="","",SUMIFS('Weekly Plan'!$D$6:$D$1505,'Weekly Plan'!$A$6:$A$1505,A16))</f>
        <v>46</v>
      </c>
      <c r="N16" s="74" t="str">
        <f aca="false">IF(OR(I16="",N(F16)=0),"",I16/F16)</f>
        <v/>
      </c>
      <c r="O16" s="75" t="str">
        <f aca="false">IF(A16="","",IF(H16=0,"NO KIT LIST",IF(I16&gt;=F16,"COMPLETE",IF(L16&gt;0,"AHEAD +"&amp;L16,IF(L16=0,"ON PLAN","BEHIND "&amp;L16)))))</f>
        <v>NO KIT LIST</v>
      </c>
      <c r="P16" s="76" t="str">
        <f aca="false">IF(A16="","",IF(COUNTIF('Release Log'!$B$6:$B$4005,A16)=0,"–",_xlfn.MAXIFS('Release Log'!$A$6:$A$4005,'Release Log'!$B$6:$B$4005,A16)))</f>
        <v>–</v>
      </c>
      <c r="Q16" s="72" t="n">
        <v>2</v>
      </c>
    </row>
    <row r="17" customFormat="false" ht="23.85" hidden="false" customHeight="false" outlineLevel="0" collapsed="false">
      <c r="A17" s="70" t="s">
        <v>93</v>
      </c>
      <c r="B17" s="71" t="s">
        <v>94</v>
      </c>
      <c r="C17" s="71" t="s">
        <v>90</v>
      </c>
      <c r="D17" s="72" t="n">
        <v>16</v>
      </c>
      <c r="E17" s="72" t="n">
        <v>16</v>
      </c>
      <c r="F17" s="72" t="n">
        <v>31</v>
      </c>
      <c r="G17" s="71" t="s">
        <v>91</v>
      </c>
      <c r="H17" s="73" t="n">
        <f aca="false">IF(A17="","",COUNTIF('Kit Lists'!$A$6:$A$605,A17))</f>
        <v>0</v>
      </c>
      <c r="I17" s="73" t="str">
        <f aca="false">IF(OR(A17="",H17=0),"",_xlfn.MINIFS('Kit Lists'!$I$6:$I$605,'Kit Lists'!$A$6:$A$605,A17))</f>
        <v/>
      </c>
      <c r="J17" s="73" t="str">
        <f aca="false">IF(I17="","",I17*E17)</f>
        <v/>
      </c>
      <c r="K17" s="73" t="n">
        <f aca="false">IF(A17="","",SUMIFS('Weekly Plan'!$D$6:$D$1505,'Weekly Plan'!$A$6:$A$1505,A17,'Weekly Plan'!$E$6:$E$1505,"&lt;="&amp;(Dashboard!$Q$3+7*N(Q17))))</f>
        <v>0</v>
      </c>
      <c r="L17" s="73" t="str">
        <f aca="false">IF(I17="","",I17-K17)</f>
        <v/>
      </c>
      <c r="M17" s="73" t="n">
        <f aca="false">IF(A17="","",SUMIFS('Weekly Plan'!$D$6:$D$1505,'Weekly Plan'!$A$6:$A$1505,A17))</f>
        <v>31</v>
      </c>
      <c r="N17" s="74" t="str">
        <f aca="false">IF(OR(I17="",N(F17)=0),"",I17/F17)</f>
        <v/>
      </c>
      <c r="O17" s="75" t="str">
        <f aca="false">IF(A17="","",IF(H17=0,"NO KIT LIST",IF(I17&gt;=F17,"COMPLETE",IF(L17&gt;0,"AHEAD +"&amp;L17,IF(L17=0,"ON PLAN","BEHIND "&amp;L17)))))</f>
        <v>NO KIT LIST</v>
      </c>
      <c r="P17" s="76" t="str">
        <f aca="false">IF(A17="","",IF(COUNTIF('Release Log'!$B$6:$B$4005,A17)=0,"–",_xlfn.MAXIFS('Release Log'!$A$6:$A$4005,'Release Log'!$B$6:$B$4005,A17)))</f>
        <v>–</v>
      </c>
      <c r="Q17" s="72" t="n">
        <v>2</v>
      </c>
    </row>
    <row r="18" customFormat="false" ht="15" hidden="false" customHeight="false" outlineLevel="0" collapsed="false">
      <c r="A18" s="70"/>
      <c r="B18" s="71"/>
      <c r="C18" s="71"/>
      <c r="D18" s="72"/>
      <c r="E18" s="72"/>
      <c r="F18" s="72"/>
      <c r="G18" s="71"/>
      <c r="H18" s="73" t="str">
        <f aca="false">IF(A18="","",COUNTIF('Kit Lists'!$A$6:$A$605,A18))</f>
        <v/>
      </c>
      <c r="I18" s="73" t="str">
        <f aca="false">IF(OR(A18="",H18=0),"",_xlfn.MINIFS('Kit Lists'!$I$6:$I$605,'Kit Lists'!$A$6:$A$605,A18))</f>
        <v/>
      </c>
      <c r="J18" s="73" t="str">
        <f aca="false">IF(I18="","",I18*E18)</f>
        <v/>
      </c>
      <c r="K18" s="73" t="str">
        <f aca="false">IF(A18="","",SUMIFS('Weekly Plan'!$D$6:$D$1505,'Weekly Plan'!$A$6:$A$1505,A18,'Weekly Plan'!$E$6:$E$1505,"&lt;="&amp;(Dashboard!$Q$3+7*N(Q18))))</f>
        <v/>
      </c>
      <c r="L18" s="73" t="str">
        <f aca="false">IF(I18="","",I18-K18)</f>
        <v/>
      </c>
      <c r="M18" s="73" t="str">
        <f aca="false">IF(A18="","",SUMIFS('Weekly Plan'!$D$6:$D$1505,'Weekly Plan'!$A$6:$A$1505,A18))</f>
        <v/>
      </c>
      <c r="N18" s="74" t="str">
        <f aca="false">IF(OR(I18="",N(F18)=0),"",I18/F18)</f>
        <v/>
      </c>
      <c r="O18" s="75" t="str">
        <f aca="false">IF(A18="","",IF(H18=0,"NO KIT LIST",IF(I18&gt;=F18,"COMPLETE",IF(L18&gt;0,"AHEAD +"&amp;L18,IF(L18=0,"ON PLAN","BEHIND "&amp;L18)))))</f>
        <v/>
      </c>
      <c r="P18" s="76" t="str">
        <f aca="false">IF(A18="","",IF(COUNTIF('Release Log'!$B$6:$B$4005,A18)=0,"–",_xlfn.MAXIFS('Release Log'!$A$6:$A$4005,'Release Log'!$B$6:$B$4005,A18)))</f>
        <v/>
      </c>
      <c r="Q18" s="72"/>
    </row>
    <row r="19" customFormat="false" ht="15" hidden="false" customHeight="false" outlineLevel="0" collapsed="false">
      <c r="A19" s="70"/>
      <c r="B19" s="71"/>
      <c r="C19" s="71"/>
      <c r="D19" s="72"/>
      <c r="E19" s="72"/>
      <c r="F19" s="72"/>
      <c r="G19" s="71"/>
      <c r="H19" s="73" t="str">
        <f aca="false">IF(A19="","",COUNTIF('Kit Lists'!$A$6:$A$605,A19))</f>
        <v/>
      </c>
      <c r="I19" s="73" t="str">
        <f aca="false">IF(OR(A19="",H19=0),"",_xlfn.MINIFS('Kit Lists'!$I$6:$I$605,'Kit Lists'!$A$6:$A$605,A19))</f>
        <v/>
      </c>
      <c r="J19" s="73" t="str">
        <f aca="false">IF(I19="","",I19*E19)</f>
        <v/>
      </c>
      <c r="K19" s="73" t="str">
        <f aca="false">IF(A19="","",SUMIFS('Weekly Plan'!$D$6:$D$1505,'Weekly Plan'!$A$6:$A$1505,A19,'Weekly Plan'!$E$6:$E$1505,"&lt;="&amp;(Dashboard!$Q$3+7*N(Q19))))</f>
        <v/>
      </c>
      <c r="L19" s="73" t="str">
        <f aca="false">IF(I19="","",I19-K19)</f>
        <v/>
      </c>
      <c r="M19" s="73" t="str">
        <f aca="false">IF(A19="","",SUMIFS('Weekly Plan'!$D$6:$D$1505,'Weekly Plan'!$A$6:$A$1505,A19))</f>
        <v/>
      </c>
      <c r="N19" s="74" t="str">
        <f aca="false">IF(OR(I19="",N(F19)=0),"",I19/F19)</f>
        <v/>
      </c>
      <c r="O19" s="75" t="str">
        <f aca="false">IF(A19="","",IF(H19=0,"NO KIT LIST",IF(I19&gt;=F19,"COMPLETE",IF(L19&gt;0,"AHEAD +"&amp;L19,IF(L19=0,"ON PLAN","BEHIND "&amp;L19)))))</f>
        <v/>
      </c>
      <c r="P19" s="76" t="str">
        <f aca="false">IF(A19="","",IF(COUNTIF('Release Log'!$B$6:$B$4005,A19)=0,"–",_xlfn.MAXIFS('Release Log'!$A$6:$A$4005,'Release Log'!$B$6:$B$4005,A19)))</f>
        <v/>
      </c>
      <c r="Q19" s="72"/>
    </row>
    <row r="20" customFormat="false" ht="15" hidden="false" customHeight="false" outlineLevel="0" collapsed="false">
      <c r="A20" s="70"/>
      <c r="B20" s="71"/>
      <c r="C20" s="71"/>
      <c r="D20" s="72"/>
      <c r="E20" s="72"/>
      <c r="F20" s="72"/>
      <c r="G20" s="71"/>
      <c r="H20" s="73" t="str">
        <f aca="false">IF(A20="","",COUNTIF('Kit Lists'!$A$6:$A$605,A20))</f>
        <v/>
      </c>
      <c r="I20" s="73" t="str">
        <f aca="false">IF(OR(A20="",H20=0),"",_xlfn.MINIFS('Kit Lists'!$I$6:$I$605,'Kit Lists'!$A$6:$A$605,A20))</f>
        <v/>
      </c>
      <c r="J20" s="73" t="str">
        <f aca="false">IF(I20="","",I20*E20)</f>
        <v/>
      </c>
      <c r="K20" s="73" t="str">
        <f aca="false">IF(A20="","",SUMIFS('Weekly Plan'!$D$6:$D$1505,'Weekly Plan'!$A$6:$A$1505,A20,'Weekly Plan'!$E$6:$E$1505,"&lt;="&amp;(Dashboard!$Q$3+7*N(Q20))))</f>
        <v/>
      </c>
      <c r="L20" s="73" t="str">
        <f aca="false">IF(I20="","",I20-K20)</f>
        <v/>
      </c>
      <c r="M20" s="73" t="str">
        <f aca="false">IF(A20="","",SUMIFS('Weekly Plan'!$D$6:$D$1505,'Weekly Plan'!$A$6:$A$1505,A20))</f>
        <v/>
      </c>
      <c r="N20" s="74" t="str">
        <f aca="false">IF(OR(I20="",N(F20)=0),"",I20/F20)</f>
        <v/>
      </c>
      <c r="O20" s="75" t="str">
        <f aca="false">IF(A20="","",IF(H20=0,"NO KIT LIST",IF(I20&gt;=F20,"COMPLETE",IF(L20&gt;0,"AHEAD +"&amp;L20,IF(L20=0,"ON PLAN","BEHIND "&amp;L20)))))</f>
        <v/>
      </c>
      <c r="P20" s="76" t="str">
        <f aca="false">IF(A20="","",IF(COUNTIF('Release Log'!$B$6:$B$4005,A20)=0,"–",_xlfn.MAXIFS('Release Log'!$A$6:$A$4005,'Release Log'!$B$6:$B$4005,A20)))</f>
        <v/>
      </c>
      <c r="Q20" s="72"/>
    </row>
    <row r="21" customFormat="false" ht="15" hidden="false" customHeight="false" outlineLevel="0" collapsed="false">
      <c r="A21" s="70"/>
      <c r="B21" s="71"/>
      <c r="C21" s="71"/>
      <c r="D21" s="72"/>
      <c r="E21" s="72"/>
      <c r="F21" s="72"/>
      <c r="G21" s="71"/>
      <c r="H21" s="73" t="str">
        <f aca="false">IF(A21="","",COUNTIF('Kit Lists'!$A$6:$A$605,A21))</f>
        <v/>
      </c>
      <c r="I21" s="73" t="str">
        <f aca="false">IF(OR(A21="",H21=0),"",_xlfn.MINIFS('Kit Lists'!$I$6:$I$605,'Kit Lists'!$A$6:$A$605,A21))</f>
        <v/>
      </c>
      <c r="J21" s="73" t="str">
        <f aca="false">IF(I21="","",I21*E21)</f>
        <v/>
      </c>
      <c r="K21" s="73" t="str">
        <f aca="false">IF(A21="","",SUMIFS('Weekly Plan'!$D$6:$D$1505,'Weekly Plan'!$A$6:$A$1505,A21,'Weekly Plan'!$E$6:$E$1505,"&lt;="&amp;(Dashboard!$Q$3+7*N(Q21))))</f>
        <v/>
      </c>
      <c r="L21" s="73" t="str">
        <f aca="false">IF(I21="","",I21-K21)</f>
        <v/>
      </c>
      <c r="M21" s="73" t="str">
        <f aca="false">IF(A21="","",SUMIFS('Weekly Plan'!$D$6:$D$1505,'Weekly Plan'!$A$6:$A$1505,A21))</f>
        <v/>
      </c>
      <c r="N21" s="74" t="str">
        <f aca="false">IF(OR(I21="",N(F21)=0),"",I21/F21)</f>
        <v/>
      </c>
      <c r="O21" s="75" t="str">
        <f aca="false">IF(A21="","",IF(H21=0,"NO KIT LIST",IF(I21&gt;=F21,"COMPLETE",IF(L21&gt;0,"AHEAD +"&amp;L21,IF(L21=0,"ON PLAN","BEHIND "&amp;L21)))))</f>
        <v/>
      </c>
      <c r="P21" s="76" t="str">
        <f aca="false">IF(A21="","",IF(COUNTIF('Release Log'!$B$6:$B$4005,A21)=0,"–",_xlfn.MAXIFS('Release Log'!$A$6:$A$4005,'Release Log'!$B$6:$B$4005,A21)))</f>
        <v/>
      </c>
      <c r="Q21" s="72"/>
    </row>
    <row r="22" customFormat="false" ht="15" hidden="false" customHeight="false" outlineLevel="0" collapsed="false">
      <c r="A22" s="70"/>
      <c r="B22" s="71"/>
      <c r="C22" s="71"/>
      <c r="D22" s="72"/>
      <c r="E22" s="72"/>
      <c r="F22" s="72"/>
      <c r="G22" s="71"/>
      <c r="H22" s="73" t="str">
        <f aca="false">IF(A22="","",COUNTIF('Kit Lists'!$A$6:$A$605,A22))</f>
        <v/>
      </c>
      <c r="I22" s="73" t="str">
        <f aca="false">IF(OR(A22="",H22=0),"",_xlfn.MINIFS('Kit Lists'!$I$6:$I$605,'Kit Lists'!$A$6:$A$605,A22))</f>
        <v/>
      </c>
      <c r="J22" s="73" t="str">
        <f aca="false">IF(I22="","",I22*E22)</f>
        <v/>
      </c>
      <c r="K22" s="73" t="str">
        <f aca="false">IF(A22="","",SUMIFS('Weekly Plan'!$D$6:$D$1505,'Weekly Plan'!$A$6:$A$1505,A22,'Weekly Plan'!$E$6:$E$1505,"&lt;="&amp;(Dashboard!$Q$3+7*N(Q22))))</f>
        <v/>
      </c>
      <c r="L22" s="73" t="str">
        <f aca="false">IF(I22="","",I22-K22)</f>
        <v/>
      </c>
      <c r="M22" s="73" t="str">
        <f aca="false">IF(A22="","",SUMIFS('Weekly Plan'!$D$6:$D$1505,'Weekly Plan'!$A$6:$A$1505,A22))</f>
        <v/>
      </c>
      <c r="N22" s="74" t="str">
        <f aca="false">IF(OR(I22="",N(F22)=0),"",I22/F22)</f>
        <v/>
      </c>
      <c r="O22" s="75" t="str">
        <f aca="false">IF(A22="","",IF(H22=0,"NO KIT LIST",IF(I22&gt;=F22,"COMPLETE",IF(L22&gt;0,"AHEAD +"&amp;L22,IF(L22=0,"ON PLAN","BEHIND "&amp;L22)))))</f>
        <v/>
      </c>
      <c r="P22" s="76" t="str">
        <f aca="false">IF(A22="","",IF(COUNTIF('Release Log'!$B$6:$B$4005,A22)=0,"–",_xlfn.MAXIFS('Release Log'!$A$6:$A$4005,'Release Log'!$B$6:$B$4005,A22)))</f>
        <v/>
      </c>
      <c r="Q22" s="72"/>
    </row>
    <row r="23" customFormat="false" ht="15" hidden="false" customHeight="false" outlineLevel="0" collapsed="false">
      <c r="A23" s="70"/>
      <c r="B23" s="71"/>
      <c r="C23" s="71"/>
      <c r="D23" s="72"/>
      <c r="E23" s="72"/>
      <c r="F23" s="72"/>
      <c r="G23" s="71"/>
      <c r="H23" s="73" t="str">
        <f aca="false">IF(A23="","",COUNTIF('Kit Lists'!$A$6:$A$605,A23))</f>
        <v/>
      </c>
      <c r="I23" s="73" t="str">
        <f aca="false">IF(OR(A23="",H23=0),"",_xlfn.MINIFS('Kit Lists'!$I$6:$I$605,'Kit Lists'!$A$6:$A$605,A23))</f>
        <v/>
      </c>
      <c r="J23" s="73" t="str">
        <f aca="false">IF(I23="","",I23*E23)</f>
        <v/>
      </c>
      <c r="K23" s="73" t="str">
        <f aca="false">IF(A23="","",SUMIFS('Weekly Plan'!$D$6:$D$1505,'Weekly Plan'!$A$6:$A$1505,A23,'Weekly Plan'!$E$6:$E$1505,"&lt;="&amp;(Dashboard!$Q$3+7*N(Q23))))</f>
        <v/>
      </c>
      <c r="L23" s="73" t="str">
        <f aca="false">IF(I23="","",I23-K23)</f>
        <v/>
      </c>
      <c r="M23" s="73" t="str">
        <f aca="false">IF(A23="","",SUMIFS('Weekly Plan'!$D$6:$D$1505,'Weekly Plan'!$A$6:$A$1505,A23))</f>
        <v/>
      </c>
      <c r="N23" s="74" t="str">
        <f aca="false">IF(OR(I23="",N(F23)=0),"",I23/F23)</f>
        <v/>
      </c>
      <c r="O23" s="75" t="str">
        <f aca="false">IF(A23="","",IF(H23=0,"NO KIT LIST",IF(I23&gt;=F23,"COMPLETE",IF(L23&gt;0,"AHEAD +"&amp;L23,IF(L23=0,"ON PLAN","BEHIND "&amp;L23)))))</f>
        <v/>
      </c>
      <c r="P23" s="76" t="str">
        <f aca="false">IF(A23="","",IF(COUNTIF('Release Log'!$B$6:$B$4005,A23)=0,"–",_xlfn.MAXIFS('Release Log'!$A$6:$A$4005,'Release Log'!$B$6:$B$4005,A23)))</f>
        <v/>
      </c>
      <c r="Q23" s="72"/>
    </row>
    <row r="24" customFormat="false" ht="15" hidden="false" customHeight="false" outlineLevel="0" collapsed="false">
      <c r="A24" s="70"/>
      <c r="B24" s="71"/>
      <c r="C24" s="71"/>
      <c r="D24" s="72"/>
      <c r="E24" s="72"/>
      <c r="F24" s="72"/>
      <c r="G24" s="71"/>
      <c r="H24" s="73" t="str">
        <f aca="false">IF(A24="","",COUNTIF('Kit Lists'!$A$6:$A$605,A24))</f>
        <v/>
      </c>
      <c r="I24" s="73" t="str">
        <f aca="false">IF(OR(A24="",H24=0),"",_xlfn.MINIFS('Kit Lists'!$I$6:$I$605,'Kit Lists'!$A$6:$A$605,A24))</f>
        <v/>
      </c>
      <c r="J24" s="73" t="str">
        <f aca="false">IF(I24="","",I24*E24)</f>
        <v/>
      </c>
      <c r="K24" s="73" t="str">
        <f aca="false">IF(A24="","",SUMIFS('Weekly Plan'!$D$6:$D$1505,'Weekly Plan'!$A$6:$A$1505,A24,'Weekly Plan'!$E$6:$E$1505,"&lt;="&amp;(Dashboard!$Q$3+7*N(Q24))))</f>
        <v/>
      </c>
      <c r="L24" s="73" t="str">
        <f aca="false">IF(I24="","",I24-K24)</f>
        <v/>
      </c>
      <c r="M24" s="73" t="str">
        <f aca="false">IF(A24="","",SUMIFS('Weekly Plan'!$D$6:$D$1505,'Weekly Plan'!$A$6:$A$1505,A24))</f>
        <v/>
      </c>
      <c r="N24" s="74" t="str">
        <f aca="false">IF(OR(I24="",N(F24)=0),"",I24/F24)</f>
        <v/>
      </c>
      <c r="O24" s="75" t="str">
        <f aca="false">IF(A24="","",IF(H24=0,"NO KIT LIST",IF(I24&gt;=F24,"COMPLETE",IF(L24&gt;0,"AHEAD +"&amp;L24,IF(L24=0,"ON PLAN","BEHIND "&amp;L24)))))</f>
        <v/>
      </c>
      <c r="P24" s="76" t="str">
        <f aca="false">IF(A24="","",IF(COUNTIF('Release Log'!$B$6:$B$4005,A24)=0,"–",_xlfn.MAXIFS('Release Log'!$A$6:$A$4005,'Release Log'!$B$6:$B$4005,A24)))</f>
        <v/>
      </c>
      <c r="Q24" s="72"/>
    </row>
    <row r="25" customFormat="false" ht="15" hidden="false" customHeight="false" outlineLevel="0" collapsed="false">
      <c r="A25" s="70"/>
      <c r="B25" s="71"/>
      <c r="C25" s="71"/>
      <c r="D25" s="72"/>
      <c r="E25" s="72"/>
      <c r="F25" s="72"/>
      <c r="G25" s="71"/>
      <c r="H25" s="73" t="str">
        <f aca="false">IF(A25="","",COUNTIF('Kit Lists'!$A$6:$A$605,A25))</f>
        <v/>
      </c>
      <c r="I25" s="73" t="str">
        <f aca="false">IF(OR(A25="",H25=0),"",_xlfn.MINIFS('Kit Lists'!$I$6:$I$605,'Kit Lists'!$A$6:$A$605,A25))</f>
        <v/>
      </c>
      <c r="J25" s="73" t="str">
        <f aca="false">IF(I25="","",I25*E25)</f>
        <v/>
      </c>
      <c r="K25" s="73" t="str">
        <f aca="false">IF(A25="","",SUMIFS('Weekly Plan'!$D$6:$D$1505,'Weekly Plan'!$A$6:$A$1505,A25,'Weekly Plan'!$E$6:$E$1505,"&lt;="&amp;(Dashboard!$Q$3+7*N(Q25))))</f>
        <v/>
      </c>
      <c r="L25" s="73" t="str">
        <f aca="false">IF(I25="","",I25-K25)</f>
        <v/>
      </c>
      <c r="M25" s="73" t="str">
        <f aca="false">IF(A25="","",SUMIFS('Weekly Plan'!$D$6:$D$1505,'Weekly Plan'!$A$6:$A$1505,A25))</f>
        <v/>
      </c>
      <c r="N25" s="74" t="str">
        <f aca="false">IF(OR(I25="",N(F25)=0),"",I25/F25)</f>
        <v/>
      </c>
      <c r="O25" s="75" t="str">
        <f aca="false">IF(A25="","",IF(H25=0,"NO KIT LIST",IF(I25&gt;=F25,"COMPLETE",IF(L25&gt;0,"AHEAD +"&amp;L25,IF(L25=0,"ON PLAN","BEHIND "&amp;L25)))))</f>
        <v/>
      </c>
      <c r="P25" s="76" t="str">
        <f aca="false">IF(A25="","",IF(COUNTIF('Release Log'!$B$6:$B$4005,A25)=0,"–",_xlfn.MAXIFS('Release Log'!$A$6:$A$4005,'Release Log'!$B$6:$B$4005,A25)))</f>
        <v/>
      </c>
      <c r="Q25" s="72"/>
    </row>
    <row r="26" customFormat="false" ht="15" hidden="false" customHeight="false" outlineLevel="0" collapsed="false">
      <c r="A26" s="70"/>
      <c r="B26" s="71"/>
      <c r="C26" s="71"/>
      <c r="D26" s="72"/>
      <c r="E26" s="72"/>
      <c r="F26" s="72"/>
      <c r="G26" s="71"/>
      <c r="H26" s="73" t="str">
        <f aca="false">IF(A26="","",COUNTIF('Kit Lists'!$A$6:$A$605,A26))</f>
        <v/>
      </c>
      <c r="I26" s="73" t="str">
        <f aca="false">IF(OR(A26="",H26=0),"",_xlfn.MINIFS('Kit Lists'!$I$6:$I$605,'Kit Lists'!$A$6:$A$605,A26))</f>
        <v/>
      </c>
      <c r="J26" s="73" t="str">
        <f aca="false">IF(I26="","",I26*E26)</f>
        <v/>
      </c>
      <c r="K26" s="73" t="str">
        <f aca="false">IF(A26="","",SUMIFS('Weekly Plan'!$D$6:$D$1505,'Weekly Plan'!$A$6:$A$1505,A26,'Weekly Plan'!$E$6:$E$1505,"&lt;="&amp;(Dashboard!$Q$3+7*N(Q26))))</f>
        <v/>
      </c>
      <c r="L26" s="73" t="str">
        <f aca="false">IF(I26="","",I26-K26)</f>
        <v/>
      </c>
      <c r="M26" s="73" t="str">
        <f aca="false">IF(A26="","",SUMIFS('Weekly Plan'!$D$6:$D$1505,'Weekly Plan'!$A$6:$A$1505,A26))</f>
        <v/>
      </c>
      <c r="N26" s="74" t="str">
        <f aca="false">IF(OR(I26="",N(F26)=0),"",I26/F26)</f>
        <v/>
      </c>
      <c r="O26" s="75" t="str">
        <f aca="false">IF(A26="","",IF(H26=0,"NO KIT LIST",IF(I26&gt;=F26,"COMPLETE",IF(L26&gt;0,"AHEAD +"&amp;L26,IF(L26=0,"ON PLAN","BEHIND "&amp;L26)))))</f>
        <v/>
      </c>
      <c r="P26" s="76" t="str">
        <f aca="false">IF(A26="","",IF(COUNTIF('Release Log'!$B$6:$B$4005,A26)=0,"–",_xlfn.MAXIFS('Release Log'!$A$6:$A$4005,'Release Log'!$B$6:$B$4005,A26)))</f>
        <v/>
      </c>
      <c r="Q26" s="72"/>
    </row>
    <row r="27" customFormat="false" ht="15" hidden="false" customHeight="false" outlineLevel="0" collapsed="false">
      <c r="A27" s="70"/>
      <c r="B27" s="71"/>
      <c r="C27" s="71"/>
      <c r="D27" s="72"/>
      <c r="E27" s="72"/>
      <c r="F27" s="72"/>
      <c r="G27" s="71"/>
      <c r="H27" s="73" t="str">
        <f aca="false">IF(A27="","",COUNTIF('Kit Lists'!$A$6:$A$605,A27))</f>
        <v/>
      </c>
      <c r="I27" s="73" t="str">
        <f aca="false">IF(OR(A27="",H27=0),"",_xlfn.MINIFS('Kit Lists'!$I$6:$I$605,'Kit Lists'!$A$6:$A$605,A27))</f>
        <v/>
      </c>
      <c r="J27" s="73" t="str">
        <f aca="false">IF(I27="","",I27*E27)</f>
        <v/>
      </c>
      <c r="K27" s="73" t="str">
        <f aca="false">IF(A27="","",SUMIFS('Weekly Plan'!$D$6:$D$1505,'Weekly Plan'!$A$6:$A$1505,A27,'Weekly Plan'!$E$6:$E$1505,"&lt;="&amp;(Dashboard!$Q$3+7*N(Q27))))</f>
        <v/>
      </c>
      <c r="L27" s="73" t="str">
        <f aca="false">IF(I27="","",I27-K27)</f>
        <v/>
      </c>
      <c r="M27" s="73" t="str">
        <f aca="false">IF(A27="","",SUMIFS('Weekly Plan'!$D$6:$D$1505,'Weekly Plan'!$A$6:$A$1505,A27))</f>
        <v/>
      </c>
      <c r="N27" s="74" t="str">
        <f aca="false">IF(OR(I27="",N(F27)=0),"",I27/F27)</f>
        <v/>
      </c>
      <c r="O27" s="75" t="str">
        <f aca="false">IF(A27="","",IF(H27=0,"NO KIT LIST",IF(I27&gt;=F27,"COMPLETE",IF(L27&gt;0,"AHEAD +"&amp;L27,IF(L27=0,"ON PLAN","BEHIND "&amp;L27)))))</f>
        <v/>
      </c>
      <c r="P27" s="76" t="str">
        <f aca="false">IF(A27="","",IF(COUNTIF('Release Log'!$B$6:$B$4005,A27)=0,"–",_xlfn.MAXIFS('Release Log'!$A$6:$A$4005,'Release Log'!$B$6:$B$4005,A27)))</f>
        <v/>
      </c>
      <c r="Q27" s="72"/>
    </row>
    <row r="28" customFormat="false" ht="15" hidden="false" customHeight="false" outlineLevel="0" collapsed="false">
      <c r="A28" s="70"/>
      <c r="B28" s="71"/>
      <c r="C28" s="71"/>
      <c r="D28" s="72"/>
      <c r="E28" s="72"/>
      <c r="F28" s="72"/>
      <c r="G28" s="71"/>
      <c r="H28" s="73" t="str">
        <f aca="false">IF(A28="","",COUNTIF('Kit Lists'!$A$6:$A$605,A28))</f>
        <v/>
      </c>
      <c r="I28" s="73" t="str">
        <f aca="false">IF(OR(A28="",H28=0),"",_xlfn.MINIFS('Kit Lists'!$I$6:$I$605,'Kit Lists'!$A$6:$A$605,A28))</f>
        <v/>
      </c>
      <c r="J28" s="73" t="str">
        <f aca="false">IF(I28="","",I28*E28)</f>
        <v/>
      </c>
      <c r="K28" s="73" t="str">
        <f aca="false">IF(A28="","",SUMIFS('Weekly Plan'!$D$6:$D$1505,'Weekly Plan'!$A$6:$A$1505,A28,'Weekly Plan'!$E$6:$E$1505,"&lt;="&amp;(Dashboard!$Q$3+7*N(Q28))))</f>
        <v/>
      </c>
      <c r="L28" s="73" t="str">
        <f aca="false">IF(I28="","",I28-K28)</f>
        <v/>
      </c>
      <c r="M28" s="73" t="str">
        <f aca="false">IF(A28="","",SUMIFS('Weekly Plan'!$D$6:$D$1505,'Weekly Plan'!$A$6:$A$1505,A28))</f>
        <v/>
      </c>
      <c r="N28" s="74" t="str">
        <f aca="false">IF(OR(I28="",N(F28)=0),"",I28/F28)</f>
        <v/>
      </c>
      <c r="O28" s="75" t="str">
        <f aca="false">IF(A28="","",IF(H28=0,"NO KIT LIST",IF(I28&gt;=F28,"COMPLETE",IF(L28&gt;0,"AHEAD +"&amp;L28,IF(L28=0,"ON PLAN","BEHIND "&amp;L28)))))</f>
        <v/>
      </c>
      <c r="P28" s="76" t="str">
        <f aca="false">IF(A28="","",IF(COUNTIF('Release Log'!$B$6:$B$4005,A28)=0,"–",_xlfn.MAXIFS('Release Log'!$A$6:$A$4005,'Release Log'!$B$6:$B$4005,A28)))</f>
        <v/>
      </c>
      <c r="Q28" s="72"/>
    </row>
    <row r="29" customFormat="false" ht="15" hidden="false" customHeight="false" outlineLevel="0" collapsed="false">
      <c r="A29" s="70"/>
      <c r="B29" s="71"/>
      <c r="C29" s="71"/>
      <c r="D29" s="72"/>
      <c r="E29" s="72"/>
      <c r="F29" s="72"/>
      <c r="G29" s="71"/>
      <c r="H29" s="73" t="str">
        <f aca="false">IF(A29="","",COUNTIF('Kit Lists'!$A$6:$A$605,A29))</f>
        <v/>
      </c>
      <c r="I29" s="73" t="str">
        <f aca="false">IF(OR(A29="",H29=0),"",_xlfn.MINIFS('Kit Lists'!$I$6:$I$605,'Kit Lists'!$A$6:$A$605,A29))</f>
        <v/>
      </c>
      <c r="J29" s="73" t="str">
        <f aca="false">IF(I29="","",I29*E29)</f>
        <v/>
      </c>
      <c r="K29" s="73" t="str">
        <f aca="false">IF(A29="","",SUMIFS('Weekly Plan'!$D$6:$D$1505,'Weekly Plan'!$A$6:$A$1505,A29,'Weekly Plan'!$E$6:$E$1505,"&lt;="&amp;(Dashboard!$Q$3+7*N(Q29))))</f>
        <v/>
      </c>
      <c r="L29" s="73" t="str">
        <f aca="false">IF(I29="","",I29-K29)</f>
        <v/>
      </c>
      <c r="M29" s="73" t="str">
        <f aca="false">IF(A29="","",SUMIFS('Weekly Plan'!$D$6:$D$1505,'Weekly Plan'!$A$6:$A$1505,A29))</f>
        <v/>
      </c>
      <c r="N29" s="74" t="str">
        <f aca="false">IF(OR(I29="",N(F29)=0),"",I29/F29)</f>
        <v/>
      </c>
      <c r="O29" s="75" t="str">
        <f aca="false">IF(A29="","",IF(H29=0,"NO KIT LIST",IF(I29&gt;=F29,"COMPLETE",IF(L29&gt;0,"AHEAD +"&amp;L29,IF(L29=0,"ON PLAN","BEHIND "&amp;L29)))))</f>
        <v/>
      </c>
      <c r="P29" s="76" t="str">
        <f aca="false">IF(A29="","",IF(COUNTIF('Release Log'!$B$6:$B$4005,A29)=0,"–",_xlfn.MAXIFS('Release Log'!$A$6:$A$4005,'Release Log'!$B$6:$B$4005,A29)))</f>
        <v/>
      </c>
      <c r="Q29" s="72"/>
    </row>
    <row r="30" customFormat="false" ht="15" hidden="false" customHeight="false" outlineLevel="0" collapsed="false">
      <c r="A30" s="70"/>
      <c r="B30" s="71"/>
      <c r="C30" s="71"/>
      <c r="D30" s="72"/>
      <c r="E30" s="72"/>
      <c r="F30" s="72"/>
      <c r="G30" s="71"/>
      <c r="H30" s="73" t="str">
        <f aca="false">IF(A30="","",COUNTIF('Kit Lists'!$A$6:$A$605,A30))</f>
        <v/>
      </c>
      <c r="I30" s="73" t="str">
        <f aca="false">IF(OR(A30="",H30=0),"",_xlfn.MINIFS('Kit Lists'!$I$6:$I$605,'Kit Lists'!$A$6:$A$605,A30))</f>
        <v/>
      </c>
      <c r="J30" s="73" t="str">
        <f aca="false">IF(I30="","",I30*E30)</f>
        <v/>
      </c>
      <c r="K30" s="73" t="str">
        <f aca="false">IF(A30="","",SUMIFS('Weekly Plan'!$D$6:$D$1505,'Weekly Plan'!$A$6:$A$1505,A30,'Weekly Plan'!$E$6:$E$1505,"&lt;="&amp;(Dashboard!$Q$3+7*N(Q30))))</f>
        <v/>
      </c>
      <c r="L30" s="73" t="str">
        <f aca="false">IF(I30="","",I30-K30)</f>
        <v/>
      </c>
      <c r="M30" s="73" t="str">
        <f aca="false">IF(A30="","",SUMIFS('Weekly Plan'!$D$6:$D$1505,'Weekly Plan'!$A$6:$A$1505,A30))</f>
        <v/>
      </c>
      <c r="N30" s="74" t="str">
        <f aca="false">IF(OR(I30="",N(F30)=0),"",I30/F30)</f>
        <v/>
      </c>
      <c r="O30" s="75" t="str">
        <f aca="false">IF(A30="","",IF(H30=0,"NO KIT LIST",IF(I30&gt;=F30,"COMPLETE",IF(L30&gt;0,"AHEAD +"&amp;L30,IF(L30=0,"ON PLAN","BEHIND "&amp;L30)))))</f>
        <v/>
      </c>
      <c r="P30" s="76" t="str">
        <f aca="false">IF(A30="","",IF(COUNTIF('Release Log'!$B$6:$B$4005,A30)=0,"–",_xlfn.MAXIFS('Release Log'!$A$6:$A$4005,'Release Log'!$B$6:$B$4005,A30)))</f>
        <v/>
      </c>
      <c r="Q30" s="72"/>
    </row>
    <row r="31" customFormat="false" ht="15" hidden="false" customHeight="false" outlineLevel="0" collapsed="false">
      <c r="A31" s="70"/>
      <c r="B31" s="71"/>
      <c r="C31" s="71"/>
      <c r="D31" s="72"/>
      <c r="E31" s="72"/>
      <c r="F31" s="72"/>
      <c r="G31" s="71"/>
      <c r="H31" s="73" t="str">
        <f aca="false">IF(A31="","",COUNTIF('Kit Lists'!$A$6:$A$605,A31))</f>
        <v/>
      </c>
      <c r="I31" s="73" t="str">
        <f aca="false">IF(OR(A31="",H31=0),"",_xlfn.MINIFS('Kit Lists'!$I$6:$I$605,'Kit Lists'!$A$6:$A$605,A31))</f>
        <v/>
      </c>
      <c r="J31" s="73" t="str">
        <f aca="false">IF(I31="","",I31*E31)</f>
        <v/>
      </c>
      <c r="K31" s="73" t="str">
        <f aca="false">IF(A31="","",SUMIFS('Weekly Plan'!$D$6:$D$1505,'Weekly Plan'!$A$6:$A$1505,A31,'Weekly Plan'!$E$6:$E$1505,"&lt;="&amp;(Dashboard!$Q$3+7*N(Q31))))</f>
        <v/>
      </c>
      <c r="L31" s="73" t="str">
        <f aca="false">IF(I31="","",I31-K31)</f>
        <v/>
      </c>
      <c r="M31" s="73" t="str">
        <f aca="false">IF(A31="","",SUMIFS('Weekly Plan'!$D$6:$D$1505,'Weekly Plan'!$A$6:$A$1505,A31))</f>
        <v/>
      </c>
      <c r="N31" s="74" t="str">
        <f aca="false">IF(OR(I31="",N(F31)=0),"",I31/F31)</f>
        <v/>
      </c>
      <c r="O31" s="75" t="str">
        <f aca="false">IF(A31="","",IF(H31=0,"NO KIT LIST",IF(I31&gt;=F31,"COMPLETE",IF(L31&gt;0,"AHEAD +"&amp;L31,IF(L31=0,"ON PLAN","BEHIND "&amp;L31)))))</f>
        <v/>
      </c>
      <c r="P31" s="76" t="str">
        <f aca="false">IF(A31="","",IF(COUNTIF('Release Log'!$B$6:$B$4005,A31)=0,"–",_xlfn.MAXIFS('Release Log'!$A$6:$A$4005,'Release Log'!$B$6:$B$4005,A31)))</f>
        <v/>
      </c>
      <c r="Q31" s="72"/>
    </row>
    <row r="32" customFormat="false" ht="15" hidden="false" customHeight="false" outlineLevel="0" collapsed="false">
      <c r="A32" s="70"/>
      <c r="B32" s="71"/>
      <c r="C32" s="71"/>
      <c r="D32" s="72"/>
      <c r="E32" s="72"/>
      <c r="F32" s="72"/>
      <c r="G32" s="71"/>
      <c r="H32" s="73" t="str">
        <f aca="false">IF(A32="","",COUNTIF('Kit Lists'!$A$6:$A$605,A32))</f>
        <v/>
      </c>
      <c r="I32" s="73" t="str">
        <f aca="false">IF(OR(A32="",H32=0),"",_xlfn.MINIFS('Kit Lists'!$I$6:$I$605,'Kit Lists'!$A$6:$A$605,A32))</f>
        <v/>
      </c>
      <c r="J32" s="73" t="str">
        <f aca="false">IF(I32="","",I32*E32)</f>
        <v/>
      </c>
      <c r="K32" s="73" t="str">
        <f aca="false">IF(A32="","",SUMIFS('Weekly Plan'!$D$6:$D$1505,'Weekly Plan'!$A$6:$A$1505,A32,'Weekly Plan'!$E$6:$E$1505,"&lt;="&amp;(Dashboard!$Q$3+7*N(Q32))))</f>
        <v/>
      </c>
      <c r="L32" s="73" t="str">
        <f aca="false">IF(I32="","",I32-K32)</f>
        <v/>
      </c>
      <c r="M32" s="73" t="str">
        <f aca="false">IF(A32="","",SUMIFS('Weekly Plan'!$D$6:$D$1505,'Weekly Plan'!$A$6:$A$1505,A32))</f>
        <v/>
      </c>
      <c r="N32" s="74" t="str">
        <f aca="false">IF(OR(I32="",N(F32)=0),"",I32/F32)</f>
        <v/>
      </c>
      <c r="O32" s="75" t="str">
        <f aca="false">IF(A32="","",IF(H32=0,"NO KIT LIST",IF(I32&gt;=F32,"COMPLETE",IF(L32&gt;0,"AHEAD +"&amp;L32,IF(L32=0,"ON PLAN","BEHIND "&amp;L32)))))</f>
        <v/>
      </c>
      <c r="P32" s="76" t="str">
        <f aca="false">IF(A32="","",IF(COUNTIF('Release Log'!$B$6:$B$4005,A32)=0,"–",_xlfn.MAXIFS('Release Log'!$A$6:$A$4005,'Release Log'!$B$6:$B$4005,A32)))</f>
        <v/>
      </c>
      <c r="Q32" s="72"/>
    </row>
    <row r="33" customFormat="false" ht="15" hidden="false" customHeight="false" outlineLevel="0" collapsed="false">
      <c r="A33" s="70"/>
      <c r="B33" s="71"/>
      <c r="C33" s="71"/>
      <c r="D33" s="72"/>
      <c r="E33" s="72"/>
      <c r="F33" s="72"/>
      <c r="G33" s="71"/>
      <c r="H33" s="73" t="str">
        <f aca="false">IF(A33="","",COUNTIF('Kit Lists'!$A$6:$A$605,A33))</f>
        <v/>
      </c>
      <c r="I33" s="73" t="str">
        <f aca="false">IF(OR(A33="",H33=0),"",_xlfn.MINIFS('Kit Lists'!$I$6:$I$605,'Kit Lists'!$A$6:$A$605,A33))</f>
        <v/>
      </c>
      <c r="J33" s="73" t="str">
        <f aca="false">IF(I33="","",I33*E33)</f>
        <v/>
      </c>
      <c r="K33" s="73" t="str">
        <f aca="false">IF(A33="","",SUMIFS('Weekly Plan'!$D$6:$D$1505,'Weekly Plan'!$A$6:$A$1505,A33,'Weekly Plan'!$E$6:$E$1505,"&lt;="&amp;(Dashboard!$Q$3+7*N(Q33))))</f>
        <v/>
      </c>
      <c r="L33" s="73" t="str">
        <f aca="false">IF(I33="","",I33-K33)</f>
        <v/>
      </c>
      <c r="M33" s="73" t="str">
        <f aca="false">IF(A33="","",SUMIFS('Weekly Plan'!$D$6:$D$1505,'Weekly Plan'!$A$6:$A$1505,A33))</f>
        <v/>
      </c>
      <c r="N33" s="74" t="str">
        <f aca="false">IF(OR(I33="",N(F33)=0),"",I33/F33)</f>
        <v/>
      </c>
      <c r="O33" s="75" t="str">
        <f aca="false">IF(A33="","",IF(H33=0,"NO KIT LIST",IF(I33&gt;=F33,"COMPLETE",IF(L33&gt;0,"AHEAD +"&amp;L33,IF(L33=0,"ON PLAN","BEHIND "&amp;L33)))))</f>
        <v/>
      </c>
      <c r="P33" s="76" t="str">
        <f aca="false">IF(A33="","",IF(COUNTIF('Release Log'!$B$6:$B$4005,A33)=0,"–",_xlfn.MAXIFS('Release Log'!$A$6:$A$4005,'Release Log'!$B$6:$B$4005,A33)))</f>
        <v/>
      </c>
      <c r="Q33" s="72"/>
    </row>
    <row r="34" customFormat="false" ht="15" hidden="false" customHeight="false" outlineLevel="0" collapsed="false">
      <c r="A34" s="70"/>
      <c r="B34" s="71"/>
      <c r="C34" s="71"/>
      <c r="D34" s="72"/>
      <c r="E34" s="72"/>
      <c r="F34" s="72"/>
      <c r="G34" s="71"/>
      <c r="H34" s="73" t="str">
        <f aca="false">IF(A34="","",COUNTIF('Kit Lists'!$A$6:$A$605,A34))</f>
        <v/>
      </c>
      <c r="I34" s="73" t="str">
        <f aca="false">IF(OR(A34="",H34=0),"",_xlfn.MINIFS('Kit Lists'!$I$6:$I$605,'Kit Lists'!$A$6:$A$605,A34))</f>
        <v/>
      </c>
      <c r="J34" s="73" t="str">
        <f aca="false">IF(I34="","",I34*E34)</f>
        <v/>
      </c>
      <c r="K34" s="73" t="str">
        <f aca="false">IF(A34="","",SUMIFS('Weekly Plan'!$D$6:$D$1505,'Weekly Plan'!$A$6:$A$1505,A34,'Weekly Plan'!$E$6:$E$1505,"&lt;="&amp;(Dashboard!$Q$3+7*N(Q34))))</f>
        <v/>
      </c>
      <c r="L34" s="73" t="str">
        <f aca="false">IF(I34="","",I34-K34)</f>
        <v/>
      </c>
      <c r="M34" s="73" t="str">
        <f aca="false">IF(A34="","",SUMIFS('Weekly Plan'!$D$6:$D$1505,'Weekly Plan'!$A$6:$A$1505,A34))</f>
        <v/>
      </c>
      <c r="N34" s="74" t="str">
        <f aca="false">IF(OR(I34="",N(F34)=0),"",I34/F34)</f>
        <v/>
      </c>
      <c r="O34" s="75" t="str">
        <f aca="false">IF(A34="","",IF(H34=0,"NO KIT LIST",IF(I34&gt;=F34,"COMPLETE",IF(L34&gt;0,"AHEAD +"&amp;L34,IF(L34=0,"ON PLAN","BEHIND "&amp;L34)))))</f>
        <v/>
      </c>
      <c r="P34" s="76" t="str">
        <f aca="false">IF(A34="","",IF(COUNTIF('Release Log'!$B$6:$B$4005,A34)=0,"–",_xlfn.MAXIFS('Release Log'!$A$6:$A$4005,'Release Log'!$B$6:$B$4005,A34)))</f>
        <v/>
      </c>
      <c r="Q34" s="72"/>
    </row>
    <row r="35" customFormat="false" ht="15" hidden="false" customHeight="false" outlineLevel="0" collapsed="false">
      <c r="A35" s="70"/>
      <c r="B35" s="71"/>
      <c r="C35" s="71"/>
      <c r="D35" s="72"/>
      <c r="E35" s="72"/>
      <c r="F35" s="72"/>
      <c r="G35" s="71"/>
      <c r="H35" s="73" t="str">
        <f aca="false">IF(A35="","",COUNTIF('Kit Lists'!$A$6:$A$605,A35))</f>
        <v/>
      </c>
      <c r="I35" s="73" t="str">
        <f aca="false">IF(OR(A35="",H35=0),"",_xlfn.MINIFS('Kit Lists'!$I$6:$I$605,'Kit Lists'!$A$6:$A$605,A35))</f>
        <v/>
      </c>
      <c r="J35" s="73" t="str">
        <f aca="false">IF(I35="","",I35*E35)</f>
        <v/>
      </c>
      <c r="K35" s="73" t="str">
        <f aca="false">IF(A35="","",SUMIFS('Weekly Plan'!$D$6:$D$1505,'Weekly Plan'!$A$6:$A$1505,A35,'Weekly Plan'!$E$6:$E$1505,"&lt;="&amp;(Dashboard!$Q$3+7*N(Q35))))</f>
        <v/>
      </c>
      <c r="L35" s="73" t="str">
        <f aca="false">IF(I35="","",I35-K35)</f>
        <v/>
      </c>
      <c r="M35" s="73" t="str">
        <f aca="false">IF(A35="","",SUMIFS('Weekly Plan'!$D$6:$D$1505,'Weekly Plan'!$A$6:$A$1505,A35))</f>
        <v/>
      </c>
      <c r="N35" s="74" t="str">
        <f aca="false">IF(OR(I35="",N(F35)=0),"",I35/F35)</f>
        <v/>
      </c>
      <c r="O35" s="75" t="str">
        <f aca="false">IF(A35="","",IF(H35=0,"NO KIT LIST",IF(I35&gt;=F35,"COMPLETE",IF(L35&gt;0,"AHEAD +"&amp;L35,IF(L35=0,"ON PLAN","BEHIND "&amp;L35)))))</f>
        <v/>
      </c>
      <c r="P35" s="76" t="str">
        <f aca="false">IF(A35="","",IF(COUNTIF('Release Log'!$B$6:$B$4005,A35)=0,"–",_xlfn.MAXIFS('Release Log'!$A$6:$A$4005,'Release Log'!$B$6:$B$4005,A35)))</f>
        <v/>
      </c>
      <c r="Q35" s="72"/>
    </row>
    <row r="36" customFormat="false" ht="15" hidden="false" customHeight="false" outlineLevel="0" collapsed="false">
      <c r="A36" s="70"/>
      <c r="B36" s="71"/>
      <c r="C36" s="71"/>
      <c r="D36" s="72"/>
      <c r="E36" s="72"/>
      <c r="F36" s="72"/>
      <c r="G36" s="71"/>
      <c r="H36" s="73" t="str">
        <f aca="false">IF(A36="","",COUNTIF('Kit Lists'!$A$6:$A$605,A36))</f>
        <v/>
      </c>
      <c r="I36" s="73" t="str">
        <f aca="false">IF(OR(A36="",H36=0),"",_xlfn.MINIFS('Kit Lists'!$I$6:$I$605,'Kit Lists'!$A$6:$A$605,A36))</f>
        <v/>
      </c>
      <c r="J36" s="73" t="str">
        <f aca="false">IF(I36="","",I36*E36)</f>
        <v/>
      </c>
      <c r="K36" s="73" t="str">
        <f aca="false">IF(A36="","",SUMIFS('Weekly Plan'!$D$6:$D$1505,'Weekly Plan'!$A$6:$A$1505,A36,'Weekly Plan'!$E$6:$E$1505,"&lt;="&amp;(Dashboard!$Q$3+7*N(Q36))))</f>
        <v/>
      </c>
      <c r="L36" s="73" t="str">
        <f aca="false">IF(I36="","",I36-K36)</f>
        <v/>
      </c>
      <c r="M36" s="73" t="str">
        <f aca="false">IF(A36="","",SUMIFS('Weekly Plan'!$D$6:$D$1505,'Weekly Plan'!$A$6:$A$1505,A36))</f>
        <v/>
      </c>
      <c r="N36" s="74" t="str">
        <f aca="false">IF(OR(I36="",N(F36)=0),"",I36/F36)</f>
        <v/>
      </c>
      <c r="O36" s="75" t="str">
        <f aca="false">IF(A36="","",IF(H36=0,"NO KIT LIST",IF(I36&gt;=F36,"COMPLETE",IF(L36&gt;0,"AHEAD +"&amp;L36,IF(L36=0,"ON PLAN","BEHIND "&amp;L36)))))</f>
        <v/>
      </c>
      <c r="P36" s="76" t="str">
        <f aca="false">IF(A36="","",IF(COUNTIF('Release Log'!$B$6:$B$4005,A36)=0,"–",_xlfn.MAXIFS('Release Log'!$A$6:$A$4005,'Release Log'!$B$6:$B$4005,A36)))</f>
        <v/>
      </c>
      <c r="Q36" s="72"/>
    </row>
    <row r="37" customFormat="false" ht="15" hidden="false" customHeight="false" outlineLevel="0" collapsed="false">
      <c r="A37" s="70"/>
      <c r="B37" s="71"/>
      <c r="C37" s="71"/>
      <c r="D37" s="72"/>
      <c r="E37" s="72"/>
      <c r="F37" s="72"/>
      <c r="G37" s="71"/>
      <c r="H37" s="73" t="str">
        <f aca="false">IF(A37="","",COUNTIF('Kit Lists'!$A$6:$A$605,A37))</f>
        <v/>
      </c>
      <c r="I37" s="73" t="str">
        <f aca="false">IF(OR(A37="",H37=0),"",_xlfn.MINIFS('Kit Lists'!$I$6:$I$605,'Kit Lists'!$A$6:$A$605,A37))</f>
        <v/>
      </c>
      <c r="J37" s="73" t="str">
        <f aca="false">IF(I37="","",I37*E37)</f>
        <v/>
      </c>
      <c r="K37" s="73" t="str">
        <f aca="false">IF(A37="","",SUMIFS('Weekly Plan'!$D$6:$D$1505,'Weekly Plan'!$A$6:$A$1505,A37,'Weekly Plan'!$E$6:$E$1505,"&lt;="&amp;(Dashboard!$Q$3+7*N(Q37))))</f>
        <v/>
      </c>
      <c r="L37" s="73" t="str">
        <f aca="false">IF(I37="","",I37-K37)</f>
        <v/>
      </c>
      <c r="M37" s="73" t="str">
        <f aca="false">IF(A37="","",SUMIFS('Weekly Plan'!$D$6:$D$1505,'Weekly Plan'!$A$6:$A$1505,A37))</f>
        <v/>
      </c>
      <c r="N37" s="74" t="str">
        <f aca="false">IF(OR(I37="",N(F37)=0),"",I37/F37)</f>
        <v/>
      </c>
      <c r="O37" s="75" t="str">
        <f aca="false">IF(A37="","",IF(H37=0,"NO KIT LIST",IF(I37&gt;=F37,"COMPLETE",IF(L37&gt;0,"AHEAD +"&amp;L37,IF(L37=0,"ON PLAN","BEHIND "&amp;L37)))))</f>
        <v/>
      </c>
      <c r="P37" s="76" t="str">
        <f aca="false">IF(A37="","",IF(COUNTIF('Release Log'!$B$6:$B$4005,A37)=0,"–",_xlfn.MAXIFS('Release Log'!$A$6:$A$4005,'Release Log'!$B$6:$B$4005,A37)))</f>
        <v/>
      </c>
      <c r="Q37" s="72"/>
    </row>
    <row r="38" customFormat="false" ht="15" hidden="false" customHeight="false" outlineLevel="0" collapsed="false">
      <c r="A38" s="70"/>
      <c r="B38" s="71"/>
      <c r="C38" s="71"/>
      <c r="D38" s="72"/>
      <c r="E38" s="72"/>
      <c r="F38" s="72"/>
      <c r="G38" s="71"/>
      <c r="H38" s="73" t="str">
        <f aca="false">IF(A38="","",COUNTIF('Kit Lists'!$A$6:$A$605,A38))</f>
        <v/>
      </c>
      <c r="I38" s="73" t="str">
        <f aca="false">IF(OR(A38="",H38=0),"",_xlfn.MINIFS('Kit Lists'!$I$6:$I$605,'Kit Lists'!$A$6:$A$605,A38))</f>
        <v/>
      </c>
      <c r="J38" s="73" t="str">
        <f aca="false">IF(I38="","",I38*E38)</f>
        <v/>
      </c>
      <c r="K38" s="73" t="str">
        <f aca="false">IF(A38="","",SUMIFS('Weekly Plan'!$D$6:$D$1505,'Weekly Plan'!$A$6:$A$1505,A38,'Weekly Plan'!$E$6:$E$1505,"&lt;="&amp;(Dashboard!$Q$3+7*N(Q38))))</f>
        <v/>
      </c>
      <c r="L38" s="73" t="str">
        <f aca="false">IF(I38="","",I38-K38)</f>
        <v/>
      </c>
      <c r="M38" s="73" t="str">
        <f aca="false">IF(A38="","",SUMIFS('Weekly Plan'!$D$6:$D$1505,'Weekly Plan'!$A$6:$A$1505,A38))</f>
        <v/>
      </c>
      <c r="N38" s="74" t="str">
        <f aca="false">IF(OR(I38="",N(F38)=0),"",I38/F38)</f>
        <v/>
      </c>
      <c r="O38" s="75" t="str">
        <f aca="false">IF(A38="","",IF(H38=0,"NO KIT LIST",IF(I38&gt;=F38,"COMPLETE",IF(L38&gt;0,"AHEAD +"&amp;L38,IF(L38=0,"ON PLAN","BEHIND "&amp;L38)))))</f>
        <v/>
      </c>
      <c r="P38" s="76" t="str">
        <f aca="false">IF(A38="","",IF(COUNTIF('Release Log'!$B$6:$B$4005,A38)=0,"–",_xlfn.MAXIFS('Release Log'!$A$6:$A$4005,'Release Log'!$B$6:$B$4005,A38)))</f>
        <v/>
      </c>
      <c r="Q38" s="72"/>
    </row>
    <row r="39" customFormat="false" ht="15" hidden="false" customHeight="false" outlineLevel="0" collapsed="false">
      <c r="A39" s="70"/>
      <c r="B39" s="71"/>
      <c r="C39" s="71"/>
      <c r="D39" s="72"/>
      <c r="E39" s="72"/>
      <c r="F39" s="72"/>
      <c r="G39" s="71"/>
      <c r="H39" s="73" t="str">
        <f aca="false">IF(A39="","",COUNTIF('Kit Lists'!$A$6:$A$605,A39))</f>
        <v/>
      </c>
      <c r="I39" s="73" t="str">
        <f aca="false">IF(OR(A39="",H39=0),"",_xlfn.MINIFS('Kit Lists'!$I$6:$I$605,'Kit Lists'!$A$6:$A$605,A39))</f>
        <v/>
      </c>
      <c r="J39" s="73" t="str">
        <f aca="false">IF(I39="","",I39*E39)</f>
        <v/>
      </c>
      <c r="K39" s="73" t="str">
        <f aca="false">IF(A39="","",SUMIFS('Weekly Plan'!$D$6:$D$1505,'Weekly Plan'!$A$6:$A$1505,A39,'Weekly Plan'!$E$6:$E$1505,"&lt;="&amp;(Dashboard!$Q$3+7*N(Q39))))</f>
        <v/>
      </c>
      <c r="L39" s="73" t="str">
        <f aca="false">IF(I39="","",I39-K39)</f>
        <v/>
      </c>
      <c r="M39" s="73" t="str">
        <f aca="false">IF(A39="","",SUMIFS('Weekly Plan'!$D$6:$D$1505,'Weekly Plan'!$A$6:$A$1505,A39))</f>
        <v/>
      </c>
      <c r="N39" s="74" t="str">
        <f aca="false">IF(OR(I39="",N(F39)=0),"",I39/F39)</f>
        <v/>
      </c>
      <c r="O39" s="75" t="str">
        <f aca="false">IF(A39="","",IF(H39=0,"NO KIT LIST",IF(I39&gt;=F39,"COMPLETE",IF(L39&gt;0,"AHEAD +"&amp;L39,IF(L39=0,"ON PLAN","BEHIND "&amp;L39)))))</f>
        <v/>
      </c>
      <c r="P39" s="76" t="str">
        <f aca="false">IF(A39="","",IF(COUNTIF('Release Log'!$B$6:$B$4005,A39)=0,"–",_xlfn.MAXIFS('Release Log'!$A$6:$A$4005,'Release Log'!$B$6:$B$4005,A39)))</f>
        <v/>
      </c>
      <c r="Q39" s="72"/>
    </row>
    <row r="40" customFormat="false" ht="15" hidden="false" customHeight="false" outlineLevel="0" collapsed="false">
      <c r="A40" s="70"/>
      <c r="B40" s="71"/>
      <c r="C40" s="71"/>
      <c r="D40" s="72"/>
      <c r="E40" s="72"/>
      <c r="F40" s="72"/>
      <c r="G40" s="71"/>
      <c r="H40" s="73" t="str">
        <f aca="false">IF(A40="","",COUNTIF('Kit Lists'!$A$6:$A$605,A40))</f>
        <v/>
      </c>
      <c r="I40" s="73" t="str">
        <f aca="false">IF(OR(A40="",H40=0),"",_xlfn.MINIFS('Kit Lists'!$I$6:$I$605,'Kit Lists'!$A$6:$A$605,A40))</f>
        <v/>
      </c>
      <c r="J40" s="73" t="str">
        <f aca="false">IF(I40="","",I40*E40)</f>
        <v/>
      </c>
      <c r="K40" s="73" t="str">
        <f aca="false">IF(A40="","",SUMIFS('Weekly Plan'!$D$6:$D$1505,'Weekly Plan'!$A$6:$A$1505,A40,'Weekly Plan'!$E$6:$E$1505,"&lt;="&amp;(Dashboard!$Q$3+7*N(Q40))))</f>
        <v/>
      </c>
      <c r="L40" s="73" t="str">
        <f aca="false">IF(I40="","",I40-K40)</f>
        <v/>
      </c>
      <c r="M40" s="73" t="str">
        <f aca="false">IF(A40="","",SUMIFS('Weekly Plan'!$D$6:$D$1505,'Weekly Plan'!$A$6:$A$1505,A40))</f>
        <v/>
      </c>
      <c r="N40" s="74" t="str">
        <f aca="false">IF(OR(I40="",N(F40)=0),"",I40/F40)</f>
        <v/>
      </c>
      <c r="O40" s="75" t="str">
        <f aca="false">IF(A40="","",IF(H40=0,"NO KIT LIST",IF(I40&gt;=F40,"COMPLETE",IF(L40&gt;0,"AHEAD +"&amp;L40,IF(L40=0,"ON PLAN","BEHIND "&amp;L40)))))</f>
        <v/>
      </c>
      <c r="P40" s="76" t="str">
        <f aca="false">IF(A40="","",IF(COUNTIF('Release Log'!$B$6:$B$4005,A40)=0,"–",_xlfn.MAXIFS('Release Log'!$A$6:$A$4005,'Release Log'!$B$6:$B$4005,A40)))</f>
        <v/>
      </c>
      <c r="Q40" s="72"/>
    </row>
    <row r="41" customFormat="false" ht="15" hidden="false" customHeight="false" outlineLevel="0" collapsed="false">
      <c r="A41" s="70"/>
      <c r="B41" s="71"/>
      <c r="C41" s="71"/>
      <c r="D41" s="72"/>
      <c r="E41" s="72"/>
      <c r="F41" s="72"/>
      <c r="G41" s="71"/>
      <c r="H41" s="73" t="str">
        <f aca="false">IF(A41="","",COUNTIF('Kit Lists'!$A$6:$A$605,A41))</f>
        <v/>
      </c>
      <c r="I41" s="73" t="str">
        <f aca="false">IF(OR(A41="",H41=0),"",_xlfn.MINIFS('Kit Lists'!$I$6:$I$605,'Kit Lists'!$A$6:$A$605,A41))</f>
        <v/>
      </c>
      <c r="J41" s="73" t="str">
        <f aca="false">IF(I41="","",I41*E41)</f>
        <v/>
      </c>
      <c r="K41" s="73" t="str">
        <f aca="false">IF(A41="","",SUMIFS('Weekly Plan'!$D$6:$D$1505,'Weekly Plan'!$A$6:$A$1505,A41,'Weekly Plan'!$E$6:$E$1505,"&lt;="&amp;(Dashboard!$Q$3+7*N(Q41))))</f>
        <v/>
      </c>
      <c r="L41" s="73" t="str">
        <f aca="false">IF(I41="","",I41-K41)</f>
        <v/>
      </c>
      <c r="M41" s="73" t="str">
        <f aca="false">IF(A41="","",SUMIFS('Weekly Plan'!$D$6:$D$1505,'Weekly Plan'!$A$6:$A$1505,A41))</f>
        <v/>
      </c>
      <c r="N41" s="74" t="str">
        <f aca="false">IF(OR(I41="",N(F41)=0),"",I41/F41)</f>
        <v/>
      </c>
      <c r="O41" s="75" t="str">
        <f aca="false">IF(A41="","",IF(H41=0,"NO KIT LIST",IF(I41&gt;=F41,"COMPLETE",IF(L41&gt;0,"AHEAD +"&amp;L41,IF(L41=0,"ON PLAN","BEHIND "&amp;L41)))))</f>
        <v/>
      </c>
      <c r="P41" s="76" t="str">
        <f aca="false">IF(A41="","",IF(COUNTIF('Release Log'!$B$6:$B$4005,A41)=0,"–",_xlfn.MAXIFS('Release Log'!$A$6:$A$4005,'Release Log'!$B$6:$B$4005,A41)))</f>
        <v/>
      </c>
      <c r="Q41" s="72"/>
    </row>
    <row r="42" customFormat="false" ht="15" hidden="false" customHeight="false" outlineLevel="0" collapsed="false">
      <c r="A42" s="70"/>
      <c r="B42" s="71"/>
      <c r="C42" s="71"/>
      <c r="D42" s="72"/>
      <c r="E42" s="72"/>
      <c r="F42" s="72"/>
      <c r="G42" s="71"/>
      <c r="H42" s="73" t="str">
        <f aca="false">IF(A42="","",COUNTIF('Kit Lists'!$A$6:$A$605,A42))</f>
        <v/>
      </c>
      <c r="I42" s="73" t="str">
        <f aca="false">IF(OR(A42="",H42=0),"",_xlfn.MINIFS('Kit Lists'!$I$6:$I$605,'Kit Lists'!$A$6:$A$605,A42))</f>
        <v/>
      </c>
      <c r="J42" s="73" t="str">
        <f aca="false">IF(I42="","",I42*E42)</f>
        <v/>
      </c>
      <c r="K42" s="73" t="str">
        <f aca="false">IF(A42="","",SUMIFS('Weekly Plan'!$D$6:$D$1505,'Weekly Plan'!$A$6:$A$1505,A42,'Weekly Plan'!$E$6:$E$1505,"&lt;="&amp;(Dashboard!$Q$3+7*N(Q42))))</f>
        <v/>
      </c>
      <c r="L42" s="73" t="str">
        <f aca="false">IF(I42="","",I42-K42)</f>
        <v/>
      </c>
      <c r="M42" s="73" t="str">
        <f aca="false">IF(A42="","",SUMIFS('Weekly Plan'!$D$6:$D$1505,'Weekly Plan'!$A$6:$A$1505,A42))</f>
        <v/>
      </c>
      <c r="N42" s="74" t="str">
        <f aca="false">IF(OR(I42="",N(F42)=0),"",I42/F42)</f>
        <v/>
      </c>
      <c r="O42" s="75" t="str">
        <f aca="false">IF(A42="","",IF(H42=0,"NO KIT LIST",IF(I42&gt;=F42,"COMPLETE",IF(L42&gt;0,"AHEAD +"&amp;L42,IF(L42=0,"ON PLAN","BEHIND "&amp;L42)))))</f>
        <v/>
      </c>
      <c r="P42" s="76" t="str">
        <f aca="false">IF(A42="","",IF(COUNTIF('Release Log'!$B$6:$B$4005,A42)=0,"–",_xlfn.MAXIFS('Release Log'!$A$6:$A$4005,'Release Log'!$B$6:$B$4005,A42)))</f>
        <v/>
      </c>
      <c r="Q42" s="72"/>
    </row>
    <row r="43" customFormat="false" ht="15" hidden="false" customHeight="false" outlineLevel="0" collapsed="false">
      <c r="A43" s="70"/>
      <c r="B43" s="71"/>
      <c r="C43" s="71"/>
      <c r="D43" s="72"/>
      <c r="E43" s="72"/>
      <c r="F43" s="72"/>
      <c r="G43" s="71"/>
      <c r="H43" s="73" t="str">
        <f aca="false">IF(A43="","",COUNTIF('Kit Lists'!$A$6:$A$605,A43))</f>
        <v/>
      </c>
      <c r="I43" s="73" t="str">
        <f aca="false">IF(OR(A43="",H43=0),"",_xlfn.MINIFS('Kit Lists'!$I$6:$I$605,'Kit Lists'!$A$6:$A$605,A43))</f>
        <v/>
      </c>
      <c r="J43" s="73" t="str">
        <f aca="false">IF(I43="","",I43*E43)</f>
        <v/>
      </c>
      <c r="K43" s="73" t="str">
        <f aca="false">IF(A43="","",SUMIFS('Weekly Plan'!$D$6:$D$1505,'Weekly Plan'!$A$6:$A$1505,A43,'Weekly Plan'!$E$6:$E$1505,"&lt;="&amp;(Dashboard!$Q$3+7*N(Q43))))</f>
        <v/>
      </c>
      <c r="L43" s="73" t="str">
        <f aca="false">IF(I43="","",I43-K43)</f>
        <v/>
      </c>
      <c r="M43" s="73" t="str">
        <f aca="false">IF(A43="","",SUMIFS('Weekly Plan'!$D$6:$D$1505,'Weekly Plan'!$A$6:$A$1505,A43))</f>
        <v/>
      </c>
      <c r="N43" s="74" t="str">
        <f aca="false">IF(OR(I43="",N(F43)=0),"",I43/F43)</f>
        <v/>
      </c>
      <c r="O43" s="75" t="str">
        <f aca="false">IF(A43="","",IF(H43=0,"NO KIT LIST",IF(I43&gt;=F43,"COMPLETE",IF(L43&gt;0,"AHEAD +"&amp;L43,IF(L43=0,"ON PLAN","BEHIND "&amp;L43)))))</f>
        <v/>
      </c>
      <c r="P43" s="76" t="str">
        <f aca="false">IF(A43="","",IF(COUNTIF('Release Log'!$B$6:$B$4005,A43)=0,"–",_xlfn.MAXIFS('Release Log'!$A$6:$A$4005,'Release Log'!$B$6:$B$4005,A43)))</f>
        <v/>
      </c>
      <c r="Q43" s="72"/>
    </row>
    <row r="44" customFormat="false" ht="15" hidden="false" customHeight="false" outlineLevel="0" collapsed="false">
      <c r="A44" s="70"/>
      <c r="B44" s="71"/>
      <c r="C44" s="71"/>
      <c r="D44" s="72"/>
      <c r="E44" s="72"/>
      <c r="F44" s="72"/>
      <c r="G44" s="71"/>
      <c r="H44" s="73" t="str">
        <f aca="false">IF(A44="","",COUNTIF('Kit Lists'!$A$6:$A$605,A44))</f>
        <v/>
      </c>
      <c r="I44" s="73" t="str">
        <f aca="false">IF(OR(A44="",H44=0),"",_xlfn.MINIFS('Kit Lists'!$I$6:$I$605,'Kit Lists'!$A$6:$A$605,A44))</f>
        <v/>
      </c>
      <c r="J44" s="73" t="str">
        <f aca="false">IF(I44="","",I44*E44)</f>
        <v/>
      </c>
      <c r="K44" s="73" t="str">
        <f aca="false">IF(A44="","",SUMIFS('Weekly Plan'!$D$6:$D$1505,'Weekly Plan'!$A$6:$A$1505,A44,'Weekly Plan'!$E$6:$E$1505,"&lt;="&amp;(Dashboard!$Q$3+7*N(Q44))))</f>
        <v/>
      </c>
      <c r="L44" s="73" t="str">
        <f aca="false">IF(I44="","",I44-K44)</f>
        <v/>
      </c>
      <c r="M44" s="73" t="str">
        <f aca="false">IF(A44="","",SUMIFS('Weekly Plan'!$D$6:$D$1505,'Weekly Plan'!$A$6:$A$1505,A44))</f>
        <v/>
      </c>
      <c r="N44" s="74" t="str">
        <f aca="false">IF(OR(I44="",N(F44)=0),"",I44/F44)</f>
        <v/>
      </c>
      <c r="O44" s="75" t="str">
        <f aca="false">IF(A44="","",IF(H44=0,"NO KIT LIST",IF(I44&gt;=F44,"COMPLETE",IF(L44&gt;0,"AHEAD +"&amp;L44,IF(L44=0,"ON PLAN","BEHIND "&amp;L44)))))</f>
        <v/>
      </c>
      <c r="P44" s="76" t="str">
        <f aca="false">IF(A44="","",IF(COUNTIF('Release Log'!$B$6:$B$4005,A44)=0,"–",_xlfn.MAXIFS('Release Log'!$A$6:$A$4005,'Release Log'!$B$6:$B$4005,A44)))</f>
        <v/>
      </c>
      <c r="Q44" s="72"/>
    </row>
    <row r="45" customFormat="false" ht="15" hidden="false" customHeight="false" outlineLevel="0" collapsed="false">
      <c r="A45" s="70"/>
      <c r="B45" s="71"/>
      <c r="C45" s="71"/>
      <c r="D45" s="72"/>
      <c r="E45" s="72"/>
      <c r="F45" s="72"/>
      <c r="G45" s="71"/>
      <c r="H45" s="73" t="str">
        <f aca="false">IF(A45="","",COUNTIF('Kit Lists'!$A$6:$A$605,A45))</f>
        <v/>
      </c>
      <c r="I45" s="73" t="str">
        <f aca="false">IF(OR(A45="",H45=0),"",_xlfn.MINIFS('Kit Lists'!$I$6:$I$605,'Kit Lists'!$A$6:$A$605,A45))</f>
        <v/>
      </c>
      <c r="J45" s="73" t="str">
        <f aca="false">IF(I45="","",I45*E45)</f>
        <v/>
      </c>
      <c r="K45" s="73" t="str">
        <f aca="false">IF(A45="","",SUMIFS('Weekly Plan'!$D$6:$D$1505,'Weekly Plan'!$A$6:$A$1505,A45,'Weekly Plan'!$E$6:$E$1505,"&lt;="&amp;(Dashboard!$Q$3+7*N(Q45))))</f>
        <v/>
      </c>
      <c r="L45" s="73" t="str">
        <f aca="false">IF(I45="","",I45-K45)</f>
        <v/>
      </c>
      <c r="M45" s="73" t="str">
        <f aca="false">IF(A45="","",SUMIFS('Weekly Plan'!$D$6:$D$1505,'Weekly Plan'!$A$6:$A$1505,A45))</f>
        <v/>
      </c>
      <c r="N45" s="74" t="str">
        <f aca="false">IF(OR(I45="",N(F45)=0),"",I45/F45)</f>
        <v/>
      </c>
      <c r="O45" s="75" t="str">
        <f aca="false">IF(A45="","",IF(H45=0,"NO KIT LIST",IF(I45&gt;=F45,"COMPLETE",IF(L45&gt;0,"AHEAD +"&amp;L45,IF(L45=0,"ON PLAN","BEHIND "&amp;L45)))))</f>
        <v/>
      </c>
      <c r="P45" s="76" t="str">
        <f aca="false">IF(A45="","",IF(COUNTIF('Release Log'!$B$6:$B$4005,A45)=0,"–",_xlfn.MAXIFS('Release Log'!$A$6:$A$4005,'Release Log'!$B$6:$B$4005,A45)))</f>
        <v/>
      </c>
      <c r="Q45" s="72"/>
    </row>
    <row r="46" customFormat="false" ht="15" hidden="false" customHeight="false" outlineLevel="0" collapsed="false">
      <c r="A46" s="70"/>
      <c r="B46" s="71"/>
      <c r="C46" s="71"/>
      <c r="D46" s="72"/>
      <c r="E46" s="72"/>
      <c r="F46" s="72"/>
      <c r="G46" s="71"/>
      <c r="H46" s="73" t="str">
        <f aca="false">IF(A46="","",COUNTIF('Kit Lists'!$A$6:$A$605,A46))</f>
        <v/>
      </c>
      <c r="I46" s="73" t="str">
        <f aca="false">IF(OR(A46="",H46=0),"",_xlfn.MINIFS('Kit Lists'!$I$6:$I$605,'Kit Lists'!$A$6:$A$605,A46))</f>
        <v/>
      </c>
      <c r="J46" s="73" t="str">
        <f aca="false">IF(I46="","",I46*E46)</f>
        <v/>
      </c>
      <c r="K46" s="73" t="str">
        <f aca="false">IF(A46="","",SUMIFS('Weekly Plan'!$D$6:$D$1505,'Weekly Plan'!$A$6:$A$1505,A46,'Weekly Plan'!$E$6:$E$1505,"&lt;="&amp;(Dashboard!$Q$3+7*N(Q46))))</f>
        <v/>
      </c>
      <c r="L46" s="73" t="str">
        <f aca="false">IF(I46="","",I46-K46)</f>
        <v/>
      </c>
      <c r="M46" s="73" t="str">
        <f aca="false">IF(A46="","",SUMIFS('Weekly Plan'!$D$6:$D$1505,'Weekly Plan'!$A$6:$A$1505,A46))</f>
        <v/>
      </c>
      <c r="N46" s="74" t="str">
        <f aca="false">IF(OR(I46="",N(F46)=0),"",I46/F46)</f>
        <v/>
      </c>
      <c r="O46" s="75" t="str">
        <f aca="false">IF(A46="","",IF(H46=0,"NO KIT LIST",IF(I46&gt;=F46,"COMPLETE",IF(L46&gt;0,"AHEAD +"&amp;L46,IF(L46=0,"ON PLAN","BEHIND "&amp;L46)))))</f>
        <v/>
      </c>
      <c r="P46" s="76" t="str">
        <f aca="false">IF(A46="","",IF(COUNTIF('Release Log'!$B$6:$B$4005,A46)=0,"–",_xlfn.MAXIFS('Release Log'!$A$6:$A$4005,'Release Log'!$B$6:$B$4005,A46)))</f>
        <v/>
      </c>
      <c r="Q46" s="72"/>
    </row>
    <row r="47" customFormat="false" ht="15" hidden="false" customHeight="false" outlineLevel="0" collapsed="false">
      <c r="A47" s="70"/>
      <c r="B47" s="71"/>
      <c r="C47" s="71"/>
      <c r="D47" s="72"/>
      <c r="E47" s="72"/>
      <c r="F47" s="72"/>
      <c r="G47" s="71"/>
      <c r="H47" s="73" t="str">
        <f aca="false">IF(A47="","",COUNTIF('Kit Lists'!$A$6:$A$605,A47))</f>
        <v/>
      </c>
      <c r="I47" s="73" t="str">
        <f aca="false">IF(OR(A47="",H47=0),"",_xlfn.MINIFS('Kit Lists'!$I$6:$I$605,'Kit Lists'!$A$6:$A$605,A47))</f>
        <v/>
      </c>
      <c r="J47" s="73" t="str">
        <f aca="false">IF(I47="","",I47*E47)</f>
        <v/>
      </c>
      <c r="K47" s="73" t="str">
        <f aca="false">IF(A47="","",SUMIFS('Weekly Plan'!$D$6:$D$1505,'Weekly Plan'!$A$6:$A$1505,A47,'Weekly Plan'!$E$6:$E$1505,"&lt;="&amp;(Dashboard!$Q$3+7*N(Q47))))</f>
        <v/>
      </c>
      <c r="L47" s="73" t="str">
        <f aca="false">IF(I47="","",I47-K47)</f>
        <v/>
      </c>
      <c r="M47" s="73" t="str">
        <f aca="false">IF(A47="","",SUMIFS('Weekly Plan'!$D$6:$D$1505,'Weekly Plan'!$A$6:$A$1505,A47))</f>
        <v/>
      </c>
      <c r="N47" s="74" t="str">
        <f aca="false">IF(OR(I47="",N(F47)=0),"",I47/F47)</f>
        <v/>
      </c>
      <c r="O47" s="75" t="str">
        <f aca="false">IF(A47="","",IF(H47=0,"NO KIT LIST",IF(I47&gt;=F47,"COMPLETE",IF(L47&gt;0,"AHEAD +"&amp;L47,IF(L47=0,"ON PLAN","BEHIND "&amp;L47)))))</f>
        <v/>
      </c>
      <c r="P47" s="76" t="str">
        <f aca="false">IF(A47="","",IF(COUNTIF('Release Log'!$B$6:$B$4005,A47)=0,"–",_xlfn.MAXIFS('Release Log'!$A$6:$A$4005,'Release Log'!$B$6:$B$4005,A47)))</f>
        <v/>
      </c>
      <c r="Q47" s="72"/>
    </row>
    <row r="48" customFormat="false" ht="15" hidden="false" customHeight="false" outlineLevel="0" collapsed="false">
      <c r="A48" s="70"/>
      <c r="B48" s="71"/>
      <c r="C48" s="71"/>
      <c r="D48" s="72"/>
      <c r="E48" s="72"/>
      <c r="F48" s="72"/>
      <c r="G48" s="71"/>
      <c r="H48" s="73" t="str">
        <f aca="false">IF(A48="","",COUNTIF('Kit Lists'!$A$6:$A$605,A48))</f>
        <v/>
      </c>
      <c r="I48" s="73" t="str">
        <f aca="false">IF(OR(A48="",H48=0),"",_xlfn.MINIFS('Kit Lists'!$I$6:$I$605,'Kit Lists'!$A$6:$A$605,A48))</f>
        <v/>
      </c>
      <c r="J48" s="73" t="str">
        <f aca="false">IF(I48="","",I48*E48)</f>
        <v/>
      </c>
      <c r="K48" s="73" t="str">
        <f aca="false">IF(A48="","",SUMIFS('Weekly Plan'!$D$6:$D$1505,'Weekly Plan'!$A$6:$A$1505,A48,'Weekly Plan'!$E$6:$E$1505,"&lt;="&amp;(Dashboard!$Q$3+7*N(Q48))))</f>
        <v/>
      </c>
      <c r="L48" s="73" t="str">
        <f aca="false">IF(I48="","",I48-K48)</f>
        <v/>
      </c>
      <c r="M48" s="73" t="str">
        <f aca="false">IF(A48="","",SUMIFS('Weekly Plan'!$D$6:$D$1505,'Weekly Plan'!$A$6:$A$1505,A48))</f>
        <v/>
      </c>
      <c r="N48" s="74" t="str">
        <f aca="false">IF(OR(I48="",N(F48)=0),"",I48/F48)</f>
        <v/>
      </c>
      <c r="O48" s="75" t="str">
        <f aca="false">IF(A48="","",IF(H48=0,"NO KIT LIST",IF(I48&gt;=F48,"COMPLETE",IF(L48&gt;0,"AHEAD +"&amp;L48,IF(L48=0,"ON PLAN","BEHIND "&amp;L48)))))</f>
        <v/>
      </c>
      <c r="P48" s="76" t="str">
        <f aca="false">IF(A48="","",IF(COUNTIF('Release Log'!$B$6:$B$4005,A48)=0,"–",_xlfn.MAXIFS('Release Log'!$A$6:$A$4005,'Release Log'!$B$6:$B$4005,A48)))</f>
        <v/>
      </c>
      <c r="Q48" s="72"/>
    </row>
    <row r="49" customFormat="false" ht="15" hidden="false" customHeight="false" outlineLevel="0" collapsed="false">
      <c r="A49" s="70"/>
      <c r="B49" s="71"/>
      <c r="C49" s="71"/>
      <c r="D49" s="72"/>
      <c r="E49" s="72"/>
      <c r="F49" s="72"/>
      <c r="G49" s="71"/>
      <c r="H49" s="73" t="str">
        <f aca="false">IF(A49="","",COUNTIF('Kit Lists'!$A$6:$A$605,A49))</f>
        <v/>
      </c>
      <c r="I49" s="73" t="str">
        <f aca="false">IF(OR(A49="",H49=0),"",_xlfn.MINIFS('Kit Lists'!$I$6:$I$605,'Kit Lists'!$A$6:$A$605,A49))</f>
        <v/>
      </c>
      <c r="J49" s="73" t="str">
        <f aca="false">IF(I49="","",I49*E49)</f>
        <v/>
      </c>
      <c r="K49" s="73" t="str">
        <f aca="false">IF(A49="","",SUMIFS('Weekly Plan'!$D$6:$D$1505,'Weekly Plan'!$A$6:$A$1505,A49,'Weekly Plan'!$E$6:$E$1505,"&lt;="&amp;(Dashboard!$Q$3+7*N(Q49))))</f>
        <v/>
      </c>
      <c r="L49" s="73" t="str">
        <f aca="false">IF(I49="","",I49-K49)</f>
        <v/>
      </c>
      <c r="M49" s="73" t="str">
        <f aca="false">IF(A49="","",SUMIFS('Weekly Plan'!$D$6:$D$1505,'Weekly Plan'!$A$6:$A$1505,A49))</f>
        <v/>
      </c>
      <c r="N49" s="74" t="str">
        <f aca="false">IF(OR(I49="",N(F49)=0),"",I49/F49)</f>
        <v/>
      </c>
      <c r="O49" s="75" t="str">
        <f aca="false">IF(A49="","",IF(H49=0,"NO KIT LIST",IF(I49&gt;=F49,"COMPLETE",IF(L49&gt;0,"AHEAD +"&amp;L49,IF(L49=0,"ON PLAN","BEHIND "&amp;L49)))))</f>
        <v/>
      </c>
      <c r="P49" s="76" t="str">
        <f aca="false">IF(A49="","",IF(COUNTIF('Release Log'!$B$6:$B$4005,A49)=0,"–",_xlfn.MAXIFS('Release Log'!$A$6:$A$4005,'Release Log'!$B$6:$B$4005,A49)))</f>
        <v/>
      </c>
      <c r="Q49" s="72"/>
    </row>
    <row r="50" customFormat="false" ht="15" hidden="false" customHeight="false" outlineLevel="0" collapsed="false">
      <c r="A50" s="70"/>
      <c r="B50" s="71"/>
      <c r="C50" s="71"/>
      <c r="D50" s="72"/>
      <c r="E50" s="72"/>
      <c r="F50" s="72"/>
      <c r="G50" s="71"/>
      <c r="H50" s="73" t="str">
        <f aca="false">IF(A50="","",COUNTIF('Kit Lists'!$A$6:$A$605,A50))</f>
        <v/>
      </c>
      <c r="I50" s="73" t="str">
        <f aca="false">IF(OR(A50="",H50=0),"",_xlfn.MINIFS('Kit Lists'!$I$6:$I$605,'Kit Lists'!$A$6:$A$605,A50))</f>
        <v/>
      </c>
      <c r="J50" s="73" t="str">
        <f aca="false">IF(I50="","",I50*E50)</f>
        <v/>
      </c>
      <c r="K50" s="73" t="str">
        <f aca="false">IF(A50="","",SUMIFS('Weekly Plan'!$D$6:$D$1505,'Weekly Plan'!$A$6:$A$1505,A50,'Weekly Plan'!$E$6:$E$1505,"&lt;="&amp;(Dashboard!$Q$3+7*N(Q50))))</f>
        <v/>
      </c>
      <c r="L50" s="73" t="str">
        <f aca="false">IF(I50="","",I50-K50)</f>
        <v/>
      </c>
      <c r="M50" s="73" t="str">
        <f aca="false">IF(A50="","",SUMIFS('Weekly Plan'!$D$6:$D$1505,'Weekly Plan'!$A$6:$A$1505,A50))</f>
        <v/>
      </c>
      <c r="N50" s="74" t="str">
        <f aca="false">IF(OR(I50="",N(F50)=0),"",I50/F50)</f>
        <v/>
      </c>
      <c r="O50" s="75" t="str">
        <f aca="false">IF(A50="","",IF(H50=0,"NO KIT LIST",IF(I50&gt;=F50,"COMPLETE",IF(L50&gt;0,"AHEAD +"&amp;L50,IF(L50=0,"ON PLAN","BEHIND "&amp;L50)))))</f>
        <v/>
      </c>
      <c r="P50" s="76" t="str">
        <f aca="false">IF(A50="","",IF(COUNTIF('Release Log'!$B$6:$B$4005,A50)=0,"–",_xlfn.MAXIFS('Release Log'!$A$6:$A$4005,'Release Log'!$B$6:$B$4005,A50)))</f>
        <v/>
      </c>
      <c r="Q50" s="72"/>
    </row>
    <row r="51" customFormat="false" ht="15" hidden="false" customHeight="false" outlineLevel="0" collapsed="false">
      <c r="A51" s="70"/>
      <c r="B51" s="71"/>
      <c r="C51" s="71"/>
      <c r="D51" s="72"/>
      <c r="E51" s="72"/>
      <c r="F51" s="72"/>
      <c r="G51" s="71"/>
      <c r="H51" s="73" t="str">
        <f aca="false">IF(A51="","",COUNTIF('Kit Lists'!$A$6:$A$605,A51))</f>
        <v/>
      </c>
      <c r="I51" s="73" t="str">
        <f aca="false">IF(OR(A51="",H51=0),"",_xlfn.MINIFS('Kit Lists'!$I$6:$I$605,'Kit Lists'!$A$6:$A$605,A51))</f>
        <v/>
      </c>
      <c r="J51" s="73" t="str">
        <f aca="false">IF(I51="","",I51*E51)</f>
        <v/>
      </c>
      <c r="K51" s="73" t="str">
        <f aca="false">IF(A51="","",SUMIFS('Weekly Plan'!$D$6:$D$1505,'Weekly Plan'!$A$6:$A$1505,A51,'Weekly Plan'!$E$6:$E$1505,"&lt;="&amp;(Dashboard!$Q$3+7*N(Q51))))</f>
        <v/>
      </c>
      <c r="L51" s="73" t="str">
        <f aca="false">IF(I51="","",I51-K51)</f>
        <v/>
      </c>
      <c r="M51" s="73" t="str">
        <f aca="false">IF(A51="","",SUMIFS('Weekly Plan'!$D$6:$D$1505,'Weekly Plan'!$A$6:$A$1505,A51))</f>
        <v/>
      </c>
      <c r="N51" s="74" t="str">
        <f aca="false">IF(OR(I51="",N(F51)=0),"",I51/F51)</f>
        <v/>
      </c>
      <c r="O51" s="75" t="str">
        <f aca="false">IF(A51="","",IF(H51=0,"NO KIT LIST",IF(I51&gt;=F51,"COMPLETE",IF(L51&gt;0,"AHEAD +"&amp;L51,IF(L51=0,"ON PLAN","BEHIND "&amp;L51)))))</f>
        <v/>
      </c>
      <c r="P51" s="76" t="str">
        <f aca="false">IF(A51="","",IF(COUNTIF('Release Log'!$B$6:$B$4005,A51)=0,"–",_xlfn.MAXIFS('Release Log'!$A$6:$A$4005,'Release Log'!$B$6:$B$4005,A51)))</f>
        <v/>
      </c>
      <c r="Q51" s="72"/>
    </row>
    <row r="52" customFormat="false" ht="15" hidden="false" customHeight="false" outlineLevel="0" collapsed="false">
      <c r="A52" s="70"/>
      <c r="B52" s="71"/>
      <c r="C52" s="71"/>
      <c r="D52" s="72"/>
      <c r="E52" s="72"/>
      <c r="F52" s="72"/>
      <c r="G52" s="71"/>
      <c r="H52" s="73" t="str">
        <f aca="false">IF(A52="","",COUNTIF('Kit Lists'!$A$6:$A$605,A52))</f>
        <v/>
      </c>
      <c r="I52" s="73" t="str">
        <f aca="false">IF(OR(A52="",H52=0),"",_xlfn.MINIFS('Kit Lists'!$I$6:$I$605,'Kit Lists'!$A$6:$A$605,A52))</f>
        <v/>
      </c>
      <c r="J52" s="73" t="str">
        <f aca="false">IF(I52="","",I52*E52)</f>
        <v/>
      </c>
      <c r="K52" s="73" t="str">
        <f aca="false">IF(A52="","",SUMIFS('Weekly Plan'!$D$6:$D$1505,'Weekly Plan'!$A$6:$A$1505,A52,'Weekly Plan'!$E$6:$E$1505,"&lt;="&amp;(Dashboard!$Q$3+7*N(Q52))))</f>
        <v/>
      </c>
      <c r="L52" s="73" t="str">
        <f aca="false">IF(I52="","",I52-K52)</f>
        <v/>
      </c>
      <c r="M52" s="73" t="str">
        <f aca="false">IF(A52="","",SUMIFS('Weekly Plan'!$D$6:$D$1505,'Weekly Plan'!$A$6:$A$1505,A52))</f>
        <v/>
      </c>
      <c r="N52" s="74" t="str">
        <f aca="false">IF(OR(I52="",N(F52)=0),"",I52/F52)</f>
        <v/>
      </c>
      <c r="O52" s="75" t="str">
        <f aca="false">IF(A52="","",IF(H52=0,"NO KIT LIST",IF(I52&gt;=F52,"COMPLETE",IF(L52&gt;0,"AHEAD +"&amp;L52,IF(L52=0,"ON PLAN","BEHIND "&amp;L52)))))</f>
        <v/>
      </c>
      <c r="P52" s="76" t="str">
        <f aca="false">IF(A52="","",IF(COUNTIF('Release Log'!$B$6:$B$4005,A52)=0,"–",_xlfn.MAXIFS('Release Log'!$A$6:$A$4005,'Release Log'!$B$6:$B$4005,A52)))</f>
        <v/>
      </c>
      <c r="Q52" s="72"/>
    </row>
    <row r="53" customFormat="false" ht="15" hidden="false" customHeight="false" outlineLevel="0" collapsed="false">
      <c r="A53" s="70"/>
      <c r="B53" s="71"/>
      <c r="C53" s="71"/>
      <c r="D53" s="72"/>
      <c r="E53" s="72"/>
      <c r="F53" s="72"/>
      <c r="G53" s="71"/>
      <c r="H53" s="73" t="str">
        <f aca="false">IF(A53="","",COUNTIF('Kit Lists'!$A$6:$A$605,A53))</f>
        <v/>
      </c>
      <c r="I53" s="73" t="str">
        <f aca="false">IF(OR(A53="",H53=0),"",_xlfn.MINIFS('Kit Lists'!$I$6:$I$605,'Kit Lists'!$A$6:$A$605,A53))</f>
        <v/>
      </c>
      <c r="J53" s="73" t="str">
        <f aca="false">IF(I53="","",I53*E53)</f>
        <v/>
      </c>
      <c r="K53" s="73" t="str">
        <f aca="false">IF(A53="","",SUMIFS('Weekly Plan'!$D$6:$D$1505,'Weekly Plan'!$A$6:$A$1505,A53,'Weekly Plan'!$E$6:$E$1505,"&lt;="&amp;(Dashboard!$Q$3+7*N(Q53))))</f>
        <v/>
      </c>
      <c r="L53" s="73" t="str">
        <f aca="false">IF(I53="","",I53-K53)</f>
        <v/>
      </c>
      <c r="M53" s="73" t="str">
        <f aca="false">IF(A53="","",SUMIFS('Weekly Plan'!$D$6:$D$1505,'Weekly Plan'!$A$6:$A$1505,A53))</f>
        <v/>
      </c>
      <c r="N53" s="74" t="str">
        <f aca="false">IF(OR(I53="",N(F53)=0),"",I53/F53)</f>
        <v/>
      </c>
      <c r="O53" s="75" t="str">
        <f aca="false">IF(A53="","",IF(H53=0,"NO KIT LIST",IF(I53&gt;=F53,"COMPLETE",IF(L53&gt;0,"AHEAD +"&amp;L53,IF(L53=0,"ON PLAN","BEHIND "&amp;L53)))))</f>
        <v/>
      </c>
      <c r="P53" s="76" t="str">
        <f aca="false">IF(A53="","",IF(COUNTIF('Release Log'!$B$6:$B$4005,A53)=0,"–",_xlfn.MAXIFS('Release Log'!$A$6:$A$4005,'Release Log'!$B$6:$B$4005,A53)))</f>
        <v/>
      </c>
      <c r="Q53" s="72"/>
    </row>
    <row r="54" customFormat="false" ht="15" hidden="false" customHeight="false" outlineLevel="0" collapsed="false">
      <c r="A54" s="70"/>
      <c r="B54" s="71"/>
      <c r="C54" s="71"/>
      <c r="D54" s="72"/>
      <c r="E54" s="72"/>
      <c r="F54" s="72"/>
      <c r="G54" s="71"/>
      <c r="H54" s="73" t="str">
        <f aca="false">IF(A54="","",COUNTIF('Kit Lists'!$A$6:$A$605,A54))</f>
        <v/>
      </c>
      <c r="I54" s="73" t="str">
        <f aca="false">IF(OR(A54="",H54=0),"",_xlfn.MINIFS('Kit Lists'!$I$6:$I$605,'Kit Lists'!$A$6:$A$605,A54))</f>
        <v/>
      </c>
      <c r="J54" s="73" t="str">
        <f aca="false">IF(I54="","",I54*E54)</f>
        <v/>
      </c>
      <c r="K54" s="73" t="str">
        <f aca="false">IF(A54="","",SUMIFS('Weekly Plan'!$D$6:$D$1505,'Weekly Plan'!$A$6:$A$1505,A54,'Weekly Plan'!$E$6:$E$1505,"&lt;="&amp;(Dashboard!$Q$3+7*N(Q54))))</f>
        <v/>
      </c>
      <c r="L54" s="73" t="str">
        <f aca="false">IF(I54="","",I54-K54)</f>
        <v/>
      </c>
      <c r="M54" s="73" t="str">
        <f aca="false">IF(A54="","",SUMIFS('Weekly Plan'!$D$6:$D$1505,'Weekly Plan'!$A$6:$A$1505,A54))</f>
        <v/>
      </c>
      <c r="N54" s="74" t="str">
        <f aca="false">IF(OR(I54="",N(F54)=0),"",I54/F54)</f>
        <v/>
      </c>
      <c r="O54" s="75" t="str">
        <f aca="false">IF(A54="","",IF(H54=0,"NO KIT LIST",IF(I54&gt;=F54,"COMPLETE",IF(L54&gt;0,"AHEAD +"&amp;L54,IF(L54=0,"ON PLAN","BEHIND "&amp;L54)))))</f>
        <v/>
      </c>
      <c r="P54" s="76" t="str">
        <f aca="false">IF(A54="","",IF(COUNTIF('Release Log'!$B$6:$B$4005,A54)=0,"–",_xlfn.MAXIFS('Release Log'!$A$6:$A$4005,'Release Log'!$B$6:$B$4005,A54)))</f>
        <v/>
      </c>
      <c r="Q54" s="72"/>
    </row>
    <row r="55" customFormat="false" ht="15" hidden="false" customHeight="false" outlineLevel="0" collapsed="false">
      <c r="A55" s="70"/>
      <c r="B55" s="71"/>
      <c r="C55" s="71"/>
      <c r="D55" s="72"/>
      <c r="E55" s="72"/>
      <c r="F55" s="72"/>
      <c r="G55" s="71"/>
      <c r="H55" s="73" t="str">
        <f aca="false">IF(A55="","",COUNTIF('Kit Lists'!$A$6:$A$605,A55))</f>
        <v/>
      </c>
      <c r="I55" s="73" t="str">
        <f aca="false">IF(OR(A55="",H55=0),"",_xlfn.MINIFS('Kit Lists'!$I$6:$I$605,'Kit Lists'!$A$6:$A$605,A55))</f>
        <v/>
      </c>
      <c r="J55" s="73" t="str">
        <f aca="false">IF(I55="","",I55*E55)</f>
        <v/>
      </c>
      <c r="K55" s="73" t="str">
        <f aca="false">IF(A55="","",SUMIFS('Weekly Plan'!$D$6:$D$1505,'Weekly Plan'!$A$6:$A$1505,A55,'Weekly Plan'!$E$6:$E$1505,"&lt;="&amp;(Dashboard!$Q$3+7*N(Q55))))</f>
        <v/>
      </c>
      <c r="L55" s="73" t="str">
        <f aca="false">IF(I55="","",I55-K55)</f>
        <v/>
      </c>
      <c r="M55" s="73" t="str">
        <f aca="false">IF(A55="","",SUMIFS('Weekly Plan'!$D$6:$D$1505,'Weekly Plan'!$A$6:$A$1505,A55))</f>
        <v/>
      </c>
      <c r="N55" s="74" t="str">
        <f aca="false">IF(OR(I55="",N(F55)=0),"",I55/F55)</f>
        <v/>
      </c>
      <c r="O55" s="75" t="str">
        <f aca="false">IF(A55="","",IF(H55=0,"NO KIT LIST",IF(I55&gt;=F55,"COMPLETE",IF(L55&gt;0,"AHEAD +"&amp;L55,IF(L55=0,"ON PLAN","BEHIND "&amp;L55)))))</f>
        <v/>
      </c>
      <c r="P55" s="76" t="str">
        <f aca="false">IF(A55="","",IF(COUNTIF('Release Log'!$B$6:$B$4005,A55)=0,"–",_xlfn.MAXIFS('Release Log'!$A$6:$A$4005,'Release Log'!$B$6:$B$4005,A55)))</f>
        <v/>
      </c>
      <c r="Q55" s="72"/>
    </row>
    <row r="56" customFormat="false" ht="15" hidden="false" customHeight="false" outlineLevel="0" collapsed="false">
      <c r="A56" s="70"/>
      <c r="B56" s="71"/>
      <c r="C56" s="71"/>
      <c r="D56" s="72"/>
      <c r="E56" s="72"/>
      <c r="F56" s="72"/>
      <c r="G56" s="71"/>
      <c r="H56" s="73" t="str">
        <f aca="false">IF(A56="","",COUNTIF('Kit Lists'!$A$6:$A$605,A56))</f>
        <v/>
      </c>
      <c r="I56" s="73" t="str">
        <f aca="false">IF(OR(A56="",H56=0),"",_xlfn.MINIFS('Kit Lists'!$I$6:$I$605,'Kit Lists'!$A$6:$A$605,A56))</f>
        <v/>
      </c>
      <c r="J56" s="73" t="str">
        <f aca="false">IF(I56="","",I56*E56)</f>
        <v/>
      </c>
      <c r="K56" s="73" t="str">
        <f aca="false">IF(A56="","",SUMIFS('Weekly Plan'!$D$6:$D$1505,'Weekly Plan'!$A$6:$A$1505,A56,'Weekly Plan'!$E$6:$E$1505,"&lt;="&amp;(Dashboard!$Q$3+7*N(Q56))))</f>
        <v/>
      </c>
      <c r="L56" s="73" t="str">
        <f aca="false">IF(I56="","",I56-K56)</f>
        <v/>
      </c>
      <c r="M56" s="73" t="str">
        <f aca="false">IF(A56="","",SUMIFS('Weekly Plan'!$D$6:$D$1505,'Weekly Plan'!$A$6:$A$1505,A56))</f>
        <v/>
      </c>
      <c r="N56" s="74" t="str">
        <f aca="false">IF(OR(I56="",N(F56)=0),"",I56/F56)</f>
        <v/>
      </c>
      <c r="O56" s="75" t="str">
        <f aca="false">IF(A56="","",IF(H56=0,"NO KIT LIST",IF(I56&gt;=F56,"COMPLETE",IF(L56&gt;0,"AHEAD +"&amp;L56,IF(L56=0,"ON PLAN","BEHIND "&amp;L56)))))</f>
        <v/>
      </c>
      <c r="P56" s="76" t="str">
        <f aca="false">IF(A56="","",IF(COUNTIF('Release Log'!$B$6:$B$4005,A56)=0,"–",_xlfn.MAXIFS('Release Log'!$A$6:$A$4005,'Release Log'!$B$6:$B$4005,A56)))</f>
        <v/>
      </c>
      <c r="Q56" s="72"/>
    </row>
    <row r="57" customFormat="false" ht="15" hidden="false" customHeight="false" outlineLevel="0" collapsed="false">
      <c r="A57" s="70"/>
      <c r="B57" s="71"/>
      <c r="C57" s="71"/>
      <c r="D57" s="72"/>
      <c r="E57" s="72"/>
      <c r="F57" s="72"/>
      <c r="G57" s="71"/>
      <c r="H57" s="73" t="str">
        <f aca="false">IF(A57="","",COUNTIF('Kit Lists'!$A$6:$A$605,A57))</f>
        <v/>
      </c>
      <c r="I57" s="73" t="str">
        <f aca="false">IF(OR(A57="",H57=0),"",_xlfn.MINIFS('Kit Lists'!$I$6:$I$605,'Kit Lists'!$A$6:$A$605,A57))</f>
        <v/>
      </c>
      <c r="J57" s="73" t="str">
        <f aca="false">IF(I57="","",I57*E57)</f>
        <v/>
      </c>
      <c r="K57" s="73" t="str">
        <f aca="false">IF(A57="","",SUMIFS('Weekly Plan'!$D$6:$D$1505,'Weekly Plan'!$A$6:$A$1505,A57,'Weekly Plan'!$E$6:$E$1505,"&lt;="&amp;(Dashboard!$Q$3+7*N(Q57))))</f>
        <v/>
      </c>
      <c r="L57" s="73" t="str">
        <f aca="false">IF(I57="","",I57-K57)</f>
        <v/>
      </c>
      <c r="M57" s="73" t="str">
        <f aca="false">IF(A57="","",SUMIFS('Weekly Plan'!$D$6:$D$1505,'Weekly Plan'!$A$6:$A$1505,A57))</f>
        <v/>
      </c>
      <c r="N57" s="74" t="str">
        <f aca="false">IF(OR(I57="",N(F57)=0),"",I57/F57)</f>
        <v/>
      </c>
      <c r="O57" s="75" t="str">
        <f aca="false">IF(A57="","",IF(H57=0,"NO KIT LIST",IF(I57&gt;=F57,"COMPLETE",IF(L57&gt;0,"AHEAD +"&amp;L57,IF(L57=0,"ON PLAN","BEHIND "&amp;L57)))))</f>
        <v/>
      </c>
      <c r="P57" s="76" t="str">
        <f aca="false">IF(A57="","",IF(COUNTIF('Release Log'!$B$6:$B$4005,A57)=0,"–",_xlfn.MAXIFS('Release Log'!$A$6:$A$4005,'Release Log'!$B$6:$B$4005,A57)))</f>
        <v/>
      </c>
      <c r="Q57" s="72"/>
    </row>
    <row r="58" customFormat="false" ht="15" hidden="false" customHeight="false" outlineLevel="0" collapsed="false">
      <c r="A58" s="70"/>
      <c r="B58" s="71"/>
      <c r="C58" s="71"/>
      <c r="D58" s="72"/>
      <c r="E58" s="72"/>
      <c r="F58" s="72"/>
      <c r="G58" s="71"/>
      <c r="H58" s="73" t="str">
        <f aca="false">IF(A58="","",COUNTIF('Kit Lists'!$A$6:$A$605,A58))</f>
        <v/>
      </c>
      <c r="I58" s="73" t="str">
        <f aca="false">IF(OR(A58="",H58=0),"",_xlfn.MINIFS('Kit Lists'!$I$6:$I$605,'Kit Lists'!$A$6:$A$605,A58))</f>
        <v/>
      </c>
      <c r="J58" s="73" t="str">
        <f aca="false">IF(I58="","",I58*E58)</f>
        <v/>
      </c>
      <c r="K58" s="73" t="str">
        <f aca="false">IF(A58="","",SUMIFS('Weekly Plan'!$D$6:$D$1505,'Weekly Plan'!$A$6:$A$1505,A58,'Weekly Plan'!$E$6:$E$1505,"&lt;="&amp;(Dashboard!$Q$3+7*N(Q58))))</f>
        <v/>
      </c>
      <c r="L58" s="73" t="str">
        <f aca="false">IF(I58="","",I58-K58)</f>
        <v/>
      </c>
      <c r="M58" s="73" t="str">
        <f aca="false">IF(A58="","",SUMIFS('Weekly Plan'!$D$6:$D$1505,'Weekly Plan'!$A$6:$A$1505,A58))</f>
        <v/>
      </c>
      <c r="N58" s="74" t="str">
        <f aca="false">IF(OR(I58="",N(F58)=0),"",I58/F58)</f>
        <v/>
      </c>
      <c r="O58" s="75" t="str">
        <f aca="false">IF(A58="","",IF(H58=0,"NO KIT LIST",IF(I58&gt;=F58,"COMPLETE",IF(L58&gt;0,"AHEAD +"&amp;L58,IF(L58=0,"ON PLAN","BEHIND "&amp;L58)))))</f>
        <v/>
      </c>
      <c r="P58" s="76" t="str">
        <f aca="false">IF(A58="","",IF(COUNTIF('Release Log'!$B$6:$B$4005,A58)=0,"–",_xlfn.MAXIFS('Release Log'!$A$6:$A$4005,'Release Log'!$B$6:$B$4005,A58)))</f>
        <v/>
      </c>
      <c r="Q58" s="72"/>
    </row>
    <row r="59" customFormat="false" ht="15" hidden="false" customHeight="false" outlineLevel="0" collapsed="false">
      <c r="A59" s="70"/>
      <c r="B59" s="71"/>
      <c r="C59" s="71"/>
      <c r="D59" s="72"/>
      <c r="E59" s="72"/>
      <c r="F59" s="72"/>
      <c r="G59" s="71"/>
      <c r="H59" s="73" t="str">
        <f aca="false">IF(A59="","",COUNTIF('Kit Lists'!$A$6:$A$605,A59))</f>
        <v/>
      </c>
      <c r="I59" s="73" t="str">
        <f aca="false">IF(OR(A59="",H59=0),"",_xlfn.MINIFS('Kit Lists'!$I$6:$I$605,'Kit Lists'!$A$6:$A$605,A59))</f>
        <v/>
      </c>
      <c r="J59" s="73" t="str">
        <f aca="false">IF(I59="","",I59*E59)</f>
        <v/>
      </c>
      <c r="K59" s="73" t="str">
        <f aca="false">IF(A59="","",SUMIFS('Weekly Plan'!$D$6:$D$1505,'Weekly Plan'!$A$6:$A$1505,A59,'Weekly Plan'!$E$6:$E$1505,"&lt;="&amp;(Dashboard!$Q$3+7*N(Q59))))</f>
        <v/>
      </c>
      <c r="L59" s="73" t="str">
        <f aca="false">IF(I59="","",I59-K59)</f>
        <v/>
      </c>
      <c r="M59" s="73" t="str">
        <f aca="false">IF(A59="","",SUMIFS('Weekly Plan'!$D$6:$D$1505,'Weekly Plan'!$A$6:$A$1505,A59))</f>
        <v/>
      </c>
      <c r="N59" s="74" t="str">
        <f aca="false">IF(OR(I59="",N(F59)=0),"",I59/F59)</f>
        <v/>
      </c>
      <c r="O59" s="75" t="str">
        <f aca="false">IF(A59="","",IF(H59=0,"NO KIT LIST",IF(I59&gt;=F59,"COMPLETE",IF(L59&gt;0,"AHEAD +"&amp;L59,IF(L59=0,"ON PLAN","BEHIND "&amp;L59)))))</f>
        <v/>
      </c>
      <c r="P59" s="76" t="str">
        <f aca="false">IF(A59="","",IF(COUNTIF('Release Log'!$B$6:$B$4005,A59)=0,"–",_xlfn.MAXIFS('Release Log'!$A$6:$A$4005,'Release Log'!$B$6:$B$4005,A59)))</f>
        <v/>
      </c>
      <c r="Q59" s="72"/>
    </row>
    <row r="60" customFormat="false" ht="15" hidden="false" customHeight="false" outlineLevel="0" collapsed="false">
      <c r="A60" s="70"/>
      <c r="B60" s="71"/>
      <c r="C60" s="71"/>
      <c r="D60" s="72"/>
      <c r="E60" s="72"/>
      <c r="F60" s="72"/>
      <c r="G60" s="71"/>
      <c r="H60" s="73" t="str">
        <f aca="false">IF(A60="","",COUNTIF('Kit Lists'!$A$6:$A$605,A60))</f>
        <v/>
      </c>
      <c r="I60" s="73" t="str">
        <f aca="false">IF(OR(A60="",H60=0),"",_xlfn.MINIFS('Kit Lists'!$I$6:$I$605,'Kit Lists'!$A$6:$A$605,A60))</f>
        <v/>
      </c>
      <c r="J60" s="73" t="str">
        <f aca="false">IF(I60="","",I60*E60)</f>
        <v/>
      </c>
      <c r="K60" s="73" t="str">
        <f aca="false">IF(A60="","",SUMIFS('Weekly Plan'!$D$6:$D$1505,'Weekly Plan'!$A$6:$A$1505,A60,'Weekly Plan'!$E$6:$E$1505,"&lt;="&amp;(Dashboard!$Q$3+7*N(Q60))))</f>
        <v/>
      </c>
      <c r="L60" s="73" t="str">
        <f aca="false">IF(I60="","",I60-K60)</f>
        <v/>
      </c>
      <c r="M60" s="73" t="str">
        <f aca="false">IF(A60="","",SUMIFS('Weekly Plan'!$D$6:$D$1505,'Weekly Plan'!$A$6:$A$1505,A60))</f>
        <v/>
      </c>
      <c r="N60" s="74" t="str">
        <f aca="false">IF(OR(I60="",N(F60)=0),"",I60/F60)</f>
        <v/>
      </c>
      <c r="O60" s="75" t="str">
        <f aca="false">IF(A60="","",IF(H60=0,"NO KIT LIST",IF(I60&gt;=F60,"COMPLETE",IF(L60&gt;0,"AHEAD +"&amp;L60,IF(L60=0,"ON PLAN","BEHIND "&amp;L60)))))</f>
        <v/>
      </c>
      <c r="P60" s="76" t="str">
        <f aca="false">IF(A60="","",IF(COUNTIF('Release Log'!$B$6:$B$4005,A60)=0,"–",_xlfn.MAXIFS('Release Log'!$A$6:$A$4005,'Release Log'!$B$6:$B$4005,A60)))</f>
        <v/>
      </c>
      <c r="Q60" s="72"/>
    </row>
    <row r="61" customFormat="false" ht="15" hidden="false" customHeight="false" outlineLevel="0" collapsed="false">
      <c r="A61" s="70"/>
      <c r="B61" s="71"/>
      <c r="C61" s="71"/>
      <c r="D61" s="72"/>
      <c r="E61" s="72"/>
      <c r="F61" s="72"/>
      <c r="G61" s="71"/>
      <c r="H61" s="73" t="str">
        <f aca="false">IF(A61="","",COUNTIF('Kit Lists'!$A$6:$A$605,A61))</f>
        <v/>
      </c>
      <c r="I61" s="73" t="str">
        <f aca="false">IF(OR(A61="",H61=0),"",_xlfn.MINIFS('Kit Lists'!$I$6:$I$605,'Kit Lists'!$A$6:$A$605,A61))</f>
        <v/>
      </c>
      <c r="J61" s="73" t="str">
        <f aca="false">IF(I61="","",I61*E61)</f>
        <v/>
      </c>
      <c r="K61" s="73" t="str">
        <f aca="false">IF(A61="","",SUMIFS('Weekly Plan'!$D$6:$D$1505,'Weekly Plan'!$A$6:$A$1505,A61,'Weekly Plan'!$E$6:$E$1505,"&lt;="&amp;(Dashboard!$Q$3+7*N(Q61))))</f>
        <v/>
      </c>
      <c r="L61" s="73" t="str">
        <f aca="false">IF(I61="","",I61-K61)</f>
        <v/>
      </c>
      <c r="M61" s="73" t="str">
        <f aca="false">IF(A61="","",SUMIFS('Weekly Plan'!$D$6:$D$1505,'Weekly Plan'!$A$6:$A$1505,A61))</f>
        <v/>
      </c>
      <c r="N61" s="74" t="str">
        <f aca="false">IF(OR(I61="",N(F61)=0),"",I61/F61)</f>
        <v/>
      </c>
      <c r="O61" s="75" t="str">
        <f aca="false">IF(A61="","",IF(H61=0,"NO KIT LIST",IF(I61&gt;=F61,"COMPLETE",IF(L61&gt;0,"AHEAD +"&amp;L61,IF(L61=0,"ON PLAN","BEHIND "&amp;L61)))))</f>
        <v/>
      </c>
      <c r="P61" s="76" t="str">
        <f aca="false">IF(A61="","",IF(COUNTIF('Release Log'!$B$6:$B$4005,A61)=0,"–",_xlfn.MAXIFS('Release Log'!$A$6:$A$4005,'Release Log'!$B$6:$B$4005,A61)))</f>
        <v/>
      </c>
      <c r="Q61" s="72"/>
    </row>
    <row r="62" customFormat="false" ht="15" hidden="false" customHeight="false" outlineLevel="0" collapsed="false">
      <c r="A62" s="70"/>
      <c r="B62" s="71"/>
      <c r="C62" s="71"/>
      <c r="D62" s="72"/>
      <c r="E62" s="72"/>
      <c r="F62" s="72"/>
      <c r="G62" s="71"/>
      <c r="H62" s="73" t="str">
        <f aca="false">IF(A62="","",COUNTIF('Kit Lists'!$A$6:$A$605,A62))</f>
        <v/>
      </c>
      <c r="I62" s="73" t="str">
        <f aca="false">IF(OR(A62="",H62=0),"",_xlfn.MINIFS('Kit Lists'!$I$6:$I$605,'Kit Lists'!$A$6:$A$605,A62))</f>
        <v/>
      </c>
      <c r="J62" s="73" t="str">
        <f aca="false">IF(I62="","",I62*E62)</f>
        <v/>
      </c>
      <c r="K62" s="73" t="str">
        <f aca="false">IF(A62="","",SUMIFS('Weekly Plan'!$D$6:$D$1505,'Weekly Plan'!$A$6:$A$1505,A62,'Weekly Plan'!$E$6:$E$1505,"&lt;="&amp;(Dashboard!$Q$3+7*N(Q62))))</f>
        <v/>
      </c>
      <c r="L62" s="73" t="str">
        <f aca="false">IF(I62="","",I62-K62)</f>
        <v/>
      </c>
      <c r="M62" s="73" t="str">
        <f aca="false">IF(A62="","",SUMIFS('Weekly Plan'!$D$6:$D$1505,'Weekly Plan'!$A$6:$A$1505,A62))</f>
        <v/>
      </c>
      <c r="N62" s="74" t="str">
        <f aca="false">IF(OR(I62="",N(F62)=0),"",I62/F62)</f>
        <v/>
      </c>
      <c r="O62" s="75" t="str">
        <f aca="false">IF(A62="","",IF(H62=0,"NO KIT LIST",IF(I62&gt;=F62,"COMPLETE",IF(L62&gt;0,"AHEAD +"&amp;L62,IF(L62=0,"ON PLAN","BEHIND "&amp;L62)))))</f>
        <v/>
      </c>
      <c r="P62" s="76" t="str">
        <f aca="false">IF(A62="","",IF(COUNTIF('Release Log'!$B$6:$B$4005,A62)=0,"–",_xlfn.MAXIFS('Release Log'!$A$6:$A$4005,'Release Log'!$B$6:$B$4005,A62)))</f>
        <v/>
      </c>
      <c r="Q62" s="72"/>
    </row>
    <row r="63" customFormat="false" ht="15" hidden="false" customHeight="false" outlineLevel="0" collapsed="false">
      <c r="A63" s="70"/>
      <c r="B63" s="71"/>
      <c r="C63" s="71"/>
      <c r="D63" s="72"/>
      <c r="E63" s="72"/>
      <c r="F63" s="72"/>
      <c r="G63" s="71"/>
      <c r="H63" s="73" t="str">
        <f aca="false">IF(A63="","",COUNTIF('Kit Lists'!$A$6:$A$605,A63))</f>
        <v/>
      </c>
      <c r="I63" s="73" t="str">
        <f aca="false">IF(OR(A63="",H63=0),"",_xlfn.MINIFS('Kit Lists'!$I$6:$I$605,'Kit Lists'!$A$6:$A$605,A63))</f>
        <v/>
      </c>
      <c r="J63" s="73" t="str">
        <f aca="false">IF(I63="","",I63*E63)</f>
        <v/>
      </c>
      <c r="K63" s="73" t="str">
        <f aca="false">IF(A63="","",SUMIFS('Weekly Plan'!$D$6:$D$1505,'Weekly Plan'!$A$6:$A$1505,A63,'Weekly Plan'!$E$6:$E$1505,"&lt;="&amp;(Dashboard!$Q$3+7*N(Q63))))</f>
        <v/>
      </c>
      <c r="L63" s="73" t="str">
        <f aca="false">IF(I63="","",I63-K63)</f>
        <v/>
      </c>
      <c r="M63" s="73" t="str">
        <f aca="false">IF(A63="","",SUMIFS('Weekly Plan'!$D$6:$D$1505,'Weekly Plan'!$A$6:$A$1505,A63))</f>
        <v/>
      </c>
      <c r="N63" s="74" t="str">
        <f aca="false">IF(OR(I63="",N(F63)=0),"",I63/F63)</f>
        <v/>
      </c>
      <c r="O63" s="75" t="str">
        <f aca="false">IF(A63="","",IF(H63=0,"NO KIT LIST",IF(I63&gt;=F63,"COMPLETE",IF(L63&gt;0,"AHEAD +"&amp;L63,IF(L63=0,"ON PLAN","BEHIND "&amp;L63)))))</f>
        <v/>
      </c>
      <c r="P63" s="76" t="str">
        <f aca="false">IF(A63="","",IF(COUNTIF('Release Log'!$B$6:$B$4005,A63)=0,"–",_xlfn.MAXIFS('Release Log'!$A$6:$A$4005,'Release Log'!$B$6:$B$4005,A63)))</f>
        <v/>
      </c>
      <c r="Q63" s="72"/>
    </row>
    <row r="64" customFormat="false" ht="15" hidden="false" customHeight="false" outlineLevel="0" collapsed="false">
      <c r="A64" s="70"/>
      <c r="B64" s="71"/>
      <c r="C64" s="71"/>
      <c r="D64" s="72"/>
      <c r="E64" s="72"/>
      <c r="F64" s="72"/>
      <c r="G64" s="71"/>
      <c r="H64" s="73" t="str">
        <f aca="false">IF(A64="","",COUNTIF('Kit Lists'!$A$6:$A$605,A64))</f>
        <v/>
      </c>
      <c r="I64" s="73" t="str">
        <f aca="false">IF(OR(A64="",H64=0),"",_xlfn.MINIFS('Kit Lists'!$I$6:$I$605,'Kit Lists'!$A$6:$A$605,A64))</f>
        <v/>
      </c>
      <c r="J64" s="73" t="str">
        <f aca="false">IF(I64="","",I64*E64)</f>
        <v/>
      </c>
      <c r="K64" s="73" t="str">
        <f aca="false">IF(A64="","",SUMIFS('Weekly Plan'!$D$6:$D$1505,'Weekly Plan'!$A$6:$A$1505,A64,'Weekly Plan'!$E$6:$E$1505,"&lt;="&amp;(Dashboard!$Q$3+7*N(Q64))))</f>
        <v/>
      </c>
      <c r="L64" s="73" t="str">
        <f aca="false">IF(I64="","",I64-K64)</f>
        <v/>
      </c>
      <c r="M64" s="73" t="str">
        <f aca="false">IF(A64="","",SUMIFS('Weekly Plan'!$D$6:$D$1505,'Weekly Plan'!$A$6:$A$1505,A64))</f>
        <v/>
      </c>
      <c r="N64" s="74" t="str">
        <f aca="false">IF(OR(I64="",N(F64)=0),"",I64/F64)</f>
        <v/>
      </c>
      <c r="O64" s="75" t="str">
        <f aca="false">IF(A64="","",IF(H64=0,"NO KIT LIST",IF(I64&gt;=F64,"COMPLETE",IF(L64&gt;0,"AHEAD +"&amp;L64,IF(L64=0,"ON PLAN","BEHIND "&amp;L64)))))</f>
        <v/>
      </c>
      <c r="P64" s="76" t="str">
        <f aca="false">IF(A64="","",IF(COUNTIF('Release Log'!$B$6:$B$4005,A64)=0,"–",_xlfn.MAXIFS('Release Log'!$A$6:$A$4005,'Release Log'!$B$6:$B$4005,A64)))</f>
        <v/>
      </c>
      <c r="Q64" s="72"/>
    </row>
    <row r="65" customFormat="false" ht="15" hidden="false" customHeight="false" outlineLevel="0" collapsed="false">
      <c r="A65" s="70"/>
      <c r="B65" s="71"/>
      <c r="C65" s="71"/>
      <c r="D65" s="72"/>
      <c r="E65" s="72"/>
      <c r="F65" s="72"/>
      <c r="G65" s="71"/>
      <c r="H65" s="73" t="str">
        <f aca="false">IF(A65="","",COUNTIF('Kit Lists'!$A$6:$A$605,A65))</f>
        <v/>
      </c>
      <c r="I65" s="73" t="str">
        <f aca="false">IF(OR(A65="",H65=0),"",_xlfn.MINIFS('Kit Lists'!$I$6:$I$605,'Kit Lists'!$A$6:$A$605,A65))</f>
        <v/>
      </c>
      <c r="J65" s="73" t="str">
        <f aca="false">IF(I65="","",I65*E65)</f>
        <v/>
      </c>
      <c r="K65" s="73" t="str">
        <f aca="false">IF(A65="","",SUMIFS('Weekly Plan'!$D$6:$D$1505,'Weekly Plan'!$A$6:$A$1505,A65,'Weekly Plan'!$E$6:$E$1505,"&lt;="&amp;(Dashboard!$Q$3+7*N(Q65))))</f>
        <v/>
      </c>
      <c r="L65" s="73" t="str">
        <f aca="false">IF(I65="","",I65-K65)</f>
        <v/>
      </c>
      <c r="M65" s="73" t="str">
        <f aca="false">IF(A65="","",SUMIFS('Weekly Plan'!$D$6:$D$1505,'Weekly Plan'!$A$6:$A$1505,A65))</f>
        <v/>
      </c>
      <c r="N65" s="74" t="str">
        <f aca="false">IF(OR(I65="",N(F65)=0),"",I65/F65)</f>
        <v/>
      </c>
      <c r="O65" s="75" t="str">
        <f aca="false">IF(A65="","",IF(H65=0,"NO KIT LIST",IF(I65&gt;=F65,"COMPLETE",IF(L65&gt;0,"AHEAD +"&amp;L65,IF(L65=0,"ON PLAN","BEHIND "&amp;L65)))))</f>
        <v/>
      </c>
      <c r="P65" s="76" t="str">
        <f aca="false">IF(A65="","",IF(COUNTIF('Release Log'!$B$6:$B$4005,A65)=0,"–",_xlfn.MAXIFS('Release Log'!$A$6:$A$4005,'Release Log'!$B$6:$B$4005,A65)))</f>
        <v/>
      </c>
      <c r="Q65" s="72"/>
    </row>
  </sheetData>
  <conditionalFormatting sqref="O6:O65">
    <cfRule type="expression" priority="2" aboveAverage="0" equalAverage="0" bottom="0" percent="0" rank="0" text="" dxfId="7">
      <formula>LEFT($O6,8)="COMPLETE"</formula>
    </cfRule>
    <cfRule type="expression" priority="3" aboveAverage="0" equalAverage="0" bottom="0" percent="0" rank="0" text="" dxfId="7">
      <formula>LEFT($O6,5)="AHEAD"</formula>
    </cfRule>
    <cfRule type="expression" priority="4" aboveAverage="0" equalAverage="0" bottom="0" percent="0" rank="0" text="" dxfId="8">
      <formula>LEFT($O6,7)="ON PLAN"</formula>
    </cfRule>
    <cfRule type="expression" priority="5" aboveAverage="0" equalAverage="0" bottom="0" percent="0" rank="0" text="" dxfId="9">
      <formula>LEFT($O6,6)="BEHIND"</formula>
    </cfRule>
    <cfRule type="expression" priority="6" aboveAverage="0" equalAverage="0" bottom="0" percent="0" rank="0" text="" dxfId="10">
      <formula>LEFT($O6,6)="NO KIT"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true" outlineLevel="0" max="7" min="7" style="0" width="22"/>
    <col collapsed="false" customWidth="true" hidden="false" outlineLevel="0" max="9" min="8" style="0" width="10"/>
    <col collapsed="false" customWidth="true" hidden="true" outlineLevel="0" max="10" min="10" style="0" width="30"/>
  </cols>
  <sheetData>
    <row r="1" customFormat="false" ht="19.7" hidden="false" customHeight="false" outlineLevel="0" collapsed="false">
      <c r="A1" s="66" t="s">
        <v>95</v>
      </c>
    </row>
    <row r="2" customFormat="false" ht="15" hidden="false" customHeight="false" outlineLevel="0" collapsed="false">
      <c r="A2" s="67" t="s">
        <v>96</v>
      </c>
    </row>
    <row r="5" customFormat="false" ht="23.85" hidden="false" customHeight="false" outlineLevel="0" collapsed="false">
      <c r="A5" s="68" t="s">
        <v>35</v>
      </c>
      <c r="B5" s="68" t="s">
        <v>18</v>
      </c>
      <c r="C5" s="68" t="s">
        <v>19</v>
      </c>
      <c r="D5" s="68" t="s">
        <v>97</v>
      </c>
      <c r="E5" s="68" t="s">
        <v>98</v>
      </c>
      <c r="F5" s="69" t="s">
        <v>99</v>
      </c>
      <c r="G5" s="69" t="s">
        <v>100</v>
      </c>
      <c r="H5" s="69" t="s">
        <v>22</v>
      </c>
      <c r="I5" s="69" t="s">
        <v>63</v>
      </c>
      <c r="J5" s="69" t="s">
        <v>101</v>
      </c>
    </row>
    <row r="6" customFormat="false" ht="15" hidden="false" customHeight="false" outlineLevel="0" collapsed="false">
      <c r="A6" s="71" t="s">
        <v>3</v>
      </c>
      <c r="B6" s="71" t="s">
        <v>102</v>
      </c>
      <c r="C6" s="71" t="s">
        <v>103</v>
      </c>
      <c r="D6" s="71" t="s">
        <v>104</v>
      </c>
      <c r="E6" s="72" t="n">
        <v>1</v>
      </c>
      <c r="F6" s="77" t="n">
        <f aca="false">IF(A6="","",COUNTIF($A$6:A6,A6))</f>
        <v>1</v>
      </c>
      <c r="G6" s="77" t="str">
        <f aca="false">IF(A6="","",A6&amp;"|"&amp;F6)</f>
        <v>E2A-R12P-T5-C|1</v>
      </c>
      <c r="H6" s="77" t="n">
        <f aca="false">IF(A6="","",SUMIFS('Release Log'!$D$6:$D$4005,'Release Log'!$B$6:$B$4005,A6,'Release Log'!$C$6:$C$4005,C6))</f>
        <v>13</v>
      </c>
      <c r="I6" s="77" t="n">
        <f aca="false">IF(OR(A6="",N(E6)=0),"",INT(H6/E6))</f>
        <v>13</v>
      </c>
      <c r="J6" s="77" t="str">
        <f aca="false">IF(A6="","",A6&amp;"|"&amp;C6)</f>
        <v>E2A-R12P-T5-C|92YLS00548BAA</v>
      </c>
    </row>
    <row r="7" customFormat="false" ht="15" hidden="false" customHeight="false" outlineLevel="0" collapsed="false">
      <c r="A7" s="71" t="s">
        <v>3</v>
      </c>
      <c r="B7" s="71" t="s">
        <v>102</v>
      </c>
      <c r="C7" s="71" t="s">
        <v>105</v>
      </c>
      <c r="D7" s="71" t="s">
        <v>106</v>
      </c>
      <c r="E7" s="72" t="n">
        <v>2</v>
      </c>
      <c r="F7" s="77" t="n">
        <f aca="false">IF(A7="","",COUNTIF($A$6:A7,A7))</f>
        <v>2</v>
      </c>
      <c r="G7" s="77" t="str">
        <f aca="false">IF(A7="","",A7&amp;"|"&amp;F7)</f>
        <v>E2A-R12P-T5-C|2</v>
      </c>
      <c r="H7" s="77" t="n">
        <f aca="false">IF(A7="","",SUMIFS('Release Log'!$D$6:$D$4005,'Release Log'!$B$6:$B$4005,A7,'Release Log'!$C$6:$C$4005,C7))</f>
        <v>26</v>
      </c>
      <c r="I7" s="77" t="n">
        <f aca="false">IF(OR(A7="",N(E7)=0),"",INT(H7/E7))</f>
        <v>13</v>
      </c>
      <c r="J7" s="77" t="str">
        <f aca="false">IF(A7="","",A7&amp;"|"&amp;C7)</f>
        <v>E2A-R12P-T5-C|92YLS00548BBA</v>
      </c>
    </row>
    <row r="8" customFormat="false" ht="15" hidden="false" customHeight="false" outlineLevel="0" collapsed="false">
      <c r="A8" s="71" t="s">
        <v>3</v>
      </c>
      <c r="B8" s="71" t="s">
        <v>107</v>
      </c>
      <c r="C8" s="71" t="s">
        <v>108</v>
      </c>
      <c r="D8" s="71" t="s">
        <v>109</v>
      </c>
      <c r="E8" s="72" t="n">
        <v>3</v>
      </c>
      <c r="F8" s="77" t="n">
        <f aca="false">IF(A8="","",COUNTIF($A$6:A8,A8))</f>
        <v>3</v>
      </c>
      <c r="G8" s="77" t="str">
        <f aca="false">IF(A8="","",A8&amp;"|"&amp;F8)</f>
        <v>E2A-R12P-T5-C|3</v>
      </c>
      <c r="H8" s="77" t="n">
        <f aca="false">IF(A8="","",SUMIFS('Release Log'!$D$6:$D$4005,'Release Log'!$B$6:$B$4005,A8,'Release Log'!$C$6:$C$4005,C8))</f>
        <v>39</v>
      </c>
      <c r="I8" s="77" t="n">
        <f aca="false">IF(OR(A8="",N(E8)=0),"",INT(H8/E8))</f>
        <v>13</v>
      </c>
      <c r="J8" s="77" t="str">
        <f aca="false">IF(A8="","",A8&amp;"|"&amp;C8)</f>
        <v>E2A-R12P-T5-C|91YAF03404AAA</v>
      </c>
    </row>
    <row r="9" customFormat="false" ht="15" hidden="false" customHeight="false" outlineLevel="0" collapsed="false">
      <c r="A9" s="71" t="s">
        <v>3</v>
      </c>
      <c r="B9" s="71" t="s">
        <v>110</v>
      </c>
      <c r="C9" s="71" t="s">
        <v>111</v>
      </c>
      <c r="D9" s="71" t="s">
        <v>112</v>
      </c>
      <c r="E9" s="72" t="n">
        <v>1</v>
      </c>
      <c r="F9" s="77" t="n">
        <f aca="false">IF(A9="","",COUNTIF($A$6:A9,A9))</f>
        <v>4</v>
      </c>
      <c r="G9" s="77" t="str">
        <f aca="false">IF(A9="","",A9&amp;"|"&amp;F9)</f>
        <v>E2A-R12P-T5-C|4</v>
      </c>
      <c r="H9" s="77" t="n">
        <f aca="false">IF(A9="","",SUMIFS('Release Log'!$D$6:$D$4005,'Release Log'!$B$6:$B$4005,A9,'Release Log'!$C$6:$C$4005,C9))</f>
        <v>13</v>
      </c>
      <c r="I9" s="77" t="n">
        <f aca="false">IF(OR(A9="",N(E9)=0),"",INT(H9/E9))</f>
        <v>13</v>
      </c>
      <c r="J9" s="77" t="str">
        <f aca="false">IF(A9="","",A9&amp;"|"&amp;C9)</f>
        <v>E2A-R12P-T5-C|92YFD04548BAA</v>
      </c>
    </row>
    <row r="10" customFormat="false" ht="15" hidden="false" customHeight="false" outlineLevel="0" collapsed="false">
      <c r="A10" s="71" t="s">
        <v>3</v>
      </c>
      <c r="B10" s="71" t="s">
        <v>110</v>
      </c>
      <c r="C10" s="71" t="s">
        <v>113</v>
      </c>
      <c r="D10" s="71" t="s">
        <v>114</v>
      </c>
      <c r="E10" s="72" t="n">
        <v>2</v>
      </c>
      <c r="F10" s="77" t="n">
        <f aca="false">IF(A10="","",COUNTIF($A$6:A10,A10))</f>
        <v>5</v>
      </c>
      <c r="G10" s="77" t="str">
        <f aca="false">IF(A10="","",A10&amp;"|"&amp;F10)</f>
        <v>E2A-R12P-T5-C|5</v>
      </c>
      <c r="H10" s="77" t="n">
        <f aca="false">IF(A10="","",SUMIFS('Release Log'!$D$6:$D$4005,'Release Log'!$B$6:$B$4005,A10,'Release Log'!$C$6:$C$4005,C10))</f>
        <v>26</v>
      </c>
      <c r="I10" s="77" t="n">
        <f aca="false">IF(OR(A10="",N(E10)=0),"",INT(H10/E10))</f>
        <v>13</v>
      </c>
      <c r="J10" s="77" t="str">
        <f aca="false">IF(A10="","",A10&amp;"|"&amp;C10)</f>
        <v>E2A-R12P-T5-C|92YFD04548BBA</v>
      </c>
    </row>
    <row r="11" customFormat="false" ht="15" hidden="false" customHeight="false" outlineLevel="0" collapsed="false">
      <c r="A11" s="71" t="s">
        <v>3</v>
      </c>
      <c r="B11" s="71" t="s">
        <v>115</v>
      </c>
      <c r="C11" s="71" t="s">
        <v>116</v>
      </c>
      <c r="D11" s="71" t="s">
        <v>117</v>
      </c>
      <c r="E11" s="72" t="n">
        <v>3</v>
      </c>
      <c r="F11" s="77" t="n">
        <f aca="false">IF(A11="","",COUNTIF($A$6:A11,A11))</f>
        <v>6</v>
      </c>
      <c r="G11" s="77" t="str">
        <f aca="false">IF(A11="","",A11&amp;"|"&amp;F11)</f>
        <v>E2A-R12P-T5-C|6</v>
      </c>
      <c r="H11" s="77" t="n">
        <f aca="false">IF(A11="","",SUMIFS('Release Log'!$D$6:$D$4005,'Release Log'!$B$6:$B$4005,A11,'Release Log'!$C$6:$C$4005,C11))</f>
        <v>39</v>
      </c>
      <c r="I11" s="77" t="n">
        <f aca="false">IF(OR(A11="",N(E11)=0),"",INT(H11/E11))</f>
        <v>13</v>
      </c>
      <c r="J11" s="77" t="str">
        <f aca="false">IF(A11="","",A11&amp;"|"&amp;C11)</f>
        <v>E2A-R12P-T5-C|92YWS04548AAA</v>
      </c>
    </row>
    <row r="12" customFormat="false" ht="15" hidden="false" customHeight="false" outlineLevel="0" collapsed="false">
      <c r="A12" s="71" t="s">
        <v>3</v>
      </c>
      <c r="B12" s="71" t="s">
        <v>118</v>
      </c>
      <c r="C12" s="71" t="s">
        <v>119</v>
      </c>
      <c r="D12" s="71" t="s">
        <v>120</v>
      </c>
      <c r="E12" s="72" t="n">
        <v>24</v>
      </c>
      <c r="F12" s="77" t="n">
        <f aca="false">IF(A12="","",COUNTIF($A$6:A12,A12))</f>
        <v>7</v>
      </c>
      <c r="G12" s="77" t="str">
        <f aca="false">IF(A12="","",A12&amp;"|"&amp;F12)</f>
        <v>E2A-R12P-T5-C|7</v>
      </c>
      <c r="H12" s="77" t="n">
        <f aca="false">IF(A12="","",SUMIFS('Release Log'!$D$6:$D$4005,'Release Log'!$B$6:$B$4005,A12,'Release Log'!$C$6:$C$4005,C12))</f>
        <v>312</v>
      </c>
      <c r="I12" s="77" t="n">
        <f aca="false">IF(OR(A12="",N(E12)=0),"",INT(H12/E12))</f>
        <v>13</v>
      </c>
      <c r="J12" s="77" t="str">
        <f aca="false">IF(A12="","",A12&amp;"|"&amp;C12)</f>
        <v>E2A-R12P-T5-C|92RRA00548AAA</v>
      </c>
    </row>
    <row r="13" customFormat="false" ht="15" hidden="false" customHeight="false" outlineLevel="0" collapsed="false">
      <c r="A13" s="71" t="s">
        <v>3</v>
      </c>
      <c r="B13" s="71" t="s">
        <v>118</v>
      </c>
      <c r="C13" s="71" t="s">
        <v>121</v>
      </c>
      <c r="D13" s="71" t="s">
        <v>122</v>
      </c>
      <c r="E13" s="72" t="n">
        <v>3</v>
      </c>
      <c r="F13" s="77" t="n">
        <f aca="false">IF(A13="","",COUNTIF($A$6:A13,A13))</f>
        <v>8</v>
      </c>
      <c r="G13" s="77" t="str">
        <f aca="false">IF(A13="","",A13&amp;"|"&amp;F13)</f>
        <v>E2A-R12P-T5-C|8</v>
      </c>
      <c r="H13" s="77" t="n">
        <f aca="false">IF(A13="","",SUMIFS('Release Log'!$D$6:$D$4005,'Release Log'!$B$6:$B$4005,A13,'Release Log'!$C$6:$C$4005,C13))</f>
        <v>39</v>
      </c>
      <c r="I13" s="77" t="n">
        <f aca="false">IF(OR(A13="",N(E13)=0),"",INT(H13/E13))</f>
        <v>13</v>
      </c>
      <c r="J13" s="77" t="str">
        <f aca="false">IF(A13="","",A13&amp;"|"&amp;C13)</f>
        <v>E2A-R12P-T5-C|92YRA01548AAA</v>
      </c>
    </row>
    <row r="14" customFormat="false" ht="15" hidden="false" customHeight="false" outlineLevel="0" collapsed="false">
      <c r="A14" s="71" t="s">
        <v>3</v>
      </c>
      <c r="B14" s="71" t="s">
        <v>118</v>
      </c>
      <c r="C14" s="71" t="s">
        <v>123</v>
      </c>
      <c r="D14" s="71" t="s">
        <v>124</v>
      </c>
      <c r="E14" s="72" t="n">
        <v>3</v>
      </c>
      <c r="F14" s="77" t="n">
        <f aca="false">IF(A14="","",COUNTIF($A$6:A14,A14))</f>
        <v>9</v>
      </c>
      <c r="G14" s="77" t="str">
        <f aca="false">IF(A14="","",A14&amp;"|"&amp;F14)</f>
        <v>E2A-R12P-T5-C|9</v>
      </c>
      <c r="H14" s="77" t="n">
        <f aca="false">IF(A14="","",SUMIFS('Release Log'!$D$6:$D$4005,'Release Log'!$B$6:$B$4005,A14,'Release Log'!$C$6:$C$4005,C14))</f>
        <v>39</v>
      </c>
      <c r="I14" s="77" t="n">
        <f aca="false">IF(OR(A14="",N(E14)=0),"",INT(H14/E14))</f>
        <v>13</v>
      </c>
      <c r="J14" s="77" t="str">
        <f aca="false">IF(A14="","",A14&amp;"|"&amp;C14)</f>
        <v>E2A-R12P-T5-C|92YRA02548AAA</v>
      </c>
    </row>
    <row r="15" customFormat="false" ht="15" hidden="false" customHeight="false" outlineLevel="0" collapsed="false">
      <c r="A15" s="71" t="s">
        <v>3</v>
      </c>
      <c r="B15" s="71" t="s">
        <v>118</v>
      </c>
      <c r="C15" s="71" t="s">
        <v>125</v>
      </c>
      <c r="D15" s="71" t="s">
        <v>126</v>
      </c>
      <c r="E15" s="72" t="n">
        <v>3</v>
      </c>
      <c r="F15" s="77" t="n">
        <f aca="false">IF(A15="","",COUNTIF($A$6:A15,A15))</f>
        <v>10</v>
      </c>
      <c r="G15" s="77" t="str">
        <f aca="false">IF(A15="","",A15&amp;"|"&amp;F15)</f>
        <v>E2A-R12P-T5-C|10</v>
      </c>
      <c r="H15" s="77" t="n">
        <f aca="false">IF(A15="","",SUMIFS('Release Log'!$D$6:$D$4005,'Release Log'!$B$6:$B$4005,A15,'Release Log'!$C$6:$C$4005,C15))</f>
        <v>39</v>
      </c>
      <c r="I15" s="77" t="n">
        <f aca="false">IF(OR(A15="",N(E15)=0),"",INT(H15/E15))</f>
        <v>13</v>
      </c>
      <c r="J15" s="77" t="str">
        <f aca="false">IF(A15="","",A15&amp;"|"&amp;C15)</f>
        <v>E2A-R12P-T5-C|92YRA03548AAA</v>
      </c>
    </row>
    <row r="16" customFormat="false" ht="15" hidden="false" customHeight="false" outlineLevel="0" collapsed="false">
      <c r="A16" s="71" t="s">
        <v>3</v>
      </c>
      <c r="B16" s="71" t="s">
        <v>118</v>
      </c>
      <c r="C16" s="71" t="s">
        <v>127</v>
      </c>
      <c r="D16" s="71" t="s">
        <v>128</v>
      </c>
      <c r="E16" s="72" t="n">
        <v>3</v>
      </c>
      <c r="F16" s="77" t="n">
        <f aca="false">IF(A16="","",COUNTIF($A$6:A16,A16))</f>
        <v>11</v>
      </c>
      <c r="G16" s="77" t="str">
        <f aca="false">IF(A16="","",A16&amp;"|"&amp;F16)</f>
        <v>E2A-R12P-T5-C|11</v>
      </c>
      <c r="H16" s="77" t="n">
        <f aca="false">IF(A16="","",SUMIFS('Release Log'!$D$6:$D$4005,'Release Log'!$B$6:$B$4005,A16,'Release Log'!$C$6:$C$4005,C16))</f>
        <v>39</v>
      </c>
      <c r="I16" s="77" t="n">
        <f aca="false">IF(OR(A16="",N(E16)=0),"",INT(H16/E16))</f>
        <v>13</v>
      </c>
      <c r="J16" s="77" t="str">
        <f aca="false">IF(A16="","",A16&amp;"|"&amp;C16)</f>
        <v>E2A-R12P-T5-C|92YRA04548AAA</v>
      </c>
    </row>
    <row r="17" customFormat="false" ht="15" hidden="false" customHeight="false" outlineLevel="0" collapsed="false">
      <c r="A17" s="71" t="s">
        <v>3</v>
      </c>
      <c r="B17" s="71" t="s">
        <v>129</v>
      </c>
      <c r="C17" s="71" t="s">
        <v>130</v>
      </c>
      <c r="D17" s="71" t="s">
        <v>131</v>
      </c>
      <c r="E17" s="72" t="n">
        <v>1</v>
      </c>
      <c r="F17" s="77" t="n">
        <f aca="false">IF(A17="","",COUNTIF($A$6:A17,A17))</f>
        <v>12</v>
      </c>
      <c r="G17" s="77" t="str">
        <f aca="false">IF(A17="","",A17&amp;"|"&amp;F17)</f>
        <v>E2A-R12P-T5-C|12</v>
      </c>
      <c r="H17" s="77" t="n">
        <f aca="false">IF(A17="","",SUMIFS('Release Log'!$D$6:$D$4005,'Release Log'!$B$6:$B$4005,A17,'Release Log'!$C$6:$C$4005,C17))</f>
        <v>13</v>
      </c>
      <c r="I17" s="77" t="n">
        <f aca="false">IF(OR(A17="",N(E17)=0),"",INT(H17/E17))</f>
        <v>13</v>
      </c>
      <c r="J17" s="77" t="str">
        <f aca="false">IF(A17="","",A17&amp;"|"&amp;C17)</f>
        <v>E2A-R12P-T5-C|92UAP04548BAA</v>
      </c>
    </row>
    <row r="18" customFormat="false" ht="15" hidden="false" customHeight="false" outlineLevel="0" collapsed="false">
      <c r="A18" s="71" t="s">
        <v>3</v>
      </c>
      <c r="B18" s="71" t="s">
        <v>129</v>
      </c>
      <c r="C18" s="71" t="s">
        <v>132</v>
      </c>
      <c r="D18" s="71" t="s">
        <v>133</v>
      </c>
      <c r="E18" s="72" t="n">
        <v>1</v>
      </c>
      <c r="F18" s="77" t="n">
        <f aca="false">IF(A18="","",COUNTIF($A$6:A18,A18))</f>
        <v>13</v>
      </c>
      <c r="G18" s="77" t="str">
        <f aca="false">IF(A18="","",A18&amp;"|"&amp;F18)</f>
        <v>E2A-R12P-T5-C|13</v>
      </c>
      <c r="H18" s="77" t="n">
        <f aca="false">IF(A18="","",SUMIFS('Release Log'!$D$6:$D$4005,'Release Log'!$B$6:$B$4005,A18,'Release Log'!$C$6:$C$4005,C18))</f>
        <v>13</v>
      </c>
      <c r="I18" s="77" t="n">
        <f aca="false">IF(OR(A18="",N(E18)=0),"",INT(H18/E18))</f>
        <v>13</v>
      </c>
      <c r="J18" s="77" t="str">
        <f aca="false">IF(A18="","",A18&amp;"|"&amp;C18)</f>
        <v>E2A-R12P-T5-C|92UAP04548BBA</v>
      </c>
    </row>
    <row r="19" customFormat="false" ht="15" hidden="false" customHeight="false" outlineLevel="0" collapsed="false">
      <c r="A19" s="71" t="s">
        <v>3</v>
      </c>
      <c r="B19" s="71" t="s">
        <v>129</v>
      </c>
      <c r="C19" s="71" t="s">
        <v>134</v>
      </c>
      <c r="D19" s="71" t="s">
        <v>135</v>
      </c>
      <c r="E19" s="72" t="n">
        <v>1</v>
      </c>
      <c r="F19" s="77" t="n">
        <f aca="false">IF(A19="","",COUNTIF($A$6:A19,A19))</f>
        <v>14</v>
      </c>
      <c r="G19" s="77" t="str">
        <f aca="false">IF(A19="","",A19&amp;"|"&amp;F19)</f>
        <v>E2A-R12P-T5-C|14</v>
      </c>
      <c r="H19" s="77" t="n">
        <f aca="false">IF(A19="","",SUMIFS('Release Log'!$D$6:$D$4005,'Release Log'!$B$6:$B$4005,A19,'Release Log'!$C$6:$C$4005,C19))</f>
        <v>13</v>
      </c>
      <c r="I19" s="77" t="n">
        <f aca="false">IF(OR(A19="",N(E19)=0),"",INT(H19/E19))</f>
        <v>13</v>
      </c>
      <c r="J19" s="77" t="str">
        <f aca="false">IF(A19="","",A19&amp;"|"&amp;C19)</f>
        <v>E2A-R12P-T5-C|92UAP04548BCA</v>
      </c>
    </row>
    <row r="20" customFormat="false" ht="15" hidden="false" customHeight="false" outlineLevel="0" collapsed="false">
      <c r="A20" s="71" t="s">
        <v>68</v>
      </c>
      <c r="B20" s="71" t="s">
        <v>102</v>
      </c>
      <c r="C20" s="71" t="s">
        <v>136</v>
      </c>
      <c r="D20" s="71" t="s">
        <v>137</v>
      </c>
      <c r="E20" s="72" t="n">
        <v>1</v>
      </c>
      <c r="F20" s="77" t="n">
        <f aca="false">IF(A20="","",COUNTIF($A$6:A20,A20))</f>
        <v>1</v>
      </c>
      <c r="G20" s="77" t="str">
        <f aca="false">IF(A20="","",A20&amp;"|"&amp;F20)</f>
        <v>WKE-R24P-T1-C|1</v>
      </c>
      <c r="H20" s="77" t="n">
        <f aca="false">IF(A20="","",SUMIFS('Release Log'!$D$6:$D$4005,'Release Log'!$B$6:$B$4005,A20,'Release Log'!$C$6:$C$4005,C20))</f>
        <v>0</v>
      </c>
      <c r="I20" s="77" t="n">
        <f aca="false">IF(OR(A20="",N(E20)=0),"",INT(H20/E20))</f>
        <v>0</v>
      </c>
      <c r="J20" s="77" t="str">
        <f aca="false">IF(A20="","",A20&amp;"|"&amp;C20)</f>
        <v>WKE-R24P-T1-C|92YLS00543AAA</v>
      </c>
    </row>
    <row r="21" customFormat="false" ht="15" hidden="false" customHeight="false" outlineLevel="0" collapsed="false">
      <c r="A21" s="71" t="s">
        <v>68</v>
      </c>
      <c r="B21" s="71" t="s">
        <v>102</v>
      </c>
      <c r="C21" s="71" t="s">
        <v>138</v>
      </c>
      <c r="D21" s="71" t="s">
        <v>139</v>
      </c>
      <c r="E21" s="72" t="n">
        <v>1</v>
      </c>
      <c r="F21" s="77" t="n">
        <f aca="false">IF(A21="","",COUNTIF($A$6:A21,A21))</f>
        <v>2</v>
      </c>
      <c r="G21" s="77" t="str">
        <f aca="false">IF(A21="","",A21&amp;"|"&amp;F21)</f>
        <v>WKE-R24P-T1-C|2</v>
      </c>
      <c r="H21" s="77" t="n">
        <f aca="false">IF(A21="","",SUMIFS('Release Log'!$D$6:$D$4005,'Release Log'!$B$6:$B$4005,A21,'Release Log'!$C$6:$C$4005,C21))</f>
        <v>0</v>
      </c>
      <c r="I21" s="77" t="n">
        <f aca="false">IF(OR(A21="",N(E21)=0),"",INT(H21/E21))</f>
        <v>0</v>
      </c>
      <c r="J21" s="77" t="str">
        <f aca="false">IF(A21="","",A21&amp;"|"&amp;C21)</f>
        <v>WKE-R24P-T1-C|92YLS00543ABA</v>
      </c>
    </row>
    <row r="22" customFormat="false" ht="15" hidden="false" customHeight="false" outlineLevel="0" collapsed="false">
      <c r="A22" s="71" t="s">
        <v>68</v>
      </c>
      <c r="B22" s="71" t="s">
        <v>102</v>
      </c>
      <c r="C22" s="71" t="s">
        <v>140</v>
      </c>
      <c r="D22" s="71" t="s">
        <v>141</v>
      </c>
      <c r="E22" s="72" t="n">
        <v>1</v>
      </c>
      <c r="F22" s="77" t="n">
        <f aca="false">IF(A22="","",COUNTIF($A$6:A22,A22))</f>
        <v>3</v>
      </c>
      <c r="G22" s="77" t="str">
        <f aca="false">IF(A22="","",A22&amp;"|"&amp;F22)</f>
        <v>WKE-R24P-T1-C|3</v>
      </c>
      <c r="H22" s="77" t="n">
        <f aca="false">IF(A22="","",SUMIFS('Release Log'!$D$6:$D$4005,'Release Log'!$B$6:$B$4005,A22,'Release Log'!$C$6:$C$4005,C22))</f>
        <v>0</v>
      </c>
      <c r="I22" s="77" t="n">
        <f aca="false">IF(OR(A22="",N(E22)=0),"",INT(H22/E22))</f>
        <v>0</v>
      </c>
      <c r="J22" s="77" t="str">
        <f aca="false">IF(A22="","",A22&amp;"|"&amp;C22)</f>
        <v>WKE-R24P-T1-C|92YLS00543ACA</v>
      </c>
    </row>
    <row r="23" customFormat="false" ht="15" hidden="false" customHeight="false" outlineLevel="0" collapsed="false">
      <c r="A23" s="71" t="s">
        <v>68</v>
      </c>
      <c r="B23" s="71" t="s">
        <v>107</v>
      </c>
      <c r="C23" s="71" t="s">
        <v>108</v>
      </c>
      <c r="D23" s="71" t="s">
        <v>109</v>
      </c>
      <c r="E23" s="72" t="n">
        <v>6</v>
      </c>
      <c r="F23" s="77" t="n">
        <f aca="false">IF(A23="","",COUNTIF($A$6:A23,A23))</f>
        <v>4</v>
      </c>
      <c r="G23" s="77" t="str">
        <f aca="false">IF(A23="","",A23&amp;"|"&amp;F23)</f>
        <v>WKE-R24P-T1-C|4</v>
      </c>
      <c r="H23" s="77" t="n">
        <f aca="false">IF(A23="","",SUMIFS('Release Log'!$D$6:$D$4005,'Release Log'!$B$6:$B$4005,A23,'Release Log'!$C$6:$C$4005,C23))</f>
        <v>0</v>
      </c>
      <c r="I23" s="77" t="n">
        <f aca="false">IF(OR(A23="",N(E23)=0),"",INT(H23/E23))</f>
        <v>0</v>
      </c>
      <c r="J23" s="77" t="str">
        <f aca="false">IF(A23="","",A23&amp;"|"&amp;C23)</f>
        <v>WKE-R24P-T1-C|91YAF03404AAA</v>
      </c>
    </row>
    <row r="24" customFormat="false" ht="15" hidden="false" customHeight="false" outlineLevel="0" collapsed="false">
      <c r="A24" s="71" t="s">
        <v>68</v>
      </c>
      <c r="B24" s="71" t="s">
        <v>110</v>
      </c>
      <c r="C24" s="71" t="s">
        <v>142</v>
      </c>
      <c r="D24" s="71" t="s">
        <v>143</v>
      </c>
      <c r="E24" s="72" t="n">
        <v>1</v>
      </c>
      <c r="F24" s="77" t="n">
        <f aca="false">IF(A24="","",COUNTIF($A$6:A24,A24))</f>
        <v>5</v>
      </c>
      <c r="G24" s="77" t="str">
        <f aca="false">IF(A24="","",A24&amp;"|"&amp;F24)</f>
        <v>WKE-R24P-T1-C|5</v>
      </c>
      <c r="H24" s="77" t="n">
        <f aca="false">IF(A24="","",SUMIFS('Release Log'!$D$6:$D$4005,'Release Log'!$B$6:$B$4005,A24,'Release Log'!$C$6:$C$4005,C24))</f>
        <v>0</v>
      </c>
      <c r="I24" s="77" t="n">
        <f aca="false">IF(OR(A24="",N(E24)=0),"",INT(H24/E24))</f>
        <v>0</v>
      </c>
      <c r="J24" s="77" t="str">
        <f aca="false">IF(A24="","",A24&amp;"|"&amp;C24)</f>
        <v>WKE-R24P-T1-C|92YFD44543AAA</v>
      </c>
    </row>
    <row r="25" customFormat="false" ht="15" hidden="false" customHeight="false" outlineLevel="0" collapsed="false">
      <c r="A25" s="71" t="s">
        <v>68</v>
      </c>
      <c r="B25" s="71" t="s">
        <v>110</v>
      </c>
      <c r="C25" s="71" t="s">
        <v>144</v>
      </c>
      <c r="D25" s="71" t="s">
        <v>145</v>
      </c>
      <c r="E25" s="72" t="n">
        <v>1</v>
      </c>
      <c r="F25" s="77" t="n">
        <f aca="false">IF(A25="","",COUNTIF($A$6:A25,A25))</f>
        <v>6</v>
      </c>
      <c r="G25" s="77" t="str">
        <f aca="false">IF(A25="","",A25&amp;"|"&amp;F25)</f>
        <v>WKE-R24P-T1-C|6</v>
      </c>
      <c r="H25" s="77" t="n">
        <f aca="false">IF(A25="","",SUMIFS('Release Log'!$D$6:$D$4005,'Release Log'!$B$6:$B$4005,A25,'Release Log'!$C$6:$C$4005,C25))</f>
        <v>0</v>
      </c>
      <c r="I25" s="77" t="n">
        <f aca="false">IF(OR(A25="",N(E25)=0),"",INT(H25/E25))</f>
        <v>0</v>
      </c>
      <c r="J25" s="77" t="str">
        <f aca="false">IF(A25="","",A25&amp;"|"&amp;C25)</f>
        <v>WKE-R24P-T1-C|92YFD44543ABA</v>
      </c>
    </row>
    <row r="26" customFormat="false" ht="15" hidden="false" customHeight="false" outlineLevel="0" collapsed="false">
      <c r="A26" s="71" t="s">
        <v>68</v>
      </c>
      <c r="B26" s="71" t="s">
        <v>110</v>
      </c>
      <c r="C26" s="71" t="s">
        <v>146</v>
      </c>
      <c r="D26" s="71" t="s">
        <v>147</v>
      </c>
      <c r="E26" s="72" t="n">
        <v>1</v>
      </c>
      <c r="F26" s="77" t="n">
        <f aca="false">IF(A26="","",COUNTIF($A$6:A26,A26))</f>
        <v>7</v>
      </c>
      <c r="G26" s="77" t="str">
        <f aca="false">IF(A26="","",A26&amp;"|"&amp;F26)</f>
        <v>WKE-R24P-T1-C|7</v>
      </c>
      <c r="H26" s="77" t="n">
        <f aca="false">IF(A26="","",SUMIFS('Release Log'!$D$6:$D$4005,'Release Log'!$B$6:$B$4005,A26,'Release Log'!$C$6:$C$4005,C26))</f>
        <v>0</v>
      </c>
      <c r="I26" s="77" t="n">
        <f aca="false">IF(OR(A26="",N(E26)=0),"",INT(H26/E26))</f>
        <v>0</v>
      </c>
      <c r="J26" s="77" t="str">
        <f aca="false">IF(A26="","",A26&amp;"|"&amp;C26)</f>
        <v>WKE-R24P-T1-C|92YFD44543ACA</v>
      </c>
    </row>
    <row r="27" customFormat="false" ht="15" hidden="false" customHeight="false" outlineLevel="0" collapsed="false">
      <c r="A27" s="71" t="s">
        <v>68</v>
      </c>
      <c r="B27" s="71" t="s">
        <v>115</v>
      </c>
      <c r="C27" s="71" t="s">
        <v>148</v>
      </c>
      <c r="D27" s="71" t="s">
        <v>149</v>
      </c>
      <c r="E27" s="72" t="n">
        <v>6</v>
      </c>
      <c r="F27" s="77" t="n">
        <f aca="false">IF(A27="","",COUNTIF($A$6:A27,A27))</f>
        <v>8</v>
      </c>
      <c r="G27" s="77" t="str">
        <f aca="false">IF(A27="","",A27&amp;"|"&amp;F27)</f>
        <v>WKE-R24P-T1-C|8</v>
      </c>
      <c r="H27" s="77" t="n">
        <f aca="false">IF(A27="","",SUMIFS('Release Log'!$D$6:$D$4005,'Release Log'!$B$6:$B$4005,A27,'Release Log'!$C$6:$C$4005,C27))</f>
        <v>0</v>
      </c>
      <c r="I27" s="77" t="n">
        <f aca="false">IF(OR(A27="",N(E27)=0),"",INT(H27/E27))</f>
        <v>0</v>
      </c>
      <c r="J27" s="77" t="str">
        <f aca="false">IF(A27="","",A27&amp;"|"&amp;C27)</f>
        <v>WKE-R24P-T1-C|92YWS04543AAA</v>
      </c>
    </row>
    <row r="28" customFormat="false" ht="15" hidden="false" customHeight="false" outlineLevel="0" collapsed="false">
      <c r="A28" s="71" t="s">
        <v>68</v>
      </c>
      <c r="B28" s="71" t="s">
        <v>118</v>
      </c>
      <c r="C28" s="71" t="s">
        <v>150</v>
      </c>
      <c r="D28" s="71" t="s">
        <v>151</v>
      </c>
      <c r="E28" s="72" t="n">
        <v>6</v>
      </c>
      <c r="F28" s="77" t="n">
        <f aca="false">IF(A28="","",COUNTIF($A$6:A28,A28))</f>
        <v>9</v>
      </c>
      <c r="G28" s="77" t="str">
        <f aca="false">IF(A28="","",A28&amp;"|"&amp;F28)</f>
        <v>WKE-R24P-T1-C|9</v>
      </c>
      <c r="H28" s="77" t="n">
        <f aca="false">IF(A28="","",SUMIFS('Release Log'!$D$6:$D$4005,'Release Log'!$B$6:$B$4005,A28,'Release Log'!$C$6:$C$4005,C28))</f>
        <v>0</v>
      </c>
      <c r="I28" s="77" t="n">
        <f aca="false">IF(OR(A28="",N(E28)=0),"",INT(H28/E28))</f>
        <v>0</v>
      </c>
      <c r="J28" s="77" t="str">
        <f aca="false">IF(A28="","",A28&amp;"|"&amp;C28)</f>
        <v>WKE-R24P-T1-C|92YRA01543AAA</v>
      </c>
    </row>
    <row r="29" customFormat="false" ht="15" hidden="false" customHeight="false" outlineLevel="0" collapsed="false">
      <c r="A29" s="71" t="s">
        <v>68</v>
      </c>
      <c r="B29" s="71" t="s">
        <v>118</v>
      </c>
      <c r="C29" s="71" t="s">
        <v>152</v>
      </c>
      <c r="D29" s="71" t="s">
        <v>153</v>
      </c>
      <c r="E29" s="72" t="n">
        <v>6</v>
      </c>
      <c r="F29" s="77" t="n">
        <f aca="false">IF(A29="","",COUNTIF($A$6:A29,A29))</f>
        <v>10</v>
      </c>
      <c r="G29" s="77" t="str">
        <f aca="false">IF(A29="","",A29&amp;"|"&amp;F29)</f>
        <v>WKE-R24P-T1-C|10</v>
      </c>
      <c r="H29" s="77" t="n">
        <f aca="false">IF(A29="","",SUMIFS('Release Log'!$D$6:$D$4005,'Release Log'!$B$6:$B$4005,A29,'Release Log'!$C$6:$C$4005,C29))</f>
        <v>0</v>
      </c>
      <c r="I29" s="77" t="n">
        <f aca="false">IF(OR(A29="",N(E29)=0),"",INT(H29/E29))</f>
        <v>0</v>
      </c>
      <c r="J29" s="77" t="str">
        <f aca="false">IF(A29="","",A29&amp;"|"&amp;C29)</f>
        <v>WKE-R24P-T1-C|92YRA02543AAA</v>
      </c>
    </row>
    <row r="30" customFormat="false" ht="15" hidden="false" customHeight="false" outlineLevel="0" collapsed="false">
      <c r="A30" s="71" t="s">
        <v>68</v>
      </c>
      <c r="B30" s="71" t="s">
        <v>118</v>
      </c>
      <c r="C30" s="71" t="s">
        <v>154</v>
      </c>
      <c r="D30" s="71" t="s">
        <v>155</v>
      </c>
      <c r="E30" s="72" t="n">
        <v>6</v>
      </c>
      <c r="F30" s="77" t="n">
        <f aca="false">IF(A30="","",COUNTIF($A$6:A30,A30))</f>
        <v>11</v>
      </c>
      <c r="G30" s="77" t="str">
        <f aca="false">IF(A30="","",A30&amp;"|"&amp;F30)</f>
        <v>WKE-R24P-T1-C|11</v>
      </c>
      <c r="H30" s="77" t="n">
        <f aca="false">IF(A30="","",SUMIFS('Release Log'!$D$6:$D$4005,'Release Log'!$B$6:$B$4005,A30,'Release Log'!$C$6:$C$4005,C30))</f>
        <v>0</v>
      </c>
      <c r="I30" s="77" t="n">
        <f aca="false">IF(OR(A30="",N(E30)=0),"",INT(H30/E30))</f>
        <v>0</v>
      </c>
      <c r="J30" s="77" t="str">
        <f aca="false">IF(A30="","",A30&amp;"|"&amp;C30)</f>
        <v>WKE-R24P-T1-C|92YRA03543AAA</v>
      </c>
    </row>
    <row r="31" customFormat="false" ht="15" hidden="false" customHeight="false" outlineLevel="0" collapsed="false">
      <c r="A31" s="71" t="s">
        <v>68</v>
      </c>
      <c r="B31" s="71" t="s">
        <v>118</v>
      </c>
      <c r="C31" s="71" t="s">
        <v>156</v>
      </c>
      <c r="D31" s="71" t="s">
        <v>157</v>
      </c>
      <c r="E31" s="72" t="n">
        <v>6</v>
      </c>
      <c r="F31" s="77" t="n">
        <f aca="false">IF(A31="","",COUNTIF($A$6:A31,A31))</f>
        <v>12</v>
      </c>
      <c r="G31" s="77" t="str">
        <f aca="false">IF(A31="","",A31&amp;"|"&amp;F31)</f>
        <v>WKE-R24P-T1-C|12</v>
      </c>
      <c r="H31" s="77" t="n">
        <f aca="false">IF(A31="","",SUMIFS('Release Log'!$D$6:$D$4005,'Release Log'!$B$6:$B$4005,A31,'Release Log'!$C$6:$C$4005,C31))</f>
        <v>0</v>
      </c>
      <c r="I31" s="77" t="n">
        <f aca="false">IF(OR(A31="",N(E31)=0),"",INT(H31/E31))</f>
        <v>0</v>
      </c>
      <c r="J31" s="77" t="str">
        <f aca="false">IF(A31="","",A31&amp;"|"&amp;C31)</f>
        <v>WKE-R24P-T1-C|92YRA04543AAA</v>
      </c>
    </row>
    <row r="32" customFormat="false" ht="15" hidden="false" customHeight="false" outlineLevel="0" collapsed="false">
      <c r="A32" s="71" t="s">
        <v>68</v>
      </c>
      <c r="B32" s="71" t="s">
        <v>118</v>
      </c>
      <c r="C32" s="71" t="s">
        <v>158</v>
      </c>
      <c r="D32" s="71" t="s">
        <v>159</v>
      </c>
      <c r="E32" s="72" t="n">
        <v>48</v>
      </c>
      <c r="F32" s="77" t="n">
        <f aca="false">IF(A32="","",COUNTIF($A$6:A32,A32))</f>
        <v>13</v>
      </c>
      <c r="G32" s="77" t="str">
        <f aca="false">IF(A32="","",A32&amp;"|"&amp;F32)</f>
        <v>WKE-R24P-T1-C|13</v>
      </c>
      <c r="H32" s="77" t="n">
        <f aca="false">IF(A32="","",SUMIFS('Release Log'!$D$6:$D$4005,'Release Log'!$B$6:$B$4005,A32,'Release Log'!$C$6:$C$4005,C32))</f>
        <v>0</v>
      </c>
      <c r="I32" s="77" t="n">
        <f aca="false">IF(OR(A32="",N(E32)=0),"",INT(H32/E32))</f>
        <v>0</v>
      </c>
      <c r="J32" s="77" t="str">
        <f aca="false">IF(A32="","",A32&amp;"|"&amp;C32)</f>
        <v>WKE-R24P-T1-C|92RRA00543AAA</v>
      </c>
    </row>
    <row r="33" customFormat="false" ht="15" hidden="false" customHeight="false" outlineLevel="0" collapsed="false">
      <c r="A33" s="71" t="s">
        <v>68</v>
      </c>
      <c r="B33" s="71" t="s">
        <v>129</v>
      </c>
      <c r="C33" s="71" t="s">
        <v>160</v>
      </c>
      <c r="D33" s="71" t="s">
        <v>161</v>
      </c>
      <c r="E33" s="72" t="n">
        <v>1</v>
      </c>
      <c r="F33" s="77" t="n">
        <f aca="false">IF(A33="","",COUNTIF($A$6:A33,A33))</f>
        <v>14</v>
      </c>
      <c r="G33" s="77" t="str">
        <f aca="false">IF(A33="","",A33&amp;"|"&amp;F33)</f>
        <v>WKE-R24P-T1-C|14</v>
      </c>
      <c r="H33" s="77" t="n">
        <f aca="false">IF(A33="","",SUMIFS('Release Log'!$D$6:$D$4005,'Release Log'!$B$6:$B$4005,A33,'Release Log'!$C$6:$C$4005,C33))</f>
        <v>0</v>
      </c>
      <c r="I33" s="77" t="n">
        <f aca="false">IF(OR(A33="",N(E33)=0),"",INT(H33/E33))</f>
        <v>0</v>
      </c>
      <c r="J33" s="77" t="str">
        <f aca="false">IF(A33="","",A33&amp;"|"&amp;C33)</f>
        <v>WKE-R24P-T1-C|92UAP44543AAA</v>
      </c>
    </row>
    <row r="34" customFormat="false" ht="15" hidden="false" customHeight="false" outlineLevel="0" collapsed="false">
      <c r="A34" s="71" t="s">
        <v>68</v>
      </c>
      <c r="B34" s="71" t="s">
        <v>129</v>
      </c>
      <c r="C34" s="71" t="s">
        <v>162</v>
      </c>
      <c r="D34" s="71" t="s">
        <v>163</v>
      </c>
      <c r="E34" s="72" t="n">
        <v>1</v>
      </c>
      <c r="F34" s="77" t="n">
        <f aca="false">IF(A34="","",COUNTIF($A$6:A34,A34))</f>
        <v>15</v>
      </c>
      <c r="G34" s="77" t="str">
        <f aca="false">IF(A34="","",A34&amp;"|"&amp;F34)</f>
        <v>WKE-R24P-T1-C|15</v>
      </c>
      <c r="H34" s="77" t="n">
        <f aca="false">IF(A34="","",SUMIFS('Release Log'!$D$6:$D$4005,'Release Log'!$B$6:$B$4005,A34,'Release Log'!$C$6:$C$4005,C34))</f>
        <v>0</v>
      </c>
      <c r="I34" s="77" t="n">
        <f aca="false">IF(OR(A34="",N(E34)=0),"",INT(H34/E34))</f>
        <v>0</v>
      </c>
      <c r="J34" s="77" t="str">
        <f aca="false">IF(A34="","",A34&amp;"|"&amp;C34)</f>
        <v>WKE-R24P-T1-C|92UAP44543ABA</v>
      </c>
    </row>
    <row r="35" customFormat="false" ht="15" hidden="false" customHeight="false" outlineLevel="0" collapsed="false">
      <c r="A35" s="71" t="s">
        <v>68</v>
      </c>
      <c r="B35" s="71" t="s">
        <v>129</v>
      </c>
      <c r="C35" s="71" t="s">
        <v>164</v>
      </c>
      <c r="D35" s="71" t="s">
        <v>165</v>
      </c>
      <c r="E35" s="72" t="n">
        <v>1</v>
      </c>
      <c r="F35" s="77" t="n">
        <f aca="false">IF(A35="","",COUNTIF($A$6:A35,A35))</f>
        <v>16</v>
      </c>
      <c r="G35" s="77" t="str">
        <f aca="false">IF(A35="","",A35&amp;"|"&amp;F35)</f>
        <v>WKE-R24P-T1-C|16</v>
      </c>
      <c r="H35" s="77" t="n">
        <f aca="false">IF(A35="","",SUMIFS('Release Log'!$D$6:$D$4005,'Release Log'!$B$6:$B$4005,A35,'Release Log'!$C$6:$C$4005,C35))</f>
        <v>0</v>
      </c>
      <c r="I35" s="77" t="n">
        <f aca="false">IF(OR(A35="",N(E35)=0),"",INT(H35/E35))</f>
        <v>0</v>
      </c>
      <c r="J35" s="77" t="str">
        <f aca="false">IF(A35="","",A35&amp;"|"&amp;C35)</f>
        <v>WKE-R24P-T1-C|92UAP44543ACA</v>
      </c>
    </row>
    <row r="36" customFormat="false" ht="15" hidden="false" customHeight="false" outlineLevel="0" collapsed="false">
      <c r="A36" s="71"/>
      <c r="B36" s="71"/>
      <c r="C36" s="71"/>
      <c r="D36" s="71"/>
      <c r="E36" s="72"/>
      <c r="F36" s="77" t="str">
        <f aca="false">IF(A36="","",COUNTIF($A$6:A36,A36))</f>
        <v/>
      </c>
      <c r="G36" s="77" t="str">
        <f aca="false">IF(A36="","",A36&amp;"|"&amp;F36)</f>
        <v/>
      </c>
      <c r="H36" s="77" t="str">
        <f aca="false">IF(A36="","",SUMIFS('Release Log'!$D$6:$D$4005,'Release Log'!$B$6:$B$4005,A36,'Release Log'!$C$6:$C$4005,C36))</f>
        <v/>
      </c>
      <c r="I36" s="77" t="str">
        <f aca="false">IF(OR(A36="",N(E36)=0),"",INT(H36/E36))</f>
        <v/>
      </c>
      <c r="J36" s="77" t="str">
        <f aca="false">IF(A36="","",A36&amp;"|"&amp;C36)</f>
        <v/>
      </c>
    </row>
    <row r="37" customFormat="false" ht="15" hidden="false" customHeight="false" outlineLevel="0" collapsed="false">
      <c r="A37" s="71"/>
      <c r="B37" s="71"/>
      <c r="C37" s="71"/>
      <c r="D37" s="71"/>
      <c r="E37" s="72"/>
      <c r="F37" s="77" t="str">
        <f aca="false">IF(A37="","",COUNTIF($A$6:A37,A37))</f>
        <v/>
      </c>
      <c r="G37" s="77" t="str">
        <f aca="false">IF(A37="","",A37&amp;"|"&amp;F37)</f>
        <v/>
      </c>
      <c r="H37" s="77" t="str">
        <f aca="false">IF(A37="","",SUMIFS('Release Log'!$D$6:$D$4005,'Release Log'!$B$6:$B$4005,A37,'Release Log'!$C$6:$C$4005,C37))</f>
        <v/>
      </c>
      <c r="I37" s="77" t="str">
        <f aca="false">IF(OR(A37="",N(E37)=0),"",INT(H37/E37))</f>
        <v/>
      </c>
      <c r="J37" s="77" t="str">
        <f aca="false">IF(A37="","",A37&amp;"|"&amp;C37)</f>
        <v/>
      </c>
    </row>
    <row r="38" customFormat="false" ht="15" hidden="false" customHeight="false" outlineLevel="0" collapsed="false">
      <c r="A38" s="71"/>
      <c r="B38" s="71"/>
      <c r="C38" s="71"/>
      <c r="D38" s="71"/>
      <c r="E38" s="72"/>
      <c r="F38" s="77" t="str">
        <f aca="false">IF(A38="","",COUNTIF($A$6:A38,A38))</f>
        <v/>
      </c>
      <c r="G38" s="77" t="str">
        <f aca="false">IF(A38="","",A38&amp;"|"&amp;F38)</f>
        <v/>
      </c>
      <c r="H38" s="77" t="str">
        <f aca="false">IF(A38="","",SUMIFS('Release Log'!$D$6:$D$4005,'Release Log'!$B$6:$B$4005,A38,'Release Log'!$C$6:$C$4005,C38))</f>
        <v/>
      </c>
      <c r="I38" s="77" t="str">
        <f aca="false">IF(OR(A38="",N(E38)=0),"",INT(H38/E38))</f>
        <v/>
      </c>
      <c r="J38" s="77" t="str">
        <f aca="false">IF(A38="","",A38&amp;"|"&amp;C38)</f>
        <v/>
      </c>
    </row>
    <row r="39" customFormat="false" ht="15" hidden="false" customHeight="false" outlineLevel="0" collapsed="false">
      <c r="A39" s="71"/>
      <c r="B39" s="71"/>
      <c r="C39" s="71"/>
      <c r="D39" s="71"/>
      <c r="E39" s="72"/>
      <c r="F39" s="77" t="str">
        <f aca="false">IF(A39="","",COUNTIF($A$6:A39,A39))</f>
        <v/>
      </c>
      <c r="G39" s="77" t="str">
        <f aca="false">IF(A39="","",A39&amp;"|"&amp;F39)</f>
        <v/>
      </c>
      <c r="H39" s="77" t="str">
        <f aca="false">IF(A39="","",SUMIFS('Release Log'!$D$6:$D$4005,'Release Log'!$B$6:$B$4005,A39,'Release Log'!$C$6:$C$4005,C39))</f>
        <v/>
      </c>
      <c r="I39" s="77" t="str">
        <f aca="false">IF(OR(A39="",N(E39)=0),"",INT(H39/E39))</f>
        <v/>
      </c>
      <c r="J39" s="77" t="str">
        <f aca="false">IF(A39="","",A39&amp;"|"&amp;C39)</f>
        <v/>
      </c>
    </row>
    <row r="40" customFormat="false" ht="15" hidden="false" customHeight="false" outlineLevel="0" collapsed="false">
      <c r="A40" s="71"/>
      <c r="B40" s="71"/>
      <c r="C40" s="71"/>
      <c r="D40" s="71"/>
      <c r="E40" s="72"/>
      <c r="F40" s="77" t="str">
        <f aca="false">IF(A40="","",COUNTIF($A$6:A40,A40))</f>
        <v/>
      </c>
      <c r="G40" s="77" t="str">
        <f aca="false">IF(A40="","",A40&amp;"|"&amp;F40)</f>
        <v/>
      </c>
      <c r="H40" s="77" t="str">
        <f aca="false">IF(A40="","",SUMIFS('Release Log'!$D$6:$D$4005,'Release Log'!$B$6:$B$4005,A40,'Release Log'!$C$6:$C$4005,C40))</f>
        <v/>
      </c>
      <c r="I40" s="77" t="str">
        <f aca="false">IF(OR(A40="",N(E40)=0),"",INT(H40/E40))</f>
        <v/>
      </c>
      <c r="J40" s="77" t="str">
        <f aca="false">IF(A40="","",A40&amp;"|"&amp;C40)</f>
        <v/>
      </c>
    </row>
    <row r="41" customFormat="false" ht="15" hidden="false" customHeight="false" outlineLevel="0" collapsed="false">
      <c r="A41" s="71"/>
      <c r="B41" s="71"/>
      <c r="C41" s="71"/>
      <c r="D41" s="71"/>
      <c r="E41" s="72"/>
      <c r="F41" s="77" t="str">
        <f aca="false">IF(A41="","",COUNTIF($A$6:A41,A41))</f>
        <v/>
      </c>
      <c r="G41" s="77" t="str">
        <f aca="false">IF(A41="","",A41&amp;"|"&amp;F41)</f>
        <v/>
      </c>
      <c r="H41" s="77" t="str">
        <f aca="false">IF(A41="","",SUMIFS('Release Log'!$D$6:$D$4005,'Release Log'!$B$6:$B$4005,A41,'Release Log'!$C$6:$C$4005,C41))</f>
        <v/>
      </c>
      <c r="I41" s="77" t="str">
        <f aca="false">IF(OR(A41="",N(E41)=0),"",INT(H41/E41))</f>
        <v/>
      </c>
      <c r="J41" s="77" t="str">
        <f aca="false">IF(A41="","",A41&amp;"|"&amp;C41)</f>
        <v/>
      </c>
    </row>
    <row r="42" customFormat="false" ht="15" hidden="false" customHeight="false" outlineLevel="0" collapsed="false">
      <c r="A42" s="71"/>
      <c r="B42" s="71"/>
      <c r="C42" s="71"/>
      <c r="D42" s="71"/>
      <c r="E42" s="72"/>
      <c r="F42" s="77" t="str">
        <f aca="false">IF(A42="","",COUNTIF($A$6:A42,A42))</f>
        <v/>
      </c>
      <c r="G42" s="77" t="str">
        <f aca="false">IF(A42="","",A42&amp;"|"&amp;F42)</f>
        <v/>
      </c>
      <c r="H42" s="77" t="str">
        <f aca="false">IF(A42="","",SUMIFS('Release Log'!$D$6:$D$4005,'Release Log'!$B$6:$B$4005,A42,'Release Log'!$C$6:$C$4005,C42))</f>
        <v/>
      </c>
      <c r="I42" s="77" t="str">
        <f aca="false">IF(OR(A42="",N(E42)=0),"",INT(H42/E42))</f>
        <v/>
      </c>
      <c r="J42" s="77" t="str">
        <f aca="false">IF(A42="","",A42&amp;"|"&amp;C42)</f>
        <v/>
      </c>
    </row>
    <row r="43" customFormat="false" ht="15" hidden="false" customHeight="false" outlineLevel="0" collapsed="false">
      <c r="A43" s="71"/>
      <c r="B43" s="71"/>
      <c r="C43" s="71"/>
      <c r="D43" s="71"/>
      <c r="E43" s="72"/>
      <c r="F43" s="77" t="str">
        <f aca="false">IF(A43="","",COUNTIF($A$6:A43,A43))</f>
        <v/>
      </c>
      <c r="G43" s="77" t="str">
        <f aca="false">IF(A43="","",A43&amp;"|"&amp;F43)</f>
        <v/>
      </c>
      <c r="H43" s="77" t="str">
        <f aca="false">IF(A43="","",SUMIFS('Release Log'!$D$6:$D$4005,'Release Log'!$B$6:$B$4005,A43,'Release Log'!$C$6:$C$4005,C43))</f>
        <v/>
      </c>
      <c r="I43" s="77" t="str">
        <f aca="false">IF(OR(A43="",N(E43)=0),"",INT(H43/E43))</f>
        <v/>
      </c>
      <c r="J43" s="77" t="str">
        <f aca="false">IF(A43="","",A43&amp;"|"&amp;C43)</f>
        <v/>
      </c>
    </row>
    <row r="44" customFormat="false" ht="15" hidden="false" customHeight="false" outlineLevel="0" collapsed="false">
      <c r="A44" s="71"/>
      <c r="B44" s="71"/>
      <c r="C44" s="71"/>
      <c r="D44" s="71"/>
      <c r="E44" s="72"/>
      <c r="F44" s="77" t="str">
        <f aca="false">IF(A44="","",COUNTIF($A$6:A44,A44))</f>
        <v/>
      </c>
      <c r="G44" s="77" t="str">
        <f aca="false">IF(A44="","",A44&amp;"|"&amp;F44)</f>
        <v/>
      </c>
      <c r="H44" s="77" t="str">
        <f aca="false">IF(A44="","",SUMIFS('Release Log'!$D$6:$D$4005,'Release Log'!$B$6:$B$4005,A44,'Release Log'!$C$6:$C$4005,C44))</f>
        <v/>
      </c>
      <c r="I44" s="77" t="str">
        <f aca="false">IF(OR(A44="",N(E44)=0),"",INT(H44/E44))</f>
        <v/>
      </c>
      <c r="J44" s="77" t="str">
        <f aca="false">IF(A44="","",A44&amp;"|"&amp;C44)</f>
        <v/>
      </c>
    </row>
    <row r="45" customFormat="false" ht="15" hidden="false" customHeight="false" outlineLevel="0" collapsed="false">
      <c r="A45" s="71"/>
      <c r="B45" s="71"/>
      <c r="C45" s="71"/>
      <c r="D45" s="71"/>
      <c r="E45" s="72"/>
      <c r="F45" s="77" t="str">
        <f aca="false">IF(A45="","",COUNTIF($A$6:A45,A45))</f>
        <v/>
      </c>
      <c r="G45" s="77" t="str">
        <f aca="false">IF(A45="","",A45&amp;"|"&amp;F45)</f>
        <v/>
      </c>
      <c r="H45" s="77" t="str">
        <f aca="false">IF(A45="","",SUMIFS('Release Log'!$D$6:$D$4005,'Release Log'!$B$6:$B$4005,A45,'Release Log'!$C$6:$C$4005,C45))</f>
        <v/>
      </c>
      <c r="I45" s="77" t="str">
        <f aca="false">IF(OR(A45="",N(E45)=0),"",INT(H45/E45))</f>
        <v/>
      </c>
      <c r="J45" s="77" t="str">
        <f aca="false">IF(A45="","",A45&amp;"|"&amp;C45)</f>
        <v/>
      </c>
    </row>
    <row r="46" customFormat="false" ht="15" hidden="false" customHeight="false" outlineLevel="0" collapsed="false">
      <c r="A46" s="71"/>
      <c r="B46" s="71"/>
      <c r="C46" s="71"/>
      <c r="D46" s="71"/>
      <c r="E46" s="72"/>
      <c r="F46" s="77" t="str">
        <f aca="false">IF(A46="","",COUNTIF($A$6:A46,A46))</f>
        <v/>
      </c>
      <c r="G46" s="77" t="str">
        <f aca="false">IF(A46="","",A46&amp;"|"&amp;F46)</f>
        <v/>
      </c>
      <c r="H46" s="77" t="str">
        <f aca="false">IF(A46="","",SUMIFS('Release Log'!$D$6:$D$4005,'Release Log'!$B$6:$B$4005,A46,'Release Log'!$C$6:$C$4005,C46))</f>
        <v/>
      </c>
      <c r="I46" s="77" t="str">
        <f aca="false">IF(OR(A46="",N(E46)=0),"",INT(H46/E46))</f>
        <v/>
      </c>
      <c r="J46" s="77" t="str">
        <f aca="false">IF(A46="","",A46&amp;"|"&amp;C46)</f>
        <v/>
      </c>
    </row>
    <row r="47" customFormat="false" ht="15" hidden="false" customHeight="false" outlineLevel="0" collapsed="false">
      <c r="A47" s="71"/>
      <c r="B47" s="71"/>
      <c r="C47" s="71"/>
      <c r="D47" s="71"/>
      <c r="E47" s="72"/>
      <c r="F47" s="77" t="str">
        <f aca="false">IF(A47="","",COUNTIF($A$6:A47,A47))</f>
        <v/>
      </c>
      <c r="G47" s="77" t="str">
        <f aca="false">IF(A47="","",A47&amp;"|"&amp;F47)</f>
        <v/>
      </c>
      <c r="H47" s="77" t="str">
        <f aca="false">IF(A47="","",SUMIFS('Release Log'!$D$6:$D$4005,'Release Log'!$B$6:$B$4005,A47,'Release Log'!$C$6:$C$4005,C47))</f>
        <v/>
      </c>
      <c r="I47" s="77" t="str">
        <f aca="false">IF(OR(A47="",N(E47)=0),"",INT(H47/E47))</f>
        <v/>
      </c>
      <c r="J47" s="77" t="str">
        <f aca="false">IF(A47="","",A47&amp;"|"&amp;C47)</f>
        <v/>
      </c>
    </row>
    <row r="48" customFormat="false" ht="15" hidden="false" customHeight="false" outlineLevel="0" collapsed="false">
      <c r="A48" s="71"/>
      <c r="B48" s="71"/>
      <c r="C48" s="71"/>
      <c r="D48" s="71"/>
      <c r="E48" s="72"/>
      <c r="F48" s="77" t="str">
        <f aca="false">IF(A48="","",COUNTIF($A$6:A48,A48))</f>
        <v/>
      </c>
      <c r="G48" s="77" t="str">
        <f aca="false">IF(A48="","",A48&amp;"|"&amp;F48)</f>
        <v/>
      </c>
      <c r="H48" s="77" t="str">
        <f aca="false">IF(A48="","",SUMIFS('Release Log'!$D$6:$D$4005,'Release Log'!$B$6:$B$4005,A48,'Release Log'!$C$6:$C$4005,C48))</f>
        <v/>
      </c>
      <c r="I48" s="77" t="str">
        <f aca="false">IF(OR(A48="",N(E48)=0),"",INT(H48/E48))</f>
        <v/>
      </c>
      <c r="J48" s="77" t="str">
        <f aca="false">IF(A48="","",A48&amp;"|"&amp;C48)</f>
        <v/>
      </c>
    </row>
    <row r="49" customFormat="false" ht="15" hidden="false" customHeight="false" outlineLevel="0" collapsed="false">
      <c r="A49" s="71"/>
      <c r="B49" s="71"/>
      <c r="C49" s="71"/>
      <c r="D49" s="71"/>
      <c r="E49" s="72"/>
      <c r="F49" s="77" t="str">
        <f aca="false">IF(A49="","",COUNTIF($A$6:A49,A49))</f>
        <v/>
      </c>
      <c r="G49" s="77" t="str">
        <f aca="false">IF(A49="","",A49&amp;"|"&amp;F49)</f>
        <v/>
      </c>
      <c r="H49" s="77" t="str">
        <f aca="false">IF(A49="","",SUMIFS('Release Log'!$D$6:$D$4005,'Release Log'!$B$6:$B$4005,A49,'Release Log'!$C$6:$C$4005,C49))</f>
        <v/>
      </c>
      <c r="I49" s="77" t="str">
        <f aca="false">IF(OR(A49="",N(E49)=0),"",INT(H49/E49))</f>
        <v/>
      </c>
      <c r="J49" s="77" t="str">
        <f aca="false">IF(A49="","",A49&amp;"|"&amp;C49)</f>
        <v/>
      </c>
    </row>
    <row r="50" customFormat="false" ht="15" hidden="false" customHeight="false" outlineLevel="0" collapsed="false">
      <c r="A50" s="71"/>
      <c r="B50" s="71"/>
      <c r="C50" s="71"/>
      <c r="D50" s="71"/>
      <c r="E50" s="72"/>
      <c r="F50" s="77" t="str">
        <f aca="false">IF(A50="","",COUNTIF($A$6:A50,A50))</f>
        <v/>
      </c>
      <c r="G50" s="77" t="str">
        <f aca="false">IF(A50="","",A50&amp;"|"&amp;F50)</f>
        <v/>
      </c>
      <c r="H50" s="77" t="str">
        <f aca="false">IF(A50="","",SUMIFS('Release Log'!$D$6:$D$4005,'Release Log'!$B$6:$B$4005,A50,'Release Log'!$C$6:$C$4005,C50))</f>
        <v/>
      </c>
      <c r="I50" s="77" t="str">
        <f aca="false">IF(OR(A50="",N(E50)=0),"",INT(H50/E50))</f>
        <v/>
      </c>
      <c r="J50" s="77" t="str">
        <f aca="false">IF(A50="","",A50&amp;"|"&amp;C50)</f>
        <v/>
      </c>
    </row>
    <row r="51" customFormat="false" ht="15" hidden="false" customHeight="false" outlineLevel="0" collapsed="false">
      <c r="A51" s="71"/>
      <c r="B51" s="71"/>
      <c r="C51" s="71"/>
      <c r="D51" s="71"/>
      <c r="E51" s="72"/>
      <c r="F51" s="77" t="str">
        <f aca="false">IF(A51="","",COUNTIF($A$6:A51,A51))</f>
        <v/>
      </c>
      <c r="G51" s="77" t="str">
        <f aca="false">IF(A51="","",A51&amp;"|"&amp;F51)</f>
        <v/>
      </c>
      <c r="H51" s="77" t="str">
        <f aca="false">IF(A51="","",SUMIFS('Release Log'!$D$6:$D$4005,'Release Log'!$B$6:$B$4005,A51,'Release Log'!$C$6:$C$4005,C51))</f>
        <v/>
      </c>
      <c r="I51" s="77" t="str">
        <f aca="false">IF(OR(A51="",N(E51)=0),"",INT(H51/E51))</f>
        <v/>
      </c>
      <c r="J51" s="77" t="str">
        <f aca="false">IF(A51="","",A51&amp;"|"&amp;C51)</f>
        <v/>
      </c>
    </row>
    <row r="52" customFormat="false" ht="15" hidden="false" customHeight="false" outlineLevel="0" collapsed="false">
      <c r="A52" s="71"/>
      <c r="B52" s="71"/>
      <c r="C52" s="71"/>
      <c r="D52" s="71"/>
      <c r="E52" s="72"/>
      <c r="F52" s="77" t="str">
        <f aca="false">IF(A52="","",COUNTIF($A$6:A52,A52))</f>
        <v/>
      </c>
      <c r="G52" s="77" t="str">
        <f aca="false">IF(A52="","",A52&amp;"|"&amp;F52)</f>
        <v/>
      </c>
      <c r="H52" s="77" t="str">
        <f aca="false">IF(A52="","",SUMIFS('Release Log'!$D$6:$D$4005,'Release Log'!$B$6:$B$4005,A52,'Release Log'!$C$6:$C$4005,C52))</f>
        <v/>
      </c>
      <c r="I52" s="77" t="str">
        <f aca="false">IF(OR(A52="",N(E52)=0),"",INT(H52/E52))</f>
        <v/>
      </c>
      <c r="J52" s="77" t="str">
        <f aca="false">IF(A52="","",A52&amp;"|"&amp;C52)</f>
        <v/>
      </c>
    </row>
    <row r="53" customFormat="false" ht="15" hidden="false" customHeight="false" outlineLevel="0" collapsed="false">
      <c r="A53" s="71"/>
      <c r="B53" s="71"/>
      <c r="C53" s="71"/>
      <c r="D53" s="71"/>
      <c r="E53" s="72"/>
      <c r="F53" s="77" t="str">
        <f aca="false">IF(A53="","",COUNTIF($A$6:A53,A53))</f>
        <v/>
      </c>
      <c r="G53" s="77" t="str">
        <f aca="false">IF(A53="","",A53&amp;"|"&amp;F53)</f>
        <v/>
      </c>
      <c r="H53" s="77" t="str">
        <f aca="false">IF(A53="","",SUMIFS('Release Log'!$D$6:$D$4005,'Release Log'!$B$6:$B$4005,A53,'Release Log'!$C$6:$C$4005,C53))</f>
        <v/>
      </c>
      <c r="I53" s="77" t="str">
        <f aca="false">IF(OR(A53="",N(E53)=0),"",INT(H53/E53))</f>
        <v/>
      </c>
      <c r="J53" s="77" t="str">
        <f aca="false">IF(A53="","",A53&amp;"|"&amp;C53)</f>
        <v/>
      </c>
    </row>
    <row r="54" customFormat="false" ht="15" hidden="false" customHeight="false" outlineLevel="0" collapsed="false">
      <c r="A54" s="71"/>
      <c r="B54" s="71"/>
      <c r="C54" s="71"/>
      <c r="D54" s="71"/>
      <c r="E54" s="72"/>
      <c r="F54" s="77" t="str">
        <f aca="false">IF(A54="","",COUNTIF($A$6:A54,A54))</f>
        <v/>
      </c>
      <c r="G54" s="77" t="str">
        <f aca="false">IF(A54="","",A54&amp;"|"&amp;F54)</f>
        <v/>
      </c>
      <c r="H54" s="77" t="str">
        <f aca="false">IF(A54="","",SUMIFS('Release Log'!$D$6:$D$4005,'Release Log'!$B$6:$B$4005,A54,'Release Log'!$C$6:$C$4005,C54))</f>
        <v/>
      </c>
      <c r="I54" s="77" t="str">
        <f aca="false">IF(OR(A54="",N(E54)=0),"",INT(H54/E54))</f>
        <v/>
      </c>
      <c r="J54" s="77" t="str">
        <f aca="false">IF(A54="","",A54&amp;"|"&amp;C54)</f>
        <v/>
      </c>
    </row>
    <row r="55" customFormat="false" ht="15" hidden="false" customHeight="false" outlineLevel="0" collapsed="false">
      <c r="A55" s="71"/>
      <c r="B55" s="71"/>
      <c r="C55" s="71"/>
      <c r="D55" s="71"/>
      <c r="E55" s="72"/>
      <c r="F55" s="77" t="str">
        <f aca="false">IF(A55="","",COUNTIF($A$6:A55,A55))</f>
        <v/>
      </c>
      <c r="G55" s="77" t="str">
        <f aca="false">IF(A55="","",A55&amp;"|"&amp;F55)</f>
        <v/>
      </c>
      <c r="H55" s="77" t="str">
        <f aca="false">IF(A55="","",SUMIFS('Release Log'!$D$6:$D$4005,'Release Log'!$B$6:$B$4005,A55,'Release Log'!$C$6:$C$4005,C55))</f>
        <v/>
      </c>
      <c r="I55" s="77" t="str">
        <f aca="false">IF(OR(A55="",N(E55)=0),"",INT(H55/E55))</f>
        <v/>
      </c>
      <c r="J55" s="77" t="str">
        <f aca="false">IF(A55="","",A55&amp;"|"&amp;C55)</f>
        <v/>
      </c>
    </row>
    <row r="56" customFormat="false" ht="15" hidden="false" customHeight="false" outlineLevel="0" collapsed="false">
      <c r="A56" s="71"/>
      <c r="B56" s="71"/>
      <c r="C56" s="71"/>
      <c r="D56" s="71"/>
      <c r="E56" s="72"/>
      <c r="F56" s="77" t="str">
        <f aca="false">IF(A56="","",COUNTIF($A$6:A56,A56))</f>
        <v/>
      </c>
      <c r="G56" s="77" t="str">
        <f aca="false">IF(A56="","",A56&amp;"|"&amp;F56)</f>
        <v/>
      </c>
      <c r="H56" s="77" t="str">
        <f aca="false">IF(A56="","",SUMIFS('Release Log'!$D$6:$D$4005,'Release Log'!$B$6:$B$4005,A56,'Release Log'!$C$6:$C$4005,C56))</f>
        <v/>
      </c>
      <c r="I56" s="77" t="str">
        <f aca="false">IF(OR(A56="",N(E56)=0),"",INT(H56/E56))</f>
        <v/>
      </c>
      <c r="J56" s="77" t="str">
        <f aca="false">IF(A56="","",A56&amp;"|"&amp;C56)</f>
        <v/>
      </c>
    </row>
    <row r="57" customFormat="false" ht="15" hidden="false" customHeight="false" outlineLevel="0" collapsed="false">
      <c r="A57" s="71"/>
      <c r="B57" s="71"/>
      <c r="C57" s="71"/>
      <c r="D57" s="71"/>
      <c r="E57" s="72"/>
      <c r="F57" s="77" t="str">
        <f aca="false">IF(A57="","",COUNTIF($A$6:A57,A57))</f>
        <v/>
      </c>
      <c r="G57" s="77" t="str">
        <f aca="false">IF(A57="","",A57&amp;"|"&amp;F57)</f>
        <v/>
      </c>
      <c r="H57" s="77" t="str">
        <f aca="false">IF(A57="","",SUMIFS('Release Log'!$D$6:$D$4005,'Release Log'!$B$6:$B$4005,A57,'Release Log'!$C$6:$C$4005,C57))</f>
        <v/>
      </c>
      <c r="I57" s="77" t="str">
        <f aca="false">IF(OR(A57="",N(E57)=0),"",INT(H57/E57))</f>
        <v/>
      </c>
      <c r="J57" s="77" t="str">
        <f aca="false">IF(A57="","",A57&amp;"|"&amp;C57)</f>
        <v/>
      </c>
    </row>
    <row r="58" customFormat="false" ht="15" hidden="false" customHeight="false" outlineLevel="0" collapsed="false">
      <c r="A58" s="71"/>
      <c r="B58" s="71"/>
      <c r="C58" s="71"/>
      <c r="D58" s="71"/>
      <c r="E58" s="72"/>
      <c r="F58" s="77" t="str">
        <f aca="false">IF(A58="","",COUNTIF($A$6:A58,A58))</f>
        <v/>
      </c>
      <c r="G58" s="77" t="str">
        <f aca="false">IF(A58="","",A58&amp;"|"&amp;F58)</f>
        <v/>
      </c>
      <c r="H58" s="77" t="str">
        <f aca="false">IF(A58="","",SUMIFS('Release Log'!$D$6:$D$4005,'Release Log'!$B$6:$B$4005,A58,'Release Log'!$C$6:$C$4005,C58))</f>
        <v/>
      </c>
      <c r="I58" s="77" t="str">
        <f aca="false">IF(OR(A58="",N(E58)=0),"",INT(H58/E58))</f>
        <v/>
      </c>
      <c r="J58" s="77" t="str">
        <f aca="false">IF(A58="","",A58&amp;"|"&amp;C58)</f>
        <v/>
      </c>
    </row>
    <row r="59" customFormat="false" ht="15" hidden="false" customHeight="false" outlineLevel="0" collapsed="false">
      <c r="A59" s="71"/>
      <c r="B59" s="71"/>
      <c r="C59" s="71"/>
      <c r="D59" s="71"/>
      <c r="E59" s="72"/>
      <c r="F59" s="77" t="str">
        <f aca="false">IF(A59="","",COUNTIF($A$6:A59,A59))</f>
        <v/>
      </c>
      <c r="G59" s="77" t="str">
        <f aca="false">IF(A59="","",A59&amp;"|"&amp;F59)</f>
        <v/>
      </c>
      <c r="H59" s="77" t="str">
        <f aca="false">IF(A59="","",SUMIFS('Release Log'!$D$6:$D$4005,'Release Log'!$B$6:$B$4005,A59,'Release Log'!$C$6:$C$4005,C59))</f>
        <v/>
      </c>
      <c r="I59" s="77" t="str">
        <f aca="false">IF(OR(A59="",N(E59)=0),"",INT(H59/E59))</f>
        <v/>
      </c>
      <c r="J59" s="77" t="str">
        <f aca="false">IF(A59="","",A59&amp;"|"&amp;C59)</f>
        <v/>
      </c>
    </row>
    <row r="60" customFormat="false" ht="15" hidden="false" customHeight="false" outlineLevel="0" collapsed="false">
      <c r="A60" s="71"/>
      <c r="B60" s="71"/>
      <c r="C60" s="71"/>
      <c r="D60" s="71"/>
      <c r="E60" s="72"/>
      <c r="F60" s="77" t="str">
        <f aca="false">IF(A60="","",COUNTIF($A$6:A60,A60))</f>
        <v/>
      </c>
      <c r="G60" s="77" t="str">
        <f aca="false">IF(A60="","",A60&amp;"|"&amp;F60)</f>
        <v/>
      </c>
      <c r="H60" s="77" t="str">
        <f aca="false">IF(A60="","",SUMIFS('Release Log'!$D$6:$D$4005,'Release Log'!$B$6:$B$4005,A60,'Release Log'!$C$6:$C$4005,C60))</f>
        <v/>
      </c>
      <c r="I60" s="77" t="str">
        <f aca="false">IF(OR(A60="",N(E60)=0),"",INT(H60/E60))</f>
        <v/>
      </c>
      <c r="J60" s="77" t="str">
        <f aca="false">IF(A60="","",A60&amp;"|"&amp;C60)</f>
        <v/>
      </c>
    </row>
    <row r="61" customFormat="false" ht="15" hidden="false" customHeight="false" outlineLevel="0" collapsed="false">
      <c r="A61" s="71"/>
      <c r="B61" s="71"/>
      <c r="C61" s="71"/>
      <c r="D61" s="71"/>
      <c r="E61" s="72"/>
      <c r="F61" s="77" t="str">
        <f aca="false">IF(A61="","",COUNTIF($A$6:A61,A61))</f>
        <v/>
      </c>
      <c r="G61" s="77" t="str">
        <f aca="false">IF(A61="","",A61&amp;"|"&amp;F61)</f>
        <v/>
      </c>
      <c r="H61" s="77" t="str">
        <f aca="false">IF(A61="","",SUMIFS('Release Log'!$D$6:$D$4005,'Release Log'!$B$6:$B$4005,A61,'Release Log'!$C$6:$C$4005,C61))</f>
        <v/>
      </c>
      <c r="I61" s="77" t="str">
        <f aca="false">IF(OR(A61="",N(E61)=0),"",INT(H61/E61))</f>
        <v/>
      </c>
      <c r="J61" s="77" t="str">
        <f aca="false">IF(A61="","",A61&amp;"|"&amp;C61)</f>
        <v/>
      </c>
    </row>
    <row r="62" customFormat="false" ht="15" hidden="false" customHeight="false" outlineLevel="0" collapsed="false">
      <c r="A62" s="71"/>
      <c r="B62" s="71"/>
      <c r="C62" s="71"/>
      <c r="D62" s="71"/>
      <c r="E62" s="72"/>
      <c r="F62" s="77" t="str">
        <f aca="false">IF(A62="","",COUNTIF($A$6:A62,A62))</f>
        <v/>
      </c>
      <c r="G62" s="77" t="str">
        <f aca="false">IF(A62="","",A62&amp;"|"&amp;F62)</f>
        <v/>
      </c>
      <c r="H62" s="77" t="str">
        <f aca="false">IF(A62="","",SUMIFS('Release Log'!$D$6:$D$4005,'Release Log'!$B$6:$B$4005,A62,'Release Log'!$C$6:$C$4005,C62))</f>
        <v/>
      </c>
      <c r="I62" s="77" t="str">
        <f aca="false">IF(OR(A62="",N(E62)=0),"",INT(H62/E62))</f>
        <v/>
      </c>
      <c r="J62" s="77" t="str">
        <f aca="false">IF(A62="","",A62&amp;"|"&amp;C62)</f>
        <v/>
      </c>
    </row>
    <row r="63" customFormat="false" ht="15" hidden="false" customHeight="false" outlineLevel="0" collapsed="false">
      <c r="A63" s="71"/>
      <c r="B63" s="71"/>
      <c r="C63" s="71"/>
      <c r="D63" s="71"/>
      <c r="E63" s="72"/>
      <c r="F63" s="77" t="str">
        <f aca="false">IF(A63="","",COUNTIF($A$6:A63,A63))</f>
        <v/>
      </c>
      <c r="G63" s="77" t="str">
        <f aca="false">IF(A63="","",A63&amp;"|"&amp;F63)</f>
        <v/>
      </c>
      <c r="H63" s="77" t="str">
        <f aca="false">IF(A63="","",SUMIFS('Release Log'!$D$6:$D$4005,'Release Log'!$B$6:$B$4005,A63,'Release Log'!$C$6:$C$4005,C63))</f>
        <v/>
      </c>
      <c r="I63" s="77" t="str">
        <f aca="false">IF(OR(A63="",N(E63)=0),"",INT(H63/E63))</f>
        <v/>
      </c>
      <c r="J63" s="77" t="str">
        <f aca="false">IF(A63="","",A63&amp;"|"&amp;C63)</f>
        <v/>
      </c>
    </row>
    <row r="64" customFormat="false" ht="15" hidden="false" customHeight="false" outlineLevel="0" collapsed="false">
      <c r="A64" s="71"/>
      <c r="B64" s="71"/>
      <c r="C64" s="71"/>
      <c r="D64" s="71"/>
      <c r="E64" s="72"/>
      <c r="F64" s="77" t="str">
        <f aca="false">IF(A64="","",COUNTIF($A$6:A64,A64))</f>
        <v/>
      </c>
      <c r="G64" s="77" t="str">
        <f aca="false">IF(A64="","",A64&amp;"|"&amp;F64)</f>
        <v/>
      </c>
      <c r="H64" s="77" t="str">
        <f aca="false">IF(A64="","",SUMIFS('Release Log'!$D$6:$D$4005,'Release Log'!$B$6:$B$4005,A64,'Release Log'!$C$6:$C$4005,C64))</f>
        <v/>
      </c>
      <c r="I64" s="77" t="str">
        <f aca="false">IF(OR(A64="",N(E64)=0),"",INT(H64/E64))</f>
        <v/>
      </c>
      <c r="J64" s="77" t="str">
        <f aca="false">IF(A64="","",A64&amp;"|"&amp;C64)</f>
        <v/>
      </c>
    </row>
    <row r="65" customFormat="false" ht="15" hidden="false" customHeight="false" outlineLevel="0" collapsed="false">
      <c r="A65" s="71"/>
      <c r="B65" s="71"/>
      <c r="C65" s="71"/>
      <c r="D65" s="71"/>
      <c r="E65" s="72"/>
      <c r="F65" s="77" t="str">
        <f aca="false">IF(A65="","",COUNTIF($A$6:A65,A65))</f>
        <v/>
      </c>
      <c r="G65" s="77" t="str">
        <f aca="false">IF(A65="","",A65&amp;"|"&amp;F65)</f>
        <v/>
      </c>
      <c r="H65" s="77" t="str">
        <f aca="false">IF(A65="","",SUMIFS('Release Log'!$D$6:$D$4005,'Release Log'!$B$6:$B$4005,A65,'Release Log'!$C$6:$C$4005,C65))</f>
        <v/>
      </c>
      <c r="I65" s="77" t="str">
        <f aca="false">IF(OR(A65="",N(E65)=0),"",INT(H65/E65))</f>
        <v/>
      </c>
      <c r="J65" s="77" t="str">
        <f aca="false">IF(A65="","",A65&amp;"|"&amp;C65)</f>
        <v/>
      </c>
    </row>
    <row r="66" customFormat="false" ht="15" hidden="false" customHeight="false" outlineLevel="0" collapsed="false">
      <c r="A66" s="71"/>
      <c r="B66" s="71"/>
      <c r="C66" s="71"/>
      <c r="D66" s="71"/>
      <c r="E66" s="72"/>
      <c r="F66" s="77" t="str">
        <f aca="false">IF(A66="","",COUNTIF($A$6:A66,A66))</f>
        <v/>
      </c>
      <c r="G66" s="77" t="str">
        <f aca="false">IF(A66="","",A66&amp;"|"&amp;F66)</f>
        <v/>
      </c>
      <c r="H66" s="77" t="str">
        <f aca="false">IF(A66="","",SUMIFS('Release Log'!$D$6:$D$4005,'Release Log'!$B$6:$B$4005,A66,'Release Log'!$C$6:$C$4005,C66))</f>
        <v/>
      </c>
      <c r="I66" s="77" t="str">
        <f aca="false">IF(OR(A66="",N(E66)=0),"",INT(H66/E66))</f>
        <v/>
      </c>
      <c r="J66" s="77" t="str">
        <f aca="false">IF(A66="","",A66&amp;"|"&amp;C66)</f>
        <v/>
      </c>
    </row>
    <row r="67" customFormat="false" ht="15" hidden="false" customHeight="false" outlineLevel="0" collapsed="false">
      <c r="A67" s="71"/>
      <c r="B67" s="71"/>
      <c r="C67" s="71"/>
      <c r="D67" s="71"/>
      <c r="E67" s="72"/>
      <c r="F67" s="77" t="str">
        <f aca="false">IF(A67="","",COUNTIF($A$6:A67,A67))</f>
        <v/>
      </c>
      <c r="G67" s="77" t="str">
        <f aca="false">IF(A67="","",A67&amp;"|"&amp;F67)</f>
        <v/>
      </c>
      <c r="H67" s="77" t="str">
        <f aca="false">IF(A67="","",SUMIFS('Release Log'!$D$6:$D$4005,'Release Log'!$B$6:$B$4005,A67,'Release Log'!$C$6:$C$4005,C67))</f>
        <v/>
      </c>
      <c r="I67" s="77" t="str">
        <f aca="false">IF(OR(A67="",N(E67)=0),"",INT(H67/E67))</f>
        <v/>
      </c>
      <c r="J67" s="77" t="str">
        <f aca="false">IF(A67="","",A67&amp;"|"&amp;C67)</f>
        <v/>
      </c>
    </row>
    <row r="68" customFormat="false" ht="15" hidden="false" customHeight="false" outlineLevel="0" collapsed="false">
      <c r="A68" s="71"/>
      <c r="B68" s="71"/>
      <c r="C68" s="71"/>
      <c r="D68" s="71"/>
      <c r="E68" s="72"/>
      <c r="F68" s="77" t="str">
        <f aca="false">IF(A68="","",COUNTIF($A$6:A68,A68))</f>
        <v/>
      </c>
      <c r="G68" s="77" t="str">
        <f aca="false">IF(A68="","",A68&amp;"|"&amp;F68)</f>
        <v/>
      </c>
      <c r="H68" s="77" t="str">
        <f aca="false">IF(A68="","",SUMIFS('Release Log'!$D$6:$D$4005,'Release Log'!$B$6:$B$4005,A68,'Release Log'!$C$6:$C$4005,C68))</f>
        <v/>
      </c>
      <c r="I68" s="77" t="str">
        <f aca="false">IF(OR(A68="",N(E68)=0),"",INT(H68/E68))</f>
        <v/>
      </c>
      <c r="J68" s="77" t="str">
        <f aca="false">IF(A68="","",A68&amp;"|"&amp;C68)</f>
        <v/>
      </c>
    </row>
    <row r="69" customFormat="false" ht="15" hidden="false" customHeight="false" outlineLevel="0" collapsed="false">
      <c r="A69" s="71"/>
      <c r="B69" s="71"/>
      <c r="C69" s="71"/>
      <c r="D69" s="71"/>
      <c r="E69" s="72"/>
      <c r="F69" s="77" t="str">
        <f aca="false">IF(A69="","",COUNTIF($A$6:A69,A69))</f>
        <v/>
      </c>
      <c r="G69" s="77" t="str">
        <f aca="false">IF(A69="","",A69&amp;"|"&amp;F69)</f>
        <v/>
      </c>
      <c r="H69" s="77" t="str">
        <f aca="false">IF(A69="","",SUMIFS('Release Log'!$D$6:$D$4005,'Release Log'!$B$6:$B$4005,A69,'Release Log'!$C$6:$C$4005,C69))</f>
        <v/>
      </c>
      <c r="I69" s="77" t="str">
        <f aca="false">IF(OR(A69="",N(E69)=0),"",INT(H69/E69))</f>
        <v/>
      </c>
      <c r="J69" s="77" t="str">
        <f aca="false">IF(A69="","",A69&amp;"|"&amp;C69)</f>
        <v/>
      </c>
    </row>
    <row r="70" customFormat="false" ht="15" hidden="false" customHeight="false" outlineLevel="0" collapsed="false">
      <c r="A70" s="71"/>
      <c r="B70" s="71"/>
      <c r="C70" s="71"/>
      <c r="D70" s="71"/>
      <c r="E70" s="72"/>
      <c r="F70" s="77" t="str">
        <f aca="false">IF(A70="","",COUNTIF($A$6:A70,A70))</f>
        <v/>
      </c>
      <c r="G70" s="77" t="str">
        <f aca="false">IF(A70="","",A70&amp;"|"&amp;F70)</f>
        <v/>
      </c>
      <c r="H70" s="77" t="str">
        <f aca="false">IF(A70="","",SUMIFS('Release Log'!$D$6:$D$4005,'Release Log'!$B$6:$B$4005,A70,'Release Log'!$C$6:$C$4005,C70))</f>
        <v/>
      </c>
      <c r="I70" s="77" t="str">
        <f aca="false">IF(OR(A70="",N(E70)=0),"",INT(H70/E70))</f>
        <v/>
      </c>
      <c r="J70" s="77" t="str">
        <f aca="false">IF(A70="","",A70&amp;"|"&amp;C70)</f>
        <v/>
      </c>
    </row>
    <row r="71" customFormat="false" ht="15" hidden="false" customHeight="false" outlineLevel="0" collapsed="false">
      <c r="A71" s="71"/>
      <c r="B71" s="71"/>
      <c r="C71" s="71"/>
      <c r="D71" s="71"/>
      <c r="E71" s="72"/>
      <c r="F71" s="77" t="str">
        <f aca="false">IF(A71="","",COUNTIF($A$6:A71,A71))</f>
        <v/>
      </c>
      <c r="G71" s="77" t="str">
        <f aca="false">IF(A71="","",A71&amp;"|"&amp;F71)</f>
        <v/>
      </c>
      <c r="H71" s="77" t="str">
        <f aca="false">IF(A71="","",SUMIFS('Release Log'!$D$6:$D$4005,'Release Log'!$B$6:$B$4005,A71,'Release Log'!$C$6:$C$4005,C71))</f>
        <v/>
      </c>
      <c r="I71" s="77" t="str">
        <f aca="false">IF(OR(A71="",N(E71)=0),"",INT(H71/E71))</f>
        <v/>
      </c>
      <c r="J71" s="77" t="str">
        <f aca="false">IF(A71="","",A71&amp;"|"&amp;C71)</f>
        <v/>
      </c>
    </row>
    <row r="72" customFormat="false" ht="15" hidden="false" customHeight="false" outlineLevel="0" collapsed="false">
      <c r="A72" s="71"/>
      <c r="B72" s="71"/>
      <c r="C72" s="71"/>
      <c r="D72" s="71"/>
      <c r="E72" s="72"/>
      <c r="F72" s="77" t="str">
        <f aca="false">IF(A72="","",COUNTIF($A$6:A72,A72))</f>
        <v/>
      </c>
      <c r="G72" s="77" t="str">
        <f aca="false">IF(A72="","",A72&amp;"|"&amp;F72)</f>
        <v/>
      </c>
      <c r="H72" s="77" t="str">
        <f aca="false">IF(A72="","",SUMIFS('Release Log'!$D$6:$D$4005,'Release Log'!$B$6:$B$4005,A72,'Release Log'!$C$6:$C$4005,C72))</f>
        <v/>
      </c>
      <c r="I72" s="77" t="str">
        <f aca="false">IF(OR(A72="",N(E72)=0),"",INT(H72/E72))</f>
        <v/>
      </c>
      <c r="J72" s="77" t="str">
        <f aca="false">IF(A72="","",A72&amp;"|"&amp;C72)</f>
        <v/>
      </c>
    </row>
    <row r="73" customFormat="false" ht="15" hidden="false" customHeight="false" outlineLevel="0" collapsed="false">
      <c r="A73" s="71"/>
      <c r="B73" s="71"/>
      <c r="C73" s="71"/>
      <c r="D73" s="71"/>
      <c r="E73" s="72"/>
      <c r="F73" s="77" t="str">
        <f aca="false">IF(A73="","",COUNTIF($A$6:A73,A73))</f>
        <v/>
      </c>
      <c r="G73" s="77" t="str">
        <f aca="false">IF(A73="","",A73&amp;"|"&amp;F73)</f>
        <v/>
      </c>
      <c r="H73" s="77" t="str">
        <f aca="false">IF(A73="","",SUMIFS('Release Log'!$D$6:$D$4005,'Release Log'!$B$6:$B$4005,A73,'Release Log'!$C$6:$C$4005,C73))</f>
        <v/>
      </c>
      <c r="I73" s="77" t="str">
        <f aca="false">IF(OR(A73="",N(E73)=0),"",INT(H73/E73))</f>
        <v/>
      </c>
      <c r="J73" s="77" t="str">
        <f aca="false">IF(A73="","",A73&amp;"|"&amp;C73)</f>
        <v/>
      </c>
    </row>
    <row r="74" customFormat="false" ht="15" hidden="false" customHeight="false" outlineLevel="0" collapsed="false">
      <c r="A74" s="71"/>
      <c r="B74" s="71"/>
      <c r="C74" s="71"/>
      <c r="D74" s="71"/>
      <c r="E74" s="72"/>
      <c r="F74" s="77" t="str">
        <f aca="false">IF(A74="","",COUNTIF($A$6:A74,A74))</f>
        <v/>
      </c>
      <c r="G74" s="77" t="str">
        <f aca="false">IF(A74="","",A74&amp;"|"&amp;F74)</f>
        <v/>
      </c>
      <c r="H74" s="77" t="str">
        <f aca="false">IF(A74="","",SUMIFS('Release Log'!$D$6:$D$4005,'Release Log'!$B$6:$B$4005,A74,'Release Log'!$C$6:$C$4005,C74))</f>
        <v/>
      </c>
      <c r="I74" s="77" t="str">
        <f aca="false">IF(OR(A74="",N(E74)=0),"",INT(H74/E74))</f>
        <v/>
      </c>
      <c r="J74" s="77" t="str">
        <f aca="false">IF(A74="","",A74&amp;"|"&amp;C74)</f>
        <v/>
      </c>
    </row>
    <row r="75" customFormat="false" ht="15" hidden="false" customHeight="false" outlineLevel="0" collapsed="false">
      <c r="A75" s="71"/>
      <c r="B75" s="71"/>
      <c r="C75" s="71"/>
      <c r="D75" s="71"/>
      <c r="E75" s="72"/>
      <c r="F75" s="77" t="str">
        <f aca="false">IF(A75="","",COUNTIF($A$6:A75,A75))</f>
        <v/>
      </c>
      <c r="G75" s="77" t="str">
        <f aca="false">IF(A75="","",A75&amp;"|"&amp;F75)</f>
        <v/>
      </c>
      <c r="H75" s="77" t="str">
        <f aca="false">IF(A75="","",SUMIFS('Release Log'!$D$6:$D$4005,'Release Log'!$B$6:$B$4005,A75,'Release Log'!$C$6:$C$4005,C75))</f>
        <v/>
      </c>
      <c r="I75" s="77" t="str">
        <f aca="false">IF(OR(A75="",N(E75)=0),"",INT(H75/E75))</f>
        <v/>
      </c>
      <c r="J75" s="77" t="str">
        <f aca="false">IF(A75="","",A75&amp;"|"&amp;C75)</f>
        <v/>
      </c>
    </row>
    <row r="76" customFormat="false" ht="15" hidden="false" customHeight="false" outlineLevel="0" collapsed="false">
      <c r="A76" s="71"/>
      <c r="B76" s="71"/>
      <c r="C76" s="71"/>
      <c r="D76" s="71"/>
      <c r="E76" s="72"/>
      <c r="F76" s="77" t="str">
        <f aca="false">IF(A76="","",COUNTIF($A$6:A76,A76))</f>
        <v/>
      </c>
      <c r="G76" s="77" t="str">
        <f aca="false">IF(A76="","",A76&amp;"|"&amp;F76)</f>
        <v/>
      </c>
      <c r="H76" s="77" t="str">
        <f aca="false">IF(A76="","",SUMIFS('Release Log'!$D$6:$D$4005,'Release Log'!$B$6:$B$4005,A76,'Release Log'!$C$6:$C$4005,C76))</f>
        <v/>
      </c>
      <c r="I76" s="77" t="str">
        <f aca="false">IF(OR(A76="",N(E76)=0),"",INT(H76/E76))</f>
        <v/>
      </c>
      <c r="J76" s="77" t="str">
        <f aca="false">IF(A76="","",A76&amp;"|"&amp;C76)</f>
        <v/>
      </c>
    </row>
    <row r="77" customFormat="false" ht="15" hidden="false" customHeight="false" outlineLevel="0" collapsed="false">
      <c r="A77" s="71"/>
      <c r="B77" s="71"/>
      <c r="C77" s="71"/>
      <c r="D77" s="71"/>
      <c r="E77" s="72"/>
      <c r="F77" s="77" t="str">
        <f aca="false">IF(A77="","",COUNTIF($A$6:A77,A77))</f>
        <v/>
      </c>
      <c r="G77" s="77" t="str">
        <f aca="false">IF(A77="","",A77&amp;"|"&amp;F77)</f>
        <v/>
      </c>
      <c r="H77" s="77" t="str">
        <f aca="false">IF(A77="","",SUMIFS('Release Log'!$D$6:$D$4005,'Release Log'!$B$6:$B$4005,A77,'Release Log'!$C$6:$C$4005,C77))</f>
        <v/>
      </c>
      <c r="I77" s="77" t="str">
        <f aca="false">IF(OR(A77="",N(E77)=0),"",INT(H77/E77))</f>
        <v/>
      </c>
      <c r="J77" s="77" t="str">
        <f aca="false">IF(A77="","",A77&amp;"|"&amp;C77)</f>
        <v/>
      </c>
    </row>
    <row r="78" customFormat="false" ht="15" hidden="false" customHeight="false" outlineLevel="0" collapsed="false">
      <c r="A78" s="71"/>
      <c r="B78" s="71"/>
      <c r="C78" s="71"/>
      <c r="D78" s="71"/>
      <c r="E78" s="72"/>
      <c r="F78" s="77" t="str">
        <f aca="false">IF(A78="","",COUNTIF($A$6:A78,A78))</f>
        <v/>
      </c>
      <c r="G78" s="77" t="str">
        <f aca="false">IF(A78="","",A78&amp;"|"&amp;F78)</f>
        <v/>
      </c>
      <c r="H78" s="77" t="str">
        <f aca="false">IF(A78="","",SUMIFS('Release Log'!$D$6:$D$4005,'Release Log'!$B$6:$B$4005,A78,'Release Log'!$C$6:$C$4005,C78))</f>
        <v/>
      </c>
      <c r="I78" s="77" t="str">
        <f aca="false">IF(OR(A78="",N(E78)=0),"",INT(H78/E78))</f>
        <v/>
      </c>
      <c r="J78" s="77" t="str">
        <f aca="false">IF(A78="","",A78&amp;"|"&amp;C78)</f>
        <v/>
      </c>
    </row>
    <row r="79" customFormat="false" ht="15" hidden="false" customHeight="false" outlineLevel="0" collapsed="false">
      <c r="A79" s="71"/>
      <c r="B79" s="71"/>
      <c r="C79" s="71"/>
      <c r="D79" s="71"/>
      <c r="E79" s="72"/>
      <c r="F79" s="77" t="str">
        <f aca="false">IF(A79="","",COUNTIF($A$6:A79,A79))</f>
        <v/>
      </c>
      <c r="G79" s="77" t="str">
        <f aca="false">IF(A79="","",A79&amp;"|"&amp;F79)</f>
        <v/>
      </c>
      <c r="H79" s="77" t="str">
        <f aca="false">IF(A79="","",SUMIFS('Release Log'!$D$6:$D$4005,'Release Log'!$B$6:$B$4005,A79,'Release Log'!$C$6:$C$4005,C79))</f>
        <v/>
      </c>
      <c r="I79" s="77" t="str">
        <f aca="false">IF(OR(A79="",N(E79)=0),"",INT(H79/E79))</f>
        <v/>
      </c>
      <c r="J79" s="77" t="str">
        <f aca="false">IF(A79="","",A79&amp;"|"&amp;C79)</f>
        <v/>
      </c>
    </row>
    <row r="80" customFormat="false" ht="15" hidden="false" customHeight="false" outlineLevel="0" collapsed="false">
      <c r="A80" s="71"/>
      <c r="B80" s="71"/>
      <c r="C80" s="71"/>
      <c r="D80" s="71"/>
      <c r="E80" s="72"/>
      <c r="F80" s="77" t="str">
        <f aca="false">IF(A80="","",COUNTIF($A$6:A80,A80))</f>
        <v/>
      </c>
      <c r="G80" s="77" t="str">
        <f aca="false">IF(A80="","",A80&amp;"|"&amp;F80)</f>
        <v/>
      </c>
      <c r="H80" s="77" t="str">
        <f aca="false">IF(A80="","",SUMIFS('Release Log'!$D$6:$D$4005,'Release Log'!$B$6:$B$4005,A80,'Release Log'!$C$6:$C$4005,C80))</f>
        <v/>
      </c>
      <c r="I80" s="77" t="str">
        <f aca="false">IF(OR(A80="",N(E80)=0),"",INT(H80/E80))</f>
        <v/>
      </c>
      <c r="J80" s="77" t="str">
        <f aca="false">IF(A80="","",A80&amp;"|"&amp;C80)</f>
        <v/>
      </c>
    </row>
    <row r="81" customFormat="false" ht="15" hidden="false" customHeight="false" outlineLevel="0" collapsed="false">
      <c r="A81" s="71"/>
      <c r="B81" s="71"/>
      <c r="C81" s="71"/>
      <c r="D81" s="71"/>
      <c r="E81" s="72"/>
      <c r="F81" s="77" t="str">
        <f aca="false">IF(A81="","",COUNTIF($A$6:A81,A81))</f>
        <v/>
      </c>
      <c r="G81" s="77" t="str">
        <f aca="false">IF(A81="","",A81&amp;"|"&amp;F81)</f>
        <v/>
      </c>
      <c r="H81" s="77" t="str">
        <f aca="false">IF(A81="","",SUMIFS('Release Log'!$D$6:$D$4005,'Release Log'!$B$6:$B$4005,A81,'Release Log'!$C$6:$C$4005,C81))</f>
        <v/>
      </c>
      <c r="I81" s="77" t="str">
        <f aca="false">IF(OR(A81="",N(E81)=0),"",INT(H81/E81))</f>
        <v/>
      </c>
      <c r="J81" s="77" t="str">
        <f aca="false">IF(A81="","",A81&amp;"|"&amp;C81)</f>
        <v/>
      </c>
    </row>
    <row r="82" customFormat="false" ht="15" hidden="false" customHeight="false" outlineLevel="0" collapsed="false">
      <c r="A82" s="71"/>
      <c r="B82" s="71"/>
      <c r="C82" s="71"/>
      <c r="D82" s="71"/>
      <c r="E82" s="72"/>
      <c r="F82" s="77" t="str">
        <f aca="false">IF(A82="","",COUNTIF($A$6:A82,A82))</f>
        <v/>
      </c>
      <c r="G82" s="77" t="str">
        <f aca="false">IF(A82="","",A82&amp;"|"&amp;F82)</f>
        <v/>
      </c>
      <c r="H82" s="77" t="str">
        <f aca="false">IF(A82="","",SUMIFS('Release Log'!$D$6:$D$4005,'Release Log'!$B$6:$B$4005,A82,'Release Log'!$C$6:$C$4005,C82))</f>
        <v/>
      </c>
      <c r="I82" s="77" t="str">
        <f aca="false">IF(OR(A82="",N(E82)=0),"",INT(H82/E82))</f>
        <v/>
      </c>
      <c r="J82" s="77" t="str">
        <f aca="false">IF(A82="","",A82&amp;"|"&amp;C82)</f>
        <v/>
      </c>
    </row>
    <row r="83" customFormat="false" ht="15" hidden="false" customHeight="false" outlineLevel="0" collapsed="false">
      <c r="A83" s="71"/>
      <c r="B83" s="71"/>
      <c r="C83" s="71"/>
      <c r="D83" s="71"/>
      <c r="E83" s="72"/>
      <c r="F83" s="77" t="str">
        <f aca="false">IF(A83="","",COUNTIF($A$6:A83,A83))</f>
        <v/>
      </c>
      <c r="G83" s="77" t="str">
        <f aca="false">IF(A83="","",A83&amp;"|"&amp;F83)</f>
        <v/>
      </c>
      <c r="H83" s="77" t="str">
        <f aca="false">IF(A83="","",SUMIFS('Release Log'!$D$6:$D$4005,'Release Log'!$B$6:$B$4005,A83,'Release Log'!$C$6:$C$4005,C83))</f>
        <v/>
      </c>
      <c r="I83" s="77" t="str">
        <f aca="false">IF(OR(A83="",N(E83)=0),"",INT(H83/E83))</f>
        <v/>
      </c>
      <c r="J83" s="77" t="str">
        <f aca="false">IF(A83="","",A83&amp;"|"&amp;C83)</f>
        <v/>
      </c>
    </row>
    <row r="84" customFormat="false" ht="15" hidden="false" customHeight="false" outlineLevel="0" collapsed="false">
      <c r="A84" s="71"/>
      <c r="B84" s="71"/>
      <c r="C84" s="71"/>
      <c r="D84" s="71"/>
      <c r="E84" s="72"/>
      <c r="F84" s="77" t="str">
        <f aca="false">IF(A84="","",COUNTIF($A$6:A84,A84))</f>
        <v/>
      </c>
      <c r="G84" s="77" t="str">
        <f aca="false">IF(A84="","",A84&amp;"|"&amp;F84)</f>
        <v/>
      </c>
      <c r="H84" s="77" t="str">
        <f aca="false">IF(A84="","",SUMIFS('Release Log'!$D$6:$D$4005,'Release Log'!$B$6:$B$4005,A84,'Release Log'!$C$6:$C$4005,C84))</f>
        <v/>
      </c>
      <c r="I84" s="77" t="str">
        <f aca="false">IF(OR(A84="",N(E84)=0),"",INT(H84/E84))</f>
        <v/>
      </c>
      <c r="J84" s="77" t="str">
        <f aca="false">IF(A84="","",A84&amp;"|"&amp;C84)</f>
        <v/>
      </c>
    </row>
    <row r="85" customFormat="false" ht="15" hidden="false" customHeight="false" outlineLevel="0" collapsed="false">
      <c r="A85" s="71"/>
      <c r="B85" s="71"/>
      <c r="C85" s="71"/>
      <c r="D85" s="71"/>
      <c r="E85" s="72"/>
      <c r="F85" s="77" t="str">
        <f aca="false">IF(A85="","",COUNTIF($A$6:A85,A85))</f>
        <v/>
      </c>
      <c r="G85" s="77" t="str">
        <f aca="false">IF(A85="","",A85&amp;"|"&amp;F85)</f>
        <v/>
      </c>
      <c r="H85" s="77" t="str">
        <f aca="false">IF(A85="","",SUMIFS('Release Log'!$D$6:$D$4005,'Release Log'!$B$6:$B$4005,A85,'Release Log'!$C$6:$C$4005,C85))</f>
        <v/>
      </c>
      <c r="I85" s="77" t="str">
        <f aca="false">IF(OR(A85="",N(E85)=0),"",INT(H85/E85))</f>
        <v/>
      </c>
      <c r="J85" s="77" t="str">
        <f aca="false">IF(A85="","",A85&amp;"|"&amp;C85)</f>
        <v/>
      </c>
    </row>
    <row r="86" customFormat="false" ht="15" hidden="false" customHeight="false" outlineLevel="0" collapsed="false">
      <c r="A86" s="71"/>
      <c r="B86" s="71"/>
      <c r="C86" s="71"/>
      <c r="D86" s="71"/>
      <c r="E86" s="72"/>
      <c r="F86" s="77" t="str">
        <f aca="false">IF(A86="","",COUNTIF($A$6:A86,A86))</f>
        <v/>
      </c>
      <c r="G86" s="77" t="str">
        <f aca="false">IF(A86="","",A86&amp;"|"&amp;F86)</f>
        <v/>
      </c>
      <c r="H86" s="77" t="str">
        <f aca="false">IF(A86="","",SUMIFS('Release Log'!$D$6:$D$4005,'Release Log'!$B$6:$B$4005,A86,'Release Log'!$C$6:$C$4005,C86))</f>
        <v/>
      </c>
      <c r="I86" s="77" t="str">
        <f aca="false">IF(OR(A86="",N(E86)=0),"",INT(H86/E86))</f>
        <v/>
      </c>
      <c r="J86" s="77" t="str">
        <f aca="false">IF(A86="","",A86&amp;"|"&amp;C86)</f>
        <v/>
      </c>
    </row>
    <row r="87" customFormat="false" ht="15" hidden="false" customHeight="false" outlineLevel="0" collapsed="false">
      <c r="A87" s="71"/>
      <c r="B87" s="71"/>
      <c r="C87" s="71"/>
      <c r="D87" s="71"/>
      <c r="E87" s="72"/>
      <c r="F87" s="77" t="str">
        <f aca="false">IF(A87="","",COUNTIF($A$6:A87,A87))</f>
        <v/>
      </c>
      <c r="G87" s="77" t="str">
        <f aca="false">IF(A87="","",A87&amp;"|"&amp;F87)</f>
        <v/>
      </c>
      <c r="H87" s="77" t="str">
        <f aca="false">IF(A87="","",SUMIFS('Release Log'!$D$6:$D$4005,'Release Log'!$B$6:$B$4005,A87,'Release Log'!$C$6:$C$4005,C87))</f>
        <v/>
      </c>
      <c r="I87" s="77" t="str">
        <f aca="false">IF(OR(A87="",N(E87)=0),"",INT(H87/E87))</f>
        <v/>
      </c>
      <c r="J87" s="77" t="str">
        <f aca="false">IF(A87="","",A87&amp;"|"&amp;C87)</f>
        <v/>
      </c>
    </row>
    <row r="88" customFormat="false" ht="15" hidden="false" customHeight="false" outlineLevel="0" collapsed="false">
      <c r="A88" s="71"/>
      <c r="B88" s="71"/>
      <c r="C88" s="71"/>
      <c r="D88" s="71"/>
      <c r="E88" s="72"/>
      <c r="F88" s="77" t="str">
        <f aca="false">IF(A88="","",COUNTIF($A$6:A88,A88))</f>
        <v/>
      </c>
      <c r="G88" s="77" t="str">
        <f aca="false">IF(A88="","",A88&amp;"|"&amp;F88)</f>
        <v/>
      </c>
      <c r="H88" s="77" t="str">
        <f aca="false">IF(A88="","",SUMIFS('Release Log'!$D$6:$D$4005,'Release Log'!$B$6:$B$4005,A88,'Release Log'!$C$6:$C$4005,C88))</f>
        <v/>
      </c>
      <c r="I88" s="77" t="str">
        <f aca="false">IF(OR(A88="",N(E88)=0),"",INT(H88/E88))</f>
        <v/>
      </c>
      <c r="J88" s="77" t="str">
        <f aca="false">IF(A88="","",A88&amp;"|"&amp;C88)</f>
        <v/>
      </c>
    </row>
    <row r="89" customFormat="false" ht="15" hidden="false" customHeight="false" outlineLevel="0" collapsed="false">
      <c r="A89" s="71"/>
      <c r="B89" s="71"/>
      <c r="C89" s="71"/>
      <c r="D89" s="71"/>
      <c r="E89" s="72"/>
      <c r="F89" s="77" t="str">
        <f aca="false">IF(A89="","",COUNTIF($A$6:A89,A89))</f>
        <v/>
      </c>
      <c r="G89" s="77" t="str">
        <f aca="false">IF(A89="","",A89&amp;"|"&amp;F89)</f>
        <v/>
      </c>
      <c r="H89" s="77" t="str">
        <f aca="false">IF(A89="","",SUMIFS('Release Log'!$D$6:$D$4005,'Release Log'!$B$6:$B$4005,A89,'Release Log'!$C$6:$C$4005,C89))</f>
        <v/>
      </c>
      <c r="I89" s="77" t="str">
        <f aca="false">IF(OR(A89="",N(E89)=0),"",INT(H89/E89))</f>
        <v/>
      </c>
      <c r="J89" s="77" t="str">
        <f aca="false">IF(A89="","",A89&amp;"|"&amp;C89)</f>
        <v/>
      </c>
    </row>
    <row r="90" customFormat="false" ht="15" hidden="false" customHeight="false" outlineLevel="0" collapsed="false">
      <c r="A90" s="71"/>
      <c r="B90" s="71"/>
      <c r="C90" s="71"/>
      <c r="D90" s="71"/>
      <c r="E90" s="72"/>
      <c r="F90" s="77" t="str">
        <f aca="false">IF(A90="","",COUNTIF($A$6:A90,A90))</f>
        <v/>
      </c>
      <c r="G90" s="77" t="str">
        <f aca="false">IF(A90="","",A90&amp;"|"&amp;F90)</f>
        <v/>
      </c>
      <c r="H90" s="77" t="str">
        <f aca="false">IF(A90="","",SUMIFS('Release Log'!$D$6:$D$4005,'Release Log'!$B$6:$B$4005,A90,'Release Log'!$C$6:$C$4005,C90))</f>
        <v/>
      </c>
      <c r="I90" s="77" t="str">
        <f aca="false">IF(OR(A90="",N(E90)=0),"",INT(H90/E90))</f>
        <v/>
      </c>
      <c r="J90" s="77" t="str">
        <f aca="false">IF(A90="","",A90&amp;"|"&amp;C90)</f>
        <v/>
      </c>
    </row>
    <row r="91" customFormat="false" ht="15" hidden="false" customHeight="false" outlineLevel="0" collapsed="false">
      <c r="A91" s="71"/>
      <c r="B91" s="71"/>
      <c r="C91" s="71"/>
      <c r="D91" s="71"/>
      <c r="E91" s="72"/>
      <c r="F91" s="77" t="str">
        <f aca="false">IF(A91="","",COUNTIF($A$6:A91,A91))</f>
        <v/>
      </c>
      <c r="G91" s="77" t="str">
        <f aca="false">IF(A91="","",A91&amp;"|"&amp;F91)</f>
        <v/>
      </c>
      <c r="H91" s="77" t="str">
        <f aca="false">IF(A91="","",SUMIFS('Release Log'!$D$6:$D$4005,'Release Log'!$B$6:$B$4005,A91,'Release Log'!$C$6:$C$4005,C91))</f>
        <v/>
      </c>
      <c r="I91" s="77" t="str">
        <f aca="false">IF(OR(A91="",N(E91)=0),"",INT(H91/E91))</f>
        <v/>
      </c>
      <c r="J91" s="77" t="str">
        <f aca="false">IF(A91="","",A91&amp;"|"&amp;C91)</f>
        <v/>
      </c>
    </row>
    <row r="92" customFormat="false" ht="15" hidden="false" customHeight="false" outlineLevel="0" collapsed="false">
      <c r="A92" s="71"/>
      <c r="B92" s="71"/>
      <c r="C92" s="71"/>
      <c r="D92" s="71"/>
      <c r="E92" s="72"/>
      <c r="F92" s="77" t="str">
        <f aca="false">IF(A92="","",COUNTIF($A$6:A92,A92))</f>
        <v/>
      </c>
      <c r="G92" s="77" t="str">
        <f aca="false">IF(A92="","",A92&amp;"|"&amp;F92)</f>
        <v/>
      </c>
      <c r="H92" s="77" t="str">
        <f aca="false">IF(A92="","",SUMIFS('Release Log'!$D$6:$D$4005,'Release Log'!$B$6:$B$4005,A92,'Release Log'!$C$6:$C$4005,C92))</f>
        <v/>
      </c>
      <c r="I92" s="77" t="str">
        <f aca="false">IF(OR(A92="",N(E92)=0),"",INT(H92/E92))</f>
        <v/>
      </c>
      <c r="J92" s="77" t="str">
        <f aca="false">IF(A92="","",A92&amp;"|"&amp;C92)</f>
        <v/>
      </c>
    </row>
    <row r="93" customFormat="false" ht="15" hidden="false" customHeight="false" outlineLevel="0" collapsed="false">
      <c r="A93" s="71"/>
      <c r="B93" s="71"/>
      <c r="C93" s="71"/>
      <c r="D93" s="71"/>
      <c r="E93" s="72"/>
      <c r="F93" s="77" t="str">
        <f aca="false">IF(A93="","",COUNTIF($A$6:A93,A93))</f>
        <v/>
      </c>
      <c r="G93" s="77" t="str">
        <f aca="false">IF(A93="","",A93&amp;"|"&amp;F93)</f>
        <v/>
      </c>
      <c r="H93" s="77" t="str">
        <f aca="false">IF(A93="","",SUMIFS('Release Log'!$D$6:$D$4005,'Release Log'!$B$6:$B$4005,A93,'Release Log'!$C$6:$C$4005,C93))</f>
        <v/>
      </c>
      <c r="I93" s="77" t="str">
        <f aca="false">IF(OR(A93="",N(E93)=0),"",INT(H93/E93))</f>
        <v/>
      </c>
      <c r="J93" s="77" t="str">
        <f aca="false">IF(A93="","",A93&amp;"|"&amp;C93)</f>
        <v/>
      </c>
    </row>
    <row r="94" customFormat="false" ht="15" hidden="false" customHeight="false" outlineLevel="0" collapsed="false">
      <c r="A94" s="71"/>
      <c r="B94" s="71"/>
      <c r="C94" s="71"/>
      <c r="D94" s="71"/>
      <c r="E94" s="72"/>
      <c r="F94" s="77" t="str">
        <f aca="false">IF(A94="","",COUNTIF($A$6:A94,A94))</f>
        <v/>
      </c>
      <c r="G94" s="77" t="str">
        <f aca="false">IF(A94="","",A94&amp;"|"&amp;F94)</f>
        <v/>
      </c>
      <c r="H94" s="77" t="str">
        <f aca="false">IF(A94="","",SUMIFS('Release Log'!$D$6:$D$4005,'Release Log'!$B$6:$B$4005,A94,'Release Log'!$C$6:$C$4005,C94))</f>
        <v/>
      </c>
      <c r="I94" s="77" t="str">
        <f aca="false">IF(OR(A94="",N(E94)=0),"",INT(H94/E94))</f>
        <v/>
      </c>
      <c r="J94" s="77" t="str">
        <f aca="false">IF(A94="","",A94&amp;"|"&amp;C94)</f>
        <v/>
      </c>
    </row>
    <row r="95" customFormat="false" ht="15" hidden="false" customHeight="false" outlineLevel="0" collapsed="false">
      <c r="A95" s="71"/>
      <c r="B95" s="71"/>
      <c r="C95" s="71"/>
      <c r="D95" s="71"/>
      <c r="E95" s="72"/>
      <c r="F95" s="77" t="str">
        <f aca="false">IF(A95="","",COUNTIF($A$6:A95,A95))</f>
        <v/>
      </c>
      <c r="G95" s="77" t="str">
        <f aca="false">IF(A95="","",A95&amp;"|"&amp;F95)</f>
        <v/>
      </c>
      <c r="H95" s="77" t="str">
        <f aca="false">IF(A95="","",SUMIFS('Release Log'!$D$6:$D$4005,'Release Log'!$B$6:$B$4005,A95,'Release Log'!$C$6:$C$4005,C95))</f>
        <v/>
      </c>
      <c r="I95" s="77" t="str">
        <f aca="false">IF(OR(A95="",N(E95)=0),"",INT(H95/E95))</f>
        <v/>
      </c>
      <c r="J95" s="77" t="str">
        <f aca="false">IF(A95="","",A95&amp;"|"&amp;C95)</f>
        <v/>
      </c>
    </row>
    <row r="96" customFormat="false" ht="15" hidden="false" customHeight="false" outlineLevel="0" collapsed="false">
      <c r="A96" s="71"/>
      <c r="B96" s="71"/>
      <c r="C96" s="71"/>
      <c r="D96" s="71"/>
      <c r="E96" s="72"/>
      <c r="F96" s="77" t="str">
        <f aca="false">IF(A96="","",COUNTIF($A$6:A96,A96))</f>
        <v/>
      </c>
      <c r="G96" s="77" t="str">
        <f aca="false">IF(A96="","",A96&amp;"|"&amp;F96)</f>
        <v/>
      </c>
      <c r="H96" s="77" t="str">
        <f aca="false">IF(A96="","",SUMIFS('Release Log'!$D$6:$D$4005,'Release Log'!$B$6:$B$4005,A96,'Release Log'!$C$6:$C$4005,C96))</f>
        <v/>
      </c>
      <c r="I96" s="77" t="str">
        <f aca="false">IF(OR(A96="",N(E96)=0),"",INT(H96/E96))</f>
        <v/>
      </c>
      <c r="J96" s="77" t="str">
        <f aca="false">IF(A96="","",A96&amp;"|"&amp;C96)</f>
        <v/>
      </c>
    </row>
    <row r="97" customFormat="false" ht="15" hidden="false" customHeight="false" outlineLevel="0" collapsed="false">
      <c r="A97" s="71"/>
      <c r="B97" s="71"/>
      <c r="C97" s="71"/>
      <c r="D97" s="71"/>
      <c r="E97" s="72"/>
      <c r="F97" s="77" t="str">
        <f aca="false">IF(A97="","",COUNTIF($A$6:A97,A97))</f>
        <v/>
      </c>
      <c r="G97" s="77" t="str">
        <f aca="false">IF(A97="","",A97&amp;"|"&amp;F97)</f>
        <v/>
      </c>
      <c r="H97" s="77" t="str">
        <f aca="false">IF(A97="","",SUMIFS('Release Log'!$D$6:$D$4005,'Release Log'!$B$6:$B$4005,A97,'Release Log'!$C$6:$C$4005,C97))</f>
        <v/>
      </c>
      <c r="I97" s="77" t="str">
        <f aca="false">IF(OR(A97="",N(E97)=0),"",INT(H97/E97))</f>
        <v/>
      </c>
      <c r="J97" s="77" t="str">
        <f aca="false">IF(A97="","",A97&amp;"|"&amp;C97)</f>
        <v/>
      </c>
    </row>
    <row r="98" customFormat="false" ht="15" hidden="false" customHeight="false" outlineLevel="0" collapsed="false">
      <c r="A98" s="71"/>
      <c r="B98" s="71"/>
      <c r="C98" s="71"/>
      <c r="D98" s="71"/>
      <c r="E98" s="72"/>
      <c r="F98" s="77" t="str">
        <f aca="false">IF(A98="","",COUNTIF($A$6:A98,A98))</f>
        <v/>
      </c>
      <c r="G98" s="77" t="str">
        <f aca="false">IF(A98="","",A98&amp;"|"&amp;F98)</f>
        <v/>
      </c>
      <c r="H98" s="77" t="str">
        <f aca="false">IF(A98="","",SUMIFS('Release Log'!$D$6:$D$4005,'Release Log'!$B$6:$B$4005,A98,'Release Log'!$C$6:$C$4005,C98))</f>
        <v/>
      </c>
      <c r="I98" s="77" t="str">
        <f aca="false">IF(OR(A98="",N(E98)=0),"",INT(H98/E98))</f>
        <v/>
      </c>
      <c r="J98" s="77" t="str">
        <f aca="false">IF(A98="","",A98&amp;"|"&amp;C98)</f>
        <v/>
      </c>
    </row>
    <row r="99" customFormat="false" ht="15" hidden="false" customHeight="false" outlineLevel="0" collapsed="false">
      <c r="A99" s="71"/>
      <c r="B99" s="71"/>
      <c r="C99" s="71"/>
      <c r="D99" s="71"/>
      <c r="E99" s="72"/>
      <c r="F99" s="77" t="str">
        <f aca="false">IF(A99="","",COUNTIF($A$6:A99,A99))</f>
        <v/>
      </c>
      <c r="G99" s="77" t="str">
        <f aca="false">IF(A99="","",A99&amp;"|"&amp;F99)</f>
        <v/>
      </c>
      <c r="H99" s="77" t="str">
        <f aca="false">IF(A99="","",SUMIFS('Release Log'!$D$6:$D$4005,'Release Log'!$B$6:$B$4005,A99,'Release Log'!$C$6:$C$4005,C99))</f>
        <v/>
      </c>
      <c r="I99" s="77" t="str">
        <f aca="false">IF(OR(A99="",N(E99)=0),"",INT(H99/E99))</f>
        <v/>
      </c>
      <c r="J99" s="77" t="str">
        <f aca="false">IF(A99="","",A99&amp;"|"&amp;C99)</f>
        <v/>
      </c>
    </row>
    <row r="100" customFormat="false" ht="15" hidden="false" customHeight="false" outlineLevel="0" collapsed="false">
      <c r="A100" s="71"/>
      <c r="B100" s="71"/>
      <c r="C100" s="71"/>
      <c r="D100" s="71"/>
      <c r="E100" s="72"/>
      <c r="F100" s="77" t="str">
        <f aca="false">IF(A100="","",COUNTIF($A$6:A100,A100))</f>
        <v/>
      </c>
      <c r="G100" s="77" t="str">
        <f aca="false">IF(A100="","",A100&amp;"|"&amp;F100)</f>
        <v/>
      </c>
      <c r="H100" s="77" t="str">
        <f aca="false">IF(A100="","",SUMIFS('Release Log'!$D$6:$D$4005,'Release Log'!$B$6:$B$4005,A100,'Release Log'!$C$6:$C$4005,C100))</f>
        <v/>
      </c>
      <c r="I100" s="77" t="str">
        <f aca="false">IF(OR(A100="",N(E100)=0),"",INT(H100/E100))</f>
        <v/>
      </c>
      <c r="J100" s="77" t="str">
        <f aca="false">IF(A100="","",A100&amp;"|"&amp;C100)</f>
        <v/>
      </c>
    </row>
    <row r="101" customFormat="false" ht="15" hidden="false" customHeight="false" outlineLevel="0" collapsed="false">
      <c r="A101" s="71"/>
      <c r="B101" s="71"/>
      <c r="C101" s="71"/>
      <c r="D101" s="71"/>
      <c r="E101" s="72"/>
      <c r="F101" s="77" t="str">
        <f aca="false">IF(A101="","",COUNTIF($A$6:A101,A101))</f>
        <v/>
      </c>
      <c r="G101" s="77" t="str">
        <f aca="false">IF(A101="","",A101&amp;"|"&amp;F101)</f>
        <v/>
      </c>
      <c r="H101" s="77" t="str">
        <f aca="false">IF(A101="","",SUMIFS('Release Log'!$D$6:$D$4005,'Release Log'!$B$6:$B$4005,A101,'Release Log'!$C$6:$C$4005,C101))</f>
        <v/>
      </c>
      <c r="I101" s="77" t="str">
        <f aca="false">IF(OR(A101="",N(E101)=0),"",INT(H101/E101))</f>
        <v/>
      </c>
      <c r="J101" s="77" t="str">
        <f aca="false">IF(A101="","",A101&amp;"|"&amp;C101)</f>
        <v/>
      </c>
    </row>
    <row r="102" customFormat="false" ht="15" hidden="false" customHeight="false" outlineLevel="0" collapsed="false">
      <c r="A102" s="71"/>
      <c r="B102" s="71"/>
      <c r="C102" s="71"/>
      <c r="D102" s="71"/>
      <c r="E102" s="72"/>
      <c r="F102" s="77" t="str">
        <f aca="false">IF(A102="","",COUNTIF($A$6:A102,A102))</f>
        <v/>
      </c>
      <c r="G102" s="77" t="str">
        <f aca="false">IF(A102="","",A102&amp;"|"&amp;F102)</f>
        <v/>
      </c>
      <c r="H102" s="77" t="str">
        <f aca="false">IF(A102="","",SUMIFS('Release Log'!$D$6:$D$4005,'Release Log'!$B$6:$B$4005,A102,'Release Log'!$C$6:$C$4005,C102))</f>
        <v/>
      </c>
      <c r="I102" s="77" t="str">
        <f aca="false">IF(OR(A102="",N(E102)=0),"",INT(H102/E102))</f>
        <v/>
      </c>
      <c r="J102" s="77" t="str">
        <f aca="false">IF(A102="","",A102&amp;"|"&amp;C102)</f>
        <v/>
      </c>
    </row>
    <row r="103" customFormat="false" ht="15" hidden="false" customHeight="false" outlineLevel="0" collapsed="false">
      <c r="A103" s="71"/>
      <c r="B103" s="71"/>
      <c r="C103" s="71"/>
      <c r="D103" s="71"/>
      <c r="E103" s="72"/>
      <c r="F103" s="77" t="str">
        <f aca="false">IF(A103="","",COUNTIF($A$6:A103,A103))</f>
        <v/>
      </c>
      <c r="G103" s="77" t="str">
        <f aca="false">IF(A103="","",A103&amp;"|"&amp;F103)</f>
        <v/>
      </c>
      <c r="H103" s="77" t="str">
        <f aca="false">IF(A103="","",SUMIFS('Release Log'!$D$6:$D$4005,'Release Log'!$B$6:$B$4005,A103,'Release Log'!$C$6:$C$4005,C103))</f>
        <v/>
      </c>
      <c r="I103" s="77" t="str">
        <f aca="false">IF(OR(A103="",N(E103)=0),"",INT(H103/E103))</f>
        <v/>
      </c>
      <c r="J103" s="77" t="str">
        <f aca="false">IF(A103="","",A103&amp;"|"&amp;C103)</f>
        <v/>
      </c>
    </row>
    <row r="104" customFormat="false" ht="15" hidden="false" customHeight="false" outlineLevel="0" collapsed="false">
      <c r="A104" s="71"/>
      <c r="B104" s="71"/>
      <c r="C104" s="71"/>
      <c r="D104" s="71"/>
      <c r="E104" s="72"/>
      <c r="F104" s="77" t="str">
        <f aca="false">IF(A104="","",COUNTIF($A$6:A104,A104))</f>
        <v/>
      </c>
      <c r="G104" s="77" t="str">
        <f aca="false">IF(A104="","",A104&amp;"|"&amp;F104)</f>
        <v/>
      </c>
      <c r="H104" s="77" t="str">
        <f aca="false">IF(A104="","",SUMIFS('Release Log'!$D$6:$D$4005,'Release Log'!$B$6:$B$4005,A104,'Release Log'!$C$6:$C$4005,C104))</f>
        <v/>
      </c>
      <c r="I104" s="77" t="str">
        <f aca="false">IF(OR(A104="",N(E104)=0),"",INT(H104/E104))</f>
        <v/>
      </c>
      <c r="J104" s="77" t="str">
        <f aca="false">IF(A104="","",A104&amp;"|"&amp;C104)</f>
        <v/>
      </c>
    </row>
    <row r="105" customFormat="false" ht="15" hidden="false" customHeight="false" outlineLevel="0" collapsed="false">
      <c r="A105" s="71"/>
      <c r="B105" s="71"/>
      <c r="C105" s="71"/>
      <c r="D105" s="71"/>
      <c r="E105" s="72"/>
      <c r="F105" s="77" t="str">
        <f aca="false">IF(A105="","",COUNTIF($A$6:A105,A105))</f>
        <v/>
      </c>
      <c r="G105" s="77" t="str">
        <f aca="false">IF(A105="","",A105&amp;"|"&amp;F105)</f>
        <v/>
      </c>
      <c r="H105" s="77" t="str">
        <f aca="false">IF(A105="","",SUMIFS('Release Log'!$D$6:$D$4005,'Release Log'!$B$6:$B$4005,A105,'Release Log'!$C$6:$C$4005,C105))</f>
        <v/>
      </c>
      <c r="I105" s="77" t="str">
        <f aca="false">IF(OR(A105="",N(E105)=0),"",INT(H105/E105))</f>
        <v/>
      </c>
      <c r="J105" s="77" t="str">
        <f aca="false">IF(A105="","",A105&amp;"|"&amp;C105)</f>
        <v/>
      </c>
    </row>
    <row r="106" customFormat="false" ht="15" hidden="false" customHeight="false" outlineLevel="0" collapsed="false">
      <c r="A106" s="71"/>
      <c r="B106" s="71"/>
      <c r="C106" s="71"/>
      <c r="D106" s="71"/>
      <c r="E106" s="72"/>
      <c r="F106" s="77" t="str">
        <f aca="false">IF(A106="","",COUNTIF($A$6:A106,A106))</f>
        <v/>
      </c>
      <c r="G106" s="77" t="str">
        <f aca="false">IF(A106="","",A106&amp;"|"&amp;F106)</f>
        <v/>
      </c>
      <c r="H106" s="77" t="str">
        <f aca="false">IF(A106="","",SUMIFS('Release Log'!$D$6:$D$4005,'Release Log'!$B$6:$B$4005,A106,'Release Log'!$C$6:$C$4005,C106))</f>
        <v/>
      </c>
      <c r="I106" s="77" t="str">
        <f aca="false">IF(OR(A106="",N(E106)=0),"",INT(H106/E106))</f>
        <v/>
      </c>
      <c r="J106" s="77" t="str">
        <f aca="false">IF(A106="","",A106&amp;"|"&amp;C106)</f>
        <v/>
      </c>
    </row>
    <row r="107" customFormat="false" ht="15" hidden="false" customHeight="false" outlineLevel="0" collapsed="false">
      <c r="A107" s="71"/>
      <c r="B107" s="71"/>
      <c r="C107" s="71"/>
      <c r="D107" s="71"/>
      <c r="E107" s="72"/>
      <c r="F107" s="77" t="str">
        <f aca="false">IF(A107="","",COUNTIF($A$6:A107,A107))</f>
        <v/>
      </c>
      <c r="G107" s="77" t="str">
        <f aca="false">IF(A107="","",A107&amp;"|"&amp;F107)</f>
        <v/>
      </c>
      <c r="H107" s="77" t="str">
        <f aca="false">IF(A107="","",SUMIFS('Release Log'!$D$6:$D$4005,'Release Log'!$B$6:$B$4005,A107,'Release Log'!$C$6:$C$4005,C107))</f>
        <v/>
      </c>
      <c r="I107" s="77" t="str">
        <f aca="false">IF(OR(A107="",N(E107)=0),"",INT(H107/E107))</f>
        <v/>
      </c>
      <c r="J107" s="77" t="str">
        <f aca="false">IF(A107="","",A107&amp;"|"&amp;C107)</f>
        <v/>
      </c>
    </row>
    <row r="108" customFormat="false" ht="15" hidden="false" customHeight="false" outlineLevel="0" collapsed="false">
      <c r="A108" s="71"/>
      <c r="B108" s="71"/>
      <c r="C108" s="71"/>
      <c r="D108" s="71"/>
      <c r="E108" s="72"/>
      <c r="F108" s="77" t="str">
        <f aca="false">IF(A108="","",COUNTIF($A$6:A108,A108))</f>
        <v/>
      </c>
      <c r="G108" s="77" t="str">
        <f aca="false">IF(A108="","",A108&amp;"|"&amp;F108)</f>
        <v/>
      </c>
      <c r="H108" s="77" t="str">
        <f aca="false">IF(A108="","",SUMIFS('Release Log'!$D$6:$D$4005,'Release Log'!$B$6:$B$4005,A108,'Release Log'!$C$6:$C$4005,C108))</f>
        <v/>
      </c>
      <c r="I108" s="77" t="str">
        <f aca="false">IF(OR(A108="",N(E108)=0),"",INT(H108/E108))</f>
        <v/>
      </c>
      <c r="J108" s="77" t="str">
        <f aca="false">IF(A108="","",A108&amp;"|"&amp;C108)</f>
        <v/>
      </c>
    </row>
    <row r="109" customFormat="false" ht="15" hidden="false" customHeight="false" outlineLevel="0" collapsed="false">
      <c r="A109" s="71"/>
      <c r="B109" s="71"/>
      <c r="C109" s="71"/>
      <c r="D109" s="71"/>
      <c r="E109" s="72"/>
      <c r="F109" s="77" t="str">
        <f aca="false">IF(A109="","",COUNTIF($A$6:A109,A109))</f>
        <v/>
      </c>
      <c r="G109" s="77" t="str">
        <f aca="false">IF(A109="","",A109&amp;"|"&amp;F109)</f>
        <v/>
      </c>
      <c r="H109" s="77" t="str">
        <f aca="false">IF(A109="","",SUMIFS('Release Log'!$D$6:$D$4005,'Release Log'!$B$6:$B$4005,A109,'Release Log'!$C$6:$C$4005,C109))</f>
        <v/>
      </c>
      <c r="I109" s="77" t="str">
        <f aca="false">IF(OR(A109="",N(E109)=0),"",INT(H109/E109))</f>
        <v/>
      </c>
      <c r="J109" s="77" t="str">
        <f aca="false">IF(A109="","",A109&amp;"|"&amp;C109)</f>
        <v/>
      </c>
    </row>
    <row r="110" customFormat="false" ht="15" hidden="false" customHeight="false" outlineLevel="0" collapsed="false">
      <c r="A110" s="71"/>
      <c r="B110" s="71"/>
      <c r="C110" s="71"/>
      <c r="D110" s="71"/>
      <c r="E110" s="72"/>
      <c r="F110" s="77" t="str">
        <f aca="false">IF(A110="","",COUNTIF($A$6:A110,A110))</f>
        <v/>
      </c>
      <c r="G110" s="77" t="str">
        <f aca="false">IF(A110="","",A110&amp;"|"&amp;F110)</f>
        <v/>
      </c>
      <c r="H110" s="77" t="str">
        <f aca="false">IF(A110="","",SUMIFS('Release Log'!$D$6:$D$4005,'Release Log'!$B$6:$B$4005,A110,'Release Log'!$C$6:$C$4005,C110))</f>
        <v/>
      </c>
      <c r="I110" s="77" t="str">
        <f aca="false">IF(OR(A110="",N(E110)=0),"",INT(H110/E110))</f>
        <v/>
      </c>
      <c r="J110" s="77" t="str">
        <f aca="false">IF(A110="","",A110&amp;"|"&amp;C110)</f>
        <v/>
      </c>
    </row>
    <row r="111" customFormat="false" ht="15" hidden="false" customHeight="false" outlineLevel="0" collapsed="false">
      <c r="A111" s="71"/>
      <c r="B111" s="71"/>
      <c r="C111" s="71"/>
      <c r="D111" s="71"/>
      <c r="E111" s="72"/>
      <c r="F111" s="77" t="str">
        <f aca="false">IF(A111="","",COUNTIF($A$6:A111,A111))</f>
        <v/>
      </c>
      <c r="G111" s="77" t="str">
        <f aca="false">IF(A111="","",A111&amp;"|"&amp;F111)</f>
        <v/>
      </c>
      <c r="H111" s="77" t="str">
        <f aca="false">IF(A111="","",SUMIFS('Release Log'!$D$6:$D$4005,'Release Log'!$B$6:$B$4005,A111,'Release Log'!$C$6:$C$4005,C111))</f>
        <v/>
      </c>
      <c r="I111" s="77" t="str">
        <f aca="false">IF(OR(A111="",N(E111)=0),"",INT(H111/E111))</f>
        <v/>
      </c>
      <c r="J111" s="77" t="str">
        <f aca="false">IF(A111="","",A111&amp;"|"&amp;C111)</f>
        <v/>
      </c>
    </row>
    <row r="112" customFormat="false" ht="15" hidden="false" customHeight="false" outlineLevel="0" collapsed="false">
      <c r="A112" s="71"/>
      <c r="B112" s="71"/>
      <c r="C112" s="71"/>
      <c r="D112" s="71"/>
      <c r="E112" s="72"/>
      <c r="F112" s="77" t="str">
        <f aca="false">IF(A112="","",COUNTIF($A$6:A112,A112))</f>
        <v/>
      </c>
      <c r="G112" s="77" t="str">
        <f aca="false">IF(A112="","",A112&amp;"|"&amp;F112)</f>
        <v/>
      </c>
      <c r="H112" s="77" t="str">
        <f aca="false">IF(A112="","",SUMIFS('Release Log'!$D$6:$D$4005,'Release Log'!$B$6:$B$4005,A112,'Release Log'!$C$6:$C$4005,C112))</f>
        <v/>
      </c>
      <c r="I112" s="77" t="str">
        <f aca="false">IF(OR(A112="",N(E112)=0),"",INT(H112/E112))</f>
        <v/>
      </c>
      <c r="J112" s="77" t="str">
        <f aca="false">IF(A112="","",A112&amp;"|"&amp;C112)</f>
        <v/>
      </c>
    </row>
    <row r="113" customFormat="false" ht="15" hidden="false" customHeight="false" outlineLevel="0" collapsed="false">
      <c r="A113" s="71"/>
      <c r="B113" s="71"/>
      <c r="C113" s="71"/>
      <c r="D113" s="71"/>
      <c r="E113" s="72"/>
      <c r="F113" s="77" t="str">
        <f aca="false">IF(A113="","",COUNTIF($A$6:A113,A113))</f>
        <v/>
      </c>
      <c r="G113" s="77" t="str">
        <f aca="false">IF(A113="","",A113&amp;"|"&amp;F113)</f>
        <v/>
      </c>
      <c r="H113" s="77" t="str">
        <f aca="false">IF(A113="","",SUMIFS('Release Log'!$D$6:$D$4005,'Release Log'!$B$6:$B$4005,A113,'Release Log'!$C$6:$C$4005,C113))</f>
        <v/>
      </c>
      <c r="I113" s="77" t="str">
        <f aca="false">IF(OR(A113="",N(E113)=0),"",INT(H113/E113))</f>
        <v/>
      </c>
      <c r="J113" s="77" t="str">
        <f aca="false">IF(A113="","",A113&amp;"|"&amp;C113)</f>
        <v/>
      </c>
    </row>
    <row r="114" customFormat="false" ht="15" hidden="false" customHeight="false" outlineLevel="0" collapsed="false">
      <c r="A114" s="71"/>
      <c r="B114" s="71"/>
      <c r="C114" s="71"/>
      <c r="D114" s="71"/>
      <c r="E114" s="72"/>
      <c r="F114" s="77" t="str">
        <f aca="false">IF(A114="","",COUNTIF($A$6:A114,A114))</f>
        <v/>
      </c>
      <c r="G114" s="77" t="str">
        <f aca="false">IF(A114="","",A114&amp;"|"&amp;F114)</f>
        <v/>
      </c>
      <c r="H114" s="77" t="str">
        <f aca="false">IF(A114="","",SUMIFS('Release Log'!$D$6:$D$4005,'Release Log'!$B$6:$B$4005,A114,'Release Log'!$C$6:$C$4005,C114))</f>
        <v/>
      </c>
      <c r="I114" s="77" t="str">
        <f aca="false">IF(OR(A114="",N(E114)=0),"",INT(H114/E114))</f>
        <v/>
      </c>
      <c r="J114" s="77" t="str">
        <f aca="false">IF(A114="","",A114&amp;"|"&amp;C114)</f>
        <v/>
      </c>
    </row>
    <row r="115" customFormat="false" ht="15" hidden="false" customHeight="false" outlineLevel="0" collapsed="false">
      <c r="A115" s="71"/>
      <c r="B115" s="71"/>
      <c r="C115" s="71"/>
      <c r="D115" s="71"/>
      <c r="E115" s="72"/>
      <c r="F115" s="77" t="str">
        <f aca="false">IF(A115="","",COUNTIF($A$6:A115,A115))</f>
        <v/>
      </c>
      <c r="G115" s="77" t="str">
        <f aca="false">IF(A115="","",A115&amp;"|"&amp;F115)</f>
        <v/>
      </c>
      <c r="H115" s="77" t="str">
        <f aca="false">IF(A115="","",SUMIFS('Release Log'!$D$6:$D$4005,'Release Log'!$B$6:$B$4005,A115,'Release Log'!$C$6:$C$4005,C115))</f>
        <v/>
      </c>
      <c r="I115" s="77" t="str">
        <f aca="false">IF(OR(A115="",N(E115)=0),"",INT(H115/E115))</f>
        <v/>
      </c>
      <c r="J115" s="77" t="str">
        <f aca="false">IF(A115="","",A115&amp;"|"&amp;C115)</f>
        <v/>
      </c>
    </row>
    <row r="116" customFormat="false" ht="15" hidden="false" customHeight="false" outlineLevel="0" collapsed="false">
      <c r="A116" s="71"/>
      <c r="B116" s="71"/>
      <c r="C116" s="71"/>
      <c r="D116" s="71"/>
      <c r="E116" s="72"/>
      <c r="F116" s="77" t="str">
        <f aca="false">IF(A116="","",COUNTIF($A$6:A116,A116))</f>
        <v/>
      </c>
      <c r="G116" s="77" t="str">
        <f aca="false">IF(A116="","",A116&amp;"|"&amp;F116)</f>
        <v/>
      </c>
      <c r="H116" s="77" t="str">
        <f aca="false">IF(A116="","",SUMIFS('Release Log'!$D$6:$D$4005,'Release Log'!$B$6:$B$4005,A116,'Release Log'!$C$6:$C$4005,C116))</f>
        <v/>
      </c>
      <c r="I116" s="77" t="str">
        <f aca="false">IF(OR(A116="",N(E116)=0),"",INT(H116/E116))</f>
        <v/>
      </c>
      <c r="J116" s="77" t="str">
        <f aca="false">IF(A116="","",A116&amp;"|"&amp;C116)</f>
        <v/>
      </c>
    </row>
    <row r="117" customFormat="false" ht="15" hidden="false" customHeight="false" outlineLevel="0" collapsed="false">
      <c r="A117" s="71"/>
      <c r="B117" s="71"/>
      <c r="C117" s="71"/>
      <c r="D117" s="71"/>
      <c r="E117" s="72"/>
      <c r="F117" s="77" t="str">
        <f aca="false">IF(A117="","",COUNTIF($A$6:A117,A117))</f>
        <v/>
      </c>
      <c r="G117" s="77" t="str">
        <f aca="false">IF(A117="","",A117&amp;"|"&amp;F117)</f>
        <v/>
      </c>
      <c r="H117" s="77" t="str">
        <f aca="false">IF(A117="","",SUMIFS('Release Log'!$D$6:$D$4005,'Release Log'!$B$6:$B$4005,A117,'Release Log'!$C$6:$C$4005,C117))</f>
        <v/>
      </c>
      <c r="I117" s="77" t="str">
        <f aca="false">IF(OR(A117="",N(E117)=0),"",INT(H117/E117))</f>
        <v/>
      </c>
      <c r="J117" s="77" t="str">
        <f aca="false">IF(A117="","",A117&amp;"|"&amp;C117)</f>
        <v/>
      </c>
    </row>
    <row r="118" customFormat="false" ht="15" hidden="false" customHeight="false" outlineLevel="0" collapsed="false">
      <c r="A118" s="71"/>
      <c r="B118" s="71"/>
      <c r="C118" s="71"/>
      <c r="D118" s="71"/>
      <c r="E118" s="72"/>
      <c r="F118" s="77" t="str">
        <f aca="false">IF(A118="","",COUNTIF($A$6:A118,A118))</f>
        <v/>
      </c>
      <c r="G118" s="77" t="str">
        <f aca="false">IF(A118="","",A118&amp;"|"&amp;F118)</f>
        <v/>
      </c>
      <c r="H118" s="77" t="str">
        <f aca="false">IF(A118="","",SUMIFS('Release Log'!$D$6:$D$4005,'Release Log'!$B$6:$B$4005,A118,'Release Log'!$C$6:$C$4005,C118))</f>
        <v/>
      </c>
      <c r="I118" s="77" t="str">
        <f aca="false">IF(OR(A118="",N(E118)=0),"",INT(H118/E118))</f>
        <v/>
      </c>
      <c r="J118" s="77" t="str">
        <f aca="false">IF(A118="","",A118&amp;"|"&amp;C118)</f>
        <v/>
      </c>
    </row>
    <row r="119" customFormat="false" ht="15" hidden="false" customHeight="false" outlineLevel="0" collapsed="false">
      <c r="A119" s="71"/>
      <c r="B119" s="71"/>
      <c r="C119" s="71"/>
      <c r="D119" s="71"/>
      <c r="E119" s="72"/>
      <c r="F119" s="77" t="str">
        <f aca="false">IF(A119="","",COUNTIF($A$6:A119,A119))</f>
        <v/>
      </c>
      <c r="G119" s="77" t="str">
        <f aca="false">IF(A119="","",A119&amp;"|"&amp;F119)</f>
        <v/>
      </c>
      <c r="H119" s="77" t="str">
        <f aca="false">IF(A119="","",SUMIFS('Release Log'!$D$6:$D$4005,'Release Log'!$B$6:$B$4005,A119,'Release Log'!$C$6:$C$4005,C119))</f>
        <v/>
      </c>
      <c r="I119" s="77" t="str">
        <f aca="false">IF(OR(A119="",N(E119)=0),"",INT(H119/E119))</f>
        <v/>
      </c>
      <c r="J119" s="77" t="str">
        <f aca="false">IF(A119="","",A119&amp;"|"&amp;C119)</f>
        <v/>
      </c>
    </row>
    <row r="120" customFormat="false" ht="15" hidden="false" customHeight="false" outlineLevel="0" collapsed="false">
      <c r="A120" s="71"/>
      <c r="B120" s="71"/>
      <c r="C120" s="71"/>
      <c r="D120" s="71"/>
      <c r="E120" s="72"/>
      <c r="F120" s="77" t="str">
        <f aca="false">IF(A120="","",COUNTIF($A$6:A120,A120))</f>
        <v/>
      </c>
      <c r="G120" s="77" t="str">
        <f aca="false">IF(A120="","",A120&amp;"|"&amp;F120)</f>
        <v/>
      </c>
      <c r="H120" s="77" t="str">
        <f aca="false">IF(A120="","",SUMIFS('Release Log'!$D$6:$D$4005,'Release Log'!$B$6:$B$4005,A120,'Release Log'!$C$6:$C$4005,C120))</f>
        <v/>
      </c>
      <c r="I120" s="77" t="str">
        <f aca="false">IF(OR(A120="",N(E120)=0),"",INT(H120/E120))</f>
        <v/>
      </c>
      <c r="J120" s="77" t="str">
        <f aca="false">IF(A120="","",A120&amp;"|"&amp;C120)</f>
        <v/>
      </c>
    </row>
    <row r="121" customFormat="false" ht="15" hidden="false" customHeight="false" outlineLevel="0" collapsed="false">
      <c r="A121" s="71"/>
      <c r="B121" s="71"/>
      <c r="C121" s="71"/>
      <c r="D121" s="71"/>
      <c r="E121" s="72"/>
      <c r="F121" s="77" t="str">
        <f aca="false">IF(A121="","",COUNTIF($A$6:A121,A121))</f>
        <v/>
      </c>
      <c r="G121" s="77" t="str">
        <f aca="false">IF(A121="","",A121&amp;"|"&amp;F121)</f>
        <v/>
      </c>
      <c r="H121" s="77" t="str">
        <f aca="false">IF(A121="","",SUMIFS('Release Log'!$D$6:$D$4005,'Release Log'!$B$6:$B$4005,A121,'Release Log'!$C$6:$C$4005,C121))</f>
        <v/>
      </c>
      <c r="I121" s="77" t="str">
        <f aca="false">IF(OR(A121="",N(E121)=0),"",INT(H121/E121))</f>
        <v/>
      </c>
      <c r="J121" s="77" t="str">
        <f aca="false">IF(A121="","",A121&amp;"|"&amp;C121)</f>
        <v/>
      </c>
    </row>
    <row r="122" customFormat="false" ht="15" hidden="false" customHeight="false" outlineLevel="0" collapsed="false">
      <c r="A122" s="71"/>
      <c r="B122" s="71"/>
      <c r="C122" s="71"/>
      <c r="D122" s="71"/>
      <c r="E122" s="72"/>
      <c r="F122" s="77" t="str">
        <f aca="false">IF(A122="","",COUNTIF($A$6:A122,A122))</f>
        <v/>
      </c>
      <c r="G122" s="77" t="str">
        <f aca="false">IF(A122="","",A122&amp;"|"&amp;F122)</f>
        <v/>
      </c>
      <c r="H122" s="77" t="str">
        <f aca="false">IF(A122="","",SUMIFS('Release Log'!$D$6:$D$4005,'Release Log'!$B$6:$B$4005,A122,'Release Log'!$C$6:$C$4005,C122))</f>
        <v/>
      </c>
      <c r="I122" s="77" t="str">
        <f aca="false">IF(OR(A122="",N(E122)=0),"",INT(H122/E122))</f>
        <v/>
      </c>
      <c r="J122" s="77" t="str">
        <f aca="false">IF(A122="","",A122&amp;"|"&amp;C122)</f>
        <v/>
      </c>
    </row>
    <row r="123" customFormat="false" ht="15" hidden="false" customHeight="false" outlineLevel="0" collapsed="false">
      <c r="A123" s="71"/>
      <c r="B123" s="71"/>
      <c r="C123" s="71"/>
      <c r="D123" s="71"/>
      <c r="E123" s="72"/>
      <c r="F123" s="77" t="str">
        <f aca="false">IF(A123="","",COUNTIF($A$6:A123,A123))</f>
        <v/>
      </c>
      <c r="G123" s="77" t="str">
        <f aca="false">IF(A123="","",A123&amp;"|"&amp;F123)</f>
        <v/>
      </c>
      <c r="H123" s="77" t="str">
        <f aca="false">IF(A123="","",SUMIFS('Release Log'!$D$6:$D$4005,'Release Log'!$B$6:$B$4005,A123,'Release Log'!$C$6:$C$4005,C123))</f>
        <v/>
      </c>
      <c r="I123" s="77" t="str">
        <f aca="false">IF(OR(A123="",N(E123)=0),"",INT(H123/E123))</f>
        <v/>
      </c>
      <c r="J123" s="77" t="str">
        <f aca="false">IF(A123="","",A123&amp;"|"&amp;C123)</f>
        <v/>
      </c>
    </row>
    <row r="124" customFormat="false" ht="15" hidden="false" customHeight="false" outlineLevel="0" collapsed="false">
      <c r="A124" s="71"/>
      <c r="B124" s="71"/>
      <c r="C124" s="71"/>
      <c r="D124" s="71"/>
      <c r="E124" s="72"/>
      <c r="F124" s="77" t="str">
        <f aca="false">IF(A124="","",COUNTIF($A$6:A124,A124))</f>
        <v/>
      </c>
      <c r="G124" s="77" t="str">
        <f aca="false">IF(A124="","",A124&amp;"|"&amp;F124)</f>
        <v/>
      </c>
      <c r="H124" s="77" t="str">
        <f aca="false">IF(A124="","",SUMIFS('Release Log'!$D$6:$D$4005,'Release Log'!$B$6:$B$4005,A124,'Release Log'!$C$6:$C$4005,C124))</f>
        <v/>
      </c>
      <c r="I124" s="77" t="str">
        <f aca="false">IF(OR(A124="",N(E124)=0),"",INT(H124/E124))</f>
        <v/>
      </c>
      <c r="J124" s="77" t="str">
        <f aca="false">IF(A124="","",A124&amp;"|"&amp;C124)</f>
        <v/>
      </c>
    </row>
    <row r="125" customFormat="false" ht="15" hidden="false" customHeight="false" outlineLevel="0" collapsed="false">
      <c r="A125" s="71"/>
      <c r="B125" s="71"/>
      <c r="C125" s="71"/>
      <c r="D125" s="71"/>
      <c r="E125" s="72"/>
      <c r="F125" s="77" t="str">
        <f aca="false">IF(A125="","",COUNTIF($A$6:A125,A125))</f>
        <v/>
      </c>
      <c r="G125" s="77" t="str">
        <f aca="false">IF(A125="","",A125&amp;"|"&amp;F125)</f>
        <v/>
      </c>
      <c r="H125" s="77" t="str">
        <f aca="false">IF(A125="","",SUMIFS('Release Log'!$D$6:$D$4005,'Release Log'!$B$6:$B$4005,A125,'Release Log'!$C$6:$C$4005,C125))</f>
        <v/>
      </c>
      <c r="I125" s="77" t="str">
        <f aca="false">IF(OR(A125="",N(E125)=0),"",INT(H125/E125))</f>
        <v/>
      </c>
      <c r="J125" s="77" t="str">
        <f aca="false">IF(A125="","",A125&amp;"|"&amp;C125)</f>
        <v/>
      </c>
    </row>
    <row r="126" customFormat="false" ht="15" hidden="false" customHeight="false" outlineLevel="0" collapsed="false">
      <c r="A126" s="71"/>
      <c r="B126" s="71"/>
      <c r="C126" s="71"/>
      <c r="D126" s="71"/>
      <c r="E126" s="72"/>
      <c r="F126" s="77" t="str">
        <f aca="false">IF(A126="","",COUNTIF($A$6:A126,A126))</f>
        <v/>
      </c>
      <c r="G126" s="77" t="str">
        <f aca="false">IF(A126="","",A126&amp;"|"&amp;F126)</f>
        <v/>
      </c>
      <c r="H126" s="77" t="str">
        <f aca="false">IF(A126="","",SUMIFS('Release Log'!$D$6:$D$4005,'Release Log'!$B$6:$B$4005,A126,'Release Log'!$C$6:$C$4005,C126))</f>
        <v/>
      </c>
      <c r="I126" s="77" t="str">
        <f aca="false">IF(OR(A126="",N(E126)=0),"",INT(H126/E126))</f>
        <v/>
      </c>
      <c r="J126" s="77" t="str">
        <f aca="false">IF(A126="","",A126&amp;"|"&amp;C126)</f>
        <v/>
      </c>
    </row>
    <row r="127" customFormat="false" ht="15" hidden="false" customHeight="false" outlineLevel="0" collapsed="false">
      <c r="A127" s="71"/>
      <c r="B127" s="71"/>
      <c r="C127" s="71"/>
      <c r="D127" s="71"/>
      <c r="E127" s="72"/>
      <c r="F127" s="77" t="str">
        <f aca="false">IF(A127="","",COUNTIF($A$6:A127,A127))</f>
        <v/>
      </c>
      <c r="G127" s="77" t="str">
        <f aca="false">IF(A127="","",A127&amp;"|"&amp;F127)</f>
        <v/>
      </c>
      <c r="H127" s="77" t="str">
        <f aca="false">IF(A127="","",SUMIFS('Release Log'!$D$6:$D$4005,'Release Log'!$B$6:$B$4005,A127,'Release Log'!$C$6:$C$4005,C127))</f>
        <v/>
      </c>
      <c r="I127" s="77" t="str">
        <f aca="false">IF(OR(A127="",N(E127)=0),"",INT(H127/E127))</f>
        <v/>
      </c>
      <c r="J127" s="77" t="str">
        <f aca="false">IF(A127="","",A127&amp;"|"&amp;C127)</f>
        <v/>
      </c>
    </row>
    <row r="128" customFormat="false" ht="15" hidden="false" customHeight="false" outlineLevel="0" collapsed="false">
      <c r="A128" s="71"/>
      <c r="B128" s="71"/>
      <c r="C128" s="71"/>
      <c r="D128" s="71"/>
      <c r="E128" s="72"/>
      <c r="F128" s="77" t="str">
        <f aca="false">IF(A128="","",COUNTIF($A$6:A128,A128))</f>
        <v/>
      </c>
      <c r="G128" s="77" t="str">
        <f aca="false">IF(A128="","",A128&amp;"|"&amp;F128)</f>
        <v/>
      </c>
      <c r="H128" s="77" t="str">
        <f aca="false">IF(A128="","",SUMIFS('Release Log'!$D$6:$D$4005,'Release Log'!$B$6:$B$4005,A128,'Release Log'!$C$6:$C$4005,C128))</f>
        <v/>
      </c>
      <c r="I128" s="77" t="str">
        <f aca="false">IF(OR(A128="",N(E128)=0),"",INT(H128/E128))</f>
        <v/>
      </c>
      <c r="J128" s="77" t="str">
        <f aca="false">IF(A128="","",A128&amp;"|"&amp;C128)</f>
        <v/>
      </c>
    </row>
    <row r="129" customFormat="false" ht="15" hidden="false" customHeight="false" outlineLevel="0" collapsed="false">
      <c r="A129" s="71"/>
      <c r="B129" s="71"/>
      <c r="C129" s="71"/>
      <c r="D129" s="71"/>
      <c r="E129" s="72"/>
      <c r="F129" s="77" t="str">
        <f aca="false">IF(A129="","",COUNTIF($A$6:A129,A129))</f>
        <v/>
      </c>
      <c r="G129" s="77" t="str">
        <f aca="false">IF(A129="","",A129&amp;"|"&amp;F129)</f>
        <v/>
      </c>
      <c r="H129" s="77" t="str">
        <f aca="false">IF(A129="","",SUMIFS('Release Log'!$D$6:$D$4005,'Release Log'!$B$6:$B$4005,A129,'Release Log'!$C$6:$C$4005,C129))</f>
        <v/>
      </c>
      <c r="I129" s="77" t="str">
        <f aca="false">IF(OR(A129="",N(E129)=0),"",INT(H129/E129))</f>
        <v/>
      </c>
      <c r="J129" s="77" t="str">
        <f aca="false">IF(A129="","",A129&amp;"|"&amp;C129)</f>
        <v/>
      </c>
    </row>
    <row r="130" customFormat="false" ht="15" hidden="false" customHeight="false" outlineLevel="0" collapsed="false">
      <c r="A130" s="71"/>
      <c r="B130" s="71"/>
      <c r="C130" s="71"/>
      <c r="D130" s="71"/>
      <c r="E130" s="72"/>
      <c r="F130" s="77" t="str">
        <f aca="false">IF(A130="","",COUNTIF($A$6:A130,A130))</f>
        <v/>
      </c>
      <c r="G130" s="77" t="str">
        <f aca="false">IF(A130="","",A130&amp;"|"&amp;F130)</f>
        <v/>
      </c>
      <c r="H130" s="77" t="str">
        <f aca="false">IF(A130="","",SUMIFS('Release Log'!$D$6:$D$4005,'Release Log'!$B$6:$B$4005,A130,'Release Log'!$C$6:$C$4005,C130))</f>
        <v/>
      </c>
      <c r="I130" s="77" t="str">
        <f aca="false">IF(OR(A130="",N(E130)=0),"",INT(H130/E130))</f>
        <v/>
      </c>
      <c r="J130" s="77" t="str">
        <f aca="false">IF(A130="","",A130&amp;"|"&amp;C130)</f>
        <v/>
      </c>
    </row>
    <row r="131" customFormat="false" ht="15" hidden="false" customHeight="false" outlineLevel="0" collapsed="false">
      <c r="A131" s="71"/>
      <c r="B131" s="71"/>
      <c r="C131" s="71"/>
      <c r="D131" s="71"/>
      <c r="E131" s="72"/>
      <c r="F131" s="77" t="str">
        <f aca="false">IF(A131="","",COUNTIF($A$6:A131,A131))</f>
        <v/>
      </c>
      <c r="G131" s="77" t="str">
        <f aca="false">IF(A131="","",A131&amp;"|"&amp;F131)</f>
        <v/>
      </c>
      <c r="H131" s="77" t="str">
        <f aca="false">IF(A131="","",SUMIFS('Release Log'!$D$6:$D$4005,'Release Log'!$B$6:$B$4005,A131,'Release Log'!$C$6:$C$4005,C131))</f>
        <v/>
      </c>
      <c r="I131" s="77" t="str">
        <f aca="false">IF(OR(A131="",N(E131)=0),"",INT(H131/E131))</f>
        <v/>
      </c>
      <c r="J131" s="77" t="str">
        <f aca="false">IF(A131="","",A131&amp;"|"&amp;C131)</f>
        <v/>
      </c>
    </row>
    <row r="132" customFormat="false" ht="15" hidden="false" customHeight="false" outlineLevel="0" collapsed="false">
      <c r="A132" s="71"/>
      <c r="B132" s="71"/>
      <c r="C132" s="71"/>
      <c r="D132" s="71"/>
      <c r="E132" s="72"/>
      <c r="F132" s="77" t="str">
        <f aca="false">IF(A132="","",COUNTIF($A$6:A132,A132))</f>
        <v/>
      </c>
      <c r="G132" s="77" t="str">
        <f aca="false">IF(A132="","",A132&amp;"|"&amp;F132)</f>
        <v/>
      </c>
      <c r="H132" s="77" t="str">
        <f aca="false">IF(A132="","",SUMIFS('Release Log'!$D$6:$D$4005,'Release Log'!$B$6:$B$4005,A132,'Release Log'!$C$6:$C$4005,C132))</f>
        <v/>
      </c>
      <c r="I132" s="77" t="str">
        <f aca="false">IF(OR(A132="",N(E132)=0),"",INT(H132/E132))</f>
        <v/>
      </c>
      <c r="J132" s="77" t="str">
        <f aca="false">IF(A132="","",A132&amp;"|"&amp;C132)</f>
        <v/>
      </c>
    </row>
    <row r="133" customFormat="false" ht="15" hidden="false" customHeight="false" outlineLevel="0" collapsed="false">
      <c r="A133" s="71"/>
      <c r="B133" s="71"/>
      <c r="C133" s="71"/>
      <c r="D133" s="71"/>
      <c r="E133" s="72"/>
      <c r="F133" s="77" t="str">
        <f aca="false">IF(A133="","",COUNTIF($A$6:A133,A133))</f>
        <v/>
      </c>
      <c r="G133" s="77" t="str">
        <f aca="false">IF(A133="","",A133&amp;"|"&amp;F133)</f>
        <v/>
      </c>
      <c r="H133" s="77" t="str">
        <f aca="false">IF(A133="","",SUMIFS('Release Log'!$D$6:$D$4005,'Release Log'!$B$6:$B$4005,A133,'Release Log'!$C$6:$C$4005,C133))</f>
        <v/>
      </c>
      <c r="I133" s="77" t="str">
        <f aca="false">IF(OR(A133="",N(E133)=0),"",INT(H133/E133))</f>
        <v/>
      </c>
      <c r="J133" s="77" t="str">
        <f aca="false">IF(A133="","",A133&amp;"|"&amp;C133)</f>
        <v/>
      </c>
    </row>
    <row r="134" customFormat="false" ht="15" hidden="false" customHeight="false" outlineLevel="0" collapsed="false">
      <c r="A134" s="71"/>
      <c r="B134" s="71"/>
      <c r="C134" s="71"/>
      <c r="D134" s="71"/>
      <c r="E134" s="72"/>
      <c r="F134" s="77" t="str">
        <f aca="false">IF(A134="","",COUNTIF($A$6:A134,A134))</f>
        <v/>
      </c>
      <c r="G134" s="77" t="str">
        <f aca="false">IF(A134="","",A134&amp;"|"&amp;F134)</f>
        <v/>
      </c>
      <c r="H134" s="77" t="str">
        <f aca="false">IF(A134="","",SUMIFS('Release Log'!$D$6:$D$4005,'Release Log'!$B$6:$B$4005,A134,'Release Log'!$C$6:$C$4005,C134))</f>
        <v/>
      </c>
      <c r="I134" s="77" t="str">
        <f aca="false">IF(OR(A134="",N(E134)=0),"",INT(H134/E134))</f>
        <v/>
      </c>
      <c r="J134" s="77" t="str">
        <f aca="false">IF(A134="","",A134&amp;"|"&amp;C134)</f>
        <v/>
      </c>
    </row>
    <row r="135" customFormat="false" ht="15" hidden="false" customHeight="false" outlineLevel="0" collapsed="false">
      <c r="A135" s="71"/>
      <c r="B135" s="71"/>
      <c r="C135" s="71"/>
      <c r="D135" s="71"/>
      <c r="E135" s="72"/>
      <c r="F135" s="77" t="str">
        <f aca="false">IF(A135="","",COUNTIF($A$6:A135,A135))</f>
        <v/>
      </c>
      <c r="G135" s="77" t="str">
        <f aca="false">IF(A135="","",A135&amp;"|"&amp;F135)</f>
        <v/>
      </c>
      <c r="H135" s="77" t="str">
        <f aca="false">IF(A135="","",SUMIFS('Release Log'!$D$6:$D$4005,'Release Log'!$B$6:$B$4005,A135,'Release Log'!$C$6:$C$4005,C135))</f>
        <v/>
      </c>
      <c r="I135" s="77" t="str">
        <f aca="false">IF(OR(A135="",N(E135)=0),"",INT(H135/E135))</f>
        <v/>
      </c>
      <c r="J135" s="77" t="str">
        <f aca="false">IF(A135="","",A135&amp;"|"&amp;C135)</f>
        <v/>
      </c>
    </row>
    <row r="136" customFormat="false" ht="15" hidden="false" customHeight="false" outlineLevel="0" collapsed="false">
      <c r="A136" s="71"/>
      <c r="B136" s="71"/>
      <c r="C136" s="71"/>
      <c r="D136" s="71"/>
      <c r="E136" s="72"/>
      <c r="F136" s="77" t="str">
        <f aca="false">IF(A136="","",COUNTIF($A$6:A136,A136))</f>
        <v/>
      </c>
      <c r="G136" s="77" t="str">
        <f aca="false">IF(A136="","",A136&amp;"|"&amp;F136)</f>
        <v/>
      </c>
      <c r="H136" s="77" t="str">
        <f aca="false">IF(A136="","",SUMIFS('Release Log'!$D$6:$D$4005,'Release Log'!$B$6:$B$4005,A136,'Release Log'!$C$6:$C$4005,C136))</f>
        <v/>
      </c>
      <c r="I136" s="77" t="str">
        <f aca="false">IF(OR(A136="",N(E136)=0),"",INT(H136/E136))</f>
        <v/>
      </c>
      <c r="J136" s="77" t="str">
        <f aca="false">IF(A136="","",A136&amp;"|"&amp;C136)</f>
        <v/>
      </c>
    </row>
    <row r="137" customFormat="false" ht="15" hidden="false" customHeight="false" outlineLevel="0" collapsed="false">
      <c r="A137" s="71"/>
      <c r="B137" s="71"/>
      <c r="C137" s="71"/>
      <c r="D137" s="71"/>
      <c r="E137" s="72"/>
      <c r="F137" s="77" t="str">
        <f aca="false">IF(A137="","",COUNTIF($A$6:A137,A137))</f>
        <v/>
      </c>
      <c r="G137" s="77" t="str">
        <f aca="false">IF(A137="","",A137&amp;"|"&amp;F137)</f>
        <v/>
      </c>
      <c r="H137" s="77" t="str">
        <f aca="false">IF(A137="","",SUMIFS('Release Log'!$D$6:$D$4005,'Release Log'!$B$6:$B$4005,A137,'Release Log'!$C$6:$C$4005,C137))</f>
        <v/>
      </c>
      <c r="I137" s="77" t="str">
        <f aca="false">IF(OR(A137="",N(E137)=0),"",INT(H137/E137))</f>
        <v/>
      </c>
      <c r="J137" s="77" t="str">
        <f aca="false">IF(A137="","",A137&amp;"|"&amp;C137)</f>
        <v/>
      </c>
    </row>
    <row r="138" customFormat="false" ht="15" hidden="false" customHeight="false" outlineLevel="0" collapsed="false">
      <c r="A138" s="71"/>
      <c r="B138" s="71"/>
      <c r="C138" s="71"/>
      <c r="D138" s="71"/>
      <c r="E138" s="72"/>
      <c r="F138" s="77" t="str">
        <f aca="false">IF(A138="","",COUNTIF($A$6:A138,A138))</f>
        <v/>
      </c>
      <c r="G138" s="77" t="str">
        <f aca="false">IF(A138="","",A138&amp;"|"&amp;F138)</f>
        <v/>
      </c>
      <c r="H138" s="77" t="str">
        <f aca="false">IF(A138="","",SUMIFS('Release Log'!$D$6:$D$4005,'Release Log'!$B$6:$B$4005,A138,'Release Log'!$C$6:$C$4005,C138))</f>
        <v/>
      </c>
      <c r="I138" s="77" t="str">
        <f aca="false">IF(OR(A138="",N(E138)=0),"",INT(H138/E138))</f>
        <v/>
      </c>
      <c r="J138" s="77" t="str">
        <f aca="false">IF(A138="","",A138&amp;"|"&amp;C138)</f>
        <v/>
      </c>
    </row>
    <row r="139" customFormat="false" ht="15" hidden="false" customHeight="false" outlineLevel="0" collapsed="false">
      <c r="A139" s="71"/>
      <c r="B139" s="71"/>
      <c r="C139" s="71"/>
      <c r="D139" s="71"/>
      <c r="E139" s="72"/>
      <c r="F139" s="77" t="str">
        <f aca="false">IF(A139="","",COUNTIF($A$6:A139,A139))</f>
        <v/>
      </c>
      <c r="G139" s="77" t="str">
        <f aca="false">IF(A139="","",A139&amp;"|"&amp;F139)</f>
        <v/>
      </c>
      <c r="H139" s="77" t="str">
        <f aca="false">IF(A139="","",SUMIFS('Release Log'!$D$6:$D$4005,'Release Log'!$B$6:$B$4005,A139,'Release Log'!$C$6:$C$4005,C139))</f>
        <v/>
      </c>
      <c r="I139" s="77" t="str">
        <f aca="false">IF(OR(A139="",N(E139)=0),"",INT(H139/E139))</f>
        <v/>
      </c>
      <c r="J139" s="77" t="str">
        <f aca="false">IF(A139="","",A139&amp;"|"&amp;C139)</f>
        <v/>
      </c>
    </row>
    <row r="140" customFormat="false" ht="15" hidden="false" customHeight="false" outlineLevel="0" collapsed="false">
      <c r="A140" s="71"/>
      <c r="B140" s="71"/>
      <c r="C140" s="71"/>
      <c r="D140" s="71"/>
      <c r="E140" s="72"/>
      <c r="F140" s="77" t="str">
        <f aca="false">IF(A140="","",COUNTIF($A$6:A140,A140))</f>
        <v/>
      </c>
      <c r="G140" s="77" t="str">
        <f aca="false">IF(A140="","",A140&amp;"|"&amp;F140)</f>
        <v/>
      </c>
      <c r="H140" s="77" t="str">
        <f aca="false">IF(A140="","",SUMIFS('Release Log'!$D$6:$D$4005,'Release Log'!$B$6:$B$4005,A140,'Release Log'!$C$6:$C$4005,C140))</f>
        <v/>
      </c>
      <c r="I140" s="77" t="str">
        <f aca="false">IF(OR(A140="",N(E140)=0),"",INT(H140/E140))</f>
        <v/>
      </c>
      <c r="J140" s="77" t="str">
        <f aca="false">IF(A140="","",A140&amp;"|"&amp;C140)</f>
        <v/>
      </c>
    </row>
    <row r="141" customFormat="false" ht="15" hidden="false" customHeight="false" outlineLevel="0" collapsed="false">
      <c r="A141" s="71"/>
      <c r="B141" s="71"/>
      <c r="C141" s="71"/>
      <c r="D141" s="71"/>
      <c r="E141" s="72"/>
      <c r="F141" s="77" t="str">
        <f aca="false">IF(A141="","",COUNTIF($A$6:A141,A141))</f>
        <v/>
      </c>
      <c r="G141" s="77" t="str">
        <f aca="false">IF(A141="","",A141&amp;"|"&amp;F141)</f>
        <v/>
      </c>
      <c r="H141" s="77" t="str">
        <f aca="false">IF(A141="","",SUMIFS('Release Log'!$D$6:$D$4005,'Release Log'!$B$6:$B$4005,A141,'Release Log'!$C$6:$C$4005,C141))</f>
        <v/>
      </c>
      <c r="I141" s="77" t="str">
        <f aca="false">IF(OR(A141="",N(E141)=0),"",INT(H141/E141))</f>
        <v/>
      </c>
      <c r="J141" s="77" t="str">
        <f aca="false">IF(A141="","",A141&amp;"|"&amp;C141)</f>
        <v/>
      </c>
    </row>
    <row r="142" customFormat="false" ht="15" hidden="false" customHeight="false" outlineLevel="0" collapsed="false">
      <c r="A142" s="71"/>
      <c r="B142" s="71"/>
      <c r="C142" s="71"/>
      <c r="D142" s="71"/>
      <c r="E142" s="72"/>
      <c r="F142" s="77" t="str">
        <f aca="false">IF(A142="","",COUNTIF($A$6:A142,A142))</f>
        <v/>
      </c>
      <c r="G142" s="77" t="str">
        <f aca="false">IF(A142="","",A142&amp;"|"&amp;F142)</f>
        <v/>
      </c>
      <c r="H142" s="77" t="str">
        <f aca="false">IF(A142="","",SUMIFS('Release Log'!$D$6:$D$4005,'Release Log'!$B$6:$B$4005,A142,'Release Log'!$C$6:$C$4005,C142))</f>
        <v/>
      </c>
      <c r="I142" s="77" t="str">
        <f aca="false">IF(OR(A142="",N(E142)=0),"",INT(H142/E142))</f>
        <v/>
      </c>
      <c r="J142" s="77" t="str">
        <f aca="false">IF(A142="","",A142&amp;"|"&amp;C142)</f>
        <v/>
      </c>
    </row>
    <row r="143" customFormat="false" ht="15" hidden="false" customHeight="false" outlineLevel="0" collapsed="false">
      <c r="A143" s="71"/>
      <c r="B143" s="71"/>
      <c r="C143" s="71"/>
      <c r="D143" s="71"/>
      <c r="E143" s="72"/>
      <c r="F143" s="77" t="str">
        <f aca="false">IF(A143="","",COUNTIF($A$6:A143,A143))</f>
        <v/>
      </c>
      <c r="G143" s="77" t="str">
        <f aca="false">IF(A143="","",A143&amp;"|"&amp;F143)</f>
        <v/>
      </c>
      <c r="H143" s="77" t="str">
        <f aca="false">IF(A143="","",SUMIFS('Release Log'!$D$6:$D$4005,'Release Log'!$B$6:$B$4005,A143,'Release Log'!$C$6:$C$4005,C143))</f>
        <v/>
      </c>
      <c r="I143" s="77" t="str">
        <f aca="false">IF(OR(A143="",N(E143)=0),"",INT(H143/E143))</f>
        <v/>
      </c>
      <c r="J143" s="77" t="str">
        <f aca="false">IF(A143="","",A143&amp;"|"&amp;C143)</f>
        <v/>
      </c>
    </row>
    <row r="144" customFormat="false" ht="15" hidden="false" customHeight="false" outlineLevel="0" collapsed="false">
      <c r="A144" s="71"/>
      <c r="B144" s="71"/>
      <c r="C144" s="71"/>
      <c r="D144" s="71"/>
      <c r="E144" s="72"/>
      <c r="F144" s="77" t="str">
        <f aca="false">IF(A144="","",COUNTIF($A$6:A144,A144))</f>
        <v/>
      </c>
      <c r="G144" s="77" t="str">
        <f aca="false">IF(A144="","",A144&amp;"|"&amp;F144)</f>
        <v/>
      </c>
      <c r="H144" s="77" t="str">
        <f aca="false">IF(A144="","",SUMIFS('Release Log'!$D$6:$D$4005,'Release Log'!$B$6:$B$4005,A144,'Release Log'!$C$6:$C$4005,C144))</f>
        <v/>
      </c>
      <c r="I144" s="77" t="str">
        <f aca="false">IF(OR(A144="",N(E144)=0),"",INT(H144/E144))</f>
        <v/>
      </c>
      <c r="J144" s="77" t="str">
        <f aca="false">IF(A144="","",A144&amp;"|"&amp;C144)</f>
        <v/>
      </c>
    </row>
    <row r="145" customFormat="false" ht="15" hidden="false" customHeight="false" outlineLevel="0" collapsed="false">
      <c r="A145" s="71"/>
      <c r="B145" s="71"/>
      <c r="C145" s="71"/>
      <c r="D145" s="71"/>
      <c r="E145" s="72"/>
      <c r="F145" s="77" t="str">
        <f aca="false">IF(A145="","",COUNTIF($A$6:A145,A145))</f>
        <v/>
      </c>
      <c r="G145" s="77" t="str">
        <f aca="false">IF(A145="","",A145&amp;"|"&amp;F145)</f>
        <v/>
      </c>
      <c r="H145" s="77" t="str">
        <f aca="false">IF(A145="","",SUMIFS('Release Log'!$D$6:$D$4005,'Release Log'!$B$6:$B$4005,A145,'Release Log'!$C$6:$C$4005,C145))</f>
        <v/>
      </c>
      <c r="I145" s="77" t="str">
        <f aca="false">IF(OR(A145="",N(E145)=0),"",INT(H145/E145))</f>
        <v/>
      </c>
      <c r="J145" s="77" t="str">
        <f aca="false">IF(A145="","",A145&amp;"|"&amp;C145)</f>
        <v/>
      </c>
    </row>
    <row r="146" customFormat="false" ht="15" hidden="false" customHeight="false" outlineLevel="0" collapsed="false">
      <c r="A146" s="71"/>
      <c r="B146" s="71"/>
      <c r="C146" s="71"/>
      <c r="D146" s="71"/>
      <c r="E146" s="72"/>
      <c r="F146" s="77" t="str">
        <f aca="false">IF(A146="","",COUNTIF($A$6:A146,A146))</f>
        <v/>
      </c>
      <c r="G146" s="77" t="str">
        <f aca="false">IF(A146="","",A146&amp;"|"&amp;F146)</f>
        <v/>
      </c>
      <c r="H146" s="77" t="str">
        <f aca="false">IF(A146="","",SUMIFS('Release Log'!$D$6:$D$4005,'Release Log'!$B$6:$B$4005,A146,'Release Log'!$C$6:$C$4005,C146))</f>
        <v/>
      </c>
      <c r="I146" s="77" t="str">
        <f aca="false">IF(OR(A146="",N(E146)=0),"",INT(H146/E146))</f>
        <v/>
      </c>
      <c r="J146" s="77" t="str">
        <f aca="false">IF(A146="","",A146&amp;"|"&amp;C146)</f>
        <v/>
      </c>
    </row>
    <row r="147" customFormat="false" ht="15" hidden="false" customHeight="false" outlineLevel="0" collapsed="false">
      <c r="A147" s="71"/>
      <c r="B147" s="71"/>
      <c r="C147" s="71"/>
      <c r="D147" s="71"/>
      <c r="E147" s="72"/>
      <c r="F147" s="77" t="str">
        <f aca="false">IF(A147="","",COUNTIF($A$6:A147,A147))</f>
        <v/>
      </c>
      <c r="G147" s="77" t="str">
        <f aca="false">IF(A147="","",A147&amp;"|"&amp;F147)</f>
        <v/>
      </c>
      <c r="H147" s="77" t="str">
        <f aca="false">IF(A147="","",SUMIFS('Release Log'!$D$6:$D$4005,'Release Log'!$B$6:$B$4005,A147,'Release Log'!$C$6:$C$4005,C147))</f>
        <v/>
      </c>
      <c r="I147" s="77" t="str">
        <f aca="false">IF(OR(A147="",N(E147)=0),"",INT(H147/E147))</f>
        <v/>
      </c>
      <c r="J147" s="77" t="str">
        <f aca="false">IF(A147="","",A147&amp;"|"&amp;C147)</f>
        <v/>
      </c>
    </row>
    <row r="148" customFormat="false" ht="15" hidden="false" customHeight="false" outlineLevel="0" collapsed="false">
      <c r="A148" s="71"/>
      <c r="B148" s="71"/>
      <c r="C148" s="71"/>
      <c r="D148" s="71"/>
      <c r="E148" s="72"/>
      <c r="F148" s="77" t="str">
        <f aca="false">IF(A148="","",COUNTIF($A$6:A148,A148))</f>
        <v/>
      </c>
      <c r="G148" s="77" t="str">
        <f aca="false">IF(A148="","",A148&amp;"|"&amp;F148)</f>
        <v/>
      </c>
      <c r="H148" s="77" t="str">
        <f aca="false">IF(A148="","",SUMIFS('Release Log'!$D$6:$D$4005,'Release Log'!$B$6:$B$4005,A148,'Release Log'!$C$6:$C$4005,C148))</f>
        <v/>
      </c>
      <c r="I148" s="77" t="str">
        <f aca="false">IF(OR(A148="",N(E148)=0),"",INT(H148/E148))</f>
        <v/>
      </c>
      <c r="J148" s="77" t="str">
        <f aca="false">IF(A148="","",A148&amp;"|"&amp;C148)</f>
        <v/>
      </c>
    </row>
    <row r="149" customFormat="false" ht="15" hidden="false" customHeight="false" outlineLevel="0" collapsed="false">
      <c r="A149" s="71"/>
      <c r="B149" s="71"/>
      <c r="C149" s="71"/>
      <c r="D149" s="71"/>
      <c r="E149" s="72"/>
      <c r="F149" s="77" t="str">
        <f aca="false">IF(A149="","",COUNTIF($A$6:A149,A149))</f>
        <v/>
      </c>
      <c r="G149" s="77" t="str">
        <f aca="false">IF(A149="","",A149&amp;"|"&amp;F149)</f>
        <v/>
      </c>
      <c r="H149" s="77" t="str">
        <f aca="false">IF(A149="","",SUMIFS('Release Log'!$D$6:$D$4005,'Release Log'!$B$6:$B$4005,A149,'Release Log'!$C$6:$C$4005,C149))</f>
        <v/>
      </c>
      <c r="I149" s="77" t="str">
        <f aca="false">IF(OR(A149="",N(E149)=0),"",INT(H149/E149))</f>
        <v/>
      </c>
      <c r="J149" s="77" t="str">
        <f aca="false">IF(A149="","",A149&amp;"|"&amp;C149)</f>
        <v/>
      </c>
    </row>
    <row r="150" customFormat="false" ht="15" hidden="false" customHeight="false" outlineLevel="0" collapsed="false">
      <c r="A150" s="71"/>
      <c r="B150" s="71"/>
      <c r="C150" s="71"/>
      <c r="D150" s="71"/>
      <c r="E150" s="72"/>
      <c r="F150" s="77" t="str">
        <f aca="false">IF(A150="","",COUNTIF($A$6:A150,A150))</f>
        <v/>
      </c>
      <c r="G150" s="77" t="str">
        <f aca="false">IF(A150="","",A150&amp;"|"&amp;F150)</f>
        <v/>
      </c>
      <c r="H150" s="77" t="str">
        <f aca="false">IF(A150="","",SUMIFS('Release Log'!$D$6:$D$4005,'Release Log'!$B$6:$B$4005,A150,'Release Log'!$C$6:$C$4005,C150))</f>
        <v/>
      </c>
      <c r="I150" s="77" t="str">
        <f aca="false">IF(OR(A150="",N(E150)=0),"",INT(H150/E150))</f>
        <v/>
      </c>
      <c r="J150" s="77" t="str">
        <f aca="false">IF(A150="","",A150&amp;"|"&amp;C150)</f>
        <v/>
      </c>
    </row>
    <row r="151" customFormat="false" ht="15" hidden="false" customHeight="false" outlineLevel="0" collapsed="false">
      <c r="A151" s="71"/>
      <c r="B151" s="71"/>
      <c r="C151" s="71"/>
      <c r="D151" s="71"/>
      <c r="E151" s="72"/>
      <c r="F151" s="77" t="str">
        <f aca="false">IF(A151="","",COUNTIF($A$6:A151,A151))</f>
        <v/>
      </c>
      <c r="G151" s="77" t="str">
        <f aca="false">IF(A151="","",A151&amp;"|"&amp;F151)</f>
        <v/>
      </c>
      <c r="H151" s="77" t="str">
        <f aca="false">IF(A151="","",SUMIFS('Release Log'!$D$6:$D$4005,'Release Log'!$B$6:$B$4005,A151,'Release Log'!$C$6:$C$4005,C151))</f>
        <v/>
      </c>
      <c r="I151" s="77" t="str">
        <f aca="false">IF(OR(A151="",N(E151)=0),"",INT(H151/E151))</f>
        <v/>
      </c>
      <c r="J151" s="77" t="str">
        <f aca="false">IF(A151="","",A151&amp;"|"&amp;C151)</f>
        <v/>
      </c>
    </row>
    <row r="152" customFormat="false" ht="15" hidden="false" customHeight="false" outlineLevel="0" collapsed="false">
      <c r="A152" s="71"/>
      <c r="B152" s="71"/>
      <c r="C152" s="71"/>
      <c r="D152" s="71"/>
      <c r="E152" s="72"/>
      <c r="F152" s="77" t="str">
        <f aca="false">IF(A152="","",COUNTIF($A$6:A152,A152))</f>
        <v/>
      </c>
      <c r="G152" s="77" t="str">
        <f aca="false">IF(A152="","",A152&amp;"|"&amp;F152)</f>
        <v/>
      </c>
      <c r="H152" s="77" t="str">
        <f aca="false">IF(A152="","",SUMIFS('Release Log'!$D$6:$D$4005,'Release Log'!$B$6:$B$4005,A152,'Release Log'!$C$6:$C$4005,C152))</f>
        <v/>
      </c>
      <c r="I152" s="77" t="str">
        <f aca="false">IF(OR(A152="",N(E152)=0),"",INT(H152/E152))</f>
        <v/>
      </c>
      <c r="J152" s="77" t="str">
        <f aca="false">IF(A152="","",A152&amp;"|"&amp;C152)</f>
        <v/>
      </c>
    </row>
    <row r="153" customFormat="false" ht="15" hidden="false" customHeight="false" outlineLevel="0" collapsed="false">
      <c r="A153" s="71"/>
      <c r="B153" s="71"/>
      <c r="C153" s="71"/>
      <c r="D153" s="71"/>
      <c r="E153" s="72"/>
      <c r="F153" s="77" t="str">
        <f aca="false">IF(A153="","",COUNTIF($A$6:A153,A153))</f>
        <v/>
      </c>
      <c r="G153" s="77" t="str">
        <f aca="false">IF(A153="","",A153&amp;"|"&amp;F153)</f>
        <v/>
      </c>
      <c r="H153" s="77" t="str">
        <f aca="false">IF(A153="","",SUMIFS('Release Log'!$D$6:$D$4005,'Release Log'!$B$6:$B$4005,A153,'Release Log'!$C$6:$C$4005,C153))</f>
        <v/>
      </c>
      <c r="I153" s="77" t="str">
        <f aca="false">IF(OR(A153="",N(E153)=0),"",INT(H153/E153))</f>
        <v/>
      </c>
      <c r="J153" s="77" t="str">
        <f aca="false">IF(A153="","",A153&amp;"|"&amp;C153)</f>
        <v/>
      </c>
    </row>
    <row r="154" customFormat="false" ht="15" hidden="false" customHeight="false" outlineLevel="0" collapsed="false">
      <c r="A154" s="71"/>
      <c r="B154" s="71"/>
      <c r="C154" s="71"/>
      <c r="D154" s="71"/>
      <c r="E154" s="72"/>
      <c r="F154" s="77" t="str">
        <f aca="false">IF(A154="","",COUNTIF($A$6:A154,A154))</f>
        <v/>
      </c>
      <c r="G154" s="77" t="str">
        <f aca="false">IF(A154="","",A154&amp;"|"&amp;F154)</f>
        <v/>
      </c>
      <c r="H154" s="77" t="str">
        <f aca="false">IF(A154="","",SUMIFS('Release Log'!$D$6:$D$4005,'Release Log'!$B$6:$B$4005,A154,'Release Log'!$C$6:$C$4005,C154))</f>
        <v/>
      </c>
      <c r="I154" s="77" t="str">
        <f aca="false">IF(OR(A154="",N(E154)=0),"",INT(H154/E154))</f>
        <v/>
      </c>
      <c r="J154" s="77" t="str">
        <f aca="false">IF(A154="","",A154&amp;"|"&amp;C154)</f>
        <v/>
      </c>
    </row>
    <row r="155" customFormat="false" ht="15" hidden="false" customHeight="false" outlineLevel="0" collapsed="false">
      <c r="A155" s="71"/>
      <c r="B155" s="71"/>
      <c r="C155" s="71"/>
      <c r="D155" s="71"/>
      <c r="E155" s="72"/>
      <c r="F155" s="77" t="str">
        <f aca="false">IF(A155="","",COUNTIF($A$6:A155,A155))</f>
        <v/>
      </c>
      <c r="G155" s="77" t="str">
        <f aca="false">IF(A155="","",A155&amp;"|"&amp;F155)</f>
        <v/>
      </c>
      <c r="H155" s="77" t="str">
        <f aca="false">IF(A155="","",SUMIFS('Release Log'!$D$6:$D$4005,'Release Log'!$B$6:$B$4005,A155,'Release Log'!$C$6:$C$4005,C155))</f>
        <v/>
      </c>
      <c r="I155" s="77" t="str">
        <f aca="false">IF(OR(A155="",N(E155)=0),"",INT(H155/E155))</f>
        <v/>
      </c>
      <c r="J155" s="77" t="str">
        <f aca="false">IF(A155="","",A155&amp;"|"&amp;C155)</f>
        <v/>
      </c>
    </row>
    <row r="156" customFormat="false" ht="15" hidden="false" customHeight="false" outlineLevel="0" collapsed="false">
      <c r="A156" s="71"/>
      <c r="B156" s="71"/>
      <c r="C156" s="71"/>
      <c r="D156" s="71"/>
      <c r="E156" s="72"/>
      <c r="F156" s="77" t="str">
        <f aca="false">IF(A156="","",COUNTIF($A$6:A156,A156))</f>
        <v/>
      </c>
      <c r="G156" s="77" t="str">
        <f aca="false">IF(A156="","",A156&amp;"|"&amp;F156)</f>
        <v/>
      </c>
      <c r="H156" s="77" t="str">
        <f aca="false">IF(A156="","",SUMIFS('Release Log'!$D$6:$D$4005,'Release Log'!$B$6:$B$4005,A156,'Release Log'!$C$6:$C$4005,C156))</f>
        <v/>
      </c>
      <c r="I156" s="77" t="str">
        <f aca="false">IF(OR(A156="",N(E156)=0),"",INT(H156/E156))</f>
        <v/>
      </c>
      <c r="J156" s="77" t="str">
        <f aca="false">IF(A156="","",A156&amp;"|"&amp;C156)</f>
        <v/>
      </c>
    </row>
    <row r="157" customFormat="false" ht="15" hidden="false" customHeight="false" outlineLevel="0" collapsed="false">
      <c r="A157" s="71"/>
      <c r="B157" s="71"/>
      <c r="C157" s="71"/>
      <c r="D157" s="71"/>
      <c r="E157" s="72"/>
      <c r="F157" s="77" t="str">
        <f aca="false">IF(A157="","",COUNTIF($A$6:A157,A157))</f>
        <v/>
      </c>
      <c r="G157" s="77" t="str">
        <f aca="false">IF(A157="","",A157&amp;"|"&amp;F157)</f>
        <v/>
      </c>
      <c r="H157" s="77" t="str">
        <f aca="false">IF(A157="","",SUMIFS('Release Log'!$D$6:$D$4005,'Release Log'!$B$6:$B$4005,A157,'Release Log'!$C$6:$C$4005,C157))</f>
        <v/>
      </c>
      <c r="I157" s="77" t="str">
        <f aca="false">IF(OR(A157="",N(E157)=0),"",INT(H157/E157))</f>
        <v/>
      </c>
      <c r="J157" s="77" t="str">
        <f aca="false">IF(A157="","",A157&amp;"|"&amp;C157)</f>
        <v/>
      </c>
    </row>
    <row r="158" customFormat="false" ht="15" hidden="false" customHeight="false" outlineLevel="0" collapsed="false">
      <c r="A158" s="71"/>
      <c r="B158" s="71"/>
      <c r="C158" s="71"/>
      <c r="D158" s="71"/>
      <c r="E158" s="72"/>
      <c r="F158" s="77" t="str">
        <f aca="false">IF(A158="","",COUNTIF($A$6:A158,A158))</f>
        <v/>
      </c>
      <c r="G158" s="77" t="str">
        <f aca="false">IF(A158="","",A158&amp;"|"&amp;F158)</f>
        <v/>
      </c>
      <c r="H158" s="77" t="str">
        <f aca="false">IF(A158="","",SUMIFS('Release Log'!$D$6:$D$4005,'Release Log'!$B$6:$B$4005,A158,'Release Log'!$C$6:$C$4005,C158))</f>
        <v/>
      </c>
      <c r="I158" s="77" t="str">
        <f aca="false">IF(OR(A158="",N(E158)=0),"",INT(H158/E158))</f>
        <v/>
      </c>
      <c r="J158" s="77" t="str">
        <f aca="false">IF(A158="","",A158&amp;"|"&amp;C158)</f>
        <v/>
      </c>
    </row>
    <row r="159" customFormat="false" ht="15" hidden="false" customHeight="false" outlineLevel="0" collapsed="false">
      <c r="A159" s="71"/>
      <c r="B159" s="71"/>
      <c r="C159" s="71"/>
      <c r="D159" s="71"/>
      <c r="E159" s="72"/>
      <c r="F159" s="77" t="str">
        <f aca="false">IF(A159="","",COUNTIF($A$6:A159,A159))</f>
        <v/>
      </c>
      <c r="G159" s="77" t="str">
        <f aca="false">IF(A159="","",A159&amp;"|"&amp;F159)</f>
        <v/>
      </c>
      <c r="H159" s="77" t="str">
        <f aca="false">IF(A159="","",SUMIFS('Release Log'!$D$6:$D$4005,'Release Log'!$B$6:$B$4005,A159,'Release Log'!$C$6:$C$4005,C159))</f>
        <v/>
      </c>
      <c r="I159" s="77" t="str">
        <f aca="false">IF(OR(A159="",N(E159)=0),"",INT(H159/E159))</f>
        <v/>
      </c>
      <c r="J159" s="77" t="str">
        <f aca="false">IF(A159="","",A159&amp;"|"&amp;C159)</f>
        <v/>
      </c>
    </row>
    <row r="160" customFormat="false" ht="15" hidden="false" customHeight="false" outlineLevel="0" collapsed="false">
      <c r="A160" s="71"/>
      <c r="B160" s="71"/>
      <c r="C160" s="71"/>
      <c r="D160" s="71"/>
      <c r="E160" s="72"/>
      <c r="F160" s="77" t="str">
        <f aca="false">IF(A160="","",COUNTIF($A$6:A160,A160))</f>
        <v/>
      </c>
      <c r="G160" s="77" t="str">
        <f aca="false">IF(A160="","",A160&amp;"|"&amp;F160)</f>
        <v/>
      </c>
      <c r="H160" s="77" t="str">
        <f aca="false">IF(A160="","",SUMIFS('Release Log'!$D$6:$D$4005,'Release Log'!$B$6:$B$4005,A160,'Release Log'!$C$6:$C$4005,C160))</f>
        <v/>
      </c>
      <c r="I160" s="77" t="str">
        <f aca="false">IF(OR(A160="",N(E160)=0),"",INT(H160/E160))</f>
        <v/>
      </c>
      <c r="J160" s="77" t="str">
        <f aca="false">IF(A160="","",A160&amp;"|"&amp;C160)</f>
        <v/>
      </c>
    </row>
    <row r="161" customFormat="false" ht="15" hidden="false" customHeight="false" outlineLevel="0" collapsed="false">
      <c r="A161" s="71"/>
      <c r="B161" s="71"/>
      <c r="C161" s="71"/>
      <c r="D161" s="71"/>
      <c r="E161" s="72"/>
      <c r="F161" s="77" t="str">
        <f aca="false">IF(A161="","",COUNTIF($A$6:A161,A161))</f>
        <v/>
      </c>
      <c r="G161" s="77" t="str">
        <f aca="false">IF(A161="","",A161&amp;"|"&amp;F161)</f>
        <v/>
      </c>
      <c r="H161" s="77" t="str">
        <f aca="false">IF(A161="","",SUMIFS('Release Log'!$D$6:$D$4005,'Release Log'!$B$6:$B$4005,A161,'Release Log'!$C$6:$C$4005,C161))</f>
        <v/>
      </c>
      <c r="I161" s="77" t="str">
        <f aca="false">IF(OR(A161="",N(E161)=0),"",INT(H161/E161))</f>
        <v/>
      </c>
      <c r="J161" s="77" t="str">
        <f aca="false">IF(A161="","",A161&amp;"|"&amp;C161)</f>
        <v/>
      </c>
    </row>
    <row r="162" customFormat="false" ht="15" hidden="false" customHeight="false" outlineLevel="0" collapsed="false">
      <c r="A162" s="71"/>
      <c r="B162" s="71"/>
      <c r="C162" s="71"/>
      <c r="D162" s="71"/>
      <c r="E162" s="72"/>
      <c r="F162" s="77" t="str">
        <f aca="false">IF(A162="","",COUNTIF($A$6:A162,A162))</f>
        <v/>
      </c>
      <c r="G162" s="77" t="str">
        <f aca="false">IF(A162="","",A162&amp;"|"&amp;F162)</f>
        <v/>
      </c>
      <c r="H162" s="77" t="str">
        <f aca="false">IF(A162="","",SUMIFS('Release Log'!$D$6:$D$4005,'Release Log'!$B$6:$B$4005,A162,'Release Log'!$C$6:$C$4005,C162))</f>
        <v/>
      </c>
      <c r="I162" s="77" t="str">
        <f aca="false">IF(OR(A162="",N(E162)=0),"",INT(H162/E162))</f>
        <v/>
      </c>
      <c r="J162" s="77" t="str">
        <f aca="false">IF(A162="","",A162&amp;"|"&amp;C162)</f>
        <v/>
      </c>
    </row>
    <row r="163" customFormat="false" ht="15" hidden="false" customHeight="false" outlineLevel="0" collapsed="false">
      <c r="A163" s="71"/>
      <c r="B163" s="71"/>
      <c r="C163" s="71"/>
      <c r="D163" s="71"/>
      <c r="E163" s="72"/>
      <c r="F163" s="77" t="str">
        <f aca="false">IF(A163="","",COUNTIF($A$6:A163,A163))</f>
        <v/>
      </c>
      <c r="G163" s="77" t="str">
        <f aca="false">IF(A163="","",A163&amp;"|"&amp;F163)</f>
        <v/>
      </c>
      <c r="H163" s="77" t="str">
        <f aca="false">IF(A163="","",SUMIFS('Release Log'!$D$6:$D$4005,'Release Log'!$B$6:$B$4005,A163,'Release Log'!$C$6:$C$4005,C163))</f>
        <v/>
      </c>
      <c r="I163" s="77" t="str">
        <f aca="false">IF(OR(A163="",N(E163)=0),"",INT(H163/E163))</f>
        <v/>
      </c>
      <c r="J163" s="77" t="str">
        <f aca="false">IF(A163="","",A163&amp;"|"&amp;C163)</f>
        <v/>
      </c>
    </row>
    <row r="164" customFormat="false" ht="15" hidden="false" customHeight="false" outlineLevel="0" collapsed="false">
      <c r="A164" s="71"/>
      <c r="B164" s="71"/>
      <c r="C164" s="71"/>
      <c r="D164" s="71"/>
      <c r="E164" s="72"/>
      <c r="F164" s="77" t="str">
        <f aca="false">IF(A164="","",COUNTIF($A$6:A164,A164))</f>
        <v/>
      </c>
      <c r="G164" s="77" t="str">
        <f aca="false">IF(A164="","",A164&amp;"|"&amp;F164)</f>
        <v/>
      </c>
      <c r="H164" s="77" t="str">
        <f aca="false">IF(A164="","",SUMIFS('Release Log'!$D$6:$D$4005,'Release Log'!$B$6:$B$4005,A164,'Release Log'!$C$6:$C$4005,C164))</f>
        <v/>
      </c>
      <c r="I164" s="77" t="str">
        <f aca="false">IF(OR(A164="",N(E164)=0),"",INT(H164/E164))</f>
        <v/>
      </c>
      <c r="J164" s="77" t="str">
        <f aca="false">IF(A164="","",A164&amp;"|"&amp;C164)</f>
        <v/>
      </c>
    </row>
    <row r="165" customFormat="false" ht="15" hidden="false" customHeight="false" outlineLevel="0" collapsed="false">
      <c r="A165" s="71"/>
      <c r="B165" s="71"/>
      <c r="C165" s="71"/>
      <c r="D165" s="71"/>
      <c r="E165" s="72"/>
      <c r="F165" s="77" t="str">
        <f aca="false">IF(A165="","",COUNTIF($A$6:A165,A165))</f>
        <v/>
      </c>
      <c r="G165" s="77" t="str">
        <f aca="false">IF(A165="","",A165&amp;"|"&amp;F165)</f>
        <v/>
      </c>
      <c r="H165" s="77" t="str">
        <f aca="false">IF(A165="","",SUMIFS('Release Log'!$D$6:$D$4005,'Release Log'!$B$6:$B$4005,A165,'Release Log'!$C$6:$C$4005,C165))</f>
        <v/>
      </c>
      <c r="I165" s="77" t="str">
        <f aca="false">IF(OR(A165="",N(E165)=0),"",INT(H165/E165))</f>
        <v/>
      </c>
      <c r="J165" s="77" t="str">
        <f aca="false">IF(A165="","",A165&amp;"|"&amp;C165)</f>
        <v/>
      </c>
    </row>
    <row r="166" customFormat="false" ht="15" hidden="false" customHeight="false" outlineLevel="0" collapsed="false">
      <c r="A166" s="71"/>
      <c r="B166" s="71"/>
      <c r="C166" s="71"/>
      <c r="D166" s="71"/>
      <c r="E166" s="72"/>
      <c r="F166" s="77" t="str">
        <f aca="false">IF(A166="","",COUNTIF($A$6:A166,A166))</f>
        <v/>
      </c>
      <c r="G166" s="77" t="str">
        <f aca="false">IF(A166="","",A166&amp;"|"&amp;F166)</f>
        <v/>
      </c>
      <c r="H166" s="77" t="str">
        <f aca="false">IF(A166="","",SUMIFS('Release Log'!$D$6:$D$4005,'Release Log'!$B$6:$B$4005,A166,'Release Log'!$C$6:$C$4005,C166))</f>
        <v/>
      </c>
      <c r="I166" s="77" t="str">
        <f aca="false">IF(OR(A166="",N(E166)=0),"",INT(H166/E166))</f>
        <v/>
      </c>
      <c r="J166" s="77" t="str">
        <f aca="false">IF(A166="","",A166&amp;"|"&amp;C166)</f>
        <v/>
      </c>
    </row>
    <row r="167" customFormat="false" ht="15" hidden="false" customHeight="false" outlineLevel="0" collapsed="false">
      <c r="A167" s="71"/>
      <c r="B167" s="71"/>
      <c r="C167" s="71"/>
      <c r="D167" s="71"/>
      <c r="E167" s="72"/>
      <c r="F167" s="77" t="str">
        <f aca="false">IF(A167="","",COUNTIF($A$6:A167,A167))</f>
        <v/>
      </c>
      <c r="G167" s="77" t="str">
        <f aca="false">IF(A167="","",A167&amp;"|"&amp;F167)</f>
        <v/>
      </c>
      <c r="H167" s="77" t="str">
        <f aca="false">IF(A167="","",SUMIFS('Release Log'!$D$6:$D$4005,'Release Log'!$B$6:$B$4005,A167,'Release Log'!$C$6:$C$4005,C167))</f>
        <v/>
      </c>
      <c r="I167" s="77" t="str">
        <f aca="false">IF(OR(A167="",N(E167)=0),"",INT(H167/E167))</f>
        <v/>
      </c>
      <c r="J167" s="77" t="str">
        <f aca="false">IF(A167="","",A167&amp;"|"&amp;C167)</f>
        <v/>
      </c>
    </row>
    <row r="168" customFormat="false" ht="15" hidden="false" customHeight="false" outlineLevel="0" collapsed="false">
      <c r="A168" s="71"/>
      <c r="B168" s="71"/>
      <c r="C168" s="71"/>
      <c r="D168" s="71"/>
      <c r="E168" s="72"/>
      <c r="F168" s="77" t="str">
        <f aca="false">IF(A168="","",COUNTIF($A$6:A168,A168))</f>
        <v/>
      </c>
      <c r="G168" s="77" t="str">
        <f aca="false">IF(A168="","",A168&amp;"|"&amp;F168)</f>
        <v/>
      </c>
      <c r="H168" s="77" t="str">
        <f aca="false">IF(A168="","",SUMIFS('Release Log'!$D$6:$D$4005,'Release Log'!$B$6:$B$4005,A168,'Release Log'!$C$6:$C$4005,C168))</f>
        <v/>
      </c>
      <c r="I168" s="77" t="str">
        <f aca="false">IF(OR(A168="",N(E168)=0),"",INT(H168/E168))</f>
        <v/>
      </c>
      <c r="J168" s="77" t="str">
        <f aca="false">IF(A168="","",A168&amp;"|"&amp;C168)</f>
        <v/>
      </c>
    </row>
    <row r="169" customFormat="false" ht="15" hidden="false" customHeight="false" outlineLevel="0" collapsed="false">
      <c r="A169" s="71"/>
      <c r="B169" s="71"/>
      <c r="C169" s="71"/>
      <c r="D169" s="71"/>
      <c r="E169" s="72"/>
      <c r="F169" s="77" t="str">
        <f aca="false">IF(A169="","",COUNTIF($A$6:A169,A169))</f>
        <v/>
      </c>
      <c r="G169" s="77" t="str">
        <f aca="false">IF(A169="","",A169&amp;"|"&amp;F169)</f>
        <v/>
      </c>
      <c r="H169" s="77" t="str">
        <f aca="false">IF(A169="","",SUMIFS('Release Log'!$D$6:$D$4005,'Release Log'!$B$6:$B$4005,A169,'Release Log'!$C$6:$C$4005,C169))</f>
        <v/>
      </c>
      <c r="I169" s="77" t="str">
        <f aca="false">IF(OR(A169="",N(E169)=0),"",INT(H169/E169))</f>
        <v/>
      </c>
      <c r="J169" s="77" t="str">
        <f aca="false">IF(A169="","",A169&amp;"|"&amp;C169)</f>
        <v/>
      </c>
    </row>
    <row r="170" customFormat="false" ht="15" hidden="false" customHeight="false" outlineLevel="0" collapsed="false">
      <c r="A170" s="71"/>
      <c r="B170" s="71"/>
      <c r="C170" s="71"/>
      <c r="D170" s="71"/>
      <c r="E170" s="72"/>
      <c r="F170" s="77" t="str">
        <f aca="false">IF(A170="","",COUNTIF($A$6:A170,A170))</f>
        <v/>
      </c>
      <c r="G170" s="77" t="str">
        <f aca="false">IF(A170="","",A170&amp;"|"&amp;F170)</f>
        <v/>
      </c>
      <c r="H170" s="77" t="str">
        <f aca="false">IF(A170="","",SUMIFS('Release Log'!$D$6:$D$4005,'Release Log'!$B$6:$B$4005,A170,'Release Log'!$C$6:$C$4005,C170))</f>
        <v/>
      </c>
      <c r="I170" s="77" t="str">
        <f aca="false">IF(OR(A170="",N(E170)=0),"",INT(H170/E170))</f>
        <v/>
      </c>
      <c r="J170" s="77" t="str">
        <f aca="false">IF(A170="","",A170&amp;"|"&amp;C170)</f>
        <v/>
      </c>
    </row>
    <row r="171" customFormat="false" ht="15" hidden="false" customHeight="false" outlineLevel="0" collapsed="false">
      <c r="A171" s="71"/>
      <c r="B171" s="71"/>
      <c r="C171" s="71"/>
      <c r="D171" s="71"/>
      <c r="E171" s="72"/>
      <c r="F171" s="77" t="str">
        <f aca="false">IF(A171="","",COUNTIF($A$6:A171,A171))</f>
        <v/>
      </c>
      <c r="G171" s="77" t="str">
        <f aca="false">IF(A171="","",A171&amp;"|"&amp;F171)</f>
        <v/>
      </c>
      <c r="H171" s="77" t="str">
        <f aca="false">IF(A171="","",SUMIFS('Release Log'!$D$6:$D$4005,'Release Log'!$B$6:$B$4005,A171,'Release Log'!$C$6:$C$4005,C171))</f>
        <v/>
      </c>
      <c r="I171" s="77" t="str">
        <f aca="false">IF(OR(A171="",N(E171)=0),"",INT(H171/E171))</f>
        <v/>
      </c>
      <c r="J171" s="77" t="str">
        <f aca="false">IF(A171="","",A171&amp;"|"&amp;C171)</f>
        <v/>
      </c>
    </row>
    <row r="172" customFormat="false" ht="15" hidden="false" customHeight="false" outlineLevel="0" collapsed="false">
      <c r="A172" s="71"/>
      <c r="B172" s="71"/>
      <c r="C172" s="71"/>
      <c r="D172" s="71"/>
      <c r="E172" s="72"/>
      <c r="F172" s="77" t="str">
        <f aca="false">IF(A172="","",COUNTIF($A$6:A172,A172))</f>
        <v/>
      </c>
      <c r="G172" s="77" t="str">
        <f aca="false">IF(A172="","",A172&amp;"|"&amp;F172)</f>
        <v/>
      </c>
      <c r="H172" s="77" t="str">
        <f aca="false">IF(A172="","",SUMIFS('Release Log'!$D$6:$D$4005,'Release Log'!$B$6:$B$4005,A172,'Release Log'!$C$6:$C$4005,C172))</f>
        <v/>
      </c>
      <c r="I172" s="77" t="str">
        <f aca="false">IF(OR(A172="",N(E172)=0),"",INT(H172/E172))</f>
        <v/>
      </c>
      <c r="J172" s="77" t="str">
        <f aca="false">IF(A172="","",A172&amp;"|"&amp;C172)</f>
        <v/>
      </c>
    </row>
    <row r="173" customFormat="false" ht="15" hidden="false" customHeight="false" outlineLevel="0" collapsed="false">
      <c r="A173" s="71"/>
      <c r="B173" s="71"/>
      <c r="C173" s="71"/>
      <c r="D173" s="71"/>
      <c r="E173" s="72"/>
      <c r="F173" s="77" t="str">
        <f aca="false">IF(A173="","",COUNTIF($A$6:A173,A173))</f>
        <v/>
      </c>
      <c r="G173" s="77" t="str">
        <f aca="false">IF(A173="","",A173&amp;"|"&amp;F173)</f>
        <v/>
      </c>
      <c r="H173" s="77" t="str">
        <f aca="false">IF(A173="","",SUMIFS('Release Log'!$D$6:$D$4005,'Release Log'!$B$6:$B$4005,A173,'Release Log'!$C$6:$C$4005,C173))</f>
        <v/>
      </c>
      <c r="I173" s="77" t="str">
        <f aca="false">IF(OR(A173="",N(E173)=0),"",INT(H173/E173))</f>
        <v/>
      </c>
      <c r="J173" s="77" t="str">
        <f aca="false">IF(A173="","",A173&amp;"|"&amp;C173)</f>
        <v/>
      </c>
    </row>
    <row r="174" customFormat="false" ht="15" hidden="false" customHeight="false" outlineLevel="0" collapsed="false">
      <c r="A174" s="71"/>
      <c r="B174" s="71"/>
      <c r="C174" s="71"/>
      <c r="D174" s="71"/>
      <c r="E174" s="72"/>
      <c r="F174" s="77" t="str">
        <f aca="false">IF(A174="","",COUNTIF($A$6:A174,A174))</f>
        <v/>
      </c>
      <c r="G174" s="77" t="str">
        <f aca="false">IF(A174="","",A174&amp;"|"&amp;F174)</f>
        <v/>
      </c>
      <c r="H174" s="77" t="str">
        <f aca="false">IF(A174="","",SUMIFS('Release Log'!$D$6:$D$4005,'Release Log'!$B$6:$B$4005,A174,'Release Log'!$C$6:$C$4005,C174))</f>
        <v/>
      </c>
      <c r="I174" s="77" t="str">
        <f aca="false">IF(OR(A174="",N(E174)=0),"",INT(H174/E174))</f>
        <v/>
      </c>
      <c r="J174" s="77" t="str">
        <f aca="false">IF(A174="","",A174&amp;"|"&amp;C174)</f>
        <v/>
      </c>
    </row>
    <row r="175" customFormat="false" ht="15" hidden="false" customHeight="false" outlineLevel="0" collapsed="false">
      <c r="A175" s="71"/>
      <c r="B175" s="71"/>
      <c r="C175" s="71"/>
      <c r="D175" s="71"/>
      <c r="E175" s="72"/>
      <c r="F175" s="77" t="str">
        <f aca="false">IF(A175="","",COUNTIF($A$6:A175,A175))</f>
        <v/>
      </c>
      <c r="G175" s="77" t="str">
        <f aca="false">IF(A175="","",A175&amp;"|"&amp;F175)</f>
        <v/>
      </c>
      <c r="H175" s="77" t="str">
        <f aca="false">IF(A175="","",SUMIFS('Release Log'!$D$6:$D$4005,'Release Log'!$B$6:$B$4005,A175,'Release Log'!$C$6:$C$4005,C175))</f>
        <v/>
      </c>
      <c r="I175" s="77" t="str">
        <f aca="false">IF(OR(A175="",N(E175)=0),"",INT(H175/E175))</f>
        <v/>
      </c>
      <c r="J175" s="77" t="str">
        <f aca="false">IF(A175="","",A175&amp;"|"&amp;C175)</f>
        <v/>
      </c>
    </row>
    <row r="176" customFormat="false" ht="15" hidden="false" customHeight="false" outlineLevel="0" collapsed="false">
      <c r="A176" s="71"/>
      <c r="B176" s="71"/>
      <c r="C176" s="71"/>
      <c r="D176" s="71"/>
      <c r="E176" s="72"/>
      <c r="F176" s="77" t="str">
        <f aca="false">IF(A176="","",COUNTIF($A$6:A176,A176))</f>
        <v/>
      </c>
      <c r="G176" s="77" t="str">
        <f aca="false">IF(A176="","",A176&amp;"|"&amp;F176)</f>
        <v/>
      </c>
      <c r="H176" s="77" t="str">
        <f aca="false">IF(A176="","",SUMIFS('Release Log'!$D$6:$D$4005,'Release Log'!$B$6:$B$4005,A176,'Release Log'!$C$6:$C$4005,C176))</f>
        <v/>
      </c>
      <c r="I176" s="77" t="str">
        <f aca="false">IF(OR(A176="",N(E176)=0),"",INT(H176/E176))</f>
        <v/>
      </c>
      <c r="J176" s="77" t="str">
        <f aca="false">IF(A176="","",A176&amp;"|"&amp;C176)</f>
        <v/>
      </c>
    </row>
    <row r="177" customFormat="false" ht="15" hidden="false" customHeight="false" outlineLevel="0" collapsed="false">
      <c r="A177" s="71"/>
      <c r="B177" s="71"/>
      <c r="C177" s="71"/>
      <c r="D177" s="71"/>
      <c r="E177" s="72"/>
      <c r="F177" s="77" t="str">
        <f aca="false">IF(A177="","",COUNTIF($A$6:A177,A177))</f>
        <v/>
      </c>
      <c r="G177" s="77" t="str">
        <f aca="false">IF(A177="","",A177&amp;"|"&amp;F177)</f>
        <v/>
      </c>
      <c r="H177" s="77" t="str">
        <f aca="false">IF(A177="","",SUMIFS('Release Log'!$D$6:$D$4005,'Release Log'!$B$6:$B$4005,A177,'Release Log'!$C$6:$C$4005,C177))</f>
        <v/>
      </c>
      <c r="I177" s="77" t="str">
        <f aca="false">IF(OR(A177="",N(E177)=0),"",INT(H177/E177))</f>
        <v/>
      </c>
      <c r="J177" s="77" t="str">
        <f aca="false">IF(A177="","",A177&amp;"|"&amp;C177)</f>
        <v/>
      </c>
    </row>
    <row r="178" customFormat="false" ht="15" hidden="false" customHeight="false" outlineLevel="0" collapsed="false">
      <c r="A178" s="71"/>
      <c r="B178" s="71"/>
      <c r="C178" s="71"/>
      <c r="D178" s="71"/>
      <c r="E178" s="72"/>
      <c r="F178" s="77" t="str">
        <f aca="false">IF(A178="","",COUNTIF($A$6:A178,A178))</f>
        <v/>
      </c>
      <c r="G178" s="77" t="str">
        <f aca="false">IF(A178="","",A178&amp;"|"&amp;F178)</f>
        <v/>
      </c>
      <c r="H178" s="77" t="str">
        <f aca="false">IF(A178="","",SUMIFS('Release Log'!$D$6:$D$4005,'Release Log'!$B$6:$B$4005,A178,'Release Log'!$C$6:$C$4005,C178))</f>
        <v/>
      </c>
      <c r="I178" s="77" t="str">
        <f aca="false">IF(OR(A178="",N(E178)=0),"",INT(H178/E178))</f>
        <v/>
      </c>
      <c r="J178" s="77" t="str">
        <f aca="false">IF(A178="","",A178&amp;"|"&amp;C178)</f>
        <v/>
      </c>
    </row>
    <row r="179" customFormat="false" ht="15" hidden="false" customHeight="false" outlineLevel="0" collapsed="false">
      <c r="A179" s="71"/>
      <c r="B179" s="71"/>
      <c r="C179" s="71"/>
      <c r="D179" s="71"/>
      <c r="E179" s="72"/>
      <c r="F179" s="77" t="str">
        <f aca="false">IF(A179="","",COUNTIF($A$6:A179,A179))</f>
        <v/>
      </c>
      <c r="G179" s="77" t="str">
        <f aca="false">IF(A179="","",A179&amp;"|"&amp;F179)</f>
        <v/>
      </c>
      <c r="H179" s="77" t="str">
        <f aca="false">IF(A179="","",SUMIFS('Release Log'!$D$6:$D$4005,'Release Log'!$B$6:$B$4005,A179,'Release Log'!$C$6:$C$4005,C179))</f>
        <v/>
      </c>
      <c r="I179" s="77" t="str">
        <f aca="false">IF(OR(A179="",N(E179)=0),"",INT(H179/E179))</f>
        <v/>
      </c>
      <c r="J179" s="77" t="str">
        <f aca="false">IF(A179="","",A179&amp;"|"&amp;C179)</f>
        <v/>
      </c>
    </row>
    <row r="180" customFormat="false" ht="15" hidden="false" customHeight="false" outlineLevel="0" collapsed="false">
      <c r="A180" s="71"/>
      <c r="B180" s="71"/>
      <c r="C180" s="71"/>
      <c r="D180" s="71"/>
      <c r="E180" s="72"/>
      <c r="F180" s="77" t="str">
        <f aca="false">IF(A180="","",COUNTIF($A$6:A180,A180))</f>
        <v/>
      </c>
      <c r="G180" s="77" t="str">
        <f aca="false">IF(A180="","",A180&amp;"|"&amp;F180)</f>
        <v/>
      </c>
      <c r="H180" s="77" t="str">
        <f aca="false">IF(A180="","",SUMIFS('Release Log'!$D$6:$D$4005,'Release Log'!$B$6:$B$4005,A180,'Release Log'!$C$6:$C$4005,C180))</f>
        <v/>
      </c>
      <c r="I180" s="77" t="str">
        <f aca="false">IF(OR(A180="",N(E180)=0),"",INT(H180/E180))</f>
        <v/>
      </c>
      <c r="J180" s="77" t="str">
        <f aca="false">IF(A180="","",A180&amp;"|"&amp;C180)</f>
        <v/>
      </c>
    </row>
    <row r="181" customFormat="false" ht="15" hidden="false" customHeight="false" outlineLevel="0" collapsed="false">
      <c r="A181" s="71"/>
      <c r="B181" s="71"/>
      <c r="C181" s="71"/>
      <c r="D181" s="71"/>
      <c r="E181" s="72"/>
      <c r="F181" s="77" t="str">
        <f aca="false">IF(A181="","",COUNTIF($A$6:A181,A181))</f>
        <v/>
      </c>
      <c r="G181" s="77" t="str">
        <f aca="false">IF(A181="","",A181&amp;"|"&amp;F181)</f>
        <v/>
      </c>
      <c r="H181" s="77" t="str">
        <f aca="false">IF(A181="","",SUMIFS('Release Log'!$D$6:$D$4005,'Release Log'!$B$6:$B$4005,A181,'Release Log'!$C$6:$C$4005,C181))</f>
        <v/>
      </c>
      <c r="I181" s="77" t="str">
        <f aca="false">IF(OR(A181="",N(E181)=0),"",INT(H181/E181))</f>
        <v/>
      </c>
      <c r="J181" s="77" t="str">
        <f aca="false">IF(A181="","",A181&amp;"|"&amp;C181)</f>
        <v/>
      </c>
    </row>
    <row r="182" customFormat="false" ht="15" hidden="false" customHeight="false" outlineLevel="0" collapsed="false">
      <c r="A182" s="71"/>
      <c r="B182" s="71"/>
      <c r="C182" s="71"/>
      <c r="D182" s="71"/>
      <c r="E182" s="72"/>
      <c r="F182" s="77" t="str">
        <f aca="false">IF(A182="","",COUNTIF($A$6:A182,A182))</f>
        <v/>
      </c>
      <c r="G182" s="77" t="str">
        <f aca="false">IF(A182="","",A182&amp;"|"&amp;F182)</f>
        <v/>
      </c>
      <c r="H182" s="77" t="str">
        <f aca="false">IF(A182="","",SUMIFS('Release Log'!$D$6:$D$4005,'Release Log'!$B$6:$B$4005,A182,'Release Log'!$C$6:$C$4005,C182))</f>
        <v/>
      </c>
      <c r="I182" s="77" t="str">
        <f aca="false">IF(OR(A182="",N(E182)=0),"",INT(H182/E182))</f>
        <v/>
      </c>
      <c r="J182" s="77" t="str">
        <f aca="false">IF(A182="","",A182&amp;"|"&amp;C182)</f>
        <v/>
      </c>
    </row>
    <row r="183" customFormat="false" ht="15" hidden="false" customHeight="false" outlineLevel="0" collapsed="false">
      <c r="A183" s="71"/>
      <c r="B183" s="71"/>
      <c r="C183" s="71"/>
      <c r="D183" s="71"/>
      <c r="E183" s="72"/>
      <c r="F183" s="77" t="str">
        <f aca="false">IF(A183="","",COUNTIF($A$6:A183,A183))</f>
        <v/>
      </c>
      <c r="G183" s="77" t="str">
        <f aca="false">IF(A183="","",A183&amp;"|"&amp;F183)</f>
        <v/>
      </c>
      <c r="H183" s="77" t="str">
        <f aca="false">IF(A183="","",SUMIFS('Release Log'!$D$6:$D$4005,'Release Log'!$B$6:$B$4005,A183,'Release Log'!$C$6:$C$4005,C183))</f>
        <v/>
      </c>
      <c r="I183" s="77" t="str">
        <f aca="false">IF(OR(A183="",N(E183)=0),"",INT(H183/E183))</f>
        <v/>
      </c>
      <c r="J183" s="77" t="str">
        <f aca="false">IF(A183="","",A183&amp;"|"&amp;C183)</f>
        <v/>
      </c>
    </row>
    <row r="184" customFormat="false" ht="15" hidden="false" customHeight="false" outlineLevel="0" collapsed="false">
      <c r="A184" s="71"/>
      <c r="B184" s="71"/>
      <c r="C184" s="71"/>
      <c r="D184" s="71"/>
      <c r="E184" s="72"/>
      <c r="F184" s="77" t="str">
        <f aca="false">IF(A184="","",COUNTIF($A$6:A184,A184))</f>
        <v/>
      </c>
      <c r="G184" s="77" t="str">
        <f aca="false">IF(A184="","",A184&amp;"|"&amp;F184)</f>
        <v/>
      </c>
      <c r="H184" s="77" t="str">
        <f aca="false">IF(A184="","",SUMIFS('Release Log'!$D$6:$D$4005,'Release Log'!$B$6:$B$4005,A184,'Release Log'!$C$6:$C$4005,C184))</f>
        <v/>
      </c>
      <c r="I184" s="77" t="str">
        <f aca="false">IF(OR(A184="",N(E184)=0),"",INT(H184/E184))</f>
        <v/>
      </c>
      <c r="J184" s="77" t="str">
        <f aca="false">IF(A184="","",A184&amp;"|"&amp;C184)</f>
        <v/>
      </c>
    </row>
    <row r="185" customFormat="false" ht="15" hidden="false" customHeight="false" outlineLevel="0" collapsed="false">
      <c r="A185" s="71"/>
      <c r="B185" s="71"/>
      <c r="C185" s="71"/>
      <c r="D185" s="71"/>
      <c r="E185" s="72"/>
      <c r="F185" s="77" t="str">
        <f aca="false">IF(A185="","",COUNTIF($A$6:A185,A185))</f>
        <v/>
      </c>
      <c r="G185" s="77" t="str">
        <f aca="false">IF(A185="","",A185&amp;"|"&amp;F185)</f>
        <v/>
      </c>
      <c r="H185" s="77" t="str">
        <f aca="false">IF(A185="","",SUMIFS('Release Log'!$D$6:$D$4005,'Release Log'!$B$6:$B$4005,A185,'Release Log'!$C$6:$C$4005,C185))</f>
        <v/>
      </c>
      <c r="I185" s="77" t="str">
        <f aca="false">IF(OR(A185="",N(E185)=0),"",INT(H185/E185))</f>
        <v/>
      </c>
      <c r="J185" s="77" t="str">
        <f aca="false">IF(A185="","",A185&amp;"|"&amp;C185)</f>
        <v/>
      </c>
    </row>
    <row r="186" customFormat="false" ht="15" hidden="false" customHeight="false" outlineLevel="0" collapsed="false">
      <c r="A186" s="71"/>
      <c r="B186" s="71"/>
      <c r="C186" s="71"/>
      <c r="D186" s="71"/>
      <c r="E186" s="72"/>
      <c r="F186" s="77" t="str">
        <f aca="false">IF(A186="","",COUNTIF($A$6:A186,A186))</f>
        <v/>
      </c>
      <c r="G186" s="77" t="str">
        <f aca="false">IF(A186="","",A186&amp;"|"&amp;F186)</f>
        <v/>
      </c>
      <c r="H186" s="77" t="str">
        <f aca="false">IF(A186="","",SUMIFS('Release Log'!$D$6:$D$4005,'Release Log'!$B$6:$B$4005,A186,'Release Log'!$C$6:$C$4005,C186))</f>
        <v/>
      </c>
      <c r="I186" s="77" t="str">
        <f aca="false">IF(OR(A186="",N(E186)=0),"",INT(H186/E186))</f>
        <v/>
      </c>
      <c r="J186" s="77" t="str">
        <f aca="false">IF(A186="","",A186&amp;"|"&amp;C186)</f>
        <v/>
      </c>
    </row>
    <row r="187" customFormat="false" ht="15" hidden="false" customHeight="false" outlineLevel="0" collapsed="false">
      <c r="A187" s="71"/>
      <c r="B187" s="71"/>
      <c r="C187" s="71"/>
      <c r="D187" s="71"/>
      <c r="E187" s="72"/>
      <c r="F187" s="77" t="str">
        <f aca="false">IF(A187="","",COUNTIF($A$6:A187,A187))</f>
        <v/>
      </c>
      <c r="G187" s="77" t="str">
        <f aca="false">IF(A187="","",A187&amp;"|"&amp;F187)</f>
        <v/>
      </c>
      <c r="H187" s="77" t="str">
        <f aca="false">IF(A187="","",SUMIFS('Release Log'!$D$6:$D$4005,'Release Log'!$B$6:$B$4005,A187,'Release Log'!$C$6:$C$4005,C187))</f>
        <v/>
      </c>
      <c r="I187" s="77" t="str">
        <f aca="false">IF(OR(A187="",N(E187)=0),"",INT(H187/E187))</f>
        <v/>
      </c>
      <c r="J187" s="77" t="str">
        <f aca="false">IF(A187="","",A187&amp;"|"&amp;C187)</f>
        <v/>
      </c>
    </row>
    <row r="188" customFormat="false" ht="15" hidden="false" customHeight="false" outlineLevel="0" collapsed="false">
      <c r="A188" s="71"/>
      <c r="B188" s="71"/>
      <c r="C188" s="71"/>
      <c r="D188" s="71"/>
      <c r="E188" s="72"/>
      <c r="F188" s="77" t="str">
        <f aca="false">IF(A188="","",COUNTIF($A$6:A188,A188))</f>
        <v/>
      </c>
      <c r="G188" s="77" t="str">
        <f aca="false">IF(A188="","",A188&amp;"|"&amp;F188)</f>
        <v/>
      </c>
      <c r="H188" s="77" t="str">
        <f aca="false">IF(A188="","",SUMIFS('Release Log'!$D$6:$D$4005,'Release Log'!$B$6:$B$4005,A188,'Release Log'!$C$6:$C$4005,C188))</f>
        <v/>
      </c>
      <c r="I188" s="77" t="str">
        <f aca="false">IF(OR(A188="",N(E188)=0),"",INT(H188/E188))</f>
        <v/>
      </c>
      <c r="J188" s="77" t="str">
        <f aca="false">IF(A188="","",A188&amp;"|"&amp;C188)</f>
        <v/>
      </c>
    </row>
    <row r="189" customFormat="false" ht="15" hidden="false" customHeight="false" outlineLevel="0" collapsed="false">
      <c r="A189" s="71"/>
      <c r="B189" s="71"/>
      <c r="C189" s="71"/>
      <c r="D189" s="71"/>
      <c r="E189" s="72"/>
      <c r="F189" s="77" t="str">
        <f aca="false">IF(A189="","",COUNTIF($A$6:A189,A189))</f>
        <v/>
      </c>
      <c r="G189" s="77" t="str">
        <f aca="false">IF(A189="","",A189&amp;"|"&amp;F189)</f>
        <v/>
      </c>
      <c r="H189" s="77" t="str">
        <f aca="false">IF(A189="","",SUMIFS('Release Log'!$D$6:$D$4005,'Release Log'!$B$6:$B$4005,A189,'Release Log'!$C$6:$C$4005,C189))</f>
        <v/>
      </c>
      <c r="I189" s="77" t="str">
        <f aca="false">IF(OR(A189="",N(E189)=0),"",INT(H189/E189))</f>
        <v/>
      </c>
      <c r="J189" s="77" t="str">
        <f aca="false">IF(A189="","",A189&amp;"|"&amp;C189)</f>
        <v/>
      </c>
    </row>
    <row r="190" customFormat="false" ht="15" hidden="false" customHeight="false" outlineLevel="0" collapsed="false">
      <c r="A190" s="71"/>
      <c r="B190" s="71"/>
      <c r="C190" s="71"/>
      <c r="D190" s="71"/>
      <c r="E190" s="72"/>
      <c r="F190" s="77" t="str">
        <f aca="false">IF(A190="","",COUNTIF($A$6:A190,A190))</f>
        <v/>
      </c>
      <c r="G190" s="77" t="str">
        <f aca="false">IF(A190="","",A190&amp;"|"&amp;F190)</f>
        <v/>
      </c>
      <c r="H190" s="77" t="str">
        <f aca="false">IF(A190="","",SUMIFS('Release Log'!$D$6:$D$4005,'Release Log'!$B$6:$B$4005,A190,'Release Log'!$C$6:$C$4005,C190))</f>
        <v/>
      </c>
      <c r="I190" s="77" t="str">
        <f aca="false">IF(OR(A190="",N(E190)=0),"",INT(H190/E190))</f>
        <v/>
      </c>
      <c r="J190" s="77" t="str">
        <f aca="false">IF(A190="","",A190&amp;"|"&amp;C190)</f>
        <v/>
      </c>
    </row>
    <row r="191" customFormat="false" ht="15" hidden="false" customHeight="false" outlineLevel="0" collapsed="false">
      <c r="A191" s="71"/>
      <c r="B191" s="71"/>
      <c r="C191" s="71"/>
      <c r="D191" s="71"/>
      <c r="E191" s="72"/>
      <c r="F191" s="77" t="str">
        <f aca="false">IF(A191="","",COUNTIF($A$6:A191,A191))</f>
        <v/>
      </c>
      <c r="G191" s="77" t="str">
        <f aca="false">IF(A191="","",A191&amp;"|"&amp;F191)</f>
        <v/>
      </c>
      <c r="H191" s="77" t="str">
        <f aca="false">IF(A191="","",SUMIFS('Release Log'!$D$6:$D$4005,'Release Log'!$B$6:$B$4005,A191,'Release Log'!$C$6:$C$4005,C191))</f>
        <v/>
      </c>
      <c r="I191" s="77" t="str">
        <f aca="false">IF(OR(A191="",N(E191)=0),"",INT(H191/E191))</f>
        <v/>
      </c>
      <c r="J191" s="77" t="str">
        <f aca="false">IF(A191="","",A191&amp;"|"&amp;C191)</f>
        <v/>
      </c>
    </row>
    <row r="192" customFormat="false" ht="15" hidden="false" customHeight="false" outlineLevel="0" collapsed="false">
      <c r="A192" s="71"/>
      <c r="B192" s="71"/>
      <c r="C192" s="71"/>
      <c r="D192" s="71"/>
      <c r="E192" s="72"/>
      <c r="F192" s="77" t="str">
        <f aca="false">IF(A192="","",COUNTIF($A$6:A192,A192))</f>
        <v/>
      </c>
      <c r="G192" s="77" t="str">
        <f aca="false">IF(A192="","",A192&amp;"|"&amp;F192)</f>
        <v/>
      </c>
      <c r="H192" s="77" t="str">
        <f aca="false">IF(A192="","",SUMIFS('Release Log'!$D$6:$D$4005,'Release Log'!$B$6:$B$4005,A192,'Release Log'!$C$6:$C$4005,C192))</f>
        <v/>
      </c>
      <c r="I192" s="77" t="str">
        <f aca="false">IF(OR(A192="",N(E192)=0),"",INT(H192/E192))</f>
        <v/>
      </c>
      <c r="J192" s="77" t="str">
        <f aca="false">IF(A192="","",A192&amp;"|"&amp;C192)</f>
        <v/>
      </c>
    </row>
    <row r="193" customFormat="false" ht="15" hidden="false" customHeight="false" outlineLevel="0" collapsed="false">
      <c r="A193" s="71"/>
      <c r="B193" s="71"/>
      <c r="C193" s="71"/>
      <c r="D193" s="71"/>
      <c r="E193" s="72"/>
      <c r="F193" s="77" t="str">
        <f aca="false">IF(A193="","",COUNTIF($A$6:A193,A193))</f>
        <v/>
      </c>
      <c r="G193" s="77" t="str">
        <f aca="false">IF(A193="","",A193&amp;"|"&amp;F193)</f>
        <v/>
      </c>
      <c r="H193" s="77" t="str">
        <f aca="false">IF(A193="","",SUMIFS('Release Log'!$D$6:$D$4005,'Release Log'!$B$6:$B$4005,A193,'Release Log'!$C$6:$C$4005,C193))</f>
        <v/>
      </c>
      <c r="I193" s="77" t="str">
        <f aca="false">IF(OR(A193="",N(E193)=0),"",INT(H193/E193))</f>
        <v/>
      </c>
      <c r="J193" s="77" t="str">
        <f aca="false">IF(A193="","",A193&amp;"|"&amp;C193)</f>
        <v/>
      </c>
    </row>
    <row r="194" customFormat="false" ht="15" hidden="false" customHeight="false" outlineLevel="0" collapsed="false">
      <c r="A194" s="71"/>
      <c r="B194" s="71"/>
      <c r="C194" s="71"/>
      <c r="D194" s="71"/>
      <c r="E194" s="72"/>
      <c r="F194" s="77" t="str">
        <f aca="false">IF(A194="","",COUNTIF($A$6:A194,A194))</f>
        <v/>
      </c>
      <c r="G194" s="77" t="str">
        <f aca="false">IF(A194="","",A194&amp;"|"&amp;F194)</f>
        <v/>
      </c>
      <c r="H194" s="77" t="str">
        <f aca="false">IF(A194="","",SUMIFS('Release Log'!$D$6:$D$4005,'Release Log'!$B$6:$B$4005,A194,'Release Log'!$C$6:$C$4005,C194))</f>
        <v/>
      </c>
      <c r="I194" s="77" t="str">
        <f aca="false">IF(OR(A194="",N(E194)=0),"",INT(H194/E194))</f>
        <v/>
      </c>
      <c r="J194" s="77" t="str">
        <f aca="false">IF(A194="","",A194&amp;"|"&amp;C194)</f>
        <v/>
      </c>
    </row>
    <row r="195" customFormat="false" ht="15" hidden="false" customHeight="false" outlineLevel="0" collapsed="false">
      <c r="A195" s="71"/>
      <c r="B195" s="71"/>
      <c r="C195" s="71"/>
      <c r="D195" s="71"/>
      <c r="E195" s="72"/>
      <c r="F195" s="77" t="str">
        <f aca="false">IF(A195="","",COUNTIF($A$6:A195,A195))</f>
        <v/>
      </c>
      <c r="G195" s="77" t="str">
        <f aca="false">IF(A195="","",A195&amp;"|"&amp;F195)</f>
        <v/>
      </c>
      <c r="H195" s="77" t="str">
        <f aca="false">IF(A195="","",SUMIFS('Release Log'!$D$6:$D$4005,'Release Log'!$B$6:$B$4005,A195,'Release Log'!$C$6:$C$4005,C195))</f>
        <v/>
      </c>
      <c r="I195" s="77" t="str">
        <f aca="false">IF(OR(A195="",N(E195)=0),"",INT(H195/E195))</f>
        <v/>
      </c>
      <c r="J195" s="77" t="str">
        <f aca="false">IF(A195="","",A195&amp;"|"&amp;C195)</f>
        <v/>
      </c>
    </row>
    <row r="196" customFormat="false" ht="15" hidden="false" customHeight="false" outlineLevel="0" collapsed="false">
      <c r="A196" s="71"/>
      <c r="B196" s="71"/>
      <c r="C196" s="71"/>
      <c r="D196" s="71"/>
      <c r="E196" s="72"/>
      <c r="F196" s="77" t="str">
        <f aca="false">IF(A196="","",COUNTIF($A$6:A196,A196))</f>
        <v/>
      </c>
      <c r="G196" s="77" t="str">
        <f aca="false">IF(A196="","",A196&amp;"|"&amp;F196)</f>
        <v/>
      </c>
      <c r="H196" s="77" t="str">
        <f aca="false">IF(A196="","",SUMIFS('Release Log'!$D$6:$D$4005,'Release Log'!$B$6:$B$4005,A196,'Release Log'!$C$6:$C$4005,C196))</f>
        <v/>
      </c>
      <c r="I196" s="77" t="str">
        <f aca="false">IF(OR(A196="",N(E196)=0),"",INT(H196/E196))</f>
        <v/>
      </c>
      <c r="J196" s="77" t="str">
        <f aca="false">IF(A196="","",A196&amp;"|"&amp;C196)</f>
        <v/>
      </c>
    </row>
    <row r="197" customFormat="false" ht="15" hidden="false" customHeight="false" outlineLevel="0" collapsed="false">
      <c r="A197" s="71"/>
      <c r="B197" s="71"/>
      <c r="C197" s="71"/>
      <c r="D197" s="71"/>
      <c r="E197" s="72"/>
      <c r="F197" s="77" t="str">
        <f aca="false">IF(A197="","",COUNTIF($A$6:A197,A197))</f>
        <v/>
      </c>
      <c r="G197" s="77" t="str">
        <f aca="false">IF(A197="","",A197&amp;"|"&amp;F197)</f>
        <v/>
      </c>
      <c r="H197" s="77" t="str">
        <f aca="false">IF(A197="","",SUMIFS('Release Log'!$D$6:$D$4005,'Release Log'!$B$6:$B$4005,A197,'Release Log'!$C$6:$C$4005,C197))</f>
        <v/>
      </c>
      <c r="I197" s="77" t="str">
        <f aca="false">IF(OR(A197="",N(E197)=0),"",INT(H197/E197))</f>
        <v/>
      </c>
      <c r="J197" s="77" t="str">
        <f aca="false">IF(A197="","",A197&amp;"|"&amp;C197)</f>
        <v/>
      </c>
    </row>
    <row r="198" customFormat="false" ht="15" hidden="false" customHeight="false" outlineLevel="0" collapsed="false">
      <c r="A198" s="71"/>
      <c r="B198" s="71"/>
      <c r="C198" s="71"/>
      <c r="D198" s="71"/>
      <c r="E198" s="72"/>
      <c r="F198" s="77" t="str">
        <f aca="false">IF(A198="","",COUNTIF($A$6:A198,A198))</f>
        <v/>
      </c>
      <c r="G198" s="77" t="str">
        <f aca="false">IF(A198="","",A198&amp;"|"&amp;F198)</f>
        <v/>
      </c>
      <c r="H198" s="77" t="str">
        <f aca="false">IF(A198="","",SUMIFS('Release Log'!$D$6:$D$4005,'Release Log'!$B$6:$B$4005,A198,'Release Log'!$C$6:$C$4005,C198))</f>
        <v/>
      </c>
      <c r="I198" s="77" t="str">
        <f aca="false">IF(OR(A198="",N(E198)=0),"",INT(H198/E198))</f>
        <v/>
      </c>
      <c r="J198" s="77" t="str">
        <f aca="false">IF(A198="","",A198&amp;"|"&amp;C198)</f>
        <v/>
      </c>
    </row>
    <row r="199" customFormat="false" ht="15" hidden="false" customHeight="false" outlineLevel="0" collapsed="false">
      <c r="A199" s="71"/>
      <c r="B199" s="71"/>
      <c r="C199" s="71"/>
      <c r="D199" s="71"/>
      <c r="E199" s="72"/>
      <c r="F199" s="77" t="str">
        <f aca="false">IF(A199="","",COUNTIF($A$6:A199,A199))</f>
        <v/>
      </c>
      <c r="G199" s="77" t="str">
        <f aca="false">IF(A199="","",A199&amp;"|"&amp;F199)</f>
        <v/>
      </c>
      <c r="H199" s="77" t="str">
        <f aca="false">IF(A199="","",SUMIFS('Release Log'!$D$6:$D$4005,'Release Log'!$B$6:$B$4005,A199,'Release Log'!$C$6:$C$4005,C199))</f>
        <v/>
      </c>
      <c r="I199" s="77" t="str">
        <f aca="false">IF(OR(A199="",N(E199)=0),"",INT(H199/E199))</f>
        <v/>
      </c>
      <c r="J199" s="77" t="str">
        <f aca="false">IF(A199="","",A199&amp;"|"&amp;C199)</f>
        <v/>
      </c>
    </row>
    <row r="200" customFormat="false" ht="15" hidden="false" customHeight="false" outlineLevel="0" collapsed="false">
      <c r="A200" s="71"/>
      <c r="B200" s="71"/>
      <c r="C200" s="71"/>
      <c r="D200" s="71"/>
      <c r="E200" s="72"/>
      <c r="F200" s="77" t="str">
        <f aca="false">IF(A200="","",COUNTIF($A$6:A200,A200))</f>
        <v/>
      </c>
      <c r="G200" s="77" t="str">
        <f aca="false">IF(A200="","",A200&amp;"|"&amp;F200)</f>
        <v/>
      </c>
      <c r="H200" s="77" t="str">
        <f aca="false">IF(A200="","",SUMIFS('Release Log'!$D$6:$D$4005,'Release Log'!$B$6:$B$4005,A200,'Release Log'!$C$6:$C$4005,C200))</f>
        <v/>
      </c>
      <c r="I200" s="77" t="str">
        <f aca="false">IF(OR(A200="",N(E200)=0),"",INT(H200/E200))</f>
        <v/>
      </c>
      <c r="J200" s="77" t="str">
        <f aca="false">IF(A200="","",A200&amp;"|"&amp;C200)</f>
        <v/>
      </c>
    </row>
    <row r="201" customFormat="false" ht="15" hidden="false" customHeight="false" outlineLevel="0" collapsed="false">
      <c r="A201" s="71"/>
      <c r="B201" s="71"/>
      <c r="C201" s="71"/>
      <c r="D201" s="71"/>
      <c r="E201" s="72"/>
      <c r="F201" s="77" t="str">
        <f aca="false">IF(A201="","",COUNTIF($A$6:A201,A201))</f>
        <v/>
      </c>
      <c r="G201" s="77" t="str">
        <f aca="false">IF(A201="","",A201&amp;"|"&amp;F201)</f>
        <v/>
      </c>
      <c r="H201" s="77" t="str">
        <f aca="false">IF(A201="","",SUMIFS('Release Log'!$D$6:$D$4005,'Release Log'!$B$6:$B$4005,A201,'Release Log'!$C$6:$C$4005,C201))</f>
        <v/>
      </c>
      <c r="I201" s="77" t="str">
        <f aca="false">IF(OR(A201="",N(E201)=0),"",INT(H201/E201))</f>
        <v/>
      </c>
      <c r="J201" s="77" t="str">
        <f aca="false">IF(A201="","",A201&amp;"|"&amp;C201)</f>
        <v/>
      </c>
    </row>
    <row r="202" customFormat="false" ht="15" hidden="false" customHeight="false" outlineLevel="0" collapsed="false">
      <c r="A202" s="71"/>
      <c r="B202" s="71"/>
      <c r="C202" s="71"/>
      <c r="D202" s="71"/>
      <c r="E202" s="72"/>
      <c r="F202" s="77" t="str">
        <f aca="false">IF(A202="","",COUNTIF($A$6:A202,A202))</f>
        <v/>
      </c>
      <c r="G202" s="77" t="str">
        <f aca="false">IF(A202="","",A202&amp;"|"&amp;F202)</f>
        <v/>
      </c>
      <c r="H202" s="77" t="str">
        <f aca="false">IF(A202="","",SUMIFS('Release Log'!$D$6:$D$4005,'Release Log'!$B$6:$B$4005,A202,'Release Log'!$C$6:$C$4005,C202))</f>
        <v/>
      </c>
      <c r="I202" s="77" t="str">
        <f aca="false">IF(OR(A202="",N(E202)=0),"",INT(H202/E202))</f>
        <v/>
      </c>
      <c r="J202" s="77" t="str">
        <f aca="false">IF(A202="","",A202&amp;"|"&amp;C202)</f>
        <v/>
      </c>
    </row>
    <row r="203" customFormat="false" ht="15" hidden="false" customHeight="false" outlineLevel="0" collapsed="false">
      <c r="A203" s="71"/>
      <c r="B203" s="71"/>
      <c r="C203" s="71"/>
      <c r="D203" s="71"/>
      <c r="E203" s="72"/>
      <c r="F203" s="77" t="str">
        <f aca="false">IF(A203="","",COUNTIF($A$6:A203,A203))</f>
        <v/>
      </c>
      <c r="G203" s="77" t="str">
        <f aca="false">IF(A203="","",A203&amp;"|"&amp;F203)</f>
        <v/>
      </c>
      <c r="H203" s="77" t="str">
        <f aca="false">IF(A203="","",SUMIFS('Release Log'!$D$6:$D$4005,'Release Log'!$B$6:$B$4005,A203,'Release Log'!$C$6:$C$4005,C203))</f>
        <v/>
      </c>
      <c r="I203" s="77" t="str">
        <f aca="false">IF(OR(A203="",N(E203)=0),"",INT(H203/E203))</f>
        <v/>
      </c>
      <c r="J203" s="77" t="str">
        <f aca="false">IF(A203="","",A203&amp;"|"&amp;C203)</f>
        <v/>
      </c>
    </row>
    <row r="204" customFormat="false" ht="15" hidden="false" customHeight="false" outlineLevel="0" collapsed="false">
      <c r="A204" s="71"/>
      <c r="B204" s="71"/>
      <c r="C204" s="71"/>
      <c r="D204" s="71"/>
      <c r="E204" s="72"/>
      <c r="F204" s="77" t="str">
        <f aca="false">IF(A204="","",COUNTIF($A$6:A204,A204))</f>
        <v/>
      </c>
      <c r="G204" s="77" t="str">
        <f aca="false">IF(A204="","",A204&amp;"|"&amp;F204)</f>
        <v/>
      </c>
      <c r="H204" s="77" t="str">
        <f aca="false">IF(A204="","",SUMIFS('Release Log'!$D$6:$D$4005,'Release Log'!$B$6:$B$4005,A204,'Release Log'!$C$6:$C$4005,C204))</f>
        <v/>
      </c>
      <c r="I204" s="77" t="str">
        <f aca="false">IF(OR(A204="",N(E204)=0),"",INT(H204/E204))</f>
        <v/>
      </c>
      <c r="J204" s="77" t="str">
        <f aca="false">IF(A204="","",A204&amp;"|"&amp;C204)</f>
        <v/>
      </c>
    </row>
    <row r="205" customFormat="false" ht="15" hidden="false" customHeight="false" outlineLevel="0" collapsed="false">
      <c r="A205" s="71"/>
      <c r="B205" s="71"/>
      <c r="C205" s="71"/>
      <c r="D205" s="71"/>
      <c r="E205" s="72"/>
      <c r="F205" s="77" t="str">
        <f aca="false">IF(A205="","",COUNTIF($A$6:A205,A205))</f>
        <v/>
      </c>
      <c r="G205" s="77" t="str">
        <f aca="false">IF(A205="","",A205&amp;"|"&amp;F205)</f>
        <v/>
      </c>
      <c r="H205" s="77" t="str">
        <f aca="false">IF(A205="","",SUMIFS('Release Log'!$D$6:$D$4005,'Release Log'!$B$6:$B$4005,A205,'Release Log'!$C$6:$C$4005,C205))</f>
        <v/>
      </c>
      <c r="I205" s="77" t="str">
        <f aca="false">IF(OR(A205="",N(E205)=0),"",INT(H205/E205))</f>
        <v/>
      </c>
      <c r="J205" s="77" t="str">
        <f aca="false">IF(A205="","",A205&amp;"|"&amp;C205)</f>
        <v/>
      </c>
    </row>
    <row r="206" customFormat="false" ht="15" hidden="false" customHeight="false" outlineLevel="0" collapsed="false">
      <c r="A206" s="71"/>
      <c r="B206" s="71"/>
      <c r="C206" s="71"/>
      <c r="D206" s="71"/>
      <c r="E206" s="72"/>
      <c r="F206" s="77" t="str">
        <f aca="false">IF(A206="","",COUNTIF($A$6:A206,A206))</f>
        <v/>
      </c>
      <c r="G206" s="77" t="str">
        <f aca="false">IF(A206="","",A206&amp;"|"&amp;F206)</f>
        <v/>
      </c>
      <c r="H206" s="77" t="str">
        <f aca="false">IF(A206="","",SUMIFS('Release Log'!$D$6:$D$4005,'Release Log'!$B$6:$B$4005,A206,'Release Log'!$C$6:$C$4005,C206))</f>
        <v/>
      </c>
      <c r="I206" s="77" t="str">
        <f aca="false">IF(OR(A206="",N(E206)=0),"",INT(H206/E206))</f>
        <v/>
      </c>
      <c r="J206" s="77" t="str">
        <f aca="false">IF(A206="","",A206&amp;"|"&amp;C206)</f>
        <v/>
      </c>
    </row>
    <row r="207" customFormat="false" ht="15" hidden="false" customHeight="false" outlineLevel="0" collapsed="false">
      <c r="A207" s="71"/>
      <c r="B207" s="71"/>
      <c r="C207" s="71"/>
      <c r="D207" s="71"/>
      <c r="E207" s="72"/>
      <c r="F207" s="77" t="str">
        <f aca="false">IF(A207="","",COUNTIF($A$6:A207,A207))</f>
        <v/>
      </c>
      <c r="G207" s="77" t="str">
        <f aca="false">IF(A207="","",A207&amp;"|"&amp;F207)</f>
        <v/>
      </c>
      <c r="H207" s="77" t="str">
        <f aca="false">IF(A207="","",SUMIFS('Release Log'!$D$6:$D$4005,'Release Log'!$B$6:$B$4005,A207,'Release Log'!$C$6:$C$4005,C207))</f>
        <v/>
      </c>
      <c r="I207" s="77" t="str">
        <f aca="false">IF(OR(A207="",N(E207)=0),"",INT(H207/E207))</f>
        <v/>
      </c>
      <c r="J207" s="77" t="str">
        <f aca="false">IF(A207="","",A207&amp;"|"&amp;C207)</f>
        <v/>
      </c>
    </row>
    <row r="208" customFormat="false" ht="15" hidden="false" customHeight="false" outlineLevel="0" collapsed="false">
      <c r="A208" s="71"/>
      <c r="B208" s="71"/>
      <c r="C208" s="71"/>
      <c r="D208" s="71"/>
      <c r="E208" s="72"/>
      <c r="F208" s="77" t="str">
        <f aca="false">IF(A208="","",COUNTIF($A$6:A208,A208))</f>
        <v/>
      </c>
      <c r="G208" s="77" t="str">
        <f aca="false">IF(A208="","",A208&amp;"|"&amp;F208)</f>
        <v/>
      </c>
      <c r="H208" s="77" t="str">
        <f aca="false">IF(A208="","",SUMIFS('Release Log'!$D$6:$D$4005,'Release Log'!$B$6:$B$4005,A208,'Release Log'!$C$6:$C$4005,C208))</f>
        <v/>
      </c>
      <c r="I208" s="77" t="str">
        <f aca="false">IF(OR(A208="",N(E208)=0),"",INT(H208/E208))</f>
        <v/>
      </c>
      <c r="J208" s="77" t="str">
        <f aca="false">IF(A208="","",A208&amp;"|"&amp;C208)</f>
        <v/>
      </c>
    </row>
    <row r="209" customFormat="false" ht="15" hidden="false" customHeight="false" outlineLevel="0" collapsed="false">
      <c r="A209" s="71"/>
      <c r="B209" s="71"/>
      <c r="C209" s="71"/>
      <c r="D209" s="71"/>
      <c r="E209" s="72"/>
      <c r="F209" s="77" t="str">
        <f aca="false">IF(A209="","",COUNTIF($A$6:A209,A209))</f>
        <v/>
      </c>
      <c r="G209" s="77" t="str">
        <f aca="false">IF(A209="","",A209&amp;"|"&amp;F209)</f>
        <v/>
      </c>
      <c r="H209" s="77" t="str">
        <f aca="false">IF(A209="","",SUMIFS('Release Log'!$D$6:$D$4005,'Release Log'!$B$6:$B$4005,A209,'Release Log'!$C$6:$C$4005,C209))</f>
        <v/>
      </c>
      <c r="I209" s="77" t="str">
        <f aca="false">IF(OR(A209="",N(E209)=0),"",INT(H209/E209))</f>
        <v/>
      </c>
      <c r="J209" s="77" t="str">
        <f aca="false">IF(A209="","",A209&amp;"|"&amp;C209)</f>
        <v/>
      </c>
    </row>
    <row r="210" customFormat="false" ht="15" hidden="false" customHeight="false" outlineLevel="0" collapsed="false">
      <c r="A210" s="71"/>
      <c r="B210" s="71"/>
      <c r="C210" s="71"/>
      <c r="D210" s="71"/>
      <c r="E210" s="72"/>
      <c r="F210" s="77" t="str">
        <f aca="false">IF(A210="","",COUNTIF($A$6:A210,A210))</f>
        <v/>
      </c>
      <c r="G210" s="77" t="str">
        <f aca="false">IF(A210="","",A210&amp;"|"&amp;F210)</f>
        <v/>
      </c>
      <c r="H210" s="77" t="str">
        <f aca="false">IF(A210="","",SUMIFS('Release Log'!$D$6:$D$4005,'Release Log'!$B$6:$B$4005,A210,'Release Log'!$C$6:$C$4005,C210))</f>
        <v/>
      </c>
      <c r="I210" s="77" t="str">
        <f aca="false">IF(OR(A210="",N(E210)=0),"",INT(H210/E210))</f>
        <v/>
      </c>
      <c r="J210" s="77" t="str">
        <f aca="false">IF(A210="","",A210&amp;"|"&amp;C210)</f>
        <v/>
      </c>
    </row>
    <row r="211" customFormat="false" ht="15" hidden="false" customHeight="false" outlineLevel="0" collapsed="false">
      <c r="A211" s="71"/>
      <c r="B211" s="71"/>
      <c r="C211" s="71"/>
      <c r="D211" s="71"/>
      <c r="E211" s="72"/>
      <c r="F211" s="77" t="str">
        <f aca="false">IF(A211="","",COUNTIF($A$6:A211,A211))</f>
        <v/>
      </c>
      <c r="G211" s="77" t="str">
        <f aca="false">IF(A211="","",A211&amp;"|"&amp;F211)</f>
        <v/>
      </c>
      <c r="H211" s="77" t="str">
        <f aca="false">IF(A211="","",SUMIFS('Release Log'!$D$6:$D$4005,'Release Log'!$B$6:$B$4005,A211,'Release Log'!$C$6:$C$4005,C211))</f>
        <v/>
      </c>
      <c r="I211" s="77" t="str">
        <f aca="false">IF(OR(A211="",N(E211)=0),"",INT(H211/E211))</f>
        <v/>
      </c>
      <c r="J211" s="77" t="str">
        <f aca="false">IF(A211="","",A211&amp;"|"&amp;C211)</f>
        <v/>
      </c>
    </row>
    <row r="212" customFormat="false" ht="15" hidden="false" customHeight="false" outlineLevel="0" collapsed="false">
      <c r="A212" s="71"/>
      <c r="B212" s="71"/>
      <c r="C212" s="71"/>
      <c r="D212" s="71"/>
      <c r="E212" s="72"/>
      <c r="F212" s="77" t="str">
        <f aca="false">IF(A212="","",COUNTIF($A$6:A212,A212))</f>
        <v/>
      </c>
      <c r="G212" s="77" t="str">
        <f aca="false">IF(A212="","",A212&amp;"|"&amp;F212)</f>
        <v/>
      </c>
      <c r="H212" s="77" t="str">
        <f aca="false">IF(A212="","",SUMIFS('Release Log'!$D$6:$D$4005,'Release Log'!$B$6:$B$4005,A212,'Release Log'!$C$6:$C$4005,C212))</f>
        <v/>
      </c>
      <c r="I212" s="77" t="str">
        <f aca="false">IF(OR(A212="",N(E212)=0),"",INT(H212/E212))</f>
        <v/>
      </c>
      <c r="J212" s="77" t="str">
        <f aca="false">IF(A212="","",A212&amp;"|"&amp;C212)</f>
        <v/>
      </c>
    </row>
    <row r="213" customFormat="false" ht="15" hidden="false" customHeight="false" outlineLevel="0" collapsed="false">
      <c r="A213" s="71"/>
      <c r="B213" s="71"/>
      <c r="C213" s="71"/>
      <c r="D213" s="71"/>
      <c r="E213" s="72"/>
      <c r="F213" s="77" t="str">
        <f aca="false">IF(A213="","",COUNTIF($A$6:A213,A213))</f>
        <v/>
      </c>
      <c r="G213" s="77" t="str">
        <f aca="false">IF(A213="","",A213&amp;"|"&amp;F213)</f>
        <v/>
      </c>
      <c r="H213" s="77" t="str">
        <f aca="false">IF(A213="","",SUMIFS('Release Log'!$D$6:$D$4005,'Release Log'!$B$6:$B$4005,A213,'Release Log'!$C$6:$C$4005,C213))</f>
        <v/>
      </c>
      <c r="I213" s="77" t="str">
        <f aca="false">IF(OR(A213="",N(E213)=0),"",INT(H213/E213))</f>
        <v/>
      </c>
      <c r="J213" s="77" t="str">
        <f aca="false">IF(A213="","",A213&amp;"|"&amp;C213)</f>
        <v/>
      </c>
    </row>
    <row r="214" customFormat="false" ht="15" hidden="false" customHeight="false" outlineLevel="0" collapsed="false">
      <c r="A214" s="71"/>
      <c r="B214" s="71"/>
      <c r="C214" s="71"/>
      <c r="D214" s="71"/>
      <c r="E214" s="72"/>
      <c r="F214" s="77" t="str">
        <f aca="false">IF(A214="","",COUNTIF($A$6:A214,A214))</f>
        <v/>
      </c>
      <c r="G214" s="77" t="str">
        <f aca="false">IF(A214="","",A214&amp;"|"&amp;F214)</f>
        <v/>
      </c>
      <c r="H214" s="77" t="str">
        <f aca="false">IF(A214="","",SUMIFS('Release Log'!$D$6:$D$4005,'Release Log'!$B$6:$B$4005,A214,'Release Log'!$C$6:$C$4005,C214))</f>
        <v/>
      </c>
      <c r="I214" s="77" t="str">
        <f aca="false">IF(OR(A214="",N(E214)=0),"",INT(H214/E214))</f>
        <v/>
      </c>
      <c r="J214" s="77" t="str">
        <f aca="false">IF(A214="","",A214&amp;"|"&amp;C214)</f>
        <v/>
      </c>
    </row>
    <row r="215" customFormat="false" ht="15" hidden="false" customHeight="false" outlineLevel="0" collapsed="false">
      <c r="A215" s="71"/>
      <c r="B215" s="71"/>
      <c r="C215" s="71"/>
      <c r="D215" s="71"/>
      <c r="E215" s="72"/>
      <c r="F215" s="77" t="str">
        <f aca="false">IF(A215="","",COUNTIF($A$6:A215,A215))</f>
        <v/>
      </c>
      <c r="G215" s="77" t="str">
        <f aca="false">IF(A215="","",A215&amp;"|"&amp;F215)</f>
        <v/>
      </c>
      <c r="H215" s="77" t="str">
        <f aca="false">IF(A215="","",SUMIFS('Release Log'!$D$6:$D$4005,'Release Log'!$B$6:$B$4005,A215,'Release Log'!$C$6:$C$4005,C215))</f>
        <v/>
      </c>
      <c r="I215" s="77" t="str">
        <f aca="false">IF(OR(A215="",N(E215)=0),"",INT(H215/E215))</f>
        <v/>
      </c>
      <c r="J215" s="77" t="str">
        <f aca="false">IF(A215="","",A215&amp;"|"&amp;C215)</f>
        <v/>
      </c>
    </row>
    <row r="216" customFormat="false" ht="15" hidden="false" customHeight="false" outlineLevel="0" collapsed="false">
      <c r="A216" s="71"/>
      <c r="B216" s="71"/>
      <c r="C216" s="71"/>
      <c r="D216" s="71"/>
      <c r="E216" s="72"/>
      <c r="F216" s="77" t="str">
        <f aca="false">IF(A216="","",COUNTIF($A$6:A216,A216))</f>
        <v/>
      </c>
      <c r="G216" s="77" t="str">
        <f aca="false">IF(A216="","",A216&amp;"|"&amp;F216)</f>
        <v/>
      </c>
      <c r="H216" s="77" t="str">
        <f aca="false">IF(A216="","",SUMIFS('Release Log'!$D$6:$D$4005,'Release Log'!$B$6:$B$4005,A216,'Release Log'!$C$6:$C$4005,C216))</f>
        <v/>
      </c>
      <c r="I216" s="77" t="str">
        <f aca="false">IF(OR(A216="",N(E216)=0),"",INT(H216/E216))</f>
        <v/>
      </c>
      <c r="J216" s="77" t="str">
        <f aca="false">IF(A216="","",A216&amp;"|"&amp;C216)</f>
        <v/>
      </c>
    </row>
    <row r="217" customFormat="false" ht="15" hidden="false" customHeight="false" outlineLevel="0" collapsed="false">
      <c r="A217" s="71"/>
      <c r="B217" s="71"/>
      <c r="C217" s="71"/>
      <c r="D217" s="71"/>
      <c r="E217" s="72"/>
      <c r="F217" s="77" t="str">
        <f aca="false">IF(A217="","",COUNTIF($A$6:A217,A217))</f>
        <v/>
      </c>
      <c r="G217" s="77" t="str">
        <f aca="false">IF(A217="","",A217&amp;"|"&amp;F217)</f>
        <v/>
      </c>
      <c r="H217" s="77" t="str">
        <f aca="false">IF(A217="","",SUMIFS('Release Log'!$D$6:$D$4005,'Release Log'!$B$6:$B$4005,A217,'Release Log'!$C$6:$C$4005,C217))</f>
        <v/>
      </c>
      <c r="I217" s="77" t="str">
        <f aca="false">IF(OR(A217="",N(E217)=0),"",INT(H217/E217))</f>
        <v/>
      </c>
      <c r="J217" s="77" t="str">
        <f aca="false">IF(A217="","",A217&amp;"|"&amp;C217)</f>
        <v/>
      </c>
    </row>
    <row r="218" customFormat="false" ht="15" hidden="false" customHeight="false" outlineLevel="0" collapsed="false">
      <c r="A218" s="71"/>
      <c r="B218" s="71"/>
      <c r="C218" s="71"/>
      <c r="D218" s="71"/>
      <c r="E218" s="72"/>
      <c r="F218" s="77" t="str">
        <f aca="false">IF(A218="","",COUNTIF($A$6:A218,A218))</f>
        <v/>
      </c>
      <c r="G218" s="77" t="str">
        <f aca="false">IF(A218="","",A218&amp;"|"&amp;F218)</f>
        <v/>
      </c>
      <c r="H218" s="77" t="str">
        <f aca="false">IF(A218="","",SUMIFS('Release Log'!$D$6:$D$4005,'Release Log'!$B$6:$B$4005,A218,'Release Log'!$C$6:$C$4005,C218))</f>
        <v/>
      </c>
      <c r="I218" s="77" t="str">
        <f aca="false">IF(OR(A218="",N(E218)=0),"",INT(H218/E218))</f>
        <v/>
      </c>
      <c r="J218" s="77" t="str">
        <f aca="false">IF(A218="","",A218&amp;"|"&amp;C218)</f>
        <v/>
      </c>
    </row>
    <row r="219" customFormat="false" ht="15" hidden="false" customHeight="false" outlineLevel="0" collapsed="false">
      <c r="A219" s="71"/>
      <c r="B219" s="71"/>
      <c r="C219" s="71"/>
      <c r="D219" s="71"/>
      <c r="E219" s="72"/>
      <c r="F219" s="77" t="str">
        <f aca="false">IF(A219="","",COUNTIF($A$6:A219,A219))</f>
        <v/>
      </c>
      <c r="G219" s="77" t="str">
        <f aca="false">IF(A219="","",A219&amp;"|"&amp;F219)</f>
        <v/>
      </c>
      <c r="H219" s="77" t="str">
        <f aca="false">IF(A219="","",SUMIFS('Release Log'!$D$6:$D$4005,'Release Log'!$B$6:$B$4005,A219,'Release Log'!$C$6:$C$4005,C219))</f>
        <v/>
      </c>
      <c r="I219" s="77" t="str">
        <f aca="false">IF(OR(A219="",N(E219)=0),"",INT(H219/E219))</f>
        <v/>
      </c>
      <c r="J219" s="77" t="str">
        <f aca="false">IF(A219="","",A219&amp;"|"&amp;C219)</f>
        <v/>
      </c>
    </row>
    <row r="220" customFormat="false" ht="15" hidden="false" customHeight="false" outlineLevel="0" collapsed="false">
      <c r="A220" s="71"/>
      <c r="B220" s="71"/>
      <c r="C220" s="71"/>
      <c r="D220" s="71"/>
      <c r="E220" s="72"/>
      <c r="F220" s="77" t="str">
        <f aca="false">IF(A220="","",COUNTIF($A$6:A220,A220))</f>
        <v/>
      </c>
      <c r="G220" s="77" t="str">
        <f aca="false">IF(A220="","",A220&amp;"|"&amp;F220)</f>
        <v/>
      </c>
      <c r="H220" s="77" t="str">
        <f aca="false">IF(A220="","",SUMIFS('Release Log'!$D$6:$D$4005,'Release Log'!$B$6:$B$4005,A220,'Release Log'!$C$6:$C$4005,C220))</f>
        <v/>
      </c>
      <c r="I220" s="77" t="str">
        <f aca="false">IF(OR(A220="",N(E220)=0),"",INT(H220/E220))</f>
        <v/>
      </c>
      <c r="J220" s="77" t="str">
        <f aca="false">IF(A220="","",A220&amp;"|"&amp;C220)</f>
        <v/>
      </c>
    </row>
    <row r="221" customFormat="false" ht="15" hidden="false" customHeight="false" outlineLevel="0" collapsed="false">
      <c r="A221" s="71"/>
      <c r="B221" s="71"/>
      <c r="C221" s="71"/>
      <c r="D221" s="71"/>
      <c r="E221" s="72"/>
      <c r="F221" s="77" t="str">
        <f aca="false">IF(A221="","",COUNTIF($A$6:A221,A221))</f>
        <v/>
      </c>
      <c r="G221" s="77" t="str">
        <f aca="false">IF(A221="","",A221&amp;"|"&amp;F221)</f>
        <v/>
      </c>
      <c r="H221" s="77" t="str">
        <f aca="false">IF(A221="","",SUMIFS('Release Log'!$D$6:$D$4005,'Release Log'!$B$6:$B$4005,A221,'Release Log'!$C$6:$C$4005,C221))</f>
        <v/>
      </c>
      <c r="I221" s="77" t="str">
        <f aca="false">IF(OR(A221="",N(E221)=0),"",INT(H221/E221))</f>
        <v/>
      </c>
      <c r="J221" s="77" t="str">
        <f aca="false">IF(A221="","",A221&amp;"|"&amp;C221)</f>
        <v/>
      </c>
    </row>
    <row r="222" customFormat="false" ht="15" hidden="false" customHeight="false" outlineLevel="0" collapsed="false">
      <c r="A222" s="71"/>
      <c r="B222" s="71"/>
      <c r="C222" s="71"/>
      <c r="D222" s="71"/>
      <c r="E222" s="72"/>
      <c r="F222" s="77" t="str">
        <f aca="false">IF(A222="","",COUNTIF($A$6:A222,A222))</f>
        <v/>
      </c>
      <c r="G222" s="77" t="str">
        <f aca="false">IF(A222="","",A222&amp;"|"&amp;F222)</f>
        <v/>
      </c>
      <c r="H222" s="77" t="str">
        <f aca="false">IF(A222="","",SUMIFS('Release Log'!$D$6:$D$4005,'Release Log'!$B$6:$B$4005,A222,'Release Log'!$C$6:$C$4005,C222))</f>
        <v/>
      </c>
      <c r="I222" s="77" t="str">
        <f aca="false">IF(OR(A222="",N(E222)=0),"",INT(H222/E222))</f>
        <v/>
      </c>
      <c r="J222" s="77" t="str">
        <f aca="false">IF(A222="","",A222&amp;"|"&amp;C222)</f>
        <v/>
      </c>
    </row>
    <row r="223" customFormat="false" ht="15" hidden="false" customHeight="false" outlineLevel="0" collapsed="false">
      <c r="A223" s="71"/>
      <c r="B223" s="71"/>
      <c r="C223" s="71"/>
      <c r="D223" s="71"/>
      <c r="E223" s="72"/>
      <c r="F223" s="77" t="str">
        <f aca="false">IF(A223="","",COUNTIF($A$6:A223,A223))</f>
        <v/>
      </c>
      <c r="G223" s="77" t="str">
        <f aca="false">IF(A223="","",A223&amp;"|"&amp;F223)</f>
        <v/>
      </c>
      <c r="H223" s="77" t="str">
        <f aca="false">IF(A223="","",SUMIFS('Release Log'!$D$6:$D$4005,'Release Log'!$B$6:$B$4005,A223,'Release Log'!$C$6:$C$4005,C223))</f>
        <v/>
      </c>
      <c r="I223" s="77" t="str">
        <f aca="false">IF(OR(A223="",N(E223)=0),"",INT(H223/E223))</f>
        <v/>
      </c>
      <c r="J223" s="77" t="str">
        <f aca="false">IF(A223="","",A223&amp;"|"&amp;C223)</f>
        <v/>
      </c>
    </row>
    <row r="224" customFormat="false" ht="15" hidden="false" customHeight="false" outlineLevel="0" collapsed="false">
      <c r="A224" s="71"/>
      <c r="B224" s="71"/>
      <c r="C224" s="71"/>
      <c r="D224" s="71"/>
      <c r="E224" s="72"/>
      <c r="F224" s="77" t="str">
        <f aca="false">IF(A224="","",COUNTIF($A$6:A224,A224))</f>
        <v/>
      </c>
      <c r="G224" s="77" t="str">
        <f aca="false">IF(A224="","",A224&amp;"|"&amp;F224)</f>
        <v/>
      </c>
      <c r="H224" s="77" t="str">
        <f aca="false">IF(A224="","",SUMIFS('Release Log'!$D$6:$D$4005,'Release Log'!$B$6:$B$4005,A224,'Release Log'!$C$6:$C$4005,C224))</f>
        <v/>
      </c>
      <c r="I224" s="77" t="str">
        <f aca="false">IF(OR(A224="",N(E224)=0),"",INT(H224/E224))</f>
        <v/>
      </c>
      <c r="J224" s="77" t="str">
        <f aca="false">IF(A224="","",A224&amp;"|"&amp;C224)</f>
        <v/>
      </c>
    </row>
    <row r="225" customFormat="false" ht="15" hidden="false" customHeight="false" outlineLevel="0" collapsed="false">
      <c r="A225" s="71"/>
      <c r="B225" s="71"/>
      <c r="C225" s="71"/>
      <c r="D225" s="71"/>
      <c r="E225" s="72"/>
      <c r="F225" s="77" t="str">
        <f aca="false">IF(A225="","",COUNTIF($A$6:A225,A225))</f>
        <v/>
      </c>
      <c r="G225" s="77" t="str">
        <f aca="false">IF(A225="","",A225&amp;"|"&amp;F225)</f>
        <v/>
      </c>
      <c r="H225" s="77" t="str">
        <f aca="false">IF(A225="","",SUMIFS('Release Log'!$D$6:$D$4005,'Release Log'!$B$6:$B$4005,A225,'Release Log'!$C$6:$C$4005,C225))</f>
        <v/>
      </c>
      <c r="I225" s="77" t="str">
        <f aca="false">IF(OR(A225="",N(E225)=0),"",INT(H225/E225))</f>
        <v/>
      </c>
      <c r="J225" s="77" t="str">
        <f aca="false">IF(A225="","",A225&amp;"|"&amp;C225)</f>
        <v/>
      </c>
    </row>
    <row r="226" customFormat="false" ht="15" hidden="false" customHeight="false" outlineLevel="0" collapsed="false">
      <c r="A226" s="71"/>
      <c r="B226" s="71"/>
      <c r="C226" s="71"/>
      <c r="D226" s="71"/>
      <c r="E226" s="72"/>
      <c r="F226" s="77" t="str">
        <f aca="false">IF(A226="","",COUNTIF($A$6:A226,A226))</f>
        <v/>
      </c>
      <c r="G226" s="77" t="str">
        <f aca="false">IF(A226="","",A226&amp;"|"&amp;F226)</f>
        <v/>
      </c>
      <c r="H226" s="77" t="str">
        <f aca="false">IF(A226="","",SUMIFS('Release Log'!$D$6:$D$4005,'Release Log'!$B$6:$B$4005,A226,'Release Log'!$C$6:$C$4005,C226))</f>
        <v/>
      </c>
      <c r="I226" s="77" t="str">
        <f aca="false">IF(OR(A226="",N(E226)=0),"",INT(H226/E226))</f>
        <v/>
      </c>
      <c r="J226" s="77" t="str">
        <f aca="false">IF(A226="","",A226&amp;"|"&amp;C226)</f>
        <v/>
      </c>
    </row>
    <row r="227" customFormat="false" ht="15" hidden="false" customHeight="false" outlineLevel="0" collapsed="false">
      <c r="A227" s="71"/>
      <c r="B227" s="71"/>
      <c r="C227" s="71"/>
      <c r="D227" s="71"/>
      <c r="E227" s="72"/>
      <c r="F227" s="77" t="str">
        <f aca="false">IF(A227="","",COUNTIF($A$6:A227,A227))</f>
        <v/>
      </c>
      <c r="G227" s="77" t="str">
        <f aca="false">IF(A227="","",A227&amp;"|"&amp;F227)</f>
        <v/>
      </c>
      <c r="H227" s="77" t="str">
        <f aca="false">IF(A227="","",SUMIFS('Release Log'!$D$6:$D$4005,'Release Log'!$B$6:$B$4005,A227,'Release Log'!$C$6:$C$4005,C227))</f>
        <v/>
      </c>
      <c r="I227" s="77" t="str">
        <f aca="false">IF(OR(A227="",N(E227)=0),"",INT(H227/E227))</f>
        <v/>
      </c>
      <c r="J227" s="77" t="str">
        <f aca="false">IF(A227="","",A227&amp;"|"&amp;C227)</f>
        <v/>
      </c>
    </row>
    <row r="228" customFormat="false" ht="15" hidden="false" customHeight="false" outlineLevel="0" collapsed="false">
      <c r="A228" s="71"/>
      <c r="B228" s="71"/>
      <c r="C228" s="71"/>
      <c r="D228" s="71"/>
      <c r="E228" s="72"/>
      <c r="F228" s="77" t="str">
        <f aca="false">IF(A228="","",COUNTIF($A$6:A228,A228))</f>
        <v/>
      </c>
      <c r="G228" s="77" t="str">
        <f aca="false">IF(A228="","",A228&amp;"|"&amp;F228)</f>
        <v/>
      </c>
      <c r="H228" s="77" t="str">
        <f aca="false">IF(A228="","",SUMIFS('Release Log'!$D$6:$D$4005,'Release Log'!$B$6:$B$4005,A228,'Release Log'!$C$6:$C$4005,C228))</f>
        <v/>
      </c>
      <c r="I228" s="77" t="str">
        <f aca="false">IF(OR(A228="",N(E228)=0),"",INT(H228/E228))</f>
        <v/>
      </c>
      <c r="J228" s="77" t="str">
        <f aca="false">IF(A228="","",A228&amp;"|"&amp;C228)</f>
        <v/>
      </c>
    </row>
    <row r="229" customFormat="false" ht="15" hidden="false" customHeight="false" outlineLevel="0" collapsed="false">
      <c r="A229" s="71"/>
      <c r="B229" s="71"/>
      <c r="C229" s="71"/>
      <c r="D229" s="71"/>
      <c r="E229" s="72"/>
      <c r="F229" s="77" t="str">
        <f aca="false">IF(A229="","",COUNTIF($A$6:A229,A229))</f>
        <v/>
      </c>
      <c r="G229" s="77" t="str">
        <f aca="false">IF(A229="","",A229&amp;"|"&amp;F229)</f>
        <v/>
      </c>
      <c r="H229" s="77" t="str">
        <f aca="false">IF(A229="","",SUMIFS('Release Log'!$D$6:$D$4005,'Release Log'!$B$6:$B$4005,A229,'Release Log'!$C$6:$C$4005,C229))</f>
        <v/>
      </c>
      <c r="I229" s="77" t="str">
        <f aca="false">IF(OR(A229="",N(E229)=0),"",INT(H229/E229))</f>
        <v/>
      </c>
      <c r="J229" s="77" t="str">
        <f aca="false">IF(A229="","",A229&amp;"|"&amp;C229)</f>
        <v/>
      </c>
    </row>
    <row r="230" customFormat="false" ht="15" hidden="false" customHeight="false" outlineLevel="0" collapsed="false">
      <c r="A230" s="71"/>
      <c r="B230" s="71"/>
      <c r="C230" s="71"/>
      <c r="D230" s="71"/>
      <c r="E230" s="72"/>
      <c r="F230" s="77" t="str">
        <f aca="false">IF(A230="","",COUNTIF($A$6:A230,A230))</f>
        <v/>
      </c>
      <c r="G230" s="77" t="str">
        <f aca="false">IF(A230="","",A230&amp;"|"&amp;F230)</f>
        <v/>
      </c>
      <c r="H230" s="77" t="str">
        <f aca="false">IF(A230="","",SUMIFS('Release Log'!$D$6:$D$4005,'Release Log'!$B$6:$B$4005,A230,'Release Log'!$C$6:$C$4005,C230))</f>
        <v/>
      </c>
      <c r="I230" s="77" t="str">
        <f aca="false">IF(OR(A230="",N(E230)=0),"",INT(H230/E230))</f>
        <v/>
      </c>
      <c r="J230" s="77" t="str">
        <f aca="false">IF(A230="","",A230&amp;"|"&amp;C230)</f>
        <v/>
      </c>
    </row>
    <row r="231" customFormat="false" ht="15" hidden="false" customHeight="false" outlineLevel="0" collapsed="false">
      <c r="A231" s="71"/>
      <c r="B231" s="71"/>
      <c r="C231" s="71"/>
      <c r="D231" s="71"/>
      <c r="E231" s="72"/>
      <c r="F231" s="77" t="str">
        <f aca="false">IF(A231="","",COUNTIF($A$6:A231,A231))</f>
        <v/>
      </c>
      <c r="G231" s="77" t="str">
        <f aca="false">IF(A231="","",A231&amp;"|"&amp;F231)</f>
        <v/>
      </c>
      <c r="H231" s="77" t="str">
        <f aca="false">IF(A231="","",SUMIFS('Release Log'!$D$6:$D$4005,'Release Log'!$B$6:$B$4005,A231,'Release Log'!$C$6:$C$4005,C231))</f>
        <v/>
      </c>
      <c r="I231" s="77" t="str">
        <f aca="false">IF(OR(A231="",N(E231)=0),"",INT(H231/E231))</f>
        <v/>
      </c>
      <c r="J231" s="77" t="str">
        <f aca="false">IF(A231="","",A231&amp;"|"&amp;C231)</f>
        <v/>
      </c>
    </row>
    <row r="232" customFormat="false" ht="15" hidden="false" customHeight="false" outlineLevel="0" collapsed="false">
      <c r="A232" s="71"/>
      <c r="B232" s="71"/>
      <c r="C232" s="71"/>
      <c r="D232" s="71"/>
      <c r="E232" s="72"/>
      <c r="F232" s="77" t="str">
        <f aca="false">IF(A232="","",COUNTIF($A$6:A232,A232))</f>
        <v/>
      </c>
      <c r="G232" s="77" t="str">
        <f aca="false">IF(A232="","",A232&amp;"|"&amp;F232)</f>
        <v/>
      </c>
      <c r="H232" s="77" t="str">
        <f aca="false">IF(A232="","",SUMIFS('Release Log'!$D$6:$D$4005,'Release Log'!$B$6:$B$4005,A232,'Release Log'!$C$6:$C$4005,C232))</f>
        <v/>
      </c>
      <c r="I232" s="77" t="str">
        <f aca="false">IF(OR(A232="",N(E232)=0),"",INT(H232/E232))</f>
        <v/>
      </c>
      <c r="J232" s="77" t="str">
        <f aca="false">IF(A232="","",A232&amp;"|"&amp;C232)</f>
        <v/>
      </c>
    </row>
    <row r="233" customFormat="false" ht="15" hidden="false" customHeight="false" outlineLevel="0" collapsed="false">
      <c r="A233" s="71"/>
      <c r="B233" s="71"/>
      <c r="C233" s="71"/>
      <c r="D233" s="71"/>
      <c r="E233" s="72"/>
      <c r="F233" s="77" t="str">
        <f aca="false">IF(A233="","",COUNTIF($A$6:A233,A233))</f>
        <v/>
      </c>
      <c r="G233" s="77" t="str">
        <f aca="false">IF(A233="","",A233&amp;"|"&amp;F233)</f>
        <v/>
      </c>
      <c r="H233" s="77" t="str">
        <f aca="false">IF(A233="","",SUMIFS('Release Log'!$D$6:$D$4005,'Release Log'!$B$6:$B$4005,A233,'Release Log'!$C$6:$C$4005,C233))</f>
        <v/>
      </c>
      <c r="I233" s="77" t="str">
        <f aca="false">IF(OR(A233="",N(E233)=0),"",INT(H233/E233))</f>
        <v/>
      </c>
      <c r="J233" s="77" t="str">
        <f aca="false">IF(A233="","",A233&amp;"|"&amp;C233)</f>
        <v/>
      </c>
    </row>
    <row r="234" customFormat="false" ht="15" hidden="false" customHeight="false" outlineLevel="0" collapsed="false">
      <c r="A234" s="71"/>
      <c r="B234" s="71"/>
      <c r="C234" s="71"/>
      <c r="D234" s="71"/>
      <c r="E234" s="72"/>
      <c r="F234" s="77" t="str">
        <f aca="false">IF(A234="","",COUNTIF($A$6:A234,A234))</f>
        <v/>
      </c>
      <c r="G234" s="77" t="str">
        <f aca="false">IF(A234="","",A234&amp;"|"&amp;F234)</f>
        <v/>
      </c>
      <c r="H234" s="77" t="str">
        <f aca="false">IF(A234="","",SUMIFS('Release Log'!$D$6:$D$4005,'Release Log'!$B$6:$B$4005,A234,'Release Log'!$C$6:$C$4005,C234))</f>
        <v/>
      </c>
      <c r="I234" s="77" t="str">
        <f aca="false">IF(OR(A234="",N(E234)=0),"",INT(H234/E234))</f>
        <v/>
      </c>
      <c r="J234" s="77" t="str">
        <f aca="false">IF(A234="","",A234&amp;"|"&amp;C234)</f>
        <v/>
      </c>
    </row>
    <row r="235" customFormat="false" ht="15" hidden="false" customHeight="false" outlineLevel="0" collapsed="false">
      <c r="A235" s="71"/>
      <c r="B235" s="71"/>
      <c r="C235" s="71"/>
      <c r="D235" s="71"/>
      <c r="E235" s="72"/>
      <c r="F235" s="77" t="str">
        <f aca="false">IF(A235="","",COUNTIF($A$6:A235,A235))</f>
        <v/>
      </c>
      <c r="G235" s="77" t="str">
        <f aca="false">IF(A235="","",A235&amp;"|"&amp;F235)</f>
        <v/>
      </c>
      <c r="H235" s="77" t="str">
        <f aca="false">IF(A235="","",SUMIFS('Release Log'!$D$6:$D$4005,'Release Log'!$B$6:$B$4005,A235,'Release Log'!$C$6:$C$4005,C235))</f>
        <v/>
      </c>
      <c r="I235" s="77" t="str">
        <f aca="false">IF(OR(A235="",N(E235)=0),"",INT(H235/E235))</f>
        <v/>
      </c>
      <c r="J235" s="77" t="str">
        <f aca="false">IF(A235="","",A235&amp;"|"&amp;C235)</f>
        <v/>
      </c>
    </row>
    <row r="236" customFormat="false" ht="15" hidden="false" customHeight="false" outlineLevel="0" collapsed="false">
      <c r="A236" s="71"/>
      <c r="B236" s="71"/>
      <c r="C236" s="71"/>
      <c r="D236" s="71"/>
      <c r="E236" s="72"/>
      <c r="F236" s="77" t="str">
        <f aca="false">IF(A236="","",COUNTIF($A$6:A236,A236))</f>
        <v/>
      </c>
      <c r="G236" s="77" t="str">
        <f aca="false">IF(A236="","",A236&amp;"|"&amp;F236)</f>
        <v/>
      </c>
      <c r="H236" s="77" t="str">
        <f aca="false">IF(A236="","",SUMIFS('Release Log'!$D$6:$D$4005,'Release Log'!$B$6:$B$4005,A236,'Release Log'!$C$6:$C$4005,C236))</f>
        <v/>
      </c>
      <c r="I236" s="77" t="str">
        <f aca="false">IF(OR(A236="",N(E236)=0),"",INT(H236/E236))</f>
        <v/>
      </c>
      <c r="J236" s="77" t="str">
        <f aca="false">IF(A236="","",A236&amp;"|"&amp;C236)</f>
        <v/>
      </c>
    </row>
    <row r="237" customFormat="false" ht="15" hidden="false" customHeight="false" outlineLevel="0" collapsed="false">
      <c r="A237" s="71"/>
      <c r="B237" s="71"/>
      <c r="C237" s="71"/>
      <c r="D237" s="71"/>
      <c r="E237" s="72"/>
      <c r="F237" s="77" t="str">
        <f aca="false">IF(A237="","",COUNTIF($A$6:A237,A237))</f>
        <v/>
      </c>
      <c r="G237" s="77" t="str">
        <f aca="false">IF(A237="","",A237&amp;"|"&amp;F237)</f>
        <v/>
      </c>
      <c r="H237" s="77" t="str">
        <f aca="false">IF(A237="","",SUMIFS('Release Log'!$D$6:$D$4005,'Release Log'!$B$6:$B$4005,A237,'Release Log'!$C$6:$C$4005,C237))</f>
        <v/>
      </c>
      <c r="I237" s="77" t="str">
        <f aca="false">IF(OR(A237="",N(E237)=0),"",INT(H237/E237))</f>
        <v/>
      </c>
      <c r="J237" s="77" t="str">
        <f aca="false">IF(A237="","",A237&amp;"|"&amp;C237)</f>
        <v/>
      </c>
    </row>
    <row r="238" customFormat="false" ht="15" hidden="false" customHeight="false" outlineLevel="0" collapsed="false">
      <c r="A238" s="71"/>
      <c r="B238" s="71"/>
      <c r="C238" s="71"/>
      <c r="D238" s="71"/>
      <c r="E238" s="72"/>
      <c r="F238" s="77" t="str">
        <f aca="false">IF(A238="","",COUNTIF($A$6:A238,A238))</f>
        <v/>
      </c>
      <c r="G238" s="77" t="str">
        <f aca="false">IF(A238="","",A238&amp;"|"&amp;F238)</f>
        <v/>
      </c>
      <c r="H238" s="77" t="str">
        <f aca="false">IF(A238="","",SUMIFS('Release Log'!$D$6:$D$4005,'Release Log'!$B$6:$B$4005,A238,'Release Log'!$C$6:$C$4005,C238))</f>
        <v/>
      </c>
      <c r="I238" s="77" t="str">
        <f aca="false">IF(OR(A238="",N(E238)=0),"",INT(H238/E238))</f>
        <v/>
      </c>
      <c r="J238" s="77" t="str">
        <f aca="false">IF(A238="","",A238&amp;"|"&amp;C238)</f>
        <v/>
      </c>
    </row>
    <row r="239" customFormat="false" ht="15" hidden="false" customHeight="false" outlineLevel="0" collapsed="false">
      <c r="A239" s="71"/>
      <c r="B239" s="71"/>
      <c r="C239" s="71"/>
      <c r="D239" s="71"/>
      <c r="E239" s="72"/>
      <c r="F239" s="77" t="str">
        <f aca="false">IF(A239="","",COUNTIF($A$6:A239,A239))</f>
        <v/>
      </c>
      <c r="G239" s="77" t="str">
        <f aca="false">IF(A239="","",A239&amp;"|"&amp;F239)</f>
        <v/>
      </c>
      <c r="H239" s="77" t="str">
        <f aca="false">IF(A239="","",SUMIFS('Release Log'!$D$6:$D$4005,'Release Log'!$B$6:$B$4005,A239,'Release Log'!$C$6:$C$4005,C239))</f>
        <v/>
      </c>
      <c r="I239" s="77" t="str">
        <f aca="false">IF(OR(A239="",N(E239)=0),"",INT(H239/E239))</f>
        <v/>
      </c>
      <c r="J239" s="77" t="str">
        <f aca="false">IF(A239="","",A239&amp;"|"&amp;C239)</f>
        <v/>
      </c>
    </row>
    <row r="240" customFormat="false" ht="15" hidden="false" customHeight="false" outlineLevel="0" collapsed="false">
      <c r="A240" s="71"/>
      <c r="B240" s="71"/>
      <c r="C240" s="71"/>
      <c r="D240" s="71"/>
      <c r="E240" s="72"/>
      <c r="F240" s="77" t="str">
        <f aca="false">IF(A240="","",COUNTIF($A$6:A240,A240))</f>
        <v/>
      </c>
      <c r="G240" s="77" t="str">
        <f aca="false">IF(A240="","",A240&amp;"|"&amp;F240)</f>
        <v/>
      </c>
      <c r="H240" s="77" t="str">
        <f aca="false">IF(A240="","",SUMIFS('Release Log'!$D$6:$D$4005,'Release Log'!$B$6:$B$4005,A240,'Release Log'!$C$6:$C$4005,C240))</f>
        <v/>
      </c>
      <c r="I240" s="77" t="str">
        <f aca="false">IF(OR(A240="",N(E240)=0),"",INT(H240/E240))</f>
        <v/>
      </c>
      <c r="J240" s="77" t="str">
        <f aca="false">IF(A240="","",A240&amp;"|"&amp;C240)</f>
        <v/>
      </c>
    </row>
    <row r="241" customFormat="false" ht="15" hidden="false" customHeight="false" outlineLevel="0" collapsed="false">
      <c r="A241" s="71"/>
      <c r="B241" s="71"/>
      <c r="C241" s="71"/>
      <c r="D241" s="71"/>
      <c r="E241" s="72"/>
      <c r="F241" s="77" t="str">
        <f aca="false">IF(A241="","",COUNTIF($A$6:A241,A241))</f>
        <v/>
      </c>
      <c r="G241" s="77" t="str">
        <f aca="false">IF(A241="","",A241&amp;"|"&amp;F241)</f>
        <v/>
      </c>
      <c r="H241" s="77" t="str">
        <f aca="false">IF(A241="","",SUMIFS('Release Log'!$D$6:$D$4005,'Release Log'!$B$6:$B$4005,A241,'Release Log'!$C$6:$C$4005,C241))</f>
        <v/>
      </c>
      <c r="I241" s="77" t="str">
        <f aca="false">IF(OR(A241="",N(E241)=0),"",INT(H241/E241))</f>
        <v/>
      </c>
      <c r="J241" s="77" t="str">
        <f aca="false">IF(A241="","",A241&amp;"|"&amp;C241)</f>
        <v/>
      </c>
    </row>
    <row r="242" customFormat="false" ht="15" hidden="false" customHeight="false" outlineLevel="0" collapsed="false">
      <c r="A242" s="71"/>
      <c r="B242" s="71"/>
      <c r="C242" s="71"/>
      <c r="D242" s="71"/>
      <c r="E242" s="72"/>
      <c r="F242" s="77" t="str">
        <f aca="false">IF(A242="","",COUNTIF($A$6:A242,A242))</f>
        <v/>
      </c>
      <c r="G242" s="77" t="str">
        <f aca="false">IF(A242="","",A242&amp;"|"&amp;F242)</f>
        <v/>
      </c>
      <c r="H242" s="77" t="str">
        <f aca="false">IF(A242="","",SUMIFS('Release Log'!$D$6:$D$4005,'Release Log'!$B$6:$B$4005,A242,'Release Log'!$C$6:$C$4005,C242))</f>
        <v/>
      </c>
      <c r="I242" s="77" t="str">
        <f aca="false">IF(OR(A242="",N(E242)=0),"",INT(H242/E242))</f>
        <v/>
      </c>
      <c r="J242" s="77" t="str">
        <f aca="false">IF(A242="","",A242&amp;"|"&amp;C242)</f>
        <v/>
      </c>
    </row>
    <row r="243" customFormat="false" ht="15" hidden="false" customHeight="false" outlineLevel="0" collapsed="false">
      <c r="A243" s="71"/>
      <c r="B243" s="71"/>
      <c r="C243" s="71"/>
      <c r="D243" s="71"/>
      <c r="E243" s="72"/>
      <c r="F243" s="77" t="str">
        <f aca="false">IF(A243="","",COUNTIF($A$6:A243,A243))</f>
        <v/>
      </c>
      <c r="G243" s="77" t="str">
        <f aca="false">IF(A243="","",A243&amp;"|"&amp;F243)</f>
        <v/>
      </c>
      <c r="H243" s="77" t="str">
        <f aca="false">IF(A243="","",SUMIFS('Release Log'!$D$6:$D$4005,'Release Log'!$B$6:$B$4005,A243,'Release Log'!$C$6:$C$4005,C243))</f>
        <v/>
      </c>
      <c r="I243" s="77" t="str">
        <f aca="false">IF(OR(A243="",N(E243)=0),"",INT(H243/E243))</f>
        <v/>
      </c>
      <c r="J243" s="77" t="str">
        <f aca="false">IF(A243="","",A243&amp;"|"&amp;C243)</f>
        <v/>
      </c>
    </row>
    <row r="244" customFormat="false" ht="15" hidden="false" customHeight="false" outlineLevel="0" collapsed="false">
      <c r="A244" s="71"/>
      <c r="B244" s="71"/>
      <c r="C244" s="71"/>
      <c r="D244" s="71"/>
      <c r="E244" s="72"/>
      <c r="F244" s="77" t="str">
        <f aca="false">IF(A244="","",COUNTIF($A$6:A244,A244))</f>
        <v/>
      </c>
      <c r="G244" s="77" t="str">
        <f aca="false">IF(A244="","",A244&amp;"|"&amp;F244)</f>
        <v/>
      </c>
      <c r="H244" s="77" t="str">
        <f aca="false">IF(A244="","",SUMIFS('Release Log'!$D$6:$D$4005,'Release Log'!$B$6:$B$4005,A244,'Release Log'!$C$6:$C$4005,C244))</f>
        <v/>
      </c>
      <c r="I244" s="77" t="str">
        <f aca="false">IF(OR(A244="",N(E244)=0),"",INT(H244/E244))</f>
        <v/>
      </c>
      <c r="J244" s="77" t="str">
        <f aca="false">IF(A244="","",A244&amp;"|"&amp;C244)</f>
        <v/>
      </c>
    </row>
    <row r="245" customFormat="false" ht="15" hidden="false" customHeight="false" outlineLevel="0" collapsed="false">
      <c r="A245" s="71"/>
      <c r="B245" s="71"/>
      <c r="C245" s="71"/>
      <c r="D245" s="71"/>
      <c r="E245" s="72"/>
      <c r="F245" s="77" t="str">
        <f aca="false">IF(A245="","",COUNTIF($A$6:A245,A245))</f>
        <v/>
      </c>
      <c r="G245" s="77" t="str">
        <f aca="false">IF(A245="","",A245&amp;"|"&amp;F245)</f>
        <v/>
      </c>
      <c r="H245" s="77" t="str">
        <f aca="false">IF(A245="","",SUMIFS('Release Log'!$D$6:$D$4005,'Release Log'!$B$6:$B$4005,A245,'Release Log'!$C$6:$C$4005,C245))</f>
        <v/>
      </c>
      <c r="I245" s="77" t="str">
        <f aca="false">IF(OR(A245="",N(E245)=0),"",INT(H245/E245))</f>
        <v/>
      </c>
      <c r="J245" s="77" t="str">
        <f aca="false">IF(A245="","",A245&amp;"|"&amp;C245)</f>
        <v/>
      </c>
    </row>
    <row r="246" customFormat="false" ht="15" hidden="false" customHeight="false" outlineLevel="0" collapsed="false">
      <c r="A246" s="71"/>
      <c r="B246" s="71"/>
      <c r="C246" s="71"/>
      <c r="D246" s="71"/>
      <c r="E246" s="72"/>
      <c r="F246" s="77" t="str">
        <f aca="false">IF(A246="","",COUNTIF($A$6:A246,A246))</f>
        <v/>
      </c>
      <c r="G246" s="77" t="str">
        <f aca="false">IF(A246="","",A246&amp;"|"&amp;F246)</f>
        <v/>
      </c>
      <c r="H246" s="77" t="str">
        <f aca="false">IF(A246="","",SUMIFS('Release Log'!$D$6:$D$4005,'Release Log'!$B$6:$B$4005,A246,'Release Log'!$C$6:$C$4005,C246))</f>
        <v/>
      </c>
      <c r="I246" s="77" t="str">
        <f aca="false">IF(OR(A246="",N(E246)=0),"",INT(H246/E246))</f>
        <v/>
      </c>
      <c r="J246" s="77" t="str">
        <f aca="false">IF(A246="","",A246&amp;"|"&amp;C246)</f>
        <v/>
      </c>
    </row>
    <row r="247" customFormat="false" ht="15" hidden="false" customHeight="false" outlineLevel="0" collapsed="false">
      <c r="A247" s="71"/>
      <c r="B247" s="71"/>
      <c r="C247" s="71"/>
      <c r="D247" s="71"/>
      <c r="E247" s="72"/>
      <c r="F247" s="77" t="str">
        <f aca="false">IF(A247="","",COUNTIF($A$6:A247,A247))</f>
        <v/>
      </c>
      <c r="G247" s="77" t="str">
        <f aca="false">IF(A247="","",A247&amp;"|"&amp;F247)</f>
        <v/>
      </c>
      <c r="H247" s="77" t="str">
        <f aca="false">IF(A247="","",SUMIFS('Release Log'!$D$6:$D$4005,'Release Log'!$B$6:$B$4005,A247,'Release Log'!$C$6:$C$4005,C247))</f>
        <v/>
      </c>
      <c r="I247" s="77" t="str">
        <f aca="false">IF(OR(A247="",N(E247)=0),"",INT(H247/E247))</f>
        <v/>
      </c>
      <c r="J247" s="77" t="str">
        <f aca="false">IF(A247="","",A247&amp;"|"&amp;C247)</f>
        <v/>
      </c>
    </row>
    <row r="248" customFormat="false" ht="15" hidden="false" customHeight="false" outlineLevel="0" collapsed="false">
      <c r="A248" s="71"/>
      <c r="B248" s="71"/>
      <c r="C248" s="71"/>
      <c r="D248" s="71"/>
      <c r="E248" s="72"/>
      <c r="F248" s="77" t="str">
        <f aca="false">IF(A248="","",COUNTIF($A$6:A248,A248))</f>
        <v/>
      </c>
      <c r="G248" s="77" t="str">
        <f aca="false">IF(A248="","",A248&amp;"|"&amp;F248)</f>
        <v/>
      </c>
      <c r="H248" s="77" t="str">
        <f aca="false">IF(A248="","",SUMIFS('Release Log'!$D$6:$D$4005,'Release Log'!$B$6:$B$4005,A248,'Release Log'!$C$6:$C$4005,C248))</f>
        <v/>
      </c>
      <c r="I248" s="77" t="str">
        <f aca="false">IF(OR(A248="",N(E248)=0),"",INT(H248/E248))</f>
        <v/>
      </c>
      <c r="J248" s="77" t="str">
        <f aca="false">IF(A248="","",A248&amp;"|"&amp;C248)</f>
        <v/>
      </c>
    </row>
    <row r="249" customFormat="false" ht="15" hidden="false" customHeight="false" outlineLevel="0" collapsed="false">
      <c r="A249" s="71"/>
      <c r="B249" s="71"/>
      <c r="C249" s="71"/>
      <c r="D249" s="71"/>
      <c r="E249" s="72"/>
      <c r="F249" s="77" t="str">
        <f aca="false">IF(A249="","",COUNTIF($A$6:A249,A249))</f>
        <v/>
      </c>
      <c r="G249" s="77" t="str">
        <f aca="false">IF(A249="","",A249&amp;"|"&amp;F249)</f>
        <v/>
      </c>
      <c r="H249" s="77" t="str">
        <f aca="false">IF(A249="","",SUMIFS('Release Log'!$D$6:$D$4005,'Release Log'!$B$6:$B$4005,A249,'Release Log'!$C$6:$C$4005,C249))</f>
        <v/>
      </c>
      <c r="I249" s="77" t="str">
        <f aca="false">IF(OR(A249="",N(E249)=0),"",INT(H249/E249))</f>
        <v/>
      </c>
      <c r="J249" s="77" t="str">
        <f aca="false">IF(A249="","",A249&amp;"|"&amp;C249)</f>
        <v/>
      </c>
    </row>
    <row r="250" customFormat="false" ht="15" hidden="false" customHeight="false" outlineLevel="0" collapsed="false">
      <c r="A250" s="71"/>
      <c r="B250" s="71"/>
      <c r="C250" s="71"/>
      <c r="D250" s="71"/>
      <c r="E250" s="72"/>
      <c r="F250" s="77" t="str">
        <f aca="false">IF(A250="","",COUNTIF($A$6:A250,A250))</f>
        <v/>
      </c>
      <c r="G250" s="77" t="str">
        <f aca="false">IF(A250="","",A250&amp;"|"&amp;F250)</f>
        <v/>
      </c>
      <c r="H250" s="77" t="str">
        <f aca="false">IF(A250="","",SUMIFS('Release Log'!$D$6:$D$4005,'Release Log'!$B$6:$B$4005,A250,'Release Log'!$C$6:$C$4005,C250))</f>
        <v/>
      </c>
      <c r="I250" s="77" t="str">
        <f aca="false">IF(OR(A250="",N(E250)=0),"",INT(H250/E250))</f>
        <v/>
      </c>
      <c r="J250" s="77" t="str">
        <f aca="false">IF(A250="","",A250&amp;"|"&amp;C250)</f>
        <v/>
      </c>
    </row>
    <row r="251" customFormat="false" ht="15" hidden="false" customHeight="false" outlineLevel="0" collapsed="false">
      <c r="A251" s="71"/>
      <c r="B251" s="71"/>
      <c r="C251" s="71"/>
      <c r="D251" s="71"/>
      <c r="E251" s="72"/>
      <c r="F251" s="77" t="str">
        <f aca="false">IF(A251="","",COUNTIF($A$6:A251,A251))</f>
        <v/>
      </c>
      <c r="G251" s="77" t="str">
        <f aca="false">IF(A251="","",A251&amp;"|"&amp;F251)</f>
        <v/>
      </c>
      <c r="H251" s="77" t="str">
        <f aca="false">IF(A251="","",SUMIFS('Release Log'!$D$6:$D$4005,'Release Log'!$B$6:$B$4005,A251,'Release Log'!$C$6:$C$4005,C251))</f>
        <v/>
      </c>
      <c r="I251" s="77" t="str">
        <f aca="false">IF(OR(A251="",N(E251)=0),"",INT(H251/E251))</f>
        <v/>
      </c>
      <c r="J251" s="77" t="str">
        <f aca="false">IF(A251="","",A251&amp;"|"&amp;C251)</f>
        <v/>
      </c>
    </row>
    <row r="252" customFormat="false" ht="15" hidden="false" customHeight="false" outlineLevel="0" collapsed="false">
      <c r="A252" s="71"/>
      <c r="B252" s="71"/>
      <c r="C252" s="71"/>
      <c r="D252" s="71"/>
      <c r="E252" s="72"/>
      <c r="F252" s="77" t="str">
        <f aca="false">IF(A252="","",COUNTIF($A$6:A252,A252))</f>
        <v/>
      </c>
      <c r="G252" s="77" t="str">
        <f aca="false">IF(A252="","",A252&amp;"|"&amp;F252)</f>
        <v/>
      </c>
      <c r="H252" s="77" t="str">
        <f aca="false">IF(A252="","",SUMIFS('Release Log'!$D$6:$D$4005,'Release Log'!$B$6:$B$4005,A252,'Release Log'!$C$6:$C$4005,C252))</f>
        <v/>
      </c>
      <c r="I252" s="77" t="str">
        <f aca="false">IF(OR(A252="",N(E252)=0),"",INT(H252/E252))</f>
        <v/>
      </c>
      <c r="J252" s="77" t="str">
        <f aca="false">IF(A252="","",A252&amp;"|"&amp;C252)</f>
        <v/>
      </c>
    </row>
    <row r="253" customFormat="false" ht="15" hidden="false" customHeight="false" outlineLevel="0" collapsed="false">
      <c r="A253" s="71"/>
      <c r="B253" s="71"/>
      <c r="C253" s="71"/>
      <c r="D253" s="71"/>
      <c r="E253" s="72"/>
      <c r="F253" s="77" t="str">
        <f aca="false">IF(A253="","",COUNTIF($A$6:A253,A253))</f>
        <v/>
      </c>
      <c r="G253" s="77" t="str">
        <f aca="false">IF(A253="","",A253&amp;"|"&amp;F253)</f>
        <v/>
      </c>
      <c r="H253" s="77" t="str">
        <f aca="false">IF(A253="","",SUMIFS('Release Log'!$D$6:$D$4005,'Release Log'!$B$6:$B$4005,A253,'Release Log'!$C$6:$C$4005,C253))</f>
        <v/>
      </c>
      <c r="I253" s="77" t="str">
        <f aca="false">IF(OR(A253="",N(E253)=0),"",INT(H253/E253))</f>
        <v/>
      </c>
      <c r="J253" s="77" t="str">
        <f aca="false">IF(A253="","",A253&amp;"|"&amp;C253)</f>
        <v/>
      </c>
    </row>
    <row r="254" customFormat="false" ht="15" hidden="false" customHeight="false" outlineLevel="0" collapsed="false">
      <c r="A254" s="71"/>
      <c r="B254" s="71"/>
      <c r="C254" s="71"/>
      <c r="D254" s="71"/>
      <c r="E254" s="72"/>
      <c r="F254" s="77" t="str">
        <f aca="false">IF(A254="","",COUNTIF($A$6:A254,A254))</f>
        <v/>
      </c>
      <c r="G254" s="77" t="str">
        <f aca="false">IF(A254="","",A254&amp;"|"&amp;F254)</f>
        <v/>
      </c>
      <c r="H254" s="77" t="str">
        <f aca="false">IF(A254="","",SUMIFS('Release Log'!$D$6:$D$4005,'Release Log'!$B$6:$B$4005,A254,'Release Log'!$C$6:$C$4005,C254))</f>
        <v/>
      </c>
      <c r="I254" s="77" t="str">
        <f aca="false">IF(OR(A254="",N(E254)=0),"",INT(H254/E254))</f>
        <v/>
      </c>
      <c r="J254" s="77" t="str">
        <f aca="false">IF(A254="","",A254&amp;"|"&amp;C254)</f>
        <v/>
      </c>
    </row>
    <row r="255" customFormat="false" ht="15" hidden="false" customHeight="false" outlineLevel="0" collapsed="false">
      <c r="A255" s="71"/>
      <c r="B255" s="71"/>
      <c r="C255" s="71"/>
      <c r="D255" s="71"/>
      <c r="E255" s="72"/>
      <c r="F255" s="77" t="str">
        <f aca="false">IF(A255="","",COUNTIF($A$6:A255,A255))</f>
        <v/>
      </c>
      <c r="G255" s="77" t="str">
        <f aca="false">IF(A255="","",A255&amp;"|"&amp;F255)</f>
        <v/>
      </c>
      <c r="H255" s="77" t="str">
        <f aca="false">IF(A255="","",SUMIFS('Release Log'!$D$6:$D$4005,'Release Log'!$B$6:$B$4005,A255,'Release Log'!$C$6:$C$4005,C255))</f>
        <v/>
      </c>
      <c r="I255" s="77" t="str">
        <f aca="false">IF(OR(A255="",N(E255)=0),"",INT(H255/E255))</f>
        <v/>
      </c>
      <c r="J255" s="77" t="str">
        <f aca="false">IF(A255="","",A255&amp;"|"&amp;C255)</f>
        <v/>
      </c>
    </row>
    <row r="256" customFormat="false" ht="15" hidden="false" customHeight="false" outlineLevel="0" collapsed="false">
      <c r="A256" s="71"/>
      <c r="B256" s="71"/>
      <c r="C256" s="71"/>
      <c r="D256" s="71"/>
      <c r="E256" s="72"/>
      <c r="F256" s="77" t="str">
        <f aca="false">IF(A256="","",COUNTIF($A$6:A256,A256))</f>
        <v/>
      </c>
      <c r="G256" s="77" t="str">
        <f aca="false">IF(A256="","",A256&amp;"|"&amp;F256)</f>
        <v/>
      </c>
      <c r="H256" s="77" t="str">
        <f aca="false">IF(A256="","",SUMIFS('Release Log'!$D$6:$D$4005,'Release Log'!$B$6:$B$4005,A256,'Release Log'!$C$6:$C$4005,C256))</f>
        <v/>
      </c>
      <c r="I256" s="77" t="str">
        <f aca="false">IF(OR(A256="",N(E256)=0),"",INT(H256/E256))</f>
        <v/>
      </c>
      <c r="J256" s="77" t="str">
        <f aca="false">IF(A256="","",A256&amp;"|"&amp;C256)</f>
        <v/>
      </c>
    </row>
    <row r="257" customFormat="false" ht="15" hidden="false" customHeight="false" outlineLevel="0" collapsed="false">
      <c r="A257" s="71"/>
      <c r="B257" s="71"/>
      <c r="C257" s="71"/>
      <c r="D257" s="71"/>
      <c r="E257" s="72"/>
      <c r="F257" s="77" t="str">
        <f aca="false">IF(A257="","",COUNTIF($A$6:A257,A257))</f>
        <v/>
      </c>
      <c r="G257" s="77" t="str">
        <f aca="false">IF(A257="","",A257&amp;"|"&amp;F257)</f>
        <v/>
      </c>
      <c r="H257" s="77" t="str">
        <f aca="false">IF(A257="","",SUMIFS('Release Log'!$D$6:$D$4005,'Release Log'!$B$6:$B$4005,A257,'Release Log'!$C$6:$C$4005,C257))</f>
        <v/>
      </c>
      <c r="I257" s="77" t="str">
        <f aca="false">IF(OR(A257="",N(E257)=0),"",INT(H257/E257))</f>
        <v/>
      </c>
      <c r="J257" s="77" t="str">
        <f aca="false">IF(A257="","",A257&amp;"|"&amp;C257)</f>
        <v/>
      </c>
    </row>
    <row r="258" customFormat="false" ht="15" hidden="false" customHeight="false" outlineLevel="0" collapsed="false">
      <c r="A258" s="71"/>
      <c r="B258" s="71"/>
      <c r="C258" s="71"/>
      <c r="D258" s="71"/>
      <c r="E258" s="72"/>
      <c r="F258" s="77" t="str">
        <f aca="false">IF(A258="","",COUNTIF($A$6:A258,A258))</f>
        <v/>
      </c>
      <c r="G258" s="77" t="str">
        <f aca="false">IF(A258="","",A258&amp;"|"&amp;F258)</f>
        <v/>
      </c>
      <c r="H258" s="77" t="str">
        <f aca="false">IF(A258="","",SUMIFS('Release Log'!$D$6:$D$4005,'Release Log'!$B$6:$B$4005,A258,'Release Log'!$C$6:$C$4005,C258))</f>
        <v/>
      </c>
      <c r="I258" s="77" t="str">
        <f aca="false">IF(OR(A258="",N(E258)=0),"",INT(H258/E258))</f>
        <v/>
      </c>
      <c r="J258" s="77" t="str">
        <f aca="false">IF(A258="","",A258&amp;"|"&amp;C258)</f>
        <v/>
      </c>
    </row>
    <row r="259" customFormat="false" ht="15" hidden="false" customHeight="false" outlineLevel="0" collapsed="false">
      <c r="A259" s="71"/>
      <c r="B259" s="71"/>
      <c r="C259" s="71"/>
      <c r="D259" s="71"/>
      <c r="E259" s="72"/>
      <c r="F259" s="77" t="str">
        <f aca="false">IF(A259="","",COUNTIF($A$6:A259,A259))</f>
        <v/>
      </c>
      <c r="G259" s="77" t="str">
        <f aca="false">IF(A259="","",A259&amp;"|"&amp;F259)</f>
        <v/>
      </c>
      <c r="H259" s="77" t="str">
        <f aca="false">IF(A259="","",SUMIFS('Release Log'!$D$6:$D$4005,'Release Log'!$B$6:$B$4005,A259,'Release Log'!$C$6:$C$4005,C259))</f>
        <v/>
      </c>
      <c r="I259" s="77" t="str">
        <f aca="false">IF(OR(A259="",N(E259)=0),"",INT(H259/E259))</f>
        <v/>
      </c>
      <c r="J259" s="77" t="str">
        <f aca="false">IF(A259="","",A259&amp;"|"&amp;C259)</f>
        <v/>
      </c>
    </row>
    <row r="260" customFormat="false" ht="15" hidden="false" customHeight="false" outlineLevel="0" collapsed="false">
      <c r="A260" s="71"/>
      <c r="B260" s="71"/>
      <c r="C260" s="71"/>
      <c r="D260" s="71"/>
      <c r="E260" s="72"/>
      <c r="F260" s="77" t="str">
        <f aca="false">IF(A260="","",COUNTIF($A$6:A260,A260))</f>
        <v/>
      </c>
      <c r="G260" s="77" t="str">
        <f aca="false">IF(A260="","",A260&amp;"|"&amp;F260)</f>
        <v/>
      </c>
      <c r="H260" s="77" t="str">
        <f aca="false">IF(A260="","",SUMIFS('Release Log'!$D$6:$D$4005,'Release Log'!$B$6:$B$4005,A260,'Release Log'!$C$6:$C$4005,C260))</f>
        <v/>
      </c>
      <c r="I260" s="77" t="str">
        <f aca="false">IF(OR(A260="",N(E260)=0),"",INT(H260/E260))</f>
        <v/>
      </c>
      <c r="J260" s="77" t="str">
        <f aca="false">IF(A260="","",A260&amp;"|"&amp;C260)</f>
        <v/>
      </c>
    </row>
    <row r="261" customFormat="false" ht="15" hidden="false" customHeight="false" outlineLevel="0" collapsed="false">
      <c r="A261" s="71"/>
      <c r="B261" s="71"/>
      <c r="C261" s="71"/>
      <c r="D261" s="71"/>
      <c r="E261" s="72"/>
      <c r="F261" s="77" t="str">
        <f aca="false">IF(A261="","",COUNTIF($A$6:A261,A261))</f>
        <v/>
      </c>
      <c r="G261" s="77" t="str">
        <f aca="false">IF(A261="","",A261&amp;"|"&amp;F261)</f>
        <v/>
      </c>
      <c r="H261" s="77" t="str">
        <f aca="false">IF(A261="","",SUMIFS('Release Log'!$D$6:$D$4005,'Release Log'!$B$6:$B$4005,A261,'Release Log'!$C$6:$C$4005,C261))</f>
        <v/>
      </c>
      <c r="I261" s="77" t="str">
        <f aca="false">IF(OR(A261="",N(E261)=0),"",INT(H261/E261))</f>
        <v/>
      </c>
      <c r="J261" s="77" t="str">
        <f aca="false">IF(A261="","",A261&amp;"|"&amp;C261)</f>
        <v/>
      </c>
    </row>
    <row r="262" customFormat="false" ht="15" hidden="false" customHeight="false" outlineLevel="0" collapsed="false">
      <c r="A262" s="71"/>
      <c r="B262" s="71"/>
      <c r="C262" s="71"/>
      <c r="D262" s="71"/>
      <c r="E262" s="72"/>
      <c r="F262" s="77" t="str">
        <f aca="false">IF(A262="","",COUNTIF($A$6:A262,A262))</f>
        <v/>
      </c>
      <c r="G262" s="77" t="str">
        <f aca="false">IF(A262="","",A262&amp;"|"&amp;F262)</f>
        <v/>
      </c>
      <c r="H262" s="77" t="str">
        <f aca="false">IF(A262="","",SUMIFS('Release Log'!$D$6:$D$4005,'Release Log'!$B$6:$B$4005,A262,'Release Log'!$C$6:$C$4005,C262))</f>
        <v/>
      </c>
      <c r="I262" s="77" t="str">
        <f aca="false">IF(OR(A262="",N(E262)=0),"",INT(H262/E262))</f>
        <v/>
      </c>
      <c r="J262" s="77" t="str">
        <f aca="false">IF(A262="","",A262&amp;"|"&amp;C262)</f>
        <v/>
      </c>
    </row>
    <row r="263" customFormat="false" ht="15" hidden="false" customHeight="false" outlineLevel="0" collapsed="false">
      <c r="A263" s="71"/>
      <c r="B263" s="71"/>
      <c r="C263" s="71"/>
      <c r="D263" s="71"/>
      <c r="E263" s="72"/>
      <c r="F263" s="77" t="str">
        <f aca="false">IF(A263="","",COUNTIF($A$6:A263,A263))</f>
        <v/>
      </c>
      <c r="G263" s="77" t="str">
        <f aca="false">IF(A263="","",A263&amp;"|"&amp;F263)</f>
        <v/>
      </c>
      <c r="H263" s="77" t="str">
        <f aca="false">IF(A263="","",SUMIFS('Release Log'!$D$6:$D$4005,'Release Log'!$B$6:$B$4005,A263,'Release Log'!$C$6:$C$4005,C263))</f>
        <v/>
      </c>
      <c r="I263" s="77" t="str">
        <f aca="false">IF(OR(A263="",N(E263)=0),"",INT(H263/E263))</f>
        <v/>
      </c>
      <c r="J263" s="77" t="str">
        <f aca="false">IF(A263="","",A263&amp;"|"&amp;C263)</f>
        <v/>
      </c>
    </row>
    <row r="264" customFormat="false" ht="15" hidden="false" customHeight="false" outlineLevel="0" collapsed="false">
      <c r="A264" s="71"/>
      <c r="B264" s="71"/>
      <c r="C264" s="71"/>
      <c r="D264" s="71"/>
      <c r="E264" s="72"/>
      <c r="F264" s="77" t="str">
        <f aca="false">IF(A264="","",COUNTIF($A$6:A264,A264))</f>
        <v/>
      </c>
      <c r="G264" s="77" t="str">
        <f aca="false">IF(A264="","",A264&amp;"|"&amp;F264)</f>
        <v/>
      </c>
      <c r="H264" s="77" t="str">
        <f aca="false">IF(A264="","",SUMIFS('Release Log'!$D$6:$D$4005,'Release Log'!$B$6:$B$4005,A264,'Release Log'!$C$6:$C$4005,C264))</f>
        <v/>
      </c>
      <c r="I264" s="77" t="str">
        <f aca="false">IF(OR(A264="",N(E264)=0),"",INT(H264/E264))</f>
        <v/>
      </c>
      <c r="J264" s="77" t="str">
        <f aca="false">IF(A264="","",A264&amp;"|"&amp;C264)</f>
        <v/>
      </c>
    </row>
    <row r="265" customFormat="false" ht="15" hidden="false" customHeight="false" outlineLevel="0" collapsed="false">
      <c r="A265" s="71"/>
      <c r="B265" s="71"/>
      <c r="C265" s="71"/>
      <c r="D265" s="71"/>
      <c r="E265" s="72"/>
      <c r="F265" s="77" t="str">
        <f aca="false">IF(A265="","",COUNTIF($A$6:A265,A265))</f>
        <v/>
      </c>
      <c r="G265" s="77" t="str">
        <f aca="false">IF(A265="","",A265&amp;"|"&amp;F265)</f>
        <v/>
      </c>
      <c r="H265" s="77" t="str">
        <f aca="false">IF(A265="","",SUMIFS('Release Log'!$D$6:$D$4005,'Release Log'!$B$6:$B$4005,A265,'Release Log'!$C$6:$C$4005,C265))</f>
        <v/>
      </c>
      <c r="I265" s="77" t="str">
        <f aca="false">IF(OR(A265="",N(E265)=0),"",INT(H265/E265))</f>
        <v/>
      </c>
      <c r="J265" s="77" t="str">
        <f aca="false">IF(A265="","",A265&amp;"|"&amp;C265)</f>
        <v/>
      </c>
    </row>
    <row r="266" customFormat="false" ht="15" hidden="false" customHeight="false" outlineLevel="0" collapsed="false">
      <c r="A266" s="71"/>
      <c r="B266" s="71"/>
      <c r="C266" s="71"/>
      <c r="D266" s="71"/>
      <c r="E266" s="72"/>
      <c r="F266" s="77" t="str">
        <f aca="false">IF(A266="","",COUNTIF($A$6:A266,A266))</f>
        <v/>
      </c>
      <c r="G266" s="77" t="str">
        <f aca="false">IF(A266="","",A266&amp;"|"&amp;F266)</f>
        <v/>
      </c>
      <c r="H266" s="77" t="str">
        <f aca="false">IF(A266="","",SUMIFS('Release Log'!$D$6:$D$4005,'Release Log'!$B$6:$B$4005,A266,'Release Log'!$C$6:$C$4005,C266))</f>
        <v/>
      </c>
      <c r="I266" s="77" t="str">
        <f aca="false">IF(OR(A266="",N(E266)=0),"",INT(H266/E266))</f>
        <v/>
      </c>
      <c r="J266" s="77" t="str">
        <f aca="false">IF(A266="","",A266&amp;"|"&amp;C266)</f>
        <v/>
      </c>
    </row>
    <row r="267" customFormat="false" ht="15" hidden="false" customHeight="false" outlineLevel="0" collapsed="false">
      <c r="A267" s="71"/>
      <c r="B267" s="71"/>
      <c r="C267" s="71"/>
      <c r="D267" s="71"/>
      <c r="E267" s="72"/>
      <c r="F267" s="77" t="str">
        <f aca="false">IF(A267="","",COUNTIF($A$6:A267,A267))</f>
        <v/>
      </c>
      <c r="G267" s="77" t="str">
        <f aca="false">IF(A267="","",A267&amp;"|"&amp;F267)</f>
        <v/>
      </c>
      <c r="H267" s="77" t="str">
        <f aca="false">IF(A267="","",SUMIFS('Release Log'!$D$6:$D$4005,'Release Log'!$B$6:$B$4005,A267,'Release Log'!$C$6:$C$4005,C267))</f>
        <v/>
      </c>
      <c r="I267" s="77" t="str">
        <f aca="false">IF(OR(A267="",N(E267)=0),"",INT(H267/E267))</f>
        <v/>
      </c>
      <c r="J267" s="77" t="str">
        <f aca="false">IF(A267="","",A267&amp;"|"&amp;C267)</f>
        <v/>
      </c>
    </row>
    <row r="268" customFormat="false" ht="15" hidden="false" customHeight="false" outlineLevel="0" collapsed="false">
      <c r="A268" s="71"/>
      <c r="B268" s="71"/>
      <c r="C268" s="71"/>
      <c r="D268" s="71"/>
      <c r="E268" s="72"/>
      <c r="F268" s="77" t="str">
        <f aca="false">IF(A268="","",COUNTIF($A$6:A268,A268))</f>
        <v/>
      </c>
      <c r="G268" s="77" t="str">
        <f aca="false">IF(A268="","",A268&amp;"|"&amp;F268)</f>
        <v/>
      </c>
      <c r="H268" s="77" t="str">
        <f aca="false">IF(A268="","",SUMIFS('Release Log'!$D$6:$D$4005,'Release Log'!$B$6:$B$4005,A268,'Release Log'!$C$6:$C$4005,C268))</f>
        <v/>
      </c>
      <c r="I268" s="77" t="str">
        <f aca="false">IF(OR(A268="",N(E268)=0),"",INT(H268/E268))</f>
        <v/>
      </c>
      <c r="J268" s="77" t="str">
        <f aca="false">IF(A268="","",A268&amp;"|"&amp;C268)</f>
        <v/>
      </c>
    </row>
    <row r="269" customFormat="false" ht="15" hidden="false" customHeight="false" outlineLevel="0" collapsed="false">
      <c r="A269" s="71"/>
      <c r="B269" s="71"/>
      <c r="C269" s="71"/>
      <c r="D269" s="71"/>
      <c r="E269" s="72"/>
      <c r="F269" s="77" t="str">
        <f aca="false">IF(A269="","",COUNTIF($A$6:A269,A269))</f>
        <v/>
      </c>
      <c r="G269" s="77" t="str">
        <f aca="false">IF(A269="","",A269&amp;"|"&amp;F269)</f>
        <v/>
      </c>
      <c r="H269" s="77" t="str">
        <f aca="false">IF(A269="","",SUMIFS('Release Log'!$D$6:$D$4005,'Release Log'!$B$6:$B$4005,A269,'Release Log'!$C$6:$C$4005,C269))</f>
        <v/>
      </c>
      <c r="I269" s="77" t="str">
        <f aca="false">IF(OR(A269="",N(E269)=0),"",INT(H269/E269))</f>
        <v/>
      </c>
      <c r="J269" s="77" t="str">
        <f aca="false">IF(A269="","",A269&amp;"|"&amp;C269)</f>
        <v/>
      </c>
    </row>
    <row r="270" customFormat="false" ht="15" hidden="false" customHeight="false" outlineLevel="0" collapsed="false">
      <c r="A270" s="71"/>
      <c r="B270" s="71"/>
      <c r="C270" s="71"/>
      <c r="D270" s="71"/>
      <c r="E270" s="72"/>
      <c r="F270" s="77" t="str">
        <f aca="false">IF(A270="","",COUNTIF($A$6:A270,A270))</f>
        <v/>
      </c>
      <c r="G270" s="77" t="str">
        <f aca="false">IF(A270="","",A270&amp;"|"&amp;F270)</f>
        <v/>
      </c>
      <c r="H270" s="77" t="str">
        <f aca="false">IF(A270="","",SUMIFS('Release Log'!$D$6:$D$4005,'Release Log'!$B$6:$B$4005,A270,'Release Log'!$C$6:$C$4005,C270))</f>
        <v/>
      </c>
      <c r="I270" s="77" t="str">
        <f aca="false">IF(OR(A270="",N(E270)=0),"",INT(H270/E270))</f>
        <v/>
      </c>
      <c r="J270" s="77" t="str">
        <f aca="false">IF(A270="","",A270&amp;"|"&amp;C270)</f>
        <v/>
      </c>
    </row>
    <row r="271" customFormat="false" ht="15" hidden="false" customHeight="false" outlineLevel="0" collapsed="false">
      <c r="A271" s="71"/>
      <c r="B271" s="71"/>
      <c r="C271" s="71"/>
      <c r="D271" s="71"/>
      <c r="E271" s="72"/>
      <c r="F271" s="77" t="str">
        <f aca="false">IF(A271="","",COUNTIF($A$6:A271,A271))</f>
        <v/>
      </c>
      <c r="G271" s="77" t="str">
        <f aca="false">IF(A271="","",A271&amp;"|"&amp;F271)</f>
        <v/>
      </c>
      <c r="H271" s="77" t="str">
        <f aca="false">IF(A271="","",SUMIFS('Release Log'!$D$6:$D$4005,'Release Log'!$B$6:$B$4005,A271,'Release Log'!$C$6:$C$4005,C271))</f>
        <v/>
      </c>
      <c r="I271" s="77" t="str">
        <f aca="false">IF(OR(A271="",N(E271)=0),"",INT(H271/E271))</f>
        <v/>
      </c>
      <c r="J271" s="77" t="str">
        <f aca="false">IF(A271="","",A271&amp;"|"&amp;C271)</f>
        <v/>
      </c>
    </row>
    <row r="272" customFormat="false" ht="15" hidden="false" customHeight="false" outlineLevel="0" collapsed="false">
      <c r="A272" s="71"/>
      <c r="B272" s="71"/>
      <c r="C272" s="71"/>
      <c r="D272" s="71"/>
      <c r="E272" s="72"/>
      <c r="F272" s="77" t="str">
        <f aca="false">IF(A272="","",COUNTIF($A$6:A272,A272))</f>
        <v/>
      </c>
      <c r="G272" s="77" t="str">
        <f aca="false">IF(A272="","",A272&amp;"|"&amp;F272)</f>
        <v/>
      </c>
      <c r="H272" s="77" t="str">
        <f aca="false">IF(A272="","",SUMIFS('Release Log'!$D$6:$D$4005,'Release Log'!$B$6:$B$4005,A272,'Release Log'!$C$6:$C$4005,C272))</f>
        <v/>
      </c>
      <c r="I272" s="77" t="str">
        <f aca="false">IF(OR(A272="",N(E272)=0),"",INT(H272/E272))</f>
        <v/>
      </c>
      <c r="J272" s="77" t="str">
        <f aca="false">IF(A272="","",A272&amp;"|"&amp;C272)</f>
        <v/>
      </c>
    </row>
    <row r="273" customFormat="false" ht="15" hidden="false" customHeight="false" outlineLevel="0" collapsed="false">
      <c r="A273" s="71"/>
      <c r="B273" s="71"/>
      <c r="C273" s="71"/>
      <c r="D273" s="71"/>
      <c r="E273" s="72"/>
      <c r="F273" s="77" t="str">
        <f aca="false">IF(A273="","",COUNTIF($A$6:A273,A273))</f>
        <v/>
      </c>
      <c r="G273" s="77" t="str">
        <f aca="false">IF(A273="","",A273&amp;"|"&amp;F273)</f>
        <v/>
      </c>
      <c r="H273" s="77" t="str">
        <f aca="false">IF(A273="","",SUMIFS('Release Log'!$D$6:$D$4005,'Release Log'!$B$6:$B$4005,A273,'Release Log'!$C$6:$C$4005,C273))</f>
        <v/>
      </c>
      <c r="I273" s="77" t="str">
        <f aca="false">IF(OR(A273="",N(E273)=0),"",INT(H273/E273))</f>
        <v/>
      </c>
      <c r="J273" s="77" t="str">
        <f aca="false">IF(A273="","",A273&amp;"|"&amp;C273)</f>
        <v/>
      </c>
    </row>
    <row r="274" customFormat="false" ht="15" hidden="false" customHeight="false" outlineLevel="0" collapsed="false">
      <c r="A274" s="71"/>
      <c r="B274" s="71"/>
      <c r="C274" s="71"/>
      <c r="D274" s="71"/>
      <c r="E274" s="72"/>
      <c r="F274" s="77" t="str">
        <f aca="false">IF(A274="","",COUNTIF($A$6:A274,A274))</f>
        <v/>
      </c>
      <c r="G274" s="77" t="str">
        <f aca="false">IF(A274="","",A274&amp;"|"&amp;F274)</f>
        <v/>
      </c>
      <c r="H274" s="77" t="str">
        <f aca="false">IF(A274="","",SUMIFS('Release Log'!$D$6:$D$4005,'Release Log'!$B$6:$B$4005,A274,'Release Log'!$C$6:$C$4005,C274))</f>
        <v/>
      </c>
      <c r="I274" s="77" t="str">
        <f aca="false">IF(OR(A274="",N(E274)=0),"",INT(H274/E274))</f>
        <v/>
      </c>
      <c r="J274" s="77" t="str">
        <f aca="false">IF(A274="","",A274&amp;"|"&amp;C274)</f>
        <v/>
      </c>
    </row>
    <row r="275" customFormat="false" ht="15" hidden="false" customHeight="false" outlineLevel="0" collapsed="false">
      <c r="A275" s="71"/>
      <c r="B275" s="71"/>
      <c r="C275" s="71"/>
      <c r="D275" s="71"/>
      <c r="E275" s="72"/>
      <c r="F275" s="77" t="str">
        <f aca="false">IF(A275="","",COUNTIF($A$6:A275,A275))</f>
        <v/>
      </c>
      <c r="G275" s="77" t="str">
        <f aca="false">IF(A275="","",A275&amp;"|"&amp;F275)</f>
        <v/>
      </c>
      <c r="H275" s="77" t="str">
        <f aca="false">IF(A275="","",SUMIFS('Release Log'!$D$6:$D$4005,'Release Log'!$B$6:$B$4005,A275,'Release Log'!$C$6:$C$4005,C275))</f>
        <v/>
      </c>
      <c r="I275" s="77" t="str">
        <f aca="false">IF(OR(A275="",N(E275)=0),"",INT(H275/E275))</f>
        <v/>
      </c>
      <c r="J275" s="77" t="str">
        <f aca="false">IF(A275="","",A275&amp;"|"&amp;C275)</f>
        <v/>
      </c>
    </row>
    <row r="276" customFormat="false" ht="15" hidden="false" customHeight="false" outlineLevel="0" collapsed="false">
      <c r="A276" s="71"/>
      <c r="B276" s="71"/>
      <c r="C276" s="71"/>
      <c r="D276" s="71"/>
      <c r="E276" s="72"/>
      <c r="F276" s="77" t="str">
        <f aca="false">IF(A276="","",COUNTIF($A$6:A276,A276))</f>
        <v/>
      </c>
      <c r="G276" s="77" t="str">
        <f aca="false">IF(A276="","",A276&amp;"|"&amp;F276)</f>
        <v/>
      </c>
      <c r="H276" s="77" t="str">
        <f aca="false">IF(A276="","",SUMIFS('Release Log'!$D$6:$D$4005,'Release Log'!$B$6:$B$4005,A276,'Release Log'!$C$6:$C$4005,C276))</f>
        <v/>
      </c>
      <c r="I276" s="77" t="str">
        <f aca="false">IF(OR(A276="",N(E276)=0),"",INT(H276/E276))</f>
        <v/>
      </c>
      <c r="J276" s="77" t="str">
        <f aca="false">IF(A276="","",A276&amp;"|"&amp;C276)</f>
        <v/>
      </c>
    </row>
    <row r="277" customFormat="false" ht="15" hidden="false" customHeight="false" outlineLevel="0" collapsed="false">
      <c r="A277" s="71"/>
      <c r="B277" s="71"/>
      <c r="C277" s="71"/>
      <c r="D277" s="71"/>
      <c r="E277" s="72"/>
      <c r="F277" s="77" t="str">
        <f aca="false">IF(A277="","",COUNTIF($A$6:A277,A277))</f>
        <v/>
      </c>
      <c r="G277" s="77" t="str">
        <f aca="false">IF(A277="","",A277&amp;"|"&amp;F277)</f>
        <v/>
      </c>
      <c r="H277" s="77" t="str">
        <f aca="false">IF(A277="","",SUMIFS('Release Log'!$D$6:$D$4005,'Release Log'!$B$6:$B$4005,A277,'Release Log'!$C$6:$C$4005,C277))</f>
        <v/>
      </c>
      <c r="I277" s="77" t="str">
        <f aca="false">IF(OR(A277="",N(E277)=0),"",INT(H277/E277))</f>
        <v/>
      </c>
      <c r="J277" s="77" t="str">
        <f aca="false">IF(A277="","",A277&amp;"|"&amp;C277)</f>
        <v/>
      </c>
    </row>
    <row r="278" customFormat="false" ht="15" hidden="false" customHeight="false" outlineLevel="0" collapsed="false">
      <c r="A278" s="71"/>
      <c r="B278" s="71"/>
      <c r="C278" s="71"/>
      <c r="D278" s="71"/>
      <c r="E278" s="72"/>
      <c r="F278" s="77" t="str">
        <f aca="false">IF(A278="","",COUNTIF($A$6:A278,A278))</f>
        <v/>
      </c>
      <c r="G278" s="77" t="str">
        <f aca="false">IF(A278="","",A278&amp;"|"&amp;F278)</f>
        <v/>
      </c>
      <c r="H278" s="77" t="str">
        <f aca="false">IF(A278="","",SUMIFS('Release Log'!$D$6:$D$4005,'Release Log'!$B$6:$B$4005,A278,'Release Log'!$C$6:$C$4005,C278))</f>
        <v/>
      </c>
      <c r="I278" s="77" t="str">
        <f aca="false">IF(OR(A278="",N(E278)=0),"",INT(H278/E278))</f>
        <v/>
      </c>
      <c r="J278" s="77" t="str">
        <f aca="false">IF(A278="","",A278&amp;"|"&amp;C278)</f>
        <v/>
      </c>
    </row>
    <row r="279" customFormat="false" ht="15" hidden="false" customHeight="false" outlineLevel="0" collapsed="false">
      <c r="A279" s="71"/>
      <c r="B279" s="71"/>
      <c r="C279" s="71"/>
      <c r="D279" s="71"/>
      <c r="E279" s="72"/>
      <c r="F279" s="77" t="str">
        <f aca="false">IF(A279="","",COUNTIF($A$6:A279,A279))</f>
        <v/>
      </c>
      <c r="G279" s="77" t="str">
        <f aca="false">IF(A279="","",A279&amp;"|"&amp;F279)</f>
        <v/>
      </c>
      <c r="H279" s="77" t="str">
        <f aca="false">IF(A279="","",SUMIFS('Release Log'!$D$6:$D$4005,'Release Log'!$B$6:$B$4005,A279,'Release Log'!$C$6:$C$4005,C279))</f>
        <v/>
      </c>
      <c r="I279" s="77" t="str">
        <f aca="false">IF(OR(A279="",N(E279)=0),"",INT(H279/E279))</f>
        <v/>
      </c>
      <c r="J279" s="77" t="str">
        <f aca="false">IF(A279="","",A279&amp;"|"&amp;C279)</f>
        <v/>
      </c>
    </row>
    <row r="280" customFormat="false" ht="15" hidden="false" customHeight="false" outlineLevel="0" collapsed="false">
      <c r="A280" s="71"/>
      <c r="B280" s="71"/>
      <c r="C280" s="71"/>
      <c r="D280" s="71"/>
      <c r="E280" s="72"/>
      <c r="F280" s="77" t="str">
        <f aca="false">IF(A280="","",COUNTIF($A$6:A280,A280))</f>
        <v/>
      </c>
      <c r="G280" s="77" t="str">
        <f aca="false">IF(A280="","",A280&amp;"|"&amp;F280)</f>
        <v/>
      </c>
      <c r="H280" s="77" t="str">
        <f aca="false">IF(A280="","",SUMIFS('Release Log'!$D$6:$D$4005,'Release Log'!$B$6:$B$4005,A280,'Release Log'!$C$6:$C$4005,C280))</f>
        <v/>
      </c>
      <c r="I280" s="77" t="str">
        <f aca="false">IF(OR(A280="",N(E280)=0),"",INT(H280/E280))</f>
        <v/>
      </c>
      <c r="J280" s="77" t="str">
        <f aca="false">IF(A280="","",A280&amp;"|"&amp;C280)</f>
        <v/>
      </c>
    </row>
    <row r="281" customFormat="false" ht="15" hidden="false" customHeight="false" outlineLevel="0" collapsed="false">
      <c r="A281" s="71"/>
      <c r="B281" s="71"/>
      <c r="C281" s="71"/>
      <c r="D281" s="71"/>
      <c r="E281" s="72"/>
      <c r="F281" s="77" t="str">
        <f aca="false">IF(A281="","",COUNTIF($A$6:A281,A281))</f>
        <v/>
      </c>
      <c r="G281" s="77" t="str">
        <f aca="false">IF(A281="","",A281&amp;"|"&amp;F281)</f>
        <v/>
      </c>
      <c r="H281" s="77" t="str">
        <f aca="false">IF(A281="","",SUMIFS('Release Log'!$D$6:$D$4005,'Release Log'!$B$6:$B$4005,A281,'Release Log'!$C$6:$C$4005,C281))</f>
        <v/>
      </c>
      <c r="I281" s="77" t="str">
        <f aca="false">IF(OR(A281="",N(E281)=0),"",INT(H281/E281))</f>
        <v/>
      </c>
      <c r="J281" s="77" t="str">
        <f aca="false">IF(A281="","",A281&amp;"|"&amp;C281)</f>
        <v/>
      </c>
    </row>
    <row r="282" customFormat="false" ht="15" hidden="false" customHeight="false" outlineLevel="0" collapsed="false">
      <c r="A282" s="71"/>
      <c r="B282" s="71"/>
      <c r="C282" s="71"/>
      <c r="D282" s="71"/>
      <c r="E282" s="72"/>
      <c r="F282" s="77" t="str">
        <f aca="false">IF(A282="","",COUNTIF($A$6:A282,A282))</f>
        <v/>
      </c>
      <c r="G282" s="77" t="str">
        <f aca="false">IF(A282="","",A282&amp;"|"&amp;F282)</f>
        <v/>
      </c>
      <c r="H282" s="77" t="str">
        <f aca="false">IF(A282="","",SUMIFS('Release Log'!$D$6:$D$4005,'Release Log'!$B$6:$B$4005,A282,'Release Log'!$C$6:$C$4005,C282))</f>
        <v/>
      </c>
      <c r="I282" s="77" t="str">
        <f aca="false">IF(OR(A282="",N(E282)=0),"",INT(H282/E282))</f>
        <v/>
      </c>
      <c r="J282" s="77" t="str">
        <f aca="false">IF(A282="","",A282&amp;"|"&amp;C282)</f>
        <v/>
      </c>
    </row>
    <row r="283" customFormat="false" ht="15" hidden="false" customHeight="false" outlineLevel="0" collapsed="false">
      <c r="A283" s="71"/>
      <c r="B283" s="71"/>
      <c r="C283" s="71"/>
      <c r="D283" s="71"/>
      <c r="E283" s="72"/>
      <c r="F283" s="77" t="str">
        <f aca="false">IF(A283="","",COUNTIF($A$6:A283,A283))</f>
        <v/>
      </c>
      <c r="G283" s="77" t="str">
        <f aca="false">IF(A283="","",A283&amp;"|"&amp;F283)</f>
        <v/>
      </c>
      <c r="H283" s="77" t="str">
        <f aca="false">IF(A283="","",SUMIFS('Release Log'!$D$6:$D$4005,'Release Log'!$B$6:$B$4005,A283,'Release Log'!$C$6:$C$4005,C283))</f>
        <v/>
      </c>
      <c r="I283" s="77" t="str">
        <f aca="false">IF(OR(A283="",N(E283)=0),"",INT(H283/E283))</f>
        <v/>
      </c>
      <c r="J283" s="77" t="str">
        <f aca="false">IF(A283="","",A283&amp;"|"&amp;C283)</f>
        <v/>
      </c>
    </row>
    <row r="284" customFormat="false" ht="15" hidden="false" customHeight="false" outlineLevel="0" collapsed="false">
      <c r="A284" s="71"/>
      <c r="B284" s="71"/>
      <c r="C284" s="71"/>
      <c r="D284" s="71"/>
      <c r="E284" s="72"/>
      <c r="F284" s="77" t="str">
        <f aca="false">IF(A284="","",COUNTIF($A$6:A284,A284))</f>
        <v/>
      </c>
      <c r="G284" s="77" t="str">
        <f aca="false">IF(A284="","",A284&amp;"|"&amp;F284)</f>
        <v/>
      </c>
      <c r="H284" s="77" t="str">
        <f aca="false">IF(A284="","",SUMIFS('Release Log'!$D$6:$D$4005,'Release Log'!$B$6:$B$4005,A284,'Release Log'!$C$6:$C$4005,C284))</f>
        <v/>
      </c>
      <c r="I284" s="77" t="str">
        <f aca="false">IF(OR(A284="",N(E284)=0),"",INT(H284/E284))</f>
        <v/>
      </c>
      <c r="J284" s="77" t="str">
        <f aca="false">IF(A284="","",A284&amp;"|"&amp;C284)</f>
        <v/>
      </c>
    </row>
    <row r="285" customFormat="false" ht="15" hidden="false" customHeight="false" outlineLevel="0" collapsed="false">
      <c r="A285" s="71"/>
      <c r="B285" s="71"/>
      <c r="C285" s="71"/>
      <c r="D285" s="71"/>
      <c r="E285" s="72"/>
      <c r="F285" s="77" t="str">
        <f aca="false">IF(A285="","",COUNTIF($A$6:A285,A285))</f>
        <v/>
      </c>
      <c r="G285" s="77" t="str">
        <f aca="false">IF(A285="","",A285&amp;"|"&amp;F285)</f>
        <v/>
      </c>
      <c r="H285" s="77" t="str">
        <f aca="false">IF(A285="","",SUMIFS('Release Log'!$D$6:$D$4005,'Release Log'!$B$6:$B$4005,A285,'Release Log'!$C$6:$C$4005,C285))</f>
        <v/>
      </c>
      <c r="I285" s="77" t="str">
        <f aca="false">IF(OR(A285="",N(E285)=0),"",INT(H285/E285))</f>
        <v/>
      </c>
      <c r="J285" s="77" t="str">
        <f aca="false">IF(A285="","",A285&amp;"|"&amp;C285)</f>
        <v/>
      </c>
    </row>
    <row r="286" customFormat="false" ht="15" hidden="false" customHeight="false" outlineLevel="0" collapsed="false">
      <c r="A286" s="71"/>
      <c r="B286" s="71"/>
      <c r="C286" s="71"/>
      <c r="D286" s="71"/>
      <c r="E286" s="72"/>
      <c r="F286" s="77" t="str">
        <f aca="false">IF(A286="","",COUNTIF($A$6:A286,A286))</f>
        <v/>
      </c>
      <c r="G286" s="77" t="str">
        <f aca="false">IF(A286="","",A286&amp;"|"&amp;F286)</f>
        <v/>
      </c>
      <c r="H286" s="77" t="str">
        <f aca="false">IF(A286="","",SUMIFS('Release Log'!$D$6:$D$4005,'Release Log'!$B$6:$B$4005,A286,'Release Log'!$C$6:$C$4005,C286))</f>
        <v/>
      </c>
      <c r="I286" s="77" t="str">
        <f aca="false">IF(OR(A286="",N(E286)=0),"",INT(H286/E286))</f>
        <v/>
      </c>
      <c r="J286" s="77" t="str">
        <f aca="false">IF(A286="","",A286&amp;"|"&amp;C286)</f>
        <v/>
      </c>
    </row>
    <row r="287" customFormat="false" ht="15" hidden="false" customHeight="false" outlineLevel="0" collapsed="false">
      <c r="A287" s="71"/>
      <c r="B287" s="71"/>
      <c r="C287" s="71"/>
      <c r="D287" s="71"/>
      <c r="E287" s="72"/>
      <c r="F287" s="77" t="str">
        <f aca="false">IF(A287="","",COUNTIF($A$6:A287,A287))</f>
        <v/>
      </c>
      <c r="G287" s="77" t="str">
        <f aca="false">IF(A287="","",A287&amp;"|"&amp;F287)</f>
        <v/>
      </c>
      <c r="H287" s="77" t="str">
        <f aca="false">IF(A287="","",SUMIFS('Release Log'!$D$6:$D$4005,'Release Log'!$B$6:$B$4005,A287,'Release Log'!$C$6:$C$4005,C287))</f>
        <v/>
      </c>
      <c r="I287" s="77" t="str">
        <f aca="false">IF(OR(A287="",N(E287)=0),"",INT(H287/E287))</f>
        <v/>
      </c>
      <c r="J287" s="77" t="str">
        <f aca="false">IF(A287="","",A287&amp;"|"&amp;C287)</f>
        <v/>
      </c>
    </row>
    <row r="288" customFormat="false" ht="15" hidden="false" customHeight="false" outlineLevel="0" collapsed="false">
      <c r="A288" s="71"/>
      <c r="B288" s="71"/>
      <c r="C288" s="71"/>
      <c r="D288" s="71"/>
      <c r="E288" s="72"/>
      <c r="F288" s="77" t="str">
        <f aca="false">IF(A288="","",COUNTIF($A$6:A288,A288))</f>
        <v/>
      </c>
      <c r="G288" s="77" t="str">
        <f aca="false">IF(A288="","",A288&amp;"|"&amp;F288)</f>
        <v/>
      </c>
      <c r="H288" s="77" t="str">
        <f aca="false">IF(A288="","",SUMIFS('Release Log'!$D$6:$D$4005,'Release Log'!$B$6:$B$4005,A288,'Release Log'!$C$6:$C$4005,C288))</f>
        <v/>
      </c>
      <c r="I288" s="77" t="str">
        <f aca="false">IF(OR(A288="",N(E288)=0),"",INT(H288/E288))</f>
        <v/>
      </c>
      <c r="J288" s="77" t="str">
        <f aca="false">IF(A288="","",A288&amp;"|"&amp;C288)</f>
        <v/>
      </c>
    </row>
    <row r="289" customFormat="false" ht="15" hidden="false" customHeight="false" outlineLevel="0" collapsed="false">
      <c r="A289" s="71"/>
      <c r="B289" s="71"/>
      <c r="C289" s="71"/>
      <c r="D289" s="71"/>
      <c r="E289" s="72"/>
      <c r="F289" s="77" t="str">
        <f aca="false">IF(A289="","",COUNTIF($A$6:A289,A289))</f>
        <v/>
      </c>
      <c r="G289" s="77" t="str">
        <f aca="false">IF(A289="","",A289&amp;"|"&amp;F289)</f>
        <v/>
      </c>
      <c r="H289" s="77" t="str">
        <f aca="false">IF(A289="","",SUMIFS('Release Log'!$D$6:$D$4005,'Release Log'!$B$6:$B$4005,A289,'Release Log'!$C$6:$C$4005,C289))</f>
        <v/>
      </c>
      <c r="I289" s="77" t="str">
        <f aca="false">IF(OR(A289="",N(E289)=0),"",INT(H289/E289))</f>
        <v/>
      </c>
      <c r="J289" s="77" t="str">
        <f aca="false">IF(A289="","",A289&amp;"|"&amp;C289)</f>
        <v/>
      </c>
    </row>
    <row r="290" customFormat="false" ht="15" hidden="false" customHeight="false" outlineLevel="0" collapsed="false">
      <c r="A290" s="71"/>
      <c r="B290" s="71"/>
      <c r="C290" s="71"/>
      <c r="D290" s="71"/>
      <c r="E290" s="72"/>
      <c r="F290" s="77" t="str">
        <f aca="false">IF(A290="","",COUNTIF($A$6:A290,A290))</f>
        <v/>
      </c>
      <c r="G290" s="77" t="str">
        <f aca="false">IF(A290="","",A290&amp;"|"&amp;F290)</f>
        <v/>
      </c>
      <c r="H290" s="77" t="str">
        <f aca="false">IF(A290="","",SUMIFS('Release Log'!$D$6:$D$4005,'Release Log'!$B$6:$B$4005,A290,'Release Log'!$C$6:$C$4005,C290))</f>
        <v/>
      </c>
      <c r="I290" s="77" t="str">
        <f aca="false">IF(OR(A290="",N(E290)=0),"",INT(H290/E290))</f>
        <v/>
      </c>
      <c r="J290" s="77" t="str">
        <f aca="false">IF(A290="","",A290&amp;"|"&amp;C290)</f>
        <v/>
      </c>
    </row>
    <row r="291" customFormat="false" ht="15" hidden="false" customHeight="false" outlineLevel="0" collapsed="false">
      <c r="A291" s="71"/>
      <c r="B291" s="71"/>
      <c r="C291" s="71"/>
      <c r="D291" s="71"/>
      <c r="E291" s="72"/>
      <c r="F291" s="77" t="str">
        <f aca="false">IF(A291="","",COUNTIF($A$6:A291,A291))</f>
        <v/>
      </c>
      <c r="G291" s="77" t="str">
        <f aca="false">IF(A291="","",A291&amp;"|"&amp;F291)</f>
        <v/>
      </c>
      <c r="H291" s="77" t="str">
        <f aca="false">IF(A291="","",SUMIFS('Release Log'!$D$6:$D$4005,'Release Log'!$B$6:$B$4005,A291,'Release Log'!$C$6:$C$4005,C291))</f>
        <v/>
      </c>
      <c r="I291" s="77" t="str">
        <f aca="false">IF(OR(A291="",N(E291)=0),"",INT(H291/E291))</f>
        <v/>
      </c>
      <c r="J291" s="77" t="str">
        <f aca="false">IF(A291="","",A291&amp;"|"&amp;C291)</f>
        <v/>
      </c>
    </row>
    <row r="292" customFormat="false" ht="15" hidden="false" customHeight="false" outlineLevel="0" collapsed="false">
      <c r="A292" s="71"/>
      <c r="B292" s="71"/>
      <c r="C292" s="71"/>
      <c r="D292" s="71"/>
      <c r="E292" s="72"/>
      <c r="F292" s="77" t="str">
        <f aca="false">IF(A292="","",COUNTIF($A$6:A292,A292))</f>
        <v/>
      </c>
      <c r="G292" s="77" t="str">
        <f aca="false">IF(A292="","",A292&amp;"|"&amp;F292)</f>
        <v/>
      </c>
      <c r="H292" s="77" t="str">
        <f aca="false">IF(A292="","",SUMIFS('Release Log'!$D$6:$D$4005,'Release Log'!$B$6:$B$4005,A292,'Release Log'!$C$6:$C$4005,C292))</f>
        <v/>
      </c>
      <c r="I292" s="77" t="str">
        <f aca="false">IF(OR(A292="",N(E292)=0),"",INT(H292/E292))</f>
        <v/>
      </c>
      <c r="J292" s="77" t="str">
        <f aca="false">IF(A292="","",A292&amp;"|"&amp;C292)</f>
        <v/>
      </c>
    </row>
    <row r="293" customFormat="false" ht="15" hidden="false" customHeight="false" outlineLevel="0" collapsed="false">
      <c r="A293" s="71"/>
      <c r="B293" s="71"/>
      <c r="C293" s="71"/>
      <c r="D293" s="71"/>
      <c r="E293" s="72"/>
      <c r="F293" s="77" t="str">
        <f aca="false">IF(A293="","",COUNTIF($A$6:A293,A293))</f>
        <v/>
      </c>
      <c r="G293" s="77" t="str">
        <f aca="false">IF(A293="","",A293&amp;"|"&amp;F293)</f>
        <v/>
      </c>
      <c r="H293" s="77" t="str">
        <f aca="false">IF(A293="","",SUMIFS('Release Log'!$D$6:$D$4005,'Release Log'!$B$6:$B$4005,A293,'Release Log'!$C$6:$C$4005,C293))</f>
        <v/>
      </c>
      <c r="I293" s="77" t="str">
        <f aca="false">IF(OR(A293="",N(E293)=0),"",INT(H293/E293))</f>
        <v/>
      </c>
      <c r="J293" s="77" t="str">
        <f aca="false">IF(A293="","",A293&amp;"|"&amp;C293)</f>
        <v/>
      </c>
    </row>
    <row r="294" customFormat="false" ht="15" hidden="false" customHeight="false" outlineLevel="0" collapsed="false">
      <c r="A294" s="71"/>
      <c r="B294" s="71"/>
      <c r="C294" s="71"/>
      <c r="D294" s="71"/>
      <c r="E294" s="72"/>
      <c r="F294" s="77" t="str">
        <f aca="false">IF(A294="","",COUNTIF($A$6:A294,A294))</f>
        <v/>
      </c>
      <c r="G294" s="77" t="str">
        <f aca="false">IF(A294="","",A294&amp;"|"&amp;F294)</f>
        <v/>
      </c>
      <c r="H294" s="77" t="str">
        <f aca="false">IF(A294="","",SUMIFS('Release Log'!$D$6:$D$4005,'Release Log'!$B$6:$B$4005,A294,'Release Log'!$C$6:$C$4005,C294))</f>
        <v/>
      </c>
      <c r="I294" s="77" t="str">
        <f aca="false">IF(OR(A294="",N(E294)=0),"",INT(H294/E294))</f>
        <v/>
      </c>
      <c r="J294" s="77" t="str">
        <f aca="false">IF(A294="","",A294&amp;"|"&amp;C294)</f>
        <v/>
      </c>
    </row>
    <row r="295" customFormat="false" ht="15" hidden="false" customHeight="false" outlineLevel="0" collapsed="false">
      <c r="A295" s="71"/>
      <c r="B295" s="71"/>
      <c r="C295" s="71"/>
      <c r="D295" s="71"/>
      <c r="E295" s="72"/>
      <c r="F295" s="77" t="str">
        <f aca="false">IF(A295="","",COUNTIF($A$6:A295,A295))</f>
        <v/>
      </c>
      <c r="G295" s="77" t="str">
        <f aca="false">IF(A295="","",A295&amp;"|"&amp;F295)</f>
        <v/>
      </c>
      <c r="H295" s="77" t="str">
        <f aca="false">IF(A295="","",SUMIFS('Release Log'!$D$6:$D$4005,'Release Log'!$B$6:$B$4005,A295,'Release Log'!$C$6:$C$4005,C295))</f>
        <v/>
      </c>
      <c r="I295" s="77" t="str">
        <f aca="false">IF(OR(A295="",N(E295)=0),"",INT(H295/E295))</f>
        <v/>
      </c>
      <c r="J295" s="77" t="str">
        <f aca="false">IF(A295="","",A295&amp;"|"&amp;C295)</f>
        <v/>
      </c>
    </row>
    <row r="296" customFormat="false" ht="15" hidden="false" customHeight="false" outlineLevel="0" collapsed="false">
      <c r="A296" s="71"/>
      <c r="B296" s="71"/>
      <c r="C296" s="71"/>
      <c r="D296" s="71"/>
      <c r="E296" s="72"/>
      <c r="F296" s="77" t="str">
        <f aca="false">IF(A296="","",COUNTIF($A$6:A296,A296))</f>
        <v/>
      </c>
      <c r="G296" s="77" t="str">
        <f aca="false">IF(A296="","",A296&amp;"|"&amp;F296)</f>
        <v/>
      </c>
      <c r="H296" s="77" t="str">
        <f aca="false">IF(A296="","",SUMIFS('Release Log'!$D$6:$D$4005,'Release Log'!$B$6:$B$4005,A296,'Release Log'!$C$6:$C$4005,C296))</f>
        <v/>
      </c>
      <c r="I296" s="77" t="str">
        <f aca="false">IF(OR(A296="",N(E296)=0),"",INT(H296/E296))</f>
        <v/>
      </c>
      <c r="J296" s="77" t="str">
        <f aca="false">IF(A296="","",A296&amp;"|"&amp;C296)</f>
        <v/>
      </c>
    </row>
    <row r="297" customFormat="false" ht="15" hidden="false" customHeight="false" outlineLevel="0" collapsed="false">
      <c r="A297" s="71"/>
      <c r="B297" s="71"/>
      <c r="C297" s="71"/>
      <c r="D297" s="71"/>
      <c r="E297" s="72"/>
      <c r="F297" s="77" t="str">
        <f aca="false">IF(A297="","",COUNTIF($A$6:A297,A297))</f>
        <v/>
      </c>
      <c r="G297" s="77" t="str">
        <f aca="false">IF(A297="","",A297&amp;"|"&amp;F297)</f>
        <v/>
      </c>
      <c r="H297" s="77" t="str">
        <f aca="false">IF(A297="","",SUMIFS('Release Log'!$D$6:$D$4005,'Release Log'!$B$6:$B$4005,A297,'Release Log'!$C$6:$C$4005,C297))</f>
        <v/>
      </c>
      <c r="I297" s="77" t="str">
        <f aca="false">IF(OR(A297="",N(E297)=0),"",INT(H297/E297))</f>
        <v/>
      </c>
      <c r="J297" s="77" t="str">
        <f aca="false">IF(A297="","",A297&amp;"|"&amp;C297)</f>
        <v/>
      </c>
    </row>
    <row r="298" customFormat="false" ht="15" hidden="false" customHeight="false" outlineLevel="0" collapsed="false">
      <c r="A298" s="71"/>
      <c r="B298" s="71"/>
      <c r="C298" s="71"/>
      <c r="D298" s="71"/>
      <c r="E298" s="72"/>
      <c r="F298" s="77" t="str">
        <f aca="false">IF(A298="","",COUNTIF($A$6:A298,A298))</f>
        <v/>
      </c>
      <c r="G298" s="77" t="str">
        <f aca="false">IF(A298="","",A298&amp;"|"&amp;F298)</f>
        <v/>
      </c>
      <c r="H298" s="77" t="str">
        <f aca="false">IF(A298="","",SUMIFS('Release Log'!$D$6:$D$4005,'Release Log'!$B$6:$B$4005,A298,'Release Log'!$C$6:$C$4005,C298))</f>
        <v/>
      </c>
      <c r="I298" s="77" t="str">
        <f aca="false">IF(OR(A298="",N(E298)=0),"",INT(H298/E298))</f>
        <v/>
      </c>
      <c r="J298" s="77" t="str">
        <f aca="false">IF(A298="","",A298&amp;"|"&amp;C298)</f>
        <v/>
      </c>
    </row>
    <row r="299" customFormat="false" ht="15" hidden="false" customHeight="false" outlineLevel="0" collapsed="false">
      <c r="A299" s="71"/>
      <c r="B299" s="71"/>
      <c r="C299" s="71"/>
      <c r="D299" s="71"/>
      <c r="E299" s="72"/>
      <c r="F299" s="77" t="str">
        <f aca="false">IF(A299="","",COUNTIF($A$6:A299,A299))</f>
        <v/>
      </c>
      <c r="G299" s="77" t="str">
        <f aca="false">IF(A299="","",A299&amp;"|"&amp;F299)</f>
        <v/>
      </c>
      <c r="H299" s="77" t="str">
        <f aca="false">IF(A299="","",SUMIFS('Release Log'!$D$6:$D$4005,'Release Log'!$B$6:$B$4005,A299,'Release Log'!$C$6:$C$4005,C299))</f>
        <v/>
      </c>
      <c r="I299" s="77" t="str">
        <f aca="false">IF(OR(A299="",N(E299)=0),"",INT(H299/E299))</f>
        <v/>
      </c>
      <c r="J299" s="77" t="str">
        <f aca="false">IF(A299="","",A299&amp;"|"&amp;C299)</f>
        <v/>
      </c>
    </row>
    <row r="300" customFormat="false" ht="15" hidden="false" customHeight="false" outlineLevel="0" collapsed="false">
      <c r="A300" s="71"/>
      <c r="B300" s="71"/>
      <c r="C300" s="71"/>
      <c r="D300" s="71"/>
      <c r="E300" s="72"/>
      <c r="F300" s="77" t="str">
        <f aca="false">IF(A300="","",COUNTIF($A$6:A300,A300))</f>
        <v/>
      </c>
      <c r="G300" s="77" t="str">
        <f aca="false">IF(A300="","",A300&amp;"|"&amp;F300)</f>
        <v/>
      </c>
      <c r="H300" s="77" t="str">
        <f aca="false">IF(A300="","",SUMIFS('Release Log'!$D$6:$D$4005,'Release Log'!$B$6:$B$4005,A300,'Release Log'!$C$6:$C$4005,C300))</f>
        <v/>
      </c>
      <c r="I300" s="77" t="str">
        <f aca="false">IF(OR(A300="",N(E300)=0),"",INT(H300/E300))</f>
        <v/>
      </c>
      <c r="J300" s="77" t="str">
        <f aca="false">IF(A300="","",A300&amp;"|"&amp;C300)</f>
        <v/>
      </c>
    </row>
    <row r="301" customFormat="false" ht="15" hidden="false" customHeight="false" outlineLevel="0" collapsed="false">
      <c r="A301" s="71"/>
      <c r="B301" s="71"/>
      <c r="C301" s="71"/>
      <c r="D301" s="71"/>
      <c r="E301" s="72"/>
      <c r="F301" s="77" t="str">
        <f aca="false">IF(A301="","",COUNTIF($A$6:A301,A301))</f>
        <v/>
      </c>
      <c r="G301" s="77" t="str">
        <f aca="false">IF(A301="","",A301&amp;"|"&amp;F301)</f>
        <v/>
      </c>
      <c r="H301" s="77" t="str">
        <f aca="false">IF(A301="","",SUMIFS('Release Log'!$D$6:$D$4005,'Release Log'!$B$6:$B$4005,A301,'Release Log'!$C$6:$C$4005,C301))</f>
        <v/>
      </c>
      <c r="I301" s="77" t="str">
        <f aca="false">IF(OR(A301="",N(E301)=0),"",INT(H301/E301))</f>
        <v/>
      </c>
      <c r="J301" s="77" t="str">
        <f aca="false">IF(A301="","",A301&amp;"|"&amp;C301)</f>
        <v/>
      </c>
    </row>
    <row r="302" customFormat="false" ht="15" hidden="false" customHeight="false" outlineLevel="0" collapsed="false">
      <c r="A302" s="71"/>
      <c r="B302" s="71"/>
      <c r="C302" s="71"/>
      <c r="D302" s="71"/>
      <c r="E302" s="72"/>
      <c r="F302" s="77" t="str">
        <f aca="false">IF(A302="","",COUNTIF($A$6:A302,A302))</f>
        <v/>
      </c>
      <c r="G302" s="77" t="str">
        <f aca="false">IF(A302="","",A302&amp;"|"&amp;F302)</f>
        <v/>
      </c>
      <c r="H302" s="77" t="str">
        <f aca="false">IF(A302="","",SUMIFS('Release Log'!$D$6:$D$4005,'Release Log'!$B$6:$B$4005,A302,'Release Log'!$C$6:$C$4005,C302))</f>
        <v/>
      </c>
      <c r="I302" s="77" t="str">
        <f aca="false">IF(OR(A302="",N(E302)=0),"",INT(H302/E302))</f>
        <v/>
      </c>
      <c r="J302" s="77" t="str">
        <f aca="false">IF(A302="","",A302&amp;"|"&amp;C302)</f>
        <v/>
      </c>
    </row>
    <row r="303" customFormat="false" ht="15" hidden="false" customHeight="false" outlineLevel="0" collapsed="false">
      <c r="A303" s="71"/>
      <c r="B303" s="71"/>
      <c r="C303" s="71"/>
      <c r="D303" s="71"/>
      <c r="E303" s="72"/>
      <c r="F303" s="77" t="str">
        <f aca="false">IF(A303="","",COUNTIF($A$6:A303,A303))</f>
        <v/>
      </c>
      <c r="G303" s="77" t="str">
        <f aca="false">IF(A303="","",A303&amp;"|"&amp;F303)</f>
        <v/>
      </c>
      <c r="H303" s="77" t="str">
        <f aca="false">IF(A303="","",SUMIFS('Release Log'!$D$6:$D$4005,'Release Log'!$B$6:$B$4005,A303,'Release Log'!$C$6:$C$4005,C303))</f>
        <v/>
      </c>
      <c r="I303" s="77" t="str">
        <f aca="false">IF(OR(A303="",N(E303)=0),"",INT(H303/E303))</f>
        <v/>
      </c>
      <c r="J303" s="77" t="str">
        <f aca="false">IF(A303="","",A303&amp;"|"&amp;C303)</f>
        <v/>
      </c>
    </row>
    <row r="304" customFormat="false" ht="15" hidden="false" customHeight="false" outlineLevel="0" collapsed="false">
      <c r="A304" s="71"/>
      <c r="B304" s="71"/>
      <c r="C304" s="71"/>
      <c r="D304" s="71"/>
      <c r="E304" s="72"/>
      <c r="F304" s="77" t="str">
        <f aca="false">IF(A304="","",COUNTIF($A$6:A304,A304))</f>
        <v/>
      </c>
      <c r="G304" s="77" t="str">
        <f aca="false">IF(A304="","",A304&amp;"|"&amp;F304)</f>
        <v/>
      </c>
      <c r="H304" s="77" t="str">
        <f aca="false">IF(A304="","",SUMIFS('Release Log'!$D$6:$D$4005,'Release Log'!$B$6:$B$4005,A304,'Release Log'!$C$6:$C$4005,C304))</f>
        <v/>
      </c>
      <c r="I304" s="77" t="str">
        <f aca="false">IF(OR(A304="",N(E304)=0),"",INT(H304/E304))</f>
        <v/>
      </c>
      <c r="J304" s="77" t="str">
        <f aca="false">IF(A304="","",A304&amp;"|"&amp;C304)</f>
        <v/>
      </c>
    </row>
    <row r="305" customFormat="false" ht="15" hidden="false" customHeight="false" outlineLevel="0" collapsed="false">
      <c r="A305" s="71"/>
      <c r="B305" s="71"/>
      <c r="C305" s="71"/>
      <c r="D305" s="71"/>
      <c r="E305" s="72"/>
      <c r="F305" s="77" t="str">
        <f aca="false">IF(A305="","",COUNTIF($A$6:A305,A305))</f>
        <v/>
      </c>
      <c r="G305" s="77" t="str">
        <f aca="false">IF(A305="","",A305&amp;"|"&amp;F305)</f>
        <v/>
      </c>
      <c r="H305" s="77" t="str">
        <f aca="false">IF(A305="","",SUMIFS('Release Log'!$D$6:$D$4005,'Release Log'!$B$6:$B$4005,A305,'Release Log'!$C$6:$C$4005,C305))</f>
        <v/>
      </c>
      <c r="I305" s="77" t="str">
        <f aca="false">IF(OR(A305="",N(E305)=0),"",INT(H305/E305))</f>
        <v/>
      </c>
      <c r="J305" s="77" t="str">
        <f aca="false">IF(A305="","",A305&amp;"|"&amp;C305)</f>
        <v/>
      </c>
    </row>
    <row r="306" customFormat="false" ht="15" hidden="false" customHeight="false" outlineLevel="0" collapsed="false">
      <c r="A306" s="71"/>
      <c r="B306" s="71"/>
      <c r="C306" s="71"/>
      <c r="D306" s="71"/>
      <c r="E306" s="72"/>
      <c r="F306" s="77" t="str">
        <f aca="false">IF(A306="","",COUNTIF($A$6:A306,A306))</f>
        <v/>
      </c>
      <c r="G306" s="77" t="str">
        <f aca="false">IF(A306="","",A306&amp;"|"&amp;F306)</f>
        <v/>
      </c>
      <c r="H306" s="77" t="str">
        <f aca="false">IF(A306="","",SUMIFS('Release Log'!$D$6:$D$4005,'Release Log'!$B$6:$B$4005,A306,'Release Log'!$C$6:$C$4005,C306))</f>
        <v/>
      </c>
      <c r="I306" s="77" t="str">
        <f aca="false">IF(OR(A306="",N(E306)=0),"",INT(H306/E306))</f>
        <v/>
      </c>
      <c r="J306" s="77" t="str">
        <f aca="false">IF(A306="","",A306&amp;"|"&amp;C306)</f>
        <v/>
      </c>
    </row>
    <row r="307" customFormat="false" ht="15" hidden="false" customHeight="false" outlineLevel="0" collapsed="false">
      <c r="A307" s="71"/>
      <c r="B307" s="71"/>
      <c r="C307" s="71"/>
      <c r="D307" s="71"/>
      <c r="E307" s="72"/>
      <c r="F307" s="77" t="str">
        <f aca="false">IF(A307="","",COUNTIF($A$6:A307,A307))</f>
        <v/>
      </c>
      <c r="G307" s="77" t="str">
        <f aca="false">IF(A307="","",A307&amp;"|"&amp;F307)</f>
        <v/>
      </c>
      <c r="H307" s="77" t="str">
        <f aca="false">IF(A307="","",SUMIFS('Release Log'!$D$6:$D$4005,'Release Log'!$B$6:$B$4005,A307,'Release Log'!$C$6:$C$4005,C307))</f>
        <v/>
      </c>
      <c r="I307" s="77" t="str">
        <f aca="false">IF(OR(A307="",N(E307)=0),"",INT(H307/E307))</f>
        <v/>
      </c>
      <c r="J307" s="77" t="str">
        <f aca="false">IF(A307="","",A307&amp;"|"&amp;C307)</f>
        <v/>
      </c>
    </row>
    <row r="308" customFormat="false" ht="15" hidden="false" customHeight="false" outlineLevel="0" collapsed="false">
      <c r="A308" s="71"/>
      <c r="B308" s="71"/>
      <c r="C308" s="71"/>
      <c r="D308" s="71"/>
      <c r="E308" s="72"/>
      <c r="F308" s="77" t="str">
        <f aca="false">IF(A308="","",COUNTIF($A$6:A308,A308))</f>
        <v/>
      </c>
      <c r="G308" s="77" t="str">
        <f aca="false">IF(A308="","",A308&amp;"|"&amp;F308)</f>
        <v/>
      </c>
      <c r="H308" s="77" t="str">
        <f aca="false">IF(A308="","",SUMIFS('Release Log'!$D$6:$D$4005,'Release Log'!$B$6:$B$4005,A308,'Release Log'!$C$6:$C$4005,C308))</f>
        <v/>
      </c>
      <c r="I308" s="77" t="str">
        <f aca="false">IF(OR(A308="",N(E308)=0),"",INT(H308/E308))</f>
        <v/>
      </c>
      <c r="J308" s="77" t="str">
        <f aca="false">IF(A308="","",A308&amp;"|"&amp;C308)</f>
        <v/>
      </c>
    </row>
    <row r="309" customFormat="false" ht="15" hidden="false" customHeight="false" outlineLevel="0" collapsed="false">
      <c r="A309" s="71"/>
      <c r="B309" s="71"/>
      <c r="C309" s="71"/>
      <c r="D309" s="71"/>
      <c r="E309" s="72"/>
      <c r="F309" s="77" t="str">
        <f aca="false">IF(A309="","",COUNTIF($A$6:A309,A309))</f>
        <v/>
      </c>
      <c r="G309" s="77" t="str">
        <f aca="false">IF(A309="","",A309&amp;"|"&amp;F309)</f>
        <v/>
      </c>
      <c r="H309" s="77" t="str">
        <f aca="false">IF(A309="","",SUMIFS('Release Log'!$D$6:$D$4005,'Release Log'!$B$6:$B$4005,A309,'Release Log'!$C$6:$C$4005,C309))</f>
        <v/>
      </c>
      <c r="I309" s="77" t="str">
        <f aca="false">IF(OR(A309="",N(E309)=0),"",INT(H309/E309))</f>
        <v/>
      </c>
      <c r="J309" s="77" t="str">
        <f aca="false">IF(A309="","",A309&amp;"|"&amp;C309)</f>
        <v/>
      </c>
    </row>
    <row r="310" customFormat="false" ht="15" hidden="false" customHeight="false" outlineLevel="0" collapsed="false">
      <c r="A310" s="71"/>
      <c r="B310" s="71"/>
      <c r="C310" s="71"/>
      <c r="D310" s="71"/>
      <c r="E310" s="72"/>
      <c r="F310" s="77" t="str">
        <f aca="false">IF(A310="","",COUNTIF($A$6:A310,A310))</f>
        <v/>
      </c>
      <c r="G310" s="77" t="str">
        <f aca="false">IF(A310="","",A310&amp;"|"&amp;F310)</f>
        <v/>
      </c>
      <c r="H310" s="77" t="str">
        <f aca="false">IF(A310="","",SUMIFS('Release Log'!$D$6:$D$4005,'Release Log'!$B$6:$B$4005,A310,'Release Log'!$C$6:$C$4005,C310))</f>
        <v/>
      </c>
      <c r="I310" s="77" t="str">
        <f aca="false">IF(OR(A310="",N(E310)=0),"",INT(H310/E310))</f>
        <v/>
      </c>
      <c r="J310" s="77" t="str">
        <f aca="false">IF(A310="","",A310&amp;"|"&amp;C310)</f>
        <v/>
      </c>
    </row>
    <row r="311" customFormat="false" ht="15" hidden="false" customHeight="false" outlineLevel="0" collapsed="false">
      <c r="A311" s="71"/>
      <c r="B311" s="71"/>
      <c r="C311" s="71"/>
      <c r="D311" s="71"/>
      <c r="E311" s="72"/>
      <c r="F311" s="77" t="str">
        <f aca="false">IF(A311="","",COUNTIF($A$6:A311,A311))</f>
        <v/>
      </c>
      <c r="G311" s="77" t="str">
        <f aca="false">IF(A311="","",A311&amp;"|"&amp;F311)</f>
        <v/>
      </c>
      <c r="H311" s="77" t="str">
        <f aca="false">IF(A311="","",SUMIFS('Release Log'!$D$6:$D$4005,'Release Log'!$B$6:$B$4005,A311,'Release Log'!$C$6:$C$4005,C311))</f>
        <v/>
      </c>
      <c r="I311" s="77" t="str">
        <f aca="false">IF(OR(A311="",N(E311)=0),"",INT(H311/E311))</f>
        <v/>
      </c>
      <c r="J311" s="77" t="str">
        <f aca="false">IF(A311="","",A311&amp;"|"&amp;C311)</f>
        <v/>
      </c>
    </row>
    <row r="312" customFormat="false" ht="15" hidden="false" customHeight="false" outlineLevel="0" collapsed="false">
      <c r="A312" s="71"/>
      <c r="B312" s="71"/>
      <c r="C312" s="71"/>
      <c r="D312" s="71"/>
      <c r="E312" s="72"/>
      <c r="F312" s="77" t="str">
        <f aca="false">IF(A312="","",COUNTIF($A$6:A312,A312))</f>
        <v/>
      </c>
      <c r="G312" s="77" t="str">
        <f aca="false">IF(A312="","",A312&amp;"|"&amp;F312)</f>
        <v/>
      </c>
      <c r="H312" s="77" t="str">
        <f aca="false">IF(A312="","",SUMIFS('Release Log'!$D$6:$D$4005,'Release Log'!$B$6:$B$4005,A312,'Release Log'!$C$6:$C$4005,C312))</f>
        <v/>
      </c>
      <c r="I312" s="77" t="str">
        <f aca="false">IF(OR(A312="",N(E312)=0),"",INT(H312/E312))</f>
        <v/>
      </c>
      <c r="J312" s="77" t="str">
        <f aca="false">IF(A312="","",A312&amp;"|"&amp;C312)</f>
        <v/>
      </c>
    </row>
    <row r="313" customFormat="false" ht="15" hidden="false" customHeight="false" outlineLevel="0" collapsed="false">
      <c r="A313" s="71"/>
      <c r="B313" s="71"/>
      <c r="C313" s="71"/>
      <c r="D313" s="71"/>
      <c r="E313" s="72"/>
      <c r="F313" s="77" t="str">
        <f aca="false">IF(A313="","",COUNTIF($A$6:A313,A313))</f>
        <v/>
      </c>
      <c r="G313" s="77" t="str">
        <f aca="false">IF(A313="","",A313&amp;"|"&amp;F313)</f>
        <v/>
      </c>
      <c r="H313" s="77" t="str">
        <f aca="false">IF(A313="","",SUMIFS('Release Log'!$D$6:$D$4005,'Release Log'!$B$6:$B$4005,A313,'Release Log'!$C$6:$C$4005,C313))</f>
        <v/>
      </c>
      <c r="I313" s="77" t="str">
        <f aca="false">IF(OR(A313="",N(E313)=0),"",INT(H313/E313))</f>
        <v/>
      </c>
      <c r="J313" s="77" t="str">
        <f aca="false">IF(A313="","",A313&amp;"|"&amp;C313)</f>
        <v/>
      </c>
    </row>
    <row r="314" customFormat="false" ht="15" hidden="false" customHeight="false" outlineLevel="0" collapsed="false">
      <c r="A314" s="71"/>
      <c r="B314" s="71"/>
      <c r="C314" s="71"/>
      <c r="D314" s="71"/>
      <c r="E314" s="72"/>
      <c r="F314" s="77" t="str">
        <f aca="false">IF(A314="","",COUNTIF($A$6:A314,A314))</f>
        <v/>
      </c>
      <c r="G314" s="77" t="str">
        <f aca="false">IF(A314="","",A314&amp;"|"&amp;F314)</f>
        <v/>
      </c>
      <c r="H314" s="77" t="str">
        <f aca="false">IF(A314="","",SUMIFS('Release Log'!$D$6:$D$4005,'Release Log'!$B$6:$B$4005,A314,'Release Log'!$C$6:$C$4005,C314))</f>
        <v/>
      </c>
      <c r="I314" s="77" t="str">
        <f aca="false">IF(OR(A314="",N(E314)=0),"",INT(H314/E314))</f>
        <v/>
      </c>
      <c r="J314" s="77" t="str">
        <f aca="false">IF(A314="","",A314&amp;"|"&amp;C314)</f>
        <v/>
      </c>
    </row>
    <row r="315" customFormat="false" ht="15" hidden="false" customHeight="false" outlineLevel="0" collapsed="false">
      <c r="A315" s="71"/>
      <c r="B315" s="71"/>
      <c r="C315" s="71"/>
      <c r="D315" s="71"/>
      <c r="E315" s="72"/>
      <c r="F315" s="77" t="str">
        <f aca="false">IF(A315="","",COUNTIF($A$6:A315,A315))</f>
        <v/>
      </c>
      <c r="G315" s="77" t="str">
        <f aca="false">IF(A315="","",A315&amp;"|"&amp;F315)</f>
        <v/>
      </c>
      <c r="H315" s="77" t="str">
        <f aca="false">IF(A315="","",SUMIFS('Release Log'!$D$6:$D$4005,'Release Log'!$B$6:$B$4005,A315,'Release Log'!$C$6:$C$4005,C315))</f>
        <v/>
      </c>
      <c r="I315" s="77" t="str">
        <f aca="false">IF(OR(A315="",N(E315)=0),"",INT(H315/E315))</f>
        <v/>
      </c>
      <c r="J315" s="77" t="str">
        <f aca="false">IF(A315="","",A315&amp;"|"&amp;C315)</f>
        <v/>
      </c>
    </row>
    <row r="316" customFormat="false" ht="15" hidden="false" customHeight="false" outlineLevel="0" collapsed="false">
      <c r="A316" s="71"/>
      <c r="B316" s="71"/>
      <c r="C316" s="71"/>
      <c r="D316" s="71"/>
      <c r="E316" s="72"/>
      <c r="F316" s="77" t="str">
        <f aca="false">IF(A316="","",COUNTIF($A$6:A316,A316))</f>
        <v/>
      </c>
      <c r="G316" s="77" t="str">
        <f aca="false">IF(A316="","",A316&amp;"|"&amp;F316)</f>
        <v/>
      </c>
      <c r="H316" s="77" t="str">
        <f aca="false">IF(A316="","",SUMIFS('Release Log'!$D$6:$D$4005,'Release Log'!$B$6:$B$4005,A316,'Release Log'!$C$6:$C$4005,C316))</f>
        <v/>
      </c>
      <c r="I316" s="77" t="str">
        <f aca="false">IF(OR(A316="",N(E316)=0),"",INT(H316/E316))</f>
        <v/>
      </c>
      <c r="J316" s="77" t="str">
        <f aca="false">IF(A316="","",A316&amp;"|"&amp;C316)</f>
        <v/>
      </c>
    </row>
    <row r="317" customFormat="false" ht="15" hidden="false" customHeight="false" outlineLevel="0" collapsed="false">
      <c r="A317" s="71"/>
      <c r="B317" s="71"/>
      <c r="C317" s="71"/>
      <c r="D317" s="71"/>
      <c r="E317" s="72"/>
      <c r="F317" s="77" t="str">
        <f aca="false">IF(A317="","",COUNTIF($A$6:A317,A317))</f>
        <v/>
      </c>
      <c r="G317" s="77" t="str">
        <f aca="false">IF(A317="","",A317&amp;"|"&amp;F317)</f>
        <v/>
      </c>
      <c r="H317" s="77" t="str">
        <f aca="false">IF(A317="","",SUMIFS('Release Log'!$D$6:$D$4005,'Release Log'!$B$6:$B$4005,A317,'Release Log'!$C$6:$C$4005,C317))</f>
        <v/>
      </c>
      <c r="I317" s="77" t="str">
        <f aca="false">IF(OR(A317="",N(E317)=0),"",INT(H317/E317))</f>
        <v/>
      </c>
      <c r="J317" s="77" t="str">
        <f aca="false">IF(A317="","",A317&amp;"|"&amp;C317)</f>
        <v/>
      </c>
    </row>
    <row r="318" customFormat="false" ht="15" hidden="false" customHeight="false" outlineLevel="0" collapsed="false">
      <c r="A318" s="71"/>
      <c r="B318" s="71"/>
      <c r="C318" s="71"/>
      <c r="D318" s="71"/>
      <c r="E318" s="72"/>
      <c r="F318" s="77" t="str">
        <f aca="false">IF(A318="","",COUNTIF($A$6:A318,A318))</f>
        <v/>
      </c>
      <c r="G318" s="77" t="str">
        <f aca="false">IF(A318="","",A318&amp;"|"&amp;F318)</f>
        <v/>
      </c>
      <c r="H318" s="77" t="str">
        <f aca="false">IF(A318="","",SUMIFS('Release Log'!$D$6:$D$4005,'Release Log'!$B$6:$B$4005,A318,'Release Log'!$C$6:$C$4005,C318))</f>
        <v/>
      </c>
      <c r="I318" s="77" t="str">
        <f aca="false">IF(OR(A318="",N(E318)=0),"",INT(H318/E318))</f>
        <v/>
      </c>
      <c r="J318" s="77" t="str">
        <f aca="false">IF(A318="","",A318&amp;"|"&amp;C318)</f>
        <v/>
      </c>
    </row>
    <row r="319" customFormat="false" ht="15" hidden="false" customHeight="false" outlineLevel="0" collapsed="false">
      <c r="A319" s="71"/>
      <c r="B319" s="71"/>
      <c r="C319" s="71"/>
      <c r="D319" s="71"/>
      <c r="E319" s="72"/>
      <c r="F319" s="77" t="str">
        <f aca="false">IF(A319="","",COUNTIF($A$6:A319,A319))</f>
        <v/>
      </c>
      <c r="G319" s="77" t="str">
        <f aca="false">IF(A319="","",A319&amp;"|"&amp;F319)</f>
        <v/>
      </c>
      <c r="H319" s="77" t="str">
        <f aca="false">IF(A319="","",SUMIFS('Release Log'!$D$6:$D$4005,'Release Log'!$B$6:$B$4005,A319,'Release Log'!$C$6:$C$4005,C319))</f>
        <v/>
      </c>
      <c r="I319" s="77" t="str">
        <f aca="false">IF(OR(A319="",N(E319)=0),"",INT(H319/E319))</f>
        <v/>
      </c>
      <c r="J319" s="77" t="str">
        <f aca="false">IF(A319="","",A319&amp;"|"&amp;C319)</f>
        <v/>
      </c>
    </row>
    <row r="320" customFormat="false" ht="15" hidden="false" customHeight="false" outlineLevel="0" collapsed="false">
      <c r="A320" s="71"/>
      <c r="B320" s="71"/>
      <c r="C320" s="71"/>
      <c r="D320" s="71"/>
      <c r="E320" s="72"/>
      <c r="F320" s="77" t="str">
        <f aca="false">IF(A320="","",COUNTIF($A$6:A320,A320))</f>
        <v/>
      </c>
      <c r="G320" s="77" t="str">
        <f aca="false">IF(A320="","",A320&amp;"|"&amp;F320)</f>
        <v/>
      </c>
      <c r="H320" s="77" t="str">
        <f aca="false">IF(A320="","",SUMIFS('Release Log'!$D$6:$D$4005,'Release Log'!$B$6:$B$4005,A320,'Release Log'!$C$6:$C$4005,C320))</f>
        <v/>
      </c>
      <c r="I320" s="77" t="str">
        <f aca="false">IF(OR(A320="",N(E320)=0),"",INT(H320/E320))</f>
        <v/>
      </c>
      <c r="J320" s="77" t="str">
        <f aca="false">IF(A320="","",A320&amp;"|"&amp;C320)</f>
        <v/>
      </c>
    </row>
    <row r="321" customFormat="false" ht="15" hidden="false" customHeight="false" outlineLevel="0" collapsed="false">
      <c r="A321" s="71"/>
      <c r="B321" s="71"/>
      <c r="C321" s="71"/>
      <c r="D321" s="71"/>
      <c r="E321" s="72"/>
      <c r="F321" s="77" t="str">
        <f aca="false">IF(A321="","",COUNTIF($A$6:A321,A321))</f>
        <v/>
      </c>
      <c r="G321" s="77" t="str">
        <f aca="false">IF(A321="","",A321&amp;"|"&amp;F321)</f>
        <v/>
      </c>
      <c r="H321" s="77" t="str">
        <f aca="false">IF(A321="","",SUMIFS('Release Log'!$D$6:$D$4005,'Release Log'!$B$6:$B$4005,A321,'Release Log'!$C$6:$C$4005,C321))</f>
        <v/>
      </c>
      <c r="I321" s="77" t="str">
        <f aca="false">IF(OR(A321="",N(E321)=0),"",INT(H321/E321))</f>
        <v/>
      </c>
      <c r="J321" s="77" t="str">
        <f aca="false">IF(A321="","",A321&amp;"|"&amp;C321)</f>
        <v/>
      </c>
    </row>
    <row r="322" customFormat="false" ht="15" hidden="false" customHeight="false" outlineLevel="0" collapsed="false">
      <c r="A322" s="71"/>
      <c r="B322" s="71"/>
      <c r="C322" s="71"/>
      <c r="D322" s="71"/>
      <c r="E322" s="72"/>
      <c r="F322" s="77" t="str">
        <f aca="false">IF(A322="","",COUNTIF($A$6:A322,A322))</f>
        <v/>
      </c>
      <c r="G322" s="77" t="str">
        <f aca="false">IF(A322="","",A322&amp;"|"&amp;F322)</f>
        <v/>
      </c>
      <c r="H322" s="77" t="str">
        <f aca="false">IF(A322="","",SUMIFS('Release Log'!$D$6:$D$4005,'Release Log'!$B$6:$B$4005,A322,'Release Log'!$C$6:$C$4005,C322))</f>
        <v/>
      </c>
      <c r="I322" s="77" t="str">
        <f aca="false">IF(OR(A322="",N(E322)=0),"",INT(H322/E322))</f>
        <v/>
      </c>
      <c r="J322" s="77" t="str">
        <f aca="false">IF(A322="","",A322&amp;"|"&amp;C322)</f>
        <v/>
      </c>
    </row>
    <row r="323" customFormat="false" ht="15" hidden="false" customHeight="false" outlineLevel="0" collapsed="false">
      <c r="A323" s="71"/>
      <c r="B323" s="71"/>
      <c r="C323" s="71"/>
      <c r="D323" s="71"/>
      <c r="E323" s="72"/>
      <c r="F323" s="77" t="str">
        <f aca="false">IF(A323="","",COUNTIF($A$6:A323,A323))</f>
        <v/>
      </c>
      <c r="G323" s="77" t="str">
        <f aca="false">IF(A323="","",A323&amp;"|"&amp;F323)</f>
        <v/>
      </c>
      <c r="H323" s="77" t="str">
        <f aca="false">IF(A323="","",SUMIFS('Release Log'!$D$6:$D$4005,'Release Log'!$B$6:$B$4005,A323,'Release Log'!$C$6:$C$4005,C323))</f>
        <v/>
      </c>
      <c r="I323" s="77" t="str">
        <f aca="false">IF(OR(A323="",N(E323)=0),"",INT(H323/E323))</f>
        <v/>
      </c>
      <c r="J323" s="77" t="str">
        <f aca="false">IF(A323="","",A323&amp;"|"&amp;C323)</f>
        <v/>
      </c>
    </row>
    <row r="324" customFormat="false" ht="15" hidden="false" customHeight="false" outlineLevel="0" collapsed="false">
      <c r="A324" s="71"/>
      <c r="B324" s="71"/>
      <c r="C324" s="71"/>
      <c r="D324" s="71"/>
      <c r="E324" s="72"/>
      <c r="F324" s="77" t="str">
        <f aca="false">IF(A324="","",COUNTIF($A$6:A324,A324))</f>
        <v/>
      </c>
      <c r="G324" s="77" t="str">
        <f aca="false">IF(A324="","",A324&amp;"|"&amp;F324)</f>
        <v/>
      </c>
      <c r="H324" s="77" t="str">
        <f aca="false">IF(A324="","",SUMIFS('Release Log'!$D$6:$D$4005,'Release Log'!$B$6:$B$4005,A324,'Release Log'!$C$6:$C$4005,C324))</f>
        <v/>
      </c>
      <c r="I324" s="77" t="str">
        <f aca="false">IF(OR(A324="",N(E324)=0),"",INT(H324/E324))</f>
        <v/>
      </c>
      <c r="J324" s="77" t="str">
        <f aca="false">IF(A324="","",A324&amp;"|"&amp;C324)</f>
        <v/>
      </c>
    </row>
    <row r="325" customFormat="false" ht="15" hidden="false" customHeight="false" outlineLevel="0" collapsed="false">
      <c r="A325" s="71"/>
      <c r="B325" s="71"/>
      <c r="C325" s="71"/>
      <c r="D325" s="71"/>
      <c r="E325" s="72"/>
      <c r="F325" s="77" t="str">
        <f aca="false">IF(A325="","",COUNTIF($A$6:A325,A325))</f>
        <v/>
      </c>
      <c r="G325" s="77" t="str">
        <f aca="false">IF(A325="","",A325&amp;"|"&amp;F325)</f>
        <v/>
      </c>
      <c r="H325" s="77" t="str">
        <f aca="false">IF(A325="","",SUMIFS('Release Log'!$D$6:$D$4005,'Release Log'!$B$6:$B$4005,A325,'Release Log'!$C$6:$C$4005,C325))</f>
        <v/>
      </c>
      <c r="I325" s="77" t="str">
        <f aca="false">IF(OR(A325="",N(E325)=0),"",INT(H325/E325))</f>
        <v/>
      </c>
      <c r="J325" s="77" t="str">
        <f aca="false">IF(A325="","",A325&amp;"|"&amp;C325)</f>
        <v/>
      </c>
    </row>
    <row r="326" customFormat="false" ht="15" hidden="false" customHeight="false" outlineLevel="0" collapsed="false">
      <c r="A326" s="71"/>
      <c r="B326" s="71"/>
      <c r="C326" s="71"/>
      <c r="D326" s="71"/>
      <c r="E326" s="72"/>
      <c r="F326" s="77" t="str">
        <f aca="false">IF(A326="","",COUNTIF($A$6:A326,A326))</f>
        <v/>
      </c>
      <c r="G326" s="77" t="str">
        <f aca="false">IF(A326="","",A326&amp;"|"&amp;F326)</f>
        <v/>
      </c>
      <c r="H326" s="77" t="str">
        <f aca="false">IF(A326="","",SUMIFS('Release Log'!$D$6:$D$4005,'Release Log'!$B$6:$B$4005,A326,'Release Log'!$C$6:$C$4005,C326))</f>
        <v/>
      </c>
      <c r="I326" s="77" t="str">
        <f aca="false">IF(OR(A326="",N(E326)=0),"",INT(H326/E326))</f>
        <v/>
      </c>
      <c r="J326" s="77" t="str">
        <f aca="false">IF(A326="","",A326&amp;"|"&amp;C326)</f>
        <v/>
      </c>
    </row>
    <row r="327" customFormat="false" ht="15" hidden="false" customHeight="false" outlineLevel="0" collapsed="false">
      <c r="A327" s="71"/>
      <c r="B327" s="71"/>
      <c r="C327" s="71"/>
      <c r="D327" s="71"/>
      <c r="E327" s="72"/>
      <c r="F327" s="77" t="str">
        <f aca="false">IF(A327="","",COUNTIF($A$6:A327,A327))</f>
        <v/>
      </c>
      <c r="G327" s="77" t="str">
        <f aca="false">IF(A327="","",A327&amp;"|"&amp;F327)</f>
        <v/>
      </c>
      <c r="H327" s="77" t="str">
        <f aca="false">IF(A327="","",SUMIFS('Release Log'!$D$6:$D$4005,'Release Log'!$B$6:$B$4005,A327,'Release Log'!$C$6:$C$4005,C327))</f>
        <v/>
      </c>
      <c r="I327" s="77" t="str">
        <f aca="false">IF(OR(A327="",N(E327)=0),"",INT(H327/E327))</f>
        <v/>
      </c>
      <c r="J327" s="77" t="str">
        <f aca="false">IF(A327="","",A327&amp;"|"&amp;C327)</f>
        <v/>
      </c>
    </row>
    <row r="328" customFormat="false" ht="15" hidden="false" customHeight="false" outlineLevel="0" collapsed="false">
      <c r="A328" s="71"/>
      <c r="B328" s="71"/>
      <c r="C328" s="71"/>
      <c r="D328" s="71"/>
      <c r="E328" s="72"/>
      <c r="F328" s="77" t="str">
        <f aca="false">IF(A328="","",COUNTIF($A$6:A328,A328))</f>
        <v/>
      </c>
      <c r="G328" s="77" t="str">
        <f aca="false">IF(A328="","",A328&amp;"|"&amp;F328)</f>
        <v/>
      </c>
      <c r="H328" s="77" t="str">
        <f aca="false">IF(A328="","",SUMIFS('Release Log'!$D$6:$D$4005,'Release Log'!$B$6:$B$4005,A328,'Release Log'!$C$6:$C$4005,C328))</f>
        <v/>
      </c>
      <c r="I328" s="77" t="str">
        <f aca="false">IF(OR(A328="",N(E328)=0),"",INT(H328/E328))</f>
        <v/>
      </c>
      <c r="J328" s="77" t="str">
        <f aca="false">IF(A328="","",A328&amp;"|"&amp;C328)</f>
        <v/>
      </c>
    </row>
    <row r="329" customFormat="false" ht="15" hidden="false" customHeight="false" outlineLevel="0" collapsed="false">
      <c r="A329" s="71"/>
      <c r="B329" s="71"/>
      <c r="C329" s="71"/>
      <c r="D329" s="71"/>
      <c r="E329" s="72"/>
      <c r="F329" s="77" t="str">
        <f aca="false">IF(A329="","",COUNTIF($A$6:A329,A329))</f>
        <v/>
      </c>
      <c r="G329" s="77" t="str">
        <f aca="false">IF(A329="","",A329&amp;"|"&amp;F329)</f>
        <v/>
      </c>
      <c r="H329" s="77" t="str">
        <f aca="false">IF(A329="","",SUMIFS('Release Log'!$D$6:$D$4005,'Release Log'!$B$6:$B$4005,A329,'Release Log'!$C$6:$C$4005,C329))</f>
        <v/>
      </c>
      <c r="I329" s="77" t="str">
        <f aca="false">IF(OR(A329="",N(E329)=0),"",INT(H329/E329))</f>
        <v/>
      </c>
      <c r="J329" s="77" t="str">
        <f aca="false">IF(A329="","",A329&amp;"|"&amp;C329)</f>
        <v/>
      </c>
    </row>
    <row r="330" customFormat="false" ht="15" hidden="false" customHeight="false" outlineLevel="0" collapsed="false">
      <c r="A330" s="71"/>
      <c r="B330" s="71"/>
      <c r="C330" s="71"/>
      <c r="D330" s="71"/>
      <c r="E330" s="72"/>
      <c r="F330" s="77" t="str">
        <f aca="false">IF(A330="","",COUNTIF($A$6:A330,A330))</f>
        <v/>
      </c>
      <c r="G330" s="77" t="str">
        <f aca="false">IF(A330="","",A330&amp;"|"&amp;F330)</f>
        <v/>
      </c>
      <c r="H330" s="77" t="str">
        <f aca="false">IF(A330="","",SUMIFS('Release Log'!$D$6:$D$4005,'Release Log'!$B$6:$B$4005,A330,'Release Log'!$C$6:$C$4005,C330))</f>
        <v/>
      </c>
      <c r="I330" s="77" t="str">
        <f aca="false">IF(OR(A330="",N(E330)=0),"",INT(H330/E330))</f>
        <v/>
      </c>
      <c r="J330" s="77" t="str">
        <f aca="false">IF(A330="","",A330&amp;"|"&amp;C330)</f>
        <v/>
      </c>
    </row>
    <row r="331" customFormat="false" ht="15" hidden="false" customHeight="false" outlineLevel="0" collapsed="false">
      <c r="A331" s="71"/>
      <c r="B331" s="71"/>
      <c r="C331" s="71"/>
      <c r="D331" s="71"/>
      <c r="E331" s="72"/>
      <c r="F331" s="77" t="str">
        <f aca="false">IF(A331="","",COUNTIF($A$6:A331,A331))</f>
        <v/>
      </c>
      <c r="G331" s="77" t="str">
        <f aca="false">IF(A331="","",A331&amp;"|"&amp;F331)</f>
        <v/>
      </c>
      <c r="H331" s="77" t="str">
        <f aca="false">IF(A331="","",SUMIFS('Release Log'!$D$6:$D$4005,'Release Log'!$B$6:$B$4005,A331,'Release Log'!$C$6:$C$4005,C331))</f>
        <v/>
      </c>
      <c r="I331" s="77" t="str">
        <f aca="false">IF(OR(A331="",N(E331)=0),"",INT(H331/E331))</f>
        <v/>
      </c>
      <c r="J331" s="77" t="str">
        <f aca="false">IF(A331="","",A331&amp;"|"&amp;C331)</f>
        <v/>
      </c>
    </row>
    <row r="332" customFormat="false" ht="15" hidden="false" customHeight="false" outlineLevel="0" collapsed="false">
      <c r="A332" s="71"/>
      <c r="B332" s="71"/>
      <c r="C332" s="71"/>
      <c r="D332" s="71"/>
      <c r="E332" s="72"/>
      <c r="F332" s="77" t="str">
        <f aca="false">IF(A332="","",COUNTIF($A$6:A332,A332))</f>
        <v/>
      </c>
      <c r="G332" s="77" t="str">
        <f aca="false">IF(A332="","",A332&amp;"|"&amp;F332)</f>
        <v/>
      </c>
      <c r="H332" s="77" t="str">
        <f aca="false">IF(A332="","",SUMIFS('Release Log'!$D$6:$D$4005,'Release Log'!$B$6:$B$4005,A332,'Release Log'!$C$6:$C$4005,C332))</f>
        <v/>
      </c>
      <c r="I332" s="77" t="str">
        <f aca="false">IF(OR(A332="",N(E332)=0),"",INT(H332/E332))</f>
        <v/>
      </c>
      <c r="J332" s="77" t="str">
        <f aca="false">IF(A332="","",A332&amp;"|"&amp;C332)</f>
        <v/>
      </c>
    </row>
    <row r="333" customFormat="false" ht="15" hidden="false" customHeight="false" outlineLevel="0" collapsed="false">
      <c r="A333" s="71"/>
      <c r="B333" s="71"/>
      <c r="C333" s="71"/>
      <c r="D333" s="71"/>
      <c r="E333" s="72"/>
      <c r="F333" s="77" t="str">
        <f aca="false">IF(A333="","",COUNTIF($A$6:A333,A333))</f>
        <v/>
      </c>
      <c r="G333" s="77" t="str">
        <f aca="false">IF(A333="","",A333&amp;"|"&amp;F333)</f>
        <v/>
      </c>
      <c r="H333" s="77" t="str">
        <f aca="false">IF(A333="","",SUMIFS('Release Log'!$D$6:$D$4005,'Release Log'!$B$6:$B$4005,A333,'Release Log'!$C$6:$C$4005,C333))</f>
        <v/>
      </c>
      <c r="I333" s="77" t="str">
        <f aca="false">IF(OR(A333="",N(E333)=0),"",INT(H333/E333))</f>
        <v/>
      </c>
      <c r="J333" s="77" t="str">
        <f aca="false">IF(A333="","",A333&amp;"|"&amp;C333)</f>
        <v/>
      </c>
    </row>
    <row r="334" customFormat="false" ht="15" hidden="false" customHeight="false" outlineLevel="0" collapsed="false">
      <c r="A334" s="71"/>
      <c r="B334" s="71"/>
      <c r="C334" s="71"/>
      <c r="D334" s="71"/>
      <c r="E334" s="72"/>
      <c r="F334" s="77" t="str">
        <f aca="false">IF(A334="","",COUNTIF($A$6:A334,A334))</f>
        <v/>
      </c>
      <c r="G334" s="77" t="str">
        <f aca="false">IF(A334="","",A334&amp;"|"&amp;F334)</f>
        <v/>
      </c>
      <c r="H334" s="77" t="str">
        <f aca="false">IF(A334="","",SUMIFS('Release Log'!$D$6:$D$4005,'Release Log'!$B$6:$B$4005,A334,'Release Log'!$C$6:$C$4005,C334))</f>
        <v/>
      </c>
      <c r="I334" s="77" t="str">
        <f aca="false">IF(OR(A334="",N(E334)=0),"",INT(H334/E334))</f>
        <v/>
      </c>
      <c r="J334" s="77" t="str">
        <f aca="false">IF(A334="","",A334&amp;"|"&amp;C334)</f>
        <v/>
      </c>
    </row>
    <row r="335" customFormat="false" ht="15" hidden="false" customHeight="false" outlineLevel="0" collapsed="false">
      <c r="A335" s="71"/>
      <c r="B335" s="71"/>
      <c r="C335" s="71"/>
      <c r="D335" s="71"/>
      <c r="E335" s="72"/>
      <c r="F335" s="77" t="str">
        <f aca="false">IF(A335="","",COUNTIF($A$6:A335,A335))</f>
        <v/>
      </c>
      <c r="G335" s="77" t="str">
        <f aca="false">IF(A335="","",A335&amp;"|"&amp;F335)</f>
        <v/>
      </c>
      <c r="H335" s="77" t="str">
        <f aca="false">IF(A335="","",SUMIFS('Release Log'!$D$6:$D$4005,'Release Log'!$B$6:$B$4005,A335,'Release Log'!$C$6:$C$4005,C335))</f>
        <v/>
      </c>
      <c r="I335" s="77" t="str">
        <f aca="false">IF(OR(A335="",N(E335)=0),"",INT(H335/E335))</f>
        <v/>
      </c>
      <c r="J335" s="77" t="str">
        <f aca="false">IF(A335="","",A335&amp;"|"&amp;C335)</f>
        <v/>
      </c>
    </row>
    <row r="336" customFormat="false" ht="15" hidden="false" customHeight="false" outlineLevel="0" collapsed="false">
      <c r="A336" s="71"/>
      <c r="B336" s="71"/>
      <c r="C336" s="71"/>
      <c r="D336" s="71"/>
      <c r="E336" s="72"/>
      <c r="F336" s="77" t="str">
        <f aca="false">IF(A336="","",COUNTIF($A$6:A336,A336))</f>
        <v/>
      </c>
      <c r="G336" s="77" t="str">
        <f aca="false">IF(A336="","",A336&amp;"|"&amp;F336)</f>
        <v/>
      </c>
      <c r="H336" s="77" t="str">
        <f aca="false">IF(A336="","",SUMIFS('Release Log'!$D$6:$D$4005,'Release Log'!$B$6:$B$4005,A336,'Release Log'!$C$6:$C$4005,C336))</f>
        <v/>
      </c>
      <c r="I336" s="77" t="str">
        <f aca="false">IF(OR(A336="",N(E336)=0),"",INT(H336/E336))</f>
        <v/>
      </c>
      <c r="J336" s="77" t="str">
        <f aca="false">IF(A336="","",A336&amp;"|"&amp;C336)</f>
        <v/>
      </c>
    </row>
    <row r="337" customFormat="false" ht="15" hidden="false" customHeight="false" outlineLevel="0" collapsed="false">
      <c r="A337" s="71"/>
      <c r="B337" s="71"/>
      <c r="C337" s="71"/>
      <c r="D337" s="71"/>
      <c r="E337" s="72"/>
      <c r="F337" s="77" t="str">
        <f aca="false">IF(A337="","",COUNTIF($A$6:A337,A337))</f>
        <v/>
      </c>
      <c r="G337" s="77" t="str">
        <f aca="false">IF(A337="","",A337&amp;"|"&amp;F337)</f>
        <v/>
      </c>
      <c r="H337" s="77" t="str">
        <f aca="false">IF(A337="","",SUMIFS('Release Log'!$D$6:$D$4005,'Release Log'!$B$6:$B$4005,A337,'Release Log'!$C$6:$C$4005,C337))</f>
        <v/>
      </c>
      <c r="I337" s="77" t="str">
        <f aca="false">IF(OR(A337="",N(E337)=0),"",INT(H337/E337))</f>
        <v/>
      </c>
      <c r="J337" s="77" t="str">
        <f aca="false">IF(A337="","",A337&amp;"|"&amp;C337)</f>
        <v/>
      </c>
    </row>
    <row r="338" customFormat="false" ht="15" hidden="false" customHeight="false" outlineLevel="0" collapsed="false">
      <c r="A338" s="71"/>
      <c r="B338" s="71"/>
      <c r="C338" s="71"/>
      <c r="D338" s="71"/>
      <c r="E338" s="72"/>
      <c r="F338" s="77" t="str">
        <f aca="false">IF(A338="","",COUNTIF($A$6:A338,A338))</f>
        <v/>
      </c>
      <c r="G338" s="77" t="str">
        <f aca="false">IF(A338="","",A338&amp;"|"&amp;F338)</f>
        <v/>
      </c>
      <c r="H338" s="77" t="str">
        <f aca="false">IF(A338="","",SUMIFS('Release Log'!$D$6:$D$4005,'Release Log'!$B$6:$B$4005,A338,'Release Log'!$C$6:$C$4005,C338))</f>
        <v/>
      </c>
      <c r="I338" s="77" t="str">
        <f aca="false">IF(OR(A338="",N(E338)=0),"",INT(H338/E338))</f>
        <v/>
      </c>
      <c r="J338" s="77" t="str">
        <f aca="false">IF(A338="","",A338&amp;"|"&amp;C338)</f>
        <v/>
      </c>
    </row>
    <row r="339" customFormat="false" ht="15" hidden="false" customHeight="false" outlineLevel="0" collapsed="false">
      <c r="A339" s="71"/>
      <c r="B339" s="71"/>
      <c r="C339" s="71"/>
      <c r="D339" s="71"/>
      <c r="E339" s="72"/>
      <c r="F339" s="77" t="str">
        <f aca="false">IF(A339="","",COUNTIF($A$6:A339,A339))</f>
        <v/>
      </c>
      <c r="G339" s="77" t="str">
        <f aca="false">IF(A339="","",A339&amp;"|"&amp;F339)</f>
        <v/>
      </c>
      <c r="H339" s="77" t="str">
        <f aca="false">IF(A339="","",SUMIFS('Release Log'!$D$6:$D$4005,'Release Log'!$B$6:$B$4005,A339,'Release Log'!$C$6:$C$4005,C339))</f>
        <v/>
      </c>
      <c r="I339" s="77" t="str">
        <f aca="false">IF(OR(A339="",N(E339)=0),"",INT(H339/E339))</f>
        <v/>
      </c>
      <c r="J339" s="77" t="str">
        <f aca="false">IF(A339="","",A339&amp;"|"&amp;C339)</f>
        <v/>
      </c>
    </row>
    <row r="340" customFormat="false" ht="15" hidden="false" customHeight="false" outlineLevel="0" collapsed="false">
      <c r="A340" s="71"/>
      <c r="B340" s="71"/>
      <c r="C340" s="71"/>
      <c r="D340" s="71"/>
      <c r="E340" s="72"/>
      <c r="F340" s="77" t="str">
        <f aca="false">IF(A340="","",COUNTIF($A$6:A340,A340))</f>
        <v/>
      </c>
      <c r="G340" s="77" t="str">
        <f aca="false">IF(A340="","",A340&amp;"|"&amp;F340)</f>
        <v/>
      </c>
      <c r="H340" s="77" t="str">
        <f aca="false">IF(A340="","",SUMIFS('Release Log'!$D$6:$D$4005,'Release Log'!$B$6:$B$4005,A340,'Release Log'!$C$6:$C$4005,C340))</f>
        <v/>
      </c>
      <c r="I340" s="77" t="str">
        <f aca="false">IF(OR(A340="",N(E340)=0),"",INT(H340/E340))</f>
        <v/>
      </c>
      <c r="J340" s="77" t="str">
        <f aca="false">IF(A340="","",A340&amp;"|"&amp;C340)</f>
        <v/>
      </c>
    </row>
    <row r="341" customFormat="false" ht="15" hidden="false" customHeight="false" outlineLevel="0" collapsed="false">
      <c r="A341" s="71"/>
      <c r="B341" s="71"/>
      <c r="C341" s="71"/>
      <c r="D341" s="71"/>
      <c r="E341" s="72"/>
      <c r="F341" s="77" t="str">
        <f aca="false">IF(A341="","",COUNTIF($A$6:A341,A341))</f>
        <v/>
      </c>
      <c r="G341" s="77" t="str">
        <f aca="false">IF(A341="","",A341&amp;"|"&amp;F341)</f>
        <v/>
      </c>
      <c r="H341" s="77" t="str">
        <f aca="false">IF(A341="","",SUMIFS('Release Log'!$D$6:$D$4005,'Release Log'!$B$6:$B$4005,A341,'Release Log'!$C$6:$C$4005,C341))</f>
        <v/>
      </c>
      <c r="I341" s="77" t="str">
        <f aca="false">IF(OR(A341="",N(E341)=0),"",INT(H341/E341))</f>
        <v/>
      </c>
      <c r="J341" s="77" t="str">
        <f aca="false">IF(A341="","",A341&amp;"|"&amp;C341)</f>
        <v/>
      </c>
    </row>
    <row r="342" customFormat="false" ht="15" hidden="false" customHeight="false" outlineLevel="0" collapsed="false">
      <c r="A342" s="71"/>
      <c r="B342" s="71"/>
      <c r="C342" s="71"/>
      <c r="D342" s="71"/>
      <c r="E342" s="72"/>
      <c r="F342" s="77" t="str">
        <f aca="false">IF(A342="","",COUNTIF($A$6:A342,A342))</f>
        <v/>
      </c>
      <c r="G342" s="77" t="str">
        <f aca="false">IF(A342="","",A342&amp;"|"&amp;F342)</f>
        <v/>
      </c>
      <c r="H342" s="77" t="str">
        <f aca="false">IF(A342="","",SUMIFS('Release Log'!$D$6:$D$4005,'Release Log'!$B$6:$B$4005,A342,'Release Log'!$C$6:$C$4005,C342))</f>
        <v/>
      </c>
      <c r="I342" s="77" t="str">
        <f aca="false">IF(OR(A342="",N(E342)=0),"",INT(H342/E342))</f>
        <v/>
      </c>
      <c r="J342" s="77" t="str">
        <f aca="false">IF(A342="","",A342&amp;"|"&amp;C342)</f>
        <v/>
      </c>
    </row>
    <row r="343" customFormat="false" ht="15" hidden="false" customHeight="false" outlineLevel="0" collapsed="false">
      <c r="A343" s="71"/>
      <c r="B343" s="71"/>
      <c r="C343" s="71"/>
      <c r="D343" s="71"/>
      <c r="E343" s="72"/>
      <c r="F343" s="77" t="str">
        <f aca="false">IF(A343="","",COUNTIF($A$6:A343,A343))</f>
        <v/>
      </c>
      <c r="G343" s="77" t="str">
        <f aca="false">IF(A343="","",A343&amp;"|"&amp;F343)</f>
        <v/>
      </c>
      <c r="H343" s="77" t="str">
        <f aca="false">IF(A343="","",SUMIFS('Release Log'!$D$6:$D$4005,'Release Log'!$B$6:$B$4005,A343,'Release Log'!$C$6:$C$4005,C343))</f>
        <v/>
      </c>
      <c r="I343" s="77" t="str">
        <f aca="false">IF(OR(A343="",N(E343)=0),"",INT(H343/E343))</f>
        <v/>
      </c>
      <c r="J343" s="77" t="str">
        <f aca="false">IF(A343="","",A343&amp;"|"&amp;C343)</f>
        <v/>
      </c>
    </row>
    <row r="344" customFormat="false" ht="15" hidden="false" customHeight="false" outlineLevel="0" collapsed="false">
      <c r="A344" s="71"/>
      <c r="B344" s="71"/>
      <c r="C344" s="71"/>
      <c r="D344" s="71"/>
      <c r="E344" s="72"/>
      <c r="F344" s="77" t="str">
        <f aca="false">IF(A344="","",COUNTIF($A$6:A344,A344))</f>
        <v/>
      </c>
      <c r="G344" s="77" t="str">
        <f aca="false">IF(A344="","",A344&amp;"|"&amp;F344)</f>
        <v/>
      </c>
      <c r="H344" s="77" t="str">
        <f aca="false">IF(A344="","",SUMIFS('Release Log'!$D$6:$D$4005,'Release Log'!$B$6:$B$4005,A344,'Release Log'!$C$6:$C$4005,C344))</f>
        <v/>
      </c>
      <c r="I344" s="77" t="str">
        <f aca="false">IF(OR(A344="",N(E344)=0),"",INT(H344/E344))</f>
        <v/>
      </c>
      <c r="J344" s="77" t="str">
        <f aca="false">IF(A344="","",A344&amp;"|"&amp;C344)</f>
        <v/>
      </c>
    </row>
    <row r="345" customFormat="false" ht="15" hidden="false" customHeight="false" outlineLevel="0" collapsed="false">
      <c r="A345" s="71"/>
      <c r="B345" s="71"/>
      <c r="C345" s="71"/>
      <c r="D345" s="71"/>
      <c r="E345" s="72"/>
      <c r="F345" s="77" t="str">
        <f aca="false">IF(A345="","",COUNTIF($A$6:A345,A345))</f>
        <v/>
      </c>
      <c r="G345" s="77" t="str">
        <f aca="false">IF(A345="","",A345&amp;"|"&amp;F345)</f>
        <v/>
      </c>
      <c r="H345" s="77" t="str">
        <f aca="false">IF(A345="","",SUMIFS('Release Log'!$D$6:$D$4005,'Release Log'!$B$6:$B$4005,A345,'Release Log'!$C$6:$C$4005,C345))</f>
        <v/>
      </c>
      <c r="I345" s="77" t="str">
        <f aca="false">IF(OR(A345="",N(E345)=0),"",INT(H345/E345))</f>
        <v/>
      </c>
      <c r="J345" s="77" t="str">
        <f aca="false">IF(A345="","",A345&amp;"|"&amp;C345)</f>
        <v/>
      </c>
    </row>
    <row r="346" customFormat="false" ht="15" hidden="false" customHeight="false" outlineLevel="0" collapsed="false">
      <c r="A346" s="71"/>
      <c r="B346" s="71"/>
      <c r="C346" s="71"/>
      <c r="D346" s="71"/>
      <c r="E346" s="72"/>
      <c r="F346" s="77" t="str">
        <f aca="false">IF(A346="","",COUNTIF($A$6:A346,A346))</f>
        <v/>
      </c>
      <c r="G346" s="77" t="str">
        <f aca="false">IF(A346="","",A346&amp;"|"&amp;F346)</f>
        <v/>
      </c>
      <c r="H346" s="77" t="str">
        <f aca="false">IF(A346="","",SUMIFS('Release Log'!$D$6:$D$4005,'Release Log'!$B$6:$B$4005,A346,'Release Log'!$C$6:$C$4005,C346))</f>
        <v/>
      </c>
      <c r="I346" s="77" t="str">
        <f aca="false">IF(OR(A346="",N(E346)=0),"",INT(H346/E346))</f>
        <v/>
      </c>
      <c r="J346" s="77" t="str">
        <f aca="false">IF(A346="","",A346&amp;"|"&amp;C346)</f>
        <v/>
      </c>
    </row>
    <row r="347" customFormat="false" ht="15" hidden="false" customHeight="false" outlineLevel="0" collapsed="false">
      <c r="A347" s="71"/>
      <c r="B347" s="71"/>
      <c r="C347" s="71"/>
      <c r="D347" s="71"/>
      <c r="E347" s="72"/>
      <c r="F347" s="77" t="str">
        <f aca="false">IF(A347="","",COUNTIF($A$6:A347,A347))</f>
        <v/>
      </c>
      <c r="G347" s="77" t="str">
        <f aca="false">IF(A347="","",A347&amp;"|"&amp;F347)</f>
        <v/>
      </c>
      <c r="H347" s="77" t="str">
        <f aca="false">IF(A347="","",SUMIFS('Release Log'!$D$6:$D$4005,'Release Log'!$B$6:$B$4005,A347,'Release Log'!$C$6:$C$4005,C347))</f>
        <v/>
      </c>
      <c r="I347" s="77" t="str">
        <f aca="false">IF(OR(A347="",N(E347)=0),"",INT(H347/E347))</f>
        <v/>
      </c>
      <c r="J347" s="77" t="str">
        <f aca="false">IF(A347="","",A347&amp;"|"&amp;C347)</f>
        <v/>
      </c>
    </row>
    <row r="348" customFormat="false" ht="15" hidden="false" customHeight="false" outlineLevel="0" collapsed="false">
      <c r="A348" s="71"/>
      <c r="B348" s="71"/>
      <c r="C348" s="71"/>
      <c r="D348" s="71"/>
      <c r="E348" s="72"/>
      <c r="F348" s="77" t="str">
        <f aca="false">IF(A348="","",COUNTIF($A$6:A348,A348))</f>
        <v/>
      </c>
      <c r="G348" s="77" t="str">
        <f aca="false">IF(A348="","",A348&amp;"|"&amp;F348)</f>
        <v/>
      </c>
      <c r="H348" s="77" t="str">
        <f aca="false">IF(A348="","",SUMIFS('Release Log'!$D$6:$D$4005,'Release Log'!$B$6:$B$4005,A348,'Release Log'!$C$6:$C$4005,C348))</f>
        <v/>
      </c>
      <c r="I348" s="77" t="str">
        <f aca="false">IF(OR(A348="",N(E348)=0),"",INT(H348/E348))</f>
        <v/>
      </c>
      <c r="J348" s="77" t="str">
        <f aca="false">IF(A348="","",A348&amp;"|"&amp;C348)</f>
        <v/>
      </c>
    </row>
    <row r="349" customFormat="false" ht="15" hidden="false" customHeight="false" outlineLevel="0" collapsed="false">
      <c r="A349" s="71"/>
      <c r="B349" s="71"/>
      <c r="C349" s="71"/>
      <c r="D349" s="71"/>
      <c r="E349" s="72"/>
      <c r="F349" s="77" t="str">
        <f aca="false">IF(A349="","",COUNTIF($A$6:A349,A349))</f>
        <v/>
      </c>
      <c r="G349" s="77" t="str">
        <f aca="false">IF(A349="","",A349&amp;"|"&amp;F349)</f>
        <v/>
      </c>
      <c r="H349" s="77" t="str">
        <f aca="false">IF(A349="","",SUMIFS('Release Log'!$D$6:$D$4005,'Release Log'!$B$6:$B$4005,A349,'Release Log'!$C$6:$C$4005,C349))</f>
        <v/>
      </c>
      <c r="I349" s="77" t="str">
        <f aca="false">IF(OR(A349="",N(E349)=0),"",INT(H349/E349))</f>
        <v/>
      </c>
      <c r="J349" s="77" t="str">
        <f aca="false">IF(A349="","",A349&amp;"|"&amp;C349)</f>
        <v/>
      </c>
    </row>
    <row r="350" customFormat="false" ht="15" hidden="false" customHeight="false" outlineLevel="0" collapsed="false">
      <c r="A350" s="71"/>
      <c r="B350" s="71"/>
      <c r="C350" s="71"/>
      <c r="D350" s="71"/>
      <c r="E350" s="72"/>
      <c r="F350" s="77" t="str">
        <f aca="false">IF(A350="","",COUNTIF($A$6:A350,A350))</f>
        <v/>
      </c>
      <c r="G350" s="77" t="str">
        <f aca="false">IF(A350="","",A350&amp;"|"&amp;F350)</f>
        <v/>
      </c>
      <c r="H350" s="77" t="str">
        <f aca="false">IF(A350="","",SUMIFS('Release Log'!$D$6:$D$4005,'Release Log'!$B$6:$B$4005,A350,'Release Log'!$C$6:$C$4005,C350))</f>
        <v/>
      </c>
      <c r="I350" s="77" t="str">
        <f aca="false">IF(OR(A350="",N(E350)=0),"",INT(H350/E350))</f>
        <v/>
      </c>
      <c r="J350" s="77" t="str">
        <f aca="false">IF(A350="","",A350&amp;"|"&amp;C350)</f>
        <v/>
      </c>
    </row>
    <row r="351" customFormat="false" ht="15" hidden="false" customHeight="false" outlineLevel="0" collapsed="false">
      <c r="A351" s="71"/>
      <c r="B351" s="71"/>
      <c r="C351" s="71"/>
      <c r="D351" s="71"/>
      <c r="E351" s="72"/>
      <c r="F351" s="77" t="str">
        <f aca="false">IF(A351="","",COUNTIF($A$6:A351,A351))</f>
        <v/>
      </c>
      <c r="G351" s="77" t="str">
        <f aca="false">IF(A351="","",A351&amp;"|"&amp;F351)</f>
        <v/>
      </c>
      <c r="H351" s="77" t="str">
        <f aca="false">IF(A351="","",SUMIFS('Release Log'!$D$6:$D$4005,'Release Log'!$B$6:$B$4005,A351,'Release Log'!$C$6:$C$4005,C351))</f>
        <v/>
      </c>
      <c r="I351" s="77" t="str">
        <f aca="false">IF(OR(A351="",N(E351)=0),"",INT(H351/E351))</f>
        <v/>
      </c>
      <c r="J351" s="77" t="str">
        <f aca="false">IF(A351="","",A351&amp;"|"&amp;C351)</f>
        <v/>
      </c>
    </row>
    <row r="352" customFormat="false" ht="15" hidden="false" customHeight="false" outlineLevel="0" collapsed="false">
      <c r="A352" s="71"/>
      <c r="B352" s="71"/>
      <c r="C352" s="71"/>
      <c r="D352" s="71"/>
      <c r="E352" s="72"/>
      <c r="F352" s="77" t="str">
        <f aca="false">IF(A352="","",COUNTIF($A$6:A352,A352))</f>
        <v/>
      </c>
      <c r="G352" s="77" t="str">
        <f aca="false">IF(A352="","",A352&amp;"|"&amp;F352)</f>
        <v/>
      </c>
      <c r="H352" s="77" t="str">
        <f aca="false">IF(A352="","",SUMIFS('Release Log'!$D$6:$D$4005,'Release Log'!$B$6:$B$4005,A352,'Release Log'!$C$6:$C$4005,C352))</f>
        <v/>
      </c>
      <c r="I352" s="77" t="str">
        <f aca="false">IF(OR(A352="",N(E352)=0),"",INT(H352/E352))</f>
        <v/>
      </c>
      <c r="J352" s="77" t="str">
        <f aca="false">IF(A352="","",A352&amp;"|"&amp;C352)</f>
        <v/>
      </c>
    </row>
    <row r="353" customFormat="false" ht="15" hidden="false" customHeight="false" outlineLevel="0" collapsed="false">
      <c r="A353" s="71"/>
      <c r="B353" s="71"/>
      <c r="C353" s="71"/>
      <c r="D353" s="71"/>
      <c r="E353" s="72"/>
      <c r="F353" s="77" t="str">
        <f aca="false">IF(A353="","",COUNTIF($A$6:A353,A353))</f>
        <v/>
      </c>
      <c r="G353" s="77" t="str">
        <f aca="false">IF(A353="","",A353&amp;"|"&amp;F353)</f>
        <v/>
      </c>
      <c r="H353" s="77" t="str">
        <f aca="false">IF(A353="","",SUMIFS('Release Log'!$D$6:$D$4005,'Release Log'!$B$6:$B$4005,A353,'Release Log'!$C$6:$C$4005,C353))</f>
        <v/>
      </c>
      <c r="I353" s="77" t="str">
        <f aca="false">IF(OR(A353="",N(E353)=0),"",INT(H353/E353))</f>
        <v/>
      </c>
      <c r="J353" s="77" t="str">
        <f aca="false">IF(A353="","",A353&amp;"|"&amp;C353)</f>
        <v/>
      </c>
    </row>
    <row r="354" customFormat="false" ht="15" hidden="false" customHeight="false" outlineLevel="0" collapsed="false">
      <c r="A354" s="71"/>
      <c r="B354" s="71"/>
      <c r="C354" s="71"/>
      <c r="D354" s="71"/>
      <c r="E354" s="72"/>
      <c r="F354" s="77" t="str">
        <f aca="false">IF(A354="","",COUNTIF($A$6:A354,A354))</f>
        <v/>
      </c>
      <c r="G354" s="77" t="str">
        <f aca="false">IF(A354="","",A354&amp;"|"&amp;F354)</f>
        <v/>
      </c>
      <c r="H354" s="77" t="str">
        <f aca="false">IF(A354="","",SUMIFS('Release Log'!$D$6:$D$4005,'Release Log'!$B$6:$B$4005,A354,'Release Log'!$C$6:$C$4005,C354))</f>
        <v/>
      </c>
      <c r="I354" s="77" t="str">
        <f aca="false">IF(OR(A354="",N(E354)=0),"",INT(H354/E354))</f>
        <v/>
      </c>
      <c r="J354" s="77" t="str">
        <f aca="false">IF(A354="","",A354&amp;"|"&amp;C354)</f>
        <v/>
      </c>
    </row>
    <row r="355" customFormat="false" ht="15" hidden="false" customHeight="false" outlineLevel="0" collapsed="false">
      <c r="A355" s="71"/>
      <c r="B355" s="71"/>
      <c r="C355" s="71"/>
      <c r="D355" s="71"/>
      <c r="E355" s="72"/>
      <c r="F355" s="77" t="str">
        <f aca="false">IF(A355="","",COUNTIF($A$6:A355,A355))</f>
        <v/>
      </c>
      <c r="G355" s="77" t="str">
        <f aca="false">IF(A355="","",A355&amp;"|"&amp;F355)</f>
        <v/>
      </c>
      <c r="H355" s="77" t="str">
        <f aca="false">IF(A355="","",SUMIFS('Release Log'!$D$6:$D$4005,'Release Log'!$B$6:$B$4005,A355,'Release Log'!$C$6:$C$4005,C355))</f>
        <v/>
      </c>
      <c r="I355" s="77" t="str">
        <f aca="false">IF(OR(A355="",N(E355)=0),"",INT(H355/E355))</f>
        <v/>
      </c>
      <c r="J355" s="77" t="str">
        <f aca="false">IF(A355="","",A355&amp;"|"&amp;C355)</f>
        <v/>
      </c>
    </row>
    <row r="356" customFormat="false" ht="15" hidden="false" customHeight="false" outlineLevel="0" collapsed="false">
      <c r="A356" s="71"/>
      <c r="B356" s="71"/>
      <c r="C356" s="71"/>
      <c r="D356" s="71"/>
      <c r="E356" s="72"/>
      <c r="F356" s="77" t="str">
        <f aca="false">IF(A356="","",COUNTIF($A$6:A356,A356))</f>
        <v/>
      </c>
      <c r="G356" s="77" t="str">
        <f aca="false">IF(A356="","",A356&amp;"|"&amp;F356)</f>
        <v/>
      </c>
      <c r="H356" s="77" t="str">
        <f aca="false">IF(A356="","",SUMIFS('Release Log'!$D$6:$D$4005,'Release Log'!$B$6:$B$4005,A356,'Release Log'!$C$6:$C$4005,C356))</f>
        <v/>
      </c>
      <c r="I356" s="77" t="str">
        <f aca="false">IF(OR(A356="",N(E356)=0),"",INT(H356/E356))</f>
        <v/>
      </c>
      <c r="J356" s="77" t="str">
        <f aca="false">IF(A356="","",A356&amp;"|"&amp;C356)</f>
        <v/>
      </c>
    </row>
    <row r="357" customFormat="false" ht="15" hidden="false" customHeight="false" outlineLevel="0" collapsed="false">
      <c r="A357" s="71"/>
      <c r="B357" s="71"/>
      <c r="C357" s="71"/>
      <c r="D357" s="71"/>
      <c r="E357" s="72"/>
      <c r="F357" s="77" t="str">
        <f aca="false">IF(A357="","",COUNTIF($A$6:A357,A357))</f>
        <v/>
      </c>
      <c r="G357" s="77" t="str">
        <f aca="false">IF(A357="","",A357&amp;"|"&amp;F357)</f>
        <v/>
      </c>
      <c r="H357" s="77" t="str">
        <f aca="false">IF(A357="","",SUMIFS('Release Log'!$D$6:$D$4005,'Release Log'!$B$6:$B$4005,A357,'Release Log'!$C$6:$C$4005,C357))</f>
        <v/>
      </c>
      <c r="I357" s="77" t="str">
        <f aca="false">IF(OR(A357="",N(E357)=0),"",INT(H357/E357))</f>
        <v/>
      </c>
      <c r="J357" s="77" t="str">
        <f aca="false">IF(A357="","",A357&amp;"|"&amp;C357)</f>
        <v/>
      </c>
    </row>
    <row r="358" customFormat="false" ht="15" hidden="false" customHeight="false" outlineLevel="0" collapsed="false">
      <c r="A358" s="71"/>
      <c r="B358" s="71"/>
      <c r="C358" s="71"/>
      <c r="D358" s="71"/>
      <c r="E358" s="72"/>
      <c r="F358" s="77" t="str">
        <f aca="false">IF(A358="","",COUNTIF($A$6:A358,A358))</f>
        <v/>
      </c>
      <c r="G358" s="77" t="str">
        <f aca="false">IF(A358="","",A358&amp;"|"&amp;F358)</f>
        <v/>
      </c>
      <c r="H358" s="77" t="str">
        <f aca="false">IF(A358="","",SUMIFS('Release Log'!$D$6:$D$4005,'Release Log'!$B$6:$B$4005,A358,'Release Log'!$C$6:$C$4005,C358))</f>
        <v/>
      </c>
      <c r="I358" s="77" t="str">
        <f aca="false">IF(OR(A358="",N(E358)=0),"",INT(H358/E358))</f>
        <v/>
      </c>
      <c r="J358" s="77" t="str">
        <f aca="false">IF(A358="","",A358&amp;"|"&amp;C358)</f>
        <v/>
      </c>
    </row>
    <row r="359" customFormat="false" ht="15" hidden="false" customHeight="false" outlineLevel="0" collapsed="false">
      <c r="A359" s="71"/>
      <c r="B359" s="71"/>
      <c r="C359" s="71"/>
      <c r="D359" s="71"/>
      <c r="E359" s="72"/>
      <c r="F359" s="77" t="str">
        <f aca="false">IF(A359="","",COUNTIF($A$6:A359,A359))</f>
        <v/>
      </c>
      <c r="G359" s="77" t="str">
        <f aca="false">IF(A359="","",A359&amp;"|"&amp;F359)</f>
        <v/>
      </c>
      <c r="H359" s="77" t="str">
        <f aca="false">IF(A359="","",SUMIFS('Release Log'!$D$6:$D$4005,'Release Log'!$B$6:$B$4005,A359,'Release Log'!$C$6:$C$4005,C359))</f>
        <v/>
      </c>
      <c r="I359" s="77" t="str">
        <f aca="false">IF(OR(A359="",N(E359)=0),"",INT(H359/E359))</f>
        <v/>
      </c>
      <c r="J359" s="77" t="str">
        <f aca="false">IF(A359="","",A359&amp;"|"&amp;C359)</f>
        <v/>
      </c>
    </row>
    <row r="360" customFormat="false" ht="15" hidden="false" customHeight="false" outlineLevel="0" collapsed="false">
      <c r="A360" s="71"/>
      <c r="B360" s="71"/>
      <c r="C360" s="71"/>
      <c r="D360" s="71"/>
      <c r="E360" s="72"/>
      <c r="F360" s="77" t="str">
        <f aca="false">IF(A360="","",COUNTIF($A$6:A360,A360))</f>
        <v/>
      </c>
      <c r="G360" s="77" t="str">
        <f aca="false">IF(A360="","",A360&amp;"|"&amp;F360)</f>
        <v/>
      </c>
      <c r="H360" s="77" t="str">
        <f aca="false">IF(A360="","",SUMIFS('Release Log'!$D$6:$D$4005,'Release Log'!$B$6:$B$4005,A360,'Release Log'!$C$6:$C$4005,C360))</f>
        <v/>
      </c>
      <c r="I360" s="77" t="str">
        <f aca="false">IF(OR(A360="",N(E360)=0),"",INT(H360/E360))</f>
        <v/>
      </c>
      <c r="J360" s="77" t="str">
        <f aca="false">IF(A360="","",A360&amp;"|"&amp;C360)</f>
        <v/>
      </c>
    </row>
    <row r="361" customFormat="false" ht="15" hidden="false" customHeight="false" outlineLevel="0" collapsed="false">
      <c r="A361" s="71"/>
      <c r="B361" s="71"/>
      <c r="C361" s="71"/>
      <c r="D361" s="71"/>
      <c r="E361" s="72"/>
      <c r="F361" s="77" t="str">
        <f aca="false">IF(A361="","",COUNTIF($A$6:A361,A361))</f>
        <v/>
      </c>
      <c r="G361" s="77" t="str">
        <f aca="false">IF(A361="","",A361&amp;"|"&amp;F361)</f>
        <v/>
      </c>
      <c r="H361" s="77" t="str">
        <f aca="false">IF(A361="","",SUMIFS('Release Log'!$D$6:$D$4005,'Release Log'!$B$6:$B$4005,A361,'Release Log'!$C$6:$C$4005,C361))</f>
        <v/>
      </c>
      <c r="I361" s="77" t="str">
        <f aca="false">IF(OR(A361="",N(E361)=0),"",INT(H361/E361))</f>
        <v/>
      </c>
      <c r="J361" s="77" t="str">
        <f aca="false">IF(A361="","",A361&amp;"|"&amp;C361)</f>
        <v/>
      </c>
    </row>
    <row r="362" customFormat="false" ht="15" hidden="false" customHeight="false" outlineLevel="0" collapsed="false">
      <c r="A362" s="71"/>
      <c r="B362" s="71"/>
      <c r="C362" s="71"/>
      <c r="D362" s="71"/>
      <c r="E362" s="72"/>
      <c r="F362" s="77" t="str">
        <f aca="false">IF(A362="","",COUNTIF($A$6:A362,A362))</f>
        <v/>
      </c>
      <c r="G362" s="77" t="str">
        <f aca="false">IF(A362="","",A362&amp;"|"&amp;F362)</f>
        <v/>
      </c>
      <c r="H362" s="77" t="str">
        <f aca="false">IF(A362="","",SUMIFS('Release Log'!$D$6:$D$4005,'Release Log'!$B$6:$B$4005,A362,'Release Log'!$C$6:$C$4005,C362))</f>
        <v/>
      </c>
      <c r="I362" s="77" t="str">
        <f aca="false">IF(OR(A362="",N(E362)=0),"",INT(H362/E362))</f>
        <v/>
      </c>
      <c r="J362" s="77" t="str">
        <f aca="false">IF(A362="","",A362&amp;"|"&amp;C362)</f>
        <v/>
      </c>
    </row>
    <row r="363" customFormat="false" ht="15" hidden="false" customHeight="false" outlineLevel="0" collapsed="false">
      <c r="A363" s="71"/>
      <c r="B363" s="71"/>
      <c r="C363" s="71"/>
      <c r="D363" s="71"/>
      <c r="E363" s="72"/>
      <c r="F363" s="77" t="str">
        <f aca="false">IF(A363="","",COUNTIF($A$6:A363,A363))</f>
        <v/>
      </c>
      <c r="G363" s="77" t="str">
        <f aca="false">IF(A363="","",A363&amp;"|"&amp;F363)</f>
        <v/>
      </c>
      <c r="H363" s="77" t="str">
        <f aca="false">IF(A363="","",SUMIFS('Release Log'!$D$6:$D$4005,'Release Log'!$B$6:$B$4005,A363,'Release Log'!$C$6:$C$4005,C363))</f>
        <v/>
      </c>
      <c r="I363" s="77" t="str">
        <f aca="false">IF(OR(A363="",N(E363)=0),"",INT(H363/E363))</f>
        <v/>
      </c>
      <c r="J363" s="77" t="str">
        <f aca="false">IF(A363="","",A363&amp;"|"&amp;C363)</f>
        <v/>
      </c>
    </row>
    <row r="364" customFormat="false" ht="15" hidden="false" customHeight="false" outlineLevel="0" collapsed="false">
      <c r="A364" s="71"/>
      <c r="B364" s="71"/>
      <c r="C364" s="71"/>
      <c r="D364" s="71"/>
      <c r="E364" s="72"/>
      <c r="F364" s="77" t="str">
        <f aca="false">IF(A364="","",COUNTIF($A$6:A364,A364))</f>
        <v/>
      </c>
      <c r="G364" s="77" t="str">
        <f aca="false">IF(A364="","",A364&amp;"|"&amp;F364)</f>
        <v/>
      </c>
      <c r="H364" s="77" t="str">
        <f aca="false">IF(A364="","",SUMIFS('Release Log'!$D$6:$D$4005,'Release Log'!$B$6:$B$4005,A364,'Release Log'!$C$6:$C$4005,C364))</f>
        <v/>
      </c>
      <c r="I364" s="77" t="str">
        <f aca="false">IF(OR(A364="",N(E364)=0),"",INT(H364/E364))</f>
        <v/>
      </c>
      <c r="J364" s="77" t="str">
        <f aca="false">IF(A364="","",A364&amp;"|"&amp;C364)</f>
        <v/>
      </c>
    </row>
    <row r="365" customFormat="false" ht="15" hidden="false" customHeight="false" outlineLevel="0" collapsed="false">
      <c r="A365" s="71"/>
      <c r="B365" s="71"/>
      <c r="C365" s="71"/>
      <c r="D365" s="71"/>
      <c r="E365" s="72"/>
      <c r="F365" s="77" t="str">
        <f aca="false">IF(A365="","",COUNTIF($A$6:A365,A365))</f>
        <v/>
      </c>
      <c r="G365" s="77" t="str">
        <f aca="false">IF(A365="","",A365&amp;"|"&amp;F365)</f>
        <v/>
      </c>
      <c r="H365" s="77" t="str">
        <f aca="false">IF(A365="","",SUMIFS('Release Log'!$D$6:$D$4005,'Release Log'!$B$6:$B$4005,A365,'Release Log'!$C$6:$C$4005,C365))</f>
        <v/>
      </c>
      <c r="I365" s="77" t="str">
        <f aca="false">IF(OR(A365="",N(E365)=0),"",INT(H365/E365))</f>
        <v/>
      </c>
      <c r="J365" s="77" t="str">
        <f aca="false">IF(A365="","",A365&amp;"|"&amp;C365)</f>
        <v/>
      </c>
    </row>
    <row r="366" customFormat="false" ht="15" hidden="false" customHeight="false" outlineLevel="0" collapsed="false">
      <c r="A366" s="71"/>
      <c r="B366" s="71"/>
      <c r="C366" s="71"/>
      <c r="D366" s="71"/>
      <c r="E366" s="72"/>
      <c r="F366" s="77" t="str">
        <f aca="false">IF(A366="","",COUNTIF($A$6:A366,A366))</f>
        <v/>
      </c>
      <c r="G366" s="77" t="str">
        <f aca="false">IF(A366="","",A366&amp;"|"&amp;F366)</f>
        <v/>
      </c>
      <c r="H366" s="77" t="str">
        <f aca="false">IF(A366="","",SUMIFS('Release Log'!$D$6:$D$4005,'Release Log'!$B$6:$B$4005,A366,'Release Log'!$C$6:$C$4005,C366))</f>
        <v/>
      </c>
      <c r="I366" s="77" t="str">
        <f aca="false">IF(OR(A366="",N(E366)=0),"",INT(H366/E366))</f>
        <v/>
      </c>
      <c r="J366" s="77" t="str">
        <f aca="false">IF(A366="","",A366&amp;"|"&amp;C366)</f>
        <v/>
      </c>
    </row>
    <row r="367" customFormat="false" ht="15" hidden="false" customHeight="false" outlineLevel="0" collapsed="false">
      <c r="A367" s="71"/>
      <c r="B367" s="71"/>
      <c r="C367" s="71"/>
      <c r="D367" s="71"/>
      <c r="E367" s="72"/>
      <c r="F367" s="77" t="str">
        <f aca="false">IF(A367="","",COUNTIF($A$6:A367,A367))</f>
        <v/>
      </c>
      <c r="G367" s="77" t="str">
        <f aca="false">IF(A367="","",A367&amp;"|"&amp;F367)</f>
        <v/>
      </c>
      <c r="H367" s="77" t="str">
        <f aca="false">IF(A367="","",SUMIFS('Release Log'!$D$6:$D$4005,'Release Log'!$B$6:$B$4005,A367,'Release Log'!$C$6:$C$4005,C367))</f>
        <v/>
      </c>
      <c r="I367" s="77" t="str">
        <f aca="false">IF(OR(A367="",N(E367)=0),"",INT(H367/E367))</f>
        <v/>
      </c>
      <c r="J367" s="77" t="str">
        <f aca="false">IF(A367="","",A367&amp;"|"&amp;C367)</f>
        <v/>
      </c>
    </row>
    <row r="368" customFormat="false" ht="15" hidden="false" customHeight="false" outlineLevel="0" collapsed="false">
      <c r="A368" s="71"/>
      <c r="B368" s="71"/>
      <c r="C368" s="71"/>
      <c r="D368" s="71"/>
      <c r="E368" s="72"/>
      <c r="F368" s="77" t="str">
        <f aca="false">IF(A368="","",COUNTIF($A$6:A368,A368))</f>
        <v/>
      </c>
      <c r="G368" s="77" t="str">
        <f aca="false">IF(A368="","",A368&amp;"|"&amp;F368)</f>
        <v/>
      </c>
      <c r="H368" s="77" t="str">
        <f aca="false">IF(A368="","",SUMIFS('Release Log'!$D$6:$D$4005,'Release Log'!$B$6:$B$4005,A368,'Release Log'!$C$6:$C$4005,C368))</f>
        <v/>
      </c>
      <c r="I368" s="77" t="str">
        <f aca="false">IF(OR(A368="",N(E368)=0),"",INT(H368/E368))</f>
        <v/>
      </c>
      <c r="J368" s="77" t="str">
        <f aca="false">IF(A368="","",A368&amp;"|"&amp;C368)</f>
        <v/>
      </c>
    </row>
    <row r="369" customFormat="false" ht="15" hidden="false" customHeight="false" outlineLevel="0" collapsed="false">
      <c r="A369" s="71"/>
      <c r="B369" s="71"/>
      <c r="C369" s="71"/>
      <c r="D369" s="71"/>
      <c r="E369" s="72"/>
      <c r="F369" s="77" t="str">
        <f aca="false">IF(A369="","",COUNTIF($A$6:A369,A369))</f>
        <v/>
      </c>
      <c r="G369" s="77" t="str">
        <f aca="false">IF(A369="","",A369&amp;"|"&amp;F369)</f>
        <v/>
      </c>
      <c r="H369" s="77" t="str">
        <f aca="false">IF(A369="","",SUMIFS('Release Log'!$D$6:$D$4005,'Release Log'!$B$6:$B$4005,A369,'Release Log'!$C$6:$C$4005,C369))</f>
        <v/>
      </c>
      <c r="I369" s="77" t="str">
        <f aca="false">IF(OR(A369="",N(E369)=0),"",INT(H369/E369))</f>
        <v/>
      </c>
      <c r="J369" s="77" t="str">
        <f aca="false">IF(A369="","",A369&amp;"|"&amp;C369)</f>
        <v/>
      </c>
    </row>
    <row r="370" customFormat="false" ht="15" hidden="false" customHeight="false" outlineLevel="0" collapsed="false">
      <c r="A370" s="71"/>
      <c r="B370" s="71"/>
      <c r="C370" s="71"/>
      <c r="D370" s="71"/>
      <c r="E370" s="72"/>
      <c r="F370" s="77" t="str">
        <f aca="false">IF(A370="","",COUNTIF($A$6:A370,A370))</f>
        <v/>
      </c>
      <c r="G370" s="77" t="str">
        <f aca="false">IF(A370="","",A370&amp;"|"&amp;F370)</f>
        <v/>
      </c>
      <c r="H370" s="77" t="str">
        <f aca="false">IF(A370="","",SUMIFS('Release Log'!$D$6:$D$4005,'Release Log'!$B$6:$B$4005,A370,'Release Log'!$C$6:$C$4005,C370))</f>
        <v/>
      </c>
      <c r="I370" s="77" t="str">
        <f aca="false">IF(OR(A370="",N(E370)=0),"",INT(H370/E370))</f>
        <v/>
      </c>
      <c r="J370" s="77" t="str">
        <f aca="false">IF(A370="","",A370&amp;"|"&amp;C370)</f>
        <v/>
      </c>
    </row>
    <row r="371" customFormat="false" ht="15" hidden="false" customHeight="false" outlineLevel="0" collapsed="false">
      <c r="A371" s="71"/>
      <c r="B371" s="71"/>
      <c r="C371" s="71"/>
      <c r="D371" s="71"/>
      <c r="E371" s="72"/>
      <c r="F371" s="77" t="str">
        <f aca="false">IF(A371="","",COUNTIF($A$6:A371,A371))</f>
        <v/>
      </c>
      <c r="G371" s="77" t="str">
        <f aca="false">IF(A371="","",A371&amp;"|"&amp;F371)</f>
        <v/>
      </c>
      <c r="H371" s="77" t="str">
        <f aca="false">IF(A371="","",SUMIFS('Release Log'!$D$6:$D$4005,'Release Log'!$B$6:$B$4005,A371,'Release Log'!$C$6:$C$4005,C371))</f>
        <v/>
      </c>
      <c r="I371" s="77" t="str">
        <f aca="false">IF(OR(A371="",N(E371)=0),"",INT(H371/E371))</f>
        <v/>
      </c>
      <c r="J371" s="77" t="str">
        <f aca="false">IF(A371="","",A371&amp;"|"&amp;C371)</f>
        <v/>
      </c>
    </row>
    <row r="372" customFormat="false" ht="15" hidden="false" customHeight="false" outlineLevel="0" collapsed="false">
      <c r="A372" s="71"/>
      <c r="B372" s="71"/>
      <c r="C372" s="71"/>
      <c r="D372" s="71"/>
      <c r="E372" s="72"/>
      <c r="F372" s="77" t="str">
        <f aca="false">IF(A372="","",COUNTIF($A$6:A372,A372))</f>
        <v/>
      </c>
      <c r="G372" s="77" t="str">
        <f aca="false">IF(A372="","",A372&amp;"|"&amp;F372)</f>
        <v/>
      </c>
      <c r="H372" s="77" t="str">
        <f aca="false">IF(A372="","",SUMIFS('Release Log'!$D$6:$D$4005,'Release Log'!$B$6:$B$4005,A372,'Release Log'!$C$6:$C$4005,C372))</f>
        <v/>
      </c>
      <c r="I372" s="77" t="str">
        <f aca="false">IF(OR(A372="",N(E372)=0),"",INT(H372/E372))</f>
        <v/>
      </c>
      <c r="J372" s="77" t="str">
        <f aca="false">IF(A372="","",A372&amp;"|"&amp;C372)</f>
        <v/>
      </c>
    </row>
    <row r="373" customFormat="false" ht="15" hidden="false" customHeight="false" outlineLevel="0" collapsed="false">
      <c r="A373" s="71"/>
      <c r="B373" s="71"/>
      <c r="C373" s="71"/>
      <c r="D373" s="71"/>
      <c r="E373" s="72"/>
      <c r="F373" s="77" t="str">
        <f aca="false">IF(A373="","",COUNTIF($A$6:A373,A373))</f>
        <v/>
      </c>
      <c r="G373" s="77" t="str">
        <f aca="false">IF(A373="","",A373&amp;"|"&amp;F373)</f>
        <v/>
      </c>
      <c r="H373" s="77" t="str">
        <f aca="false">IF(A373="","",SUMIFS('Release Log'!$D$6:$D$4005,'Release Log'!$B$6:$B$4005,A373,'Release Log'!$C$6:$C$4005,C373))</f>
        <v/>
      </c>
      <c r="I373" s="77" t="str">
        <f aca="false">IF(OR(A373="",N(E373)=0),"",INT(H373/E373))</f>
        <v/>
      </c>
      <c r="J373" s="77" t="str">
        <f aca="false">IF(A373="","",A373&amp;"|"&amp;C373)</f>
        <v/>
      </c>
    </row>
    <row r="374" customFormat="false" ht="15" hidden="false" customHeight="false" outlineLevel="0" collapsed="false">
      <c r="A374" s="71"/>
      <c r="B374" s="71"/>
      <c r="C374" s="71"/>
      <c r="D374" s="71"/>
      <c r="E374" s="72"/>
      <c r="F374" s="77" t="str">
        <f aca="false">IF(A374="","",COUNTIF($A$6:A374,A374))</f>
        <v/>
      </c>
      <c r="G374" s="77" t="str">
        <f aca="false">IF(A374="","",A374&amp;"|"&amp;F374)</f>
        <v/>
      </c>
      <c r="H374" s="77" t="str">
        <f aca="false">IF(A374="","",SUMIFS('Release Log'!$D$6:$D$4005,'Release Log'!$B$6:$B$4005,A374,'Release Log'!$C$6:$C$4005,C374))</f>
        <v/>
      </c>
      <c r="I374" s="77" t="str">
        <f aca="false">IF(OR(A374="",N(E374)=0),"",INT(H374/E374))</f>
        <v/>
      </c>
      <c r="J374" s="77" t="str">
        <f aca="false">IF(A374="","",A374&amp;"|"&amp;C374)</f>
        <v/>
      </c>
    </row>
    <row r="375" customFormat="false" ht="15" hidden="false" customHeight="false" outlineLevel="0" collapsed="false">
      <c r="A375" s="71"/>
      <c r="B375" s="71"/>
      <c r="C375" s="71"/>
      <c r="D375" s="71"/>
      <c r="E375" s="72"/>
      <c r="F375" s="77" t="str">
        <f aca="false">IF(A375="","",COUNTIF($A$6:A375,A375))</f>
        <v/>
      </c>
      <c r="G375" s="77" t="str">
        <f aca="false">IF(A375="","",A375&amp;"|"&amp;F375)</f>
        <v/>
      </c>
      <c r="H375" s="77" t="str">
        <f aca="false">IF(A375="","",SUMIFS('Release Log'!$D$6:$D$4005,'Release Log'!$B$6:$B$4005,A375,'Release Log'!$C$6:$C$4005,C375))</f>
        <v/>
      </c>
      <c r="I375" s="77" t="str">
        <f aca="false">IF(OR(A375="",N(E375)=0),"",INT(H375/E375))</f>
        <v/>
      </c>
      <c r="J375" s="77" t="str">
        <f aca="false">IF(A375="","",A375&amp;"|"&amp;C375)</f>
        <v/>
      </c>
    </row>
    <row r="376" customFormat="false" ht="15" hidden="false" customHeight="false" outlineLevel="0" collapsed="false">
      <c r="A376" s="71"/>
      <c r="B376" s="71"/>
      <c r="C376" s="71"/>
      <c r="D376" s="71"/>
      <c r="E376" s="72"/>
      <c r="F376" s="77" t="str">
        <f aca="false">IF(A376="","",COUNTIF($A$6:A376,A376))</f>
        <v/>
      </c>
      <c r="G376" s="77" t="str">
        <f aca="false">IF(A376="","",A376&amp;"|"&amp;F376)</f>
        <v/>
      </c>
      <c r="H376" s="77" t="str">
        <f aca="false">IF(A376="","",SUMIFS('Release Log'!$D$6:$D$4005,'Release Log'!$B$6:$B$4005,A376,'Release Log'!$C$6:$C$4005,C376))</f>
        <v/>
      </c>
      <c r="I376" s="77" t="str">
        <f aca="false">IF(OR(A376="",N(E376)=0),"",INT(H376/E376))</f>
        <v/>
      </c>
      <c r="J376" s="77" t="str">
        <f aca="false">IF(A376="","",A376&amp;"|"&amp;C376)</f>
        <v/>
      </c>
    </row>
    <row r="377" customFormat="false" ht="15" hidden="false" customHeight="false" outlineLevel="0" collapsed="false">
      <c r="A377" s="71"/>
      <c r="B377" s="71"/>
      <c r="C377" s="71"/>
      <c r="D377" s="71"/>
      <c r="E377" s="72"/>
      <c r="F377" s="77" t="str">
        <f aca="false">IF(A377="","",COUNTIF($A$6:A377,A377))</f>
        <v/>
      </c>
      <c r="G377" s="77" t="str">
        <f aca="false">IF(A377="","",A377&amp;"|"&amp;F377)</f>
        <v/>
      </c>
      <c r="H377" s="77" t="str">
        <f aca="false">IF(A377="","",SUMIFS('Release Log'!$D$6:$D$4005,'Release Log'!$B$6:$B$4005,A377,'Release Log'!$C$6:$C$4005,C377))</f>
        <v/>
      </c>
      <c r="I377" s="77" t="str">
        <f aca="false">IF(OR(A377="",N(E377)=0),"",INT(H377/E377))</f>
        <v/>
      </c>
      <c r="J377" s="77" t="str">
        <f aca="false">IF(A377="","",A377&amp;"|"&amp;C377)</f>
        <v/>
      </c>
    </row>
    <row r="378" customFormat="false" ht="15" hidden="false" customHeight="false" outlineLevel="0" collapsed="false">
      <c r="A378" s="71"/>
      <c r="B378" s="71"/>
      <c r="C378" s="71"/>
      <c r="D378" s="71"/>
      <c r="E378" s="72"/>
      <c r="F378" s="77" t="str">
        <f aca="false">IF(A378="","",COUNTIF($A$6:A378,A378))</f>
        <v/>
      </c>
      <c r="G378" s="77" t="str">
        <f aca="false">IF(A378="","",A378&amp;"|"&amp;F378)</f>
        <v/>
      </c>
      <c r="H378" s="77" t="str">
        <f aca="false">IF(A378="","",SUMIFS('Release Log'!$D$6:$D$4005,'Release Log'!$B$6:$B$4005,A378,'Release Log'!$C$6:$C$4005,C378))</f>
        <v/>
      </c>
      <c r="I378" s="77" t="str">
        <f aca="false">IF(OR(A378="",N(E378)=0),"",INT(H378/E378))</f>
        <v/>
      </c>
      <c r="J378" s="77" t="str">
        <f aca="false">IF(A378="","",A378&amp;"|"&amp;C378)</f>
        <v/>
      </c>
    </row>
    <row r="379" customFormat="false" ht="15" hidden="false" customHeight="false" outlineLevel="0" collapsed="false">
      <c r="A379" s="71"/>
      <c r="B379" s="71"/>
      <c r="C379" s="71"/>
      <c r="D379" s="71"/>
      <c r="E379" s="72"/>
      <c r="F379" s="77" t="str">
        <f aca="false">IF(A379="","",COUNTIF($A$6:A379,A379))</f>
        <v/>
      </c>
      <c r="G379" s="77" t="str">
        <f aca="false">IF(A379="","",A379&amp;"|"&amp;F379)</f>
        <v/>
      </c>
      <c r="H379" s="77" t="str">
        <f aca="false">IF(A379="","",SUMIFS('Release Log'!$D$6:$D$4005,'Release Log'!$B$6:$B$4005,A379,'Release Log'!$C$6:$C$4005,C379))</f>
        <v/>
      </c>
      <c r="I379" s="77" t="str">
        <f aca="false">IF(OR(A379="",N(E379)=0),"",INT(H379/E379))</f>
        <v/>
      </c>
      <c r="J379" s="77" t="str">
        <f aca="false">IF(A379="","",A379&amp;"|"&amp;C379)</f>
        <v/>
      </c>
    </row>
    <row r="380" customFormat="false" ht="15" hidden="false" customHeight="false" outlineLevel="0" collapsed="false">
      <c r="A380" s="71"/>
      <c r="B380" s="71"/>
      <c r="C380" s="71"/>
      <c r="D380" s="71"/>
      <c r="E380" s="72"/>
      <c r="F380" s="77" t="str">
        <f aca="false">IF(A380="","",COUNTIF($A$6:A380,A380))</f>
        <v/>
      </c>
      <c r="G380" s="77" t="str">
        <f aca="false">IF(A380="","",A380&amp;"|"&amp;F380)</f>
        <v/>
      </c>
      <c r="H380" s="77" t="str">
        <f aca="false">IF(A380="","",SUMIFS('Release Log'!$D$6:$D$4005,'Release Log'!$B$6:$B$4005,A380,'Release Log'!$C$6:$C$4005,C380))</f>
        <v/>
      </c>
      <c r="I380" s="77" t="str">
        <f aca="false">IF(OR(A380="",N(E380)=0),"",INT(H380/E380))</f>
        <v/>
      </c>
      <c r="J380" s="77" t="str">
        <f aca="false">IF(A380="","",A380&amp;"|"&amp;C380)</f>
        <v/>
      </c>
    </row>
    <row r="381" customFormat="false" ht="15" hidden="false" customHeight="false" outlineLevel="0" collapsed="false">
      <c r="A381" s="71"/>
      <c r="B381" s="71"/>
      <c r="C381" s="71"/>
      <c r="D381" s="71"/>
      <c r="E381" s="72"/>
      <c r="F381" s="77" t="str">
        <f aca="false">IF(A381="","",COUNTIF($A$6:A381,A381))</f>
        <v/>
      </c>
      <c r="G381" s="77" t="str">
        <f aca="false">IF(A381="","",A381&amp;"|"&amp;F381)</f>
        <v/>
      </c>
      <c r="H381" s="77" t="str">
        <f aca="false">IF(A381="","",SUMIFS('Release Log'!$D$6:$D$4005,'Release Log'!$B$6:$B$4005,A381,'Release Log'!$C$6:$C$4005,C381))</f>
        <v/>
      </c>
      <c r="I381" s="77" t="str">
        <f aca="false">IF(OR(A381="",N(E381)=0),"",INT(H381/E381))</f>
        <v/>
      </c>
      <c r="J381" s="77" t="str">
        <f aca="false">IF(A381="","",A381&amp;"|"&amp;C381)</f>
        <v/>
      </c>
    </row>
    <row r="382" customFormat="false" ht="15" hidden="false" customHeight="false" outlineLevel="0" collapsed="false">
      <c r="A382" s="71"/>
      <c r="B382" s="71"/>
      <c r="C382" s="71"/>
      <c r="D382" s="71"/>
      <c r="E382" s="72"/>
      <c r="F382" s="77" t="str">
        <f aca="false">IF(A382="","",COUNTIF($A$6:A382,A382))</f>
        <v/>
      </c>
      <c r="G382" s="77" t="str">
        <f aca="false">IF(A382="","",A382&amp;"|"&amp;F382)</f>
        <v/>
      </c>
      <c r="H382" s="77" t="str">
        <f aca="false">IF(A382="","",SUMIFS('Release Log'!$D$6:$D$4005,'Release Log'!$B$6:$B$4005,A382,'Release Log'!$C$6:$C$4005,C382))</f>
        <v/>
      </c>
      <c r="I382" s="77" t="str">
        <f aca="false">IF(OR(A382="",N(E382)=0),"",INT(H382/E382))</f>
        <v/>
      </c>
      <c r="J382" s="77" t="str">
        <f aca="false">IF(A382="","",A382&amp;"|"&amp;C382)</f>
        <v/>
      </c>
    </row>
    <row r="383" customFormat="false" ht="15" hidden="false" customHeight="false" outlineLevel="0" collapsed="false">
      <c r="A383" s="71"/>
      <c r="B383" s="71"/>
      <c r="C383" s="71"/>
      <c r="D383" s="71"/>
      <c r="E383" s="72"/>
      <c r="F383" s="77" t="str">
        <f aca="false">IF(A383="","",COUNTIF($A$6:A383,A383))</f>
        <v/>
      </c>
      <c r="G383" s="77" t="str">
        <f aca="false">IF(A383="","",A383&amp;"|"&amp;F383)</f>
        <v/>
      </c>
      <c r="H383" s="77" t="str">
        <f aca="false">IF(A383="","",SUMIFS('Release Log'!$D$6:$D$4005,'Release Log'!$B$6:$B$4005,A383,'Release Log'!$C$6:$C$4005,C383))</f>
        <v/>
      </c>
      <c r="I383" s="77" t="str">
        <f aca="false">IF(OR(A383="",N(E383)=0),"",INT(H383/E383))</f>
        <v/>
      </c>
      <c r="J383" s="77" t="str">
        <f aca="false">IF(A383="","",A383&amp;"|"&amp;C383)</f>
        <v/>
      </c>
    </row>
    <row r="384" customFormat="false" ht="15" hidden="false" customHeight="false" outlineLevel="0" collapsed="false">
      <c r="A384" s="71"/>
      <c r="B384" s="71"/>
      <c r="C384" s="71"/>
      <c r="D384" s="71"/>
      <c r="E384" s="72"/>
      <c r="F384" s="77" t="str">
        <f aca="false">IF(A384="","",COUNTIF($A$6:A384,A384))</f>
        <v/>
      </c>
      <c r="G384" s="77" t="str">
        <f aca="false">IF(A384="","",A384&amp;"|"&amp;F384)</f>
        <v/>
      </c>
      <c r="H384" s="77" t="str">
        <f aca="false">IF(A384="","",SUMIFS('Release Log'!$D$6:$D$4005,'Release Log'!$B$6:$B$4005,A384,'Release Log'!$C$6:$C$4005,C384))</f>
        <v/>
      </c>
      <c r="I384" s="77" t="str">
        <f aca="false">IF(OR(A384="",N(E384)=0),"",INT(H384/E384))</f>
        <v/>
      </c>
      <c r="J384" s="77" t="str">
        <f aca="false">IF(A384="","",A384&amp;"|"&amp;C384)</f>
        <v/>
      </c>
    </row>
    <row r="385" customFormat="false" ht="15" hidden="false" customHeight="false" outlineLevel="0" collapsed="false">
      <c r="A385" s="71"/>
      <c r="B385" s="71"/>
      <c r="C385" s="71"/>
      <c r="D385" s="71"/>
      <c r="E385" s="72"/>
      <c r="F385" s="77" t="str">
        <f aca="false">IF(A385="","",COUNTIF($A$6:A385,A385))</f>
        <v/>
      </c>
      <c r="G385" s="77" t="str">
        <f aca="false">IF(A385="","",A385&amp;"|"&amp;F385)</f>
        <v/>
      </c>
      <c r="H385" s="77" t="str">
        <f aca="false">IF(A385="","",SUMIFS('Release Log'!$D$6:$D$4005,'Release Log'!$B$6:$B$4005,A385,'Release Log'!$C$6:$C$4005,C385))</f>
        <v/>
      </c>
      <c r="I385" s="77" t="str">
        <f aca="false">IF(OR(A385="",N(E385)=0),"",INT(H385/E385))</f>
        <v/>
      </c>
      <c r="J385" s="77" t="str">
        <f aca="false">IF(A385="","",A385&amp;"|"&amp;C385)</f>
        <v/>
      </c>
    </row>
    <row r="386" customFormat="false" ht="15" hidden="false" customHeight="false" outlineLevel="0" collapsed="false">
      <c r="A386" s="71"/>
      <c r="B386" s="71"/>
      <c r="C386" s="71"/>
      <c r="D386" s="71"/>
      <c r="E386" s="72"/>
      <c r="F386" s="77" t="str">
        <f aca="false">IF(A386="","",COUNTIF($A$6:A386,A386))</f>
        <v/>
      </c>
      <c r="G386" s="77" t="str">
        <f aca="false">IF(A386="","",A386&amp;"|"&amp;F386)</f>
        <v/>
      </c>
      <c r="H386" s="77" t="str">
        <f aca="false">IF(A386="","",SUMIFS('Release Log'!$D$6:$D$4005,'Release Log'!$B$6:$B$4005,A386,'Release Log'!$C$6:$C$4005,C386))</f>
        <v/>
      </c>
      <c r="I386" s="77" t="str">
        <f aca="false">IF(OR(A386="",N(E386)=0),"",INT(H386/E386))</f>
        <v/>
      </c>
      <c r="J386" s="77" t="str">
        <f aca="false">IF(A386="","",A386&amp;"|"&amp;C386)</f>
        <v/>
      </c>
    </row>
    <row r="387" customFormat="false" ht="15" hidden="false" customHeight="false" outlineLevel="0" collapsed="false">
      <c r="A387" s="71"/>
      <c r="B387" s="71"/>
      <c r="C387" s="71"/>
      <c r="D387" s="71"/>
      <c r="E387" s="72"/>
      <c r="F387" s="77" t="str">
        <f aca="false">IF(A387="","",COUNTIF($A$6:A387,A387))</f>
        <v/>
      </c>
      <c r="G387" s="77" t="str">
        <f aca="false">IF(A387="","",A387&amp;"|"&amp;F387)</f>
        <v/>
      </c>
      <c r="H387" s="77" t="str">
        <f aca="false">IF(A387="","",SUMIFS('Release Log'!$D$6:$D$4005,'Release Log'!$B$6:$B$4005,A387,'Release Log'!$C$6:$C$4005,C387))</f>
        <v/>
      </c>
      <c r="I387" s="77" t="str">
        <f aca="false">IF(OR(A387="",N(E387)=0),"",INT(H387/E387))</f>
        <v/>
      </c>
      <c r="J387" s="77" t="str">
        <f aca="false">IF(A387="","",A387&amp;"|"&amp;C387)</f>
        <v/>
      </c>
    </row>
    <row r="388" customFormat="false" ht="15" hidden="false" customHeight="false" outlineLevel="0" collapsed="false">
      <c r="A388" s="71"/>
      <c r="B388" s="71"/>
      <c r="C388" s="71"/>
      <c r="D388" s="71"/>
      <c r="E388" s="72"/>
      <c r="F388" s="77" t="str">
        <f aca="false">IF(A388="","",COUNTIF($A$6:A388,A388))</f>
        <v/>
      </c>
      <c r="G388" s="77" t="str">
        <f aca="false">IF(A388="","",A388&amp;"|"&amp;F388)</f>
        <v/>
      </c>
      <c r="H388" s="77" t="str">
        <f aca="false">IF(A388="","",SUMIFS('Release Log'!$D$6:$D$4005,'Release Log'!$B$6:$B$4005,A388,'Release Log'!$C$6:$C$4005,C388))</f>
        <v/>
      </c>
      <c r="I388" s="77" t="str">
        <f aca="false">IF(OR(A388="",N(E388)=0),"",INT(H388/E388))</f>
        <v/>
      </c>
      <c r="J388" s="77" t="str">
        <f aca="false">IF(A388="","",A388&amp;"|"&amp;C388)</f>
        <v/>
      </c>
    </row>
    <row r="389" customFormat="false" ht="15" hidden="false" customHeight="false" outlineLevel="0" collapsed="false">
      <c r="A389" s="71"/>
      <c r="B389" s="71"/>
      <c r="C389" s="71"/>
      <c r="D389" s="71"/>
      <c r="E389" s="72"/>
      <c r="F389" s="77" t="str">
        <f aca="false">IF(A389="","",COUNTIF($A$6:A389,A389))</f>
        <v/>
      </c>
      <c r="G389" s="77" t="str">
        <f aca="false">IF(A389="","",A389&amp;"|"&amp;F389)</f>
        <v/>
      </c>
      <c r="H389" s="77" t="str">
        <f aca="false">IF(A389="","",SUMIFS('Release Log'!$D$6:$D$4005,'Release Log'!$B$6:$B$4005,A389,'Release Log'!$C$6:$C$4005,C389))</f>
        <v/>
      </c>
      <c r="I389" s="77" t="str">
        <f aca="false">IF(OR(A389="",N(E389)=0),"",INT(H389/E389))</f>
        <v/>
      </c>
      <c r="J389" s="77" t="str">
        <f aca="false">IF(A389="","",A389&amp;"|"&amp;C389)</f>
        <v/>
      </c>
    </row>
    <row r="390" customFormat="false" ht="15" hidden="false" customHeight="false" outlineLevel="0" collapsed="false">
      <c r="A390" s="71"/>
      <c r="B390" s="71"/>
      <c r="C390" s="71"/>
      <c r="D390" s="71"/>
      <c r="E390" s="72"/>
      <c r="F390" s="77" t="str">
        <f aca="false">IF(A390="","",COUNTIF($A$6:A390,A390))</f>
        <v/>
      </c>
      <c r="G390" s="77" t="str">
        <f aca="false">IF(A390="","",A390&amp;"|"&amp;F390)</f>
        <v/>
      </c>
      <c r="H390" s="77" t="str">
        <f aca="false">IF(A390="","",SUMIFS('Release Log'!$D$6:$D$4005,'Release Log'!$B$6:$B$4005,A390,'Release Log'!$C$6:$C$4005,C390))</f>
        <v/>
      </c>
      <c r="I390" s="77" t="str">
        <f aca="false">IF(OR(A390="",N(E390)=0),"",INT(H390/E390))</f>
        <v/>
      </c>
      <c r="J390" s="77" t="str">
        <f aca="false">IF(A390="","",A390&amp;"|"&amp;C390)</f>
        <v/>
      </c>
    </row>
    <row r="391" customFormat="false" ht="15" hidden="false" customHeight="false" outlineLevel="0" collapsed="false">
      <c r="A391" s="71"/>
      <c r="B391" s="71"/>
      <c r="C391" s="71"/>
      <c r="D391" s="71"/>
      <c r="E391" s="72"/>
      <c r="F391" s="77" t="str">
        <f aca="false">IF(A391="","",COUNTIF($A$6:A391,A391))</f>
        <v/>
      </c>
      <c r="G391" s="77" t="str">
        <f aca="false">IF(A391="","",A391&amp;"|"&amp;F391)</f>
        <v/>
      </c>
      <c r="H391" s="77" t="str">
        <f aca="false">IF(A391="","",SUMIFS('Release Log'!$D$6:$D$4005,'Release Log'!$B$6:$B$4005,A391,'Release Log'!$C$6:$C$4005,C391))</f>
        <v/>
      </c>
      <c r="I391" s="77" t="str">
        <f aca="false">IF(OR(A391="",N(E391)=0),"",INT(H391/E391))</f>
        <v/>
      </c>
      <c r="J391" s="77" t="str">
        <f aca="false">IF(A391="","",A391&amp;"|"&amp;C391)</f>
        <v/>
      </c>
    </row>
    <row r="392" customFormat="false" ht="15" hidden="false" customHeight="false" outlineLevel="0" collapsed="false">
      <c r="A392" s="71"/>
      <c r="B392" s="71"/>
      <c r="C392" s="71"/>
      <c r="D392" s="71"/>
      <c r="E392" s="72"/>
      <c r="F392" s="77" t="str">
        <f aca="false">IF(A392="","",COUNTIF($A$6:A392,A392))</f>
        <v/>
      </c>
      <c r="G392" s="77" t="str">
        <f aca="false">IF(A392="","",A392&amp;"|"&amp;F392)</f>
        <v/>
      </c>
      <c r="H392" s="77" t="str">
        <f aca="false">IF(A392="","",SUMIFS('Release Log'!$D$6:$D$4005,'Release Log'!$B$6:$B$4005,A392,'Release Log'!$C$6:$C$4005,C392))</f>
        <v/>
      </c>
      <c r="I392" s="77" t="str">
        <f aca="false">IF(OR(A392="",N(E392)=0),"",INT(H392/E392))</f>
        <v/>
      </c>
      <c r="J392" s="77" t="str">
        <f aca="false">IF(A392="","",A392&amp;"|"&amp;C392)</f>
        <v/>
      </c>
    </row>
    <row r="393" customFormat="false" ht="15" hidden="false" customHeight="false" outlineLevel="0" collapsed="false">
      <c r="A393" s="71"/>
      <c r="B393" s="71"/>
      <c r="C393" s="71"/>
      <c r="D393" s="71"/>
      <c r="E393" s="72"/>
      <c r="F393" s="77" t="str">
        <f aca="false">IF(A393="","",COUNTIF($A$6:A393,A393))</f>
        <v/>
      </c>
      <c r="G393" s="77" t="str">
        <f aca="false">IF(A393="","",A393&amp;"|"&amp;F393)</f>
        <v/>
      </c>
      <c r="H393" s="77" t="str">
        <f aca="false">IF(A393="","",SUMIFS('Release Log'!$D$6:$D$4005,'Release Log'!$B$6:$B$4005,A393,'Release Log'!$C$6:$C$4005,C393))</f>
        <v/>
      </c>
      <c r="I393" s="77" t="str">
        <f aca="false">IF(OR(A393="",N(E393)=0),"",INT(H393/E393))</f>
        <v/>
      </c>
      <c r="J393" s="77" t="str">
        <f aca="false">IF(A393="","",A393&amp;"|"&amp;C393)</f>
        <v/>
      </c>
    </row>
    <row r="394" customFormat="false" ht="15" hidden="false" customHeight="false" outlineLevel="0" collapsed="false">
      <c r="A394" s="71"/>
      <c r="B394" s="71"/>
      <c r="C394" s="71"/>
      <c r="D394" s="71"/>
      <c r="E394" s="72"/>
      <c r="F394" s="77" t="str">
        <f aca="false">IF(A394="","",COUNTIF($A$6:A394,A394))</f>
        <v/>
      </c>
      <c r="G394" s="77" t="str">
        <f aca="false">IF(A394="","",A394&amp;"|"&amp;F394)</f>
        <v/>
      </c>
      <c r="H394" s="77" t="str">
        <f aca="false">IF(A394="","",SUMIFS('Release Log'!$D$6:$D$4005,'Release Log'!$B$6:$B$4005,A394,'Release Log'!$C$6:$C$4005,C394))</f>
        <v/>
      </c>
      <c r="I394" s="77" t="str">
        <f aca="false">IF(OR(A394="",N(E394)=0),"",INT(H394/E394))</f>
        <v/>
      </c>
      <c r="J394" s="77" t="str">
        <f aca="false">IF(A394="","",A394&amp;"|"&amp;C394)</f>
        <v/>
      </c>
    </row>
    <row r="395" customFormat="false" ht="15" hidden="false" customHeight="false" outlineLevel="0" collapsed="false">
      <c r="A395" s="71"/>
      <c r="B395" s="71"/>
      <c r="C395" s="71"/>
      <c r="D395" s="71"/>
      <c r="E395" s="72"/>
      <c r="F395" s="77" t="str">
        <f aca="false">IF(A395="","",COUNTIF($A$6:A395,A395))</f>
        <v/>
      </c>
      <c r="G395" s="77" t="str">
        <f aca="false">IF(A395="","",A395&amp;"|"&amp;F395)</f>
        <v/>
      </c>
      <c r="H395" s="77" t="str">
        <f aca="false">IF(A395="","",SUMIFS('Release Log'!$D$6:$D$4005,'Release Log'!$B$6:$B$4005,A395,'Release Log'!$C$6:$C$4005,C395))</f>
        <v/>
      </c>
      <c r="I395" s="77" t="str">
        <f aca="false">IF(OR(A395="",N(E395)=0),"",INT(H395/E395))</f>
        <v/>
      </c>
      <c r="J395" s="77" t="str">
        <f aca="false">IF(A395="","",A395&amp;"|"&amp;C395)</f>
        <v/>
      </c>
    </row>
    <row r="396" customFormat="false" ht="15" hidden="false" customHeight="false" outlineLevel="0" collapsed="false">
      <c r="A396" s="71"/>
      <c r="B396" s="71"/>
      <c r="C396" s="71"/>
      <c r="D396" s="71"/>
      <c r="E396" s="72"/>
      <c r="F396" s="77" t="str">
        <f aca="false">IF(A396="","",COUNTIF($A$6:A396,A396))</f>
        <v/>
      </c>
      <c r="G396" s="77" t="str">
        <f aca="false">IF(A396="","",A396&amp;"|"&amp;F396)</f>
        <v/>
      </c>
      <c r="H396" s="77" t="str">
        <f aca="false">IF(A396="","",SUMIFS('Release Log'!$D$6:$D$4005,'Release Log'!$B$6:$B$4005,A396,'Release Log'!$C$6:$C$4005,C396))</f>
        <v/>
      </c>
      <c r="I396" s="77" t="str">
        <f aca="false">IF(OR(A396="",N(E396)=0),"",INT(H396/E396))</f>
        <v/>
      </c>
      <c r="J396" s="77" t="str">
        <f aca="false">IF(A396="","",A396&amp;"|"&amp;C396)</f>
        <v/>
      </c>
    </row>
    <row r="397" customFormat="false" ht="15" hidden="false" customHeight="false" outlineLevel="0" collapsed="false">
      <c r="A397" s="71"/>
      <c r="B397" s="71"/>
      <c r="C397" s="71"/>
      <c r="D397" s="71"/>
      <c r="E397" s="72"/>
      <c r="F397" s="77" t="str">
        <f aca="false">IF(A397="","",COUNTIF($A$6:A397,A397))</f>
        <v/>
      </c>
      <c r="G397" s="77" t="str">
        <f aca="false">IF(A397="","",A397&amp;"|"&amp;F397)</f>
        <v/>
      </c>
      <c r="H397" s="77" t="str">
        <f aca="false">IF(A397="","",SUMIFS('Release Log'!$D$6:$D$4005,'Release Log'!$B$6:$B$4005,A397,'Release Log'!$C$6:$C$4005,C397))</f>
        <v/>
      </c>
      <c r="I397" s="77" t="str">
        <f aca="false">IF(OR(A397="",N(E397)=0),"",INT(H397/E397))</f>
        <v/>
      </c>
      <c r="J397" s="77" t="str">
        <f aca="false">IF(A397="","",A397&amp;"|"&amp;C397)</f>
        <v/>
      </c>
    </row>
    <row r="398" customFormat="false" ht="15" hidden="false" customHeight="false" outlineLevel="0" collapsed="false">
      <c r="A398" s="71"/>
      <c r="B398" s="71"/>
      <c r="C398" s="71"/>
      <c r="D398" s="71"/>
      <c r="E398" s="72"/>
      <c r="F398" s="77" t="str">
        <f aca="false">IF(A398="","",COUNTIF($A$6:A398,A398))</f>
        <v/>
      </c>
      <c r="G398" s="77" t="str">
        <f aca="false">IF(A398="","",A398&amp;"|"&amp;F398)</f>
        <v/>
      </c>
      <c r="H398" s="77" t="str">
        <f aca="false">IF(A398="","",SUMIFS('Release Log'!$D$6:$D$4005,'Release Log'!$B$6:$B$4005,A398,'Release Log'!$C$6:$C$4005,C398))</f>
        <v/>
      </c>
      <c r="I398" s="77" t="str">
        <f aca="false">IF(OR(A398="",N(E398)=0),"",INT(H398/E398))</f>
        <v/>
      </c>
      <c r="J398" s="77" t="str">
        <f aca="false">IF(A398="","",A398&amp;"|"&amp;C398)</f>
        <v/>
      </c>
    </row>
    <row r="399" customFormat="false" ht="15" hidden="false" customHeight="false" outlineLevel="0" collapsed="false">
      <c r="A399" s="71"/>
      <c r="B399" s="71"/>
      <c r="C399" s="71"/>
      <c r="D399" s="71"/>
      <c r="E399" s="72"/>
      <c r="F399" s="77" t="str">
        <f aca="false">IF(A399="","",COUNTIF($A$6:A399,A399))</f>
        <v/>
      </c>
      <c r="G399" s="77" t="str">
        <f aca="false">IF(A399="","",A399&amp;"|"&amp;F399)</f>
        <v/>
      </c>
      <c r="H399" s="77" t="str">
        <f aca="false">IF(A399="","",SUMIFS('Release Log'!$D$6:$D$4005,'Release Log'!$B$6:$B$4005,A399,'Release Log'!$C$6:$C$4005,C399))</f>
        <v/>
      </c>
      <c r="I399" s="77" t="str">
        <f aca="false">IF(OR(A399="",N(E399)=0),"",INT(H399/E399))</f>
        <v/>
      </c>
      <c r="J399" s="77" t="str">
        <f aca="false">IF(A399="","",A399&amp;"|"&amp;C399)</f>
        <v/>
      </c>
    </row>
    <row r="400" customFormat="false" ht="15" hidden="false" customHeight="false" outlineLevel="0" collapsed="false">
      <c r="A400" s="71"/>
      <c r="B400" s="71"/>
      <c r="C400" s="71"/>
      <c r="D400" s="71"/>
      <c r="E400" s="72"/>
      <c r="F400" s="77" t="str">
        <f aca="false">IF(A400="","",COUNTIF($A$6:A400,A400))</f>
        <v/>
      </c>
      <c r="G400" s="77" t="str">
        <f aca="false">IF(A400="","",A400&amp;"|"&amp;F400)</f>
        <v/>
      </c>
      <c r="H400" s="77" t="str">
        <f aca="false">IF(A400="","",SUMIFS('Release Log'!$D$6:$D$4005,'Release Log'!$B$6:$B$4005,A400,'Release Log'!$C$6:$C$4005,C400))</f>
        <v/>
      </c>
      <c r="I400" s="77" t="str">
        <f aca="false">IF(OR(A400="",N(E400)=0),"",INT(H400/E400))</f>
        <v/>
      </c>
      <c r="J400" s="77" t="str">
        <f aca="false">IF(A400="","",A400&amp;"|"&amp;C400)</f>
        <v/>
      </c>
    </row>
    <row r="401" customFormat="false" ht="15" hidden="false" customHeight="false" outlineLevel="0" collapsed="false">
      <c r="A401" s="71"/>
      <c r="B401" s="71"/>
      <c r="C401" s="71"/>
      <c r="D401" s="71"/>
      <c r="E401" s="72"/>
      <c r="F401" s="77" t="str">
        <f aca="false">IF(A401="","",COUNTIF($A$6:A401,A401))</f>
        <v/>
      </c>
      <c r="G401" s="77" t="str">
        <f aca="false">IF(A401="","",A401&amp;"|"&amp;F401)</f>
        <v/>
      </c>
      <c r="H401" s="77" t="str">
        <f aca="false">IF(A401="","",SUMIFS('Release Log'!$D$6:$D$4005,'Release Log'!$B$6:$B$4005,A401,'Release Log'!$C$6:$C$4005,C401))</f>
        <v/>
      </c>
      <c r="I401" s="77" t="str">
        <f aca="false">IF(OR(A401="",N(E401)=0),"",INT(H401/E401))</f>
        <v/>
      </c>
      <c r="J401" s="77" t="str">
        <f aca="false">IF(A401="","",A401&amp;"|"&amp;C401)</f>
        <v/>
      </c>
    </row>
    <row r="402" customFormat="false" ht="15" hidden="false" customHeight="false" outlineLevel="0" collapsed="false">
      <c r="A402" s="71"/>
      <c r="B402" s="71"/>
      <c r="C402" s="71"/>
      <c r="D402" s="71"/>
      <c r="E402" s="72"/>
      <c r="F402" s="77" t="str">
        <f aca="false">IF(A402="","",COUNTIF($A$6:A402,A402))</f>
        <v/>
      </c>
      <c r="G402" s="77" t="str">
        <f aca="false">IF(A402="","",A402&amp;"|"&amp;F402)</f>
        <v/>
      </c>
      <c r="H402" s="77" t="str">
        <f aca="false">IF(A402="","",SUMIFS('Release Log'!$D$6:$D$4005,'Release Log'!$B$6:$B$4005,A402,'Release Log'!$C$6:$C$4005,C402))</f>
        <v/>
      </c>
      <c r="I402" s="77" t="str">
        <f aca="false">IF(OR(A402="",N(E402)=0),"",INT(H402/E402))</f>
        <v/>
      </c>
      <c r="J402" s="77" t="str">
        <f aca="false">IF(A402="","",A402&amp;"|"&amp;C402)</f>
        <v/>
      </c>
    </row>
    <row r="403" customFormat="false" ht="15" hidden="false" customHeight="false" outlineLevel="0" collapsed="false">
      <c r="A403" s="71"/>
      <c r="B403" s="71"/>
      <c r="C403" s="71"/>
      <c r="D403" s="71"/>
      <c r="E403" s="72"/>
      <c r="F403" s="77" t="str">
        <f aca="false">IF(A403="","",COUNTIF($A$6:A403,A403))</f>
        <v/>
      </c>
      <c r="G403" s="77" t="str">
        <f aca="false">IF(A403="","",A403&amp;"|"&amp;F403)</f>
        <v/>
      </c>
      <c r="H403" s="77" t="str">
        <f aca="false">IF(A403="","",SUMIFS('Release Log'!$D$6:$D$4005,'Release Log'!$B$6:$B$4005,A403,'Release Log'!$C$6:$C$4005,C403))</f>
        <v/>
      </c>
      <c r="I403" s="77" t="str">
        <f aca="false">IF(OR(A403="",N(E403)=0),"",INT(H403/E403))</f>
        <v/>
      </c>
      <c r="J403" s="77" t="str">
        <f aca="false">IF(A403="","",A403&amp;"|"&amp;C403)</f>
        <v/>
      </c>
    </row>
    <row r="404" customFormat="false" ht="15" hidden="false" customHeight="false" outlineLevel="0" collapsed="false">
      <c r="A404" s="71"/>
      <c r="B404" s="71"/>
      <c r="C404" s="71"/>
      <c r="D404" s="71"/>
      <c r="E404" s="72"/>
      <c r="F404" s="77" t="str">
        <f aca="false">IF(A404="","",COUNTIF($A$6:A404,A404))</f>
        <v/>
      </c>
      <c r="G404" s="77" t="str">
        <f aca="false">IF(A404="","",A404&amp;"|"&amp;F404)</f>
        <v/>
      </c>
      <c r="H404" s="77" t="str">
        <f aca="false">IF(A404="","",SUMIFS('Release Log'!$D$6:$D$4005,'Release Log'!$B$6:$B$4005,A404,'Release Log'!$C$6:$C$4005,C404))</f>
        <v/>
      </c>
      <c r="I404" s="77" t="str">
        <f aca="false">IF(OR(A404="",N(E404)=0),"",INT(H404/E404))</f>
        <v/>
      </c>
      <c r="J404" s="77" t="str">
        <f aca="false">IF(A404="","",A404&amp;"|"&amp;C404)</f>
        <v/>
      </c>
    </row>
    <row r="405" customFormat="false" ht="15" hidden="false" customHeight="false" outlineLevel="0" collapsed="false">
      <c r="A405" s="71"/>
      <c r="B405" s="71"/>
      <c r="C405" s="71"/>
      <c r="D405" s="71"/>
      <c r="E405" s="72"/>
      <c r="F405" s="77" t="str">
        <f aca="false">IF(A405="","",COUNTIF($A$6:A405,A405))</f>
        <v/>
      </c>
      <c r="G405" s="77" t="str">
        <f aca="false">IF(A405="","",A405&amp;"|"&amp;F405)</f>
        <v/>
      </c>
      <c r="H405" s="77" t="str">
        <f aca="false">IF(A405="","",SUMIFS('Release Log'!$D$6:$D$4005,'Release Log'!$B$6:$B$4005,A405,'Release Log'!$C$6:$C$4005,C405))</f>
        <v/>
      </c>
      <c r="I405" s="77" t="str">
        <f aca="false">IF(OR(A405="",N(E405)=0),"",INT(H405/E405))</f>
        <v/>
      </c>
      <c r="J405" s="77" t="str">
        <f aca="false">IF(A405="","",A405&amp;"|"&amp;C405)</f>
        <v/>
      </c>
    </row>
    <row r="406" customFormat="false" ht="15" hidden="false" customHeight="false" outlineLevel="0" collapsed="false">
      <c r="A406" s="71"/>
      <c r="B406" s="71"/>
      <c r="C406" s="71"/>
      <c r="D406" s="71"/>
      <c r="E406" s="72"/>
      <c r="F406" s="77" t="str">
        <f aca="false">IF(A406="","",COUNTIF($A$6:A406,A406))</f>
        <v/>
      </c>
      <c r="G406" s="77" t="str">
        <f aca="false">IF(A406="","",A406&amp;"|"&amp;F406)</f>
        <v/>
      </c>
      <c r="H406" s="77" t="str">
        <f aca="false">IF(A406="","",SUMIFS('Release Log'!$D$6:$D$4005,'Release Log'!$B$6:$B$4005,A406,'Release Log'!$C$6:$C$4005,C406))</f>
        <v/>
      </c>
      <c r="I406" s="77" t="str">
        <f aca="false">IF(OR(A406="",N(E406)=0),"",INT(H406/E406))</f>
        <v/>
      </c>
      <c r="J406" s="77" t="str">
        <f aca="false">IF(A406="","",A406&amp;"|"&amp;C406)</f>
        <v/>
      </c>
    </row>
    <row r="407" customFormat="false" ht="15" hidden="false" customHeight="false" outlineLevel="0" collapsed="false">
      <c r="A407" s="71"/>
      <c r="B407" s="71"/>
      <c r="C407" s="71"/>
      <c r="D407" s="71"/>
      <c r="E407" s="72"/>
      <c r="F407" s="77" t="str">
        <f aca="false">IF(A407="","",COUNTIF($A$6:A407,A407))</f>
        <v/>
      </c>
      <c r="G407" s="77" t="str">
        <f aca="false">IF(A407="","",A407&amp;"|"&amp;F407)</f>
        <v/>
      </c>
      <c r="H407" s="77" t="str">
        <f aca="false">IF(A407="","",SUMIFS('Release Log'!$D$6:$D$4005,'Release Log'!$B$6:$B$4005,A407,'Release Log'!$C$6:$C$4005,C407))</f>
        <v/>
      </c>
      <c r="I407" s="77" t="str">
        <f aca="false">IF(OR(A407="",N(E407)=0),"",INT(H407/E407))</f>
        <v/>
      </c>
      <c r="J407" s="77" t="str">
        <f aca="false">IF(A407="","",A407&amp;"|"&amp;C407)</f>
        <v/>
      </c>
    </row>
    <row r="408" customFormat="false" ht="15" hidden="false" customHeight="false" outlineLevel="0" collapsed="false">
      <c r="A408" s="71"/>
      <c r="B408" s="71"/>
      <c r="C408" s="71"/>
      <c r="D408" s="71"/>
      <c r="E408" s="72"/>
      <c r="F408" s="77" t="str">
        <f aca="false">IF(A408="","",COUNTIF($A$6:A408,A408))</f>
        <v/>
      </c>
      <c r="G408" s="77" t="str">
        <f aca="false">IF(A408="","",A408&amp;"|"&amp;F408)</f>
        <v/>
      </c>
      <c r="H408" s="77" t="str">
        <f aca="false">IF(A408="","",SUMIFS('Release Log'!$D$6:$D$4005,'Release Log'!$B$6:$B$4005,A408,'Release Log'!$C$6:$C$4005,C408))</f>
        <v/>
      </c>
      <c r="I408" s="77" t="str">
        <f aca="false">IF(OR(A408="",N(E408)=0),"",INT(H408/E408))</f>
        <v/>
      </c>
      <c r="J408" s="77" t="str">
        <f aca="false">IF(A408="","",A408&amp;"|"&amp;C408)</f>
        <v/>
      </c>
    </row>
    <row r="409" customFormat="false" ht="15" hidden="false" customHeight="false" outlineLevel="0" collapsed="false">
      <c r="A409" s="71"/>
      <c r="B409" s="71"/>
      <c r="C409" s="71"/>
      <c r="D409" s="71"/>
      <c r="E409" s="72"/>
      <c r="F409" s="77" t="str">
        <f aca="false">IF(A409="","",COUNTIF($A$6:A409,A409))</f>
        <v/>
      </c>
      <c r="G409" s="77" t="str">
        <f aca="false">IF(A409="","",A409&amp;"|"&amp;F409)</f>
        <v/>
      </c>
      <c r="H409" s="77" t="str">
        <f aca="false">IF(A409="","",SUMIFS('Release Log'!$D$6:$D$4005,'Release Log'!$B$6:$B$4005,A409,'Release Log'!$C$6:$C$4005,C409))</f>
        <v/>
      </c>
      <c r="I409" s="77" t="str">
        <f aca="false">IF(OR(A409="",N(E409)=0),"",INT(H409/E409))</f>
        <v/>
      </c>
      <c r="J409" s="77" t="str">
        <f aca="false">IF(A409="","",A409&amp;"|"&amp;C409)</f>
        <v/>
      </c>
    </row>
    <row r="410" customFormat="false" ht="15" hidden="false" customHeight="false" outlineLevel="0" collapsed="false">
      <c r="A410" s="71"/>
      <c r="B410" s="71"/>
      <c r="C410" s="71"/>
      <c r="D410" s="71"/>
      <c r="E410" s="72"/>
      <c r="F410" s="77" t="str">
        <f aca="false">IF(A410="","",COUNTIF($A$6:A410,A410))</f>
        <v/>
      </c>
      <c r="G410" s="77" t="str">
        <f aca="false">IF(A410="","",A410&amp;"|"&amp;F410)</f>
        <v/>
      </c>
      <c r="H410" s="77" t="str">
        <f aca="false">IF(A410="","",SUMIFS('Release Log'!$D$6:$D$4005,'Release Log'!$B$6:$B$4005,A410,'Release Log'!$C$6:$C$4005,C410))</f>
        <v/>
      </c>
      <c r="I410" s="77" t="str">
        <f aca="false">IF(OR(A410="",N(E410)=0),"",INT(H410/E410))</f>
        <v/>
      </c>
      <c r="J410" s="77" t="str">
        <f aca="false">IF(A410="","",A410&amp;"|"&amp;C410)</f>
        <v/>
      </c>
    </row>
    <row r="411" customFormat="false" ht="15" hidden="false" customHeight="false" outlineLevel="0" collapsed="false">
      <c r="A411" s="71"/>
      <c r="B411" s="71"/>
      <c r="C411" s="71"/>
      <c r="D411" s="71"/>
      <c r="E411" s="72"/>
      <c r="F411" s="77" t="str">
        <f aca="false">IF(A411="","",COUNTIF($A$6:A411,A411))</f>
        <v/>
      </c>
      <c r="G411" s="77" t="str">
        <f aca="false">IF(A411="","",A411&amp;"|"&amp;F411)</f>
        <v/>
      </c>
      <c r="H411" s="77" t="str">
        <f aca="false">IF(A411="","",SUMIFS('Release Log'!$D$6:$D$4005,'Release Log'!$B$6:$B$4005,A411,'Release Log'!$C$6:$C$4005,C411))</f>
        <v/>
      </c>
      <c r="I411" s="77" t="str">
        <f aca="false">IF(OR(A411="",N(E411)=0),"",INT(H411/E411))</f>
        <v/>
      </c>
      <c r="J411" s="77" t="str">
        <f aca="false">IF(A411="","",A411&amp;"|"&amp;C411)</f>
        <v/>
      </c>
    </row>
    <row r="412" customFormat="false" ht="15" hidden="false" customHeight="false" outlineLevel="0" collapsed="false">
      <c r="A412" s="71"/>
      <c r="B412" s="71"/>
      <c r="C412" s="71"/>
      <c r="D412" s="71"/>
      <c r="E412" s="72"/>
      <c r="F412" s="77" t="str">
        <f aca="false">IF(A412="","",COUNTIF($A$6:A412,A412))</f>
        <v/>
      </c>
      <c r="G412" s="77" t="str">
        <f aca="false">IF(A412="","",A412&amp;"|"&amp;F412)</f>
        <v/>
      </c>
      <c r="H412" s="77" t="str">
        <f aca="false">IF(A412="","",SUMIFS('Release Log'!$D$6:$D$4005,'Release Log'!$B$6:$B$4005,A412,'Release Log'!$C$6:$C$4005,C412))</f>
        <v/>
      </c>
      <c r="I412" s="77" t="str">
        <f aca="false">IF(OR(A412="",N(E412)=0),"",INT(H412/E412))</f>
        <v/>
      </c>
      <c r="J412" s="77" t="str">
        <f aca="false">IF(A412="","",A412&amp;"|"&amp;C412)</f>
        <v/>
      </c>
    </row>
    <row r="413" customFormat="false" ht="15" hidden="false" customHeight="false" outlineLevel="0" collapsed="false">
      <c r="A413" s="71"/>
      <c r="B413" s="71"/>
      <c r="C413" s="71"/>
      <c r="D413" s="71"/>
      <c r="E413" s="72"/>
      <c r="F413" s="77" t="str">
        <f aca="false">IF(A413="","",COUNTIF($A$6:A413,A413))</f>
        <v/>
      </c>
      <c r="G413" s="77" t="str">
        <f aca="false">IF(A413="","",A413&amp;"|"&amp;F413)</f>
        <v/>
      </c>
      <c r="H413" s="77" t="str">
        <f aca="false">IF(A413="","",SUMIFS('Release Log'!$D$6:$D$4005,'Release Log'!$B$6:$B$4005,A413,'Release Log'!$C$6:$C$4005,C413))</f>
        <v/>
      </c>
      <c r="I413" s="77" t="str">
        <f aca="false">IF(OR(A413="",N(E413)=0),"",INT(H413/E413))</f>
        <v/>
      </c>
      <c r="J413" s="77" t="str">
        <f aca="false">IF(A413="","",A413&amp;"|"&amp;C413)</f>
        <v/>
      </c>
    </row>
    <row r="414" customFormat="false" ht="15" hidden="false" customHeight="false" outlineLevel="0" collapsed="false">
      <c r="A414" s="71"/>
      <c r="B414" s="71"/>
      <c r="C414" s="71"/>
      <c r="D414" s="71"/>
      <c r="E414" s="72"/>
      <c r="F414" s="77" t="str">
        <f aca="false">IF(A414="","",COUNTIF($A$6:A414,A414))</f>
        <v/>
      </c>
      <c r="G414" s="77" t="str">
        <f aca="false">IF(A414="","",A414&amp;"|"&amp;F414)</f>
        <v/>
      </c>
      <c r="H414" s="77" t="str">
        <f aca="false">IF(A414="","",SUMIFS('Release Log'!$D$6:$D$4005,'Release Log'!$B$6:$B$4005,A414,'Release Log'!$C$6:$C$4005,C414))</f>
        <v/>
      </c>
      <c r="I414" s="77" t="str">
        <f aca="false">IF(OR(A414="",N(E414)=0),"",INT(H414/E414))</f>
        <v/>
      </c>
      <c r="J414" s="77" t="str">
        <f aca="false">IF(A414="","",A414&amp;"|"&amp;C414)</f>
        <v/>
      </c>
    </row>
    <row r="415" customFormat="false" ht="15" hidden="false" customHeight="false" outlineLevel="0" collapsed="false">
      <c r="A415" s="71"/>
      <c r="B415" s="71"/>
      <c r="C415" s="71"/>
      <c r="D415" s="71"/>
      <c r="E415" s="72"/>
      <c r="F415" s="77" t="str">
        <f aca="false">IF(A415="","",COUNTIF($A$6:A415,A415))</f>
        <v/>
      </c>
      <c r="G415" s="77" t="str">
        <f aca="false">IF(A415="","",A415&amp;"|"&amp;F415)</f>
        <v/>
      </c>
      <c r="H415" s="77" t="str">
        <f aca="false">IF(A415="","",SUMIFS('Release Log'!$D$6:$D$4005,'Release Log'!$B$6:$B$4005,A415,'Release Log'!$C$6:$C$4005,C415))</f>
        <v/>
      </c>
      <c r="I415" s="77" t="str">
        <f aca="false">IF(OR(A415="",N(E415)=0),"",INT(H415/E415))</f>
        <v/>
      </c>
      <c r="J415" s="77" t="str">
        <f aca="false">IF(A415="","",A415&amp;"|"&amp;C415)</f>
        <v/>
      </c>
    </row>
    <row r="416" customFormat="false" ht="15" hidden="false" customHeight="false" outlineLevel="0" collapsed="false">
      <c r="A416" s="71"/>
      <c r="B416" s="71"/>
      <c r="C416" s="71"/>
      <c r="D416" s="71"/>
      <c r="E416" s="72"/>
      <c r="F416" s="77" t="str">
        <f aca="false">IF(A416="","",COUNTIF($A$6:A416,A416))</f>
        <v/>
      </c>
      <c r="G416" s="77" t="str">
        <f aca="false">IF(A416="","",A416&amp;"|"&amp;F416)</f>
        <v/>
      </c>
      <c r="H416" s="77" t="str">
        <f aca="false">IF(A416="","",SUMIFS('Release Log'!$D$6:$D$4005,'Release Log'!$B$6:$B$4005,A416,'Release Log'!$C$6:$C$4005,C416))</f>
        <v/>
      </c>
      <c r="I416" s="77" t="str">
        <f aca="false">IF(OR(A416="",N(E416)=0),"",INT(H416/E416))</f>
        <v/>
      </c>
      <c r="J416" s="77" t="str">
        <f aca="false">IF(A416="","",A416&amp;"|"&amp;C416)</f>
        <v/>
      </c>
    </row>
    <row r="417" customFormat="false" ht="15" hidden="false" customHeight="false" outlineLevel="0" collapsed="false">
      <c r="A417" s="71"/>
      <c r="B417" s="71"/>
      <c r="C417" s="71"/>
      <c r="D417" s="71"/>
      <c r="E417" s="72"/>
      <c r="F417" s="77" t="str">
        <f aca="false">IF(A417="","",COUNTIF($A$6:A417,A417))</f>
        <v/>
      </c>
      <c r="G417" s="77" t="str">
        <f aca="false">IF(A417="","",A417&amp;"|"&amp;F417)</f>
        <v/>
      </c>
      <c r="H417" s="77" t="str">
        <f aca="false">IF(A417="","",SUMIFS('Release Log'!$D$6:$D$4005,'Release Log'!$B$6:$B$4005,A417,'Release Log'!$C$6:$C$4005,C417))</f>
        <v/>
      </c>
      <c r="I417" s="77" t="str">
        <f aca="false">IF(OR(A417="",N(E417)=0),"",INT(H417/E417))</f>
        <v/>
      </c>
      <c r="J417" s="77" t="str">
        <f aca="false">IF(A417="","",A417&amp;"|"&amp;C417)</f>
        <v/>
      </c>
    </row>
    <row r="418" customFormat="false" ht="15" hidden="false" customHeight="false" outlineLevel="0" collapsed="false">
      <c r="A418" s="71"/>
      <c r="B418" s="71"/>
      <c r="C418" s="71"/>
      <c r="D418" s="71"/>
      <c r="E418" s="72"/>
      <c r="F418" s="77" t="str">
        <f aca="false">IF(A418="","",COUNTIF($A$6:A418,A418))</f>
        <v/>
      </c>
      <c r="G418" s="77" t="str">
        <f aca="false">IF(A418="","",A418&amp;"|"&amp;F418)</f>
        <v/>
      </c>
      <c r="H418" s="77" t="str">
        <f aca="false">IF(A418="","",SUMIFS('Release Log'!$D$6:$D$4005,'Release Log'!$B$6:$B$4005,A418,'Release Log'!$C$6:$C$4005,C418))</f>
        <v/>
      </c>
      <c r="I418" s="77" t="str">
        <f aca="false">IF(OR(A418="",N(E418)=0),"",INT(H418/E418))</f>
        <v/>
      </c>
      <c r="J418" s="77" t="str">
        <f aca="false">IF(A418="","",A418&amp;"|"&amp;C418)</f>
        <v/>
      </c>
    </row>
    <row r="419" customFormat="false" ht="15" hidden="false" customHeight="false" outlineLevel="0" collapsed="false">
      <c r="A419" s="71"/>
      <c r="B419" s="71"/>
      <c r="C419" s="71"/>
      <c r="D419" s="71"/>
      <c r="E419" s="72"/>
      <c r="F419" s="77" t="str">
        <f aca="false">IF(A419="","",COUNTIF($A$6:A419,A419))</f>
        <v/>
      </c>
      <c r="G419" s="77" t="str">
        <f aca="false">IF(A419="","",A419&amp;"|"&amp;F419)</f>
        <v/>
      </c>
      <c r="H419" s="77" t="str">
        <f aca="false">IF(A419="","",SUMIFS('Release Log'!$D$6:$D$4005,'Release Log'!$B$6:$B$4005,A419,'Release Log'!$C$6:$C$4005,C419))</f>
        <v/>
      </c>
      <c r="I419" s="77" t="str">
        <f aca="false">IF(OR(A419="",N(E419)=0),"",INT(H419/E419))</f>
        <v/>
      </c>
      <c r="J419" s="77" t="str">
        <f aca="false">IF(A419="","",A419&amp;"|"&amp;C419)</f>
        <v/>
      </c>
    </row>
    <row r="420" customFormat="false" ht="15" hidden="false" customHeight="false" outlineLevel="0" collapsed="false">
      <c r="A420" s="71"/>
      <c r="B420" s="71"/>
      <c r="C420" s="71"/>
      <c r="D420" s="71"/>
      <c r="E420" s="72"/>
      <c r="F420" s="77" t="str">
        <f aca="false">IF(A420="","",COUNTIF($A$6:A420,A420))</f>
        <v/>
      </c>
      <c r="G420" s="77" t="str">
        <f aca="false">IF(A420="","",A420&amp;"|"&amp;F420)</f>
        <v/>
      </c>
      <c r="H420" s="77" t="str">
        <f aca="false">IF(A420="","",SUMIFS('Release Log'!$D$6:$D$4005,'Release Log'!$B$6:$B$4005,A420,'Release Log'!$C$6:$C$4005,C420))</f>
        <v/>
      </c>
      <c r="I420" s="77" t="str">
        <f aca="false">IF(OR(A420="",N(E420)=0),"",INT(H420/E420))</f>
        <v/>
      </c>
      <c r="J420" s="77" t="str">
        <f aca="false">IF(A420="","",A420&amp;"|"&amp;C420)</f>
        <v/>
      </c>
    </row>
    <row r="421" customFormat="false" ht="15" hidden="false" customHeight="false" outlineLevel="0" collapsed="false">
      <c r="A421" s="71"/>
      <c r="B421" s="71"/>
      <c r="C421" s="71"/>
      <c r="D421" s="71"/>
      <c r="E421" s="72"/>
      <c r="F421" s="77" t="str">
        <f aca="false">IF(A421="","",COUNTIF($A$6:A421,A421))</f>
        <v/>
      </c>
      <c r="G421" s="77" t="str">
        <f aca="false">IF(A421="","",A421&amp;"|"&amp;F421)</f>
        <v/>
      </c>
      <c r="H421" s="77" t="str">
        <f aca="false">IF(A421="","",SUMIFS('Release Log'!$D$6:$D$4005,'Release Log'!$B$6:$B$4005,A421,'Release Log'!$C$6:$C$4005,C421))</f>
        <v/>
      </c>
      <c r="I421" s="77" t="str">
        <f aca="false">IF(OR(A421="",N(E421)=0),"",INT(H421/E421))</f>
        <v/>
      </c>
      <c r="J421" s="77" t="str">
        <f aca="false">IF(A421="","",A421&amp;"|"&amp;C421)</f>
        <v/>
      </c>
    </row>
    <row r="422" customFormat="false" ht="15" hidden="false" customHeight="false" outlineLevel="0" collapsed="false">
      <c r="A422" s="71"/>
      <c r="B422" s="71"/>
      <c r="C422" s="71"/>
      <c r="D422" s="71"/>
      <c r="E422" s="72"/>
      <c r="F422" s="77" t="str">
        <f aca="false">IF(A422="","",COUNTIF($A$6:A422,A422))</f>
        <v/>
      </c>
      <c r="G422" s="77" t="str">
        <f aca="false">IF(A422="","",A422&amp;"|"&amp;F422)</f>
        <v/>
      </c>
      <c r="H422" s="77" t="str">
        <f aca="false">IF(A422="","",SUMIFS('Release Log'!$D$6:$D$4005,'Release Log'!$B$6:$B$4005,A422,'Release Log'!$C$6:$C$4005,C422))</f>
        <v/>
      </c>
      <c r="I422" s="77" t="str">
        <f aca="false">IF(OR(A422="",N(E422)=0),"",INT(H422/E422))</f>
        <v/>
      </c>
      <c r="J422" s="77" t="str">
        <f aca="false">IF(A422="","",A422&amp;"|"&amp;C422)</f>
        <v/>
      </c>
    </row>
    <row r="423" customFormat="false" ht="15" hidden="false" customHeight="false" outlineLevel="0" collapsed="false">
      <c r="A423" s="71"/>
      <c r="B423" s="71"/>
      <c r="C423" s="71"/>
      <c r="D423" s="71"/>
      <c r="E423" s="72"/>
      <c r="F423" s="77" t="str">
        <f aca="false">IF(A423="","",COUNTIF($A$6:A423,A423))</f>
        <v/>
      </c>
      <c r="G423" s="77" t="str">
        <f aca="false">IF(A423="","",A423&amp;"|"&amp;F423)</f>
        <v/>
      </c>
      <c r="H423" s="77" t="str">
        <f aca="false">IF(A423="","",SUMIFS('Release Log'!$D$6:$D$4005,'Release Log'!$B$6:$B$4005,A423,'Release Log'!$C$6:$C$4005,C423))</f>
        <v/>
      </c>
      <c r="I423" s="77" t="str">
        <f aca="false">IF(OR(A423="",N(E423)=0),"",INT(H423/E423))</f>
        <v/>
      </c>
      <c r="J423" s="77" t="str">
        <f aca="false">IF(A423="","",A423&amp;"|"&amp;C423)</f>
        <v/>
      </c>
    </row>
    <row r="424" customFormat="false" ht="15" hidden="false" customHeight="false" outlineLevel="0" collapsed="false">
      <c r="A424" s="71"/>
      <c r="B424" s="71"/>
      <c r="C424" s="71"/>
      <c r="D424" s="71"/>
      <c r="E424" s="72"/>
      <c r="F424" s="77" t="str">
        <f aca="false">IF(A424="","",COUNTIF($A$6:A424,A424))</f>
        <v/>
      </c>
      <c r="G424" s="77" t="str">
        <f aca="false">IF(A424="","",A424&amp;"|"&amp;F424)</f>
        <v/>
      </c>
      <c r="H424" s="77" t="str">
        <f aca="false">IF(A424="","",SUMIFS('Release Log'!$D$6:$D$4005,'Release Log'!$B$6:$B$4005,A424,'Release Log'!$C$6:$C$4005,C424))</f>
        <v/>
      </c>
      <c r="I424" s="77" t="str">
        <f aca="false">IF(OR(A424="",N(E424)=0),"",INT(H424/E424))</f>
        <v/>
      </c>
      <c r="J424" s="77" t="str">
        <f aca="false">IF(A424="","",A424&amp;"|"&amp;C424)</f>
        <v/>
      </c>
    </row>
    <row r="425" customFormat="false" ht="15" hidden="false" customHeight="false" outlineLevel="0" collapsed="false">
      <c r="A425" s="71"/>
      <c r="B425" s="71"/>
      <c r="C425" s="71"/>
      <c r="D425" s="71"/>
      <c r="E425" s="72"/>
      <c r="F425" s="77" t="str">
        <f aca="false">IF(A425="","",COUNTIF($A$6:A425,A425))</f>
        <v/>
      </c>
      <c r="G425" s="77" t="str">
        <f aca="false">IF(A425="","",A425&amp;"|"&amp;F425)</f>
        <v/>
      </c>
      <c r="H425" s="77" t="str">
        <f aca="false">IF(A425="","",SUMIFS('Release Log'!$D$6:$D$4005,'Release Log'!$B$6:$B$4005,A425,'Release Log'!$C$6:$C$4005,C425))</f>
        <v/>
      </c>
      <c r="I425" s="77" t="str">
        <f aca="false">IF(OR(A425="",N(E425)=0),"",INT(H425/E425))</f>
        <v/>
      </c>
      <c r="J425" s="77" t="str">
        <f aca="false">IF(A425="","",A425&amp;"|"&amp;C425)</f>
        <v/>
      </c>
    </row>
    <row r="426" customFormat="false" ht="15" hidden="false" customHeight="false" outlineLevel="0" collapsed="false">
      <c r="A426" s="71"/>
      <c r="B426" s="71"/>
      <c r="C426" s="71"/>
      <c r="D426" s="71"/>
      <c r="E426" s="72"/>
      <c r="F426" s="77" t="str">
        <f aca="false">IF(A426="","",COUNTIF($A$6:A426,A426))</f>
        <v/>
      </c>
      <c r="G426" s="77" t="str">
        <f aca="false">IF(A426="","",A426&amp;"|"&amp;F426)</f>
        <v/>
      </c>
      <c r="H426" s="77" t="str">
        <f aca="false">IF(A426="","",SUMIFS('Release Log'!$D$6:$D$4005,'Release Log'!$B$6:$B$4005,A426,'Release Log'!$C$6:$C$4005,C426))</f>
        <v/>
      </c>
      <c r="I426" s="77" t="str">
        <f aca="false">IF(OR(A426="",N(E426)=0),"",INT(H426/E426))</f>
        <v/>
      </c>
      <c r="J426" s="77" t="str">
        <f aca="false">IF(A426="","",A426&amp;"|"&amp;C426)</f>
        <v/>
      </c>
    </row>
    <row r="427" customFormat="false" ht="15" hidden="false" customHeight="false" outlineLevel="0" collapsed="false">
      <c r="A427" s="71"/>
      <c r="B427" s="71"/>
      <c r="C427" s="71"/>
      <c r="D427" s="71"/>
      <c r="E427" s="72"/>
      <c r="F427" s="77" t="str">
        <f aca="false">IF(A427="","",COUNTIF($A$6:A427,A427))</f>
        <v/>
      </c>
      <c r="G427" s="77" t="str">
        <f aca="false">IF(A427="","",A427&amp;"|"&amp;F427)</f>
        <v/>
      </c>
      <c r="H427" s="77" t="str">
        <f aca="false">IF(A427="","",SUMIFS('Release Log'!$D$6:$D$4005,'Release Log'!$B$6:$B$4005,A427,'Release Log'!$C$6:$C$4005,C427))</f>
        <v/>
      </c>
      <c r="I427" s="77" t="str">
        <f aca="false">IF(OR(A427="",N(E427)=0),"",INT(H427/E427))</f>
        <v/>
      </c>
      <c r="J427" s="77" t="str">
        <f aca="false">IF(A427="","",A427&amp;"|"&amp;C427)</f>
        <v/>
      </c>
    </row>
    <row r="428" customFormat="false" ht="15" hidden="false" customHeight="false" outlineLevel="0" collapsed="false">
      <c r="A428" s="71"/>
      <c r="B428" s="71"/>
      <c r="C428" s="71"/>
      <c r="D428" s="71"/>
      <c r="E428" s="72"/>
      <c r="F428" s="77" t="str">
        <f aca="false">IF(A428="","",COUNTIF($A$6:A428,A428))</f>
        <v/>
      </c>
      <c r="G428" s="77" t="str">
        <f aca="false">IF(A428="","",A428&amp;"|"&amp;F428)</f>
        <v/>
      </c>
      <c r="H428" s="77" t="str">
        <f aca="false">IF(A428="","",SUMIFS('Release Log'!$D$6:$D$4005,'Release Log'!$B$6:$B$4005,A428,'Release Log'!$C$6:$C$4005,C428))</f>
        <v/>
      </c>
      <c r="I428" s="77" t="str">
        <f aca="false">IF(OR(A428="",N(E428)=0),"",INT(H428/E428))</f>
        <v/>
      </c>
      <c r="J428" s="77" t="str">
        <f aca="false">IF(A428="","",A428&amp;"|"&amp;C428)</f>
        <v/>
      </c>
    </row>
    <row r="429" customFormat="false" ht="15" hidden="false" customHeight="false" outlineLevel="0" collapsed="false">
      <c r="A429" s="71"/>
      <c r="B429" s="71"/>
      <c r="C429" s="71"/>
      <c r="D429" s="71"/>
      <c r="E429" s="72"/>
      <c r="F429" s="77" t="str">
        <f aca="false">IF(A429="","",COUNTIF($A$6:A429,A429))</f>
        <v/>
      </c>
      <c r="G429" s="77" t="str">
        <f aca="false">IF(A429="","",A429&amp;"|"&amp;F429)</f>
        <v/>
      </c>
      <c r="H429" s="77" t="str">
        <f aca="false">IF(A429="","",SUMIFS('Release Log'!$D$6:$D$4005,'Release Log'!$B$6:$B$4005,A429,'Release Log'!$C$6:$C$4005,C429))</f>
        <v/>
      </c>
      <c r="I429" s="77" t="str">
        <f aca="false">IF(OR(A429="",N(E429)=0),"",INT(H429/E429))</f>
        <v/>
      </c>
      <c r="J429" s="77" t="str">
        <f aca="false">IF(A429="","",A429&amp;"|"&amp;C429)</f>
        <v/>
      </c>
    </row>
    <row r="430" customFormat="false" ht="15" hidden="false" customHeight="false" outlineLevel="0" collapsed="false">
      <c r="A430" s="71"/>
      <c r="B430" s="71"/>
      <c r="C430" s="71"/>
      <c r="D430" s="71"/>
      <c r="E430" s="72"/>
      <c r="F430" s="77" t="str">
        <f aca="false">IF(A430="","",COUNTIF($A$6:A430,A430))</f>
        <v/>
      </c>
      <c r="G430" s="77" t="str">
        <f aca="false">IF(A430="","",A430&amp;"|"&amp;F430)</f>
        <v/>
      </c>
      <c r="H430" s="77" t="str">
        <f aca="false">IF(A430="","",SUMIFS('Release Log'!$D$6:$D$4005,'Release Log'!$B$6:$B$4005,A430,'Release Log'!$C$6:$C$4005,C430))</f>
        <v/>
      </c>
      <c r="I430" s="77" t="str">
        <f aca="false">IF(OR(A430="",N(E430)=0),"",INT(H430/E430))</f>
        <v/>
      </c>
      <c r="J430" s="77" t="str">
        <f aca="false">IF(A430="","",A430&amp;"|"&amp;C430)</f>
        <v/>
      </c>
    </row>
    <row r="431" customFormat="false" ht="15" hidden="false" customHeight="false" outlineLevel="0" collapsed="false">
      <c r="A431" s="71"/>
      <c r="B431" s="71"/>
      <c r="C431" s="71"/>
      <c r="D431" s="71"/>
      <c r="E431" s="72"/>
      <c r="F431" s="77" t="str">
        <f aca="false">IF(A431="","",COUNTIF($A$6:A431,A431))</f>
        <v/>
      </c>
      <c r="G431" s="77" t="str">
        <f aca="false">IF(A431="","",A431&amp;"|"&amp;F431)</f>
        <v/>
      </c>
      <c r="H431" s="77" t="str">
        <f aca="false">IF(A431="","",SUMIFS('Release Log'!$D$6:$D$4005,'Release Log'!$B$6:$B$4005,A431,'Release Log'!$C$6:$C$4005,C431))</f>
        <v/>
      </c>
      <c r="I431" s="77" t="str">
        <f aca="false">IF(OR(A431="",N(E431)=0),"",INT(H431/E431))</f>
        <v/>
      </c>
      <c r="J431" s="77" t="str">
        <f aca="false">IF(A431="","",A431&amp;"|"&amp;C431)</f>
        <v/>
      </c>
    </row>
    <row r="432" customFormat="false" ht="15" hidden="false" customHeight="false" outlineLevel="0" collapsed="false">
      <c r="A432" s="71"/>
      <c r="B432" s="71"/>
      <c r="C432" s="71"/>
      <c r="D432" s="71"/>
      <c r="E432" s="72"/>
      <c r="F432" s="77" t="str">
        <f aca="false">IF(A432="","",COUNTIF($A$6:A432,A432))</f>
        <v/>
      </c>
      <c r="G432" s="77" t="str">
        <f aca="false">IF(A432="","",A432&amp;"|"&amp;F432)</f>
        <v/>
      </c>
      <c r="H432" s="77" t="str">
        <f aca="false">IF(A432="","",SUMIFS('Release Log'!$D$6:$D$4005,'Release Log'!$B$6:$B$4005,A432,'Release Log'!$C$6:$C$4005,C432))</f>
        <v/>
      </c>
      <c r="I432" s="77" t="str">
        <f aca="false">IF(OR(A432="",N(E432)=0),"",INT(H432/E432))</f>
        <v/>
      </c>
      <c r="J432" s="77" t="str">
        <f aca="false">IF(A432="","",A432&amp;"|"&amp;C432)</f>
        <v/>
      </c>
    </row>
    <row r="433" customFormat="false" ht="15" hidden="false" customHeight="false" outlineLevel="0" collapsed="false">
      <c r="A433" s="71"/>
      <c r="B433" s="71"/>
      <c r="C433" s="71"/>
      <c r="D433" s="71"/>
      <c r="E433" s="72"/>
      <c r="F433" s="77" t="str">
        <f aca="false">IF(A433="","",COUNTIF($A$6:A433,A433))</f>
        <v/>
      </c>
      <c r="G433" s="77" t="str">
        <f aca="false">IF(A433="","",A433&amp;"|"&amp;F433)</f>
        <v/>
      </c>
      <c r="H433" s="77" t="str">
        <f aca="false">IF(A433="","",SUMIFS('Release Log'!$D$6:$D$4005,'Release Log'!$B$6:$B$4005,A433,'Release Log'!$C$6:$C$4005,C433))</f>
        <v/>
      </c>
      <c r="I433" s="77" t="str">
        <f aca="false">IF(OR(A433="",N(E433)=0),"",INT(H433/E433))</f>
        <v/>
      </c>
      <c r="J433" s="77" t="str">
        <f aca="false">IF(A433="","",A433&amp;"|"&amp;C433)</f>
        <v/>
      </c>
    </row>
    <row r="434" customFormat="false" ht="15" hidden="false" customHeight="false" outlineLevel="0" collapsed="false">
      <c r="A434" s="71"/>
      <c r="B434" s="71"/>
      <c r="C434" s="71"/>
      <c r="D434" s="71"/>
      <c r="E434" s="72"/>
      <c r="F434" s="77" t="str">
        <f aca="false">IF(A434="","",COUNTIF($A$6:A434,A434))</f>
        <v/>
      </c>
      <c r="G434" s="77" t="str">
        <f aca="false">IF(A434="","",A434&amp;"|"&amp;F434)</f>
        <v/>
      </c>
      <c r="H434" s="77" t="str">
        <f aca="false">IF(A434="","",SUMIFS('Release Log'!$D$6:$D$4005,'Release Log'!$B$6:$B$4005,A434,'Release Log'!$C$6:$C$4005,C434))</f>
        <v/>
      </c>
      <c r="I434" s="77" t="str">
        <f aca="false">IF(OR(A434="",N(E434)=0),"",INT(H434/E434))</f>
        <v/>
      </c>
      <c r="J434" s="77" t="str">
        <f aca="false">IF(A434="","",A434&amp;"|"&amp;C434)</f>
        <v/>
      </c>
    </row>
    <row r="435" customFormat="false" ht="15" hidden="false" customHeight="false" outlineLevel="0" collapsed="false">
      <c r="A435" s="71"/>
      <c r="B435" s="71"/>
      <c r="C435" s="71"/>
      <c r="D435" s="71"/>
      <c r="E435" s="72"/>
      <c r="F435" s="77" t="str">
        <f aca="false">IF(A435="","",COUNTIF($A$6:A435,A435))</f>
        <v/>
      </c>
      <c r="G435" s="77" t="str">
        <f aca="false">IF(A435="","",A435&amp;"|"&amp;F435)</f>
        <v/>
      </c>
      <c r="H435" s="77" t="str">
        <f aca="false">IF(A435="","",SUMIFS('Release Log'!$D$6:$D$4005,'Release Log'!$B$6:$B$4005,A435,'Release Log'!$C$6:$C$4005,C435))</f>
        <v/>
      </c>
      <c r="I435" s="77" t="str">
        <f aca="false">IF(OR(A435="",N(E435)=0),"",INT(H435/E435))</f>
        <v/>
      </c>
      <c r="J435" s="77" t="str">
        <f aca="false">IF(A435="","",A435&amp;"|"&amp;C435)</f>
        <v/>
      </c>
    </row>
    <row r="436" customFormat="false" ht="15" hidden="false" customHeight="false" outlineLevel="0" collapsed="false">
      <c r="A436" s="71"/>
      <c r="B436" s="71"/>
      <c r="C436" s="71"/>
      <c r="D436" s="71"/>
      <c r="E436" s="72"/>
      <c r="F436" s="77" t="str">
        <f aca="false">IF(A436="","",COUNTIF($A$6:A436,A436))</f>
        <v/>
      </c>
      <c r="G436" s="77" t="str">
        <f aca="false">IF(A436="","",A436&amp;"|"&amp;F436)</f>
        <v/>
      </c>
      <c r="H436" s="77" t="str">
        <f aca="false">IF(A436="","",SUMIFS('Release Log'!$D$6:$D$4005,'Release Log'!$B$6:$B$4005,A436,'Release Log'!$C$6:$C$4005,C436))</f>
        <v/>
      </c>
      <c r="I436" s="77" t="str">
        <f aca="false">IF(OR(A436="",N(E436)=0),"",INT(H436/E436))</f>
        <v/>
      </c>
      <c r="J436" s="77" t="str">
        <f aca="false">IF(A436="","",A436&amp;"|"&amp;C436)</f>
        <v/>
      </c>
    </row>
    <row r="437" customFormat="false" ht="15" hidden="false" customHeight="false" outlineLevel="0" collapsed="false">
      <c r="A437" s="71"/>
      <c r="B437" s="71"/>
      <c r="C437" s="71"/>
      <c r="D437" s="71"/>
      <c r="E437" s="72"/>
      <c r="F437" s="77" t="str">
        <f aca="false">IF(A437="","",COUNTIF($A$6:A437,A437))</f>
        <v/>
      </c>
      <c r="G437" s="77" t="str">
        <f aca="false">IF(A437="","",A437&amp;"|"&amp;F437)</f>
        <v/>
      </c>
      <c r="H437" s="77" t="str">
        <f aca="false">IF(A437="","",SUMIFS('Release Log'!$D$6:$D$4005,'Release Log'!$B$6:$B$4005,A437,'Release Log'!$C$6:$C$4005,C437))</f>
        <v/>
      </c>
      <c r="I437" s="77" t="str">
        <f aca="false">IF(OR(A437="",N(E437)=0),"",INT(H437/E437))</f>
        <v/>
      </c>
      <c r="J437" s="77" t="str">
        <f aca="false">IF(A437="","",A437&amp;"|"&amp;C437)</f>
        <v/>
      </c>
    </row>
    <row r="438" customFormat="false" ht="15" hidden="false" customHeight="false" outlineLevel="0" collapsed="false">
      <c r="A438" s="71"/>
      <c r="B438" s="71"/>
      <c r="C438" s="71"/>
      <c r="D438" s="71"/>
      <c r="E438" s="72"/>
      <c r="F438" s="77" t="str">
        <f aca="false">IF(A438="","",COUNTIF($A$6:A438,A438))</f>
        <v/>
      </c>
      <c r="G438" s="77" t="str">
        <f aca="false">IF(A438="","",A438&amp;"|"&amp;F438)</f>
        <v/>
      </c>
      <c r="H438" s="77" t="str">
        <f aca="false">IF(A438="","",SUMIFS('Release Log'!$D$6:$D$4005,'Release Log'!$B$6:$B$4005,A438,'Release Log'!$C$6:$C$4005,C438))</f>
        <v/>
      </c>
      <c r="I438" s="77" t="str">
        <f aca="false">IF(OR(A438="",N(E438)=0),"",INT(H438/E438))</f>
        <v/>
      </c>
      <c r="J438" s="77" t="str">
        <f aca="false">IF(A438="","",A438&amp;"|"&amp;C438)</f>
        <v/>
      </c>
    </row>
    <row r="439" customFormat="false" ht="15" hidden="false" customHeight="false" outlineLevel="0" collapsed="false">
      <c r="A439" s="71"/>
      <c r="B439" s="71"/>
      <c r="C439" s="71"/>
      <c r="D439" s="71"/>
      <c r="E439" s="72"/>
      <c r="F439" s="77" t="str">
        <f aca="false">IF(A439="","",COUNTIF($A$6:A439,A439))</f>
        <v/>
      </c>
      <c r="G439" s="77" t="str">
        <f aca="false">IF(A439="","",A439&amp;"|"&amp;F439)</f>
        <v/>
      </c>
      <c r="H439" s="77" t="str">
        <f aca="false">IF(A439="","",SUMIFS('Release Log'!$D$6:$D$4005,'Release Log'!$B$6:$B$4005,A439,'Release Log'!$C$6:$C$4005,C439))</f>
        <v/>
      </c>
      <c r="I439" s="77" t="str">
        <f aca="false">IF(OR(A439="",N(E439)=0),"",INT(H439/E439))</f>
        <v/>
      </c>
      <c r="J439" s="77" t="str">
        <f aca="false">IF(A439="","",A439&amp;"|"&amp;C439)</f>
        <v/>
      </c>
    </row>
    <row r="440" customFormat="false" ht="15" hidden="false" customHeight="false" outlineLevel="0" collapsed="false">
      <c r="A440" s="71"/>
      <c r="B440" s="71"/>
      <c r="C440" s="71"/>
      <c r="D440" s="71"/>
      <c r="E440" s="72"/>
      <c r="F440" s="77" t="str">
        <f aca="false">IF(A440="","",COUNTIF($A$6:A440,A440))</f>
        <v/>
      </c>
      <c r="G440" s="77" t="str">
        <f aca="false">IF(A440="","",A440&amp;"|"&amp;F440)</f>
        <v/>
      </c>
      <c r="H440" s="77" t="str">
        <f aca="false">IF(A440="","",SUMIFS('Release Log'!$D$6:$D$4005,'Release Log'!$B$6:$B$4005,A440,'Release Log'!$C$6:$C$4005,C440))</f>
        <v/>
      </c>
      <c r="I440" s="77" t="str">
        <f aca="false">IF(OR(A440="",N(E440)=0),"",INT(H440/E440))</f>
        <v/>
      </c>
      <c r="J440" s="77" t="str">
        <f aca="false">IF(A440="","",A440&amp;"|"&amp;C440)</f>
        <v/>
      </c>
    </row>
    <row r="441" customFormat="false" ht="15" hidden="false" customHeight="false" outlineLevel="0" collapsed="false">
      <c r="A441" s="71"/>
      <c r="B441" s="71"/>
      <c r="C441" s="71"/>
      <c r="D441" s="71"/>
      <c r="E441" s="72"/>
      <c r="F441" s="77" t="str">
        <f aca="false">IF(A441="","",COUNTIF($A$6:A441,A441))</f>
        <v/>
      </c>
      <c r="G441" s="77" t="str">
        <f aca="false">IF(A441="","",A441&amp;"|"&amp;F441)</f>
        <v/>
      </c>
      <c r="H441" s="77" t="str">
        <f aca="false">IF(A441="","",SUMIFS('Release Log'!$D$6:$D$4005,'Release Log'!$B$6:$B$4005,A441,'Release Log'!$C$6:$C$4005,C441))</f>
        <v/>
      </c>
      <c r="I441" s="77" t="str">
        <f aca="false">IF(OR(A441="",N(E441)=0),"",INT(H441/E441))</f>
        <v/>
      </c>
      <c r="J441" s="77" t="str">
        <f aca="false">IF(A441="","",A441&amp;"|"&amp;C441)</f>
        <v/>
      </c>
    </row>
    <row r="442" customFormat="false" ht="15" hidden="false" customHeight="false" outlineLevel="0" collapsed="false">
      <c r="A442" s="71"/>
      <c r="B442" s="71"/>
      <c r="C442" s="71"/>
      <c r="D442" s="71"/>
      <c r="E442" s="72"/>
      <c r="F442" s="77" t="str">
        <f aca="false">IF(A442="","",COUNTIF($A$6:A442,A442))</f>
        <v/>
      </c>
      <c r="G442" s="77" t="str">
        <f aca="false">IF(A442="","",A442&amp;"|"&amp;F442)</f>
        <v/>
      </c>
      <c r="H442" s="77" t="str">
        <f aca="false">IF(A442="","",SUMIFS('Release Log'!$D$6:$D$4005,'Release Log'!$B$6:$B$4005,A442,'Release Log'!$C$6:$C$4005,C442))</f>
        <v/>
      </c>
      <c r="I442" s="77" t="str">
        <f aca="false">IF(OR(A442="",N(E442)=0),"",INT(H442/E442))</f>
        <v/>
      </c>
      <c r="J442" s="77" t="str">
        <f aca="false">IF(A442="","",A442&amp;"|"&amp;C442)</f>
        <v/>
      </c>
    </row>
    <row r="443" customFormat="false" ht="15" hidden="false" customHeight="false" outlineLevel="0" collapsed="false">
      <c r="A443" s="71"/>
      <c r="B443" s="71"/>
      <c r="C443" s="71"/>
      <c r="D443" s="71"/>
      <c r="E443" s="72"/>
      <c r="F443" s="77" t="str">
        <f aca="false">IF(A443="","",COUNTIF($A$6:A443,A443))</f>
        <v/>
      </c>
      <c r="G443" s="77" t="str">
        <f aca="false">IF(A443="","",A443&amp;"|"&amp;F443)</f>
        <v/>
      </c>
      <c r="H443" s="77" t="str">
        <f aca="false">IF(A443="","",SUMIFS('Release Log'!$D$6:$D$4005,'Release Log'!$B$6:$B$4005,A443,'Release Log'!$C$6:$C$4005,C443))</f>
        <v/>
      </c>
      <c r="I443" s="77" t="str">
        <f aca="false">IF(OR(A443="",N(E443)=0),"",INT(H443/E443))</f>
        <v/>
      </c>
      <c r="J443" s="77" t="str">
        <f aca="false">IF(A443="","",A443&amp;"|"&amp;C443)</f>
        <v/>
      </c>
    </row>
    <row r="444" customFormat="false" ht="15" hidden="false" customHeight="false" outlineLevel="0" collapsed="false">
      <c r="A444" s="71"/>
      <c r="B444" s="71"/>
      <c r="C444" s="71"/>
      <c r="D444" s="71"/>
      <c r="E444" s="72"/>
      <c r="F444" s="77" t="str">
        <f aca="false">IF(A444="","",COUNTIF($A$6:A444,A444))</f>
        <v/>
      </c>
      <c r="G444" s="77" t="str">
        <f aca="false">IF(A444="","",A444&amp;"|"&amp;F444)</f>
        <v/>
      </c>
      <c r="H444" s="77" t="str">
        <f aca="false">IF(A444="","",SUMIFS('Release Log'!$D$6:$D$4005,'Release Log'!$B$6:$B$4005,A444,'Release Log'!$C$6:$C$4005,C444))</f>
        <v/>
      </c>
      <c r="I444" s="77" t="str">
        <f aca="false">IF(OR(A444="",N(E444)=0),"",INT(H444/E444))</f>
        <v/>
      </c>
      <c r="J444" s="77" t="str">
        <f aca="false">IF(A444="","",A444&amp;"|"&amp;C444)</f>
        <v/>
      </c>
    </row>
    <row r="445" customFormat="false" ht="15" hidden="false" customHeight="false" outlineLevel="0" collapsed="false">
      <c r="A445" s="71"/>
      <c r="B445" s="71"/>
      <c r="C445" s="71"/>
      <c r="D445" s="71"/>
      <c r="E445" s="72"/>
      <c r="F445" s="77" t="str">
        <f aca="false">IF(A445="","",COUNTIF($A$6:A445,A445))</f>
        <v/>
      </c>
      <c r="G445" s="77" t="str">
        <f aca="false">IF(A445="","",A445&amp;"|"&amp;F445)</f>
        <v/>
      </c>
      <c r="H445" s="77" t="str">
        <f aca="false">IF(A445="","",SUMIFS('Release Log'!$D$6:$D$4005,'Release Log'!$B$6:$B$4005,A445,'Release Log'!$C$6:$C$4005,C445))</f>
        <v/>
      </c>
      <c r="I445" s="77" t="str">
        <f aca="false">IF(OR(A445="",N(E445)=0),"",INT(H445/E445))</f>
        <v/>
      </c>
      <c r="J445" s="77" t="str">
        <f aca="false">IF(A445="","",A445&amp;"|"&amp;C445)</f>
        <v/>
      </c>
    </row>
    <row r="446" customFormat="false" ht="15" hidden="false" customHeight="false" outlineLevel="0" collapsed="false">
      <c r="A446" s="71"/>
      <c r="B446" s="71"/>
      <c r="C446" s="71"/>
      <c r="D446" s="71"/>
      <c r="E446" s="72"/>
      <c r="F446" s="77" t="str">
        <f aca="false">IF(A446="","",COUNTIF($A$6:A446,A446))</f>
        <v/>
      </c>
      <c r="G446" s="77" t="str">
        <f aca="false">IF(A446="","",A446&amp;"|"&amp;F446)</f>
        <v/>
      </c>
      <c r="H446" s="77" t="str">
        <f aca="false">IF(A446="","",SUMIFS('Release Log'!$D$6:$D$4005,'Release Log'!$B$6:$B$4005,A446,'Release Log'!$C$6:$C$4005,C446))</f>
        <v/>
      </c>
      <c r="I446" s="77" t="str">
        <f aca="false">IF(OR(A446="",N(E446)=0),"",INT(H446/E446))</f>
        <v/>
      </c>
      <c r="J446" s="77" t="str">
        <f aca="false">IF(A446="","",A446&amp;"|"&amp;C446)</f>
        <v/>
      </c>
    </row>
    <row r="447" customFormat="false" ht="15" hidden="false" customHeight="false" outlineLevel="0" collapsed="false">
      <c r="A447" s="71"/>
      <c r="B447" s="71"/>
      <c r="C447" s="71"/>
      <c r="D447" s="71"/>
      <c r="E447" s="72"/>
      <c r="F447" s="77" t="str">
        <f aca="false">IF(A447="","",COUNTIF($A$6:A447,A447))</f>
        <v/>
      </c>
      <c r="G447" s="77" t="str">
        <f aca="false">IF(A447="","",A447&amp;"|"&amp;F447)</f>
        <v/>
      </c>
      <c r="H447" s="77" t="str">
        <f aca="false">IF(A447="","",SUMIFS('Release Log'!$D$6:$D$4005,'Release Log'!$B$6:$B$4005,A447,'Release Log'!$C$6:$C$4005,C447))</f>
        <v/>
      </c>
      <c r="I447" s="77" t="str">
        <f aca="false">IF(OR(A447="",N(E447)=0),"",INT(H447/E447))</f>
        <v/>
      </c>
      <c r="J447" s="77" t="str">
        <f aca="false">IF(A447="","",A447&amp;"|"&amp;C447)</f>
        <v/>
      </c>
    </row>
    <row r="448" customFormat="false" ht="15" hidden="false" customHeight="false" outlineLevel="0" collapsed="false">
      <c r="A448" s="71"/>
      <c r="B448" s="71"/>
      <c r="C448" s="71"/>
      <c r="D448" s="71"/>
      <c r="E448" s="72"/>
      <c r="F448" s="77" t="str">
        <f aca="false">IF(A448="","",COUNTIF($A$6:A448,A448))</f>
        <v/>
      </c>
      <c r="G448" s="77" t="str">
        <f aca="false">IF(A448="","",A448&amp;"|"&amp;F448)</f>
        <v/>
      </c>
      <c r="H448" s="77" t="str">
        <f aca="false">IF(A448="","",SUMIFS('Release Log'!$D$6:$D$4005,'Release Log'!$B$6:$B$4005,A448,'Release Log'!$C$6:$C$4005,C448))</f>
        <v/>
      </c>
      <c r="I448" s="77" t="str">
        <f aca="false">IF(OR(A448="",N(E448)=0),"",INT(H448/E448))</f>
        <v/>
      </c>
      <c r="J448" s="77" t="str">
        <f aca="false">IF(A448="","",A448&amp;"|"&amp;C448)</f>
        <v/>
      </c>
    </row>
    <row r="449" customFormat="false" ht="15" hidden="false" customHeight="false" outlineLevel="0" collapsed="false">
      <c r="A449" s="71"/>
      <c r="B449" s="71"/>
      <c r="C449" s="71"/>
      <c r="D449" s="71"/>
      <c r="E449" s="72"/>
      <c r="F449" s="77" t="str">
        <f aca="false">IF(A449="","",COUNTIF($A$6:A449,A449))</f>
        <v/>
      </c>
      <c r="G449" s="77" t="str">
        <f aca="false">IF(A449="","",A449&amp;"|"&amp;F449)</f>
        <v/>
      </c>
      <c r="H449" s="77" t="str">
        <f aca="false">IF(A449="","",SUMIFS('Release Log'!$D$6:$D$4005,'Release Log'!$B$6:$B$4005,A449,'Release Log'!$C$6:$C$4005,C449))</f>
        <v/>
      </c>
      <c r="I449" s="77" t="str">
        <f aca="false">IF(OR(A449="",N(E449)=0),"",INT(H449/E449))</f>
        <v/>
      </c>
      <c r="J449" s="77" t="str">
        <f aca="false">IF(A449="","",A449&amp;"|"&amp;C449)</f>
        <v/>
      </c>
    </row>
    <row r="450" customFormat="false" ht="15" hidden="false" customHeight="false" outlineLevel="0" collapsed="false">
      <c r="A450" s="71"/>
      <c r="B450" s="71"/>
      <c r="C450" s="71"/>
      <c r="D450" s="71"/>
      <c r="E450" s="72"/>
      <c r="F450" s="77" t="str">
        <f aca="false">IF(A450="","",COUNTIF($A$6:A450,A450))</f>
        <v/>
      </c>
      <c r="G450" s="77" t="str">
        <f aca="false">IF(A450="","",A450&amp;"|"&amp;F450)</f>
        <v/>
      </c>
      <c r="H450" s="77" t="str">
        <f aca="false">IF(A450="","",SUMIFS('Release Log'!$D$6:$D$4005,'Release Log'!$B$6:$B$4005,A450,'Release Log'!$C$6:$C$4005,C450))</f>
        <v/>
      </c>
      <c r="I450" s="77" t="str">
        <f aca="false">IF(OR(A450="",N(E450)=0),"",INT(H450/E450))</f>
        <v/>
      </c>
      <c r="J450" s="77" t="str">
        <f aca="false">IF(A450="","",A450&amp;"|"&amp;C450)</f>
        <v/>
      </c>
    </row>
    <row r="451" customFormat="false" ht="15" hidden="false" customHeight="false" outlineLevel="0" collapsed="false">
      <c r="A451" s="71"/>
      <c r="B451" s="71"/>
      <c r="C451" s="71"/>
      <c r="D451" s="71"/>
      <c r="E451" s="72"/>
      <c r="F451" s="77" t="str">
        <f aca="false">IF(A451="","",COUNTIF($A$6:A451,A451))</f>
        <v/>
      </c>
      <c r="G451" s="77" t="str">
        <f aca="false">IF(A451="","",A451&amp;"|"&amp;F451)</f>
        <v/>
      </c>
      <c r="H451" s="77" t="str">
        <f aca="false">IF(A451="","",SUMIFS('Release Log'!$D$6:$D$4005,'Release Log'!$B$6:$B$4005,A451,'Release Log'!$C$6:$C$4005,C451))</f>
        <v/>
      </c>
      <c r="I451" s="77" t="str">
        <f aca="false">IF(OR(A451="",N(E451)=0),"",INT(H451/E451))</f>
        <v/>
      </c>
      <c r="J451" s="77" t="str">
        <f aca="false">IF(A451="","",A451&amp;"|"&amp;C451)</f>
        <v/>
      </c>
    </row>
    <row r="452" customFormat="false" ht="15" hidden="false" customHeight="false" outlineLevel="0" collapsed="false">
      <c r="A452" s="71"/>
      <c r="B452" s="71"/>
      <c r="C452" s="71"/>
      <c r="D452" s="71"/>
      <c r="E452" s="72"/>
      <c r="F452" s="77" t="str">
        <f aca="false">IF(A452="","",COUNTIF($A$6:A452,A452))</f>
        <v/>
      </c>
      <c r="G452" s="77" t="str">
        <f aca="false">IF(A452="","",A452&amp;"|"&amp;F452)</f>
        <v/>
      </c>
      <c r="H452" s="77" t="str">
        <f aca="false">IF(A452="","",SUMIFS('Release Log'!$D$6:$D$4005,'Release Log'!$B$6:$B$4005,A452,'Release Log'!$C$6:$C$4005,C452))</f>
        <v/>
      </c>
      <c r="I452" s="77" t="str">
        <f aca="false">IF(OR(A452="",N(E452)=0),"",INT(H452/E452))</f>
        <v/>
      </c>
      <c r="J452" s="77" t="str">
        <f aca="false">IF(A452="","",A452&amp;"|"&amp;C452)</f>
        <v/>
      </c>
    </row>
    <row r="453" customFormat="false" ht="15" hidden="false" customHeight="false" outlineLevel="0" collapsed="false">
      <c r="A453" s="71"/>
      <c r="B453" s="71"/>
      <c r="C453" s="71"/>
      <c r="D453" s="71"/>
      <c r="E453" s="72"/>
      <c r="F453" s="77" t="str">
        <f aca="false">IF(A453="","",COUNTIF($A$6:A453,A453))</f>
        <v/>
      </c>
      <c r="G453" s="77" t="str">
        <f aca="false">IF(A453="","",A453&amp;"|"&amp;F453)</f>
        <v/>
      </c>
      <c r="H453" s="77" t="str">
        <f aca="false">IF(A453="","",SUMIFS('Release Log'!$D$6:$D$4005,'Release Log'!$B$6:$B$4005,A453,'Release Log'!$C$6:$C$4005,C453))</f>
        <v/>
      </c>
      <c r="I453" s="77" t="str">
        <f aca="false">IF(OR(A453="",N(E453)=0),"",INT(H453/E453))</f>
        <v/>
      </c>
      <c r="J453" s="77" t="str">
        <f aca="false">IF(A453="","",A453&amp;"|"&amp;C453)</f>
        <v/>
      </c>
    </row>
    <row r="454" customFormat="false" ht="15" hidden="false" customHeight="false" outlineLevel="0" collapsed="false">
      <c r="A454" s="71"/>
      <c r="B454" s="71"/>
      <c r="C454" s="71"/>
      <c r="D454" s="71"/>
      <c r="E454" s="72"/>
      <c r="F454" s="77" t="str">
        <f aca="false">IF(A454="","",COUNTIF($A$6:A454,A454))</f>
        <v/>
      </c>
      <c r="G454" s="77" t="str">
        <f aca="false">IF(A454="","",A454&amp;"|"&amp;F454)</f>
        <v/>
      </c>
      <c r="H454" s="77" t="str">
        <f aca="false">IF(A454="","",SUMIFS('Release Log'!$D$6:$D$4005,'Release Log'!$B$6:$B$4005,A454,'Release Log'!$C$6:$C$4005,C454))</f>
        <v/>
      </c>
      <c r="I454" s="77" t="str">
        <f aca="false">IF(OR(A454="",N(E454)=0),"",INT(H454/E454))</f>
        <v/>
      </c>
      <c r="J454" s="77" t="str">
        <f aca="false">IF(A454="","",A454&amp;"|"&amp;C454)</f>
        <v/>
      </c>
    </row>
    <row r="455" customFormat="false" ht="15" hidden="false" customHeight="false" outlineLevel="0" collapsed="false">
      <c r="A455" s="71"/>
      <c r="B455" s="71"/>
      <c r="C455" s="71"/>
      <c r="D455" s="71"/>
      <c r="E455" s="72"/>
      <c r="F455" s="77" t="str">
        <f aca="false">IF(A455="","",COUNTIF($A$6:A455,A455))</f>
        <v/>
      </c>
      <c r="G455" s="77" t="str">
        <f aca="false">IF(A455="","",A455&amp;"|"&amp;F455)</f>
        <v/>
      </c>
      <c r="H455" s="77" t="str">
        <f aca="false">IF(A455="","",SUMIFS('Release Log'!$D$6:$D$4005,'Release Log'!$B$6:$B$4005,A455,'Release Log'!$C$6:$C$4005,C455))</f>
        <v/>
      </c>
      <c r="I455" s="77" t="str">
        <f aca="false">IF(OR(A455="",N(E455)=0),"",INT(H455/E455))</f>
        <v/>
      </c>
      <c r="J455" s="77" t="str">
        <f aca="false">IF(A455="","",A455&amp;"|"&amp;C455)</f>
        <v/>
      </c>
    </row>
    <row r="456" customFormat="false" ht="15" hidden="false" customHeight="false" outlineLevel="0" collapsed="false">
      <c r="A456" s="71"/>
      <c r="B456" s="71"/>
      <c r="C456" s="71"/>
      <c r="D456" s="71"/>
      <c r="E456" s="72"/>
      <c r="F456" s="77" t="str">
        <f aca="false">IF(A456="","",COUNTIF($A$6:A456,A456))</f>
        <v/>
      </c>
      <c r="G456" s="77" t="str">
        <f aca="false">IF(A456="","",A456&amp;"|"&amp;F456)</f>
        <v/>
      </c>
      <c r="H456" s="77" t="str">
        <f aca="false">IF(A456="","",SUMIFS('Release Log'!$D$6:$D$4005,'Release Log'!$B$6:$B$4005,A456,'Release Log'!$C$6:$C$4005,C456))</f>
        <v/>
      </c>
      <c r="I456" s="77" t="str">
        <f aca="false">IF(OR(A456="",N(E456)=0),"",INT(H456/E456))</f>
        <v/>
      </c>
      <c r="J456" s="77" t="str">
        <f aca="false">IF(A456="","",A456&amp;"|"&amp;C456)</f>
        <v/>
      </c>
    </row>
    <row r="457" customFormat="false" ht="15" hidden="false" customHeight="false" outlineLevel="0" collapsed="false">
      <c r="A457" s="71"/>
      <c r="B457" s="71"/>
      <c r="C457" s="71"/>
      <c r="D457" s="71"/>
      <c r="E457" s="72"/>
      <c r="F457" s="77" t="str">
        <f aca="false">IF(A457="","",COUNTIF($A$6:A457,A457))</f>
        <v/>
      </c>
      <c r="G457" s="77" t="str">
        <f aca="false">IF(A457="","",A457&amp;"|"&amp;F457)</f>
        <v/>
      </c>
      <c r="H457" s="77" t="str">
        <f aca="false">IF(A457="","",SUMIFS('Release Log'!$D$6:$D$4005,'Release Log'!$B$6:$B$4005,A457,'Release Log'!$C$6:$C$4005,C457))</f>
        <v/>
      </c>
      <c r="I457" s="77" t="str">
        <f aca="false">IF(OR(A457="",N(E457)=0),"",INT(H457/E457))</f>
        <v/>
      </c>
      <c r="J457" s="77" t="str">
        <f aca="false">IF(A457="","",A457&amp;"|"&amp;C457)</f>
        <v/>
      </c>
    </row>
    <row r="458" customFormat="false" ht="15" hidden="false" customHeight="false" outlineLevel="0" collapsed="false">
      <c r="A458" s="71"/>
      <c r="B458" s="71"/>
      <c r="C458" s="71"/>
      <c r="D458" s="71"/>
      <c r="E458" s="72"/>
      <c r="F458" s="77" t="str">
        <f aca="false">IF(A458="","",COUNTIF($A$6:A458,A458))</f>
        <v/>
      </c>
      <c r="G458" s="77" t="str">
        <f aca="false">IF(A458="","",A458&amp;"|"&amp;F458)</f>
        <v/>
      </c>
      <c r="H458" s="77" t="str">
        <f aca="false">IF(A458="","",SUMIFS('Release Log'!$D$6:$D$4005,'Release Log'!$B$6:$B$4005,A458,'Release Log'!$C$6:$C$4005,C458))</f>
        <v/>
      </c>
      <c r="I458" s="77" t="str">
        <f aca="false">IF(OR(A458="",N(E458)=0),"",INT(H458/E458))</f>
        <v/>
      </c>
      <c r="J458" s="77" t="str">
        <f aca="false">IF(A458="","",A458&amp;"|"&amp;C458)</f>
        <v/>
      </c>
    </row>
    <row r="459" customFormat="false" ht="15" hidden="false" customHeight="false" outlineLevel="0" collapsed="false">
      <c r="A459" s="71"/>
      <c r="B459" s="71"/>
      <c r="C459" s="71"/>
      <c r="D459" s="71"/>
      <c r="E459" s="72"/>
      <c r="F459" s="77" t="str">
        <f aca="false">IF(A459="","",COUNTIF($A$6:A459,A459))</f>
        <v/>
      </c>
      <c r="G459" s="77" t="str">
        <f aca="false">IF(A459="","",A459&amp;"|"&amp;F459)</f>
        <v/>
      </c>
      <c r="H459" s="77" t="str">
        <f aca="false">IF(A459="","",SUMIFS('Release Log'!$D$6:$D$4005,'Release Log'!$B$6:$B$4005,A459,'Release Log'!$C$6:$C$4005,C459))</f>
        <v/>
      </c>
      <c r="I459" s="77" t="str">
        <f aca="false">IF(OR(A459="",N(E459)=0),"",INT(H459/E459))</f>
        <v/>
      </c>
      <c r="J459" s="77" t="str">
        <f aca="false">IF(A459="","",A459&amp;"|"&amp;C459)</f>
        <v/>
      </c>
    </row>
    <row r="460" customFormat="false" ht="15" hidden="false" customHeight="false" outlineLevel="0" collapsed="false">
      <c r="A460" s="71"/>
      <c r="B460" s="71"/>
      <c r="C460" s="71"/>
      <c r="D460" s="71"/>
      <c r="E460" s="72"/>
      <c r="F460" s="77" t="str">
        <f aca="false">IF(A460="","",COUNTIF($A$6:A460,A460))</f>
        <v/>
      </c>
      <c r="G460" s="77" t="str">
        <f aca="false">IF(A460="","",A460&amp;"|"&amp;F460)</f>
        <v/>
      </c>
      <c r="H460" s="77" t="str">
        <f aca="false">IF(A460="","",SUMIFS('Release Log'!$D$6:$D$4005,'Release Log'!$B$6:$B$4005,A460,'Release Log'!$C$6:$C$4005,C460))</f>
        <v/>
      </c>
      <c r="I460" s="77" t="str">
        <f aca="false">IF(OR(A460="",N(E460)=0),"",INT(H460/E460))</f>
        <v/>
      </c>
      <c r="J460" s="77" t="str">
        <f aca="false">IF(A460="","",A460&amp;"|"&amp;C460)</f>
        <v/>
      </c>
    </row>
    <row r="461" customFormat="false" ht="15" hidden="false" customHeight="false" outlineLevel="0" collapsed="false">
      <c r="A461" s="71"/>
      <c r="B461" s="71"/>
      <c r="C461" s="71"/>
      <c r="D461" s="71"/>
      <c r="E461" s="72"/>
      <c r="F461" s="77" t="str">
        <f aca="false">IF(A461="","",COUNTIF($A$6:A461,A461))</f>
        <v/>
      </c>
      <c r="G461" s="77" t="str">
        <f aca="false">IF(A461="","",A461&amp;"|"&amp;F461)</f>
        <v/>
      </c>
      <c r="H461" s="77" t="str">
        <f aca="false">IF(A461="","",SUMIFS('Release Log'!$D$6:$D$4005,'Release Log'!$B$6:$B$4005,A461,'Release Log'!$C$6:$C$4005,C461))</f>
        <v/>
      </c>
      <c r="I461" s="77" t="str">
        <f aca="false">IF(OR(A461="",N(E461)=0),"",INT(H461/E461))</f>
        <v/>
      </c>
      <c r="J461" s="77" t="str">
        <f aca="false">IF(A461="","",A461&amp;"|"&amp;C461)</f>
        <v/>
      </c>
    </row>
    <row r="462" customFormat="false" ht="15" hidden="false" customHeight="false" outlineLevel="0" collapsed="false">
      <c r="A462" s="71"/>
      <c r="B462" s="71"/>
      <c r="C462" s="71"/>
      <c r="D462" s="71"/>
      <c r="E462" s="72"/>
      <c r="F462" s="77" t="str">
        <f aca="false">IF(A462="","",COUNTIF($A$6:A462,A462))</f>
        <v/>
      </c>
      <c r="G462" s="77" t="str">
        <f aca="false">IF(A462="","",A462&amp;"|"&amp;F462)</f>
        <v/>
      </c>
      <c r="H462" s="77" t="str">
        <f aca="false">IF(A462="","",SUMIFS('Release Log'!$D$6:$D$4005,'Release Log'!$B$6:$B$4005,A462,'Release Log'!$C$6:$C$4005,C462))</f>
        <v/>
      </c>
      <c r="I462" s="77" t="str">
        <f aca="false">IF(OR(A462="",N(E462)=0),"",INT(H462/E462))</f>
        <v/>
      </c>
      <c r="J462" s="77" t="str">
        <f aca="false">IF(A462="","",A462&amp;"|"&amp;C462)</f>
        <v/>
      </c>
    </row>
    <row r="463" customFormat="false" ht="15" hidden="false" customHeight="false" outlineLevel="0" collapsed="false">
      <c r="A463" s="71"/>
      <c r="B463" s="71"/>
      <c r="C463" s="71"/>
      <c r="D463" s="71"/>
      <c r="E463" s="72"/>
      <c r="F463" s="77" t="str">
        <f aca="false">IF(A463="","",COUNTIF($A$6:A463,A463))</f>
        <v/>
      </c>
      <c r="G463" s="77" t="str">
        <f aca="false">IF(A463="","",A463&amp;"|"&amp;F463)</f>
        <v/>
      </c>
      <c r="H463" s="77" t="str">
        <f aca="false">IF(A463="","",SUMIFS('Release Log'!$D$6:$D$4005,'Release Log'!$B$6:$B$4005,A463,'Release Log'!$C$6:$C$4005,C463))</f>
        <v/>
      </c>
      <c r="I463" s="77" t="str">
        <f aca="false">IF(OR(A463="",N(E463)=0),"",INT(H463/E463))</f>
        <v/>
      </c>
      <c r="J463" s="77" t="str">
        <f aca="false">IF(A463="","",A463&amp;"|"&amp;C463)</f>
        <v/>
      </c>
    </row>
    <row r="464" customFormat="false" ht="15" hidden="false" customHeight="false" outlineLevel="0" collapsed="false">
      <c r="A464" s="71"/>
      <c r="B464" s="71"/>
      <c r="C464" s="71"/>
      <c r="D464" s="71"/>
      <c r="E464" s="72"/>
      <c r="F464" s="77" t="str">
        <f aca="false">IF(A464="","",COUNTIF($A$6:A464,A464))</f>
        <v/>
      </c>
      <c r="G464" s="77" t="str">
        <f aca="false">IF(A464="","",A464&amp;"|"&amp;F464)</f>
        <v/>
      </c>
      <c r="H464" s="77" t="str">
        <f aca="false">IF(A464="","",SUMIFS('Release Log'!$D$6:$D$4005,'Release Log'!$B$6:$B$4005,A464,'Release Log'!$C$6:$C$4005,C464))</f>
        <v/>
      </c>
      <c r="I464" s="77" t="str">
        <f aca="false">IF(OR(A464="",N(E464)=0),"",INT(H464/E464))</f>
        <v/>
      </c>
      <c r="J464" s="77" t="str">
        <f aca="false">IF(A464="","",A464&amp;"|"&amp;C464)</f>
        <v/>
      </c>
    </row>
    <row r="465" customFormat="false" ht="15" hidden="false" customHeight="false" outlineLevel="0" collapsed="false">
      <c r="A465" s="71"/>
      <c r="B465" s="71"/>
      <c r="C465" s="71"/>
      <c r="D465" s="71"/>
      <c r="E465" s="72"/>
      <c r="F465" s="77" t="str">
        <f aca="false">IF(A465="","",COUNTIF($A$6:A465,A465))</f>
        <v/>
      </c>
      <c r="G465" s="77" t="str">
        <f aca="false">IF(A465="","",A465&amp;"|"&amp;F465)</f>
        <v/>
      </c>
      <c r="H465" s="77" t="str">
        <f aca="false">IF(A465="","",SUMIFS('Release Log'!$D$6:$D$4005,'Release Log'!$B$6:$B$4005,A465,'Release Log'!$C$6:$C$4005,C465))</f>
        <v/>
      </c>
      <c r="I465" s="77" t="str">
        <f aca="false">IF(OR(A465="",N(E465)=0),"",INT(H465/E465))</f>
        <v/>
      </c>
      <c r="J465" s="77" t="str">
        <f aca="false">IF(A465="","",A465&amp;"|"&amp;C465)</f>
        <v/>
      </c>
    </row>
    <row r="466" customFormat="false" ht="15" hidden="false" customHeight="false" outlineLevel="0" collapsed="false">
      <c r="A466" s="71"/>
      <c r="B466" s="71"/>
      <c r="C466" s="71"/>
      <c r="D466" s="71"/>
      <c r="E466" s="72"/>
      <c r="F466" s="77" t="str">
        <f aca="false">IF(A466="","",COUNTIF($A$6:A466,A466))</f>
        <v/>
      </c>
      <c r="G466" s="77" t="str">
        <f aca="false">IF(A466="","",A466&amp;"|"&amp;F466)</f>
        <v/>
      </c>
      <c r="H466" s="77" t="str">
        <f aca="false">IF(A466="","",SUMIFS('Release Log'!$D$6:$D$4005,'Release Log'!$B$6:$B$4005,A466,'Release Log'!$C$6:$C$4005,C466))</f>
        <v/>
      </c>
      <c r="I466" s="77" t="str">
        <f aca="false">IF(OR(A466="",N(E466)=0),"",INT(H466/E466))</f>
        <v/>
      </c>
      <c r="J466" s="77" t="str">
        <f aca="false">IF(A466="","",A466&amp;"|"&amp;C466)</f>
        <v/>
      </c>
    </row>
    <row r="467" customFormat="false" ht="15" hidden="false" customHeight="false" outlineLevel="0" collapsed="false">
      <c r="A467" s="71"/>
      <c r="B467" s="71"/>
      <c r="C467" s="71"/>
      <c r="D467" s="71"/>
      <c r="E467" s="72"/>
      <c r="F467" s="77" t="str">
        <f aca="false">IF(A467="","",COUNTIF($A$6:A467,A467))</f>
        <v/>
      </c>
      <c r="G467" s="77" t="str">
        <f aca="false">IF(A467="","",A467&amp;"|"&amp;F467)</f>
        <v/>
      </c>
      <c r="H467" s="77" t="str">
        <f aca="false">IF(A467="","",SUMIFS('Release Log'!$D$6:$D$4005,'Release Log'!$B$6:$B$4005,A467,'Release Log'!$C$6:$C$4005,C467))</f>
        <v/>
      </c>
      <c r="I467" s="77" t="str">
        <f aca="false">IF(OR(A467="",N(E467)=0),"",INT(H467/E467))</f>
        <v/>
      </c>
      <c r="J467" s="77" t="str">
        <f aca="false">IF(A467="","",A467&amp;"|"&amp;C467)</f>
        <v/>
      </c>
    </row>
    <row r="468" customFormat="false" ht="15" hidden="false" customHeight="false" outlineLevel="0" collapsed="false">
      <c r="A468" s="71"/>
      <c r="B468" s="71"/>
      <c r="C468" s="71"/>
      <c r="D468" s="71"/>
      <c r="E468" s="72"/>
      <c r="F468" s="77" t="str">
        <f aca="false">IF(A468="","",COUNTIF($A$6:A468,A468))</f>
        <v/>
      </c>
      <c r="G468" s="77" t="str">
        <f aca="false">IF(A468="","",A468&amp;"|"&amp;F468)</f>
        <v/>
      </c>
      <c r="H468" s="77" t="str">
        <f aca="false">IF(A468="","",SUMIFS('Release Log'!$D$6:$D$4005,'Release Log'!$B$6:$B$4005,A468,'Release Log'!$C$6:$C$4005,C468))</f>
        <v/>
      </c>
      <c r="I468" s="77" t="str">
        <f aca="false">IF(OR(A468="",N(E468)=0),"",INT(H468/E468))</f>
        <v/>
      </c>
      <c r="J468" s="77" t="str">
        <f aca="false">IF(A468="","",A468&amp;"|"&amp;C468)</f>
        <v/>
      </c>
    </row>
    <row r="469" customFormat="false" ht="15" hidden="false" customHeight="false" outlineLevel="0" collapsed="false">
      <c r="A469" s="71"/>
      <c r="B469" s="71"/>
      <c r="C469" s="71"/>
      <c r="D469" s="71"/>
      <c r="E469" s="72"/>
      <c r="F469" s="77" t="str">
        <f aca="false">IF(A469="","",COUNTIF($A$6:A469,A469))</f>
        <v/>
      </c>
      <c r="G469" s="77" t="str">
        <f aca="false">IF(A469="","",A469&amp;"|"&amp;F469)</f>
        <v/>
      </c>
      <c r="H469" s="77" t="str">
        <f aca="false">IF(A469="","",SUMIFS('Release Log'!$D$6:$D$4005,'Release Log'!$B$6:$B$4005,A469,'Release Log'!$C$6:$C$4005,C469))</f>
        <v/>
      </c>
      <c r="I469" s="77" t="str">
        <f aca="false">IF(OR(A469="",N(E469)=0),"",INT(H469/E469))</f>
        <v/>
      </c>
      <c r="J469" s="77" t="str">
        <f aca="false">IF(A469="","",A469&amp;"|"&amp;C469)</f>
        <v/>
      </c>
    </row>
    <row r="470" customFormat="false" ht="15" hidden="false" customHeight="false" outlineLevel="0" collapsed="false">
      <c r="A470" s="71"/>
      <c r="B470" s="71"/>
      <c r="C470" s="71"/>
      <c r="D470" s="71"/>
      <c r="E470" s="72"/>
      <c r="F470" s="77" t="str">
        <f aca="false">IF(A470="","",COUNTIF($A$6:A470,A470))</f>
        <v/>
      </c>
      <c r="G470" s="77" t="str">
        <f aca="false">IF(A470="","",A470&amp;"|"&amp;F470)</f>
        <v/>
      </c>
      <c r="H470" s="77" t="str">
        <f aca="false">IF(A470="","",SUMIFS('Release Log'!$D$6:$D$4005,'Release Log'!$B$6:$B$4005,A470,'Release Log'!$C$6:$C$4005,C470))</f>
        <v/>
      </c>
      <c r="I470" s="77" t="str">
        <f aca="false">IF(OR(A470="",N(E470)=0),"",INT(H470/E470))</f>
        <v/>
      </c>
      <c r="J470" s="77" t="str">
        <f aca="false">IF(A470="","",A470&amp;"|"&amp;C470)</f>
        <v/>
      </c>
    </row>
    <row r="471" customFormat="false" ht="15" hidden="false" customHeight="false" outlineLevel="0" collapsed="false">
      <c r="A471" s="71"/>
      <c r="B471" s="71"/>
      <c r="C471" s="71"/>
      <c r="D471" s="71"/>
      <c r="E471" s="72"/>
      <c r="F471" s="77" t="str">
        <f aca="false">IF(A471="","",COUNTIF($A$6:A471,A471))</f>
        <v/>
      </c>
      <c r="G471" s="77" t="str">
        <f aca="false">IF(A471="","",A471&amp;"|"&amp;F471)</f>
        <v/>
      </c>
      <c r="H471" s="77" t="str">
        <f aca="false">IF(A471="","",SUMIFS('Release Log'!$D$6:$D$4005,'Release Log'!$B$6:$B$4005,A471,'Release Log'!$C$6:$C$4005,C471))</f>
        <v/>
      </c>
      <c r="I471" s="77" t="str">
        <f aca="false">IF(OR(A471="",N(E471)=0),"",INT(H471/E471))</f>
        <v/>
      </c>
      <c r="J471" s="77" t="str">
        <f aca="false">IF(A471="","",A471&amp;"|"&amp;C471)</f>
        <v/>
      </c>
    </row>
    <row r="472" customFormat="false" ht="15" hidden="false" customHeight="false" outlineLevel="0" collapsed="false">
      <c r="A472" s="71"/>
      <c r="B472" s="71"/>
      <c r="C472" s="71"/>
      <c r="D472" s="71"/>
      <c r="E472" s="72"/>
      <c r="F472" s="77" t="str">
        <f aca="false">IF(A472="","",COUNTIF($A$6:A472,A472))</f>
        <v/>
      </c>
      <c r="G472" s="77" t="str">
        <f aca="false">IF(A472="","",A472&amp;"|"&amp;F472)</f>
        <v/>
      </c>
      <c r="H472" s="77" t="str">
        <f aca="false">IF(A472="","",SUMIFS('Release Log'!$D$6:$D$4005,'Release Log'!$B$6:$B$4005,A472,'Release Log'!$C$6:$C$4005,C472))</f>
        <v/>
      </c>
      <c r="I472" s="77" t="str">
        <f aca="false">IF(OR(A472="",N(E472)=0),"",INT(H472/E472))</f>
        <v/>
      </c>
      <c r="J472" s="77" t="str">
        <f aca="false">IF(A472="","",A472&amp;"|"&amp;C472)</f>
        <v/>
      </c>
    </row>
    <row r="473" customFormat="false" ht="15" hidden="false" customHeight="false" outlineLevel="0" collapsed="false">
      <c r="A473" s="71"/>
      <c r="B473" s="71"/>
      <c r="C473" s="71"/>
      <c r="D473" s="71"/>
      <c r="E473" s="72"/>
      <c r="F473" s="77" t="str">
        <f aca="false">IF(A473="","",COUNTIF($A$6:A473,A473))</f>
        <v/>
      </c>
      <c r="G473" s="77" t="str">
        <f aca="false">IF(A473="","",A473&amp;"|"&amp;F473)</f>
        <v/>
      </c>
      <c r="H473" s="77" t="str">
        <f aca="false">IF(A473="","",SUMIFS('Release Log'!$D$6:$D$4005,'Release Log'!$B$6:$B$4005,A473,'Release Log'!$C$6:$C$4005,C473))</f>
        <v/>
      </c>
      <c r="I473" s="77" t="str">
        <f aca="false">IF(OR(A473="",N(E473)=0),"",INT(H473/E473))</f>
        <v/>
      </c>
      <c r="J473" s="77" t="str">
        <f aca="false">IF(A473="","",A473&amp;"|"&amp;C473)</f>
        <v/>
      </c>
    </row>
    <row r="474" customFormat="false" ht="15" hidden="false" customHeight="false" outlineLevel="0" collapsed="false">
      <c r="A474" s="71"/>
      <c r="B474" s="71"/>
      <c r="C474" s="71"/>
      <c r="D474" s="71"/>
      <c r="E474" s="72"/>
      <c r="F474" s="77" t="str">
        <f aca="false">IF(A474="","",COUNTIF($A$6:A474,A474))</f>
        <v/>
      </c>
      <c r="G474" s="77" t="str">
        <f aca="false">IF(A474="","",A474&amp;"|"&amp;F474)</f>
        <v/>
      </c>
      <c r="H474" s="77" t="str">
        <f aca="false">IF(A474="","",SUMIFS('Release Log'!$D$6:$D$4005,'Release Log'!$B$6:$B$4005,A474,'Release Log'!$C$6:$C$4005,C474))</f>
        <v/>
      </c>
      <c r="I474" s="77" t="str">
        <f aca="false">IF(OR(A474="",N(E474)=0),"",INT(H474/E474))</f>
        <v/>
      </c>
      <c r="J474" s="77" t="str">
        <f aca="false">IF(A474="","",A474&amp;"|"&amp;C474)</f>
        <v/>
      </c>
    </row>
    <row r="475" customFormat="false" ht="15" hidden="false" customHeight="false" outlineLevel="0" collapsed="false">
      <c r="A475" s="71"/>
      <c r="B475" s="71"/>
      <c r="C475" s="71"/>
      <c r="D475" s="71"/>
      <c r="E475" s="72"/>
      <c r="F475" s="77" t="str">
        <f aca="false">IF(A475="","",COUNTIF($A$6:A475,A475))</f>
        <v/>
      </c>
      <c r="G475" s="77" t="str">
        <f aca="false">IF(A475="","",A475&amp;"|"&amp;F475)</f>
        <v/>
      </c>
      <c r="H475" s="77" t="str">
        <f aca="false">IF(A475="","",SUMIFS('Release Log'!$D$6:$D$4005,'Release Log'!$B$6:$B$4005,A475,'Release Log'!$C$6:$C$4005,C475))</f>
        <v/>
      </c>
      <c r="I475" s="77" t="str">
        <f aca="false">IF(OR(A475="",N(E475)=0),"",INT(H475/E475))</f>
        <v/>
      </c>
      <c r="J475" s="77" t="str">
        <f aca="false">IF(A475="","",A475&amp;"|"&amp;C475)</f>
        <v/>
      </c>
    </row>
    <row r="476" customFormat="false" ht="15" hidden="false" customHeight="false" outlineLevel="0" collapsed="false">
      <c r="A476" s="71"/>
      <c r="B476" s="71"/>
      <c r="C476" s="71"/>
      <c r="D476" s="71"/>
      <c r="E476" s="72"/>
      <c r="F476" s="77" t="str">
        <f aca="false">IF(A476="","",COUNTIF($A$6:A476,A476))</f>
        <v/>
      </c>
      <c r="G476" s="77" t="str">
        <f aca="false">IF(A476="","",A476&amp;"|"&amp;F476)</f>
        <v/>
      </c>
      <c r="H476" s="77" t="str">
        <f aca="false">IF(A476="","",SUMIFS('Release Log'!$D$6:$D$4005,'Release Log'!$B$6:$B$4005,A476,'Release Log'!$C$6:$C$4005,C476))</f>
        <v/>
      </c>
      <c r="I476" s="77" t="str">
        <f aca="false">IF(OR(A476="",N(E476)=0),"",INT(H476/E476))</f>
        <v/>
      </c>
      <c r="J476" s="77" t="str">
        <f aca="false">IF(A476="","",A476&amp;"|"&amp;C476)</f>
        <v/>
      </c>
    </row>
    <row r="477" customFormat="false" ht="15" hidden="false" customHeight="false" outlineLevel="0" collapsed="false">
      <c r="A477" s="71"/>
      <c r="B477" s="71"/>
      <c r="C477" s="71"/>
      <c r="D477" s="71"/>
      <c r="E477" s="72"/>
      <c r="F477" s="77" t="str">
        <f aca="false">IF(A477="","",COUNTIF($A$6:A477,A477))</f>
        <v/>
      </c>
      <c r="G477" s="77" t="str">
        <f aca="false">IF(A477="","",A477&amp;"|"&amp;F477)</f>
        <v/>
      </c>
      <c r="H477" s="77" t="str">
        <f aca="false">IF(A477="","",SUMIFS('Release Log'!$D$6:$D$4005,'Release Log'!$B$6:$B$4005,A477,'Release Log'!$C$6:$C$4005,C477))</f>
        <v/>
      </c>
      <c r="I477" s="77" t="str">
        <f aca="false">IF(OR(A477="",N(E477)=0),"",INT(H477/E477))</f>
        <v/>
      </c>
      <c r="J477" s="77" t="str">
        <f aca="false">IF(A477="","",A477&amp;"|"&amp;C477)</f>
        <v/>
      </c>
    </row>
    <row r="478" customFormat="false" ht="15" hidden="false" customHeight="false" outlineLevel="0" collapsed="false">
      <c r="A478" s="71"/>
      <c r="B478" s="71"/>
      <c r="C478" s="71"/>
      <c r="D478" s="71"/>
      <c r="E478" s="72"/>
      <c r="F478" s="77" t="str">
        <f aca="false">IF(A478="","",COUNTIF($A$6:A478,A478))</f>
        <v/>
      </c>
      <c r="G478" s="77" t="str">
        <f aca="false">IF(A478="","",A478&amp;"|"&amp;F478)</f>
        <v/>
      </c>
      <c r="H478" s="77" t="str">
        <f aca="false">IF(A478="","",SUMIFS('Release Log'!$D$6:$D$4005,'Release Log'!$B$6:$B$4005,A478,'Release Log'!$C$6:$C$4005,C478))</f>
        <v/>
      </c>
      <c r="I478" s="77" t="str">
        <f aca="false">IF(OR(A478="",N(E478)=0),"",INT(H478/E478))</f>
        <v/>
      </c>
      <c r="J478" s="77" t="str">
        <f aca="false">IF(A478="","",A478&amp;"|"&amp;C478)</f>
        <v/>
      </c>
    </row>
    <row r="479" customFormat="false" ht="15" hidden="false" customHeight="false" outlineLevel="0" collapsed="false">
      <c r="A479" s="71"/>
      <c r="B479" s="71"/>
      <c r="C479" s="71"/>
      <c r="D479" s="71"/>
      <c r="E479" s="72"/>
      <c r="F479" s="77" t="str">
        <f aca="false">IF(A479="","",COUNTIF($A$6:A479,A479))</f>
        <v/>
      </c>
      <c r="G479" s="77" t="str">
        <f aca="false">IF(A479="","",A479&amp;"|"&amp;F479)</f>
        <v/>
      </c>
      <c r="H479" s="77" t="str">
        <f aca="false">IF(A479="","",SUMIFS('Release Log'!$D$6:$D$4005,'Release Log'!$B$6:$B$4005,A479,'Release Log'!$C$6:$C$4005,C479))</f>
        <v/>
      </c>
      <c r="I479" s="77" t="str">
        <f aca="false">IF(OR(A479="",N(E479)=0),"",INT(H479/E479))</f>
        <v/>
      </c>
      <c r="J479" s="77" t="str">
        <f aca="false">IF(A479="","",A479&amp;"|"&amp;C479)</f>
        <v/>
      </c>
    </row>
    <row r="480" customFormat="false" ht="15" hidden="false" customHeight="false" outlineLevel="0" collapsed="false">
      <c r="A480" s="71"/>
      <c r="B480" s="71"/>
      <c r="C480" s="71"/>
      <c r="D480" s="71"/>
      <c r="E480" s="72"/>
      <c r="F480" s="77" t="str">
        <f aca="false">IF(A480="","",COUNTIF($A$6:A480,A480))</f>
        <v/>
      </c>
      <c r="G480" s="77" t="str">
        <f aca="false">IF(A480="","",A480&amp;"|"&amp;F480)</f>
        <v/>
      </c>
      <c r="H480" s="77" t="str">
        <f aca="false">IF(A480="","",SUMIFS('Release Log'!$D$6:$D$4005,'Release Log'!$B$6:$B$4005,A480,'Release Log'!$C$6:$C$4005,C480))</f>
        <v/>
      </c>
      <c r="I480" s="77" t="str">
        <f aca="false">IF(OR(A480="",N(E480)=0),"",INT(H480/E480))</f>
        <v/>
      </c>
      <c r="J480" s="77" t="str">
        <f aca="false">IF(A480="","",A480&amp;"|"&amp;C480)</f>
        <v/>
      </c>
    </row>
    <row r="481" customFormat="false" ht="15" hidden="false" customHeight="false" outlineLevel="0" collapsed="false">
      <c r="A481" s="71"/>
      <c r="B481" s="71"/>
      <c r="C481" s="71"/>
      <c r="D481" s="71"/>
      <c r="E481" s="72"/>
      <c r="F481" s="77" t="str">
        <f aca="false">IF(A481="","",COUNTIF($A$6:A481,A481))</f>
        <v/>
      </c>
      <c r="G481" s="77" t="str">
        <f aca="false">IF(A481="","",A481&amp;"|"&amp;F481)</f>
        <v/>
      </c>
      <c r="H481" s="77" t="str">
        <f aca="false">IF(A481="","",SUMIFS('Release Log'!$D$6:$D$4005,'Release Log'!$B$6:$B$4005,A481,'Release Log'!$C$6:$C$4005,C481))</f>
        <v/>
      </c>
      <c r="I481" s="77" t="str">
        <f aca="false">IF(OR(A481="",N(E481)=0),"",INT(H481/E481))</f>
        <v/>
      </c>
      <c r="J481" s="77" t="str">
        <f aca="false">IF(A481="","",A481&amp;"|"&amp;C481)</f>
        <v/>
      </c>
    </row>
    <row r="482" customFormat="false" ht="15" hidden="false" customHeight="false" outlineLevel="0" collapsed="false">
      <c r="A482" s="71"/>
      <c r="B482" s="71"/>
      <c r="C482" s="71"/>
      <c r="D482" s="71"/>
      <c r="E482" s="72"/>
      <c r="F482" s="77" t="str">
        <f aca="false">IF(A482="","",COUNTIF($A$6:A482,A482))</f>
        <v/>
      </c>
      <c r="G482" s="77" t="str">
        <f aca="false">IF(A482="","",A482&amp;"|"&amp;F482)</f>
        <v/>
      </c>
      <c r="H482" s="77" t="str">
        <f aca="false">IF(A482="","",SUMIFS('Release Log'!$D$6:$D$4005,'Release Log'!$B$6:$B$4005,A482,'Release Log'!$C$6:$C$4005,C482))</f>
        <v/>
      </c>
      <c r="I482" s="77" t="str">
        <f aca="false">IF(OR(A482="",N(E482)=0),"",INT(H482/E482))</f>
        <v/>
      </c>
      <c r="J482" s="77" t="str">
        <f aca="false">IF(A482="","",A482&amp;"|"&amp;C482)</f>
        <v/>
      </c>
    </row>
    <row r="483" customFormat="false" ht="15" hidden="false" customHeight="false" outlineLevel="0" collapsed="false">
      <c r="A483" s="71"/>
      <c r="B483" s="71"/>
      <c r="C483" s="71"/>
      <c r="D483" s="71"/>
      <c r="E483" s="72"/>
      <c r="F483" s="77" t="str">
        <f aca="false">IF(A483="","",COUNTIF($A$6:A483,A483))</f>
        <v/>
      </c>
      <c r="G483" s="77" t="str">
        <f aca="false">IF(A483="","",A483&amp;"|"&amp;F483)</f>
        <v/>
      </c>
      <c r="H483" s="77" t="str">
        <f aca="false">IF(A483="","",SUMIFS('Release Log'!$D$6:$D$4005,'Release Log'!$B$6:$B$4005,A483,'Release Log'!$C$6:$C$4005,C483))</f>
        <v/>
      </c>
      <c r="I483" s="77" t="str">
        <f aca="false">IF(OR(A483="",N(E483)=0),"",INT(H483/E483))</f>
        <v/>
      </c>
      <c r="J483" s="77" t="str">
        <f aca="false">IF(A483="","",A483&amp;"|"&amp;C483)</f>
        <v/>
      </c>
    </row>
    <row r="484" customFormat="false" ht="15" hidden="false" customHeight="false" outlineLevel="0" collapsed="false">
      <c r="A484" s="71"/>
      <c r="B484" s="71"/>
      <c r="C484" s="71"/>
      <c r="D484" s="71"/>
      <c r="E484" s="72"/>
      <c r="F484" s="77" t="str">
        <f aca="false">IF(A484="","",COUNTIF($A$6:A484,A484))</f>
        <v/>
      </c>
      <c r="G484" s="77" t="str">
        <f aca="false">IF(A484="","",A484&amp;"|"&amp;F484)</f>
        <v/>
      </c>
      <c r="H484" s="77" t="str">
        <f aca="false">IF(A484="","",SUMIFS('Release Log'!$D$6:$D$4005,'Release Log'!$B$6:$B$4005,A484,'Release Log'!$C$6:$C$4005,C484))</f>
        <v/>
      </c>
      <c r="I484" s="77" t="str">
        <f aca="false">IF(OR(A484="",N(E484)=0),"",INT(H484/E484))</f>
        <v/>
      </c>
      <c r="J484" s="77" t="str">
        <f aca="false">IF(A484="","",A484&amp;"|"&amp;C484)</f>
        <v/>
      </c>
    </row>
    <row r="485" customFormat="false" ht="15" hidden="false" customHeight="false" outlineLevel="0" collapsed="false">
      <c r="A485" s="71"/>
      <c r="B485" s="71"/>
      <c r="C485" s="71"/>
      <c r="D485" s="71"/>
      <c r="E485" s="72"/>
      <c r="F485" s="77" t="str">
        <f aca="false">IF(A485="","",COUNTIF($A$6:A485,A485))</f>
        <v/>
      </c>
      <c r="G485" s="77" t="str">
        <f aca="false">IF(A485="","",A485&amp;"|"&amp;F485)</f>
        <v/>
      </c>
      <c r="H485" s="77" t="str">
        <f aca="false">IF(A485="","",SUMIFS('Release Log'!$D$6:$D$4005,'Release Log'!$B$6:$B$4005,A485,'Release Log'!$C$6:$C$4005,C485))</f>
        <v/>
      </c>
      <c r="I485" s="77" t="str">
        <f aca="false">IF(OR(A485="",N(E485)=0),"",INT(H485/E485))</f>
        <v/>
      </c>
      <c r="J485" s="77" t="str">
        <f aca="false">IF(A485="","",A485&amp;"|"&amp;C485)</f>
        <v/>
      </c>
    </row>
    <row r="486" customFormat="false" ht="15" hidden="false" customHeight="false" outlineLevel="0" collapsed="false">
      <c r="A486" s="71"/>
      <c r="B486" s="71"/>
      <c r="C486" s="71"/>
      <c r="D486" s="71"/>
      <c r="E486" s="72"/>
      <c r="F486" s="77" t="str">
        <f aca="false">IF(A486="","",COUNTIF($A$6:A486,A486))</f>
        <v/>
      </c>
      <c r="G486" s="77" t="str">
        <f aca="false">IF(A486="","",A486&amp;"|"&amp;F486)</f>
        <v/>
      </c>
      <c r="H486" s="77" t="str">
        <f aca="false">IF(A486="","",SUMIFS('Release Log'!$D$6:$D$4005,'Release Log'!$B$6:$B$4005,A486,'Release Log'!$C$6:$C$4005,C486))</f>
        <v/>
      </c>
      <c r="I486" s="77" t="str">
        <f aca="false">IF(OR(A486="",N(E486)=0),"",INT(H486/E486))</f>
        <v/>
      </c>
      <c r="J486" s="77" t="str">
        <f aca="false">IF(A486="","",A486&amp;"|"&amp;C486)</f>
        <v/>
      </c>
    </row>
    <row r="487" customFormat="false" ht="15" hidden="false" customHeight="false" outlineLevel="0" collapsed="false">
      <c r="A487" s="71"/>
      <c r="B487" s="71"/>
      <c r="C487" s="71"/>
      <c r="D487" s="71"/>
      <c r="E487" s="72"/>
      <c r="F487" s="77" t="str">
        <f aca="false">IF(A487="","",COUNTIF($A$6:A487,A487))</f>
        <v/>
      </c>
      <c r="G487" s="77" t="str">
        <f aca="false">IF(A487="","",A487&amp;"|"&amp;F487)</f>
        <v/>
      </c>
      <c r="H487" s="77" t="str">
        <f aca="false">IF(A487="","",SUMIFS('Release Log'!$D$6:$D$4005,'Release Log'!$B$6:$B$4005,A487,'Release Log'!$C$6:$C$4005,C487))</f>
        <v/>
      </c>
      <c r="I487" s="77" t="str">
        <f aca="false">IF(OR(A487="",N(E487)=0),"",INT(H487/E487))</f>
        <v/>
      </c>
      <c r="J487" s="77" t="str">
        <f aca="false">IF(A487="","",A487&amp;"|"&amp;C487)</f>
        <v/>
      </c>
    </row>
    <row r="488" customFormat="false" ht="15" hidden="false" customHeight="false" outlineLevel="0" collapsed="false">
      <c r="A488" s="71"/>
      <c r="B488" s="71"/>
      <c r="C488" s="71"/>
      <c r="D488" s="71"/>
      <c r="E488" s="72"/>
      <c r="F488" s="77" t="str">
        <f aca="false">IF(A488="","",COUNTIF($A$6:A488,A488))</f>
        <v/>
      </c>
      <c r="G488" s="77" t="str">
        <f aca="false">IF(A488="","",A488&amp;"|"&amp;F488)</f>
        <v/>
      </c>
      <c r="H488" s="77" t="str">
        <f aca="false">IF(A488="","",SUMIFS('Release Log'!$D$6:$D$4005,'Release Log'!$B$6:$B$4005,A488,'Release Log'!$C$6:$C$4005,C488))</f>
        <v/>
      </c>
      <c r="I488" s="77" t="str">
        <f aca="false">IF(OR(A488="",N(E488)=0),"",INT(H488/E488))</f>
        <v/>
      </c>
      <c r="J488" s="77" t="str">
        <f aca="false">IF(A488="","",A488&amp;"|"&amp;C488)</f>
        <v/>
      </c>
    </row>
    <row r="489" customFormat="false" ht="15" hidden="false" customHeight="false" outlineLevel="0" collapsed="false">
      <c r="A489" s="71"/>
      <c r="B489" s="71"/>
      <c r="C489" s="71"/>
      <c r="D489" s="71"/>
      <c r="E489" s="72"/>
      <c r="F489" s="77" t="str">
        <f aca="false">IF(A489="","",COUNTIF($A$6:A489,A489))</f>
        <v/>
      </c>
      <c r="G489" s="77" t="str">
        <f aca="false">IF(A489="","",A489&amp;"|"&amp;F489)</f>
        <v/>
      </c>
      <c r="H489" s="77" t="str">
        <f aca="false">IF(A489="","",SUMIFS('Release Log'!$D$6:$D$4005,'Release Log'!$B$6:$B$4005,A489,'Release Log'!$C$6:$C$4005,C489))</f>
        <v/>
      </c>
      <c r="I489" s="77" t="str">
        <f aca="false">IF(OR(A489="",N(E489)=0),"",INT(H489/E489))</f>
        <v/>
      </c>
      <c r="J489" s="77" t="str">
        <f aca="false">IF(A489="","",A489&amp;"|"&amp;C489)</f>
        <v/>
      </c>
    </row>
    <row r="490" customFormat="false" ht="15" hidden="false" customHeight="false" outlineLevel="0" collapsed="false">
      <c r="A490" s="71"/>
      <c r="B490" s="71"/>
      <c r="C490" s="71"/>
      <c r="D490" s="71"/>
      <c r="E490" s="72"/>
      <c r="F490" s="77" t="str">
        <f aca="false">IF(A490="","",COUNTIF($A$6:A490,A490))</f>
        <v/>
      </c>
      <c r="G490" s="77" t="str">
        <f aca="false">IF(A490="","",A490&amp;"|"&amp;F490)</f>
        <v/>
      </c>
      <c r="H490" s="77" t="str">
        <f aca="false">IF(A490="","",SUMIFS('Release Log'!$D$6:$D$4005,'Release Log'!$B$6:$B$4005,A490,'Release Log'!$C$6:$C$4005,C490))</f>
        <v/>
      </c>
      <c r="I490" s="77" t="str">
        <f aca="false">IF(OR(A490="",N(E490)=0),"",INT(H490/E490))</f>
        <v/>
      </c>
      <c r="J490" s="77" t="str">
        <f aca="false">IF(A490="","",A490&amp;"|"&amp;C490)</f>
        <v/>
      </c>
    </row>
    <row r="491" customFormat="false" ht="15" hidden="false" customHeight="false" outlineLevel="0" collapsed="false">
      <c r="A491" s="71"/>
      <c r="B491" s="71"/>
      <c r="C491" s="71"/>
      <c r="D491" s="71"/>
      <c r="E491" s="72"/>
      <c r="F491" s="77" t="str">
        <f aca="false">IF(A491="","",COUNTIF($A$6:A491,A491))</f>
        <v/>
      </c>
      <c r="G491" s="77" t="str">
        <f aca="false">IF(A491="","",A491&amp;"|"&amp;F491)</f>
        <v/>
      </c>
      <c r="H491" s="77" t="str">
        <f aca="false">IF(A491="","",SUMIFS('Release Log'!$D$6:$D$4005,'Release Log'!$B$6:$B$4005,A491,'Release Log'!$C$6:$C$4005,C491))</f>
        <v/>
      </c>
      <c r="I491" s="77" t="str">
        <f aca="false">IF(OR(A491="",N(E491)=0),"",INT(H491/E491))</f>
        <v/>
      </c>
      <c r="J491" s="77" t="str">
        <f aca="false">IF(A491="","",A491&amp;"|"&amp;C491)</f>
        <v/>
      </c>
    </row>
    <row r="492" customFormat="false" ht="15" hidden="false" customHeight="false" outlineLevel="0" collapsed="false">
      <c r="A492" s="71"/>
      <c r="B492" s="71"/>
      <c r="C492" s="71"/>
      <c r="D492" s="71"/>
      <c r="E492" s="72"/>
      <c r="F492" s="77" t="str">
        <f aca="false">IF(A492="","",COUNTIF($A$6:A492,A492))</f>
        <v/>
      </c>
      <c r="G492" s="77" t="str">
        <f aca="false">IF(A492="","",A492&amp;"|"&amp;F492)</f>
        <v/>
      </c>
      <c r="H492" s="77" t="str">
        <f aca="false">IF(A492="","",SUMIFS('Release Log'!$D$6:$D$4005,'Release Log'!$B$6:$B$4005,A492,'Release Log'!$C$6:$C$4005,C492))</f>
        <v/>
      </c>
      <c r="I492" s="77" t="str">
        <f aca="false">IF(OR(A492="",N(E492)=0),"",INT(H492/E492))</f>
        <v/>
      </c>
      <c r="J492" s="77" t="str">
        <f aca="false">IF(A492="","",A492&amp;"|"&amp;C492)</f>
        <v/>
      </c>
    </row>
    <row r="493" customFormat="false" ht="15" hidden="false" customHeight="false" outlineLevel="0" collapsed="false">
      <c r="A493" s="71"/>
      <c r="B493" s="71"/>
      <c r="C493" s="71"/>
      <c r="D493" s="71"/>
      <c r="E493" s="72"/>
      <c r="F493" s="77" t="str">
        <f aca="false">IF(A493="","",COUNTIF($A$6:A493,A493))</f>
        <v/>
      </c>
      <c r="G493" s="77" t="str">
        <f aca="false">IF(A493="","",A493&amp;"|"&amp;F493)</f>
        <v/>
      </c>
      <c r="H493" s="77" t="str">
        <f aca="false">IF(A493="","",SUMIFS('Release Log'!$D$6:$D$4005,'Release Log'!$B$6:$B$4005,A493,'Release Log'!$C$6:$C$4005,C493))</f>
        <v/>
      </c>
      <c r="I493" s="77" t="str">
        <f aca="false">IF(OR(A493="",N(E493)=0),"",INT(H493/E493))</f>
        <v/>
      </c>
      <c r="J493" s="77" t="str">
        <f aca="false">IF(A493="","",A493&amp;"|"&amp;C493)</f>
        <v/>
      </c>
    </row>
    <row r="494" customFormat="false" ht="15" hidden="false" customHeight="false" outlineLevel="0" collapsed="false">
      <c r="A494" s="71"/>
      <c r="B494" s="71"/>
      <c r="C494" s="71"/>
      <c r="D494" s="71"/>
      <c r="E494" s="72"/>
      <c r="F494" s="77" t="str">
        <f aca="false">IF(A494="","",COUNTIF($A$6:A494,A494))</f>
        <v/>
      </c>
      <c r="G494" s="77" t="str">
        <f aca="false">IF(A494="","",A494&amp;"|"&amp;F494)</f>
        <v/>
      </c>
      <c r="H494" s="77" t="str">
        <f aca="false">IF(A494="","",SUMIFS('Release Log'!$D$6:$D$4005,'Release Log'!$B$6:$B$4005,A494,'Release Log'!$C$6:$C$4005,C494))</f>
        <v/>
      </c>
      <c r="I494" s="77" t="str">
        <f aca="false">IF(OR(A494="",N(E494)=0),"",INT(H494/E494))</f>
        <v/>
      </c>
      <c r="J494" s="77" t="str">
        <f aca="false">IF(A494="","",A494&amp;"|"&amp;C494)</f>
        <v/>
      </c>
    </row>
    <row r="495" customFormat="false" ht="15" hidden="false" customHeight="false" outlineLevel="0" collapsed="false">
      <c r="A495" s="71"/>
      <c r="B495" s="71"/>
      <c r="C495" s="71"/>
      <c r="D495" s="71"/>
      <c r="E495" s="72"/>
      <c r="F495" s="77" t="str">
        <f aca="false">IF(A495="","",COUNTIF($A$6:A495,A495))</f>
        <v/>
      </c>
      <c r="G495" s="77" t="str">
        <f aca="false">IF(A495="","",A495&amp;"|"&amp;F495)</f>
        <v/>
      </c>
      <c r="H495" s="77" t="str">
        <f aca="false">IF(A495="","",SUMIFS('Release Log'!$D$6:$D$4005,'Release Log'!$B$6:$B$4005,A495,'Release Log'!$C$6:$C$4005,C495))</f>
        <v/>
      </c>
      <c r="I495" s="77" t="str">
        <f aca="false">IF(OR(A495="",N(E495)=0),"",INT(H495/E495))</f>
        <v/>
      </c>
      <c r="J495" s="77" t="str">
        <f aca="false">IF(A495="","",A495&amp;"|"&amp;C495)</f>
        <v/>
      </c>
    </row>
    <row r="496" customFormat="false" ht="15" hidden="false" customHeight="false" outlineLevel="0" collapsed="false">
      <c r="A496" s="71"/>
      <c r="B496" s="71"/>
      <c r="C496" s="71"/>
      <c r="D496" s="71"/>
      <c r="E496" s="72"/>
      <c r="F496" s="77" t="str">
        <f aca="false">IF(A496="","",COUNTIF($A$6:A496,A496))</f>
        <v/>
      </c>
      <c r="G496" s="77" t="str">
        <f aca="false">IF(A496="","",A496&amp;"|"&amp;F496)</f>
        <v/>
      </c>
      <c r="H496" s="77" t="str">
        <f aca="false">IF(A496="","",SUMIFS('Release Log'!$D$6:$D$4005,'Release Log'!$B$6:$B$4005,A496,'Release Log'!$C$6:$C$4005,C496))</f>
        <v/>
      </c>
      <c r="I496" s="77" t="str">
        <f aca="false">IF(OR(A496="",N(E496)=0),"",INT(H496/E496))</f>
        <v/>
      </c>
      <c r="J496" s="77" t="str">
        <f aca="false">IF(A496="","",A496&amp;"|"&amp;C496)</f>
        <v/>
      </c>
    </row>
    <row r="497" customFormat="false" ht="15" hidden="false" customHeight="false" outlineLevel="0" collapsed="false">
      <c r="A497" s="71"/>
      <c r="B497" s="71"/>
      <c r="C497" s="71"/>
      <c r="D497" s="71"/>
      <c r="E497" s="72"/>
      <c r="F497" s="77" t="str">
        <f aca="false">IF(A497="","",COUNTIF($A$6:A497,A497))</f>
        <v/>
      </c>
      <c r="G497" s="77" t="str">
        <f aca="false">IF(A497="","",A497&amp;"|"&amp;F497)</f>
        <v/>
      </c>
      <c r="H497" s="77" t="str">
        <f aca="false">IF(A497="","",SUMIFS('Release Log'!$D$6:$D$4005,'Release Log'!$B$6:$B$4005,A497,'Release Log'!$C$6:$C$4005,C497))</f>
        <v/>
      </c>
      <c r="I497" s="77" t="str">
        <f aca="false">IF(OR(A497="",N(E497)=0),"",INT(H497/E497))</f>
        <v/>
      </c>
      <c r="J497" s="77" t="str">
        <f aca="false">IF(A497="","",A497&amp;"|"&amp;C497)</f>
        <v/>
      </c>
    </row>
    <row r="498" customFormat="false" ht="15" hidden="false" customHeight="false" outlineLevel="0" collapsed="false">
      <c r="A498" s="71"/>
      <c r="B498" s="71"/>
      <c r="C498" s="71"/>
      <c r="D498" s="71"/>
      <c r="E498" s="72"/>
      <c r="F498" s="77" t="str">
        <f aca="false">IF(A498="","",COUNTIF($A$6:A498,A498))</f>
        <v/>
      </c>
      <c r="G498" s="77" t="str">
        <f aca="false">IF(A498="","",A498&amp;"|"&amp;F498)</f>
        <v/>
      </c>
      <c r="H498" s="77" t="str">
        <f aca="false">IF(A498="","",SUMIFS('Release Log'!$D$6:$D$4005,'Release Log'!$B$6:$B$4005,A498,'Release Log'!$C$6:$C$4005,C498))</f>
        <v/>
      </c>
      <c r="I498" s="77" t="str">
        <f aca="false">IF(OR(A498="",N(E498)=0),"",INT(H498/E498))</f>
        <v/>
      </c>
      <c r="J498" s="77" t="str">
        <f aca="false">IF(A498="","",A498&amp;"|"&amp;C498)</f>
        <v/>
      </c>
    </row>
    <row r="499" customFormat="false" ht="15" hidden="false" customHeight="false" outlineLevel="0" collapsed="false">
      <c r="A499" s="71"/>
      <c r="B499" s="71"/>
      <c r="C499" s="71"/>
      <c r="D499" s="71"/>
      <c r="E499" s="72"/>
      <c r="F499" s="77" t="str">
        <f aca="false">IF(A499="","",COUNTIF($A$6:A499,A499))</f>
        <v/>
      </c>
      <c r="G499" s="77" t="str">
        <f aca="false">IF(A499="","",A499&amp;"|"&amp;F499)</f>
        <v/>
      </c>
      <c r="H499" s="77" t="str">
        <f aca="false">IF(A499="","",SUMIFS('Release Log'!$D$6:$D$4005,'Release Log'!$B$6:$B$4005,A499,'Release Log'!$C$6:$C$4005,C499))</f>
        <v/>
      </c>
      <c r="I499" s="77" t="str">
        <f aca="false">IF(OR(A499="",N(E499)=0),"",INT(H499/E499))</f>
        <v/>
      </c>
      <c r="J499" s="77" t="str">
        <f aca="false">IF(A499="","",A499&amp;"|"&amp;C499)</f>
        <v/>
      </c>
    </row>
    <row r="500" customFormat="false" ht="15" hidden="false" customHeight="false" outlineLevel="0" collapsed="false">
      <c r="A500" s="71"/>
      <c r="B500" s="71"/>
      <c r="C500" s="71"/>
      <c r="D500" s="71"/>
      <c r="E500" s="72"/>
      <c r="F500" s="77" t="str">
        <f aca="false">IF(A500="","",COUNTIF($A$6:A500,A500))</f>
        <v/>
      </c>
      <c r="G500" s="77" t="str">
        <f aca="false">IF(A500="","",A500&amp;"|"&amp;F500)</f>
        <v/>
      </c>
      <c r="H500" s="77" t="str">
        <f aca="false">IF(A500="","",SUMIFS('Release Log'!$D$6:$D$4005,'Release Log'!$B$6:$B$4005,A500,'Release Log'!$C$6:$C$4005,C500))</f>
        <v/>
      </c>
      <c r="I500" s="77" t="str">
        <f aca="false">IF(OR(A500="",N(E500)=0),"",INT(H500/E500))</f>
        <v/>
      </c>
      <c r="J500" s="77" t="str">
        <f aca="false">IF(A500="","",A500&amp;"|"&amp;C500)</f>
        <v/>
      </c>
    </row>
    <row r="501" customFormat="false" ht="15" hidden="false" customHeight="false" outlineLevel="0" collapsed="false">
      <c r="A501" s="71"/>
      <c r="B501" s="71"/>
      <c r="C501" s="71"/>
      <c r="D501" s="71"/>
      <c r="E501" s="72"/>
      <c r="F501" s="77" t="str">
        <f aca="false">IF(A501="","",COUNTIF($A$6:A501,A501))</f>
        <v/>
      </c>
      <c r="G501" s="77" t="str">
        <f aca="false">IF(A501="","",A501&amp;"|"&amp;F501)</f>
        <v/>
      </c>
      <c r="H501" s="77" t="str">
        <f aca="false">IF(A501="","",SUMIFS('Release Log'!$D$6:$D$4005,'Release Log'!$B$6:$B$4005,A501,'Release Log'!$C$6:$C$4005,C501))</f>
        <v/>
      </c>
      <c r="I501" s="77" t="str">
        <f aca="false">IF(OR(A501="",N(E501)=0),"",INT(H501/E501))</f>
        <v/>
      </c>
      <c r="J501" s="77" t="str">
        <f aca="false">IF(A501="","",A501&amp;"|"&amp;C501)</f>
        <v/>
      </c>
    </row>
    <row r="502" customFormat="false" ht="15" hidden="false" customHeight="false" outlineLevel="0" collapsed="false">
      <c r="A502" s="71"/>
      <c r="B502" s="71"/>
      <c r="C502" s="71"/>
      <c r="D502" s="71"/>
      <c r="E502" s="72"/>
      <c r="F502" s="77" t="str">
        <f aca="false">IF(A502="","",COUNTIF($A$6:A502,A502))</f>
        <v/>
      </c>
      <c r="G502" s="77" t="str">
        <f aca="false">IF(A502="","",A502&amp;"|"&amp;F502)</f>
        <v/>
      </c>
      <c r="H502" s="77" t="str">
        <f aca="false">IF(A502="","",SUMIFS('Release Log'!$D$6:$D$4005,'Release Log'!$B$6:$B$4005,A502,'Release Log'!$C$6:$C$4005,C502))</f>
        <v/>
      </c>
      <c r="I502" s="77" t="str">
        <f aca="false">IF(OR(A502="",N(E502)=0),"",INT(H502/E502))</f>
        <v/>
      </c>
      <c r="J502" s="77" t="str">
        <f aca="false">IF(A502="","",A502&amp;"|"&amp;C502)</f>
        <v/>
      </c>
    </row>
    <row r="503" customFormat="false" ht="15" hidden="false" customHeight="false" outlineLevel="0" collapsed="false">
      <c r="A503" s="71"/>
      <c r="B503" s="71"/>
      <c r="C503" s="71"/>
      <c r="D503" s="71"/>
      <c r="E503" s="72"/>
      <c r="F503" s="77" t="str">
        <f aca="false">IF(A503="","",COUNTIF($A$6:A503,A503))</f>
        <v/>
      </c>
      <c r="G503" s="77" t="str">
        <f aca="false">IF(A503="","",A503&amp;"|"&amp;F503)</f>
        <v/>
      </c>
      <c r="H503" s="77" t="str">
        <f aca="false">IF(A503="","",SUMIFS('Release Log'!$D$6:$D$4005,'Release Log'!$B$6:$B$4005,A503,'Release Log'!$C$6:$C$4005,C503))</f>
        <v/>
      </c>
      <c r="I503" s="77" t="str">
        <f aca="false">IF(OR(A503="",N(E503)=0),"",INT(H503/E503))</f>
        <v/>
      </c>
      <c r="J503" s="77" t="str">
        <f aca="false">IF(A503="","",A503&amp;"|"&amp;C503)</f>
        <v/>
      </c>
    </row>
    <row r="504" customFormat="false" ht="15" hidden="false" customHeight="false" outlineLevel="0" collapsed="false">
      <c r="A504" s="71"/>
      <c r="B504" s="71"/>
      <c r="C504" s="71"/>
      <c r="D504" s="71"/>
      <c r="E504" s="72"/>
      <c r="F504" s="77" t="str">
        <f aca="false">IF(A504="","",COUNTIF($A$6:A504,A504))</f>
        <v/>
      </c>
      <c r="G504" s="77" t="str">
        <f aca="false">IF(A504="","",A504&amp;"|"&amp;F504)</f>
        <v/>
      </c>
      <c r="H504" s="77" t="str">
        <f aca="false">IF(A504="","",SUMIFS('Release Log'!$D$6:$D$4005,'Release Log'!$B$6:$B$4005,A504,'Release Log'!$C$6:$C$4005,C504))</f>
        <v/>
      </c>
      <c r="I504" s="77" t="str">
        <f aca="false">IF(OR(A504="",N(E504)=0),"",INT(H504/E504))</f>
        <v/>
      </c>
      <c r="J504" s="77" t="str">
        <f aca="false">IF(A504="","",A504&amp;"|"&amp;C504)</f>
        <v/>
      </c>
    </row>
    <row r="505" customFormat="false" ht="15" hidden="false" customHeight="false" outlineLevel="0" collapsed="false">
      <c r="A505" s="71"/>
      <c r="B505" s="71"/>
      <c r="C505" s="71"/>
      <c r="D505" s="71"/>
      <c r="E505" s="72"/>
      <c r="F505" s="77" t="str">
        <f aca="false">IF(A505="","",COUNTIF($A$6:A505,A505))</f>
        <v/>
      </c>
      <c r="G505" s="77" t="str">
        <f aca="false">IF(A505="","",A505&amp;"|"&amp;F505)</f>
        <v/>
      </c>
      <c r="H505" s="77" t="str">
        <f aca="false">IF(A505="","",SUMIFS('Release Log'!$D$6:$D$4005,'Release Log'!$B$6:$B$4005,A505,'Release Log'!$C$6:$C$4005,C505))</f>
        <v/>
      </c>
      <c r="I505" s="77" t="str">
        <f aca="false">IF(OR(A505="",N(E505)=0),"",INT(H505/E505))</f>
        <v/>
      </c>
      <c r="J505" s="77" t="str">
        <f aca="false">IF(A505="","",A505&amp;"|"&amp;C505)</f>
        <v/>
      </c>
    </row>
    <row r="506" customFormat="false" ht="15" hidden="false" customHeight="false" outlineLevel="0" collapsed="false">
      <c r="A506" s="71"/>
      <c r="B506" s="71"/>
      <c r="C506" s="71"/>
      <c r="D506" s="71"/>
      <c r="E506" s="72"/>
      <c r="F506" s="77" t="str">
        <f aca="false">IF(A506="","",COUNTIF($A$6:A506,A506))</f>
        <v/>
      </c>
      <c r="G506" s="77" t="str">
        <f aca="false">IF(A506="","",A506&amp;"|"&amp;F506)</f>
        <v/>
      </c>
      <c r="H506" s="77" t="str">
        <f aca="false">IF(A506="","",SUMIFS('Release Log'!$D$6:$D$4005,'Release Log'!$B$6:$B$4005,A506,'Release Log'!$C$6:$C$4005,C506))</f>
        <v/>
      </c>
      <c r="I506" s="77" t="str">
        <f aca="false">IF(OR(A506="",N(E506)=0),"",INT(H506/E506))</f>
        <v/>
      </c>
      <c r="J506" s="77" t="str">
        <f aca="false">IF(A506="","",A506&amp;"|"&amp;C506)</f>
        <v/>
      </c>
    </row>
    <row r="507" customFormat="false" ht="15" hidden="false" customHeight="false" outlineLevel="0" collapsed="false">
      <c r="A507" s="71"/>
      <c r="B507" s="71"/>
      <c r="C507" s="71"/>
      <c r="D507" s="71"/>
      <c r="E507" s="72"/>
      <c r="F507" s="77" t="str">
        <f aca="false">IF(A507="","",COUNTIF($A$6:A507,A507))</f>
        <v/>
      </c>
      <c r="G507" s="77" t="str">
        <f aca="false">IF(A507="","",A507&amp;"|"&amp;F507)</f>
        <v/>
      </c>
      <c r="H507" s="77" t="str">
        <f aca="false">IF(A507="","",SUMIFS('Release Log'!$D$6:$D$4005,'Release Log'!$B$6:$B$4005,A507,'Release Log'!$C$6:$C$4005,C507))</f>
        <v/>
      </c>
      <c r="I507" s="77" t="str">
        <f aca="false">IF(OR(A507="",N(E507)=0),"",INT(H507/E507))</f>
        <v/>
      </c>
      <c r="J507" s="77" t="str">
        <f aca="false">IF(A507="","",A507&amp;"|"&amp;C507)</f>
        <v/>
      </c>
    </row>
    <row r="508" customFormat="false" ht="15" hidden="false" customHeight="false" outlineLevel="0" collapsed="false">
      <c r="A508" s="71"/>
      <c r="B508" s="71"/>
      <c r="C508" s="71"/>
      <c r="D508" s="71"/>
      <c r="E508" s="72"/>
      <c r="F508" s="77" t="str">
        <f aca="false">IF(A508="","",COUNTIF($A$6:A508,A508))</f>
        <v/>
      </c>
      <c r="G508" s="77" t="str">
        <f aca="false">IF(A508="","",A508&amp;"|"&amp;F508)</f>
        <v/>
      </c>
      <c r="H508" s="77" t="str">
        <f aca="false">IF(A508="","",SUMIFS('Release Log'!$D$6:$D$4005,'Release Log'!$B$6:$B$4005,A508,'Release Log'!$C$6:$C$4005,C508))</f>
        <v/>
      </c>
      <c r="I508" s="77" t="str">
        <f aca="false">IF(OR(A508="",N(E508)=0),"",INT(H508/E508))</f>
        <v/>
      </c>
      <c r="J508" s="77" t="str">
        <f aca="false">IF(A508="","",A508&amp;"|"&amp;C508)</f>
        <v/>
      </c>
    </row>
    <row r="509" customFormat="false" ht="15" hidden="false" customHeight="false" outlineLevel="0" collapsed="false">
      <c r="A509" s="71"/>
      <c r="B509" s="71"/>
      <c r="C509" s="71"/>
      <c r="D509" s="71"/>
      <c r="E509" s="72"/>
      <c r="F509" s="77" t="str">
        <f aca="false">IF(A509="","",COUNTIF($A$6:A509,A509))</f>
        <v/>
      </c>
      <c r="G509" s="77" t="str">
        <f aca="false">IF(A509="","",A509&amp;"|"&amp;F509)</f>
        <v/>
      </c>
      <c r="H509" s="77" t="str">
        <f aca="false">IF(A509="","",SUMIFS('Release Log'!$D$6:$D$4005,'Release Log'!$B$6:$B$4005,A509,'Release Log'!$C$6:$C$4005,C509))</f>
        <v/>
      </c>
      <c r="I509" s="77" t="str">
        <f aca="false">IF(OR(A509="",N(E509)=0),"",INT(H509/E509))</f>
        <v/>
      </c>
      <c r="J509" s="77" t="str">
        <f aca="false">IF(A509="","",A509&amp;"|"&amp;C509)</f>
        <v/>
      </c>
    </row>
    <row r="510" customFormat="false" ht="15" hidden="false" customHeight="false" outlineLevel="0" collapsed="false">
      <c r="A510" s="71"/>
      <c r="B510" s="71"/>
      <c r="C510" s="71"/>
      <c r="D510" s="71"/>
      <c r="E510" s="72"/>
      <c r="F510" s="77" t="str">
        <f aca="false">IF(A510="","",COUNTIF($A$6:A510,A510))</f>
        <v/>
      </c>
      <c r="G510" s="77" t="str">
        <f aca="false">IF(A510="","",A510&amp;"|"&amp;F510)</f>
        <v/>
      </c>
      <c r="H510" s="77" t="str">
        <f aca="false">IF(A510="","",SUMIFS('Release Log'!$D$6:$D$4005,'Release Log'!$B$6:$B$4005,A510,'Release Log'!$C$6:$C$4005,C510))</f>
        <v/>
      </c>
      <c r="I510" s="77" t="str">
        <f aca="false">IF(OR(A510="",N(E510)=0),"",INT(H510/E510))</f>
        <v/>
      </c>
      <c r="J510" s="77" t="str">
        <f aca="false">IF(A510="","",A510&amp;"|"&amp;C510)</f>
        <v/>
      </c>
    </row>
    <row r="511" customFormat="false" ht="15" hidden="false" customHeight="false" outlineLevel="0" collapsed="false">
      <c r="A511" s="71"/>
      <c r="B511" s="71"/>
      <c r="C511" s="71"/>
      <c r="D511" s="71"/>
      <c r="E511" s="72"/>
      <c r="F511" s="77" t="str">
        <f aca="false">IF(A511="","",COUNTIF($A$6:A511,A511))</f>
        <v/>
      </c>
      <c r="G511" s="77" t="str">
        <f aca="false">IF(A511="","",A511&amp;"|"&amp;F511)</f>
        <v/>
      </c>
      <c r="H511" s="77" t="str">
        <f aca="false">IF(A511="","",SUMIFS('Release Log'!$D$6:$D$4005,'Release Log'!$B$6:$B$4005,A511,'Release Log'!$C$6:$C$4005,C511))</f>
        <v/>
      </c>
      <c r="I511" s="77" t="str">
        <f aca="false">IF(OR(A511="",N(E511)=0),"",INT(H511/E511))</f>
        <v/>
      </c>
      <c r="J511" s="77" t="str">
        <f aca="false">IF(A511="","",A511&amp;"|"&amp;C511)</f>
        <v/>
      </c>
    </row>
    <row r="512" customFormat="false" ht="15" hidden="false" customHeight="false" outlineLevel="0" collapsed="false">
      <c r="A512" s="71"/>
      <c r="B512" s="71"/>
      <c r="C512" s="71"/>
      <c r="D512" s="71"/>
      <c r="E512" s="72"/>
      <c r="F512" s="77" t="str">
        <f aca="false">IF(A512="","",COUNTIF($A$6:A512,A512))</f>
        <v/>
      </c>
      <c r="G512" s="77" t="str">
        <f aca="false">IF(A512="","",A512&amp;"|"&amp;F512)</f>
        <v/>
      </c>
      <c r="H512" s="77" t="str">
        <f aca="false">IF(A512="","",SUMIFS('Release Log'!$D$6:$D$4005,'Release Log'!$B$6:$B$4005,A512,'Release Log'!$C$6:$C$4005,C512))</f>
        <v/>
      </c>
      <c r="I512" s="77" t="str">
        <f aca="false">IF(OR(A512="",N(E512)=0),"",INT(H512/E512))</f>
        <v/>
      </c>
      <c r="J512" s="77" t="str">
        <f aca="false">IF(A512="","",A512&amp;"|"&amp;C512)</f>
        <v/>
      </c>
    </row>
    <row r="513" customFormat="false" ht="15" hidden="false" customHeight="false" outlineLevel="0" collapsed="false">
      <c r="A513" s="71"/>
      <c r="B513" s="71"/>
      <c r="C513" s="71"/>
      <c r="D513" s="71"/>
      <c r="E513" s="72"/>
      <c r="F513" s="77" t="str">
        <f aca="false">IF(A513="","",COUNTIF($A$6:A513,A513))</f>
        <v/>
      </c>
      <c r="G513" s="77" t="str">
        <f aca="false">IF(A513="","",A513&amp;"|"&amp;F513)</f>
        <v/>
      </c>
      <c r="H513" s="77" t="str">
        <f aca="false">IF(A513="","",SUMIFS('Release Log'!$D$6:$D$4005,'Release Log'!$B$6:$B$4005,A513,'Release Log'!$C$6:$C$4005,C513))</f>
        <v/>
      </c>
      <c r="I513" s="77" t="str">
        <f aca="false">IF(OR(A513="",N(E513)=0),"",INT(H513/E513))</f>
        <v/>
      </c>
      <c r="J513" s="77" t="str">
        <f aca="false">IF(A513="","",A513&amp;"|"&amp;C513)</f>
        <v/>
      </c>
    </row>
    <row r="514" customFormat="false" ht="15" hidden="false" customHeight="false" outlineLevel="0" collapsed="false">
      <c r="A514" s="71"/>
      <c r="B514" s="71"/>
      <c r="C514" s="71"/>
      <c r="D514" s="71"/>
      <c r="E514" s="72"/>
      <c r="F514" s="77" t="str">
        <f aca="false">IF(A514="","",COUNTIF($A$6:A514,A514))</f>
        <v/>
      </c>
      <c r="G514" s="77" t="str">
        <f aca="false">IF(A514="","",A514&amp;"|"&amp;F514)</f>
        <v/>
      </c>
      <c r="H514" s="77" t="str">
        <f aca="false">IF(A514="","",SUMIFS('Release Log'!$D$6:$D$4005,'Release Log'!$B$6:$B$4005,A514,'Release Log'!$C$6:$C$4005,C514))</f>
        <v/>
      </c>
      <c r="I514" s="77" t="str">
        <f aca="false">IF(OR(A514="",N(E514)=0),"",INT(H514/E514))</f>
        <v/>
      </c>
      <c r="J514" s="77" t="str">
        <f aca="false">IF(A514="","",A514&amp;"|"&amp;C514)</f>
        <v/>
      </c>
    </row>
    <row r="515" customFormat="false" ht="15" hidden="false" customHeight="false" outlineLevel="0" collapsed="false">
      <c r="A515" s="71"/>
      <c r="B515" s="71"/>
      <c r="C515" s="71"/>
      <c r="D515" s="71"/>
      <c r="E515" s="72"/>
      <c r="F515" s="77" t="str">
        <f aca="false">IF(A515="","",COUNTIF($A$6:A515,A515))</f>
        <v/>
      </c>
      <c r="G515" s="77" t="str">
        <f aca="false">IF(A515="","",A515&amp;"|"&amp;F515)</f>
        <v/>
      </c>
      <c r="H515" s="77" t="str">
        <f aca="false">IF(A515="","",SUMIFS('Release Log'!$D$6:$D$4005,'Release Log'!$B$6:$B$4005,A515,'Release Log'!$C$6:$C$4005,C515))</f>
        <v/>
      </c>
      <c r="I515" s="77" t="str">
        <f aca="false">IF(OR(A515="",N(E515)=0),"",INT(H515/E515))</f>
        <v/>
      </c>
      <c r="J515" s="77" t="str">
        <f aca="false">IF(A515="","",A515&amp;"|"&amp;C515)</f>
        <v/>
      </c>
    </row>
    <row r="516" customFormat="false" ht="15" hidden="false" customHeight="false" outlineLevel="0" collapsed="false">
      <c r="A516" s="71"/>
      <c r="B516" s="71"/>
      <c r="C516" s="71"/>
      <c r="D516" s="71"/>
      <c r="E516" s="72"/>
      <c r="F516" s="77" t="str">
        <f aca="false">IF(A516="","",COUNTIF($A$6:A516,A516))</f>
        <v/>
      </c>
      <c r="G516" s="77" t="str">
        <f aca="false">IF(A516="","",A516&amp;"|"&amp;F516)</f>
        <v/>
      </c>
      <c r="H516" s="77" t="str">
        <f aca="false">IF(A516="","",SUMIFS('Release Log'!$D$6:$D$4005,'Release Log'!$B$6:$B$4005,A516,'Release Log'!$C$6:$C$4005,C516))</f>
        <v/>
      </c>
      <c r="I516" s="77" t="str">
        <f aca="false">IF(OR(A516="",N(E516)=0),"",INT(H516/E516))</f>
        <v/>
      </c>
      <c r="J516" s="77" t="str">
        <f aca="false">IF(A516="","",A516&amp;"|"&amp;C516)</f>
        <v/>
      </c>
    </row>
    <row r="517" customFormat="false" ht="15" hidden="false" customHeight="false" outlineLevel="0" collapsed="false">
      <c r="A517" s="71"/>
      <c r="B517" s="71"/>
      <c r="C517" s="71"/>
      <c r="D517" s="71"/>
      <c r="E517" s="72"/>
      <c r="F517" s="77" t="str">
        <f aca="false">IF(A517="","",COUNTIF($A$6:A517,A517))</f>
        <v/>
      </c>
      <c r="G517" s="77" t="str">
        <f aca="false">IF(A517="","",A517&amp;"|"&amp;F517)</f>
        <v/>
      </c>
      <c r="H517" s="77" t="str">
        <f aca="false">IF(A517="","",SUMIFS('Release Log'!$D$6:$D$4005,'Release Log'!$B$6:$B$4005,A517,'Release Log'!$C$6:$C$4005,C517))</f>
        <v/>
      </c>
      <c r="I517" s="77" t="str">
        <f aca="false">IF(OR(A517="",N(E517)=0),"",INT(H517/E517))</f>
        <v/>
      </c>
      <c r="J517" s="77" t="str">
        <f aca="false">IF(A517="","",A517&amp;"|"&amp;C517)</f>
        <v/>
      </c>
    </row>
    <row r="518" customFormat="false" ht="15" hidden="false" customHeight="false" outlineLevel="0" collapsed="false">
      <c r="A518" s="71"/>
      <c r="B518" s="71"/>
      <c r="C518" s="71"/>
      <c r="D518" s="71"/>
      <c r="E518" s="72"/>
      <c r="F518" s="77" t="str">
        <f aca="false">IF(A518="","",COUNTIF($A$6:A518,A518))</f>
        <v/>
      </c>
      <c r="G518" s="77" t="str">
        <f aca="false">IF(A518="","",A518&amp;"|"&amp;F518)</f>
        <v/>
      </c>
      <c r="H518" s="77" t="str">
        <f aca="false">IF(A518="","",SUMIFS('Release Log'!$D$6:$D$4005,'Release Log'!$B$6:$B$4005,A518,'Release Log'!$C$6:$C$4005,C518))</f>
        <v/>
      </c>
      <c r="I518" s="77" t="str">
        <f aca="false">IF(OR(A518="",N(E518)=0),"",INT(H518/E518))</f>
        <v/>
      </c>
      <c r="J518" s="77" t="str">
        <f aca="false">IF(A518="","",A518&amp;"|"&amp;C518)</f>
        <v/>
      </c>
    </row>
    <row r="519" customFormat="false" ht="15" hidden="false" customHeight="false" outlineLevel="0" collapsed="false">
      <c r="A519" s="71"/>
      <c r="B519" s="71"/>
      <c r="C519" s="71"/>
      <c r="D519" s="71"/>
      <c r="E519" s="72"/>
      <c r="F519" s="77" t="str">
        <f aca="false">IF(A519="","",COUNTIF($A$6:A519,A519))</f>
        <v/>
      </c>
      <c r="G519" s="77" t="str">
        <f aca="false">IF(A519="","",A519&amp;"|"&amp;F519)</f>
        <v/>
      </c>
      <c r="H519" s="77" t="str">
        <f aca="false">IF(A519="","",SUMIFS('Release Log'!$D$6:$D$4005,'Release Log'!$B$6:$B$4005,A519,'Release Log'!$C$6:$C$4005,C519))</f>
        <v/>
      </c>
      <c r="I519" s="77" t="str">
        <f aca="false">IF(OR(A519="",N(E519)=0),"",INT(H519/E519))</f>
        <v/>
      </c>
      <c r="J519" s="77" t="str">
        <f aca="false">IF(A519="","",A519&amp;"|"&amp;C519)</f>
        <v/>
      </c>
    </row>
    <row r="520" customFormat="false" ht="15" hidden="false" customHeight="false" outlineLevel="0" collapsed="false">
      <c r="A520" s="71"/>
      <c r="B520" s="71"/>
      <c r="C520" s="71"/>
      <c r="D520" s="71"/>
      <c r="E520" s="72"/>
      <c r="F520" s="77" t="str">
        <f aca="false">IF(A520="","",COUNTIF($A$6:A520,A520))</f>
        <v/>
      </c>
      <c r="G520" s="77" t="str">
        <f aca="false">IF(A520="","",A520&amp;"|"&amp;F520)</f>
        <v/>
      </c>
      <c r="H520" s="77" t="str">
        <f aca="false">IF(A520="","",SUMIFS('Release Log'!$D$6:$D$4005,'Release Log'!$B$6:$B$4005,A520,'Release Log'!$C$6:$C$4005,C520))</f>
        <v/>
      </c>
      <c r="I520" s="77" t="str">
        <f aca="false">IF(OR(A520="",N(E520)=0),"",INT(H520/E520))</f>
        <v/>
      </c>
      <c r="J520" s="77" t="str">
        <f aca="false">IF(A520="","",A520&amp;"|"&amp;C520)</f>
        <v/>
      </c>
    </row>
    <row r="521" customFormat="false" ht="15" hidden="false" customHeight="false" outlineLevel="0" collapsed="false">
      <c r="A521" s="71"/>
      <c r="B521" s="71"/>
      <c r="C521" s="71"/>
      <c r="D521" s="71"/>
      <c r="E521" s="72"/>
      <c r="F521" s="77" t="str">
        <f aca="false">IF(A521="","",COUNTIF($A$6:A521,A521))</f>
        <v/>
      </c>
      <c r="G521" s="77" t="str">
        <f aca="false">IF(A521="","",A521&amp;"|"&amp;F521)</f>
        <v/>
      </c>
      <c r="H521" s="77" t="str">
        <f aca="false">IF(A521="","",SUMIFS('Release Log'!$D$6:$D$4005,'Release Log'!$B$6:$B$4005,A521,'Release Log'!$C$6:$C$4005,C521))</f>
        <v/>
      </c>
      <c r="I521" s="77" t="str">
        <f aca="false">IF(OR(A521="",N(E521)=0),"",INT(H521/E521))</f>
        <v/>
      </c>
      <c r="J521" s="77" t="str">
        <f aca="false">IF(A521="","",A521&amp;"|"&amp;C521)</f>
        <v/>
      </c>
    </row>
    <row r="522" customFormat="false" ht="15" hidden="false" customHeight="false" outlineLevel="0" collapsed="false">
      <c r="A522" s="71"/>
      <c r="B522" s="71"/>
      <c r="C522" s="71"/>
      <c r="D522" s="71"/>
      <c r="E522" s="72"/>
      <c r="F522" s="77" t="str">
        <f aca="false">IF(A522="","",COUNTIF($A$6:A522,A522))</f>
        <v/>
      </c>
      <c r="G522" s="77" t="str">
        <f aca="false">IF(A522="","",A522&amp;"|"&amp;F522)</f>
        <v/>
      </c>
      <c r="H522" s="77" t="str">
        <f aca="false">IF(A522="","",SUMIFS('Release Log'!$D$6:$D$4005,'Release Log'!$B$6:$B$4005,A522,'Release Log'!$C$6:$C$4005,C522))</f>
        <v/>
      </c>
      <c r="I522" s="77" t="str">
        <f aca="false">IF(OR(A522="",N(E522)=0),"",INT(H522/E522))</f>
        <v/>
      </c>
      <c r="J522" s="77" t="str">
        <f aca="false">IF(A522="","",A522&amp;"|"&amp;C522)</f>
        <v/>
      </c>
    </row>
    <row r="523" customFormat="false" ht="15" hidden="false" customHeight="false" outlineLevel="0" collapsed="false">
      <c r="A523" s="71"/>
      <c r="B523" s="71"/>
      <c r="C523" s="71"/>
      <c r="D523" s="71"/>
      <c r="E523" s="72"/>
      <c r="F523" s="77" t="str">
        <f aca="false">IF(A523="","",COUNTIF($A$6:A523,A523))</f>
        <v/>
      </c>
      <c r="G523" s="77" t="str">
        <f aca="false">IF(A523="","",A523&amp;"|"&amp;F523)</f>
        <v/>
      </c>
      <c r="H523" s="77" t="str">
        <f aca="false">IF(A523="","",SUMIFS('Release Log'!$D$6:$D$4005,'Release Log'!$B$6:$B$4005,A523,'Release Log'!$C$6:$C$4005,C523))</f>
        <v/>
      </c>
      <c r="I523" s="77" t="str">
        <f aca="false">IF(OR(A523="",N(E523)=0),"",INT(H523/E523))</f>
        <v/>
      </c>
      <c r="J523" s="77" t="str">
        <f aca="false">IF(A523="","",A523&amp;"|"&amp;C523)</f>
        <v/>
      </c>
    </row>
    <row r="524" customFormat="false" ht="15" hidden="false" customHeight="false" outlineLevel="0" collapsed="false">
      <c r="A524" s="71"/>
      <c r="B524" s="71"/>
      <c r="C524" s="71"/>
      <c r="D524" s="71"/>
      <c r="E524" s="72"/>
      <c r="F524" s="77" t="str">
        <f aca="false">IF(A524="","",COUNTIF($A$6:A524,A524))</f>
        <v/>
      </c>
      <c r="G524" s="77" t="str">
        <f aca="false">IF(A524="","",A524&amp;"|"&amp;F524)</f>
        <v/>
      </c>
      <c r="H524" s="77" t="str">
        <f aca="false">IF(A524="","",SUMIFS('Release Log'!$D$6:$D$4005,'Release Log'!$B$6:$B$4005,A524,'Release Log'!$C$6:$C$4005,C524))</f>
        <v/>
      </c>
      <c r="I524" s="77" t="str">
        <f aca="false">IF(OR(A524="",N(E524)=0),"",INT(H524/E524))</f>
        <v/>
      </c>
      <c r="J524" s="77" t="str">
        <f aca="false">IF(A524="","",A524&amp;"|"&amp;C524)</f>
        <v/>
      </c>
    </row>
    <row r="525" customFormat="false" ht="15" hidden="false" customHeight="false" outlineLevel="0" collapsed="false">
      <c r="A525" s="71"/>
      <c r="B525" s="71"/>
      <c r="C525" s="71"/>
      <c r="D525" s="71"/>
      <c r="E525" s="72"/>
      <c r="F525" s="77" t="str">
        <f aca="false">IF(A525="","",COUNTIF($A$6:A525,A525))</f>
        <v/>
      </c>
      <c r="G525" s="77" t="str">
        <f aca="false">IF(A525="","",A525&amp;"|"&amp;F525)</f>
        <v/>
      </c>
      <c r="H525" s="77" t="str">
        <f aca="false">IF(A525="","",SUMIFS('Release Log'!$D$6:$D$4005,'Release Log'!$B$6:$B$4005,A525,'Release Log'!$C$6:$C$4005,C525))</f>
        <v/>
      </c>
      <c r="I525" s="77" t="str">
        <f aca="false">IF(OR(A525="",N(E525)=0),"",INT(H525/E525))</f>
        <v/>
      </c>
      <c r="J525" s="77" t="str">
        <f aca="false">IF(A525="","",A525&amp;"|"&amp;C525)</f>
        <v/>
      </c>
    </row>
    <row r="526" customFormat="false" ht="15" hidden="false" customHeight="false" outlineLevel="0" collapsed="false">
      <c r="A526" s="71"/>
      <c r="B526" s="71"/>
      <c r="C526" s="71"/>
      <c r="D526" s="71"/>
      <c r="E526" s="72"/>
      <c r="F526" s="77" t="str">
        <f aca="false">IF(A526="","",COUNTIF($A$6:A526,A526))</f>
        <v/>
      </c>
      <c r="G526" s="77" t="str">
        <f aca="false">IF(A526="","",A526&amp;"|"&amp;F526)</f>
        <v/>
      </c>
      <c r="H526" s="77" t="str">
        <f aca="false">IF(A526="","",SUMIFS('Release Log'!$D$6:$D$4005,'Release Log'!$B$6:$B$4005,A526,'Release Log'!$C$6:$C$4005,C526))</f>
        <v/>
      </c>
      <c r="I526" s="77" t="str">
        <f aca="false">IF(OR(A526="",N(E526)=0),"",INT(H526/E526))</f>
        <v/>
      </c>
      <c r="J526" s="77" t="str">
        <f aca="false">IF(A526="","",A526&amp;"|"&amp;C526)</f>
        <v/>
      </c>
    </row>
    <row r="527" customFormat="false" ht="15" hidden="false" customHeight="false" outlineLevel="0" collapsed="false">
      <c r="A527" s="71"/>
      <c r="B527" s="71"/>
      <c r="C527" s="71"/>
      <c r="D527" s="71"/>
      <c r="E527" s="72"/>
      <c r="F527" s="77" t="str">
        <f aca="false">IF(A527="","",COUNTIF($A$6:A527,A527))</f>
        <v/>
      </c>
      <c r="G527" s="77" t="str">
        <f aca="false">IF(A527="","",A527&amp;"|"&amp;F527)</f>
        <v/>
      </c>
      <c r="H527" s="77" t="str">
        <f aca="false">IF(A527="","",SUMIFS('Release Log'!$D$6:$D$4005,'Release Log'!$B$6:$B$4005,A527,'Release Log'!$C$6:$C$4005,C527))</f>
        <v/>
      </c>
      <c r="I527" s="77" t="str">
        <f aca="false">IF(OR(A527="",N(E527)=0),"",INT(H527/E527))</f>
        <v/>
      </c>
      <c r="J527" s="77" t="str">
        <f aca="false">IF(A527="","",A527&amp;"|"&amp;C527)</f>
        <v/>
      </c>
    </row>
    <row r="528" customFormat="false" ht="15" hidden="false" customHeight="false" outlineLevel="0" collapsed="false">
      <c r="A528" s="71"/>
      <c r="B528" s="71"/>
      <c r="C528" s="71"/>
      <c r="D528" s="71"/>
      <c r="E528" s="72"/>
      <c r="F528" s="77" t="str">
        <f aca="false">IF(A528="","",COUNTIF($A$6:A528,A528))</f>
        <v/>
      </c>
      <c r="G528" s="77" t="str">
        <f aca="false">IF(A528="","",A528&amp;"|"&amp;F528)</f>
        <v/>
      </c>
      <c r="H528" s="77" t="str">
        <f aca="false">IF(A528="","",SUMIFS('Release Log'!$D$6:$D$4005,'Release Log'!$B$6:$B$4005,A528,'Release Log'!$C$6:$C$4005,C528))</f>
        <v/>
      </c>
      <c r="I528" s="77" t="str">
        <f aca="false">IF(OR(A528="",N(E528)=0),"",INT(H528/E528))</f>
        <v/>
      </c>
      <c r="J528" s="77" t="str">
        <f aca="false">IF(A528="","",A528&amp;"|"&amp;C528)</f>
        <v/>
      </c>
    </row>
    <row r="529" customFormat="false" ht="15" hidden="false" customHeight="false" outlineLevel="0" collapsed="false">
      <c r="A529" s="71"/>
      <c r="B529" s="71"/>
      <c r="C529" s="71"/>
      <c r="D529" s="71"/>
      <c r="E529" s="72"/>
      <c r="F529" s="77" t="str">
        <f aca="false">IF(A529="","",COUNTIF($A$6:A529,A529))</f>
        <v/>
      </c>
      <c r="G529" s="77" t="str">
        <f aca="false">IF(A529="","",A529&amp;"|"&amp;F529)</f>
        <v/>
      </c>
      <c r="H529" s="77" t="str">
        <f aca="false">IF(A529="","",SUMIFS('Release Log'!$D$6:$D$4005,'Release Log'!$B$6:$B$4005,A529,'Release Log'!$C$6:$C$4005,C529))</f>
        <v/>
      </c>
      <c r="I529" s="77" t="str">
        <f aca="false">IF(OR(A529="",N(E529)=0),"",INT(H529/E529))</f>
        <v/>
      </c>
      <c r="J529" s="77" t="str">
        <f aca="false">IF(A529="","",A529&amp;"|"&amp;C529)</f>
        <v/>
      </c>
    </row>
    <row r="530" customFormat="false" ht="15" hidden="false" customHeight="false" outlineLevel="0" collapsed="false">
      <c r="A530" s="71"/>
      <c r="B530" s="71"/>
      <c r="C530" s="71"/>
      <c r="D530" s="71"/>
      <c r="E530" s="72"/>
      <c r="F530" s="77" t="str">
        <f aca="false">IF(A530="","",COUNTIF($A$6:A530,A530))</f>
        <v/>
      </c>
      <c r="G530" s="77" t="str">
        <f aca="false">IF(A530="","",A530&amp;"|"&amp;F530)</f>
        <v/>
      </c>
      <c r="H530" s="77" t="str">
        <f aca="false">IF(A530="","",SUMIFS('Release Log'!$D$6:$D$4005,'Release Log'!$B$6:$B$4005,A530,'Release Log'!$C$6:$C$4005,C530))</f>
        <v/>
      </c>
      <c r="I530" s="77" t="str">
        <f aca="false">IF(OR(A530="",N(E530)=0),"",INT(H530/E530))</f>
        <v/>
      </c>
      <c r="J530" s="77" t="str">
        <f aca="false">IF(A530="","",A530&amp;"|"&amp;C530)</f>
        <v/>
      </c>
    </row>
    <row r="531" customFormat="false" ht="15" hidden="false" customHeight="false" outlineLevel="0" collapsed="false">
      <c r="A531" s="71"/>
      <c r="B531" s="71"/>
      <c r="C531" s="71"/>
      <c r="D531" s="71"/>
      <c r="E531" s="72"/>
      <c r="F531" s="77" t="str">
        <f aca="false">IF(A531="","",COUNTIF($A$6:A531,A531))</f>
        <v/>
      </c>
      <c r="G531" s="77" t="str">
        <f aca="false">IF(A531="","",A531&amp;"|"&amp;F531)</f>
        <v/>
      </c>
      <c r="H531" s="77" t="str">
        <f aca="false">IF(A531="","",SUMIFS('Release Log'!$D$6:$D$4005,'Release Log'!$B$6:$B$4005,A531,'Release Log'!$C$6:$C$4005,C531))</f>
        <v/>
      </c>
      <c r="I531" s="77" t="str">
        <f aca="false">IF(OR(A531="",N(E531)=0),"",INT(H531/E531))</f>
        <v/>
      </c>
      <c r="J531" s="77" t="str">
        <f aca="false">IF(A531="","",A531&amp;"|"&amp;C531)</f>
        <v/>
      </c>
    </row>
    <row r="532" customFormat="false" ht="15" hidden="false" customHeight="false" outlineLevel="0" collapsed="false">
      <c r="A532" s="71"/>
      <c r="B532" s="71"/>
      <c r="C532" s="71"/>
      <c r="D532" s="71"/>
      <c r="E532" s="72"/>
      <c r="F532" s="77" t="str">
        <f aca="false">IF(A532="","",COUNTIF($A$6:A532,A532))</f>
        <v/>
      </c>
      <c r="G532" s="77" t="str">
        <f aca="false">IF(A532="","",A532&amp;"|"&amp;F532)</f>
        <v/>
      </c>
      <c r="H532" s="77" t="str">
        <f aca="false">IF(A532="","",SUMIFS('Release Log'!$D$6:$D$4005,'Release Log'!$B$6:$B$4005,A532,'Release Log'!$C$6:$C$4005,C532))</f>
        <v/>
      </c>
      <c r="I532" s="77" t="str">
        <f aca="false">IF(OR(A532="",N(E532)=0),"",INT(H532/E532))</f>
        <v/>
      </c>
      <c r="J532" s="77" t="str">
        <f aca="false">IF(A532="","",A532&amp;"|"&amp;C532)</f>
        <v/>
      </c>
    </row>
    <row r="533" customFormat="false" ht="15" hidden="false" customHeight="false" outlineLevel="0" collapsed="false">
      <c r="A533" s="71"/>
      <c r="B533" s="71"/>
      <c r="C533" s="71"/>
      <c r="D533" s="71"/>
      <c r="E533" s="72"/>
      <c r="F533" s="77" t="str">
        <f aca="false">IF(A533="","",COUNTIF($A$6:A533,A533))</f>
        <v/>
      </c>
      <c r="G533" s="77" t="str">
        <f aca="false">IF(A533="","",A533&amp;"|"&amp;F533)</f>
        <v/>
      </c>
      <c r="H533" s="77" t="str">
        <f aca="false">IF(A533="","",SUMIFS('Release Log'!$D$6:$D$4005,'Release Log'!$B$6:$B$4005,A533,'Release Log'!$C$6:$C$4005,C533))</f>
        <v/>
      </c>
      <c r="I533" s="77" t="str">
        <f aca="false">IF(OR(A533="",N(E533)=0),"",INT(H533/E533))</f>
        <v/>
      </c>
      <c r="J533" s="77" t="str">
        <f aca="false">IF(A533="","",A533&amp;"|"&amp;C533)</f>
        <v/>
      </c>
    </row>
    <row r="534" customFormat="false" ht="15" hidden="false" customHeight="false" outlineLevel="0" collapsed="false">
      <c r="A534" s="71"/>
      <c r="B534" s="71"/>
      <c r="C534" s="71"/>
      <c r="D534" s="71"/>
      <c r="E534" s="72"/>
      <c r="F534" s="77" t="str">
        <f aca="false">IF(A534="","",COUNTIF($A$6:A534,A534))</f>
        <v/>
      </c>
      <c r="G534" s="77" t="str">
        <f aca="false">IF(A534="","",A534&amp;"|"&amp;F534)</f>
        <v/>
      </c>
      <c r="H534" s="77" t="str">
        <f aca="false">IF(A534="","",SUMIFS('Release Log'!$D$6:$D$4005,'Release Log'!$B$6:$B$4005,A534,'Release Log'!$C$6:$C$4005,C534))</f>
        <v/>
      </c>
      <c r="I534" s="77" t="str">
        <f aca="false">IF(OR(A534="",N(E534)=0),"",INT(H534/E534))</f>
        <v/>
      </c>
      <c r="J534" s="77" t="str">
        <f aca="false">IF(A534="","",A534&amp;"|"&amp;C534)</f>
        <v/>
      </c>
    </row>
    <row r="535" customFormat="false" ht="15" hidden="false" customHeight="false" outlineLevel="0" collapsed="false">
      <c r="A535" s="71"/>
      <c r="B535" s="71"/>
      <c r="C535" s="71"/>
      <c r="D535" s="71"/>
      <c r="E535" s="72"/>
      <c r="F535" s="77" t="str">
        <f aca="false">IF(A535="","",COUNTIF($A$6:A535,A535))</f>
        <v/>
      </c>
      <c r="G535" s="77" t="str">
        <f aca="false">IF(A535="","",A535&amp;"|"&amp;F535)</f>
        <v/>
      </c>
      <c r="H535" s="77" t="str">
        <f aca="false">IF(A535="","",SUMIFS('Release Log'!$D$6:$D$4005,'Release Log'!$B$6:$B$4005,A535,'Release Log'!$C$6:$C$4005,C535))</f>
        <v/>
      </c>
      <c r="I535" s="77" t="str">
        <f aca="false">IF(OR(A535="",N(E535)=0),"",INT(H535/E535))</f>
        <v/>
      </c>
      <c r="J535" s="77" t="str">
        <f aca="false">IF(A535="","",A535&amp;"|"&amp;C535)</f>
        <v/>
      </c>
    </row>
    <row r="536" customFormat="false" ht="15" hidden="false" customHeight="false" outlineLevel="0" collapsed="false">
      <c r="A536" s="71"/>
      <c r="B536" s="71"/>
      <c r="C536" s="71"/>
      <c r="D536" s="71"/>
      <c r="E536" s="72"/>
      <c r="F536" s="77" t="str">
        <f aca="false">IF(A536="","",COUNTIF($A$6:A536,A536))</f>
        <v/>
      </c>
      <c r="G536" s="77" t="str">
        <f aca="false">IF(A536="","",A536&amp;"|"&amp;F536)</f>
        <v/>
      </c>
      <c r="H536" s="77" t="str">
        <f aca="false">IF(A536="","",SUMIFS('Release Log'!$D$6:$D$4005,'Release Log'!$B$6:$B$4005,A536,'Release Log'!$C$6:$C$4005,C536))</f>
        <v/>
      </c>
      <c r="I536" s="77" t="str">
        <f aca="false">IF(OR(A536="",N(E536)=0),"",INT(H536/E536))</f>
        <v/>
      </c>
      <c r="J536" s="77" t="str">
        <f aca="false">IF(A536="","",A536&amp;"|"&amp;C536)</f>
        <v/>
      </c>
    </row>
    <row r="537" customFormat="false" ht="15" hidden="false" customHeight="false" outlineLevel="0" collapsed="false">
      <c r="A537" s="71"/>
      <c r="B537" s="71"/>
      <c r="C537" s="71"/>
      <c r="D537" s="71"/>
      <c r="E537" s="72"/>
      <c r="F537" s="77" t="str">
        <f aca="false">IF(A537="","",COUNTIF($A$6:A537,A537))</f>
        <v/>
      </c>
      <c r="G537" s="77" t="str">
        <f aca="false">IF(A537="","",A537&amp;"|"&amp;F537)</f>
        <v/>
      </c>
      <c r="H537" s="77" t="str">
        <f aca="false">IF(A537="","",SUMIFS('Release Log'!$D$6:$D$4005,'Release Log'!$B$6:$B$4005,A537,'Release Log'!$C$6:$C$4005,C537))</f>
        <v/>
      </c>
      <c r="I537" s="77" t="str">
        <f aca="false">IF(OR(A537="",N(E537)=0),"",INT(H537/E537))</f>
        <v/>
      </c>
      <c r="J537" s="77" t="str">
        <f aca="false">IF(A537="","",A537&amp;"|"&amp;C537)</f>
        <v/>
      </c>
    </row>
    <row r="538" customFormat="false" ht="15" hidden="false" customHeight="false" outlineLevel="0" collapsed="false">
      <c r="A538" s="71"/>
      <c r="B538" s="71"/>
      <c r="C538" s="71"/>
      <c r="D538" s="71"/>
      <c r="E538" s="72"/>
      <c r="F538" s="77" t="str">
        <f aca="false">IF(A538="","",COUNTIF($A$6:A538,A538))</f>
        <v/>
      </c>
      <c r="G538" s="77" t="str">
        <f aca="false">IF(A538="","",A538&amp;"|"&amp;F538)</f>
        <v/>
      </c>
      <c r="H538" s="77" t="str">
        <f aca="false">IF(A538="","",SUMIFS('Release Log'!$D$6:$D$4005,'Release Log'!$B$6:$B$4005,A538,'Release Log'!$C$6:$C$4005,C538))</f>
        <v/>
      </c>
      <c r="I538" s="77" t="str">
        <f aca="false">IF(OR(A538="",N(E538)=0),"",INT(H538/E538))</f>
        <v/>
      </c>
      <c r="J538" s="77" t="str">
        <f aca="false">IF(A538="","",A538&amp;"|"&amp;C538)</f>
        <v/>
      </c>
    </row>
    <row r="539" customFormat="false" ht="15" hidden="false" customHeight="false" outlineLevel="0" collapsed="false">
      <c r="A539" s="71"/>
      <c r="B539" s="71"/>
      <c r="C539" s="71"/>
      <c r="D539" s="71"/>
      <c r="E539" s="72"/>
      <c r="F539" s="77" t="str">
        <f aca="false">IF(A539="","",COUNTIF($A$6:A539,A539))</f>
        <v/>
      </c>
      <c r="G539" s="77" t="str">
        <f aca="false">IF(A539="","",A539&amp;"|"&amp;F539)</f>
        <v/>
      </c>
      <c r="H539" s="77" t="str">
        <f aca="false">IF(A539="","",SUMIFS('Release Log'!$D$6:$D$4005,'Release Log'!$B$6:$B$4005,A539,'Release Log'!$C$6:$C$4005,C539))</f>
        <v/>
      </c>
      <c r="I539" s="77" t="str">
        <f aca="false">IF(OR(A539="",N(E539)=0),"",INT(H539/E539))</f>
        <v/>
      </c>
      <c r="J539" s="77" t="str">
        <f aca="false">IF(A539="","",A539&amp;"|"&amp;C539)</f>
        <v/>
      </c>
    </row>
    <row r="540" customFormat="false" ht="15" hidden="false" customHeight="false" outlineLevel="0" collapsed="false">
      <c r="A540" s="71"/>
      <c r="B540" s="71"/>
      <c r="C540" s="71"/>
      <c r="D540" s="71"/>
      <c r="E540" s="72"/>
      <c r="F540" s="77" t="str">
        <f aca="false">IF(A540="","",COUNTIF($A$6:A540,A540))</f>
        <v/>
      </c>
      <c r="G540" s="77" t="str">
        <f aca="false">IF(A540="","",A540&amp;"|"&amp;F540)</f>
        <v/>
      </c>
      <c r="H540" s="77" t="str">
        <f aca="false">IF(A540="","",SUMIFS('Release Log'!$D$6:$D$4005,'Release Log'!$B$6:$B$4005,A540,'Release Log'!$C$6:$C$4005,C540))</f>
        <v/>
      </c>
      <c r="I540" s="77" t="str">
        <f aca="false">IF(OR(A540="",N(E540)=0),"",INT(H540/E540))</f>
        <v/>
      </c>
      <c r="J540" s="77" t="str">
        <f aca="false">IF(A540="","",A540&amp;"|"&amp;C540)</f>
        <v/>
      </c>
    </row>
    <row r="541" customFormat="false" ht="15" hidden="false" customHeight="false" outlineLevel="0" collapsed="false">
      <c r="A541" s="71"/>
      <c r="B541" s="71"/>
      <c r="C541" s="71"/>
      <c r="D541" s="71"/>
      <c r="E541" s="72"/>
      <c r="F541" s="77" t="str">
        <f aca="false">IF(A541="","",COUNTIF($A$6:A541,A541))</f>
        <v/>
      </c>
      <c r="G541" s="77" t="str">
        <f aca="false">IF(A541="","",A541&amp;"|"&amp;F541)</f>
        <v/>
      </c>
      <c r="H541" s="77" t="str">
        <f aca="false">IF(A541="","",SUMIFS('Release Log'!$D$6:$D$4005,'Release Log'!$B$6:$B$4005,A541,'Release Log'!$C$6:$C$4005,C541))</f>
        <v/>
      </c>
      <c r="I541" s="77" t="str">
        <f aca="false">IF(OR(A541="",N(E541)=0),"",INT(H541/E541))</f>
        <v/>
      </c>
      <c r="J541" s="77" t="str">
        <f aca="false">IF(A541="","",A541&amp;"|"&amp;C541)</f>
        <v/>
      </c>
    </row>
    <row r="542" customFormat="false" ht="15" hidden="false" customHeight="false" outlineLevel="0" collapsed="false">
      <c r="A542" s="71"/>
      <c r="B542" s="71"/>
      <c r="C542" s="71"/>
      <c r="D542" s="71"/>
      <c r="E542" s="72"/>
      <c r="F542" s="77" t="str">
        <f aca="false">IF(A542="","",COUNTIF($A$6:A542,A542))</f>
        <v/>
      </c>
      <c r="G542" s="77" t="str">
        <f aca="false">IF(A542="","",A542&amp;"|"&amp;F542)</f>
        <v/>
      </c>
      <c r="H542" s="77" t="str">
        <f aca="false">IF(A542="","",SUMIFS('Release Log'!$D$6:$D$4005,'Release Log'!$B$6:$B$4005,A542,'Release Log'!$C$6:$C$4005,C542))</f>
        <v/>
      </c>
      <c r="I542" s="77" t="str">
        <f aca="false">IF(OR(A542="",N(E542)=0),"",INT(H542/E542))</f>
        <v/>
      </c>
      <c r="J542" s="77" t="str">
        <f aca="false">IF(A542="","",A542&amp;"|"&amp;C542)</f>
        <v/>
      </c>
    </row>
    <row r="543" customFormat="false" ht="15" hidden="false" customHeight="false" outlineLevel="0" collapsed="false">
      <c r="A543" s="71"/>
      <c r="B543" s="71"/>
      <c r="C543" s="71"/>
      <c r="D543" s="71"/>
      <c r="E543" s="72"/>
      <c r="F543" s="77" t="str">
        <f aca="false">IF(A543="","",COUNTIF($A$6:A543,A543))</f>
        <v/>
      </c>
      <c r="G543" s="77" t="str">
        <f aca="false">IF(A543="","",A543&amp;"|"&amp;F543)</f>
        <v/>
      </c>
      <c r="H543" s="77" t="str">
        <f aca="false">IF(A543="","",SUMIFS('Release Log'!$D$6:$D$4005,'Release Log'!$B$6:$B$4005,A543,'Release Log'!$C$6:$C$4005,C543))</f>
        <v/>
      </c>
      <c r="I543" s="77" t="str">
        <f aca="false">IF(OR(A543="",N(E543)=0),"",INT(H543/E543))</f>
        <v/>
      </c>
      <c r="J543" s="77" t="str">
        <f aca="false">IF(A543="","",A543&amp;"|"&amp;C543)</f>
        <v/>
      </c>
    </row>
    <row r="544" customFormat="false" ht="15" hidden="false" customHeight="false" outlineLevel="0" collapsed="false">
      <c r="A544" s="71"/>
      <c r="B544" s="71"/>
      <c r="C544" s="71"/>
      <c r="D544" s="71"/>
      <c r="E544" s="72"/>
      <c r="F544" s="77" t="str">
        <f aca="false">IF(A544="","",COUNTIF($A$6:A544,A544))</f>
        <v/>
      </c>
      <c r="G544" s="77" t="str">
        <f aca="false">IF(A544="","",A544&amp;"|"&amp;F544)</f>
        <v/>
      </c>
      <c r="H544" s="77" t="str">
        <f aca="false">IF(A544="","",SUMIFS('Release Log'!$D$6:$D$4005,'Release Log'!$B$6:$B$4005,A544,'Release Log'!$C$6:$C$4005,C544))</f>
        <v/>
      </c>
      <c r="I544" s="77" t="str">
        <f aca="false">IF(OR(A544="",N(E544)=0),"",INT(H544/E544))</f>
        <v/>
      </c>
      <c r="J544" s="77" t="str">
        <f aca="false">IF(A544="","",A544&amp;"|"&amp;C544)</f>
        <v/>
      </c>
    </row>
    <row r="545" customFormat="false" ht="15" hidden="false" customHeight="false" outlineLevel="0" collapsed="false">
      <c r="A545" s="71"/>
      <c r="B545" s="71"/>
      <c r="C545" s="71"/>
      <c r="D545" s="71"/>
      <c r="E545" s="72"/>
      <c r="F545" s="77" t="str">
        <f aca="false">IF(A545="","",COUNTIF($A$6:A545,A545))</f>
        <v/>
      </c>
      <c r="G545" s="77" t="str">
        <f aca="false">IF(A545="","",A545&amp;"|"&amp;F545)</f>
        <v/>
      </c>
      <c r="H545" s="77" t="str">
        <f aca="false">IF(A545="","",SUMIFS('Release Log'!$D$6:$D$4005,'Release Log'!$B$6:$B$4005,A545,'Release Log'!$C$6:$C$4005,C545))</f>
        <v/>
      </c>
      <c r="I545" s="77" t="str">
        <f aca="false">IF(OR(A545="",N(E545)=0),"",INT(H545/E545))</f>
        <v/>
      </c>
      <c r="J545" s="77" t="str">
        <f aca="false">IF(A545="","",A545&amp;"|"&amp;C545)</f>
        <v/>
      </c>
    </row>
    <row r="546" customFormat="false" ht="15" hidden="false" customHeight="false" outlineLevel="0" collapsed="false">
      <c r="A546" s="71"/>
      <c r="B546" s="71"/>
      <c r="C546" s="71"/>
      <c r="D546" s="71"/>
      <c r="E546" s="72"/>
      <c r="F546" s="77" t="str">
        <f aca="false">IF(A546="","",COUNTIF($A$6:A546,A546))</f>
        <v/>
      </c>
      <c r="G546" s="77" t="str">
        <f aca="false">IF(A546="","",A546&amp;"|"&amp;F546)</f>
        <v/>
      </c>
      <c r="H546" s="77" t="str">
        <f aca="false">IF(A546="","",SUMIFS('Release Log'!$D$6:$D$4005,'Release Log'!$B$6:$B$4005,A546,'Release Log'!$C$6:$C$4005,C546))</f>
        <v/>
      </c>
      <c r="I546" s="77" t="str">
        <f aca="false">IF(OR(A546="",N(E546)=0),"",INT(H546/E546))</f>
        <v/>
      </c>
      <c r="J546" s="77" t="str">
        <f aca="false">IF(A546="","",A546&amp;"|"&amp;C546)</f>
        <v/>
      </c>
    </row>
    <row r="547" customFormat="false" ht="15" hidden="false" customHeight="false" outlineLevel="0" collapsed="false">
      <c r="A547" s="71"/>
      <c r="B547" s="71"/>
      <c r="C547" s="71"/>
      <c r="D547" s="71"/>
      <c r="E547" s="72"/>
      <c r="F547" s="77" t="str">
        <f aca="false">IF(A547="","",COUNTIF($A$6:A547,A547))</f>
        <v/>
      </c>
      <c r="G547" s="77" t="str">
        <f aca="false">IF(A547="","",A547&amp;"|"&amp;F547)</f>
        <v/>
      </c>
      <c r="H547" s="77" t="str">
        <f aca="false">IF(A547="","",SUMIFS('Release Log'!$D$6:$D$4005,'Release Log'!$B$6:$B$4005,A547,'Release Log'!$C$6:$C$4005,C547))</f>
        <v/>
      </c>
      <c r="I547" s="77" t="str">
        <f aca="false">IF(OR(A547="",N(E547)=0),"",INT(H547/E547))</f>
        <v/>
      </c>
      <c r="J547" s="77" t="str">
        <f aca="false">IF(A547="","",A547&amp;"|"&amp;C547)</f>
        <v/>
      </c>
    </row>
    <row r="548" customFormat="false" ht="15" hidden="false" customHeight="false" outlineLevel="0" collapsed="false">
      <c r="A548" s="71"/>
      <c r="B548" s="71"/>
      <c r="C548" s="71"/>
      <c r="D548" s="71"/>
      <c r="E548" s="72"/>
      <c r="F548" s="77" t="str">
        <f aca="false">IF(A548="","",COUNTIF($A$6:A548,A548))</f>
        <v/>
      </c>
      <c r="G548" s="77" t="str">
        <f aca="false">IF(A548="","",A548&amp;"|"&amp;F548)</f>
        <v/>
      </c>
      <c r="H548" s="77" t="str">
        <f aca="false">IF(A548="","",SUMIFS('Release Log'!$D$6:$D$4005,'Release Log'!$B$6:$B$4005,A548,'Release Log'!$C$6:$C$4005,C548))</f>
        <v/>
      </c>
      <c r="I548" s="77" t="str">
        <f aca="false">IF(OR(A548="",N(E548)=0),"",INT(H548/E548))</f>
        <v/>
      </c>
      <c r="J548" s="77" t="str">
        <f aca="false">IF(A548="","",A548&amp;"|"&amp;C548)</f>
        <v/>
      </c>
    </row>
    <row r="549" customFormat="false" ht="15" hidden="false" customHeight="false" outlineLevel="0" collapsed="false">
      <c r="A549" s="71"/>
      <c r="B549" s="71"/>
      <c r="C549" s="71"/>
      <c r="D549" s="71"/>
      <c r="E549" s="72"/>
      <c r="F549" s="77" t="str">
        <f aca="false">IF(A549="","",COUNTIF($A$6:A549,A549))</f>
        <v/>
      </c>
      <c r="G549" s="77" t="str">
        <f aca="false">IF(A549="","",A549&amp;"|"&amp;F549)</f>
        <v/>
      </c>
      <c r="H549" s="77" t="str">
        <f aca="false">IF(A549="","",SUMIFS('Release Log'!$D$6:$D$4005,'Release Log'!$B$6:$B$4005,A549,'Release Log'!$C$6:$C$4005,C549))</f>
        <v/>
      </c>
      <c r="I549" s="77" t="str">
        <f aca="false">IF(OR(A549="",N(E549)=0),"",INT(H549/E549))</f>
        <v/>
      </c>
      <c r="J549" s="77" t="str">
        <f aca="false">IF(A549="","",A549&amp;"|"&amp;C549)</f>
        <v/>
      </c>
    </row>
    <row r="550" customFormat="false" ht="15" hidden="false" customHeight="false" outlineLevel="0" collapsed="false">
      <c r="A550" s="71"/>
      <c r="B550" s="71"/>
      <c r="C550" s="71"/>
      <c r="D550" s="71"/>
      <c r="E550" s="72"/>
      <c r="F550" s="77" t="str">
        <f aca="false">IF(A550="","",COUNTIF($A$6:A550,A550))</f>
        <v/>
      </c>
      <c r="G550" s="77" t="str">
        <f aca="false">IF(A550="","",A550&amp;"|"&amp;F550)</f>
        <v/>
      </c>
      <c r="H550" s="77" t="str">
        <f aca="false">IF(A550="","",SUMIFS('Release Log'!$D$6:$D$4005,'Release Log'!$B$6:$B$4005,A550,'Release Log'!$C$6:$C$4005,C550))</f>
        <v/>
      </c>
      <c r="I550" s="77" t="str">
        <f aca="false">IF(OR(A550="",N(E550)=0),"",INT(H550/E550))</f>
        <v/>
      </c>
      <c r="J550" s="77" t="str">
        <f aca="false">IF(A550="","",A550&amp;"|"&amp;C550)</f>
        <v/>
      </c>
    </row>
    <row r="551" customFormat="false" ht="15" hidden="false" customHeight="false" outlineLevel="0" collapsed="false">
      <c r="A551" s="71"/>
      <c r="B551" s="71"/>
      <c r="C551" s="71"/>
      <c r="D551" s="71"/>
      <c r="E551" s="72"/>
      <c r="F551" s="77" t="str">
        <f aca="false">IF(A551="","",COUNTIF($A$6:A551,A551))</f>
        <v/>
      </c>
      <c r="G551" s="77" t="str">
        <f aca="false">IF(A551="","",A551&amp;"|"&amp;F551)</f>
        <v/>
      </c>
      <c r="H551" s="77" t="str">
        <f aca="false">IF(A551="","",SUMIFS('Release Log'!$D$6:$D$4005,'Release Log'!$B$6:$B$4005,A551,'Release Log'!$C$6:$C$4005,C551))</f>
        <v/>
      </c>
      <c r="I551" s="77" t="str">
        <f aca="false">IF(OR(A551="",N(E551)=0),"",INT(H551/E551))</f>
        <v/>
      </c>
      <c r="J551" s="77" t="str">
        <f aca="false">IF(A551="","",A551&amp;"|"&amp;C551)</f>
        <v/>
      </c>
    </row>
    <row r="552" customFormat="false" ht="15" hidden="false" customHeight="false" outlineLevel="0" collapsed="false">
      <c r="A552" s="71"/>
      <c r="B552" s="71"/>
      <c r="C552" s="71"/>
      <c r="D552" s="71"/>
      <c r="E552" s="72"/>
      <c r="F552" s="77" t="str">
        <f aca="false">IF(A552="","",COUNTIF($A$6:A552,A552))</f>
        <v/>
      </c>
      <c r="G552" s="77" t="str">
        <f aca="false">IF(A552="","",A552&amp;"|"&amp;F552)</f>
        <v/>
      </c>
      <c r="H552" s="77" t="str">
        <f aca="false">IF(A552="","",SUMIFS('Release Log'!$D$6:$D$4005,'Release Log'!$B$6:$B$4005,A552,'Release Log'!$C$6:$C$4005,C552))</f>
        <v/>
      </c>
      <c r="I552" s="77" t="str">
        <f aca="false">IF(OR(A552="",N(E552)=0),"",INT(H552/E552))</f>
        <v/>
      </c>
      <c r="J552" s="77" t="str">
        <f aca="false">IF(A552="","",A552&amp;"|"&amp;C552)</f>
        <v/>
      </c>
    </row>
    <row r="553" customFormat="false" ht="15" hidden="false" customHeight="false" outlineLevel="0" collapsed="false">
      <c r="A553" s="71"/>
      <c r="B553" s="71"/>
      <c r="C553" s="71"/>
      <c r="D553" s="71"/>
      <c r="E553" s="72"/>
      <c r="F553" s="77" t="str">
        <f aca="false">IF(A553="","",COUNTIF($A$6:A553,A553))</f>
        <v/>
      </c>
      <c r="G553" s="77" t="str">
        <f aca="false">IF(A553="","",A553&amp;"|"&amp;F553)</f>
        <v/>
      </c>
      <c r="H553" s="77" t="str">
        <f aca="false">IF(A553="","",SUMIFS('Release Log'!$D$6:$D$4005,'Release Log'!$B$6:$B$4005,A553,'Release Log'!$C$6:$C$4005,C553))</f>
        <v/>
      </c>
      <c r="I553" s="77" t="str">
        <f aca="false">IF(OR(A553="",N(E553)=0),"",INT(H553/E553))</f>
        <v/>
      </c>
      <c r="J553" s="77" t="str">
        <f aca="false">IF(A553="","",A553&amp;"|"&amp;C553)</f>
        <v/>
      </c>
    </row>
    <row r="554" customFormat="false" ht="15" hidden="false" customHeight="false" outlineLevel="0" collapsed="false">
      <c r="A554" s="71"/>
      <c r="B554" s="71"/>
      <c r="C554" s="71"/>
      <c r="D554" s="71"/>
      <c r="E554" s="72"/>
      <c r="F554" s="77" t="str">
        <f aca="false">IF(A554="","",COUNTIF($A$6:A554,A554))</f>
        <v/>
      </c>
      <c r="G554" s="77" t="str">
        <f aca="false">IF(A554="","",A554&amp;"|"&amp;F554)</f>
        <v/>
      </c>
      <c r="H554" s="77" t="str">
        <f aca="false">IF(A554="","",SUMIFS('Release Log'!$D$6:$D$4005,'Release Log'!$B$6:$B$4005,A554,'Release Log'!$C$6:$C$4005,C554))</f>
        <v/>
      </c>
      <c r="I554" s="77" t="str">
        <f aca="false">IF(OR(A554="",N(E554)=0),"",INT(H554/E554))</f>
        <v/>
      </c>
      <c r="J554" s="77" t="str">
        <f aca="false">IF(A554="","",A554&amp;"|"&amp;C554)</f>
        <v/>
      </c>
    </row>
    <row r="555" customFormat="false" ht="15" hidden="false" customHeight="false" outlineLevel="0" collapsed="false">
      <c r="A555" s="71"/>
      <c r="B555" s="71"/>
      <c r="C555" s="71"/>
      <c r="D555" s="71"/>
      <c r="E555" s="72"/>
      <c r="F555" s="77" t="str">
        <f aca="false">IF(A555="","",COUNTIF($A$6:A555,A555))</f>
        <v/>
      </c>
      <c r="G555" s="77" t="str">
        <f aca="false">IF(A555="","",A555&amp;"|"&amp;F555)</f>
        <v/>
      </c>
      <c r="H555" s="77" t="str">
        <f aca="false">IF(A555="","",SUMIFS('Release Log'!$D$6:$D$4005,'Release Log'!$B$6:$B$4005,A555,'Release Log'!$C$6:$C$4005,C555))</f>
        <v/>
      </c>
      <c r="I555" s="77" t="str">
        <f aca="false">IF(OR(A555="",N(E555)=0),"",INT(H555/E555))</f>
        <v/>
      </c>
      <c r="J555" s="77" t="str">
        <f aca="false">IF(A555="","",A555&amp;"|"&amp;C555)</f>
        <v/>
      </c>
    </row>
    <row r="556" customFormat="false" ht="15" hidden="false" customHeight="false" outlineLevel="0" collapsed="false">
      <c r="A556" s="71"/>
      <c r="B556" s="71"/>
      <c r="C556" s="71"/>
      <c r="D556" s="71"/>
      <c r="E556" s="72"/>
      <c r="F556" s="77" t="str">
        <f aca="false">IF(A556="","",COUNTIF($A$6:A556,A556))</f>
        <v/>
      </c>
      <c r="G556" s="77" t="str">
        <f aca="false">IF(A556="","",A556&amp;"|"&amp;F556)</f>
        <v/>
      </c>
      <c r="H556" s="77" t="str">
        <f aca="false">IF(A556="","",SUMIFS('Release Log'!$D$6:$D$4005,'Release Log'!$B$6:$B$4005,A556,'Release Log'!$C$6:$C$4005,C556))</f>
        <v/>
      </c>
      <c r="I556" s="77" t="str">
        <f aca="false">IF(OR(A556="",N(E556)=0),"",INT(H556/E556))</f>
        <v/>
      </c>
      <c r="J556" s="77" t="str">
        <f aca="false">IF(A556="","",A556&amp;"|"&amp;C556)</f>
        <v/>
      </c>
    </row>
    <row r="557" customFormat="false" ht="15" hidden="false" customHeight="false" outlineLevel="0" collapsed="false">
      <c r="A557" s="71"/>
      <c r="B557" s="71"/>
      <c r="C557" s="71"/>
      <c r="D557" s="71"/>
      <c r="E557" s="72"/>
      <c r="F557" s="77" t="str">
        <f aca="false">IF(A557="","",COUNTIF($A$6:A557,A557))</f>
        <v/>
      </c>
      <c r="G557" s="77" t="str">
        <f aca="false">IF(A557="","",A557&amp;"|"&amp;F557)</f>
        <v/>
      </c>
      <c r="H557" s="77" t="str">
        <f aca="false">IF(A557="","",SUMIFS('Release Log'!$D$6:$D$4005,'Release Log'!$B$6:$B$4005,A557,'Release Log'!$C$6:$C$4005,C557))</f>
        <v/>
      </c>
      <c r="I557" s="77" t="str">
        <f aca="false">IF(OR(A557="",N(E557)=0),"",INT(H557/E557))</f>
        <v/>
      </c>
      <c r="J557" s="77" t="str">
        <f aca="false">IF(A557="","",A557&amp;"|"&amp;C557)</f>
        <v/>
      </c>
    </row>
    <row r="558" customFormat="false" ht="15" hidden="false" customHeight="false" outlineLevel="0" collapsed="false">
      <c r="A558" s="71"/>
      <c r="B558" s="71"/>
      <c r="C558" s="71"/>
      <c r="D558" s="71"/>
      <c r="E558" s="72"/>
      <c r="F558" s="77" t="str">
        <f aca="false">IF(A558="","",COUNTIF($A$6:A558,A558))</f>
        <v/>
      </c>
      <c r="G558" s="77" t="str">
        <f aca="false">IF(A558="","",A558&amp;"|"&amp;F558)</f>
        <v/>
      </c>
      <c r="H558" s="77" t="str">
        <f aca="false">IF(A558="","",SUMIFS('Release Log'!$D$6:$D$4005,'Release Log'!$B$6:$B$4005,A558,'Release Log'!$C$6:$C$4005,C558))</f>
        <v/>
      </c>
      <c r="I558" s="77" t="str">
        <f aca="false">IF(OR(A558="",N(E558)=0),"",INT(H558/E558))</f>
        <v/>
      </c>
      <c r="J558" s="77" t="str">
        <f aca="false">IF(A558="","",A558&amp;"|"&amp;C558)</f>
        <v/>
      </c>
    </row>
    <row r="559" customFormat="false" ht="15" hidden="false" customHeight="false" outlineLevel="0" collapsed="false">
      <c r="A559" s="71"/>
      <c r="B559" s="71"/>
      <c r="C559" s="71"/>
      <c r="D559" s="71"/>
      <c r="E559" s="72"/>
      <c r="F559" s="77" t="str">
        <f aca="false">IF(A559="","",COUNTIF($A$6:A559,A559))</f>
        <v/>
      </c>
      <c r="G559" s="77" t="str">
        <f aca="false">IF(A559="","",A559&amp;"|"&amp;F559)</f>
        <v/>
      </c>
      <c r="H559" s="77" t="str">
        <f aca="false">IF(A559="","",SUMIFS('Release Log'!$D$6:$D$4005,'Release Log'!$B$6:$B$4005,A559,'Release Log'!$C$6:$C$4005,C559))</f>
        <v/>
      </c>
      <c r="I559" s="77" t="str">
        <f aca="false">IF(OR(A559="",N(E559)=0),"",INT(H559/E559))</f>
        <v/>
      </c>
      <c r="J559" s="77" t="str">
        <f aca="false">IF(A559="","",A559&amp;"|"&amp;C559)</f>
        <v/>
      </c>
    </row>
    <row r="560" customFormat="false" ht="15" hidden="false" customHeight="false" outlineLevel="0" collapsed="false">
      <c r="A560" s="71"/>
      <c r="B560" s="71"/>
      <c r="C560" s="71"/>
      <c r="D560" s="71"/>
      <c r="E560" s="72"/>
      <c r="F560" s="77" t="str">
        <f aca="false">IF(A560="","",COUNTIF($A$6:A560,A560))</f>
        <v/>
      </c>
      <c r="G560" s="77" t="str">
        <f aca="false">IF(A560="","",A560&amp;"|"&amp;F560)</f>
        <v/>
      </c>
      <c r="H560" s="77" t="str">
        <f aca="false">IF(A560="","",SUMIFS('Release Log'!$D$6:$D$4005,'Release Log'!$B$6:$B$4005,A560,'Release Log'!$C$6:$C$4005,C560))</f>
        <v/>
      </c>
      <c r="I560" s="77" t="str">
        <f aca="false">IF(OR(A560="",N(E560)=0),"",INT(H560/E560))</f>
        <v/>
      </c>
      <c r="J560" s="77" t="str">
        <f aca="false">IF(A560="","",A560&amp;"|"&amp;C560)</f>
        <v/>
      </c>
    </row>
    <row r="561" customFormat="false" ht="15" hidden="false" customHeight="false" outlineLevel="0" collapsed="false">
      <c r="A561" s="71"/>
      <c r="B561" s="71"/>
      <c r="C561" s="71"/>
      <c r="D561" s="71"/>
      <c r="E561" s="72"/>
      <c r="F561" s="77" t="str">
        <f aca="false">IF(A561="","",COUNTIF($A$6:A561,A561))</f>
        <v/>
      </c>
      <c r="G561" s="77" t="str">
        <f aca="false">IF(A561="","",A561&amp;"|"&amp;F561)</f>
        <v/>
      </c>
      <c r="H561" s="77" t="str">
        <f aca="false">IF(A561="","",SUMIFS('Release Log'!$D$6:$D$4005,'Release Log'!$B$6:$B$4005,A561,'Release Log'!$C$6:$C$4005,C561))</f>
        <v/>
      </c>
      <c r="I561" s="77" t="str">
        <f aca="false">IF(OR(A561="",N(E561)=0),"",INT(H561/E561))</f>
        <v/>
      </c>
      <c r="J561" s="77" t="str">
        <f aca="false">IF(A561="","",A561&amp;"|"&amp;C561)</f>
        <v/>
      </c>
    </row>
    <row r="562" customFormat="false" ht="15" hidden="false" customHeight="false" outlineLevel="0" collapsed="false">
      <c r="A562" s="71"/>
      <c r="B562" s="71"/>
      <c r="C562" s="71"/>
      <c r="D562" s="71"/>
      <c r="E562" s="72"/>
      <c r="F562" s="77" t="str">
        <f aca="false">IF(A562="","",COUNTIF($A$6:A562,A562))</f>
        <v/>
      </c>
      <c r="G562" s="77" t="str">
        <f aca="false">IF(A562="","",A562&amp;"|"&amp;F562)</f>
        <v/>
      </c>
      <c r="H562" s="77" t="str">
        <f aca="false">IF(A562="","",SUMIFS('Release Log'!$D$6:$D$4005,'Release Log'!$B$6:$B$4005,A562,'Release Log'!$C$6:$C$4005,C562))</f>
        <v/>
      </c>
      <c r="I562" s="77" t="str">
        <f aca="false">IF(OR(A562="",N(E562)=0),"",INT(H562/E562))</f>
        <v/>
      </c>
      <c r="J562" s="77" t="str">
        <f aca="false">IF(A562="","",A562&amp;"|"&amp;C562)</f>
        <v/>
      </c>
    </row>
    <row r="563" customFormat="false" ht="15" hidden="false" customHeight="false" outlineLevel="0" collapsed="false">
      <c r="A563" s="71"/>
      <c r="B563" s="71"/>
      <c r="C563" s="71"/>
      <c r="D563" s="71"/>
      <c r="E563" s="72"/>
      <c r="F563" s="77" t="str">
        <f aca="false">IF(A563="","",COUNTIF($A$6:A563,A563))</f>
        <v/>
      </c>
      <c r="G563" s="77" t="str">
        <f aca="false">IF(A563="","",A563&amp;"|"&amp;F563)</f>
        <v/>
      </c>
      <c r="H563" s="77" t="str">
        <f aca="false">IF(A563="","",SUMIFS('Release Log'!$D$6:$D$4005,'Release Log'!$B$6:$B$4005,A563,'Release Log'!$C$6:$C$4005,C563))</f>
        <v/>
      </c>
      <c r="I563" s="77" t="str">
        <f aca="false">IF(OR(A563="",N(E563)=0),"",INT(H563/E563))</f>
        <v/>
      </c>
      <c r="J563" s="77" t="str">
        <f aca="false">IF(A563="","",A563&amp;"|"&amp;C563)</f>
        <v/>
      </c>
    </row>
    <row r="564" customFormat="false" ht="15" hidden="false" customHeight="false" outlineLevel="0" collapsed="false">
      <c r="A564" s="71"/>
      <c r="B564" s="71"/>
      <c r="C564" s="71"/>
      <c r="D564" s="71"/>
      <c r="E564" s="72"/>
      <c r="F564" s="77" t="str">
        <f aca="false">IF(A564="","",COUNTIF($A$6:A564,A564))</f>
        <v/>
      </c>
      <c r="G564" s="77" t="str">
        <f aca="false">IF(A564="","",A564&amp;"|"&amp;F564)</f>
        <v/>
      </c>
      <c r="H564" s="77" t="str">
        <f aca="false">IF(A564="","",SUMIFS('Release Log'!$D$6:$D$4005,'Release Log'!$B$6:$B$4005,A564,'Release Log'!$C$6:$C$4005,C564))</f>
        <v/>
      </c>
      <c r="I564" s="77" t="str">
        <f aca="false">IF(OR(A564="",N(E564)=0),"",INT(H564/E564))</f>
        <v/>
      </c>
      <c r="J564" s="77" t="str">
        <f aca="false">IF(A564="","",A564&amp;"|"&amp;C564)</f>
        <v/>
      </c>
    </row>
    <row r="565" customFormat="false" ht="15" hidden="false" customHeight="false" outlineLevel="0" collapsed="false">
      <c r="A565" s="71"/>
      <c r="B565" s="71"/>
      <c r="C565" s="71"/>
      <c r="D565" s="71"/>
      <c r="E565" s="72"/>
      <c r="F565" s="77" t="str">
        <f aca="false">IF(A565="","",COUNTIF($A$6:A565,A565))</f>
        <v/>
      </c>
      <c r="G565" s="77" t="str">
        <f aca="false">IF(A565="","",A565&amp;"|"&amp;F565)</f>
        <v/>
      </c>
      <c r="H565" s="77" t="str">
        <f aca="false">IF(A565="","",SUMIFS('Release Log'!$D$6:$D$4005,'Release Log'!$B$6:$B$4005,A565,'Release Log'!$C$6:$C$4005,C565))</f>
        <v/>
      </c>
      <c r="I565" s="77" t="str">
        <f aca="false">IF(OR(A565="",N(E565)=0),"",INT(H565/E565))</f>
        <v/>
      </c>
      <c r="J565" s="77" t="str">
        <f aca="false">IF(A565="","",A565&amp;"|"&amp;C565)</f>
        <v/>
      </c>
    </row>
    <row r="566" customFormat="false" ht="15" hidden="false" customHeight="false" outlineLevel="0" collapsed="false">
      <c r="A566" s="71"/>
      <c r="B566" s="71"/>
      <c r="C566" s="71"/>
      <c r="D566" s="71"/>
      <c r="E566" s="72"/>
      <c r="F566" s="77" t="str">
        <f aca="false">IF(A566="","",COUNTIF($A$6:A566,A566))</f>
        <v/>
      </c>
      <c r="G566" s="77" t="str">
        <f aca="false">IF(A566="","",A566&amp;"|"&amp;F566)</f>
        <v/>
      </c>
      <c r="H566" s="77" t="str">
        <f aca="false">IF(A566="","",SUMIFS('Release Log'!$D$6:$D$4005,'Release Log'!$B$6:$B$4005,A566,'Release Log'!$C$6:$C$4005,C566))</f>
        <v/>
      </c>
      <c r="I566" s="77" t="str">
        <f aca="false">IF(OR(A566="",N(E566)=0),"",INT(H566/E566))</f>
        <v/>
      </c>
      <c r="J566" s="77" t="str">
        <f aca="false">IF(A566="","",A566&amp;"|"&amp;C566)</f>
        <v/>
      </c>
    </row>
    <row r="567" customFormat="false" ht="15" hidden="false" customHeight="false" outlineLevel="0" collapsed="false">
      <c r="A567" s="71"/>
      <c r="B567" s="71"/>
      <c r="C567" s="71"/>
      <c r="D567" s="71"/>
      <c r="E567" s="72"/>
      <c r="F567" s="77" t="str">
        <f aca="false">IF(A567="","",COUNTIF($A$6:A567,A567))</f>
        <v/>
      </c>
      <c r="G567" s="77" t="str">
        <f aca="false">IF(A567="","",A567&amp;"|"&amp;F567)</f>
        <v/>
      </c>
      <c r="H567" s="77" t="str">
        <f aca="false">IF(A567="","",SUMIFS('Release Log'!$D$6:$D$4005,'Release Log'!$B$6:$B$4005,A567,'Release Log'!$C$6:$C$4005,C567))</f>
        <v/>
      </c>
      <c r="I567" s="77" t="str">
        <f aca="false">IF(OR(A567="",N(E567)=0),"",INT(H567/E567))</f>
        <v/>
      </c>
      <c r="J567" s="77" t="str">
        <f aca="false">IF(A567="","",A567&amp;"|"&amp;C567)</f>
        <v/>
      </c>
    </row>
    <row r="568" customFormat="false" ht="15" hidden="false" customHeight="false" outlineLevel="0" collapsed="false">
      <c r="A568" s="71"/>
      <c r="B568" s="71"/>
      <c r="C568" s="71"/>
      <c r="D568" s="71"/>
      <c r="E568" s="72"/>
      <c r="F568" s="77" t="str">
        <f aca="false">IF(A568="","",COUNTIF($A$6:A568,A568))</f>
        <v/>
      </c>
      <c r="G568" s="77" t="str">
        <f aca="false">IF(A568="","",A568&amp;"|"&amp;F568)</f>
        <v/>
      </c>
      <c r="H568" s="77" t="str">
        <f aca="false">IF(A568="","",SUMIFS('Release Log'!$D$6:$D$4005,'Release Log'!$B$6:$B$4005,A568,'Release Log'!$C$6:$C$4005,C568))</f>
        <v/>
      </c>
      <c r="I568" s="77" t="str">
        <f aca="false">IF(OR(A568="",N(E568)=0),"",INT(H568/E568))</f>
        <v/>
      </c>
      <c r="J568" s="77" t="str">
        <f aca="false">IF(A568="","",A568&amp;"|"&amp;C568)</f>
        <v/>
      </c>
    </row>
    <row r="569" customFormat="false" ht="15" hidden="false" customHeight="false" outlineLevel="0" collapsed="false">
      <c r="A569" s="71"/>
      <c r="B569" s="71"/>
      <c r="C569" s="71"/>
      <c r="D569" s="71"/>
      <c r="E569" s="72"/>
      <c r="F569" s="77" t="str">
        <f aca="false">IF(A569="","",COUNTIF($A$6:A569,A569))</f>
        <v/>
      </c>
      <c r="G569" s="77" t="str">
        <f aca="false">IF(A569="","",A569&amp;"|"&amp;F569)</f>
        <v/>
      </c>
      <c r="H569" s="77" t="str">
        <f aca="false">IF(A569="","",SUMIFS('Release Log'!$D$6:$D$4005,'Release Log'!$B$6:$B$4005,A569,'Release Log'!$C$6:$C$4005,C569))</f>
        <v/>
      </c>
      <c r="I569" s="77" t="str">
        <f aca="false">IF(OR(A569="",N(E569)=0),"",INT(H569/E569))</f>
        <v/>
      </c>
      <c r="J569" s="77" t="str">
        <f aca="false">IF(A569="","",A569&amp;"|"&amp;C569)</f>
        <v/>
      </c>
    </row>
    <row r="570" customFormat="false" ht="15" hidden="false" customHeight="false" outlineLevel="0" collapsed="false">
      <c r="A570" s="71"/>
      <c r="B570" s="71"/>
      <c r="C570" s="71"/>
      <c r="D570" s="71"/>
      <c r="E570" s="72"/>
      <c r="F570" s="77" t="str">
        <f aca="false">IF(A570="","",COUNTIF($A$6:A570,A570))</f>
        <v/>
      </c>
      <c r="G570" s="77" t="str">
        <f aca="false">IF(A570="","",A570&amp;"|"&amp;F570)</f>
        <v/>
      </c>
      <c r="H570" s="77" t="str">
        <f aca="false">IF(A570="","",SUMIFS('Release Log'!$D$6:$D$4005,'Release Log'!$B$6:$B$4005,A570,'Release Log'!$C$6:$C$4005,C570))</f>
        <v/>
      </c>
      <c r="I570" s="77" t="str">
        <f aca="false">IF(OR(A570="",N(E570)=0),"",INT(H570/E570))</f>
        <v/>
      </c>
      <c r="J570" s="77" t="str">
        <f aca="false">IF(A570="","",A570&amp;"|"&amp;C570)</f>
        <v/>
      </c>
    </row>
    <row r="571" customFormat="false" ht="15" hidden="false" customHeight="false" outlineLevel="0" collapsed="false">
      <c r="A571" s="71"/>
      <c r="B571" s="71"/>
      <c r="C571" s="71"/>
      <c r="D571" s="71"/>
      <c r="E571" s="72"/>
      <c r="F571" s="77" t="str">
        <f aca="false">IF(A571="","",COUNTIF($A$6:A571,A571))</f>
        <v/>
      </c>
      <c r="G571" s="77" t="str">
        <f aca="false">IF(A571="","",A571&amp;"|"&amp;F571)</f>
        <v/>
      </c>
      <c r="H571" s="77" t="str">
        <f aca="false">IF(A571="","",SUMIFS('Release Log'!$D$6:$D$4005,'Release Log'!$B$6:$B$4005,A571,'Release Log'!$C$6:$C$4005,C571))</f>
        <v/>
      </c>
      <c r="I571" s="77" t="str">
        <f aca="false">IF(OR(A571="",N(E571)=0),"",INT(H571/E571))</f>
        <v/>
      </c>
      <c r="J571" s="77" t="str">
        <f aca="false">IF(A571="","",A571&amp;"|"&amp;C571)</f>
        <v/>
      </c>
    </row>
    <row r="572" customFormat="false" ht="15" hidden="false" customHeight="false" outlineLevel="0" collapsed="false">
      <c r="A572" s="71"/>
      <c r="B572" s="71"/>
      <c r="C572" s="71"/>
      <c r="D572" s="71"/>
      <c r="E572" s="72"/>
      <c r="F572" s="77" t="str">
        <f aca="false">IF(A572="","",COUNTIF($A$6:A572,A572))</f>
        <v/>
      </c>
      <c r="G572" s="77" t="str">
        <f aca="false">IF(A572="","",A572&amp;"|"&amp;F572)</f>
        <v/>
      </c>
      <c r="H572" s="77" t="str">
        <f aca="false">IF(A572="","",SUMIFS('Release Log'!$D$6:$D$4005,'Release Log'!$B$6:$B$4005,A572,'Release Log'!$C$6:$C$4005,C572))</f>
        <v/>
      </c>
      <c r="I572" s="77" t="str">
        <f aca="false">IF(OR(A572="",N(E572)=0),"",INT(H572/E572))</f>
        <v/>
      </c>
      <c r="J572" s="77" t="str">
        <f aca="false">IF(A572="","",A572&amp;"|"&amp;C572)</f>
        <v/>
      </c>
    </row>
    <row r="573" customFormat="false" ht="15" hidden="false" customHeight="false" outlineLevel="0" collapsed="false">
      <c r="A573" s="71"/>
      <c r="B573" s="71"/>
      <c r="C573" s="71"/>
      <c r="D573" s="71"/>
      <c r="E573" s="72"/>
      <c r="F573" s="77" t="str">
        <f aca="false">IF(A573="","",COUNTIF($A$6:A573,A573))</f>
        <v/>
      </c>
      <c r="G573" s="77" t="str">
        <f aca="false">IF(A573="","",A573&amp;"|"&amp;F573)</f>
        <v/>
      </c>
      <c r="H573" s="77" t="str">
        <f aca="false">IF(A573="","",SUMIFS('Release Log'!$D$6:$D$4005,'Release Log'!$B$6:$B$4005,A573,'Release Log'!$C$6:$C$4005,C573))</f>
        <v/>
      </c>
      <c r="I573" s="77" t="str">
        <f aca="false">IF(OR(A573="",N(E573)=0),"",INT(H573/E573))</f>
        <v/>
      </c>
      <c r="J573" s="77" t="str">
        <f aca="false">IF(A573="","",A573&amp;"|"&amp;C573)</f>
        <v/>
      </c>
    </row>
    <row r="574" customFormat="false" ht="15" hidden="false" customHeight="false" outlineLevel="0" collapsed="false">
      <c r="A574" s="71"/>
      <c r="B574" s="71"/>
      <c r="C574" s="71"/>
      <c r="D574" s="71"/>
      <c r="E574" s="72"/>
      <c r="F574" s="77" t="str">
        <f aca="false">IF(A574="","",COUNTIF($A$6:A574,A574))</f>
        <v/>
      </c>
      <c r="G574" s="77" t="str">
        <f aca="false">IF(A574="","",A574&amp;"|"&amp;F574)</f>
        <v/>
      </c>
      <c r="H574" s="77" t="str">
        <f aca="false">IF(A574="","",SUMIFS('Release Log'!$D$6:$D$4005,'Release Log'!$B$6:$B$4005,A574,'Release Log'!$C$6:$C$4005,C574))</f>
        <v/>
      </c>
      <c r="I574" s="77" t="str">
        <f aca="false">IF(OR(A574="",N(E574)=0),"",INT(H574/E574))</f>
        <v/>
      </c>
      <c r="J574" s="77" t="str">
        <f aca="false">IF(A574="","",A574&amp;"|"&amp;C574)</f>
        <v/>
      </c>
    </row>
    <row r="575" customFormat="false" ht="15" hidden="false" customHeight="false" outlineLevel="0" collapsed="false">
      <c r="A575" s="71"/>
      <c r="B575" s="71"/>
      <c r="C575" s="71"/>
      <c r="D575" s="71"/>
      <c r="E575" s="72"/>
      <c r="F575" s="77" t="str">
        <f aca="false">IF(A575="","",COUNTIF($A$6:A575,A575))</f>
        <v/>
      </c>
      <c r="G575" s="77" t="str">
        <f aca="false">IF(A575="","",A575&amp;"|"&amp;F575)</f>
        <v/>
      </c>
      <c r="H575" s="77" t="str">
        <f aca="false">IF(A575="","",SUMIFS('Release Log'!$D$6:$D$4005,'Release Log'!$B$6:$B$4005,A575,'Release Log'!$C$6:$C$4005,C575))</f>
        <v/>
      </c>
      <c r="I575" s="77" t="str">
        <f aca="false">IF(OR(A575="",N(E575)=0),"",INT(H575/E575))</f>
        <v/>
      </c>
      <c r="J575" s="77" t="str">
        <f aca="false">IF(A575="","",A575&amp;"|"&amp;C575)</f>
        <v/>
      </c>
    </row>
    <row r="576" customFormat="false" ht="15" hidden="false" customHeight="false" outlineLevel="0" collapsed="false">
      <c r="A576" s="71"/>
      <c r="B576" s="71"/>
      <c r="C576" s="71"/>
      <c r="D576" s="71"/>
      <c r="E576" s="72"/>
      <c r="F576" s="77" t="str">
        <f aca="false">IF(A576="","",COUNTIF($A$6:A576,A576))</f>
        <v/>
      </c>
      <c r="G576" s="77" t="str">
        <f aca="false">IF(A576="","",A576&amp;"|"&amp;F576)</f>
        <v/>
      </c>
      <c r="H576" s="77" t="str">
        <f aca="false">IF(A576="","",SUMIFS('Release Log'!$D$6:$D$4005,'Release Log'!$B$6:$B$4005,A576,'Release Log'!$C$6:$C$4005,C576))</f>
        <v/>
      </c>
      <c r="I576" s="77" t="str">
        <f aca="false">IF(OR(A576="",N(E576)=0),"",INT(H576/E576))</f>
        <v/>
      </c>
      <c r="J576" s="77" t="str">
        <f aca="false">IF(A576="","",A576&amp;"|"&amp;C576)</f>
        <v/>
      </c>
    </row>
    <row r="577" customFormat="false" ht="15" hidden="false" customHeight="false" outlineLevel="0" collapsed="false">
      <c r="A577" s="71"/>
      <c r="B577" s="71"/>
      <c r="C577" s="71"/>
      <c r="D577" s="71"/>
      <c r="E577" s="72"/>
      <c r="F577" s="77" t="str">
        <f aca="false">IF(A577="","",COUNTIF($A$6:A577,A577))</f>
        <v/>
      </c>
      <c r="G577" s="77" t="str">
        <f aca="false">IF(A577="","",A577&amp;"|"&amp;F577)</f>
        <v/>
      </c>
      <c r="H577" s="77" t="str">
        <f aca="false">IF(A577="","",SUMIFS('Release Log'!$D$6:$D$4005,'Release Log'!$B$6:$B$4005,A577,'Release Log'!$C$6:$C$4005,C577))</f>
        <v/>
      </c>
      <c r="I577" s="77" t="str">
        <f aca="false">IF(OR(A577="",N(E577)=0),"",INT(H577/E577))</f>
        <v/>
      </c>
      <c r="J577" s="77" t="str">
        <f aca="false">IF(A577="","",A577&amp;"|"&amp;C577)</f>
        <v/>
      </c>
    </row>
    <row r="578" customFormat="false" ht="15" hidden="false" customHeight="false" outlineLevel="0" collapsed="false">
      <c r="A578" s="71"/>
      <c r="B578" s="71"/>
      <c r="C578" s="71"/>
      <c r="D578" s="71"/>
      <c r="E578" s="72"/>
      <c r="F578" s="77" t="str">
        <f aca="false">IF(A578="","",COUNTIF($A$6:A578,A578))</f>
        <v/>
      </c>
      <c r="G578" s="77" t="str">
        <f aca="false">IF(A578="","",A578&amp;"|"&amp;F578)</f>
        <v/>
      </c>
      <c r="H578" s="77" t="str">
        <f aca="false">IF(A578="","",SUMIFS('Release Log'!$D$6:$D$4005,'Release Log'!$B$6:$B$4005,A578,'Release Log'!$C$6:$C$4005,C578))</f>
        <v/>
      </c>
      <c r="I578" s="77" t="str">
        <f aca="false">IF(OR(A578="",N(E578)=0),"",INT(H578/E578))</f>
        <v/>
      </c>
      <c r="J578" s="77" t="str">
        <f aca="false">IF(A578="","",A578&amp;"|"&amp;C578)</f>
        <v/>
      </c>
    </row>
    <row r="579" customFormat="false" ht="15" hidden="false" customHeight="false" outlineLevel="0" collapsed="false">
      <c r="A579" s="71"/>
      <c r="B579" s="71"/>
      <c r="C579" s="71"/>
      <c r="D579" s="71"/>
      <c r="E579" s="72"/>
      <c r="F579" s="77" t="str">
        <f aca="false">IF(A579="","",COUNTIF($A$6:A579,A579))</f>
        <v/>
      </c>
      <c r="G579" s="77" t="str">
        <f aca="false">IF(A579="","",A579&amp;"|"&amp;F579)</f>
        <v/>
      </c>
      <c r="H579" s="77" t="str">
        <f aca="false">IF(A579="","",SUMIFS('Release Log'!$D$6:$D$4005,'Release Log'!$B$6:$B$4005,A579,'Release Log'!$C$6:$C$4005,C579))</f>
        <v/>
      </c>
      <c r="I579" s="77" t="str">
        <f aca="false">IF(OR(A579="",N(E579)=0),"",INT(H579/E579))</f>
        <v/>
      </c>
      <c r="J579" s="77" t="str">
        <f aca="false">IF(A579="","",A579&amp;"|"&amp;C579)</f>
        <v/>
      </c>
    </row>
    <row r="580" customFormat="false" ht="15" hidden="false" customHeight="false" outlineLevel="0" collapsed="false">
      <c r="A580" s="71"/>
      <c r="B580" s="71"/>
      <c r="C580" s="71"/>
      <c r="D580" s="71"/>
      <c r="E580" s="72"/>
      <c r="F580" s="77" t="str">
        <f aca="false">IF(A580="","",COUNTIF($A$6:A580,A580))</f>
        <v/>
      </c>
      <c r="G580" s="77" t="str">
        <f aca="false">IF(A580="","",A580&amp;"|"&amp;F580)</f>
        <v/>
      </c>
      <c r="H580" s="77" t="str">
        <f aca="false">IF(A580="","",SUMIFS('Release Log'!$D$6:$D$4005,'Release Log'!$B$6:$B$4005,A580,'Release Log'!$C$6:$C$4005,C580))</f>
        <v/>
      </c>
      <c r="I580" s="77" t="str">
        <f aca="false">IF(OR(A580="",N(E580)=0),"",INT(H580/E580))</f>
        <v/>
      </c>
      <c r="J580" s="77" t="str">
        <f aca="false">IF(A580="","",A580&amp;"|"&amp;C580)</f>
        <v/>
      </c>
    </row>
    <row r="581" customFormat="false" ht="15" hidden="false" customHeight="false" outlineLevel="0" collapsed="false">
      <c r="A581" s="71"/>
      <c r="B581" s="71"/>
      <c r="C581" s="71"/>
      <c r="D581" s="71"/>
      <c r="E581" s="72"/>
      <c r="F581" s="77" t="str">
        <f aca="false">IF(A581="","",COUNTIF($A$6:A581,A581))</f>
        <v/>
      </c>
      <c r="G581" s="77" t="str">
        <f aca="false">IF(A581="","",A581&amp;"|"&amp;F581)</f>
        <v/>
      </c>
      <c r="H581" s="77" t="str">
        <f aca="false">IF(A581="","",SUMIFS('Release Log'!$D$6:$D$4005,'Release Log'!$B$6:$B$4005,A581,'Release Log'!$C$6:$C$4005,C581))</f>
        <v/>
      </c>
      <c r="I581" s="77" t="str">
        <f aca="false">IF(OR(A581="",N(E581)=0),"",INT(H581/E581))</f>
        <v/>
      </c>
      <c r="J581" s="77" t="str">
        <f aca="false">IF(A581="","",A581&amp;"|"&amp;C581)</f>
        <v/>
      </c>
    </row>
    <row r="582" customFormat="false" ht="15" hidden="false" customHeight="false" outlineLevel="0" collapsed="false">
      <c r="A582" s="71"/>
      <c r="B582" s="71"/>
      <c r="C582" s="71"/>
      <c r="D582" s="71"/>
      <c r="E582" s="72"/>
      <c r="F582" s="77" t="str">
        <f aca="false">IF(A582="","",COUNTIF($A$6:A582,A582))</f>
        <v/>
      </c>
      <c r="G582" s="77" t="str">
        <f aca="false">IF(A582="","",A582&amp;"|"&amp;F582)</f>
        <v/>
      </c>
      <c r="H582" s="77" t="str">
        <f aca="false">IF(A582="","",SUMIFS('Release Log'!$D$6:$D$4005,'Release Log'!$B$6:$B$4005,A582,'Release Log'!$C$6:$C$4005,C582))</f>
        <v/>
      </c>
      <c r="I582" s="77" t="str">
        <f aca="false">IF(OR(A582="",N(E582)=0),"",INT(H582/E582))</f>
        <v/>
      </c>
      <c r="J582" s="77" t="str">
        <f aca="false">IF(A582="","",A582&amp;"|"&amp;C582)</f>
        <v/>
      </c>
    </row>
    <row r="583" customFormat="false" ht="15" hidden="false" customHeight="false" outlineLevel="0" collapsed="false">
      <c r="A583" s="71"/>
      <c r="B583" s="71"/>
      <c r="C583" s="71"/>
      <c r="D583" s="71"/>
      <c r="E583" s="72"/>
      <c r="F583" s="77" t="str">
        <f aca="false">IF(A583="","",COUNTIF($A$6:A583,A583))</f>
        <v/>
      </c>
      <c r="G583" s="77" t="str">
        <f aca="false">IF(A583="","",A583&amp;"|"&amp;F583)</f>
        <v/>
      </c>
      <c r="H583" s="77" t="str">
        <f aca="false">IF(A583="","",SUMIFS('Release Log'!$D$6:$D$4005,'Release Log'!$B$6:$B$4005,A583,'Release Log'!$C$6:$C$4005,C583))</f>
        <v/>
      </c>
      <c r="I583" s="77" t="str">
        <f aca="false">IF(OR(A583="",N(E583)=0),"",INT(H583/E583))</f>
        <v/>
      </c>
      <c r="J583" s="77" t="str">
        <f aca="false">IF(A583="","",A583&amp;"|"&amp;C583)</f>
        <v/>
      </c>
    </row>
    <row r="584" customFormat="false" ht="15" hidden="false" customHeight="false" outlineLevel="0" collapsed="false">
      <c r="A584" s="71"/>
      <c r="B584" s="71"/>
      <c r="C584" s="71"/>
      <c r="D584" s="71"/>
      <c r="E584" s="72"/>
      <c r="F584" s="77" t="str">
        <f aca="false">IF(A584="","",COUNTIF($A$6:A584,A584))</f>
        <v/>
      </c>
      <c r="G584" s="77" t="str">
        <f aca="false">IF(A584="","",A584&amp;"|"&amp;F584)</f>
        <v/>
      </c>
      <c r="H584" s="77" t="str">
        <f aca="false">IF(A584="","",SUMIFS('Release Log'!$D$6:$D$4005,'Release Log'!$B$6:$B$4005,A584,'Release Log'!$C$6:$C$4005,C584))</f>
        <v/>
      </c>
      <c r="I584" s="77" t="str">
        <f aca="false">IF(OR(A584="",N(E584)=0),"",INT(H584/E584))</f>
        <v/>
      </c>
      <c r="J584" s="77" t="str">
        <f aca="false">IF(A584="","",A584&amp;"|"&amp;C584)</f>
        <v/>
      </c>
    </row>
    <row r="585" customFormat="false" ht="15" hidden="false" customHeight="false" outlineLevel="0" collapsed="false">
      <c r="A585" s="71"/>
      <c r="B585" s="71"/>
      <c r="C585" s="71"/>
      <c r="D585" s="71"/>
      <c r="E585" s="72"/>
      <c r="F585" s="77" t="str">
        <f aca="false">IF(A585="","",COUNTIF($A$6:A585,A585))</f>
        <v/>
      </c>
      <c r="G585" s="77" t="str">
        <f aca="false">IF(A585="","",A585&amp;"|"&amp;F585)</f>
        <v/>
      </c>
      <c r="H585" s="77" t="str">
        <f aca="false">IF(A585="","",SUMIFS('Release Log'!$D$6:$D$4005,'Release Log'!$B$6:$B$4005,A585,'Release Log'!$C$6:$C$4005,C585))</f>
        <v/>
      </c>
      <c r="I585" s="77" t="str">
        <f aca="false">IF(OR(A585="",N(E585)=0),"",INT(H585/E585))</f>
        <v/>
      </c>
      <c r="J585" s="77" t="str">
        <f aca="false">IF(A585="","",A585&amp;"|"&amp;C585)</f>
        <v/>
      </c>
    </row>
    <row r="586" customFormat="false" ht="15" hidden="false" customHeight="false" outlineLevel="0" collapsed="false">
      <c r="A586" s="71"/>
      <c r="B586" s="71"/>
      <c r="C586" s="71"/>
      <c r="D586" s="71"/>
      <c r="E586" s="72"/>
      <c r="F586" s="77" t="str">
        <f aca="false">IF(A586="","",COUNTIF($A$6:A586,A586))</f>
        <v/>
      </c>
      <c r="G586" s="77" t="str">
        <f aca="false">IF(A586="","",A586&amp;"|"&amp;F586)</f>
        <v/>
      </c>
      <c r="H586" s="77" t="str">
        <f aca="false">IF(A586="","",SUMIFS('Release Log'!$D$6:$D$4005,'Release Log'!$B$6:$B$4005,A586,'Release Log'!$C$6:$C$4005,C586))</f>
        <v/>
      </c>
      <c r="I586" s="77" t="str">
        <f aca="false">IF(OR(A586="",N(E586)=0),"",INT(H586/E586))</f>
        <v/>
      </c>
      <c r="J586" s="77" t="str">
        <f aca="false">IF(A586="","",A586&amp;"|"&amp;C586)</f>
        <v/>
      </c>
    </row>
    <row r="587" customFormat="false" ht="15" hidden="false" customHeight="false" outlineLevel="0" collapsed="false">
      <c r="A587" s="71"/>
      <c r="B587" s="71"/>
      <c r="C587" s="71"/>
      <c r="D587" s="71"/>
      <c r="E587" s="72"/>
      <c r="F587" s="77" t="str">
        <f aca="false">IF(A587="","",COUNTIF($A$6:A587,A587))</f>
        <v/>
      </c>
      <c r="G587" s="77" t="str">
        <f aca="false">IF(A587="","",A587&amp;"|"&amp;F587)</f>
        <v/>
      </c>
      <c r="H587" s="77" t="str">
        <f aca="false">IF(A587="","",SUMIFS('Release Log'!$D$6:$D$4005,'Release Log'!$B$6:$B$4005,A587,'Release Log'!$C$6:$C$4005,C587))</f>
        <v/>
      </c>
      <c r="I587" s="77" t="str">
        <f aca="false">IF(OR(A587="",N(E587)=0),"",INT(H587/E587))</f>
        <v/>
      </c>
      <c r="J587" s="77" t="str">
        <f aca="false">IF(A587="","",A587&amp;"|"&amp;C587)</f>
        <v/>
      </c>
    </row>
    <row r="588" customFormat="false" ht="15" hidden="false" customHeight="false" outlineLevel="0" collapsed="false">
      <c r="A588" s="71"/>
      <c r="B588" s="71"/>
      <c r="C588" s="71"/>
      <c r="D588" s="71"/>
      <c r="E588" s="72"/>
      <c r="F588" s="77" t="str">
        <f aca="false">IF(A588="","",COUNTIF($A$6:A588,A588))</f>
        <v/>
      </c>
      <c r="G588" s="77" t="str">
        <f aca="false">IF(A588="","",A588&amp;"|"&amp;F588)</f>
        <v/>
      </c>
      <c r="H588" s="77" t="str">
        <f aca="false">IF(A588="","",SUMIFS('Release Log'!$D$6:$D$4005,'Release Log'!$B$6:$B$4005,A588,'Release Log'!$C$6:$C$4005,C588))</f>
        <v/>
      </c>
      <c r="I588" s="77" t="str">
        <f aca="false">IF(OR(A588="",N(E588)=0),"",INT(H588/E588))</f>
        <v/>
      </c>
      <c r="J588" s="77" t="str">
        <f aca="false">IF(A588="","",A588&amp;"|"&amp;C588)</f>
        <v/>
      </c>
    </row>
    <row r="589" customFormat="false" ht="15" hidden="false" customHeight="false" outlineLevel="0" collapsed="false">
      <c r="A589" s="71"/>
      <c r="B589" s="71"/>
      <c r="C589" s="71"/>
      <c r="D589" s="71"/>
      <c r="E589" s="72"/>
      <c r="F589" s="77" t="str">
        <f aca="false">IF(A589="","",COUNTIF($A$6:A589,A589))</f>
        <v/>
      </c>
      <c r="G589" s="77" t="str">
        <f aca="false">IF(A589="","",A589&amp;"|"&amp;F589)</f>
        <v/>
      </c>
      <c r="H589" s="77" t="str">
        <f aca="false">IF(A589="","",SUMIFS('Release Log'!$D$6:$D$4005,'Release Log'!$B$6:$B$4005,A589,'Release Log'!$C$6:$C$4005,C589))</f>
        <v/>
      </c>
      <c r="I589" s="77" t="str">
        <f aca="false">IF(OR(A589="",N(E589)=0),"",INT(H589/E589))</f>
        <v/>
      </c>
      <c r="J589" s="77" t="str">
        <f aca="false">IF(A589="","",A589&amp;"|"&amp;C589)</f>
        <v/>
      </c>
    </row>
    <row r="590" customFormat="false" ht="15" hidden="false" customHeight="false" outlineLevel="0" collapsed="false">
      <c r="A590" s="71"/>
      <c r="B590" s="71"/>
      <c r="C590" s="71"/>
      <c r="D590" s="71"/>
      <c r="E590" s="72"/>
      <c r="F590" s="77" t="str">
        <f aca="false">IF(A590="","",COUNTIF($A$6:A590,A590))</f>
        <v/>
      </c>
      <c r="G590" s="77" t="str">
        <f aca="false">IF(A590="","",A590&amp;"|"&amp;F590)</f>
        <v/>
      </c>
      <c r="H590" s="77" t="str">
        <f aca="false">IF(A590="","",SUMIFS('Release Log'!$D$6:$D$4005,'Release Log'!$B$6:$B$4005,A590,'Release Log'!$C$6:$C$4005,C590))</f>
        <v/>
      </c>
      <c r="I590" s="77" t="str">
        <f aca="false">IF(OR(A590="",N(E590)=0),"",INT(H590/E590))</f>
        <v/>
      </c>
      <c r="J590" s="77" t="str">
        <f aca="false">IF(A590="","",A590&amp;"|"&amp;C590)</f>
        <v/>
      </c>
    </row>
    <row r="591" customFormat="false" ht="15" hidden="false" customHeight="false" outlineLevel="0" collapsed="false">
      <c r="A591" s="71"/>
      <c r="B591" s="71"/>
      <c r="C591" s="71"/>
      <c r="D591" s="71"/>
      <c r="E591" s="72"/>
      <c r="F591" s="77" t="str">
        <f aca="false">IF(A591="","",COUNTIF($A$6:A591,A591))</f>
        <v/>
      </c>
      <c r="G591" s="77" t="str">
        <f aca="false">IF(A591="","",A591&amp;"|"&amp;F591)</f>
        <v/>
      </c>
      <c r="H591" s="77" t="str">
        <f aca="false">IF(A591="","",SUMIFS('Release Log'!$D$6:$D$4005,'Release Log'!$B$6:$B$4005,A591,'Release Log'!$C$6:$C$4005,C591))</f>
        <v/>
      </c>
      <c r="I591" s="77" t="str">
        <f aca="false">IF(OR(A591="",N(E591)=0),"",INT(H591/E591))</f>
        <v/>
      </c>
      <c r="J591" s="77" t="str">
        <f aca="false">IF(A591="","",A591&amp;"|"&amp;C591)</f>
        <v/>
      </c>
    </row>
    <row r="592" customFormat="false" ht="15" hidden="false" customHeight="false" outlineLevel="0" collapsed="false">
      <c r="A592" s="71"/>
      <c r="B592" s="71"/>
      <c r="C592" s="71"/>
      <c r="D592" s="71"/>
      <c r="E592" s="72"/>
      <c r="F592" s="77" t="str">
        <f aca="false">IF(A592="","",COUNTIF($A$6:A592,A592))</f>
        <v/>
      </c>
      <c r="G592" s="77" t="str">
        <f aca="false">IF(A592="","",A592&amp;"|"&amp;F592)</f>
        <v/>
      </c>
      <c r="H592" s="77" t="str">
        <f aca="false">IF(A592="","",SUMIFS('Release Log'!$D$6:$D$4005,'Release Log'!$B$6:$B$4005,A592,'Release Log'!$C$6:$C$4005,C592))</f>
        <v/>
      </c>
      <c r="I592" s="77" t="str">
        <f aca="false">IF(OR(A592="",N(E592)=0),"",INT(H592/E592))</f>
        <v/>
      </c>
      <c r="J592" s="77" t="str">
        <f aca="false">IF(A592="","",A592&amp;"|"&amp;C592)</f>
        <v/>
      </c>
    </row>
    <row r="593" customFormat="false" ht="15" hidden="false" customHeight="false" outlineLevel="0" collapsed="false">
      <c r="A593" s="71"/>
      <c r="B593" s="71"/>
      <c r="C593" s="71"/>
      <c r="D593" s="71"/>
      <c r="E593" s="72"/>
      <c r="F593" s="77" t="str">
        <f aca="false">IF(A593="","",COUNTIF($A$6:A593,A593))</f>
        <v/>
      </c>
      <c r="G593" s="77" t="str">
        <f aca="false">IF(A593="","",A593&amp;"|"&amp;F593)</f>
        <v/>
      </c>
      <c r="H593" s="77" t="str">
        <f aca="false">IF(A593="","",SUMIFS('Release Log'!$D$6:$D$4005,'Release Log'!$B$6:$B$4005,A593,'Release Log'!$C$6:$C$4005,C593))</f>
        <v/>
      </c>
      <c r="I593" s="77" t="str">
        <f aca="false">IF(OR(A593="",N(E593)=0),"",INT(H593/E593))</f>
        <v/>
      </c>
      <c r="J593" s="77" t="str">
        <f aca="false">IF(A593="","",A593&amp;"|"&amp;C593)</f>
        <v/>
      </c>
    </row>
    <row r="594" customFormat="false" ht="15" hidden="false" customHeight="false" outlineLevel="0" collapsed="false">
      <c r="A594" s="71"/>
      <c r="B594" s="71"/>
      <c r="C594" s="71"/>
      <c r="D594" s="71"/>
      <c r="E594" s="72"/>
      <c r="F594" s="77" t="str">
        <f aca="false">IF(A594="","",COUNTIF($A$6:A594,A594))</f>
        <v/>
      </c>
      <c r="G594" s="77" t="str">
        <f aca="false">IF(A594="","",A594&amp;"|"&amp;F594)</f>
        <v/>
      </c>
      <c r="H594" s="77" t="str">
        <f aca="false">IF(A594="","",SUMIFS('Release Log'!$D$6:$D$4005,'Release Log'!$B$6:$B$4005,A594,'Release Log'!$C$6:$C$4005,C594))</f>
        <v/>
      </c>
      <c r="I594" s="77" t="str">
        <f aca="false">IF(OR(A594="",N(E594)=0),"",INT(H594/E594))</f>
        <v/>
      </c>
      <c r="J594" s="77" t="str">
        <f aca="false">IF(A594="","",A594&amp;"|"&amp;C594)</f>
        <v/>
      </c>
    </row>
    <row r="595" customFormat="false" ht="15" hidden="false" customHeight="false" outlineLevel="0" collapsed="false">
      <c r="A595" s="71"/>
      <c r="B595" s="71"/>
      <c r="C595" s="71"/>
      <c r="D595" s="71"/>
      <c r="E595" s="72"/>
      <c r="F595" s="77" t="str">
        <f aca="false">IF(A595="","",COUNTIF($A$6:A595,A595))</f>
        <v/>
      </c>
      <c r="G595" s="77" t="str">
        <f aca="false">IF(A595="","",A595&amp;"|"&amp;F595)</f>
        <v/>
      </c>
      <c r="H595" s="77" t="str">
        <f aca="false">IF(A595="","",SUMIFS('Release Log'!$D$6:$D$4005,'Release Log'!$B$6:$B$4005,A595,'Release Log'!$C$6:$C$4005,C595))</f>
        <v/>
      </c>
      <c r="I595" s="77" t="str">
        <f aca="false">IF(OR(A595="",N(E595)=0),"",INT(H595/E595))</f>
        <v/>
      </c>
      <c r="J595" s="77" t="str">
        <f aca="false">IF(A595="","",A595&amp;"|"&amp;C595)</f>
        <v/>
      </c>
    </row>
    <row r="596" customFormat="false" ht="15" hidden="false" customHeight="false" outlineLevel="0" collapsed="false">
      <c r="A596" s="71"/>
      <c r="B596" s="71"/>
      <c r="C596" s="71"/>
      <c r="D596" s="71"/>
      <c r="E596" s="72"/>
      <c r="F596" s="77" t="str">
        <f aca="false">IF(A596="","",COUNTIF($A$6:A596,A596))</f>
        <v/>
      </c>
      <c r="G596" s="77" t="str">
        <f aca="false">IF(A596="","",A596&amp;"|"&amp;F596)</f>
        <v/>
      </c>
      <c r="H596" s="77" t="str">
        <f aca="false">IF(A596="","",SUMIFS('Release Log'!$D$6:$D$4005,'Release Log'!$B$6:$B$4005,A596,'Release Log'!$C$6:$C$4005,C596))</f>
        <v/>
      </c>
      <c r="I596" s="77" t="str">
        <f aca="false">IF(OR(A596="",N(E596)=0),"",INT(H596/E596))</f>
        <v/>
      </c>
      <c r="J596" s="77" t="str">
        <f aca="false">IF(A596="","",A596&amp;"|"&amp;C596)</f>
        <v/>
      </c>
    </row>
    <row r="597" customFormat="false" ht="15" hidden="false" customHeight="false" outlineLevel="0" collapsed="false">
      <c r="A597" s="71"/>
      <c r="B597" s="71"/>
      <c r="C597" s="71"/>
      <c r="D597" s="71"/>
      <c r="E597" s="72"/>
      <c r="F597" s="77" t="str">
        <f aca="false">IF(A597="","",COUNTIF($A$6:A597,A597))</f>
        <v/>
      </c>
      <c r="G597" s="77" t="str">
        <f aca="false">IF(A597="","",A597&amp;"|"&amp;F597)</f>
        <v/>
      </c>
      <c r="H597" s="77" t="str">
        <f aca="false">IF(A597="","",SUMIFS('Release Log'!$D$6:$D$4005,'Release Log'!$B$6:$B$4005,A597,'Release Log'!$C$6:$C$4005,C597))</f>
        <v/>
      </c>
      <c r="I597" s="77" t="str">
        <f aca="false">IF(OR(A597="",N(E597)=0),"",INT(H597/E597))</f>
        <v/>
      </c>
      <c r="J597" s="77" t="str">
        <f aca="false">IF(A597="","",A597&amp;"|"&amp;C597)</f>
        <v/>
      </c>
    </row>
    <row r="598" customFormat="false" ht="15" hidden="false" customHeight="false" outlineLevel="0" collapsed="false">
      <c r="A598" s="71"/>
      <c r="B598" s="71"/>
      <c r="C598" s="71"/>
      <c r="D598" s="71"/>
      <c r="E598" s="72"/>
      <c r="F598" s="77" t="str">
        <f aca="false">IF(A598="","",COUNTIF($A$6:A598,A598))</f>
        <v/>
      </c>
      <c r="G598" s="77" t="str">
        <f aca="false">IF(A598="","",A598&amp;"|"&amp;F598)</f>
        <v/>
      </c>
      <c r="H598" s="77" t="str">
        <f aca="false">IF(A598="","",SUMIFS('Release Log'!$D$6:$D$4005,'Release Log'!$B$6:$B$4005,A598,'Release Log'!$C$6:$C$4005,C598))</f>
        <v/>
      </c>
      <c r="I598" s="77" t="str">
        <f aca="false">IF(OR(A598="",N(E598)=0),"",INT(H598/E598))</f>
        <v/>
      </c>
      <c r="J598" s="77" t="str">
        <f aca="false">IF(A598="","",A598&amp;"|"&amp;C598)</f>
        <v/>
      </c>
    </row>
    <row r="599" customFormat="false" ht="15" hidden="false" customHeight="false" outlineLevel="0" collapsed="false">
      <c r="A599" s="71"/>
      <c r="B599" s="71"/>
      <c r="C599" s="71"/>
      <c r="D599" s="71"/>
      <c r="E599" s="72"/>
      <c r="F599" s="77" t="str">
        <f aca="false">IF(A599="","",COUNTIF($A$6:A599,A599))</f>
        <v/>
      </c>
      <c r="G599" s="77" t="str">
        <f aca="false">IF(A599="","",A599&amp;"|"&amp;F599)</f>
        <v/>
      </c>
      <c r="H599" s="77" t="str">
        <f aca="false">IF(A599="","",SUMIFS('Release Log'!$D$6:$D$4005,'Release Log'!$B$6:$B$4005,A599,'Release Log'!$C$6:$C$4005,C599))</f>
        <v/>
      </c>
      <c r="I599" s="77" t="str">
        <f aca="false">IF(OR(A599="",N(E599)=0),"",INT(H599/E599))</f>
        <v/>
      </c>
      <c r="J599" s="77" t="str">
        <f aca="false">IF(A599="","",A599&amp;"|"&amp;C599)</f>
        <v/>
      </c>
    </row>
    <row r="600" customFormat="false" ht="15" hidden="false" customHeight="false" outlineLevel="0" collapsed="false">
      <c r="A600" s="71"/>
      <c r="B600" s="71"/>
      <c r="C600" s="71"/>
      <c r="D600" s="71"/>
      <c r="E600" s="72"/>
      <c r="F600" s="77" t="str">
        <f aca="false">IF(A600="","",COUNTIF($A$6:A600,A600))</f>
        <v/>
      </c>
      <c r="G600" s="77" t="str">
        <f aca="false">IF(A600="","",A600&amp;"|"&amp;F600)</f>
        <v/>
      </c>
      <c r="H600" s="77" t="str">
        <f aca="false">IF(A600="","",SUMIFS('Release Log'!$D$6:$D$4005,'Release Log'!$B$6:$B$4005,A600,'Release Log'!$C$6:$C$4005,C600))</f>
        <v/>
      </c>
      <c r="I600" s="77" t="str">
        <f aca="false">IF(OR(A600="",N(E600)=0),"",INT(H600/E600))</f>
        <v/>
      </c>
      <c r="J600" s="77" t="str">
        <f aca="false">IF(A600="","",A600&amp;"|"&amp;C600)</f>
        <v/>
      </c>
    </row>
    <row r="601" customFormat="false" ht="15" hidden="false" customHeight="false" outlineLevel="0" collapsed="false">
      <c r="A601" s="71"/>
      <c r="B601" s="71"/>
      <c r="C601" s="71"/>
      <c r="D601" s="71"/>
      <c r="E601" s="72"/>
      <c r="F601" s="77" t="str">
        <f aca="false">IF(A601="","",COUNTIF($A$6:A601,A601))</f>
        <v/>
      </c>
      <c r="G601" s="77" t="str">
        <f aca="false">IF(A601="","",A601&amp;"|"&amp;F601)</f>
        <v/>
      </c>
      <c r="H601" s="77" t="str">
        <f aca="false">IF(A601="","",SUMIFS('Release Log'!$D$6:$D$4005,'Release Log'!$B$6:$B$4005,A601,'Release Log'!$C$6:$C$4005,C601))</f>
        <v/>
      </c>
      <c r="I601" s="77" t="str">
        <f aca="false">IF(OR(A601="",N(E601)=0),"",INT(H601/E601))</f>
        <v/>
      </c>
      <c r="J601" s="77" t="str">
        <f aca="false">IF(A601="","",A601&amp;"|"&amp;C601)</f>
        <v/>
      </c>
    </row>
    <row r="602" customFormat="false" ht="15" hidden="false" customHeight="false" outlineLevel="0" collapsed="false">
      <c r="A602" s="71"/>
      <c r="B602" s="71"/>
      <c r="C602" s="71"/>
      <c r="D602" s="71"/>
      <c r="E602" s="72"/>
      <c r="F602" s="77" t="str">
        <f aca="false">IF(A602="","",COUNTIF($A$6:A602,A602))</f>
        <v/>
      </c>
      <c r="G602" s="77" t="str">
        <f aca="false">IF(A602="","",A602&amp;"|"&amp;F602)</f>
        <v/>
      </c>
      <c r="H602" s="77" t="str">
        <f aca="false">IF(A602="","",SUMIFS('Release Log'!$D$6:$D$4005,'Release Log'!$B$6:$B$4005,A602,'Release Log'!$C$6:$C$4005,C602))</f>
        <v/>
      </c>
      <c r="I602" s="77" t="str">
        <f aca="false">IF(OR(A602="",N(E602)=0),"",INT(H602/E602))</f>
        <v/>
      </c>
      <c r="J602" s="77" t="str">
        <f aca="false">IF(A602="","",A602&amp;"|"&amp;C602)</f>
        <v/>
      </c>
    </row>
    <row r="603" customFormat="false" ht="15" hidden="false" customHeight="false" outlineLevel="0" collapsed="false">
      <c r="A603" s="71"/>
      <c r="B603" s="71"/>
      <c r="C603" s="71"/>
      <c r="D603" s="71"/>
      <c r="E603" s="72"/>
      <c r="F603" s="77" t="str">
        <f aca="false">IF(A603="","",COUNTIF($A$6:A603,A603))</f>
        <v/>
      </c>
      <c r="G603" s="77" t="str">
        <f aca="false">IF(A603="","",A603&amp;"|"&amp;F603)</f>
        <v/>
      </c>
      <c r="H603" s="77" t="str">
        <f aca="false">IF(A603="","",SUMIFS('Release Log'!$D$6:$D$4005,'Release Log'!$B$6:$B$4005,A603,'Release Log'!$C$6:$C$4005,C603))</f>
        <v/>
      </c>
      <c r="I603" s="77" t="str">
        <f aca="false">IF(OR(A603="",N(E603)=0),"",INT(H603/E603))</f>
        <v/>
      </c>
      <c r="J603" s="77" t="str">
        <f aca="false">IF(A603="","",A603&amp;"|"&amp;C603)</f>
        <v/>
      </c>
    </row>
    <row r="604" customFormat="false" ht="15" hidden="false" customHeight="false" outlineLevel="0" collapsed="false">
      <c r="A604" s="71"/>
      <c r="B604" s="71"/>
      <c r="C604" s="71"/>
      <c r="D604" s="71"/>
      <c r="E604" s="72"/>
      <c r="F604" s="77" t="str">
        <f aca="false">IF(A604="","",COUNTIF($A$6:A604,A604))</f>
        <v/>
      </c>
      <c r="G604" s="77" t="str">
        <f aca="false">IF(A604="","",A604&amp;"|"&amp;F604)</f>
        <v/>
      </c>
      <c r="H604" s="77" t="str">
        <f aca="false">IF(A604="","",SUMIFS('Release Log'!$D$6:$D$4005,'Release Log'!$B$6:$B$4005,A604,'Release Log'!$C$6:$C$4005,C604))</f>
        <v/>
      </c>
      <c r="I604" s="77" t="str">
        <f aca="false">IF(OR(A604="",N(E604)=0),"",INT(H604/E604))</f>
        <v/>
      </c>
      <c r="J604" s="77" t="str">
        <f aca="false">IF(A604="","",A604&amp;"|"&amp;C604)</f>
        <v/>
      </c>
    </row>
    <row r="605" customFormat="false" ht="15" hidden="false" customHeight="false" outlineLevel="0" collapsed="false">
      <c r="A605" s="71"/>
      <c r="B605" s="71"/>
      <c r="C605" s="71"/>
      <c r="D605" s="71"/>
      <c r="E605" s="72"/>
      <c r="F605" s="77" t="str">
        <f aca="false">IF(A605="","",COUNTIF($A$6:A605,A605))</f>
        <v/>
      </c>
      <c r="G605" s="77" t="str">
        <f aca="false">IF(A605="","",A605&amp;"|"&amp;F605)</f>
        <v/>
      </c>
      <c r="H605" s="77" t="str">
        <f aca="false">IF(A605="","",SUMIFS('Release Log'!$D$6:$D$4005,'Release Log'!$B$6:$B$4005,A605,'Release Log'!$C$6:$C$4005,C605))</f>
        <v/>
      </c>
      <c r="I605" s="77" t="str">
        <f aca="false">IF(OR(A605="",N(E605)=0),"",INT(H605/E605))</f>
        <v/>
      </c>
      <c r="J605" s="77" t="str">
        <f aca="false">IF(A605="","",A605&amp;"|"&amp;C605)</f>
        <v/>
      </c>
    </row>
  </sheetData>
  <autoFilter ref="A5:I605"/>
  <dataValidations count="1">
    <dataValidation allowBlank="true" errorStyle="stop" operator="between" showDropDown="false" showErrorMessage="false" showInputMessage="false" sqref="A6:A605" type="list">
      <formula1>Contracts!$A$6:$A$65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66" t="s">
        <v>166</v>
      </c>
    </row>
    <row r="2" customFormat="false" ht="15" hidden="false" customHeight="false" outlineLevel="0" collapsed="false">
      <c r="A2" s="67" t="s">
        <v>167</v>
      </c>
    </row>
    <row r="5" customFormat="false" ht="23.85" hidden="false" customHeight="false" outlineLevel="0" collapsed="false">
      <c r="A5" s="68" t="s">
        <v>35</v>
      </c>
      <c r="B5" s="68" t="s">
        <v>168</v>
      </c>
      <c r="C5" s="68" t="s">
        <v>169</v>
      </c>
      <c r="D5" s="68" t="s">
        <v>170</v>
      </c>
      <c r="E5" s="69" t="s">
        <v>171</v>
      </c>
      <c r="F5" s="68" t="s">
        <v>33</v>
      </c>
    </row>
    <row r="6" customFormat="false" ht="15" hidden="false" customHeight="false" outlineLevel="0" collapsed="false">
      <c r="A6" s="71" t="s">
        <v>68</v>
      </c>
      <c r="B6" s="72" t="n">
        <v>2026</v>
      </c>
      <c r="C6" s="72" t="n">
        <v>44</v>
      </c>
      <c r="D6" s="72" t="n">
        <v>1</v>
      </c>
      <c r="E6" s="78" t="n">
        <f aca="false">IF(OR(B6="",C6=""),"",DATE(B6,1,4)-WEEKDAY(DATE(B6,1,4),2)+1+(C6-1)*7)</f>
        <v>46321</v>
      </c>
      <c r="F6" s="71" t="s">
        <v>172</v>
      </c>
    </row>
    <row r="7" customFormat="false" ht="15" hidden="false" customHeight="false" outlineLevel="0" collapsed="false">
      <c r="A7" s="71" t="s">
        <v>68</v>
      </c>
      <c r="B7" s="72" t="n">
        <v>2026</v>
      </c>
      <c r="C7" s="72" t="n">
        <v>45</v>
      </c>
      <c r="D7" s="72" t="n">
        <v>1</v>
      </c>
      <c r="E7" s="78" t="n">
        <f aca="false">IF(OR(B7="",C7=""),"",DATE(B7,1,4)-WEEKDAY(DATE(B7,1,4),2)+1+(C7-1)*7)</f>
        <v>46328</v>
      </c>
      <c r="F7" s="71" t="s">
        <v>172</v>
      </c>
    </row>
    <row r="8" customFormat="false" ht="15" hidden="false" customHeight="false" outlineLevel="0" collapsed="false">
      <c r="A8" s="71" t="s">
        <v>68</v>
      </c>
      <c r="B8" s="72" t="n">
        <v>2026</v>
      </c>
      <c r="C8" s="72" t="n">
        <v>46</v>
      </c>
      <c r="D8" s="72" t="n">
        <v>1</v>
      </c>
      <c r="E8" s="78" t="n">
        <f aca="false">IF(OR(B8="",C8=""),"",DATE(B8,1,4)-WEEKDAY(DATE(B8,1,4),2)+1+(C8-1)*7)</f>
        <v>46335</v>
      </c>
      <c r="F8" s="71" t="s">
        <v>172</v>
      </c>
    </row>
    <row r="9" customFormat="false" ht="15" hidden="false" customHeight="false" outlineLevel="0" collapsed="false">
      <c r="A9" s="71" t="s">
        <v>68</v>
      </c>
      <c r="B9" s="72" t="n">
        <v>2026</v>
      </c>
      <c r="C9" s="72" t="n">
        <v>47</v>
      </c>
      <c r="D9" s="72" t="n">
        <v>1</v>
      </c>
      <c r="E9" s="78" t="n">
        <f aca="false">IF(OR(B9="",C9=""),"",DATE(B9,1,4)-WEEKDAY(DATE(B9,1,4),2)+1+(C9-1)*7)</f>
        <v>46342</v>
      </c>
      <c r="F9" s="71" t="s">
        <v>172</v>
      </c>
    </row>
    <row r="10" customFormat="false" ht="15" hidden="false" customHeight="false" outlineLevel="0" collapsed="false">
      <c r="A10" s="71" t="s">
        <v>68</v>
      </c>
      <c r="B10" s="72" t="n">
        <v>2026</v>
      </c>
      <c r="C10" s="72" t="n">
        <v>48</v>
      </c>
      <c r="D10" s="72" t="n">
        <v>2</v>
      </c>
      <c r="E10" s="78" t="n">
        <f aca="false">IF(OR(B10="",C10=""),"",DATE(B10,1,4)-WEEKDAY(DATE(B10,1,4),2)+1+(C10-1)*7)</f>
        <v>46349</v>
      </c>
      <c r="F10" s="71" t="s">
        <v>172</v>
      </c>
    </row>
    <row r="11" customFormat="false" ht="15" hidden="false" customHeight="false" outlineLevel="0" collapsed="false">
      <c r="A11" s="71" t="s">
        <v>68</v>
      </c>
      <c r="B11" s="72" t="n">
        <v>2026</v>
      </c>
      <c r="C11" s="72" t="n">
        <v>49</v>
      </c>
      <c r="D11" s="72" t="n">
        <v>1</v>
      </c>
      <c r="E11" s="78" t="n">
        <f aca="false">IF(OR(B11="",C11=""),"",DATE(B11,1,4)-WEEKDAY(DATE(B11,1,4),2)+1+(C11-1)*7)</f>
        <v>46356</v>
      </c>
      <c r="F11" s="71" t="s">
        <v>172</v>
      </c>
    </row>
    <row r="12" customFormat="false" ht="15" hidden="false" customHeight="false" outlineLevel="0" collapsed="false">
      <c r="A12" s="71" t="s">
        <v>68</v>
      </c>
      <c r="B12" s="72" t="n">
        <v>2027</v>
      </c>
      <c r="C12" s="72" t="n">
        <v>4</v>
      </c>
      <c r="D12" s="72" t="n">
        <v>1</v>
      </c>
      <c r="E12" s="78" t="n">
        <f aca="false">IF(OR(B12="",C12=""),"",DATE(B12,1,4)-WEEKDAY(DATE(B12,1,4),2)+1+(C12-1)*7)</f>
        <v>46412</v>
      </c>
      <c r="F12" s="71" t="s">
        <v>172</v>
      </c>
    </row>
    <row r="13" customFormat="false" ht="15" hidden="false" customHeight="false" outlineLevel="0" collapsed="false">
      <c r="A13" s="71" t="s">
        <v>68</v>
      </c>
      <c r="B13" s="72" t="n">
        <v>2027</v>
      </c>
      <c r="C13" s="72" t="n">
        <v>5</v>
      </c>
      <c r="D13" s="72" t="n">
        <v>4</v>
      </c>
      <c r="E13" s="78" t="n">
        <f aca="false">IF(OR(B13="",C13=""),"",DATE(B13,1,4)-WEEKDAY(DATE(B13,1,4),2)+1+(C13-1)*7)</f>
        <v>46419</v>
      </c>
      <c r="F13" s="71" t="s">
        <v>172</v>
      </c>
    </row>
    <row r="14" customFormat="false" ht="15" hidden="false" customHeight="false" outlineLevel="0" collapsed="false">
      <c r="A14" s="71" t="s">
        <v>68</v>
      </c>
      <c r="B14" s="72" t="n">
        <v>2027</v>
      </c>
      <c r="C14" s="72" t="n">
        <v>6</v>
      </c>
      <c r="D14" s="72" t="n">
        <v>3</v>
      </c>
      <c r="E14" s="78" t="n">
        <f aca="false">IF(OR(B14="",C14=""),"",DATE(B14,1,4)-WEEKDAY(DATE(B14,1,4),2)+1+(C14-1)*7)</f>
        <v>46426</v>
      </c>
      <c r="F14" s="71" t="s">
        <v>172</v>
      </c>
    </row>
    <row r="15" customFormat="false" ht="15" hidden="false" customHeight="false" outlineLevel="0" collapsed="false">
      <c r="A15" s="71" t="s">
        <v>68</v>
      </c>
      <c r="B15" s="72" t="n">
        <v>2027</v>
      </c>
      <c r="C15" s="72" t="n">
        <v>7</v>
      </c>
      <c r="D15" s="72" t="n">
        <v>4</v>
      </c>
      <c r="E15" s="78" t="n">
        <f aca="false">IF(OR(B15="",C15=""),"",DATE(B15,1,4)-WEEKDAY(DATE(B15,1,4),2)+1+(C15-1)*7)</f>
        <v>46433</v>
      </c>
      <c r="F15" s="71" t="s">
        <v>172</v>
      </c>
    </row>
    <row r="16" customFormat="false" ht="15" hidden="false" customHeight="false" outlineLevel="0" collapsed="false">
      <c r="A16" s="71" t="s">
        <v>68</v>
      </c>
      <c r="B16" s="72" t="n">
        <v>2027</v>
      </c>
      <c r="C16" s="72" t="n">
        <v>8</v>
      </c>
      <c r="D16" s="72" t="n">
        <v>4</v>
      </c>
      <c r="E16" s="78" t="n">
        <f aca="false">IF(OR(B16="",C16=""),"",DATE(B16,1,4)-WEEKDAY(DATE(B16,1,4),2)+1+(C16-1)*7)</f>
        <v>46440</v>
      </c>
      <c r="F16" s="71" t="s">
        <v>172</v>
      </c>
    </row>
    <row r="17" customFormat="false" ht="15" hidden="false" customHeight="false" outlineLevel="0" collapsed="false">
      <c r="A17" s="71" t="s">
        <v>68</v>
      </c>
      <c r="B17" s="72" t="n">
        <v>2027</v>
      </c>
      <c r="C17" s="72" t="n">
        <v>9</v>
      </c>
      <c r="D17" s="72" t="n">
        <v>4</v>
      </c>
      <c r="E17" s="78" t="n">
        <f aca="false">IF(OR(B17="",C17=""),"",DATE(B17,1,4)-WEEKDAY(DATE(B17,1,4),2)+1+(C17-1)*7)</f>
        <v>46447</v>
      </c>
      <c r="F17" s="71" t="s">
        <v>172</v>
      </c>
    </row>
    <row r="18" customFormat="false" ht="15" hidden="false" customHeight="false" outlineLevel="0" collapsed="false">
      <c r="A18" s="71" t="s">
        <v>68</v>
      </c>
      <c r="B18" s="72" t="n">
        <v>2027</v>
      </c>
      <c r="C18" s="72" t="n">
        <v>10</v>
      </c>
      <c r="D18" s="72" t="n">
        <v>5</v>
      </c>
      <c r="E18" s="78" t="n">
        <f aca="false">IF(OR(B18="",C18=""),"",DATE(B18,1,4)-WEEKDAY(DATE(B18,1,4),2)+1+(C18-1)*7)</f>
        <v>46454</v>
      </c>
      <c r="F18" s="71" t="s">
        <v>172</v>
      </c>
    </row>
    <row r="19" customFormat="false" ht="15" hidden="false" customHeight="false" outlineLevel="0" collapsed="false">
      <c r="A19" s="71" t="s">
        <v>68</v>
      </c>
      <c r="B19" s="72" t="n">
        <v>2027</v>
      </c>
      <c r="C19" s="72" t="n">
        <v>11</v>
      </c>
      <c r="D19" s="72" t="n">
        <v>4</v>
      </c>
      <c r="E19" s="78" t="n">
        <f aca="false">IF(OR(B19="",C19=""),"",DATE(B19,1,4)-WEEKDAY(DATE(B19,1,4),2)+1+(C19-1)*7)</f>
        <v>46461</v>
      </c>
      <c r="F19" s="71" t="s">
        <v>172</v>
      </c>
    </row>
    <row r="20" customFormat="false" ht="15" hidden="false" customHeight="false" outlineLevel="0" collapsed="false">
      <c r="A20" s="71" t="s">
        <v>68</v>
      </c>
      <c r="B20" s="72" t="n">
        <v>2027</v>
      </c>
      <c r="C20" s="72" t="n">
        <v>12</v>
      </c>
      <c r="D20" s="72" t="n">
        <v>4</v>
      </c>
      <c r="E20" s="78" t="n">
        <f aca="false">IF(OR(B20="",C20=""),"",DATE(B20,1,4)-WEEKDAY(DATE(B20,1,4),2)+1+(C20-1)*7)</f>
        <v>46468</v>
      </c>
      <c r="F20" s="71" t="s">
        <v>172</v>
      </c>
    </row>
    <row r="21" customFormat="false" ht="15" hidden="false" customHeight="false" outlineLevel="0" collapsed="false">
      <c r="A21" s="71" t="s">
        <v>68</v>
      </c>
      <c r="B21" s="72" t="n">
        <v>2027</v>
      </c>
      <c r="C21" s="72" t="n">
        <v>13</v>
      </c>
      <c r="D21" s="72" t="n">
        <v>5</v>
      </c>
      <c r="E21" s="78" t="n">
        <f aca="false">IF(OR(B21="",C21=""),"",DATE(B21,1,4)-WEEKDAY(DATE(B21,1,4),2)+1+(C21-1)*7)</f>
        <v>46475</v>
      </c>
      <c r="F21" s="71" t="s">
        <v>172</v>
      </c>
    </row>
    <row r="22" customFormat="false" ht="15" hidden="false" customHeight="false" outlineLevel="0" collapsed="false">
      <c r="A22" s="71" t="s">
        <v>68</v>
      </c>
      <c r="B22" s="72" t="n">
        <v>2027</v>
      </c>
      <c r="C22" s="72" t="n">
        <v>14</v>
      </c>
      <c r="D22" s="72" t="n">
        <v>4</v>
      </c>
      <c r="E22" s="78" t="n">
        <f aca="false">IF(OR(B22="",C22=""),"",DATE(B22,1,4)-WEEKDAY(DATE(B22,1,4),2)+1+(C22-1)*7)</f>
        <v>46482</v>
      </c>
      <c r="F22" s="71" t="s">
        <v>172</v>
      </c>
    </row>
    <row r="23" customFormat="false" ht="15" hidden="false" customHeight="false" outlineLevel="0" collapsed="false">
      <c r="A23" s="71" t="s">
        <v>68</v>
      </c>
      <c r="B23" s="72" t="n">
        <v>2027</v>
      </c>
      <c r="C23" s="72" t="n">
        <v>15</v>
      </c>
      <c r="D23" s="72" t="n">
        <v>3</v>
      </c>
      <c r="E23" s="78" t="n">
        <f aca="false">IF(OR(B23="",C23=""),"",DATE(B23,1,4)-WEEKDAY(DATE(B23,1,4),2)+1+(C23-1)*7)</f>
        <v>46489</v>
      </c>
      <c r="F23" s="71" t="s">
        <v>172</v>
      </c>
    </row>
    <row r="24" customFormat="false" ht="15" hidden="false" customHeight="false" outlineLevel="0" collapsed="false">
      <c r="A24" s="71" t="s">
        <v>68</v>
      </c>
      <c r="B24" s="72" t="n">
        <v>2027</v>
      </c>
      <c r="C24" s="72" t="n">
        <v>16</v>
      </c>
      <c r="D24" s="72" t="n">
        <v>4</v>
      </c>
      <c r="E24" s="78" t="n">
        <f aca="false">IF(OR(B24="",C24=""),"",DATE(B24,1,4)-WEEKDAY(DATE(B24,1,4),2)+1+(C24-1)*7)</f>
        <v>46496</v>
      </c>
      <c r="F24" s="71" t="s">
        <v>172</v>
      </c>
    </row>
    <row r="25" customFormat="false" ht="15" hidden="false" customHeight="false" outlineLevel="0" collapsed="false">
      <c r="A25" s="71" t="s">
        <v>68</v>
      </c>
      <c r="B25" s="72" t="n">
        <v>2027</v>
      </c>
      <c r="C25" s="72" t="n">
        <v>17</v>
      </c>
      <c r="D25" s="72" t="n">
        <v>4</v>
      </c>
      <c r="E25" s="78" t="n">
        <f aca="false">IF(OR(B25="",C25=""),"",DATE(B25,1,4)-WEEKDAY(DATE(B25,1,4),2)+1+(C25-1)*7)</f>
        <v>46503</v>
      </c>
      <c r="F25" s="71" t="s">
        <v>172</v>
      </c>
    </row>
    <row r="26" customFormat="false" ht="15" hidden="false" customHeight="false" outlineLevel="0" collapsed="false">
      <c r="A26" s="71" t="s">
        <v>68</v>
      </c>
      <c r="B26" s="72" t="n">
        <v>2027</v>
      </c>
      <c r="C26" s="72" t="n">
        <v>18</v>
      </c>
      <c r="D26" s="72" t="n">
        <v>2</v>
      </c>
      <c r="E26" s="78" t="n">
        <f aca="false">IF(OR(B26="",C26=""),"",DATE(B26,1,4)-WEEKDAY(DATE(B26,1,4),2)+1+(C26-1)*7)</f>
        <v>46510</v>
      </c>
      <c r="F26" s="71" t="s">
        <v>172</v>
      </c>
    </row>
    <row r="27" customFormat="false" ht="15" hidden="false" customHeight="false" outlineLevel="0" collapsed="false">
      <c r="A27" s="71" t="s">
        <v>68</v>
      </c>
      <c r="B27" s="72" t="n">
        <v>2027</v>
      </c>
      <c r="C27" s="72" t="n">
        <v>19</v>
      </c>
      <c r="D27" s="72" t="n">
        <v>1</v>
      </c>
      <c r="E27" s="78" t="n">
        <f aca="false">IF(OR(B27="",C27=""),"",DATE(B27,1,4)-WEEKDAY(DATE(B27,1,4),2)+1+(C27-1)*7)</f>
        <v>46517</v>
      </c>
      <c r="F27" s="71" t="s">
        <v>172</v>
      </c>
    </row>
    <row r="28" customFormat="false" ht="15" hidden="false" customHeight="false" outlineLevel="0" collapsed="false">
      <c r="A28" s="71" t="s">
        <v>68</v>
      </c>
      <c r="B28" s="72" t="n">
        <v>2027</v>
      </c>
      <c r="C28" s="72" t="n">
        <v>26</v>
      </c>
      <c r="D28" s="72" t="n">
        <v>5</v>
      </c>
      <c r="E28" s="78" t="n">
        <f aca="false">IF(OR(B28="",C28=""),"",DATE(B28,1,4)-WEEKDAY(DATE(B28,1,4),2)+1+(C28-1)*7)</f>
        <v>46566</v>
      </c>
      <c r="F28" s="71" t="s">
        <v>172</v>
      </c>
    </row>
    <row r="29" customFormat="false" ht="15" hidden="false" customHeight="false" outlineLevel="0" collapsed="false">
      <c r="A29" s="71" t="s">
        <v>68</v>
      </c>
      <c r="B29" s="72" t="n">
        <v>2027</v>
      </c>
      <c r="C29" s="72" t="n">
        <v>27</v>
      </c>
      <c r="D29" s="72" t="n">
        <v>6</v>
      </c>
      <c r="E29" s="78" t="n">
        <f aca="false">IF(OR(B29="",C29=""),"",DATE(B29,1,4)-WEEKDAY(DATE(B29,1,4),2)+1+(C29-1)*7)</f>
        <v>46573</v>
      </c>
      <c r="F29" s="71" t="s">
        <v>172</v>
      </c>
    </row>
    <row r="30" customFormat="false" ht="15" hidden="false" customHeight="false" outlineLevel="0" collapsed="false">
      <c r="A30" s="71" t="s">
        <v>68</v>
      </c>
      <c r="B30" s="72" t="n">
        <v>2027</v>
      </c>
      <c r="C30" s="72" t="n">
        <v>28</v>
      </c>
      <c r="D30" s="72" t="n">
        <v>7</v>
      </c>
      <c r="E30" s="78" t="n">
        <f aca="false">IF(OR(B30="",C30=""),"",DATE(B30,1,4)-WEEKDAY(DATE(B30,1,4),2)+1+(C30-1)*7)</f>
        <v>46580</v>
      </c>
      <c r="F30" s="71" t="s">
        <v>172</v>
      </c>
    </row>
    <row r="31" customFormat="false" ht="15" hidden="false" customHeight="false" outlineLevel="0" collapsed="false">
      <c r="A31" s="71" t="s">
        <v>68</v>
      </c>
      <c r="B31" s="72" t="n">
        <v>2027</v>
      </c>
      <c r="C31" s="72" t="n">
        <v>29</v>
      </c>
      <c r="D31" s="72" t="n">
        <v>7</v>
      </c>
      <c r="E31" s="78" t="n">
        <f aca="false">IF(OR(B31="",C31=""),"",DATE(B31,1,4)-WEEKDAY(DATE(B31,1,4),2)+1+(C31-1)*7)</f>
        <v>46587</v>
      </c>
      <c r="F31" s="71" t="s">
        <v>172</v>
      </c>
    </row>
    <row r="32" customFormat="false" ht="15" hidden="false" customHeight="false" outlineLevel="0" collapsed="false">
      <c r="A32" s="71" t="s">
        <v>68</v>
      </c>
      <c r="B32" s="72" t="n">
        <v>2027</v>
      </c>
      <c r="C32" s="72" t="n">
        <v>30</v>
      </c>
      <c r="D32" s="72" t="n">
        <v>7</v>
      </c>
      <c r="E32" s="78" t="n">
        <f aca="false">IF(OR(B32="",C32=""),"",DATE(B32,1,4)-WEEKDAY(DATE(B32,1,4),2)+1+(C32-1)*7)</f>
        <v>46594</v>
      </c>
      <c r="F32" s="71" t="s">
        <v>172</v>
      </c>
    </row>
    <row r="33" customFormat="false" ht="15" hidden="false" customHeight="false" outlineLevel="0" collapsed="false">
      <c r="A33" s="71" t="s">
        <v>68</v>
      </c>
      <c r="B33" s="72" t="n">
        <v>2027</v>
      </c>
      <c r="C33" s="72" t="n">
        <v>31</v>
      </c>
      <c r="D33" s="72" t="n">
        <v>7</v>
      </c>
      <c r="E33" s="78" t="n">
        <f aca="false">IF(OR(B33="",C33=""),"",DATE(B33,1,4)-WEEKDAY(DATE(B33,1,4),2)+1+(C33-1)*7)</f>
        <v>46601</v>
      </c>
      <c r="F33" s="71" t="s">
        <v>172</v>
      </c>
    </row>
    <row r="34" customFormat="false" ht="15" hidden="false" customHeight="false" outlineLevel="0" collapsed="false">
      <c r="A34" s="71" t="s">
        <v>68</v>
      </c>
      <c r="B34" s="72" t="n">
        <v>2027</v>
      </c>
      <c r="C34" s="72" t="n">
        <v>32</v>
      </c>
      <c r="D34" s="72" t="n">
        <v>7</v>
      </c>
      <c r="E34" s="78" t="n">
        <f aca="false">IF(OR(B34="",C34=""),"",DATE(B34,1,4)-WEEKDAY(DATE(B34,1,4),2)+1+(C34-1)*7)</f>
        <v>46608</v>
      </c>
      <c r="F34" s="71" t="s">
        <v>172</v>
      </c>
    </row>
    <row r="35" customFormat="false" ht="15" hidden="false" customHeight="false" outlineLevel="0" collapsed="false">
      <c r="A35" s="71" t="s">
        <v>68</v>
      </c>
      <c r="B35" s="72" t="n">
        <v>2027</v>
      </c>
      <c r="C35" s="72" t="n">
        <v>33</v>
      </c>
      <c r="D35" s="72" t="n">
        <v>7</v>
      </c>
      <c r="E35" s="78" t="n">
        <f aca="false">IF(OR(B35="",C35=""),"",DATE(B35,1,4)-WEEKDAY(DATE(B35,1,4),2)+1+(C35-1)*7)</f>
        <v>46615</v>
      </c>
      <c r="F35" s="71" t="s">
        <v>172</v>
      </c>
    </row>
    <row r="36" customFormat="false" ht="15" hidden="false" customHeight="false" outlineLevel="0" collapsed="false">
      <c r="A36" s="71" t="s">
        <v>68</v>
      </c>
      <c r="B36" s="72" t="n">
        <v>2027</v>
      </c>
      <c r="C36" s="72" t="n">
        <v>34</v>
      </c>
      <c r="D36" s="72" t="n">
        <v>8</v>
      </c>
      <c r="E36" s="78" t="n">
        <f aca="false">IF(OR(B36="",C36=""),"",DATE(B36,1,4)-WEEKDAY(DATE(B36,1,4),2)+1+(C36-1)*7)</f>
        <v>46622</v>
      </c>
      <c r="F36" s="71" t="s">
        <v>172</v>
      </c>
    </row>
    <row r="37" customFormat="false" ht="15" hidden="false" customHeight="false" outlineLevel="0" collapsed="false">
      <c r="A37" s="71" t="s">
        <v>68</v>
      </c>
      <c r="B37" s="72" t="n">
        <v>2027</v>
      </c>
      <c r="C37" s="72" t="n">
        <v>35</v>
      </c>
      <c r="D37" s="72" t="n">
        <v>7</v>
      </c>
      <c r="E37" s="78" t="n">
        <f aca="false">IF(OR(B37="",C37=""),"",DATE(B37,1,4)-WEEKDAY(DATE(B37,1,4),2)+1+(C37-1)*7)</f>
        <v>46629</v>
      </c>
      <c r="F37" s="71" t="s">
        <v>172</v>
      </c>
    </row>
    <row r="38" customFormat="false" ht="15" hidden="false" customHeight="false" outlineLevel="0" collapsed="false">
      <c r="A38" s="71" t="s">
        <v>68</v>
      </c>
      <c r="B38" s="72" t="n">
        <v>2027</v>
      </c>
      <c r="C38" s="72" t="n">
        <v>36</v>
      </c>
      <c r="D38" s="72" t="n">
        <v>7</v>
      </c>
      <c r="E38" s="78" t="n">
        <f aca="false">IF(OR(B38="",C38=""),"",DATE(B38,1,4)-WEEKDAY(DATE(B38,1,4),2)+1+(C38-1)*7)</f>
        <v>46636</v>
      </c>
      <c r="F38" s="71" t="s">
        <v>172</v>
      </c>
    </row>
    <row r="39" customFormat="false" ht="15" hidden="false" customHeight="false" outlineLevel="0" collapsed="false">
      <c r="A39" s="71" t="s">
        <v>68</v>
      </c>
      <c r="B39" s="72" t="n">
        <v>2027</v>
      </c>
      <c r="C39" s="72" t="n">
        <v>37</v>
      </c>
      <c r="D39" s="72" t="n">
        <v>6</v>
      </c>
      <c r="E39" s="78" t="n">
        <f aca="false">IF(OR(B39="",C39=""),"",DATE(B39,1,4)-WEEKDAY(DATE(B39,1,4),2)+1+(C39-1)*7)</f>
        <v>46643</v>
      </c>
      <c r="F39" s="71" t="s">
        <v>172</v>
      </c>
    </row>
    <row r="40" customFormat="false" ht="15" hidden="false" customHeight="false" outlineLevel="0" collapsed="false">
      <c r="A40" s="71" t="s">
        <v>68</v>
      </c>
      <c r="B40" s="72" t="n">
        <v>2027</v>
      </c>
      <c r="C40" s="72" t="n">
        <v>38</v>
      </c>
      <c r="D40" s="72" t="n">
        <v>8</v>
      </c>
      <c r="E40" s="78" t="n">
        <f aca="false">IF(OR(B40="",C40=""),"",DATE(B40,1,4)-WEEKDAY(DATE(B40,1,4),2)+1+(C40-1)*7)</f>
        <v>46650</v>
      </c>
      <c r="F40" s="71" t="s">
        <v>172</v>
      </c>
    </row>
    <row r="41" customFormat="false" ht="15" hidden="false" customHeight="false" outlineLevel="0" collapsed="false">
      <c r="A41" s="71" t="s">
        <v>68</v>
      </c>
      <c r="B41" s="72" t="n">
        <v>2027</v>
      </c>
      <c r="C41" s="72" t="n">
        <v>39</v>
      </c>
      <c r="D41" s="72" t="n">
        <v>7</v>
      </c>
      <c r="E41" s="78" t="n">
        <f aca="false">IF(OR(B41="",C41=""),"",DATE(B41,1,4)-WEEKDAY(DATE(B41,1,4),2)+1+(C41-1)*7)</f>
        <v>46657</v>
      </c>
      <c r="F41" s="71" t="s">
        <v>172</v>
      </c>
    </row>
    <row r="42" customFormat="false" ht="15" hidden="false" customHeight="false" outlineLevel="0" collapsed="false">
      <c r="A42" s="71" t="s">
        <v>68</v>
      </c>
      <c r="B42" s="72" t="n">
        <v>2027</v>
      </c>
      <c r="C42" s="72" t="n">
        <v>40</v>
      </c>
      <c r="D42" s="72" t="n">
        <v>7</v>
      </c>
      <c r="E42" s="78" t="n">
        <f aca="false">IF(OR(B42="",C42=""),"",DATE(B42,1,4)-WEEKDAY(DATE(B42,1,4),2)+1+(C42-1)*7)</f>
        <v>46664</v>
      </c>
      <c r="F42" s="71" t="s">
        <v>172</v>
      </c>
    </row>
    <row r="43" customFormat="false" ht="15" hidden="false" customHeight="false" outlineLevel="0" collapsed="false">
      <c r="A43" s="71" t="s">
        <v>68</v>
      </c>
      <c r="B43" s="72" t="n">
        <v>2027</v>
      </c>
      <c r="C43" s="72" t="n">
        <v>41</v>
      </c>
      <c r="D43" s="72" t="n">
        <v>7</v>
      </c>
      <c r="E43" s="78" t="n">
        <f aca="false">IF(OR(B43="",C43=""),"",DATE(B43,1,4)-WEEKDAY(DATE(B43,1,4),2)+1+(C43-1)*7)</f>
        <v>46671</v>
      </c>
      <c r="F43" s="71" t="s">
        <v>172</v>
      </c>
    </row>
    <row r="44" customFormat="false" ht="15" hidden="false" customHeight="false" outlineLevel="0" collapsed="false">
      <c r="A44" s="71" t="s">
        <v>68</v>
      </c>
      <c r="B44" s="72" t="n">
        <v>2027</v>
      </c>
      <c r="C44" s="72" t="n">
        <v>42</v>
      </c>
      <c r="D44" s="72" t="n">
        <v>5</v>
      </c>
      <c r="E44" s="78" t="n">
        <f aca="false">IF(OR(B44="",C44=""),"",DATE(B44,1,4)-WEEKDAY(DATE(B44,1,4),2)+1+(C44-1)*7)</f>
        <v>46678</v>
      </c>
      <c r="F44" s="71" t="s">
        <v>172</v>
      </c>
    </row>
    <row r="45" customFormat="false" ht="15" hidden="false" customHeight="false" outlineLevel="0" collapsed="false">
      <c r="A45" s="71" t="s">
        <v>68</v>
      </c>
      <c r="B45" s="72" t="n">
        <v>2027</v>
      </c>
      <c r="C45" s="72" t="n">
        <v>43</v>
      </c>
      <c r="D45" s="72" t="n">
        <v>7</v>
      </c>
      <c r="E45" s="78" t="n">
        <f aca="false">IF(OR(B45="",C45=""),"",DATE(B45,1,4)-WEEKDAY(DATE(B45,1,4),2)+1+(C45-1)*7)</f>
        <v>46685</v>
      </c>
      <c r="F45" s="71" t="s">
        <v>172</v>
      </c>
    </row>
    <row r="46" customFormat="false" ht="15" hidden="false" customHeight="false" outlineLevel="0" collapsed="false">
      <c r="A46" s="71" t="s">
        <v>68</v>
      </c>
      <c r="B46" s="72" t="n">
        <v>2027</v>
      </c>
      <c r="C46" s="72" t="n">
        <v>44</v>
      </c>
      <c r="D46" s="72" t="n">
        <v>8</v>
      </c>
      <c r="E46" s="78" t="n">
        <f aca="false">IF(OR(B46="",C46=""),"",DATE(B46,1,4)-WEEKDAY(DATE(B46,1,4),2)+1+(C46-1)*7)</f>
        <v>46692</v>
      </c>
      <c r="F46" s="71" t="s">
        <v>172</v>
      </c>
    </row>
    <row r="47" customFormat="false" ht="15" hidden="false" customHeight="false" outlineLevel="0" collapsed="false">
      <c r="A47" s="71" t="s">
        <v>68</v>
      </c>
      <c r="B47" s="72" t="n">
        <v>2027</v>
      </c>
      <c r="C47" s="72" t="n">
        <v>45</v>
      </c>
      <c r="D47" s="72" t="n">
        <v>7</v>
      </c>
      <c r="E47" s="78" t="n">
        <f aca="false">IF(OR(B47="",C47=""),"",DATE(B47,1,4)-WEEKDAY(DATE(B47,1,4),2)+1+(C47-1)*7)</f>
        <v>46699</v>
      </c>
      <c r="F47" s="71" t="s">
        <v>172</v>
      </c>
    </row>
    <row r="48" customFormat="false" ht="15" hidden="false" customHeight="false" outlineLevel="0" collapsed="false">
      <c r="A48" s="71" t="s">
        <v>68</v>
      </c>
      <c r="B48" s="72" t="n">
        <v>2027</v>
      </c>
      <c r="C48" s="72" t="n">
        <v>46</v>
      </c>
      <c r="D48" s="72" t="n">
        <v>7</v>
      </c>
      <c r="E48" s="78" t="n">
        <f aca="false">IF(OR(B48="",C48=""),"",DATE(B48,1,4)-WEEKDAY(DATE(B48,1,4),2)+1+(C48-1)*7)</f>
        <v>46706</v>
      </c>
      <c r="F48" s="71" t="s">
        <v>172</v>
      </c>
    </row>
    <row r="49" customFormat="false" ht="15" hidden="false" customHeight="false" outlineLevel="0" collapsed="false">
      <c r="A49" s="71" t="s">
        <v>68</v>
      </c>
      <c r="B49" s="72" t="n">
        <v>2027</v>
      </c>
      <c r="C49" s="72" t="n">
        <v>47</v>
      </c>
      <c r="D49" s="72" t="n">
        <v>7</v>
      </c>
      <c r="E49" s="78" t="n">
        <f aca="false">IF(OR(B49="",C49=""),"",DATE(B49,1,4)-WEEKDAY(DATE(B49,1,4),2)+1+(C49-1)*7)</f>
        <v>46713</v>
      </c>
      <c r="F49" s="71" t="s">
        <v>172</v>
      </c>
    </row>
    <row r="50" customFormat="false" ht="15" hidden="false" customHeight="false" outlineLevel="0" collapsed="false">
      <c r="A50" s="71" t="s">
        <v>68</v>
      </c>
      <c r="B50" s="72" t="n">
        <v>2027</v>
      </c>
      <c r="C50" s="72" t="n">
        <v>48</v>
      </c>
      <c r="D50" s="72" t="n">
        <v>7</v>
      </c>
      <c r="E50" s="78" t="n">
        <f aca="false">IF(OR(B50="",C50=""),"",DATE(B50,1,4)-WEEKDAY(DATE(B50,1,4),2)+1+(C50-1)*7)</f>
        <v>46720</v>
      </c>
      <c r="F50" s="71" t="s">
        <v>172</v>
      </c>
    </row>
    <row r="51" customFormat="false" ht="15" hidden="false" customHeight="false" outlineLevel="0" collapsed="false">
      <c r="A51" s="71" t="s">
        <v>68</v>
      </c>
      <c r="B51" s="72" t="n">
        <v>2027</v>
      </c>
      <c r="C51" s="72" t="n">
        <v>49</v>
      </c>
      <c r="D51" s="72" t="n">
        <v>7</v>
      </c>
      <c r="E51" s="78" t="n">
        <f aca="false">IF(OR(B51="",C51=""),"",DATE(B51,1,4)-WEEKDAY(DATE(B51,1,4),2)+1+(C51-1)*7)</f>
        <v>46727</v>
      </c>
      <c r="F51" s="71" t="s">
        <v>172</v>
      </c>
    </row>
    <row r="52" customFormat="false" ht="15" hidden="false" customHeight="false" outlineLevel="0" collapsed="false">
      <c r="A52" s="71" t="s">
        <v>68</v>
      </c>
      <c r="B52" s="72" t="n">
        <v>2027</v>
      </c>
      <c r="C52" s="72" t="n">
        <v>50</v>
      </c>
      <c r="D52" s="72" t="n">
        <v>8</v>
      </c>
      <c r="E52" s="78" t="n">
        <f aca="false">IF(OR(B52="",C52=""),"",DATE(B52,1,4)-WEEKDAY(DATE(B52,1,4),2)+1+(C52-1)*7)</f>
        <v>46734</v>
      </c>
      <c r="F52" s="71" t="s">
        <v>172</v>
      </c>
    </row>
    <row r="53" customFormat="false" ht="15" hidden="false" customHeight="false" outlineLevel="0" collapsed="false">
      <c r="A53" s="71" t="s">
        <v>68</v>
      </c>
      <c r="B53" s="72" t="n">
        <v>2027</v>
      </c>
      <c r="C53" s="72" t="n">
        <v>51</v>
      </c>
      <c r="D53" s="72" t="n">
        <v>7</v>
      </c>
      <c r="E53" s="78" t="n">
        <f aca="false">IF(OR(B53="",C53=""),"",DATE(B53,1,4)-WEEKDAY(DATE(B53,1,4),2)+1+(C53-1)*7)</f>
        <v>46741</v>
      </c>
      <c r="F53" s="71" t="s">
        <v>172</v>
      </c>
    </row>
    <row r="54" customFormat="false" ht="15" hidden="false" customHeight="false" outlineLevel="0" collapsed="false">
      <c r="A54" s="71" t="s">
        <v>68</v>
      </c>
      <c r="B54" s="72" t="n">
        <v>2028</v>
      </c>
      <c r="C54" s="72" t="n">
        <v>2</v>
      </c>
      <c r="D54" s="72" t="n">
        <v>12</v>
      </c>
      <c r="E54" s="78" t="n">
        <f aca="false">IF(OR(B54="",C54=""),"",DATE(B54,1,4)-WEEKDAY(DATE(B54,1,4),2)+1+(C54-1)*7)</f>
        <v>46762</v>
      </c>
      <c r="F54" s="71" t="s">
        <v>172</v>
      </c>
    </row>
    <row r="55" customFormat="false" ht="15" hidden="false" customHeight="false" outlineLevel="0" collapsed="false">
      <c r="A55" s="71" t="s">
        <v>71</v>
      </c>
      <c r="B55" s="72" t="n">
        <v>2027</v>
      </c>
      <c r="C55" s="72" t="n">
        <v>42</v>
      </c>
      <c r="D55" s="72" t="n">
        <v>2</v>
      </c>
      <c r="E55" s="78" t="n">
        <f aca="false">IF(OR(B55="",C55=""),"",DATE(B55,1,4)-WEEKDAY(DATE(B55,1,4),2)+1+(C55-1)*7)</f>
        <v>46678</v>
      </c>
      <c r="F55" s="71" t="s">
        <v>172</v>
      </c>
    </row>
    <row r="56" customFormat="false" ht="15" hidden="false" customHeight="false" outlineLevel="0" collapsed="false">
      <c r="A56" s="71" t="s">
        <v>71</v>
      </c>
      <c r="B56" s="72" t="n">
        <v>2028</v>
      </c>
      <c r="C56" s="72" t="n">
        <v>2</v>
      </c>
      <c r="D56" s="72" t="n">
        <v>1</v>
      </c>
      <c r="E56" s="78" t="n">
        <f aca="false">IF(OR(B56="",C56=""),"",DATE(B56,1,4)-WEEKDAY(DATE(B56,1,4),2)+1+(C56-1)*7)</f>
        <v>46762</v>
      </c>
      <c r="F56" s="71" t="s">
        <v>172</v>
      </c>
    </row>
    <row r="57" customFormat="false" ht="15" hidden="false" customHeight="false" outlineLevel="0" collapsed="false">
      <c r="A57" s="71" t="s">
        <v>71</v>
      </c>
      <c r="B57" s="72" t="n">
        <v>2028</v>
      </c>
      <c r="C57" s="72" t="n">
        <v>4</v>
      </c>
      <c r="D57" s="72" t="n">
        <v>8</v>
      </c>
      <c r="E57" s="78" t="n">
        <f aca="false">IF(OR(B57="",C57=""),"",DATE(B57,1,4)-WEEKDAY(DATE(B57,1,4),2)+1+(C57-1)*7)</f>
        <v>46776</v>
      </c>
      <c r="F57" s="71" t="s">
        <v>172</v>
      </c>
    </row>
    <row r="58" customFormat="false" ht="15" hidden="false" customHeight="false" outlineLevel="0" collapsed="false">
      <c r="A58" s="71" t="s">
        <v>71</v>
      </c>
      <c r="B58" s="72" t="n">
        <v>2028</v>
      </c>
      <c r="C58" s="72" t="n">
        <v>5</v>
      </c>
      <c r="D58" s="72" t="n">
        <v>7</v>
      </c>
      <c r="E58" s="78" t="n">
        <f aca="false">IF(OR(B58="",C58=""),"",DATE(B58,1,4)-WEEKDAY(DATE(B58,1,4),2)+1+(C58-1)*7)</f>
        <v>46783</v>
      </c>
      <c r="F58" s="71" t="s">
        <v>172</v>
      </c>
    </row>
    <row r="59" customFormat="false" ht="15" hidden="false" customHeight="false" outlineLevel="0" collapsed="false">
      <c r="A59" s="71" t="s">
        <v>71</v>
      </c>
      <c r="B59" s="72" t="n">
        <v>2028</v>
      </c>
      <c r="C59" s="72" t="n">
        <v>6</v>
      </c>
      <c r="D59" s="72" t="n">
        <v>7</v>
      </c>
      <c r="E59" s="78" t="n">
        <f aca="false">IF(OR(B59="",C59=""),"",DATE(B59,1,4)-WEEKDAY(DATE(B59,1,4),2)+1+(C59-1)*7)</f>
        <v>46790</v>
      </c>
      <c r="F59" s="71" t="s">
        <v>172</v>
      </c>
    </row>
    <row r="60" customFormat="false" ht="15" hidden="false" customHeight="false" outlineLevel="0" collapsed="false">
      <c r="A60" s="71" t="s">
        <v>71</v>
      </c>
      <c r="B60" s="72" t="n">
        <v>2028</v>
      </c>
      <c r="C60" s="72" t="n">
        <v>7</v>
      </c>
      <c r="D60" s="72" t="n">
        <v>8</v>
      </c>
      <c r="E60" s="78" t="n">
        <f aca="false">IF(OR(B60="",C60=""),"",DATE(B60,1,4)-WEEKDAY(DATE(B60,1,4),2)+1+(C60-1)*7)</f>
        <v>46797</v>
      </c>
      <c r="F60" s="71" t="s">
        <v>172</v>
      </c>
    </row>
    <row r="61" customFormat="false" ht="15" hidden="false" customHeight="false" outlineLevel="0" collapsed="false">
      <c r="A61" s="71" t="s">
        <v>71</v>
      </c>
      <c r="B61" s="72" t="n">
        <v>2028</v>
      </c>
      <c r="C61" s="72" t="n">
        <v>8</v>
      </c>
      <c r="D61" s="72" t="n">
        <v>8</v>
      </c>
      <c r="E61" s="78" t="n">
        <f aca="false">IF(OR(B61="",C61=""),"",DATE(B61,1,4)-WEEKDAY(DATE(B61,1,4),2)+1+(C61-1)*7)</f>
        <v>46804</v>
      </c>
      <c r="F61" s="71" t="s">
        <v>172</v>
      </c>
    </row>
    <row r="62" customFormat="false" ht="15" hidden="false" customHeight="false" outlineLevel="0" collapsed="false">
      <c r="A62" s="71" t="s">
        <v>71</v>
      </c>
      <c r="B62" s="72" t="n">
        <v>2028</v>
      </c>
      <c r="C62" s="72" t="n">
        <v>9</v>
      </c>
      <c r="D62" s="72" t="n">
        <v>8</v>
      </c>
      <c r="E62" s="78" t="n">
        <f aca="false">IF(OR(B62="",C62=""),"",DATE(B62,1,4)-WEEKDAY(DATE(B62,1,4),2)+1+(C62-1)*7)</f>
        <v>46811</v>
      </c>
      <c r="F62" s="71" t="s">
        <v>172</v>
      </c>
    </row>
    <row r="63" customFormat="false" ht="15" hidden="false" customHeight="false" outlineLevel="0" collapsed="false">
      <c r="A63" s="71" t="s">
        <v>71</v>
      </c>
      <c r="B63" s="72" t="n">
        <v>2028</v>
      </c>
      <c r="C63" s="72" t="n">
        <v>10</v>
      </c>
      <c r="D63" s="72" t="n">
        <v>8</v>
      </c>
      <c r="E63" s="78" t="n">
        <f aca="false">IF(OR(B63="",C63=""),"",DATE(B63,1,4)-WEEKDAY(DATE(B63,1,4),2)+1+(C63-1)*7)</f>
        <v>46818</v>
      </c>
      <c r="F63" s="71" t="s">
        <v>172</v>
      </c>
    </row>
    <row r="64" customFormat="false" ht="15" hidden="false" customHeight="false" outlineLevel="0" collapsed="false">
      <c r="A64" s="71" t="s">
        <v>71</v>
      </c>
      <c r="B64" s="72" t="n">
        <v>2028</v>
      </c>
      <c r="C64" s="72" t="n">
        <v>11</v>
      </c>
      <c r="D64" s="72" t="n">
        <v>9</v>
      </c>
      <c r="E64" s="78" t="n">
        <f aca="false">IF(OR(B64="",C64=""),"",DATE(B64,1,4)-WEEKDAY(DATE(B64,1,4),2)+1+(C64-1)*7)</f>
        <v>46825</v>
      </c>
      <c r="F64" s="71" t="s">
        <v>172</v>
      </c>
    </row>
    <row r="65" customFormat="false" ht="15" hidden="false" customHeight="false" outlineLevel="0" collapsed="false">
      <c r="A65" s="71" t="s">
        <v>71</v>
      </c>
      <c r="B65" s="72" t="n">
        <v>2028</v>
      </c>
      <c r="C65" s="72" t="n">
        <v>12</v>
      </c>
      <c r="D65" s="72" t="n">
        <v>9</v>
      </c>
      <c r="E65" s="78" t="n">
        <f aca="false">IF(OR(B65="",C65=""),"",DATE(B65,1,4)-WEEKDAY(DATE(B65,1,4),2)+1+(C65-1)*7)</f>
        <v>46832</v>
      </c>
      <c r="F65" s="71" t="s">
        <v>172</v>
      </c>
    </row>
    <row r="66" customFormat="false" ht="15" hidden="false" customHeight="false" outlineLevel="0" collapsed="false">
      <c r="A66" s="71" t="s">
        <v>71</v>
      </c>
      <c r="B66" s="72" t="n">
        <v>2028</v>
      </c>
      <c r="C66" s="72" t="n">
        <v>13</v>
      </c>
      <c r="D66" s="72" t="n">
        <v>9</v>
      </c>
      <c r="E66" s="78" t="n">
        <f aca="false">IF(OR(B66="",C66=""),"",DATE(B66,1,4)-WEEKDAY(DATE(B66,1,4),2)+1+(C66-1)*7)</f>
        <v>46839</v>
      </c>
      <c r="F66" s="71" t="s">
        <v>172</v>
      </c>
    </row>
    <row r="67" customFormat="false" ht="15" hidden="false" customHeight="false" outlineLevel="0" collapsed="false">
      <c r="A67" s="71" t="s">
        <v>71</v>
      </c>
      <c r="B67" s="72" t="n">
        <v>2028</v>
      </c>
      <c r="C67" s="72" t="n">
        <v>14</v>
      </c>
      <c r="D67" s="72" t="n">
        <v>9</v>
      </c>
      <c r="E67" s="78" t="n">
        <f aca="false">IF(OR(B67="",C67=""),"",DATE(B67,1,4)-WEEKDAY(DATE(B67,1,4),2)+1+(C67-1)*7)</f>
        <v>46846</v>
      </c>
      <c r="F67" s="71" t="s">
        <v>172</v>
      </c>
    </row>
    <row r="68" customFormat="false" ht="15" hidden="false" customHeight="false" outlineLevel="0" collapsed="false">
      <c r="A68" s="71" t="s">
        <v>71</v>
      </c>
      <c r="B68" s="72" t="n">
        <v>2028</v>
      </c>
      <c r="C68" s="72" t="n">
        <v>15</v>
      </c>
      <c r="D68" s="72" t="n">
        <v>10</v>
      </c>
      <c r="E68" s="78" t="n">
        <f aca="false">IF(OR(B68="",C68=""),"",DATE(B68,1,4)-WEEKDAY(DATE(B68,1,4),2)+1+(C68-1)*7)</f>
        <v>46853</v>
      </c>
      <c r="F68" s="71" t="s">
        <v>172</v>
      </c>
    </row>
    <row r="69" customFormat="false" ht="15" hidden="false" customHeight="false" outlineLevel="0" collapsed="false">
      <c r="A69" s="71" t="s">
        <v>71</v>
      </c>
      <c r="B69" s="72" t="n">
        <v>2028</v>
      </c>
      <c r="C69" s="72" t="n">
        <v>16</v>
      </c>
      <c r="D69" s="72" t="n">
        <v>3</v>
      </c>
      <c r="E69" s="78" t="n">
        <f aca="false">IF(OR(B69="",C69=""),"",DATE(B69,1,4)-WEEKDAY(DATE(B69,1,4),2)+1+(C69-1)*7)</f>
        <v>46860</v>
      </c>
      <c r="F69" s="71" t="s">
        <v>172</v>
      </c>
    </row>
    <row r="70" customFormat="false" ht="15" hidden="false" customHeight="false" outlineLevel="0" collapsed="false">
      <c r="A70" s="71" t="s">
        <v>71</v>
      </c>
      <c r="B70" s="72" t="n">
        <v>2028</v>
      </c>
      <c r="C70" s="72" t="n">
        <v>17</v>
      </c>
      <c r="D70" s="72" t="n">
        <v>2</v>
      </c>
      <c r="E70" s="78" t="n">
        <f aca="false">IF(OR(B70="",C70=""),"",DATE(B70,1,4)-WEEKDAY(DATE(B70,1,4),2)+1+(C70-1)*7)</f>
        <v>46867</v>
      </c>
      <c r="F70" s="71" t="s">
        <v>172</v>
      </c>
    </row>
    <row r="71" customFormat="false" ht="15" hidden="false" customHeight="false" outlineLevel="0" collapsed="false">
      <c r="A71" s="71" t="s">
        <v>71</v>
      </c>
      <c r="B71" s="72" t="n">
        <v>2028</v>
      </c>
      <c r="C71" s="72" t="n">
        <v>18</v>
      </c>
      <c r="D71" s="72" t="n">
        <v>10</v>
      </c>
      <c r="E71" s="78" t="n">
        <f aca="false">IF(OR(B71="",C71=""),"",DATE(B71,1,4)-WEEKDAY(DATE(B71,1,4),2)+1+(C71-1)*7)</f>
        <v>46874</v>
      </c>
      <c r="F71" s="71" t="s">
        <v>172</v>
      </c>
    </row>
    <row r="72" customFormat="false" ht="15" hidden="false" customHeight="false" outlineLevel="0" collapsed="false">
      <c r="A72" s="71" t="s">
        <v>71</v>
      </c>
      <c r="B72" s="72" t="n">
        <v>2028</v>
      </c>
      <c r="C72" s="72" t="n">
        <v>19</v>
      </c>
      <c r="D72" s="72" t="n">
        <v>9</v>
      </c>
      <c r="E72" s="78" t="n">
        <f aca="false">IF(OR(B72="",C72=""),"",DATE(B72,1,4)-WEEKDAY(DATE(B72,1,4),2)+1+(C72-1)*7)</f>
        <v>46881</v>
      </c>
      <c r="F72" s="71" t="s">
        <v>172</v>
      </c>
    </row>
    <row r="73" customFormat="false" ht="15" hidden="false" customHeight="false" outlineLevel="0" collapsed="false">
      <c r="A73" s="71" t="s">
        <v>71</v>
      </c>
      <c r="B73" s="72" t="n">
        <v>2028</v>
      </c>
      <c r="C73" s="72" t="n">
        <v>20</v>
      </c>
      <c r="D73" s="72" t="n">
        <v>10</v>
      </c>
      <c r="E73" s="78" t="n">
        <f aca="false">IF(OR(B73="",C73=""),"",DATE(B73,1,4)-WEEKDAY(DATE(B73,1,4),2)+1+(C73-1)*7)</f>
        <v>46888</v>
      </c>
      <c r="F73" s="71" t="s">
        <v>172</v>
      </c>
    </row>
    <row r="74" customFormat="false" ht="15" hidden="false" customHeight="false" outlineLevel="0" collapsed="false">
      <c r="A74" s="71" t="s">
        <v>71</v>
      </c>
      <c r="B74" s="72" t="n">
        <v>2028</v>
      </c>
      <c r="C74" s="72" t="n">
        <v>21</v>
      </c>
      <c r="D74" s="72" t="n">
        <v>9</v>
      </c>
      <c r="E74" s="78" t="n">
        <f aca="false">IF(OR(B74="",C74=""),"",DATE(B74,1,4)-WEEKDAY(DATE(B74,1,4),2)+1+(C74-1)*7)</f>
        <v>46895</v>
      </c>
      <c r="F74" s="71" t="s">
        <v>172</v>
      </c>
    </row>
    <row r="75" customFormat="false" ht="15" hidden="false" customHeight="false" outlineLevel="0" collapsed="false">
      <c r="A75" s="71" t="s">
        <v>71</v>
      </c>
      <c r="B75" s="72" t="n">
        <v>2028</v>
      </c>
      <c r="C75" s="72" t="n">
        <v>22</v>
      </c>
      <c r="D75" s="72" t="n">
        <v>10</v>
      </c>
      <c r="E75" s="78" t="n">
        <f aca="false">IF(OR(B75="",C75=""),"",DATE(B75,1,4)-WEEKDAY(DATE(B75,1,4),2)+1+(C75-1)*7)</f>
        <v>46902</v>
      </c>
      <c r="F75" s="71" t="s">
        <v>172</v>
      </c>
    </row>
    <row r="76" customFormat="false" ht="15" hidden="false" customHeight="false" outlineLevel="0" collapsed="false">
      <c r="A76" s="71" t="s">
        <v>71</v>
      </c>
      <c r="B76" s="72" t="n">
        <v>2028</v>
      </c>
      <c r="C76" s="72" t="n">
        <v>23</v>
      </c>
      <c r="D76" s="72" t="n">
        <v>9</v>
      </c>
      <c r="E76" s="78" t="n">
        <f aca="false">IF(OR(B76="",C76=""),"",DATE(B76,1,4)-WEEKDAY(DATE(B76,1,4),2)+1+(C76-1)*7)</f>
        <v>46909</v>
      </c>
      <c r="F76" s="71" t="s">
        <v>172</v>
      </c>
    </row>
    <row r="77" customFormat="false" ht="15" hidden="false" customHeight="false" outlineLevel="0" collapsed="false">
      <c r="A77" s="71" t="s">
        <v>71</v>
      </c>
      <c r="B77" s="72" t="n">
        <v>2028</v>
      </c>
      <c r="C77" s="72" t="n">
        <v>24</v>
      </c>
      <c r="D77" s="72" t="n">
        <v>10</v>
      </c>
      <c r="E77" s="78" t="n">
        <f aca="false">IF(OR(B77="",C77=""),"",DATE(B77,1,4)-WEEKDAY(DATE(B77,1,4),2)+1+(C77-1)*7)</f>
        <v>46916</v>
      </c>
      <c r="F77" s="71" t="s">
        <v>172</v>
      </c>
    </row>
    <row r="78" customFormat="false" ht="15" hidden="false" customHeight="false" outlineLevel="0" collapsed="false">
      <c r="A78" s="71" t="s">
        <v>71</v>
      </c>
      <c r="B78" s="72" t="n">
        <v>2028</v>
      </c>
      <c r="C78" s="72" t="n">
        <v>25</v>
      </c>
      <c r="D78" s="72" t="n">
        <v>9</v>
      </c>
      <c r="E78" s="78" t="n">
        <f aca="false">IF(OR(B78="",C78=""),"",DATE(B78,1,4)-WEEKDAY(DATE(B78,1,4),2)+1+(C78-1)*7)</f>
        <v>46923</v>
      </c>
      <c r="F78" s="71" t="s">
        <v>172</v>
      </c>
    </row>
    <row r="79" customFormat="false" ht="15" hidden="false" customHeight="false" outlineLevel="0" collapsed="false">
      <c r="A79" s="71" t="s">
        <v>71</v>
      </c>
      <c r="B79" s="72" t="n">
        <v>2028</v>
      </c>
      <c r="C79" s="72" t="n">
        <v>26</v>
      </c>
      <c r="D79" s="72" t="n">
        <v>10</v>
      </c>
      <c r="E79" s="78" t="n">
        <f aca="false">IF(OR(B79="",C79=""),"",DATE(B79,1,4)-WEEKDAY(DATE(B79,1,4),2)+1+(C79-1)*7)</f>
        <v>46930</v>
      </c>
      <c r="F79" s="71" t="s">
        <v>172</v>
      </c>
    </row>
    <row r="80" customFormat="false" ht="15" hidden="false" customHeight="false" outlineLevel="0" collapsed="false">
      <c r="A80" s="71" t="s">
        <v>71</v>
      </c>
      <c r="B80" s="72" t="n">
        <v>2028</v>
      </c>
      <c r="C80" s="72" t="n">
        <v>27</v>
      </c>
      <c r="D80" s="72" t="n">
        <v>3</v>
      </c>
      <c r="E80" s="78" t="n">
        <f aca="false">IF(OR(B80="",C80=""),"",DATE(B80,1,4)-WEEKDAY(DATE(B80,1,4),2)+1+(C80-1)*7)</f>
        <v>46937</v>
      </c>
      <c r="F80" s="71" t="s">
        <v>172</v>
      </c>
    </row>
    <row r="81" customFormat="false" ht="15" hidden="false" customHeight="false" outlineLevel="0" collapsed="false">
      <c r="A81" s="71" t="s">
        <v>71</v>
      </c>
      <c r="B81" s="72" t="n">
        <v>2028</v>
      </c>
      <c r="C81" s="72" t="n">
        <v>28</v>
      </c>
      <c r="D81" s="72" t="n">
        <v>3</v>
      </c>
      <c r="E81" s="78" t="n">
        <f aca="false">IF(OR(B81="",C81=""),"",DATE(B81,1,4)-WEEKDAY(DATE(B81,1,4),2)+1+(C81-1)*7)</f>
        <v>46944</v>
      </c>
      <c r="F81" s="71" t="s">
        <v>172</v>
      </c>
    </row>
    <row r="82" customFormat="false" ht="15" hidden="false" customHeight="false" outlineLevel="0" collapsed="false">
      <c r="A82" s="71" t="s">
        <v>74</v>
      </c>
      <c r="B82" s="72" t="n">
        <v>2026</v>
      </c>
      <c r="C82" s="72" t="n">
        <v>46</v>
      </c>
      <c r="D82" s="72" t="n">
        <v>5</v>
      </c>
      <c r="E82" s="78" t="n">
        <f aca="false">IF(OR(B82="",C82=""),"",DATE(B82,1,4)-WEEKDAY(DATE(B82,1,4),2)+1+(C82-1)*7)</f>
        <v>46335</v>
      </c>
      <c r="F82" s="71" t="s">
        <v>172</v>
      </c>
    </row>
    <row r="83" customFormat="false" ht="15" hidden="false" customHeight="false" outlineLevel="0" collapsed="false">
      <c r="A83" s="71" t="s">
        <v>74</v>
      </c>
      <c r="B83" s="72" t="n">
        <v>2026</v>
      </c>
      <c r="C83" s="72" t="n">
        <v>47</v>
      </c>
      <c r="D83" s="72" t="n">
        <v>6</v>
      </c>
      <c r="E83" s="78" t="n">
        <f aca="false">IF(OR(B83="",C83=""),"",DATE(B83,1,4)-WEEKDAY(DATE(B83,1,4),2)+1+(C83-1)*7)</f>
        <v>46342</v>
      </c>
      <c r="F83" s="71" t="s">
        <v>172</v>
      </c>
    </row>
    <row r="84" customFormat="false" ht="15" hidden="false" customHeight="false" outlineLevel="0" collapsed="false">
      <c r="A84" s="71" t="s">
        <v>74</v>
      </c>
      <c r="B84" s="72" t="n">
        <v>2026</v>
      </c>
      <c r="C84" s="72" t="n">
        <v>48</v>
      </c>
      <c r="D84" s="72" t="n">
        <v>1</v>
      </c>
      <c r="E84" s="78" t="n">
        <f aca="false">IF(OR(B84="",C84=""),"",DATE(B84,1,4)-WEEKDAY(DATE(B84,1,4),2)+1+(C84-1)*7)</f>
        <v>46349</v>
      </c>
      <c r="F84" s="71" t="s">
        <v>172</v>
      </c>
    </row>
    <row r="85" customFormat="false" ht="15" hidden="false" customHeight="false" outlineLevel="0" collapsed="false">
      <c r="A85" s="71" t="s">
        <v>74</v>
      </c>
      <c r="B85" s="72" t="n">
        <v>2026</v>
      </c>
      <c r="C85" s="72" t="n">
        <v>49</v>
      </c>
      <c r="D85" s="72" t="n">
        <v>8</v>
      </c>
      <c r="E85" s="78" t="n">
        <f aca="false">IF(OR(B85="",C85=""),"",DATE(B85,1,4)-WEEKDAY(DATE(B85,1,4),2)+1+(C85-1)*7)</f>
        <v>46356</v>
      </c>
      <c r="F85" s="71" t="s">
        <v>172</v>
      </c>
    </row>
    <row r="86" customFormat="false" ht="15" hidden="false" customHeight="false" outlineLevel="0" collapsed="false">
      <c r="A86" s="71" t="s">
        <v>74</v>
      </c>
      <c r="B86" s="72" t="n">
        <v>2026</v>
      </c>
      <c r="C86" s="72" t="n">
        <v>50</v>
      </c>
      <c r="D86" s="72" t="n">
        <v>8</v>
      </c>
      <c r="E86" s="78" t="n">
        <f aca="false">IF(OR(B86="",C86=""),"",DATE(B86,1,4)-WEEKDAY(DATE(B86,1,4),2)+1+(C86-1)*7)</f>
        <v>46363</v>
      </c>
      <c r="F86" s="71" t="s">
        <v>172</v>
      </c>
    </row>
    <row r="87" customFormat="false" ht="15" hidden="false" customHeight="false" outlineLevel="0" collapsed="false">
      <c r="A87" s="71" t="s">
        <v>74</v>
      </c>
      <c r="B87" s="72" t="n">
        <v>2027</v>
      </c>
      <c r="C87" s="72" t="n">
        <v>4</v>
      </c>
      <c r="D87" s="72" t="n">
        <v>11</v>
      </c>
      <c r="E87" s="78" t="n">
        <f aca="false">IF(OR(B87="",C87=""),"",DATE(B87,1,4)-WEEKDAY(DATE(B87,1,4),2)+1+(C87-1)*7)</f>
        <v>46412</v>
      </c>
      <c r="F87" s="71" t="s">
        <v>172</v>
      </c>
    </row>
    <row r="88" customFormat="false" ht="15" hidden="false" customHeight="false" outlineLevel="0" collapsed="false">
      <c r="A88" s="71" t="s">
        <v>77</v>
      </c>
      <c r="B88" s="72" t="n">
        <v>2027</v>
      </c>
      <c r="C88" s="72" t="n">
        <v>16</v>
      </c>
      <c r="D88" s="72" t="n">
        <v>1</v>
      </c>
      <c r="E88" s="78" t="n">
        <f aca="false">IF(OR(B88="",C88=""),"",DATE(B88,1,4)-WEEKDAY(DATE(B88,1,4),2)+1+(C88-1)*7)</f>
        <v>46496</v>
      </c>
      <c r="F88" s="71" t="s">
        <v>172</v>
      </c>
    </row>
    <row r="89" customFormat="false" ht="15" hidden="false" customHeight="false" outlineLevel="0" collapsed="false">
      <c r="A89" s="71" t="s">
        <v>77</v>
      </c>
      <c r="B89" s="72" t="n">
        <v>2027</v>
      </c>
      <c r="C89" s="72" t="n">
        <v>18</v>
      </c>
      <c r="D89" s="72" t="n">
        <v>2</v>
      </c>
      <c r="E89" s="78" t="n">
        <f aca="false">IF(OR(B89="",C89=""),"",DATE(B89,1,4)-WEEKDAY(DATE(B89,1,4),2)+1+(C89-1)*7)</f>
        <v>46510</v>
      </c>
      <c r="F89" s="71" t="s">
        <v>172</v>
      </c>
    </row>
    <row r="90" customFormat="false" ht="15" hidden="false" customHeight="false" outlineLevel="0" collapsed="false">
      <c r="A90" s="71" t="s">
        <v>77</v>
      </c>
      <c r="B90" s="72" t="n">
        <v>2027</v>
      </c>
      <c r="C90" s="72" t="n">
        <v>19</v>
      </c>
      <c r="D90" s="72" t="n">
        <v>5</v>
      </c>
      <c r="E90" s="78" t="n">
        <f aca="false">IF(OR(B90="",C90=""),"",DATE(B90,1,4)-WEEKDAY(DATE(B90,1,4),2)+1+(C90-1)*7)</f>
        <v>46517</v>
      </c>
      <c r="F90" s="71" t="s">
        <v>172</v>
      </c>
    </row>
    <row r="91" customFormat="false" ht="15" hidden="false" customHeight="false" outlineLevel="0" collapsed="false">
      <c r="A91" s="71" t="s">
        <v>77</v>
      </c>
      <c r="B91" s="72" t="n">
        <v>2027</v>
      </c>
      <c r="C91" s="72" t="n">
        <v>23</v>
      </c>
      <c r="D91" s="72" t="n">
        <v>1</v>
      </c>
      <c r="E91" s="78" t="n">
        <f aca="false">IF(OR(B91="",C91=""),"",DATE(B91,1,4)-WEEKDAY(DATE(B91,1,4),2)+1+(C91-1)*7)</f>
        <v>46545</v>
      </c>
      <c r="F91" s="71" t="s">
        <v>172</v>
      </c>
    </row>
    <row r="92" customFormat="false" ht="15" hidden="false" customHeight="false" outlineLevel="0" collapsed="false">
      <c r="A92" s="71" t="s">
        <v>77</v>
      </c>
      <c r="B92" s="72" t="n">
        <v>2027</v>
      </c>
      <c r="C92" s="72" t="n">
        <v>24</v>
      </c>
      <c r="D92" s="72" t="n">
        <v>1</v>
      </c>
      <c r="E92" s="78" t="n">
        <f aca="false">IF(OR(B92="",C92=""),"",DATE(B92,1,4)-WEEKDAY(DATE(B92,1,4),2)+1+(C92-1)*7)</f>
        <v>46552</v>
      </c>
      <c r="F92" s="71" t="s">
        <v>172</v>
      </c>
    </row>
    <row r="93" customFormat="false" ht="15" hidden="false" customHeight="false" outlineLevel="0" collapsed="false">
      <c r="A93" s="71" t="s">
        <v>77</v>
      </c>
      <c r="B93" s="72" t="n">
        <v>2027</v>
      </c>
      <c r="C93" s="72" t="n">
        <v>25</v>
      </c>
      <c r="D93" s="72" t="n">
        <v>1</v>
      </c>
      <c r="E93" s="78" t="n">
        <f aca="false">IF(OR(B93="",C93=""),"",DATE(B93,1,4)-WEEKDAY(DATE(B93,1,4),2)+1+(C93-1)*7)</f>
        <v>46559</v>
      </c>
      <c r="F93" s="71" t="s">
        <v>172</v>
      </c>
    </row>
    <row r="94" customFormat="false" ht="15" hidden="false" customHeight="false" outlineLevel="0" collapsed="false">
      <c r="A94" s="71" t="s">
        <v>79</v>
      </c>
      <c r="B94" s="72" t="n">
        <v>2027</v>
      </c>
      <c r="C94" s="72" t="n">
        <v>12</v>
      </c>
      <c r="D94" s="72" t="n">
        <v>3</v>
      </c>
      <c r="E94" s="78" t="n">
        <f aca="false">IF(OR(B94="",C94=""),"",DATE(B94,1,4)-WEEKDAY(DATE(B94,1,4),2)+1+(C94-1)*7)</f>
        <v>46468</v>
      </c>
      <c r="F94" s="71" t="s">
        <v>172</v>
      </c>
    </row>
    <row r="95" customFormat="false" ht="15" hidden="false" customHeight="false" outlineLevel="0" collapsed="false">
      <c r="A95" s="71" t="s">
        <v>81</v>
      </c>
      <c r="B95" s="72" t="n">
        <v>2026</v>
      </c>
      <c r="C95" s="72" t="n">
        <v>51</v>
      </c>
      <c r="D95" s="72" t="n">
        <v>8</v>
      </c>
      <c r="E95" s="78" t="n">
        <f aca="false">IF(OR(B95="",C95=""),"",DATE(B95,1,4)-WEEKDAY(DATE(B95,1,4),2)+1+(C95-1)*7)</f>
        <v>46370</v>
      </c>
      <c r="F95" s="71" t="s">
        <v>172</v>
      </c>
    </row>
    <row r="96" customFormat="false" ht="15" hidden="false" customHeight="false" outlineLevel="0" collapsed="false">
      <c r="A96" s="71" t="s">
        <v>81</v>
      </c>
      <c r="B96" s="72" t="n">
        <v>2027</v>
      </c>
      <c r="C96" s="72" t="n">
        <v>1</v>
      </c>
      <c r="D96" s="72" t="n">
        <v>2</v>
      </c>
      <c r="E96" s="78" t="n">
        <f aca="false">IF(OR(B96="",C96=""),"",DATE(B96,1,4)-WEEKDAY(DATE(B96,1,4),2)+1+(C96-1)*7)</f>
        <v>46391</v>
      </c>
      <c r="F96" s="71" t="s">
        <v>172</v>
      </c>
    </row>
    <row r="97" customFormat="false" ht="23.85" hidden="false" customHeight="false" outlineLevel="0" collapsed="false">
      <c r="A97" s="71" t="s">
        <v>3</v>
      </c>
      <c r="B97" s="72" t="n">
        <v>2026</v>
      </c>
      <c r="C97" s="72" t="n">
        <v>24</v>
      </c>
      <c r="D97" s="72" t="n">
        <v>1</v>
      </c>
      <c r="E97" s="78" t="n">
        <f aca="false">IF(OR(B97="",C97=""),"",DATE(B97,1,4)-WEEKDAY(DATE(B97,1,4),2)+1+(C97-1)*7)</f>
        <v>46181</v>
      </c>
      <c r="F97" s="71" t="s">
        <v>173</v>
      </c>
    </row>
    <row r="98" customFormat="false" ht="23.85" hidden="false" customHeight="false" outlineLevel="0" collapsed="false">
      <c r="A98" s="71" t="s">
        <v>3</v>
      </c>
      <c r="B98" s="72" t="n">
        <v>2026</v>
      </c>
      <c r="C98" s="72" t="n">
        <v>27</v>
      </c>
      <c r="D98" s="72" t="n">
        <v>1</v>
      </c>
      <c r="E98" s="78" t="n">
        <f aca="false">IF(OR(B98="",C98=""),"",DATE(B98,1,4)-WEEKDAY(DATE(B98,1,4),2)+1+(C98-1)*7)</f>
        <v>46202</v>
      </c>
      <c r="F98" s="71" t="s">
        <v>173</v>
      </c>
    </row>
    <row r="99" customFormat="false" ht="23.85" hidden="false" customHeight="false" outlineLevel="0" collapsed="false">
      <c r="A99" s="71" t="s">
        <v>3</v>
      </c>
      <c r="B99" s="72" t="n">
        <v>2026</v>
      </c>
      <c r="C99" s="72" t="n">
        <v>28</v>
      </c>
      <c r="D99" s="72" t="n">
        <v>1</v>
      </c>
      <c r="E99" s="78" t="n">
        <f aca="false">IF(OR(B99="",C99=""),"",DATE(B99,1,4)-WEEKDAY(DATE(B99,1,4),2)+1+(C99-1)*7)</f>
        <v>46209</v>
      </c>
      <c r="F99" s="71" t="s">
        <v>173</v>
      </c>
    </row>
    <row r="100" customFormat="false" ht="23.85" hidden="false" customHeight="false" outlineLevel="0" collapsed="false">
      <c r="A100" s="71" t="s">
        <v>3</v>
      </c>
      <c r="B100" s="72" t="n">
        <v>2026</v>
      </c>
      <c r="C100" s="72" t="n">
        <v>29</v>
      </c>
      <c r="D100" s="72" t="n">
        <v>1</v>
      </c>
      <c r="E100" s="78" t="n">
        <f aca="false">IF(OR(B100="",C100=""),"",DATE(B100,1,4)-WEEKDAY(DATE(B100,1,4),2)+1+(C100-1)*7)</f>
        <v>46216</v>
      </c>
      <c r="F100" s="71" t="s">
        <v>173</v>
      </c>
    </row>
    <row r="101" customFormat="false" ht="23.85" hidden="false" customHeight="false" outlineLevel="0" collapsed="false">
      <c r="A101" s="71" t="s">
        <v>3</v>
      </c>
      <c r="B101" s="72" t="n">
        <v>2026</v>
      </c>
      <c r="C101" s="72" t="n">
        <v>30</v>
      </c>
      <c r="D101" s="72" t="n">
        <v>2</v>
      </c>
      <c r="E101" s="78" t="n">
        <f aca="false">IF(OR(B101="",C101=""),"",DATE(B101,1,4)-WEEKDAY(DATE(B101,1,4),2)+1+(C101-1)*7)</f>
        <v>46223</v>
      </c>
      <c r="F101" s="71" t="s">
        <v>173</v>
      </c>
    </row>
    <row r="102" customFormat="false" ht="23.85" hidden="false" customHeight="false" outlineLevel="0" collapsed="false">
      <c r="A102" s="71" t="s">
        <v>3</v>
      </c>
      <c r="B102" s="72" t="n">
        <v>2026</v>
      </c>
      <c r="C102" s="72" t="n">
        <v>31</v>
      </c>
      <c r="D102" s="72" t="n">
        <v>2</v>
      </c>
      <c r="E102" s="78" t="n">
        <f aca="false">IF(OR(B102="",C102=""),"",DATE(B102,1,4)-WEEKDAY(DATE(B102,1,4),2)+1+(C102-1)*7)</f>
        <v>46230</v>
      </c>
      <c r="F102" s="71" t="s">
        <v>173</v>
      </c>
    </row>
    <row r="103" customFormat="false" ht="23.85" hidden="false" customHeight="false" outlineLevel="0" collapsed="false">
      <c r="A103" s="71" t="s">
        <v>3</v>
      </c>
      <c r="B103" s="72" t="n">
        <v>2026</v>
      </c>
      <c r="C103" s="72" t="n">
        <v>32</v>
      </c>
      <c r="D103" s="72" t="n">
        <v>2</v>
      </c>
      <c r="E103" s="78" t="n">
        <f aca="false">IF(OR(B103="",C103=""),"",DATE(B103,1,4)-WEEKDAY(DATE(B103,1,4),2)+1+(C103-1)*7)</f>
        <v>46237</v>
      </c>
      <c r="F103" s="71" t="s">
        <v>173</v>
      </c>
    </row>
    <row r="104" customFormat="false" ht="23.85" hidden="false" customHeight="false" outlineLevel="0" collapsed="false">
      <c r="A104" s="71" t="s">
        <v>3</v>
      </c>
      <c r="B104" s="72" t="n">
        <v>2026</v>
      </c>
      <c r="C104" s="72" t="n">
        <v>33</v>
      </c>
      <c r="D104" s="72" t="n">
        <v>2</v>
      </c>
      <c r="E104" s="78" t="n">
        <f aca="false">IF(OR(B104="",C104=""),"",DATE(B104,1,4)-WEEKDAY(DATE(B104,1,4),2)+1+(C104-1)*7)</f>
        <v>46244</v>
      </c>
      <c r="F104" s="71" t="s">
        <v>173</v>
      </c>
    </row>
    <row r="105" customFormat="false" ht="23.85" hidden="false" customHeight="false" outlineLevel="0" collapsed="false">
      <c r="A105" s="71" t="s">
        <v>3</v>
      </c>
      <c r="B105" s="72" t="n">
        <v>2026</v>
      </c>
      <c r="C105" s="72" t="n">
        <v>34</v>
      </c>
      <c r="D105" s="72" t="n">
        <v>2</v>
      </c>
      <c r="E105" s="78" t="n">
        <f aca="false">IF(OR(B105="",C105=""),"",DATE(B105,1,4)-WEEKDAY(DATE(B105,1,4),2)+1+(C105-1)*7)</f>
        <v>46251</v>
      </c>
      <c r="F105" s="71" t="s">
        <v>173</v>
      </c>
    </row>
    <row r="106" customFormat="false" ht="23.85" hidden="false" customHeight="false" outlineLevel="0" collapsed="false">
      <c r="A106" s="71" t="s">
        <v>3</v>
      </c>
      <c r="B106" s="72" t="n">
        <v>2026</v>
      </c>
      <c r="C106" s="72" t="n">
        <v>35</v>
      </c>
      <c r="D106" s="72" t="n">
        <v>3</v>
      </c>
      <c r="E106" s="78" t="n">
        <f aca="false">IF(OR(B106="",C106=""),"",DATE(B106,1,4)-WEEKDAY(DATE(B106,1,4),2)+1+(C106-1)*7)</f>
        <v>46258</v>
      </c>
      <c r="F106" s="71" t="s">
        <v>173</v>
      </c>
    </row>
    <row r="107" customFormat="false" ht="15" hidden="false" customHeight="false" outlineLevel="0" collapsed="false">
      <c r="A107" s="71" t="s">
        <v>3</v>
      </c>
      <c r="B107" s="72" t="n">
        <v>2026</v>
      </c>
      <c r="C107" s="72" t="n">
        <v>36</v>
      </c>
      <c r="D107" s="72" t="n">
        <v>2</v>
      </c>
      <c r="E107" s="78" t="n">
        <f aca="false">IF(OR(B107="",C107=""),"",DATE(B107,1,4)-WEEKDAY(DATE(B107,1,4),2)+1+(C107-1)*7)</f>
        <v>46265</v>
      </c>
      <c r="F107" s="71" t="s">
        <v>172</v>
      </c>
    </row>
    <row r="108" customFormat="false" ht="15" hidden="false" customHeight="false" outlineLevel="0" collapsed="false">
      <c r="A108" s="71" t="s">
        <v>3</v>
      </c>
      <c r="B108" s="72" t="n">
        <v>2026</v>
      </c>
      <c r="C108" s="72" t="n">
        <v>38</v>
      </c>
      <c r="D108" s="72" t="n">
        <v>1</v>
      </c>
      <c r="E108" s="78" t="n">
        <f aca="false">IF(OR(B108="",C108=""),"",DATE(B108,1,4)-WEEKDAY(DATE(B108,1,4),2)+1+(C108-1)*7)</f>
        <v>46279</v>
      </c>
      <c r="F108" s="71" t="s">
        <v>172</v>
      </c>
    </row>
    <row r="109" customFormat="false" ht="15" hidden="false" customHeight="false" outlineLevel="0" collapsed="false">
      <c r="A109" s="71" t="s">
        <v>3</v>
      </c>
      <c r="B109" s="72" t="n">
        <v>2026</v>
      </c>
      <c r="C109" s="72" t="n">
        <v>39</v>
      </c>
      <c r="D109" s="72" t="n">
        <v>2</v>
      </c>
      <c r="E109" s="78" t="n">
        <f aca="false">IF(OR(B109="",C109=""),"",DATE(B109,1,4)-WEEKDAY(DATE(B109,1,4),2)+1+(C109-1)*7)</f>
        <v>46286</v>
      </c>
      <c r="F109" s="71" t="s">
        <v>172</v>
      </c>
    </row>
    <row r="110" customFormat="false" ht="15" hidden="false" customHeight="false" outlineLevel="0" collapsed="false">
      <c r="A110" s="71" t="s">
        <v>3</v>
      </c>
      <c r="B110" s="72" t="n">
        <v>2026</v>
      </c>
      <c r="C110" s="72" t="n">
        <v>40</v>
      </c>
      <c r="D110" s="72" t="n">
        <v>2</v>
      </c>
      <c r="E110" s="78" t="n">
        <f aca="false">IF(OR(B110="",C110=""),"",DATE(B110,1,4)-WEEKDAY(DATE(B110,1,4),2)+1+(C110-1)*7)</f>
        <v>46293</v>
      </c>
      <c r="F110" s="71" t="s">
        <v>172</v>
      </c>
    </row>
    <row r="111" customFormat="false" ht="15" hidden="false" customHeight="false" outlineLevel="0" collapsed="false">
      <c r="A111" s="71" t="s">
        <v>3</v>
      </c>
      <c r="B111" s="72" t="n">
        <v>2026</v>
      </c>
      <c r="C111" s="72" t="n">
        <v>41</v>
      </c>
      <c r="D111" s="72" t="n">
        <v>2</v>
      </c>
      <c r="E111" s="78" t="n">
        <f aca="false">IF(OR(B111="",C111=""),"",DATE(B111,1,4)-WEEKDAY(DATE(B111,1,4),2)+1+(C111-1)*7)</f>
        <v>46300</v>
      </c>
      <c r="F111" s="71" t="s">
        <v>172</v>
      </c>
    </row>
    <row r="112" customFormat="false" ht="15" hidden="false" customHeight="false" outlineLevel="0" collapsed="false">
      <c r="A112" s="71" t="s">
        <v>3</v>
      </c>
      <c r="B112" s="72" t="n">
        <v>2026</v>
      </c>
      <c r="C112" s="72" t="n">
        <v>42</v>
      </c>
      <c r="D112" s="72" t="n">
        <v>2</v>
      </c>
      <c r="E112" s="78" t="n">
        <f aca="false">IF(OR(B112="",C112=""),"",DATE(B112,1,4)-WEEKDAY(DATE(B112,1,4),2)+1+(C112-1)*7)</f>
        <v>46307</v>
      </c>
      <c r="F112" s="71" t="s">
        <v>172</v>
      </c>
    </row>
    <row r="113" customFormat="false" ht="15" hidden="false" customHeight="false" outlineLevel="0" collapsed="false">
      <c r="A113" s="71" t="s">
        <v>3</v>
      </c>
      <c r="B113" s="72" t="n">
        <v>2026</v>
      </c>
      <c r="C113" s="72" t="n">
        <v>43</v>
      </c>
      <c r="D113" s="72" t="n">
        <v>3</v>
      </c>
      <c r="E113" s="78" t="n">
        <f aca="false">IF(OR(B113="",C113=""),"",DATE(B113,1,4)-WEEKDAY(DATE(B113,1,4),2)+1+(C113-1)*7)</f>
        <v>46314</v>
      </c>
      <c r="F113" s="71" t="s">
        <v>172</v>
      </c>
    </row>
    <row r="114" customFormat="false" ht="15" hidden="false" customHeight="false" outlineLevel="0" collapsed="false">
      <c r="A114" s="71" t="s">
        <v>3</v>
      </c>
      <c r="B114" s="72" t="n">
        <v>2026</v>
      </c>
      <c r="C114" s="72" t="n">
        <v>44</v>
      </c>
      <c r="D114" s="72" t="n">
        <v>1</v>
      </c>
      <c r="E114" s="78" t="n">
        <f aca="false">IF(OR(B114="",C114=""),"",DATE(B114,1,4)-WEEKDAY(DATE(B114,1,4),2)+1+(C114-1)*7)</f>
        <v>46321</v>
      </c>
      <c r="F114" s="71" t="s">
        <v>172</v>
      </c>
    </row>
    <row r="115" customFormat="false" ht="15" hidden="false" customHeight="false" outlineLevel="0" collapsed="false">
      <c r="A115" s="71" t="s">
        <v>3</v>
      </c>
      <c r="B115" s="72" t="n">
        <v>2026</v>
      </c>
      <c r="C115" s="72" t="n">
        <v>45</v>
      </c>
      <c r="D115" s="72" t="n">
        <v>1</v>
      </c>
      <c r="E115" s="78" t="n">
        <f aca="false">IF(OR(B115="",C115=""),"",DATE(B115,1,4)-WEEKDAY(DATE(B115,1,4),2)+1+(C115-1)*7)</f>
        <v>46328</v>
      </c>
      <c r="F115" s="71" t="s">
        <v>172</v>
      </c>
    </row>
    <row r="116" customFormat="false" ht="15" hidden="false" customHeight="false" outlineLevel="0" collapsed="false">
      <c r="A116" s="71" t="s">
        <v>3</v>
      </c>
      <c r="B116" s="72" t="n">
        <v>2026</v>
      </c>
      <c r="C116" s="72" t="n">
        <v>50</v>
      </c>
      <c r="D116" s="72" t="n">
        <v>2</v>
      </c>
      <c r="E116" s="78" t="n">
        <f aca="false">IF(OR(B116="",C116=""),"",DATE(B116,1,4)-WEEKDAY(DATE(B116,1,4),2)+1+(C116-1)*7)</f>
        <v>46363</v>
      </c>
      <c r="F116" s="71" t="s">
        <v>172</v>
      </c>
    </row>
    <row r="117" customFormat="false" ht="15" hidden="false" customHeight="false" outlineLevel="0" collapsed="false">
      <c r="A117" s="71" t="s">
        <v>3</v>
      </c>
      <c r="B117" s="72" t="n">
        <v>2027</v>
      </c>
      <c r="C117" s="72" t="n">
        <v>1</v>
      </c>
      <c r="D117" s="72" t="n">
        <v>9</v>
      </c>
      <c r="E117" s="78" t="n">
        <f aca="false">IF(OR(B117="",C117=""),"",DATE(B117,1,4)-WEEKDAY(DATE(B117,1,4),2)+1+(C117-1)*7)</f>
        <v>46391</v>
      </c>
      <c r="F117" s="71" t="s">
        <v>172</v>
      </c>
    </row>
    <row r="118" customFormat="false" ht="15" hidden="false" customHeight="false" outlineLevel="0" collapsed="false">
      <c r="A118" s="71" t="s">
        <v>3</v>
      </c>
      <c r="B118" s="72" t="n">
        <v>2027</v>
      </c>
      <c r="C118" s="72" t="n">
        <v>2</v>
      </c>
      <c r="D118" s="72" t="n">
        <v>2</v>
      </c>
      <c r="E118" s="78" t="n">
        <f aca="false">IF(OR(B118="",C118=""),"",DATE(B118,1,4)-WEEKDAY(DATE(B118,1,4),2)+1+(C118-1)*7)</f>
        <v>46398</v>
      </c>
      <c r="F118" s="71" t="s">
        <v>172</v>
      </c>
    </row>
    <row r="119" customFormat="false" ht="15" hidden="false" customHeight="false" outlineLevel="0" collapsed="false">
      <c r="A119" s="71" t="s">
        <v>3</v>
      </c>
      <c r="B119" s="72" t="n">
        <v>2027</v>
      </c>
      <c r="C119" s="72" t="n">
        <v>3</v>
      </c>
      <c r="D119" s="72" t="n">
        <v>6</v>
      </c>
      <c r="E119" s="78" t="n">
        <f aca="false">IF(OR(B119="",C119=""),"",DATE(B119,1,4)-WEEKDAY(DATE(B119,1,4),2)+1+(C119-1)*7)</f>
        <v>46405</v>
      </c>
      <c r="F119" s="71" t="s">
        <v>172</v>
      </c>
    </row>
    <row r="120" customFormat="false" ht="15" hidden="false" customHeight="false" outlineLevel="0" collapsed="false">
      <c r="A120" s="71" t="s">
        <v>3</v>
      </c>
      <c r="B120" s="72" t="n">
        <v>2027</v>
      </c>
      <c r="C120" s="72" t="n">
        <v>16</v>
      </c>
      <c r="D120" s="72" t="n">
        <v>1</v>
      </c>
      <c r="E120" s="78" t="n">
        <f aca="false">IF(OR(B120="",C120=""),"",DATE(B120,1,4)-WEEKDAY(DATE(B120,1,4),2)+1+(C120-1)*7)</f>
        <v>46496</v>
      </c>
      <c r="F120" s="71" t="s">
        <v>172</v>
      </c>
    </row>
    <row r="121" customFormat="false" ht="15" hidden="false" customHeight="false" outlineLevel="0" collapsed="false">
      <c r="A121" s="71" t="s">
        <v>3</v>
      </c>
      <c r="B121" s="72" t="n">
        <v>2027</v>
      </c>
      <c r="C121" s="72" t="n">
        <v>17</v>
      </c>
      <c r="D121" s="72" t="n">
        <v>1</v>
      </c>
      <c r="E121" s="78" t="n">
        <f aca="false">IF(OR(B121="",C121=""),"",DATE(B121,1,4)-WEEKDAY(DATE(B121,1,4),2)+1+(C121-1)*7)</f>
        <v>46503</v>
      </c>
      <c r="F121" s="71" t="s">
        <v>172</v>
      </c>
    </row>
    <row r="122" customFormat="false" ht="15" hidden="false" customHeight="false" outlineLevel="0" collapsed="false">
      <c r="A122" s="71" t="s">
        <v>3</v>
      </c>
      <c r="B122" s="72" t="n">
        <v>2027</v>
      </c>
      <c r="C122" s="72" t="n">
        <v>18</v>
      </c>
      <c r="D122" s="72" t="n">
        <v>1</v>
      </c>
      <c r="E122" s="78" t="n">
        <f aca="false">IF(OR(B122="",C122=""),"",DATE(B122,1,4)-WEEKDAY(DATE(B122,1,4),2)+1+(C122-1)*7)</f>
        <v>46510</v>
      </c>
      <c r="F122" s="71" t="s">
        <v>172</v>
      </c>
    </row>
    <row r="123" customFormat="false" ht="15" hidden="false" customHeight="false" outlineLevel="0" collapsed="false">
      <c r="A123" s="71" t="s">
        <v>3</v>
      </c>
      <c r="B123" s="72" t="n">
        <v>2027</v>
      </c>
      <c r="C123" s="72" t="n">
        <v>19</v>
      </c>
      <c r="D123" s="72" t="n">
        <v>5</v>
      </c>
      <c r="E123" s="78" t="n">
        <f aca="false">IF(OR(B123="",C123=""),"",DATE(B123,1,4)-WEEKDAY(DATE(B123,1,4),2)+1+(C123-1)*7)</f>
        <v>46517</v>
      </c>
      <c r="F123" s="71" t="s">
        <v>172</v>
      </c>
    </row>
    <row r="124" customFormat="false" ht="15" hidden="false" customHeight="false" outlineLevel="0" collapsed="false">
      <c r="A124" s="71" t="s">
        <v>3</v>
      </c>
      <c r="B124" s="72" t="n">
        <v>2027</v>
      </c>
      <c r="C124" s="72" t="n">
        <v>20</v>
      </c>
      <c r="D124" s="72" t="n">
        <v>7</v>
      </c>
      <c r="E124" s="78" t="n">
        <f aca="false">IF(OR(B124="",C124=""),"",DATE(B124,1,4)-WEEKDAY(DATE(B124,1,4),2)+1+(C124-1)*7)</f>
        <v>46524</v>
      </c>
      <c r="F124" s="71" t="s">
        <v>172</v>
      </c>
    </row>
    <row r="125" customFormat="false" ht="15" hidden="false" customHeight="false" outlineLevel="0" collapsed="false">
      <c r="A125" s="71" t="s">
        <v>3</v>
      </c>
      <c r="B125" s="72" t="n">
        <v>2027</v>
      </c>
      <c r="C125" s="72" t="n">
        <v>21</v>
      </c>
      <c r="D125" s="72" t="n">
        <v>12</v>
      </c>
      <c r="E125" s="78" t="n">
        <f aca="false">IF(OR(B125="",C125=""),"",DATE(B125,1,4)-WEEKDAY(DATE(B125,1,4),2)+1+(C125-1)*7)</f>
        <v>46531</v>
      </c>
      <c r="F125" s="71" t="s">
        <v>172</v>
      </c>
    </row>
    <row r="126" customFormat="false" ht="15" hidden="false" customHeight="false" outlineLevel="0" collapsed="false">
      <c r="A126" s="71" t="s">
        <v>3</v>
      </c>
      <c r="B126" s="72" t="n">
        <v>2027</v>
      </c>
      <c r="C126" s="72" t="n">
        <v>22</v>
      </c>
      <c r="D126" s="72" t="n">
        <v>11</v>
      </c>
      <c r="E126" s="78" t="n">
        <f aca="false">IF(OR(B126="",C126=""),"",DATE(B126,1,4)-WEEKDAY(DATE(B126,1,4),2)+1+(C126-1)*7)</f>
        <v>46538</v>
      </c>
      <c r="F126" s="71" t="s">
        <v>172</v>
      </c>
    </row>
    <row r="127" customFormat="false" ht="15" hidden="false" customHeight="false" outlineLevel="0" collapsed="false">
      <c r="A127" s="71" t="s">
        <v>3</v>
      </c>
      <c r="B127" s="72" t="n">
        <v>2027</v>
      </c>
      <c r="C127" s="72" t="n">
        <v>23</v>
      </c>
      <c r="D127" s="72" t="n">
        <v>12</v>
      </c>
      <c r="E127" s="78" t="n">
        <f aca="false">IF(OR(B127="",C127=""),"",DATE(B127,1,4)-WEEKDAY(DATE(B127,1,4),2)+1+(C127-1)*7)</f>
        <v>46545</v>
      </c>
      <c r="F127" s="71" t="s">
        <v>172</v>
      </c>
    </row>
    <row r="128" customFormat="false" ht="15" hidden="false" customHeight="false" outlineLevel="0" collapsed="false">
      <c r="A128" s="71" t="s">
        <v>3</v>
      </c>
      <c r="B128" s="72" t="n">
        <v>2027</v>
      </c>
      <c r="C128" s="72" t="n">
        <v>24</v>
      </c>
      <c r="D128" s="72" t="n">
        <v>11</v>
      </c>
      <c r="E128" s="78" t="n">
        <f aca="false">IF(OR(B128="",C128=""),"",DATE(B128,1,4)-WEEKDAY(DATE(B128,1,4),2)+1+(C128-1)*7)</f>
        <v>46552</v>
      </c>
      <c r="F128" s="71" t="s">
        <v>172</v>
      </c>
    </row>
    <row r="129" customFormat="false" ht="15" hidden="false" customHeight="false" outlineLevel="0" collapsed="false">
      <c r="A129" s="71" t="s">
        <v>3</v>
      </c>
      <c r="B129" s="72" t="n">
        <v>2027</v>
      </c>
      <c r="C129" s="72" t="n">
        <v>25</v>
      </c>
      <c r="D129" s="72" t="n">
        <v>11</v>
      </c>
      <c r="E129" s="78" t="n">
        <f aca="false">IF(OR(B129="",C129=""),"",DATE(B129,1,4)-WEEKDAY(DATE(B129,1,4),2)+1+(C129-1)*7)</f>
        <v>46559</v>
      </c>
      <c r="F129" s="71" t="s">
        <v>172</v>
      </c>
    </row>
    <row r="130" customFormat="false" ht="15" hidden="false" customHeight="false" outlineLevel="0" collapsed="false">
      <c r="A130" s="71" t="s">
        <v>3</v>
      </c>
      <c r="B130" s="72" t="n">
        <v>2027</v>
      </c>
      <c r="C130" s="72" t="n">
        <v>26</v>
      </c>
      <c r="D130" s="72" t="n">
        <v>2</v>
      </c>
      <c r="E130" s="78" t="n">
        <f aca="false">IF(OR(B130="",C130=""),"",DATE(B130,1,4)-WEEKDAY(DATE(B130,1,4),2)+1+(C130-1)*7)</f>
        <v>46566</v>
      </c>
      <c r="F130" s="71" t="s">
        <v>172</v>
      </c>
    </row>
    <row r="131" customFormat="false" ht="15" hidden="false" customHeight="false" outlineLevel="0" collapsed="false">
      <c r="A131" s="71" t="s">
        <v>84</v>
      </c>
      <c r="B131" s="72" t="n">
        <v>2027</v>
      </c>
      <c r="C131" s="72" t="n">
        <v>16</v>
      </c>
      <c r="D131" s="72" t="n">
        <v>2</v>
      </c>
      <c r="E131" s="78" t="n">
        <f aca="false">IF(OR(B131="",C131=""),"",DATE(B131,1,4)-WEEKDAY(DATE(B131,1,4),2)+1+(C131-1)*7)</f>
        <v>46496</v>
      </c>
      <c r="F131" s="71" t="s">
        <v>172</v>
      </c>
    </row>
    <row r="132" customFormat="false" ht="15" hidden="false" customHeight="false" outlineLevel="0" collapsed="false">
      <c r="A132" s="71" t="s">
        <v>84</v>
      </c>
      <c r="B132" s="72" t="n">
        <v>2027</v>
      </c>
      <c r="C132" s="72" t="n">
        <v>17</v>
      </c>
      <c r="D132" s="72" t="n">
        <v>1</v>
      </c>
      <c r="E132" s="78" t="n">
        <f aca="false">IF(OR(B132="",C132=""),"",DATE(B132,1,4)-WEEKDAY(DATE(B132,1,4),2)+1+(C132-1)*7)</f>
        <v>46503</v>
      </c>
      <c r="F132" s="71" t="s">
        <v>172</v>
      </c>
    </row>
    <row r="133" customFormat="false" ht="15" hidden="false" customHeight="false" outlineLevel="0" collapsed="false">
      <c r="A133" s="71" t="s">
        <v>84</v>
      </c>
      <c r="B133" s="72" t="n">
        <v>2027</v>
      </c>
      <c r="C133" s="72" t="n">
        <v>26</v>
      </c>
      <c r="D133" s="72" t="n">
        <v>2</v>
      </c>
      <c r="E133" s="78" t="n">
        <f aca="false">IF(OR(B133="",C133=""),"",DATE(B133,1,4)-WEEKDAY(DATE(B133,1,4),2)+1+(C133-1)*7)</f>
        <v>46566</v>
      </c>
      <c r="F133" s="71" t="s">
        <v>172</v>
      </c>
    </row>
    <row r="134" customFormat="false" ht="15" hidden="false" customHeight="false" outlineLevel="0" collapsed="false">
      <c r="A134" s="71" t="s">
        <v>86</v>
      </c>
      <c r="B134" s="72" t="n">
        <v>2027</v>
      </c>
      <c r="C134" s="72" t="n">
        <v>15</v>
      </c>
      <c r="D134" s="72" t="n">
        <v>2</v>
      </c>
      <c r="E134" s="78" t="n">
        <f aca="false">IF(OR(B134="",C134=""),"",DATE(B134,1,4)-WEEKDAY(DATE(B134,1,4),2)+1+(C134-1)*7)</f>
        <v>46489</v>
      </c>
      <c r="F134" s="71" t="s">
        <v>172</v>
      </c>
    </row>
    <row r="135" customFormat="false" ht="15" hidden="false" customHeight="false" outlineLevel="0" collapsed="false">
      <c r="A135" s="71" t="s">
        <v>86</v>
      </c>
      <c r="B135" s="72" t="n">
        <v>2027</v>
      </c>
      <c r="C135" s="72" t="n">
        <v>18</v>
      </c>
      <c r="D135" s="72" t="n">
        <v>4</v>
      </c>
      <c r="E135" s="78" t="n">
        <f aca="false">IF(OR(B135="",C135=""),"",DATE(B135,1,4)-WEEKDAY(DATE(B135,1,4),2)+1+(C135-1)*7)</f>
        <v>46510</v>
      </c>
      <c r="F135" s="71" t="s">
        <v>172</v>
      </c>
    </row>
    <row r="136" customFormat="false" ht="15" hidden="false" customHeight="false" outlineLevel="0" collapsed="false">
      <c r="A136" s="71" t="s">
        <v>86</v>
      </c>
      <c r="B136" s="72" t="n">
        <v>2027</v>
      </c>
      <c r="C136" s="72" t="n">
        <v>19</v>
      </c>
      <c r="D136" s="72" t="n">
        <v>1</v>
      </c>
      <c r="E136" s="78" t="n">
        <f aca="false">IF(OR(B136="",C136=""),"",DATE(B136,1,4)-WEEKDAY(DATE(B136,1,4),2)+1+(C136-1)*7)</f>
        <v>46517</v>
      </c>
      <c r="F136" s="71" t="s">
        <v>172</v>
      </c>
    </row>
    <row r="137" customFormat="false" ht="15" hidden="false" customHeight="false" outlineLevel="0" collapsed="false">
      <c r="A137" s="71" t="s">
        <v>86</v>
      </c>
      <c r="B137" s="72" t="n">
        <v>2027</v>
      </c>
      <c r="C137" s="72" t="n">
        <v>20</v>
      </c>
      <c r="D137" s="72" t="n">
        <v>2</v>
      </c>
      <c r="E137" s="78" t="n">
        <f aca="false">IF(OR(B137="",C137=""),"",DATE(B137,1,4)-WEEKDAY(DATE(B137,1,4),2)+1+(C137-1)*7)</f>
        <v>46524</v>
      </c>
      <c r="F137" s="71" t="s">
        <v>172</v>
      </c>
    </row>
    <row r="138" customFormat="false" ht="15" hidden="false" customHeight="false" outlineLevel="0" collapsed="false">
      <c r="A138" s="71" t="s">
        <v>88</v>
      </c>
      <c r="B138" s="72" t="n">
        <v>2028</v>
      </c>
      <c r="C138" s="72" t="n">
        <v>45</v>
      </c>
      <c r="D138" s="72" t="n">
        <v>3</v>
      </c>
      <c r="E138" s="78" t="n">
        <f aca="false">IF(OR(B138="",C138=""),"",DATE(B138,1,4)-WEEKDAY(DATE(B138,1,4),2)+1+(C138-1)*7)</f>
        <v>47063</v>
      </c>
      <c r="F138" s="71" t="s">
        <v>172</v>
      </c>
    </row>
    <row r="139" customFormat="false" ht="15" hidden="false" customHeight="false" outlineLevel="0" collapsed="false">
      <c r="A139" s="71" t="s">
        <v>88</v>
      </c>
      <c r="B139" s="72" t="n">
        <v>2028</v>
      </c>
      <c r="C139" s="72" t="n">
        <v>46</v>
      </c>
      <c r="D139" s="72" t="n">
        <v>3</v>
      </c>
      <c r="E139" s="78" t="n">
        <f aca="false">IF(OR(B139="",C139=""),"",DATE(B139,1,4)-WEEKDAY(DATE(B139,1,4),2)+1+(C139-1)*7)</f>
        <v>47070</v>
      </c>
      <c r="F139" s="71" t="s">
        <v>172</v>
      </c>
    </row>
    <row r="140" customFormat="false" ht="15" hidden="false" customHeight="false" outlineLevel="0" collapsed="false">
      <c r="A140" s="71" t="s">
        <v>88</v>
      </c>
      <c r="B140" s="72" t="n">
        <v>2028</v>
      </c>
      <c r="C140" s="72" t="n">
        <v>50</v>
      </c>
      <c r="D140" s="72" t="n">
        <v>4</v>
      </c>
      <c r="E140" s="78" t="n">
        <f aca="false">IF(OR(B140="",C140=""),"",DATE(B140,1,4)-WEEKDAY(DATE(B140,1,4),2)+1+(C140-1)*7)</f>
        <v>47098</v>
      </c>
      <c r="F140" s="71" t="s">
        <v>172</v>
      </c>
    </row>
    <row r="141" customFormat="false" ht="15" hidden="false" customHeight="false" outlineLevel="0" collapsed="false">
      <c r="A141" s="71" t="s">
        <v>92</v>
      </c>
      <c r="B141" s="72" t="n">
        <v>2028</v>
      </c>
      <c r="C141" s="72" t="n">
        <v>37</v>
      </c>
      <c r="D141" s="72" t="n">
        <v>2</v>
      </c>
      <c r="E141" s="78" t="n">
        <f aca="false">IF(OR(B141="",C141=""),"",DATE(B141,1,4)-WEEKDAY(DATE(B141,1,4),2)+1+(C141-1)*7)</f>
        <v>47007</v>
      </c>
      <c r="F141" s="71" t="s">
        <v>172</v>
      </c>
    </row>
    <row r="142" customFormat="false" ht="15" hidden="false" customHeight="false" outlineLevel="0" collapsed="false">
      <c r="A142" s="71" t="s">
        <v>92</v>
      </c>
      <c r="B142" s="72" t="n">
        <v>2028</v>
      </c>
      <c r="C142" s="72" t="n">
        <v>44</v>
      </c>
      <c r="D142" s="72" t="n">
        <v>1</v>
      </c>
      <c r="E142" s="78" t="n">
        <f aca="false">IF(OR(B142="",C142=""),"",DATE(B142,1,4)-WEEKDAY(DATE(B142,1,4),2)+1+(C142-1)*7)</f>
        <v>47056</v>
      </c>
      <c r="F142" s="71" t="s">
        <v>172</v>
      </c>
    </row>
    <row r="143" customFormat="false" ht="15" hidden="false" customHeight="false" outlineLevel="0" collapsed="false">
      <c r="A143" s="71" t="s">
        <v>92</v>
      </c>
      <c r="B143" s="72" t="n">
        <v>2028</v>
      </c>
      <c r="C143" s="72" t="n">
        <v>45</v>
      </c>
      <c r="D143" s="72" t="n">
        <v>8</v>
      </c>
      <c r="E143" s="78" t="n">
        <f aca="false">IF(OR(B143="",C143=""),"",DATE(B143,1,4)-WEEKDAY(DATE(B143,1,4),2)+1+(C143-1)*7)</f>
        <v>47063</v>
      </c>
      <c r="F143" s="71" t="s">
        <v>172</v>
      </c>
    </row>
    <row r="144" customFormat="false" ht="15" hidden="false" customHeight="false" outlineLevel="0" collapsed="false">
      <c r="A144" s="71" t="s">
        <v>92</v>
      </c>
      <c r="B144" s="72" t="n">
        <v>2028</v>
      </c>
      <c r="C144" s="72" t="n">
        <v>46</v>
      </c>
      <c r="D144" s="72" t="n">
        <v>7</v>
      </c>
      <c r="E144" s="78" t="n">
        <f aca="false">IF(OR(B144="",C144=""),"",DATE(B144,1,4)-WEEKDAY(DATE(B144,1,4),2)+1+(C144-1)*7)</f>
        <v>47070</v>
      </c>
      <c r="F144" s="71" t="s">
        <v>172</v>
      </c>
    </row>
    <row r="145" customFormat="false" ht="15" hidden="false" customHeight="false" outlineLevel="0" collapsed="false">
      <c r="A145" s="71" t="s">
        <v>92</v>
      </c>
      <c r="B145" s="72" t="n">
        <v>2028</v>
      </c>
      <c r="C145" s="72" t="n">
        <v>47</v>
      </c>
      <c r="D145" s="72" t="n">
        <v>8</v>
      </c>
      <c r="E145" s="78" t="n">
        <f aca="false">IF(OR(B145="",C145=""),"",DATE(B145,1,4)-WEEKDAY(DATE(B145,1,4),2)+1+(C145-1)*7)</f>
        <v>47077</v>
      </c>
      <c r="F145" s="71" t="s">
        <v>172</v>
      </c>
    </row>
    <row r="146" customFormat="false" ht="15" hidden="false" customHeight="false" outlineLevel="0" collapsed="false">
      <c r="A146" s="71" t="s">
        <v>92</v>
      </c>
      <c r="B146" s="72" t="n">
        <v>2028</v>
      </c>
      <c r="C146" s="72" t="n">
        <v>48</v>
      </c>
      <c r="D146" s="72" t="n">
        <v>7</v>
      </c>
      <c r="E146" s="78" t="n">
        <f aca="false">IF(OR(B146="",C146=""),"",DATE(B146,1,4)-WEEKDAY(DATE(B146,1,4),2)+1+(C146-1)*7)</f>
        <v>47084</v>
      </c>
      <c r="F146" s="71" t="s">
        <v>172</v>
      </c>
    </row>
    <row r="147" customFormat="false" ht="15" hidden="false" customHeight="false" outlineLevel="0" collapsed="false">
      <c r="A147" s="71" t="s">
        <v>92</v>
      </c>
      <c r="B147" s="72" t="n">
        <v>2028</v>
      </c>
      <c r="C147" s="72" t="n">
        <v>49</v>
      </c>
      <c r="D147" s="72" t="n">
        <v>7</v>
      </c>
      <c r="E147" s="78" t="n">
        <f aca="false">IF(OR(B147="",C147=""),"",DATE(B147,1,4)-WEEKDAY(DATE(B147,1,4),2)+1+(C147-1)*7)</f>
        <v>47091</v>
      </c>
      <c r="F147" s="71" t="s">
        <v>172</v>
      </c>
    </row>
    <row r="148" customFormat="false" ht="15" hidden="false" customHeight="false" outlineLevel="0" collapsed="false">
      <c r="A148" s="71" t="s">
        <v>92</v>
      </c>
      <c r="B148" s="72" t="n">
        <v>2028</v>
      </c>
      <c r="C148" s="72" t="n">
        <v>50</v>
      </c>
      <c r="D148" s="72" t="n">
        <v>6</v>
      </c>
      <c r="E148" s="78" t="n">
        <f aca="false">IF(OR(B148="",C148=""),"",DATE(B148,1,4)-WEEKDAY(DATE(B148,1,4),2)+1+(C148-1)*7)</f>
        <v>47098</v>
      </c>
      <c r="F148" s="71" t="s">
        <v>172</v>
      </c>
    </row>
    <row r="149" customFormat="false" ht="23.85" hidden="false" customHeight="false" outlineLevel="0" collapsed="false">
      <c r="A149" s="71" t="s">
        <v>93</v>
      </c>
      <c r="B149" s="72" t="n">
        <v>2028</v>
      </c>
      <c r="C149" s="72" t="n">
        <v>27</v>
      </c>
      <c r="D149" s="72" t="n">
        <v>10</v>
      </c>
      <c r="E149" s="78" t="n">
        <f aca="false">IF(OR(B149="",C149=""),"",DATE(B149,1,4)-WEEKDAY(DATE(B149,1,4),2)+1+(C149-1)*7)</f>
        <v>46937</v>
      </c>
      <c r="F149" s="71" t="s">
        <v>172</v>
      </c>
    </row>
    <row r="150" customFormat="false" ht="23.85" hidden="false" customHeight="false" outlineLevel="0" collapsed="false">
      <c r="A150" s="71" t="s">
        <v>93</v>
      </c>
      <c r="B150" s="72" t="n">
        <v>2028</v>
      </c>
      <c r="C150" s="72" t="n">
        <v>28</v>
      </c>
      <c r="D150" s="72" t="n">
        <v>9</v>
      </c>
      <c r="E150" s="78" t="n">
        <f aca="false">IF(OR(B150="",C150=""),"",DATE(B150,1,4)-WEEKDAY(DATE(B150,1,4),2)+1+(C150-1)*7)</f>
        <v>46944</v>
      </c>
      <c r="F150" s="71" t="s">
        <v>172</v>
      </c>
    </row>
    <row r="151" customFormat="false" ht="23.85" hidden="false" customHeight="false" outlineLevel="0" collapsed="false">
      <c r="A151" s="71" t="s">
        <v>93</v>
      </c>
      <c r="B151" s="72" t="n">
        <v>2028</v>
      </c>
      <c r="C151" s="72" t="n">
        <v>29</v>
      </c>
      <c r="D151" s="72" t="n">
        <v>12</v>
      </c>
      <c r="E151" s="78" t="n">
        <f aca="false">IF(OR(B151="",C151=""),"",DATE(B151,1,4)-WEEKDAY(DATE(B151,1,4),2)+1+(C151-1)*7)</f>
        <v>46951</v>
      </c>
      <c r="F151" s="71" t="s">
        <v>172</v>
      </c>
    </row>
    <row r="152" customFormat="false" ht="15" hidden="false" customHeight="false" outlineLevel="0" collapsed="false">
      <c r="A152" s="71"/>
      <c r="B152" s="72"/>
      <c r="C152" s="72"/>
      <c r="D152" s="72"/>
      <c r="E152" s="78" t="str">
        <f aca="false">IF(OR(B152="",C152=""),"",DATE(B152,1,4)-WEEKDAY(DATE(B152,1,4),2)+1+(C152-1)*7)</f>
        <v/>
      </c>
      <c r="F152" s="71"/>
    </row>
    <row r="153" customFormat="false" ht="15" hidden="false" customHeight="false" outlineLevel="0" collapsed="false">
      <c r="A153" s="71"/>
      <c r="B153" s="72"/>
      <c r="C153" s="72"/>
      <c r="D153" s="72"/>
      <c r="E153" s="78" t="str">
        <f aca="false">IF(OR(B153="",C153=""),"",DATE(B153,1,4)-WEEKDAY(DATE(B153,1,4),2)+1+(C153-1)*7)</f>
        <v/>
      </c>
      <c r="F153" s="71"/>
    </row>
    <row r="154" customFormat="false" ht="15" hidden="false" customHeight="false" outlineLevel="0" collapsed="false">
      <c r="A154" s="71"/>
      <c r="B154" s="72"/>
      <c r="C154" s="72"/>
      <c r="D154" s="72"/>
      <c r="E154" s="78" t="str">
        <f aca="false">IF(OR(B154="",C154=""),"",DATE(B154,1,4)-WEEKDAY(DATE(B154,1,4),2)+1+(C154-1)*7)</f>
        <v/>
      </c>
      <c r="F154" s="71"/>
    </row>
    <row r="155" customFormat="false" ht="15" hidden="false" customHeight="false" outlineLevel="0" collapsed="false">
      <c r="A155" s="71"/>
      <c r="B155" s="72"/>
      <c r="C155" s="72"/>
      <c r="D155" s="72"/>
      <c r="E155" s="78" t="str">
        <f aca="false">IF(OR(B155="",C155=""),"",DATE(B155,1,4)-WEEKDAY(DATE(B155,1,4),2)+1+(C155-1)*7)</f>
        <v/>
      </c>
      <c r="F155" s="71"/>
    </row>
    <row r="156" customFormat="false" ht="15" hidden="false" customHeight="false" outlineLevel="0" collapsed="false">
      <c r="A156" s="71"/>
      <c r="B156" s="72"/>
      <c r="C156" s="72"/>
      <c r="D156" s="72"/>
      <c r="E156" s="78" t="str">
        <f aca="false">IF(OR(B156="",C156=""),"",DATE(B156,1,4)-WEEKDAY(DATE(B156,1,4),2)+1+(C156-1)*7)</f>
        <v/>
      </c>
      <c r="F156" s="71"/>
    </row>
    <row r="157" customFormat="false" ht="15" hidden="false" customHeight="false" outlineLevel="0" collapsed="false">
      <c r="A157" s="71"/>
      <c r="B157" s="72"/>
      <c r="C157" s="72"/>
      <c r="D157" s="72"/>
      <c r="E157" s="78" t="str">
        <f aca="false">IF(OR(B157="",C157=""),"",DATE(B157,1,4)-WEEKDAY(DATE(B157,1,4),2)+1+(C157-1)*7)</f>
        <v/>
      </c>
      <c r="F157" s="71"/>
    </row>
    <row r="158" customFormat="false" ht="15" hidden="false" customHeight="false" outlineLevel="0" collapsed="false">
      <c r="A158" s="71"/>
      <c r="B158" s="72"/>
      <c r="C158" s="72"/>
      <c r="D158" s="72"/>
      <c r="E158" s="78" t="str">
        <f aca="false">IF(OR(B158="",C158=""),"",DATE(B158,1,4)-WEEKDAY(DATE(B158,1,4),2)+1+(C158-1)*7)</f>
        <v/>
      </c>
      <c r="F158" s="71"/>
    </row>
    <row r="159" customFormat="false" ht="15" hidden="false" customHeight="false" outlineLevel="0" collapsed="false">
      <c r="A159" s="71"/>
      <c r="B159" s="72"/>
      <c r="C159" s="72"/>
      <c r="D159" s="72"/>
      <c r="E159" s="78" t="str">
        <f aca="false">IF(OR(B159="",C159=""),"",DATE(B159,1,4)-WEEKDAY(DATE(B159,1,4),2)+1+(C159-1)*7)</f>
        <v/>
      </c>
      <c r="F159" s="71"/>
    </row>
    <row r="160" customFormat="false" ht="15" hidden="false" customHeight="false" outlineLevel="0" collapsed="false">
      <c r="A160" s="71"/>
      <c r="B160" s="72"/>
      <c r="C160" s="72"/>
      <c r="D160" s="72"/>
      <c r="E160" s="78" t="str">
        <f aca="false">IF(OR(B160="",C160=""),"",DATE(B160,1,4)-WEEKDAY(DATE(B160,1,4),2)+1+(C160-1)*7)</f>
        <v/>
      </c>
      <c r="F160" s="71"/>
    </row>
    <row r="161" customFormat="false" ht="15" hidden="false" customHeight="false" outlineLevel="0" collapsed="false">
      <c r="A161" s="71"/>
      <c r="B161" s="72"/>
      <c r="C161" s="72"/>
      <c r="D161" s="72"/>
      <c r="E161" s="78" t="str">
        <f aca="false">IF(OR(B161="",C161=""),"",DATE(B161,1,4)-WEEKDAY(DATE(B161,1,4),2)+1+(C161-1)*7)</f>
        <v/>
      </c>
      <c r="F161" s="71"/>
    </row>
    <row r="162" customFormat="false" ht="15" hidden="false" customHeight="false" outlineLevel="0" collapsed="false">
      <c r="A162" s="71"/>
      <c r="B162" s="72"/>
      <c r="C162" s="72"/>
      <c r="D162" s="72"/>
      <c r="E162" s="78" t="str">
        <f aca="false">IF(OR(B162="",C162=""),"",DATE(B162,1,4)-WEEKDAY(DATE(B162,1,4),2)+1+(C162-1)*7)</f>
        <v/>
      </c>
      <c r="F162" s="71"/>
    </row>
    <row r="163" customFormat="false" ht="15" hidden="false" customHeight="false" outlineLevel="0" collapsed="false">
      <c r="A163" s="71"/>
      <c r="B163" s="72"/>
      <c r="C163" s="72"/>
      <c r="D163" s="72"/>
      <c r="E163" s="78" t="str">
        <f aca="false">IF(OR(B163="",C163=""),"",DATE(B163,1,4)-WEEKDAY(DATE(B163,1,4),2)+1+(C163-1)*7)</f>
        <v/>
      </c>
      <c r="F163" s="71"/>
    </row>
    <row r="164" customFormat="false" ht="15" hidden="false" customHeight="false" outlineLevel="0" collapsed="false">
      <c r="A164" s="71"/>
      <c r="B164" s="72"/>
      <c r="C164" s="72"/>
      <c r="D164" s="72"/>
      <c r="E164" s="78" t="str">
        <f aca="false">IF(OR(B164="",C164=""),"",DATE(B164,1,4)-WEEKDAY(DATE(B164,1,4),2)+1+(C164-1)*7)</f>
        <v/>
      </c>
      <c r="F164" s="71"/>
    </row>
    <row r="165" customFormat="false" ht="15" hidden="false" customHeight="false" outlineLevel="0" collapsed="false">
      <c r="A165" s="71"/>
      <c r="B165" s="72"/>
      <c r="C165" s="72"/>
      <c r="D165" s="72"/>
      <c r="E165" s="78" t="str">
        <f aca="false">IF(OR(B165="",C165=""),"",DATE(B165,1,4)-WEEKDAY(DATE(B165,1,4),2)+1+(C165-1)*7)</f>
        <v/>
      </c>
      <c r="F165" s="71"/>
    </row>
    <row r="166" customFormat="false" ht="15" hidden="false" customHeight="false" outlineLevel="0" collapsed="false">
      <c r="A166" s="71"/>
      <c r="B166" s="72"/>
      <c r="C166" s="72"/>
      <c r="D166" s="72"/>
      <c r="E166" s="78" t="str">
        <f aca="false">IF(OR(B166="",C166=""),"",DATE(B166,1,4)-WEEKDAY(DATE(B166,1,4),2)+1+(C166-1)*7)</f>
        <v/>
      </c>
      <c r="F166" s="71"/>
    </row>
    <row r="167" customFormat="false" ht="15" hidden="false" customHeight="false" outlineLevel="0" collapsed="false">
      <c r="A167" s="71"/>
      <c r="B167" s="72"/>
      <c r="C167" s="72"/>
      <c r="D167" s="72"/>
      <c r="E167" s="78" t="str">
        <f aca="false">IF(OR(B167="",C167=""),"",DATE(B167,1,4)-WEEKDAY(DATE(B167,1,4),2)+1+(C167-1)*7)</f>
        <v/>
      </c>
      <c r="F167" s="71"/>
    </row>
    <row r="168" customFormat="false" ht="15" hidden="false" customHeight="false" outlineLevel="0" collapsed="false">
      <c r="A168" s="71"/>
      <c r="B168" s="72"/>
      <c r="C168" s="72"/>
      <c r="D168" s="72"/>
      <c r="E168" s="78" t="str">
        <f aca="false">IF(OR(B168="",C168=""),"",DATE(B168,1,4)-WEEKDAY(DATE(B168,1,4),2)+1+(C168-1)*7)</f>
        <v/>
      </c>
      <c r="F168" s="71"/>
    </row>
    <row r="169" customFormat="false" ht="15" hidden="false" customHeight="false" outlineLevel="0" collapsed="false">
      <c r="A169" s="71"/>
      <c r="B169" s="72"/>
      <c r="C169" s="72"/>
      <c r="D169" s="72"/>
      <c r="E169" s="78" t="str">
        <f aca="false">IF(OR(B169="",C169=""),"",DATE(B169,1,4)-WEEKDAY(DATE(B169,1,4),2)+1+(C169-1)*7)</f>
        <v/>
      </c>
      <c r="F169" s="71"/>
    </row>
    <row r="170" customFormat="false" ht="15" hidden="false" customHeight="false" outlineLevel="0" collapsed="false">
      <c r="A170" s="71"/>
      <c r="B170" s="72"/>
      <c r="C170" s="72"/>
      <c r="D170" s="72"/>
      <c r="E170" s="78" t="str">
        <f aca="false">IF(OR(B170="",C170=""),"",DATE(B170,1,4)-WEEKDAY(DATE(B170,1,4),2)+1+(C170-1)*7)</f>
        <v/>
      </c>
      <c r="F170" s="71"/>
    </row>
    <row r="171" customFormat="false" ht="15" hidden="false" customHeight="false" outlineLevel="0" collapsed="false">
      <c r="A171" s="71"/>
      <c r="B171" s="72"/>
      <c r="C171" s="72"/>
      <c r="D171" s="72"/>
      <c r="E171" s="78" t="str">
        <f aca="false">IF(OR(B171="",C171=""),"",DATE(B171,1,4)-WEEKDAY(DATE(B171,1,4),2)+1+(C171-1)*7)</f>
        <v/>
      </c>
      <c r="F171" s="71"/>
    </row>
    <row r="172" customFormat="false" ht="15" hidden="false" customHeight="false" outlineLevel="0" collapsed="false">
      <c r="A172" s="71"/>
      <c r="B172" s="72"/>
      <c r="C172" s="72"/>
      <c r="D172" s="72"/>
      <c r="E172" s="78" t="str">
        <f aca="false">IF(OR(B172="",C172=""),"",DATE(B172,1,4)-WEEKDAY(DATE(B172,1,4),2)+1+(C172-1)*7)</f>
        <v/>
      </c>
      <c r="F172" s="71"/>
    </row>
    <row r="173" customFormat="false" ht="15" hidden="false" customHeight="false" outlineLevel="0" collapsed="false">
      <c r="A173" s="71"/>
      <c r="B173" s="72"/>
      <c r="C173" s="72"/>
      <c r="D173" s="72"/>
      <c r="E173" s="78" t="str">
        <f aca="false">IF(OR(B173="",C173=""),"",DATE(B173,1,4)-WEEKDAY(DATE(B173,1,4),2)+1+(C173-1)*7)</f>
        <v/>
      </c>
      <c r="F173" s="71"/>
    </row>
    <row r="174" customFormat="false" ht="15" hidden="false" customHeight="false" outlineLevel="0" collapsed="false">
      <c r="A174" s="71"/>
      <c r="B174" s="72"/>
      <c r="C174" s="72"/>
      <c r="D174" s="72"/>
      <c r="E174" s="78" t="str">
        <f aca="false">IF(OR(B174="",C174=""),"",DATE(B174,1,4)-WEEKDAY(DATE(B174,1,4),2)+1+(C174-1)*7)</f>
        <v/>
      </c>
      <c r="F174" s="71"/>
    </row>
    <row r="175" customFormat="false" ht="15" hidden="false" customHeight="false" outlineLevel="0" collapsed="false">
      <c r="A175" s="71"/>
      <c r="B175" s="72"/>
      <c r="C175" s="72"/>
      <c r="D175" s="72"/>
      <c r="E175" s="78" t="str">
        <f aca="false">IF(OR(B175="",C175=""),"",DATE(B175,1,4)-WEEKDAY(DATE(B175,1,4),2)+1+(C175-1)*7)</f>
        <v/>
      </c>
      <c r="F175" s="71"/>
    </row>
    <row r="176" customFormat="false" ht="15" hidden="false" customHeight="false" outlineLevel="0" collapsed="false">
      <c r="A176" s="71"/>
      <c r="B176" s="72"/>
      <c r="C176" s="72"/>
      <c r="D176" s="72"/>
      <c r="E176" s="78" t="str">
        <f aca="false">IF(OR(B176="",C176=""),"",DATE(B176,1,4)-WEEKDAY(DATE(B176,1,4),2)+1+(C176-1)*7)</f>
        <v/>
      </c>
      <c r="F176" s="71"/>
    </row>
    <row r="177" customFormat="false" ht="15" hidden="false" customHeight="false" outlineLevel="0" collapsed="false">
      <c r="A177" s="71"/>
      <c r="B177" s="72"/>
      <c r="C177" s="72"/>
      <c r="D177" s="72"/>
      <c r="E177" s="78" t="str">
        <f aca="false">IF(OR(B177="",C177=""),"",DATE(B177,1,4)-WEEKDAY(DATE(B177,1,4),2)+1+(C177-1)*7)</f>
        <v/>
      </c>
      <c r="F177" s="71"/>
    </row>
    <row r="178" customFormat="false" ht="15" hidden="false" customHeight="false" outlineLevel="0" collapsed="false">
      <c r="A178" s="71"/>
      <c r="B178" s="72"/>
      <c r="C178" s="72"/>
      <c r="D178" s="72"/>
      <c r="E178" s="78" t="str">
        <f aca="false">IF(OR(B178="",C178=""),"",DATE(B178,1,4)-WEEKDAY(DATE(B178,1,4),2)+1+(C178-1)*7)</f>
        <v/>
      </c>
      <c r="F178" s="71"/>
    </row>
    <row r="179" customFormat="false" ht="15" hidden="false" customHeight="false" outlineLevel="0" collapsed="false">
      <c r="A179" s="71"/>
      <c r="B179" s="72"/>
      <c r="C179" s="72"/>
      <c r="D179" s="72"/>
      <c r="E179" s="78" t="str">
        <f aca="false">IF(OR(B179="",C179=""),"",DATE(B179,1,4)-WEEKDAY(DATE(B179,1,4),2)+1+(C179-1)*7)</f>
        <v/>
      </c>
      <c r="F179" s="71"/>
    </row>
    <row r="180" customFormat="false" ht="15" hidden="false" customHeight="false" outlineLevel="0" collapsed="false">
      <c r="A180" s="71"/>
      <c r="B180" s="72"/>
      <c r="C180" s="72"/>
      <c r="D180" s="72"/>
      <c r="E180" s="78" t="str">
        <f aca="false">IF(OR(B180="",C180=""),"",DATE(B180,1,4)-WEEKDAY(DATE(B180,1,4),2)+1+(C180-1)*7)</f>
        <v/>
      </c>
      <c r="F180" s="71"/>
    </row>
    <row r="181" customFormat="false" ht="15" hidden="false" customHeight="false" outlineLevel="0" collapsed="false">
      <c r="A181" s="71"/>
      <c r="B181" s="72"/>
      <c r="C181" s="72"/>
      <c r="D181" s="72"/>
      <c r="E181" s="78" t="str">
        <f aca="false">IF(OR(B181="",C181=""),"",DATE(B181,1,4)-WEEKDAY(DATE(B181,1,4),2)+1+(C181-1)*7)</f>
        <v/>
      </c>
      <c r="F181" s="71"/>
    </row>
    <row r="182" customFormat="false" ht="15" hidden="false" customHeight="false" outlineLevel="0" collapsed="false">
      <c r="A182" s="71"/>
      <c r="B182" s="72"/>
      <c r="C182" s="72"/>
      <c r="D182" s="72"/>
      <c r="E182" s="78" t="str">
        <f aca="false">IF(OR(B182="",C182=""),"",DATE(B182,1,4)-WEEKDAY(DATE(B182,1,4),2)+1+(C182-1)*7)</f>
        <v/>
      </c>
      <c r="F182" s="71"/>
    </row>
    <row r="183" customFormat="false" ht="15" hidden="false" customHeight="false" outlineLevel="0" collapsed="false">
      <c r="A183" s="71"/>
      <c r="B183" s="72"/>
      <c r="C183" s="72"/>
      <c r="D183" s="72"/>
      <c r="E183" s="78" t="str">
        <f aca="false">IF(OR(B183="",C183=""),"",DATE(B183,1,4)-WEEKDAY(DATE(B183,1,4),2)+1+(C183-1)*7)</f>
        <v/>
      </c>
      <c r="F183" s="71"/>
    </row>
    <row r="184" customFormat="false" ht="15" hidden="false" customHeight="false" outlineLevel="0" collapsed="false">
      <c r="A184" s="71"/>
      <c r="B184" s="72"/>
      <c r="C184" s="72"/>
      <c r="D184" s="72"/>
      <c r="E184" s="78" t="str">
        <f aca="false">IF(OR(B184="",C184=""),"",DATE(B184,1,4)-WEEKDAY(DATE(B184,1,4),2)+1+(C184-1)*7)</f>
        <v/>
      </c>
      <c r="F184" s="71"/>
    </row>
    <row r="185" customFormat="false" ht="15" hidden="false" customHeight="false" outlineLevel="0" collapsed="false">
      <c r="A185" s="71"/>
      <c r="B185" s="72"/>
      <c r="C185" s="72"/>
      <c r="D185" s="72"/>
      <c r="E185" s="78" t="str">
        <f aca="false">IF(OR(B185="",C185=""),"",DATE(B185,1,4)-WEEKDAY(DATE(B185,1,4),2)+1+(C185-1)*7)</f>
        <v/>
      </c>
      <c r="F185" s="71"/>
    </row>
    <row r="186" customFormat="false" ht="15" hidden="false" customHeight="false" outlineLevel="0" collapsed="false">
      <c r="A186" s="71"/>
      <c r="B186" s="72"/>
      <c r="C186" s="72"/>
      <c r="D186" s="72"/>
      <c r="E186" s="78" t="str">
        <f aca="false">IF(OR(B186="",C186=""),"",DATE(B186,1,4)-WEEKDAY(DATE(B186,1,4),2)+1+(C186-1)*7)</f>
        <v/>
      </c>
      <c r="F186" s="71"/>
    </row>
    <row r="187" customFormat="false" ht="15" hidden="false" customHeight="false" outlineLevel="0" collapsed="false">
      <c r="A187" s="71"/>
      <c r="B187" s="72"/>
      <c r="C187" s="72"/>
      <c r="D187" s="72"/>
      <c r="E187" s="78" t="str">
        <f aca="false">IF(OR(B187="",C187=""),"",DATE(B187,1,4)-WEEKDAY(DATE(B187,1,4),2)+1+(C187-1)*7)</f>
        <v/>
      </c>
      <c r="F187" s="71"/>
    </row>
    <row r="188" customFormat="false" ht="15" hidden="false" customHeight="false" outlineLevel="0" collapsed="false">
      <c r="A188" s="71"/>
      <c r="B188" s="72"/>
      <c r="C188" s="72"/>
      <c r="D188" s="72"/>
      <c r="E188" s="78" t="str">
        <f aca="false">IF(OR(B188="",C188=""),"",DATE(B188,1,4)-WEEKDAY(DATE(B188,1,4),2)+1+(C188-1)*7)</f>
        <v/>
      </c>
      <c r="F188" s="71"/>
    </row>
    <row r="189" customFormat="false" ht="15" hidden="false" customHeight="false" outlineLevel="0" collapsed="false">
      <c r="A189" s="71"/>
      <c r="B189" s="72"/>
      <c r="C189" s="72"/>
      <c r="D189" s="72"/>
      <c r="E189" s="78" t="str">
        <f aca="false">IF(OR(B189="",C189=""),"",DATE(B189,1,4)-WEEKDAY(DATE(B189,1,4),2)+1+(C189-1)*7)</f>
        <v/>
      </c>
      <c r="F189" s="71"/>
    </row>
    <row r="190" customFormat="false" ht="15" hidden="false" customHeight="false" outlineLevel="0" collapsed="false">
      <c r="A190" s="71"/>
      <c r="B190" s="72"/>
      <c r="C190" s="72"/>
      <c r="D190" s="72"/>
      <c r="E190" s="78" t="str">
        <f aca="false">IF(OR(B190="",C190=""),"",DATE(B190,1,4)-WEEKDAY(DATE(B190,1,4),2)+1+(C190-1)*7)</f>
        <v/>
      </c>
      <c r="F190" s="71"/>
    </row>
    <row r="191" customFormat="false" ht="15" hidden="false" customHeight="false" outlineLevel="0" collapsed="false">
      <c r="A191" s="71"/>
      <c r="B191" s="72"/>
      <c r="C191" s="72"/>
      <c r="D191" s="72"/>
      <c r="E191" s="78" t="str">
        <f aca="false">IF(OR(B191="",C191=""),"",DATE(B191,1,4)-WEEKDAY(DATE(B191,1,4),2)+1+(C191-1)*7)</f>
        <v/>
      </c>
      <c r="F191" s="71"/>
    </row>
    <row r="192" customFormat="false" ht="15" hidden="false" customHeight="false" outlineLevel="0" collapsed="false">
      <c r="A192" s="71"/>
      <c r="B192" s="72"/>
      <c r="C192" s="72"/>
      <c r="D192" s="72"/>
      <c r="E192" s="78" t="str">
        <f aca="false">IF(OR(B192="",C192=""),"",DATE(B192,1,4)-WEEKDAY(DATE(B192,1,4),2)+1+(C192-1)*7)</f>
        <v/>
      </c>
      <c r="F192" s="71"/>
    </row>
    <row r="193" customFormat="false" ht="15" hidden="false" customHeight="false" outlineLevel="0" collapsed="false">
      <c r="A193" s="71"/>
      <c r="B193" s="72"/>
      <c r="C193" s="72"/>
      <c r="D193" s="72"/>
      <c r="E193" s="78" t="str">
        <f aca="false">IF(OR(B193="",C193=""),"",DATE(B193,1,4)-WEEKDAY(DATE(B193,1,4),2)+1+(C193-1)*7)</f>
        <v/>
      </c>
      <c r="F193" s="71"/>
    </row>
    <row r="194" customFormat="false" ht="15" hidden="false" customHeight="false" outlineLevel="0" collapsed="false">
      <c r="A194" s="71"/>
      <c r="B194" s="72"/>
      <c r="C194" s="72"/>
      <c r="D194" s="72"/>
      <c r="E194" s="78" t="str">
        <f aca="false">IF(OR(B194="",C194=""),"",DATE(B194,1,4)-WEEKDAY(DATE(B194,1,4),2)+1+(C194-1)*7)</f>
        <v/>
      </c>
      <c r="F194" s="71"/>
    </row>
    <row r="195" customFormat="false" ht="15" hidden="false" customHeight="false" outlineLevel="0" collapsed="false">
      <c r="A195" s="71"/>
      <c r="B195" s="72"/>
      <c r="C195" s="72"/>
      <c r="D195" s="72"/>
      <c r="E195" s="78" t="str">
        <f aca="false">IF(OR(B195="",C195=""),"",DATE(B195,1,4)-WEEKDAY(DATE(B195,1,4),2)+1+(C195-1)*7)</f>
        <v/>
      </c>
      <c r="F195" s="71"/>
    </row>
    <row r="196" customFormat="false" ht="15" hidden="false" customHeight="false" outlineLevel="0" collapsed="false">
      <c r="A196" s="71"/>
      <c r="B196" s="72"/>
      <c r="C196" s="72"/>
      <c r="D196" s="72"/>
      <c r="E196" s="78" t="str">
        <f aca="false">IF(OR(B196="",C196=""),"",DATE(B196,1,4)-WEEKDAY(DATE(B196,1,4),2)+1+(C196-1)*7)</f>
        <v/>
      </c>
      <c r="F196" s="71"/>
    </row>
    <row r="197" customFormat="false" ht="15" hidden="false" customHeight="false" outlineLevel="0" collapsed="false">
      <c r="A197" s="71"/>
      <c r="B197" s="72"/>
      <c r="C197" s="72"/>
      <c r="D197" s="72"/>
      <c r="E197" s="78" t="str">
        <f aca="false">IF(OR(B197="",C197=""),"",DATE(B197,1,4)-WEEKDAY(DATE(B197,1,4),2)+1+(C197-1)*7)</f>
        <v/>
      </c>
      <c r="F197" s="71"/>
    </row>
    <row r="198" customFormat="false" ht="15" hidden="false" customHeight="false" outlineLevel="0" collapsed="false">
      <c r="A198" s="71"/>
      <c r="B198" s="72"/>
      <c r="C198" s="72"/>
      <c r="D198" s="72"/>
      <c r="E198" s="78" t="str">
        <f aca="false">IF(OR(B198="",C198=""),"",DATE(B198,1,4)-WEEKDAY(DATE(B198,1,4),2)+1+(C198-1)*7)</f>
        <v/>
      </c>
      <c r="F198" s="71"/>
    </row>
    <row r="199" customFormat="false" ht="15" hidden="false" customHeight="false" outlineLevel="0" collapsed="false">
      <c r="A199" s="71"/>
      <c r="B199" s="72"/>
      <c r="C199" s="72"/>
      <c r="D199" s="72"/>
      <c r="E199" s="78" t="str">
        <f aca="false">IF(OR(B199="",C199=""),"",DATE(B199,1,4)-WEEKDAY(DATE(B199,1,4),2)+1+(C199-1)*7)</f>
        <v/>
      </c>
      <c r="F199" s="71"/>
    </row>
    <row r="200" customFormat="false" ht="15" hidden="false" customHeight="false" outlineLevel="0" collapsed="false">
      <c r="A200" s="71"/>
      <c r="B200" s="72"/>
      <c r="C200" s="72"/>
      <c r="D200" s="72"/>
      <c r="E200" s="78" t="str">
        <f aca="false">IF(OR(B200="",C200=""),"",DATE(B200,1,4)-WEEKDAY(DATE(B200,1,4),2)+1+(C200-1)*7)</f>
        <v/>
      </c>
      <c r="F200" s="71"/>
    </row>
    <row r="201" customFormat="false" ht="15" hidden="false" customHeight="false" outlineLevel="0" collapsed="false">
      <c r="A201" s="71"/>
      <c r="B201" s="72"/>
      <c r="C201" s="72"/>
      <c r="D201" s="72"/>
      <c r="E201" s="78" t="str">
        <f aca="false">IF(OR(B201="",C201=""),"",DATE(B201,1,4)-WEEKDAY(DATE(B201,1,4),2)+1+(C201-1)*7)</f>
        <v/>
      </c>
      <c r="F201" s="71"/>
    </row>
    <row r="202" customFormat="false" ht="15" hidden="false" customHeight="false" outlineLevel="0" collapsed="false">
      <c r="A202" s="71"/>
      <c r="B202" s="72"/>
      <c r="C202" s="72"/>
      <c r="D202" s="72"/>
      <c r="E202" s="78" t="str">
        <f aca="false">IF(OR(B202="",C202=""),"",DATE(B202,1,4)-WEEKDAY(DATE(B202,1,4),2)+1+(C202-1)*7)</f>
        <v/>
      </c>
      <c r="F202" s="71"/>
    </row>
    <row r="203" customFormat="false" ht="15" hidden="false" customHeight="false" outlineLevel="0" collapsed="false">
      <c r="A203" s="71"/>
      <c r="B203" s="72"/>
      <c r="C203" s="72"/>
      <c r="D203" s="72"/>
      <c r="E203" s="78" t="str">
        <f aca="false">IF(OR(B203="",C203=""),"",DATE(B203,1,4)-WEEKDAY(DATE(B203,1,4),2)+1+(C203-1)*7)</f>
        <v/>
      </c>
      <c r="F203" s="71"/>
    </row>
    <row r="204" customFormat="false" ht="15" hidden="false" customHeight="false" outlineLevel="0" collapsed="false">
      <c r="A204" s="71"/>
      <c r="B204" s="72"/>
      <c r="C204" s="72"/>
      <c r="D204" s="72"/>
      <c r="E204" s="78" t="str">
        <f aca="false">IF(OR(B204="",C204=""),"",DATE(B204,1,4)-WEEKDAY(DATE(B204,1,4),2)+1+(C204-1)*7)</f>
        <v/>
      </c>
      <c r="F204" s="71"/>
    </row>
    <row r="205" customFormat="false" ht="15" hidden="false" customHeight="false" outlineLevel="0" collapsed="false">
      <c r="A205" s="71"/>
      <c r="B205" s="72"/>
      <c r="C205" s="72"/>
      <c r="D205" s="72"/>
      <c r="E205" s="78" t="str">
        <f aca="false">IF(OR(B205="",C205=""),"",DATE(B205,1,4)-WEEKDAY(DATE(B205,1,4),2)+1+(C205-1)*7)</f>
        <v/>
      </c>
      <c r="F205" s="71"/>
    </row>
    <row r="206" customFormat="false" ht="15" hidden="false" customHeight="false" outlineLevel="0" collapsed="false">
      <c r="A206" s="71"/>
      <c r="B206" s="72"/>
      <c r="C206" s="72"/>
      <c r="D206" s="72"/>
      <c r="E206" s="78" t="str">
        <f aca="false">IF(OR(B206="",C206=""),"",DATE(B206,1,4)-WEEKDAY(DATE(B206,1,4),2)+1+(C206-1)*7)</f>
        <v/>
      </c>
      <c r="F206" s="71"/>
    </row>
    <row r="207" customFormat="false" ht="15" hidden="false" customHeight="false" outlineLevel="0" collapsed="false">
      <c r="A207" s="71"/>
      <c r="B207" s="72"/>
      <c r="C207" s="72"/>
      <c r="D207" s="72"/>
      <c r="E207" s="78" t="str">
        <f aca="false">IF(OR(B207="",C207=""),"",DATE(B207,1,4)-WEEKDAY(DATE(B207,1,4),2)+1+(C207-1)*7)</f>
        <v/>
      </c>
      <c r="F207" s="71"/>
    </row>
    <row r="208" customFormat="false" ht="15" hidden="false" customHeight="false" outlineLevel="0" collapsed="false">
      <c r="A208" s="71"/>
      <c r="B208" s="72"/>
      <c r="C208" s="72"/>
      <c r="D208" s="72"/>
      <c r="E208" s="78" t="str">
        <f aca="false">IF(OR(B208="",C208=""),"",DATE(B208,1,4)-WEEKDAY(DATE(B208,1,4),2)+1+(C208-1)*7)</f>
        <v/>
      </c>
      <c r="F208" s="71"/>
    </row>
    <row r="209" customFormat="false" ht="15" hidden="false" customHeight="false" outlineLevel="0" collapsed="false">
      <c r="A209" s="71"/>
      <c r="B209" s="72"/>
      <c r="C209" s="72"/>
      <c r="D209" s="72"/>
      <c r="E209" s="78" t="str">
        <f aca="false">IF(OR(B209="",C209=""),"",DATE(B209,1,4)-WEEKDAY(DATE(B209,1,4),2)+1+(C209-1)*7)</f>
        <v/>
      </c>
      <c r="F209" s="71"/>
    </row>
    <row r="210" customFormat="false" ht="15" hidden="false" customHeight="false" outlineLevel="0" collapsed="false">
      <c r="A210" s="71"/>
      <c r="B210" s="72"/>
      <c r="C210" s="72"/>
      <c r="D210" s="72"/>
      <c r="E210" s="78" t="str">
        <f aca="false">IF(OR(B210="",C210=""),"",DATE(B210,1,4)-WEEKDAY(DATE(B210,1,4),2)+1+(C210-1)*7)</f>
        <v/>
      </c>
      <c r="F210" s="71"/>
    </row>
    <row r="211" customFormat="false" ht="15" hidden="false" customHeight="false" outlineLevel="0" collapsed="false">
      <c r="A211" s="71"/>
      <c r="B211" s="72"/>
      <c r="C211" s="72"/>
      <c r="D211" s="72"/>
      <c r="E211" s="78" t="str">
        <f aca="false">IF(OR(B211="",C211=""),"",DATE(B211,1,4)-WEEKDAY(DATE(B211,1,4),2)+1+(C211-1)*7)</f>
        <v/>
      </c>
      <c r="F211" s="71"/>
    </row>
    <row r="212" customFormat="false" ht="15" hidden="false" customHeight="false" outlineLevel="0" collapsed="false">
      <c r="A212" s="71"/>
      <c r="B212" s="72"/>
      <c r="C212" s="72"/>
      <c r="D212" s="72"/>
      <c r="E212" s="78" t="str">
        <f aca="false">IF(OR(B212="",C212=""),"",DATE(B212,1,4)-WEEKDAY(DATE(B212,1,4),2)+1+(C212-1)*7)</f>
        <v/>
      </c>
      <c r="F212" s="71"/>
    </row>
    <row r="213" customFormat="false" ht="15" hidden="false" customHeight="false" outlineLevel="0" collapsed="false">
      <c r="A213" s="71"/>
      <c r="B213" s="72"/>
      <c r="C213" s="72"/>
      <c r="D213" s="72"/>
      <c r="E213" s="78" t="str">
        <f aca="false">IF(OR(B213="",C213=""),"",DATE(B213,1,4)-WEEKDAY(DATE(B213,1,4),2)+1+(C213-1)*7)</f>
        <v/>
      </c>
      <c r="F213" s="71"/>
    </row>
    <row r="214" customFormat="false" ht="15" hidden="false" customHeight="false" outlineLevel="0" collapsed="false">
      <c r="A214" s="71"/>
      <c r="B214" s="72"/>
      <c r="C214" s="72"/>
      <c r="D214" s="72"/>
      <c r="E214" s="78" t="str">
        <f aca="false">IF(OR(B214="",C214=""),"",DATE(B214,1,4)-WEEKDAY(DATE(B214,1,4),2)+1+(C214-1)*7)</f>
        <v/>
      </c>
      <c r="F214" s="71"/>
    </row>
    <row r="215" customFormat="false" ht="15" hidden="false" customHeight="false" outlineLevel="0" collapsed="false">
      <c r="A215" s="71"/>
      <c r="B215" s="72"/>
      <c r="C215" s="72"/>
      <c r="D215" s="72"/>
      <c r="E215" s="78" t="str">
        <f aca="false">IF(OR(B215="",C215=""),"",DATE(B215,1,4)-WEEKDAY(DATE(B215,1,4),2)+1+(C215-1)*7)</f>
        <v/>
      </c>
      <c r="F215" s="71"/>
    </row>
    <row r="216" customFormat="false" ht="15" hidden="false" customHeight="false" outlineLevel="0" collapsed="false">
      <c r="A216" s="71"/>
      <c r="B216" s="72"/>
      <c r="C216" s="72"/>
      <c r="D216" s="72"/>
      <c r="E216" s="78" t="str">
        <f aca="false">IF(OR(B216="",C216=""),"",DATE(B216,1,4)-WEEKDAY(DATE(B216,1,4),2)+1+(C216-1)*7)</f>
        <v/>
      </c>
      <c r="F216" s="71"/>
    </row>
    <row r="217" customFormat="false" ht="15" hidden="false" customHeight="false" outlineLevel="0" collapsed="false">
      <c r="A217" s="71"/>
      <c r="B217" s="72"/>
      <c r="C217" s="72"/>
      <c r="D217" s="72"/>
      <c r="E217" s="78" t="str">
        <f aca="false">IF(OR(B217="",C217=""),"",DATE(B217,1,4)-WEEKDAY(DATE(B217,1,4),2)+1+(C217-1)*7)</f>
        <v/>
      </c>
      <c r="F217" s="71"/>
    </row>
    <row r="218" customFormat="false" ht="15" hidden="false" customHeight="false" outlineLevel="0" collapsed="false">
      <c r="A218" s="71"/>
      <c r="B218" s="72"/>
      <c r="C218" s="72"/>
      <c r="D218" s="72"/>
      <c r="E218" s="78" t="str">
        <f aca="false">IF(OR(B218="",C218=""),"",DATE(B218,1,4)-WEEKDAY(DATE(B218,1,4),2)+1+(C218-1)*7)</f>
        <v/>
      </c>
      <c r="F218" s="71"/>
    </row>
    <row r="219" customFormat="false" ht="15" hidden="false" customHeight="false" outlineLevel="0" collapsed="false">
      <c r="A219" s="71"/>
      <c r="B219" s="72"/>
      <c r="C219" s="72"/>
      <c r="D219" s="72"/>
      <c r="E219" s="78" t="str">
        <f aca="false">IF(OR(B219="",C219=""),"",DATE(B219,1,4)-WEEKDAY(DATE(B219,1,4),2)+1+(C219-1)*7)</f>
        <v/>
      </c>
      <c r="F219" s="71"/>
    </row>
    <row r="220" customFormat="false" ht="15" hidden="false" customHeight="false" outlineLevel="0" collapsed="false">
      <c r="A220" s="71"/>
      <c r="B220" s="72"/>
      <c r="C220" s="72"/>
      <c r="D220" s="72"/>
      <c r="E220" s="78" t="str">
        <f aca="false">IF(OR(B220="",C220=""),"",DATE(B220,1,4)-WEEKDAY(DATE(B220,1,4),2)+1+(C220-1)*7)</f>
        <v/>
      </c>
      <c r="F220" s="71"/>
    </row>
    <row r="221" customFormat="false" ht="15" hidden="false" customHeight="false" outlineLevel="0" collapsed="false">
      <c r="A221" s="71"/>
      <c r="B221" s="72"/>
      <c r="C221" s="72"/>
      <c r="D221" s="72"/>
      <c r="E221" s="78" t="str">
        <f aca="false">IF(OR(B221="",C221=""),"",DATE(B221,1,4)-WEEKDAY(DATE(B221,1,4),2)+1+(C221-1)*7)</f>
        <v/>
      </c>
      <c r="F221" s="71"/>
    </row>
    <row r="222" customFormat="false" ht="15" hidden="false" customHeight="false" outlineLevel="0" collapsed="false">
      <c r="A222" s="71"/>
      <c r="B222" s="72"/>
      <c r="C222" s="72"/>
      <c r="D222" s="72"/>
      <c r="E222" s="78" t="str">
        <f aca="false">IF(OR(B222="",C222=""),"",DATE(B222,1,4)-WEEKDAY(DATE(B222,1,4),2)+1+(C222-1)*7)</f>
        <v/>
      </c>
      <c r="F222" s="71"/>
    </row>
    <row r="223" customFormat="false" ht="15" hidden="false" customHeight="false" outlineLevel="0" collapsed="false">
      <c r="A223" s="71"/>
      <c r="B223" s="72"/>
      <c r="C223" s="72"/>
      <c r="D223" s="72"/>
      <c r="E223" s="78" t="str">
        <f aca="false">IF(OR(B223="",C223=""),"",DATE(B223,1,4)-WEEKDAY(DATE(B223,1,4),2)+1+(C223-1)*7)</f>
        <v/>
      </c>
      <c r="F223" s="71"/>
    </row>
    <row r="224" customFormat="false" ht="15" hidden="false" customHeight="false" outlineLevel="0" collapsed="false">
      <c r="A224" s="71"/>
      <c r="B224" s="72"/>
      <c r="C224" s="72"/>
      <c r="D224" s="72"/>
      <c r="E224" s="78" t="str">
        <f aca="false">IF(OR(B224="",C224=""),"",DATE(B224,1,4)-WEEKDAY(DATE(B224,1,4),2)+1+(C224-1)*7)</f>
        <v/>
      </c>
      <c r="F224" s="71"/>
    </row>
    <row r="225" customFormat="false" ht="15" hidden="false" customHeight="false" outlineLevel="0" collapsed="false">
      <c r="A225" s="71"/>
      <c r="B225" s="72"/>
      <c r="C225" s="72"/>
      <c r="D225" s="72"/>
      <c r="E225" s="78" t="str">
        <f aca="false">IF(OR(B225="",C225=""),"",DATE(B225,1,4)-WEEKDAY(DATE(B225,1,4),2)+1+(C225-1)*7)</f>
        <v/>
      </c>
      <c r="F225" s="71"/>
    </row>
    <row r="226" customFormat="false" ht="15" hidden="false" customHeight="false" outlineLevel="0" collapsed="false">
      <c r="A226" s="71"/>
      <c r="B226" s="72"/>
      <c r="C226" s="72"/>
      <c r="D226" s="72"/>
      <c r="E226" s="78" t="str">
        <f aca="false">IF(OR(B226="",C226=""),"",DATE(B226,1,4)-WEEKDAY(DATE(B226,1,4),2)+1+(C226-1)*7)</f>
        <v/>
      </c>
      <c r="F226" s="71"/>
    </row>
    <row r="227" customFormat="false" ht="15" hidden="false" customHeight="false" outlineLevel="0" collapsed="false">
      <c r="A227" s="71"/>
      <c r="B227" s="72"/>
      <c r="C227" s="72"/>
      <c r="D227" s="72"/>
      <c r="E227" s="78" t="str">
        <f aca="false">IF(OR(B227="",C227=""),"",DATE(B227,1,4)-WEEKDAY(DATE(B227,1,4),2)+1+(C227-1)*7)</f>
        <v/>
      </c>
      <c r="F227" s="71"/>
    </row>
    <row r="228" customFormat="false" ht="15" hidden="false" customHeight="false" outlineLevel="0" collapsed="false">
      <c r="A228" s="71"/>
      <c r="B228" s="72"/>
      <c r="C228" s="72"/>
      <c r="D228" s="72"/>
      <c r="E228" s="78" t="str">
        <f aca="false">IF(OR(B228="",C228=""),"",DATE(B228,1,4)-WEEKDAY(DATE(B228,1,4),2)+1+(C228-1)*7)</f>
        <v/>
      </c>
      <c r="F228" s="71"/>
    </row>
    <row r="229" customFormat="false" ht="15" hidden="false" customHeight="false" outlineLevel="0" collapsed="false">
      <c r="A229" s="71"/>
      <c r="B229" s="72"/>
      <c r="C229" s="72"/>
      <c r="D229" s="72"/>
      <c r="E229" s="78" t="str">
        <f aca="false">IF(OR(B229="",C229=""),"",DATE(B229,1,4)-WEEKDAY(DATE(B229,1,4),2)+1+(C229-1)*7)</f>
        <v/>
      </c>
      <c r="F229" s="71"/>
    </row>
    <row r="230" customFormat="false" ht="15" hidden="false" customHeight="false" outlineLevel="0" collapsed="false">
      <c r="A230" s="71"/>
      <c r="B230" s="72"/>
      <c r="C230" s="72"/>
      <c r="D230" s="72"/>
      <c r="E230" s="78" t="str">
        <f aca="false">IF(OR(B230="",C230=""),"",DATE(B230,1,4)-WEEKDAY(DATE(B230,1,4),2)+1+(C230-1)*7)</f>
        <v/>
      </c>
      <c r="F230" s="71"/>
    </row>
    <row r="231" customFormat="false" ht="15" hidden="false" customHeight="false" outlineLevel="0" collapsed="false">
      <c r="A231" s="71"/>
      <c r="B231" s="72"/>
      <c r="C231" s="72"/>
      <c r="D231" s="72"/>
      <c r="E231" s="78" t="str">
        <f aca="false">IF(OR(B231="",C231=""),"",DATE(B231,1,4)-WEEKDAY(DATE(B231,1,4),2)+1+(C231-1)*7)</f>
        <v/>
      </c>
      <c r="F231" s="71"/>
    </row>
    <row r="232" customFormat="false" ht="15" hidden="false" customHeight="false" outlineLevel="0" collapsed="false">
      <c r="A232" s="71"/>
      <c r="B232" s="72"/>
      <c r="C232" s="72"/>
      <c r="D232" s="72"/>
      <c r="E232" s="78" t="str">
        <f aca="false">IF(OR(B232="",C232=""),"",DATE(B232,1,4)-WEEKDAY(DATE(B232,1,4),2)+1+(C232-1)*7)</f>
        <v/>
      </c>
      <c r="F232" s="71"/>
    </row>
    <row r="233" customFormat="false" ht="15" hidden="false" customHeight="false" outlineLevel="0" collapsed="false">
      <c r="A233" s="71"/>
      <c r="B233" s="72"/>
      <c r="C233" s="72"/>
      <c r="D233" s="72"/>
      <c r="E233" s="78" t="str">
        <f aca="false">IF(OR(B233="",C233=""),"",DATE(B233,1,4)-WEEKDAY(DATE(B233,1,4),2)+1+(C233-1)*7)</f>
        <v/>
      </c>
      <c r="F233" s="71"/>
    </row>
    <row r="234" customFormat="false" ht="15" hidden="false" customHeight="false" outlineLevel="0" collapsed="false">
      <c r="A234" s="71"/>
      <c r="B234" s="72"/>
      <c r="C234" s="72"/>
      <c r="D234" s="72"/>
      <c r="E234" s="78" t="str">
        <f aca="false">IF(OR(B234="",C234=""),"",DATE(B234,1,4)-WEEKDAY(DATE(B234,1,4),2)+1+(C234-1)*7)</f>
        <v/>
      </c>
      <c r="F234" s="71"/>
    </row>
    <row r="235" customFormat="false" ht="15" hidden="false" customHeight="false" outlineLevel="0" collapsed="false">
      <c r="A235" s="71"/>
      <c r="B235" s="72"/>
      <c r="C235" s="72"/>
      <c r="D235" s="72"/>
      <c r="E235" s="78" t="str">
        <f aca="false">IF(OR(B235="",C235=""),"",DATE(B235,1,4)-WEEKDAY(DATE(B235,1,4),2)+1+(C235-1)*7)</f>
        <v/>
      </c>
      <c r="F235" s="71"/>
    </row>
    <row r="236" customFormat="false" ht="15" hidden="false" customHeight="false" outlineLevel="0" collapsed="false">
      <c r="A236" s="71"/>
      <c r="B236" s="72"/>
      <c r="C236" s="72"/>
      <c r="D236" s="72"/>
      <c r="E236" s="78" t="str">
        <f aca="false">IF(OR(B236="",C236=""),"",DATE(B236,1,4)-WEEKDAY(DATE(B236,1,4),2)+1+(C236-1)*7)</f>
        <v/>
      </c>
      <c r="F236" s="71"/>
    </row>
    <row r="237" customFormat="false" ht="15" hidden="false" customHeight="false" outlineLevel="0" collapsed="false">
      <c r="A237" s="71"/>
      <c r="B237" s="72"/>
      <c r="C237" s="72"/>
      <c r="D237" s="72"/>
      <c r="E237" s="78" t="str">
        <f aca="false">IF(OR(B237="",C237=""),"",DATE(B237,1,4)-WEEKDAY(DATE(B237,1,4),2)+1+(C237-1)*7)</f>
        <v/>
      </c>
      <c r="F237" s="71"/>
    </row>
    <row r="238" customFormat="false" ht="15" hidden="false" customHeight="false" outlineLevel="0" collapsed="false">
      <c r="A238" s="71"/>
      <c r="B238" s="72"/>
      <c r="C238" s="72"/>
      <c r="D238" s="72"/>
      <c r="E238" s="78" t="str">
        <f aca="false">IF(OR(B238="",C238=""),"",DATE(B238,1,4)-WEEKDAY(DATE(B238,1,4),2)+1+(C238-1)*7)</f>
        <v/>
      </c>
      <c r="F238" s="71"/>
    </row>
    <row r="239" customFormat="false" ht="15" hidden="false" customHeight="false" outlineLevel="0" collapsed="false">
      <c r="A239" s="71"/>
      <c r="B239" s="72"/>
      <c r="C239" s="72"/>
      <c r="D239" s="72"/>
      <c r="E239" s="78" t="str">
        <f aca="false">IF(OR(B239="",C239=""),"",DATE(B239,1,4)-WEEKDAY(DATE(B239,1,4),2)+1+(C239-1)*7)</f>
        <v/>
      </c>
      <c r="F239" s="71"/>
    </row>
    <row r="240" customFormat="false" ht="15" hidden="false" customHeight="false" outlineLevel="0" collapsed="false">
      <c r="A240" s="71"/>
      <c r="B240" s="72"/>
      <c r="C240" s="72"/>
      <c r="D240" s="72"/>
      <c r="E240" s="78" t="str">
        <f aca="false">IF(OR(B240="",C240=""),"",DATE(B240,1,4)-WEEKDAY(DATE(B240,1,4),2)+1+(C240-1)*7)</f>
        <v/>
      </c>
      <c r="F240" s="71"/>
    </row>
    <row r="241" customFormat="false" ht="15" hidden="false" customHeight="false" outlineLevel="0" collapsed="false">
      <c r="A241" s="71"/>
      <c r="B241" s="72"/>
      <c r="C241" s="72"/>
      <c r="D241" s="72"/>
      <c r="E241" s="78" t="str">
        <f aca="false">IF(OR(B241="",C241=""),"",DATE(B241,1,4)-WEEKDAY(DATE(B241,1,4),2)+1+(C241-1)*7)</f>
        <v/>
      </c>
      <c r="F241" s="71"/>
    </row>
    <row r="242" customFormat="false" ht="15" hidden="false" customHeight="false" outlineLevel="0" collapsed="false">
      <c r="A242" s="71"/>
      <c r="B242" s="72"/>
      <c r="C242" s="72"/>
      <c r="D242" s="72"/>
      <c r="E242" s="78" t="str">
        <f aca="false">IF(OR(B242="",C242=""),"",DATE(B242,1,4)-WEEKDAY(DATE(B242,1,4),2)+1+(C242-1)*7)</f>
        <v/>
      </c>
      <c r="F242" s="71"/>
    </row>
    <row r="243" customFormat="false" ht="15" hidden="false" customHeight="false" outlineLevel="0" collapsed="false">
      <c r="A243" s="71"/>
      <c r="B243" s="72"/>
      <c r="C243" s="72"/>
      <c r="D243" s="72"/>
      <c r="E243" s="78" t="str">
        <f aca="false">IF(OR(B243="",C243=""),"",DATE(B243,1,4)-WEEKDAY(DATE(B243,1,4),2)+1+(C243-1)*7)</f>
        <v/>
      </c>
      <c r="F243" s="71"/>
    </row>
    <row r="244" customFormat="false" ht="15" hidden="false" customHeight="false" outlineLevel="0" collapsed="false">
      <c r="A244" s="71"/>
      <c r="B244" s="72"/>
      <c r="C244" s="72"/>
      <c r="D244" s="72"/>
      <c r="E244" s="78" t="str">
        <f aca="false">IF(OR(B244="",C244=""),"",DATE(B244,1,4)-WEEKDAY(DATE(B244,1,4),2)+1+(C244-1)*7)</f>
        <v/>
      </c>
      <c r="F244" s="71"/>
    </row>
    <row r="245" customFormat="false" ht="15" hidden="false" customHeight="false" outlineLevel="0" collapsed="false">
      <c r="A245" s="71"/>
      <c r="B245" s="72"/>
      <c r="C245" s="72"/>
      <c r="D245" s="72"/>
      <c r="E245" s="78" t="str">
        <f aca="false">IF(OR(B245="",C245=""),"",DATE(B245,1,4)-WEEKDAY(DATE(B245,1,4),2)+1+(C245-1)*7)</f>
        <v/>
      </c>
      <c r="F245" s="71"/>
    </row>
    <row r="246" customFormat="false" ht="15" hidden="false" customHeight="false" outlineLevel="0" collapsed="false">
      <c r="A246" s="71"/>
      <c r="B246" s="72"/>
      <c r="C246" s="72"/>
      <c r="D246" s="72"/>
      <c r="E246" s="78" t="str">
        <f aca="false">IF(OR(B246="",C246=""),"",DATE(B246,1,4)-WEEKDAY(DATE(B246,1,4),2)+1+(C246-1)*7)</f>
        <v/>
      </c>
      <c r="F246" s="71"/>
    </row>
    <row r="247" customFormat="false" ht="15" hidden="false" customHeight="false" outlineLevel="0" collapsed="false">
      <c r="A247" s="71"/>
      <c r="B247" s="72"/>
      <c r="C247" s="72"/>
      <c r="D247" s="72"/>
      <c r="E247" s="78" t="str">
        <f aca="false">IF(OR(B247="",C247=""),"",DATE(B247,1,4)-WEEKDAY(DATE(B247,1,4),2)+1+(C247-1)*7)</f>
        <v/>
      </c>
      <c r="F247" s="71"/>
    </row>
    <row r="248" customFormat="false" ht="15" hidden="false" customHeight="false" outlineLevel="0" collapsed="false">
      <c r="A248" s="71"/>
      <c r="B248" s="72"/>
      <c r="C248" s="72"/>
      <c r="D248" s="72"/>
      <c r="E248" s="78" t="str">
        <f aca="false">IF(OR(B248="",C248=""),"",DATE(B248,1,4)-WEEKDAY(DATE(B248,1,4),2)+1+(C248-1)*7)</f>
        <v/>
      </c>
      <c r="F248" s="71"/>
    </row>
    <row r="249" customFormat="false" ht="15" hidden="false" customHeight="false" outlineLevel="0" collapsed="false">
      <c r="A249" s="71"/>
      <c r="B249" s="72"/>
      <c r="C249" s="72"/>
      <c r="D249" s="72"/>
      <c r="E249" s="78" t="str">
        <f aca="false">IF(OR(B249="",C249=""),"",DATE(B249,1,4)-WEEKDAY(DATE(B249,1,4),2)+1+(C249-1)*7)</f>
        <v/>
      </c>
      <c r="F249" s="71"/>
    </row>
    <row r="250" customFormat="false" ht="15" hidden="false" customHeight="false" outlineLevel="0" collapsed="false">
      <c r="A250" s="71"/>
      <c r="B250" s="72"/>
      <c r="C250" s="72"/>
      <c r="D250" s="72"/>
      <c r="E250" s="78" t="str">
        <f aca="false">IF(OR(B250="",C250=""),"",DATE(B250,1,4)-WEEKDAY(DATE(B250,1,4),2)+1+(C250-1)*7)</f>
        <v/>
      </c>
      <c r="F250" s="71"/>
    </row>
    <row r="251" customFormat="false" ht="15" hidden="false" customHeight="false" outlineLevel="0" collapsed="false">
      <c r="A251" s="71"/>
      <c r="B251" s="72"/>
      <c r="C251" s="72"/>
      <c r="D251" s="72"/>
      <c r="E251" s="78" t="str">
        <f aca="false">IF(OR(B251="",C251=""),"",DATE(B251,1,4)-WEEKDAY(DATE(B251,1,4),2)+1+(C251-1)*7)</f>
        <v/>
      </c>
      <c r="F251" s="71"/>
    </row>
    <row r="252" customFormat="false" ht="15" hidden="false" customHeight="false" outlineLevel="0" collapsed="false">
      <c r="A252" s="71"/>
      <c r="B252" s="72"/>
      <c r="C252" s="72"/>
      <c r="D252" s="72"/>
      <c r="E252" s="78" t="str">
        <f aca="false">IF(OR(B252="",C252=""),"",DATE(B252,1,4)-WEEKDAY(DATE(B252,1,4),2)+1+(C252-1)*7)</f>
        <v/>
      </c>
      <c r="F252" s="71"/>
    </row>
    <row r="253" customFormat="false" ht="15" hidden="false" customHeight="false" outlineLevel="0" collapsed="false">
      <c r="A253" s="71"/>
      <c r="B253" s="72"/>
      <c r="C253" s="72"/>
      <c r="D253" s="72"/>
      <c r="E253" s="78" t="str">
        <f aca="false">IF(OR(B253="",C253=""),"",DATE(B253,1,4)-WEEKDAY(DATE(B253,1,4),2)+1+(C253-1)*7)</f>
        <v/>
      </c>
      <c r="F253" s="71"/>
    </row>
    <row r="254" customFormat="false" ht="15" hidden="false" customHeight="false" outlineLevel="0" collapsed="false">
      <c r="A254" s="71"/>
      <c r="B254" s="72"/>
      <c r="C254" s="72"/>
      <c r="D254" s="72"/>
      <c r="E254" s="78" t="str">
        <f aca="false">IF(OR(B254="",C254=""),"",DATE(B254,1,4)-WEEKDAY(DATE(B254,1,4),2)+1+(C254-1)*7)</f>
        <v/>
      </c>
      <c r="F254" s="71"/>
    </row>
    <row r="255" customFormat="false" ht="15" hidden="false" customHeight="false" outlineLevel="0" collapsed="false">
      <c r="A255" s="71"/>
      <c r="B255" s="72"/>
      <c r="C255" s="72"/>
      <c r="D255" s="72"/>
      <c r="E255" s="78" t="str">
        <f aca="false">IF(OR(B255="",C255=""),"",DATE(B255,1,4)-WEEKDAY(DATE(B255,1,4),2)+1+(C255-1)*7)</f>
        <v/>
      </c>
      <c r="F255" s="71"/>
    </row>
    <row r="256" customFormat="false" ht="15" hidden="false" customHeight="false" outlineLevel="0" collapsed="false">
      <c r="A256" s="71"/>
      <c r="B256" s="72"/>
      <c r="C256" s="72"/>
      <c r="D256" s="72"/>
      <c r="E256" s="78" t="str">
        <f aca="false">IF(OR(B256="",C256=""),"",DATE(B256,1,4)-WEEKDAY(DATE(B256,1,4),2)+1+(C256-1)*7)</f>
        <v/>
      </c>
      <c r="F256" s="71"/>
    </row>
    <row r="257" customFormat="false" ht="15" hidden="false" customHeight="false" outlineLevel="0" collapsed="false">
      <c r="A257" s="71"/>
      <c r="B257" s="72"/>
      <c r="C257" s="72"/>
      <c r="D257" s="72"/>
      <c r="E257" s="78" t="str">
        <f aca="false">IF(OR(B257="",C257=""),"",DATE(B257,1,4)-WEEKDAY(DATE(B257,1,4),2)+1+(C257-1)*7)</f>
        <v/>
      </c>
      <c r="F257" s="71"/>
    </row>
    <row r="258" customFormat="false" ht="15" hidden="false" customHeight="false" outlineLevel="0" collapsed="false">
      <c r="A258" s="71"/>
      <c r="B258" s="72"/>
      <c r="C258" s="72"/>
      <c r="D258" s="72"/>
      <c r="E258" s="78" t="str">
        <f aca="false">IF(OR(B258="",C258=""),"",DATE(B258,1,4)-WEEKDAY(DATE(B258,1,4),2)+1+(C258-1)*7)</f>
        <v/>
      </c>
      <c r="F258" s="71"/>
    </row>
    <row r="259" customFormat="false" ht="15" hidden="false" customHeight="false" outlineLevel="0" collapsed="false">
      <c r="A259" s="71"/>
      <c r="B259" s="72"/>
      <c r="C259" s="72"/>
      <c r="D259" s="72"/>
      <c r="E259" s="78" t="str">
        <f aca="false">IF(OR(B259="",C259=""),"",DATE(B259,1,4)-WEEKDAY(DATE(B259,1,4),2)+1+(C259-1)*7)</f>
        <v/>
      </c>
      <c r="F259" s="71"/>
    </row>
    <row r="260" customFormat="false" ht="15" hidden="false" customHeight="false" outlineLevel="0" collapsed="false">
      <c r="A260" s="71"/>
      <c r="B260" s="72"/>
      <c r="C260" s="72"/>
      <c r="D260" s="72"/>
      <c r="E260" s="78" t="str">
        <f aca="false">IF(OR(B260="",C260=""),"",DATE(B260,1,4)-WEEKDAY(DATE(B260,1,4),2)+1+(C260-1)*7)</f>
        <v/>
      </c>
      <c r="F260" s="71"/>
    </row>
    <row r="261" customFormat="false" ht="15" hidden="false" customHeight="false" outlineLevel="0" collapsed="false">
      <c r="A261" s="71"/>
      <c r="B261" s="72"/>
      <c r="C261" s="72"/>
      <c r="D261" s="72"/>
      <c r="E261" s="78" t="str">
        <f aca="false">IF(OR(B261="",C261=""),"",DATE(B261,1,4)-WEEKDAY(DATE(B261,1,4),2)+1+(C261-1)*7)</f>
        <v/>
      </c>
      <c r="F261" s="71"/>
    </row>
    <row r="262" customFormat="false" ht="15" hidden="false" customHeight="false" outlineLevel="0" collapsed="false">
      <c r="A262" s="71"/>
      <c r="B262" s="72"/>
      <c r="C262" s="72"/>
      <c r="D262" s="72"/>
      <c r="E262" s="78" t="str">
        <f aca="false">IF(OR(B262="",C262=""),"",DATE(B262,1,4)-WEEKDAY(DATE(B262,1,4),2)+1+(C262-1)*7)</f>
        <v/>
      </c>
      <c r="F262" s="71"/>
    </row>
    <row r="263" customFormat="false" ht="15" hidden="false" customHeight="false" outlineLevel="0" collapsed="false">
      <c r="A263" s="71"/>
      <c r="B263" s="72"/>
      <c r="C263" s="72"/>
      <c r="D263" s="72"/>
      <c r="E263" s="78" t="str">
        <f aca="false">IF(OR(B263="",C263=""),"",DATE(B263,1,4)-WEEKDAY(DATE(B263,1,4),2)+1+(C263-1)*7)</f>
        <v/>
      </c>
      <c r="F263" s="71"/>
    </row>
    <row r="264" customFormat="false" ht="15" hidden="false" customHeight="false" outlineLevel="0" collapsed="false">
      <c r="A264" s="71"/>
      <c r="B264" s="72"/>
      <c r="C264" s="72"/>
      <c r="D264" s="72"/>
      <c r="E264" s="78" t="str">
        <f aca="false">IF(OR(B264="",C264=""),"",DATE(B264,1,4)-WEEKDAY(DATE(B264,1,4),2)+1+(C264-1)*7)</f>
        <v/>
      </c>
      <c r="F264" s="71"/>
    </row>
    <row r="265" customFormat="false" ht="15" hidden="false" customHeight="false" outlineLevel="0" collapsed="false">
      <c r="A265" s="71"/>
      <c r="B265" s="72"/>
      <c r="C265" s="72"/>
      <c r="D265" s="72"/>
      <c r="E265" s="78" t="str">
        <f aca="false">IF(OR(B265="",C265=""),"",DATE(B265,1,4)-WEEKDAY(DATE(B265,1,4),2)+1+(C265-1)*7)</f>
        <v/>
      </c>
      <c r="F265" s="71"/>
    </row>
    <row r="266" customFormat="false" ht="15" hidden="false" customHeight="false" outlineLevel="0" collapsed="false">
      <c r="A266" s="71"/>
      <c r="B266" s="72"/>
      <c r="C266" s="72"/>
      <c r="D266" s="72"/>
      <c r="E266" s="78" t="str">
        <f aca="false">IF(OR(B266="",C266=""),"",DATE(B266,1,4)-WEEKDAY(DATE(B266,1,4),2)+1+(C266-1)*7)</f>
        <v/>
      </c>
      <c r="F266" s="71"/>
    </row>
    <row r="267" customFormat="false" ht="15" hidden="false" customHeight="false" outlineLevel="0" collapsed="false">
      <c r="A267" s="71"/>
      <c r="B267" s="72"/>
      <c r="C267" s="72"/>
      <c r="D267" s="72"/>
      <c r="E267" s="78" t="str">
        <f aca="false">IF(OR(B267="",C267=""),"",DATE(B267,1,4)-WEEKDAY(DATE(B267,1,4),2)+1+(C267-1)*7)</f>
        <v/>
      </c>
      <c r="F267" s="71"/>
    </row>
    <row r="268" customFormat="false" ht="15" hidden="false" customHeight="false" outlineLevel="0" collapsed="false">
      <c r="A268" s="71"/>
      <c r="B268" s="72"/>
      <c r="C268" s="72"/>
      <c r="D268" s="72"/>
      <c r="E268" s="78" t="str">
        <f aca="false">IF(OR(B268="",C268=""),"",DATE(B268,1,4)-WEEKDAY(DATE(B268,1,4),2)+1+(C268-1)*7)</f>
        <v/>
      </c>
      <c r="F268" s="71"/>
    </row>
    <row r="269" customFormat="false" ht="15" hidden="false" customHeight="false" outlineLevel="0" collapsed="false">
      <c r="A269" s="71"/>
      <c r="B269" s="72"/>
      <c r="C269" s="72"/>
      <c r="D269" s="72"/>
      <c r="E269" s="78" t="str">
        <f aca="false">IF(OR(B269="",C269=""),"",DATE(B269,1,4)-WEEKDAY(DATE(B269,1,4),2)+1+(C269-1)*7)</f>
        <v/>
      </c>
      <c r="F269" s="71"/>
    </row>
    <row r="270" customFormat="false" ht="15" hidden="false" customHeight="false" outlineLevel="0" collapsed="false">
      <c r="A270" s="71"/>
      <c r="B270" s="72"/>
      <c r="C270" s="72"/>
      <c r="D270" s="72"/>
      <c r="E270" s="78" t="str">
        <f aca="false">IF(OR(B270="",C270=""),"",DATE(B270,1,4)-WEEKDAY(DATE(B270,1,4),2)+1+(C270-1)*7)</f>
        <v/>
      </c>
      <c r="F270" s="71"/>
    </row>
    <row r="271" customFormat="false" ht="15" hidden="false" customHeight="false" outlineLevel="0" collapsed="false">
      <c r="A271" s="71"/>
      <c r="B271" s="72"/>
      <c r="C271" s="72"/>
      <c r="D271" s="72"/>
      <c r="E271" s="78" t="str">
        <f aca="false">IF(OR(B271="",C271=""),"",DATE(B271,1,4)-WEEKDAY(DATE(B271,1,4),2)+1+(C271-1)*7)</f>
        <v/>
      </c>
      <c r="F271" s="71"/>
    </row>
    <row r="272" customFormat="false" ht="15" hidden="false" customHeight="false" outlineLevel="0" collapsed="false">
      <c r="A272" s="71"/>
      <c r="B272" s="72"/>
      <c r="C272" s="72"/>
      <c r="D272" s="72"/>
      <c r="E272" s="78" t="str">
        <f aca="false">IF(OR(B272="",C272=""),"",DATE(B272,1,4)-WEEKDAY(DATE(B272,1,4),2)+1+(C272-1)*7)</f>
        <v/>
      </c>
      <c r="F272" s="71"/>
    </row>
    <row r="273" customFormat="false" ht="15" hidden="false" customHeight="false" outlineLevel="0" collapsed="false">
      <c r="A273" s="71"/>
      <c r="B273" s="72"/>
      <c r="C273" s="72"/>
      <c r="D273" s="72"/>
      <c r="E273" s="78" t="str">
        <f aca="false">IF(OR(B273="",C273=""),"",DATE(B273,1,4)-WEEKDAY(DATE(B273,1,4),2)+1+(C273-1)*7)</f>
        <v/>
      </c>
      <c r="F273" s="71"/>
    </row>
    <row r="274" customFormat="false" ht="15" hidden="false" customHeight="false" outlineLevel="0" collapsed="false">
      <c r="A274" s="71"/>
      <c r="B274" s="72"/>
      <c r="C274" s="72"/>
      <c r="D274" s="72"/>
      <c r="E274" s="78" t="str">
        <f aca="false">IF(OR(B274="",C274=""),"",DATE(B274,1,4)-WEEKDAY(DATE(B274,1,4),2)+1+(C274-1)*7)</f>
        <v/>
      </c>
      <c r="F274" s="71"/>
    </row>
    <row r="275" customFormat="false" ht="15" hidden="false" customHeight="false" outlineLevel="0" collapsed="false">
      <c r="A275" s="71"/>
      <c r="B275" s="72"/>
      <c r="C275" s="72"/>
      <c r="D275" s="72"/>
      <c r="E275" s="78" t="str">
        <f aca="false">IF(OR(B275="",C275=""),"",DATE(B275,1,4)-WEEKDAY(DATE(B275,1,4),2)+1+(C275-1)*7)</f>
        <v/>
      </c>
      <c r="F275" s="71"/>
    </row>
    <row r="276" customFormat="false" ht="15" hidden="false" customHeight="false" outlineLevel="0" collapsed="false">
      <c r="A276" s="71"/>
      <c r="B276" s="72"/>
      <c r="C276" s="72"/>
      <c r="D276" s="72"/>
      <c r="E276" s="78" t="str">
        <f aca="false">IF(OR(B276="",C276=""),"",DATE(B276,1,4)-WEEKDAY(DATE(B276,1,4),2)+1+(C276-1)*7)</f>
        <v/>
      </c>
      <c r="F276" s="71"/>
    </row>
    <row r="277" customFormat="false" ht="15" hidden="false" customHeight="false" outlineLevel="0" collapsed="false">
      <c r="A277" s="71"/>
      <c r="B277" s="72"/>
      <c r="C277" s="72"/>
      <c r="D277" s="72"/>
      <c r="E277" s="78" t="str">
        <f aca="false">IF(OR(B277="",C277=""),"",DATE(B277,1,4)-WEEKDAY(DATE(B277,1,4),2)+1+(C277-1)*7)</f>
        <v/>
      </c>
      <c r="F277" s="71"/>
    </row>
    <row r="278" customFormat="false" ht="15" hidden="false" customHeight="false" outlineLevel="0" collapsed="false">
      <c r="A278" s="71"/>
      <c r="B278" s="72"/>
      <c r="C278" s="72"/>
      <c r="D278" s="72"/>
      <c r="E278" s="78" t="str">
        <f aca="false">IF(OR(B278="",C278=""),"",DATE(B278,1,4)-WEEKDAY(DATE(B278,1,4),2)+1+(C278-1)*7)</f>
        <v/>
      </c>
      <c r="F278" s="71"/>
    </row>
    <row r="279" customFormat="false" ht="15" hidden="false" customHeight="false" outlineLevel="0" collapsed="false">
      <c r="A279" s="71"/>
      <c r="B279" s="72"/>
      <c r="C279" s="72"/>
      <c r="D279" s="72"/>
      <c r="E279" s="78" t="str">
        <f aca="false">IF(OR(B279="",C279=""),"",DATE(B279,1,4)-WEEKDAY(DATE(B279,1,4),2)+1+(C279-1)*7)</f>
        <v/>
      </c>
      <c r="F279" s="71"/>
    </row>
    <row r="280" customFormat="false" ht="15" hidden="false" customHeight="false" outlineLevel="0" collapsed="false">
      <c r="A280" s="71"/>
      <c r="B280" s="72"/>
      <c r="C280" s="72"/>
      <c r="D280" s="72"/>
      <c r="E280" s="78" t="str">
        <f aca="false">IF(OR(B280="",C280=""),"",DATE(B280,1,4)-WEEKDAY(DATE(B280,1,4),2)+1+(C280-1)*7)</f>
        <v/>
      </c>
      <c r="F280" s="71"/>
    </row>
    <row r="281" customFormat="false" ht="15" hidden="false" customHeight="false" outlineLevel="0" collapsed="false">
      <c r="A281" s="71"/>
      <c r="B281" s="72"/>
      <c r="C281" s="72"/>
      <c r="D281" s="72"/>
      <c r="E281" s="78" t="str">
        <f aca="false">IF(OR(B281="",C281=""),"",DATE(B281,1,4)-WEEKDAY(DATE(B281,1,4),2)+1+(C281-1)*7)</f>
        <v/>
      </c>
      <c r="F281" s="71"/>
    </row>
    <row r="282" customFormat="false" ht="15" hidden="false" customHeight="false" outlineLevel="0" collapsed="false">
      <c r="A282" s="71"/>
      <c r="B282" s="72"/>
      <c r="C282" s="72"/>
      <c r="D282" s="72"/>
      <c r="E282" s="78" t="str">
        <f aca="false">IF(OR(B282="",C282=""),"",DATE(B282,1,4)-WEEKDAY(DATE(B282,1,4),2)+1+(C282-1)*7)</f>
        <v/>
      </c>
      <c r="F282" s="71"/>
    </row>
    <row r="283" customFormat="false" ht="15" hidden="false" customHeight="false" outlineLevel="0" collapsed="false">
      <c r="A283" s="71"/>
      <c r="B283" s="72"/>
      <c r="C283" s="72"/>
      <c r="D283" s="72"/>
      <c r="E283" s="78" t="str">
        <f aca="false">IF(OR(B283="",C283=""),"",DATE(B283,1,4)-WEEKDAY(DATE(B283,1,4),2)+1+(C283-1)*7)</f>
        <v/>
      </c>
      <c r="F283" s="71"/>
    </row>
    <row r="284" customFormat="false" ht="15" hidden="false" customHeight="false" outlineLevel="0" collapsed="false">
      <c r="A284" s="71"/>
      <c r="B284" s="72"/>
      <c r="C284" s="72"/>
      <c r="D284" s="72"/>
      <c r="E284" s="78" t="str">
        <f aca="false">IF(OR(B284="",C284=""),"",DATE(B284,1,4)-WEEKDAY(DATE(B284,1,4),2)+1+(C284-1)*7)</f>
        <v/>
      </c>
      <c r="F284" s="71"/>
    </row>
    <row r="285" customFormat="false" ht="15" hidden="false" customHeight="false" outlineLevel="0" collapsed="false">
      <c r="A285" s="71"/>
      <c r="B285" s="72"/>
      <c r="C285" s="72"/>
      <c r="D285" s="72"/>
      <c r="E285" s="78" t="str">
        <f aca="false">IF(OR(B285="",C285=""),"",DATE(B285,1,4)-WEEKDAY(DATE(B285,1,4),2)+1+(C285-1)*7)</f>
        <v/>
      </c>
      <c r="F285" s="71"/>
    </row>
    <row r="286" customFormat="false" ht="15" hidden="false" customHeight="false" outlineLevel="0" collapsed="false">
      <c r="A286" s="71"/>
      <c r="B286" s="72"/>
      <c r="C286" s="72"/>
      <c r="D286" s="72"/>
      <c r="E286" s="78" t="str">
        <f aca="false">IF(OR(B286="",C286=""),"",DATE(B286,1,4)-WEEKDAY(DATE(B286,1,4),2)+1+(C286-1)*7)</f>
        <v/>
      </c>
      <c r="F286" s="71"/>
    </row>
    <row r="287" customFormat="false" ht="15" hidden="false" customHeight="false" outlineLevel="0" collapsed="false">
      <c r="A287" s="71"/>
      <c r="B287" s="72"/>
      <c r="C287" s="72"/>
      <c r="D287" s="72"/>
      <c r="E287" s="78" t="str">
        <f aca="false">IF(OR(B287="",C287=""),"",DATE(B287,1,4)-WEEKDAY(DATE(B287,1,4),2)+1+(C287-1)*7)</f>
        <v/>
      </c>
      <c r="F287" s="71"/>
    </row>
    <row r="288" customFormat="false" ht="15" hidden="false" customHeight="false" outlineLevel="0" collapsed="false">
      <c r="A288" s="71"/>
      <c r="B288" s="72"/>
      <c r="C288" s="72"/>
      <c r="D288" s="72"/>
      <c r="E288" s="78" t="str">
        <f aca="false">IF(OR(B288="",C288=""),"",DATE(B288,1,4)-WEEKDAY(DATE(B288,1,4),2)+1+(C288-1)*7)</f>
        <v/>
      </c>
      <c r="F288" s="71"/>
    </row>
    <row r="289" customFormat="false" ht="15" hidden="false" customHeight="false" outlineLevel="0" collapsed="false">
      <c r="A289" s="71"/>
      <c r="B289" s="72"/>
      <c r="C289" s="72"/>
      <c r="D289" s="72"/>
      <c r="E289" s="78" t="str">
        <f aca="false">IF(OR(B289="",C289=""),"",DATE(B289,1,4)-WEEKDAY(DATE(B289,1,4),2)+1+(C289-1)*7)</f>
        <v/>
      </c>
      <c r="F289" s="71"/>
    </row>
    <row r="290" customFormat="false" ht="15" hidden="false" customHeight="false" outlineLevel="0" collapsed="false">
      <c r="A290" s="71"/>
      <c r="B290" s="72"/>
      <c r="C290" s="72"/>
      <c r="D290" s="72"/>
      <c r="E290" s="78" t="str">
        <f aca="false">IF(OR(B290="",C290=""),"",DATE(B290,1,4)-WEEKDAY(DATE(B290,1,4),2)+1+(C290-1)*7)</f>
        <v/>
      </c>
      <c r="F290" s="71"/>
    </row>
    <row r="291" customFormat="false" ht="15" hidden="false" customHeight="false" outlineLevel="0" collapsed="false">
      <c r="A291" s="71"/>
      <c r="B291" s="72"/>
      <c r="C291" s="72"/>
      <c r="D291" s="72"/>
      <c r="E291" s="78" t="str">
        <f aca="false">IF(OR(B291="",C291=""),"",DATE(B291,1,4)-WEEKDAY(DATE(B291,1,4),2)+1+(C291-1)*7)</f>
        <v/>
      </c>
      <c r="F291" s="71"/>
    </row>
    <row r="292" customFormat="false" ht="15" hidden="false" customHeight="false" outlineLevel="0" collapsed="false">
      <c r="A292" s="71"/>
      <c r="B292" s="72"/>
      <c r="C292" s="72"/>
      <c r="D292" s="72"/>
      <c r="E292" s="78" t="str">
        <f aca="false">IF(OR(B292="",C292=""),"",DATE(B292,1,4)-WEEKDAY(DATE(B292,1,4),2)+1+(C292-1)*7)</f>
        <v/>
      </c>
      <c r="F292" s="71"/>
    </row>
    <row r="293" customFormat="false" ht="15" hidden="false" customHeight="false" outlineLevel="0" collapsed="false">
      <c r="A293" s="71"/>
      <c r="B293" s="72"/>
      <c r="C293" s="72"/>
      <c r="D293" s="72"/>
      <c r="E293" s="78" t="str">
        <f aca="false">IF(OR(B293="",C293=""),"",DATE(B293,1,4)-WEEKDAY(DATE(B293,1,4),2)+1+(C293-1)*7)</f>
        <v/>
      </c>
      <c r="F293" s="71"/>
    </row>
    <row r="294" customFormat="false" ht="15" hidden="false" customHeight="false" outlineLevel="0" collapsed="false">
      <c r="A294" s="71"/>
      <c r="B294" s="72"/>
      <c r="C294" s="72"/>
      <c r="D294" s="72"/>
      <c r="E294" s="78" t="str">
        <f aca="false">IF(OR(B294="",C294=""),"",DATE(B294,1,4)-WEEKDAY(DATE(B294,1,4),2)+1+(C294-1)*7)</f>
        <v/>
      </c>
      <c r="F294" s="71"/>
    </row>
    <row r="295" customFormat="false" ht="15" hidden="false" customHeight="false" outlineLevel="0" collapsed="false">
      <c r="A295" s="71"/>
      <c r="B295" s="72"/>
      <c r="C295" s="72"/>
      <c r="D295" s="72"/>
      <c r="E295" s="78" t="str">
        <f aca="false">IF(OR(B295="",C295=""),"",DATE(B295,1,4)-WEEKDAY(DATE(B295,1,4),2)+1+(C295-1)*7)</f>
        <v/>
      </c>
      <c r="F295" s="71"/>
    </row>
    <row r="296" customFormat="false" ht="15" hidden="false" customHeight="false" outlineLevel="0" collapsed="false">
      <c r="A296" s="71"/>
      <c r="B296" s="72"/>
      <c r="C296" s="72"/>
      <c r="D296" s="72"/>
      <c r="E296" s="78" t="str">
        <f aca="false">IF(OR(B296="",C296=""),"",DATE(B296,1,4)-WEEKDAY(DATE(B296,1,4),2)+1+(C296-1)*7)</f>
        <v/>
      </c>
      <c r="F296" s="71"/>
    </row>
    <row r="297" customFormat="false" ht="15" hidden="false" customHeight="false" outlineLevel="0" collapsed="false">
      <c r="A297" s="71"/>
      <c r="B297" s="72"/>
      <c r="C297" s="72"/>
      <c r="D297" s="72"/>
      <c r="E297" s="78" t="str">
        <f aca="false">IF(OR(B297="",C297=""),"",DATE(B297,1,4)-WEEKDAY(DATE(B297,1,4),2)+1+(C297-1)*7)</f>
        <v/>
      </c>
      <c r="F297" s="71"/>
    </row>
    <row r="298" customFormat="false" ht="15" hidden="false" customHeight="false" outlineLevel="0" collapsed="false">
      <c r="A298" s="71"/>
      <c r="B298" s="72"/>
      <c r="C298" s="72"/>
      <c r="D298" s="72"/>
      <c r="E298" s="78" t="str">
        <f aca="false">IF(OR(B298="",C298=""),"",DATE(B298,1,4)-WEEKDAY(DATE(B298,1,4),2)+1+(C298-1)*7)</f>
        <v/>
      </c>
      <c r="F298" s="71"/>
    </row>
    <row r="299" customFormat="false" ht="15" hidden="false" customHeight="false" outlineLevel="0" collapsed="false">
      <c r="A299" s="71"/>
      <c r="B299" s="72"/>
      <c r="C299" s="72"/>
      <c r="D299" s="72"/>
      <c r="E299" s="78" t="str">
        <f aca="false">IF(OR(B299="",C299=""),"",DATE(B299,1,4)-WEEKDAY(DATE(B299,1,4),2)+1+(C299-1)*7)</f>
        <v/>
      </c>
      <c r="F299" s="71"/>
    </row>
    <row r="300" customFormat="false" ht="15" hidden="false" customHeight="false" outlineLevel="0" collapsed="false">
      <c r="A300" s="71"/>
      <c r="B300" s="72"/>
      <c r="C300" s="72"/>
      <c r="D300" s="72"/>
      <c r="E300" s="78" t="str">
        <f aca="false">IF(OR(B300="",C300=""),"",DATE(B300,1,4)-WEEKDAY(DATE(B300,1,4),2)+1+(C300-1)*7)</f>
        <v/>
      </c>
      <c r="F300" s="71"/>
    </row>
    <row r="301" customFormat="false" ht="15" hidden="false" customHeight="false" outlineLevel="0" collapsed="false">
      <c r="A301" s="71"/>
      <c r="B301" s="72"/>
      <c r="C301" s="72"/>
      <c r="D301" s="72"/>
      <c r="E301" s="78" t="str">
        <f aca="false">IF(OR(B301="",C301=""),"",DATE(B301,1,4)-WEEKDAY(DATE(B301,1,4),2)+1+(C301-1)*7)</f>
        <v/>
      </c>
      <c r="F301" s="71"/>
    </row>
    <row r="302" customFormat="false" ht="15" hidden="false" customHeight="false" outlineLevel="0" collapsed="false">
      <c r="A302" s="71"/>
      <c r="B302" s="72"/>
      <c r="C302" s="72"/>
      <c r="D302" s="72"/>
      <c r="E302" s="78" t="str">
        <f aca="false">IF(OR(B302="",C302=""),"",DATE(B302,1,4)-WEEKDAY(DATE(B302,1,4),2)+1+(C302-1)*7)</f>
        <v/>
      </c>
      <c r="F302" s="71"/>
    </row>
    <row r="303" customFormat="false" ht="15" hidden="false" customHeight="false" outlineLevel="0" collapsed="false">
      <c r="A303" s="71"/>
      <c r="B303" s="72"/>
      <c r="C303" s="72"/>
      <c r="D303" s="72"/>
      <c r="E303" s="78" t="str">
        <f aca="false">IF(OR(B303="",C303=""),"",DATE(B303,1,4)-WEEKDAY(DATE(B303,1,4),2)+1+(C303-1)*7)</f>
        <v/>
      </c>
      <c r="F303" s="71"/>
    </row>
    <row r="304" customFormat="false" ht="15" hidden="false" customHeight="false" outlineLevel="0" collapsed="false">
      <c r="A304" s="71"/>
      <c r="B304" s="72"/>
      <c r="C304" s="72"/>
      <c r="D304" s="72"/>
      <c r="E304" s="78" t="str">
        <f aca="false">IF(OR(B304="",C304=""),"",DATE(B304,1,4)-WEEKDAY(DATE(B304,1,4),2)+1+(C304-1)*7)</f>
        <v/>
      </c>
      <c r="F304" s="71"/>
    </row>
    <row r="305" customFormat="false" ht="15" hidden="false" customHeight="false" outlineLevel="0" collapsed="false">
      <c r="A305" s="71"/>
      <c r="B305" s="72"/>
      <c r="C305" s="72"/>
      <c r="D305" s="72"/>
      <c r="E305" s="78" t="str">
        <f aca="false">IF(OR(B305="",C305=""),"",DATE(B305,1,4)-WEEKDAY(DATE(B305,1,4),2)+1+(C305-1)*7)</f>
        <v/>
      </c>
      <c r="F305" s="71"/>
    </row>
    <row r="306" customFormat="false" ht="15" hidden="false" customHeight="false" outlineLevel="0" collapsed="false">
      <c r="A306" s="71"/>
      <c r="B306" s="72"/>
      <c r="C306" s="72"/>
      <c r="D306" s="72"/>
      <c r="E306" s="78" t="str">
        <f aca="false">IF(OR(B306="",C306=""),"",DATE(B306,1,4)-WEEKDAY(DATE(B306,1,4),2)+1+(C306-1)*7)</f>
        <v/>
      </c>
      <c r="F306" s="71"/>
    </row>
    <row r="307" customFormat="false" ht="15" hidden="false" customHeight="false" outlineLevel="0" collapsed="false">
      <c r="A307" s="71"/>
      <c r="B307" s="72"/>
      <c r="C307" s="72"/>
      <c r="D307" s="72"/>
      <c r="E307" s="78" t="str">
        <f aca="false">IF(OR(B307="",C307=""),"",DATE(B307,1,4)-WEEKDAY(DATE(B307,1,4),2)+1+(C307-1)*7)</f>
        <v/>
      </c>
      <c r="F307" s="71"/>
    </row>
    <row r="308" customFormat="false" ht="15" hidden="false" customHeight="false" outlineLevel="0" collapsed="false">
      <c r="A308" s="71"/>
      <c r="B308" s="72"/>
      <c r="C308" s="72"/>
      <c r="D308" s="72"/>
      <c r="E308" s="78" t="str">
        <f aca="false">IF(OR(B308="",C308=""),"",DATE(B308,1,4)-WEEKDAY(DATE(B308,1,4),2)+1+(C308-1)*7)</f>
        <v/>
      </c>
      <c r="F308" s="71"/>
    </row>
    <row r="309" customFormat="false" ht="15" hidden="false" customHeight="false" outlineLevel="0" collapsed="false">
      <c r="A309" s="71"/>
      <c r="B309" s="72"/>
      <c r="C309" s="72"/>
      <c r="D309" s="72"/>
      <c r="E309" s="78" t="str">
        <f aca="false">IF(OR(B309="",C309=""),"",DATE(B309,1,4)-WEEKDAY(DATE(B309,1,4),2)+1+(C309-1)*7)</f>
        <v/>
      </c>
      <c r="F309" s="71"/>
    </row>
    <row r="310" customFormat="false" ht="15" hidden="false" customHeight="false" outlineLevel="0" collapsed="false">
      <c r="A310" s="71"/>
      <c r="B310" s="72"/>
      <c r="C310" s="72"/>
      <c r="D310" s="72"/>
      <c r="E310" s="78" t="str">
        <f aca="false">IF(OR(B310="",C310=""),"",DATE(B310,1,4)-WEEKDAY(DATE(B310,1,4),2)+1+(C310-1)*7)</f>
        <v/>
      </c>
      <c r="F310" s="71"/>
    </row>
    <row r="311" customFormat="false" ht="15" hidden="false" customHeight="false" outlineLevel="0" collapsed="false">
      <c r="A311" s="71"/>
      <c r="B311" s="72"/>
      <c r="C311" s="72"/>
      <c r="D311" s="72"/>
      <c r="E311" s="78" t="str">
        <f aca="false">IF(OR(B311="",C311=""),"",DATE(B311,1,4)-WEEKDAY(DATE(B311,1,4),2)+1+(C311-1)*7)</f>
        <v/>
      </c>
      <c r="F311" s="71"/>
    </row>
    <row r="312" customFormat="false" ht="15" hidden="false" customHeight="false" outlineLevel="0" collapsed="false">
      <c r="A312" s="71"/>
      <c r="B312" s="72"/>
      <c r="C312" s="72"/>
      <c r="D312" s="72"/>
      <c r="E312" s="78" t="str">
        <f aca="false">IF(OR(B312="",C312=""),"",DATE(B312,1,4)-WEEKDAY(DATE(B312,1,4),2)+1+(C312-1)*7)</f>
        <v/>
      </c>
      <c r="F312" s="71"/>
    </row>
    <row r="313" customFormat="false" ht="15" hidden="false" customHeight="false" outlineLevel="0" collapsed="false">
      <c r="A313" s="71"/>
      <c r="B313" s="72"/>
      <c r="C313" s="72"/>
      <c r="D313" s="72"/>
      <c r="E313" s="78" t="str">
        <f aca="false">IF(OR(B313="",C313=""),"",DATE(B313,1,4)-WEEKDAY(DATE(B313,1,4),2)+1+(C313-1)*7)</f>
        <v/>
      </c>
      <c r="F313" s="71"/>
    </row>
    <row r="314" customFormat="false" ht="15" hidden="false" customHeight="false" outlineLevel="0" collapsed="false">
      <c r="A314" s="71"/>
      <c r="B314" s="72"/>
      <c r="C314" s="72"/>
      <c r="D314" s="72"/>
      <c r="E314" s="78" t="str">
        <f aca="false">IF(OR(B314="",C314=""),"",DATE(B314,1,4)-WEEKDAY(DATE(B314,1,4),2)+1+(C314-1)*7)</f>
        <v/>
      </c>
      <c r="F314" s="71"/>
    </row>
    <row r="315" customFormat="false" ht="15" hidden="false" customHeight="false" outlineLevel="0" collapsed="false">
      <c r="A315" s="71"/>
      <c r="B315" s="72"/>
      <c r="C315" s="72"/>
      <c r="D315" s="72"/>
      <c r="E315" s="78" t="str">
        <f aca="false">IF(OR(B315="",C315=""),"",DATE(B315,1,4)-WEEKDAY(DATE(B315,1,4),2)+1+(C315-1)*7)</f>
        <v/>
      </c>
      <c r="F315" s="71"/>
    </row>
    <row r="316" customFormat="false" ht="15" hidden="false" customHeight="false" outlineLevel="0" collapsed="false">
      <c r="A316" s="71"/>
      <c r="B316" s="72"/>
      <c r="C316" s="72"/>
      <c r="D316" s="72"/>
      <c r="E316" s="78" t="str">
        <f aca="false">IF(OR(B316="",C316=""),"",DATE(B316,1,4)-WEEKDAY(DATE(B316,1,4),2)+1+(C316-1)*7)</f>
        <v/>
      </c>
      <c r="F316" s="71"/>
    </row>
    <row r="317" customFormat="false" ht="15" hidden="false" customHeight="false" outlineLevel="0" collapsed="false">
      <c r="A317" s="71"/>
      <c r="B317" s="72"/>
      <c r="C317" s="72"/>
      <c r="D317" s="72"/>
      <c r="E317" s="78" t="str">
        <f aca="false">IF(OR(B317="",C317=""),"",DATE(B317,1,4)-WEEKDAY(DATE(B317,1,4),2)+1+(C317-1)*7)</f>
        <v/>
      </c>
      <c r="F317" s="71"/>
    </row>
    <row r="318" customFormat="false" ht="15" hidden="false" customHeight="false" outlineLevel="0" collapsed="false">
      <c r="A318" s="71"/>
      <c r="B318" s="72"/>
      <c r="C318" s="72"/>
      <c r="D318" s="72"/>
      <c r="E318" s="78" t="str">
        <f aca="false">IF(OR(B318="",C318=""),"",DATE(B318,1,4)-WEEKDAY(DATE(B318,1,4),2)+1+(C318-1)*7)</f>
        <v/>
      </c>
      <c r="F318" s="71"/>
    </row>
    <row r="319" customFormat="false" ht="15" hidden="false" customHeight="false" outlineLevel="0" collapsed="false">
      <c r="A319" s="71"/>
      <c r="B319" s="72"/>
      <c r="C319" s="72"/>
      <c r="D319" s="72"/>
      <c r="E319" s="78" t="str">
        <f aca="false">IF(OR(B319="",C319=""),"",DATE(B319,1,4)-WEEKDAY(DATE(B319,1,4),2)+1+(C319-1)*7)</f>
        <v/>
      </c>
      <c r="F319" s="71"/>
    </row>
    <row r="320" customFormat="false" ht="15" hidden="false" customHeight="false" outlineLevel="0" collapsed="false">
      <c r="A320" s="71"/>
      <c r="B320" s="72"/>
      <c r="C320" s="72"/>
      <c r="D320" s="72"/>
      <c r="E320" s="78" t="str">
        <f aca="false">IF(OR(B320="",C320=""),"",DATE(B320,1,4)-WEEKDAY(DATE(B320,1,4),2)+1+(C320-1)*7)</f>
        <v/>
      </c>
      <c r="F320" s="71"/>
    </row>
    <row r="321" customFormat="false" ht="15" hidden="false" customHeight="false" outlineLevel="0" collapsed="false">
      <c r="A321" s="71"/>
      <c r="B321" s="72"/>
      <c r="C321" s="72"/>
      <c r="D321" s="72"/>
      <c r="E321" s="78" t="str">
        <f aca="false">IF(OR(B321="",C321=""),"",DATE(B321,1,4)-WEEKDAY(DATE(B321,1,4),2)+1+(C321-1)*7)</f>
        <v/>
      </c>
      <c r="F321" s="71"/>
    </row>
    <row r="322" customFormat="false" ht="15" hidden="false" customHeight="false" outlineLevel="0" collapsed="false">
      <c r="A322" s="71"/>
      <c r="B322" s="72"/>
      <c r="C322" s="72"/>
      <c r="D322" s="72"/>
      <c r="E322" s="78" t="str">
        <f aca="false">IF(OR(B322="",C322=""),"",DATE(B322,1,4)-WEEKDAY(DATE(B322,1,4),2)+1+(C322-1)*7)</f>
        <v/>
      </c>
      <c r="F322" s="71"/>
    </row>
    <row r="323" customFormat="false" ht="15" hidden="false" customHeight="false" outlineLevel="0" collapsed="false">
      <c r="A323" s="71"/>
      <c r="B323" s="72"/>
      <c r="C323" s="72"/>
      <c r="D323" s="72"/>
      <c r="E323" s="78" t="str">
        <f aca="false">IF(OR(B323="",C323=""),"",DATE(B323,1,4)-WEEKDAY(DATE(B323,1,4),2)+1+(C323-1)*7)</f>
        <v/>
      </c>
      <c r="F323" s="71"/>
    </row>
    <row r="324" customFormat="false" ht="15" hidden="false" customHeight="false" outlineLevel="0" collapsed="false">
      <c r="A324" s="71"/>
      <c r="B324" s="72"/>
      <c r="C324" s="72"/>
      <c r="D324" s="72"/>
      <c r="E324" s="78" t="str">
        <f aca="false">IF(OR(B324="",C324=""),"",DATE(B324,1,4)-WEEKDAY(DATE(B324,1,4),2)+1+(C324-1)*7)</f>
        <v/>
      </c>
      <c r="F324" s="71"/>
    </row>
    <row r="325" customFormat="false" ht="15" hidden="false" customHeight="false" outlineLevel="0" collapsed="false">
      <c r="A325" s="71"/>
      <c r="B325" s="72"/>
      <c r="C325" s="72"/>
      <c r="D325" s="72"/>
      <c r="E325" s="78" t="str">
        <f aca="false">IF(OR(B325="",C325=""),"",DATE(B325,1,4)-WEEKDAY(DATE(B325,1,4),2)+1+(C325-1)*7)</f>
        <v/>
      </c>
      <c r="F325" s="71"/>
    </row>
    <row r="326" customFormat="false" ht="15" hidden="false" customHeight="false" outlineLevel="0" collapsed="false">
      <c r="A326" s="71"/>
      <c r="B326" s="72"/>
      <c r="C326" s="72"/>
      <c r="D326" s="72"/>
      <c r="E326" s="78" t="str">
        <f aca="false">IF(OR(B326="",C326=""),"",DATE(B326,1,4)-WEEKDAY(DATE(B326,1,4),2)+1+(C326-1)*7)</f>
        <v/>
      </c>
      <c r="F326" s="71"/>
    </row>
    <row r="327" customFormat="false" ht="15" hidden="false" customHeight="false" outlineLevel="0" collapsed="false">
      <c r="A327" s="71"/>
      <c r="B327" s="72"/>
      <c r="C327" s="72"/>
      <c r="D327" s="72"/>
      <c r="E327" s="78" t="str">
        <f aca="false">IF(OR(B327="",C327=""),"",DATE(B327,1,4)-WEEKDAY(DATE(B327,1,4),2)+1+(C327-1)*7)</f>
        <v/>
      </c>
      <c r="F327" s="71"/>
    </row>
    <row r="328" customFormat="false" ht="15" hidden="false" customHeight="false" outlineLevel="0" collapsed="false">
      <c r="A328" s="71"/>
      <c r="B328" s="72"/>
      <c r="C328" s="72"/>
      <c r="D328" s="72"/>
      <c r="E328" s="78" t="str">
        <f aca="false">IF(OR(B328="",C328=""),"",DATE(B328,1,4)-WEEKDAY(DATE(B328,1,4),2)+1+(C328-1)*7)</f>
        <v/>
      </c>
      <c r="F328" s="71"/>
    </row>
    <row r="329" customFormat="false" ht="15" hidden="false" customHeight="false" outlineLevel="0" collapsed="false">
      <c r="A329" s="71"/>
      <c r="B329" s="72"/>
      <c r="C329" s="72"/>
      <c r="D329" s="72"/>
      <c r="E329" s="78" t="str">
        <f aca="false">IF(OR(B329="",C329=""),"",DATE(B329,1,4)-WEEKDAY(DATE(B329,1,4),2)+1+(C329-1)*7)</f>
        <v/>
      </c>
      <c r="F329" s="71"/>
    </row>
    <row r="330" customFormat="false" ht="15" hidden="false" customHeight="false" outlineLevel="0" collapsed="false">
      <c r="A330" s="71"/>
      <c r="B330" s="72"/>
      <c r="C330" s="72"/>
      <c r="D330" s="72"/>
      <c r="E330" s="78" t="str">
        <f aca="false">IF(OR(B330="",C330=""),"",DATE(B330,1,4)-WEEKDAY(DATE(B330,1,4),2)+1+(C330-1)*7)</f>
        <v/>
      </c>
      <c r="F330" s="71"/>
    </row>
    <row r="331" customFormat="false" ht="15" hidden="false" customHeight="false" outlineLevel="0" collapsed="false">
      <c r="A331" s="71"/>
      <c r="B331" s="72"/>
      <c r="C331" s="72"/>
      <c r="D331" s="72"/>
      <c r="E331" s="78" t="str">
        <f aca="false">IF(OR(B331="",C331=""),"",DATE(B331,1,4)-WEEKDAY(DATE(B331,1,4),2)+1+(C331-1)*7)</f>
        <v/>
      </c>
      <c r="F331" s="71"/>
    </row>
    <row r="332" customFormat="false" ht="15" hidden="false" customHeight="false" outlineLevel="0" collapsed="false">
      <c r="A332" s="71"/>
      <c r="B332" s="72"/>
      <c r="C332" s="72"/>
      <c r="D332" s="72"/>
      <c r="E332" s="78" t="str">
        <f aca="false">IF(OR(B332="",C332=""),"",DATE(B332,1,4)-WEEKDAY(DATE(B332,1,4),2)+1+(C332-1)*7)</f>
        <v/>
      </c>
      <c r="F332" s="71"/>
    </row>
    <row r="333" customFormat="false" ht="15" hidden="false" customHeight="false" outlineLevel="0" collapsed="false">
      <c r="A333" s="71"/>
      <c r="B333" s="72"/>
      <c r="C333" s="72"/>
      <c r="D333" s="72"/>
      <c r="E333" s="78" t="str">
        <f aca="false">IF(OR(B333="",C333=""),"",DATE(B333,1,4)-WEEKDAY(DATE(B333,1,4),2)+1+(C333-1)*7)</f>
        <v/>
      </c>
      <c r="F333" s="71"/>
    </row>
    <row r="334" customFormat="false" ht="15" hidden="false" customHeight="false" outlineLevel="0" collapsed="false">
      <c r="A334" s="71"/>
      <c r="B334" s="72"/>
      <c r="C334" s="72"/>
      <c r="D334" s="72"/>
      <c r="E334" s="78" t="str">
        <f aca="false">IF(OR(B334="",C334=""),"",DATE(B334,1,4)-WEEKDAY(DATE(B334,1,4),2)+1+(C334-1)*7)</f>
        <v/>
      </c>
      <c r="F334" s="71"/>
    </row>
    <row r="335" customFormat="false" ht="15" hidden="false" customHeight="false" outlineLevel="0" collapsed="false">
      <c r="A335" s="71"/>
      <c r="B335" s="72"/>
      <c r="C335" s="72"/>
      <c r="D335" s="72"/>
      <c r="E335" s="78" t="str">
        <f aca="false">IF(OR(B335="",C335=""),"",DATE(B335,1,4)-WEEKDAY(DATE(B335,1,4),2)+1+(C335-1)*7)</f>
        <v/>
      </c>
      <c r="F335" s="71"/>
    </row>
    <row r="336" customFormat="false" ht="15" hidden="false" customHeight="false" outlineLevel="0" collapsed="false">
      <c r="A336" s="71"/>
      <c r="B336" s="72"/>
      <c r="C336" s="72"/>
      <c r="D336" s="72"/>
      <c r="E336" s="78" t="str">
        <f aca="false">IF(OR(B336="",C336=""),"",DATE(B336,1,4)-WEEKDAY(DATE(B336,1,4),2)+1+(C336-1)*7)</f>
        <v/>
      </c>
      <c r="F336" s="71"/>
    </row>
    <row r="337" customFormat="false" ht="15" hidden="false" customHeight="false" outlineLevel="0" collapsed="false">
      <c r="A337" s="71"/>
      <c r="B337" s="72"/>
      <c r="C337" s="72"/>
      <c r="D337" s="72"/>
      <c r="E337" s="78" t="str">
        <f aca="false">IF(OR(B337="",C337=""),"",DATE(B337,1,4)-WEEKDAY(DATE(B337,1,4),2)+1+(C337-1)*7)</f>
        <v/>
      </c>
      <c r="F337" s="71"/>
    </row>
    <row r="338" customFormat="false" ht="15" hidden="false" customHeight="false" outlineLevel="0" collapsed="false">
      <c r="A338" s="71"/>
      <c r="B338" s="72"/>
      <c r="C338" s="72"/>
      <c r="D338" s="72"/>
      <c r="E338" s="78" t="str">
        <f aca="false">IF(OR(B338="",C338=""),"",DATE(B338,1,4)-WEEKDAY(DATE(B338,1,4),2)+1+(C338-1)*7)</f>
        <v/>
      </c>
      <c r="F338" s="71"/>
    </row>
    <row r="339" customFormat="false" ht="15" hidden="false" customHeight="false" outlineLevel="0" collapsed="false">
      <c r="A339" s="71"/>
      <c r="B339" s="72"/>
      <c r="C339" s="72"/>
      <c r="D339" s="72"/>
      <c r="E339" s="78" t="str">
        <f aca="false">IF(OR(B339="",C339=""),"",DATE(B339,1,4)-WEEKDAY(DATE(B339,1,4),2)+1+(C339-1)*7)</f>
        <v/>
      </c>
      <c r="F339" s="71"/>
    </row>
    <row r="340" customFormat="false" ht="15" hidden="false" customHeight="false" outlineLevel="0" collapsed="false">
      <c r="A340" s="71"/>
      <c r="B340" s="72"/>
      <c r="C340" s="72"/>
      <c r="D340" s="72"/>
      <c r="E340" s="78" t="str">
        <f aca="false">IF(OR(B340="",C340=""),"",DATE(B340,1,4)-WEEKDAY(DATE(B340,1,4),2)+1+(C340-1)*7)</f>
        <v/>
      </c>
      <c r="F340" s="71"/>
    </row>
    <row r="341" customFormat="false" ht="15" hidden="false" customHeight="false" outlineLevel="0" collapsed="false">
      <c r="A341" s="71"/>
      <c r="B341" s="72"/>
      <c r="C341" s="72"/>
      <c r="D341" s="72"/>
      <c r="E341" s="78" t="str">
        <f aca="false">IF(OR(B341="",C341=""),"",DATE(B341,1,4)-WEEKDAY(DATE(B341,1,4),2)+1+(C341-1)*7)</f>
        <v/>
      </c>
      <c r="F341" s="71"/>
    </row>
    <row r="342" customFormat="false" ht="15" hidden="false" customHeight="false" outlineLevel="0" collapsed="false">
      <c r="A342" s="71"/>
      <c r="B342" s="72"/>
      <c r="C342" s="72"/>
      <c r="D342" s="72"/>
      <c r="E342" s="78" t="str">
        <f aca="false">IF(OR(B342="",C342=""),"",DATE(B342,1,4)-WEEKDAY(DATE(B342,1,4),2)+1+(C342-1)*7)</f>
        <v/>
      </c>
      <c r="F342" s="71"/>
    </row>
    <row r="343" customFormat="false" ht="15" hidden="false" customHeight="false" outlineLevel="0" collapsed="false">
      <c r="A343" s="71"/>
      <c r="B343" s="72"/>
      <c r="C343" s="72"/>
      <c r="D343" s="72"/>
      <c r="E343" s="78" t="str">
        <f aca="false">IF(OR(B343="",C343=""),"",DATE(B343,1,4)-WEEKDAY(DATE(B343,1,4),2)+1+(C343-1)*7)</f>
        <v/>
      </c>
      <c r="F343" s="71"/>
    </row>
    <row r="344" customFormat="false" ht="15" hidden="false" customHeight="false" outlineLevel="0" collapsed="false">
      <c r="A344" s="71"/>
      <c r="B344" s="72"/>
      <c r="C344" s="72"/>
      <c r="D344" s="72"/>
      <c r="E344" s="78" t="str">
        <f aca="false">IF(OR(B344="",C344=""),"",DATE(B344,1,4)-WEEKDAY(DATE(B344,1,4),2)+1+(C344-1)*7)</f>
        <v/>
      </c>
      <c r="F344" s="71"/>
    </row>
    <row r="345" customFormat="false" ht="15" hidden="false" customHeight="false" outlineLevel="0" collapsed="false">
      <c r="A345" s="71"/>
      <c r="B345" s="72"/>
      <c r="C345" s="72"/>
      <c r="D345" s="72"/>
      <c r="E345" s="78" t="str">
        <f aca="false">IF(OR(B345="",C345=""),"",DATE(B345,1,4)-WEEKDAY(DATE(B345,1,4),2)+1+(C345-1)*7)</f>
        <v/>
      </c>
      <c r="F345" s="71"/>
    </row>
    <row r="346" customFormat="false" ht="15" hidden="false" customHeight="false" outlineLevel="0" collapsed="false">
      <c r="A346" s="71"/>
      <c r="B346" s="72"/>
      <c r="C346" s="72"/>
      <c r="D346" s="72"/>
      <c r="E346" s="78" t="str">
        <f aca="false">IF(OR(B346="",C346=""),"",DATE(B346,1,4)-WEEKDAY(DATE(B346,1,4),2)+1+(C346-1)*7)</f>
        <v/>
      </c>
      <c r="F346" s="71"/>
    </row>
    <row r="347" customFormat="false" ht="15" hidden="false" customHeight="false" outlineLevel="0" collapsed="false">
      <c r="A347" s="71"/>
      <c r="B347" s="72"/>
      <c r="C347" s="72"/>
      <c r="D347" s="72"/>
      <c r="E347" s="78" t="str">
        <f aca="false">IF(OR(B347="",C347=""),"",DATE(B347,1,4)-WEEKDAY(DATE(B347,1,4),2)+1+(C347-1)*7)</f>
        <v/>
      </c>
      <c r="F347" s="71"/>
    </row>
    <row r="348" customFormat="false" ht="15" hidden="false" customHeight="false" outlineLevel="0" collapsed="false">
      <c r="A348" s="71"/>
      <c r="B348" s="72"/>
      <c r="C348" s="72"/>
      <c r="D348" s="72"/>
      <c r="E348" s="78" t="str">
        <f aca="false">IF(OR(B348="",C348=""),"",DATE(B348,1,4)-WEEKDAY(DATE(B348,1,4),2)+1+(C348-1)*7)</f>
        <v/>
      </c>
      <c r="F348" s="71"/>
    </row>
    <row r="349" customFormat="false" ht="15" hidden="false" customHeight="false" outlineLevel="0" collapsed="false">
      <c r="A349" s="71"/>
      <c r="B349" s="72"/>
      <c r="C349" s="72"/>
      <c r="D349" s="72"/>
      <c r="E349" s="78" t="str">
        <f aca="false">IF(OR(B349="",C349=""),"",DATE(B349,1,4)-WEEKDAY(DATE(B349,1,4),2)+1+(C349-1)*7)</f>
        <v/>
      </c>
      <c r="F349" s="71"/>
    </row>
    <row r="350" customFormat="false" ht="15" hidden="false" customHeight="false" outlineLevel="0" collapsed="false">
      <c r="A350" s="71"/>
      <c r="B350" s="72"/>
      <c r="C350" s="72"/>
      <c r="D350" s="72"/>
      <c r="E350" s="78" t="str">
        <f aca="false">IF(OR(B350="",C350=""),"",DATE(B350,1,4)-WEEKDAY(DATE(B350,1,4),2)+1+(C350-1)*7)</f>
        <v/>
      </c>
      <c r="F350" s="71"/>
    </row>
    <row r="351" customFormat="false" ht="15" hidden="false" customHeight="false" outlineLevel="0" collapsed="false">
      <c r="A351" s="71"/>
      <c r="B351" s="72"/>
      <c r="C351" s="72"/>
      <c r="D351" s="72"/>
      <c r="E351" s="78" t="str">
        <f aca="false">IF(OR(B351="",C351=""),"",DATE(B351,1,4)-WEEKDAY(DATE(B351,1,4),2)+1+(C351-1)*7)</f>
        <v/>
      </c>
      <c r="F351" s="71"/>
    </row>
    <row r="352" customFormat="false" ht="15" hidden="false" customHeight="false" outlineLevel="0" collapsed="false">
      <c r="A352" s="71"/>
      <c r="B352" s="72"/>
      <c r="C352" s="72"/>
      <c r="D352" s="72"/>
      <c r="E352" s="78" t="str">
        <f aca="false">IF(OR(B352="",C352=""),"",DATE(B352,1,4)-WEEKDAY(DATE(B352,1,4),2)+1+(C352-1)*7)</f>
        <v/>
      </c>
      <c r="F352" s="71"/>
    </row>
    <row r="353" customFormat="false" ht="15" hidden="false" customHeight="false" outlineLevel="0" collapsed="false">
      <c r="A353" s="71"/>
      <c r="B353" s="72"/>
      <c r="C353" s="72"/>
      <c r="D353" s="72"/>
      <c r="E353" s="78" t="str">
        <f aca="false">IF(OR(B353="",C353=""),"",DATE(B353,1,4)-WEEKDAY(DATE(B353,1,4),2)+1+(C353-1)*7)</f>
        <v/>
      </c>
      <c r="F353" s="71"/>
    </row>
    <row r="354" customFormat="false" ht="15" hidden="false" customHeight="false" outlineLevel="0" collapsed="false">
      <c r="A354" s="71"/>
      <c r="B354" s="72"/>
      <c r="C354" s="72"/>
      <c r="D354" s="72"/>
      <c r="E354" s="78" t="str">
        <f aca="false">IF(OR(B354="",C354=""),"",DATE(B354,1,4)-WEEKDAY(DATE(B354,1,4),2)+1+(C354-1)*7)</f>
        <v/>
      </c>
      <c r="F354" s="71"/>
    </row>
    <row r="355" customFormat="false" ht="15" hidden="false" customHeight="false" outlineLevel="0" collapsed="false">
      <c r="A355" s="71"/>
      <c r="B355" s="72"/>
      <c r="C355" s="72"/>
      <c r="D355" s="72"/>
      <c r="E355" s="78" t="str">
        <f aca="false">IF(OR(B355="",C355=""),"",DATE(B355,1,4)-WEEKDAY(DATE(B355,1,4),2)+1+(C355-1)*7)</f>
        <v/>
      </c>
      <c r="F355" s="71"/>
    </row>
    <row r="356" customFormat="false" ht="15" hidden="false" customHeight="false" outlineLevel="0" collapsed="false">
      <c r="A356" s="71"/>
      <c r="B356" s="72"/>
      <c r="C356" s="72"/>
      <c r="D356" s="72"/>
      <c r="E356" s="78" t="str">
        <f aca="false">IF(OR(B356="",C356=""),"",DATE(B356,1,4)-WEEKDAY(DATE(B356,1,4),2)+1+(C356-1)*7)</f>
        <v/>
      </c>
      <c r="F356" s="71"/>
    </row>
    <row r="357" customFormat="false" ht="15" hidden="false" customHeight="false" outlineLevel="0" collapsed="false">
      <c r="A357" s="71"/>
      <c r="B357" s="72"/>
      <c r="C357" s="72"/>
      <c r="D357" s="72"/>
      <c r="E357" s="78" t="str">
        <f aca="false">IF(OR(B357="",C357=""),"",DATE(B357,1,4)-WEEKDAY(DATE(B357,1,4),2)+1+(C357-1)*7)</f>
        <v/>
      </c>
      <c r="F357" s="71"/>
    </row>
    <row r="358" customFormat="false" ht="15" hidden="false" customHeight="false" outlineLevel="0" collapsed="false">
      <c r="A358" s="71"/>
      <c r="B358" s="72"/>
      <c r="C358" s="72"/>
      <c r="D358" s="72"/>
      <c r="E358" s="78" t="str">
        <f aca="false">IF(OR(B358="",C358=""),"",DATE(B358,1,4)-WEEKDAY(DATE(B358,1,4),2)+1+(C358-1)*7)</f>
        <v/>
      </c>
      <c r="F358" s="71"/>
    </row>
    <row r="359" customFormat="false" ht="15" hidden="false" customHeight="false" outlineLevel="0" collapsed="false">
      <c r="A359" s="71"/>
      <c r="B359" s="72"/>
      <c r="C359" s="72"/>
      <c r="D359" s="72"/>
      <c r="E359" s="78" t="str">
        <f aca="false">IF(OR(B359="",C359=""),"",DATE(B359,1,4)-WEEKDAY(DATE(B359,1,4),2)+1+(C359-1)*7)</f>
        <v/>
      </c>
      <c r="F359" s="71"/>
    </row>
    <row r="360" customFormat="false" ht="15" hidden="false" customHeight="false" outlineLevel="0" collapsed="false">
      <c r="A360" s="71"/>
      <c r="B360" s="72"/>
      <c r="C360" s="72"/>
      <c r="D360" s="72"/>
      <c r="E360" s="78" t="str">
        <f aca="false">IF(OR(B360="",C360=""),"",DATE(B360,1,4)-WEEKDAY(DATE(B360,1,4),2)+1+(C360-1)*7)</f>
        <v/>
      </c>
      <c r="F360" s="71"/>
    </row>
    <row r="361" customFormat="false" ht="15" hidden="false" customHeight="false" outlineLevel="0" collapsed="false">
      <c r="A361" s="71"/>
      <c r="B361" s="72"/>
      <c r="C361" s="72"/>
      <c r="D361" s="72"/>
      <c r="E361" s="78" t="str">
        <f aca="false">IF(OR(B361="",C361=""),"",DATE(B361,1,4)-WEEKDAY(DATE(B361,1,4),2)+1+(C361-1)*7)</f>
        <v/>
      </c>
      <c r="F361" s="71"/>
    </row>
    <row r="362" customFormat="false" ht="15" hidden="false" customHeight="false" outlineLevel="0" collapsed="false">
      <c r="A362" s="71"/>
      <c r="B362" s="72"/>
      <c r="C362" s="72"/>
      <c r="D362" s="72"/>
      <c r="E362" s="78" t="str">
        <f aca="false">IF(OR(B362="",C362=""),"",DATE(B362,1,4)-WEEKDAY(DATE(B362,1,4),2)+1+(C362-1)*7)</f>
        <v/>
      </c>
      <c r="F362" s="71"/>
    </row>
    <row r="363" customFormat="false" ht="15" hidden="false" customHeight="false" outlineLevel="0" collapsed="false">
      <c r="A363" s="71"/>
      <c r="B363" s="72"/>
      <c r="C363" s="72"/>
      <c r="D363" s="72"/>
      <c r="E363" s="78" t="str">
        <f aca="false">IF(OR(B363="",C363=""),"",DATE(B363,1,4)-WEEKDAY(DATE(B363,1,4),2)+1+(C363-1)*7)</f>
        <v/>
      </c>
      <c r="F363" s="71"/>
    </row>
    <row r="364" customFormat="false" ht="15" hidden="false" customHeight="false" outlineLevel="0" collapsed="false">
      <c r="A364" s="71"/>
      <c r="B364" s="72"/>
      <c r="C364" s="72"/>
      <c r="D364" s="72"/>
      <c r="E364" s="78" t="str">
        <f aca="false">IF(OR(B364="",C364=""),"",DATE(B364,1,4)-WEEKDAY(DATE(B364,1,4),2)+1+(C364-1)*7)</f>
        <v/>
      </c>
      <c r="F364" s="71"/>
    </row>
    <row r="365" customFormat="false" ht="15" hidden="false" customHeight="false" outlineLevel="0" collapsed="false">
      <c r="A365" s="71"/>
      <c r="B365" s="72"/>
      <c r="C365" s="72"/>
      <c r="D365" s="72"/>
      <c r="E365" s="78" t="str">
        <f aca="false">IF(OR(B365="",C365=""),"",DATE(B365,1,4)-WEEKDAY(DATE(B365,1,4),2)+1+(C365-1)*7)</f>
        <v/>
      </c>
      <c r="F365" s="71"/>
    </row>
    <row r="366" customFormat="false" ht="15" hidden="false" customHeight="false" outlineLevel="0" collapsed="false">
      <c r="A366" s="71"/>
      <c r="B366" s="72"/>
      <c r="C366" s="72"/>
      <c r="D366" s="72"/>
      <c r="E366" s="78" t="str">
        <f aca="false">IF(OR(B366="",C366=""),"",DATE(B366,1,4)-WEEKDAY(DATE(B366,1,4),2)+1+(C366-1)*7)</f>
        <v/>
      </c>
      <c r="F366" s="71"/>
    </row>
    <row r="367" customFormat="false" ht="15" hidden="false" customHeight="false" outlineLevel="0" collapsed="false">
      <c r="A367" s="71"/>
      <c r="B367" s="72"/>
      <c r="C367" s="72"/>
      <c r="D367" s="72"/>
      <c r="E367" s="78" t="str">
        <f aca="false">IF(OR(B367="",C367=""),"",DATE(B367,1,4)-WEEKDAY(DATE(B367,1,4),2)+1+(C367-1)*7)</f>
        <v/>
      </c>
      <c r="F367" s="71"/>
    </row>
    <row r="368" customFormat="false" ht="15" hidden="false" customHeight="false" outlineLevel="0" collapsed="false">
      <c r="A368" s="71"/>
      <c r="B368" s="72"/>
      <c r="C368" s="72"/>
      <c r="D368" s="72"/>
      <c r="E368" s="78" t="str">
        <f aca="false">IF(OR(B368="",C368=""),"",DATE(B368,1,4)-WEEKDAY(DATE(B368,1,4),2)+1+(C368-1)*7)</f>
        <v/>
      </c>
      <c r="F368" s="71"/>
    </row>
    <row r="369" customFormat="false" ht="15" hidden="false" customHeight="false" outlineLevel="0" collapsed="false">
      <c r="A369" s="71"/>
      <c r="B369" s="72"/>
      <c r="C369" s="72"/>
      <c r="D369" s="72"/>
      <c r="E369" s="78" t="str">
        <f aca="false">IF(OR(B369="",C369=""),"",DATE(B369,1,4)-WEEKDAY(DATE(B369,1,4),2)+1+(C369-1)*7)</f>
        <v/>
      </c>
      <c r="F369" s="71"/>
    </row>
    <row r="370" customFormat="false" ht="15" hidden="false" customHeight="false" outlineLevel="0" collapsed="false">
      <c r="A370" s="71"/>
      <c r="B370" s="72"/>
      <c r="C370" s="72"/>
      <c r="D370" s="72"/>
      <c r="E370" s="78" t="str">
        <f aca="false">IF(OR(B370="",C370=""),"",DATE(B370,1,4)-WEEKDAY(DATE(B370,1,4),2)+1+(C370-1)*7)</f>
        <v/>
      </c>
      <c r="F370" s="71"/>
    </row>
    <row r="371" customFormat="false" ht="15" hidden="false" customHeight="false" outlineLevel="0" collapsed="false">
      <c r="A371" s="71"/>
      <c r="B371" s="72"/>
      <c r="C371" s="72"/>
      <c r="D371" s="72"/>
      <c r="E371" s="78" t="str">
        <f aca="false">IF(OR(B371="",C371=""),"",DATE(B371,1,4)-WEEKDAY(DATE(B371,1,4),2)+1+(C371-1)*7)</f>
        <v/>
      </c>
      <c r="F371" s="71"/>
    </row>
    <row r="372" customFormat="false" ht="15" hidden="false" customHeight="false" outlineLevel="0" collapsed="false">
      <c r="A372" s="71"/>
      <c r="B372" s="72"/>
      <c r="C372" s="72"/>
      <c r="D372" s="72"/>
      <c r="E372" s="78" t="str">
        <f aca="false">IF(OR(B372="",C372=""),"",DATE(B372,1,4)-WEEKDAY(DATE(B372,1,4),2)+1+(C372-1)*7)</f>
        <v/>
      </c>
      <c r="F372" s="71"/>
    </row>
    <row r="373" customFormat="false" ht="15" hidden="false" customHeight="false" outlineLevel="0" collapsed="false">
      <c r="A373" s="71"/>
      <c r="B373" s="72"/>
      <c r="C373" s="72"/>
      <c r="D373" s="72"/>
      <c r="E373" s="78" t="str">
        <f aca="false">IF(OR(B373="",C373=""),"",DATE(B373,1,4)-WEEKDAY(DATE(B373,1,4),2)+1+(C373-1)*7)</f>
        <v/>
      </c>
      <c r="F373" s="71"/>
    </row>
    <row r="374" customFormat="false" ht="15" hidden="false" customHeight="false" outlineLevel="0" collapsed="false">
      <c r="A374" s="71"/>
      <c r="B374" s="72"/>
      <c r="C374" s="72"/>
      <c r="D374" s="72"/>
      <c r="E374" s="78" t="str">
        <f aca="false">IF(OR(B374="",C374=""),"",DATE(B374,1,4)-WEEKDAY(DATE(B374,1,4),2)+1+(C374-1)*7)</f>
        <v/>
      </c>
      <c r="F374" s="71"/>
    </row>
    <row r="375" customFormat="false" ht="15" hidden="false" customHeight="false" outlineLevel="0" collapsed="false">
      <c r="A375" s="71"/>
      <c r="B375" s="72"/>
      <c r="C375" s="72"/>
      <c r="D375" s="72"/>
      <c r="E375" s="78" t="str">
        <f aca="false">IF(OR(B375="",C375=""),"",DATE(B375,1,4)-WEEKDAY(DATE(B375,1,4),2)+1+(C375-1)*7)</f>
        <v/>
      </c>
      <c r="F375" s="71"/>
    </row>
    <row r="376" customFormat="false" ht="15" hidden="false" customHeight="false" outlineLevel="0" collapsed="false">
      <c r="A376" s="71"/>
      <c r="B376" s="72"/>
      <c r="C376" s="72"/>
      <c r="D376" s="72"/>
      <c r="E376" s="78" t="str">
        <f aca="false">IF(OR(B376="",C376=""),"",DATE(B376,1,4)-WEEKDAY(DATE(B376,1,4),2)+1+(C376-1)*7)</f>
        <v/>
      </c>
      <c r="F376" s="71"/>
    </row>
    <row r="377" customFormat="false" ht="15" hidden="false" customHeight="false" outlineLevel="0" collapsed="false">
      <c r="A377" s="71"/>
      <c r="B377" s="72"/>
      <c r="C377" s="72"/>
      <c r="D377" s="72"/>
      <c r="E377" s="78" t="str">
        <f aca="false">IF(OR(B377="",C377=""),"",DATE(B377,1,4)-WEEKDAY(DATE(B377,1,4),2)+1+(C377-1)*7)</f>
        <v/>
      </c>
      <c r="F377" s="71"/>
    </row>
    <row r="378" customFormat="false" ht="15" hidden="false" customHeight="false" outlineLevel="0" collapsed="false">
      <c r="A378" s="71"/>
      <c r="B378" s="72"/>
      <c r="C378" s="72"/>
      <c r="D378" s="72"/>
      <c r="E378" s="78" t="str">
        <f aca="false">IF(OR(B378="",C378=""),"",DATE(B378,1,4)-WEEKDAY(DATE(B378,1,4),2)+1+(C378-1)*7)</f>
        <v/>
      </c>
      <c r="F378" s="71"/>
    </row>
    <row r="379" customFormat="false" ht="15" hidden="false" customHeight="false" outlineLevel="0" collapsed="false">
      <c r="A379" s="71"/>
      <c r="B379" s="72"/>
      <c r="C379" s="72"/>
      <c r="D379" s="72"/>
      <c r="E379" s="78" t="str">
        <f aca="false">IF(OR(B379="",C379=""),"",DATE(B379,1,4)-WEEKDAY(DATE(B379,1,4),2)+1+(C379-1)*7)</f>
        <v/>
      </c>
      <c r="F379" s="71"/>
    </row>
    <row r="380" customFormat="false" ht="15" hidden="false" customHeight="false" outlineLevel="0" collapsed="false">
      <c r="A380" s="71"/>
      <c r="B380" s="72"/>
      <c r="C380" s="72"/>
      <c r="D380" s="72"/>
      <c r="E380" s="78" t="str">
        <f aca="false">IF(OR(B380="",C380=""),"",DATE(B380,1,4)-WEEKDAY(DATE(B380,1,4),2)+1+(C380-1)*7)</f>
        <v/>
      </c>
      <c r="F380" s="71"/>
    </row>
    <row r="381" customFormat="false" ht="15" hidden="false" customHeight="false" outlineLevel="0" collapsed="false">
      <c r="A381" s="71"/>
      <c r="B381" s="72"/>
      <c r="C381" s="72"/>
      <c r="D381" s="72"/>
      <c r="E381" s="78" t="str">
        <f aca="false">IF(OR(B381="",C381=""),"",DATE(B381,1,4)-WEEKDAY(DATE(B381,1,4),2)+1+(C381-1)*7)</f>
        <v/>
      </c>
      <c r="F381" s="71"/>
    </row>
    <row r="382" customFormat="false" ht="15" hidden="false" customHeight="false" outlineLevel="0" collapsed="false">
      <c r="A382" s="71"/>
      <c r="B382" s="72"/>
      <c r="C382" s="72"/>
      <c r="D382" s="72"/>
      <c r="E382" s="78" t="str">
        <f aca="false">IF(OR(B382="",C382=""),"",DATE(B382,1,4)-WEEKDAY(DATE(B382,1,4),2)+1+(C382-1)*7)</f>
        <v/>
      </c>
      <c r="F382" s="71"/>
    </row>
    <row r="383" customFormat="false" ht="15" hidden="false" customHeight="false" outlineLevel="0" collapsed="false">
      <c r="A383" s="71"/>
      <c r="B383" s="72"/>
      <c r="C383" s="72"/>
      <c r="D383" s="72"/>
      <c r="E383" s="78" t="str">
        <f aca="false">IF(OR(B383="",C383=""),"",DATE(B383,1,4)-WEEKDAY(DATE(B383,1,4),2)+1+(C383-1)*7)</f>
        <v/>
      </c>
      <c r="F383" s="71"/>
    </row>
    <row r="384" customFormat="false" ht="15" hidden="false" customHeight="false" outlineLevel="0" collapsed="false">
      <c r="A384" s="71"/>
      <c r="B384" s="72"/>
      <c r="C384" s="72"/>
      <c r="D384" s="72"/>
      <c r="E384" s="78" t="str">
        <f aca="false">IF(OR(B384="",C384=""),"",DATE(B384,1,4)-WEEKDAY(DATE(B384,1,4),2)+1+(C384-1)*7)</f>
        <v/>
      </c>
      <c r="F384" s="71"/>
    </row>
    <row r="385" customFormat="false" ht="15" hidden="false" customHeight="false" outlineLevel="0" collapsed="false">
      <c r="A385" s="71"/>
      <c r="B385" s="72"/>
      <c r="C385" s="72"/>
      <c r="D385" s="72"/>
      <c r="E385" s="78" t="str">
        <f aca="false">IF(OR(B385="",C385=""),"",DATE(B385,1,4)-WEEKDAY(DATE(B385,1,4),2)+1+(C385-1)*7)</f>
        <v/>
      </c>
      <c r="F385" s="71"/>
    </row>
    <row r="386" customFormat="false" ht="15" hidden="false" customHeight="false" outlineLevel="0" collapsed="false">
      <c r="A386" s="71"/>
      <c r="B386" s="72"/>
      <c r="C386" s="72"/>
      <c r="D386" s="72"/>
      <c r="E386" s="78" t="str">
        <f aca="false">IF(OR(B386="",C386=""),"",DATE(B386,1,4)-WEEKDAY(DATE(B386,1,4),2)+1+(C386-1)*7)</f>
        <v/>
      </c>
      <c r="F386" s="71"/>
    </row>
    <row r="387" customFormat="false" ht="15" hidden="false" customHeight="false" outlineLevel="0" collapsed="false">
      <c r="A387" s="71"/>
      <c r="B387" s="72"/>
      <c r="C387" s="72"/>
      <c r="D387" s="72"/>
      <c r="E387" s="78" t="str">
        <f aca="false">IF(OR(B387="",C387=""),"",DATE(B387,1,4)-WEEKDAY(DATE(B387,1,4),2)+1+(C387-1)*7)</f>
        <v/>
      </c>
      <c r="F387" s="71"/>
    </row>
    <row r="388" customFormat="false" ht="15" hidden="false" customHeight="false" outlineLevel="0" collapsed="false">
      <c r="A388" s="71"/>
      <c r="B388" s="72"/>
      <c r="C388" s="72"/>
      <c r="D388" s="72"/>
      <c r="E388" s="78" t="str">
        <f aca="false">IF(OR(B388="",C388=""),"",DATE(B388,1,4)-WEEKDAY(DATE(B388,1,4),2)+1+(C388-1)*7)</f>
        <v/>
      </c>
      <c r="F388" s="71"/>
    </row>
    <row r="389" customFormat="false" ht="15" hidden="false" customHeight="false" outlineLevel="0" collapsed="false">
      <c r="A389" s="71"/>
      <c r="B389" s="72"/>
      <c r="C389" s="72"/>
      <c r="D389" s="72"/>
      <c r="E389" s="78" t="str">
        <f aca="false">IF(OR(B389="",C389=""),"",DATE(B389,1,4)-WEEKDAY(DATE(B389,1,4),2)+1+(C389-1)*7)</f>
        <v/>
      </c>
      <c r="F389" s="71"/>
    </row>
    <row r="390" customFormat="false" ht="15" hidden="false" customHeight="false" outlineLevel="0" collapsed="false">
      <c r="A390" s="71"/>
      <c r="B390" s="72"/>
      <c r="C390" s="72"/>
      <c r="D390" s="72"/>
      <c r="E390" s="78" t="str">
        <f aca="false">IF(OR(B390="",C390=""),"",DATE(B390,1,4)-WEEKDAY(DATE(B390,1,4),2)+1+(C390-1)*7)</f>
        <v/>
      </c>
      <c r="F390" s="71"/>
    </row>
    <row r="391" customFormat="false" ht="15" hidden="false" customHeight="false" outlineLevel="0" collapsed="false">
      <c r="A391" s="71"/>
      <c r="B391" s="72"/>
      <c r="C391" s="72"/>
      <c r="D391" s="72"/>
      <c r="E391" s="78" t="str">
        <f aca="false">IF(OR(B391="",C391=""),"",DATE(B391,1,4)-WEEKDAY(DATE(B391,1,4),2)+1+(C391-1)*7)</f>
        <v/>
      </c>
      <c r="F391" s="71"/>
    </row>
    <row r="392" customFormat="false" ht="15" hidden="false" customHeight="false" outlineLevel="0" collapsed="false">
      <c r="A392" s="71"/>
      <c r="B392" s="72"/>
      <c r="C392" s="72"/>
      <c r="D392" s="72"/>
      <c r="E392" s="78" t="str">
        <f aca="false">IF(OR(B392="",C392=""),"",DATE(B392,1,4)-WEEKDAY(DATE(B392,1,4),2)+1+(C392-1)*7)</f>
        <v/>
      </c>
      <c r="F392" s="71"/>
    </row>
    <row r="393" customFormat="false" ht="15" hidden="false" customHeight="false" outlineLevel="0" collapsed="false">
      <c r="A393" s="71"/>
      <c r="B393" s="72"/>
      <c r="C393" s="72"/>
      <c r="D393" s="72"/>
      <c r="E393" s="78" t="str">
        <f aca="false">IF(OR(B393="",C393=""),"",DATE(B393,1,4)-WEEKDAY(DATE(B393,1,4),2)+1+(C393-1)*7)</f>
        <v/>
      </c>
      <c r="F393" s="71"/>
    </row>
    <row r="394" customFormat="false" ht="15" hidden="false" customHeight="false" outlineLevel="0" collapsed="false">
      <c r="A394" s="71"/>
      <c r="B394" s="72"/>
      <c r="C394" s="72"/>
      <c r="D394" s="72"/>
      <c r="E394" s="78" t="str">
        <f aca="false">IF(OR(B394="",C394=""),"",DATE(B394,1,4)-WEEKDAY(DATE(B394,1,4),2)+1+(C394-1)*7)</f>
        <v/>
      </c>
      <c r="F394" s="71"/>
    </row>
    <row r="395" customFormat="false" ht="15" hidden="false" customHeight="false" outlineLevel="0" collapsed="false">
      <c r="A395" s="71"/>
      <c r="B395" s="72"/>
      <c r="C395" s="72"/>
      <c r="D395" s="72"/>
      <c r="E395" s="78" t="str">
        <f aca="false">IF(OR(B395="",C395=""),"",DATE(B395,1,4)-WEEKDAY(DATE(B395,1,4),2)+1+(C395-1)*7)</f>
        <v/>
      </c>
      <c r="F395" s="71"/>
    </row>
    <row r="396" customFormat="false" ht="15" hidden="false" customHeight="false" outlineLevel="0" collapsed="false">
      <c r="A396" s="71"/>
      <c r="B396" s="72"/>
      <c r="C396" s="72"/>
      <c r="D396" s="72"/>
      <c r="E396" s="78" t="str">
        <f aca="false">IF(OR(B396="",C396=""),"",DATE(B396,1,4)-WEEKDAY(DATE(B396,1,4),2)+1+(C396-1)*7)</f>
        <v/>
      </c>
      <c r="F396" s="71"/>
    </row>
    <row r="397" customFormat="false" ht="15" hidden="false" customHeight="false" outlineLevel="0" collapsed="false">
      <c r="A397" s="71"/>
      <c r="B397" s="72"/>
      <c r="C397" s="72"/>
      <c r="D397" s="72"/>
      <c r="E397" s="78" t="str">
        <f aca="false">IF(OR(B397="",C397=""),"",DATE(B397,1,4)-WEEKDAY(DATE(B397,1,4),2)+1+(C397-1)*7)</f>
        <v/>
      </c>
      <c r="F397" s="71"/>
    </row>
    <row r="398" customFormat="false" ht="15" hidden="false" customHeight="false" outlineLevel="0" collapsed="false">
      <c r="A398" s="71"/>
      <c r="B398" s="72"/>
      <c r="C398" s="72"/>
      <c r="D398" s="72"/>
      <c r="E398" s="78" t="str">
        <f aca="false">IF(OR(B398="",C398=""),"",DATE(B398,1,4)-WEEKDAY(DATE(B398,1,4),2)+1+(C398-1)*7)</f>
        <v/>
      </c>
      <c r="F398" s="71"/>
    </row>
    <row r="399" customFormat="false" ht="15" hidden="false" customHeight="false" outlineLevel="0" collapsed="false">
      <c r="A399" s="71"/>
      <c r="B399" s="72"/>
      <c r="C399" s="72"/>
      <c r="D399" s="72"/>
      <c r="E399" s="78" t="str">
        <f aca="false">IF(OR(B399="",C399=""),"",DATE(B399,1,4)-WEEKDAY(DATE(B399,1,4),2)+1+(C399-1)*7)</f>
        <v/>
      </c>
      <c r="F399" s="71"/>
    </row>
    <row r="400" customFormat="false" ht="15" hidden="false" customHeight="false" outlineLevel="0" collapsed="false">
      <c r="A400" s="71"/>
      <c r="B400" s="72"/>
      <c r="C400" s="72"/>
      <c r="D400" s="72"/>
      <c r="E400" s="78" t="str">
        <f aca="false">IF(OR(B400="",C400=""),"",DATE(B400,1,4)-WEEKDAY(DATE(B400,1,4),2)+1+(C400-1)*7)</f>
        <v/>
      </c>
      <c r="F400" s="71"/>
    </row>
    <row r="401" customFormat="false" ht="15" hidden="false" customHeight="false" outlineLevel="0" collapsed="false">
      <c r="A401" s="71"/>
      <c r="B401" s="72"/>
      <c r="C401" s="72"/>
      <c r="D401" s="72"/>
      <c r="E401" s="78" t="str">
        <f aca="false">IF(OR(B401="",C401=""),"",DATE(B401,1,4)-WEEKDAY(DATE(B401,1,4),2)+1+(C401-1)*7)</f>
        <v/>
      </c>
      <c r="F401" s="71"/>
    </row>
    <row r="402" customFormat="false" ht="15" hidden="false" customHeight="false" outlineLevel="0" collapsed="false">
      <c r="A402" s="71"/>
      <c r="B402" s="72"/>
      <c r="C402" s="72"/>
      <c r="D402" s="72"/>
      <c r="E402" s="78" t="str">
        <f aca="false">IF(OR(B402="",C402=""),"",DATE(B402,1,4)-WEEKDAY(DATE(B402,1,4),2)+1+(C402-1)*7)</f>
        <v/>
      </c>
      <c r="F402" s="71"/>
    </row>
    <row r="403" customFormat="false" ht="15" hidden="false" customHeight="false" outlineLevel="0" collapsed="false">
      <c r="A403" s="71"/>
      <c r="B403" s="72"/>
      <c r="C403" s="72"/>
      <c r="D403" s="72"/>
      <c r="E403" s="78" t="str">
        <f aca="false">IF(OR(B403="",C403=""),"",DATE(B403,1,4)-WEEKDAY(DATE(B403,1,4),2)+1+(C403-1)*7)</f>
        <v/>
      </c>
      <c r="F403" s="71"/>
    </row>
    <row r="404" customFormat="false" ht="15" hidden="false" customHeight="false" outlineLevel="0" collapsed="false">
      <c r="A404" s="71"/>
      <c r="B404" s="72"/>
      <c r="C404" s="72"/>
      <c r="D404" s="72"/>
      <c r="E404" s="78" t="str">
        <f aca="false">IF(OR(B404="",C404=""),"",DATE(B404,1,4)-WEEKDAY(DATE(B404,1,4),2)+1+(C404-1)*7)</f>
        <v/>
      </c>
      <c r="F404" s="71"/>
    </row>
    <row r="405" customFormat="false" ht="15" hidden="false" customHeight="false" outlineLevel="0" collapsed="false">
      <c r="A405" s="71"/>
      <c r="B405" s="72"/>
      <c r="C405" s="72"/>
      <c r="D405" s="72"/>
      <c r="E405" s="78" t="str">
        <f aca="false">IF(OR(B405="",C405=""),"",DATE(B405,1,4)-WEEKDAY(DATE(B405,1,4),2)+1+(C405-1)*7)</f>
        <v/>
      </c>
      <c r="F405" s="71"/>
    </row>
    <row r="406" customFormat="false" ht="15" hidden="false" customHeight="false" outlineLevel="0" collapsed="false">
      <c r="A406" s="71"/>
      <c r="B406" s="72"/>
      <c r="C406" s="72"/>
      <c r="D406" s="72"/>
      <c r="E406" s="78" t="str">
        <f aca="false">IF(OR(B406="",C406=""),"",DATE(B406,1,4)-WEEKDAY(DATE(B406,1,4),2)+1+(C406-1)*7)</f>
        <v/>
      </c>
      <c r="F406" s="71"/>
    </row>
    <row r="407" customFormat="false" ht="15" hidden="false" customHeight="false" outlineLevel="0" collapsed="false">
      <c r="A407" s="71"/>
      <c r="B407" s="72"/>
      <c r="C407" s="72"/>
      <c r="D407" s="72"/>
      <c r="E407" s="78" t="str">
        <f aca="false">IF(OR(B407="",C407=""),"",DATE(B407,1,4)-WEEKDAY(DATE(B407,1,4),2)+1+(C407-1)*7)</f>
        <v/>
      </c>
      <c r="F407" s="71"/>
    </row>
    <row r="408" customFormat="false" ht="15" hidden="false" customHeight="false" outlineLevel="0" collapsed="false">
      <c r="A408" s="71"/>
      <c r="B408" s="72"/>
      <c r="C408" s="72"/>
      <c r="D408" s="72"/>
      <c r="E408" s="78" t="str">
        <f aca="false">IF(OR(B408="",C408=""),"",DATE(B408,1,4)-WEEKDAY(DATE(B408,1,4),2)+1+(C408-1)*7)</f>
        <v/>
      </c>
      <c r="F408" s="71"/>
    </row>
    <row r="409" customFormat="false" ht="15" hidden="false" customHeight="false" outlineLevel="0" collapsed="false">
      <c r="A409" s="71"/>
      <c r="B409" s="72"/>
      <c r="C409" s="72"/>
      <c r="D409" s="72"/>
      <c r="E409" s="78" t="str">
        <f aca="false">IF(OR(B409="",C409=""),"",DATE(B409,1,4)-WEEKDAY(DATE(B409,1,4),2)+1+(C409-1)*7)</f>
        <v/>
      </c>
      <c r="F409" s="71"/>
    </row>
    <row r="410" customFormat="false" ht="15" hidden="false" customHeight="false" outlineLevel="0" collapsed="false">
      <c r="A410" s="71"/>
      <c r="B410" s="72"/>
      <c r="C410" s="72"/>
      <c r="D410" s="72"/>
      <c r="E410" s="78" t="str">
        <f aca="false">IF(OR(B410="",C410=""),"",DATE(B410,1,4)-WEEKDAY(DATE(B410,1,4),2)+1+(C410-1)*7)</f>
        <v/>
      </c>
      <c r="F410" s="71"/>
    </row>
    <row r="411" customFormat="false" ht="15" hidden="false" customHeight="false" outlineLevel="0" collapsed="false">
      <c r="A411" s="71"/>
      <c r="B411" s="72"/>
      <c r="C411" s="72"/>
      <c r="D411" s="72"/>
      <c r="E411" s="78" t="str">
        <f aca="false">IF(OR(B411="",C411=""),"",DATE(B411,1,4)-WEEKDAY(DATE(B411,1,4),2)+1+(C411-1)*7)</f>
        <v/>
      </c>
      <c r="F411" s="71"/>
    </row>
    <row r="412" customFormat="false" ht="15" hidden="false" customHeight="false" outlineLevel="0" collapsed="false">
      <c r="A412" s="71"/>
      <c r="B412" s="72"/>
      <c r="C412" s="72"/>
      <c r="D412" s="72"/>
      <c r="E412" s="78" t="str">
        <f aca="false">IF(OR(B412="",C412=""),"",DATE(B412,1,4)-WEEKDAY(DATE(B412,1,4),2)+1+(C412-1)*7)</f>
        <v/>
      </c>
      <c r="F412" s="71"/>
    </row>
    <row r="413" customFormat="false" ht="15" hidden="false" customHeight="false" outlineLevel="0" collapsed="false">
      <c r="A413" s="71"/>
      <c r="B413" s="72"/>
      <c r="C413" s="72"/>
      <c r="D413" s="72"/>
      <c r="E413" s="78" t="str">
        <f aca="false">IF(OR(B413="",C413=""),"",DATE(B413,1,4)-WEEKDAY(DATE(B413,1,4),2)+1+(C413-1)*7)</f>
        <v/>
      </c>
      <c r="F413" s="71"/>
    </row>
    <row r="414" customFormat="false" ht="15" hidden="false" customHeight="false" outlineLevel="0" collapsed="false">
      <c r="A414" s="71"/>
      <c r="B414" s="72"/>
      <c r="C414" s="72"/>
      <c r="D414" s="72"/>
      <c r="E414" s="78" t="str">
        <f aca="false">IF(OR(B414="",C414=""),"",DATE(B414,1,4)-WEEKDAY(DATE(B414,1,4),2)+1+(C414-1)*7)</f>
        <v/>
      </c>
      <c r="F414" s="71"/>
    </row>
    <row r="415" customFormat="false" ht="15" hidden="false" customHeight="false" outlineLevel="0" collapsed="false">
      <c r="A415" s="71"/>
      <c r="B415" s="72"/>
      <c r="C415" s="72"/>
      <c r="D415" s="72"/>
      <c r="E415" s="78" t="str">
        <f aca="false">IF(OR(B415="",C415=""),"",DATE(B415,1,4)-WEEKDAY(DATE(B415,1,4),2)+1+(C415-1)*7)</f>
        <v/>
      </c>
      <c r="F415" s="71"/>
    </row>
    <row r="416" customFormat="false" ht="15" hidden="false" customHeight="false" outlineLevel="0" collapsed="false">
      <c r="A416" s="71"/>
      <c r="B416" s="72"/>
      <c r="C416" s="72"/>
      <c r="D416" s="72"/>
      <c r="E416" s="78" t="str">
        <f aca="false">IF(OR(B416="",C416=""),"",DATE(B416,1,4)-WEEKDAY(DATE(B416,1,4),2)+1+(C416-1)*7)</f>
        <v/>
      </c>
      <c r="F416" s="71"/>
    </row>
    <row r="417" customFormat="false" ht="15" hidden="false" customHeight="false" outlineLevel="0" collapsed="false">
      <c r="A417" s="71"/>
      <c r="B417" s="72"/>
      <c r="C417" s="72"/>
      <c r="D417" s="72"/>
      <c r="E417" s="78" t="str">
        <f aca="false">IF(OR(B417="",C417=""),"",DATE(B417,1,4)-WEEKDAY(DATE(B417,1,4),2)+1+(C417-1)*7)</f>
        <v/>
      </c>
      <c r="F417" s="71"/>
    </row>
    <row r="418" customFormat="false" ht="15" hidden="false" customHeight="false" outlineLevel="0" collapsed="false">
      <c r="A418" s="71"/>
      <c r="B418" s="72"/>
      <c r="C418" s="72"/>
      <c r="D418" s="72"/>
      <c r="E418" s="78" t="str">
        <f aca="false">IF(OR(B418="",C418=""),"",DATE(B418,1,4)-WEEKDAY(DATE(B418,1,4),2)+1+(C418-1)*7)</f>
        <v/>
      </c>
      <c r="F418" s="71"/>
    </row>
    <row r="419" customFormat="false" ht="15" hidden="false" customHeight="false" outlineLevel="0" collapsed="false">
      <c r="A419" s="71"/>
      <c r="B419" s="72"/>
      <c r="C419" s="72"/>
      <c r="D419" s="72"/>
      <c r="E419" s="78" t="str">
        <f aca="false">IF(OR(B419="",C419=""),"",DATE(B419,1,4)-WEEKDAY(DATE(B419,1,4),2)+1+(C419-1)*7)</f>
        <v/>
      </c>
      <c r="F419" s="71"/>
    </row>
    <row r="420" customFormat="false" ht="15" hidden="false" customHeight="false" outlineLevel="0" collapsed="false">
      <c r="A420" s="71"/>
      <c r="B420" s="72"/>
      <c r="C420" s="72"/>
      <c r="D420" s="72"/>
      <c r="E420" s="78" t="str">
        <f aca="false">IF(OR(B420="",C420=""),"",DATE(B420,1,4)-WEEKDAY(DATE(B420,1,4),2)+1+(C420-1)*7)</f>
        <v/>
      </c>
      <c r="F420" s="71"/>
    </row>
    <row r="421" customFormat="false" ht="15" hidden="false" customHeight="false" outlineLevel="0" collapsed="false">
      <c r="A421" s="71"/>
      <c r="B421" s="72"/>
      <c r="C421" s="72"/>
      <c r="D421" s="72"/>
      <c r="E421" s="78" t="str">
        <f aca="false">IF(OR(B421="",C421=""),"",DATE(B421,1,4)-WEEKDAY(DATE(B421,1,4),2)+1+(C421-1)*7)</f>
        <v/>
      </c>
      <c r="F421" s="71"/>
    </row>
    <row r="422" customFormat="false" ht="15" hidden="false" customHeight="false" outlineLevel="0" collapsed="false">
      <c r="A422" s="71"/>
      <c r="B422" s="72"/>
      <c r="C422" s="72"/>
      <c r="D422" s="72"/>
      <c r="E422" s="78" t="str">
        <f aca="false">IF(OR(B422="",C422=""),"",DATE(B422,1,4)-WEEKDAY(DATE(B422,1,4),2)+1+(C422-1)*7)</f>
        <v/>
      </c>
      <c r="F422" s="71"/>
    </row>
    <row r="423" customFormat="false" ht="15" hidden="false" customHeight="false" outlineLevel="0" collapsed="false">
      <c r="A423" s="71"/>
      <c r="B423" s="72"/>
      <c r="C423" s="72"/>
      <c r="D423" s="72"/>
      <c r="E423" s="78" t="str">
        <f aca="false">IF(OR(B423="",C423=""),"",DATE(B423,1,4)-WEEKDAY(DATE(B423,1,4),2)+1+(C423-1)*7)</f>
        <v/>
      </c>
      <c r="F423" s="71"/>
    </row>
    <row r="424" customFormat="false" ht="15" hidden="false" customHeight="false" outlineLevel="0" collapsed="false">
      <c r="A424" s="71"/>
      <c r="B424" s="72"/>
      <c r="C424" s="72"/>
      <c r="D424" s="72"/>
      <c r="E424" s="78" t="str">
        <f aca="false">IF(OR(B424="",C424=""),"",DATE(B424,1,4)-WEEKDAY(DATE(B424,1,4),2)+1+(C424-1)*7)</f>
        <v/>
      </c>
      <c r="F424" s="71"/>
    </row>
    <row r="425" customFormat="false" ht="15" hidden="false" customHeight="false" outlineLevel="0" collapsed="false">
      <c r="A425" s="71"/>
      <c r="B425" s="72"/>
      <c r="C425" s="72"/>
      <c r="D425" s="72"/>
      <c r="E425" s="78" t="str">
        <f aca="false">IF(OR(B425="",C425=""),"",DATE(B425,1,4)-WEEKDAY(DATE(B425,1,4),2)+1+(C425-1)*7)</f>
        <v/>
      </c>
      <c r="F425" s="71"/>
    </row>
    <row r="426" customFormat="false" ht="15" hidden="false" customHeight="false" outlineLevel="0" collapsed="false">
      <c r="A426" s="71"/>
      <c r="B426" s="72"/>
      <c r="C426" s="72"/>
      <c r="D426" s="72"/>
      <c r="E426" s="78" t="str">
        <f aca="false">IF(OR(B426="",C426=""),"",DATE(B426,1,4)-WEEKDAY(DATE(B426,1,4),2)+1+(C426-1)*7)</f>
        <v/>
      </c>
      <c r="F426" s="71"/>
    </row>
    <row r="427" customFormat="false" ht="15" hidden="false" customHeight="false" outlineLevel="0" collapsed="false">
      <c r="A427" s="71"/>
      <c r="B427" s="72"/>
      <c r="C427" s="72"/>
      <c r="D427" s="72"/>
      <c r="E427" s="78" t="str">
        <f aca="false">IF(OR(B427="",C427=""),"",DATE(B427,1,4)-WEEKDAY(DATE(B427,1,4),2)+1+(C427-1)*7)</f>
        <v/>
      </c>
      <c r="F427" s="71"/>
    </row>
    <row r="428" customFormat="false" ht="15" hidden="false" customHeight="false" outlineLevel="0" collapsed="false">
      <c r="A428" s="71"/>
      <c r="B428" s="72"/>
      <c r="C428" s="72"/>
      <c r="D428" s="72"/>
      <c r="E428" s="78" t="str">
        <f aca="false">IF(OR(B428="",C428=""),"",DATE(B428,1,4)-WEEKDAY(DATE(B428,1,4),2)+1+(C428-1)*7)</f>
        <v/>
      </c>
      <c r="F428" s="71"/>
    </row>
    <row r="429" customFormat="false" ht="15" hidden="false" customHeight="false" outlineLevel="0" collapsed="false">
      <c r="A429" s="71"/>
      <c r="B429" s="72"/>
      <c r="C429" s="72"/>
      <c r="D429" s="72"/>
      <c r="E429" s="78" t="str">
        <f aca="false">IF(OR(B429="",C429=""),"",DATE(B429,1,4)-WEEKDAY(DATE(B429,1,4),2)+1+(C429-1)*7)</f>
        <v/>
      </c>
      <c r="F429" s="71"/>
    </row>
    <row r="430" customFormat="false" ht="15" hidden="false" customHeight="false" outlineLevel="0" collapsed="false">
      <c r="A430" s="71"/>
      <c r="B430" s="72"/>
      <c r="C430" s="72"/>
      <c r="D430" s="72"/>
      <c r="E430" s="78" t="str">
        <f aca="false">IF(OR(B430="",C430=""),"",DATE(B430,1,4)-WEEKDAY(DATE(B430,1,4),2)+1+(C430-1)*7)</f>
        <v/>
      </c>
      <c r="F430" s="71"/>
    </row>
    <row r="431" customFormat="false" ht="15" hidden="false" customHeight="false" outlineLevel="0" collapsed="false">
      <c r="A431" s="71"/>
      <c r="B431" s="72"/>
      <c r="C431" s="72"/>
      <c r="D431" s="72"/>
      <c r="E431" s="78" t="str">
        <f aca="false">IF(OR(B431="",C431=""),"",DATE(B431,1,4)-WEEKDAY(DATE(B431,1,4),2)+1+(C431-1)*7)</f>
        <v/>
      </c>
      <c r="F431" s="71"/>
    </row>
    <row r="432" customFormat="false" ht="15" hidden="false" customHeight="false" outlineLevel="0" collapsed="false">
      <c r="A432" s="71"/>
      <c r="B432" s="72"/>
      <c r="C432" s="72"/>
      <c r="D432" s="72"/>
      <c r="E432" s="78" t="str">
        <f aca="false">IF(OR(B432="",C432=""),"",DATE(B432,1,4)-WEEKDAY(DATE(B432,1,4),2)+1+(C432-1)*7)</f>
        <v/>
      </c>
      <c r="F432" s="71"/>
    </row>
    <row r="433" customFormat="false" ht="15" hidden="false" customHeight="false" outlineLevel="0" collapsed="false">
      <c r="A433" s="71"/>
      <c r="B433" s="72"/>
      <c r="C433" s="72"/>
      <c r="D433" s="72"/>
      <c r="E433" s="78" t="str">
        <f aca="false">IF(OR(B433="",C433=""),"",DATE(B433,1,4)-WEEKDAY(DATE(B433,1,4),2)+1+(C433-1)*7)</f>
        <v/>
      </c>
      <c r="F433" s="71"/>
    </row>
    <row r="434" customFormat="false" ht="15" hidden="false" customHeight="false" outlineLevel="0" collapsed="false">
      <c r="A434" s="71"/>
      <c r="B434" s="72"/>
      <c r="C434" s="72"/>
      <c r="D434" s="72"/>
      <c r="E434" s="78" t="str">
        <f aca="false">IF(OR(B434="",C434=""),"",DATE(B434,1,4)-WEEKDAY(DATE(B434,1,4),2)+1+(C434-1)*7)</f>
        <v/>
      </c>
      <c r="F434" s="71"/>
    </row>
    <row r="435" customFormat="false" ht="15" hidden="false" customHeight="false" outlineLevel="0" collapsed="false">
      <c r="A435" s="71"/>
      <c r="B435" s="72"/>
      <c r="C435" s="72"/>
      <c r="D435" s="72"/>
      <c r="E435" s="78" t="str">
        <f aca="false">IF(OR(B435="",C435=""),"",DATE(B435,1,4)-WEEKDAY(DATE(B435,1,4),2)+1+(C435-1)*7)</f>
        <v/>
      </c>
      <c r="F435" s="71"/>
    </row>
    <row r="436" customFormat="false" ht="15" hidden="false" customHeight="false" outlineLevel="0" collapsed="false">
      <c r="A436" s="71"/>
      <c r="B436" s="72"/>
      <c r="C436" s="72"/>
      <c r="D436" s="72"/>
      <c r="E436" s="78" t="str">
        <f aca="false">IF(OR(B436="",C436=""),"",DATE(B436,1,4)-WEEKDAY(DATE(B436,1,4),2)+1+(C436-1)*7)</f>
        <v/>
      </c>
      <c r="F436" s="71"/>
    </row>
    <row r="437" customFormat="false" ht="15" hidden="false" customHeight="false" outlineLevel="0" collapsed="false">
      <c r="A437" s="71"/>
      <c r="B437" s="72"/>
      <c r="C437" s="72"/>
      <c r="D437" s="72"/>
      <c r="E437" s="78" t="str">
        <f aca="false">IF(OR(B437="",C437=""),"",DATE(B437,1,4)-WEEKDAY(DATE(B437,1,4),2)+1+(C437-1)*7)</f>
        <v/>
      </c>
      <c r="F437" s="71"/>
    </row>
    <row r="438" customFormat="false" ht="15" hidden="false" customHeight="false" outlineLevel="0" collapsed="false">
      <c r="A438" s="71"/>
      <c r="B438" s="72"/>
      <c r="C438" s="72"/>
      <c r="D438" s="72"/>
      <c r="E438" s="78" t="str">
        <f aca="false">IF(OR(B438="",C438=""),"",DATE(B438,1,4)-WEEKDAY(DATE(B438,1,4),2)+1+(C438-1)*7)</f>
        <v/>
      </c>
      <c r="F438" s="71"/>
    </row>
    <row r="439" customFormat="false" ht="15" hidden="false" customHeight="false" outlineLevel="0" collapsed="false">
      <c r="A439" s="71"/>
      <c r="B439" s="72"/>
      <c r="C439" s="72"/>
      <c r="D439" s="72"/>
      <c r="E439" s="78" t="str">
        <f aca="false">IF(OR(B439="",C439=""),"",DATE(B439,1,4)-WEEKDAY(DATE(B439,1,4),2)+1+(C439-1)*7)</f>
        <v/>
      </c>
      <c r="F439" s="71"/>
    </row>
    <row r="440" customFormat="false" ht="15" hidden="false" customHeight="false" outlineLevel="0" collapsed="false">
      <c r="A440" s="71"/>
      <c r="B440" s="72"/>
      <c r="C440" s="72"/>
      <c r="D440" s="72"/>
      <c r="E440" s="78" t="str">
        <f aca="false">IF(OR(B440="",C440=""),"",DATE(B440,1,4)-WEEKDAY(DATE(B440,1,4),2)+1+(C440-1)*7)</f>
        <v/>
      </c>
      <c r="F440" s="71"/>
    </row>
    <row r="441" customFormat="false" ht="15" hidden="false" customHeight="false" outlineLevel="0" collapsed="false">
      <c r="A441" s="71"/>
      <c r="B441" s="72"/>
      <c r="C441" s="72"/>
      <c r="D441" s="72"/>
      <c r="E441" s="78" t="str">
        <f aca="false">IF(OR(B441="",C441=""),"",DATE(B441,1,4)-WEEKDAY(DATE(B441,1,4),2)+1+(C441-1)*7)</f>
        <v/>
      </c>
      <c r="F441" s="71"/>
    </row>
    <row r="442" customFormat="false" ht="15" hidden="false" customHeight="false" outlineLevel="0" collapsed="false">
      <c r="A442" s="71"/>
      <c r="B442" s="72"/>
      <c r="C442" s="72"/>
      <c r="D442" s="72"/>
      <c r="E442" s="78" t="str">
        <f aca="false">IF(OR(B442="",C442=""),"",DATE(B442,1,4)-WEEKDAY(DATE(B442,1,4),2)+1+(C442-1)*7)</f>
        <v/>
      </c>
      <c r="F442" s="71"/>
    </row>
    <row r="443" customFormat="false" ht="15" hidden="false" customHeight="false" outlineLevel="0" collapsed="false">
      <c r="A443" s="71"/>
      <c r="B443" s="72"/>
      <c r="C443" s="72"/>
      <c r="D443" s="72"/>
      <c r="E443" s="78" t="str">
        <f aca="false">IF(OR(B443="",C443=""),"",DATE(B443,1,4)-WEEKDAY(DATE(B443,1,4),2)+1+(C443-1)*7)</f>
        <v/>
      </c>
      <c r="F443" s="71"/>
    </row>
    <row r="444" customFormat="false" ht="15" hidden="false" customHeight="false" outlineLevel="0" collapsed="false">
      <c r="A444" s="71"/>
      <c r="B444" s="72"/>
      <c r="C444" s="72"/>
      <c r="D444" s="72"/>
      <c r="E444" s="78" t="str">
        <f aca="false">IF(OR(B444="",C444=""),"",DATE(B444,1,4)-WEEKDAY(DATE(B444,1,4),2)+1+(C444-1)*7)</f>
        <v/>
      </c>
      <c r="F444" s="71"/>
    </row>
    <row r="445" customFormat="false" ht="15" hidden="false" customHeight="false" outlineLevel="0" collapsed="false">
      <c r="A445" s="71"/>
      <c r="B445" s="72"/>
      <c r="C445" s="72"/>
      <c r="D445" s="72"/>
      <c r="E445" s="78" t="str">
        <f aca="false">IF(OR(B445="",C445=""),"",DATE(B445,1,4)-WEEKDAY(DATE(B445,1,4),2)+1+(C445-1)*7)</f>
        <v/>
      </c>
      <c r="F445" s="71"/>
    </row>
    <row r="446" customFormat="false" ht="15" hidden="false" customHeight="false" outlineLevel="0" collapsed="false">
      <c r="A446" s="71"/>
      <c r="B446" s="72"/>
      <c r="C446" s="72"/>
      <c r="D446" s="72"/>
      <c r="E446" s="78" t="str">
        <f aca="false">IF(OR(B446="",C446=""),"",DATE(B446,1,4)-WEEKDAY(DATE(B446,1,4),2)+1+(C446-1)*7)</f>
        <v/>
      </c>
      <c r="F446" s="71"/>
    </row>
    <row r="447" customFormat="false" ht="15" hidden="false" customHeight="false" outlineLevel="0" collapsed="false">
      <c r="A447" s="71"/>
      <c r="B447" s="72"/>
      <c r="C447" s="72"/>
      <c r="D447" s="72"/>
      <c r="E447" s="78" t="str">
        <f aca="false">IF(OR(B447="",C447=""),"",DATE(B447,1,4)-WEEKDAY(DATE(B447,1,4),2)+1+(C447-1)*7)</f>
        <v/>
      </c>
      <c r="F447" s="71"/>
    </row>
    <row r="448" customFormat="false" ht="15" hidden="false" customHeight="false" outlineLevel="0" collapsed="false">
      <c r="A448" s="71"/>
      <c r="B448" s="72"/>
      <c r="C448" s="72"/>
      <c r="D448" s="72"/>
      <c r="E448" s="78" t="str">
        <f aca="false">IF(OR(B448="",C448=""),"",DATE(B448,1,4)-WEEKDAY(DATE(B448,1,4),2)+1+(C448-1)*7)</f>
        <v/>
      </c>
      <c r="F448" s="71"/>
    </row>
    <row r="449" customFormat="false" ht="15" hidden="false" customHeight="false" outlineLevel="0" collapsed="false">
      <c r="A449" s="71"/>
      <c r="B449" s="72"/>
      <c r="C449" s="72"/>
      <c r="D449" s="72"/>
      <c r="E449" s="78" t="str">
        <f aca="false">IF(OR(B449="",C449=""),"",DATE(B449,1,4)-WEEKDAY(DATE(B449,1,4),2)+1+(C449-1)*7)</f>
        <v/>
      </c>
      <c r="F449" s="71"/>
    </row>
    <row r="450" customFormat="false" ht="15" hidden="false" customHeight="false" outlineLevel="0" collapsed="false">
      <c r="A450" s="71"/>
      <c r="B450" s="72"/>
      <c r="C450" s="72"/>
      <c r="D450" s="72"/>
      <c r="E450" s="78" t="str">
        <f aca="false">IF(OR(B450="",C450=""),"",DATE(B450,1,4)-WEEKDAY(DATE(B450,1,4),2)+1+(C450-1)*7)</f>
        <v/>
      </c>
      <c r="F450" s="71"/>
    </row>
    <row r="451" customFormat="false" ht="15" hidden="false" customHeight="false" outlineLevel="0" collapsed="false">
      <c r="A451" s="71"/>
      <c r="B451" s="72"/>
      <c r="C451" s="72"/>
      <c r="D451" s="72"/>
      <c r="E451" s="78" t="str">
        <f aca="false">IF(OR(B451="",C451=""),"",DATE(B451,1,4)-WEEKDAY(DATE(B451,1,4),2)+1+(C451-1)*7)</f>
        <v/>
      </c>
      <c r="F451" s="71"/>
    </row>
    <row r="452" customFormat="false" ht="15" hidden="false" customHeight="false" outlineLevel="0" collapsed="false">
      <c r="A452" s="71"/>
      <c r="B452" s="72"/>
      <c r="C452" s="72"/>
      <c r="D452" s="72"/>
      <c r="E452" s="78" t="str">
        <f aca="false">IF(OR(B452="",C452=""),"",DATE(B452,1,4)-WEEKDAY(DATE(B452,1,4),2)+1+(C452-1)*7)</f>
        <v/>
      </c>
      <c r="F452" s="71"/>
    </row>
    <row r="453" customFormat="false" ht="15" hidden="false" customHeight="false" outlineLevel="0" collapsed="false">
      <c r="A453" s="71"/>
      <c r="B453" s="72"/>
      <c r="C453" s="72"/>
      <c r="D453" s="72"/>
      <c r="E453" s="78" t="str">
        <f aca="false">IF(OR(B453="",C453=""),"",DATE(B453,1,4)-WEEKDAY(DATE(B453,1,4),2)+1+(C453-1)*7)</f>
        <v/>
      </c>
      <c r="F453" s="71"/>
    </row>
    <row r="454" customFormat="false" ht="15" hidden="false" customHeight="false" outlineLevel="0" collapsed="false">
      <c r="A454" s="71"/>
      <c r="B454" s="72"/>
      <c r="C454" s="72"/>
      <c r="D454" s="72"/>
      <c r="E454" s="78" t="str">
        <f aca="false">IF(OR(B454="",C454=""),"",DATE(B454,1,4)-WEEKDAY(DATE(B454,1,4),2)+1+(C454-1)*7)</f>
        <v/>
      </c>
      <c r="F454" s="71"/>
    </row>
    <row r="455" customFormat="false" ht="15" hidden="false" customHeight="false" outlineLevel="0" collapsed="false">
      <c r="A455" s="71"/>
      <c r="B455" s="72"/>
      <c r="C455" s="72"/>
      <c r="D455" s="72"/>
      <c r="E455" s="78" t="str">
        <f aca="false">IF(OR(B455="",C455=""),"",DATE(B455,1,4)-WEEKDAY(DATE(B455,1,4),2)+1+(C455-1)*7)</f>
        <v/>
      </c>
      <c r="F455" s="71"/>
    </row>
    <row r="456" customFormat="false" ht="15" hidden="false" customHeight="false" outlineLevel="0" collapsed="false">
      <c r="A456" s="71"/>
      <c r="B456" s="72"/>
      <c r="C456" s="72"/>
      <c r="D456" s="72"/>
      <c r="E456" s="78" t="str">
        <f aca="false">IF(OR(B456="",C456=""),"",DATE(B456,1,4)-WEEKDAY(DATE(B456,1,4),2)+1+(C456-1)*7)</f>
        <v/>
      </c>
      <c r="F456" s="71"/>
    </row>
    <row r="457" customFormat="false" ht="15" hidden="false" customHeight="false" outlineLevel="0" collapsed="false">
      <c r="A457" s="71"/>
      <c r="B457" s="72"/>
      <c r="C457" s="72"/>
      <c r="D457" s="72"/>
      <c r="E457" s="78" t="str">
        <f aca="false">IF(OR(B457="",C457=""),"",DATE(B457,1,4)-WEEKDAY(DATE(B457,1,4),2)+1+(C457-1)*7)</f>
        <v/>
      </c>
      <c r="F457" s="71"/>
    </row>
    <row r="458" customFormat="false" ht="15" hidden="false" customHeight="false" outlineLevel="0" collapsed="false">
      <c r="A458" s="71"/>
      <c r="B458" s="72"/>
      <c r="C458" s="72"/>
      <c r="D458" s="72"/>
      <c r="E458" s="78" t="str">
        <f aca="false">IF(OR(B458="",C458=""),"",DATE(B458,1,4)-WEEKDAY(DATE(B458,1,4),2)+1+(C458-1)*7)</f>
        <v/>
      </c>
      <c r="F458" s="71"/>
    </row>
    <row r="459" customFormat="false" ht="15" hidden="false" customHeight="false" outlineLevel="0" collapsed="false">
      <c r="A459" s="71"/>
      <c r="B459" s="72"/>
      <c r="C459" s="72"/>
      <c r="D459" s="72"/>
      <c r="E459" s="78" t="str">
        <f aca="false">IF(OR(B459="",C459=""),"",DATE(B459,1,4)-WEEKDAY(DATE(B459,1,4),2)+1+(C459-1)*7)</f>
        <v/>
      </c>
      <c r="F459" s="71"/>
    </row>
    <row r="460" customFormat="false" ht="15" hidden="false" customHeight="false" outlineLevel="0" collapsed="false">
      <c r="A460" s="71"/>
      <c r="B460" s="72"/>
      <c r="C460" s="72"/>
      <c r="D460" s="72"/>
      <c r="E460" s="78" t="str">
        <f aca="false">IF(OR(B460="",C460=""),"",DATE(B460,1,4)-WEEKDAY(DATE(B460,1,4),2)+1+(C460-1)*7)</f>
        <v/>
      </c>
      <c r="F460" s="71"/>
    </row>
    <row r="461" customFormat="false" ht="15" hidden="false" customHeight="false" outlineLevel="0" collapsed="false">
      <c r="A461" s="71"/>
      <c r="B461" s="72"/>
      <c r="C461" s="72"/>
      <c r="D461" s="72"/>
      <c r="E461" s="78" t="str">
        <f aca="false">IF(OR(B461="",C461=""),"",DATE(B461,1,4)-WEEKDAY(DATE(B461,1,4),2)+1+(C461-1)*7)</f>
        <v/>
      </c>
      <c r="F461" s="71"/>
    </row>
    <row r="462" customFormat="false" ht="15" hidden="false" customHeight="false" outlineLevel="0" collapsed="false">
      <c r="A462" s="71"/>
      <c r="B462" s="72"/>
      <c r="C462" s="72"/>
      <c r="D462" s="72"/>
      <c r="E462" s="78" t="str">
        <f aca="false">IF(OR(B462="",C462=""),"",DATE(B462,1,4)-WEEKDAY(DATE(B462,1,4),2)+1+(C462-1)*7)</f>
        <v/>
      </c>
      <c r="F462" s="71"/>
    </row>
    <row r="463" customFormat="false" ht="15" hidden="false" customHeight="false" outlineLevel="0" collapsed="false">
      <c r="A463" s="71"/>
      <c r="B463" s="72"/>
      <c r="C463" s="72"/>
      <c r="D463" s="72"/>
      <c r="E463" s="78" t="str">
        <f aca="false">IF(OR(B463="",C463=""),"",DATE(B463,1,4)-WEEKDAY(DATE(B463,1,4),2)+1+(C463-1)*7)</f>
        <v/>
      </c>
      <c r="F463" s="71"/>
    </row>
    <row r="464" customFormat="false" ht="15" hidden="false" customHeight="false" outlineLevel="0" collapsed="false">
      <c r="A464" s="71"/>
      <c r="B464" s="72"/>
      <c r="C464" s="72"/>
      <c r="D464" s="72"/>
      <c r="E464" s="78" t="str">
        <f aca="false">IF(OR(B464="",C464=""),"",DATE(B464,1,4)-WEEKDAY(DATE(B464,1,4),2)+1+(C464-1)*7)</f>
        <v/>
      </c>
      <c r="F464" s="71"/>
    </row>
    <row r="465" customFormat="false" ht="15" hidden="false" customHeight="false" outlineLevel="0" collapsed="false">
      <c r="A465" s="71"/>
      <c r="B465" s="72"/>
      <c r="C465" s="72"/>
      <c r="D465" s="72"/>
      <c r="E465" s="78" t="str">
        <f aca="false">IF(OR(B465="",C465=""),"",DATE(B465,1,4)-WEEKDAY(DATE(B465,1,4),2)+1+(C465-1)*7)</f>
        <v/>
      </c>
      <c r="F465" s="71"/>
    </row>
    <row r="466" customFormat="false" ht="15" hidden="false" customHeight="false" outlineLevel="0" collapsed="false">
      <c r="A466" s="71"/>
      <c r="B466" s="72"/>
      <c r="C466" s="72"/>
      <c r="D466" s="72"/>
      <c r="E466" s="78" t="str">
        <f aca="false">IF(OR(B466="",C466=""),"",DATE(B466,1,4)-WEEKDAY(DATE(B466,1,4),2)+1+(C466-1)*7)</f>
        <v/>
      </c>
      <c r="F466" s="71"/>
    </row>
    <row r="467" customFormat="false" ht="15" hidden="false" customHeight="false" outlineLevel="0" collapsed="false">
      <c r="A467" s="71"/>
      <c r="B467" s="72"/>
      <c r="C467" s="72"/>
      <c r="D467" s="72"/>
      <c r="E467" s="78" t="str">
        <f aca="false">IF(OR(B467="",C467=""),"",DATE(B467,1,4)-WEEKDAY(DATE(B467,1,4),2)+1+(C467-1)*7)</f>
        <v/>
      </c>
      <c r="F467" s="71"/>
    </row>
    <row r="468" customFormat="false" ht="15" hidden="false" customHeight="false" outlineLevel="0" collapsed="false">
      <c r="A468" s="71"/>
      <c r="B468" s="72"/>
      <c r="C468" s="72"/>
      <c r="D468" s="72"/>
      <c r="E468" s="78" t="str">
        <f aca="false">IF(OR(B468="",C468=""),"",DATE(B468,1,4)-WEEKDAY(DATE(B468,1,4),2)+1+(C468-1)*7)</f>
        <v/>
      </c>
      <c r="F468" s="71"/>
    </row>
    <row r="469" customFormat="false" ht="15" hidden="false" customHeight="false" outlineLevel="0" collapsed="false">
      <c r="A469" s="71"/>
      <c r="B469" s="72"/>
      <c r="C469" s="72"/>
      <c r="D469" s="72"/>
      <c r="E469" s="78" t="str">
        <f aca="false">IF(OR(B469="",C469=""),"",DATE(B469,1,4)-WEEKDAY(DATE(B469,1,4),2)+1+(C469-1)*7)</f>
        <v/>
      </c>
      <c r="F469" s="71"/>
    </row>
    <row r="470" customFormat="false" ht="15" hidden="false" customHeight="false" outlineLevel="0" collapsed="false">
      <c r="A470" s="71"/>
      <c r="B470" s="72"/>
      <c r="C470" s="72"/>
      <c r="D470" s="72"/>
      <c r="E470" s="78" t="str">
        <f aca="false">IF(OR(B470="",C470=""),"",DATE(B470,1,4)-WEEKDAY(DATE(B470,1,4),2)+1+(C470-1)*7)</f>
        <v/>
      </c>
      <c r="F470" s="71"/>
    </row>
    <row r="471" customFormat="false" ht="15" hidden="false" customHeight="false" outlineLevel="0" collapsed="false">
      <c r="A471" s="71"/>
      <c r="B471" s="72"/>
      <c r="C471" s="72"/>
      <c r="D471" s="72"/>
      <c r="E471" s="78" t="str">
        <f aca="false">IF(OR(B471="",C471=""),"",DATE(B471,1,4)-WEEKDAY(DATE(B471,1,4),2)+1+(C471-1)*7)</f>
        <v/>
      </c>
      <c r="F471" s="71"/>
    </row>
    <row r="472" customFormat="false" ht="15" hidden="false" customHeight="false" outlineLevel="0" collapsed="false">
      <c r="A472" s="71"/>
      <c r="B472" s="72"/>
      <c r="C472" s="72"/>
      <c r="D472" s="72"/>
      <c r="E472" s="78" t="str">
        <f aca="false">IF(OR(B472="",C472=""),"",DATE(B472,1,4)-WEEKDAY(DATE(B472,1,4),2)+1+(C472-1)*7)</f>
        <v/>
      </c>
      <c r="F472" s="71"/>
    </row>
    <row r="473" customFormat="false" ht="15" hidden="false" customHeight="false" outlineLevel="0" collapsed="false">
      <c r="A473" s="71"/>
      <c r="B473" s="72"/>
      <c r="C473" s="72"/>
      <c r="D473" s="72"/>
      <c r="E473" s="78" t="str">
        <f aca="false">IF(OR(B473="",C473=""),"",DATE(B473,1,4)-WEEKDAY(DATE(B473,1,4),2)+1+(C473-1)*7)</f>
        <v/>
      </c>
      <c r="F473" s="71"/>
    </row>
    <row r="474" customFormat="false" ht="15" hidden="false" customHeight="false" outlineLevel="0" collapsed="false">
      <c r="A474" s="71"/>
      <c r="B474" s="72"/>
      <c r="C474" s="72"/>
      <c r="D474" s="72"/>
      <c r="E474" s="78" t="str">
        <f aca="false">IF(OR(B474="",C474=""),"",DATE(B474,1,4)-WEEKDAY(DATE(B474,1,4),2)+1+(C474-1)*7)</f>
        <v/>
      </c>
      <c r="F474" s="71"/>
    </row>
    <row r="475" customFormat="false" ht="15" hidden="false" customHeight="false" outlineLevel="0" collapsed="false">
      <c r="A475" s="71"/>
      <c r="B475" s="72"/>
      <c r="C475" s="72"/>
      <c r="D475" s="72"/>
      <c r="E475" s="78" t="str">
        <f aca="false">IF(OR(B475="",C475=""),"",DATE(B475,1,4)-WEEKDAY(DATE(B475,1,4),2)+1+(C475-1)*7)</f>
        <v/>
      </c>
      <c r="F475" s="71"/>
    </row>
    <row r="476" customFormat="false" ht="15" hidden="false" customHeight="false" outlineLevel="0" collapsed="false">
      <c r="A476" s="71"/>
      <c r="B476" s="72"/>
      <c r="C476" s="72"/>
      <c r="D476" s="72"/>
      <c r="E476" s="78" t="str">
        <f aca="false">IF(OR(B476="",C476=""),"",DATE(B476,1,4)-WEEKDAY(DATE(B476,1,4),2)+1+(C476-1)*7)</f>
        <v/>
      </c>
      <c r="F476" s="71"/>
    </row>
    <row r="477" customFormat="false" ht="15" hidden="false" customHeight="false" outlineLevel="0" collapsed="false">
      <c r="A477" s="71"/>
      <c r="B477" s="72"/>
      <c r="C477" s="72"/>
      <c r="D477" s="72"/>
      <c r="E477" s="78" t="str">
        <f aca="false">IF(OR(B477="",C477=""),"",DATE(B477,1,4)-WEEKDAY(DATE(B477,1,4),2)+1+(C477-1)*7)</f>
        <v/>
      </c>
      <c r="F477" s="71"/>
    </row>
    <row r="478" customFormat="false" ht="15" hidden="false" customHeight="false" outlineLevel="0" collapsed="false">
      <c r="A478" s="71"/>
      <c r="B478" s="72"/>
      <c r="C478" s="72"/>
      <c r="D478" s="72"/>
      <c r="E478" s="78" t="str">
        <f aca="false">IF(OR(B478="",C478=""),"",DATE(B478,1,4)-WEEKDAY(DATE(B478,1,4),2)+1+(C478-1)*7)</f>
        <v/>
      </c>
      <c r="F478" s="71"/>
    </row>
    <row r="479" customFormat="false" ht="15" hidden="false" customHeight="false" outlineLevel="0" collapsed="false">
      <c r="A479" s="71"/>
      <c r="B479" s="72"/>
      <c r="C479" s="72"/>
      <c r="D479" s="72"/>
      <c r="E479" s="78" t="str">
        <f aca="false">IF(OR(B479="",C479=""),"",DATE(B479,1,4)-WEEKDAY(DATE(B479,1,4),2)+1+(C479-1)*7)</f>
        <v/>
      </c>
      <c r="F479" s="71"/>
    </row>
    <row r="480" customFormat="false" ht="15" hidden="false" customHeight="false" outlineLevel="0" collapsed="false">
      <c r="A480" s="71"/>
      <c r="B480" s="72"/>
      <c r="C480" s="72"/>
      <c r="D480" s="72"/>
      <c r="E480" s="78" t="str">
        <f aca="false">IF(OR(B480="",C480=""),"",DATE(B480,1,4)-WEEKDAY(DATE(B480,1,4),2)+1+(C480-1)*7)</f>
        <v/>
      </c>
      <c r="F480" s="71"/>
    </row>
    <row r="481" customFormat="false" ht="15" hidden="false" customHeight="false" outlineLevel="0" collapsed="false">
      <c r="A481" s="71"/>
      <c r="B481" s="72"/>
      <c r="C481" s="72"/>
      <c r="D481" s="72"/>
      <c r="E481" s="78" t="str">
        <f aca="false">IF(OR(B481="",C481=""),"",DATE(B481,1,4)-WEEKDAY(DATE(B481,1,4),2)+1+(C481-1)*7)</f>
        <v/>
      </c>
      <c r="F481" s="71"/>
    </row>
    <row r="482" customFormat="false" ht="15" hidden="false" customHeight="false" outlineLevel="0" collapsed="false">
      <c r="A482" s="71"/>
      <c r="B482" s="72"/>
      <c r="C482" s="72"/>
      <c r="D482" s="72"/>
      <c r="E482" s="78" t="str">
        <f aca="false">IF(OR(B482="",C482=""),"",DATE(B482,1,4)-WEEKDAY(DATE(B482,1,4),2)+1+(C482-1)*7)</f>
        <v/>
      </c>
      <c r="F482" s="71"/>
    </row>
    <row r="483" customFormat="false" ht="15" hidden="false" customHeight="false" outlineLevel="0" collapsed="false">
      <c r="A483" s="71"/>
      <c r="B483" s="72"/>
      <c r="C483" s="72"/>
      <c r="D483" s="72"/>
      <c r="E483" s="78" t="str">
        <f aca="false">IF(OR(B483="",C483=""),"",DATE(B483,1,4)-WEEKDAY(DATE(B483,1,4),2)+1+(C483-1)*7)</f>
        <v/>
      </c>
      <c r="F483" s="71"/>
    </row>
    <row r="484" customFormat="false" ht="15" hidden="false" customHeight="false" outlineLevel="0" collapsed="false">
      <c r="A484" s="71"/>
      <c r="B484" s="72"/>
      <c r="C484" s="72"/>
      <c r="D484" s="72"/>
      <c r="E484" s="78" t="str">
        <f aca="false">IF(OR(B484="",C484=""),"",DATE(B484,1,4)-WEEKDAY(DATE(B484,1,4),2)+1+(C484-1)*7)</f>
        <v/>
      </c>
      <c r="F484" s="71"/>
    </row>
    <row r="485" customFormat="false" ht="15" hidden="false" customHeight="false" outlineLevel="0" collapsed="false">
      <c r="A485" s="71"/>
      <c r="B485" s="72"/>
      <c r="C485" s="72"/>
      <c r="D485" s="72"/>
      <c r="E485" s="78" t="str">
        <f aca="false">IF(OR(B485="",C485=""),"",DATE(B485,1,4)-WEEKDAY(DATE(B485,1,4),2)+1+(C485-1)*7)</f>
        <v/>
      </c>
      <c r="F485" s="71"/>
    </row>
    <row r="486" customFormat="false" ht="15" hidden="false" customHeight="false" outlineLevel="0" collapsed="false">
      <c r="A486" s="71"/>
      <c r="B486" s="72"/>
      <c r="C486" s="72"/>
      <c r="D486" s="72"/>
      <c r="E486" s="78" t="str">
        <f aca="false">IF(OR(B486="",C486=""),"",DATE(B486,1,4)-WEEKDAY(DATE(B486,1,4),2)+1+(C486-1)*7)</f>
        <v/>
      </c>
      <c r="F486" s="71"/>
    </row>
    <row r="487" customFormat="false" ht="15" hidden="false" customHeight="false" outlineLevel="0" collapsed="false">
      <c r="A487" s="71"/>
      <c r="B487" s="72"/>
      <c r="C487" s="72"/>
      <c r="D487" s="72"/>
      <c r="E487" s="78" t="str">
        <f aca="false">IF(OR(B487="",C487=""),"",DATE(B487,1,4)-WEEKDAY(DATE(B487,1,4),2)+1+(C487-1)*7)</f>
        <v/>
      </c>
      <c r="F487" s="71"/>
    </row>
    <row r="488" customFormat="false" ht="15" hidden="false" customHeight="false" outlineLevel="0" collapsed="false">
      <c r="A488" s="71"/>
      <c r="B488" s="72"/>
      <c r="C488" s="72"/>
      <c r="D488" s="72"/>
      <c r="E488" s="78" t="str">
        <f aca="false">IF(OR(B488="",C488=""),"",DATE(B488,1,4)-WEEKDAY(DATE(B488,1,4),2)+1+(C488-1)*7)</f>
        <v/>
      </c>
      <c r="F488" s="71"/>
    </row>
    <row r="489" customFormat="false" ht="15" hidden="false" customHeight="false" outlineLevel="0" collapsed="false">
      <c r="A489" s="71"/>
      <c r="B489" s="72"/>
      <c r="C489" s="72"/>
      <c r="D489" s="72"/>
      <c r="E489" s="78" t="str">
        <f aca="false">IF(OR(B489="",C489=""),"",DATE(B489,1,4)-WEEKDAY(DATE(B489,1,4),2)+1+(C489-1)*7)</f>
        <v/>
      </c>
      <c r="F489" s="71"/>
    </row>
    <row r="490" customFormat="false" ht="15" hidden="false" customHeight="false" outlineLevel="0" collapsed="false">
      <c r="A490" s="71"/>
      <c r="B490" s="72"/>
      <c r="C490" s="72"/>
      <c r="D490" s="72"/>
      <c r="E490" s="78" t="str">
        <f aca="false">IF(OR(B490="",C490=""),"",DATE(B490,1,4)-WEEKDAY(DATE(B490,1,4),2)+1+(C490-1)*7)</f>
        <v/>
      </c>
      <c r="F490" s="71"/>
    </row>
    <row r="491" customFormat="false" ht="15" hidden="false" customHeight="false" outlineLevel="0" collapsed="false">
      <c r="A491" s="71"/>
      <c r="B491" s="72"/>
      <c r="C491" s="72"/>
      <c r="D491" s="72"/>
      <c r="E491" s="78" t="str">
        <f aca="false">IF(OR(B491="",C491=""),"",DATE(B491,1,4)-WEEKDAY(DATE(B491,1,4),2)+1+(C491-1)*7)</f>
        <v/>
      </c>
      <c r="F491" s="71"/>
    </row>
    <row r="492" customFormat="false" ht="15" hidden="false" customHeight="false" outlineLevel="0" collapsed="false">
      <c r="A492" s="71"/>
      <c r="B492" s="72"/>
      <c r="C492" s="72"/>
      <c r="D492" s="72"/>
      <c r="E492" s="78" t="str">
        <f aca="false">IF(OR(B492="",C492=""),"",DATE(B492,1,4)-WEEKDAY(DATE(B492,1,4),2)+1+(C492-1)*7)</f>
        <v/>
      </c>
      <c r="F492" s="71"/>
    </row>
    <row r="493" customFormat="false" ht="15" hidden="false" customHeight="false" outlineLevel="0" collapsed="false">
      <c r="A493" s="71"/>
      <c r="B493" s="72"/>
      <c r="C493" s="72"/>
      <c r="D493" s="72"/>
      <c r="E493" s="78" t="str">
        <f aca="false">IF(OR(B493="",C493=""),"",DATE(B493,1,4)-WEEKDAY(DATE(B493,1,4),2)+1+(C493-1)*7)</f>
        <v/>
      </c>
      <c r="F493" s="71"/>
    </row>
    <row r="494" customFormat="false" ht="15" hidden="false" customHeight="false" outlineLevel="0" collapsed="false">
      <c r="A494" s="71"/>
      <c r="B494" s="72"/>
      <c r="C494" s="72"/>
      <c r="D494" s="72"/>
      <c r="E494" s="78" t="str">
        <f aca="false">IF(OR(B494="",C494=""),"",DATE(B494,1,4)-WEEKDAY(DATE(B494,1,4),2)+1+(C494-1)*7)</f>
        <v/>
      </c>
      <c r="F494" s="71"/>
    </row>
    <row r="495" customFormat="false" ht="15" hidden="false" customHeight="false" outlineLevel="0" collapsed="false">
      <c r="A495" s="71"/>
      <c r="B495" s="72"/>
      <c r="C495" s="72"/>
      <c r="D495" s="72"/>
      <c r="E495" s="78" t="str">
        <f aca="false">IF(OR(B495="",C495=""),"",DATE(B495,1,4)-WEEKDAY(DATE(B495,1,4),2)+1+(C495-1)*7)</f>
        <v/>
      </c>
      <c r="F495" s="71"/>
    </row>
    <row r="496" customFormat="false" ht="15" hidden="false" customHeight="false" outlineLevel="0" collapsed="false">
      <c r="A496" s="71"/>
      <c r="B496" s="72"/>
      <c r="C496" s="72"/>
      <c r="D496" s="72"/>
      <c r="E496" s="78" t="str">
        <f aca="false">IF(OR(B496="",C496=""),"",DATE(B496,1,4)-WEEKDAY(DATE(B496,1,4),2)+1+(C496-1)*7)</f>
        <v/>
      </c>
      <c r="F496" s="71"/>
    </row>
    <row r="497" customFormat="false" ht="15" hidden="false" customHeight="false" outlineLevel="0" collapsed="false">
      <c r="A497" s="71"/>
      <c r="B497" s="72"/>
      <c r="C497" s="72"/>
      <c r="D497" s="72"/>
      <c r="E497" s="78" t="str">
        <f aca="false">IF(OR(B497="",C497=""),"",DATE(B497,1,4)-WEEKDAY(DATE(B497,1,4),2)+1+(C497-1)*7)</f>
        <v/>
      </c>
      <c r="F497" s="71"/>
    </row>
    <row r="498" customFormat="false" ht="15" hidden="false" customHeight="false" outlineLevel="0" collapsed="false">
      <c r="A498" s="71"/>
      <c r="B498" s="72"/>
      <c r="C498" s="72"/>
      <c r="D498" s="72"/>
      <c r="E498" s="78" t="str">
        <f aca="false">IF(OR(B498="",C498=""),"",DATE(B498,1,4)-WEEKDAY(DATE(B498,1,4),2)+1+(C498-1)*7)</f>
        <v/>
      </c>
      <c r="F498" s="71"/>
    </row>
    <row r="499" customFormat="false" ht="15" hidden="false" customHeight="false" outlineLevel="0" collapsed="false">
      <c r="A499" s="71"/>
      <c r="B499" s="72"/>
      <c r="C499" s="72"/>
      <c r="D499" s="72"/>
      <c r="E499" s="78" t="str">
        <f aca="false">IF(OR(B499="",C499=""),"",DATE(B499,1,4)-WEEKDAY(DATE(B499,1,4),2)+1+(C499-1)*7)</f>
        <v/>
      </c>
      <c r="F499" s="71"/>
    </row>
    <row r="500" customFormat="false" ht="15" hidden="false" customHeight="false" outlineLevel="0" collapsed="false">
      <c r="A500" s="71"/>
      <c r="B500" s="72"/>
      <c r="C500" s="72"/>
      <c r="D500" s="72"/>
      <c r="E500" s="78" t="str">
        <f aca="false">IF(OR(B500="",C500=""),"",DATE(B500,1,4)-WEEKDAY(DATE(B500,1,4),2)+1+(C500-1)*7)</f>
        <v/>
      </c>
      <c r="F500" s="71"/>
    </row>
    <row r="501" customFormat="false" ht="15" hidden="false" customHeight="false" outlineLevel="0" collapsed="false">
      <c r="A501" s="71"/>
      <c r="B501" s="72"/>
      <c r="C501" s="72"/>
      <c r="D501" s="72"/>
      <c r="E501" s="78" t="str">
        <f aca="false">IF(OR(B501="",C501=""),"",DATE(B501,1,4)-WEEKDAY(DATE(B501,1,4),2)+1+(C501-1)*7)</f>
        <v/>
      </c>
      <c r="F501" s="71"/>
    </row>
    <row r="502" customFormat="false" ht="15" hidden="false" customHeight="false" outlineLevel="0" collapsed="false">
      <c r="A502" s="71"/>
      <c r="B502" s="72"/>
      <c r="C502" s="72"/>
      <c r="D502" s="72"/>
      <c r="E502" s="78" t="str">
        <f aca="false">IF(OR(B502="",C502=""),"",DATE(B502,1,4)-WEEKDAY(DATE(B502,1,4),2)+1+(C502-1)*7)</f>
        <v/>
      </c>
      <c r="F502" s="71"/>
    </row>
    <row r="503" customFormat="false" ht="15" hidden="false" customHeight="false" outlineLevel="0" collapsed="false">
      <c r="A503" s="71"/>
      <c r="B503" s="72"/>
      <c r="C503" s="72"/>
      <c r="D503" s="72"/>
      <c r="E503" s="78" t="str">
        <f aca="false">IF(OR(B503="",C503=""),"",DATE(B503,1,4)-WEEKDAY(DATE(B503,1,4),2)+1+(C503-1)*7)</f>
        <v/>
      </c>
      <c r="F503" s="71"/>
    </row>
    <row r="504" customFormat="false" ht="15" hidden="false" customHeight="false" outlineLevel="0" collapsed="false">
      <c r="A504" s="71"/>
      <c r="B504" s="72"/>
      <c r="C504" s="72"/>
      <c r="D504" s="72"/>
      <c r="E504" s="78" t="str">
        <f aca="false">IF(OR(B504="",C504=""),"",DATE(B504,1,4)-WEEKDAY(DATE(B504,1,4),2)+1+(C504-1)*7)</f>
        <v/>
      </c>
      <c r="F504" s="71"/>
    </row>
    <row r="505" customFormat="false" ht="15" hidden="false" customHeight="false" outlineLevel="0" collapsed="false">
      <c r="A505" s="71"/>
      <c r="B505" s="72"/>
      <c r="C505" s="72"/>
      <c r="D505" s="72"/>
      <c r="E505" s="78" t="str">
        <f aca="false">IF(OR(B505="",C505=""),"",DATE(B505,1,4)-WEEKDAY(DATE(B505,1,4),2)+1+(C505-1)*7)</f>
        <v/>
      </c>
      <c r="F505" s="71"/>
    </row>
    <row r="506" customFormat="false" ht="15" hidden="false" customHeight="false" outlineLevel="0" collapsed="false">
      <c r="A506" s="71"/>
      <c r="B506" s="72"/>
      <c r="C506" s="72"/>
      <c r="D506" s="72"/>
      <c r="E506" s="78" t="str">
        <f aca="false">IF(OR(B506="",C506=""),"",DATE(B506,1,4)-WEEKDAY(DATE(B506,1,4),2)+1+(C506-1)*7)</f>
        <v/>
      </c>
      <c r="F506" s="71"/>
    </row>
    <row r="507" customFormat="false" ht="15" hidden="false" customHeight="false" outlineLevel="0" collapsed="false">
      <c r="A507" s="71"/>
      <c r="B507" s="72"/>
      <c r="C507" s="72"/>
      <c r="D507" s="72"/>
      <c r="E507" s="78" t="str">
        <f aca="false">IF(OR(B507="",C507=""),"",DATE(B507,1,4)-WEEKDAY(DATE(B507,1,4),2)+1+(C507-1)*7)</f>
        <v/>
      </c>
      <c r="F507" s="71"/>
    </row>
    <row r="508" customFormat="false" ht="15" hidden="false" customHeight="false" outlineLevel="0" collapsed="false">
      <c r="A508" s="71"/>
      <c r="B508" s="72"/>
      <c r="C508" s="72"/>
      <c r="D508" s="72"/>
      <c r="E508" s="78" t="str">
        <f aca="false">IF(OR(B508="",C508=""),"",DATE(B508,1,4)-WEEKDAY(DATE(B508,1,4),2)+1+(C508-1)*7)</f>
        <v/>
      </c>
      <c r="F508" s="71"/>
    </row>
    <row r="509" customFormat="false" ht="15" hidden="false" customHeight="false" outlineLevel="0" collapsed="false">
      <c r="A509" s="71"/>
      <c r="B509" s="72"/>
      <c r="C509" s="72"/>
      <c r="D509" s="72"/>
      <c r="E509" s="78" t="str">
        <f aca="false">IF(OR(B509="",C509=""),"",DATE(B509,1,4)-WEEKDAY(DATE(B509,1,4),2)+1+(C509-1)*7)</f>
        <v/>
      </c>
      <c r="F509" s="71"/>
    </row>
    <row r="510" customFormat="false" ht="15" hidden="false" customHeight="false" outlineLevel="0" collapsed="false">
      <c r="A510" s="71"/>
      <c r="B510" s="72"/>
      <c r="C510" s="72"/>
      <c r="D510" s="72"/>
      <c r="E510" s="78" t="str">
        <f aca="false">IF(OR(B510="",C510=""),"",DATE(B510,1,4)-WEEKDAY(DATE(B510,1,4),2)+1+(C510-1)*7)</f>
        <v/>
      </c>
      <c r="F510" s="71"/>
    </row>
    <row r="511" customFormat="false" ht="15" hidden="false" customHeight="false" outlineLevel="0" collapsed="false">
      <c r="A511" s="71"/>
      <c r="B511" s="72"/>
      <c r="C511" s="72"/>
      <c r="D511" s="72"/>
      <c r="E511" s="78" t="str">
        <f aca="false">IF(OR(B511="",C511=""),"",DATE(B511,1,4)-WEEKDAY(DATE(B511,1,4),2)+1+(C511-1)*7)</f>
        <v/>
      </c>
      <c r="F511" s="71"/>
    </row>
    <row r="512" customFormat="false" ht="15" hidden="false" customHeight="false" outlineLevel="0" collapsed="false">
      <c r="A512" s="71"/>
      <c r="B512" s="72"/>
      <c r="C512" s="72"/>
      <c r="D512" s="72"/>
      <c r="E512" s="78" t="str">
        <f aca="false">IF(OR(B512="",C512=""),"",DATE(B512,1,4)-WEEKDAY(DATE(B512,1,4),2)+1+(C512-1)*7)</f>
        <v/>
      </c>
      <c r="F512" s="71"/>
    </row>
    <row r="513" customFormat="false" ht="15" hidden="false" customHeight="false" outlineLevel="0" collapsed="false">
      <c r="A513" s="71"/>
      <c r="B513" s="72"/>
      <c r="C513" s="72"/>
      <c r="D513" s="72"/>
      <c r="E513" s="78" t="str">
        <f aca="false">IF(OR(B513="",C513=""),"",DATE(B513,1,4)-WEEKDAY(DATE(B513,1,4),2)+1+(C513-1)*7)</f>
        <v/>
      </c>
      <c r="F513" s="71"/>
    </row>
    <row r="514" customFormat="false" ht="15" hidden="false" customHeight="false" outlineLevel="0" collapsed="false">
      <c r="A514" s="71"/>
      <c r="B514" s="72"/>
      <c r="C514" s="72"/>
      <c r="D514" s="72"/>
      <c r="E514" s="78" t="str">
        <f aca="false">IF(OR(B514="",C514=""),"",DATE(B514,1,4)-WEEKDAY(DATE(B514,1,4),2)+1+(C514-1)*7)</f>
        <v/>
      </c>
      <c r="F514" s="71"/>
    </row>
    <row r="515" customFormat="false" ht="15" hidden="false" customHeight="false" outlineLevel="0" collapsed="false">
      <c r="A515" s="71"/>
      <c r="B515" s="72"/>
      <c r="C515" s="72"/>
      <c r="D515" s="72"/>
      <c r="E515" s="78" t="str">
        <f aca="false">IF(OR(B515="",C515=""),"",DATE(B515,1,4)-WEEKDAY(DATE(B515,1,4),2)+1+(C515-1)*7)</f>
        <v/>
      </c>
      <c r="F515" s="71"/>
    </row>
    <row r="516" customFormat="false" ht="15" hidden="false" customHeight="false" outlineLevel="0" collapsed="false">
      <c r="A516" s="71"/>
      <c r="B516" s="72"/>
      <c r="C516" s="72"/>
      <c r="D516" s="72"/>
      <c r="E516" s="78" t="str">
        <f aca="false">IF(OR(B516="",C516=""),"",DATE(B516,1,4)-WEEKDAY(DATE(B516,1,4),2)+1+(C516-1)*7)</f>
        <v/>
      </c>
      <c r="F516" s="71"/>
    </row>
    <row r="517" customFormat="false" ht="15" hidden="false" customHeight="false" outlineLevel="0" collapsed="false">
      <c r="A517" s="71"/>
      <c r="B517" s="72"/>
      <c r="C517" s="72"/>
      <c r="D517" s="72"/>
      <c r="E517" s="78" t="str">
        <f aca="false">IF(OR(B517="",C517=""),"",DATE(B517,1,4)-WEEKDAY(DATE(B517,1,4),2)+1+(C517-1)*7)</f>
        <v/>
      </c>
      <c r="F517" s="71"/>
    </row>
    <row r="518" customFormat="false" ht="15" hidden="false" customHeight="false" outlineLevel="0" collapsed="false">
      <c r="A518" s="71"/>
      <c r="B518" s="72"/>
      <c r="C518" s="72"/>
      <c r="D518" s="72"/>
      <c r="E518" s="78" t="str">
        <f aca="false">IF(OR(B518="",C518=""),"",DATE(B518,1,4)-WEEKDAY(DATE(B518,1,4),2)+1+(C518-1)*7)</f>
        <v/>
      </c>
      <c r="F518" s="71"/>
    </row>
    <row r="519" customFormat="false" ht="15" hidden="false" customHeight="false" outlineLevel="0" collapsed="false">
      <c r="A519" s="71"/>
      <c r="B519" s="72"/>
      <c r="C519" s="72"/>
      <c r="D519" s="72"/>
      <c r="E519" s="78" t="str">
        <f aca="false">IF(OR(B519="",C519=""),"",DATE(B519,1,4)-WEEKDAY(DATE(B519,1,4),2)+1+(C519-1)*7)</f>
        <v/>
      </c>
      <c r="F519" s="71"/>
    </row>
    <row r="520" customFormat="false" ht="15" hidden="false" customHeight="false" outlineLevel="0" collapsed="false">
      <c r="A520" s="71"/>
      <c r="B520" s="72"/>
      <c r="C520" s="72"/>
      <c r="D520" s="72"/>
      <c r="E520" s="78" t="str">
        <f aca="false">IF(OR(B520="",C520=""),"",DATE(B520,1,4)-WEEKDAY(DATE(B520,1,4),2)+1+(C520-1)*7)</f>
        <v/>
      </c>
      <c r="F520" s="71"/>
    </row>
    <row r="521" customFormat="false" ht="15" hidden="false" customHeight="false" outlineLevel="0" collapsed="false">
      <c r="A521" s="71"/>
      <c r="B521" s="72"/>
      <c r="C521" s="72"/>
      <c r="D521" s="72"/>
      <c r="E521" s="78" t="str">
        <f aca="false">IF(OR(B521="",C521=""),"",DATE(B521,1,4)-WEEKDAY(DATE(B521,1,4),2)+1+(C521-1)*7)</f>
        <v/>
      </c>
      <c r="F521" s="71"/>
    </row>
    <row r="522" customFormat="false" ht="15" hidden="false" customHeight="false" outlineLevel="0" collapsed="false">
      <c r="A522" s="71"/>
      <c r="B522" s="72"/>
      <c r="C522" s="72"/>
      <c r="D522" s="72"/>
      <c r="E522" s="78" t="str">
        <f aca="false">IF(OR(B522="",C522=""),"",DATE(B522,1,4)-WEEKDAY(DATE(B522,1,4),2)+1+(C522-1)*7)</f>
        <v/>
      </c>
      <c r="F522" s="71"/>
    </row>
    <row r="523" customFormat="false" ht="15" hidden="false" customHeight="false" outlineLevel="0" collapsed="false">
      <c r="A523" s="71"/>
      <c r="B523" s="72"/>
      <c r="C523" s="72"/>
      <c r="D523" s="72"/>
      <c r="E523" s="78" t="str">
        <f aca="false">IF(OR(B523="",C523=""),"",DATE(B523,1,4)-WEEKDAY(DATE(B523,1,4),2)+1+(C523-1)*7)</f>
        <v/>
      </c>
      <c r="F523" s="71"/>
    </row>
    <row r="524" customFormat="false" ht="15" hidden="false" customHeight="false" outlineLevel="0" collapsed="false">
      <c r="A524" s="71"/>
      <c r="B524" s="72"/>
      <c r="C524" s="72"/>
      <c r="D524" s="72"/>
      <c r="E524" s="78" t="str">
        <f aca="false">IF(OR(B524="",C524=""),"",DATE(B524,1,4)-WEEKDAY(DATE(B524,1,4),2)+1+(C524-1)*7)</f>
        <v/>
      </c>
      <c r="F524" s="71"/>
    </row>
    <row r="525" customFormat="false" ht="15" hidden="false" customHeight="false" outlineLevel="0" collapsed="false">
      <c r="A525" s="71"/>
      <c r="B525" s="72"/>
      <c r="C525" s="72"/>
      <c r="D525" s="72"/>
      <c r="E525" s="78" t="str">
        <f aca="false">IF(OR(B525="",C525=""),"",DATE(B525,1,4)-WEEKDAY(DATE(B525,1,4),2)+1+(C525-1)*7)</f>
        <v/>
      </c>
      <c r="F525" s="71"/>
    </row>
    <row r="526" customFormat="false" ht="15" hidden="false" customHeight="false" outlineLevel="0" collapsed="false">
      <c r="A526" s="71"/>
      <c r="B526" s="72"/>
      <c r="C526" s="72"/>
      <c r="D526" s="72"/>
      <c r="E526" s="78" t="str">
        <f aca="false">IF(OR(B526="",C526=""),"",DATE(B526,1,4)-WEEKDAY(DATE(B526,1,4),2)+1+(C526-1)*7)</f>
        <v/>
      </c>
      <c r="F526" s="71"/>
    </row>
    <row r="527" customFormat="false" ht="15" hidden="false" customHeight="false" outlineLevel="0" collapsed="false">
      <c r="A527" s="71"/>
      <c r="B527" s="72"/>
      <c r="C527" s="72"/>
      <c r="D527" s="72"/>
      <c r="E527" s="78" t="str">
        <f aca="false">IF(OR(B527="",C527=""),"",DATE(B527,1,4)-WEEKDAY(DATE(B527,1,4),2)+1+(C527-1)*7)</f>
        <v/>
      </c>
      <c r="F527" s="71"/>
    </row>
    <row r="528" customFormat="false" ht="15" hidden="false" customHeight="false" outlineLevel="0" collapsed="false">
      <c r="A528" s="71"/>
      <c r="B528" s="72"/>
      <c r="C528" s="72"/>
      <c r="D528" s="72"/>
      <c r="E528" s="78" t="str">
        <f aca="false">IF(OR(B528="",C528=""),"",DATE(B528,1,4)-WEEKDAY(DATE(B528,1,4),2)+1+(C528-1)*7)</f>
        <v/>
      </c>
      <c r="F528" s="71"/>
    </row>
    <row r="529" customFormat="false" ht="15" hidden="false" customHeight="false" outlineLevel="0" collapsed="false">
      <c r="A529" s="71"/>
      <c r="B529" s="72"/>
      <c r="C529" s="72"/>
      <c r="D529" s="72"/>
      <c r="E529" s="78" t="str">
        <f aca="false">IF(OR(B529="",C529=""),"",DATE(B529,1,4)-WEEKDAY(DATE(B529,1,4),2)+1+(C529-1)*7)</f>
        <v/>
      </c>
      <c r="F529" s="71"/>
    </row>
    <row r="530" customFormat="false" ht="15" hidden="false" customHeight="false" outlineLevel="0" collapsed="false">
      <c r="A530" s="71"/>
      <c r="B530" s="72"/>
      <c r="C530" s="72"/>
      <c r="D530" s="72"/>
      <c r="E530" s="78" t="str">
        <f aca="false">IF(OR(B530="",C530=""),"",DATE(B530,1,4)-WEEKDAY(DATE(B530,1,4),2)+1+(C530-1)*7)</f>
        <v/>
      </c>
      <c r="F530" s="71"/>
    </row>
    <row r="531" customFormat="false" ht="15" hidden="false" customHeight="false" outlineLevel="0" collapsed="false">
      <c r="A531" s="71"/>
      <c r="B531" s="72"/>
      <c r="C531" s="72"/>
      <c r="D531" s="72"/>
      <c r="E531" s="78" t="str">
        <f aca="false">IF(OR(B531="",C531=""),"",DATE(B531,1,4)-WEEKDAY(DATE(B531,1,4),2)+1+(C531-1)*7)</f>
        <v/>
      </c>
      <c r="F531" s="71"/>
    </row>
    <row r="532" customFormat="false" ht="15" hidden="false" customHeight="false" outlineLevel="0" collapsed="false">
      <c r="A532" s="71"/>
      <c r="B532" s="72"/>
      <c r="C532" s="72"/>
      <c r="D532" s="72"/>
      <c r="E532" s="78" t="str">
        <f aca="false">IF(OR(B532="",C532=""),"",DATE(B532,1,4)-WEEKDAY(DATE(B532,1,4),2)+1+(C532-1)*7)</f>
        <v/>
      </c>
      <c r="F532" s="71"/>
    </row>
    <row r="533" customFormat="false" ht="15" hidden="false" customHeight="false" outlineLevel="0" collapsed="false">
      <c r="A533" s="71"/>
      <c r="B533" s="72"/>
      <c r="C533" s="72"/>
      <c r="D533" s="72"/>
      <c r="E533" s="78" t="str">
        <f aca="false">IF(OR(B533="",C533=""),"",DATE(B533,1,4)-WEEKDAY(DATE(B533,1,4),2)+1+(C533-1)*7)</f>
        <v/>
      </c>
      <c r="F533" s="71"/>
    </row>
    <row r="534" customFormat="false" ht="15" hidden="false" customHeight="false" outlineLevel="0" collapsed="false">
      <c r="A534" s="71"/>
      <c r="B534" s="72"/>
      <c r="C534" s="72"/>
      <c r="D534" s="72"/>
      <c r="E534" s="78" t="str">
        <f aca="false">IF(OR(B534="",C534=""),"",DATE(B534,1,4)-WEEKDAY(DATE(B534,1,4),2)+1+(C534-1)*7)</f>
        <v/>
      </c>
      <c r="F534" s="71"/>
    </row>
    <row r="535" customFormat="false" ht="15" hidden="false" customHeight="false" outlineLevel="0" collapsed="false">
      <c r="A535" s="71"/>
      <c r="B535" s="72"/>
      <c r="C535" s="72"/>
      <c r="D535" s="72"/>
      <c r="E535" s="78" t="str">
        <f aca="false">IF(OR(B535="",C535=""),"",DATE(B535,1,4)-WEEKDAY(DATE(B535,1,4),2)+1+(C535-1)*7)</f>
        <v/>
      </c>
      <c r="F535" s="71"/>
    </row>
    <row r="536" customFormat="false" ht="15" hidden="false" customHeight="false" outlineLevel="0" collapsed="false">
      <c r="A536" s="71"/>
      <c r="B536" s="72"/>
      <c r="C536" s="72"/>
      <c r="D536" s="72"/>
      <c r="E536" s="78" t="str">
        <f aca="false">IF(OR(B536="",C536=""),"",DATE(B536,1,4)-WEEKDAY(DATE(B536,1,4),2)+1+(C536-1)*7)</f>
        <v/>
      </c>
      <c r="F536" s="71"/>
    </row>
    <row r="537" customFormat="false" ht="15" hidden="false" customHeight="false" outlineLevel="0" collapsed="false">
      <c r="A537" s="71"/>
      <c r="B537" s="72"/>
      <c r="C537" s="72"/>
      <c r="D537" s="72"/>
      <c r="E537" s="78" t="str">
        <f aca="false">IF(OR(B537="",C537=""),"",DATE(B537,1,4)-WEEKDAY(DATE(B537,1,4),2)+1+(C537-1)*7)</f>
        <v/>
      </c>
      <c r="F537" s="71"/>
    </row>
    <row r="538" customFormat="false" ht="15" hidden="false" customHeight="false" outlineLevel="0" collapsed="false">
      <c r="A538" s="71"/>
      <c r="B538" s="72"/>
      <c r="C538" s="72"/>
      <c r="D538" s="72"/>
      <c r="E538" s="78" t="str">
        <f aca="false">IF(OR(B538="",C538=""),"",DATE(B538,1,4)-WEEKDAY(DATE(B538,1,4),2)+1+(C538-1)*7)</f>
        <v/>
      </c>
      <c r="F538" s="71"/>
    </row>
    <row r="539" customFormat="false" ht="15" hidden="false" customHeight="false" outlineLevel="0" collapsed="false">
      <c r="A539" s="71"/>
      <c r="B539" s="72"/>
      <c r="C539" s="72"/>
      <c r="D539" s="72"/>
      <c r="E539" s="78" t="str">
        <f aca="false">IF(OR(B539="",C539=""),"",DATE(B539,1,4)-WEEKDAY(DATE(B539,1,4),2)+1+(C539-1)*7)</f>
        <v/>
      </c>
      <c r="F539" s="71"/>
    </row>
    <row r="540" customFormat="false" ht="15" hidden="false" customHeight="false" outlineLevel="0" collapsed="false">
      <c r="A540" s="71"/>
      <c r="B540" s="72"/>
      <c r="C540" s="72"/>
      <c r="D540" s="72"/>
      <c r="E540" s="78" t="str">
        <f aca="false">IF(OR(B540="",C540=""),"",DATE(B540,1,4)-WEEKDAY(DATE(B540,1,4),2)+1+(C540-1)*7)</f>
        <v/>
      </c>
      <c r="F540" s="71"/>
    </row>
    <row r="541" customFormat="false" ht="15" hidden="false" customHeight="false" outlineLevel="0" collapsed="false">
      <c r="A541" s="71"/>
      <c r="B541" s="72"/>
      <c r="C541" s="72"/>
      <c r="D541" s="72"/>
      <c r="E541" s="78" t="str">
        <f aca="false">IF(OR(B541="",C541=""),"",DATE(B541,1,4)-WEEKDAY(DATE(B541,1,4),2)+1+(C541-1)*7)</f>
        <v/>
      </c>
      <c r="F541" s="71"/>
    </row>
    <row r="542" customFormat="false" ht="15" hidden="false" customHeight="false" outlineLevel="0" collapsed="false">
      <c r="A542" s="71"/>
      <c r="B542" s="72"/>
      <c r="C542" s="72"/>
      <c r="D542" s="72"/>
      <c r="E542" s="78" t="str">
        <f aca="false">IF(OR(B542="",C542=""),"",DATE(B542,1,4)-WEEKDAY(DATE(B542,1,4),2)+1+(C542-1)*7)</f>
        <v/>
      </c>
      <c r="F542" s="71"/>
    </row>
    <row r="543" customFormat="false" ht="15" hidden="false" customHeight="false" outlineLevel="0" collapsed="false">
      <c r="A543" s="71"/>
      <c r="B543" s="72"/>
      <c r="C543" s="72"/>
      <c r="D543" s="72"/>
      <c r="E543" s="78" t="str">
        <f aca="false">IF(OR(B543="",C543=""),"",DATE(B543,1,4)-WEEKDAY(DATE(B543,1,4),2)+1+(C543-1)*7)</f>
        <v/>
      </c>
      <c r="F543" s="71"/>
    </row>
    <row r="544" customFormat="false" ht="15" hidden="false" customHeight="false" outlineLevel="0" collapsed="false">
      <c r="A544" s="71"/>
      <c r="B544" s="72"/>
      <c r="C544" s="72"/>
      <c r="D544" s="72"/>
      <c r="E544" s="78" t="str">
        <f aca="false">IF(OR(B544="",C544=""),"",DATE(B544,1,4)-WEEKDAY(DATE(B544,1,4),2)+1+(C544-1)*7)</f>
        <v/>
      </c>
      <c r="F544" s="71"/>
    </row>
    <row r="545" customFormat="false" ht="15" hidden="false" customHeight="false" outlineLevel="0" collapsed="false">
      <c r="A545" s="71"/>
      <c r="B545" s="72"/>
      <c r="C545" s="72"/>
      <c r="D545" s="72"/>
      <c r="E545" s="78" t="str">
        <f aca="false">IF(OR(B545="",C545=""),"",DATE(B545,1,4)-WEEKDAY(DATE(B545,1,4),2)+1+(C545-1)*7)</f>
        <v/>
      </c>
      <c r="F545" s="71"/>
    </row>
    <row r="546" customFormat="false" ht="15" hidden="false" customHeight="false" outlineLevel="0" collapsed="false">
      <c r="A546" s="71"/>
      <c r="B546" s="72"/>
      <c r="C546" s="72"/>
      <c r="D546" s="72"/>
      <c r="E546" s="78" t="str">
        <f aca="false">IF(OR(B546="",C546=""),"",DATE(B546,1,4)-WEEKDAY(DATE(B546,1,4),2)+1+(C546-1)*7)</f>
        <v/>
      </c>
      <c r="F546" s="71"/>
    </row>
    <row r="547" customFormat="false" ht="15" hidden="false" customHeight="false" outlineLevel="0" collapsed="false">
      <c r="A547" s="71"/>
      <c r="B547" s="72"/>
      <c r="C547" s="72"/>
      <c r="D547" s="72"/>
      <c r="E547" s="78" t="str">
        <f aca="false">IF(OR(B547="",C547=""),"",DATE(B547,1,4)-WEEKDAY(DATE(B547,1,4),2)+1+(C547-1)*7)</f>
        <v/>
      </c>
      <c r="F547" s="71"/>
    </row>
    <row r="548" customFormat="false" ht="15" hidden="false" customHeight="false" outlineLevel="0" collapsed="false">
      <c r="A548" s="71"/>
      <c r="B548" s="72"/>
      <c r="C548" s="72"/>
      <c r="D548" s="72"/>
      <c r="E548" s="78" t="str">
        <f aca="false">IF(OR(B548="",C548=""),"",DATE(B548,1,4)-WEEKDAY(DATE(B548,1,4),2)+1+(C548-1)*7)</f>
        <v/>
      </c>
      <c r="F548" s="71"/>
    </row>
    <row r="549" customFormat="false" ht="15" hidden="false" customHeight="false" outlineLevel="0" collapsed="false">
      <c r="A549" s="71"/>
      <c r="B549" s="72"/>
      <c r="C549" s="72"/>
      <c r="D549" s="72"/>
      <c r="E549" s="78" t="str">
        <f aca="false">IF(OR(B549="",C549=""),"",DATE(B549,1,4)-WEEKDAY(DATE(B549,1,4),2)+1+(C549-1)*7)</f>
        <v/>
      </c>
      <c r="F549" s="71"/>
    </row>
    <row r="550" customFormat="false" ht="15" hidden="false" customHeight="false" outlineLevel="0" collapsed="false">
      <c r="A550" s="71"/>
      <c r="B550" s="72"/>
      <c r="C550" s="72"/>
      <c r="D550" s="72"/>
      <c r="E550" s="78" t="str">
        <f aca="false">IF(OR(B550="",C550=""),"",DATE(B550,1,4)-WEEKDAY(DATE(B550,1,4),2)+1+(C550-1)*7)</f>
        <v/>
      </c>
      <c r="F550" s="71"/>
    </row>
    <row r="551" customFormat="false" ht="15" hidden="false" customHeight="false" outlineLevel="0" collapsed="false">
      <c r="A551" s="71"/>
      <c r="B551" s="72"/>
      <c r="C551" s="72"/>
      <c r="D551" s="72"/>
      <c r="E551" s="78" t="str">
        <f aca="false">IF(OR(B551="",C551=""),"",DATE(B551,1,4)-WEEKDAY(DATE(B551,1,4),2)+1+(C551-1)*7)</f>
        <v/>
      </c>
      <c r="F551" s="71"/>
    </row>
    <row r="552" customFormat="false" ht="15" hidden="false" customHeight="false" outlineLevel="0" collapsed="false">
      <c r="A552" s="71"/>
      <c r="B552" s="72"/>
      <c r="C552" s="72"/>
      <c r="D552" s="72"/>
      <c r="E552" s="78" t="str">
        <f aca="false">IF(OR(B552="",C552=""),"",DATE(B552,1,4)-WEEKDAY(DATE(B552,1,4),2)+1+(C552-1)*7)</f>
        <v/>
      </c>
      <c r="F552" s="71"/>
    </row>
    <row r="553" customFormat="false" ht="15" hidden="false" customHeight="false" outlineLevel="0" collapsed="false">
      <c r="A553" s="71"/>
      <c r="B553" s="72"/>
      <c r="C553" s="72"/>
      <c r="D553" s="72"/>
      <c r="E553" s="78" t="str">
        <f aca="false">IF(OR(B553="",C553=""),"",DATE(B553,1,4)-WEEKDAY(DATE(B553,1,4),2)+1+(C553-1)*7)</f>
        <v/>
      </c>
      <c r="F553" s="71"/>
    </row>
    <row r="554" customFormat="false" ht="15" hidden="false" customHeight="false" outlineLevel="0" collapsed="false">
      <c r="A554" s="71"/>
      <c r="B554" s="72"/>
      <c r="C554" s="72"/>
      <c r="D554" s="72"/>
      <c r="E554" s="78" t="str">
        <f aca="false">IF(OR(B554="",C554=""),"",DATE(B554,1,4)-WEEKDAY(DATE(B554,1,4),2)+1+(C554-1)*7)</f>
        <v/>
      </c>
      <c r="F554" s="71"/>
    </row>
    <row r="555" customFormat="false" ht="15" hidden="false" customHeight="false" outlineLevel="0" collapsed="false">
      <c r="A555" s="71"/>
      <c r="B555" s="72"/>
      <c r="C555" s="72"/>
      <c r="D555" s="72"/>
      <c r="E555" s="78" t="str">
        <f aca="false">IF(OR(B555="",C555=""),"",DATE(B555,1,4)-WEEKDAY(DATE(B555,1,4),2)+1+(C555-1)*7)</f>
        <v/>
      </c>
      <c r="F555" s="71"/>
    </row>
    <row r="556" customFormat="false" ht="15" hidden="false" customHeight="false" outlineLevel="0" collapsed="false">
      <c r="A556" s="71"/>
      <c r="B556" s="72"/>
      <c r="C556" s="72"/>
      <c r="D556" s="72"/>
      <c r="E556" s="78" t="str">
        <f aca="false">IF(OR(B556="",C556=""),"",DATE(B556,1,4)-WEEKDAY(DATE(B556,1,4),2)+1+(C556-1)*7)</f>
        <v/>
      </c>
      <c r="F556" s="71"/>
    </row>
    <row r="557" customFormat="false" ht="15" hidden="false" customHeight="false" outlineLevel="0" collapsed="false">
      <c r="A557" s="71"/>
      <c r="B557" s="72"/>
      <c r="C557" s="72"/>
      <c r="D557" s="72"/>
      <c r="E557" s="78" t="str">
        <f aca="false">IF(OR(B557="",C557=""),"",DATE(B557,1,4)-WEEKDAY(DATE(B557,1,4),2)+1+(C557-1)*7)</f>
        <v/>
      </c>
      <c r="F557" s="71"/>
    </row>
    <row r="558" customFormat="false" ht="15" hidden="false" customHeight="false" outlineLevel="0" collapsed="false">
      <c r="A558" s="71"/>
      <c r="B558" s="72"/>
      <c r="C558" s="72"/>
      <c r="D558" s="72"/>
      <c r="E558" s="78" t="str">
        <f aca="false">IF(OR(B558="",C558=""),"",DATE(B558,1,4)-WEEKDAY(DATE(B558,1,4),2)+1+(C558-1)*7)</f>
        <v/>
      </c>
      <c r="F558" s="71"/>
    </row>
    <row r="559" customFormat="false" ht="15" hidden="false" customHeight="false" outlineLevel="0" collapsed="false">
      <c r="A559" s="71"/>
      <c r="B559" s="72"/>
      <c r="C559" s="72"/>
      <c r="D559" s="72"/>
      <c r="E559" s="78" t="str">
        <f aca="false">IF(OR(B559="",C559=""),"",DATE(B559,1,4)-WEEKDAY(DATE(B559,1,4),2)+1+(C559-1)*7)</f>
        <v/>
      </c>
      <c r="F559" s="71"/>
    </row>
    <row r="560" customFormat="false" ht="15" hidden="false" customHeight="false" outlineLevel="0" collapsed="false">
      <c r="A560" s="71"/>
      <c r="B560" s="72"/>
      <c r="C560" s="72"/>
      <c r="D560" s="72"/>
      <c r="E560" s="78" t="str">
        <f aca="false">IF(OR(B560="",C560=""),"",DATE(B560,1,4)-WEEKDAY(DATE(B560,1,4),2)+1+(C560-1)*7)</f>
        <v/>
      </c>
      <c r="F560" s="71"/>
    </row>
    <row r="561" customFormat="false" ht="15" hidden="false" customHeight="false" outlineLevel="0" collapsed="false">
      <c r="A561" s="71"/>
      <c r="B561" s="72"/>
      <c r="C561" s="72"/>
      <c r="D561" s="72"/>
      <c r="E561" s="78" t="str">
        <f aca="false">IF(OR(B561="",C561=""),"",DATE(B561,1,4)-WEEKDAY(DATE(B561,1,4),2)+1+(C561-1)*7)</f>
        <v/>
      </c>
      <c r="F561" s="71"/>
    </row>
    <row r="562" customFormat="false" ht="15" hidden="false" customHeight="false" outlineLevel="0" collapsed="false">
      <c r="A562" s="71"/>
      <c r="B562" s="72"/>
      <c r="C562" s="72"/>
      <c r="D562" s="72"/>
      <c r="E562" s="78" t="str">
        <f aca="false">IF(OR(B562="",C562=""),"",DATE(B562,1,4)-WEEKDAY(DATE(B562,1,4),2)+1+(C562-1)*7)</f>
        <v/>
      </c>
      <c r="F562" s="71"/>
    </row>
    <row r="563" customFormat="false" ht="15" hidden="false" customHeight="false" outlineLevel="0" collapsed="false">
      <c r="A563" s="71"/>
      <c r="B563" s="72"/>
      <c r="C563" s="72"/>
      <c r="D563" s="72"/>
      <c r="E563" s="78" t="str">
        <f aca="false">IF(OR(B563="",C563=""),"",DATE(B563,1,4)-WEEKDAY(DATE(B563,1,4),2)+1+(C563-1)*7)</f>
        <v/>
      </c>
      <c r="F563" s="71"/>
    </row>
    <row r="564" customFormat="false" ht="15" hidden="false" customHeight="false" outlineLevel="0" collapsed="false">
      <c r="A564" s="71"/>
      <c r="B564" s="72"/>
      <c r="C564" s="72"/>
      <c r="D564" s="72"/>
      <c r="E564" s="78" t="str">
        <f aca="false">IF(OR(B564="",C564=""),"",DATE(B564,1,4)-WEEKDAY(DATE(B564,1,4),2)+1+(C564-1)*7)</f>
        <v/>
      </c>
      <c r="F564" s="71"/>
    </row>
    <row r="565" customFormat="false" ht="15" hidden="false" customHeight="false" outlineLevel="0" collapsed="false">
      <c r="A565" s="71"/>
      <c r="B565" s="72"/>
      <c r="C565" s="72"/>
      <c r="D565" s="72"/>
      <c r="E565" s="78" t="str">
        <f aca="false">IF(OR(B565="",C565=""),"",DATE(B565,1,4)-WEEKDAY(DATE(B565,1,4),2)+1+(C565-1)*7)</f>
        <v/>
      </c>
      <c r="F565" s="71"/>
    </row>
    <row r="566" customFormat="false" ht="15" hidden="false" customHeight="false" outlineLevel="0" collapsed="false">
      <c r="A566" s="71"/>
      <c r="B566" s="72"/>
      <c r="C566" s="72"/>
      <c r="D566" s="72"/>
      <c r="E566" s="78" t="str">
        <f aca="false">IF(OR(B566="",C566=""),"",DATE(B566,1,4)-WEEKDAY(DATE(B566,1,4),2)+1+(C566-1)*7)</f>
        <v/>
      </c>
      <c r="F566" s="71"/>
    </row>
    <row r="567" customFormat="false" ht="15" hidden="false" customHeight="false" outlineLevel="0" collapsed="false">
      <c r="A567" s="71"/>
      <c r="B567" s="72"/>
      <c r="C567" s="72"/>
      <c r="D567" s="72"/>
      <c r="E567" s="78" t="str">
        <f aca="false">IF(OR(B567="",C567=""),"",DATE(B567,1,4)-WEEKDAY(DATE(B567,1,4),2)+1+(C567-1)*7)</f>
        <v/>
      </c>
      <c r="F567" s="71"/>
    </row>
    <row r="568" customFormat="false" ht="15" hidden="false" customHeight="false" outlineLevel="0" collapsed="false">
      <c r="A568" s="71"/>
      <c r="B568" s="72"/>
      <c r="C568" s="72"/>
      <c r="D568" s="72"/>
      <c r="E568" s="78" t="str">
        <f aca="false">IF(OR(B568="",C568=""),"",DATE(B568,1,4)-WEEKDAY(DATE(B568,1,4),2)+1+(C568-1)*7)</f>
        <v/>
      </c>
      <c r="F568" s="71"/>
    </row>
    <row r="569" customFormat="false" ht="15" hidden="false" customHeight="false" outlineLevel="0" collapsed="false">
      <c r="A569" s="71"/>
      <c r="B569" s="72"/>
      <c r="C569" s="72"/>
      <c r="D569" s="72"/>
      <c r="E569" s="78" t="str">
        <f aca="false">IF(OR(B569="",C569=""),"",DATE(B569,1,4)-WEEKDAY(DATE(B569,1,4),2)+1+(C569-1)*7)</f>
        <v/>
      </c>
      <c r="F569" s="71"/>
    </row>
    <row r="570" customFormat="false" ht="15" hidden="false" customHeight="false" outlineLevel="0" collapsed="false">
      <c r="A570" s="71"/>
      <c r="B570" s="72"/>
      <c r="C570" s="72"/>
      <c r="D570" s="72"/>
      <c r="E570" s="78" t="str">
        <f aca="false">IF(OR(B570="",C570=""),"",DATE(B570,1,4)-WEEKDAY(DATE(B570,1,4),2)+1+(C570-1)*7)</f>
        <v/>
      </c>
      <c r="F570" s="71"/>
    </row>
    <row r="571" customFormat="false" ht="15" hidden="false" customHeight="false" outlineLevel="0" collapsed="false">
      <c r="A571" s="71"/>
      <c r="B571" s="72"/>
      <c r="C571" s="72"/>
      <c r="D571" s="72"/>
      <c r="E571" s="78" t="str">
        <f aca="false">IF(OR(B571="",C571=""),"",DATE(B571,1,4)-WEEKDAY(DATE(B571,1,4),2)+1+(C571-1)*7)</f>
        <v/>
      </c>
      <c r="F571" s="71"/>
    </row>
    <row r="572" customFormat="false" ht="15" hidden="false" customHeight="false" outlineLevel="0" collapsed="false">
      <c r="A572" s="71"/>
      <c r="B572" s="72"/>
      <c r="C572" s="72"/>
      <c r="D572" s="72"/>
      <c r="E572" s="78" t="str">
        <f aca="false">IF(OR(B572="",C572=""),"",DATE(B572,1,4)-WEEKDAY(DATE(B572,1,4),2)+1+(C572-1)*7)</f>
        <v/>
      </c>
      <c r="F572" s="71"/>
    </row>
    <row r="573" customFormat="false" ht="15" hidden="false" customHeight="false" outlineLevel="0" collapsed="false">
      <c r="A573" s="71"/>
      <c r="B573" s="72"/>
      <c r="C573" s="72"/>
      <c r="D573" s="72"/>
      <c r="E573" s="78" t="str">
        <f aca="false">IF(OR(B573="",C573=""),"",DATE(B573,1,4)-WEEKDAY(DATE(B573,1,4),2)+1+(C573-1)*7)</f>
        <v/>
      </c>
      <c r="F573" s="71"/>
    </row>
    <row r="574" customFormat="false" ht="15" hidden="false" customHeight="false" outlineLevel="0" collapsed="false">
      <c r="A574" s="71"/>
      <c r="B574" s="72"/>
      <c r="C574" s="72"/>
      <c r="D574" s="72"/>
      <c r="E574" s="78" t="str">
        <f aca="false">IF(OR(B574="",C574=""),"",DATE(B574,1,4)-WEEKDAY(DATE(B574,1,4),2)+1+(C574-1)*7)</f>
        <v/>
      </c>
      <c r="F574" s="71"/>
    </row>
    <row r="575" customFormat="false" ht="15" hidden="false" customHeight="false" outlineLevel="0" collapsed="false">
      <c r="A575" s="71"/>
      <c r="B575" s="72"/>
      <c r="C575" s="72"/>
      <c r="D575" s="72"/>
      <c r="E575" s="78" t="str">
        <f aca="false">IF(OR(B575="",C575=""),"",DATE(B575,1,4)-WEEKDAY(DATE(B575,1,4),2)+1+(C575-1)*7)</f>
        <v/>
      </c>
      <c r="F575" s="71"/>
    </row>
    <row r="576" customFormat="false" ht="15" hidden="false" customHeight="false" outlineLevel="0" collapsed="false">
      <c r="A576" s="71"/>
      <c r="B576" s="72"/>
      <c r="C576" s="72"/>
      <c r="D576" s="72"/>
      <c r="E576" s="78" t="str">
        <f aca="false">IF(OR(B576="",C576=""),"",DATE(B576,1,4)-WEEKDAY(DATE(B576,1,4),2)+1+(C576-1)*7)</f>
        <v/>
      </c>
      <c r="F576" s="71"/>
    </row>
    <row r="577" customFormat="false" ht="15" hidden="false" customHeight="false" outlineLevel="0" collapsed="false">
      <c r="A577" s="71"/>
      <c r="B577" s="72"/>
      <c r="C577" s="72"/>
      <c r="D577" s="72"/>
      <c r="E577" s="78" t="str">
        <f aca="false">IF(OR(B577="",C577=""),"",DATE(B577,1,4)-WEEKDAY(DATE(B577,1,4),2)+1+(C577-1)*7)</f>
        <v/>
      </c>
      <c r="F577" s="71"/>
    </row>
    <row r="578" customFormat="false" ht="15" hidden="false" customHeight="false" outlineLevel="0" collapsed="false">
      <c r="A578" s="71"/>
      <c r="B578" s="72"/>
      <c r="C578" s="72"/>
      <c r="D578" s="72"/>
      <c r="E578" s="78" t="str">
        <f aca="false">IF(OR(B578="",C578=""),"",DATE(B578,1,4)-WEEKDAY(DATE(B578,1,4),2)+1+(C578-1)*7)</f>
        <v/>
      </c>
      <c r="F578" s="71"/>
    </row>
    <row r="579" customFormat="false" ht="15" hidden="false" customHeight="false" outlineLevel="0" collapsed="false">
      <c r="A579" s="71"/>
      <c r="B579" s="72"/>
      <c r="C579" s="72"/>
      <c r="D579" s="72"/>
      <c r="E579" s="78" t="str">
        <f aca="false">IF(OR(B579="",C579=""),"",DATE(B579,1,4)-WEEKDAY(DATE(B579,1,4),2)+1+(C579-1)*7)</f>
        <v/>
      </c>
      <c r="F579" s="71"/>
    </row>
    <row r="580" customFormat="false" ht="15" hidden="false" customHeight="false" outlineLevel="0" collapsed="false">
      <c r="A580" s="71"/>
      <c r="B580" s="72"/>
      <c r="C580" s="72"/>
      <c r="D580" s="72"/>
      <c r="E580" s="78" t="str">
        <f aca="false">IF(OR(B580="",C580=""),"",DATE(B580,1,4)-WEEKDAY(DATE(B580,1,4),2)+1+(C580-1)*7)</f>
        <v/>
      </c>
      <c r="F580" s="71"/>
    </row>
    <row r="581" customFormat="false" ht="15" hidden="false" customHeight="false" outlineLevel="0" collapsed="false">
      <c r="A581" s="71"/>
      <c r="B581" s="72"/>
      <c r="C581" s="72"/>
      <c r="D581" s="72"/>
      <c r="E581" s="78" t="str">
        <f aca="false">IF(OR(B581="",C581=""),"",DATE(B581,1,4)-WEEKDAY(DATE(B581,1,4),2)+1+(C581-1)*7)</f>
        <v/>
      </c>
      <c r="F581" s="71"/>
    </row>
    <row r="582" customFormat="false" ht="15" hidden="false" customHeight="false" outlineLevel="0" collapsed="false">
      <c r="A582" s="71"/>
      <c r="B582" s="72"/>
      <c r="C582" s="72"/>
      <c r="D582" s="72"/>
      <c r="E582" s="78" t="str">
        <f aca="false">IF(OR(B582="",C582=""),"",DATE(B582,1,4)-WEEKDAY(DATE(B582,1,4),2)+1+(C582-1)*7)</f>
        <v/>
      </c>
      <c r="F582" s="71"/>
    </row>
    <row r="583" customFormat="false" ht="15" hidden="false" customHeight="false" outlineLevel="0" collapsed="false">
      <c r="A583" s="71"/>
      <c r="B583" s="72"/>
      <c r="C583" s="72"/>
      <c r="D583" s="72"/>
      <c r="E583" s="78" t="str">
        <f aca="false">IF(OR(B583="",C583=""),"",DATE(B583,1,4)-WEEKDAY(DATE(B583,1,4),2)+1+(C583-1)*7)</f>
        <v/>
      </c>
      <c r="F583" s="71"/>
    </row>
    <row r="584" customFormat="false" ht="15" hidden="false" customHeight="false" outlineLevel="0" collapsed="false">
      <c r="A584" s="71"/>
      <c r="B584" s="72"/>
      <c r="C584" s="72"/>
      <c r="D584" s="72"/>
      <c r="E584" s="78" t="str">
        <f aca="false">IF(OR(B584="",C584=""),"",DATE(B584,1,4)-WEEKDAY(DATE(B584,1,4),2)+1+(C584-1)*7)</f>
        <v/>
      </c>
      <c r="F584" s="71"/>
    </row>
    <row r="585" customFormat="false" ht="15" hidden="false" customHeight="false" outlineLevel="0" collapsed="false">
      <c r="A585" s="71"/>
      <c r="B585" s="72"/>
      <c r="C585" s="72"/>
      <c r="D585" s="72"/>
      <c r="E585" s="78" t="str">
        <f aca="false">IF(OR(B585="",C585=""),"",DATE(B585,1,4)-WEEKDAY(DATE(B585,1,4),2)+1+(C585-1)*7)</f>
        <v/>
      </c>
      <c r="F585" s="71"/>
    </row>
    <row r="586" customFormat="false" ht="15" hidden="false" customHeight="false" outlineLevel="0" collapsed="false">
      <c r="A586" s="71"/>
      <c r="B586" s="72"/>
      <c r="C586" s="72"/>
      <c r="D586" s="72"/>
      <c r="E586" s="78" t="str">
        <f aca="false">IF(OR(B586="",C586=""),"",DATE(B586,1,4)-WEEKDAY(DATE(B586,1,4),2)+1+(C586-1)*7)</f>
        <v/>
      </c>
      <c r="F586" s="71"/>
    </row>
    <row r="587" customFormat="false" ht="15" hidden="false" customHeight="false" outlineLevel="0" collapsed="false">
      <c r="A587" s="71"/>
      <c r="B587" s="72"/>
      <c r="C587" s="72"/>
      <c r="D587" s="72"/>
      <c r="E587" s="78" t="str">
        <f aca="false">IF(OR(B587="",C587=""),"",DATE(B587,1,4)-WEEKDAY(DATE(B587,1,4),2)+1+(C587-1)*7)</f>
        <v/>
      </c>
      <c r="F587" s="71"/>
    </row>
    <row r="588" customFormat="false" ht="15" hidden="false" customHeight="false" outlineLevel="0" collapsed="false">
      <c r="A588" s="71"/>
      <c r="B588" s="72"/>
      <c r="C588" s="72"/>
      <c r="D588" s="72"/>
      <c r="E588" s="78" t="str">
        <f aca="false">IF(OR(B588="",C588=""),"",DATE(B588,1,4)-WEEKDAY(DATE(B588,1,4),2)+1+(C588-1)*7)</f>
        <v/>
      </c>
      <c r="F588" s="71"/>
    </row>
    <row r="589" customFormat="false" ht="15" hidden="false" customHeight="false" outlineLevel="0" collapsed="false">
      <c r="A589" s="71"/>
      <c r="B589" s="72"/>
      <c r="C589" s="72"/>
      <c r="D589" s="72"/>
      <c r="E589" s="78" t="str">
        <f aca="false">IF(OR(B589="",C589=""),"",DATE(B589,1,4)-WEEKDAY(DATE(B589,1,4),2)+1+(C589-1)*7)</f>
        <v/>
      </c>
      <c r="F589" s="71"/>
    </row>
    <row r="590" customFormat="false" ht="15" hidden="false" customHeight="false" outlineLevel="0" collapsed="false">
      <c r="A590" s="71"/>
      <c r="B590" s="72"/>
      <c r="C590" s="72"/>
      <c r="D590" s="72"/>
      <c r="E590" s="78" t="str">
        <f aca="false">IF(OR(B590="",C590=""),"",DATE(B590,1,4)-WEEKDAY(DATE(B590,1,4),2)+1+(C590-1)*7)</f>
        <v/>
      </c>
      <c r="F590" s="71"/>
    </row>
    <row r="591" customFormat="false" ht="15" hidden="false" customHeight="false" outlineLevel="0" collapsed="false">
      <c r="A591" s="71"/>
      <c r="B591" s="72"/>
      <c r="C591" s="72"/>
      <c r="D591" s="72"/>
      <c r="E591" s="78" t="str">
        <f aca="false">IF(OR(B591="",C591=""),"",DATE(B591,1,4)-WEEKDAY(DATE(B591,1,4),2)+1+(C591-1)*7)</f>
        <v/>
      </c>
      <c r="F591" s="71"/>
    </row>
    <row r="592" customFormat="false" ht="15" hidden="false" customHeight="false" outlineLevel="0" collapsed="false">
      <c r="A592" s="71"/>
      <c r="B592" s="72"/>
      <c r="C592" s="72"/>
      <c r="D592" s="72"/>
      <c r="E592" s="78" t="str">
        <f aca="false">IF(OR(B592="",C592=""),"",DATE(B592,1,4)-WEEKDAY(DATE(B592,1,4),2)+1+(C592-1)*7)</f>
        <v/>
      </c>
      <c r="F592" s="71"/>
    </row>
    <row r="593" customFormat="false" ht="15" hidden="false" customHeight="false" outlineLevel="0" collapsed="false">
      <c r="A593" s="71"/>
      <c r="B593" s="72"/>
      <c r="C593" s="72"/>
      <c r="D593" s="72"/>
      <c r="E593" s="78" t="str">
        <f aca="false">IF(OR(B593="",C593=""),"",DATE(B593,1,4)-WEEKDAY(DATE(B593,1,4),2)+1+(C593-1)*7)</f>
        <v/>
      </c>
      <c r="F593" s="71"/>
    </row>
    <row r="594" customFormat="false" ht="15" hidden="false" customHeight="false" outlineLevel="0" collapsed="false">
      <c r="A594" s="71"/>
      <c r="B594" s="72"/>
      <c r="C594" s="72"/>
      <c r="D594" s="72"/>
      <c r="E594" s="78" t="str">
        <f aca="false">IF(OR(B594="",C594=""),"",DATE(B594,1,4)-WEEKDAY(DATE(B594,1,4),2)+1+(C594-1)*7)</f>
        <v/>
      </c>
      <c r="F594" s="71"/>
    </row>
    <row r="595" customFormat="false" ht="15" hidden="false" customHeight="false" outlineLevel="0" collapsed="false">
      <c r="A595" s="71"/>
      <c r="B595" s="72"/>
      <c r="C595" s="72"/>
      <c r="D595" s="72"/>
      <c r="E595" s="78" t="str">
        <f aca="false">IF(OR(B595="",C595=""),"",DATE(B595,1,4)-WEEKDAY(DATE(B595,1,4),2)+1+(C595-1)*7)</f>
        <v/>
      </c>
      <c r="F595" s="71"/>
    </row>
    <row r="596" customFormat="false" ht="15" hidden="false" customHeight="false" outlineLevel="0" collapsed="false">
      <c r="A596" s="71"/>
      <c r="B596" s="72"/>
      <c r="C596" s="72"/>
      <c r="D596" s="72"/>
      <c r="E596" s="78" t="str">
        <f aca="false">IF(OR(B596="",C596=""),"",DATE(B596,1,4)-WEEKDAY(DATE(B596,1,4),2)+1+(C596-1)*7)</f>
        <v/>
      </c>
      <c r="F596" s="71"/>
    </row>
    <row r="597" customFormat="false" ht="15" hidden="false" customHeight="false" outlineLevel="0" collapsed="false">
      <c r="A597" s="71"/>
      <c r="B597" s="72"/>
      <c r="C597" s="72"/>
      <c r="D597" s="72"/>
      <c r="E597" s="78" t="str">
        <f aca="false">IF(OR(B597="",C597=""),"",DATE(B597,1,4)-WEEKDAY(DATE(B597,1,4),2)+1+(C597-1)*7)</f>
        <v/>
      </c>
      <c r="F597" s="71"/>
    </row>
    <row r="598" customFormat="false" ht="15" hidden="false" customHeight="false" outlineLevel="0" collapsed="false">
      <c r="A598" s="71"/>
      <c r="B598" s="72"/>
      <c r="C598" s="72"/>
      <c r="D598" s="72"/>
      <c r="E598" s="78" t="str">
        <f aca="false">IF(OR(B598="",C598=""),"",DATE(B598,1,4)-WEEKDAY(DATE(B598,1,4),2)+1+(C598-1)*7)</f>
        <v/>
      </c>
      <c r="F598" s="71"/>
    </row>
    <row r="599" customFormat="false" ht="15" hidden="false" customHeight="false" outlineLevel="0" collapsed="false">
      <c r="A599" s="71"/>
      <c r="B599" s="72"/>
      <c r="C599" s="72"/>
      <c r="D599" s="72"/>
      <c r="E599" s="78" t="str">
        <f aca="false">IF(OR(B599="",C599=""),"",DATE(B599,1,4)-WEEKDAY(DATE(B599,1,4),2)+1+(C599-1)*7)</f>
        <v/>
      </c>
      <c r="F599" s="71"/>
    </row>
    <row r="600" customFormat="false" ht="15" hidden="false" customHeight="false" outlineLevel="0" collapsed="false">
      <c r="A600" s="71"/>
      <c r="B600" s="72"/>
      <c r="C600" s="72"/>
      <c r="D600" s="72"/>
      <c r="E600" s="78" t="str">
        <f aca="false">IF(OR(B600="",C600=""),"",DATE(B600,1,4)-WEEKDAY(DATE(B600,1,4),2)+1+(C600-1)*7)</f>
        <v/>
      </c>
      <c r="F600" s="71"/>
    </row>
    <row r="601" customFormat="false" ht="15" hidden="false" customHeight="false" outlineLevel="0" collapsed="false">
      <c r="A601" s="71"/>
      <c r="B601" s="72"/>
      <c r="C601" s="72"/>
      <c r="D601" s="72"/>
      <c r="E601" s="78" t="str">
        <f aca="false">IF(OR(B601="",C601=""),"",DATE(B601,1,4)-WEEKDAY(DATE(B601,1,4),2)+1+(C601-1)*7)</f>
        <v/>
      </c>
      <c r="F601" s="71"/>
    </row>
    <row r="602" customFormat="false" ht="15" hidden="false" customHeight="false" outlineLevel="0" collapsed="false">
      <c r="A602" s="71"/>
      <c r="B602" s="72"/>
      <c r="C602" s="72"/>
      <c r="D602" s="72"/>
      <c r="E602" s="78" t="str">
        <f aca="false">IF(OR(B602="",C602=""),"",DATE(B602,1,4)-WEEKDAY(DATE(B602,1,4),2)+1+(C602-1)*7)</f>
        <v/>
      </c>
      <c r="F602" s="71"/>
    </row>
    <row r="603" customFormat="false" ht="15" hidden="false" customHeight="false" outlineLevel="0" collapsed="false">
      <c r="A603" s="71"/>
      <c r="B603" s="72"/>
      <c r="C603" s="72"/>
      <c r="D603" s="72"/>
      <c r="E603" s="78" t="str">
        <f aca="false">IF(OR(B603="",C603=""),"",DATE(B603,1,4)-WEEKDAY(DATE(B603,1,4),2)+1+(C603-1)*7)</f>
        <v/>
      </c>
      <c r="F603" s="71"/>
    </row>
    <row r="604" customFormat="false" ht="15" hidden="false" customHeight="false" outlineLevel="0" collapsed="false">
      <c r="A604" s="71"/>
      <c r="B604" s="72"/>
      <c r="C604" s="72"/>
      <c r="D604" s="72"/>
      <c r="E604" s="78" t="str">
        <f aca="false">IF(OR(B604="",C604=""),"",DATE(B604,1,4)-WEEKDAY(DATE(B604,1,4),2)+1+(C604-1)*7)</f>
        <v/>
      </c>
      <c r="F604" s="71"/>
    </row>
    <row r="605" customFormat="false" ht="15" hidden="false" customHeight="false" outlineLevel="0" collapsed="false">
      <c r="A605" s="71"/>
      <c r="B605" s="72"/>
      <c r="C605" s="72"/>
      <c r="D605" s="72"/>
      <c r="E605" s="78" t="str">
        <f aca="false">IF(OR(B605="",C605=""),"",DATE(B605,1,4)-WEEKDAY(DATE(B605,1,4),2)+1+(C605-1)*7)</f>
        <v/>
      </c>
      <c r="F605" s="71"/>
    </row>
    <row r="606" customFormat="false" ht="15" hidden="false" customHeight="false" outlineLevel="0" collapsed="false">
      <c r="A606" s="71"/>
      <c r="B606" s="72"/>
      <c r="C606" s="72"/>
      <c r="D606" s="72"/>
      <c r="E606" s="78" t="str">
        <f aca="false">IF(OR(B606="",C606=""),"",DATE(B606,1,4)-WEEKDAY(DATE(B606,1,4),2)+1+(C606-1)*7)</f>
        <v/>
      </c>
      <c r="F606" s="71"/>
    </row>
    <row r="607" customFormat="false" ht="15" hidden="false" customHeight="false" outlineLevel="0" collapsed="false">
      <c r="A607" s="71"/>
      <c r="B607" s="72"/>
      <c r="C607" s="72"/>
      <c r="D607" s="72"/>
      <c r="E607" s="78" t="str">
        <f aca="false">IF(OR(B607="",C607=""),"",DATE(B607,1,4)-WEEKDAY(DATE(B607,1,4),2)+1+(C607-1)*7)</f>
        <v/>
      </c>
      <c r="F607" s="71"/>
    </row>
    <row r="608" customFormat="false" ht="15" hidden="false" customHeight="false" outlineLevel="0" collapsed="false">
      <c r="A608" s="71"/>
      <c r="B608" s="72"/>
      <c r="C608" s="72"/>
      <c r="D608" s="72"/>
      <c r="E608" s="78" t="str">
        <f aca="false">IF(OR(B608="",C608=""),"",DATE(B608,1,4)-WEEKDAY(DATE(B608,1,4),2)+1+(C608-1)*7)</f>
        <v/>
      </c>
      <c r="F608" s="71"/>
    </row>
    <row r="609" customFormat="false" ht="15" hidden="false" customHeight="false" outlineLevel="0" collapsed="false">
      <c r="A609" s="71"/>
      <c r="B609" s="72"/>
      <c r="C609" s="72"/>
      <c r="D609" s="72"/>
      <c r="E609" s="78" t="str">
        <f aca="false">IF(OR(B609="",C609=""),"",DATE(B609,1,4)-WEEKDAY(DATE(B609,1,4),2)+1+(C609-1)*7)</f>
        <v/>
      </c>
      <c r="F609" s="71"/>
    </row>
    <row r="610" customFormat="false" ht="15" hidden="false" customHeight="false" outlineLevel="0" collapsed="false">
      <c r="A610" s="71"/>
      <c r="B610" s="72"/>
      <c r="C610" s="72"/>
      <c r="D610" s="72"/>
      <c r="E610" s="78" t="str">
        <f aca="false">IF(OR(B610="",C610=""),"",DATE(B610,1,4)-WEEKDAY(DATE(B610,1,4),2)+1+(C610-1)*7)</f>
        <v/>
      </c>
      <c r="F610" s="71"/>
    </row>
    <row r="611" customFormat="false" ht="15" hidden="false" customHeight="false" outlineLevel="0" collapsed="false">
      <c r="A611" s="71"/>
      <c r="B611" s="72"/>
      <c r="C611" s="72"/>
      <c r="D611" s="72"/>
      <c r="E611" s="78" t="str">
        <f aca="false">IF(OR(B611="",C611=""),"",DATE(B611,1,4)-WEEKDAY(DATE(B611,1,4),2)+1+(C611-1)*7)</f>
        <v/>
      </c>
      <c r="F611" s="71"/>
    </row>
    <row r="612" customFormat="false" ht="15" hidden="false" customHeight="false" outlineLevel="0" collapsed="false">
      <c r="A612" s="71"/>
      <c r="B612" s="72"/>
      <c r="C612" s="72"/>
      <c r="D612" s="72"/>
      <c r="E612" s="78" t="str">
        <f aca="false">IF(OR(B612="",C612=""),"",DATE(B612,1,4)-WEEKDAY(DATE(B612,1,4),2)+1+(C612-1)*7)</f>
        <v/>
      </c>
      <c r="F612" s="71"/>
    </row>
    <row r="613" customFormat="false" ht="15" hidden="false" customHeight="false" outlineLevel="0" collapsed="false">
      <c r="A613" s="71"/>
      <c r="B613" s="72"/>
      <c r="C613" s="72"/>
      <c r="D613" s="72"/>
      <c r="E613" s="78" t="str">
        <f aca="false">IF(OR(B613="",C613=""),"",DATE(B613,1,4)-WEEKDAY(DATE(B613,1,4),2)+1+(C613-1)*7)</f>
        <v/>
      </c>
      <c r="F613" s="71"/>
    </row>
    <row r="614" customFormat="false" ht="15" hidden="false" customHeight="false" outlineLevel="0" collapsed="false">
      <c r="A614" s="71"/>
      <c r="B614" s="72"/>
      <c r="C614" s="72"/>
      <c r="D614" s="72"/>
      <c r="E614" s="78" t="str">
        <f aca="false">IF(OR(B614="",C614=""),"",DATE(B614,1,4)-WEEKDAY(DATE(B614,1,4),2)+1+(C614-1)*7)</f>
        <v/>
      </c>
      <c r="F614" s="71"/>
    </row>
    <row r="615" customFormat="false" ht="15" hidden="false" customHeight="false" outlineLevel="0" collapsed="false">
      <c r="A615" s="71"/>
      <c r="B615" s="72"/>
      <c r="C615" s="72"/>
      <c r="D615" s="72"/>
      <c r="E615" s="78" t="str">
        <f aca="false">IF(OR(B615="",C615=""),"",DATE(B615,1,4)-WEEKDAY(DATE(B615,1,4),2)+1+(C615-1)*7)</f>
        <v/>
      </c>
      <c r="F615" s="71"/>
    </row>
    <row r="616" customFormat="false" ht="15" hidden="false" customHeight="false" outlineLevel="0" collapsed="false">
      <c r="A616" s="71"/>
      <c r="B616" s="72"/>
      <c r="C616" s="72"/>
      <c r="D616" s="72"/>
      <c r="E616" s="78" t="str">
        <f aca="false">IF(OR(B616="",C616=""),"",DATE(B616,1,4)-WEEKDAY(DATE(B616,1,4),2)+1+(C616-1)*7)</f>
        <v/>
      </c>
      <c r="F616" s="71"/>
    </row>
    <row r="617" customFormat="false" ht="15" hidden="false" customHeight="false" outlineLevel="0" collapsed="false">
      <c r="A617" s="71"/>
      <c r="B617" s="72"/>
      <c r="C617" s="72"/>
      <c r="D617" s="72"/>
      <c r="E617" s="78" t="str">
        <f aca="false">IF(OR(B617="",C617=""),"",DATE(B617,1,4)-WEEKDAY(DATE(B617,1,4),2)+1+(C617-1)*7)</f>
        <v/>
      </c>
      <c r="F617" s="71"/>
    </row>
    <row r="618" customFormat="false" ht="15" hidden="false" customHeight="false" outlineLevel="0" collapsed="false">
      <c r="A618" s="71"/>
      <c r="B618" s="72"/>
      <c r="C618" s="72"/>
      <c r="D618" s="72"/>
      <c r="E618" s="78" t="str">
        <f aca="false">IF(OR(B618="",C618=""),"",DATE(B618,1,4)-WEEKDAY(DATE(B618,1,4),2)+1+(C618-1)*7)</f>
        <v/>
      </c>
      <c r="F618" s="71"/>
    </row>
    <row r="619" customFormat="false" ht="15" hidden="false" customHeight="false" outlineLevel="0" collapsed="false">
      <c r="A619" s="71"/>
      <c r="B619" s="72"/>
      <c r="C619" s="72"/>
      <c r="D619" s="72"/>
      <c r="E619" s="78" t="str">
        <f aca="false">IF(OR(B619="",C619=""),"",DATE(B619,1,4)-WEEKDAY(DATE(B619,1,4),2)+1+(C619-1)*7)</f>
        <v/>
      </c>
      <c r="F619" s="71"/>
    </row>
    <row r="620" customFormat="false" ht="15" hidden="false" customHeight="false" outlineLevel="0" collapsed="false">
      <c r="A620" s="71"/>
      <c r="B620" s="72"/>
      <c r="C620" s="72"/>
      <c r="D620" s="72"/>
      <c r="E620" s="78" t="str">
        <f aca="false">IF(OR(B620="",C620=""),"",DATE(B620,1,4)-WEEKDAY(DATE(B620,1,4),2)+1+(C620-1)*7)</f>
        <v/>
      </c>
      <c r="F620" s="71"/>
    </row>
    <row r="621" customFormat="false" ht="15" hidden="false" customHeight="false" outlineLevel="0" collapsed="false">
      <c r="A621" s="71"/>
      <c r="B621" s="72"/>
      <c r="C621" s="72"/>
      <c r="D621" s="72"/>
      <c r="E621" s="78" t="str">
        <f aca="false">IF(OR(B621="",C621=""),"",DATE(B621,1,4)-WEEKDAY(DATE(B621,1,4),2)+1+(C621-1)*7)</f>
        <v/>
      </c>
      <c r="F621" s="71"/>
    </row>
    <row r="622" customFormat="false" ht="15" hidden="false" customHeight="false" outlineLevel="0" collapsed="false">
      <c r="A622" s="71"/>
      <c r="B622" s="72"/>
      <c r="C622" s="72"/>
      <c r="D622" s="72"/>
      <c r="E622" s="78" t="str">
        <f aca="false">IF(OR(B622="",C622=""),"",DATE(B622,1,4)-WEEKDAY(DATE(B622,1,4),2)+1+(C622-1)*7)</f>
        <v/>
      </c>
      <c r="F622" s="71"/>
    </row>
    <row r="623" customFormat="false" ht="15" hidden="false" customHeight="false" outlineLevel="0" collapsed="false">
      <c r="A623" s="71"/>
      <c r="B623" s="72"/>
      <c r="C623" s="72"/>
      <c r="D623" s="72"/>
      <c r="E623" s="78" t="str">
        <f aca="false">IF(OR(B623="",C623=""),"",DATE(B623,1,4)-WEEKDAY(DATE(B623,1,4),2)+1+(C623-1)*7)</f>
        <v/>
      </c>
      <c r="F623" s="71"/>
    </row>
    <row r="624" customFormat="false" ht="15" hidden="false" customHeight="false" outlineLevel="0" collapsed="false">
      <c r="A624" s="71"/>
      <c r="B624" s="72"/>
      <c r="C624" s="72"/>
      <c r="D624" s="72"/>
      <c r="E624" s="78" t="str">
        <f aca="false">IF(OR(B624="",C624=""),"",DATE(B624,1,4)-WEEKDAY(DATE(B624,1,4),2)+1+(C624-1)*7)</f>
        <v/>
      </c>
      <c r="F624" s="71"/>
    </row>
    <row r="625" customFormat="false" ht="15" hidden="false" customHeight="false" outlineLevel="0" collapsed="false">
      <c r="A625" s="71"/>
      <c r="B625" s="72"/>
      <c r="C625" s="72"/>
      <c r="D625" s="72"/>
      <c r="E625" s="78" t="str">
        <f aca="false">IF(OR(B625="",C625=""),"",DATE(B625,1,4)-WEEKDAY(DATE(B625,1,4),2)+1+(C625-1)*7)</f>
        <v/>
      </c>
      <c r="F625" s="71"/>
    </row>
    <row r="626" customFormat="false" ht="15" hidden="false" customHeight="false" outlineLevel="0" collapsed="false">
      <c r="A626" s="71"/>
      <c r="B626" s="72"/>
      <c r="C626" s="72"/>
      <c r="D626" s="72"/>
      <c r="E626" s="78" t="str">
        <f aca="false">IF(OR(B626="",C626=""),"",DATE(B626,1,4)-WEEKDAY(DATE(B626,1,4),2)+1+(C626-1)*7)</f>
        <v/>
      </c>
      <c r="F626" s="71"/>
    </row>
    <row r="627" customFormat="false" ht="15" hidden="false" customHeight="false" outlineLevel="0" collapsed="false">
      <c r="A627" s="71"/>
      <c r="B627" s="72"/>
      <c r="C627" s="72"/>
      <c r="D627" s="72"/>
      <c r="E627" s="78" t="str">
        <f aca="false">IF(OR(B627="",C627=""),"",DATE(B627,1,4)-WEEKDAY(DATE(B627,1,4),2)+1+(C627-1)*7)</f>
        <v/>
      </c>
      <c r="F627" s="71"/>
    </row>
    <row r="628" customFormat="false" ht="15" hidden="false" customHeight="false" outlineLevel="0" collapsed="false">
      <c r="A628" s="71"/>
      <c r="B628" s="72"/>
      <c r="C628" s="72"/>
      <c r="D628" s="72"/>
      <c r="E628" s="78" t="str">
        <f aca="false">IF(OR(B628="",C628=""),"",DATE(B628,1,4)-WEEKDAY(DATE(B628,1,4),2)+1+(C628-1)*7)</f>
        <v/>
      </c>
      <c r="F628" s="71"/>
    </row>
    <row r="629" customFormat="false" ht="15" hidden="false" customHeight="false" outlineLevel="0" collapsed="false">
      <c r="A629" s="71"/>
      <c r="B629" s="72"/>
      <c r="C629" s="72"/>
      <c r="D629" s="72"/>
      <c r="E629" s="78" t="str">
        <f aca="false">IF(OR(B629="",C629=""),"",DATE(B629,1,4)-WEEKDAY(DATE(B629,1,4),2)+1+(C629-1)*7)</f>
        <v/>
      </c>
      <c r="F629" s="71"/>
    </row>
    <row r="630" customFormat="false" ht="15" hidden="false" customHeight="false" outlineLevel="0" collapsed="false">
      <c r="A630" s="71"/>
      <c r="B630" s="72"/>
      <c r="C630" s="72"/>
      <c r="D630" s="72"/>
      <c r="E630" s="78" t="str">
        <f aca="false">IF(OR(B630="",C630=""),"",DATE(B630,1,4)-WEEKDAY(DATE(B630,1,4),2)+1+(C630-1)*7)</f>
        <v/>
      </c>
      <c r="F630" s="71"/>
    </row>
    <row r="631" customFormat="false" ht="15" hidden="false" customHeight="false" outlineLevel="0" collapsed="false">
      <c r="A631" s="71"/>
      <c r="B631" s="72"/>
      <c r="C631" s="72"/>
      <c r="D631" s="72"/>
      <c r="E631" s="78" t="str">
        <f aca="false">IF(OR(B631="",C631=""),"",DATE(B631,1,4)-WEEKDAY(DATE(B631,1,4),2)+1+(C631-1)*7)</f>
        <v/>
      </c>
      <c r="F631" s="71"/>
    </row>
    <row r="632" customFormat="false" ht="15" hidden="false" customHeight="false" outlineLevel="0" collapsed="false">
      <c r="A632" s="71"/>
      <c r="B632" s="72"/>
      <c r="C632" s="72"/>
      <c r="D632" s="72"/>
      <c r="E632" s="78" t="str">
        <f aca="false">IF(OR(B632="",C632=""),"",DATE(B632,1,4)-WEEKDAY(DATE(B632,1,4),2)+1+(C632-1)*7)</f>
        <v/>
      </c>
      <c r="F632" s="71"/>
    </row>
    <row r="633" customFormat="false" ht="15" hidden="false" customHeight="false" outlineLevel="0" collapsed="false">
      <c r="A633" s="71"/>
      <c r="B633" s="72"/>
      <c r="C633" s="72"/>
      <c r="D633" s="72"/>
      <c r="E633" s="78" t="str">
        <f aca="false">IF(OR(B633="",C633=""),"",DATE(B633,1,4)-WEEKDAY(DATE(B633,1,4),2)+1+(C633-1)*7)</f>
        <v/>
      </c>
      <c r="F633" s="71"/>
    </row>
    <row r="634" customFormat="false" ht="15" hidden="false" customHeight="false" outlineLevel="0" collapsed="false">
      <c r="A634" s="71"/>
      <c r="B634" s="72"/>
      <c r="C634" s="72"/>
      <c r="D634" s="72"/>
      <c r="E634" s="78" t="str">
        <f aca="false">IF(OR(B634="",C634=""),"",DATE(B634,1,4)-WEEKDAY(DATE(B634,1,4),2)+1+(C634-1)*7)</f>
        <v/>
      </c>
      <c r="F634" s="71"/>
    </row>
    <row r="635" customFormat="false" ht="15" hidden="false" customHeight="false" outlineLevel="0" collapsed="false">
      <c r="A635" s="71"/>
      <c r="B635" s="72"/>
      <c r="C635" s="72"/>
      <c r="D635" s="72"/>
      <c r="E635" s="78" t="str">
        <f aca="false">IF(OR(B635="",C635=""),"",DATE(B635,1,4)-WEEKDAY(DATE(B635,1,4),2)+1+(C635-1)*7)</f>
        <v/>
      </c>
      <c r="F635" s="71"/>
    </row>
    <row r="636" customFormat="false" ht="15" hidden="false" customHeight="false" outlineLevel="0" collapsed="false">
      <c r="A636" s="71"/>
      <c r="B636" s="72"/>
      <c r="C636" s="72"/>
      <c r="D636" s="72"/>
      <c r="E636" s="78" t="str">
        <f aca="false">IF(OR(B636="",C636=""),"",DATE(B636,1,4)-WEEKDAY(DATE(B636,1,4),2)+1+(C636-1)*7)</f>
        <v/>
      </c>
      <c r="F636" s="71"/>
    </row>
    <row r="637" customFormat="false" ht="15" hidden="false" customHeight="false" outlineLevel="0" collapsed="false">
      <c r="A637" s="71"/>
      <c r="B637" s="72"/>
      <c r="C637" s="72"/>
      <c r="D637" s="72"/>
      <c r="E637" s="78" t="str">
        <f aca="false">IF(OR(B637="",C637=""),"",DATE(B637,1,4)-WEEKDAY(DATE(B637,1,4),2)+1+(C637-1)*7)</f>
        <v/>
      </c>
      <c r="F637" s="71"/>
    </row>
    <row r="638" customFormat="false" ht="15" hidden="false" customHeight="false" outlineLevel="0" collapsed="false">
      <c r="A638" s="71"/>
      <c r="B638" s="72"/>
      <c r="C638" s="72"/>
      <c r="D638" s="72"/>
      <c r="E638" s="78" t="str">
        <f aca="false">IF(OR(B638="",C638=""),"",DATE(B638,1,4)-WEEKDAY(DATE(B638,1,4),2)+1+(C638-1)*7)</f>
        <v/>
      </c>
      <c r="F638" s="71"/>
    </row>
    <row r="639" customFormat="false" ht="15" hidden="false" customHeight="false" outlineLevel="0" collapsed="false">
      <c r="A639" s="71"/>
      <c r="B639" s="72"/>
      <c r="C639" s="72"/>
      <c r="D639" s="72"/>
      <c r="E639" s="78" t="str">
        <f aca="false">IF(OR(B639="",C639=""),"",DATE(B639,1,4)-WEEKDAY(DATE(B639,1,4),2)+1+(C639-1)*7)</f>
        <v/>
      </c>
      <c r="F639" s="71"/>
    </row>
    <row r="640" customFormat="false" ht="15" hidden="false" customHeight="false" outlineLevel="0" collapsed="false">
      <c r="A640" s="71"/>
      <c r="B640" s="72"/>
      <c r="C640" s="72"/>
      <c r="D640" s="72"/>
      <c r="E640" s="78" t="str">
        <f aca="false">IF(OR(B640="",C640=""),"",DATE(B640,1,4)-WEEKDAY(DATE(B640,1,4),2)+1+(C640-1)*7)</f>
        <v/>
      </c>
      <c r="F640" s="71"/>
    </row>
    <row r="641" customFormat="false" ht="15" hidden="false" customHeight="false" outlineLevel="0" collapsed="false">
      <c r="A641" s="71"/>
      <c r="B641" s="72"/>
      <c r="C641" s="72"/>
      <c r="D641" s="72"/>
      <c r="E641" s="78" t="str">
        <f aca="false">IF(OR(B641="",C641=""),"",DATE(B641,1,4)-WEEKDAY(DATE(B641,1,4),2)+1+(C641-1)*7)</f>
        <v/>
      </c>
      <c r="F641" s="71"/>
    </row>
    <row r="642" customFormat="false" ht="15" hidden="false" customHeight="false" outlineLevel="0" collapsed="false">
      <c r="A642" s="71"/>
      <c r="B642" s="72"/>
      <c r="C642" s="72"/>
      <c r="D642" s="72"/>
      <c r="E642" s="78" t="str">
        <f aca="false">IF(OR(B642="",C642=""),"",DATE(B642,1,4)-WEEKDAY(DATE(B642,1,4),2)+1+(C642-1)*7)</f>
        <v/>
      </c>
      <c r="F642" s="71"/>
    </row>
    <row r="643" customFormat="false" ht="15" hidden="false" customHeight="false" outlineLevel="0" collapsed="false">
      <c r="A643" s="71"/>
      <c r="B643" s="72"/>
      <c r="C643" s="72"/>
      <c r="D643" s="72"/>
      <c r="E643" s="78" t="str">
        <f aca="false">IF(OR(B643="",C643=""),"",DATE(B643,1,4)-WEEKDAY(DATE(B643,1,4),2)+1+(C643-1)*7)</f>
        <v/>
      </c>
      <c r="F643" s="71"/>
    </row>
    <row r="644" customFormat="false" ht="15" hidden="false" customHeight="false" outlineLevel="0" collapsed="false">
      <c r="A644" s="71"/>
      <c r="B644" s="72"/>
      <c r="C644" s="72"/>
      <c r="D644" s="72"/>
      <c r="E644" s="78" t="str">
        <f aca="false">IF(OR(B644="",C644=""),"",DATE(B644,1,4)-WEEKDAY(DATE(B644,1,4),2)+1+(C644-1)*7)</f>
        <v/>
      </c>
      <c r="F644" s="71"/>
    </row>
    <row r="645" customFormat="false" ht="15" hidden="false" customHeight="false" outlineLevel="0" collapsed="false">
      <c r="A645" s="71"/>
      <c r="B645" s="72"/>
      <c r="C645" s="72"/>
      <c r="D645" s="72"/>
      <c r="E645" s="78" t="str">
        <f aca="false">IF(OR(B645="",C645=""),"",DATE(B645,1,4)-WEEKDAY(DATE(B645,1,4),2)+1+(C645-1)*7)</f>
        <v/>
      </c>
      <c r="F645" s="71"/>
    </row>
    <row r="646" customFormat="false" ht="15" hidden="false" customHeight="false" outlineLevel="0" collapsed="false">
      <c r="A646" s="71"/>
      <c r="B646" s="72"/>
      <c r="C646" s="72"/>
      <c r="D646" s="72"/>
      <c r="E646" s="78" t="str">
        <f aca="false">IF(OR(B646="",C646=""),"",DATE(B646,1,4)-WEEKDAY(DATE(B646,1,4),2)+1+(C646-1)*7)</f>
        <v/>
      </c>
      <c r="F646" s="71"/>
    </row>
    <row r="647" customFormat="false" ht="15" hidden="false" customHeight="false" outlineLevel="0" collapsed="false">
      <c r="A647" s="71"/>
      <c r="B647" s="72"/>
      <c r="C647" s="72"/>
      <c r="D647" s="72"/>
      <c r="E647" s="78" t="str">
        <f aca="false">IF(OR(B647="",C647=""),"",DATE(B647,1,4)-WEEKDAY(DATE(B647,1,4),2)+1+(C647-1)*7)</f>
        <v/>
      </c>
      <c r="F647" s="71"/>
    </row>
    <row r="648" customFormat="false" ht="15" hidden="false" customHeight="false" outlineLevel="0" collapsed="false">
      <c r="A648" s="71"/>
      <c r="B648" s="72"/>
      <c r="C648" s="72"/>
      <c r="D648" s="72"/>
      <c r="E648" s="78" t="str">
        <f aca="false">IF(OR(B648="",C648=""),"",DATE(B648,1,4)-WEEKDAY(DATE(B648,1,4),2)+1+(C648-1)*7)</f>
        <v/>
      </c>
      <c r="F648" s="71"/>
    </row>
    <row r="649" customFormat="false" ht="15" hidden="false" customHeight="false" outlineLevel="0" collapsed="false">
      <c r="A649" s="71"/>
      <c r="B649" s="72"/>
      <c r="C649" s="72"/>
      <c r="D649" s="72"/>
      <c r="E649" s="78" t="str">
        <f aca="false">IF(OR(B649="",C649=""),"",DATE(B649,1,4)-WEEKDAY(DATE(B649,1,4),2)+1+(C649-1)*7)</f>
        <v/>
      </c>
      <c r="F649" s="71"/>
    </row>
    <row r="650" customFormat="false" ht="15" hidden="false" customHeight="false" outlineLevel="0" collapsed="false">
      <c r="A650" s="71"/>
      <c r="B650" s="72"/>
      <c r="C650" s="72"/>
      <c r="D650" s="72"/>
      <c r="E650" s="78" t="str">
        <f aca="false">IF(OR(B650="",C650=""),"",DATE(B650,1,4)-WEEKDAY(DATE(B650,1,4),2)+1+(C650-1)*7)</f>
        <v/>
      </c>
      <c r="F650" s="71"/>
    </row>
    <row r="651" customFormat="false" ht="15" hidden="false" customHeight="false" outlineLevel="0" collapsed="false">
      <c r="A651" s="71"/>
      <c r="B651" s="72"/>
      <c r="C651" s="72"/>
      <c r="D651" s="72"/>
      <c r="E651" s="78" t="str">
        <f aca="false">IF(OR(B651="",C651=""),"",DATE(B651,1,4)-WEEKDAY(DATE(B651,1,4),2)+1+(C651-1)*7)</f>
        <v/>
      </c>
      <c r="F651" s="71"/>
    </row>
    <row r="652" customFormat="false" ht="15" hidden="false" customHeight="false" outlineLevel="0" collapsed="false">
      <c r="A652" s="71"/>
      <c r="B652" s="72"/>
      <c r="C652" s="72"/>
      <c r="D652" s="72"/>
      <c r="E652" s="78" t="str">
        <f aca="false">IF(OR(B652="",C652=""),"",DATE(B652,1,4)-WEEKDAY(DATE(B652,1,4),2)+1+(C652-1)*7)</f>
        <v/>
      </c>
      <c r="F652" s="71"/>
    </row>
    <row r="653" customFormat="false" ht="15" hidden="false" customHeight="false" outlineLevel="0" collapsed="false">
      <c r="A653" s="71"/>
      <c r="B653" s="72"/>
      <c r="C653" s="72"/>
      <c r="D653" s="72"/>
      <c r="E653" s="78" t="str">
        <f aca="false">IF(OR(B653="",C653=""),"",DATE(B653,1,4)-WEEKDAY(DATE(B653,1,4),2)+1+(C653-1)*7)</f>
        <v/>
      </c>
      <c r="F653" s="71"/>
    </row>
    <row r="654" customFormat="false" ht="15" hidden="false" customHeight="false" outlineLevel="0" collapsed="false">
      <c r="A654" s="71"/>
      <c r="B654" s="72"/>
      <c r="C654" s="72"/>
      <c r="D654" s="72"/>
      <c r="E654" s="78" t="str">
        <f aca="false">IF(OR(B654="",C654=""),"",DATE(B654,1,4)-WEEKDAY(DATE(B654,1,4),2)+1+(C654-1)*7)</f>
        <v/>
      </c>
      <c r="F654" s="71"/>
    </row>
    <row r="655" customFormat="false" ht="15" hidden="false" customHeight="false" outlineLevel="0" collapsed="false">
      <c r="A655" s="71"/>
      <c r="B655" s="72"/>
      <c r="C655" s="72"/>
      <c r="D655" s="72"/>
      <c r="E655" s="78" t="str">
        <f aca="false">IF(OR(B655="",C655=""),"",DATE(B655,1,4)-WEEKDAY(DATE(B655,1,4),2)+1+(C655-1)*7)</f>
        <v/>
      </c>
      <c r="F655" s="71"/>
    </row>
    <row r="656" customFormat="false" ht="15" hidden="false" customHeight="false" outlineLevel="0" collapsed="false">
      <c r="A656" s="71"/>
      <c r="B656" s="72"/>
      <c r="C656" s="72"/>
      <c r="D656" s="72"/>
      <c r="E656" s="78" t="str">
        <f aca="false">IF(OR(B656="",C656=""),"",DATE(B656,1,4)-WEEKDAY(DATE(B656,1,4),2)+1+(C656-1)*7)</f>
        <v/>
      </c>
      <c r="F656" s="71"/>
    </row>
    <row r="657" customFormat="false" ht="15" hidden="false" customHeight="false" outlineLevel="0" collapsed="false">
      <c r="A657" s="71"/>
      <c r="B657" s="72"/>
      <c r="C657" s="72"/>
      <c r="D657" s="72"/>
      <c r="E657" s="78" t="str">
        <f aca="false">IF(OR(B657="",C657=""),"",DATE(B657,1,4)-WEEKDAY(DATE(B657,1,4),2)+1+(C657-1)*7)</f>
        <v/>
      </c>
      <c r="F657" s="71"/>
    </row>
    <row r="658" customFormat="false" ht="15" hidden="false" customHeight="false" outlineLevel="0" collapsed="false">
      <c r="A658" s="71"/>
      <c r="B658" s="72"/>
      <c r="C658" s="72"/>
      <c r="D658" s="72"/>
      <c r="E658" s="78" t="str">
        <f aca="false">IF(OR(B658="",C658=""),"",DATE(B658,1,4)-WEEKDAY(DATE(B658,1,4),2)+1+(C658-1)*7)</f>
        <v/>
      </c>
      <c r="F658" s="71"/>
    </row>
    <row r="659" customFormat="false" ht="15" hidden="false" customHeight="false" outlineLevel="0" collapsed="false">
      <c r="A659" s="71"/>
      <c r="B659" s="72"/>
      <c r="C659" s="72"/>
      <c r="D659" s="72"/>
      <c r="E659" s="78" t="str">
        <f aca="false">IF(OR(B659="",C659=""),"",DATE(B659,1,4)-WEEKDAY(DATE(B659,1,4),2)+1+(C659-1)*7)</f>
        <v/>
      </c>
      <c r="F659" s="71"/>
    </row>
    <row r="660" customFormat="false" ht="15" hidden="false" customHeight="false" outlineLevel="0" collapsed="false">
      <c r="A660" s="71"/>
      <c r="B660" s="72"/>
      <c r="C660" s="72"/>
      <c r="D660" s="72"/>
      <c r="E660" s="78" t="str">
        <f aca="false">IF(OR(B660="",C660=""),"",DATE(B660,1,4)-WEEKDAY(DATE(B660,1,4),2)+1+(C660-1)*7)</f>
        <v/>
      </c>
      <c r="F660" s="71"/>
    </row>
    <row r="661" customFormat="false" ht="15" hidden="false" customHeight="false" outlineLevel="0" collapsed="false">
      <c r="A661" s="71"/>
      <c r="B661" s="72"/>
      <c r="C661" s="72"/>
      <c r="D661" s="72"/>
      <c r="E661" s="78" t="str">
        <f aca="false">IF(OR(B661="",C661=""),"",DATE(B661,1,4)-WEEKDAY(DATE(B661,1,4),2)+1+(C661-1)*7)</f>
        <v/>
      </c>
      <c r="F661" s="71"/>
    </row>
    <row r="662" customFormat="false" ht="15" hidden="false" customHeight="false" outlineLevel="0" collapsed="false">
      <c r="A662" s="71"/>
      <c r="B662" s="72"/>
      <c r="C662" s="72"/>
      <c r="D662" s="72"/>
      <c r="E662" s="78" t="str">
        <f aca="false">IF(OR(B662="",C662=""),"",DATE(B662,1,4)-WEEKDAY(DATE(B662,1,4),2)+1+(C662-1)*7)</f>
        <v/>
      </c>
      <c r="F662" s="71"/>
    </row>
    <row r="663" customFormat="false" ht="15" hidden="false" customHeight="false" outlineLevel="0" collapsed="false">
      <c r="A663" s="71"/>
      <c r="B663" s="72"/>
      <c r="C663" s="72"/>
      <c r="D663" s="72"/>
      <c r="E663" s="78" t="str">
        <f aca="false">IF(OR(B663="",C663=""),"",DATE(B663,1,4)-WEEKDAY(DATE(B663,1,4),2)+1+(C663-1)*7)</f>
        <v/>
      </c>
      <c r="F663" s="71"/>
    </row>
    <row r="664" customFormat="false" ht="15" hidden="false" customHeight="false" outlineLevel="0" collapsed="false">
      <c r="A664" s="71"/>
      <c r="B664" s="72"/>
      <c r="C664" s="72"/>
      <c r="D664" s="72"/>
      <c r="E664" s="78" t="str">
        <f aca="false">IF(OR(B664="",C664=""),"",DATE(B664,1,4)-WEEKDAY(DATE(B664,1,4),2)+1+(C664-1)*7)</f>
        <v/>
      </c>
      <c r="F664" s="71"/>
    </row>
    <row r="665" customFormat="false" ht="15" hidden="false" customHeight="false" outlineLevel="0" collapsed="false">
      <c r="A665" s="71"/>
      <c r="B665" s="72"/>
      <c r="C665" s="72"/>
      <c r="D665" s="72"/>
      <c r="E665" s="78" t="str">
        <f aca="false">IF(OR(B665="",C665=""),"",DATE(B665,1,4)-WEEKDAY(DATE(B665,1,4),2)+1+(C665-1)*7)</f>
        <v/>
      </c>
      <c r="F665" s="71"/>
    </row>
    <row r="666" customFormat="false" ht="15" hidden="false" customHeight="false" outlineLevel="0" collapsed="false">
      <c r="A666" s="71"/>
      <c r="B666" s="72"/>
      <c r="C666" s="72"/>
      <c r="D666" s="72"/>
      <c r="E666" s="78" t="str">
        <f aca="false">IF(OR(B666="",C666=""),"",DATE(B666,1,4)-WEEKDAY(DATE(B666,1,4),2)+1+(C666-1)*7)</f>
        <v/>
      </c>
      <c r="F666" s="71"/>
    </row>
    <row r="667" customFormat="false" ht="15" hidden="false" customHeight="false" outlineLevel="0" collapsed="false">
      <c r="A667" s="71"/>
      <c r="B667" s="72"/>
      <c r="C667" s="72"/>
      <c r="D667" s="72"/>
      <c r="E667" s="78" t="str">
        <f aca="false">IF(OR(B667="",C667=""),"",DATE(B667,1,4)-WEEKDAY(DATE(B667,1,4),2)+1+(C667-1)*7)</f>
        <v/>
      </c>
      <c r="F667" s="71"/>
    </row>
    <row r="668" customFormat="false" ht="15" hidden="false" customHeight="false" outlineLevel="0" collapsed="false">
      <c r="A668" s="71"/>
      <c r="B668" s="72"/>
      <c r="C668" s="72"/>
      <c r="D668" s="72"/>
      <c r="E668" s="78" t="str">
        <f aca="false">IF(OR(B668="",C668=""),"",DATE(B668,1,4)-WEEKDAY(DATE(B668,1,4),2)+1+(C668-1)*7)</f>
        <v/>
      </c>
      <c r="F668" s="71"/>
    </row>
    <row r="669" customFormat="false" ht="15" hidden="false" customHeight="false" outlineLevel="0" collapsed="false">
      <c r="A669" s="71"/>
      <c r="B669" s="72"/>
      <c r="C669" s="72"/>
      <c r="D669" s="72"/>
      <c r="E669" s="78" t="str">
        <f aca="false">IF(OR(B669="",C669=""),"",DATE(B669,1,4)-WEEKDAY(DATE(B669,1,4),2)+1+(C669-1)*7)</f>
        <v/>
      </c>
      <c r="F669" s="71"/>
    </row>
    <row r="670" customFormat="false" ht="15" hidden="false" customHeight="false" outlineLevel="0" collapsed="false">
      <c r="A670" s="71"/>
      <c r="B670" s="72"/>
      <c r="C670" s="72"/>
      <c r="D670" s="72"/>
      <c r="E670" s="78" t="str">
        <f aca="false">IF(OR(B670="",C670=""),"",DATE(B670,1,4)-WEEKDAY(DATE(B670,1,4),2)+1+(C670-1)*7)</f>
        <v/>
      </c>
      <c r="F670" s="71"/>
    </row>
    <row r="671" customFormat="false" ht="15" hidden="false" customHeight="false" outlineLevel="0" collapsed="false">
      <c r="A671" s="71"/>
      <c r="B671" s="72"/>
      <c r="C671" s="72"/>
      <c r="D671" s="72"/>
      <c r="E671" s="78" t="str">
        <f aca="false">IF(OR(B671="",C671=""),"",DATE(B671,1,4)-WEEKDAY(DATE(B671,1,4),2)+1+(C671-1)*7)</f>
        <v/>
      </c>
      <c r="F671" s="71"/>
    </row>
    <row r="672" customFormat="false" ht="15" hidden="false" customHeight="false" outlineLevel="0" collapsed="false">
      <c r="A672" s="71"/>
      <c r="B672" s="72"/>
      <c r="C672" s="72"/>
      <c r="D672" s="72"/>
      <c r="E672" s="78" t="str">
        <f aca="false">IF(OR(B672="",C672=""),"",DATE(B672,1,4)-WEEKDAY(DATE(B672,1,4),2)+1+(C672-1)*7)</f>
        <v/>
      </c>
      <c r="F672" s="71"/>
    </row>
    <row r="673" customFormat="false" ht="15" hidden="false" customHeight="false" outlineLevel="0" collapsed="false">
      <c r="A673" s="71"/>
      <c r="B673" s="72"/>
      <c r="C673" s="72"/>
      <c r="D673" s="72"/>
      <c r="E673" s="78" t="str">
        <f aca="false">IF(OR(B673="",C673=""),"",DATE(B673,1,4)-WEEKDAY(DATE(B673,1,4),2)+1+(C673-1)*7)</f>
        <v/>
      </c>
      <c r="F673" s="71"/>
    </row>
    <row r="674" customFormat="false" ht="15" hidden="false" customHeight="false" outlineLevel="0" collapsed="false">
      <c r="A674" s="71"/>
      <c r="B674" s="72"/>
      <c r="C674" s="72"/>
      <c r="D674" s="72"/>
      <c r="E674" s="78" t="str">
        <f aca="false">IF(OR(B674="",C674=""),"",DATE(B674,1,4)-WEEKDAY(DATE(B674,1,4),2)+1+(C674-1)*7)</f>
        <v/>
      </c>
      <c r="F674" s="71"/>
    </row>
    <row r="675" customFormat="false" ht="15" hidden="false" customHeight="false" outlineLevel="0" collapsed="false">
      <c r="A675" s="71"/>
      <c r="B675" s="72"/>
      <c r="C675" s="72"/>
      <c r="D675" s="72"/>
      <c r="E675" s="78" t="str">
        <f aca="false">IF(OR(B675="",C675=""),"",DATE(B675,1,4)-WEEKDAY(DATE(B675,1,4),2)+1+(C675-1)*7)</f>
        <v/>
      </c>
      <c r="F675" s="71"/>
    </row>
    <row r="676" customFormat="false" ht="15" hidden="false" customHeight="false" outlineLevel="0" collapsed="false">
      <c r="A676" s="71"/>
      <c r="B676" s="72"/>
      <c r="C676" s="72"/>
      <c r="D676" s="72"/>
      <c r="E676" s="78" t="str">
        <f aca="false">IF(OR(B676="",C676=""),"",DATE(B676,1,4)-WEEKDAY(DATE(B676,1,4),2)+1+(C676-1)*7)</f>
        <v/>
      </c>
      <c r="F676" s="71"/>
    </row>
    <row r="677" customFormat="false" ht="15" hidden="false" customHeight="false" outlineLevel="0" collapsed="false">
      <c r="A677" s="71"/>
      <c r="B677" s="72"/>
      <c r="C677" s="72"/>
      <c r="D677" s="72"/>
      <c r="E677" s="78" t="str">
        <f aca="false">IF(OR(B677="",C677=""),"",DATE(B677,1,4)-WEEKDAY(DATE(B677,1,4),2)+1+(C677-1)*7)</f>
        <v/>
      </c>
      <c r="F677" s="71"/>
    </row>
    <row r="678" customFormat="false" ht="15" hidden="false" customHeight="false" outlineLevel="0" collapsed="false">
      <c r="A678" s="71"/>
      <c r="B678" s="72"/>
      <c r="C678" s="72"/>
      <c r="D678" s="72"/>
      <c r="E678" s="78" t="str">
        <f aca="false">IF(OR(B678="",C678=""),"",DATE(B678,1,4)-WEEKDAY(DATE(B678,1,4),2)+1+(C678-1)*7)</f>
        <v/>
      </c>
      <c r="F678" s="71"/>
    </row>
    <row r="679" customFormat="false" ht="15" hidden="false" customHeight="false" outlineLevel="0" collapsed="false">
      <c r="A679" s="71"/>
      <c r="B679" s="72"/>
      <c r="C679" s="72"/>
      <c r="D679" s="72"/>
      <c r="E679" s="78" t="str">
        <f aca="false">IF(OR(B679="",C679=""),"",DATE(B679,1,4)-WEEKDAY(DATE(B679,1,4),2)+1+(C679-1)*7)</f>
        <v/>
      </c>
      <c r="F679" s="71"/>
    </row>
    <row r="680" customFormat="false" ht="15" hidden="false" customHeight="false" outlineLevel="0" collapsed="false">
      <c r="A680" s="71"/>
      <c r="B680" s="72"/>
      <c r="C680" s="72"/>
      <c r="D680" s="72"/>
      <c r="E680" s="78" t="str">
        <f aca="false">IF(OR(B680="",C680=""),"",DATE(B680,1,4)-WEEKDAY(DATE(B680,1,4),2)+1+(C680-1)*7)</f>
        <v/>
      </c>
      <c r="F680" s="71"/>
    </row>
    <row r="681" customFormat="false" ht="15" hidden="false" customHeight="false" outlineLevel="0" collapsed="false">
      <c r="A681" s="71"/>
      <c r="B681" s="72"/>
      <c r="C681" s="72"/>
      <c r="D681" s="72"/>
      <c r="E681" s="78" t="str">
        <f aca="false">IF(OR(B681="",C681=""),"",DATE(B681,1,4)-WEEKDAY(DATE(B681,1,4),2)+1+(C681-1)*7)</f>
        <v/>
      </c>
      <c r="F681" s="71"/>
    </row>
    <row r="682" customFormat="false" ht="15" hidden="false" customHeight="false" outlineLevel="0" collapsed="false">
      <c r="A682" s="71"/>
      <c r="B682" s="72"/>
      <c r="C682" s="72"/>
      <c r="D682" s="72"/>
      <c r="E682" s="78" t="str">
        <f aca="false">IF(OR(B682="",C682=""),"",DATE(B682,1,4)-WEEKDAY(DATE(B682,1,4),2)+1+(C682-1)*7)</f>
        <v/>
      </c>
      <c r="F682" s="71"/>
    </row>
    <row r="683" customFormat="false" ht="15" hidden="false" customHeight="false" outlineLevel="0" collapsed="false">
      <c r="A683" s="71"/>
      <c r="B683" s="72"/>
      <c r="C683" s="72"/>
      <c r="D683" s="72"/>
      <c r="E683" s="78" t="str">
        <f aca="false">IF(OR(B683="",C683=""),"",DATE(B683,1,4)-WEEKDAY(DATE(B683,1,4),2)+1+(C683-1)*7)</f>
        <v/>
      </c>
      <c r="F683" s="71"/>
    </row>
    <row r="684" customFormat="false" ht="15" hidden="false" customHeight="false" outlineLevel="0" collapsed="false">
      <c r="A684" s="71"/>
      <c r="B684" s="72"/>
      <c r="C684" s="72"/>
      <c r="D684" s="72"/>
      <c r="E684" s="78" t="str">
        <f aca="false">IF(OR(B684="",C684=""),"",DATE(B684,1,4)-WEEKDAY(DATE(B684,1,4),2)+1+(C684-1)*7)</f>
        <v/>
      </c>
      <c r="F684" s="71"/>
    </row>
    <row r="685" customFormat="false" ht="15" hidden="false" customHeight="false" outlineLevel="0" collapsed="false">
      <c r="A685" s="71"/>
      <c r="B685" s="72"/>
      <c r="C685" s="72"/>
      <c r="D685" s="72"/>
      <c r="E685" s="78" t="str">
        <f aca="false">IF(OR(B685="",C685=""),"",DATE(B685,1,4)-WEEKDAY(DATE(B685,1,4),2)+1+(C685-1)*7)</f>
        <v/>
      </c>
      <c r="F685" s="71"/>
    </row>
    <row r="686" customFormat="false" ht="15" hidden="false" customHeight="false" outlineLevel="0" collapsed="false">
      <c r="A686" s="71"/>
      <c r="B686" s="72"/>
      <c r="C686" s="72"/>
      <c r="D686" s="72"/>
      <c r="E686" s="78" t="str">
        <f aca="false">IF(OR(B686="",C686=""),"",DATE(B686,1,4)-WEEKDAY(DATE(B686,1,4),2)+1+(C686-1)*7)</f>
        <v/>
      </c>
      <c r="F686" s="71"/>
    </row>
    <row r="687" customFormat="false" ht="15" hidden="false" customHeight="false" outlineLevel="0" collapsed="false">
      <c r="A687" s="71"/>
      <c r="B687" s="72"/>
      <c r="C687" s="72"/>
      <c r="D687" s="72"/>
      <c r="E687" s="78" t="str">
        <f aca="false">IF(OR(B687="",C687=""),"",DATE(B687,1,4)-WEEKDAY(DATE(B687,1,4),2)+1+(C687-1)*7)</f>
        <v/>
      </c>
      <c r="F687" s="71"/>
    </row>
    <row r="688" customFormat="false" ht="15" hidden="false" customHeight="false" outlineLevel="0" collapsed="false">
      <c r="A688" s="71"/>
      <c r="B688" s="72"/>
      <c r="C688" s="72"/>
      <c r="D688" s="72"/>
      <c r="E688" s="78" t="str">
        <f aca="false">IF(OR(B688="",C688=""),"",DATE(B688,1,4)-WEEKDAY(DATE(B688,1,4),2)+1+(C688-1)*7)</f>
        <v/>
      </c>
      <c r="F688" s="71"/>
    </row>
    <row r="689" customFormat="false" ht="15" hidden="false" customHeight="false" outlineLevel="0" collapsed="false">
      <c r="A689" s="71"/>
      <c r="B689" s="72"/>
      <c r="C689" s="72"/>
      <c r="D689" s="72"/>
      <c r="E689" s="78" t="str">
        <f aca="false">IF(OR(B689="",C689=""),"",DATE(B689,1,4)-WEEKDAY(DATE(B689,1,4),2)+1+(C689-1)*7)</f>
        <v/>
      </c>
      <c r="F689" s="71"/>
    </row>
    <row r="690" customFormat="false" ht="15" hidden="false" customHeight="false" outlineLevel="0" collapsed="false">
      <c r="A690" s="71"/>
      <c r="B690" s="72"/>
      <c r="C690" s="72"/>
      <c r="D690" s="72"/>
      <c r="E690" s="78" t="str">
        <f aca="false">IF(OR(B690="",C690=""),"",DATE(B690,1,4)-WEEKDAY(DATE(B690,1,4),2)+1+(C690-1)*7)</f>
        <v/>
      </c>
      <c r="F690" s="71"/>
    </row>
    <row r="691" customFormat="false" ht="15" hidden="false" customHeight="false" outlineLevel="0" collapsed="false">
      <c r="A691" s="71"/>
      <c r="B691" s="72"/>
      <c r="C691" s="72"/>
      <c r="D691" s="72"/>
      <c r="E691" s="78" t="str">
        <f aca="false">IF(OR(B691="",C691=""),"",DATE(B691,1,4)-WEEKDAY(DATE(B691,1,4),2)+1+(C691-1)*7)</f>
        <v/>
      </c>
      <c r="F691" s="71"/>
    </row>
    <row r="692" customFormat="false" ht="15" hidden="false" customHeight="false" outlineLevel="0" collapsed="false">
      <c r="A692" s="71"/>
      <c r="B692" s="72"/>
      <c r="C692" s="72"/>
      <c r="D692" s="72"/>
      <c r="E692" s="78" t="str">
        <f aca="false">IF(OR(B692="",C692=""),"",DATE(B692,1,4)-WEEKDAY(DATE(B692,1,4),2)+1+(C692-1)*7)</f>
        <v/>
      </c>
      <c r="F692" s="71"/>
    </row>
    <row r="693" customFormat="false" ht="15" hidden="false" customHeight="false" outlineLevel="0" collapsed="false">
      <c r="A693" s="71"/>
      <c r="B693" s="72"/>
      <c r="C693" s="72"/>
      <c r="D693" s="72"/>
      <c r="E693" s="78" t="str">
        <f aca="false">IF(OR(B693="",C693=""),"",DATE(B693,1,4)-WEEKDAY(DATE(B693,1,4),2)+1+(C693-1)*7)</f>
        <v/>
      </c>
      <c r="F693" s="71"/>
    </row>
    <row r="694" customFormat="false" ht="15" hidden="false" customHeight="false" outlineLevel="0" collapsed="false">
      <c r="A694" s="71"/>
      <c r="B694" s="72"/>
      <c r="C694" s="72"/>
      <c r="D694" s="72"/>
      <c r="E694" s="78" t="str">
        <f aca="false">IF(OR(B694="",C694=""),"",DATE(B694,1,4)-WEEKDAY(DATE(B694,1,4),2)+1+(C694-1)*7)</f>
        <v/>
      </c>
      <c r="F694" s="71"/>
    </row>
    <row r="695" customFormat="false" ht="15" hidden="false" customHeight="false" outlineLevel="0" collapsed="false">
      <c r="A695" s="71"/>
      <c r="B695" s="72"/>
      <c r="C695" s="72"/>
      <c r="D695" s="72"/>
      <c r="E695" s="78" t="str">
        <f aca="false">IF(OR(B695="",C695=""),"",DATE(B695,1,4)-WEEKDAY(DATE(B695,1,4),2)+1+(C695-1)*7)</f>
        <v/>
      </c>
      <c r="F695" s="71"/>
    </row>
    <row r="696" customFormat="false" ht="15" hidden="false" customHeight="false" outlineLevel="0" collapsed="false">
      <c r="A696" s="71"/>
      <c r="B696" s="72"/>
      <c r="C696" s="72"/>
      <c r="D696" s="72"/>
      <c r="E696" s="78" t="str">
        <f aca="false">IF(OR(B696="",C696=""),"",DATE(B696,1,4)-WEEKDAY(DATE(B696,1,4),2)+1+(C696-1)*7)</f>
        <v/>
      </c>
      <c r="F696" s="71"/>
    </row>
    <row r="697" customFormat="false" ht="15" hidden="false" customHeight="false" outlineLevel="0" collapsed="false">
      <c r="A697" s="71"/>
      <c r="B697" s="72"/>
      <c r="C697" s="72"/>
      <c r="D697" s="72"/>
      <c r="E697" s="78" t="str">
        <f aca="false">IF(OR(B697="",C697=""),"",DATE(B697,1,4)-WEEKDAY(DATE(B697,1,4),2)+1+(C697-1)*7)</f>
        <v/>
      </c>
      <c r="F697" s="71"/>
    </row>
    <row r="698" customFormat="false" ht="15" hidden="false" customHeight="false" outlineLevel="0" collapsed="false">
      <c r="A698" s="71"/>
      <c r="B698" s="72"/>
      <c r="C698" s="72"/>
      <c r="D698" s="72"/>
      <c r="E698" s="78" t="str">
        <f aca="false">IF(OR(B698="",C698=""),"",DATE(B698,1,4)-WEEKDAY(DATE(B698,1,4),2)+1+(C698-1)*7)</f>
        <v/>
      </c>
      <c r="F698" s="71"/>
    </row>
    <row r="699" customFormat="false" ht="15" hidden="false" customHeight="false" outlineLevel="0" collapsed="false">
      <c r="A699" s="71"/>
      <c r="B699" s="72"/>
      <c r="C699" s="72"/>
      <c r="D699" s="72"/>
      <c r="E699" s="78" t="str">
        <f aca="false">IF(OR(B699="",C699=""),"",DATE(B699,1,4)-WEEKDAY(DATE(B699,1,4),2)+1+(C699-1)*7)</f>
        <v/>
      </c>
      <c r="F699" s="71"/>
    </row>
    <row r="700" customFormat="false" ht="15" hidden="false" customHeight="false" outlineLevel="0" collapsed="false">
      <c r="A700" s="71"/>
      <c r="B700" s="72"/>
      <c r="C700" s="72"/>
      <c r="D700" s="72"/>
      <c r="E700" s="78" t="str">
        <f aca="false">IF(OR(B700="",C700=""),"",DATE(B700,1,4)-WEEKDAY(DATE(B700,1,4),2)+1+(C700-1)*7)</f>
        <v/>
      </c>
      <c r="F700" s="71"/>
    </row>
    <row r="701" customFormat="false" ht="15" hidden="false" customHeight="false" outlineLevel="0" collapsed="false">
      <c r="A701" s="71"/>
      <c r="B701" s="72"/>
      <c r="C701" s="72"/>
      <c r="D701" s="72"/>
      <c r="E701" s="78" t="str">
        <f aca="false">IF(OR(B701="",C701=""),"",DATE(B701,1,4)-WEEKDAY(DATE(B701,1,4),2)+1+(C701-1)*7)</f>
        <v/>
      </c>
      <c r="F701" s="71"/>
    </row>
    <row r="702" customFormat="false" ht="15" hidden="false" customHeight="false" outlineLevel="0" collapsed="false">
      <c r="A702" s="71"/>
      <c r="B702" s="72"/>
      <c r="C702" s="72"/>
      <c r="D702" s="72"/>
      <c r="E702" s="78" t="str">
        <f aca="false">IF(OR(B702="",C702=""),"",DATE(B702,1,4)-WEEKDAY(DATE(B702,1,4),2)+1+(C702-1)*7)</f>
        <v/>
      </c>
      <c r="F702" s="71"/>
    </row>
    <row r="703" customFormat="false" ht="15" hidden="false" customHeight="false" outlineLevel="0" collapsed="false">
      <c r="A703" s="71"/>
      <c r="B703" s="72"/>
      <c r="C703" s="72"/>
      <c r="D703" s="72"/>
      <c r="E703" s="78" t="str">
        <f aca="false">IF(OR(B703="",C703=""),"",DATE(B703,1,4)-WEEKDAY(DATE(B703,1,4),2)+1+(C703-1)*7)</f>
        <v/>
      </c>
      <c r="F703" s="71"/>
    </row>
    <row r="704" customFormat="false" ht="15" hidden="false" customHeight="false" outlineLevel="0" collapsed="false">
      <c r="A704" s="71"/>
      <c r="B704" s="72"/>
      <c r="C704" s="72"/>
      <c r="D704" s="72"/>
      <c r="E704" s="78" t="str">
        <f aca="false">IF(OR(B704="",C704=""),"",DATE(B704,1,4)-WEEKDAY(DATE(B704,1,4),2)+1+(C704-1)*7)</f>
        <v/>
      </c>
      <c r="F704" s="71"/>
    </row>
    <row r="705" customFormat="false" ht="15" hidden="false" customHeight="false" outlineLevel="0" collapsed="false">
      <c r="A705" s="71"/>
      <c r="B705" s="72"/>
      <c r="C705" s="72"/>
      <c r="D705" s="72"/>
      <c r="E705" s="78" t="str">
        <f aca="false">IF(OR(B705="",C705=""),"",DATE(B705,1,4)-WEEKDAY(DATE(B705,1,4),2)+1+(C705-1)*7)</f>
        <v/>
      </c>
      <c r="F705" s="71"/>
    </row>
    <row r="706" customFormat="false" ht="15" hidden="false" customHeight="false" outlineLevel="0" collapsed="false">
      <c r="A706" s="71"/>
      <c r="B706" s="72"/>
      <c r="C706" s="72"/>
      <c r="D706" s="72"/>
      <c r="E706" s="78" t="str">
        <f aca="false">IF(OR(B706="",C706=""),"",DATE(B706,1,4)-WEEKDAY(DATE(B706,1,4),2)+1+(C706-1)*7)</f>
        <v/>
      </c>
      <c r="F706" s="71"/>
    </row>
    <row r="707" customFormat="false" ht="15" hidden="false" customHeight="false" outlineLevel="0" collapsed="false">
      <c r="A707" s="71"/>
      <c r="B707" s="72"/>
      <c r="C707" s="72"/>
      <c r="D707" s="72"/>
      <c r="E707" s="78" t="str">
        <f aca="false">IF(OR(B707="",C707=""),"",DATE(B707,1,4)-WEEKDAY(DATE(B707,1,4),2)+1+(C707-1)*7)</f>
        <v/>
      </c>
      <c r="F707" s="71"/>
    </row>
    <row r="708" customFormat="false" ht="15" hidden="false" customHeight="false" outlineLevel="0" collapsed="false">
      <c r="A708" s="71"/>
      <c r="B708" s="72"/>
      <c r="C708" s="72"/>
      <c r="D708" s="72"/>
      <c r="E708" s="78" t="str">
        <f aca="false">IF(OR(B708="",C708=""),"",DATE(B708,1,4)-WEEKDAY(DATE(B708,1,4),2)+1+(C708-1)*7)</f>
        <v/>
      </c>
      <c r="F708" s="71"/>
    </row>
    <row r="709" customFormat="false" ht="15" hidden="false" customHeight="false" outlineLevel="0" collapsed="false">
      <c r="A709" s="71"/>
      <c r="B709" s="72"/>
      <c r="C709" s="72"/>
      <c r="D709" s="72"/>
      <c r="E709" s="78" t="str">
        <f aca="false">IF(OR(B709="",C709=""),"",DATE(B709,1,4)-WEEKDAY(DATE(B709,1,4),2)+1+(C709-1)*7)</f>
        <v/>
      </c>
      <c r="F709" s="71"/>
    </row>
    <row r="710" customFormat="false" ht="15" hidden="false" customHeight="false" outlineLevel="0" collapsed="false">
      <c r="A710" s="71"/>
      <c r="B710" s="72"/>
      <c r="C710" s="72"/>
      <c r="D710" s="72"/>
      <c r="E710" s="78" t="str">
        <f aca="false">IF(OR(B710="",C710=""),"",DATE(B710,1,4)-WEEKDAY(DATE(B710,1,4),2)+1+(C710-1)*7)</f>
        <v/>
      </c>
      <c r="F710" s="71"/>
    </row>
    <row r="711" customFormat="false" ht="15" hidden="false" customHeight="false" outlineLevel="0" collapsed="false">
      <c r="A711" s="71"/>
      <c r="B711" s="72"/>
      <c r="C711" s="72"/>
      <c r="D711" s="72"/>
      <c r="E711" s="78" t="str">
        <f aca="false">IF(OR(B711="",C711=""),"",DATE(B711,1,4)-WEEKDAY(DATE(B711,1,4),2)+1+(C711-1)*7)</f>
        <v/>
      </c>
      <c r="F711" s="71"/>
    </row>
    <row r="712" customFormat="false" ht="15" hidden="false" customHeight="false" outlineLevel="0" collapsed="false">
      <c r="A712" s="71"/>
      <c r="B712" s="72"/>
      <c r="C712" s="72"/>
      <c r="D712" s="72"/>
      <c r="E712" s="78" t="str">
        <f aca="false">IF(OR(B712="",C712=""),"",DATE(B712,1,4)-WEEKDAY(DATE(B712,1,4),2)+1+(C712-1)*7)</f>
        <v/>
      </c>
      <c r="F712" s="71"/>
    </row>
    <row r="713" customFormat="false" ht="15" hidden="false" customHeight="false" outlineLevel="0" collapsed="false">
      <c r="A713" s="71"/>
      <c r="B713" s="72"/>
      <c r="C713" s="72"/>
      <c r="D713" s="72"/>
      <c r="E713" s="78" t="str">
        <f aca="false">IF(OR(B713="",C713=""),"",DATE(B713,1,4)-WEEKDAY(DATE(B713,1,4),2)+1+(C713-1)*7)</f>
        <v/>
      </c>
      <c r="F713" s="71"/>
    </row>
    <row r="714" customFormat="false" ht="15" hidden="false" customHeight="false" outlineLevel="0" collapsed="false">
      <c r="A714" s="71"/>
      <c r="B714" s="72"/>
      <c r="C714" s="72"/>
      <c r="D714" s="72"/>
      <c r="E714" s="78" t="str">
        <f aca="false">IF(OR(B714="",C714=""),"",DATE(B714,1,4)-WEEKDAY(DATE(B714,1,4),2)+1+(C714-1)*7)</f>
        <v/>
      </c>
      <c r="F714" s="71"/>
    </row>
    <row r="715" customFormat="false" ht="15" hidden="false" customHeight="false" outlineLevel="0" collapsed="false">
      <c r="A715" s="71"/>
      <c r="B715" s="72"/>
      <c r="C715" s="72"/>
      <c r="D715" s="72"/>
      <c r="E715" s="78" t="str">
        <f aca="false">IF(OR(B715="",C715=""),"",DATE(B715,1,4)-WEEKDAY(DATE(B715,1,4),2)+1+(C715-1)*7)</f>
        <v/>
      </c>
      <c r="F715" s="71"/>
    </row>
    <row r="716" customFormat="false" ht="15" hidden="false" customHeight="false" outlineLevel="0" collapsed="false">
      <c r="A716" s="71"/>
      <c r="B716" s="72"/>
      <c r="C716" s="72"/>
      <c r="D716" s="72"/>
      <c r="E716" s="78" t="str">
        <f aca="false">IF(OR(B716="",C716=""),"",DATE(B716,1,4)-WEEKDAY(DATE(B716,1,4),2)+1+(C716-1)*7)</f>
        <v/>
      </c>
      <c r="F716" s="71"/>
    </row>
    <row r="717" customFormat="false" ht="15" hidden="false" customHeight="false" outlineLevel="0" collapsed="false">
      <c r="A717" s="71"/>
      <c r="B717" s="72"/>
      <c r="C717" s="72"/>
      <c r="D717" s="72"/>
      <c r="E717" s="78" t="str">
        <f aca="false">IF(OR(B717="",C717=""),"",DATE(B717,1,4)-WEEKDAY(DATE(B717,1,4),2)+1+(C717-1)*7)</f>
        <v/>
      </c>
      <c r="F717" s="71"/>
    </row>
    <row r="718" customFormat="false" ht="15" hidden="false" customHeight="false" outlineLevel="0" collapsed="false">
      <c r="A718" s="71"/>
      <c r="B718" s="72"/>
      <c r="C718" s="72"/>
      <c r="D718" s="72"/>
      <c r="E718" s="78" t="str">
        <f aca="false">IF(OR(B718="",C718=""),"",DATE(B718,1,4)-WEEKDAY(DATE(B718,1,4),2)+1+(C718-1)*7)</f>
        <v/>
      </c>
      <c r="F718" s="71"/>
    </row>
    <row r="719" customFormat="false" ht="15" hidden="false" customHeight="false" outlineLevel="0" collapsed="false">
      <c r="A719" s="71"/>
      <c r="B719" s="72"/>
      <c r="C719" s="72"/>
      <c r="D719" s="72"/>
      <c r="E719" s="78" t="str">
        <f aca="false">IF(OR(B719="",C719=""),"",DATE(B719,1,4)-WEEKDAY(DATE(B719,1,4),2)+1+(C719-1)*7)</f>
        <v/>
      </c>
      <c r="F719" s="71"/>
    </row>
    <row r="720" customFormat="false" ht="15" hidden="false" customHeight="false" outlineLevel="0" collapsed="false">
      <c r="A720" s="71"/>
      <c r="B720" s="72"/>
      <c r="C720" s="72"/>
      <c r="D720" s="72"/>
      <c r="E720" s="78" t="str">
        <f aca="false">IF(OR(B720="",C720=""),"",DATE(B720,1,4)-WEEKDAY(DATE(B720,1,4),2)+1+(C720-1)*7)</f>
        <v/>
      </c>
      <c r="F720" s="71"/>
    </row>
    <row r="721" customFormat="false" ht="15" hidden="false" customHeight="false" outlineLevel="0" collapsed="false">
      <c r="A721" s="71"/>
      <c r="B721" s="72"/>
      <c r="C721" s="72"/>
      <c r="D721" s="72"/>
      <c r="E721" s="78" t="str">
        <f aca="false">IF(OR(B721="",C721=""),"",DATE(B721,1,4)-WEEKDAY(DATE(B721,1,4),2)+1+(C721-1)*7)</f>
        <v/>
      </c>
      <c r="F721" s="71"/>
    </row>
    <row r="722" customFormat="false" ht="15" hidden="false" customHeight="false" outlineLevel="0" collapsed="false">
      <c r="A722" s="71"/>
      <c r="B722" s="72"/>
      <c r="C722" s="72"/>
      <c r="D722" s="72"/>
      <c r="E722" s="78" t="str">
        <f aca="false">IF(OR(B722="",C722=""),"",DATE(B722,1,4)-WEEKDAY(DATE(B722,1,4),2)+1+(C722-1)*7)</f>
        <v/>
      </c>
      <c r="F722" s="71"/>
    </row>
    <row r="723" customFormat="false" ht="15" hidden="false" customHeight="false" outlineLevel="0" collapsed="false">
      <c r="A723" s="71"/>
      <c r="B723" s="72"/>
      <c r="C723" s="72"/>
      <c r="D723" s="72"/>
      <c r="E723" s="78" t="str">
        <f aca="false">IF(OR(B723="",C723=""),"",DATE(B723,1,4)-WEEKDAY(DATE(B723,1,4),2)+1+(C723-1)*7)</f>
        <v/>
      </c>
      <c r="F723" s="71"/>
    </row>
    <row r="724" customFormat="false" ht="15" hidden="false" customHeight="false" outlineLevel="0" collapsed="false">
      <c r="A724" s="71"/>
      <c r="B724" s="72"/>
      <c r="C724" s="72"/>
      <c r="D724" s="72"/>
      <c r="E724" s="78" t="str">
        <f aca="false">IF(OR(B724="",C724=""),"",DATE(B724,1,4)-WEEKDAY(DATE(B724,1,4),2)+1+(C724-1)*7)</f>
        <v/>
      </c>
      <c r="F724" s="71"/>
    </row>
    <row r="725" customFormat="false" ht="15" hidden="false" customHeight="false" outlineLevel="0" collapsed="false">
      <c r="A725" s="71"/>
      <c r="B725" s="72"/>
      <c r="C725" s="72"/>
      <c r="D725" s="72"/>
      <c r="E725" s="78" t="str">
        <f aca="false">IF(OR(B725="",C725=""),"",DATE(B725,1,4)-WEEKDAY(DATE(B725,1,4),2)+1+(C725-1)*7)</f>
        <v/>
      </c>
      <c r="F725" s="71"/>
    </row>
    <row r="726" customFormat="false" ht="15" hidden="false" customHeight="false" outlineLevel="0" collapsed="false">
      <c r="A726" s="71"/>
      <c r="B726" s="72"/>
      <c r="C726" s="72"/>
      <c r="D726" s="72"/>
      <c r="E726" s="78" t="str">
        <f aca="false">IF(OR(B726="",C726=""),"",DATE(B726,1,4)-WEEKDAY(DATE(B726,1,4),2)+1+(C726-1)*7)</f>
        <v/>
      </c>
      <c r="F726" s="71"/>
    </row>
    <row r="727" customFormat="false" ht="15" hidden="false" customHeight="false" outlineLevel="0" collapsed="false">
      <c r="A727" s="71"/>
      <c r="B727" s="72"/>
      <c r="C727" s="72"/>
      <c r="D727" s="72"/>
      <c r="E727" s="78" t="str">
        <f aca="false">IF(OR(B727="",C727=""),"",DATE(B727,1,4)-WEEKDAY(DATE(B727,1,4),2)+1+(C727-1)*7)</f>
        <v/>
      </c>
      <c r="F727" s="71"/>
    </row>
    <row r="728" customFormat="false" ht="15" hidden="false" customHeight="false" outlineLevel="0" collapsed="false">
      <c r="A728" s="71"/>
      <c r="B728" s="72"/>
      <c r="C728" s="72"/>
      <c r="D728" s="72"/>
      <c r="E728" s="78" t="str">
        <f aca="false">IF(OR(B728="",C728=""),"",DATE(B728,1,4)-WEEKDAY(DATE(B728,1,4),2)+1+(C728-1)*7)</f>
        <v/>
      </c>
      <c r="F728" s="71"/>
    </row>
    <row r="729" customFormat="false" ht="15" hidden="false" customHeight="false" outlineLevel="0" collapsed="false">
      <c r="A729" s="71"/>
      <c r="B729" s="72"/>
      <c r="C729" s="72"/>
      <c r="D729" s="72"/>
      <c r="E729" s="78" t="str">
        <f aca="false">IF(OR(B729="",C729=""),"",DATE(B729,1,4)-WEEKDAY(DATE(B729,1,4),2)+1+(C729-1)*7)</f>
        <v/>
      </c>
      <c r="F729" s="71"/>
    </row>
    <row r="730" customFormat="false" ht="15" hidden="false" customHeight="false" outlineLevel="0" collapsed="false">
      <c r="A730" s="71"/>
      <c r="B730" s="72"/>
      <c r="C730" s="72"/>
      <c r="D730" s="72"/>
      <c r="E730" s="78" t="str">
        <f aca="false">IF(OR(B730="",C730=""),"",DATE(B730,1,4)-WEEKDAY(DATE(B730,1,4),2)+1+(C730-1)*7)</f>
        <v/>
      </c>
      <c r="F730" s="71"/>
    </row>
    <row r="731" customFormat="false" ht="15" hidden="false" customHeight="false" outlineLevel="0" collapsed="false">
      <c r="A731" s="71"/>
      <c r="B731" s="72"/>
      <c r="C731" s="72"/>
      <c r="D731" s="72"/>
      <c r="E731" s="78" t="str">
        <f aca="false">IF(OR(B731="",C731=""),"",DATE(B731,1,4)-WEEKDAY(DATE(B731,1,4),2)+1+(C731-1)*7)</f>
        <v/>
      </c>
      <c r="F731" s="71"/>
    </row>
    <row r="732" customFormat="false" ht="15" hidden="false" customHeight="false" outlineLevel="0" collapsed="false">
      <c r="A732" s="71"/>
      <c r="B732" s="72"/>
      <c r="C732" s="72"/>
      <c r="D732" s="72"/>
      <c r="E732" s="78" t="str">
        <f aca="false">IF(OR(B732="",C732=""),"",DATE(B732,1,4)-WEEKDAY(DATE(B732,1,4),2)+1+(C732-1)*7)</f>
        <v/>
      </c>
      <c r="F732" s="71"/>
    </row>
    <row r="733" customFormat="false" ht="15" hidden="false" customHeight="false" outlineLevel="0" collapsed="false">
      <c r="A733" s="71"/>
      <c r="B733" s="72"/>
      <c r="C733" s="72"/>
      <c r="D733" s="72"/>
      <c r="E733" s="78" t="str">
        <f aca="false">IF(OR(B733="",C733=""),"",DATE(B733,1,4)-WEEKDAY(DATE(B733,1,4),2)+1+(C733-1)*7)</f>
        <v/>
      </c>
      <c r="F733" s="71"/>
    </row>
    <row r="734" customFormat="false" ht="15" hidden="false" customHeight="false" outlineLevel="0" collapsed="false">
      <c r="A734" s="71"/>
      <c r="B734" s="72"/>
      <c r="C734" s="72"/>
      <c r="D734" s="72"/>
      <c r="E734" s="78" t="str">
        <f aca="false">IF(OR(B734="",C734=""),"",DATE(B734,1,4)-WEEKDAY(DATE(B734,1,4),2)+1+(C734-1)*7)</f>
        <v/>
      </c>
      <c r="F734" s="71"/>
    </row>
    <row r="735" customFormat="false" ht="15" hidden="false" customHeight="false" outlineLevel="0" collapsed="false">
      <c r="A735" s="71"/>
      <c r="B735" s="72"/>
      <c r="C735" s="72"/>
      <c r="D735" s="72"/>
      <c r="E735" s="78" t="str">
        <f aca="false">IF(OR(B735="",C735=""),"",DATE(B735,1,4)-WEEKDAY(DATE(B735,1,4),2)+1+(C735-1)*7)</f>
        <v/>
      </c>
      <c r="F735" s="71"/>
    </row>
    <row r="736" customFormat="false" ht="15" hidden="false" customHeight="false" outlineLevel="0" collapsed="false">
      <c r="A736" s="71"/>
      <c r="B736" s="72"/>
      <c r="C736" s="72"/>
      <c r="D736" s="72"/>
      <c r="E736" s="78" t="str">
        <f aca="false">IF(OR(B736="",C736=""),"",DATE(B736,1,4)-WEEKDAY(DATE(B736,1,4),2)+1+(C736-1)*7)</f>
        <v/>
      </c>
      <c r="F736" s="71"/>
    </row>
    <row r="737" customFormat="false" ht="15" hidden="false" customHeight="false" outlineLevel="0" collapsed="false">
      <c r="A737" s="71"/>
      <c r="B737" s="72"/>
      <c r="C737" s="72"/>
      <c r="D737" s="72"/>
      <c r="E737" s="78" t="str">
        <f aca="false">IF(OR(B737="",C737=""),"",DATE(B737,1,4)-WEEKDAY(DATE(B737,1,4),2)+1+(C737-1)*7)</f>
        <v/>
      </c>
      <c r="F737" s="71"/>
    </row>
    <row r="738" customFormat="false" ht="15" hidden="false" customHeight="false" outlineLevel="0" collapsed="false">
      <c r="A738" s="71"/>
      <c r="B738" s="72"/>
      <c r="C738" s="72"/>
      <c r="D738" s="72"/>
      <c r="E738" s="78" t="str">
        <f aca="false">IF(OR(B738="",C738=""),"",DATE(B738,1,4)-WEEKDAY(DATE(B738,1,4),2)+1+(C738-1)*7)</f>
        <v/>
      </c>
      <c r="F738" s="71"/>
    </row>
    <row r="739" customFormat="false" ht="15" hidden="false" customHeight="false" outlineLevel="0" collapsed="false">
      <c r="A739" s="71"/>
      <c r="B739" s="72"/>
      <c r="C739" s="72"/>
      <c r="D739" s="72"/>
      <c r="E739" s="78" t="str">
        <f aca="false">IF(OR(B739="",C739=""),"",DATE(B739,1,4)-WEEKDAY(DATE(B739,1,4),2)+1+(C739-1)*7)</f>
        <v/>
      </c>
      <c r="F739" s="71"/>
    </row>
    <row r="740" customFormat="false" ht="15" hidden="false" customHeight="false" outlineLevel="0" collapsed="false">
      <c r="A740" s="71"/>
      <c r="B740" s="72"/>
      <c r="C740" s="72"/>
      <c r="D740" s="72"/>
      <c r="E740" s="78" t="str">
        <f aca="false">IF(OR(B740="",C740=""),"",DATE(B740,1,4)-WEEKDAY(DATE(B740,1,4),2)+1+(C740-1)*7)</f>
        <v/>
      </c>
      <c r="F740" s="71"/>
    </row>
    <row r="741" customFormat="false" ht="15" hidden="false" customHeight="false" outlineLevel="0" collapsed="false">
      <c r="A741" s="71"/>
      <c r="B741" s="72"/>
      <c r="C741" s="72"/>
      <c r="D741" s="72"/>
      <c r="E741" s="78" t="str">
        <f aca="false">IF(OR(B741="",C741=""),"",DATE(B741,1,4)-WEEKDAY(DATE(B741,1,4),2)+1+(C741-1)*7)</f>
        <v/>
      </c>
      <c r="F741" s="71"/>
    </row>
    <row r="742" customFormat="false" ht="15" hidden="false" customHeight="false" outlineLevel="0" collapsed="false">
      <c r="A742" s="71"/>
      <c r="B742" s="72"/>
      <c r="C742" s="72"/>
      <c r="D742" s="72"/>
      <c r="E742" s="78" t="str">
        <f aca="false">IF(OR(B742="",C742=""),"",DATE(B742,1,4)-WEEKDAY(DATE(B742,1,4),2)+1+(C742-1)*7)</f>
        <v/>
      </c>
      <c r="F742" s="71"/>
    </row>
    <row r="743" customFormat="false" ht="15" hidden="false" customHeight="false" outlineLevel="0" collapsed="false">
      <c r="A743" s="71"/>
      <c r="B743" s="72"/>
      <c r="C743" s="72"/>
      <c r="D743" s="72"/>
      <c r="E743" s="78" t="str">
        <f aca="false">IF(OR(B743="",C743=""),"",DATE(B743,1,4)-WEEKDAY(DATE(B743,1,4),2)+1+(C743-1)*7)</f>
        <v/>
      </c>
      <c r="F743" s="71"/>
    </row>
    <row r="744" customFormat="false" ht="15" hidden="false" customHeight="false" outlineLevel="0" collapsed="false">
      <c r="A744" s="71"/>
      <c r="B744" s="72"/>
      <c r="C744" s="72"/>
      <c r="D744" s="72"/>
      <c r="E744" s="78" t="str">
        <f aca="false">IF(OR(B744="",C744=""),"",DATE(B744,1,4)-WEEKDAY(DATE(B744,1,4),2)+1+(C744-1)*7)</f>
        <v/>
      </c>
      <c r="F744" s="71"/>
    </row>
    <row r="745" customFormat="false" ht="15" hidden="false" customHeight="false" outlineLevel="0" collapsed="false">
      <c r="A745" s="71"/>
      <c r="B745" s="72"/>
      <c r="C745" s="72"/>
      <c r="D745" s="72"/>
      <c r="E745" s="78" t="str">
        <f aca="false">IF(OR(B745="",C745=""),"",DATE(B745,1,4)-WEEKDAY(DATE(B745,1,4),2)+1+(C745-1)*7)</f>
        <v/>
      </c>
      <c r="F745" s="71"/>
    </row>
    <row r="746" customFormat="false" ht="15" hidden="false" customHeight="false" outlineLevel="0" collapsed="false">
      <c r="A746" s="71"/>
      <c r="B746" s="72"/>
      <c r="C746" s="72"/>
      <c r="D746" s="72"/>
      <c r="E746" s="78" t="str">
        <f aca="false">IF(OR(B746="",C746=""),"",DATE(B746,1,4)-WEEKDAY(DATE(B746,1,4),2)+1+(C746-1)*7)</f>
        <v/>
      </c>
      <c r="F746" s="71"/>
    </row>
    <row r="747" customFormat="false" ht="15" hidden="false" customHeight="false" outlineLevel="0" collapsed="false">
      <c r="A747" s="71"/>
      <c r="B747" s="72"/>
      <c r="C747" s="72"/>
      <c r="D747" s="72"/>
      <c r="E747" s="78" t="str">
        <f aca="false">IF(OR(B747="",C747=""),"",DATE(B747,1,4)-WEEKDAY(DATE(B747,1,4),2)+1+(C747-1)*7)</f>
        <v/>
      </c>
      <c r="F747" s="71"/>
    </row>
    <row r="748" customFormat="false" ht="15" hidden="false" customHeight="false" outlineLevel="0" collapsed="false">
      <c r="A748" s="71"/>
      <c r="B748" s="72"/>
      <c r="C748" s="72"/>
      <c r="D748" s="72"/>
      <c r="E748" s="78" t="str">
        <f aca="false">IF(OR(B748="",C748=""),"",DATE(B748,1,4)-WEEKDAY(DATE(B748,1,4),2)+1+(C748-1)*7)</f>
        <v/>
      </c>
      <c r="F748" s="71"/>
    </row>
    <row r="749" customFormat="false" ht="15" hidden="false" customHeight="false" outlineLevel="0" collapsed="false">
      <c r="A749" s="71"/>
      <c r="B749" s="72"/>
      <c r="C749" s="72"/>
      <c r="D749" s="72"/>
      <c r="E749" s="78" t="str">
        <f aca="false">IF(OR(B749="",C749=""),"",DATE(B749,1,4)-WEEKDAY(DATE(B749,1,4),2)+1+(C749-1)*7)</f>
        <v/>
      </c>
      <c r="F749" s="71"/>
    </row>
    <row r="750" customFormat="false" ht="15" hidden="false" customHeight="false" outlineLevel="0" collapsed="false">
      <c r="A750" s="71"/>
      <c r="B750" s="72"/>
      <c r="C750" s="72"/>
      <c r="D750" s="72"/>
      <c r="E750" s="78" t="str">
        <f aca="false">IF(OR(B750="",C750=""),"",DATE(B750,1,4)-WEEKDAY(DATE(B750,1,4),2)+1+(C750-1)*7)</f>
        <v/>
      </c>
      <c r="F750" s="71"/>
    </row>
    <row r="751" customFormat="false" ht="15" hidden="false" customHeight="false" outlineLevel="0" collapsed="false">
      <c r="A751" s="71"/>
      <c r="B751" s="72"/>
      <c r="C751" s="72"/>
      <c r="D751" s="72"/>
      <c r="E751" s="78" t="str">
        <f aca="false">IF(OR(B751="",C751=""),"",DATE(B751,1,4)-WEEKDAY(DATE(B751,1,4),2)+1+(C751-1)*7)</f>
        <v/>
      </c>
      <c r="F751" s="71"/>
    </row>
    <row r="752" customFormat="false" ht="15" hidden="false" customHeight="false" outlineLevel="0" collapsed="false">
      <c r="A752" s="71"/>
      <c r="B752" s="72"/>
      <c r="C752" s="72"/>
      <c r="D752" s="72"/>
      <c r="E752" s="78" t="str">
        <f aca="false">IF(OR(B752="",C752=""),"",DATE(B752,1,4)-WEEKDAY(DATE(B752,1,4),2)+1+(C752-1)*7)</f>
        <v/>
      </c>
      <c r="F752" s="71"/>
    </row>
    <row r="753" customFormat="false" ht="15" hidden="false" customHeight="false" outlineLevel="0" collapsed="false">
      <c r="A753" s="71"/>
      <c r="B753" s="72"/>
      <c r="C753" s="72"/>
      <c r="D753" s="72"/>
      <c r="E753" s="78" t="str">
        <f aca="false">IF(OR(B753="",C753=""),"",DATE(B753,1,4)-WEEKDAY(DATE(B753,1,4),2)+1+(C753-1)*7)</f>
        <v/>
      </c>
      <c r="F753" s="71"/>
    </row>
    <row r="754" customFormat="false" ht="15" hidden="false" customHeight="false" outlineLevel="0" collapsed="false">
      <c r="A754" s="71"/>
      <c r="B754" s="72"/>
      <c r="C754" s="72"/>
      <c r="D754" s="72"/>
      <c r="E754" s="78" t="str">
        <f aca="false">IF(OR(B754="",C754=""),"",DATE(B754,1,4)-WEEKDAY(DATE(B754,1,4),2)+1+(C754-1)*7)</f>
        <v/>
      </c>
      <c r="F754" s="71"/>
    </row>
    <row r="755" customFormat="false" ht="15" hidden="false" customHeight="false" outlineLevel="0" collapsed="false">
      <c r="A755" s="71"/>
      <c r="B755" s="72"/>
      <c r="C755" s="72"/>
      <c r="D755" s="72"/>
      <c r="E755" s="78" t="str">
        <f aca="false">IF(OR(B755="",C755=""),"",DATE(B755,1,4)-WEEKDAY(DATE(B755,1,4),2)+1+(C755-1)*7)</f>
        <v/>
      </c>
      <c r="F755" s="71"/>
    </row>
    <row r="756" customFormat="false" ht="15" hidden="false" customHeight="false" outlineLevel="0" collapsed="false">
      <c r="A756" s="71"/>
      <c r="B756" s="72"/>
      <c r="C756" s="72"/>
      <c r="D756" s="72"/>
      <c r="E756" s="78" t="str">
        <f aca="false">IF(OR(B756="",C756=""),"",DATE(B756,1,4)-WEEKDAY(DATE(B756,1,4),2)+1+(C756-1)*7)</f>
        <v/>
      </c>
      <c r="F756" s="71"/>
    </row>
    <row r="757" customFormat="false" ht="15" hidden="false" customHeight="false" outlineLevel="0" collapsed="false">
      <c r="A757" s="71"/>
      <c r="B757" s="72"/>
      <c r="C757" s="72"/>
      <c r="D757" s="72"/>
      <c r="E757" s="78" t="str">
        <f aca="false">IF(OR(B757="",C757=""),"",DATE(B757,1,4)-WEEKDAY(DATE(B757,1,4),2)+1+(C757-1)*7)</f>
        <v/>
      </c>
      <c r="F757" s="71"/>
    </row>
    <row r="758" customFormat="false" ht="15" hidden="false" customHeight="false" outlineLevel="0" collapsed="false">
      <c r="A758" s="71"/>
      <c r="B758" s="72"/>
      <c r="C758" s="72"/>
      <c r="D758" s="72"/>
      <c r="E758" s="78" t="str">
        <f aca="false">IF(OR(B758="",C758=""),"",DATE(B758,1,4)-WEEKDAY(DATE(B758,1,4),2)+1+(C758-1)*7)</f>
        <v/>
      </c>
      <c r="F758" s="71"/>
    </row>
    <row r="759" customFormat="false" ht="15" hidden="false" customHeight="false" outlineLevel="0" collapsed="false">
      <c r="A759" s="71"/>
      <c r="B759" s="72"/>
      <c r="C759" s="72"/>
      <c r="D759" s="72"/>
      <c r="E759" s="78" t="str">
        <f aca="false">IF(OR(B759="",C759=""),"",DATE(B759,1,4)-WEEKDAY(DATE(B759,1,4),2)+1+(C759-1)*7)</f>
        <v/>
      </c>
      <c r="F759" s="71"/>
    </row>
    <row r="760" customFormat="false" ht="15" hidden="false" customHeight="false" outlineLevel="0" collapsed="false">
      <c r="A760" s="71"/>
      <c r="B760" s="72"/>
      <c r="C760" s="72"/>
      <c r="D760" s="72"/>
      <c r="E760" s="78" t="str">
        <f aca="false">IF(OR(B760="",C760=""),"",DATE(B760,1,4)-WEEKDAY(DATE(B760,1,4),2)+1+(C760-1)*7)</f>
        <v/>
      </c>
      <c r="F760" s="71"/>
    </row>
    <row r="761" customFormat="false" ht="15" hidden="false" customHeight="false" outlineLevel="0" collapsed="false">
      <c r="A761" s="71"/>
      <c r="B761" s="72"/>
      <c r="C761" s="72"/>
      <c r="D761" s="72"/>
      <c r="E761" s="78" t="str">
        <f aca="false">IF(OR(B761="",C761=""),"",DATE(B761,1,4)-WEEKDAY(DATE(B761,1,4),2)+1+(C761-1)*7)</f>
        <v/>
      </c>
      <c r="F761" s="71"/>
    </row>
    <row r="762" customFormat="false" ht="15" hidden="false" customHeight="false" outlineLevel="0" collapsed="false">
      <c r="A762" s="71"/>
      <c r="B762" s="72"/>
      <c r="C762" s="72"/>
      <c r="D762" s="72"/>
      <c r="E762" s="78" t="str">
        <f aca="false">IF(OR(B762="",C762=""),"",DATE(B762,1,4)-WEEKDAY(DATE(B762,1,4),2)+1+(C762-1)*7)</f>
        <v/>
      </c>
      <c r="F762" s="71"/>
    </row>
    <row r="763" customFormat="false" ht="15" hidden="false" customHeight="false" outlineLevel="0" collapsed="false">
      <c r="A763" s="71"/>
      <c r="B763" s="72"/>
      <c r="C763" s="72"/>
      <c r="D763" s="72"/>
      <c r="E763" s="78" t="str">
        <f aca="false">IF(OR(B763="",C763=""),"",DATE(B763,1,4)-WEEKDAY(DATE(B763,1,4),2)+1+(C763-1)*7)</f>
        <v/>
      </c>
      <c r="F763" s="71"/>
    </row>
    <row r="764" customFormat="false" ht="15" hidden="false" customHeight="false" outlineLevel="0" collapsed="false">
      <c r="A764" s="71"/>
      <c r="B764" s="72"/>
      <c r="C764" s="72"/>
      <c r="D764" s="72"/>
      <c r="E764" s="78" t="str">
        <f aca="false">IF(OR(B764="",C764=""),"",DATE(B764,1,4)-WEEKDAY(DATE(B764,1,4),2)+1+(C764-1)*7)</f>
        <v/>
      </c>
      <c r="F764" s="71"/>
    </row>
    <row r="765" customFormat="false" ht="15" hidden="false" customHeight="false" outlineLevel="0" collapsed="false">
      <c r="A765" s="71"/>
      <c r="B765" s="72"/>
      <c r="C765" s="72"/>
      <c r="D765" s="72"/>
      <c r="E765" s="78" t="str">
        <f aca="false">IF(OR(B765="",C765=""),"",DATE(B765,1,4)-WEEKDAY(DATE(B765,1,4),2)+1+(C765-1)*7)</f>
        <v/>
      </c>
      <c r="F765" s="71"/>
    </row>
    <row r="766" customFormat="false" ht="15" hidden="false" customHeight="false" outlineLevel="0" collapsed="false">
      <c r="A766" s="71"/>
      <c r="B766" s="72"/>
      <c r="C766" s="72"/>
      <c r="D766" s="72"/>
      <c r="E766" s="78" t="str">
        <f aca="false">IF(OR(B766="",C766=""),"",DATE(B766,1,4)-WEEKDAY(DATE(B766,1,4),2)+1+(C766-1)*7)</f>
        <v/>
      </c>
      <c r="F766" s="71"/>
    </row>
    <row r="767" customFormat="false" ht="15" hidden="false" customHeight="false" outlineLevel="0" collapsed="false">
      <c r="A767" s="71"/>
      <c r="B767" s="72"/>
      <c r="C767" s="72"/>
      <c r="D767" s="72"/>
      <c r="E767" s="78" t="str">
        <f aca="false">IF(OR(B767="",C767=""),"",DATE(B767,1,4)-WEEKDAY(DATE(B767,1,4),2)+1+(C767-1)*7)</f>
        <v/>
      </c>
      <c r="F767" s="71"/>
    </row>
    <row r="768" customFormat="false" ht="15" hidden="false" customHeight="false" outlineLevel="0" collapsed="false">
      <c r="A768" s="71"/>
      <c r="B768" s="72"/>
      <c r="C768" s="72"/>
      <c r="D768" s="72"/>
      <c r="E768" s="78" t="str">
        <f aca="false">IF(OR(B768="",C768=""),"",DATE(B768,1,4)-WEEKDAY(DATE(B768,1,4),2)+1+(C768-1)*7)</f>
        <v/>
      </c>
      <c r="F768" s="71"/>
    </row>
    <row r="769" customFormat="false" ht="15" hidden="false" customHeight="false" outlineLevel="0" collapsed="false">
      <c r="A769" s="71"/>
      <c r="B769" s="72"/>
      <c r="C769" s="72"/>
      <c r="D769" s="72"/>
      <c r="E769" s="78" t="str">
        <f aca="false">IF(OR(B769="",C769=""),"",DATE(B769,1,4)-WEEKDAY(DATE(B769,1,4),2)+1+(C769-1)*7)</f>
        <v/>
      </c>
      <c r="F769" s="71"/>
    </row>
    <row r="770" customFormat="false" ht="15" hidden="false" customHeight="false" outlineLevel="0" collapsed="false">
      <c r="A770" s="71"/>
      <c r="B770" s="72"/>
      <c r="C770" s="72"/>
      <c r="D770" s="72"/>
      <c r="E770" s="78" t="str">
        <f aca="false">IF(OR(B770="",C770=""),"",DATE(B770,1,4)-WEEKDAY(DATE(B770,1,4),2)+1+(C770-1)*7)</f>
        <v/>
      </c>
      <c r="F770" s="71"/>
    </row>
    <row r="771" customFormat="false" ht="15" hidden="false" customHeight="false" outlineLevel="0" collapsed="false">
      <c r="A771" s="71"/>
      <c r="B771" s="72"/>
      <c r="C771" s="72"/>
      <c r="D771" s="72"/>
      <c r="E771" s="78" t="str">
        <f aca="false">IF(OR(B771="",C771=""),"",DATE(B771,1,4)-WEEKDAY(DATE(B771,1,4),2)+1+(C771-1)*7)</f>
        <v/>
      </c>
      <c r="F771" s="71"/>
    </row>
    <row r="772" customFormat="false" ht="15" hidden="false" customHeight="false" outlineLevel="0" collapsed="false">
      <c r="A772" s="71"/>
      <c r="B772" s="72"/>
      <c r="C772" s="72"/>
      <c r="D772" s="72"/>
      <c r="E772" s="78" t="str">
        <f aca="false">IF(OR(B772="",C772=""),"",DATE(B772,1,4)-WEEKDAY(DATE(B772,1,4),2)+1+(C772-1)*7)</f>
        <v/>
      </c>
      <c r="F772" s="71"/>
    </row>
    <row r="773" customFormat="false" ht="15" hidden="false" customHeight="false" outlineLevel="0" collapsed="false">
      <c r="A773" s="71"/>
      <c r="B773" s="72"/>
      <c r="C773" s="72"/>
      <c r="D773" s="72"/>
      <c r="E773" s="78" t="str">
        <f aca="false">IF(OR(B773="",C773=""),"",DATE(B773,1,4)-WEEKDAY(DATE(B773,1,4),2)+1+(C773-1)*7)</f>
        <v/>
      </c>
      <c r="F773" s="71"/>
    </row>
    <row r="774" customFormat="false" ht="15" hidden="false" customHeight="false" outlineLevel="0" collapsed="false">
      <c r="A774" s="71"/>
      <c r="B774" s="72"/>
      <c r="C774" s="72"/>
      <c r="D774" s="72"/>
      <c r="E774" s="78" t="str">
        <f aca="false">IF(OR(B774="",C774=""),"",DATE(B774,1,4)-WEEKDAY(DATE(B774,1,4),2)+1+(C774-1)*7)</f>
        <v/>
      </c>
      <c r="F774" s="71"/>
    </row>
    <row r="775" customFormat="false" ht="15" hidden="false" customHeight="false" outlineLevel="0" collapsed="false">
      <c r="A775" s="71"/>
      <c r="B775" s="72"/>
      <c r="C775" s="72"/>
      <c r="D775" s="72"/>
      <c r="E775" s="78" t="str">
        <f aca="false">IF(OR(B775="",C775=""),"",DATE(B775,1,4)-WEEKDAY(DATE(B775,1,4),2)+1+(C775-1)*7)</f>
        <v/>
      </c>
      <c r="F775" s="71"/>
    </row>
    <row r="776" customFormat="false" ht="15" hidden="false" customHeight="false" outlineLevel="0" collapsed="false">
      <c r="A776" s="71"/>
      <c r="B776" s="72"/>
      <c r="C776" s="72"/>
      <c r="D776" s="72"/>
      <c r="E776" s="78" t="str">
        <f aca="false">IF(OR(B776="",C776=""),"",DATE(B776,1,4)-WEEKDAY(DATE(B776,1,4),2)+1+(C776-1)*7)</f>
        <v/>
      </c>
      <c r="F776" s="71"/>
    </row>
    <row r="777" customFormat="false" ht="15" hidden="false" customHeight="false" outlineLevel="0" collapsed="false">
      <c r="A777" s="71"/>
      <c r="B777" s="72"/>
      <c r="C777" s="72"/>
      <c r="D777" s="72"/>
      <c r="E777" s="78" t="str">
        <f aca="false">IF(OR(B777="",C777=""),"",DATE(B777,1,4)-WEEKDAY(DATE(B777,1,4),2)+1+(C777-1)*7)</f>
        <v/>
      </c>
      <c r="F777" s="71"/>
    </row>
    <row r="778" customFormat="false" ht="15" hidden="false" customHeight="false" outlineLevel="0" collapsed="false">
      <c r="A778" s="71"/>
      <c r="B778" s="72"/>
      <c r="C778" s="72"/>
      <c r="D778" s="72"/>
      <c r="E778" s="78" t="str">
        <f aca="false">IF(OR(B778="",C778=""),"",DATE(B778,1,4)-WEEKDAY(DATE(B778,1,4),2)+1+(C778-1)*7)</f>
        <v/>
      </c>
      <c r="F778" s="71"/>
    </row>
    <row r="779" customFormat="false" ht="15" hidden="false" customHeight="false" outlineLevel="0" collapsed="false">
      <c r="A779" s="71"/>
      <c r="B779" s="72"/>
      <c r="C779" s="72"/>
      <c r="D779" s="72"/>
      <c r="E779" s="78" t="str">
        <f aca="false">IF(OR(B779="",C779=""),"",DATE(B779,1,4)-WEEKDAY(DATE(B779,1,4),2)+1+(C779-1)*7)</f>
        <v/>
      </c>
      <c r="F779" s="71"/>
    </row>
    <row r="780" customFormat="false" ht="15" hidden="false" customHeight="false" outlineLevel="0" collapsed="false">
      <c r="A780" s="71"/>
      <c r="B780" s="72"/>
      <c r="C780" s="72"/>
      <c r="D780" s="72"/>
      <c r="E780" s="78" t="str">
        <f aca="false">IF(OR(B780="",C780=""),"",DATE(B780,1,4)-WEEKDAY(DATE(B780,1,4),2)+1+(C780-1)*7)</f>
        <v/>
      </c>
      <c r="F780" s="71"/>
    </row>
    <row r="781" customFormat="false" ht="15" hidden="false" customHeight="false" outlineLevel="0" collapsed="false">
      <c r="A781" s="71"/>
      <c r="B781" s="72"/>
      <c r="C781" s="72"/>
      <c r="D781" s="72"/>
      <c r="E781" s="78" t="str">
        <f aca="false">IF(OR(B781="",C781=""),"",DATE(B781,1,4)-WEEKDAY(DATE(B781,1,4),2)+1+(C781-1)*7)</f>
        <v/>
      </c>
      <c r="F781" s="71"/>
    </row>
    <row r="782" customFormat="false" ht="15" hidden="false" customHeight="false" outlineLevel="0" collapsed="false">
      <c r="A782" s="71"/>
      <c r="B782" s="72"/>
      <c r="C782" s="72"/>
      <c r="D782" s="72"/>
      <c r="E782" s="78" t="str">
        <f aca="false">IF(OR(B782="",C782=""),"",DATE(B782,1,4)-WEEKDAY(DATE(B782,1,4),2)+1+(C782-1)*7)</f>
        <v/>
      </c>
      <c r="F782" s="71"/>
    </row>
    <row r="783" customFormat="false" ht="15" hidden="false" customHeight="false" outlineLevel="0" collapsed="false">
      <c r="A783" s="71"/>
      <c r="B783" s="72"/>
      <c r="C783" s="72"/>
      <c r="D783" s="72"/>
      <c r="E783" s="78" t="str">
        <f aca="false">IF(OR(B783="",C783=""),"",DATE(B783,1,4)-WEEKDAY(DATE(B783,1,4),2)+1+(C783-1)*7)</f>
        <v/>
      </c>
      <c r="F783" s="71"/>
    </row>
    <row r="784" customFormat="false" ht="15" hidden="false" customHeight="false" outlineLevel="0" collapsed="false">
      <c r="A784" s="71"/>
      <c r="B784" s="72"/>
      <c r="C784" s="72"/>
      <c r="D784" s="72"/>
      <c r="E784" s="78" t="str">
        <f aca="false">IF(OR(B784="",C784=""),"",DATE(B784,1,4)-WEEKDAY(DATE(B784,1,4),2)+1+(C784-1)*7)</f>
        <v/>
      </c>
      <c r="F784" s="71"/>
    </row>
    <row r="785" customFormat="false" ht="15" hidden="false" customHeight="false" outlineLevel="0" collapsed="false">
      <c r="A785" s="71"/>
      <c r="B785" s="72"/>
      <c r="C785" s="72"/>
      <c r="D785" s="72"/>
      <c r="E785" s="78" t="str">
        <f aca="false">IF(OR(B785="",C785=""),"",DATE(B785,1,4)-WEEKDAY(DATE(B785,1,4),2)+1+(C785-1)*7)</f>
        <v/>
      </c>
      <c r="F785" s="71"/>
    </row>
    <row r="786" customFormat="false" ht="15" hidden="false" customHeight="false" outlineLevel="0" collapsed="false">
      <c r="A786" s="71"/>
      <c r="B786" s="72"/>
      <c r="C786" s="72"/>
      <c r="D786" s="72"/>
      <c r="E786" s="78" t="str">
        <f aca="false">IF(OR(B786="",C786=""),"",DATE(B786,1,4)-WEEKDAY(DATE(B786,1,4),2)+1+(C786-1)*7)</f>
        <v/>
      </c>
      <c r="F786" s="71"/>
    </row>
    <row r="787" customFormat="false" ht="15" hidden="false" customHeight="false" outlineLevel="0" collapsed="false">
      <c r="A787" s="71"/>
      <c r="B787" s="72"/>
      <c r="C787" s="72"/>
      <c r="D787" s="72"/>
      <c r="E787" s="78" t="str">
        <f aca="false">IF(OR(B787="",C787=""),"",DATE(B787,1,4)-WEEKDAY(DATE(B787,1,4),2)+1+(C787-1)*7)</f>
        <v/>
      </c>
      <c r="F787" s="71"/>
    </row>
    <row r="788" customFormat="false" ht="15" hidden="false" customHeight="false" outlineLevel="0" collapsed="false">
      <c r="A788" s="71"/>
      <c r="B788" s="72"/>
      <c r="C788" s="72"/>
      <c r="D788" s="72"/>
      <c r="E788" s="78" t="str">
        <f aca="false">IF(OR(B788="",C788=""),"",DATE(B788,1,4)-WEEKDAY(DATE(B788,1,4),2)+1+(C788-1)*7)</f>
        <v/>
      </c>
      <c r="F788" s="71"/>
    </row>
    <row r="789" customFormat="false" ht="15" hidden="false" customHeight="false" outlineLevel="0" collapsed="false">
      <c r="A789" s="71"/>
      <c r="B789" s="72"/>
      <c r="C789" s="72"/>
      <c r="D789" s="72"/>
      <c r="E789" s="78" t="str">
        <f aca="false">IF(OR(B789="",C789=""),"",DATE(B789,1,4)-WEEKDAY(DATE(B789,1,4),2)+1+(C789-1)*7)</f>
        <v/>
      </c>
      <c r="F789" s="71"/>
    </row>
    <row r="790" customFormat="false" ht="15" hidden="false" customHeight="false" outlineLevel="0" collapsed="false">
      <c r="A790" s="71"/>
      <c r="B790" s="72"/>
      <c r="C790" s="72"/>
      <c r="D790" s="72"/>
      <c r="E790" s="78" t="str">
        <f aca="false">IF(OR(B790="",C790=""),"",DATE(B790,1,4)-WEEKDAY(DATE(B790,1,4),2)+1+(C790-1)*7)</f>
        <v/>
      </c>
      <c r="F790" s="71"/>
    </row>
    <row r="791" customFormat="false" ht="15" hidden="false" customHeight="false" outlineLevel="0" collapsed="false">
      <c r="A791" s="71"/>
      <c r="B791" s="72"/>
      <c r="C791" s="72"/>
      <c r="D791" s="72"/>
      <c r="E791" s="78" t="str">
        <f aca="false">IF(OR(B791="",C791=""),"",DATE(B791,1,4)-WEEKDAY(DATE(B791,1,4),2)+1+(C791-1)*7)</f>
        <v/>
      </c>
      <c r="F791" s="71"/>
    </row>
    <row r="792" customFormat="false" ht="15" hidden="false" customHeight="false" outlineLevel="0" collapsed="false">
      <c r="A792" s="71"/>
      <c r="B792" s="72"/>
      <c r="C792" s="72"/>
      <c r="D792" s="72"/>
      <c r="E792" s="78" t="str">
        <f aca="false">IF(OR(B792="",C792=""),"",DATE(B792,1,4)-WEEKDAY(DATE(B792,1,4),2)+1+(C792-1)*7)</f>
        <v/>
      </c>
      <c r="F792" s="71"/>
    </row>
    <row r="793" customFormat="false" ht="15" hidden="false" customHeight="false" outlineLevel="0" collapsed="false">
      <c r="A793" s="71"/>
      <c r="B793" s="72"/>
      <c r="C793" s="72"/>
      <c r="D793" s="72"/>
      <c r="E793" s="78" t="str">
        <f aca="false">IF(OR(B793="",C793=""),"",DATE(B793,1,4)-WEEKDAY(DATE(B793,1,4),2)+1+(C793-1)*7)</f>
        <v/>
      </c>
      <c r="F793" s="71"/>
    </row>
    <row r="794" customFormat="false" ht="15" hidden="false" customHeight="false" outlineLevel="0" collapsed="false">
      <c r="A794" s="71"/>
      <c r="B794" s="72"/>
      <c r="C794" s="72"/>
      <c r="D794" s="72"/>
      <c r="E794" s="78" t="str">
        <f aca="false">IF(OR(B794="",C794=""),"",DATE(B794,1,4)-WEEKDAY(DATE(B794,1,4),2)+1+(C794-1)*7)</f>
        <v/>
      </c>
      <c r="F794" s="71"/>
    </row>
    <row r="795" customFormat="false" ht="15" hidden="false" customHeight="false" outlineLevel="0" collapsed="false">
      <c r="A795" s="71"/>
      <c r="B795" s="72"/>
      <c r="C795" s="72"/>
      <c r="D795" s="72"/>
      <c r="E795" s="78" t="str">
        <f aca="false">IF(OR(B795="",C795=""),"",DATE(B795,1,4)-WEEKDAY(DATE(B795,1,4),2)+1+(C795-1)*7)</f>
        <v/>
      </c>
      <c r="F795" s="71"/>
    </row>
    <row r="796" customFormat="false" ht="15" hidden="false" customHeight="false" outlineLevel="0" collapsed="false">
      <c r="A796" s="71"/>
      <c r="B796" s="72"/>
      <c r="C796" s="72"/>
      <c r="D796" s="72"/>
      <c r="E796" s="78" t="str">
        <f aca="false">IF(OR(B796="",C796=""),"",DATE(B796,1,4)-WEEKDAY(DATE(B796,1,4),2)+1+(C796-1)*7)</f>
        <v/>
      </c>
      <c r="F796" s="71"/>
    </row>
    <row r="797" customFormat="false" ht="15" hidden="false" customHeight="false" outlineLevel="0" collapsed="false">
      <c r="A797" s="71"/>
      <c r="B797" s="72"/>
      <c r="C797" s="72"/>
      <c r="D797" s="72"/>
      <c r="E797" s="78" t="str">
        <f aca="false">IF(OR(B797="",C797=""),"",DATE(B797,1,4)-WEEKDAY(DATE(B797,1,4),2)+1+(C797-1)*7)</f>
        <v/>
      </c>
      <c r="F797" s="71"/>
    </row>
    <row r="798" customFormat="false" ht="15" hidden="false" customHeight="false" outlineLevel="0" collapsed="false">
      <c r="A798" s="71"/>
      <c r="B798" s="72"/>
      <c r="C798" s="72"/>
      <c r="D798" s="72"/>
      <c r="E798" s="78" t="str">
        <f aca="false">IF(OR(B798="",C798=""),"",DATE(B798,1,4)-WEEKDAY(DATE(B798,1,4),2)+1+(C798-1)*7)</f>
        <v/>
      </c>
      <c r="F798" s="71"/>
    </row>
    <row r="799" customFormat="false" ht="15" hidden="false" customHeight="false" outlineLevel="0" collapsed="false">
      <c r="A799" s="71"/>
      <c r="B799" s="72"/>
      <c r="C799" s="72"/>
      <c r="D799" s="72"/>
      <c r="E799" s="78" t="str">
        <f aca="false">IF(OR(B799="",C799=""),"",DATE(B799,1,4)-WEEKDAY(DATE(B799,1,4),2)+1+(C799-1)*7)</f>
        <v/>
      </c>
      <c r="F799" s="71"/>
    </row>
    <row r="800" customFormat="false" ht="15" hidden="false" customHeight="false" outlineLevel="0" collapsed="false">
      <c r="A800" s="71"/>
      <c r="B800" s="72"/>
      <c r="C800" s="72"/>
      <c r="D800" s="72"/>
      <c r="E800" s="78" t="str">
        <f aca="false">IF(OR(B800="",C800=""),"",DATE(B800,1,4)-WEEKDAY(DATE(B800,1,4),2)+1+(C800-1)*7)</f>
        <v/>
      </c>
      <c r="F800" s="71"/>
    </row>
    <row r="801" customFormat="false" ht="15" hidden="false" customHeight="false" outlineLevel="0" collapsed="false">
      <c r="A801" s="71"/>
      <c r="B801" s="72"/>
      <c r="C801" s="72"/>
      <c r="D801" s="72"/>
      <c r="E801" s="78" t="str">
        <f aca="false">IF(OR(B801="",C801=""),"",DATE(B801,1,4)-WEEKDAY(DATE(B801,1,4),2)+1+(C801-1)*7)</f>
        <v/>
      </c>
      <c r="F801" s="71"/>
    </row>
    <row r="802" customFormat="false" ht="15" hidden="false" customHeight="false" outlineLevel="0" collapsed="false">
      <c r="A802" s="71"/>
      <c r="B802" s="72"/>
      <c r="C802" s="72"/>
      <c r="D802" s="72"/>
      <c r="E802" s="78" t="str">
        <f aca="false">IF(OR(B802="",C802=""),"",DATE(B802,1,4)-WEEKDAY(DATE(B802,1,4),2)+1+(C802-1)*7)</f>
        <v/>
      </c>
      <c r="F802" s="71"/>
    </row>
    <row r="803" customFormat="false" ht="15" hidden="false" customHeight="false" outlineLevel="0" collapsed="false">
      <c r="A803" s="71"/>
      <c r="B803" s="72"/>
      <c r="C803" s="72"/>
      <c r="D803" s="72"/>
      <c r="E803" s="78" t="str">
        <f aca="false">IF(OR(B803="",C803=""),"",DATE(B803,1,4)-WEEKDAY(DATE(B803,1,4),2)+1+(C803-1)*7)</f>
        <v/>
      </c>
      <c r="F803" s="71"/>
    </row>
    <row r="804" customFormat="false" ht="15" hidden="false" customHeight="false" outlineLevel="0" collapsed="false">
      <c r="A804" s="71"/>
      <c r="B804" s="72"/>
      <c r="C804" s="72"/>
      <c r="D804" s="72"/>
      <c r="E804" s="78" t="str">
        <f aca="false">IF(OR(B804="",C804=""),"",DATE(B804,1,4)-WEEKDAY(DATE(B804,1,4),2)+1+(C804-1)*7)</f>
        <v/>
      </c>
      <c r="F804" s="71"/>
    </row>
    <row r="805" customFormat="false" ht="15" hidden="false" customHeight="false" outlineLevel="0" collapsed="false">
      <c r="A805" s="71"/>
      <c r="B805" s="72"/>
      <c r="C805" s="72"/>
      <c r="D805" s="72"/>
      <c r="E805" s="78" t="str">
        <f aca="false">IF(OR(B805="",C805=""),"",DATE(B805,1,4)-WEEKDAY(DATE(B805,1,4),2)+1+(C805-1)*7)</f>
        <v/>
      </c>
      <c r="F805" s="71"/>
    </row>
    <row r="806" customFormat="false" ht="15" hidden="false" customHeight="false" outlineLevel="0" collapsed="false">
      <c r="A806" s="71"/>
      <c r="B806" s="72"/>
      <c r="C806" s="72"/>
      <c r="D806" s="72"/>
      <c r="E806" s="78" t="str">
        <f aca="false">IF(OR(B806="",C806=""),"",DATE(B806,1,4)-WEEKDAY(DATE(B806,1,4),2)+1+(C806-1)*7)</f>
        <v/>
      </c>
      <c r="F806" s="71"/>
    </row>
    <row r="807" customFormat="false" ht="15" hidden="false" customHeight="false" outlineLevel="0" collapsed="false">
      <c r="A807" s="71"/>
      <c r="B807" s="72"/>
      <c r="C807" s="72"/>
      <c r="D807" s="72"/>
      <c r="E807" s="78" t="str">
        <f aca="false">IF(OR(B807="",C807=""),"",DATE(B807,1,4)-WEEKDAY(DATE(B807,1,4),2)+1+(C807-1)*7)</f>
        <v/>
      </c>
      <c r="F807" s="71"/>
    </row>
    <row r="808" customFormat="false" ht="15" hidden="false" customHeight="false" outlineLevel="0" collapsed="false">
      <c r="A808" s="71"/>
      <c r="B808" s="72"/>
      <c r="C808" s="72"/>
      <c r="D808" s="72"/>
      <c r="E808" s="78" t="str">
        <f aca="false">IF(OR(B808="",C808=""),"",DATE(B808,1,4)-WEEKDAY(DATE(B808,1,4),2)+1+(C808-1)*7)</f>
        <v/>
      </c>
      <c r="F808" s="71"/>
    </row>
    <row r="809" customFormat="false" ht="15" hidden="false" customHeight="false" outlineLevel="0" collapsed="false">
      <c r="A809" s="71"/>
      <c r="B809" s="72"/>
      <c r="C809" s="72"/>
      <c r="D809" s="72"/>
      <c r="E809" s="78" t="str">
        <f aca="false">IF(OR(B809="",C809=""),"",DATE(B809,1,4)-WEEKDAY(DATE(B809,1,4),2)+1+(C809-1)*7)</f>
        <v/>
      </c>
      <c r="F809" s="71"/>
    </row>
    <row r="810" customFormat="false" ht="15" hidden="false" customHeight="false" outlineLevel="0" collapsed="false">
      <c r="A810" s="71"/>
      <c r="B810" s="72"/>
      <c r="C810" s="72"/>
      <c r="D810" s="72"/>
      <c r="E810" s="78" t="str">
        <f aca="false">IF(OR(B810="",C810=""),"",DATE(B810,1,4)-WEEKDAY(DATE(B810,1,4),2)+1+(C810-1)*7)</f>
        <v/>
      </c>
      <c r="F810" s="71"/>
    </row>
    <row r="811" customFormat="false" ht="15" hidden="false" customHeight="false" outlineLevel="0" collapsed="false">
      <c r="A811" s="71"/>
      <c r="B811" s="72"/>
      <c r="C811" s="72"/>
      <c r="D811" s="72"/>
      <c r="E811" s="78" t="str">
        <f aca="false">IF(OR(B811="",C811=""),"",DATE(B811,1,4)-WEEKDAY(DATE(B811,1,4),2)+1+(C811-1)*7)</f>
        <v/>
      </c>
      <c r="F811" s="71"/>
    </row>
    <row r="812" customFormat="false" ht="15" hidden="false" customHeight="false" outlineLevel="0" collapsed="false">
      <c r="A812" s="71"/>
      <c r="B812" s="72"/>
      <c r="C812" s="72"/>
      <c r="D812" s="72"/>
      <c r="E812" s="78" t="str">
        <f aca="false">IF(OR(B812="",C812=""),"",DATE(B812,1,4)-WEEKDAY(DATE(B812,1,4),2)+1+(C812-1)*7)</f>
        <v/>
      </c>
      <c r="F812" s="71"/>
    </row>
    <row r="813" customFormat="false" ht="15" hidden="false" customHeight="false" outlineLevel="0" collapsed="false">
      <c r="A813" s="71"/>
      <c r="B813" s="72"/>
      <c r="C813" s="72"/>
      <c r="D813" s="72"/>
      <c r="E813" s="78" t="str">
        <f aca="false">IF(OR(B813="",C813=""),"",DATE(B813,1,4)-WEEKDAY(DATE(B813,1,4),2)+1+(C813-1)*7)</f>
        <v/>
      </c>
      <c r="F813" s="71"/>
    </row>
    <row r="814" customFormat="false" ht="15" hidden="false" customHeight="false" outlineLevel="0" collapsed="false">
      <c r="A814" s="71"/>
      <c r="B814" s="72"/>
      <c r="C814" s="72"/>
      <c r="D814" s="72"/>
      <c r="E814" s="78" t="str">
        <f aca="false">IF(OR(B814="",C814=""),"",DATE(B814,1,4)-WEEKDAY(DATE(B814,1,4),2)+1+(C814-1)*7)</f>
        <v/>
      </c>
      <c r="F814" s="71"/>
    </row>
    <row r="815" customFormat="false" ht="15" hidden="false" customHeight="false" outlineLevel="0" collapsed="false">
      <c r="A815" s="71"/>
      <c r="B815" s="72"/>
      <c r="C815" s="72"/>
      <c r="D815" s="72"/>
      <c r="E815" s="78" t="str">
        <f aca="false">IF(OR(B815="",C815=""),"",DATE(B815,1,4)-WEEKDAY(DATE(B815,1,4),2)+1+(C815-1)*7)</f>
        <v/>
      </c>
      <c r="F815" s="71"/>
    </row>
    <row r="816" customFormat="false" ht="15" hidden="false" customHeight="false" outlineLevel="0" collapsed="false">
      <c r="A816" s="71"/>
      <c r="B816" s="72"/>
      <c r="C816" s="72"/>
      <c r="D816" s="72"/>
      <c r="E816" s="78" t="str">
        <f aca="false">IF(OR(B816="",C816=""),"",DATE(B816,1,4)-WEEKDAY(DATE(B816,1,4),2)+1+(C816-1)*7)</f>
        <v/>
      </c>
      <c r="F816" s="71"/>
    </row>
    <row r="817" customFormat="false" ht="15" hidden="false" customHeight="false" outlineLevel="0" collapsed="false">
      <c r="A817" s="71"/>
      <c r="B817" s="72"/>
      <c r="C817" s="72"/>
      <c r="D817" s="72"/>
      <c r="E817" s="78" t="str">
        <f aca="false">IF(OR(B817="",C817=""),"",DATE(B817,1,4)-WEEKDAY(DATE(B817,1,4),2)+1+(C817-1)*7)</f>
        <v/>
      </c>
      <c r="F817" s="71"/>
    </row>
    <row r="818" customFormat="false" ht="15" hidden="false" customHeight="false" outlineLevel="0" collapsed="false">
      <c r="A818" s="71"/>
      <c r="B818" s="72"/>
      <c r="C818" s="72"/>
      <c r="D818" s="72"/>
      <c r="E818" s="78" t="str">
        <f aca="false">IF(OR(B818="",C818=""),"",DATE(B818,1,4)-WEEKDAY(DATE(B818,1,4),2)+1+(C818-1)*7)</f>
        <v/>
      </c>
      <c r="F818" s="71"/>
    </row>
    <row r="819" customFormat="false" ht="15" hidden="false" customHeight="false" outlineLevel="0" collapsed="false">
      <c r="A819" s="71"/>
      <c r="B819" s="72"/>
      <c r="C819" s="72"/>
      <c r="D819" s="72"/>
      <c r="E819" s="78" t="str">
        <f aca="false">IF(OR(B819="",C819=""),"",DATE(B819,1,4)-WEEKDAY(DATE(B819,1,4),2)+1+(C819-1)*7)</f>
        <v/>
      </c>
      <c r="F819" s="71"/>
    </row>
    <row r="820" customFormat="false" ht="15" hidden="false" customHeight="false" outlineLevel="0" collapsed="false">
      <c r="A820" s="71"/>
      <c r="B820" s="72"/>
      <c r="C820" s="72"/>
      <c r="D820" s="72"/>
      <c r="E820" s="78" t="str">
        <f aca="false">IF(OR(B820="",C820=""),"",DATE(B820,1,4)-WEEKDAY(DATE(B820,1,4),2)+1+(C820-1)*7)</f>
        <v/>
      </c>
      <c r="F820" s="71"/>
    </row>
    <row r="821" customFormat="false" ht="15" hidden="false" customHeight="false" outlineLevel="0" collapsed="false">
      <c r="A821" s="71"/>
      <c r="B821" s="72"/>
      <c r="C821" s="72"/>
      <c r="D821" s="72"/>
      <c r="E821" s="78" t="str">
        <f aca="false">IF(OR(B821="",C821=""),"",DATE(B821,1,4)-WEEKDAY(DATE(B821,1,4),2)+1+(C821-1)*7)</f>
        <v/>
      </c>
      <c r="F821" s="71"/>
    </row>
    <row r="822" customFormat="false" ht="15" hidden="false" customHeight="false" outlineLevel="0" collapsed="false">
      <c r="A822" s="71"/>
      <c r="B822" s="72"/>
      <c r="C822" s="72"/>
      <c r="D822" s="72"/>
      <c r="E822" s="78" t="str">
        <f aca="false">IF(OR(B822="",C822=""),"",DATE(B822,1,4)-WEEKDAY(DATE(B822,1,4),2)+1+(C822-1)*7)</f>
        <v/>
      </c>
      <c r="F822" s="71"/>
    </row>
    <row r="823" customFormat="false" ht="15" hidden="false" customHeight="false" outlineLevel="0" collapsed="false">
      <c r="A823" s="71"/>
      <c r="B823" s="72"/>
      <c r="C823" s="72"/>
      <c r="D823" s="72"/>
      <c r="E823" s="78" t="str">
        <f aca="false">IF(OR(B823="",C823=""),"",DATE(B823,1,4)-WEEKDAY(DATE(B823,1,4),2)+1+(C823-1)*7)</f>
        <v/>
      </c>
      <c r="F823" s="71"/>
    </row>
    <row r="824" customFormat="false" ht="15" hidden="false" customHeight="false" outlineLevel="0" collapsed="false">
      <c r="A824" s="71"/>
      <c r="B824" s="72"/>
      <c r="C824" s="72"/>
      <c r="D824" s="72"/>
      <c r="E824" s="78" t="str">
        <f aca="false">IF(OR(B824="",C824=""),"",DATE(B824,1,4)-WEEKDAY(DATE(B824,1,4),2)+1+(C824-1)*7)</f>
        <v/>
      </c>
      <c r="F824" s="71"/>
    </row>
    <row r="825" customFormat="false" ht="15" hidden="false" customHeight="false" outlineLevel="0" collapsed="false">
      <c r="A825" s="71"/>
      <c r="B825" s="72"/>
      <c r="C825" s="72"/>
      <c r="D825" s="72"/>
      <c r="E825" s="78" t="str">
        <f aca="false">IF(OR(B825="",C825=""),"",DATE(B825,1,4)-WEEKDAY(DATE(B825,1,4),2)+1+(C825-1)*7)</f>
        <v/>
      </c>
      <c r="F825" s="71"/>
    </row>
    <row r="826" customFormat="false" ht="15" hidden="false" customHeight="false" outlineLevel="0" collapsed="false">
      <c r="A826" s="71"/>
      <c r="B826" s="72"/>
      <c r="C826" s="72"/>
      <c r="D826" s="72"/>
      <c r="E826" s="78" t="str">
        <f aca="false">IF(OR(B826="",C826=""),"",DATE(B826,1,4)-WEEKDAY(DATE(B826,1,4),2)+1+(C826-1)*7)</f>
        <v/>
      </c>
      <c r="F826" s="71"/>
    </row>
    <row r="827" customFormat="false" ht="15" hidden="false" customHeight="false" outlineLevel="0" collapsed="false">
      <c r="A827" s="71"/>
      <c r="B827" s="72"/>
      <c r="C827" s="72"/>
      <c r="D827" s="72"/>
      <c r="E827" s="78" t="str">
        <f aca="false">IF(OR(B827="",C827=""),"",DATE(B827,1,4)-WEEKDAY(DATE(B827,1,4),2)+1+(C827-1)*7)</f>
        <v/>
      </c>
      <c r="F827" s="71"/>
    </row>
    <row r="828" customFormat="false" ht="15" hidden="false" customHeight="false" outlineLevel="0" collapsed="false">
      <c r="A828" s="71"/>
      <c r="B828" s="72"/>
      <c r="C828" s="72"/>
      <c r="D828" s="72"/>
      <c r="E828" s="78" t="str">
        <f aca="false">IF(OR(B828="",C828=""),"",DATE(B828,1,4)-WEEKDAY(DATE(B828,1,4),2)+1+(C828-1)*7)</f>
        <v/>
      </c>
      <c r="F828" s="71"/>
    </row>
    <row r="829" customFormat="false" ht="15" hidden="false" customHeight="false" outlineLevel="0" collapsed="false">
      <c r="A829" s="71"/>
      <c r="B829" s="72"/>
      <c r="C829" s="72"/>
      <c r="D829" s="72"/>
      <c r="E829" s="78" t="str">
        <f aca="false">IF(OR(B829="",C829=""),"",DATE(B829,1,4)-WEEKDAY(DATE(B829,1,4),2)+1+(C829-1)*7)</f>
        <v/>
      </c>
      <c r="F829" s="71"/>
    </row>
    <row r="830" customFormat="false" ht="15" hidden="false" customHeight="false" outlineLevel="0" collapsed="false">
      <c r="A830" s="71"/>
      <c r="B830" s="72"/>
      <c r="C830" s="72"/>
      <c r="D830" s="72"/>
      <c r="E830" s="78" t="str">
        <f aca="false">IF(OR(B830="",C830=""),"",DATE(B830,1,4)-WEEKDAY(DATE(B830,1,4),2)+1+(C830-1)*7)</f>
        <v/>
      </c>
      <c r="F830" s="71"/>
    </row>
    <row r="831" customFormat="false" ht="15" hidden="false" customHeight="false" outlineLevel="0" collapsed="false">
      <c r="A831" s="71"/>
      <c r="B831" s="72"/>
      <c r="C831" s="72"/>
      <c r="D831" s="72"/>
      <c r="E831" s="78" t="str">
        <f aca="false">IF(OR(B831="",C831=""),"",DATE(B831,1,4)-WEEKDAY(DATE(B831,1,4),2)+1+(C831-1)*7)</f>
        <v/>
      </c>
      <c r="F831" s="71"/>
    </row>
    <row r="832" customFormat="false" ht="15" hidden="false" customHeight="false" outlineLevel="0" collapsed="false">
      <c r="A832" s="71"/>
      <c r="B832" s="72"/>
      <c r="C832" s="72"/>
      <c r="D832" s="72"/>
      <c r="E832" s="78" t="str">
        <f aca="false">IF(OR(B832="",C832=""),"",DATE(B832,1,4)-WEEKDAY(DATE(B832,1,4),2)+1+(C832-1)*7)</f>
        <v/>
      </c>
      <c r="F832" s="71"/>
    </row>
    <row r="833" customFormat="false" ht="15" hidden="false" customHeight="false" outlineLevel="0" collapsed="false">
      <c r="A833" s="71"/>
      <c r="B833" s="72"/>
      <c r="C833" s="72"/>
      <c r="D833" s="72"/>
      <c r="E833" s="78" t="str">
        <f aca="false">IF(OR(B833="",C833=""),"",DATE(B833,1,4)-WEEKDAY(DATE(B833,1,4),2)+1+(C833-1)*7)</f>
        <v/>
      </c>
      <c r="F833" s="71"/>
    </row>
    <row r="834" customFormat="false" ht="15" hidden="false" customHeight="false" outlineLevel="0" collapsed="false">
      <c r="A834" s="71"/>
      <c r="B834" s="72"/>
      <c r="C834" s="72"/>
      <c r="D834" s="72"/>
      <c r="E834" s="78" t="str">
        <f aca="false">IF(OR(B834="",C834=""),"",DATE(B834,1,4)-WEEKDAY(DATE(B834,1,4),2)+1+(C834-1)*7)</f>
        <v/>
      </c>
      <c r="F834" s="71"/>
    </row>
    <row r="835" customFormat="false" ht="15" hidden="false" customHeight="false" outlineLevel="0" collapsed="false">
      <c r="A835" s="71"/>
      <c r="B835" s="72"/>
      <c r="C835" s="72"/>
      <c r="D835" s="72"/>
      <c r="E835" s="78" t="str">
        <f aca="false">IF(OR(B835="",C835=""),"",DATE(B835,1,4)-WEEKDAY(DATE(B835,1,4),2)+1+(C835-1)*7)</f>
        <v/>
      </c>
      <c r="F835" s="71"/>
    </row>
    <row r="836" customFormat="false" ht="15" hidden="false" customHeight="false" outlineLevel="0" collapsed="false">
      <c r="A836" s="71"/>
      <c r="B836" s="72"/>
      <c r="C836" s="72"/>
      <c r="D836" s="72"/>
      <c r="E836" s="78" t="str">
        <f aca="false">IF(OR(B836="",C836=""),"",DATE(B836,1,4)-WEEKDAY(DATE(B836,1,4),2)+1+(C836-1)*7)</f>
        <v/>
      </c>
      <c r="F836" s="71"/>
    </row>
    <row r="837" customFormat="false" ht="15" hidden="false" customHeight="false" outlineLevel="0" collapsed="false">
      <c r="A837" s="71"/>
      <c r="B837" s="72"/>
      <c r="C837" s="72"/>
      <c r="D837" s="72"/>
      <c r="E837" s="78" t="str">
        <f aca="false">IF(OR(B837="",C837=""),"",DATE(B837,1,4)-WEEKDAY(DATE(B837,1,4),2)+1+(C837-1)*7)</f>
        <v/>
      </c>
      <c r="F837" s="71"/>
    </row>
    <row r="838" customFormat="false" ht="15" hidden="false" customHeight="false" outlineLevel="0" collapsed="false">
      <c r="A838" s="71"/>
      <c r="B838" s="72"/>
      <c r="C838" s="72"/>
      <c r="D838" s="72"/>
      <c r="E838" s="78" t="str">
        <f aca="false">IF(OR(B838="",C838=""),"",DATE(B838,1,4)-WEEKDAY(DATE(B838,1,4),2)+1+(C838-1)*7)</f>
        <v/>
      </c>
      <c r="F838" s="71"/>
    </row>
    <row r="839" customFormat="false" ht="15" hidden="false" customHeight="false" outlineLevel="0" collapsed="false">
      <c r="A839" s="71"/>
      <c r="B839" s="72"/>
      <c r="C839" s="72"/>
      <c r="D839" s="72"/>
      <c r="E839" s="78" t="str">
        <f aca="false">IF(OR(B839="",C839=""),"",DATE(B839,1,4)-WEEKDAY(DATE(B839,1,4),2)+1+(C839-1)*7)</f>
        <v/>
      </c>
      <c r="F839" s="71"/>
    </row>
    <row r="840" customFormat="false" ht="15" hidden="false" customHeight="false" outlineLevel="0" collapsed="false">
      <c r="A840" s="71"/>
      <c r="B840" s="72"/>
      <c r="C840" s="72"/>
      <c r="D840" s="72"/>
      <c r="E840" s="78" t="str">
        <f aca="false">IF(OR(B840="",C840=""),"",DATE(B840,1,4)-WEEKDAY(DATE(B840,1,4),2)+1+(C840-1)*7)</f>
        <v/>
      </c>
      <c r="F840" s="71"/>
    </row>
    <row r="841" customFormat="false" ht="15" hidden="false" customHeight="false" outlineLevel="0" collapsed="false">
      <c r="A841" s="71"/>
      <c r="B841" s="72"/>
      <c r="C841" s="72"/>
      <c r="D841" s="72"/>
      <c r="E841" s="78" t="str">
        <f aca="false">IF(OR(B841="",C841=""),"",DATE(B841,1,4)-WEEKDAY(DATE(B841,1,4),2)+1+(C841-1)*7)</f>
        <v/>
      </c>
      <c r="F841" s="71"/>
    </row>
    <row r="842" customFormat="false" ht="15" hidden="false" customHeight="false" outlineLevel="0" collapsed="false">
      <c r="A842" s="71"/>
      <c r="B842" s="72"/>
      <c r="C842" s="72"/>
      <c r="D842" s="72"/>
      <c r="E842" s="78" t="str">
        <f aca="false">IF(OR(B842="",C842=""),"",DATE(B842,1,4)-WEEKDAY(DATE(B842,1,4),2)+1+(C842-1)*7)</f>
        <v/>
      </c>
      <c r="F842" s="71"/>
    </row>
    <row r="843" customFormat="false" ht="15" hidden="false" customHeight="false" outlineLevel="0" collapsed="false">
      <c r="A843" s="71"/>
      <c r="B843" s="72"/>
      <c r="C843" s="72"/>
      <c r="D843" s="72"/>
      <c r="E843" s="78" t="str">
        <f aca="false">IF(OR(B843="",C843=""),"",DATE(B843,1,4)-WEEKDAY(DATE(B843,1,4),2)+1+(C843-1)*7)</f>
        <v/>
      </c>
      <c r="F843" s="71"/>
    </row>
    <row r="844" customFormat="false" ht="15" hidden="false" customHeight="false" outlineLevel="0" collapsed="false">
      <c r="A844" s="71"/>
      <c r="B844" s="72"/>
      <c r="C844" s="72"/>
      <c r="D844" s="72"/>
      <c r="E844" s="78" t="str">
        <f aca="false">IF(OR(B844="",C844=""),"",DATE(B844,1,4)-WEEKDAY(DATE(B844,1,4),2)+1+(C844-1)*7)</f>
        <v/>
      </c>
      <c r="F844" s="71"/>
    </row>
    <row r="845" customFormat="false" ht="15" hidden="false" customHeight="false" outlineLevel="0" collapsed="false">
      <c r="A845" s="71"/>
      <c r="B845" s="72"/>
      <c r="C845" s="72"/>
      <c r="D845" s="72"/>
      <c r="E845" s="78" t="str">
        <f aca="false">IF(OR(B845="",C845=""),"",DATE(B845,1,4)-WEEKDAY(DATE(B845,1,4),2)+1+(C845-1)*7)</f>
        <v/>
      </c>
      <c r="F845" s="71"/>
    </row>
    <row r="846" customFormat="false" ht="15" hidden="false" customHeight="false" outlineLevel="0" collapsed="false">
      <c r="A846" s="71"/>
      <c r="B846" s="72"/>
      <c r="C846" s="72"/>
      <c r="D846" s="72"/>
      <c r="E846" s="78" t="str">
        <f aca="false">IF(OR(B846="",C846=""),"",DATE(B846,1,4)-WEEKDAY(DATE(B846,1,4),2)+1+(C846-1)*7)</f>
        <v/>
      </c>
      <c r="F846" s="71"/>
    </row>
    <row r="847" customFormat="false" ht="15" hidden="false" customHeight="false" outlineLevel="0" collapsed="false">
      <c r="A847" s="71"/>
      <c r="B847" s="72"/>
      <c r="C847" s="72"/>
      <c r="D847" s="72"/>
      <c r="E847" s="78" t="str">
        <f aca="false">IF(OR(B847="",C847=""),"",DATE(B847,1,4)-WEEKDAY(DATE(B847,1,4),2)+1+(C847-1)*7)</f>
        <v/>
      </c>
      <c r="F847" s="71"/>
    </row>
    <row r="848" customFormat="false" ht="15" hidden="false" customHeight="false" outlineLevel="0" collapsed="false">
      <c r="A848" s="71"/>
      <c r="B848" s="72"/>
      <c r="C848" s="72"/>
      <c r="D848" s="72"/>
      <c r="E848" s="78" t="str">
        <f aca="false">IF(OR(B848="",C848=""),"",DATE(B848,1,4)-WEEKDAY(DATE(B848,1,4),2)+1+(C848-1)*7)</f>
        <v/>
      </c>
      <c r="F848" s="71"/>
    </row>
    <row r="849" customFormat="false" ht="15" hidden="false" customHeight="false" outlineLevel="0" collapsed="false">
      <c r="A849" s="71"/>
      <c r="B849" s="72"/>
      <c r="C849" s="72"/>
      <c r="D849" s="72"/>
      <c r="E849" s="78" t="str">
        <f aca="false">IF(OR(B849="",C849=""),"",DATE(B849,1,4)-WEEKDAY(DATE(B849,1,4),2)+1+(C849-1)*7)</f>
        <v/>
      </c>
      <c r="F849" s="71"/>
    </row>
    <row r="850" customFormat="false" ht="15" hidden="false" customHeight="false" outlineLevel="0" collapsed="false">
      <c r="A850" s="71"/>
      <c r="B850" s="72"/>
      <c r="C850" s="72"/>
      <c r="D850" s="72"/>
      <c r="E850" s="78" t="str">
        <f aca="false">IF(OR(B850="",C850=""),"",DATE(B850,1,4)-WEEKDAY(DATE(B850,1,4),2)+1+(C850-1)*7)</f>
        <v/>
      </c>
      <c r="F850" s="71"/>
    </row>
    <row r="851" customFormat="false" ht="15" hidden="false" customHeight="false" outlineLevel="0" collapsed="false">
      <c r="A851" s="71"/>
      <c r="B851" s="72"/>
      <c r="C851" s="72"/>
      <c r="D851" s="72"/>
      <c r="E851" s="78" t="str">
        <f aca="false">IF(OR(B851="",C851=""),"",DATE(B851,1,4)-WEEKDAY(DATE(B851,1,4),2)+1+(C851-1)*7)</f>
        <v/>
      </c>
      <c r="F851" s="71"/>
    </row>
    <row r="852" customFormat="false" ht="15" hidden="false" customHeight="false" outlineLevel="0" collapsed="false">
      <c r="A852" s="71"/>
      <c r="B852" s="72"/>
      <c r="C852" s="72"/>
      <c r="D852" s="72"/>
      <c r="E852" s="78" t="str">
        <f aca="false">IF(OR(B852="",C852=""),"",DATE(B852,1,4)-WEEKDAY(DATE(B852,1,4),2)+1+(C852-1)*7)</f>
        <v/>
      </c>
      <c r="F852" s="71"/>
    </row>
    <row r="853" customFormat="false" ht="15" hidden="false" customHeight="false" outlineLevel="0" collapsed="false">
      <c r="A853" s="71"/>
      <c r="B853" s="72"/>
      <c r="C853" s="72"/>
      <c r="D853" s="72"/>
      <c r="E853" s="78" t="str">
        <f aca="false">IF(OR(B853="",C853=""),"",DATE(B853,1,4)-WEEKDAY(DATE(B853,1,4),2)+1+(C853-1)*7)</f>
        <v/>
      </c>
      <c r="F853" s="71"/>
    </row>
    <row r="854" customFormat="false" ht="15" hidden="false" customHeight="false" outlineLevel="0" collapsed="false">
      <c r="A854" s="71"/>
      <c r="B854" s="72"/>
      <c r="C854" s="72"/>
      <c r="D854" s="72"/>
      <c r="E854" s="78" t="str">
        <f aca="false">IF(OR(B854="",C854=""),"",DATE(B854,1,4)-WEEKDAY(DATE(B854,1,4),2)+1+(C854-1)*7)</f>
        <v/>
      </c>
      <c r="F854" s="71"/>
    </row>
    <row r="855" customFormat="false" ht="15" hidden="false" customHeight="false" outlineLevel="0" collapsed="false">
      <c r="A855" s="71"/>
      <c r="B855" s="72"/>
      <c r="C855" s="72"/>
      <c r="D855" s="72"/>
      <c r="E855" s="78" t="str">
        <f aca="false">IF(OR(B855="",C855=""),"",DATE(B855,1,4)-WEEKDAY(DATE(B855,1,4),2)+1+(C855-1)*7)</f>
        <v/>
      </c>
      <c r="F855" s="71"/>
    </row>
    <row r="856" customFormat="false" ht="15" hidden="false" customHeight="false" outlineLevel="0" collapsed="false">
      <c r="A856" s="71"/>
      <c r="B856" s="72"/>
      <c r="C856" s="72"/>
      <c r="D856" s="72"/>
      <c r="E856" s="78" t="str">
        <f aca="false">IF(OR(B856="",C856=""),"",DATE(B856,1,4)-WEEKDAY(DATE(B856,1,4),2)+1+(C856-1)*7)</f>
        <v/>
      </c>
      <c r="F856" s="71"/>
    </row>
    <row r="857" customFormat="false" ht="15" hidden="false" customHeight="false" outlineLevel="0" collapsed="false">
      <c r="A857" s="71"/>
      <c r="B857" s="72"/>
      <c r="C857" s="72"/>
      <c r="D857" s="72"/>
      <c r="E857" s="78" t="str">
        <f aca="false">IF(OR(B857="",C857=""),"",DATE(B857,1,4)-WEEKDAY(DATE(B857,1,4),2)+1+(C857-1)*7)</f>
        <v/>
      </c>
      <c r="F857" s="71"/>
    </row>
    <row r="858" customFormat="false" ht="15" hidden="false" customHeight="false" outlineLevel="0" collapsed="false">
      <c r="A858" s="71"/>
      <c r="B858" s="72"/>
      <c r="C858" s="72"/>
      <c r="D858" s="72"/>
      <c r="E858" s="78" t="str">
        <f aca="false">IF(OR(B858="",C858=""),"",DATE(B858,1,4)-WEEKDAY(DATE(B858,1,4),2)+1+(C858-1)*7)</f>
        <v/>
      </c>
      <c r="F858" s="71"/>
    </row>
    <row r="859" customFormat="false" ht="15" hidden="false" customHeight="false" outlineLevel="0" collapsed="false">
      <c r="A859" s="71"/>
      <c r="B859" s="72"/>
      <c r="C859" s="72"/>
      <c r="D859" s="72"/>
      <c r="E859" s="78" t="str">
        <f aca="false">IF(OR(B859="",C859=""),"",DATE(B859,1,4)-WEEKDAY(DATE(B859,1,4),2)+1+(C859-1)*7)</f>
        <v/>
      </c>
      <c r="F859" s="71"/>
    </row>
    <row r="860" customFormat="false" ht="15" hidden="false" customHeight="false" outlineLevel="0" collapsed="false">
      <c r="A860" s="71"/>
      <c r="B860" s="72"/>
      <c r="C860" s="72"/>
      <c r="D860" s="72"/>
      <c r="E860" s="78" t="str">
        <f aca="false">IF(OR(B860="",C860=""),"",DATE(B860,1,4)-WEEKDAY(DATE(B860,1,4),2)+1+(C860-1)*7)</f>
        <v/>
      </c>
      <c r="F860" s="71"/>
    </row>
    <row r="861" customFormat="false" ht="15" hidden="false" customHeight="false" outlineLevel="0" collapsed="false">
      <c r="A861" s="71"/>
      <c r="B861" s="72"/>
      <c r="C861" s="72"/>
      <c r="D861" s="72"/>
      <c r="E861" s="78" t="str">
        <f aca="false">IF(OR(B861="",C861=""),"",DATE(B861,1,4)-WEEKDAY(DATE(B861,1,4),2)+1+(C861-1)*7)</f>
        <v/>
      </c>
      <c r="F861" s="71"/>
    </row>
    <row r="862" customFormat="false" ht="15" hidden="false" customHeight="false" outlineLevel="0" collapsed="false">
      <c r="A862" s="71"/>
      <c r="B862" s="72"/>
      <c r="C862" s="72"/>
      <c r="D862" s="72"/>
      <c r="E862" s="78" t="str">
        <f aca="false">IF(OR(B862="",C862=""),"",DATE(B862,1,4)-WEEKDAY(DATE(B862,1,4),2)+1+(C862-1)*7)</f>
        <v/>
      </c>
      <c r="F862" s="71"/>
    </row>
    <row r="863" customFormat="false" ht="15" hidden="false" customHeight="false" outlineLevel="0" collapsed="false">
      <c r="A863" s="71"/>
      <c r="B863" s="72"/>
      <c r="C863" s="72"/>
      <c r="D863" s="72"/>
      <c r="E863" s="78" t="str">
        <f aca="false">IF(OR(B863="",C863=""),"",DATE(B863,1,4)-WEEKDAY(DATE(B863,1,4),2)+1+(C863-1)*7)</f>
        <v/>
      </c>
      <c r="F863" s="71"/>
    </row>
    <row r="864" customFormat="false" ht="15" hidden="false" customHeight="false" outlineLevel="0" collapsed="false">
      <c r="A864" s="71"/>
      <c r="B864" s="72"/>
      <c r="C864" s="72"/>
      <c r="D864" s="72"/>
      <c r="E864" s="78" t="str">
        <f aca="false">IF(OR(B864="",C864=""),"",DATE(B864,1,4)-WEEKDAY(DATE(B864,1,4),2)+1+(C864-1)*7)</f>
        <v/>
      </c>
      <c r="F864" s="71"/>
    </row>
    <row r="865" customFormat="false" ht="15" hidden="false" customHeight="false" outlineLevel="0" collapsed="false">
      <c r="A865" s="71"/>
      <c r="B865" s="72"/>
      <c r="C865" s="72"/>
      <c r="D865" s="72"/>
      <c r="E865" s="78" t="str">
        <f aca="false">IF(OR(B865="",C865=""),"",DATE(B865,1,4)-WEEKDAY(DATE(B865,1,4),2)+1+(C865-1)*7)</f>
        <v/>
      </c>
      <c r="F865" s="71"/>
    </row>
    <row r="866" customFormat="false" ht="15" hidden="false" customHeight="false" outlineLevel="0" collapsed="false">
      <c r="A866" s="71"/>
      <c r="B866" s="72"/>
      <c r="C866" s="72"/>
      <c r="D866" s="72"/>
      <c r="E866" s="78" t="str">
        <f aca="false">IF(OR(B866="",C866=""),"",DATE(B866,1,4)-WEEKDAY(DATE(B866,1,4),2)+1+(C866-1)*7)</f>
        <v/>
      </c>
      <c r="F866" s="71"/>
    </row>
    <row r="867" customFormat="false" ht="15" hidden="false" customHeight="false" outlineLevel="0" collapsed="false">
      <c r="A867" s="71"/>
      <c r="B867" s="72"/>
      <c r="C867" s="72"/>
      <c r="D867" s="72"/>
      <c r="E867" s="78" t="str">
        <f aca="false">IF(OR(B867="",C867=""),"",DATE(B867,1,4)-WEEKDAY(DATE(B867,1,4),2)+1+(C867-1)*7)</f>
        <v/>
      </c>
      <c r="F867" s="71"/>
    </row>
    <row r="868" customFormat="false" ht="15" hidden="false" customHeight="false" outlineLevel="0" collapsed="false">
      <c r="A868" s="71"/>
      <c r="B868" s="72"/>
      <c r="C868" s="72"/>
      <c r="D868" s="72"/>
      <c r="E868" s="78" t="str">
        <f aca="false">IF(OR(B868="",C868=""),"",DATE(B868,1,4)-WEEKDAY(DATE(B868,1,4),2)+1+(C868-1)*7)</f>
        <v/>
      </c>
      <c r="F868" s="71"/>
    </row>
    <row r="869" customFormat="false" ht="15" hidden="false" customHeight="false" outlineLevel="0" collapsed="false">
      <c r="A869" s="71"/>
      <c r="B869" s="72"/>
      <c r="C869" s="72"/>
      <c r="D869" s="72"/>
      <c r="E869" s="78" t="str">
        <f aca="false">IF(OR(B869="",C869=""),"",DATE(B869,1,4)-WEEKDAY(DATE(B869,1,4),2)+1+(C869-1)*7)</f>
        <v/>
      </c>
      <c r="F869" s="71"/>
    </row>
    <row r="870" customFormat="false" ht="15" hidden="false" customHeight="false" outlineLevel="0" collapsed="false">
      <c r="A870" s="71"/>
      <c r="B870" s="72"/>
      <c r="C870" s="72"/>
      <c r="D870" s="72"/>
      <c r="E870" s="78" t="str">
        <f aca="false">IF(OR(B870="",C870=""),"",DATE(B870,1,4)-WEEKDAY(DATE(B870,1,4),2)+1+(C870-1)*7)</f>
        <v/>
      </c>
      <c r="F870" s="71"/>
    </row>
    <row r="871" customFormat="false" ht="15" hidden="false" customHeight="false" outlineLevel="0" collapsed="false">
      <c r="A871" s="71"/>
      <c r="B871" s="72"/>
      <c r="C871" s="72"/>
      <c r="D871" s="72"/>
      <c r="E871" s="78" t="str">
        <f aca="false">IF(OR(B871="",C871=""),"",DATE(B871,1,4)-WEEKDAY(DATE(B871,1,4),2)+1+(C871-1)*7)</f>
        <v/>
      </c>
      <c r="F871" s="71"/>
    </row>
    <row r="872" customFormat="false" ht="15" hidden="false" customHeight="false" outlineLevel="0" collapsed="false">
      <c r="A872" s="71"/>
      <c r="B872" s="72"/>
      <c r="C872" s="72"/>
      <c r="D872" s="72"/>
      <c r="E872" s="78" t="str">
        <f aca="false">IF(OR(B872="",C872=""),"",DATE(B872,1,4)-WEEKDAY(DATE(B872,1,4),2)+1+(C872-1)*7)</f>
        <v/>
      </c>
      <c r="F872" s="71"/>
    </row>
    <row r="873" customFormat="false" ht="15" hidden="false" customHeight="false" outlineLevel="0" collapsed="false">
      <c r="A873" s="71"/>
      <c r="B873" s="72"/>
      <c r="C873" s="72"/>
      <c r="D873" s="72"/>
      <c r="E873" s="78" t="str">
        <f aca="false">IF(OR(B873="",C873=""),"",DATE(B873,1,4)-WEEKDAY(DATE(B873,1,4),2)+1+(C873-1)*7)</f>
        <v/>
      </c>
      <c r="F873" s="71"/>
    </row>
    <row r="874" customFormat="false" ht="15" hidden="false" customHeight="false" outlineLevel="0" collapsed="false">
      <c r="A874" s="71"/>
      <c r="B874" s="72"/>
      <c r="C874" s="72"/>
      <c r="D874" s="72"/>
      <c r="E874" s="78" t="str">
        <f aca="false">IF(OR(B874="",C874=""),"",DATE(B874,1,4)-WEEKDAY(DATE(B874,1,4),2)+1+(C874-1)*7)</f>
        <v/>
      </c>
      <c r="F874" s="71"/>
    </row>
    <row r="875" customFormat="false" ht="15" hidden="false" customHeight="false" outlineLevel="0" collapsed="false">
      <c r="A875" s="71"/>
      <c r="B875" s="72"/>
      <c r="C875" s="72"/>
      <c r="D875" s="72"/>
      <c r="E875" s="78" t="str">
        <f aca="false">IF(OR(B875="",C875=""),"",DATE(B875,1,4)-WEEKDAY(DATE(B875,1,4),2)+1+(C875-1)*7)</f>
        <v/>
      </c>
      <c r="F875" s="71"/>
    </row>
    <row r="876" customFormat="false" ht="15" hidden="false" customHeight="false" outlineLevel="0" collapsed="false">
      <c r="A876" s="71"/>
      <c r="B876" s="72"/>
      <c r="C876" s="72"/>
      <c r="D876" s="72"/>
      <c r="E876" s="78" t="str">
        <f aca="false">IF(OR(B876="",C876=""),"",DATE(B876,1,4)-WEEKDAY(DATE(B876,1,4),2)+1+(C876-1)*7)</f>
        <v/>
      </c>
      <c r="F876" s="71"/>
    </row>
    <row r="877" customFormat="false" ht="15" hidden="false" customHeight="false" outlineLevel="0" collapsed="false">
      <c r="A877" s="71"/>
      <c r="B877" s="72"/>
      <c r="C877" s="72"/>
      <c r="D877" s="72"/>
      <c r="E877" s="78" t="str">
        <f aca="false">IF(OR(B877="",C877=""),"",DATE(B877,1,4)-WEEKDAY(DATE(B877,1,4),2)+1+(C877-1)*7)</f>
        <v/>
      </c>
      <c r="F877" s="71"/>
    </row>
    <row r="878" customFormat="false" ht="15" hidden="false" customHeight="false" outlineLevel="0" collapsed="false">
      <c r="A878" s="71"/>
      <c r="B878" s="72"/>
      <c r="C878" s="72"/>
      <c r="D878" s="72"/>
      <c r="E878" s="78" t="str">
        <f aca="false">IF(OR(B878="",C878=""),"",DATE(B878,1,4)-WEEKDAY(DATE(B878,1,4),2)+1+(C878-1)*7)</f>
        <v/>
      </c>
      <c r="F878" s="71"/>
    </row>
    <row r="879" customFormat="false" ht="15" hidden="false" customHeight="false" outlineLevel="0" collapsed="false">
      <c r="A879" s="71"/>
      <c r="B879" s="72"/>
      <c r="C879" s="72"/>
      <c r="D879" s="72"/>
      <c r="E879" s="78" t="str">
        <f aca="false">IF(OR(B879="",C879=""),"",DATE(B879,1,4)-WEEKDAY(DATE(B879,1,4),2)+1+(C879-1)*7)</f>
        <v/>
      </c>
      <c r="F879" s="71"/>
    </row>
    <row r="880" customFormat="false" ht="15" hidden="false" customHeight="false" outlineLevel="0" collapsed="false">
      <c r="A880" s="71"/>
      <c r="B880" s="72"/>
      <c r="C880" s="72"/>
      <c r="D880" s="72"/>
      <c r="E880" s="78" t="str">
        <f aca="false">IF(OR(B880="",C880=""),"",DATE(B880,1,4)-WEEKDAY(DATE(B880,1,4),2)+1+(C880-1)*7)</f>
        <v/>
      </c>
      <c r="F880" s="71"/>
    </row>
    <row r="881" customFormat="false" ht="15" hidden="false" customHeight="false" outlineLevel="0" collapsed="false">
      <c r="A881" s="71"/>
      <c r="B881" s="72"/>
      <c r="C881" s="72"/>
      <c r="D881" s="72"/>
      <c r="E881" s="78" t="str">
        <f aca="false">IF(OR(B881="",C881=""),"",DATE(B881,1,4)-WEEKDAY(DATE(B881,1,4),2)+1+(C881-1)*7)</f>
        <v/>
      </c>
      <c r="F881" s="71"/>
    </row>
    <row r="882" customFormat="false" ht="15" hidden="false" customHeight="false" outlineLevel="0" collapsed="false">
      <c r="A882" s="71"/>
      <c r="B882" s="72"/>
      <c r="C882" s="72"/>
      <c r="D882" s="72"/>
      <c r="E882" s="78" t="str">
        <f aca="false">IF(OR(B882="",C882=""),"",DATE(B882,1,4)-WEEKDAY(DATE(B882,1,4),2)+1+(C882-1)*7)</f>
        <v/>
      </c>
      <c r="F882" s="71"/>
    </row>
    <row r="883" customFormat="false" ht="15" hidden="false" customHeight="false" outlineLevel="0" collapsed="false">
      <c r="A883" s="71"/>
      <c r="B883" s="72"/>
      <c r="C883" s="72"/>
      <c r="D883" s="72"/>
      <c r="E883" s="78" t="str">
        <f aca="false">IF(OR(B883="",C883=""),"",DATE(B883,1,4)-WEEKDAY(DATE(B883,1,4),2)+1+(C883-1)*7)</f>
        <v/>
      </c>
      <c r="F883" s="71"/>
    </row>
    <row r="884" customFormat="false" ht="15" hidden="false" customHeight="false" outlineLevel="0" collapsed="false">
      <c r="A884" s="71"/>
      <c r="B884" s="72"/>
      <c r="C884" s="72"/>
      <c r="D884" s="72"/>
      <c r="E884" s="78" t="str">
        <f aca="false">IF(OR(B884="",C884=""),"",DATE(B884,1,4)-WEEKDAY(DATE(B884,1,4),2)+1+(C884-1)*7)</f>
        <v/>
      </c>
      <c r="F884" s="71"/>
    </row>
    <row r="885" customFormat="false" ht="15" hidden="false" customHeight="false" outlineLevel="0" collapsed="false">
      <c r="A885" s="71"/>
      <c r="B885" s="72"/>
      <c r="C885" s="72"/>
      <c r="D885" s="72"/>
      <c r="E885" s="78" t="str">
        <f aca="false">IF(OR(B885="",C885=""),"",DATE(B885,1,4)-WEEKDAY(DATE(B885,1,4),2)+1+(C885-1)*7)</f>
        <v/>
      </c>
      <c r="F885" s="71"/>
    </row>
    <row r="886" customFormat="false" ht="15" hidden="false" customHeight="false" outlineLevel="0" collapsed="false">
      <c r="A886" s="71"/>
      <c r="B886" s="72"/>
      <c r="C886" s="72"/>
      <c r="D886" s="72"/>
      <c r="E886" s="78" t="str">
        <f aca="false">IF(OR(B886="",C886=""),"",DATE(B886,1,4)-WEEKDAY(DATE(B886,1,4),2)+1+(C886-1)*7)</f>
        <v/>
      </c>
      <c r="F886" s="71"/>
    </row>
    <row r="887" customFormat="false" ht="15" hidden="false" customHeight="false" outlineLevel="0" collapsed="false">
      <c r="A887" s="71"/>
      <c r="B887" s="72"/>
      <c r="C887" s="72"/>
      <c r="D887" s="72"/>
      <c r="E887" s="78" t="str">
        <f aca="false">IF(OR(B887="",C887=""),"",DATE(B887,1,4)-WEEKDAY(DATE(B887,1,4),2)+1+(C887-1)*7)</f>
        <v/>
      </c>
      <c r="F887" s="71"/>
    </row>
    <row r="888" customFormat="false" ht="15" hidden="false" customHeight="false" outlineLevel="0" collapsed="false">
      <c r="A888" s="71"/>
      <c r="B888" s="72"/>
      <c r="C888" s="72"/>
      <c r="D888" s="72"/>
      <c r="E888" s="78" t="str">
        <f aca="false">IF(OR(B888="",C888=""),"",DATE(B888,1,4)-WEEKDAY(DATE(B888,1,4),2)+1+(C888-1)*7)</f>
        <v/>
      </c>
      <c r="F888" s="71"/>
    </row>
    <row r="889" customFormat="false" ht="15" hidden="false" customHeight="false" outlineLevel="0" collapsed="false">
      <c r="A889" s="71"/>
      <c r="B889" s="72"/>
      <c r="C889" s="72"/>
      <c r="D889" s="72"/>
      <c r="E889" s="78" t="str">
        <f aca="false">IF(OR(B889="",C889=""),"",DATE(B889,1,4)-WEEKDAY(DATE(B889,1,4),2)+1+(C889-1)*7)</f>
        <v/>
      </c>
      <c r="F889" s="71"/>
    </row>
    <row r="890" customFormat="false" ht="15" hidden="false" customHeight="false" outlineLevel="0" collapsed="false">
      <c r="A890" s="71"/>
      <c r="B890" s="72"/>
      <c r="C890" s="72"/>
      <c r="D890" s="72"/>
      <c r="E890" s="78" t="str">
        <f aca="false">IF(OR(B890="",C890=""),"",DATE(B890,1,4)-WEEKDAY(DATE(B890,1,4),2)+1+(C890-1)*7)</f>
        <v/>
      </c>
      <c r="F890" s="71"/>
    </row>
    <row r="891" customFormat="false" ht="15" hidden="false" customHeight="false" outlineLevel="0" collapsed="false">
      <c r="A891" s="71"/>
      <c r="B891" s="72"/>
      <c r="C891" s="72"/>
      <c r="D891" s="72"/>
      <c r="E891" s="78" t="str">
        <f aca="false">IF(OR(B891="",C891=""),"",DATE(B891,1,4)-WEEKDAY(DATE(B891,1,4),2)+1+(C891-1)*7)</f>
        <v/>
      </c>
      <c r="F891" s="71"/>
    </row>
    <row r="892" customFormat="false" ht="15" hidden="false" customHeight="false" outlineLevel="0" collapsed="false">
      <c r="A892" s="71"/>
      <c r="B892" s="72"/>
      <c r="C892" s="72"/>
      <c r="D892" s="72"/>
      <c r="E892" s="78" t="str">
        <f aca="false">IF(OR(B892="",C892=""),"",DATE(B892,1,4)-WEEKDAY(DATE(B892,1,4),2)+1+(C892-1)*7)</f>
        <v/>
      </c>
      <c r="F892" s="71"/>
    </row>
    <row r="893" customFormat="false" ht="15" hidden="false" customHeight="false" outlineLevel="0" collapsed="false">
      <c r="A893" s="71"/>
      <c r="B893" s="72"/>
      <c r="C893" s="72"/>
      <c r="D893" s="72"/>
      <c r="E893" s="78" t="str">
        <f aca="false">IF(OR(B893="",C893=""),"",DATE(B893,1,4)-WEEKDAY(DATE(B893,1,4),2)+1+(C893-1)*7)</f>
        <v/>
      </c>
      <c r="F893" s="71"/>
    </row>
    <row r="894" customFormat="false" ht="15" hidden="false" customHeight="false" outlineLevel="0" collapsed="false">
      <c r="A894" s="71"/>
      <c r="B894" s="72"/>
      <c r="C894" s="72"/>
      <c r="D894" s="72"/>
      <c r="E894" s="78" t="str">
        <f aca="false">IF(OR(B894="",C894=""),"",DATE(B894,1,4)-WEEKDAY(DATE(B894,1,4),2)+1+(C894-1)*7)</f>
        <v/>
      </c>
      <c r="F894" s="71"/>
    </row>
    <row r="895" customFormat="false" ht="15" hidden="false" customHeight="false" outlineLevel="0" collapsed="false">
      <c r="A895" s="71"/>
      <c r="B895" s="72"/>
      <c r="C895" s="72"/>
      <c r="D895" s="72"/>
      <c r="E895" s="78" t="str">
        <f aca="false">IF(OR(B895="",C895=""),"",DATE(B895,1,4)-WEEKDAY(DATE(B895,1,4),2)+1+(C895-1)*7)</f>
        <v/>
      </c>
      <c r="F895" s="71"/>
    </row>
    <row r="896" customFormat="false" ht="15" hidden="false" customHeight="false" outlineLevel="0" collapsed="false">
      <c r="A896" s="71"/>
      <c r="B896" s="72"/>
      <c r="C896" s="72"/>
      <c r="D896" s="72"/>
      <c r="E896" s="78" t="str">
        <f aca="false">IF(OR(B896="",C896=""),"",DATE(B896,1,4)-WEEKDAY(DATE(B896,1,4),2)+1+(C896-1)*7)</f>
        <v/>
      </c>
      <c r="F896" s="71"/>
    </row>
    <row r="897" customFormat="false" ht="15" hidden="false" customHeight="false" outlineLevel="0" collapsed="false">
      <c r="A897" s="71"/>
      <c r="B897" s="72"/>
      <c r="C897" s="72"/>
      <c r="D897" s="72"/>
      <c r="E897" s="78" t="str">
        <f aca="false">IF(OR(B897="",C897=""),"",DATE(B897,1,4)-WEEKDAY(DATE(B897,1,4),2)+1+(C897-1)*7)</f>
        <v/>
      </c>
      <c r="F897" s="71"/>
    </row>
    <row r="898" customFormat="false" ht="15" hidden="false" customHeight="false" outlineLevel="0" collapsed="false">
      <c r="A898" s="71"/>
      <c r="B898" s="72"/>
      <c r="C898" s="72"/>
      <c r="D898" s="72"/>
      <c r="E898" s="78" t="str">
        <f aca="false">IF(OR(B898="",C898=""),"",DATE(B898,1,4)-WEEKDAY(DATE(B898,1,4),2)+1+(C898-1)*7)</f>
        <v/>
      </c>
      <c r="F898" s="71"/>
    </row>
    <row r="899" customFormat="false" ht="15" hidden="false" customHeight="false" outlineLevel="0" collapsed="false">
      <c r="A899" s="71"/>
      <c r="B899" s="72"/>
      <c r="C899" s="72"/>
      <c r="D899" s="72"/>
      <c r="E899" s="78" t="str">
        <f aca="false">IF(OR(B899="",C899=""),"",DATE(B899,1,4)-WEEKDAY(DATE(B899,1,4),2)+1+(C899-1)*7)</f>
        <v/>
      </c>
      <c r="F899" s="71"/>
    </row>
    <row r="900" customFormat="false" ht="15" hidden="false" customHeight="false" outlineLevel="0" collapsed="false">
      <c r="A900" s="71"/>
      <c r="B900" s="72"/>
      <c r="C900" s="72"/>
      <c r="D900" s="72"/>
      <c r="E900" s="78" t="str">
        <f aca="false">IF(OR(B900="",C900=""),"",DATE(B900,1,4)-WEEKDAY(DATE(B900,1,4),2)+1+(C900-1)*7)</f>
        <v/>
      </c>
      <c r="F900" s="71"/>
    </row>
    <row r="901" customFormat="false" ht="15" hidden="false" customHeight="false" outlineLevel="0" collapsed="false">
      <c r="A901" s="71"/>
      <c r="B901" s="72"/>
      <c r="C901" s="72"/>
      <c r="D901" s="72"/>
      <c r="E901" s="78" t="str">
        <f aca="false">IF(OR(B901="",C901=""),"",DATE(B901,1,4)-WEEKDAY(DATE(B901,1,4),2)+1+(C901-1)*7)</f>
        <v/>
      </c>
      <c r="F901" s="71"/>
    </row>
    <row r="902" customFormat="false" ht="15" hidden="false" customHeight="false" outlineLevel="0" collapsed="false">
      <c r="A902" s="71"/>
      <c r="B902" s="72"/>
      <c r="C902" s="72"/>
      <c r="D902" s="72"/>
      <c r="E902" s="78" t="str">
        <f aca="false">IF(OR(B902="",C902=""),"",DATE(B902,1,4)-WEEKDAY(DATE(B902,1,4),2)+1+(C902-1)*7)</f>
        <v/>
      </c>
      <c r="F902" s="71"/>
    </row>
    <row r="903" customFormat="false" ht="15" hidden="false" customHeight="false" outlineLevel="0" collapsed="false">
      <c r="A903" s="71"/>
      <c r="B903" s="72"/>
      <c r="C903" s="72"/>
      <c r="D903" s="72"/>
      <c r="E903" s="78" t="str">
        <f aca="false">IF(OR(B903="",C903=""),"",DATE(B903,1,4)-WEEKDAY(DATE(B903,1,4),2)+1+(C903-1)*7)</f>
        <v/>
      </c>
      <c r="F903" s="71"/>
    </row>
    <row r="904" customFormat="false" ht="15" hidden="false" customHeight="false" outlineLevel="0" collapsed="false">
      <c r="A904" s="71"/>
      <c r="B904" s="72"/>
      <c r="C904" s="72"/>
      <c r="D904" s="72"/>
      <c r="E904" s="78" t="str">
        <f aca="false">IF(OR(B904="",C904=""),"",DATE(B904,1,4)-WEEKDAY(DATE(B904,1,4),2)+1+(C904-1)*7)</f>
        <v/>
      </c>
      <c r="F904" s="71"/>
    </row>
    <row r="905" customFormat="false" ht="15" hidden="false" customHeight="false" outlineLevel="0" collapsed="false">
      <c r="A905" s="71"/>
      <c r="B905" s="72"/>
      <c r="C905" s="72"/>
      <c r="D905" s="72"/>
      <c r="E905" s="78" t="str">
        <f aca="false">IF(OR(B905="",C905=""),"",DATE(B905,1,4)-WEEKDAY(DATE(B905,1,4),2)+1+(C905-1)*7)</f>
        <v/>
      </c>
      <c r="F905" s="71"/>
    </row>
    <row r="906" customFormat="false" ht="15" hidden="false" customHeight="false" outlineLevel="0" collapsed="false">
      <c r="A906" s="71"/>
      <c r="B906" s="72"/>
      <c r="C906" s="72"/>
      <c r="D906" s="72"/>
      <c r="E906" s="78" t="str">
        <f aca="false">IF(OR(B906="",C906=""),"",DATE(B906,1,4)-WEEKDAY(DATE(B906,1,4),2)+1+(C906-1)*7)</f>
        <v/>
      </c>
      <c r="F906" s="71"/>
    </row>
    <row r="907" customFormat="false" ht="15" hidden="false" customHeight="false" outlineLevel="0" collapsed="false">
      <c r="A907" s="71"/>
      <c r="B907" s="72"/>
      <c r="C907" s="72"/>
      <c r="D907" s="72"/>
      <c r="E907" s="78" t="str">
        <f aca="false">IF(OR(B907="",C907=""),"",DATE(B907,1,4)-WEEKDAY(DATE(B907,1,4),2)+1+(C907-1)*7)</f>
        <v/>
      </c>
      <c r="F907" s="71"/>
    </row>
    <row r="908" customFormat="false" ht="15" hidden="false" customHeight="false" outlineLevel="0" collapsed="false">
      <c r="A908" s="71"/>
      <c r="B908" s="72"/>
      <c r="C908" s="72"/>
      <c r="D908" s="72"/>
      <c r="E908" s="78" t="str">
        <f aca="false">IF(OR(B908="",C908=""),"",DATE(B908,1,4)-WEEKDAY(DATE(B908,1,4),2)+1+(C908-1)*7)</f>
        <v/>
      </c>
      <c r="F908" s="71"/>
    </row>
    <row r="909" customFormat="false" ht="15" hidden="false" customHeight="false" outlineLevel="0" collapsed="false">
      <c r="A909" s="71"/>
      <c r="B909" s="72"/>
      <c r="C909" s="72"/>
      <c r="D909" s="72"/>
      <c r="E909" s="78" t="str">
        <f aca="false">IF(OR(B909="",C909=""),"",DATE(B909,1,4)-WEEKDAY(DATE(B909,1,4),2)+1+(C909-1)*7)</f>
        <v/>
      </c>
      <c r="F909" s="71"/>
    </row>
    <row r="910" customFormat="false" ht="15" hidden="false" customHeight="false" outlineLevel="0" collapsed="false">
      <c r="A910" s="71"/>
      <c r="B910" s="72"/>
      <c r="C910" s="72"/>
      <c r="D910" s="72"/>
      <c r="E910" s="78" t="str">
        <f aca="false">IF(OR(B910="",C910=""),"",DATE(B910,1,4)-WEEKDAY(DATE(B910,1,4),2)+1+(C910-1)*7)</f>
        <v/>
      </c>
      <c r="F910" s="71"/>
    </row>
    <row r="911" customFormat="false" ht="15" hidden="false" customHeight="false" outlineLevel="0" collapsed="false">
      <c r="A911" s="71"/>
      <c r="B911" s="72"/>
      <c r="C911" s="72"/>
      <c r="D911" s="72"/>
      <c r="E911" s="78" t="str">
        <f aca="false">IF(OR(B911="",C911=""),"",DATE(B911,1,4)-WEEKDAY(DATE(B911,1,4),2)+1+(C911-1)*7)</f>
        <v/>
      </c>
      <c r="F911" s="71"/>
    </row>
    <row r="912" customFormat="false" ht="15" hidden="false" customHeight="false" outlineLevel="0" collapsed="false">
      <c r="A912" s="71"/>
      <c r="B912" s="72"/>
      <c r="C912" s="72"/>
      <c r="D912" s="72"/>
      <c r="E912" s="78" t="str">
        <f aca="false">IF(OR(B912="",C912=""),"",DATE(B912,1,4)-WEEKDAY(DATE(B912,1,4),2)+1+(C912-1)*7)</f>
        <v/>
      </c>
      <c r="F912" s="71"/>
    </row>
    <row r="913" customFormat="false" ht="15" hidden="false" customHeight="false" outlineLevel="0" collapsed="false">
      <c r="A913" s="71"/>
      <c r="B913" s="72"/>
      <c r="C913" s="72"/>
      <c r="D913" s="72"/>
      <c r="E913" s="78" t="str">
        <f aca="false">IF(OR(B913="",C913=""),"",DATE(B913,1,4)-WEEKDAY(DATE(B913,1,4),2)+1+(C913-1)*7)</f>
        <v/>
      </c>
      <c r="F913" s="71"/>
    </row>
    <row r="914" customFormat="false" ht="15" hidden="false" customHeight="false" outlineLevel="0" collapsed="false">
      <c r="A914" s="71"/>
      <c r="B914" s="72"/>
      <c r="C914" s="72"/>
      <c r="D914" s="72"/>
      <c r="E914" s="78" t="str">
        <f aca="false">IF(OR(B914="",C914=""),"",DATE(B914,1,4)-WEEKDAY(DATE(B914,1,4),2)+1+(C914-1)*7)</f>
        <v/>
      </c>
      <c r="F914" s="71"/>
    </row>
    <row r="915" customFormat="false" ht="15" hidden="false" customHeight="false" outlineLevel="0" collapsed="false">
      <c r="A915" s="71"/>
      <c r="B915" s="72"/>
      <c r="C915" s="72"/>
      <c r="D915" s="72"/>
      <c r="E915" s="78" t="str">
        <f aca="false">IF(OR(B915="",C915=""),"",DATE(B915,1,4)-WEEKDAY(DATE(B915,1,4),2)+1+(C915-1)*7)</f>
        <v/>
      </c>
      <c r="F915" s="71"/>
    </row>
    <row r="916" customFormat="false" ht="15" hidden="false" customHeight="false" outlineLevel="0" collapsed="false">
      <c r="A916" s="71"/>
      <c r="B916" s="72"/>
      <c r="C916" s="72"/>
      <c r="D916" s="72"/>
      <c r="E916" s="78" t="str">
        <f aca="false">IF(OR(B916="",C916=""),"",DATE(B916,1,4)-WEEKDAY(DATE(B916,1,4),2)+1+(C916-1)*7)</f>
        <v/>
      </c>
      <c r="F916" s="71"/>
    </row>
    <row r="917" customFormat="false" ht="15" hidden="false" customHeight="false" outlineLevel="0" collapsed="false">
      <c r="A917" s="71"/>
      <c r="B917" s="72"/>
      <c r="C917" s="72"/>
      <c r="D917" s="72"/>
      <c r="E917" s="78" t="str">
        <f aca="false">IF(OR(B917="",C917=""),"",DATE(B917,1,4)-WEEKDAY(DATE(B917,1,4),2)+1+(C917-1)*7)</f>
        <v/>
      </c>
      <c r="F917" s="71"/>
    </row>
    <row r="918" customFormat="false" ht="15" hidden="false" customHeight="false" outlineLevel="0" collapsed="false">
      <c r="A918" s="71"/>
      <c r="B918" s="72"/>
      <c r="C918" s="72"/>
      <c r="D918" s="72"/>
      <c r="E918" s="78" t="str">
        <f aca="false">IF(OR(B918="",C918=""),"",DATE(B918,1,4)-WEEKDAY(DATE(B918,1,4),2)+1+(C918-1)*7)</f>
        <v/>
      </c>
      <c r="F918" s="71"/>
    </row>
    <row r="919" customFormat="false" ht="15" hidden="false" customHeight="false" outlineLevel="0" collapsed="false">
      <c r="A919" s="71"/>
      <c r="B919" s="72"/>
      <c r="C919" s="72"/>
      <c r="D919" s="72"/>
      <c r="E919" s="78" t="str">
        <f aca="false">IF(OR(B919="",C919=""),"",DATE(B919,1,4)-WEEKDAY(DATE(B919,1,4),2)+1+(C919-1)*7)</f>
        <v/>
      </c>
      <c r="F919" s="71"/>
    </row>
    <row r="920" customFormat="false" ht="15" hidden="false" customHeight="false" outlineLevel="0" collapsed="false">
      <c r="A920" s="71"/>
      <c r="B920" s="72"/>
      <c r="C920" s="72"/>
      <c r="D920" s="72"/>
      <c r="E920" s="78" t="str">
        <f aca="false">IF(OR(B920="",C920=""),"",DATE(B920,1,4)-WEEKDAY(DATE(B920,1,4),2)+1+(C920-1)*7)</f>
        <v/>
      </c>
      <c r="F920" s="71"/>
    </row>
    <row r="921" customFormat="false" ht="15" hidden="false" customHeight="false" outlineLevel="0" collapsed="false">
      <c r="A921" s="71"/>
      <c r="B921" s="72"/>
      <c r="C921" s="72"/>
      <c r="D921" s="72"/>
      <c r="E921" s="78" t="str">
        <f aca="false">IF(OR(B921="",C921=""),"",DATE(B921,1,4)-WEEKDAY(DATE(B921,1,4),2)+1+(C921-1)*7)</f>
        <v/>
      </c>
      <c r="F921" s="71"/>
    </row>
    <row r="922" customFormat="false" ht="15" hidden="false" customHeight="false" outlineLevel="0" collapsed="false">
      <c r="A922" s="71"/>
      <c r="B922" s="72"/>
      <c r="C922" s="72"/>
      <c r="D922" s="72"/>
      <c r="E922" s="78" t="str">
        <f aca="false">IF(OR(B922="",C922=""),"",DATE(B922,1,4)-WEEKDAY(DATE(B922,1,4),2)+1+(C922-1)*7)</f>
        <v/>
      </c>
      <c r="F922" s="71"/>
    </row>
    <row r="923" customFormat="false" ht="15" hidden="false" customHeight="false" outlineLevel="0" collapsed="false">
      <c r="A923" s="71"/>
      <c r="B923" s="72"/>
      <c r="C923" s="72"/>
      <c r="D923" s="72"/>
      <c r="E923" s="78" t="str">
        <f aca="false">IF(OR(B923="",C923=""),"",DATE(B923,1,4)-WEEKDAY(DATE(B923,1,4),2)+1+(C923-1)*7)</f>
        <v/>
      </c>
      <c r="F923" s="71"/>
    </row>
    <row r="924" customFormat="false" ht="15" hidden="false" customHeight="false" outlineLevel="0" collapsed="false">
      <c r="A924" s="71"/>
      <c r="B924" s="72"/>
      <c r="C924" s="72"/>
      <c r="D924" s="72"/>
      <c r="E924" s="78" t="str">
        <f aca="false">IF(OR(B924="",C924=""),"",DATE(B924,1,4)-WEEKDAY(DATE(B924,1,4),2)+1+(C924-1)*7)</f>
        <v/>
      </c>
      <c r="F924" s="71"/>
    </row>
    <row r="925" customFormat="false" ht="15" hidden="false" customHeight="false" outlineLevel="0" collapsed="false">
      <c r="A925" s="71"/>
      <c r="B925" s="72"/>
      <c r="C925" s="72"/>
      <c r="D925" s="72"/>
      <c r="E925" s="78" t="str">
        <f aca="false">IF(OR(B925="",C925=""),"",DATE(B925,1,4)-WEEKDAY(DATE(B925,1,4),2)+1+(C925-1)*7)</f>
        <v/>
      </c>
      <c r="F925" s="71"/>
    </row>
    <row r="926" customFormat="false" ht="15" hidden="false" customHeight="false" outlineLevel="0" collapsed="false">
      <c r="A926" s="71"/>
      <c r="B926" s="72"/>
      <c r="C926" s="72"/>
      <c r="D926" s="72"/>
      <c r="E926" s="78" t="str">
        <f aca="false">IF(OR(B926="",C926=""),"",DATE(B926,1,4)-WEEKDAY(DATE(B926,1,4),2)+1+(C926-1)*7)</f>
        <v/>
      </c>
      <c r="F926" s="71"/>
    </row>
    <row r="927" customFormat="false" ht="15" hidden="false" customHeight="false" outlineLevel="0" collapsed="false">
      <c r="A927" s="71"/>
      <c r="B927" s="72"/>
      <c r="C927" s="72"/>
      <c r="D927" s="72"/>
      <c r="E927" s="78" t="str">
        <f aca="false">IF(OR(B927="",C927=""),"",DATE(B927,1,4)-WEEKDAY(DATE(B927,1,4),2)+1+(C927-1)*7)</f>
        <v/>
      </c>
      <c r="F927" s="71"/>
    </row>
    <row r="928" customFormat="false" ht="15" hidden="false" customHeight="false" outlineLevel="0" collapsed="false">
      <c r="A928" s="71"/>
      <c r="B928" s="72"/>
      <c r="C928" s="72"/>
      <c r="D928" s="72"/>
      <c r="E928" s="78" t="str">
        <f aca="false">IF(OR(B928="",C928=""),"",DATE(B928,1,4)-WEEKDAY(DATE(B928,1,4),2)+1+(C928-1)*7)</f>
        <v/>
      </c>
      <c r="F928" s="71"/>
    </row>
    <row r="929" customFormat="false" ht="15" hidden="false" customHeight="false" outlineLevel="0" collapsed="false">
      <c r="A929" s="71"/>
      <c r="B929" s="72"/>
      <c r="C929" s="72"/>
      <c r="D929" s="72"/>
      <c r="E929" s="78" t="str">
        <f aca="false">IF(OR(B929="",C929=""),"",DATE(B929,1,4)-WEEKDAY(DATE(B929,1,4),2)+1+(C929-1)*7)</f>
        <v/>
      </c>
      <c r="F929" s="71"/>
    </row>
    <row r="930" customFormat="false" ht="15" hidden="false" customHeight="false" outlineLevel="0" collapsed="false">
      <c r="A930" s="71"/>
      <c r="B930" s="72"/>
      <c r="C930" s="72"/>
      <c r="D930" s="72"/>
      <c r="E930" s="78" t="str">
        <f aca="false">IF(OR(B930="",C930=""),"",DATE(B930,1,4)-WEEKDAY(DATE(B930,1,4),2)+1+(C930-1)*7)</f>
        <v/>
      </c>
      <c r="F930" s="71"/>
    </row>
    <row r="931" customFormat="false" ht="15" hidden="false" customHeight="false" outlineLevel="0" collapsed="false">
      <c r="A931" s="71"/>
      <c r="B931" s="72"/>
      <c r="C931" s="72"/>
      <c r="D931" s="72"/>
      <c r="E931" s="78" t="str">
        <f aca="false">IF(OR(B931="",C931=""),"",DATE(B931,1,4)-WEEKDAY(DATE(B931,1,4),2)+1+(C931-1)*7)</f>
        <v/>
      </c>
      <c r="F931" s="71"/>
    </row>
    <row r="932" customFormat="false" ht="15" hidden="false" customHeight="false" outlineLevel="0" collapsed="false">
      <c r="A932" s="71"/>
      <c r="B932" s="72"/>
      <c r="C932" s="72"/>
      <c r="D932" s="72"/>
      <c r="E932" s="78" t="str">
        <f aca="false">IF(OR(B932="",C932=""),"",DATE(B932,1,4)-WEEKDAY(DATE(B932,1,4),2)+1+(C932-1)*7)</f>
        <v/>
      </c>
      <c r="F932" s="71"/>
    </row>
    <row r="933" customFormat="false" ht="15" hidden="false" customHeight="false" outlineLevel="0" collapsed="false">
      <c r="A933" s="71"/>
      <c r="B933" s="72"/>
      <c r="C933" s="72"/>
      <c r="D933" s="72"/>
      <c r="E933" s="78" t="str">
        <f aca="false">IF(OR(B933="",C933=""),"",DATE(B933,1,4)-WEEKDAY(DATE(B933,1,4),2)+1+(C933-1)*7)</f>
        <v/>
      </c>
      <c r="F933" s="71"/>
    </row>
    <row r="934" customFormat="false" ht="15" hidden="false" customHeight="false" outlineLevel="0" collapsed="false">
      <c r="A934" s="71"/>
      <c r="B934" s="72"/>
      <c r="C934" s="72"/>
      <c r="D934" s="72"/>
      <c r="E934" s="78" t="str">
        <f aca="false">IF(OR(B934="",C934=""),"",DATE(B934,1,4)-WEEKDAY(DATE(B934,1,4),2)+1+(C934-1)*7)</f>
        <v/>
      </c>
      <c r="F934" s="71"/>
    </row>
    <row r="935" customFormat="false" ht="15" hidden="false" customHeight="false" outlineLevel="0" collapsed="false">
      <c r="A935" s="71"/>
      <c r="B935" s="72"/>
      <c r="C935" s="72"/>
      <c r="D935" s="72"/>
      <c r="E935" s="78" t="str">
        <f aca="false">IF(OR(B935="",C935=""),"",DATE(B935,1,4)-WEEKDAY(DATE(B935,1,4),2)+1+(C935-1)*7)</f>
        <v/>
      </c>
      <c r="F935" s="71"/>
    </row>
    <row r="936" customFormat="false" ht="15" hidden="false" customHeight="false" outlineLevel="0" collapsed="false">
      <c r="A936" s="71"/>
      <c r="B936" s="72"/>
      <c r="C936" s="72"/>
      <c r="D936" s="72"/>
      <c r="E936" s="78" t="str">
        <f aca="false">IF(OR(B936="",C936=""),"",DATE(B936,1,4)-WEEKDAY(DATE(B936,1,4),2)+1+(C936-1)*7)</f>
        <v/>
      </c>
      <c r="F936" s="71"/>
    </row>
    <row r="937" customFormat="false" ht="15" hidden="false" customHeight="false" outlineLevel="0" collapsed="false">
      <c r="A937" s="71"/>
      <c r="B937" s="72"/>
      <c r="C937" s="72"/>
      <c r="D937" s="72"/>
      <c r="E937" s="78" t="str">
        <f aca="false">IF(OR(B937="",C937=""),"",DATE(B937,1,4)-WEEKDAY(DATE(B937,1,4),2)+1+(C937-1)*7)</f>
        <v/>
      </c>
      <c r="F937" s="71"/>
    </row>
    <row r="938" customFormat="false" ht="15" hidden="false" customHeight="false" outlineLevel="0" collapsed="false">
      <c r="A938" s="71"/>
      <c r="B938" s="72"/>
      <c r="C938" s="72"/>
      <c r="D938" s="72"/>
      <c r="E938" s="78" t="str">
        <f aca="false">IF(OR(B938="",C938=""),"",DATE(B938,1,4)-WEEKDAY(DATE(B938,1,4),2)+1+(C938-1)*7)</f>
        <v/>
      </c>
      <c r="F938" s="71"/>
    </row>
    <row r="939" customFormat="false" ht="15" hidden="false" customHeight="false" outlineLevel="0" collapsed="false">
      <c r="A939" s="71"/>
      <c r="B939" s="72"/>
      <c r="C939" s="72"/>
      <c r="D939" s="72"/>
      <c r="E939" s="78" t="str">
        <f aca="false">IF(OR(B939="",C939=""),"",DATE(B939,1,4)-WEEKDAY(DATE(B939,1,4),2)+1+(C939-1)*7)</f>
        <v/>
      </c>
      <c r="F939" s="71"/>
    </row>
    <row r="940" customFormat="false" ht="15" hidden="false" customHeight="false" outlineLevel="0" collapsed="false">
      <c r="A940" s="71"/>
      <c r="B940" s="72"/>
      <c r="C940" s="72"/>
      <c r="D940" s="72"/>
      <c r="E940" s="78" t="str">
        <f aca="false">IF(OR(B940="",C940=""),"",DATE(B940,1,4)-WEEKDAY(DATE(B940,1,4),2)+1+(C940-1)*7)</f>
        <v/>
      </c>
      <c r="F940" s="71"/>
    </row>
    <row r="941" customFormat="false" ht="15" hidden="false" customHeight="false" outlineLevel="0" collapsed="false">
      <c r="A941" s="71"/>
      <c r="B941" s="72"/>
      <c r="C941" s="72"/>
      <c r="D941" s="72"/>
      <c r="E941" s="78" t="str">
        <f aca="false">IF(OR(B941="",C941=""),"",DATE(B941,1,4)-WEEKDAY(DATE(B941,1,4),2)+1+(C941-1)*7)</f>
        <v/>
      </c>
      <c r="F941" s="71"/>
    </row>
    <row r="942" customFormat="false" ht="15" hidden="false" customHeight="false" outlineLevel="0" collapsed="false">
      <c r="A942" s="71"/>
      <c r="B942" s="72"/>
      <c r="C942" s="72"/>
      <c r="D942" s="72"/>
      <c r="E942" s="78" t="str">
        <f aca="false">IF(OR(B942="",C942=""),"",DATE(B942,1,4)-WEEKDAY(DATE(B942,1,4),2)+1+(C942-1)*7)</f>
        <v/>
      </c>
      <c r="F942" s="71"/>
    </row>
    <row r="943" customFormat="false" ht="15" hidden="false" customHeight="false" outlineLevel="0" collapsed="false">
      <c r="A943" s="71"/>
      <c r="B943" s="72"/>
      <c r="C943" s="72"/>
      <c r="D943" s="72"/>
      <c r="E943" s="78" t="str">
        <f aca="false">IF(OR(B943="",C943=""),"",DATE(B943,1,4)-WEEKDAY(DATE(B943,1,4),2)+1+(C943-1)*7)</f>
        <v/>
      </c>
      <c r="F943" s="71"/>
    </row>
    <row r="944" customFormat="false" ht="15" hidden="false" customHeight="false" outlineLevel="0" collapsed="false">
      <c r="A944" s="71"/>
      <c r="B944" s="72"/>
      <c r="C944" s="72"/>
      <c r="D944" s="72"/>
      <c r="E944" s="78" t="str">
        <f aca="false">IF(OR(B944="",C944=""),"",DATE(B944,1,4)-WEEKDAY(DATE(B944,1,4),2)+1+(C944-1)*7)</f>
        <v/>
      </c>
      <c r="F944" s="71"/>
    </row>
    <row r="945" customFormat="false" ht="15" hidden="false" customHeight="false" outlineLevel="0" collapsed="false">
      <c r="A945" s="71"/>
      <c r="B945" s="72"/>
      <c r="C945" s="72"/>
      <c r="D945" s="72"/>
      <c r="E945" s="78" t="str">
        <f aca="false">IF(OR(B945="",C945=""),"",DATE(B945,1,4)-WEEKDAY(DATE(B945,1,4),2)+1+(C945-1)*7)</f>
        <v/>
      </c>
      <c r="F945" s="71"/>
    </row>
    <row r="946" customFormat="false" ht="15" hidden="false" customHeight="false" outlineLevel="0" collapsed="false">
      <c r="A946" s="71"/>
      <c r="B946" s="72"/>
      <c r="C946" s="72"/>
      <c r="D946" s="72"/>
      <c r="E946" s="78" t="str">
        <f aca="false">IF(OR(B946="",C946=""),"",DATE(B946,1,4)-WEEKDAY(DATE(B946,1,4),2)+1+(C946-1)*7)</f>
        <v/>
      </c>
      <c r="F946" s="71"/>
    </row>
    <row r="947" customFormat="false" ht="15" hidden="false" customHeight="false" outlineLevel="0" collapsed="false">
      <c r="A947" s="71"/>
      <c r="B947" s="72"/>
      <c r="C947" s="72"/>
      <c r="D947" s="72"/>
      <c r="E947" s="78" t="str">
        <f aca="false">IF(OR(B947="",C947=""),"",DATE(B947,1,4)-WEEKDAY(DATE(B947,1,4),2)+1+(C947-1)*7)</f>
        <v/>
      </c>
      <c r="F947" s="71"/>
    </row>
    <row r="948" customFormat="false" ht="15" hidden="false" customHeight="false" outlineLevel="0" collapsed="false">
      <c r="A948" s="71"/>
      <c r="B948" s="72"/>
      <c r="C948" s="72"/>
      <c r="D948" s="72"/>
      <c r="E948" s="78" t="str">
        <f aca="false">IF(OR(B948="",C948=""),"",DATE(B948,1,4)-WEEKDAY(DATE(B948,1,4),2)+1+(C948-1)*7)</f>
        <v/>
      </c>
      <c r="F948" s="71"/>
    </row>
    <row r="949" customFormat="false" ht="15" hidden="false" customHeight="false" outlineLevel="0" collapsed="false">
      <c r="A949" s="71"/>
      <c r="B949" s="72"/>
      <c r="C949" s="72"/>
      <c r="D949" s="72"/>
      <c r="E949" s="78" t="str">
        <f aca="false">IF(OR(B949="",C949=""),"",DATE(B949,1,4)-WEEKDAY(DATE(B949,1,4),2)+1+(C949-1)*7)</f>
        <v/>
      </c>
      <c r="F949" s="71"/>
    </row>
    <row r="950" customFormat="false" ht="15" hidden="false" customHeight="false" outlineLevel="0" collapsed="false">
      <c r="A950" s="71"/>
      <c r="B950" s="72"/>
      <c r="C950" s="72"/>
      <c r="D950" s="72"/>
      <c r="E950" s="78" t="str">
        <f aca="false">IF(OR(B950="",C950=""),"",DATE(B950,1,4)-WEEKDAY(DATE(B950,1,4),2)+1+(C950-1)*7)</f>
        <v/>
      </c>
      <c r="F950" s="71"/>
    </row>
    <row r="951" customFormat="false" ht="15" hidden="false" customHeight="false" outlineLevel="0" collapsed="false">
      <c r="A951" s="71"/>
      <c r="B951" s="72"/>
      <c r="C951" s="72"/>
      <c r="D951" s="72"/>
      <c r="E951" s="78" t="str">
        <f aca="false">IF(OR(B951="",C951=""),"",DATE(B951,1,4)-WEEKDAY(DATE(B951,1,4),2)+1+(C951-1)*7)</f>
        <v/>
      </c>
      <c r="F951" s="71"/>
    </row>
    <row r="952" customFormat="false" ht="15" hidden="false" customHeight="false" outlineLevel="0" collapsed="false">
      <c r="A952" s="71"/>
      <c r="B952" s="72"/>
      <c r="C952" s="72"/>
      <c r="D952" s="72"/>
      <c r="E952" s="78" t="str">
        <f aca="false">IF(OR(B952="",C952=""),"",DATE(B952,1,4)-WEEKDAY(DATE(B952,1,4),2)+1+(C952-1)*7)</f>
        <v/>
      </c>
      <c r="F952" s="71"/>
    </row>
    <row r="953" customFormat="false" ht="15" hidden="false" customHeight="false" outlineLevel="0" collapsed="false">
      <c r="A953" s="71"/>
      <c r="B953" s="72"/>
      <c r="C953" s="72"/>
      <c r="D953" s="72"/>
      <c r="E953" s="78" t="str">
        <f aca="false">IF(OR(B953="",C953=""),"",DATE(B953,1,4)-WEEKDAY(DATE(B953,1,4),2)+1+(C953-1)*7)</f>
        <v/>
      </c>
      <c r="F953" s="71"/>
    </row>
    <row r="954" customFormat="false" ht="15" hidden="false" customHeight="false" outlineLevel="0" collapsed="false">
      <c r="A954" s="71"/>
      <c r="B954" s="72"/>
      <c r="C954" s="72"/>
      <c r="D954" s="72"/>
      <c r="E954" s="78" t="str">
        <f aca="false">IF(OR(B954="",C954=""),"",DATE(B954,1,4)-WEEKDAY(DATE(B954,1,4),2)+1+(C954-1)*7)</f>
        <v/>
      </c>
      <c r="F954" s="71"/>
    </row>
    <row r="955" customFormat="false" ht="15" hidden="false" customHeight="false" outlineLevel="0" collapsed="false">
      <c r="A955" s="71"/>
      <c r="B955" s="72"/>
      <c r="C955" s="72"/>
      <c r="D955" s="72"/>
      <c r="E955" s="78" t="str">
        <f aca="false">IF(OR(B955="",C955=""),"",DATE(B955,1,4)-WEEKDAY(DATE(B955,1,4),2)+1+(C955-1)*7)</f>
        <v/>
      </c>
      <c r="F955" s="71"/>
    </row>
    <row r="956" customFormat="false" ht="15" hidden="false" customHeight="false" outlineLevel="0" collapsed="false">
      <c r="A956" s="71"/>
      <c r="B956" s="72"/>
      <c r="C956" s="72"/>
      <c r="D956" s="72"/>
      <c r="E956" s="78" t="str">
        <f aca="false">IF(OR(B956="",C956=""),"",DATE(B956,1,4)-WEEKDAY(DATE(B956,1,4),2)+1+(C956-1)*7)</f>
        <v/>
      </c>
      <c r="F956" s="71"/>
    </row>
    <row r="957" customFormat="false" ht="15" hidden="false" customHeight="false" outlineLevel="0" collapsed="false">
      <c r="A957" s="71"/>
      <c r="B957" s="72"/>
      <c r="C957" s="72"/>
      <c r="D957" s="72"/>
      <c r="E957" s="78" t="str">
        <f aca="false">IF(OR(B957="",C957=""),"",DATE(B957,1,4)-WEEKDAY(DATE(B957,1,4),2)+1+(C957-1)*7)</f>
        <v/>
      </c>
      <c r="F957" s="71"/>
    </row>
    <row r="958" customFormat="false" ht="15" hidden="false" customHeight="false" outlineLevel="0" collapsed="false">
      <c r="A958" s="71"/>
      <c r="B958" s="72"/>
      <c r="C958" s="72"/>
      <c r="D958" s="72"/>
      <c r="E958" s="78" t="str">
        <f aca="false">IF(OR(B958="",C958=""),"",DATE(B958,1,4)-WEEKDAY(DATE(B958,1,4),2)+1+(C958-1)*7)</f>
        <v/>
      </c>
      <c r="F958" s="71"/>
    </row>
    <row r="959" customFormat="false" ht="15" hidden="false" customHeight="false" outlineLevel="0" collapsed="false">
      <c r="A959" s="71"/>
      <c r="B959" s="72"/>
      <c r="C959" s="72"/>
      <c r="D959" s="72"/>
      <c r="E959" s="78" t="str">
        <f aca="false">IF(OR(B959="",C959=""),"",DATE(B959,1,4)-WEEKDAY(DATE(B959,1,4),2)+1+(C959-1)*7)</f>
        <v/>
      </c>
      <c r="F959" s="71"/>
    </row>
    <row r="960" customFormat="false" ht="15" hidden="false" customHeight="false" outlineLevel="0" collapsed="false">
      <c r="A960" s="71"/>
      <c r="B960" s="72"/>
      <c r="C960" s="72"/>
      <c r="D960" s="72"/>
      <c r="E960" s="78" t="str">
        <f aca="false">IF(OR(B960="",C960=""),"",DATE(B960,1,4)-WEEKDAY(DATE(B960,1,4),2)+1+(C960-1)*7)</f>
        <v/>
      </c>
      <c r="F960" s="71"/>
    </row>
    <row r="961" customFormat="false" ht="15" hidden="false" customHeight="false" outlineLevel="0" collapsed="false">
      <c r="A961" s="71"/>
      <c r="B961" s="72"/>
      <c r="C961" s="72"/>
      <c r="D961" s="72"/>
      <c r="E961" s="78" t="str">
        <f aca="false">IF(OR(B961="",C961=""),"",DATE(B961,1,4)-WEEKDAY(DATE(B961,1,4),2)+1+(C961-1)*7)</f>
        <v/>
      </c>
      <c r="F961" s="71"/>
    </row>
    <row r="962" customFormat="false" ht="15" hidden="false" customHeight="false" outlineLevel="0" collapsed="false">
      <c r="A962" s="71"/>
      <c r="B962" s="72"/>
      <c r="C962" s="72"/>
      <c r="D962" s="72"/>
      <c r="E962" s="78" t="str">
        <f aca="false">IF(OR(B962="",C962=""),"",DATE(B962,1,4)-WEEKDAY(DATE(B962,1,4),2)+1+(C962-1)*7)</f>
        <v/>
      </c>
      <c r="F962" s="71"/>
    </row>
    <row r="963" customFormat="false" ht="15" hidden="false" customHeight="false" outlineLevel="0" collapsed="false">
      <c r="A963" s="71"/>
      <c r="B963" s="72"/>
      <c r="C963" s="72"/>
      <c r="D963" s="72"/>
      <c r="E963" s="78" t="str">
        <f aca="false">IF(OR(B963="",C963=""),"",DATE(B963,1,4)-WEEKDAY(DATE(B963,1,4),2)+1+(C963-1)*7)</f>
        <v/>
      </c>
      <c r="F963" s="71"/>
    </row>
    <row r="964" customFormat="false" ht="15" hidden="false" customHeight="false" outlineLevel="0" collapsed="false">
      <c r="A964" s="71"/>
      <c r="B964" s="72"/>
      <c r="C964" s="72"/>
      <c r="D964" s="72"/>
      <c r="E964" s="78" t="str">
        <f aca="false">IF(OR(B964="",C964=""),"",DATE(B964,1,4)-WEEKDAY(DATE(B964,1,4),2)+1+(C964-1)*7)</f>
        <v/>
      </c>
      <c r="F964" s="71"/>
    </row>
    <row r="965" customFormat="false" ht="15" hidden="false" customHeight="false" outlineLevel="0" collapsed="false">
      <c r="A965" s="71"/>
      <c r="B965" s="72"/>
      <c r="C965" s="72"/>
      <c r="D965" s="72"/>
      <c r="E965" s="78" t="str">
        <f aca="false">IF(OR(B965="",C965=""),"",DATE(B965,1,4)-WEEKDAY(DATE(B965,1,4),2)+1+(C965-1)*7)</f>
        <v/>
      </c>
      <c r="F965" s="71"/>
    </row>
    <row r="966" customFormat="false" ht="15" hidden="false" customHeight="false" outlineLevel="0" collapsed="false">
      <c r="A966" s="71"/>
      <c r="B966" s="72"/>
      <c r="C966" s="72"/>
      <c r="D966" s="72"/>
      <c r="E966" s="78" t="str">
        <f aca="false">IF(OR(B966="",C966=""),"",DATE(B966,1,4)-WEEKDAY(DATE(B966,1,4),2)+1+(C966-1)*7)</f>
        <v/>
      </c>
      <c r="F966" s="71"/>
    </row>
    <row r="967" customFormat="false" ht="15" hidden="false" customHeight="false" outlineLevel="0" collapsed="false">
      <c r="A967" s="71"/>
      <c r="B967" s="72"/>
      <c r="C967" s="72"/>
      <c r="D967" s="72"/>
      <c r="E967" s="78" t="str">
        <f aca="false">IF(OR(B967="",C967=""),"",DATE(B967,1,4)-WEEKDAY(DATE(B967,1,4),2)+1+(C967-1)*7)</f>
        <v/>
      </c>
      <c r="F967" s="71"/>
    </row>
    <row r="968" customFormat="false" ht="15" hidden="false" customHeight="false" outlineLevel="0" collapsed="false">
      <c r="A968" s="71"/>
      <c r="B968" s="72"/>
      <c r="C968" s="72"/>
      <c r="D968" s="72"/>
      <c r="E968" s="78" t="str">
        <f aca="false">IF(OR(B968="",C968=""),"",DATE(B968,1,4)-WEEKDAY(DATE(B968,1,4),2)+1+(C968-1)*7)</f>
        <v/>
      </c>
      <c r="F968" s="71"/>
    </row>
    <row r="969" customFormat="false" ht="15" hidden="false" customHeight="false" outlineLevel="0" collapsed="false">
      <c r="A969" s="71"/>
      <c r="B969" s="72"/>
      <c r="C969" s="72"/>
      <c r="D969" s="72"/>
      <c r="E969" s="78" t="str">
        <f aca="false">IF(OR(B969="",C969=""),"",DATE(B969,1,4)-WEEKDAY(DATE(B969,1,4),2)+1+(C969-1)*7)</f>
        <v/>
      </c>
      <c r="F969" s="71"/>
    </row>
    <row r="970" customFormat="false" ht="15" hidden="false" customHeight="false" outlineLevel="0" collapsed="false">
      <c r="A970" s="71"/>
      <c r="B970" s="72"/>
      <c r="C970" s="72"/>
      <c r="D970" s="72"/>
      <c r="E970" s="78" t="str">
        <f aca="false">IF(OR(B970="",C970=""),"",DATE(B970,1,4)-WEEKDAY(DATE(B970,1,4),2)+1+(C970-1)*7)</f>
        <v/>
      </c>
      <c r="F970" s="71"/>
    </row>
    <row r="971" customFormat="false" ht="15" hidden="false" customHeight="false" outlineLevel="0" collapsed="false">
      <c r="A971" s="71"/>
      <c r="B971" s="72"/>
      <c r="C971" s="72"/>
      <c r="D971" s="72"/>
      <c r="E971" s="78" t="str">
        <f aca="false">IF(OR(B971="",C971=""),"",DATE(B971,1,4)-WEEKDAY(DATE(B971,1,4),2)+1+(C971-1)*7)</f>
        <v/>
      </c>
      <c r="F971" s="71"/>
    </row>
    <row r="972" customFormat="false" ht="15" hidden="false" customHeight="false" outlineLevel="0" collapsed="false">
      <c r="A972" s="71"/>
      <c r="B972" s="72"/>
      <c r="C972" s="72"/>
      <c r="D972" s="72"/>
      <c r="E972" s="78" t="str">
        <f aca="false">IF(OR(B972="",C972=""),"",DATE(B972,1,4)-WEEKDAY(DATE(B972,1,4),2)+1+(C972-1)*7)</f>
        <v/>
      </c>
      <c r="F972" s="71"/>
    </row>
    <row r="973" customFormat="false" ht="15" hidden="false" customHeight="false" outlineLevel="0" collapsed="false">
      <c r="A973" s="71"/>
      <c r="B973" s="72"/>
      <c r="C973" s="72"/>
      <c r="D973" s="72"/>
      <c r="E973" s="78" t="str">
        <f aca="false">IF(OR(B973="",C973=""),"",DATE(B973,1,4)-WEEKDAY(DATE(B973,1,4),2)+1+(C973-1)*7)</f>
        <v/>
      </c>
      <c r="F973" s="71"/>
    </row>
    <row r="974" customFormat="false" ht="15" hidden="false" customHeight="false" outlineLevel="0" collapsed="false">
      <c r="A974" s="71"/>
      <c r="B974" s="72"/>
      <c r="C974" s="72"/>
      <c r="D974" s="72"/>
      <c r="E974" s="78" t="str">
        <f aca="false">IF(OR(B974="",C974=""),"",DATE(B974,1,4)-WEEKDAY(DATE(B974,1,4),2)+1+(C974-1)*7)</f>
        <v/>
      </c>
      <c r="F974" s="71"/>
    </row>
    <row r="975" customFormat="false" ht="15" hidden="false" customHeight="false" outlineLevel="0" collapsed="false">
      <c r="A975" s="71"/>
      <c r="B975" s="72"/>
      <c r="C975" s="72"/>
      <c r="D975" s="72"/>
      <c r="E975" s="78" t="str">
        <f aca="false">IF(OR(B975="",C975=""),"",DATE(B975,1,4)-WEEKDAY(DATE(B975,1,4),2)+1+(C975-1)*7)</f>
        <v/>
      </c>
      <c r="F975" s="71"/>
    </row>
    <row r="976" customFormat="false" ht="15" hidden="false" customHeight="false" outlineLevel="0" collapsed="false">
      <c r="A976" s="71"/>
      <c r="B976" s="72"/>
      <c r="C976" s="72"/>
      <c r="D976" s="72"/>
      <c r="E976" s="78" t="str">
        <f aca="false">IF(OR(B976="",C976=""),"",DATE(B976,1,4)-WEEKDAY(DATE(B976,1,4),2)+1+(C976-1)*7)</f>
        <v/>
      </c>
      <c r="F976" s="71"/>
    </row>
    <row r="977" customFormat="false" ht="15" hidden="false" customHeight="false" outlineLevel="0" collapsed="false">
      <c r="A977" s="71"/>
      <c r="B977" s="72"/>
      <c r="C977" s="72"/>
      <c r="D977" s="72"/>
      <c r="E977" s="78" t="str">
        <f aca="false">IF(OR(B977="",C977=""),"",DATE(B977,1,4)-WEEKDAY(DATE(B977,1,4),2)+1+(C977-1)*7)</f>
        <v/>
      </c>
      <c r="F977" s="71"/>
    </row>
    <row r="978" customFormat="false" ht="15" hidden="false" customHeight="false" outlineLevel="0" collapsed="false">
      <c r="A978" s="71"/>
      <c r="B978" s="72"/>
      <c r="C978" s="72"/>
      <c r="D978" s="72"/>
      <c r="E978" s="78" t="str">
        <f aca="false">IF(OR(B978="",C978=""),"",DATE(B978,1,4)-WEEKDAY(DATE(B978,1,4),2)+1+(C978-1)*7)</f>
        <v/>
      </c>
      <c r="F978" s="71"/>
    </row>
    <row r="979" customFormat="false" ht="15" hidden="false" customHeight="false" outlineLevel="0" collapsed="false">
      <c r="A979" s="71"/>
      <c r="B979" s="72"/>
      <c r="C979" s="72"/>
      <c r="D979" s="72"/>
      <c r="E979" s="78" t="str">
        <f aca="false">IF(OR(B979="",C979=""),"",DATE(B979,1,4)-WEEKDAY(DATE(B979,1,4),2)+1+(C979-1)*7)</f>
        <v/>
      </c>
      <c r="F979" s="71"/>
    </row>
    <row r="980" customFormat="false" ht="15" hidden="false" customHeight="false" outlineLevel="0" collapsed="false">
      <c r="A980" s="71"/>
      <c r="B980" s="72"/>
      <c r="C980" s="72"/>
      <c r="D980" s="72"/>
      <c r="E980" s="78" t="str">
        <f aca="false">IF(OR(B980="",C980=""),"",DATE(B980,1,4)-WEEKDAY(DATE(B980,1,4),2)+1+(C980-1)*7)</f>
        <v/>
      </c>
      <c r="F980" s="71"/>
    </row>
    <row r="981" customFormat="false" ht="15" hidden="false" customHeight="false" outlineLevel="0" collapsed="false">
      <c r="A981" s="71"/>
      <c r="B981" s="72"/>
      <c r="C981" s="72"/>
      <c r="D981" s="72"/>
      <c r="E981" s="78" t="str">
        <f aca="false">IF(OR(B981="",C981=""),"",DATE(B981,1,4)-WEEKDAY(DATE(B981,1,4),2)+1+(C981-1)*7)</f>
        <v/>
      </c>
      <c r="F981" s="71"/>
    </row>
    <row r="982" customFormat="false" ht="15" hidden="false" customHeight="false" outlineLevel="0" collapsed="false">
      <c r="A982" s="71"/>
      <c r="B982" s="72"/>
      <c r="C982" s="72"/>
      <c r="D982" s="72"/>
      <c r="E982" s="78" t="str">
        <f aca="false">IF(OR(B982="",C982=""),"",DATE(B982,1,4)-WEEKDAY(DATE(B982,1,4),2)+1+(C982-1)*7)</f>
        <v/>
      </c>
      <c r="F982" s="71"/>
    </row>
    <row r="983" customFormat="false" ht="15" hidden="false" customHeight="false" outlineLevel="0" collapsed="false">
      <c r="A983" s="71"/>
      <c r="B983" s="72"/>
      <c r="C983" s="72"/>
      <c r="D983" s="72"/>
      <c r="E983" s="78" t="str">
        <f aca="false">IF(OR(B983="",C983=""),"",DATE(B983,1,4)-WEEKDAY(DATE(B983,1,4),2)+1+(C983-1)*7)</f>
        <v/>
      </c>
      <c r="F983" s="71"/>
    </row>
    <row r="984" customFormat="false" ht="15" hidden="false" customHeight="false" outlineLevel="0" collapsed="false">
      <c r="A984" s="71"/>
      <c r="B984" s="72"/>
      <c r="C984" s="72"/>
      <c r="D984" s="72"/>
      <c r="E984" s="78" t="str">
        <f aca="false">IF(OR(B984="",C984=""),"",DATE(B984,1,4)-WEEKDAY(DATE(B984,1,4),2)+1+(C984-1)*7)</f>
        <v/>
      </c>
      <c r="F984" s="71"/>
    </row>
    <row r="985" customFormat="false" ht="15" hidden="false" customHeight="false" outlineLevel="0" collapsed="false">
      <c r="A985" s="71"/>
      <c r="B985" s="72"/>
      <c r="C985" s="72"/>
      <c r="D985" s="72"/>
      <c r="E985" s="78" t="str">
        <f aca="false">IF(OR(B985="",C985=""),"",DATE(B985,1,4)-WEEKDAY(DATE(B985,1,4),2)+1+(C985-1)*7)</f>
        <v/>
      </c>
      <c r="F985" s="71"/>
    </row>
    <row r="986" customFormat="false" ht="15" hidden="false" customHeight="false" outlineLevel="0" collapsed="false">
      <c r="A986" s="71"/>
      <c r="B986" s="72"/>
      <c r="C986" s="72"/>
      <c r="D986" s="72"/>
      <c r="E986" s="78" t="str">
        <f aca="false">IF(OR(B986="",C986=""),"",DATE(B986,1,4)-WEEKDAY(DATE(B986,1,4),2)+1+(C986-1)*7)</f>
        <v/>
      </c>
      <c r="F986" s="71"/>
    </row>
    <row r="987" customFormat="false" ht="15" hidden="false" customHeight="false" outlineLevel="0" collapsed="false">
      <c r="A987" s="71"/>
      <c r="B987" s="72"/>
      <c r="C987" s="72"/>
      <c r="D987" s="72"/>
      <c r="E987" s="78" t="str">
        <f aca="false">IF(OR(B987="",C987=""),"",DATE(B987,1,4)-WEEKDAY(DATE(B987,1,4),2)+1+(C987-1)*7)</f>
        <v/>
      </c>
      <c r="F987" s="71"/>
    </row>
    <row r="988" customFormat="false" ht="15" hidden="false" customHeight="false" outlineLevel="0" collapsed="false">
      <c r="A988" s="71"/>
      <c r="B988" s="72"/>
      <c r="C988" s="72"/>
      <c r="D988" s="72"/>
      <c r="E988" s="78" t="str">
        <f aca="false">IF(OR(B988="",C988=""),"",DATE(B988,1,4)-WEEKDAY(DATE(B988,1,4),2)+1+(C988-1)*7)</f>
        <v/>
      </c>
      <c r="F988" s="71"/>
    </row>
    <row r="989" customFormat="false" ht="15" hidden="false" customHeight="false" outlineLevel="0" collapsed="false">
      <c r="A989" s="71"/>
      <c r="B989" s="72"/>
      <c r="C989" s="72"/>
      <c r="D989" s="72"/>
      <c r="E989" s="78" t="str">
        <f aca="false">IF(OR(B989="",C989=""),"",DATE(B989,1,4)-WEEKDAY(DATE(B989,1,4),2)+1+(C989-1)*7)</f>
        <v/>
      </c>
      <c r="F989" s="71"/>
    </row>
    <row r="990" customFormat="false" ht="15" hidden="false" customHeight="false" outlineLevel="0" collapsed="false">
      <c r="A990" s="71"/>
      <c r="B990" s="72"/>
      <c r="C990" s="72"/>
      <c r="D990" s="72"/>
      <c r="E990" s="78" t="str">
        <f aca="false">IF(OR(B990="",C990=""),"",DATE(B990,1,4)-WEEKDAY(DATE(B990,1,4),2)+1+(C990-1)*7)</f>
        <v/>
      </c>
      <c r="F990" s="71"/>
    </row>
    <row r="991" customFormat="false" ht="15" hidden="false" customHeight="false" outlineLevel="0" collapsed="false">
      <c r="A991" s="71"/>
      <c r="B991" s="72"/>
      <c r="C991" s="72"/>
      <c r="D991" s="72"/>
      <c r="E991" s="78" t="str">
        <f aca="false">IF(OR(B991="",C991=""),"",DATE(B991,1,4)-WEEKDAY(DATE(B991,1,4),2)+1+(C991-1)*7)</f>
        <v/>
      </c>
      <c r="F991" s="71"/>
    </row>
    <row r="992" customFormat="false" ht="15" hidden="false" customHeight="false" outlineLevel="0" collapsed="false">
      <c r="A992" s="71"/>
      <c r="B992" s="72"/>
      <c r="C992" s="72"/>
      <c r="D992" s="72"/>
      <c r="E992" s="78" t="str">
        <f aca="false">IF(OR(B992="",C992=""),"",DATE(B992,1,4)-WEEKDAY(DATE(B992,1,4),2)+1+(C992-1)*7)</f>
        <v/>
      </c>
      <c r="F992" s="71"/>
    </row>
    <row r="993" customFormat="false" ht="15" hidden="false" customHeight="false" outlineLevel="0" collapsed="false">
      <c r="A993" s="71"/>
      <c r="B993" s="72"/>
      <c r="C993" s="72"/>
      <c r="D993" s="72"/>
      <c r="E993" s="78" t="str">
        <f aca="false">IF(OR(B993="",C993=""),"",DATE(B993,1,4)-WEEKDAY(DATE(B993,1,4),2)+1+(C993-1)*7)</f>
        <v/>
      </c>
      <c r="F993" s="71"/>
    </row>
    <row r="994" customFormat="false" ht="15" hidden="false" customHeight="false" outlineLevel="0" collapsed="false">
      <c r="A994" s="71"/>
      <c r="B994" s="72"/>
      <c r="C994" s="72"/>
      <c r="D994" s="72"/>
      <c r="E994" s="78" t="str">
        <f aca="false">IF(OR(B994="",C994=""),"",DATE(B994,1,4)-WEEKDAY(DATE(B994,1,4),2)+1+(C994-1)*7)</f>
        <v/>
      </c>
      <c r="F994" s="71"/>
    </row>
    <row r="995" customFormat="false" ht="15" hidden="false" customHeight="false" outlineLevel="0" collapsed="false">
      <c r="A995" s="71"/>
      <c r="B995" s="72"/>
      <c r="C995" s="72"/>
      <c r="D995" s="72"/>
      <c r="E995" s="78" t="str">
        <f aca="false">IF(OR(B995="",C995=""),"",DATE(B995,1,4)-WEEKDAY(DATE(B995,1,4),2)+1+(C995-1)*7)</f>
        <v/>
      </c>
      <c r="F995" s="71"/>
    </row>
    <row r="996" customFormat="false" ht="15" hidden="false" customHeight="false" outlineLevel="0" collapsed="false">
      <c r="A996" s="71"/>
      <c r="B996" s="72"/>
      <c r="C996" s="72"/>
      <c r="D996" s="72"/>
      <c r="E996" s="78" t="str">
        <f aca="false">IF(OR(B996="",C996=""),"",DATE(B996,1,4)-WEEKDAY(DATE(B996,1,4),2)+1+(C996-1)*7)</f>
        <v/>
      </c>
      <c r="F996" s="71"/>
    </row>
    <row r="997" customFormat="false" ht="15" hidden="false" customHeight="false" outlineLevel="0" collapsed="false">
      <c r="A997" s="71"/>
      <c r="B997" s="72"/>
      <c r="C997" s="72"/>
      <c r="D997" s="72"/>
      <c r="E997" s="78" t="str">
        <f aca="false">IF(OR(B997="",C997=""),"",DATE(B997,1,4)-WEEKDAY(DATE(B997,1,4),2)+1+(C997-1)*7)</f>
        <v/>
      </c>
      <c r="F997" s="71"/>
    </row>
    <row r="998" customFormat="false" ht="15" hidden="false" customHeight="false" outlineLevel="0" collapsed="false">
      <c r="A998" s="71"/>
      <c r="B998" s="72"/>
      <c r="C998" s="72"/>
      <c r="D998" s="72"/>
      <c r="E998" s="78" t="str">
        <f aca="false">IF(OR(B998="",C998=""),"",DATE(B998,1,4)-WEEKDAY(DATE(B998,1,4),2)+1+(C998-1)*7)</f>
        <v/>
      </c>
      <c r="F998" s="71"/>
    </row>
    <row r="999" customFormat="false" ht="15" hidden="false" customHeight="false" outlineLevel="0" collapsed="false">
      <c r="A999" s="71"/>
      <c r="B999" s="72"/>
      <c r="C999" s="72"/>
      <c r="D999" s="72"/>
      <c r="E999" s="78" t="str">
        <f aca="false">IF(OR(B999="",C999=""),"",DATE(B999,1,4)-WEEKDAY(DATE(B999,1,4),2)+1+(C999-1)*7)</f>
        <v/>
      </c>
      <c r="F999" s="71"/>
    </row>
    <row r="1000" customFormat="false" ht="15" hidden="false" customHeight="false" outlineLevel="0" collapsed="false">
      <c r="A1000" s="71"/>
      <c r="B1000" s="72"/>
      <c r="C1000" s="72"/>
      <c r="D1000" s="72"/>
      <c r="E1000" s="78" t="str">
        <f aca="false">IF(OR(B1000="",C1000=""),"",DATE(B1000,1,4)-WEEKDAY(DATE(B1000,1,4),2)+1+(C1000-1)*7)</f>
        <v/>
      </c>
      <c r="F1000" s="71"/>
    </row>
    <row r="1001" customFormat="false" ht="15" hidden="false" customHeight="false" outlineLevel="0" collapsed="false">
      <c r="A1001" s="71"/>
      <c r="B1001" s="72"/>
      <c r="C1001" s="72"/>
      <c r="D1001" s="72"/>
      <c r="E1001" s="78" t="str">
        <f aca="false">IF(OR(B1001="",C1001=""),"",DATE(B1001,1,4)-WEEKDAY(DATE(B1001,1,4),2)+1+(C1001-1)*7)</f>
        <v/>
      </c>
      <c r="F1001" s="71"/>
    </row>
    <row r="1002" customFormat="false" ht="15" hidden="false" customHeight="false" outlineLevel="0" collapsed="false">
      <c r="A1002" s="71"/>
      <c r="B1002" s="72"/>
      <c r="C1002" s="72"/>
      <c r="D1002" s="72"/>
      <c r="E1002" s="78" t="str">
        <f aca="false">IF(OR(B1002="",C1002=""),"",DATE(B1002,1,4)-WEEKDAY(DATE(B1002,1,4),2)+1+(C1002-1)*7)</f>
        <v/>
      </c>
      <c r="F1002" s="71"/>
    </row>
    <row r="1003" customFormat="false" ht="15" hidden="false" customHeight="false" outlineLevel="0" collapsed="false">
      <c r="A1003" s="71"/>
      <c r="B1003" s="72"/>
      <c r="C1003" s="72"/>
      <c r="D1003" s="72"/>
      <c r="E1003" s="78" t="str">
        <f aca="false">IF(OR(B1003="",C1003=""),"",DATE(B1003,1,4)-WEEKDAY(DATE(B1003,1,4),2)+1+(C1003-1)*7)</f>
        <v/>
      </c>
      <c r="F1003" s="71"/>
    </row>
    <row r="1004" customFormat="false" ht="15" hidden="false" customHeight="false" outlineLevel="0" collapsed="false">
      <c r="A1004" s="71"/>
      <c r="B1004" s="72"/>
      <c r="C1004" s="72"/>
      <c r="D1004" s="72"/>
      <c r="E1004" s="78" t="str">
        <f aca="false">IF(OR(B1004="",C1004=""),"",DATE(B1004,1,4)-WEEKDAY(DATE(B1004,1,4),2)+1+(C1004-1)*7)</f>
        <v/>
      </c>
      <c r="F1004" s="71"/>
    </row>
    <row r="1005" customFormat="false" ht="15" hidden="false" customHeight="false" outlineLevel="0" collapsed="false">
      <c r="A1005" s="71"/>
      <c r="B1005" s="72"/>
      <c r="C1005" s="72"/>
      <c r="D1005" s="72"/>
      <c r="E1005" s="78" t="str">
        <f aca="false">IF(OR(B1005="",C1005=""),"",DATE(B1005,1,4)-WEEKDAY(DATE(B1005,1,4),2)+1+(C1005-1)*7)</f>
        <v/>
      </c>
      <c r="F1005" s="71"/>
    </row>
    <row r="1006" customFormat="false" ht="15" hidden="false" customHeight="false" outlineLevel="0" collapsed="false">
      <c r="A1006" s="71"/>
      <c r="B1006" s="72"/>
      <c r="C1006" s="72"/>
      <c r="D1006" s="72"/>
      <c r="E1006" s="78" t="str">
        <f aca="false">IF(OR(B1006="",C1006=""),"",DATE(B1006,1,4)-WEEKDAY(DATE(B1006,1,4),2)+1+(C1006-1)*7)</f>
        <v/>
      </c>
      <c r="F1006" s="71"/>
    </row>
    <row r="1007" customFormat="false" ht="15" hidden="false" customHeight="false" outlineLevel="0" collapsed="false">
      <c r="A1007" s="71"/>
      <c r="B1007" s="72"/>
      <c r="C1007" s="72"/>
      <c r="D1007" s="72"/>
      <c r="E1007" s="78" t="str">
        <f aca="false">IF(OR(B1007="",C1007=""),"",DATE(B1007,1,4)-WEEKDAY(DATE(B1007,1,4),2)+1+(C1007-1)*7)</f>
        <v/>
      </c>
      <c r="F1007" s="71"/>
    </row>
    <row r="1008" customFormat="false" ht="15" hidden="false" customHeight="false" outlineLevel="0" collapsed="false">
      <c r="A1008" s="71"/>
      <c r="B1008" s="72"/>
      <c r="C1008" s="72"/>
      <c r="D1008" s="72"/>
      <c r="E1008" s="78" t="str">
        <f aca="false">IF(OR(B1008="",C1008=""),"",DATE(B1008,1,4)-WEEKDAY(DATE(B1008,1,4),2)+1+(C1008-1)*7)</f>
        <v/>
      </c>
      <c r="F1008" s="71"/>
    </row>
    <row r="1009" customFormat="false" ht="15" hidden="false" customHeight="false" outlineLevel="0" collapsed="false">
      <c r="A1009" s="71"/>
      <c r="B1009" s="72"/>
      <c r="C1009" s="72"/>
      <c r="D1009" s="72"/>
      <c r="E1009" s="78" t="str">
        <f aca="false">IF(OR(B1009="",C1009=""),"",DATE(B1009,1,4)-WEEKDAY(DATE(B1009,1,4),2)+1+(C1009-1)*7)</f>
        <v/>
      </c>
      <c r="F1009" s="71"/>
    </row>
    <row r="1010" customFormat="false" ht="15" hidden="false" customHeight="false" outlineLevel="0" collapsed="false">
      <c r="A1010" s="71"/>
      <c r="B1010" s="72"/>
      <c r="C1010" s="72"/>
      <c r="D1010" s="72"/>
      <c r="E1010" s="78" t="str">
        <f aca="false">IF(OR(B1010="",C1010=""),"",DATE(B1010,1,4)-WEEKDAY(DATE(B1010,1,4),2)+1+(C1010-1)*7)</f>
        <v/>
      </c>
      <c r="F1010" s="71"/>
    </row>
    <row r="1011" customFormat="false" ht="15" hidden="false" customHeight="false" outlineLevel="0" collapsed="false">
      <c r="A1011" s="71"/>
      <c r="B1011" s="72"/>
      <c r="C1011" s="72"/>
      <c r="D1011" s="72"/>
      <c r="E1011" s="78" t="str">
        <f aca="false">IF(OR(B1011="",C1011=""),"",DATE(B1011,1,4)-WEEKDAY(DATE(B1011,1,4),2)+1+(C1011-1)*7)</f>
        <v/>
      </c>
      <c r="F1011" s="71"/>
    </row>
    <row r="1012" customFormat="false" ht="15" hidden="false" customHeight="false" outlineLevel="0" collapsed="false">
      <c r="A1012" s="71"/>
      <c r="B1012" s="72"/>
      <c r="C1012" s="72"/>
      <c r="D1012" s="72"/>
      <c r="E1012" s="78" t="str">
        <f aca="false">IF(OR(B1012="",C1012=""),"",DATE(B1012,1,4)-WEEKDAY(DATE(B1012,1,4),2)+1+(C1012-1)*7)</f>
        <v/>
      </c>
      <c r="F1012" s="71"/>
    </row>
    <row r="1013" customFormat="false" ht="15" hidden="false" customHeight="false" outlineLevel="0" collapsed="false">
      <c r="A1013" s="71"/>
      <c r="B1013" s="72"/>
      <c r="C1013" s="72"/>
      <c r="D1013" s="72"/>
      <c r="E1013" s="78" t="str">
        <f aca="false">IF(OR(B1013="",C1013=""),"",DATE(B1013,1,4)-WEEKDAY(DATE(B1013,1,4),2)+1+(C1013-1)*7)</f>
        <v/>
      </c>
      <c r="F1013" s="71"/>
    </row>
    <row r="1014" customFormat="false" ht="15" hidden="false" customHeight="false" outlineLevel="0" collapsed="false">
      <c r="A1014" s="71"/>
      <c r="B1014" s="72"/>
      <c r="C1014" s="72"/>
      <c r="D1014" s="72"/>
      <c r="E1014" s="78" t="str">
        <f aca="false">IF(OR(B1014="",C1014=""),"",DATE(B1014,1,4)-WEEKDAY(DATE(B1014,1,4),2)+1+(C1014-1)*7)</f>
        <v/>
      </c>
      <c r="F1014" s="71"/>
    </row>
    <row r="1015" customFormat="false" ht="15" hidden="false" customHeight="false" outlineLevel="0" collapsed="false">
      <c r="A1015" s="71"/>
      <c r="B1015" s="72"/>
      <c r="C1015" s="72"/>
      <c r="D1015" s="72"/>
      <c r="E1015" s="78" t="str">
        <f aca="false">IF(OR(B1015="",C1015=""),"",DATE(B1015,1,4)-WEEKDAY(DATE(B1015,1,4),2)+1+(C1015-1)*7)</f>
        <v/>
      </c>
      <c r="F1015" s="71"/>
    </row>
    <row r="1016" customFormat="false" ht="15" hidden="false" customHeight="false" outlineLevel="0" collapsed="false">
      <c r="A1016" s="71"/>
      <c r="B1016" s="72"/>
      <c r="C1016" s="72"/>
      <c r="D1016" s="72"/>
      <c r="E1016" s="78" t="str">
        <f aca="false">IF(OR(B1016="",C1016=""),"",DATE(B1016,1,4)-WEEKDAY(DATE(B1016,1,4),2)+1+(C1016-1)*7)</f>
        <v/>
      </c>
      <c r="F1016" s="71"/>
    </row>
    <row r="1017" customFormat="false" ht="15" hidden="false" customHeight="false" outlineLevel="0" collapsed="false">
      <c r="A1017" s="71"/>
      <c r="B1017" s="72"/>
      <c r="C1017" s="72"/>
      <c r="D1017" s="72"/>
      <c r="E1017" s="78" t="str">
        <f aca="false">IF(OR(B1017="",C1017=""),"",DATE(B1017,1,4)-WEEKDAY(DATE(B1017,1,4),2)+1+(C1017-1)*7)</f>
        <v/>
      </c>
      <c r="F1017" s="71"/>
    </row>
    <row r="1018" customFormat="false" ht="15" hidden="false" customHeight="false" outlineLevel="0" collapsed="false">
      <c r="A1018" s="71"/>
      <c r="B1018" s="72"/>
      <c r="C1018" s="72"/>
      <c r="D1018" s="72"/>
      <c r="E1018" s="78" t="str">
        <f aca="false">IF(OR(B1018="",C1018=""),"",DATE(B1018,1,4)-WEEKDAY(DATE(B1018,1,4),2)+1+(C1018-1)*7)</f>
        <v/>
      </c>
      <c r="F1018" s="71"/>
    </row>
    <row r="1019" customFormat="false" ht="15" hidden="false" customHeight="false" outlineLevel="0" collapsed="false">
      <c r="A1019" s="71"/>
      <c r="B1019" s="72"/>
      <c r="C1019" s="72"/>
      <c r="D1019" s="72"/>
      <c r="E1019" s="78" t="str">
        <f aca="false">IF(OR(B1019="",C1019=""),"",DATE(B1019,1,4)-WEEKDAY(DATE(B1019,1,4),2)+1+(C1019-1)*7)</f>
        <v/>
      </c>
      <c r="F1019" s="71"/>
    </row>
    <row r="1020" customFormat="false" ht="15" hidden="false" customHeight="false" outlineLevel="0" collapsed="false">
      <c r="A1020" s="71"/>
      <c r="B1020" s="72"/>
      <c r="C1020" s="72"/>
      <c r="D1020" s="72"/>
      <c r="E1020" s="78" t="str">
        <f aca="false">IF(OR(B1020="",C1020=""),"",DATE(B1020,1,4)-WEEKDAY(DATE(B1020,1,4),2)+1+(C1020-1)*7)</f>
        <v/>
      </c>
      <c r="F1020" s="71"/>
    </row>
    <row r="1021" customFormat="false" ht="15" hidden="false" customHeight="false" outlineLevel="0" collapsed="false">
      <c r="A1021" s="71"/>
      <c r="B1021" s="72"/>
      <c r="C1021" s="72"/>
      <c r="D1021" s="72"/>
      <c r="E1021" s="78" t="str">
        <f aca="false">IF(OR(B1021="",C1021=""),"",DATE(B1021,1,4)-WEEKDAY(DATE(B1021,1,4),2)+1+(C1021-1)*7)</f>
        <v/>
      </c>
      <c r="F1021" s="71"/>
    </row>
    <row r="1022" customFormat="false" ht="15" hidden="false" customHeight="false" outlineLevel="0" collapsed="false">
      <c r="A1022" s="71"/>
      <c r="B1022" s="72"/>
      <c r="C1022" s="72"/>
      <c r="D1022" s="72"/>
      <c r="E1022" s="78" t="str">
        <f aca="false">IF(OR(B1022="",C1022=""),"",DATE(B1022,1,4)-WEEKDAY(DATE(B1022,1,4),2)+1+(C1022-1)*7)</f>
        <v/>
      </c>
      <c r="F1022" s="71"/>
    </row>
    <row r="1023" customFormat="false" ht="15" hidden="false" customHeight="false" outlineLevel="0" collapsed="false">
      <c r="A1023" s="71"/>
      <c r="B1023" s="72"/>
      <c r="C1023" s="72"/>
      <c r="D1023" s="72"/>
      <c r="E1023" s="78" t="str">
        <f aca="false">IF(OR(B1023="",C1023=""),"",DATE(B1023,1,4)-WEEKDAY(DATE(B1023,1,4),2)+1+(C1023-1)*7)</f>
        <v/>
      </c>
      <c r="F1023" s="71"/>
    </row>
    <row r="1024" customFormat="false" ht="15" hidden="false" customHeight="false" outlineLevel="0" collapsed="false">
      <c r="A1024" s="71"/>
      <c r="B1024" s="72"/>
      <c r="C1024" s="72"/>
      <c r="D1024" s="72"/>
      <c r="E1024" s="78" t="str">
        <f aca="false">IF(OR(B1024="",C1024=""),"",DATE(B1024,1,4)-WEEKDAY(DATE(B1024,1,4),2)+1+(C1024-1)*7)</f>
        <v/>
      </c>
      <c r="F1024" s="71"/>
    </row>
    <row r="1025" customFormat="false" ht="15" hidden="false" customHeight="false" outlineLevel="0" collapsed="false">
      <c r="A1025" s="71"/>
      <c r="B1025" s="72"/>
      <c r="C1025" s="72"/>
      <c r="D1025" s="72"/>
      <c r="E1025" s="78" t="str">
        <f aca="false">IF(OR(B1025="",C1025=""),"",DATE(B1025,1,4)-WEEKDAY(DATE(B1025,1,4),2)+1+(C1025-1)*7)</f>
        <v/>
      </c>
      <c r="F1025" s="71"/>
    </row>
    <row r="1026" customFormat="false" ht="15" hidden="false" customHeight="false" outlineLevel="0" collapsed="false">
      <c r="A1026" s="71"/>
      <c r="B1026" s="72"/>
      <c r="C1026" s="72"/>
      <c r="D1026" s="72"/>
      <c r="E1026" s="78" t="str">
        <f aca="false">IF(OR(B1026="",C1026=""),"",DATE(B1026,1,4)-WEEKDAY(DATE(B1026,1,4),2)+1+(C1026-1)*7)</f>
        <v/>
      </c>
      <c r="F1026" s="71"/>
    </row>
    <row r="1027" customFormat="false" ht="15" hidden="false" customHeight="false" outlineLevel="0" collapsed="false">
      <c r="A1027" s="71"/>
      <c r="B1027" s="72"/>
      <c r="C1027" s="72"/>
      <c r="D1027" s="72"/>
      <c r="E1027" s="78" t="str">
        <f aca="false">IF(OR(B1027="",C1027=""),"",DATE(B1027,1,4)-WEEKDAY(DATE(B1027,1,4),2)+1+(C1027-1)*7)</f>
        <v/>
      </c>
      <c r="F1027" s="71"/>
    </row>
    <row r="1028" customFormat="false" ht="15" hidden="false" customHeight="false" outlineLevel="0" collapsed="false">
      <c r="A1028" s="71"/>
      <c r="B1028" s="72"/>
      <c r="C1028" s="72"/>
      <c r="D1028" s="72"/>
      <c r="E1028" s="78" t="str">
        <f aca="false">IF(OR(B1028="",C1028=""),"",DATE(B1028,1,4)-WEEKDAY(DATE(B1028,1,4),2)+1+(C1028-1)*7)</f>
        <v/>
      </c>
      <c r="F1028" s="71"/>
    </row>
    <row r="1029" customFormat="false" ht="15" hidden="false" customHeight="false" outlineLevel="0" collapsed="false">
      <c r="A1029" s="71"/>
      <c r="B1029" s="72"/>
      <c r="C1029" s="72"/>
      <c r="D1029" s="72"/>
      <c r="E1029" s="78" t="str">
        <f aca="false">IF(OR(B1029="",C1029=""),"",DATE(B1029,1,4)-WEEKDAY(DATE(B1029,1,4),2)+1+(C1029-1)*7)</f>
        <v/>
      </c>
      <c r="F1029" s="71"/>
    </row>
    <row r="1030" customFormat="false" ht="15" hidden="false" customHeight="false" outlineLevel="0" collapsed="false">
      <c r="A1030" s="71"/>
      <c r="B1030" s="72"/>
      <c r="C1030" s="72"/>
      <c r="D1030" s="72"/>
      <c r="E1030" s="78" t="str">
        <f aca="false">IF(OR(B1030="",C1030=""),"",DATE(B1030,1,4)-WEEKDAY(DATE(B1030,1,4),2)+1+(C1030-1)*7)</f>
        <v/>
      </c>
      <c r="F1030" s="71"/>
    </row>
    <row r="1031" customFormat="false" ht="15" hidden="false" customHeight="false" outlineLevel="0" collapsed="false">
      <c r="A1031" s="71"/>
      <c r="B1031" s="72"/>
      <c r="C1031" s="72"/>
      <c r="D1031" s="72"/>
      <c r="E1031" s="78" t="str">
        <f aca="false">IF(OR(B1031="",C1031=""),"",DATE(B1031,1,4)-WEEKDAY(DATE(B1031,1,4),2)+1+(C1031-1)*7)</f>
        <v/>
      </c>
      <c r="F1031" s="71"/>
    </row>
    <row r="1032" customFormat="false" ht="15" hidden="false" customHeight="false" outlineLevel="0" collapsed="false">
      <c r="A1032" s="71"/>
      <c r="B1032" s="72"/>
      <c r="C1032" s="72"/>
      <c r="D1032" s="72"/>
      <c r="E1032" s="78" t="str">
        <f aca="false">IF(OR(B1032="",C1032=""),"",DATE(B1032,1,4)-WEEKDAY(DATE(B1032,1,4),2)+1+(C1032-1)*7)</f>
        <v/>
      </c>
      <c r="F1032" s="71"/>
    </row>
    <row r="1033" customFormat="false" ht="15" hidden="false" customHeight="false" outlineLevel="0" collapsed="false">
      <c r="A1033" s="71"/>
      <c r="B1033" s="72"/>
      <c r="C1033" s="72"/>
      <c r="D1033" s="72"/>
      <c r="E1033" s="78" t="str">
        <f aca="false">IF(OR(B1033="",C1033=""),"",DATE(B1033,1,4)-WEEKDAY(DATE(B1033,1,4),2)+1+(C1033-1)*7)</f>
        <v/>
      </c>
      <c r="F1033" s="71"/>
    </row>
    <row r="1034" customFormat="false" ht="15" hidden="false" customHeight="false" outlineLevel="0" collapsed="false">
      <c r="A1034" s="71"/>
      <c r="B1034" s="72"/>
      <c r="C1034" s="72"/>
      <c r="D1034" s="72"/>
      <c r="E1034" s="78" t="str">
        <f aca="false">IF(OR(B1034="",C1034=""),"",DATE(B1034,1,4)-WEEKDAY(DATE(B1034,1,4),2)+1+(C1034-1)*7)</f>
        <v/>
      </c>
      <c r="F1034" s="71"/>
    </row>
    <row r="1035" customFormat="false" ht="15" hidden="false" customHeight="false" outlineLevel="0" collapsed="false">
      <c r="A1035" s="71"/>
      <c r="B1035" s="72"/>
      <c r="C1035" s="72"/>
      <c r="D1035" s="72"/>
      <c r="E1035" s="78" t="str">
        <f aca="false">IF(OR(B1035="",C1035=""),"",DATE(B1035,1,4)-WEEKDAY(DATE(B1035,1,4),2)+1+(C1035-1)*7)</f>
        <v/>
      </c>
      <c r="F1035" s="71"/>
    </row>
    <row r="1036" customFormat="false" ht="15" hidden="false" customHeight="false" outlineLevel="0" collapsed="false">
      <c r="A1036" s="71"/>
      <c r="B1036" s="72"/>
      <c r="C1036" s="72"/>
      <c r="D1036" s="72"/>
      <c r="E1036" s="78" t="str">
        <f aca="false">IF(OR(B1036="",C1036=""),"",DATE(B1036,1,4)-WEEKDAY(DATE(B1036,1,4),2)+1+(C1036-1)*7)</f>
        <v/>
      </c>
      <c r="F1036" s="71"/>
    </row>
    <row r="1037" customFormat="false" ht="15" hidden="false" customHeight="false" outlineLevel="0" collapsed="false">
      <c r="A1037" s="71"/>
      <c r="B1037" s="72"/>
      <c r="C1037" s="72"/>
      <c r="D1037" s="72"/>
      <c r="E1037" s="78" t="str">
        <f aca="false">IF(OR(B1037="",C1037=""),"",DATE(B1037,1,4)-WEEKDAY(DATE(B1037,1,4),2)+1+(C1037-1)*7)</f>
        <v/>
      </c>
      <c r="F1037" s="71"/>
    </row>
    <row r="1038" customFormat="false" ht="15" hidden="false" customHeight="false" outlineLevel="0" collapsed="false">
      <c r="A1038" s="71"/>
      <c r="B1038" s="72"/>
      <c r="C1038" s="72"/>
      <c r="D1038" s="72"/>
      <c r="E1038" s="78" t="str">
        <f aca="false">IF(OR(B1038="",C1038=""),"",DATE(B1038,1,4)-WEEKDAY(DATE(B1038,1,4),2)+1+(C1038-1)*7)</f>
        <v/>
      </c>
      <c r="F1038" s="71"/>
    </row>
    <row r="1039" customFormat="false" ht="15" hidden="false" customHeight="false" outlineLevel="0" collapsed="false">
      <c r="A1039" s="71"/>
      <c r="B1039" s="72"/>
      <c r="C1039" s="72"/>
      <c r="D1039" s="72"/>
      <c r="E1039" s="78" t="str">
        <f aca="false">IF(OR(B1039="",C1039=""),"",DATE(B1039,1,4)-WEEKDAY(DATE(B1039,1,4),2)+1+(C1039-1)*7)</f>
        <v/>
      </c>
      <c r="F1039" s="71"/>
    </row>
    <row r="1040" customFormat="false" ht="15" hidden="false" customHeight="false" outlineLevel="0" collapsed="false">
      <c r="A1040" s="71"/>
      <c r="B1040" s="72"/>
      <c r="C1040" s="72"/>
      <c r="D1040" s="72"/>
      <c r="E1040" s="78" t="str">
        <f aca="false">IF(OR(B1040="",C1040=""),"",DATE(B1040,1,4)-WEEKDAY(DATE(B1040,1,4),2)+1+(C1040-1)*7)</f>
        <v/>
      </c>
      <c r="F1040" s="71"/>
    </row>
    <row r="1041" customFormat="false" ht="15" hidden="false" customHeight="false" outlineLevel="0" collapsed="false">
      <c r="A1041" s="71"/>
      <c r="B1041" s="72"/>
      <c r="C1041" s="72"/>
      <c r="D1041" s="72"/>
      <c r="E1041" s="78" t="str">
        <f aca="false">IF(OR(B1041="",C1041=""),"",DATE(B1041,1,4)-WEEKDAY(DATE(B1041,1,4),2)+1+(C1041-1)*7)</f>
        <v/>
      </c>
      <c r="F1041" s="71"/>
    </row>
    <row r="1042" customFormat="false" ht="15" hidden="false" customHeight="false" outlineLevel="0" collapsed="false">
      <c r="A1042" s="71"/>
      <c r="B1042" s="72"/>
      <c r="C1042" s="72"/>
      <c r="D1042" s="72"/>
      <c r="E1042" s="78" t="str">
        <f aca="false">IF(OR(B1042="",C1042=""),"",DATE(B1042,1,4)-WEEKDAY(DATE(B1042,1,4),2)+1+(C1042-1)*7)</f>
        <v/>
      </c>
      <c r="F1042" s="71"/>
    </row>
    <row r="1043" customFormat="false" ht="15" hidden="false" customHeight="false" outlineLevel="0" collapsed="false">
      <c r="A1043" s="71"/>
      <c r="B1043" s="72"/>
      <c r="C1043" s="72"/>
      <c r="D1043" s="72"/>
      <c r="E1043" s="78" t="str">
        <f aca="false">IF(OR(B1043="",C1043=""),"",DATE(B1043,1,4)-WEEKDAY(DATE(B1043,1,4),2)+1+(C1043-1)*7)</f>
        <v/>
      </c>
      <c r="F1043" s="71"/>
    </row>
    <row r="1044" customFormat="false" ht="15" hidden="false" customHeight="false" outlineLevel="0" collapsed="false">
      <c r="A1044" s="71"/>
      <c r="B1044" s="72"/>
      <c r="C1044" s="72"/>
      <c r="D1044" s="72"/>
      <c r="E1044" s="78" t="str">
        <f aca="false">IF(OR(B1044="",C1044=""),"",DATE(B1044,1,4)-WEEKDAY(DATE(B1044,1,4),2)+1+(C1044-1)*7)</f>
        <v/>
      </c>
      <c r="F1044" s="71"/>
    </row>
    <row r="1045" customFormat="false" ht="15" hidden="false" customHeight="false" outlineLevel="0" collapsed="false">
      <c r="A1045" s="71"/>
      <c r="B1045" s="72"/>
      <c r="C1045" s="72"/>
      <c r="D1045" s="72"/>
      <c r="E1045" s="78" t="str">
        <f aca="false">IF(OR(B1045="",C1045=""),"",DATE(B1045,1,4)-WEEKDAY(DATE(B1045,1,4),2)+1+(C1045-1)*7)</f>
        <v/>
      </c>
      <c r="F1045" s="71"/>
    </row>
    <row r="1046" customFormat="false" ht="15" hidden="false" customHeight="false" outlineLevel="0" collapsed="false">
      <c r="A1046" s="71"/>
      <c r="B1046" s="72"/>
      <c r="C1046" s="72"/>
      <c r="D1046" s="72"/>
      <c r="E1046" s="78" t="str">
        <f aca="false">IF(OR(B1046="",C1046=""),"",DATE(B1046,1,4)-WEEKDAY(DATE(B1046,1,4),2)+1+(C1046-1)*7)</f>
        <v/>
      </c>
      <c r="F1046" s="71"/>
    </row>
    <row r="1047" customFormat="false" ht="15" hidden="false" customHeight="false" outlineLevel="0" collapsed="false">
      <c r="A1047" s="71"/>
      <c r="B1047" s="72"/>
      <c r="C1047" s="72"/>
      <c r="D1047" s="72"/>
      <c r="E1047" s="78" t="str">
        <f aca="false">IF(OR(B1047="",C1047=""),"",DATE(B1047,1,4)-WEEKDAY(DATE(B1047,1,4),2)+1+(C1047-1)*7)</f>
        <v/>
      </c>
      <c r="F1047" s="71"/>
    </row>
    <row r="1048" customFormat="false" ht="15" hidden="false" customHeight="false" outlineLevel="0" collapsed="false">
      <c r="A1048" s="71"/>
      <c r="B1048" s="72"/>
      <c r="C1048" s="72"/>
      <c r="D1048" s="72"/>
      <c r="E1048" s="78" t="str">
        <f aca="false">IF(OR(B1048="",C1048=""),"",DATE(B1048,1,4)-WEEKDAY(DATE(B1048,1,4),2)+1+(C1048-1)*7)</f>
        <v/>
      </c>
      <c r="F1048" s="71"/>
    </row>
    <row r="1049" customFormat="false" ht="15" hidden="false" customHeight="false" outlineLevel="0" collapsed="false">
      <c r="A1049" s="71"/>
      <c r="B1049" s="72"/>
      <c r="C1049" s="72"/>
      <c r="D1049" s="72"/>
      <c r="E1049" s="78" t="str">
        <f aca="false">IF(OR(B1049="",C1049=""),"",DATE(B1049,1,4)-WEEKDAY(DATE(B1049,1,4),2)+1+(C1049-1)*7)</f>
        <v/>
      </c>
      <c r="F1049" s="71"/>
    </row>
    <row r="1050" customFormat="false" ht="15" hidden="false" customHeight="false" outlineLevel="0" collapsed="false">
      <c r="A1050" s="71"/>
      <c r="B1050" s="72"/>
      <c r="C1050" s="72"/>
      <c r="D1050" s="72"/>
      <c r="E1050" s="78" t="str">
        <f aca="false">IF(OR(B1050="",C1050=""),"",DATE(B1050,1,4)-WEEKDAY(DATE(B1050,1,4),2)+1+(C1050-1)*7)</f>
        <v/>
      </c>
      <c r="F1050" s="71"/>
    </row>
    <row r="1051" customFormat="false" ht="15" hidden="false" customHeight="false" outlineLevel="0" collapsed="false">
      <c r="A1051" s="71"/>
      <c r="B1051" s="72"/>
      <c r="C1051" s="72"/>
      <c r="D1051" s="72"/>
      <c r="E1051" s="78" t="str">
        <f aca="false">IF(OR(B1051="",C1051=""),"",DATE(B1051,1,4)-WEEKDAY(DATE(B1051,1,4),2)+1+(C1051-1)*7)</f>
        <v/>
      </c>
      <c r="F1051" s="71"/>
    </row>
    <row r="1052" customFormat="false" ht="15" hidden="false" customHeight="false" outlineLevel="0" collapsed="false">
      <c r="A1052" s="71"/>
      <c r="B1052" s="72"/>
      <c r="C1052" s="72"/>
      <c r="D1052" s="72"/>
      <c r="E1052" s="78" t="str">
        <f aca="false">IF(OR(B1052="",C1052=""),"",DATE(B1052,1,4)-WEEKDAY(DATE(B1052,1,4),2)+1+(C1052-1)*7)</f>
        <v/>
      </c>
      <c r="F1052" s="71"/>
    </row>
    <row r="1053" customFormat="false" ht="15" hidden="false" customHeight="false" outlineLevel="0" collapsed="false">
      <c r="A1053" s="71"/>
      <c r="B1053" s="72"/>
      <c r="C1053" s="72"/>
      <c r="D1053" s="72"/>
      <c r="E1053" s="78" t="str">
        <f aca="false">IF(OR(B1053="",C1053=""),"",DATE(B1053,1,4)-WEEKDAY(DATE(B1053,1,4),2)+1+(C1053-1)*7)</f>
        <v/>
      </c>
      <c r="F1053" s="71"/>
    </row>
    <row r="1054" customFormat="false" ht="15" hidden="false" customHeight="false" outlineLevel="0" collapsed="false">
      <c r="A1054" s="71"/>
      <c r="B1054" s="72"/>
      <c r="C1054" s="72"/>
      <c r="D1054" s="72"/>
      <c r="E1054" s="78" t="str">
        <f aca="false">IF(OR(B1054="",C1054=""),"",DATE(B1054,1,4)-WEEKDAY(DATE(B1054,1,4),2)+1+(C1054-1)*7)</f>
        <v/>
      </c>
      <c r="F1054" s="71"/>
    </row>
    <row r="1055" customFormat="false" ht="15" hidden="false" customHeight="false" outlineLevel="0" collapsed="false">
      <c r="A1055" s="71"/>
      <c r="B1055" s="72"/>
      <c r="C1055" s="72"/>
      <c r="D1055" s="72"/>
      <c r="E1055" s="78" t="str">
        <f aca="false">IF(OR(B1055="",C1055=""),"",DATE(B1055,1,4)-WEEKDAY(DATE(B1055,1,4),2)+1+(C1055-1)*7)</f>
        <v/>
      </c>
      <c r="F1055" s="71"/>
    </row>
    <row r="1056" customFormat="false" ht="15" hidden="false" customHeight="false" outlineLevel="0" collapsed="false">
      <c r="A1056" s="71"/>
      <c r="B1056" s="72"/>
      <c r="C1056" s="72"/>
      <c r="D1056" s="72"/>
      <c r="E1056" s="78" t="str">
        <f aca="false">IF(OR(B1056="",C1056=""),"",DATE(B1056,1,4)-WEEKDAY(DATE(B1056,1,4),2)+1+(C1056-1)*7)</f>
        <v/>
      </c>
      <c r="F1056" s="71"/>
    </row>
    <row r="1057" customFormat="false" ht="15" hidden="false" customHeight="false" outlineLevel="0" collapsed="false">
      <c r="A1057" s="71"/>
      <c r="B1057" s="72"/>
      <c r="C1057" s="72"/>
      <c r="D1057" s="72"/>
      <c r="E1057" s="78" t="str">
        <f aca="false">IF(OR(B1057="",C1057=""),"",DATE(B1057,1,4)-WEEKDAY(DATE(B1057,1,4),2)+1+(C1057-1)*7)</f>
        <v/>
      </c>
      <c r="F1057" s="71"/>
    </row>
    <row r="1058" customFormat="false" ht="15" hidden="false" customHeight="false" outlineLevel="0" collapsed="false">
      <c r="A1058" s="71"/>
      <c r="B1058" s="72"/>
      <c r="C1058" s="72"/>
      <c r="D1058" s="72"/>
      <c r="E1058" s="78" t="str">
        <f aca="false">IF(OR(B1058="",C1058=""),"",DATE(B1058,1,4)-WEEKDAY(DATE(B1058,1,4),2)+1+(C1058-1)*7)</f>
        <v/>
      </c>
      <c r="F1058" s="71"/>
    </row>
    <row r="1059" customFormat="false" ht="15" hidden="false" customHeight="false" outlineLevel="0" collapsed="false">
      <c r="A1059" s="71"/>
      <c r="B1059" s="72"/>
      <c r="C1059" s="72"/>
      <c r="D1059" s="72"/>
      <c r="E1059" s="78" t="str">
        <f aca="false">IF(OR(B1059="",C1059=""),"",DATE(B1059,1,4)-WEEKDAY(DATE(B1059,1,4),2)+1+(C1059-1)*7)</f>
        <v/>
      </c>
      <c r="F1059" s="71"/>
    </row>
    <row r="1060" customFormat="false" ht="15" hidden="false" customHeight="false" outlineLevel="0" collapsed="false">
      <c r="A1060" s="71"/>
      <c r="B1060" s="72"/>
      <c r="C1060" s="72"/>
      <c r="D1060" s="72"/>
      <c r="E1060" s="78" t="str">
        <f aca="false">IF(OR(B1060="",C1060=""),"",DATE(B1060,1,4)-WEEKDAY(DATE(B1060,1,4),2)+1+(C1060-1)*7)</f>
        <v/>
      </c>
      <c r="F1060" s="71"/>
    </row>
    <row r="1061" customFormat="false" ht="15" hidden="false" customHeight="false" outlineLevel="0" collapsed="false">
      <c r="A1061" s="71"/>
      <c r="B1061" s="72"/>
      <c r="C1061" s="72"/>
      <c r="D1061" s="72"/>
      <c r="E1061" s="78" t="str">
        <f aca="false">IF(OR(B1061="",C1061=""),"",DATE(B1061,1,4)-WEEKDAY(DATE(B1061,1,4),2)+1+(C1061-1)*7)</f>
        <v/>
      </c>
      <c r="F1061" s="71"/>
    </row>
    <row r="1062" customFormat="false" ht="15" hidden="false" customHeight="false" outlineLevel="0" collapsed="false">
      <c r="A1062" s="71"/>
      <c r="B1062" s="72"/>
      <c r="C1062" s="72"/>
      <c r="D1062" s="72"/>
      <c r="E1062" s="78" t="str">
        <f aca="false">IF(OR(B1062="",C1062=""),"",DATE(B1062,1,4)-WEEKDAY(DATE(B1062,1,4),2)+1+(C1062-1)*7)</f>
        <v/>
      </c>
      <c r="F1062" s="71"/>
    </row>
    <row r="1063" customFormat="false" ht="15" hidden="false" customHeight="false" outlineLevel="0" collapsed="false">
      <c r="A1063" s="71"/>
      <c r="B1063" s="72"/>
      <c r="C1063" s="72"/>
      <c r="D1063" s="72"/>
      <c r="E1063" s="78" t="str">
        <f aca="false">IF(OR(B1063="",C1063=""),"",DATE(B1063,1,4)-WEEKDAY(DATE(B1063,1,4),2)+1+(C1063-1)*7)</f>
        <v/>
      </c>
      <c r="F1063" s="71"/>
    </row>
    <row r="1064" customFormat="false" ht="15" hidden="false" customHeight="false" outlineLevel="0" collapsed="false">
      <c r="A1064" s="71"/>
      <c r="B1064" s="72"/>
      <c r="C1064" s="72"/>
      <c r="D1064" s="72"/>
      <c r="E1064" s="78" t="str">
        <f aca="false">IF(OR(B1064="",C1064=""),"",DATE(B1064,1,4)-WEEKDAY(DATE(B1064,1,4),2)+1+(C1064-1)*7)</f>
        <v/>
      </c>
      <c r="F1064" s="71"/>
    </row>
    <row r="1065" customFormat="false" ht="15" hidden="false" customHeight="false" outlineLevel="0" collapsed="false">
      <c r="A1065" s="71"/>
      <c r="B1065" s="72"/>
      <c r="C1065" s="72"/>
      <c r="D1065" s="72"/>
      <c r="E1065" s="78" t="str">
        <f aca="false">IF(OR(B1065="",C1065=""),"",DATE(B1065,1,4)-WEEKDAY(DATE(B1065,1,4),2)+1+(C1065-1)*7)</f>
        <v/>
      </c>
      <c r="F1065" s="71"/>
    </row>
    <row r="1066" customFormat="false" ht="15" hidden="false" customHeight="false" outlineLevel="0" collapsed="false">
      <c r="A1066" s="71"/>
      <c r="B1066" s="72"/>
      <c r="C1066" s="72"/>
      <c r="D1066" s="72"/>
      <c r="E1066" s="78" t="str">
        <f aca="false">IF(OR(B1066="",C1066=""),"",DATE(B1066,1,4)-WEEKDAY(DATE(B1066,1,4),2)+1+(C1066-1)*7)</f>
        <v/>
      </c>
      <c r="F1066" s="71"/>
    </row>
    <row r="1067" customFormat="false" ht="15" hidden="false" customHeight="false" outlineLevel="0" collapsed="false">
      <c r="A1067" s="71"/>
      <c r="B1067" s="72"/>
      <c r="C1067" s="72"/>
      <c r="D1067" s="72"/>
      <c r="E1067" s="78" t="str">
        <f aca="false">IF(OR(B1067="",C1067=""),"",DATE(B1067,1,4)-WEEKDAY(DATE(B1067,1,4),2)+1+(C1067-1)*7)</f>
        <v/>
      </c>
      <c r="F1067" s="71"/>
    </row>
    <row r="1068" customFormat="false" ht="15" hidden="false" customHeight="false" outlineLevel="0" collapsed="false">
      <c r="A1068" s="71"/>
      <c r="B1068" s="72"/>
      <c r="C1068" s="72"/>
      <c r="D1068" s="72"/>
      <c r="E1068" s="78" t="str">
        <f aca="false">IF(OR(B1068="",C1068=""),"",DATE(B1068,1,4)-WEEKDAY(DATE(B1068,1,4),2)+1+(C1068-1)*7)</f>
        <v/>
      </c>
      <c r="F1068" s="71"/>
    </row>
    <row r="1069" customFormat="false" ht="15" hidden="false" customHeight="false" outlineLevel="0" collapsed="false">
      <c r="A1069" s="71"/>
      <c r="B1069" s="72"/>
      <c r="C1069" s="72"/>
      <c r="D1069" s="72"/>
      <c r="E1069" s="78" t="str">
        <f aca="false">IF(OR(B1069="",C1069=""),"",DATE(B1069,1,4)-WEEKDAY(DATE(B1069,1,4),2)+1+(C1069-1)*7)</f>
        <v/>
      </c>
      <c r="F1069" s="71"/>
    </row>
    <row r="1070" customFormat="false" ht="15" hidden="false" customHeight="false" outlineLevel="0" collapsed="false">
      <c r="A1070" s="71"/>
      <c r="B1070" s="72"/>
      <c r="C1070" s="72"/>
      <c r="D1070" s="72"/>
      <c r="E1070" s="78" t="str">
        <f aca="false">IF(OR(B1070="",C1070=""),"",DATE(B1070,1,4)-WEEKDAY(DATE(B1070,1,4),2)+1+(C1070-1)*7)</f>
        <v/>
      </c>
      <c r="F1070" s="71"/>
    </row>
    <row r="1071" customFormat="false" ht="15" hidden="false" customHeight="false" outlineLevel="0" collapsed="false">
      <c r="A1071" s="71"/>
      <c r="B1071" s="72"/>
      <c r="C1071" s="72"/>
      <c r="D1071" s="72"/>
      <c r="E1071" s="78" t="str">
        <f aca="false">IF(OR(B1071="",C1071=""),"",DATE(B1071,1,4)-WEEKDAY(DATE(B1071,1,4),2)+1+(C1071-1)*7)</f>
        <v/>
      </c>
      <c r="F1071" s="71"/>
    </row>
    <row r="1072" customFormat="false" ht="15" hidden="false" customHeight="false" outlineLevel="0" collapsed="false">
      <c r="A1072" s="71"/>
      <c r="B1072" s="72"/>
      <c r="C1072" s="72"/>
      <c r="D1072" s="72"/>
      <c r="E1072" s="78" t="str">
        <f aca="false">IF(OR(B1072="",C1072=""),"",DATE(B1072,1,4)-WEEKDAY(DATE(B1072,1,4),2)+1+(C1072-1)*7)</f>
        <v/>
      </c>
      <c r="F1072" s="71"/>
    </row>
    <row r="1073" customFormat="false" ht="15" hidden="false" customHeight="false" outlineLevel="0" collapsed="false">
      <c r="A1073" s="71"/>
      <c r="B1073" s="72"/>
      <c r="C1073" s="72"/>
      <c r="D1073" s="72"/>
      <c r="E1073" s="78" t="str">
        <f aca="false">IF(OR(B1073="",C1073=""),"",DATE(B1073,1,4)-WEEKDAY(DATE(B1073,1,4),2)+1+(C1073-1)*7)</f>
        <v/>
      </c>
      <c r="F1073" s="71"/>
    </row>
    <row r="1074" customFormat="false" ht="15" hidden="false" customHeight="false" outlineLevel="0" collapsed="false">
      <c r="A1074" s="71"/>
      <c r="B1074" s="72"/>
      <c r="C1074" s="72"/>
      <c r="D1074" s="72"/>
      <c r="E1074" s="78" t="str">
        <f aca="false">IF(OR(B1074="",C1074=""),"",DATE(B1074,1,4)-WEEKDAY(DATE(B1074,1,4),2)+1+(C1074-1)*7)</f>
        <v/>
      </c>
      <c r="F1074" s="71"/>
    </row>
    <row r="1075" customFormat="false" ht="15" hidden="false" customHeight="false" outlineLevel="0" collapsed="false">
      <c r="A1075" s="71"/>
      <c r="B1075" s="72"/>
      <c r="C1075" s="72"/>
      <c r="D1075" s="72"/>
      <c r="E1075" s="78" t="str">
        <f aca="false">IF(OR(B1075="",C1075=""),"",DATE(B1075,1,4)-WEEKDAY(DATE(B1075,1,4),2)+1+(C1075-1)*7)</f>
        <v/>
      </c>
      <c r="F1075" s="71"/>
    </row>
    <row r="1076" customFormat="false" ht="15" hidden="false" customHeight="false" outlineLevel="0" collapsed="false">
      <c r="A1076" s="71"/>
      <c r="B1076" s="72"/>
      <c r="C1076" s="72"/>
      <c r="D1076" s="72"/>
      <c r="E1076" s="78" t="str">
        <f aca="false">IF(OR(B1076="",C1076=""),"",DATE(B1076,1,4)-WEEKDAY(DATE(B1076,1,4),2)+1+(C1076-1)*7)</f>
        <v/>
      </c>
      <c r="F1076" s="71"/>
    </row>
    <row r="1077" customFormat="false" ht="15" hidden="false" customHeight="false" outlineLevel="0" collapsed="false">
      <c r="A1077" s="71"/>
      <c r="B1077" s="72"/>
      <c r="C1077" s="72"/>
      <c r="D1077" s="72"/>
      <c r="E1077" s="78" t="str">
        <f aca="false">IF(OR(B1077="",C1077=""),"",DATE(B1077,1,4)-WEEKDAY(DATE(B1077,1,4),2)+1+(C1077-1)*7)</f>
        <v/>
      </c>
      <c r="F1077" s="71"/>
    </row>
    <row r="1078" customFormat="false" ht="15" hidden="false" customHeight="false" outlineLevel="0" collapsed="false">
      <c r="A1078" s="71"/>
      <c r="B1078" s="72"/>
      <c r="C1078" s="72"/>
      <c r="D1078" s="72"/>
      <c r="E1078" s="78" t="str">
        <f aca="false">IF(OR(B1078="",C1078=""),"",DATE(B1078,1,4)-WEEKDAY(DATE(B1078,1,4),2)+1+(C1078-1)*7)</f>
        <v/>
      </c>
      <c r="F1078" s="71"/>
    </row>
    <row r="1079" customFormat="false" ht="15" hidden="false" customHeight="false" outlineLevel="0" collapsed="false">
      <c r="A1079" s="71"/>
      <c r="B1079" s="72"/>
      <c r="C1079" s="72"/>
      <c r="D1079" s="72"/>
      <c r="E1079" s="78" t="str">
        <f aca="false">IF(OR(B1079="",C1079=""),"",DATE(B1079,1,4)-WEEKDAY(DATE(B1079,1,4),2)+1+(C1079-1)*7)</f>
        <v/>
      </c>
      <c r="F1079" s="71"/>
    </row>
    <row r="1080" customFormat="false" ht="15" hidden="false" customHeight="false" outlineLevel="0" collapsed="false">
      <c r="A1080" s="71"/>
      <c r="B1080" s="72"/>
      <c r="C1080" s="72"/>
      <c r="D1080" s="72"/>
      <c r="E1080" s="78" t="str">
        <f aca="false">IF(OR(B1080="",C1080=""),"",DATE(B1080,1,4)-WEEKDAY(DATE(B1080,1,4),2)+1+(C1080-1)*7)</f>
        <v/>
      </c>
      <c r="F1080" s="71"/>
    </row>
    <row r="1081" customFormat="false" ht="15" hidden="false" customHeight="false" outlineLevel="0" collapsed="false">
      <c r="A1081" s="71"/>
      <c r="B1081" s="72"/>
      <c r="C1081" s="72"/>
      <c r="D1081" s="72"/>
      <c r="E1081" s="78" t="str">
        <f aca="false">IF(OR(B1081="",C1081=""),"",DATE(B1081,1,4)-WEEKDAY(DATE(B1081,1,4),2)+1+(C1081-1)*7)</f>
        <v/>
      </c>
      <c r="F1081" s="71"/>
    </row>
    <row r="1082" customFormat="false" ht="15" hidden="false" customHeight="false" outlineLevel="0" collapsed="false">
      <c r="A1082" s="71"/>
      <c r="B1082" s="72"/>
      <c r="C1082" s="72"/>
      <c r="D1082" s="72"/>
      <c r="E1082" s="78" t="str">
        <f aca="false">IF(OR(B1082="",C1082=""),"",DATE(B1082,1,4)-WEEKDAY(DATE(B1082,1,4),2)+1+(C1082-1)*7)</f>
        <v/>
      </c>
      <c r="F1082" s="71"/>
    </row>
    <row r="1083" customFormat="false" ht="15" hidden="false" customHeight="false" outlineLevel="0" collapsed="false">
      <c r="A1083" s="71"/>
      <c r="B1083" s="72"/>
      <c r="C1083" s="72"/>
      <c r="D1083" s="72"/>
      <c r="E1083" s="78" t="str">
        <f aca="false">IF(OR(B1083="",C1083=""),"",DATE(B1083,1,4)-WEEKDAY(DATE(B1083,1,4),2)+1+(C1083-1)*7)</f>
        <v/>
      </c>
      <c r="F1083" s="71"/>
    </row>
    <row r="1084" customFormat="false" ht="15" hidden="false" customHeight="false" outlineLevel="0" collapsed="false">
      <c r="A1084" s="71"/>
      <c r="B1084" s="72"/>
      <c r="C1084" s="72"/>
      <c r="D1084" s="72"/>
      <c r="E1084" s="78" t="str">
        <f aca="false">IF(OR(B1084="",C1084=""),"",DATE(B1084,1,4)-WEEKDAY(DATE(B1084,1,4),2)+1+(C1084-1)*7)</f>
        <v/>
      </c>
      <c r="F1084" s="71"/>
    </row>
    <row r="1085" customFormat="false" ht="15" hidden="false" customHeight="false" outlineLevel="0" collapsed="false">
      <c r="A1085" s="71"/>
      <c r="B1085" s="72"/>
      <c r="C1085" s="72"/>
      <c r="D1085" s="72"/>
      <c r="E1085" s="78" t="str">
        <f aca="false">IF(OR(B1085="",C1085=""),"",DATE(B1085,1,4)-WEEKDAY(DATE(B1085,1,4),2)+1+(C1085-1)*7)</f>
        <v/>
      </c>
      <c r="F1085" s="71"/>
    </row>
    <row r="1086" customFormat="false" ht="15" hidden="false" customHeight="false" outlineLevel="0" collapsed="false">
      <c r="A1086" s="71"/>
      <c r="B1086" s="72"/>
      <c r="C1086" s="72"/>
      <c r="D1086" s="72"/>
      <c r="E1086" s="78" t="str">
        <f aca="false">IF(OR(B1086="",C1086=""),"",DATE(B1086,1,4)-WEEKDAY(DATE(B1086,1,4),2)+1+(C1086-1)*7)</f>
        <v/>
      </c>
      <c r="F1086" s="71"/>
    </row>
    <row r="1087" customFormat="false" ht="15" hidden="false" customHeight="false" outlineLevel="0" collapsed="false">
      <c r="A1087" s="71"/>
      <c r="B1087" s="72"/>
      <c r="C1087" s="72"/>
      <c r="D1087" s="72"/>
      <c r="E1087" s="78" t="str">
        <f aca="false">IF(OR(B1087="",C1087=""),"",DATE(B1087,1,4)-WEEKDAY(DATE(B1087,1,4),2)+1+(C1087-1)*7)</f>
        <v/>
      </c>
      <c r="F1087" s="71"/>
    </row>
    <row r="1088" customFormat="false" ht="15" hidden="false" customHeight="false" outlineLevel="0" collapsed="false">
      <c r="A1088" s="71"/>
      <c r="B1088" s="72"/>
      <c r="C1088" s="72"/>
      <c r="D1088" s="72"/>
      <c r="E1088" s="78" t="str">
        <f aca="false">IF(OR(B1088="",C1088=""),"",DATE(B1088,1,4)-WEEKDAY(DATE(B1088,1,4),2)+1+(C1088-1)*7)</f>
        <v/>
      </c>
      <c r="F1088" s="71"/>
    </row>
    <row r="1089" customFormat="false" ht="15" hidden="false" customHeight="false" outlineLevel="0" collapsed="false">
      <c r="A1089" s="71"/>
      <c r="B1089" s="72"/>
      <c r="C1089" s="72"/>
      <c r="D1089" s="72"/>
      <c r="E1089" s="78" t="str">
        <f aca="false">IF(OR(B1089="",C1089=""),"",DATE(B1089,1,4)-WEEKDAY(DATE(B1089,1,4),2)+1+(C1089-1)*7)</f>
        <v/>
      </c>
      <c r="F1089" s="71"/>
    </row>
    <row r="1090" customFormat="false" ht="15" hidden="false" customHeight="false" outlineLevel="0" collapsed="false">
      <c r="A1090" s="71"/>
      <c r="B1090" s="72"/>
      <c r="C1090" s="72"/>
      <c r="D1090" s="72"/>
      <c r="E1090" s="78" t="str">
        <f aca="false">IF(OR(B1090="",C1090=""),"",DATE(B1090,1,4)-WEEKDAY(DATE(B1090,1,4),2)+1+(C1090-1)*7)</f>
        <v/>
      </c>
      <c r="F1090" s="71"/>
    </row>
    <row r="1091" customFormat="false" ht="15" hidden="false" customHeight="false" outlineLevel="0" collapsed="false">
      <c r="A1091" s="71"/>
      <c r="B1091" s="72"/>
      <c r="C1091" s="72"/>
      <c r="D1091" s="72"/>
      <c r="E1091" s="78" t="str">
        <f aca="false">IF(OR(B1091="",C1091=""),"",DATE(B1091,1,4)-WEEKDAY(DATE(B1091,1,4),2)+1+(C1091-1)*7)</f>
        <v/>
      </c>
      <c r="F1091" s="71"/>
    </row>
    <row r="1092" customFormat="false" ht="15" hidden="false" customHeight="false" outlineLevel="0" collapsed="false">
      <c r="A1092" s="71"/>
      <c r="B1092" s="72"/>
      <c r="C1092" s="72"/>
      <c r="D1092" s="72"/>
      <c r="E1092" s="78" t="str">
        <f aca="false">IF(OR(B1092="",C1092=""),"",DATE(B1092,1,4)-WEEKDAY(DATE(B1092,1,4),2)+1+(C1092-1)*7)</f>
        <v/>
      </c>
      <c r="F1092" s="71"/>
    </row>
    <row r="1093" customFormat="false" ht="15" hidden="false" customHeight="false" outlineLevel="0" collapsed="false">
      <c r="A1093" s="71"/>
      <c r="B1093" s="72"/>
      <c r="C1093" s="72"/>
      <c r="D1093" s="72"/>
      <c r="E1093" s="78" t="str">
        <f aca="false">IF(OR(B1093="",C1093=""),"",DATE(B1093,1,4)-WEEKDAY(DATE(B1093,1,4),2)+1+(C1093-1)*7)</f>
        <v/>
      </c>
      <c r="F1093" s="71"/>
    </row>
    <row r="1094" customFormat="false" ht="15" hidden="false" customHeight="false" outlineLevel="0" collapsed="false">
      <c r="A1094" s="71"/>
      <c r="B1094" s="72"/>
      <c r="C1094" s="72"/>
      <c r="D1094" s="72"/>
      <c r="E1094" s="78" t="str">
        <f aca="false">IF(OR(B1094="",C1094=""),"",DATE(B1094,1,4)-WEEKDAY(DATE(B1094,1,4),2)+1+(C1094-1)*7)</f>
        <v/>
      </c>
      <c r="F1094" s="71"/>
    </row>
    <row r="1095" customFormat="false" ht="15" hidden="false" customHeight="false" outlineLevel="0" collapsed="false">
      <c r="A1095" s="71"/>
      <c r="B1095" s="72"/>
      <c r="C1095" s="72"/>
      <c r="D1095" s="72"/>
      <c r="E1095" s="78" t="str">
        <f aca="false">IF(OR(B1095="",C1095=""),"",DATE(B1095,1,4)-WEEKDAY(DATE(B1095,1,4),2)+1+(C1095-1)*7)</f>
        <v/>
      </c>
      <c r="F1095" s="71"/>
    </row>
    <row r="1096" customFormat="false" ht="15" hidden="false" customHeight="false" outlineLevel="0" collapsed="false">
      <c r="A1096" s="71"/>
      <c r="B1096" s="72"/>
      <c r="C1096" s="72"/>
      <c r="D1096" s="72"/>
      <c r="E1096" s="78" t="str">
        <f aca="false">IF(OR(B1096="",C1096=""),"",DATE(B1096,1,4)-WEEKDAY(DATE(B1096,1,4),2)+1+(C1096-1)*7)</f>
        <v/>
      </c>
      <c r="F1096" s="71"/>
    </row>
    <row r="1097" customFormat="false" ht="15" hidden="false" customHeight="false" outlineLevel="0" collapsed="false">
      <c r="A1097" s="71"/>
      <c r="B1097" s="72"/>
      <c r="C1097" s="72"/>
      <c r="D1097" s="72"/>
      <c r="E1097" s="78" t="str">
        <f aca="false">IF(OR(B1097="",C1097=""),"",DATE(B1097,1,4)-WEEKDAY(DATE(B1097,1,4),2)+1+(C1097-1)*7)</f>
        <v/>
      </c>
      <c r="F1097" s="71"/>
    </row>
    <row r="1098" customFormat="false" ht="15" hidden="false" customHeight="false" outlineLevel="0" collapsed="false">
      <c r="A1098" s="71"/>
      <c r="B1098" s="72"/>
      <c r="C1098" s="72"/>
      <c r="D1098" s="72"/>
      <c r="E1098" s="78" t="str">
        <f aca="false">IF(OR(B1098="",C1098=""),"",DATE(B1098,1,4)-WEEKDAY(DATE(B1098,1,4),2)+1+(C1098-1)*7)</f>
        <v/>
      </c>
      <c r="F1098" s="71"/>
    </row>
    <row r="1099" customFormat="false" ht="15" hidden="false" customHeight="false" outlineLevel="0" collapsed="false">
      <c r="A1099" s="71"/>
      <c r="B1099" s="72"/>
      <c r="C1099" s="72"/>
      <c r="D1099" s="72"/>
      <c r="E1099" s="78" t="str">
        <f aca="false">IF(OR(B1099="",C1099=""),"",DATE(B1099,1,4)-WEEKDAY(DATE(B1099,1,4),2)+1+(C1099-1)*7)</f>
        <v/>
      </c>
      <c r="F1099" s="71"/>
    </row>
    <row r="1100" customFormat="false" ht="15" hidden="false" customHeight="false" outlineLevel="0" collapsed="false">
      <c r="A1100" s="71"/>
      <c r="B1100" s="72"/>
      <c r="C1100" s="72"/>
      <c r="D1100" s="72"/>
      <c r="E1100" s="78" t="str">
        <f aca="false">IF(OR(B1100="",C1100=""),"",DATE(B1100,1,4)-WEEKDAY(DATE(B1100,1,4),2)+1+(C1100-1)*7)</f>
        <v/>
      </c>
      <c r="F1100" s="71"/>
    </row>
    <row r="1101" customFormat="false" ht="15" hidden="false" customHeight="false" outlineLevel="0" collapsed="false">
      <c r="A1101" s="71"/>
      <c r="B1101" s="72"/>
      <c r="C1101" s="72"/>
      <c r="D1101" s="72"/>
      <c r="E1101" s="78" t="str">
        <f aca="false">IF(OR(B1101="",C1101=""),"",DATE(B1101,1,4)-WEEKDAY(DATE(B1101,1,4),2)+1+(C1101-1)*7)</f>
        <v/>
      </c>
      <c r="F1101" s="71"/>
    </row>
    <row r="1102" customFormat="false" ht="15" hidden="false" customHeight="false" outlineLevel="0" collapsed="false">
      <c r="A1102" s="71"/>
      <c r="B1102" s="72"/>
      <c r="C1102" s="72"/>
      <c r="D1102" s="72"/>
      <c r="E1102" s="78" t="str">
        <f aca="false">IF(OR(B1102="",C1102=""),"",DATE(B1102,1,4)-WEEKDAY(DATE(B1102,1,4),2)+1+(C1102-1)*7)</f>
        <v/>
      </c>
      <c r="F1102" s="71"/>
    </row>
    <row r="1103" customFormat="false" ht="15" hidden="false" customHeight="false" outlineLevel="0" collapsed="false">
      <c r="A1103" s="71"/>
      <c r="B1103" s="72"/>
      <c r="C1103" s="72"/>
      <c r="D1103" s="72"/>
      <c r="E1103" s="78" t="str">
        <f aca="false">IF(OR(B1103="",C1103=""),"",DATE(B1103,1,4)-WEEKDAY(DATE(B1103,1,4),2)+1+(C1103-1)*7)</f>
        <v/>
      </c>
      <c r="F1103" s="71"/>
    </row>
    <row r="1104" customFormat="false" ht="15" hidden="false" customHeight="false" outlineLevel="0" collapsed="false">
      <c r="A1104" s="71"/>
      <c r="B1104" s="72"/>
      <c r="C1104" s="72"/>
      <c r="D1104" s="72"/>
      <c r="E1104" s="78" t="str">
        <f aca="false">IF(OR(B1104="",C1104=""),"",DATE(B1104,1,4)-WEEKDAY(DATE(B1104,1,4),2)+1+(C1104-1)*7)</f>
        <v/>
      </c>
      <c r="F1104" s="71"/>
    </row>
    <row r="1105" customFormat="false" ht="15" hidden="false" customHeight="false" outlineLevel="0" collapsed="false">
      <c r="A1105" s="71"/>
      <c r="B1105" s="72"/>
      <c r="C1105" s="72"/>
      <c r="D1105" s="72"/>
      <c r="E1105" s="78" t="str">
        <f aca="false">IF(OR(B1105="",C1105=""),"",DATE(B1105,1,4)-WEEKDAY(DATE(B1105,1,4),2)+1+(C1105-1)*7)</f>
        <v/>
      </c>
      <c r="F1105" s="71"/>
    </row>
    <row r="1106" customFormat="false" ht="15" hidden="false" customHeight="false" outlineLevel="0" collapsed="false">
      <c r="A1106" s="71"/>
      <c r="B1106" s="72"/>
      <c r="C1106" s="72"/>
      <c r="D1106" s="72"/>
      <c r="E1106" s="78" t="str">
        <f aca="false">IF(OR(B1106="",C1106=""),"",DATE(B1106,1,4)-WEEKDAY(DATE(B1106,1,4),2)+1+(C1106-1)*7)</f>
        <v/>
      </c>
      <c r="F1106" s="71"/>
    </row>
    <row r="1107" customFormat="false" ht="15" hidden="false" customHeight="false" outlineLevel="0" collapsed="false">
      <c r="A1107" s="71"/>
      <c r="B1107" s="72"/>
      <c r="C1107" s="72"/>
      <c r="D1107" s="72"/>
      <c r="E1107" s="78" t="str">
        <f aca="false">IF(OR(B1107="",C1107=""),"",DATE(B1107,1,4)-WEEKDAY(DATE(B1107,1,4),2)+1+(C1107-1)*7)</f>
        <v/>
      </c>
      <c r="F1107" s="71"/>
    </row>
    <row r="1108" customFormat="false" ht="15" hidden="false" customHeight="false" outlineLevel="0" collapsed="false">
      <c r="A1108" s="71"/>
      <c r="B1108" s="72"/>
      <c r="C1108" s="72"/>
      <c r="D1108" s="72"/>
      <c r="E1108" s="78" t="str">
        <f aca="false">IF(OR(B1108="",C1108=""),"",DATE(B1108,1,4)-WEEKDAY(DATE(B1108,1,4),2)+1+(C1108-1)*7)</f>
        <v/>
      </c>
      <c r="F1108" s="71"/>
    </row>
    <row r="1109" customFormat="false" ht="15" hidden="false" customHeight="false" outlineLevel="0" collapsed="false">
      <c r="A1109" s="71"/>
      <c r="B1109" s="72"/>
      <c r="C1109" s="72"/>
      <c r="D1109" s="72"/>
      <c r="E1109" s="78" t="str">
        <f aca="false">IF(OR(B1109="",C1109=""),"",DATE(B1109,1,4)-WEEKDAY(DATE(B1109,1,4),2)+1+(C1109-1)*7)</f>
        <v/>
      </c>
      <c r="F1109" s="71"/>
    </row>
    <row r="1110" customFormat="false" ht="15" hidden="false" customHeight="false" outlineLevel="0" collapsed="false">
      <c r="A1110" s="71"/>
      <c r="B1110" s="72"/>
      <c r="C1110" s="72"/>
      <c r="D1110" s="72"/>
      <c r="E1110" s="78" t="str">
        <f aca="false">IF(OR(B1110="",C1110=""),"",DATE(B1110,1,4)-WEEKDAY(DATE(B1110,1,4),2)+1+(C1110-1)*7)</f>
        <v/>
      </c>
      <c r="F1110" s="71"/>
    </row>
    <row r="1111" customFormat="false" ht="15" hidden="false" customHeight="false" outlineLevel="0" collapsed="false">
      <c r="A1111" s="71"/>
      <c r="B1111" s="72"/>
      <c r="C1111" s="72"/>
      <c r="D1111" s="72"/>
      <c r="E1111" s="78" t="str">
        <f aca="false">IF(OR(B1111="",C1111=""),"",DATE(B1111,1,4)-WEEKDAY(DATE(B1111,1,4),2)+1+(C1111-1)*7)</f>
        <v/>
      </c>
      <c r="F1111" s="71"/>
    </row>
    <row r="1112" customFormat="false" ht="15" hidden="false" customHeight="false" outlineLevel="0" collapsed="false">
      <c r="A1112" s="71"/>
      <c r="B1112" s="72"/>
      <c r="C1112" s="72"/>
      <c r="D1112" s="72"/>
      <c r="E1112" s="78" t="str">
        <f aca="false">IF(OR(B1112="",C1112=""),"",DATE(B1112,1,4)-WEEKDAY(DATE(B1112,1,4),2)+1+(C1112-1)*7)</f>
        <v/>
      </c>
      <c r="F1112" s="71"/>
    </row>
    <row r="1113" customFormat="false" ht="15" hidden="false" customHeight="false" outlineLevel="0" collapsed="false">
      <c r="A1113" s="71"/>
      <c r="B1113" s="72"/>
      <c r="C1113" s="72"/>
      <c r="D1113" s="72"/>
      <c r="E1113" s="78" t="str">
        <f aca="false">IF(OR(B1113="",C1113=""),"",DATE(B1113,1,4)-WEEKDAY(DATE(B1113,1,4),2)+1+(C1113-1)*7)</f>
        <v/>
      </c>
      <c r="F1113" s="71"/>
    </row>
    <row r="1114" customFormat="false" ht="15" hidden="false" customHeight="false" outlineLevel="0" collapsed="false">
      <c r="A1114" s="71"/>
      <c r="B1114" s="72"/>
      <c r="C1114" s="72"/>
      <c r="D1114" s="72"/>
      <c r="E1114" s="78" t="str">
        <f aca="false">IF(OR(B1114="",C1114=""),"",DATE(B1114,1,4)-WEEKDAY(DATE(B1114,1,4),2)+1+(C1114-1)*7)</f>
        <v/>
      </c>
      <c r="F1114" s="71"/>
    </row>
    <row r="1115" customFormat="false" ht="15" hidden="false" customHeight="false" outlineLevel="0" collapsed="false">
      <c r="A1115" s="71"/>
      <c r="B1115" s="72"/>
      <c r="C1115" s="72"/>
      <c r="D1115" s="72"/>
      <c r="E1115" s="78" t="str">
        <f aca="false">IF(OR(B1115="",C1115=""),"",DATE(B1115,1,4)-WEEKDAY(DATE(B1115,1,4),2)+1+(C1115-1)*7)</f>
        <v/>
      </c>
      <c r="F1115" s="71"/>
    </row>
    <row r="1116" customFormat="false" ht="15" hidden="false" customHeight="false" outlineLevel="0" collapsed="false">
      <c r="A1116" s="71"/>
      <c r="B1116" s="72"/>
      <c r="C1116" s="72"/>
      <c r="D1116" s="72"/>
      <c r="E1116" s="78" t="str">
        <f aca="false">IF(OR(B1116="",C1116=""),"",DATE(B1116,1,4)-WEEKDAY(DATE(B1116,1,4),2)+1+(C1116-1)*7)</f>
        <v/>
      </c>
      <c r="F1116" s="71"/>
    </row>
    <row r="1117" customFormat="false" ht="15" hidden="false" customHeight="false" outlineLevel="0" collapsed="false">
      <c r="A1117" s="71"/>
      <c r="B1117" s="72"/>
      <c r="C1117" s="72"/>
      <c r="D1117" s="72"/>
      <c r="E1117" s="78" t="str">
        <f aca="false">IF(OR(B1117="",C1117=""),"",DATE(B1117,1,4)-WEEKDAY(DATE(B1117,1,4),2)+1+(C1117-1)*7)</f>
        <v/>
      </c>
      <c r="F1117" s="71"/>
    </row>
    <row r="1118" customFormat="false" ht="15" hidden="false" customHeight="false" outlineLevel="0" collapsed="false">
      <c r="A1118" s="71"/>
      <c r="B1118" s="72"/>
      <c r="C1118" s="72"/>
      <c r="D1118" s="72"/>
      <c r="E1118" s="78" t="str">
        <f aca="false">IF(OR(B1118="",C1118=""),"",DATE(B1118,1,4)-WEEKDAY(DATE(B1118,1,4),2)+1+(C1118-1)*7)</f>
        <v/>
      </c>
      <c r="F1118" s="71"/>
    </row>
    <row r="1119" customFormat="false" ht="15" hidden="false" customHeight="false" outlineLevel="0" collapsed="false">
      <c r="A1119" s="71"/>
      <c r="B1119" s="72"/>
      <c r="C1119" s="72"/>
      <c r="D1119" s="72"/>
      <c r="E1119" s="78" t="str">
        <f aca="false">IF(OR(B1119="",C1119=""),"",DATE(B1119,1,4)-WEEKDAY(DATE(B1119,1,4),2)+1+(C1119-1)*7)</f>
        <v/>
      </c>
      <c r="F1119" s="71"/>
    </row>
    <row r="1120" customFormat="false" ht="15" hidden="false" customHeight="false" outlineLevel="0" collapsed="false">
      <c r="A1120" s="71"/>
      <c r="B1120" s="72"/>
      <c r="C1120" s="72"/>
      <c r="D1120" s="72"/>
      <c r="E1120" s="78" t="str">
        <f aca="false">IF(OR(B1120="",C1120=""),"",DATE(B1120,1,4)-WEEKDAY(DATE(B1120,1,4),2)+1+(C1120-1)*7)</f>
        <v/>
      </c>
      <c r="F1120" s="71"/>
    </row>
    <row r="1121" customFormat="false" ht="15" hidden="false" customHeight="false" outlineLevel="0" collapsed="false">
      <c r="A1121" s="71"/>
      <c r="B1121" s="72"/>
      <c r="C1121" s="72"/>
      <c r="D1121" s="72"/>
      <c r="E1121" s="78" t="str">
        <f aca="false">IF(OR(B1121="",C1121=""),"",DATE(B1121,1,4)-WEEKDAY(DATE(B1121,1,4),2)+1+(C1121-1)*7)</f>
        <v/>
      </c>
      <c r="F1121" s="71"/>
    </row>
    <row r="1122" customFormat="false" ht="15" hidden="false" customHeight="false" outlineLevel="0" collapsed="false">
      <c r="A1122" s="71"/>
      <c r="B1122" s="72"/>
      <c r="C1122" s="72"/>
      <c r="D1122" s="72"/>
      <c r="E1122" s="78" t="str">
        <f aca="false">IF(OR(B1122="",C1122=""),"",DATE(B1122,1,4)-WEEKDAY(DATE(B1122,1,4),2)+1+(C1122-1)*7)</f>
        <v/>
      </c>
      <c r="F1122" s="71"/>
    </row>
    <row r="1123" customFormat="false" ht="15" hidden="false" customHeight="false" outlineLevel="0" collapsed="false">
      <c r="A1123" s="71"/>
      <c r="B1123" s="72"/>
      <c r="C1123" s="72"/>
      <c r="D1123" s="72"/>
      <c r="E1123" s="78" t="str">
        <f aca="false">IF(OR(B1123="",C1123=""),"",DATE(B1123,1,4)-WEEKDAY(DATE(B1123,1,4),2)+1+(C1123-1)*7)</f>
        <v/>
      </c>
      <c r="F1123" s="71"/>
    </row>
    <row r="1124" customFormat="false" ht="15" hidden="false" customHeight="false" outlineLevel="0" collapsed="false">
      <c r="A1124" s="71"/>
      <c r="B1124" s="72"/>
      <c r="C1124" s="72"/>
      <c r="D1124" s="72"/>
      <c r="E1124" s="78" t="str">
        <f aca="false">IF(OR(B1124="",C1124=""),"",DATE(B1124,1,4)-WEEKDAY(DATE(B1124,1,4),2)+1+(C1124-1)*7)</f>
        <v/>
      </c>
      <c r="F1124" s="71"/>
    </row>
    <row r="1125" customFormat="false" ht="15" hidden="false" customHeight="false" outlineLevel="0" collapsed="false">
      <c r="A1125" s="71"/>
      <c r="B1125" s="72"/>
      <c r="C1125" s="72"/>
      <c r="D1125" s="72"/>
      <c r="E1125" s="78" t="str">
        <f aca="false">IF(OR(B1125="",C1125=""),"",DATE(B1125,1,4)-WEEKDAY(DATE(B1125,1,4),2)+1+(C1125-1)*7)</f>
        <v/>
      </c>
      <c r="F1125" s="71"/>
    </row>
    <row r="1126" customFormat="false" ht="15" hidden="false" customHeight="false" outlineLevel="0" collapsed="false">
      <c r="A1126" s="71"/>
      <c r="B1126" s="72"/>
      <c r="C1126" s="72"/>
      <c r="D1126" s="72"/>
      <c r="E1126" s="78" t="str">
        <f aca="false">IF(OR(B1126="",C1126=""),"",DATE(B1126,1,4)-WEEKDAY(DATE(B1126,1,4),2)+1+(C1126-1)*7)</f>
        <v/>
      </c>
      <c r="F1126" s="71"/>
    </row>
    <row r="1127" customFormat="false" ht="15" hidden="false" customHeight="false" outlineLevel="0" collapsed="false">
      <c r="A1127" s="71"/>
      <c r="B1127" s="72"/>
      <c r="C1127" s="72"/>
      <c r="D1127" s="72"/>
      <c r="E1127" s="78" t="str">
        <f aca="false">IF(OR(B1127="",C1127=""),"",DATE(B1127,1,4)-WEEKDAY(DATE(B1127,1,4),2)+1+(C1127-1)*7)</f>
        <v/>
      </c>
      <c r="F1127" s="71"/>
    </row>
    <row r="1128" customFormat="false" ht="15" hidden="false" customHeight="false" outlineLevel="0" collapsed="false">
      <c r="A1128" s="71"/>
      <c r="B1128" s="72"/>
      <c r="C1128" s="72"/>
      <c r="D1128" s="72"/>
      <c r="E1128" s="78" t="str">
        <f aca="false">IF(OR(B1128="",C1128=""),"",DATE(B1128,1,4)-WEEKDAY(DATE(B1128,1,4),2)+1+(C1128-1)*7)</f>
        <v/>
      </c>
      <c r="F1128" s="71"/>
    </row>
    <row r="1129" customFormat="false" ht="15" hidden="false" customHeight="false" outlineLevel="0" collapsed="false">
      <c r="A1129" s="71"/>
      <c r="B1129" s="72"/>
      <c r="C1129" s="72"/>
      <c r="D1129" s="72"/>
      <c r="E1129" s="78" t="str">
        <f aca="false">IF(OR(B1129="",C1129=""),"",DATE(B1129,1,4)-WEEKDAY(DATE(B1129,1,4),2)+1+(C1129-1)*7)</f>
        <v/>
      </c>
      <c r="F1129" s="71"/>
    </row>
    <row r="1130" customFormat="false" ht="15" hidden="false" customHeight="false" outlineLevel="0" collapsed="false">
      <c r="A1130" s="71"/>
      <c r="B1130" s="72"/>
      <c r="C1130" s="72"/>
      <c r="D1130" s="72"/>
      <c r="E1130" s="78" t="str">
        <f aca="false">IF(OR(B1130="",C1130=""),"",DATE(B1130,1,4)-WEEKDAY(DATE(B1130,1,4),2)+1+(C1130-1)*7)</f>
        <v/>
      </c>
      <c r="F1130" s="71"/>
    </row>
    <row r="1131" customFormat="false" ht="15" hidden="false" customHeight="false" outlineLevel="0" collapsed="false">
      <c r="A1131" s="71"/>
      <c r="B1131" s="72"/>
      <c r="C1131" s="72"/>
      <c r="D1131" s="72"/>
      <c r="E1131" s="78" t="str">
        <f aca="false">IF(OR(B1131="",C1131=""),"",DATE(B1131,1,4)-WEEKDAY(DATE(B1131,1,4),2)+1+(C1131-1)*7)</f>
        <v/>
      </c>
      <c r="F1131" s="71"/>
    </row>
    <row r="1132" customFormat="false" ht="15" hidden="false" customHeight="false" outlineLevel="0" collapsed="false">
      <c r="A1132" s="71"/>
      <c r="B1132" s="72"/>
      <c r="C1132" s="72"/>
      <c r="D1132" s="72"/>
      <c r="E1132" s="78" t="str">
        <f aca="false">IF(OR(B1132="",C1132=""),"",DATE(B1132,1,4)-WEEKDAY(DATE(B1132,1,4),2)+1+(C1132-1)*7)</f>
        <v/>
      </c>
      <c r="F1132" s="71"/>
    </row>
    <row r="1133" customFormat="false" ht="15" hidden="false" customHeight="false" outlineLevel="0" collapsed="false">
      <c r="A1133" s="71"/>
      <c r="B1133" s="72"/>
      <c r="C1133" s="72"/>
      <c r="D1133" s="72"/>
      <c r="E1133" s="78" t="str">
        <f aca="false">IF(OR(B1133="",C1133=""),"",DATE(B1133,1,4)-WEEKDAY(DATE(B1133,1,4),2)+1+(C1133-1)*7)</f>
        <v/>
      </c>
      <c r="F1133" s="71"/>
    </row>
    <row r="1134" customFormat="false" ht="15" hidden="false" customHeight="false" outlineLevel="0" collapsed="false">
      <c r="A1134" s="71"/>
      <c r="B1134" s="72"/>
      <c r="C1134" s="72"/>
      <c r="D1134" s="72"/>
      <c r="E1134" s="78" t="str">
        <f aca="false">IF(OR(B1134="",C1134=""),"",DATE(B1134,1,4)-WEEKDAY(DATE(B1134,1,4),2)+1+(C1134-1)*7)</f>
        <v/>
      </c>
      <c r="F1134" s="71"/>
    </row>
    <row r="1135" customFormat="false" ht="15" hidden="false" customHeight="false" outlineLevel="0" collapsed="false">
      <c r="A1135" s="71"/>
      <c r="B1135" s="72"/>
      <c r="C1135" s="72"/>
      <c r="D1135" s="72"/>
      <c r="E1135" s="78" t="str">
        <f aca="false">IF(OR(B1135="",C1135=""),"",DATE(B1135,1,4)-WEEKDAY(DATE(B1135,1,4),2)+1+(C1135-1)*7)</f>
        <v/>
      </c>
      <c r="F1135" s="71"/>
    </row>
    <row r="1136" customFormat="false" ht="15" hidden="false" customHeight="false" outlineLevel="0" collapsed="false">
      <c r="A1136" s="71"/>
      <c r="B1136" s="72"/>
      <c r="C1136" s="72"/>
      <c r="D1136" s="72"/>
      <c r="E1136" s="78" t="str">
        <f aca="false">IF(OR(B1136="",C1136=""),"",DATE(B1136,1,4)-WEEKDAY(DATE(B1136,1,4),2)+1+(C1136-1)*7)</f>
        <v/>
      </c>
      <c r="F1136" s="71"/>
    </row>
    <row r="1137" customFormat="false" ht="15" hidden="false" customHeight="false" outlineLevel="0" collapsed="false">
      <c r="A1137" s="71"/>
      <c r="B1137" s="72"/>
      <c r="C1137" s="72"/>
      <c r="D1137" s="72"/>
      <c r="E1137" s="78" t="str">
        <f aca="false">IF(OR(B1137="",C1137=""),"",DATE(B1137,1,4)-WEEKDAY(DATE(B1137,1,4),2)+1+(C1137-1)*7)</f>
        <v/>
      </c>
      <c r="F1137" s="71"/>
    </row>
    <row r="1138" customFormat="false" ht="15" hidden="false" customHeight="false" outlineLevel="0" collapsed="false">
      <c r="A1138" s="71"/>
      <c r="B1138" s="72"/>
      <c r="C1138" s="72"/>
      <c r="D1138" s="72"/>
      <c r="E1138" s="78" t="str">
        <f aca="false">IF(OR(B1138="",C1138=""),"",DATE(B1138,1,4)-WEEKDAY(DATE(B1138,1,4),2)+1+(C1138-1)*7)</f>
        <v/>
      </c>
      <c r="F1138" s="71"/>
    </row>
    <row r="1139" customFormat="false" ht="15" hidden="false" customHeight="false" outlineLevel="0" collapsed="false">
      <c r="A1139" s="71"/>
      <c r="B1139" s="72"/>
      <c r="C1139" s="72"/>
      <c r="D1139" s="72"/>
      <c r="E1139" s="78" t="str">
        <f aca="false">IF(OR(B1139="",C1139=""),"",DATE(B1139,1,4)-WEEKDAY(DATE(B1139,1,4),2)+1+(C1139-1)*7)</f>
        <v/>
      </c>
      <c r="F1139" s="71"/>
    </row>
    <row r="1140" customFormat="false" ht="15" hidden="false" customHeight="false" outlineLevel="0" collapsed="false">
      <c r="A1140" s="71"/>
      <c r="B1140" s="72"/>
      <c r="C1140" s="72"/>
      <c r="D1140" s="72"/>
      <c r="E1140" s="78" t="str">
        <f aca="false">IF(OR(B1140="",C1140=""),"",DATE(B1140,1,4)-WEEKDAY(DATE(B1140,1,4),2)+1+(C1140-1)*7)</f>
        <v/>
      </c>
      <c r="F1140" s="71"/>
    </row>
    <row r="1141" customFormat="false" ht="15" hidden="false" customHeight="false" outlineLevel="0" collapsed="false">
      <c r="A1141" s="71"/>
      <c r="B1141" s="72"/>
      <c r="C1141" s="72"/>
      <c r="D1141" s="72"/>
      <c r="E1141" s="78" t="str">
        <f aca="false">IF(OR(B1141="",C1141=""),"",DATE(B1141,1,4)-WEEKDAY(DATE(B1141,1,4),2)+1+(C1141-1)*7)</f>
        <v/>
      </c>
      <c r="F1141" s="71"/>
    </row>
    <row r="1142" customFormat="false" ht="15" hidden="false" customHeight="false" outlineLevel="0" collapsed="false">
      <c r="A1142" s="71"/>
      <c r="B1142" s="72"/>
      <c r="C1142" s="72"/>
      <c r="D1142" s="72"/>
      <c r="E1142" s="78" t="str">
        <f aca="false">IF(OR(B1142="",C1142=""),"",DATE(B1142,1,4)-WEEKDAY(DATE(B1142,1,4),2)+1+(C1142-1)*7)</f>
        <v/>
      </c>
      <c r="F1142" s="71"/>
    </row>
    <row r="1143" customFormat="false" ht="15" hidden="false" customHeight="false" outlineLevel="0" collapsed="false">
      <c r="A1143" s="71"/>
      <c r="B1143" s="72"/>
      <c r="C1143" s="72"/>
      <c r="D1143" s="72"/>
      <c r="E1143" s="78" t="str">
        <f aca="false">IF(OR(B1143="",C1143=""),"",DATE(B1143,1,4)-WEEKDAY(DATE(B1143,1,4),2)+1+(C1143-1)*7)</f>
        <v/>
      </c>
      <c r="F1143" s="71"/>
    </row>
    <row r="1144" customFormat="false" ht="15" hidden="false" customHeight="false" outlineLevel="0" collapsed="false">
      <c r="A1144" s="71"/>
      <c r="B1144" s="72"/>
      <c r="C1144" s="72"/>
      <c r="D1144" s="72"/>
      <c r="E1144" s="78" t="str">
        <f aca="false">IF(OR(B1144="",C1144=""),"",DATE(B1144,1,4)-WEEKDAY(DATE(B1144,1,4),2)+1+(C1144-1)*7)</f>
        <v/>
      </c>
      <c r="F1144" s="71"/>
    </row>
    <row r="1145" customFormat="false" ht="15" hidden="false" customHeight="false" outlineLevel="0" collapsed="false">
      <c r="A1145" s="71"/>
      <c r="B1145" s="72"/>
      <c r="C1145" s="72"/>
      <c r="D1145" s="72"/>
      <c r="E1145" s="78" t="str">
        <f aca="false">IF(OR(B1145="",C1145=""),"",DATE(B1145,1,4)-WEEKDAY(DATE(B1145,1,4),2)+1+(C1145-1)*7)</f>
        <v/>
      </c>
      <c r="F1145" s="71"/>
    </row>
    <row r="1146" customFormat="false" ht="15" hidden="false" customHeight="false" outlineLevel="0" collapsed="false">
      <c r="A1146" s="71"/>
      <c r="B1146" s="72"/>
      <c r="C1146" s="72"/>
      <c r="D1146" s="72"/>
      <c r="E1146" s="78" t="str">
        <f aca="false">IF(OR(B1146="",C1146=""),"",DATE(B1146,1,4)-WEEKDAY(DATE(B1146,1,4),2)+1+(C1146-1)*7)</f>
        <v/>
      </c>
      <c r="F1146" s="71"/>
    </row>
    <row r="1147" customFormat="false" ht="15" hidden="false" customHeight="false" outlineLevel="0" collapsed="false">
      <c r="A1147" s="71"/>
      <c r="B1147" s="72"/>
      <c r="C1147" s="72"/>
      <c r="D1147" s="72"/>
      <c r="E1147" s="78" t="str">
        <f aca="false">IF(OR(B1147="",C1147=""),"",DATE(B1147,1,4)-WEEKDAY(DATE(B1147,1,4),2)+1+(C1147-1)*7)</f>
        <v/>
      </c>
      <c r="F1147" s="71"/>
    </row>
    <row r="1148" customFormat="false" ht="15" hidden="false" customHeight="false" outlineLevel="0" collapsed="false">
      <c r="A1148" s="71"/>
      <c r="B1148" s="72"/>
      <c r="C1148" s="72"/>
      <c r="D1148" s="72"/>
      <c r="E1148" s="78" t="str">
        <f aca="false">IF(OR(B1148="",C1148=""),"",DATE(B1148,1,4)-WEEKDAY(DATE(B1148,1,4),2)+1+(C1148-1)*7)</f>
        <v/>
      </c>
      <c r="F1148" s="71"/>
    </row>
    <row r="1149" customFormat="false" ht="15" hidden="false" customHeight="false" outlineLevel="0" collapsed="false">
      <c r="A1149" s="71"/>
      <c r="B1149" s="72"/>
      <c r="C1149" s="72"/>
      <c r="D1149" s="72"/>
      <c r="E1149" s="78" t="str">
        <f aca="false">IF(OR(B1149="",C1149=""),"",DATE(B1149,1,4)-WEEKDAY(DATE(B1149,1,4),2)+1+(C1149-1)*7)</f>
        <v/>
      </c>
      <c r="F1149" s="71"/>
    </row>
    <row r="1150" customFormat="false" ht="15" hidden="false" customHeight="false" outlineLevel="0" collapsed="false">
      <c r="A1150" s="71"/>
      <c r="B1150" s="72"/>
      <c r="C1150" s="72"/>
      <c r="D1150" s="72"/>
      <c r="E1150" s="78" t="str">
        <f aca="false">IF(OR(B1150="",C1150=""),"",DATE(B1150,1,4)-WEEKDAY(DATE(B1150,1,4),2)+1+(C1150-1)*7)</f>
        <v/>
      </c>
      <c r="F1150" s="71"/>
    </row>
    <row r="1151" customFormat="false" ht="15" hidden="false" customHeight="false" outlineLevel="0" collapsed="false">
      <c r="A1151" s="71"/>
      <c r="B1151" s="72"/>
      <c r="C1151" s="72"/>
      <c r="D1151" s="72"/>
      <c r="E1151" s="78" t="str">
        <f aca="false">IF(OR(B1151="",C1151=""),"",DATE(B1151,1,4)-WEEKDAY(DATE(B1151,1,4),2)+1+(C1151-1)*7)</f>
        <v/>
      </c>
      <c r="F1151" s="71"/>
    </row>
    <row r="1152" customFormat="false" ht="15" hidden="false" customHeight="false" outlineLevel="0" collapsed="false">
      <c r="A1152" s="71"/>
      <c r="B1152" s="72"/>
      <c r="C1152" s="72"/>
      <c r="D1152" s="72"/>
      <c r="E1152" s="78" t="str">
        <f aca="false">IF(OR(B1152="",C1152=""),"",DATE(B1152,1,4)-WEEKDAY(DATE(B1152,1,4),2)+1+(C1152-1)*7)</f>
        <v/>
      </c>
      <c r="F1152" s="71"/>
    </row>
    <row r="1153" customFormat="false" ht="15" hidden="false" customHeight="false" outlineLevel="0" collapsed="false">
      <c r="A1153" s="71"/>
      <c r="B1153" s="72"/>
      <c r="C1153" s="72"/>
      <c r="D1153" s="72"/>
      <c r="E1153" s="78" t="str">
        <f aca="false">IF(OR(B1153="",C1153=""),"",DATE(B1153,1,4)-WEEKDAY(DATE(B1153,1,4),2)+1+(C1153-1)*7)</f>
        <v/>
      </c>
      <c r="F1153" s="71"/>
    </row>
    <row r="1154" customFormat="false" ht="15" hidden="false" customHeight="false" outlineLevel="0" collapsed="false">
      <c r="A1154" s="71"/>
      <c r="B1154" s="72"/>
      <c r="C1154" s="72"/>
      <c r="D1154" s="72"/>
      <c r="E1154" s="78" t="str">
        <f aca="false">IF(OR(B1154="",C1154=""),"",DATE(B1154,1,4)-WEEKDAY(DATE(B1154,1,4),2)+1+(C1154-1)*7)</f>
        <v/>
      </c>
      <c r="F1154" s="71"/>
    </row>
    <row r="1155" customFormat="false" ht="15" hidden="false" customHeight="false" outlineLevel="0" collapsed="false">
      <c r="A1155" s="71"/>
      <c r="B1155" s="72"/>
      <c r="C1155" s="72"/>
      <c r="D1155" s="72"/>
      <c r="E1155" s="78" t="str">
        <f aca="false">IF(OR(B1155="",C1155=""),"",DATE(B1155,1,4)-WEEKDAY(DATE(B1155,1,4),2)+1+(C1155-1)*7)</f>
        <v/>
      </c>
      <c r="F1155" s="71"/>
    </row>
    <row r="1156" customFormat="false" ht="15" hidden="false" customHeight="false" outlineLevel="0" collapsed="false">
      <c r="A1156" s="71"/>
      <c r="B1156" s="72"/>
      <c r="C1156" s="72"/>
      <c r="D1156" s="72"/>
      <c r="E1156" s="78" t="str">
        <f aca="false">IF(OR(B1156="",C1156=""),"",DATE(B1156,1,4)-WEEKDAY(DATE(B1156,1,4),2)+1+(C1156-1)*7)</f>
        <v/>
      </c>
      <c r="F1156" s="71"/>
    </row>
    <row r="1157" customFormat="false" ht="15" hidden="false" customHeight="false" outlineLevel="0" collapsed="false">
      <c r="A1157" s="71"/>
      <c r="B1157" s="72"/>
      <c r="C1157" s="72"/>
      <c r="D1157" s="72"/>
      <c r="E1157" s="78" t="str">
        <f aca="false">IF(OR(B1157="",C1157=""),"",DATE(B1157,1,4)-WEEKDAY(DATE(B1157,1,4),2)+1+(C1157-1)*7)</f>
        <v/>
      </c>
      <c r="F1157" s="71"/>
    </row>
    <row r="1158" customFormat="false" ht="15" hidden="false" customHeight="false" outlineLevel="0" collapsed="false">
      <c r="A1158" s="71"/>
      <c r="B1158" s="72"/>
      <c r="C1158" s="72"/>
      <c r="D1158" s="72"/>
      <c r="E1158" s="78" t="str">
        <f aca="false">IF(OR(B1158="",C1158=""),"",DATE(B1158,1,4)-WEEKDAY(DATE(B1158,1,4),2)+1+(C1158-1)*7)</f>
        <v/>
      </c>
      <c r="F1158" s="71"/>
    </row>
    <row r="1159" customFormat="false" ht="15" hidden="false" customHeight="false" outlineLevel="0" collapsed="false">
      <c r="A1159" s="71"/>
      <c r="B1159" s="72"/>
      <c r="C1159" s="72"/>
      <c r="D1159" s="72"/>
      <c r="E1159" s="78" t="str">
        <f aca="false">IF(OR(B1159="",C1159=""),"",DATE(B1159,1,4)-WEEKDAY(DATE(B1159,1,4),2)+1+(C1159-1)*7)</f>
        <v/>
      </c>
      <c r="F1159" s="71"/>
    </row>
    <row r="1160" customFormat="false" ht="15" hidden="false" customHeight="false" outlineLevel="0" collapsed="false">
      <c r="A1160" s="71"/>
      <c r="B1160" s="72"/>
      <c r="C1160" s="72"/>
      <c r="D1160" s="72"/>
      <c r="E1160" s="78" t="str">
        <f aca="false">IF(OR(B1160="",C1160=""),"",DATE(B1160,1,4)-WEEKDAY(DATE(B1160,1,4),2)+1+(C1160-1)*7)</f>
        <v/>
      </c>
      <c r="F1160" s="71"/>
    </row>
    <row r="1161" customFormat="false" ht="15" hidden="false" customHeight="false" outlineLevel="0" collapsed="false">
      <c r="A1161" s="71"/>
      <c r="B1161" s="72"/>
      <c r="C1161" s="72"/>
      <c r="D1161" s="72"/>
      <c r="E1161" s="78" t="str">
        <f aca="false">IF(OR(B1161="",C1161=""),"",DATE(B1161,1,4)-WEEKDAY(DATE(B1161,1,4),2)+1+(C1161-1)*7)</f>
        <v/>
      </c>
      <c r="F1161" s="71"/>
    </row>
    <row r="1162" customFormat="false" ht="15" hidden="false" customHeight="false" outlineLevel="0" collapsed="false">
      <c r="A1162" s="71"/>
      <c r="B1162" s="72"/>
      <c r="C1162" s="72"/>
      <c r="D1162" s="72"/>
      <c r="E1162" s="78" t="str">
        <f aca="false">IF(OR(B1162="",C1162=""),"",DATE(B1162,1,4)-WEEKDAY(DATE(B1162,1,4),2)+1+(C1162-1)*7)</f>
        <v/>
      </c>
      <c r="F1162" s="71"/>
    </row>
    <row r="1163" customFormat="false" ht="15" hidden="false" customHeight="false" outlineLevel="0" collapsed="false">
      <c r="A1163" s="71"/>
      <c r="B1163" s="72"/>
      <c r="C1163" s="72"/>
      <c r="D1163" s="72"/>
      <c r="E1163" s="78" t="str">
        <f aca="false">IF(OR(B1163="",C1163=""),"",DATE(B1163,1,4)-WEEKDAY(DATE(B1163,1,4),2)+1+(C1163-1)*7)</f>
        <v/>
      </c>
      <c r="F1163" s="71"/>
    </row>
    <row r="1164" customFormat="false" ht="15" hidden="false" customHeight="false" outlineLevel="0" collapsed="false">
      <c r="A1164" s="71"/>
      <c r="B1164" s="72"/>
      <c r="C1164" s="72"/>
      <c r="D1164" s="72"/>
      <c r="E1164" s="78" t="str">
        <f aca="false">IF(OR(B1164="",C1164=""),"",DATE(B1164,1,4)-WEEKDAY(DATE(B1164,1,4),2)+1+(C1164-1)*7)</f>
        <v/>
      </c>
      <c r="F1164" s="71"/>
    </row>
    <row r="1165" customFormat="false" ht="15" hidden="false" customHeight="false" outlineLevel="0" collapsed="false">
      <c r="A1165" s="71"/>
      <c r="B1165" s="72"/>
      <c r="C1165" s="72"/>
      <c r="D1165" s="72"/>
      <c r="E1165" s="78" t="str">
        <f aca="false">IF(OR(B1165="",C1165=""),"",DATE(B1165,1,4)-WEEKDAY(DATE(B1165,1,4),2)+1+(C1165-1)*7)</f>
        <v/>
      </c>
      <c r="F1165" s="71"/>
    </row>
    <row r="1166" customFormat="false" ht="15" hidden="false" customHeight="false" outlineLevel="0" collapsed="false">
      <c r="A1166" s="71"/>
      <c r="B1166" s="72"/>
      <c r="C1166" s="72"/>
      <c r="D1166" s="72"/>
      <c r="E1166" s="78" t="str">
        <f aca="false">IF(OR(B1166="",C1166=""),"",DATE(B1166,1,4)-WEEKDAY(DATE(B1166,1,4),2)+1+(C1166-1)*7)</f>
        <v/>
      </c>
      <c r="F1166" s="71"/>
    </row>
    <row r="1167" customFormat="false" ht="15" hidden="false" customHeight="false" outlineLevel="0" collapsed="false">
      <c r="A1167" s="71"/>
      <c r="B1167" s="72"/>
      <c r="C1167" s="72"/>
      <c r="D1167" s="72"/>
      <c r="E1167" s="78" t="str">
        <f aca="false">IF(OR(B1167="",C1167=""),"",DATE(B1167,1,4)-WEEKDAY(DATE(B1167,1,4),2)+1+(C1167-1)*7)</f>
        <v/>
      </c>
      <c r="F1167" s="71"/>
    </row>
    <row r="1168" customFormat="false" ht="15" hidden="false" customHeight="false" outlineLevel="0" collapsed="false">
      <c r="A1168" s="71"/>
      <c r="B1168" s="72"/>
      <c r="C1168" s="72"/>
      <c r="D1168" s="72"/>
      <c r="E1168" s="78" t="str">
        <f aca="false">IF(OR(B1168="",C1168=""),"",DATE(B1168,1,4)-WEEKDAY(DATE(B1168,1,4),2)+1+(C1168-1)*7)</f>
        <v/>
      </c>
      <c r="F1168" s="71"/>
    </row>
    <row r="1169" customFormat="false" ht="15" hidden="false" customHeight="false" outlineLevel="0" collapsed="false">
      <c r="A1169" s="71"/>
      <c r="B1169" s="72"/>
      <c r="C1169" s="72"/>
      <c r="D1169" s="72"/>
      <c r="E1169" s="78" t="str">
        <f aca="false">IF(OR(B1169="",C1169=""),"",DATE(B1169,1,4)-WEEKDAY(DATE(B1169,1,4),2)+1+(C1169-1)*7)</f>
        <v/>
      </c>
      <c r="F1169" s="71"/>
    </row>
    <row r="1170" customFormat="false" ht="15" hidden="false" customHeight="false" outlineLevel="0" collapsed="false">
      <c r="A1170" s="71"/>
      <c r="B1170" s="72"/>
      <c r="C1170" s="72"/>
      <c r="D1170" s="72"/>
      <c r="E1170" s="78" t="str">
        <f aca="false">IF(OR(B1170="",C1170=""),"",DATE(B1170,1,4)-WEEKDAY(DATE(B1170,1,4),2)+1+(C1170-1)*7)</f>
        <v/>
      </c>
      <c r="F1170" s="71"/>
    </row>
    <row r="1171" customFormat="false" ht="15" hidden="false" customHeight="false" outlineLevel="0" collapsed="false">
      <c r="A1171" s="71"/>
      <c r="B1171" s="72"/>
      <c r="C1171" s="72"/>
      <c r="D1171" s="72"/>
      <c r="E1171" s="78" t="str">
        <f aca="false">IF(OR(B1171="",C1171=""),"",DATE(B1171,1,4)-WEEKDAY(DATE(B1171,1,4),2)+1+(C1171-1)*7)</f>
        <v/>
      </c>
      <c r="F1171" s="71"/>
    </row>
    <row r="1172" customFormat="false" ht="15" hidden="false" customHeight="false" outlineLevel="0" collapsed="false">
      <c r="A1172" s="71"/>
      <c r="B1172" s="72"/>
      <c r="C1172" s="72"/>
      <c r="D1172" s="72"/>
      <c r="E1172" s="78" t="str">
        <f aca="false">IF(OR(B1172="",C1172=""),"",DATE(B1172,1,4)-WEEKDAY(DATE(B1172,1,4),2)+1+(C1172-1)*7)</f>
        <v/>
      </c>
      <c r="F1172" s="71"/>
    </row>
    <row r="1173" customFormat="false" ht="15" hidden="false" customHeight="false" outlineLevel="0" collapsed="false">
      <c r="A1173" s="71"/>
      <c r="B1173" s="72"/>
      <c r="C1173" s="72"/>
      <c r="D1173" s="72"/>
      <c r="E1173" s="78" t="str">
        <f aca="false">IF(OR(B1173="",C1173=""),"",DATE(B1173,1,4)-WEEKDAY(DATE(B1173,1,4),2)+1+(C1173-1)*7)</f>
        <v/>
      </c>
      <c r="F1173" s="71"/>
    </row>
    <row r="1174" customFormat="false" ht="15" hidden="false" customHeight="false" outlineLevel="0" collapsed="false">
      <c r="A1174" s="71"/>
      <c r="B1174" s="72"/>
      <c r="C1174" s="72"/>
      <c r="D1174" s="72"/>
      <c r="E1174" s="78" t="str">
        <f aca="false">IF(OR(B1174="",C1174=""),"",DATE(B1174,1,4)-WEEKDAY(DATE(B1174,1,4),2)+1+(C1174-1)*7)</f>
        <v/>
      </c>
      <c r="F1174" s="71"/>
    </row>
    <row r="1175" customFormat="false" ht="15" hidden="false" customHeight="false" outlineLevel="0" collapsed="false">
      <c r="A1175" s="71"/>
      <c r="B1175" s="72"/>
      <c r="C1175" s="72"/>
      <c r="D1175" s="72"/>
      <c r="E1175" s="78" t="str">
        <f aca="false">IF(OR(B1175="",C1175=""),"",DATE(B1175,1,4)-WEEKDAY(DATE(B1175,1,4),2)+1+(C1175-1)*7)</f>
        <v/>
      </c>
      <c r="F1175" s="71"/>
    </row>
    <row r="1176" customFormat="false" ht="15" hidden="false" customHeight="false" outlineLevel="0" collapsed="false">
      <c r="A1176" s="71"/>
      <c r="B1176" s="72"/>
      <c r="C1176" s="72"/>
      <c r="D1176" s="72"/>
      <c r="E1176" s="78" t="str">
        <f aca="false">IF(OR(B1176="",C1176=""),"",DATE(B1176,1,4)-WEEKDAY(DATE(B1176,1,4),2)+1+(C1176-1)*7)</f>
        <v/>
      </c>
      <c r="F1176" s="71"/>
    </row>
    <row r="1177" customFormat="false" ht="15" hidden="false" customHeight="false" outlineLevel="0" collapsed="false">
      <c r="A1177" s="71"/>
      <c r="B1177" s="72"/>
      <c r="C1177" s="72"/>
      <c r="D1177" s="72"/>
      <c r="E1177" s="78" t="str">
        <f aca="false">IF(OR(B1177="",C1177=""),"",DATE(B1177,1,4)-WEEKDAY(DATE(B1177,1,4),2)+1+(C1177-1)*7)</f>
        <v/>
      </c>
      <c r="F1177" s="71"/>
    </row>
    <row r="1178" customFormat="false" ht="15" hidden="false" customHeight="false" outlineLevel="0" collapsed="false">
      <c r="A1178" s="71"/>
      <c r="B1178" s="72"/>
      <c r="C1178" s="72"/>
      <c r="D1178" s="72"/>
      <c r="E1178" s="78" t="str">
        <f aca="false">IF(OR(B1178="",C1178=""),"",DATE(B1178,1,4)-WEEKDAY(DATE(B1178,1,4),2)+1+(C1178-1)*7)</f>
        <v/>
      </c>
      <c r="F1178" s="71"/>
    </row>
    <row r="1179" customFormat="false" ht="15" hidden="false" customHeight="false" outlineLevel="0" collapsed="false">
      <c r="A1179" s="71"/>
      <c r="B1179" s="72"/>
      <c r="C1179" s="72"/>
      <c r="D1179" s="72"/>
      <c r="E1179" s="78" t="str">
        <f aca="false">IF(OR(B1179="",C1179=""),"",DATE(B1179,1,4)-WEEKDAY(DATE(B1179,1,4),2)+1+(C1179-1)*7)</f>
        <v/>
      </c>
      <c r="F1179" s="71"/>
    </row>
    <row r="1180" customFormat="false" ht="15" hidden="false" customHeight="false" outlineLevel="0" collapsed="false">
      <c r="A1180" s="71"/>
      <c r="B1180" s="72"/>
      <c r="C1180" s="72"/>
      <c r="D1180" s="72"/>
      <c r="E1180" s="78" t="str">
        <f aca="false">IF(OR(B1180="",C1180=""),"",DATE(B1180,1,4)-WEEKDAY(DATE(B1180,1,4),2)+1+(C1180-1)*7)</f>
        <v/>
      </c>
      <c r="F1180" s="71"/>
    </row>
    <row r="1181" customFormat="false" ht="15" hidden="false" customHeight="false" outlineLevel="0" collapsed="false">
      <c r="A1181" s="71"/>
      <c r="B1181" s="72"/>
      <c r="C1181" s="72"/>
      <c r="D1181" s="72"/>
      <c r="E1181" s="78" t="str">
        <f aca="false">IF(OR(B1181="",C1181=""),"",DATE(B1181,1,4)-WEEKDAY(DATE(B1181,1,4),2)+1+(C1181-1)*7)</f>
        <v/>
      </c>
      <c r="F1181" s="71"/>
    </row>
    <row r="1182" customFormat="false" ht="15" hidden="false" customHeight="false" outlineLevel="0" collapsed="false">
      <c r="A1182" s="71"/>
      <c r="B1182" s="72"/>
      <c r="C1182" s="72"/>
      <c r="D1182" s="72"/>
      <c r="E1182" s="78" t="str">
        <f aca="false">IF(OR(B1182="",C1182=""),"",DATE(B1182,1,4)-WEEKDAY(DATE(B1182,1,4),2)+1+(C1182-1)*7)</f>
        <v/>
      </c>
      <c r="F1182" s="71"/>
    </row>
    <row r="1183" customFormat="false" ht="15" hidden="false" customHeight="false" outlineLevel="0" collapsed="false">
      <c r="A1183" s="71"/>
      <c r="B1183" s="72"/>
      <c r="C1183" s="72"/>
      <c r="D1183" s="72"/>
      <c r="E1183" s="78" t="str">
        <f aca="false">IF(OR(B1183="",C1183=""),"",DATE(B1183,1,4)-WEEKDAY(DATE(B1183,1,4),2)+1+(C1183-1)*7)</f>
        <v/>
      </c>
      <c r="F1183" s="71"/>
    </row>
    <row r="1184" customFormat="false" ht="15" hidden="false" customHeight="false" outlineLevel="0" collapsed="false">
      <c r="A1184" s="71"/>
      <c r="B1184" s="72"/>
      <c r="C1184" s="72"/>
      <c r="D1184" s="72"/>
      <c r="E1184" s="78" t="str">
        <f aca="false">IF(OR(B1184="",C1184=""),"",DATE(B1184,1,4)-WEEKDAY(DATE(B1184,1,4),2)+1+(C1184-1)*7)</f>
        <v/>
      </c>
      <c r="F1184" s="71"/>
    </row>
    <row r="1185" customFormat="false" ht="15" hidden="false" customHeight="false" outlineLevel="0" collapsed="false">
      <c r="A1185" s="71"/>
      <c r="B1185" s="72"/>
      <c r="C1185" s="72"/>
      <c r="D1185" s="72"/>
      <c r="E1185" s="78" t="str">
        <f aca="false">IF(OR(B1185="",C1185=""),"",DATE(B1185,1,4)-WEEKDAY(DATE(B1185,1,4),2)+1+(C1185-1)*7)</f>
        <v/>
      </c>
      <c r="F1185" s="71"/>
    </row>
    <row r="1186" customFormat="false" ht="15" hidden="false" customHeight="false" outlineLevel="0" collapsed="false">
      <c r="A1186" s="71"/>
      <c r="B1186" s="72"/>
      <c r="C1186" s="72"/>
      <c r="D1186" s="72"/>
      <c r="E1186" s="78" t="str">
        <f aca="false">IF(OR(B1186="",C1186=""),"",DATE(B1186,1,4)-WEEKDAY(DATE(B1186,1,4),2)+1+(C1186-1)*7)</f>
        <v/>
      </c>
      <c r="F1186" s="71"/>
    </row>
    <row r="1187" customFormat="false" ht="15" hidden="false" customHeight="false" outlineLevel="0" collapsed="false">
      <c r="A1187" s="71"/>
      <c r="B1187" s="72"/>
      <c r="C1187" s="72"/>
      <c r="D1187" s="72"/>
      <c r="E1187" s="78" t="str">
        <f aca="false">IF(OR(B1187="",C1187=""),"",DATE(B1187,1,4)-WEEKDAY(DATE(B1187,1,4),2)+1+(C1187-1)*7)</f>
        <v/>
      </c>
      <c r="F1187" s="71"/>
    </row>
    <row r="1188" customFormat="false" ht="15" hidden="false" customHeight="false" outlineLevel="0" collapsed="false">
      <c r="A1188" s="71"/>
      <c r="B1188" s="72"/>
      <c r="C1188" s="72"/>
      <c r="D1188" s="72"/>
      <c r="E1188" s="78" t="str">
        <f aca="false">IF(OR(B1188="",C1188=""),"",DATE(B1188,1,4)-WEEKDAY(DATE(B1188,1,4),2)+1+(C1188-1)*7)</f>
        <v/>
      </c>
      <c r="F1188" s="71"/>
    </row>
    <row r="1189" customFormat="false" ht="15" hidden="false" customHeight="false" outlineLevel="0" collapsed="false">
      <c r="A1189" s="71"/>
      <c r="B1189" s="72"/>
      <c r="C1189" s="72"/>
      <c r="D1189" s="72"/>
      <c r="E1189" s="78" t="str">
        <f aca="false">IF(OR(B1189="",C1189=""),"",DATE(B1189,1,4)-WEEKDAY(DATE(B1189,1,4),2)+1+(C1189-1)*7)</f>
        <v/>
      </c>
      <c r="F1189" s="71"/>
    </row>
    <row r="1190" customFormat="false" ht="15" hidden="false" customHeight="false" outlineLevel="0" collapsed="false">
      <c r="A1190" s="71"/>
      <c r="B1190" s="72"/>
      <c r="C1190" s="72"/>
      <c r="D1190" s="72"/>
      <c r="E1190" s="78" t="str">
        <f aca="false">IF(OR(B1190="",C1190=""),"",DATE(B1190,1,4)-WEEKDAY(DATE(B1190,1,4),2)+1+(C1190-1)*7)</f>
        <v/>
      </c>
      <c r="F1190" s="71"/>
    </row>
    <row r="1191" customFormat="false" ht="15" hidden="false" customHeight="false" outlineLevel="0" collapsed="false">
      <c r="A1191" s="71"/>
      <c r="B1191" s="72"/>
      <c r="C1191" s="72"/>
      <c r="D1191" s="72"/>
      <c r="E1191" s="78" t="str">
        <f aca="false">IF(OR(B1191="",C1191=""),"",DATE(B1191,1,4)-WEEKDAY(DATE(B1191,1,4),2)+1+(C1191-1)*7)</f>
        <v/>
      </c>
      <c r="F1191" s="71"/>
    </row>
    <row r="1192" customFormat="false" ht="15" hidden="false" customHeight="false" outlineLevel="0" collapsed="false">
      <c r="A1192" s="71"/>
      <c r="B1192" s="72"/>
      <c r="C1192" s="72"/>
      <c r="D1192" s="72"/>
      <c r="E1192" s="78" t="str">
        <f aca="false">IF(OR(B1192="",C1192=""),"",DATE(B1192,1,4)-WEEKDAY(DATE(B1192,1,4),2)+1+(C1192-1)*7)</f>
        <v/>
      </c>
      <c r="F1192" s="71"/>
    </row>
    <row r="1193" customFormat="false" ht="15" hidden="false" customHeight="false" outlineLevel="0" collapsed="false">
      <c r="A1193" s="71"/>
      <c r="B1193" s="72"/>
      <c r="C1193" s="72"/>
      <c r="D1193" s="72"/>
      <c r="E1193" s="78" t="str">
        <f aca="false">IF(OR(B1193="",C1193=""),"",DATE(B1193,1,4)-WEEKDAY(DATE(B1193,1,4),2)+1+(C1193-1)*7)</f>
        <v/>
      </c>
      <c r="F1193" s="71"/>
    </row>
    <row r="1194" customFormat="false" ht="15" hidden="false" customHeight="false" outlineLevel="0" collapsed="false">
      <c r="A1194" s="71"/>
      <c r="B1194" s="72"/>
      <c r="C1194" s="72"/>
      <c r="D1194" s="72"/>
      <c r="E1194" s="78" t="str">
        <f aca="false">IF(OR(B1194="",C1194=""),"",DATE(B1194,1,4)-WEEKDAY(DATE(B1194,1,4),2)+1+(C1194-1)*7)</f>
        <v/>
      </c>
      <c r="F1194" s="71"/>
    </row>
    <row r="1195" customFormat="false" ht="15" hidden="false" customHeight="false" outlineLevel="0" collapsed="false">
      <c r="A1195" s="71"/>
      <c r="B1195" s="72"/>
      <c r="C1195" s="72"/>
      <c r="D1195" s="72"/>
      <c r="E1195" s="78" t="str">
        <f aca="false">IF(OR(B1195="",C1195=""),"",DATE(B1195,1,4)-WEEKDAY(DATE(B1195,1,4),2)+1+(C1195-1)*7)</f>
        <v/>
      </c>
      <c r="F1195" s="71"/>
    </row>
    <row r="1196" customFormat="false" ht="15" hidden="false" customHeight="false" outlineLevel="0" collapsed="false">
      <c r="A1196" s="71"/>
      <c r="B1196" s="72"/>
      <c r="C1196" s="72"/>
      <c r="D1196" s="72"/>
      <c r="E1196" s="78" t="str">
        <f aca="false">IF(OR(B1196="",C1196=""),"",DATE(B1196,1,4)-WEEKDAY(DATE(B1196,1,4),2)+1+(C1196-1)*7)</f>
        <v/>
      </c>
      <c r="F1196" s="71"/>
    </row>
    <row r="1197" customFormat="false" ht="15" hidden="false" customHeight="false" outlineLevel="0" collapsed="false">
      <c r="A1197" s="71"/>
      <c r="B1197" s="72"/>
      <c r="C1197" s="72"/>
      <c r="D1197" s="72"/>
      <c r="E1197" s="78" t="str">
        <f aca="false">IF(OR(B1197="",C1197=""),"",DATE(B1197,1,4)-WEEKDAY(DATE(B1197,1,4),2)+1+(C1197-1)*7)</f>
        <v/>
      </c>
      <c r="F1197" s="71"/>
    </row>
    <row r="1198" customFormat="false" ht="15" hidden="false" customHeight="false" outlineLevel="0" collapsed="false">
      <c r="A1198" s="71"/>
      <c r="B1198" s="72"/>
      <c r="C1198" s="72"/>
      <c r="D1198" s="72"/>
      <c r="E1198" s="78" t="str">
        <f aca="false">IF(OR(B1198="",C1198=""),"",DATE(B1198,1,4)-WEEKDAY(DATE(B1198,1,4),2)+1+(C1198-1)*7)</f>
        <v/>
      </c>
      <c r="F1198" s="71"/>
    </row>
    <row r="1199" customFormat="false" ht="15" hidden="false" customHeight="false" outlineLevel="0" collapsed="false">
      <c r="A1199" s="71"/>
      <c r="B1199" s="72"/>
      <c r="C1199" s="72"/>
      <c r="D1199" s="72"/>
      <c r="E1199" s="78" t="str">
        <f aca="false">IF(OR(B1199="",C1199=""),"",DATE(B1199,1,4)-WEEKDAY(DATE(B1199,1,4),2)+1+(C1199-1)*7)</f>
        <v/>
      </c>
      <c r="F1199" s="71"/>
    </row>
    <row r="1200" customFormat="false" ht="15" hidden="false" customHeight="false" outlineLevel="0" collapsed="false">
      <c r="A1200" s="71"/>
      <c r="B1200" s="72"/>
      <c r="C1200" s="72"/>
      <c r="D1200" s="72"/>
      <c r="E1200" s="78" t="str">
        <f aca="false">IF(OR(B1200="",C1200=""),"",DATE(B1200,1,4)-WEEKDAY(DATE(B1200,1,4),2)+1+(C1200-1)*7)</f>
        <v/>
      </c>
      <c r="F1200" s="71"/>
    </row>
    <row r="1201" customFormat="false" ht="15" hidden="false" customHeight="false" outlineLevel="0" collapsed="false">
      <c r="A1201" s="71"/>
      <c r="B1201" s="72"/>
      <c r="C1201" s="72"/>
      <c r="D1201" s="72"/>
      <c r="E1201" s="78" t="str">
        <f aca="false">IF(OR(B1201="",C1201=""),"",DATE(B1201,1,4)-WEEKDAY(DATE(B1201,1,4),2)+1+(C1201-1)*7)</f>
        <v/>
      </c>
      <c r="F1201" s="71"/>
    </row>
    <row r="1202" customFormat="false" ht="15" hidden="false" customHeight="false" outlineLevel="0" collapsed="false">
      <c r="A1202" s="71"/>
      <c r="B1202" s="72"/>
      <c r="C1202" s="72"/>
      <c r="D1202" s="72"/>
      <c r="E1202" s="78" t="str">
        <f aca="false">IF(OR(B1202="",C1202=""),"",DATE(B1202,1,4)-WEEKDAY(DATE(B1202,1,4),2)+1+(C1202-1)*7)</f>
        <v/>
      </c>
      <c r="F1202" s="71"/>
    </row>
    <row r="1203" customFormat="false" ht="15" hidden="false" customHeight="false" outlineLevel="0" collapsed="false">
      <c r="A1203" s="71"/>
      <c r="B1203" s="72"/>
      <c r="C1203" s="72"/>
      <c r="D1203" s="72"/>
      <c r="E1203" s="78" t="str">
        <f aca="false">IF(OR(B1203="",C1203=""),"",DATE(B1203,1,4)-WEEKDAY(DATE(B1203,1,4),2)+1+(C1203-1)*7)</f>
        <v/>
      </c>
      <c r="F1203" s="71"/>
    </row>
    <row r="1204" customFormat="false" ht="15" hidden="false" customHeight="false" outlineLevel="0" collapsed="false">
      <c r="A1204" s="71"/>
      <c r="B1204" s="72"/>
      <c r="C1204" s="72"/>
      <c r="D1204" s="72"/>
      <c r="E1204" s="78" t="str">
        <f aca="false">IF(OR(B1204="",C1204=""),"",DATE(B1204,1,4)-WEEKDAY(DATE(B1204,1,4),2)+1+(C1204-1)*7)</f>
        <v/>
      </c>
      <c r="F1204" s="71"/>
    </row>
    <row r="1205" customFormat="false" ht="15" hidden="false" customHeight="false" outlineLevel="0" collapsed="false">
      <c r="A1205" s="71"/>
      <c r="B1205" s="72"/>
      <c r="C1205" s="72"/>
      <c r="D1205" s="72"/>
      <c r="E1205" s="78" t="str">
        <f aca="false">IF(OR(B1205="",C1205=""),"",DATE(B1205,1,4)-WEEKDAY(DATE(B1205,1,4),2)+1+(C1205-1)*7)</f>
        <v/>
      </c>
      <c r="F1205" s="71"/>
    </row>
    <row r="1206" customFormat="false" ht="15" hidden="false" customHeight="false" outlineLevel="0" collapsed="false">
      <c r="A1206" s="71"/>
      <c r="B1206" s="72"/>
      <c r="C1206" s="72"/>
      <c r="D1206" s="72"/>
      <c r="E1206" s="78" t="str">
        <f aca="false">IF(OR(B1206="",C1206=""),"",DATE(B1206,1,4)-WEEKDAY(DATE(B1206,1,4),2)+1+(C1206-1)*7)</f>
        <v/>
      </c>
      <c r="F1206" s="71"/>
    </row>
    <row r="1207" customFormat="false" ht="15" hidden="false" customHeight="false" outlineLevel="0" collapsed="false">
      <c r="A1207" s="71"/>
      <c r="B1207" s="72"/>
      <c r="C1207" s="72"/>
      <c r="D1207" s="72"/>
      <c r="E1207" s="78" t="str">
        <f aca="false">IF(OR(B1207="",C1207=""),"",DATE(B1207,1,4)-WEEKDAY(DATE(B1207,1,4),2)+1+(C1207-1)*7)</f>
        <v/>
      </c>
      <c r="F1207" s="71"/>
    </row>
    <row r="1208" customFormat="false" ht="15" hidden="false" customHeight="false" outlineLevel="0" collapsed="false">
      <c r="A1208" s="71"/>
      <c r="B1208" s="72"/>
      <c r="C1208" s="72"/>
      <c r="D1208" s="72"/>
      <c r="E1208" s="78" t="str">
        <f aca="false">IF(OR(B1208="",C1208=""),"",DATE(B1208,1,4)-WEEKDAY(DATE(B1208,1,4),2)+1+(C1208-1)*7)</f>
        <v/>
      </c>
      <c r="F1208" s="71"/>
    </row>
    <row r="1209" customFormat="false" ht="15" hidden="false" customHeight="false" outlineLevel="0" collapsed="false">
      <c r="A1209" s="71"/>
      <c r="B1209" s="72"/>
      <c r="C1209" s="72"/>
      <c r="D1209" s="72"/>
      <c r="E1209" s="78" t="str">
        <f aca="false">IF(OR(B1209="",C1209=""),"",DATE(B1209,1,4)-WEEKDAY(DATE(B1209,1,4),2)+1+(C1209-1)*7)</f>
        <v/>
      </c>
      <c r="F1209" s="71"/>
    </row>
    <row r="1210" customFormat="false" ht="15" hidden="false" customHeight="false" outlineLevel="0" collapsed="false">
      <c r="A1210" s="71"/>
      <c r="B1210" s="72"/>
      <c r="C1210" s="72"/>
      <c r="D1210" s="72"/>
      <c r="E1210" s="78" t="str">
        <f aca="false">IF(OR(B1210="",C1210=""),"",DATE(B1210,1,4)-WEEKDAY(DATE(B1210,1,4),2)+1+(C1210-1)*7)</f>
        <v/>
      </c>
      <c r="F1210" s="71"/>
    </row>
    <row r="1211" customFormat="false" ht="15" hidden="false" customHeight="false" outlineLevel="0" collapsed="false">
      <c r="A1211" s="71"/>
      <c r="B1211" s="72"/>
      <c r="C1211" s="72"/>
      <c r="D1211" s="72"/>
      <c r="E1211" s="78" t="str">
        <f aca="false">IF(OR(B1211="",C1211=""),"",DATE(B1211,1,4)-WEEKDAY(DATE(B1211,1,4),2)+1+(C1211-1)*7)</f>
        <v/>
      </c>
      <c r="F1211" s="71"/>
    </row>
    <row r="1212" customFormat="false" ht="15" hidden="false" customHeight="false" outlineLevel="0" collapsed="false">
      <c r="A1212" s="71"/>
      <c r="B1212" s="72"/>
      <c r="C1212" s="72"/>
      <c r="D1212" s="72"/>
      <c r="E1212" s="78" t="str">
        <f aca="false">IF(OR(B1212="",C1212=""),"",DATE(B1212,1,4)-WEEKDAY(DATE(B1212,1,4),2)+1+(C1212-1)*7)</f>
        <v/>
      </c>
      <c r="F1212" s="71"/>
    </row>
    <row r="1213" customFormat="false" ht="15" hidden="false" customHeight="false" outlineLevel="0" collapsed="false">
      <c r="A1213" s="71"/>
      <c r="B1213" s="72"/>
      <c r="C1213" s="72"/>
      <c r="D1213" s="72"/>
      <c r="E1213" s="78" t="str">
        <f aca="false">IF(OR(B1213="",C1213=""),"",DATE(B1213,1,4)-WEEKDAY(DATE(B1213,1,4),2)+1+(C1213-1)*7)</f>
        <v/>
      </c>
      <c r="F1213" s="71"/>
    </row>
    <row r="1214" customFormat="false" ht="15" hidden="false" customHeight="false" outlineLevel="0" collapsed="false">
      <c r="A1214" s="71"/>
      <c r="B1214" s="72"/>
      <c r="C1214" s="72"/>
      <c r="D1214" s="72"/>
      <c r="E1214" s="78" t="str">
        <f aca="false">IF(OR(B1214="",C1214=""),"",DATE(B1214,1,4)-WEEKDAY(DATE(B1214,1,4),2)+1+(C1214-1)*7)</f>
        <v/>
      </c>
      <c r="F1214" s="71"/>
    </row>
    <row r="1215" customFormat="false" ht="15" hidden="false" customHeight="false" outlineLevel="0" collapsed="false">
      <c r="A1215" s="71"/>
      <c r="B1215" s="72"/>
      <c r="C1215" s="72"/>
      <c r="D1215" s="72"/>
      <c r="E1215" s="78" t="str">
        <f aca="false">IF(OR(B1215="",C1215=""),"",DATE(B1215,1,4)-WEEKDAY(DATE(B1215,1,4),2)+1+(C1215-1)*7)</f>
        <v/>
      </c>
      <c r="F1215" s="71"/>
    </row>
    <row r="1216" customFormat="false" ht="15" hidden="false" customHeight="false" outlineLevel="0" collapsed="false">
      <c r="A1216" s="71"/>
      <c r="B1216" s="72"/>
      <c r="C1216" s="72"/>
      <c r="D1216" s="72"/>
      <c r="E1216" s="78" t="str">
        <f aca="false">IF(OR(B1216="",C1216=""),"",DATE(B1216,1,4)-WEEKDAY(DATE(B1216,1,4),2)+1+(C1216-1)*7)</f>
        <v/>
      </c>
      <c r="F1216" s="71"/>
    </row>
    <row r="1217" customFormat="false" ht="15" hidden="false" customHeight="false" outlineLevel="0" collapsed="false">
      <c r="A1217" s="71"/>
      <c r="B1217" s="72"/>
      <c r="C1217" s="72"/>
      <c r="D1217" s="72"/>
      <c r="E1217" s="78" t="str">
        <f aca="false">IF(OR(B1217="",C1217=""),"",DATE(B1217,1,4)-WEEKDAY(DATE(B1217,1,4),2)+1+(C1217-1)*7)</f>
        <v/>
      </c>
      <c r="F1217" s="71"/>
    </row>
    <row r="1218" customFormat="false" ht="15" hidden="false" customHeight="false" outlineLevel="0" collapsed="false">
      <c r="A1218" s="71"/>
      <c r="B1218" s="72"/>
      <c r="C1218" s="72"/>
      <c r="D1218" s="72"/>
      <c r="E1218" s="78" t="str">
        <f aca="false">IF(OR(B1218="",C1218=""),"",DATE(B1218,1,4)-WEEKDAY(DATE(B1218,1,4),2)+1+(C1218-1)*7)</f>
        <v/>
      </c>
      <c r="F1218" s="71"/>
    </row>
    <row r="1219" customFormat="false" ht="15" hidden="false" customHeight="false" outlineLevel="0" collapsed="false">
      <c r="A1219" s="71"/>
      <c r="B1219" s="72"/>
      <c r="C1219" s="72"/>
      <c r="D1219" s="72"/>
      <c r="E1219" s="78" t="str">
        <f aca="false">IF(OR(B1219="",C1219=""),"",DATE(B1219,1,4)-WEEKDAY(DATE(B1219,1,4),2)+1+(C1219-1)*7)</f>
        <v/>
      </c>
      <c r="F1219" s="71"/>
    </row>
    <row r="1220" customFormat="false" ht="15" hidden="false" customHeight="false" outlineLevel="0" collapsed="false">
      <c r="A1220" s="71"/>
      <c r="B1220" s="72"/>
      <c r="C1220" s="72"/>
      <c r="D1220" s="72"/>
      <c r="E1220" s="78" t="str">
        <f aca="false">IF(OR(B1220="",C1220=""),"",DATE(B1220,1,4)-WEEKDAY(DATE(B1220,1,4),2)+1+(C1220-1)*7)</f>
        <v/>
      </c>
      <c r="F1220" s="71"/>
    </row>
    <row r="1221" customFormat="false" ht="15" hidden="false" customHeight="false" outlineLevel="0" collapsed="false">
      <c r="A1221" s="71"/>
      <c r="B1221" s="72"/>
      <c r="C1221" s="72"/>
      <c r="D1221" s="72"/>
      <c r="E1221" s="78" t="str">
        <f aca="false">IF(OR(B1221="",C1221=""),"",DATE(B1221,1,4)-WEEKDAY(DATE(B1221,1,4),2)+1+(C1221-1)*7)</f>
        <v/>
      </c>
      <c r="F1221" s="71"/>
    </row>
    <row r="1222" customFormat="false" ht="15" hidden="false" customHeight="false" outlineLevel="0" collapsed="false">
      <c r="A1222" s="71"/>
      <c r="B1222" s="72"/>
      <c r="C1222" s="72"/>
      <c r="D1222" s="72"/>
      <c r="E1222" s="78" t="str">
        <f aca="false">IF(OR(B1222="",C1222=""),"",DATE(B1222,1,4)-WEEKDAY(DATE(B1222,1,4),2)+1+(C1222-1)*7)</f>
        <v/>
      </c>
      <c r="F1222" s="71"/>
    </row>
    <row r="1223" customFormat="false" ht="15" hidden="false" customHeight="false" outlineLevel="0" collapsed="false">
      <c r="A1223" s="71"/>
      <c r="B1223" s="72"/>
      <c r="C1223" s="72"/>
      <c r="D1223" s="72"/>
      <c r="E1223" s="78" t="str">
        <f aca="false">IF(OR(B1223="",C1223=""),"",DATE(B1223,1,4)-WEEKDAY(DATE(B1223,1,4),2)+1+(C1223-1)*7)</f>
        <v/>
      </c>
      <c r="F1223" s="71"/>
    </row>
    <row r="1224" customFormat="false" ht="15" hidden="false" customHeight="false" outlineLevel="0" collapsed="false">
      <c r="A1224" s="71"/>
      <c r="B1224" s="72"/>
      <c r="C1224" s="72"/>
      <c r="D1224" s="72"/>
      <c r="E1224" s="78" t="str">
        <f aca="false">IF(OR(B1224="",C1224=""),"",DATE(B1224,1,4)-WEEKDAY(DATE(B1224,1,4),2)+1+(C1224-1)*7)</f>
        <v/>
      </c>
      <c r="F1224" s="71"/>
    </row>
    <row r="1225" customFormat="false" ht="15" hidden="false" customHeight="false" outlineLevel="0" collapsed="false">
      <c r="A1225" s="71"/>
      <c r="B1225" s="72"/>
      <c r="C1225" s="72"/>
      <c r="D1225" s="72"/>
      <c r="E1225" s="78" t="str">
        <f aca="false">IF(OR(B1225="",C1225=""),"",DATE(B1225,1,4)-WEEKDAY(DATE(B1225,1,4),2)+1+(C1225-1)*7)</f>
        <v/>
      </c>
      <c r="F1225" s="71"/>
    </row>
    <row r="1226" customFormat="false" ht="15" hidden="false" customHeight="false" outlineLevel="0" collapsed="false">
      <c r="A1226" s="71"/>
      <c r="B1226" s="72"/>
      <c r="C1226" s="72"/>
      <c r="D1226" s="72"/>
      <c r="E1226" s="78" t="str">
        <f aca="false">IF(OR(B1226="",C1226=""),"",DATE(B1226,1,4)-WEEKDAY(DATE(B1226,1,4),2)+1+(C1226-1)*7)</f>
        <v/>
      </c>
      <c r="F1226" s="71"/>
    </row>
    <row r="1227" customFormat="false" ht="15" hidden="false" customHeight="false" outlineLevel="0" collapsed="false">
      <c r="A1227" s="71"/>
      <c r="B1227" s="72"/>
      <c r="C1227" s="72"/>
      <c r="D1227" s="72"/>
      <c r="E1227" s="78" t="str">
        <f aca="false">IF(OR(B1227="",C1227=""),"",DATE(B1227,1,4)-WEEKDAY(DATE(B1227,1,4),2)+1+(C1227-1)*7)</f>
        <v/>
      </c>
      <c r="F1227" s="71"/>
    </row>
    <row r="1228" customFormat="false" ht="15" hidden="false" customHeight="false" outlineLevel="0" collapsed="false">
      <c r="A1228" s="71"/>
      <c r="B1228" s="72"/>
      <c r="C1228" s="72"/>
      <c r="D1228" s="72"/>
      <c r="E1228" s="78" t="str">
        <f aca="false">IF(OR(B1228="",C1228=""),"",DATE(B1228,1,4)-WEEKDAY(DATE(B1228,1,4),2)+1+(C1228-1)*7)</f>
        <v/>
      </c>
      <c r="F1228" s="71"/>
    </row>
    <row r="1229" customFormat="false" ht="15" hidden="false" customHeight="false" outlineLevel="0" collapsed="false">
      <c r="A1229" s="71"/>
      <c r="B1229" s="72"/>
      <c r="C1229" s="72"/>
      <c r="D1229" s="72"/>
      <c r="E1229" s="78" t="str">
        <f aca="false">IF(OR(B1229="",C1229=""),"",DATE(B1229,1,4)-WEEKDAY(DATE(B1229,1,4),2)+1+(C1229-1)*7)</f>
        <v/>
      </c>
      <c r="F1229" s="71"/>
    </row>
    <row r="1230" customFormat="false" ht="15" hidden="false" customHeight="false" outlineLevel="0" collapsed="false">
      <c r="A1230" s="71"/>
      <c r="B1230" s="72"/>
      <c r="C1230" s="72"/>
      <c r="D1230" s="72"/>
      <c r="E1230" s="78" t="str">
        <f aca="false">IF(OR(B1230="",C1230=""),"",DATE(B1230,1,4)-WEEKDAY(DATE(B1230,1,4),2)+1+(C1230-1)*7)</f>
        <v/>
      </c>
      <c r="F1230" s="71"/>
    </row>
    <row r="1231" customFormat="false" ht="15" hidden="false" customHeight="false" outlineLevel="0" collapsed="false">
      <c r="A1231" s="71"/>
      <c r="B1231" s="72"/>
      <c r="C1231" s="72"/>
      <c r="D1231" s="72"/>
      <c r="E1231" s="78" t="str">
        <f aca="false">IF(OR(B1231="",C1231=""),"",DATE(B1231,1,4)-WEEKDAY(DATE(B1231,1,4),2)+1+(C1231-1)*7)</f>
        <v/>
      </c>
      <c r="F1231" s="71"/>
    </row>
    <row r="1232" customFormat="false" ht="15" hidden="false" customHeight="false" outlineLevel="0" collapsed="false">
      <c r="A1232" s="71"/>
      <c r="B1232" s="72"/>
      <c r="C1232" s="72"/>
      <c r="D1232" s="72"/>
      <c r="E1232" s="78" t="str">
        <f aca="false">IF(OR(B1232="",C1232=""),"",DATE(B1232,1,4)-WEEKDAY(DATE(B1232,1,4),2)+1+(C1232-1)*7)</f>
        <v/>
      </c>
      <c r="F1232" s="71"/>
    </row>
    <row r="1233" customFormat="false" ht="15" hidden="false" customHeight="false" outlineLevel="0" collapsed="false">
      <c r="A1233" s="71"/>
      <c r="B1233" s="72"/>
      <c r="C1233" s="72"/>
      <c r="D1233" s="72"/>
      <c r="E1233" s="78" t="str">
        <f aca="false">IF(OR(B1233="",C1233=""),"",DATE(B1233,1,4)-WEEKDAY(DATE(B1233,1,4),2)+1+(C1233-1)*7)</f>
        <v/>
      </c>
      <c r="F1233" s="71"/>
    </row>
    <row r="1234" customFormat="false" ht="15" hidden="false" customHeight="false" outlineLevel="0" collapsed="false">
      <c r="A1234" s="71"/>
      <c r="B1234" s="72"/>
      <c r="C1234" s="72"/>
      <c r="D1234" s="72"/>
      <c r="E1234" s="78" t="str">
        <f aca="false">IF(OR(B1234="",C1234=""),"",DATE(B1234,1,4)-WEEKDAY(DATE(B1234,1,4),2)+1+(C1234-1)*7)</f>
        <v/>
      </c>
      <c r="F1234" s="71"/>
    </row>
    <row r="1235" customFormat="false" ht="15" hidden="false" customHeight="false" outlineLevel="0" collapsed="false">
      <c r="A1235" s="71"/>
      <c r="B1235" s="72"/>
      <c r="C1235" s="72"/>
      <c r="D1235" s="72"/>
      <c r="E1235" s="78" t="str">
        <f aca="false">IF(OR(B1235="",C1235=""),"",DATE(B1235,1,4)-WEEKDAY(DATE(B1235,1,4),2)+1+(C1235-1)*7)</f>
        <v/>
      </c>
      <c r="F1235" s="71"/>
    </row>
    <row r="1236" customFormat="false" ht="15" hidden="false" customHeight="false" outlineLevel="0" collapsed="false">
      <c r="A1236" s="71"/>
      <c r="B1236" s="72"/>
      <c r="C1236" s="72"/>
      <c r="D1236" s="72"/>
      <c r="E1236" s="78" t="str">
        <f aca="false">IF(OR(B1236="",C1236=""),"",DATE(B1236,1,4)-WEEKDAY(DATE(B1236,1,4),2)+1+(C1236-1)*7)</f>
        <v/>
      </c>
      <c r="F1236" s="71"/>
    </row>
    <row r="1237" customFormat="false" ht="15" hidden="false" customHeight="false" outlineLevel="0" collapsed="false">
      <c r="A1237" s="71"/>
      <c r="B1237" s="72"/>
      <c r="C1237" s="72"/>
      <c r="D1237" s="72"/>
      <c r="E1237" s="78" t="str">
        <f aca="false">IF(OR(B1237="",C1237=""),"",DATE(B1237,1,4)-WEEKDAY(DATE(B1237,1,4),2)+1+(C1237-1)*7)</f>
        <v/>
      </c>
      <c r="F1237" s="71"/>
    </row>
    <row r="1238" customFormat="false" ht="15" hidden="false" customHeight="false" outlineLevel="0" collapsed="false">
      <c r="A1238" s="71"/>
      <c r="B1238" s="72"/>
      <c r="C1238" s="72"/>
      <c r="D1238" s="72"/>
      <c r="E1238" s="78" t="str">
        <f aca="false">IF(OR(B1238="",C1238=""),"",DATE(B1238,1,4)-WEEKDAY(DATE(B1238,1,4),2)+1+(C1238-1)*7)</f>
        <v/>
      </c>
      <c r="F1238" s="71"/>
    </row>
    <row r="1239" customFormat="false" ht="15" hidden="false" customHeight="false" outlineLevel="0" collapsed="false">
      <c r="A1239" s="71"/>
      <c r="B1239" s="72"/>
      <c r="C1239" s="72"/>
      <c r="D1239" s="72"/>
      <c r="E1239" s="78" t="str">
        <f aca="false">IF(OR(B1239="",C1239=""),"",DATE(B1239,1,4)-WEEKDAY(DATE(B1239,1,4),2)+1+(C1239-1)*7)</f>
        <v/>
      </c>
      <c r="F1239" s="71"/>
    </row>
    <row r="1240" customFormat="false" ht="15" hidden="false" customHeight="false" outlineLevel="0" collapsed="false">
      <c r="A1240" s="71"/>
      <c r="B1240" s="72"/>
      <c r="C1240" s="72"/>
      <c r="D1240" s="72"/>
      <c r="E1240" s="78" t="str">
        <f aca="false">IF(OR(B1240="",C1240=""),"",DATE(B1240,1,4)-WEEKDAY(DATE(B1240,1,4),2)+1+(C1240-1)*7)</f>
        <v/>
      </c>
      <c r="F1240" s="71"/>
    </row>
    <row r="1241" customFormat="false" ht="15" hidden="false" customHeight="false" outlineLevel="0" collapsed="false">
      <c r="A1241" s="71"/>
      <c r="B1241" s="72"/>
      <c r="C1241" s="72"/>
      <c r="D1241" s="72"/>
      <c r="E1241" s="78" t="str">
        <f aca="false">IF(OR(B1241="",C1241=""),"",DATE(B1241,1,4)-WEEKDAY(DATE(B1241,1,4),2)+1+(C1241-1)*7)</f>
        <v/>
      </c>
      <c r="F1241" s="71"/>
    </row>
    <row r="1242" customFormat="false" ht="15" hidden="false" customHeight="false" outlineLevel="0" collapsed="false">
      <c r="A1242" s="71"/>
      <c r="B1242" s="72"/>
      <c r="C1242" s="72"/>
      <c r="D1242" s="72"/>
      <c r="E1242" s="78" t="str">
        <f aca="false">IF(OR(B1242="",C1242=""),"",DATE(B1242,1,4)-WEEKDAY(DATE(B1242,1,4),2)+1+(C1242-1)*7)</f>
        <v/>
      </c>
      <c r="F1242" s="71"/>
    </row>
    <row r="1243" customFormat="false" ht="15" hidden="false" customHeight="false" outlineLevel="0" collapsed="false">
      <c r="A1243" s="71"/>
      <c r="B1243" s="72"/>
      <c r="C1243" s="72"/>
      <c r="D1243" s="72"/>
      <c r="E1243" s="78" t="str">
        <f aca="false">IF(OR(B1243="",C1243=""),"",DATE(B1243,1,4)-WEEKDAY(DATE(B1243,1,4),2)+1+(C1243-1)*7)</f>
        <v/>
      </c>
      <c r="F1243" s="71"/>
    </row>
    <row r="1244" customFormat="false" ht="15" hidden="false" customHeight="false" outlineLevel="0" collapsed="false">
      <c r="A1244" s="71"/>
      <c r="B1244" s="72"/>
      <c r="C1244" s="72"/>
      <c r="D1244" s="72"/>
      <c r="E1244" s="78" t="str">
        <f aca="false">IF(OR(B1244="",C1244=""),"",DATE(B1244,1,4)-WEEKDAY(DATE(B1244,1,4),2)+1+(C1244-1)*7)</f>
        <v/>
      </c>
      <c r="F1244" s="71"/>
    </row>
    <row r="1245" customFormat="false" ht="15" hidden="false" customHeight="false" outlineLevel="0" collapsed="false">
      <c r="A1245" s="71"/>
      <c r="B1245" s="72"/>
      <c r="C1245" s="72"/>
      <c r="D1245" s="72"/>
      <c r="E1245" s="78" t="str">
        <f aca="false">IF(OR(B1245="",C1245=""),"",DATE(B1245,1,4)-WEEKDAY(DATE(B1245,1,4),2)+1+(C1245-1)*7)</f>
        <v/>
      </c>
      <c r="F1245" s="71"/>
    </row>
    <row r="1246" customFormat="false" ht="15" hidden="false" customHeight="false" outlineLevel="0" collapsed="false">
      <c r="A1246" s="71"/>
      <c r="B1246" s="72"/>
      <c r="C1246" s="72"/>
      <c r="D1246" s="72"/>
      <c r="E1246" s="78" t="str">
        <f aca="false">IF(OR(B1246="",C1246=""),"",DATE(B1246,1,4)-WEEKDAY(DATE(B1246,1,4),2)+1+(C1246-1)*7)</f>
        <v/>
      </c>
      <c r="F1246" s="71"/>
    </row>
    <row r="1247" customFormat="false" ht="15" hidden="false" customHeight="false" outlineLevel="0" collapsed="false">
      <c r="A1247" s="71"/>
      <c r="B1247" s="72"/>
      <c r="C1247" s="72"/>
      <c r="D1247" s="72"/>
      <c r="E1247" s="78" t="str">
        <f aca="false">IF(OR(B1247="",C1247=""),"",DATE(B1247,1,4)-WEEKDAY(DATE(B1247,1,4),2)+1+(C1247-1)*7)</f>
        <v/>
      </c>
      <c r="F1247" s="71"/>
    </row>
    <row r="1248" customFormat="false" ht="15" hidden="false" customHeight="false" outlineLevel="0" collapsed="false">
      <c r="A1248" s="71"/>
      <c r="B1248" s="72"/>
      <c r="C1248" s="72"/>
      <c r="D1248" s="72"/>
      <c r="E1248" s="78" t="str">
        <f aca="false">IF(OR(B1248="",C1248=""),"",DATE(B1248,1,4)-WEEKDAY(DATE(B1248,1,4),2)+1+(C1248-1)*7)</f>
        <v/>
      </c>
      <c r="F1248" s="71"/>
    </row>
    <row r="1249" customFormat="false" ht="15" hidden="false" customHeight="false" outlineLevel="0" collapsed="false">
      <c r="A1249" s="71"/>
      <c r="B1249" s="72"/>
      <c r="C1249" s="72"/>
      <c r="D1249" s="72"/>
      <c r="E1249" s="78" t="str">
        <f aca="false">IF(OR(B1249="",C1249=""),"",DATE(B1249,1,4)-WEEKDAY(DATE(B1249,1,4),2)+1+(C1249-1)*7)</f>
        <v/>
      </c>
      <c r="F1249" s="71"/>
    </row>
    <row r="1250" customFormat="false" ht="15" hidden="false" customHeight="false" outlineLevel="0" collapsed="false">
      <c r="A1250" s="71"/>
      <c r="B1250" s="72"/>
      <c r="C1250" s="72"/>
      <c r="D1250" s="72"/>
      <c r="E1250" s="78" t="str">
        <f aca="false">IF(OR(B1250="",C1250=""),"",DATE(B1250,1,4)-WEEKDAY(DATE(B1250,1,4),2)+1+(C1250-1)*7)</f>
        <v/>
      </c>
      <c r="F1250" s="71"/>
    </row>
    <row r="1251" customFormat="false" ht="15" hidden="false" customHeight="false" outlineLevel="0" collapsed="false">
      <c r="A1251" s="71"/>
      <c r="B1251" s="72"/>
      <c r="C1251" s="72"/>
      <c r="D1251" s="72"/>
      <c r="E1251" s="78" t="str">
        <f aca="false">IF(OR(B1251="",C1251=""),"",DATE(B1251,1,4)-WEEKDAY(DATE(B1251,1,4),2)+1+(C1251-1)*7)</f>
        <v/>
      </c>
      <c r="F1251" s="71"/>
    </row>
    <row r="1252" customFormat="false" ht="15" hidden="false" customHeight="false" outlineLevel="0" collapsed="false">
      <c r="A1252" s="71"/>
      <c r="B1252" s="72"/>
      <c r="C1252" s="72"/>
      <c r="D1252" s="72"/>
      <c r="E1252" s="78" t="str">
        <f aca="false">IF(OR(B1252="",C1252=""),"",DATE(B1252,1,4)-WEEKDAY(DATE(B1252,1,4),2)+1+(C1252-1)*7)</f>
        <v/>
      </c>
      <c r="F1252" s="71"/>
    </row>
    <row r="1253" customFormat="false" ht="15" hidden="false" customHeight="false" outlineLevel="0" collapsed="false">
      <c r="A1253" s="71"/>
      <c r="B1253" s="72"/>
      <c r="C1253" s="72"/>
      <c r="D1253" s="72"/>
      <c r="E1253" s="78" t="str">
        <f aca="false">IF(OR(B1253="",C1253=""),"",DATE(B1253,1,4)-WEEKDAY(DATE(B1253,1,4),2)+1+(C1253-1)*7)</f>
        <v/>
      </c>
      <c r="F1253" s="71"/>
    </row>
    <row r="1254" customFormat="false" ht="15" hidden="false" customHeight="false" outlineLevel="0" collapsed="false">
      <c r="A1254" s="71"/>
      <c r="B1254" s="72"/>
      <c r="C1254" s="72"/>
      <c r="D1254" s="72"/>
      <c r="E1254" s="78" t="str">
        <f aca="false">IF(OR(B1254="",C1254=""),"",DATE(B1254,1,4)-WEEKDAY(DATE(B1254,1,4),2)+1+(C1254-1)*7)</f>
        <v/>
      </c>
      <c r="F1254" s="71"/>
    </row>
    <row r="1255" customFormat="false" ht="15" hidden="false" customHeight="false" outlineLevel="0" collapsed="false">
      <c r="A1255" s="71"/>
      <c r="B1255" s="72"/>
      <c r="C1255" s="72"/>
      <c r="D1255" s="72"/>
      <c r="E1255" s="78" t="str">
        <f aca="false">IF(OR(B1255="",C1255=""),"",DATE(B1255,1,4)-WEEKDAY(DATE(B1255,1,4),2)+1+(C1255-1)*7)</f>
        <v/>
      </c>
      <c r="F1255" s="71"/>
    </row>
    <row r="1256" customFormat="false" ht="15" hidden="false" customHeight="false" outlineLevel="0" collapsed="false">
      <c r="A1256" s="71"/>
      <c r="B1256" s="72"/>
      <c r="C1256" s="72"/>
      <c r="D1256" s="72"/>
      <c r="E1256" s="78" t="str">
        <f aca="false">IF(OR(B1256="",C1256=""),"",DATE(B1256,1,4)-WEEKDAY(DATE(B1256,1,4),2)+1+(C1256-1)*7)</f>
        <v/>
      </c>
      <c r="F1256" s="71"/>
    </row>
    <row r="1257" customFormat="false" ht="15" hidden="false" customHeight="false" outlineLevel="0" collapsed="false">
      <c r="A1257" s="71"/>
      <c r="B1257" s="72"/>
      <c r="C1257" s="72"/>
      <c r="D1257" s="72"/>
      <c r="E1257" s="78" t="str">
        <f aca="false">IF(OR(B1257="",C1257=""),"",DATE(B1257,1,4)-WEEKDAY(DATE(B1257,1,4),2)+1+(C1257-1)*7)</f>
        <v/>
      </c>
      <c r="F1257" s="71"/>
    </row>
    <row r="1258" customFormat="false" ht="15" hidden="false" customHeight="false" outlineLevel="0" collapsed="false">
      <c r="A1258" s="71"/>
      <c r="B1258" s="72"/>
      <c r="C1258" s="72"/>
      <c r="D1258" s="72"/>
      <c r="E1258" s="78" t="str">
        <f aca="false">IF(OR(B1258="",C1258=""),"",DATE(B1258,1,4)-WEEKDAY(DATE(B1258,1,4),2)+1+(C1258-1)*7)</f>
        <v/>
      </c>
      <c r="F1258" s="71"/>
    </row>
    <row r="1259" customFormat="false" ht="15" hidden="false" customHeight="false" outlineLevel="0" collapsed="false">
      <c r="A1259" s="71"/>
      <c r="B1259" s="72"/>
      <c r="C1259" s="72"/>
      <c r="D1259" s="72"/>
      <c r="E1259" s="78" t="str">
        <f aca="false">IF(OR(B1259="",C1259=""),"",DATE(B1259,1,4)-WEEKDAY(DATE(B1259,1,4),2)+1+(C1259-1)*7)</f>
        <v/>
      </c>
      <c r="F1259" s="71"/>
    </row>
    <row r="1260" customFormat="false" ht="15" hidden="false" customHeight="false" outlineLevel="0" collapsed="false">
      <c r="A1260" s="71"/>
      <c r="B1260" s="72"/>
      <c r="C1260" s="72"/>
      <c r="D1260" s="72"/>
      <c r="E1260" s="78" t="str">
        <f aca="false">IF(OR(B1260="",C1260=""),"",DATE(B1260,1,4)-WEEKDAY(DATE(B1260,1,4),2)+1+(C1260-1)*7)</f>
        <v/>
      </c>
      <c r="F1260" s="71"/>
    </row>
    <row r="1261" customFormat="false" ht="15" hidden="false" customHeight="false" outlineLevel="0" collapsed="false">
      <c r="A1261" s="71"/>
      <c r="B1261" s="72"/>
      <c r="C1261" s="72"/>
      <c r="D1261" s="72"/>
      <c r="E1261" s="78" t="str">
        <f aca="false">IF(OR(B1261="",C1261=""),"",DATE(B1261,1,4)-WEEKDAY(DATE(B1261,1,4),2)+1+(C1261-1)*7)</f>
        <v/>
      </c>
      <c r="F1261" s="71"/>
    </row>
    <row r="1262" customFormat="false" ht="15" hidden="false" customHeight="false" outlineLevel="0" collapsed="false">
      <c r="A1262" s="71"/>
      <c r="B1262" s="72"/>
      <c r="C1262" s="72"/>
      <c r="D1262" s="72"/>
      <c r="E1262" s="78" t="str">
        <f aca="false">IF(OR(B1262="",C1262=""),"",DATE(B1262,1,4)-WEEKDAY(DATE(B1262,1,4),2)+1+(C1262-1)*7)</f>
        <v/>
      </c>
      <c r="F1262" s="71"/>
    </row>
    <row r="1263" customFormat="false" ht="15" hidden="false" customHeight="false" outlineLevel="0" collapsed="false">
      <c r="A1263" s="71"/>
      <c r="B1263" s="72"/>
      <c r="C1263" s="72"/>
      <c r="D1263" s="72"/>
      <c r="E1263" s="78" t="str">
        <f aca="false">IF(OR(B1263="",C1263=""),"",DATE(B1263,1,4)-WEEKDAY(DATE(B1263,1,4),2)+1+(C1263-1)*7)</f>
        <v/>
      </c>
      <c r="F1263" s="71"/>
    </row>
    <row r="1264" customFormat="false" ht="15" hidden="false" customHeight="false" outlineLevel="0" collapsed="false">
      <c r="A1264" s="71"/>
      <c r="B1264" s="72"/>
      <c r="C1264" s="72"/>
      <c r="D1264" s="72"/>
      <c r="E1264" s="78" t="str">
        <f aca="false">IF(OR(B1264="",C1264=""),"",DATE(B1264,1,4)-WEEKDAY(DATE(B1264,1,4),2)+1+(C1264-1)*7)</f>
        <v/>
      </c>
      <c r="F1264" s="71"/>
    </row>
    <row r="1265" customFormat="false" ht="15" hidden="false" customHeight="false" outlineLevel="0" collapsed="false">
      <c r="A1265" s="71"/>
      <c r="B1265" s="72"/>
      <c r="C1265" s="72"/>
      <c r="D1265" s="72"/>
      <c r="E1265" s="78" t="str">
        <f aca="false">IF(OR(B1265="",C1265=""),"",DATE(B1265,1,4)-WEEKDAY(DATE(B1265,1,4),2)+1+(C1265-1)*7)</f>
        <v/>
      </c>
      <c r="F1265" s="71"/>
    </row>
    <row r="1266" customFormat="false" ht="15" hidden="false" customHeight="false" outlineLevel="0" collapsed="false">
      <c r="A1266" s="71"/>
      <c r="B1266" s="72"/>
      <c r="C1266" s="72"/>
      <c r="D1266" s="72"/>
      <c r="E1266" s="78" t="str">
        <f aca="false">IF(OR(B1266="",C1266=""),"",DATE(B1266,1,4)-WEEKDAY(DATE(B1266,1,4),2)+1+(C1266-1)*7)</f>
        <v/>
      </c>
      <c r="F1266" s="71"/>
    </row>
    <row r="1267" customFormat="false" ht="15" hidden="false" customHeight="false" outlineLevel="0" collapsed="false">
      <c r="A1267" s="71"/>
      <c r="B1267" s="72"/>
      <c r="C1267" s="72"/>
      <c r="D1267" s="72"/>
      <c r="E1267" s="78" t="str">
        <f aca="false">IF(OR(B1267="",C1267=""),"",DATE(B1267,1,4)-WEEKDAY(DATE(B1267,1,4),2)+1+(C1267-1)*7)</f>
        <v/>
      </c>
      <c r="F1267" s="71"/>
    </row>
    <row r="1268" customFormat="false" ht="15" hidden="false" customHeight="false" outlineLevel="0" collapsed="false">
      <c r="A1268" s="71"/>
      <c r="B1268" s="72"/>
      <c r="C1268" s="72"/>
      <c r="D1268" s="72"/>
      <c r="E1268" s="78" t="str">
        <f aca="false">IF(OR(B1268="",C1268=""),"",DATE(B1268,1,4)-WEEKDAY(DATE(B1268,1,4),2)+1+(C1268-1)*7)</f>
        <v/>
      </c>
      <c r="F1268" s="71"/>
    </row>
    <row r="1269" customFormat="false" ht="15" hidden="false" customHeight="false" outlineLevel="0" collapsed="false">
      <c r="A1269" s="71"/>
      <c r="B1269" s="72"/>
      <c r="C1269" s="72"/>
      <c r="D1269" s="72"/>
      <c r="E1269" s="78" t="str">
        <f aca="false">IF(OR(B1269="",C1269=""),"",DATE(B1269,1,4)-WEEKDAY(DATE(B1269,1,4),2)+1+(C1269-1)*7)</f>
        <v/>
      </c>
      <c r="F1269" s="71"/>
    </row>
    <row r="1270" customFormat="false" ht="15" hidden="false" customHeight="false" outlineLevel="0" collapsed="false">
      <c r="A1270" s="71"/>
      <c r="B1270" s="72"/>
      <c r="C1270" s="72"/>
      <c r="D1270" s="72"/>
      <c r="E1270" s="78" t="str">
        <f aca="false">IF(OR(B1270="",C1270=""),"",DATE(B1270,1,4)-WEEKDAY(DATE(B1270,1,4),2)+1+(C1270-1)*7)</f>
        <v/>
      </c>
      <c r="F1270" s="71"/>
    </row>
    <row r="1271" customFormat="false" ht="15" hidden="false" customHeight="false" outlineLevel="0" collapsed="false">
      <c r="A1271" s="71"/>
      <c r="B1271" s="72"/>
      <c r="C1271" s="72"/>
      <c r="D1271" s="72"/>
      <c r="E1271" s="78" t="str">
        <f aca="false">IF(OR(B1271="",C1271=""),"",DATE(B1271,1,4)-WEEKDAY(DATE(B1271,1,4),2)+1+(C1271-1)*7)</f>
        <v/>
      </c>
      <c r="F1271" s="71"/>
    </row>
    <row r="1272" customFormat="false" ht="15" hidden="false" customHeight="false" outlineLevel="0" collapsed="false">
      <c r="A1272" s="71"/>
      <c r="B1272" s="72"/>
      <c r="C1272" s="72"/>
      <c r="D1272" s="72"/>
      <c r="E1272" s="78" t="str">
        <f aca="false">IF(OR(B1272="",C1272=""),"",DATE(B1272,1,4)-WEEKDAY(DATE(B1272,1,4),2)+1+(C1272-1)*7)</f>
        <v/>
      </c>
      <c r="F1272" s="71"/>
    </row>
    <row r="1273" customFormat="false" ht="15" hidden="false" customHeight="false" outlineLevel="0" collapsed="false">
      <c r="A1273" s="71"/>
      <c r="B1273" s="72"/>
      <c r="C1273" s="72"/>
      <c r="D1273" s="72"/>
      <c r="E1273" s="78" t="str">
        <f aca="false">IF(OR(B1273="",C1273=""),"",DATE(B1273,1,4)-WEEKDAY(DATE(B1273,1,4),2)+1+(C1273-1)*7)</f>
        <v/>
      </c>
      <c r="F1273" s="71"/>
    </row>
    <row r="1274" customFormat="false" ht="15" hidden="false" customHeight="false" outlineLevel="0" collapsed="false">
      <c r="A1274" s="71"/>
      <c r="B1274" s="72"/>
      <c r="C1274" s="72"/>
      <c r="D1274" s="72"/>
      <c r="E1274" s="78" t="str">
        <f aca="false">IF(OR(B1274="",C1274=""),"",DATE(B1274,1,4)-WEEKDAY(DATE(B1274,1,4),2)+1+(C1274-1)*7)</f>
        <v/>
      </c>
      <c r="F1274" s="71"/>
    </row>
    <row r="1275" customFormat="false" ht="15" hidden="false" customHeight="false" outlineLevel="0" collapsed="false">
      <c r="A1275" s="71"/>
      <c r="B1275" s="72"/>
      <c r="C1275" s="72"/>
      <c r="D1275" s="72"/>
      <c r="E1275" s="78" t="str">
        <f aca="false">IF(OR(B1275="",C1275=""),"",DATE(B1275,1,4)-WEEKDAY(DATE(B1275,1,4),2)+1+(C1275-1)*7)</f>
        <v/>
      </c>
      <c r="F1275" s="71"/>
    </row>
    <row r="1276" customFormat="false" ht="15" hidden="false" customHeight="false" outlineLevel="0" collapsed="false">
      <c r="A1276" s="71"/>
      <c r="B1276" s="72"/>
      <c r="C1276" s="72"/>
      <c r="D1276" s="72"/>
      <c r="E1276" s="78" t="str">
        <f aca="false">IF(OR(B1276="",C1276=""),"",DATE(B1276,1,4)-WEEKDAY(DATE(B1276,1,4),2)+1+(C1276-1)*7)</f>
        <v/>
      </c>
      <c r="F1276" s="71"/>
    </row>
    <row r="1277" customFormat="false" ht="15" hidden="false" customHeight="false" outlineLevel="0" collapsed="false">
      <c r="A1277" s="71"/>
      <c r="B1277" s="72"/>
      <c r="C1277" s="72"/>
      <c r="D1277" s="72"/>
      <c r="E1277" s="78" t="str">
        <f aca="false">IF(OR(B1277="",C1277=""),"",DATE(B1277,1,4)-WEEKDAY(DATE(B1277,1,4),2)+1+(C1277-1)*7)</f>
        <v/>
      </c>
      <c r="F1277" s="71"/>
    </row>
    <row r="1278" customFormat="false" ht="15" hidden="false" customHeight="false" outlineLevel="0" collapsed="false">
      <c r="A1278" s="71"/>
      <c r="B1278" s="72"/>
      <c r="C1278" s="72"/>
      <c r="D1278" s="72"/>
      <c r="E1278" s="78" t="str">
        <f aca="false">IF(OR(B1278="",C1278=""),"",DATE(B1278,1,4)-WEEKDAY(DATE(B1278,1,4),2)+1+(C1278-1)*7)</f>
        <v/>
      </c>
      <c r="F1278" s="71"/>
    </row>
    <row r="1279" customFormat="false" ht="15" hidden="false" customHeight="false" outlineLevel="0" collapsed="false">
      <c r="A1279" s="71"/>
      <c r="B1279" s="72"/>
      <c r="C1279" s="72"/>
      <c r="D1279" s="72"/>
      <c r="E1279" s="78" t="str">
        <f aca="false">IF(OR(B1279="",C1279=""),"",DATE(B1279,1,4)-WEEKDAY(DATE(B1279,1,4),2)+1+(C1279-1)*7)</f>
        <v/>
      </c>
      <c r="F1279" s="71"/>
    </row>
    <row r="1280" customFormat="false" ht="15" hidden="false" customHeight="false" outlineLevel="0" collapsed="false">
      <c r="A1280" s="71"/>
      <c r="B1280" s="72"/>
      <c r="C1280" s="72"/>
      <c r="D1280" s="72"/>
      <c r="E1280" s="78" t="str">
        <f aca="false">IF(OR(B1280="",C1280=""),"",DATE(B1280,1,4)-WEEKDAY(DATE(B1280,1,4),2)+1+(C1280-1)*7)</f>
        <v/>
      </c>
      <c r="F1280" s="71"/>
    </row>
    <row r="1281" customFormat="false" ht="15" hidden="false" customHeight="false" outlineLevel="0" collapsed="false">
      <c r="A1281" s="71"/>
      <c r="B1281" s="72"/>
      <c r="C1281" s="72"/>
      <c r="D1281" s="72"/>
      <c r="E1281" s="78" t="str">
        <f aca="false">IF(OR(B1281="",C1281=""),"",DATE(B1281,1,4)-WEEKDAY(DATE(B1281,1,4),2)+1+(C1281-1)*7)</f>
        <v/>
      </c>
      <c r="F1281" s="71"/>
    </row>
    <row r="1282" customFormat="false" ht="15" hidden="false" customHeight="false" outlineLevel="0" collapsed="false">
      <c r="A1282" s="71"/>
      <c r="B1282" s="72"/>
      <c r="C1282" s="72"/>
      <c r="D1282" s="72"/>
      <c r="E1282" s="78" t="str">
        <f aca="false">IF(OR(B1282="",C1282=""),"",DATE(B1282,1,4)-WEEKDAY(DATE(B1282,1,4),2)+1+(C1282-1)*7)</f>
        <v/>
      </c>
      <c r="F1282" s="71"/>
    </row>
    <row r="1283" customFormat="false" ht="15" hidden="false" customHeight="false" outlineLevel="0" collapsed="false">
      <c r="A1283" s="71"/>
      <c r="B1283" s="72"/>
      <c r="C1283" s="72"/>
      <c r="D1283" s="72"/>
      <c r="E1283" s="78" t="str">
        <f aca="false">IF(OR(B1283="",C1283=""),"",DATE(B1283,1,4)-WEEKDAY(DATE(B1283,1,4),2)+1+(C1283-1)*7)</f>
        <v/>
      </c>
      <c r="F1283" s="71"/>
    </row>
    <row r="1284" customFormat="false" ht="15" hidden="false" customHeight="false" outlineLevel="0" collapsed="false">
      <c r="A1284" s="71"/>
      <c r="B1284" s="72"/>
      <c r="C1284" s="72"/>
      <c r="D1284" s="72"/>
      <c r="E1284" s="78" t="str">
        <f aca="false">IF(OR(B1284="",C1284=""),"",DATE(B1284,1,4)-WEEKDAY(DATE(B1284,1,4),2)+1+(C1284-1)*7)</f>
        <v/>
      </c>
      <c r="F1284" s="71"/>
    </row>
    <row r="1285" customFormat="false" ht="15" hidden="false" customHeight="false" outlineLevel="0" collapsed="false">
      <c r="A1285" s="71"/>
      <c r="B1285" s="72"/>
      <c r="C1285" s="72"/>
      <c r="D1285" s="72"/>
      <c r="E1285" s="78" t="str">
        <f aca="false">IF(OR(B1285="",C1285=""),"",DATE(B1285,1,4)-WEEKDAY(DATE(B1285,1,4),2)+1+(C1285-1)*7)</f>
        <v/>
      </c>
      <c r="F1285" s="71"/>
    </row>
    <row r="1286" customFormat="false" ht="15" hidden="false" customHeight="false" outlineLevel="0" collapsed="false">
      <c r="A1286" s="71"/>
      <c r="B1286" s="72"/>
      <c r="C1286" s="72"/>
      <c r="D1286" s="72"/>
      <c r="E1286" s="78" t="str">
        <f aca="false">IF(OR(B1286="",C1286=""),"",DATE(B1286,1,4)-WEEKDAY(DATE(B1286,1,4),2)+1+(C1286-1)*7)</f>
        <v/>
      </c>
      <c r="F1286" s="71"/>
    </row>
    <row r="1287" customFormat="false" ht="15" hidden="false" customHeight="false" outlineLevel="0" collapsed="false">
      <c r="A1287" s="71"/>
      <c r="B1287" s="72"/>
      <c r="C1287" s="72"/>
      <c r="D1287" s="72"/>
      <c r="E1287" s="78" t="str">
        <f aca="false">IF(OR(B1287="",C1287=""),"",DATE(B1287,1,4)-WEEKDAY(DATE(B1287,1,4),2)+1+(C1287-1)*7)</f>
        <v/>
      </c>
      <c r="F1287" s="71"/>
    </row>
    <row r="1288" customFormat="false" ht="15" hidden="false" customHeight="false" outlineLevel="0" collapsed="false">
      <c r="A1288" s="71"/>
      <c r="B1288" s="72"/>
      <c r="C1288" s="72"/>
      <c r="D1288" s="72"/>
      <c r="E1288" s="78" t="str">
        <f aca="false">IF(OR(B1288="",C1288=""),"",DATE(B1288,1,4)-WEEKDAY(DATE(B1288,1,4),2)+1+(C1288-1)*7)</f>
        <v/>
      </c>
      <c r="F1288" s="71"/>
    </row>
    <row r="1289" customFormat="false" ht="15" hidden="false" customHeight="false" outlineLevel="0" collapsed="false">
      <c r="A1289" s="71"/>
      <c r="B1289" s="72"/>
      <c r="C1289" s="72"/>
      <c r="D1289" s="72"/>
      <c r="E1289" s="78" t="str">
        <f aca="false">IF(OR(B1289="",C1289=""),"",DATE(B1289,1,4)-WEEKDAY(DATE(B1289,1,4),2)+1+(C1289-1)*7)</f>
        <v/>
      </c>
      <c r="F1289" s="71"/>
    </row>
    <row r="1290" customFormat="false" ht="15" hidden="false" customHeight="false" outlineLevel="0" collapsed="false">
      <c r="A1290" s="71"/>
      <c r="B1290" s="72"/>
      <c r="C1290" s="72"/>
      <c r="D1290" s="72"/>
      <c r="E1290" s="78" t="str">
        <f aca="false">IF(OR(B1290="",C1290=""),"",DATE(B1290,1,4)-WEEKDAY(DATE(B1290,1,4),2)+1+(C1290-1)*7)</f>
        <v/>
      </c>
      <c r="F1290" s="71"/>
    </row>
    <row r="1291" customFormat="false" ht="15" hidden="false" customHeight="false" outlineLevel="0" collapsed="false">
      <c r="A1291" s="71"/>
      <c r="B1291" s="72"/>
      <c r="C1291" s="72"/>
      <c r="D1291" s="72"/>
      <c r="E1291" s="78" t="str">
        <f aca="false">IF(OR(B1291="",C1291=""),"",DATE(B1291,1,4)-WEEKDAY(DATE(B1291,1,4),2)+1+(C1291-1)*7)</f>
        <v/>
      </c>
      <c r="F1291" s="71"/>
    </row>
    <row r="1292" customFormat="false" ht="15" hidden="false" customHeight="false" outlineLevel="0" collapsed="false">
      <c r="A1292" s="71"/>
      <c r="B1292" s="72"/>
      <c r="C1292" s="72"/>
      <c r="D1292" s="72"/>
      <c r="E1292" s="78" t="str">
        <f aca="false">IF(OR(B1292="",C1292=""),"",DATE(B1292,1,4)-WEEKDAY(DATE(B1292,1,4),2)+1+(C1292-1)*7)</f>
        <v/>
      </c>
      <c r="F1292" s="71"/>
    </row>
    <row r="1293" customFormat="false" ht="15" hidden="false" customHeight="false" outlineLevel="0" collapsed="false">
      <c r="A1293" s="71"/>
      <c r="B1293" s="72"/>
      <c r="C1293" s="72"/>
      <c r="D1293" s="72"/>
      <c r="E1293" s="78" t="str">
        <f aca="false">IF(OR(B1293="",C1293=""),"",DATE(B1293,1,4)-WEEKDAY(DATE(B1293,1,4),2)+1+(C1293-1)*7)</f>
        <v/>
      </c>
      <c r="F1293" s="71"/>
    </row>
    <row r="1294" customFormat="false" ht="15" hidden="false" customHeight="false" outlineLevel="0" collapsed="false">
      <c r="A1294" s="71"/>
      <c r="B1294" s="72"/>
      <c r="C1294" s="72"/>
      <c r="D1294" s="72"/>
      <c r="E1294" s="78" t="str">
        <f aca="false">IF(OR(B1294="",C1294=""),"",DATE(B1294,1,4)-WEEKDAY(DATE(B1294,1,4),2)+1+(C1294-1)*7)</f>
        <v/>
      </c>
      <c r="F1294" s="71"/>
    </row>
    <row r="1295" customFormat="false" ht="15" hidden="false" customHeight="false" outlineLevel="0" collapsed="false">
      <c r="A1295" s="71"/>
      <c r="B1295" s="72"/>
      <c r="C1295" s="72"/>
      <c r="D1295" s="72"/>
      <c r="E1295" s="78" t="str">
        <f aca="false">IF(OR(B1295="",C1295=""),"",DATE(B1295,1,4)-WEEKDAY(DATE(B1295,1,4),2)+1+(C1295-1)*7)</f>
        <v/>
      </c>
      <c r="F1295" s="71"/>
    </row>
    <row r="1296" customFormat="false" ht="15" hidden="false" customHeight="false" outlineLevel="0" collapsed="false">
      <c r="A1296" s="71"/>
      <c r="B1296" s="72"/>
      <c r="C1296" s="72"/>
      <c r="D1296" s="72"/>
      <c r="E1296" s="78" t="str">
        <f aca="false">IF(OR(B1296="",C1296=""),"",DATE(B1296,1,4)-WEEKDAY(DATE(B1296,1,4),2)+1+(C1296-1)*7)</f>
        <v/>
      </c>
      <c r="F1296" s="71"/>
    </row>
    <row r="1297" customFormat="false" ht="15" hidden="false" customHeight="false" outlineLevel="0" collapsed="false">
      <c r="A1297" s="71"/>
      <c r="B1297" s="72"/>
      <c r="C1297" s="72"/>
      <c r="D1297" s="72"/>
      <c r="E1297" s="78" t="str">
        <f aca="false">IF(OR(B1297="",C1297=""),"",DATE(B1297,1,4)-WEEKDAY(DATE(B1297,1,4),2)+1+(C1297-1)*7)</f>
        <v/>
      </c>
      <c r="F1297" s="71"/>
    </row>
    <row r="1298" customFormat="false" ht="15" hidden="false" customHeight="false" outlineLevel="0" collapsed="false">
      <c r="A1298" s="71"/>
      <c r="B1298" s="72"/>
      <c r="C1298" s="72"/>
      <c r="D1298" s="72"/>
      <c r="E1298" s="78" t="str">
        <f aca="false">IF(OR(B1298="",C1298=""),"",DATE(B1298,1,4)-WEEKDAY(DATE(B1298,1,4),2)+1+(C1298-1)*7)</f>
        <v/>
      </c>
      <c r="F1298" s="71"/>
    </row>
    <row r="1299" customFormat="false" ht="15" hidden="false" customHeight="false" outlineLevel="0" collapsed="false">
      <c r="A1299" s="71"/>
      <c r="B1299" s="72"/>
      <c r="C1299" s="72"/>
      <c r="D1299" s="72"/>
      <c r="E1299" s="78" t="str">
        <f aca="false">IF(OR(B1299="",C1299=""),"",DATE(B1299,1,4)-WEEKDAY(DATE(B1299,1,4),2)+1+(C1299-1)*7)</f>
        <v/>
      </c>
      <c r="F1299" s="71"/>
    </row>
    <row r="1300" customFormat="false" ht="15" hidden="false" customHeight="false" outlineLevel="0" collapsed="false">
      <c r="A1300" s="71"/>
      <c r="B1300" s="72"/>
      <c r="C1300" s="72"/>
      <c r="D1300" s="72"/>
      <c r="E1300" s="78" t="str">
        <f aca="false">IF(OR(B1300="",C1300=""),"",DATE(B1300,1,4)-WEEKDAY(DATE(B1300,1,4),2)+1+(C1300-1)*7)</f>
        <v/>
      </c>
      <c r="F1300" s="71"/>
    </row>
    <row r="1301" customFormat="false" ht="15" hidden="false" customHeight="false" outlineLevel="0" collapsed="false">
      <c r="A1301" s="71"/>
      <c r="B1301" s="72"/>
      <c r="C1301" s="72"/>
      <c r="D1301" s="72"/>
      <c r="E1301" s="78" t="str">
        <f aca="false">IF(OR(B1301="",C1301=""),"",DATE(B1301,1,4)-WEEKDAY(DATE(B1301,1,4),2)+1+(C1301-1)*7)</f>
        <v/>
      </c>
      <c r="F1301" s="71"/>
    </row>
    <row r="1302" customFormat="false" ht="15" hidden="false" customHeight="false" outlineLevel="0" collapsed="false">
      <c r="A1302" s="71"/>
      <c r="B1302" s="72"/>
      <c r="C1302" s="72"/>
      <c r="D1302" s="72"/>
      <c r="E1302" s="78" t="str">
        <f aca="false">IF(OR(B1302="",C1302=""),"",DATE(B1302,1,4)-WEEKDAY(DATE(B1302,1,4),2)+1+(C1302-1)*7)</f>
        <v/>
      </c>
      <c r="F1302" s="71"/>
    </row>
    <row r="1303" customFormat="false" ht="15" hidden="false" customHeight="false" outlineLevel="0" collapsed="false">
      <c r="A1303" s="71"/>
      <c r="B1303" s="72"/>
      <c r="C1303" s="72"/>
      <c r="D1303" s="72"/>
      <c r="E1303" s="78" t="str">
        <f aca="false">IF(OR(B1303="",C1303=""),"",DATE(B1303,1,4)-WEEKDAY(DATE(B1303,1,4),2)+1+(C1303-1)*7)</f>
        <v/>
      </c>
      <c r="F1303" s="71"/>
    </row>
    <row r="1304" customFormat="false" ht="15" hidden="false" customHeight="false" outlineLevel="0" collapsed="false">
      <c r="A1304" s="71"/>
      <c r="B1304" s="72"/>
      <c r="C1304" s="72"/>
      <c r="D1304" s="72"/>
      <c r="E1304" s="78" t="str">
        <f aca="false">IF(OR(B1304="",C1304=""),"",DATE(B1304,1,4)-WEEKDAY(DATE(B1304,1,4),2)+1+(C1304-1)*7)</f>
        <v/>
      </c>
      <c r="F1304" s="71"/>
    </row>
    <row r="1305" customFormat="false" ht="15" hidden="false" customHeight="false" outlineLevel="0" collapsed="false">
      <c r="A1305" s="71"/>
      <c r="B1305" s="72"/>
      <c r="C1305" s="72"/>
      <c r="D1305" s="72"/>
      <c r="E1305" s="78" t="str">
        <f aca="false">IF(OR(B1305="",C1305=""),"",DATE(B1305,1,4)-WEEKDAY(DATE(B1305,1,4),2)+1+(C1305-1)*7)</f>
        <v/>
      </c>
      <c r="F1305" s="71"/>
    </row>
    <row r="1306" customFormat="false" ht="15" hidden="false" customHeight="false" outlineLevel="0" collapsed="false">
      <c r="A1306" s="71"/>
      <c r="B1306" s="72"/>
      <c r="C1306" s="72"/>
      <c r="D1306" s="72"/>
      <c r="E1306" s="78" t="str">
        <f aca="false">IF(OR(B1306="",C1306=""),"",DATE(B1306,1,4)-WEEKDAY(DATE(B1306,1,4),2)+1+(C1306-1)*7)</f>
        <v/>
      </c>
      <c r="F1306" s="71"/>
    </row>
    <row r="1307" customFormat="false" ht="15" hidden="false" customHeight="false" outlineLevel="0" collapsed="false">
      <c r="A1307" s="71"/>
      <c r="B1307" s="72"/>
      <c r="C1307" s="72"/>
      <c r="D1307" s="72"/>
      <c r="E1307" s="78" t="str">
        <f aca="false">IF(OR(B1307="",C1307=""),"",DATE(B1307,1,4)-WEEKDAY(DATE(B1307,1,4),2)+1+(C1307-1)*7)</f>
        <v/>
      </c>
      <c r="F1307" s="71"/>
    </row>
    <row r="1308" customFormat="false" ht="15" hidden="false" customHeight="false" outlineLevel="0" collapsed="false">
      <c r="A1308" s="71"/>
      <c r="B1308" s="72"/>
      <c r="C1308" s="72"/>
      <c r="D1308" s="72"/>
      <c r="E1308" s="78" t="str">
        <f aca="false">IF(OR(B1308="",C1308=""),"",DATE(B1308,1,4)-WEEKDAY(DATE(B1308,1,4),2)+1+(C1308-1)*7)</f>
        <v/>
      </c>
      <c r="F1308" s="71"/>
    </row>
    <row r="1309" customFormat="false" ht="15" hidden="false" customHeight="false" outlineLevel="0" collapsed="false">
      <c r="A1309" s="71"/>
      <c r="B1309" s="72"/>
      <c r="C1309" s="72"/>
      <c r="D1309" s="72"/>
      <c r="E1309" s="78" t="str">
        <f aca="false">IF(OR(B1309="",C1309=""),"",DATE(B1309,1,4)-WEEKDAY(DATE(B1309,1,4),2)+1+(C1309-1)*7)</f>
        <v/>
      </c>
      <c r="F1309" s="71"/>
    </row>
    <row r="1310" customFormat="false" ht="15" hidden="false" customHeight="false" outlineLevel="0" collapsed="false">
      <c r="A1310" s="71"/>
      <c r="B1310" s="72"/>
      <c r="C1310" s="72"/>
      <c r="D1310" s="72"/>
      <c r="E1310" s="78" t="str">
        <f aca="false">IF(OR(B1310="",C1310=""),"",DATE(B1310,1,4)-WEEKDAY(DATE(B1310,1,4),2)+1+(C1310-1)*7)</f>
        <v/>
      </c>
      <c r="F1310" s="71"/>
    </row>
    <row r="1311" customFormat="false" ht="15" hidden="false" customHeight="false" outlineLevel="0" collapsed="false">
      <c r="A1311" s="71"/>
      <c r="B1311" s="72"/>
      <c r="C1311" s="72"/>
      <c r="D1311" s="72"/>
      <c r="E1311" s="78" t="str">
        <f aca="false">IF(OR(B1311="",C1311=""),"",DATE(B1311,1,4)-WEEKDAY(DATE(B1311,1,4),2)+1+(C1311-1)*7)</f>
        <v/>
      </c>
      <c r="F1311" s="71"/>
    </row>
    <row r="1312" customFormat="false" ht="15" hidden="false" customHeight="false" outlineLevel="0" collapsed="false">
      <c r="A1312" s="71"/>
      <c r="B1312" s="72"/>
      <c r="C1312" s="72"/>
      <c r="D1312" s="72"/>
      <c r="E1312" s="78" t="str">
        <f aca="false">IF(OR(B1312="",C1312=""),"",DATE(B1312,1,4)-WEEKDAY(DATE(B1312,1,4),2)+1+(C1312-1)*7)</f>
        <v/>
      </c>
      <c r="F1312" s="71"/>
    </row>
    <row r="1313" customFormat="false" ht="15" hidden="false" customHeight="false" outlineLevel="0" collapsed="false">
      <c r="A1313" s="71"/>
      <c r="B1313" s="72"/>
      <c r="C1313" s="72"/>
      <c r="D1313" s="72"/>
      <c r="E1313" s="78" t="str">
        <f aca="false">IF(OR(B1313="",C1313=""),"",DATE(B1313,1,4)-WEEKDAY(DATE(B1313,1,4),2)+1+(C1313-1)*7)</f>
        <v/>
      </c>
      <c r="F1313" s="71"/>
    </row>
    <row r="1314" customFormat="false" ht="15" hidden="false" customHeight="false" outlineLevel="0" collapsed="false">
      <c r="A1314" s="71"/>
      <c r="B1314" s="72"/>
      <c r="C1314" s="72"/>
      <c r="D1314" s="72"/>
      <c r="E1314" s="78" t="str">
        <f aca="false">IF(OR(B1314="",C1314=""),"",DATE(B1314,1,4)-WEEKDAY(DATE(B1314,1,4),2)+1+(C1314-1)*7)</f>
        <v/>
      </c>
      <c r="F1314" s="71"/>
    </row>
    <row r="1315" customFormat="false" ht="15" hidden="false" customHeight="false" outlineLevel="0" collapsed="false">
      <c r="A1315" s="71"/>
      <c r="B1315" s="72"/>
      <c r="C1315" s="72"/>
      <c r="D1315" s="72"/>
      <c r="E1315" s="78" t="str">
        <f aca="false">IF(OR(B1315="",C1315=""),"",DATE(B1315,1,4)-WEEKDAY(DATE(B1315,1,4),2)+1+(C1315-1)*7)</f>
        <v/>
      </c>
      <c r="F1315" s="71"/>
    </row>
    <row r="1316" customFormat="false" ht="15" hidden="false" customHeight="false" outlineLevel="0" collapsed="false">
      <c r="A1316" s="71"/>
      <c r="B1316" s="72"/>
      <c r="C1316" s="72"/>
      <c r="D1316" s="72"/>
      <c r="E1316" s="78" t="str">
        <f aca="false">IF(OR(B1316="",C1316=""),"",DATE(B1316,1,4)-WEEKDAY(DATE(B1316,1,4),2)+1+(C1316-1)*7)</f>
        <v/>
      </c>
      <c r="F1316" s="71"/>
    </row>
    <row r="1317" customFormat="false" ht="15" hidden="false" customHeight="false" outlineLevel="0" collapsed="false">
      <c r="A1317" s="71"/>
      <c r="B1317" s="72"/>
      <c r="C1317" s="72"/>
      <c r="D1317" s="72"/>
      <c r="E1317" s="78" t="str">
        <f aca="false">IF(OR(B1317="",C1317=""),"",DATE(B1317,1,4)-WEEKDAY(DATE(B1317,1,4),2)+1+(C1317-1)*7)</f>
        <v/>
      </c>
      <c r="F1317" s="71"/>
    </row>
    <row r="1318" customFormat="false" ht="15" hidden="false" customHeight="false" outlineLevel="0" collapsed="false">
      <c r="A1318" s="71"/>
      <c r="B1318" s="72"/>
      <c r="C1318" s="72"/>
      <c r="D1318" s="72"/>
      <c r="E1318" s="78" t="str">
        <f aca="false">IF(OR(B1318="",C1318=""),"",DATE(B1318,1,4)-WEEKDAY(DATE(B1318,1,4),2)+1+(C1318-1)*7)</f>
        <v/>
      </c>
      <c r="F1318" s="71"/>
    </row>
    <row r="1319" customFormat="false" ht="15" hidden="false" customHeight="false" outlineLevel="0" collapsed="false">
      <c r="A1319" s="71"/>
      <c r="B1319" s="72"/>
      <c r="C1319" s="72"/>
      <c r="D1319" s="72"/>
      <c r="E1319" s="78" t="str">
        <f aca="false">IF(OR(B1319="",C1319=""),"",DATE(B1319,1,4)-WEEKDAY(DATE(B1319,1,4),2)+1+(C1319-1)*7)</f>
        <v/>
      </c>
      <c r="F1319" s="71"/>
    </row>
    <row r="1320" customFormat="false" ht="15" hidden="false" customHeight="false" outlineLevel="0" collapsed="false">
      <c r="A1320" s="71"/>
      <c r="B1320" s="72"/>
      <c r="C1320" s="72"/>
      <c r="D1320" s="72"/>
      <c r="E1320" s="78" t="str">
        <f aca="false">IF(OR(B1320="",C1320=""),"",DATE(B1320,1,4)-WEEKDAY(DATE(B1320,1,4),2)+1+(C1320-1)*7)</f>
        <v/>
      </c>
      <c r="F1320" s="71"/>
    </row>
    <row r="1321" customFormat="false" ht="15" hidden="false" customHeight="false" outlineLevel="0" collapsed="false">
      <c r="A1321" s="71"/>
      <c r="B1321" s="72"/>
      <c r="C1321" s="72"/>
      <c r="D1321" s="72"/>
      <c r="E1321" s="78" t="str">
        <f aca="false">IF(OR(B1321="",C1321=""),"",DATE(B1321,1,4)-WEEKDAY(DATE(B1321,1,4),2)+1+(C1321-1)*7)</f>
        <v/>
      </c>
      <c r="F1321" s="71"/>
    </row>
    <row r="1322" customFormat="false" ht="15" hidden="false" customHeight="false" outlineLevel="0" collapsed="false">
      <c r="A1322" s="71"/>
      <c r="B1322" s="72"/>
      <c r="C1322" s="72"/>
      <c r="D1322" s="72"/>
      <c r="E1322" s="78" t="str">
        <f aca="false">IF(OR(B1322="",C1322=""),"",DATE(B1322,1,4)-WEEKDAY(DATE(B1322,1,4),2)+1+(C1322-1)*7)</f>
        <v/>
      </c>
      <c r="F1322" s="71"/>
    </row>
    <row r="1323" customFormat="false" ht="15" hidden="false" customHeight="false" outlineLevel="0" collapsed="false">
      <c r="A1323" s="71"/>
      <c r="B1323" s="72"/>
      <c r="C1323" s="72"/>
      <c r="D1323" s="72"/>
      <c r="E1323" s="78" t="str">
        <f aca="false">IF(OR(B1323="",C1323=""),"",DATE(B1323,1,4)-WEEKDAY(DATE(B1323,1,4),2)+1+(C1323-1)*7)</f>
        <v/>
      </c>
      <c r="F1323" s="71"/>
    </row>
    <row r="1324" customFormat="false" ht="15" hidden="false" customHeight="false" outlineLevel="0" collapsed="false">
      <c r="A1324" s="71"/>
      <c r="B1324" s="72"/>
      <c r="C1324" s="72"/>
      <c r="D1324" s="72"/>
      <c r="E1324" s="78" t="str">
        <f aca="false">IF(OR(B1324="",C1324=""),"",DATE(B1324,1,4)-WEEKDAY(DATE(B1324,1,4),2)+1+(C1324-1)*7)</f>
        <v/>
      </c>
      <c r="F1324" s="71"/>
    </row>
    <row r="1325" customFormat="false" ht="15" hidden="false" customHeight="false" outlineLevel="0" collapsed="false">
      <c r="A1325" s="71"/>
      <c r="B1325" s="72"/>
      <c r="C1325" s="72"/>
      <c r="D1325" s="72"/>
      <c r="E1325" s="78" t="str">
        <f aca="false">IF(OR(B1325="",C1325=""),"",DATE(B1325,1,4)-WEEKDAY(DATE(B1325,1,4),2)+1+(C1325-1)*7)</f>
        <v/>
      </c>
      <c r="F1325" s="71"/>
    </row>
    <row r="1326" customFormat="false" ht="15" hidden="false" customHeight="false" outlineLevel="0" collapsed="false">
      <c r="A1326" s="71"/>
      <c r="B1326" s="72"/>
      <c r="C1326" s="72"/>
      <c r="D1326" s="72"/>
      <c r="E1326" s="78" t="str">
        <f aca="false">IF(OR(B1326="",C1326=""),"",DATE(B1326,1,4)-WEEKDAY(DATE(B1326,1,4),2)+1+(C1326-1)*7)</f>
        <v/>
      </c>
      <c r="F1326" s="71"/>
    </row>
    <row r="1327" customFormat="false" ht="15" hidden="false" customHeight="false" outlineLevel="0" collapsed="false">
      <c r="A1327" s="71"/>
      <c r="B1327" s="72"/>
      <c r="C1327" s="72"/>
      <c r="D1327" s="72"/>
      <c r="E1327" s="78" t="str">
        <f aca="false">IF(OR(B1327="",C1327=""),"",DATE(B1327,1,4)-WEEKDAY(DATE(B1327,1,4),2)+1+(C1327-1)*7)</f>
        <v/>
      </c>
      <c r="F1327" s="71"/>
    </row>
    <row r="1328" customFormat="false" ht="15" hidden="false" customHeight="false" outlineLevel="0" collapsed="false">
      <c r="A1328" s="71"/>
      <c r="B1328" s="72"/>
      <c r="C1328" s="72"/>
      <c r="D1328" s="72"/>
      <c r="E1328" s="78" t="str">
        <f aca="false">IF(OR(B1328="",C1328=""),"",DATE(B1328,1,4)-WEEKDAY(DATE(B1328,1,4),2)+1+(C1328-1)*7)</f>
        <v/>
      </c>
      <c r="F1328" s="71"/>
    </row>
    <row r="1329" customFormat="false" ht="15" hidden="false" customHeight="false" outlineLevel="0" collapsed="false">
      <c r="A1329" s="71"/>
      <c r="B1329" s="72"/>
      <c r="C1329" s="72"/>
      <c r="D1329" s="72"/>
      <c r="E1329" s="78" t="str">
        <f aca="false">IF(OR(B1329="",C1329=""),"",DATE(B1329,1,4)-WEEKDAY(DATE(B1329,1,4),2)+1+(C1329-1)*7)</f>
        <v/>
      </c>
      <c r="F1329" s="71"/>
    </row>
    <row r="1330" customFormat="false" ht="15" hidden="false" customHeight="false" outlineLevel="0" collapsed="false">
      <c r="A1330" s="71"/>
      <c r="B1330" s="72"/>
      <c r="C1330" s="72"/>
      <c r="D1330" s="72"/>
      <c r="E1330" s="78" t="str">
        <f aca="false">IF(OR(B1330="",C1330=""),"",DATE(B1330,1,4)-WEEKDAY(DATE(B1330,1,4),2)+1+(C1330-1)*7)</f>
        <v/>
      </c>
      <c r="F1330" s="71"/>
    </row>
    <row r="1331" customFormat="false" ht="15" hidden="false" customHeight="false" outlineLevel="0" collapsed="false">
      <c r="A1331" s="71"/>
      <c r="B1331" s="72"/>
      <c r="C1331" s="72"/>
      <c r="D1331" s="72"/>
      <c r="E1331" s="78" t="str">
        <f aca="false">IF(OR(B1331="",C1331=""),"",DATE(B1331,1,4)-WEEKDAY(DATE(B1331,1,4),2)+1+(C1331-1)*7)</f>
        <v/>
      </c>
      <c r="F1331" s="71"/>
    </row>
    <row r="1332" customFormat="false" ht="15" hidden="false" customHeight="false" outlineLevel="0" collapsed="false">
      <c r="A1332" s="71"/>
      <c r="B1332" s="72"/>
      <c r="C1332" s="72"/>
      <c r="D1332" s="72"/>
      <c r="E1332" s="78" t="str">
        <f aca="false">IF(OR(B1332="",C1332=""),"",DATE(B1332,1,4)-WEEKDAY(DATE(B1332,1,4),2)+1+(C1332-1)*7)</f>
        <v/>
      </c>
      <c r="F1332" s="71"/>
    </row>
    <row r="1333" customFormat="false" ht="15" hidden="false" customHeight="false" outlineLevel="0" collapsed="false">
      <c r="A1333" s="71"/>
      <c r="B1333" s="72"/>
      <c r="C1333" s="72"/>
      <c r="D1333" s="72"/>
      <c r="E1333" s="78" t="str">
        <f aca="false">IF(OR(B1333="",C1333=""),"",DATE(B1333,1,4)-WEEKDAY(DATE(B1333,1,4),2)+1+(C1333-1)*7)</f>
        <v/>
      </c>
      <c r="F1333" s="71"/>
    </row>
    <row r="1334" customFormat="false" ht="15" hidden="false" customHeight="false" outlineLevel="0" collapsed="false">
      <c r="A1334" s="71"/>
      <c r="B1334" s="72"/>
      <c r="C1334" s="72"/>
      <c r="D1334" s="72"/>
      <c r="E1334" s="78" t="str">
        <f aca="false">IF(OR(B1334="",C1334=""),"",DATE(B1334,1,4)-WEEKDAY(DATE(B1334,1,4),2)+1+(C1334-1)*7)</f>
        <v/>
      </c>
      <c r="F1334" s="71"/>
    </row>
    <row r="1335" customFormat="false" ht="15" hidden="false" customHeight="false" outlineLevel="0" collapsed="false">
      <c r="A1335" s="71"/>
      <c r="B1335" s="72"/>
      <c r="C1335" s="72"/>
      <c r="D1335" s="72"/>
      <c r="E1335" s="78" t="str">
        <f aca="false">IF(OR(B1335="",C1335=""),"",DATE(B1335,1,4)-WEEKDAY(DATE(B1335,1,4),2)+1+(C1335-1)*7)</f>
        <v/>
      </c>
      <c r="F1335" s="71"/>
    </row>
    <row r="1336" customFormat="false" ht="15" hidden="false" customHeight="false" outlineLevel="0" collapsed="false">
      <c r="A1336" s="71"/>
      <c r="B1336" s="72"/>
      <c r="C1336" s="72"/>
      <c r="D1336" s="72"/>
      <c r="E1336" s="78" t="str">
        <f aca="false">IF(OR(B1336="",C1336=""),"",DATE(B1336,1,4)-WEEKDAY(DATE(B1336,1,4),2)+1+(C1336-1)*7)</f>
        <v/>
      </c>
      <c r="F1336" s="71"/>
    </row>
    <row r="1337" customFormat="false" ht="15" hidden="false" customHeight="false" outlineLevel="0" collapsed="false">
      <c r="A1337" s="71"/>
      <c r="B1337" s="72"/>
      <c r="C1337" s="72"/>
      <c r="D1337" s="72"/>
      <c r="E1337" s="78" t="str">
        <f aca="false">IF(OR(B1337="",C1337=""),"",DATE(B1337,1,4)-WEEKDAY(DATE(B1337,1,4),2)+1+(C1337-1)*7)</f>
        <v/>
      </c>
      <c r="F1337" s="71"/>
    </row>
    <row r="1338" customFormat="false" ht="15" hidden="false" customHeight="false" outlineLevel="0" collapsed="false">
      <c r="A1338" s="71"/>
      <c r="B1338" s="72"/>
      <c r="C1338" s="72"/>
      <c r="D1338" s="72"/>
      <c r="E1338" s="78" t="str">
        <f aca="false">IF(OR(B1338="",C1338=""),"",DATE(B1338,1,4)-WEEKDAY(DATE(B1338,1,4),2)+1+(C1338-1)*7)</f>
        <v/>
      </c>
      <c r="F1338" s="71"/>
    </row>
    <row r="1339" customFormat="false" ht="15" hidden="false" customHeight="false" outlineLevel="0" collapsed="false">
      <c r="A1339" s="71"/>
      <c r="B1339" s="72"/>
      <c r="C1339" s="72"/>
      <c r="D1339" s="72"/>
      <c r="E1339" s="78" t="str">
        <f aca="false">IF(OR(B1339="",C1339=""),"",DATE(B1339,1,4)-WEEKDAY(DATE(B1339,1,4),2)+1+(C1339-1)*7)</f>
        <v/>
      </c>
      <c r="F1339" s="71"/>
    </row>
    <row r="1340" customFormat="false" ht="15" hidden="false" customHeight="false" outlineLevel="0" collapsed="false">
      <c r="A1340" s="71"/>
      <c r="B1340" s="72"/>
      <c r="C1340" s="72"/>
      <c r="D1340" s="72"/>
      <c r="E1340" s="78" t="str">
        <f aca="false">IF(OR(B1340="",C1340=""),"",DATE(B1340,1,4)-WEEKDAY(DATE(B1340,1,4),2)+1+(C1340-1)*7)</f>
        <v/>
      </c>
      <c r="F1340" s="71"/>
    </row>
    <row r="1341" customFormat="false" ht="15" hidden="false" customHeight="false" outlineLevel="0" collapsed="false">
      <c r="A1341" s="71"/>
      <c r="B1341" s="72"/>
      <c r="C1341" s="72"/>
      <c r="D1341" s="72"/>
      <c r="E1341" s="78" t="str">
        <f aca="false">IF(OR(B1341="",C1341=""),"",DATE(B1341,1,4)-WEEKDAY(DATE(B1341,1,4),2)+1+(C1341-1)*7)</f>
        <v/>
      </c>
      <c r="F1341" s="71"/>
    </row>
    <row r="1342" customFormat="false" ht="15" hidden="false" customHeight="false" outlineLevel="0" collapsed="false">
      <c r="A1342" s="71"/>
      <c r="B1342" s="72"/>
      <c r="C1342" s="72"/>
      <c r="D1342" s="72"/>
      <c r="E1342" s="78" t="str">
        <f aca="false">IF(OR(B1342="",C1342=""),"",DATE(B1342,1,4)-WEEKDAY(DATE(B1342,1,4),2)+1+(C1342-1)*7)</f>
        <v/>
      </c>
      <c r="F1342" s="71"/>
    </row>
    <row r="1343" customFormat="false" ht="15" hidden="false" customHeight="false" outlineLevel="0" collapsed="false">
      <c r="A1343" s="71"/>
      <c r="B1343" s="72"/>
      <c r="C1343" s="72"/>
      <c r="D1343" s="72"/>
      <c r="E1343" s="78" t="str">
        <f aca="false">IF(OR(B1343="",C1343=""),"",DATE(B1343,1,4)-WEEKDAY(DATE(B1343,1,4),2)+1+(C1343-1)*7)</f>
        <v/>
      </c>
      <c r="F1343" s="71"/>
    </row>
    <row r="1344" customFormat="false" ht="15" hidden="false" customHeight="false" outlineLevel="0" collapsed="false">
      <c r="A1344" s="71"/>
      <c r="B1344" s="72"/>
      <c r="C1344" s="72"/>
      <c r="D1344" s="72"/>
      <c r="E1344" s="78" t="str">
        <f aca="false">IF(OR(B1344="",C1344=""),"",DATE(B1344,1,4)-WEEKDAY(DATE(B1344,1,4),2)+1+(C1344-1)*7)</f>
        <v/>
      </c>
      <c r="F1344" s="71"/>
    </row>
    <row r="1345" customFormat="false" ht="15" hidden="false" customHeight="false" outlineLevel="0" collapsed="false">
      <c r="A1345" s="71"/>
      <c r="B1345" s="72"/>
      <c r="C1345" s="72"/>
      <c r="D1345" s="72"/>
      <c r="E1345" s="78" t="str">
        <f aca="false">IF(OR(B1345="",C1345=""),"",DATE(B1345,1,4)-WEEKDAY(DATE(B1345,1,4),2)+1+(C1345-1)*7)</f>
        <v/>
      </c>
      <c r="F1345" s="71"/>
    </row>
    <row r="1346" customFormat="false" ht="15" hidden="false" customHeight="false" outlineLevel="0" collapsed="false">
      <c r="A1346" s="71"/>
      <c r="B1346" s="72"/>
      <c r="C1346" s="72"/>
      <c r="D1346" s="72"/>
      <c r="E1346" s="78" t="str">
        <f aca="false">IF(OR(B1346="",C1346=""),"",DATE(B1346,1,4)-WEEKDAY(DATE(B1346,1,4),2)+1+(C1346-1)*7)</f>
        <v/>
      </c>
      <c r="F1346" s="71"/>
    </row>
    <row r="1347" customFormat="false" ht="15" hidden="false" customHeight="false" outlineLevel="0" collapsed="false">
      <c r="A1347" s="71"/>
      <c r="B1347" s="72"/>
      <c r="C1347" s="72"/>
      <c r="D1347" s="72"/>
      <c r="E1347" s="78" t="str">
        <f aca="false">IF(OR(B1347="",C1347=""),"",DATE(B1347,1,4)-WEEKDAY(DATE(B1347,1,4),2)+1+(C1347-1)*7)</f>
        <v/>
      </c>
      <c r="F1347" s="71"/>
    </row>
    <row r="1348" customFormat="false" ht="15" hidden="false" customHeight="false" outlineLevel="0" collapsed="false">
      <c r="A1348" s="71"/>
      <c r="B1348" s="72"/>
      <c r="C1348" s="72"/>
      <c r="D1348" s="72"/>
      <c r="E1348" s="78" t="str">
        <f aca="false">IF(OR(B1348="",C1348=""),"",DATE(B1348,1,4)-WEEKDAY(DATE(B1348,1,4),2)+1+(C1348-1)*7)</f>
        <v/>
      </c>
      <c r="F1348" s="71"/>
    </row>
    <row r="1349" customFormat="false" ht="15" hidden="false" customHeight="false" outlineLevel="0" collapsed="false">
      <c r="A1349" s="71"/>
      <c r="B1349" s="72"/>
      <c r="C1349" s="72"/>
      <c r="D1349" s="72"/>
      <c r="E1349" s="78" t="str">
        <f aca="false">IF(OR(B1349="",C1349=""),"",DATE(B1349,1,4)-WEEKDAY(DATE(B1349,1,4),2)+1+(C1349-1)*7)</f>
        <v/>
      </c>
      <c r="F1349" s="71"/>
    </row>
    <row r="1350" customFormat="false" ht="15" hidden="false" customHeight="false" outlineLevel="0" collapsed="false">
      <c r="A1350" s="71"/>
      <c r="B1350" s="72"/>
      <c r="C1350" s="72"/>
      <c r="D1350" s="72"/>
      <c r="E1350" s="78" t="str">
        <f aca="false">IF(OR(B1350="",C1350=""),"",DATE(B1350,1,4)-WEEKDAY(DATE(B1350,1,4),2)+1+(C1350-1)*7)</f>
        <v/>
      </c>
      <c r="F1350" s="71"/>
    </row>
    <row r="1351" customFormat="false" ht="15" hidden="false" customHeight="false" outlineLevel="0" collapsed="false">
      <c r="A1351" s="71"/>
      <c r="B1351" s="72"/>
      <c r="C1351" s="72"/>
      <c r="D1351" s="72"/>
      <c r="E1351" s="78" t="str">
        <f aca="false">IF(OR(B1351="",C1351=""),"",DATE(B1351,1,4)-WEEKDAY(DATE(B1351,1,4),2)+1+(C1351-1)*7)</f>
        <v/>
      </c>
      <c r="F1351" s="71"/>
    </row>
    <row r="1352" customFormat="false" ht="15" hidden="false" customHeight="false" outlineLevel="0" collapsed="false">
      <c r="A1352" s="71"/>
      <c r="B1352" s="72"/>
      <c r="C1352" s="72"/>
      <c r="D1352" s="72"/>
      <c r="E1352" s="78" t="str">
        <f aca="false">IF(OR(B1352="",C1352=""),"",DATE(B1352,1,4)-WEEKDAY(DATE(B1352,1,4),2)+1+(C1352-1)*7)</f>
        <v/>
      </c>
      <c r="F1352" s="71"/>
    </row>
    <row r="1353" customFormat="false" ht="15" hidden="false" customHeight="false" outlineLevel="0" collapsed="false">
      <c r="A1353" s="71"/>
      <c r="B1353" s="72"/>
      <c r="C1353" s="72"/>
      <c r="D1353" s="72"/>
      <c r="E1353" s="78" t="str">
        <f aca="false">IF(OR(B1353="",C1353=""),"",DATE(B1353,1,4)-WEEKDAY(DATE(B1353,1,4),2)+1+(C1353-1)*7)</f>
        <v/>
      </c>
      <c r="F1353" s="71"/>
    </row>
    <row r="1354" customFormat="false" ht="15" hidden="false" customHeight="false" outlineLevel="0" collapsed="false">
      <c r="A1354" s="71"/>
      <c r="B1354" s="72"/>
      <c r="C1354" s="72"/>
      <c r="D1354" s="72"/>
      <c r="E1354" s="78" t="str">
        <f aca="false">IF(OR(B1354="",C1354=""),"",DATE(B1354,1,4)-WEEKDAY(DATE(B1354,1,4),2)+1+(C1354-1)*7)</f>
        <v/>
      </c>
      <c r="F1354" s="71"/>
    </row>
    <row r="1355" customFormat="false" ht="15" hidden="false" customHeight="false" outlineLevel="0" collapsed="false">
      <c r="A1355" s="71"/>
      <c r="B1355" s="72"/>
      <c r="C1355" s="72"/>
      <c r="D1355" s="72"/>
      <c r="E1355" s="78" t="str">
        <f aca="false">IF(OR(B1355="",C1355=""),"",DATE(B1355,1,4)-WEEKDAY(DATE(B1355,1,4),2)+1+(C1355-1)*7)</f>
        <v/>
      </c>
      <c r="F1355" s="71"/>
    </row>
    <row r="1356" customFormat="false" ht="15" hidden="false" customHeight="false" outlineLevel="0" collapsed="false">
      <c r="A1356" s="71"/>
      <c r="B1356" s="72"/>
      <c r="C1356" s="72"/>
      <c r="D1356" s="72"/>
      <c r="E1356" s="78" t="str">
        <f aca="false">IF(OR(B1356="",C1356=""),"",DATE(B1356,1,4)-WEEKDAY(DATE(B1356,1,4),2)+1+(C1356-1)*7)</f>
        <v/>
      </c>
      <c r="F1356" s="71"/>
    </row>
    <row r="1357" customFormat="false" ht="15" hidden="false" customHeight="false" outlineLevel="0" collapsed="false">
      <c r="A1357" s="71"/>
      <c r="B1357" s="72"/>
      <c r="C1357" s="72"/>
      <c r="D1357" s="72"/>
      <c r="E1357" s="78" t="str">
        <f aca="false">IF(OR(B1357="",C1357=""),"",DATE(B1357,1,4)-WEEKDAY(DATE(B1357,1,4),2)+1+(C1357-1)*7)</f>
        <v/>
      </c>
      <c r="F1357" s="71"/>
    </row>
    <row r="1358" customFormat="false" ht="15" hidden="false" customHeight="false" outlineLevel="0" collapsed="false">
      <c r="A1358" s="71"/>
      <c r="B1358" s="72"/>
      <c r="C1358" s="72"/>
      <c r="D1358" s="72"/>
      <c r="E1358" s="78" t="str">
        <f aca="false">IF(OR(B1358="",C1358=""),"",DATE(B1358,1,4)-WEEKDAY(DATE(B1358,1,4),2)+1+(C1358-1)*7)</f>
        <v/>
      </c>
      <c r="F1358" s="71"/>
    </row>
    <row r="1359" customFormat="false" ht="15" hidden="false" customHeight="false" outlineLevel="0" collapsed="false">
      <c r="A1359" s="71"/>
      <c r="B1359" s="72"/>
      <c r="C1359" s="72"/>
      <c r="D1359" s="72"/>
      <c r="E1359" s="78" t="str">
        <f aca="false">IF(OR(B1359="",C1359=""),"",DATE(B1359,1,4)-WEEKDAY(DATE(B1359,1,4),2)+1+(C1359-1)*7)</f>
        <v/>
      </c>
      <c r="F1359" s="71"/>
    </row>
    <row r="1360" customFormat="false" ht="15" hidden="false" customHeight="false" outlineLevel="0" collapsed="false">
      <c r="A1360" s="71"/>
      <c r="B1360" s="72"/>
      <c r="C1360" s="72"/>
      <c r="D1360" s="72"/>
      <c r="E1360" s="78" t="str">
        <f aca="false">IF(OR(B1360="",C1360=""),"",DATE(B1360,1,4)-WEEKDAY(DATE(B1360,1,4),2)+1+(C1360-1)*7)</f>
        <v/>
      </c>
      <c r="F1360" s="71"/>
    </row>
    <row r="1361" customFormat="false" ht="15" hidden="false" customHeight="false" outlineLevel="0" collapsed="false">
      <c r="A1361" s="71"/>
      <c r="B1361" s="72"/>
      <c r="C1361" s="72"/>
      <c r="D1361" s="72"/>
      <c r="E1361" s="78" t="str">
        <f aca="false">IF(OR(B1361="",C1361=""),"",DATE(B1361,1,4)-WEEKDAY(DATE(B1361,1,4),2)+1+(C1361-1)*7)</f>
        <v/>
      </c>
      <c r="F1361" s="71"/>
    </row>
    <row r="1362" customFormat="false" ht="15" hidden="false" customHeight="false" outlineLevel="0" collapsed="false">
      <c r="A1362" s="71"/>
      <c r="B1362" s="72"/>
      <c r="C1362" s="72"/>
      <c r="D1362" s="72"/>
      <c r="E1362" s="78" t="str">
        <f aca="false">IF(OR(B1362="",C1362=""),"",DATE(B1362,1,4)-WEEKDAY(DATE(B1362,1,4),2)+1+(C1362-1)*7)</f>
        <v/>
      </c>
      <c r="F1362" s="71"/>
    </row>
    <row r="1363" customFormat="false" ht="15" hidden="false" customHeight="false" outlineLevel="0" collapsed="false">
      <c r="A1363" s="71"/>
      <c r="B1363" s="72"/>
      <c r="C1363" s="72"/>
      <c r="D1363" s="72"/>
      <c r="E1363" s="78" t="str">
        <f aca="false">IF(OR(B1363="",C1363=""),"",DATE(B1363,1,4)-WEEKDAY(DATE(B1363,1,4),2)+1+(C1363-1)*7)</f>
        <v/>
      </c>
      <c r="F1363" s="71"/>
    </row>
    <row r="1364" customFormat="false" ht="15" hidden="false" customHeight="false" outlineLevel="0" collapsed="false">
      <c r="A1364" s="71"/>
      <c r="B1364" s="72"/>
      <c r="C1364" s="72"/>
      <c r="D1364" s="72"/>
      <c r="E1364" s="78" t="str">
        <f aca="false">IF(OR(B1364="",C1364=""),"",DATE(B1364,1,4)-WEEKDAY(DATE(B1364,1,4),2)+1+(C1364-1)*7)</f>
        <v/>
      </c>
      <c r="F1364" s="71"/>
    </row>
    <row r="1365" customFormat="false" ht="15" hidden="false" customHeight="false" outlineLevel="0" collapsed="false">
      <c r="A1365" s="71"/>
      <c r="B1365" s="72"/>
      <c r="C1365" s="72"/>
      <c r="D1365" s="72"/>
      <c r="E1365" s="78" t="str">
        <f aca="false">IF(OR(B1365="",C1365=""),"",DATE(B1365,1,4)-WEEKDAY(DATE(B1365,1,4),2)+1+(C1365-1)*7)</f>
        <v/>
      </c>
      <c r="F1365" s="71"/>
    </row>
    <row r="1366" customFormat="false" ht="15" hidden="false" customHeight="false" outlineLevel="0" collapsed="false">
      <c r="A1366" s="71"/>
      <c r="B1366" s="72"/>
      <c r="C1366" s="72"/>
      <c r="D1366" s="72"/>
      <c r="E1366" s="78" t="str">
        <f aca="false">IF(OR(B1366="",C1366=""),"",DATE(B1366,1,4)-WEEKDAY(DATE(B1366,1,4),2)+1+(C1366-1)*7)</f>
        <v/>
      </c>
      <c r="F1366" s="71"/>
    </row>
    <row r="1367" customFormat="false" ht="15" hidden="false" customHeight="false" outlineLevel="0" collapsed="false">
      <c r="A1367" s="71"/>
      <c r="B1367" s="72"/>
      <c r="C1367" s="72"/>
      <c r="D1367" s="72"/>
      <c r="E1367" s="78" t="str">
        <f aca="false">IF(OR(B1367="",C1367=""),"",DATE(B1367,1,4)-WEEKDAY(DATE(B1367,1,4),2)+1+(C1367-1)*7)</f>
        <v/>
      </c>
      <c r="F1367" s="71"/>
    </row>
    <row r="1368" customFormat="false" ht="15" hidden="false" customHeight="false" outlineLevel="0" collapsed="false">
      <c r="A1368" s="71"/>
      <c r="B1368" s="72"/>
      <c r="C1368" s="72"/>
      <c r="D1368" s="72"/>
      <c r="E1368" s="78" t="str">
        <f aca="false">IF(OR(B1368="",C1368=""),"",DATE(B1368,1,4)-WEEKDAY(DATE(B1368,1,4),2)+1+(C1368-1)*7)</f>
        <v/>
      </c>
      <c r="F1368" s="71"/>
    </row>
    <row r="1369" customFormat="false" ht="15" hidden="false" customHeight="false" outlineLevel="0" collapsed="false">
      <c r="A1369" s="71"/>
      <c r="B1369" s="72"/>
      <c r="C1369" s="72"/>
      <c r="D1369" s="72"/>
      <c r="E1369" s="78" t="str">
        <f aca="false">IF(OR(B1369="",C1369=""),"",DATE(B1369,1,4)-WEEKDAY(DATE(B1369,1,4),2)+1+(C1369-1)*7)</f>
        <v/>
      </c>
      <c r="F1369" s="71"/>
    </row>
    <row r="1370" customFormat="false" ht="15" hidden="false" customHeight="false" outlineLevel="0" collapsed="false">
      <c r="A1370" s="71"/>
      <c r="B1370" s="72"/>
      <c r="C1370" s="72"/>
      <c r="D1370" s="72"/>
      <c r="E1370" s="78" t="str">
        <f aca="false">IF(OR(B1370="",C1370=""),"",DATE(B1370,1,4)-WEEKDAY(DATE(B1370,1,4),2)+1+(C1370-1)*7)</f>
        <v/>
      </c>
      <c r="F1370" s="71"/>
    </row>
    <row r="1371" customFormat="false" ht="15" hidden="false" customHeight="false" outlineLevel="0" collapsed="false">
      <c r="A1371" s="71"/>
      <c r="B1371" s="72"/>
      <c r="C1371" s="72"/>
      <c r="D1371" s="72"/>
      <c r="E1371" s="78" t="str">
        <f aca="false">IF(OR(B1371="",C1371=""),"",DATE(B1371,1,4)-WEEKDAY(DATE(B1371,1,4),2)+1+(C1371-1)*7)</f>
        <v/>
      </c>
      <c r="F1371" s="71"/>
    </row>
    <row r="1372" customFormat="false" ht="15" hidden="false" customHeight="false" outlineLevel="0" collapsed="false">
      <c r="A1372" s="71"/>
      <c r="B1372" s="72"/>
      <c r="C1372" s="72"/>
      <c r="D1372" s="72"/>
      <c r="E1372" s="78" t="str">
        <f aca="false">IF(OR(B1372="",C1372=""),"",DATE(B1372,1,4)-WEEKDAY(DATE(B1372,1,4),2)+1+(C1372-1)*7)</f>
        <v/>
      </c>
      <c r="F1372" s="71"/>
    </row>
    <row r="1373" customFormat="false" ht="15" hidden="false" customHeight="false" outlineLevel="0" collapsed="false">
      <c r="A1373" s="71"/>
      <c r="B1373" s="72"/>
      <c r="C1373" s="72"/>
      <c r="D1373" s="72"/>
      <c r="E1373" s="78" t="str">
        <f aca="false">IF(OR(B1373="",C1373=""),"",DATE(B1373,1,4)-WEEKDAY(DATE(B1373,1,4),2)+1+(C1373-1)*7)</f>
        <v/>
      </c>
      <c r="F1373" s="71"/>
    </row>
    <row r="1374" customFormat="false" ht="15" hidden="false" customHeight="false" outlineLevel="0" collapsed="false">
      <c r="A1374" s="71"/>
      <c r="B1374" s="72"/>
      <c r="C1374" s="72"/>
      <c r="D1374" s="72"/>
      <c r="E1374" s="78" t="str">
        <f aca="false">IF(OR(B1374="",C1374=""),"",DATE(B1374,1,4)-WEEKDAY(DATE(B1374,1,4),2)+1+(C1374-1)*7)</f>
        <v/>
      </c>
      <c r="F1374" s="71"/>
    </row>
    <row r="1375" customFormat="false" ht="15" hidden="false" customHeight="false" outlineLevel="0" collapsed="false">
      <c r="A1375" s="71"/>
      <c r="B1375" s="72"/>
      <c r="C1375" s="72"/>
      <c r="D1375" s="72"/>
      <c r="E1375" s="78" t="str">
        <f aca="false">IF(OR(B1375="",C1375=""),"",DATE(B1375,1,4)-WEEKDAY(DATE(B1375,1,4),2)+1+(C1375-1)*7)</f>
        <v/>
      </c>
      <c r="F1375" s="71"/>
    </row>
    <row r="1376" customFormat="false" ht="15" hidden="false" customHeight="false" outlineLevel="0" collapsed="false">
      <c r="A1376" s="71"/>
      <c r="B1376" s="72"/>
      <c r="C1376" s="72"/>
      <c r="D1376" s="72"/>
      <c r="E1376" s="78" t="str">
        <f aca="false">IF(OR(B1376="",C1376=""),"",DATE(B1376,1,4)-WEEKDAY(DATE(B1376,1,4),2)+1+(C1376-1)*7)</f>
        <v/>
      </c>
      <c r="F1376" s="71"/>
    </row>
    <row r="1377" customFormat="false" ht="15" hidden="false" customHeight="false" outlineLevel="0" collapsed="false">
      <c r="A1377" s="71"/>
      <c r="B1377" s="72"/>
      <c r="C1377" s="72"/>
      <c r="D1377" s="72"/>
      <c r="E1377" s="78" t="str">
        <f aca="false">IF(OR(B1377="",C1377=""),"",DATE(B1377,1,4)-WEEKDAY(DATE(B1377,1,4),2)+1+(C1377-1)*7)</f>
        <v/>
      </c>
      <c r="F1377" s="71"/>
    </row>
    <row r="1378" customFormat="false" ht="15" hidden="false" customHeight="false" outlineLevel="0" collapsed="false">
      <c r="A1378" s="71"/>
      <c r="B1378" s="72"/>
      <c r="C1378" s="72"/>
      <c r="D1378" s="72"/>
      <c r="E1378" s="78" t="str">
        <f aca="false">IF(OR(B1378="",C1378=""),"",DATE(B1378,1,4)-WEEKDAY(DATE(B1378,1,4),2)+1+(C1378-1)*7)</f>
        <v/>
      </c>
      <c r="F1378" s="71"/>
    </row>
    <row r="1379" customFormat="false" ht="15" hidden="false" customHeight="false" outlineLevel="0" collapsed="false">
      <c r="A1379" s="71"/>
      <c r="B1379" s="72"/>
      <c r="C1379" s="72"/>
      <c r="D1379" s="72"/>
      <c r="E1379" s="78" t="str">
        <f aca="false">IF(OR(B1379="",C1379=""),"",DATE(B1379,1,4)-WEEKDAY(DATE(B1379,1,4),2)+1+(C1379-1)*7)</f>
        <v/>
      </c>
      <c r="F1379" s="71"/>
    </row>
    <row r="1380" customFormat="false" ht="15" hidden="false" customHeight="false" outlineLevel="0" collapsed="false">
      <c r="A1380" s="71"/>
      <c r="B1380" s="72"/>
      <c r="C1380" s="72"/>
      <c r="D1380" s="72"/>
      <c r="E1380" s="78" t="str">
        <f aca="false">IF(OR(B1380="",C1380=""),"",DATE(B1380,1,4)-WEEKDAY(DATE(B1380,1,4),2)+1+(C1380-1)*7)</f>
        <v/>
      </c>
      <c r="F1380" s="71"/>
    </row>
    <row r="1381" customFormat="false" ht="15" hidden="false" customHeight="false" outlineLevel="0" collapsed="false">
      <c r="A1381" s="71"/>
      <c r="B1381" s="72"/>
      <c r="C1381" s="72"/>
      <c r="D1381" s="72"/>
      <c r="E1381" s="78" t="str">
        <f aca="false">IF(OR(B1381="",C1381=""),"",DATE(B1381,1,4)-WEEKDAY(DATE(B1381,1,4),2)+1+(C1381-1)*7)</f>
        <v/>
      </c>
      <c r="F1381" s="71"/>
    </row>
    <row r="1382" customFormat="false" ht="15" hidden="false" customHeight="false" outlineLevel="0" collapsed="false">
      <c r="A1382" s="71"/>
      <c r="B1382" s="72"/>
      <c r="C1382" s="72"/>
      <c r="D1382" s="72"/>
      <c r="E1382" s="78" t="str">
        <f aca="false">IF(OR(B1382="",C1382=""),"",DATE(B1382,1,4)-WEEKDAY(DATE(B1382,1,4),2)+1+(C1382-1)*7)</f>
        <v/>
      </c>
      <c r="F1382" s="71"/>
    </row>
    <row r="1383" customFormat="false" ht="15" hidden="false" customHeight="false" outlineLevel="0" collapsed="false">
      <c r="A1383" s="71"/>
      <c r="B1383" s="72"/>
      <c r="C1383" s="72"/>
      <c r="D1383" s="72"/>
      <c r="E1383" s="78" t="str">
        <f aca="false">IF(OR(B1383="",C1383=""),"",DATE(B1383,1,4)-WEEKDAY(DATE(B1383,1,4),2)+1+(C1383-1)*7)</f>
        <v/>
      </c>
      <c r="F1383" s="71"/>
    </row>
    <row r="1384" customFormat="false" ht="15" hidden="false" customHeight="false" outlineLevel="0" collapsed="false">
      <c r="A1384" s="71"/>
      <c r="B1384" s="72"/>
      <c r="C1384" s="72"/>
      <c r="D1384" s="72"/>
      <c r="E1384" s="78" t="str">
        <f aca="false">IF(OR(B1384="",C1384=""),"",DATE(B1384,1,4)-WEEKDAY(DATE(B1384,1,4),2)+1+(C1384-1)*7)</f>
        <v/>
      </c>
      <c r="F1384" s="71"/>
    </row>
    <row r="1385" customFormat="false" ht="15" hidden="false" customHeight="false" outlineLevel="0" collapsed="false">
      <c r="A1385" s="71"/>
      <c r="B1385" s="72"/>
      <c r="C1385" s="72"/>
      <c r="D1385" s="72"/>
      <c r="E1385" s="78" t="str">
        <f aca="false">IF(OR(B1385="",C1385=""),"",DATE(B1385,1,4)-WEEKDAY(DATE(B1385,1,4),2)+1+(C1385-1)*7)</f>
        <v/>
      </c>
      <c r="F1385" s="71"/>
    </row>
    <row r="1386" customFormat="false" ht="15" hidden="false" customHeight="false" outlineLevel="0" collapsed="false">
      <c r="A1386" s="71"/>
      <c r="B1386" s="72"/>
      <c r="C1386" s="72"/>
      <c r="D1386" s="72"/>
      <c r="E1386" s="78" t="str">
        <f aca="false">IF(OR(B1386="",C1386=""),"",DATE(B1386,1,4)-WEEKDAY(DATE(B1386,1,4),2)+1+(C1386-1)*7)</f>
        <v/>
      </c>
      <c r="F1386" s="71"/>
    </row>
    <row r="1387" customFormat="false" ht="15" hidden="false" customHeight="false" outlineLevel="0" collapsed="false">
      <c r="A1387" s="71"/>
      <c r="B1387" s="72"/>
      <c r="C1387" s="72"/>
      <c r="D1387" s="72"/>
      <c r="E1387" s="78" t="str">
        <f aca="false">IF(OR(B1387="",C1387=""),"",DATE(B1387,1,4)-WEEKDAY(DATE(B1387,1,4),2)+1+(C1387-1)*7)</f>
        <v/>
      </c>
      <c r="F1387" s="71"/>
    </row>
    <row r="1388" customFormat="false" ht="15" hidden="false" customHeight="false" outlineLevel="0" collapsed="false">
      <c r="A1388" s="71"/>
      <c r="B1388" s="72"/>
      <c r="C1388" s="72"/>
      <c r="D1388" s="72"/>
      <c r="E1388" s="78" t="str">
        <f aca="false">IF(OR(B1388="",C1388=""),"",DATE(B1388,1,4)-WEEKDAY(DATE(B1388,1,4),2)+1+(C1388-1)*7)</f>
        <v/>
      </c>
      <c r="F1388" s="71"/>
    </row>
    <row r="1389" customFormat="false" ht="15" hidden="false" customHeight="false" outlineLevel="0" collapsed="false">
      <c r="A1389" s="71"/>
      <c r="B1389" s="72"/>
      <c r="C1389" s="72"/>
      <c r="D1389" s="72"/>
      <c r="E1389" s="78" t="str">
        <f aca="false">IF(OR(B1389="",C1389=""),"",DATE(B1389,1,4)-WEEKDAY(DATE(B1389,1,4),2)+1+(C1389-1)*7)</f>
        <v/>
      </c>
      <c r="F1389" s="71"/>
    </row>
    <row r="1390" customFormat="false" ht="15" hidden="false" customHeight="false" outlineLevel="0" collapsed="false">
      <c r="A1390" s="71"/>
      <c r="B1390" s="72"/>
      <c r="C1390" s="72"/>
      <c r="D1390" s="72"/>
      <c r="E1390" s="78" t="str">
        <f aca="false">IF(OR(B1390="",C1390=""),"",DATE(B1390,1,4)-WEEKDAY(DATE(B1390,1,4),2)+1+(C1390-1)*7)</f>
        <v/>
      </c>
      <c r="F1390" s="71"/>
    </row>
    <row r="1391" customFormat="false" ht="15" hidden="false" customHeight="false" outlineLevel="0" collapsed="false">
      <c r="A1391" s="71"/>
      <c r="B1391" s="72"/>
      <c r="C1391" s="72"/>
      <c r="D1391" s="72"/>
      <c r="E1391" s="78" t="str">
        <f aca="false">IF(OR(B1391="",C1391=""),"",DATE(B1391,1,4)-WEEKDAY(DATE(B1391,1,4),2)+1+(C1391-1)*7)</f>
        <v/>
      </c>
      <c r="F1391" s="71"/>
    </row>
    <row r="1392" customFormat="false" ht="15" hidden="false" customHeight="false" outlineLevel="0" collapsed="false">
      <c r="A1392" s="71"/>
      <c r="B1392" s="72"/>
      <c r="C1392" s="72"/>
      <c r="D1392" s="72"/>
      <c r="E1392" s="78" t="str">
        <f aca="false">IF(OR(B1392="",C1392=""),"",DATE(B1392,1,4)-WEEKDAY(DATE(B1392,1,4),2)+1+(C1392-1)*7)</f>
        <v/>
      </c>
      <c r="F1392" s="71"/>
    </row>
    <row r="1393" customFormat="false" ht="15" hidden="false" customHeight="false" outlineLevel="0" collapsed="false">
      <c r="A1393" s="71"/>
      <c r="B1393" s="72"/>
      <c r="C1393" s="72"/>
      <c r="D1393" s="72"/>
      <c r="E1393" s="78" t="str">
        <f aca="false">IF(OR(B1393="",C1393=""),"",DATE(B1393,1,4)-WEEKDAY(DATE(B1393,1,4),2)+1+(C1393-1)*7)</f>
        <v/>
      </c>
      <c r="F1393" s="71"/>
    </row>
    <row r="1394" customFormat="false" ht="15" hidden="false" customHeight="false" outlineLevel="0" collapsed="false">
      <c r="A1394" s="71"/>
      <c r="B1394" s="72"/>
      <c r="C1394" s="72"/>
      <c r="D1394" s="72"/>
      <c r="E1394" s="78" t="str">
        <f aca="false">IF(OR(B1394="",C1394=""),"",DATE(B1394,1,4)-WEEKDAY(DATE(B1394,1,4),2)+1+(C1394-1)*7)</f>
        <v/>
      </c>
      <c r="F1394" s="71"/>
    </row>
    <row r="1395" customFormat="false" ht="15" hidden="false" customHeight="false" outlineLevel="0" collapsed="false">
      <c r="A1395" s="71"/>
      <c r="B1395" s="72"/>
      <c r="C1395" s="72"/>
      <c r="D1395" s="72"/>
      <c r="E1395" s="78" t="str">
        <f aca="false">IF(OR(B1395="",C1395=""),"",DATE(B1395,1,4)-WEEKDAY(DATE(B1395,1,4),2)+1+(C1395-1)*7)</f>
        <v/>
      </c>
      <c r="F1395" s="71"/>
    </row>
    <row r="1396" customFormat="false" ht="15" hidden="false" customHeight="false" outlineLevel="0" collapsed="false">
      <c r="A1396" s="71"/>
      <c r="B1396" s="72"/>
      <c r="C1396" s="72"/>
      <c r="D1396" s="72"/>
      <c r="E1396" s="78" t="str">
        <f aca="false">IF(OR(B1396="",C1396=""),"",DATE(B1396,1,4)-WEEKDAY(DATE(B1396,1,4),2)+1+(C1396-1)*7)</f>
        <v/>
      </c>
      <c r="F1396" s="71"/>
    </row>
    <row r="1397" customFormat="false" ht="15" hidden="false" customHeight="false" outlineLevel="0" collapsed="false">
      <c r="A1397" s="71"/>
      <c r="B1397" s="72"/>
      <c r="C1397" s="72"/>
      <c r="D1397" s="72"/>
      <c r="E1397" s="78" t="str">
        <f aca="false">IF(OR(B1397="",C1397=""),"",DATE(B1397,1,4)-WEEKDAY(DATE(B1397,1,4),2)+1+(C1397-1)*7)</f>
        <v/>
      </c>
      <c r="F1397" s="71"/>
    </row>
    <row r="1398" customFormat="false" ht="15" hidden="false" customHeight="false" outlineLevel="0" collapsed="false">
      <c r="A1398" s="71"/>
      <c r="B1398" s="72"/>
      <c r="C1398" s="72"/>
      <c r="D1398" s="72"/>
      <c r="E1398" s="78" t="str">
        <f aca="false">IF(OR(B1398="",C1398=""),"",DATE(B1398,1,4)-WEEKDAY(DATE(B1398,1,4),2)+1+(C1398-1)*7)</f>
        <v/>
      </c>
      <c r="F1398" s="71"/>
    </row>
    <row r="1399" customFormat="false" ht="15" hidden="false" customHeight="false" outlineLevel="0" collapsed="false">
      <c r="A1399" s="71"/>
      <c r="B1399" s="72"/>
      <c r="C1399" s="72"/>
      <c r="D1399" s="72"/>
      <c r="E1399" s="78" t="str">
        <f aca="false">IF(OR(B1399="",C1399=""),"",DATE(B1399,1,4)-WEEKDAY(DATE(B1399,1,4),2)+1+(C1399-1)*7)</f>
        <v/>
      </c>
      <c r="F1399" s="71"/>
    </row>
    <row r="1400" customFormat="false" ht="15" hidden="false" customHeight="false" outlineLevel="0" collapsed="false">
      <c r="A1400" s="71"/>
      <c r="B1400" s="72"/>
      <c r="C1400" s="72"/>
      <c r="D1400" s="72"/>
      <c r="E1400" s="78" t="str">
        <f aca="false">IF(OR(B1400="",C1400=""),"",DATE(B1400,1,4)-WEEKDAY(DATE(B1400,1,4),2)+1+(C1400-1)*7)</f>
        <v/>
      </c>
      <c r="F1400" s="71"/>
    </row>
    <row r="1401" customFormat="false" ht="15" hidden="false" customHeight="false" outlineLevel="0" collapsed="false">
      <c r="A1401" s="71"/>
      <c r="B1401" s="72"/>
      <c r="C1401" s="72"/>
      <c r="D1401" s="72"/>
      <c r="E1401" s="78" t="str">
        <f aca="false">IF(OR(B1401="",C1401=""),"",DATE(B1401,1,4)-WEEKDAY(DATE(B1401,1,4),2)+1+(C1401-1)*7)</f>
        <v/>
      </c>
      <c r="F1401" s="71"/>
    </row>
    <row r="1402" customFormat="false" ht="15" hidden="false" customHeight="false" outlineLevel="0" collapsed="false">
      <c r="A1402" s="71"/>
      <c r="B1402" s="72"/>
      <c r="C1402" s="72"/>
      <c r="D1402" s="72"/>
      <c r="E1402" s="78" t="str">
        <f aca="false">IF(OR(B1402="",C1402=""),"",DATE(B1402,1,4)-WEEKDAY(DATE(B1402,1,4),2)+1+(C1402-1)*7)</f>
        <v/>
      </c>
      <c r="F1402" s="71"/>
    </row>
    <row r="1403" customFormat="false" ht="15" hidden="false" customHeight="false" outlineLevel="0" collapsed="false">
      <c r="A1403" s="71"/>
      <c r="B1403" s="72"/>
      <c r="C1403" s="72"/>
      <c r="D1403" s="72"/>
      <c r="E1403" s="78" t="str">
        <f aca="false">IF(OR(B1403="",C1403=""),"",DATE(B1403,1,4)-WEEKDAY(DATE(B1403,1,4),2)+1+(C1403-1)*7)</f>
        <v/>
      </c>
      <c r="F1403" s="71"/>
    </row>
    <row r="1404" customFormat="false" ht="15" hidden="false" customHeight="false" outlineLevel="0" collapsed="false">
      <c r="A1404" s="71"/>
      <c r="B1404" s="72"/>
      <c r="C1404" s="72"/>
      <c r="D1404" s="72"/>
      <c r="E1404" s="78" t="str">
        <f aca="false">IF(OR(B1404="",C1404=""),"",DATE(B1404,1,4)-WEEKDAY(DATE(B1404,1,4),2)+1+(C1404-1)*7)</f>
        <v/>
      </c>
      <c r="F1404" s="71"/>
    </row>
    <row r="1405" customFormat="false" ht="15" hidden="false" customHeight="false" outlineLevel="0" collapsed="false">
      <c r="A1405" s="71"/>
      <c r="B1405" s="72"/>
      <c r="C1405" s="72"/>
      <c r="D1405" s="72"/>
      <c r="E1405" s="78" t="str">
        <f aca="false">IF(OR(B1405="",C1405=""),"",DATE(B1405,1,4)-WEEKDAY(DATE(B1405,1,4),2)+1+(C1405-1)*7)</f>
        <v/>
      </c>
      <c r="F1405" s="71"/>
    </row>
    <row r="1406" customFormat="false" ht="15" hidden="false" customHeight="false" outlineLevel="0" collapsed="false">
      <c r="A1406" s="71"/>
      <c r="B1406" s="72"/>
      <c r="C1406" s="72"/>
      <c r="D1406" s="72"/>
      <c r="E1406" s="78" t="str">
        <f aca="false">IF(OR(B1406="",C1406=""),"",DATE(B1406,1,4)-WEEKDAY(DATE(B1406,1,4),2)+1+(C1406-1)*7)</f>
        <v/>
      </c>
      <c r="F1406" s="71"/>
    </row>
    <row r="1407" customFormat="false" ht="15" hidden="false" customHeight="false" outlineLevel="0" collapsed="false">
      <c r="A1407" s="71"/>
      <c r="B1407" s="72"/>
      <c r="C1407" s="72"/>
      <c r="D1407" s="72"/>
      <c r="E1407" s="78" t="str">
        <f aca="false">IF(OR(B1407="",C1407=""),"",DATE(B1407,1,4)-WEEKDAY(DATE(B1407,1,4),2)+1+(C1407-1)*7)</f>
        <v/>
      </c>
      <c r="F1407" s="71"/>
    </row>
    <row r="1408" customFormat="false" ht="15" hidden="false" customHeight="false" outlineLevel="0" collapsed="false">
      <c r="A1408" s="71"/>
      <c r="B1408" s="72"/>
      <c r="C1408" s="72"/>
      <c r="D1408" s="72"/>
      <c r="E1408" s="78" t="str">
        <f aca="false">IF(OR(B1408="",C1408=""),"",DATE(B1408,1,4)-WEEKDAY(DATE(B1408,1,4),2)+1+(C1408-1)*7)</f>
        <v/>
      </c>
      <c r="F1408" s="71"/>
    </row>
    <row r="1409" customFormat="false" ht="15" hidden="false" customHeight="false" outlineLevel="0" collapsed="false">
      <c r="A1409" s="71"/>
      <c r="B1409" s="72"/>
      <c r="C1409" s="72"/>
      <c r="D1409" s="72"/>
      <c r="E1409" s="78" t="str">
        <f aca="false">IF(OR(B1409="",C1409=""),"",DATE(B1409,1,4)-WEEKDAY(DATE(B1409,1,4),2)+1+(C1409-1)*7)</f>
        <v/>
      </c>
      <c r="F1409" s="71"/>
    </row>
    <row r="1410" customFormat="false" ht="15" hidden="false" customHeight="false" outlineLevel="0" collapsed="false">
      <c r="A1410" s="71"/>
      <c r="B1410" s="72"/>
      <c r="C1410" s="72"/>
      <c r="D1410" s="72"/>
      <c r="E1410" s="78" t="str">
        <f aca="false">IF(OR(B1410="",C1410=""),"",DATE(B1410,1,4)-WEEKDAY(DATE(B1410,1,4),2)+1+(C1410-1)*7)</f>
        <v/>
      </c>
      <c r="F1410" s="71"/>
    </row>
    <row r="1411" customFormat="false" ht="15" hidden="false" customHeight="false" outlineLevel="0" collapsed="false">
      <c r="A1411" s="71"/>
      <c r="B1411" s="72"/>
      <c r="C1411" s="72"/>
      <c r="D1411" s="72"/>
      <c r="E1411" s="78" t="str">
        <f aca="false">IF(OR(B1411="",C1411=""),"",DATE(B1411,1,4)-WEEKDAY(DATE(B1411,1,4),2)+1+(C1411-1)*7)</f>
        <v/>
      </c>
      <c r="F1411" s="71"/>
    </row>
    <row r="1412" customFormat="false" ht="15" hidden="false" customHeight="false" outlineLevel="0" collapsed="false">
      <c r="A1412" s="71"/>
      <c r="B1412" s="72"/>
      <c r="C1412" s="72"/>
      <c r="D1412" s="72"/>
      <c r="E1412" s="78" t="str">
        <f aca="false">IF(OR(B1412="",C1412=""),"",DATE(B1412,1,4)-WEEKDAY(DATE(B1412,1,4),2)+1+(C1412-1)*7)</f>
        <v/>
      </c>
      <c r="F1412" s="71"/>
    </row>
    <row r="1413" customFormat="false" ht="15" hidden="false" customHeight="false" outlineLevel="0" collapsed="false">
      <c r="A1413" s="71"/>
      <c r="B1413" s="72"/>
      <c r="C1413" s="72"/>
      <c r="D1413" s="72"/>
      <c r="E1413" s="78" t="str">
        <f aca="false">IF(OR(B1413="",C1413=""),"",DATE(B1413,1,4)-WEEKDAY(DATE(B1413,1,4),2)+1+(C1413-1)*7)</f>
        <v/>
      </c>
      <c r="F1413" s="71"/>
    </row>
    <row r="1414" customFormat="false" ht="15" hidden="false" customHeight="false" outlineLevel="0" collapsed="false">
      <c r="A1414" s="71"/>
      <c r="B1414" s="72"/>
      <c r="C1414" s="72"/>
      <c r="D1414" s="72"/>
      <c r="E1414" s="78" t="str">
        <f aca="false">IF(OR(B1414="",C1414=""),"",DATE(B1414,1,4)-WEEKDAY(DATE(B1414,1,4),2)+1+(C1414-1)*7)</f>
        <v/>
      </c>
      <c r="F1414" s="71"/>
    </row>
    <row r="1415" customFormat="false" ht="15" hidden="false" customHeight="false" outlineLevel="0" collapsed="false">
      <c r="A1415" s="71"/>
      <c r="B1415" s="72"/>
      <c r="C1415" s="72"/>
      <c r="D1415" s="72"/>
      <c r="E1415" s="78" t="str">
        <f aca="false">IF(OR(B1415="",C1415=""),"",DATE(B1415,1,4)-WEEKDAY(DATE(B1415,1,4),2)+1+(C1415-1)*7)</f>
        <v/>
      </c>
      <c r="F1415" s="71"/>
    </row>
    <row r="1416" customFormat="false" ht="15" hidden="false" customHeight="false" outlineLevel="0" collapsed="false">
      <c r="A1416" s="71"/>
      <c r="B1416" s="72"/>
      <c r="C1416" s="72"/>
      <c r="D1416" s="72"/>
      <c r="E1416" s="78" t="str">
        <f aca="false">IF(OR(B1416="",C1416=""),"",DATE(B1416,1,4)-WEEKDAY(DATE(B1416,1,4),2)+1+(C1416-1)*7)</f>
        <v/>
      </c>
      <c r="F1416" s="71"/>
    </row>
    <row r="1417" customFormat="false" ht="15" hidden="false" customHeight="false" outlineLevel="0" collapsed="false">
      <c r="A1417" s="71"/>
      <c r="B1417" s="72"/>
      <c r="C1417" s="72"/>
      <c r="D1417" s="72"/>
      <c r="E1417" s="78" t="str">
        <f aca="false">IF(OR(B1417="",C1417=""),"",DATE(B1417,1,4)-WEEKDAY(DATE(B1417,1,4),2)+1+(C1417-1)*7)</f>
        <v/>
      </c>
      <c r="F1417" s="71"/>
    </row>
    <row r="1418" customFormat="false" ht="15" hidden="false" customHeight="false" outlineLevel="0" collapsed="false">
      <c r="A1418" s="71"/>
      <c r="B1418" s="72"/>
      <c r="C1418" s="72"/>
      <c r="D1418" s="72"/>
      <c r="E1418" s="78" t="str">
        <f aca="false">IF(OR(B1418="",C1418=""),"",DATE(B1418,1,4)-WEEKDAY(DATE(B1418,1,4),2)+1+(C1418-1)*7)</f>
        <v/>
      </c>
      <c r="F1418" s="71"/>
    </row>
    <row r="1419" customFormat="false" ht="15" hidden="false" customHeight="false" outlineLevel="0" collapsed="false">
      <c r="A1419" s="71"/>
      <c r="B1419" s="72"/>
      <c r="C1419" s="72"/>
      <c r="D1419" s="72"/>
      <c r="E1419" s="78" t="str">
        <f aca="false">IF(OR(B1419="",C1419=""),"",DATE(B1419,1,4)-WEEKDAY(DATE(B1419,1,4),2)+1+(C1419-1)*7)</f>
        <v/>
      </c>
      <c r="F1419" s="71"/>
    </row>
    <row r="1420" customFormat="false" ht="15" hidden="false" customHeight="false" outlineLevel="0" collapsed="false">
      <c r="A1420" s="71"/>
      <c r="B1420" s="72"/>
      <c r="C1420" s="72"/>
      <c r="D1420" s="72"/>
      <c r="E1420" s="78" t="str">
        <f aca="false">IF(OR(B1420="",C1420=""),"",DATE(B1420,1,4)-WEEKDAY(DATE(B1420,1,4),2)+1+(C1420-1)*7)</f>
        <v/>
      </c>
      <c r="F1420" s="71"/>
    </row>
    <row r="1421" customFormat="false" ht="15" hidden="false" customHeight="false" outlineLevel="0" collapsed="false">
      <c r="A1421" s="71"/>
      <c r="B1421" s="72"/>
      <c r="C1421" s="72"/>
      <c r="D1421" s="72"/>
      <c r="E1421" s="78" t="str">
        <f aca="false">IF(OR(B1421="",C1421=""),"",DATE(B1421,1,4)-WEEKDAY(DATE(B1421,1,4),2)+1+(C1421-1)*7)</f>
        <v/>
      </c>
      <c r="F1421" s="71"/>
    </row>
    <row r="1422" customFormat="false" ht="15" hidden="false" customHeight="false" outlineLevel="0" collapsed="false">
      <c r="A1422" s="71"/>
      <c r="B1422" s="72"/>
      <c r="C1422" s="72"/>
      <c r="D1422" s="72"/>
      <c r="E1422" s="78" t="str">
        <f aca="false">IF(OR(B1422="",C1422=""),"",DATE(B1422,1,4)-WEEKDAY(DATE(B1422,1,4),2)+1+(C1422-1)*7)</f>
        <v/>
      </c>
      <c r="F1422" s="71"/>
    </row>
    <row r="1423" customFormat="false" ht="15" hidden="false" customHeight="false" outlineLevel="0" collapsed="false">
      <c r="A1423" s="71"/>
      <c r="B1423" s="72"/>
      <c r="C1423" s="72"/>
      <c r="D1423" s="72"/>
      <c r="E1423" s="78" t="str">
        <f aca="false">IF(OR(B1423="",C1423=""),"",DATE(B1423,1,4)-WEEKDAY(DATE(B1423,1,4),2)+1+(C1423-1)*7)</f>
        <v/>
      </c>
      <c r="F1423" s="71"/>
    </row>
    <row r="1424" customFormat="false" ht="15" hidden="false" customHeight="false" outlineLevel="0" collapsed="false">
      <c r="A1424" s="71"/>
      <c r="B1424" s="72"/>
      <c r="C1424" s="72"/>
      <c r="D1424" s="72"/>
      <c r="E1424" s="78" t="str">
        <f aca="false">IF(OR(B1424="",C1424=""),"",DATE(B1424,1,4)-WEEKDAY(DATE(B1424,1,4),2)+1+(C1424-1)*7)</f>
        <v/>
      </c>
      <c r="F1424" s="71"/>
    </row>
    <row r="1425" customFormat="false" ht="15" hidden="false" customHeight="false" outlineLevel="0" collapsed="false">
      <c r="A1425" s="71"/>
      <c r="B1425" s="72"/>
      <c r="C1425" s="72"/>
      <c r="D1425" s="72"/>
      <c r="E1425" s="78" t="str">
        <f aca="false">IF(OR(B1425="",C1425=""),"",DATE(B1425,1,4)-WEEKDAY(DATE(B1425,1,4),2)+1+(C1425-1)*7)</f>
        <v/>
      </c>
      <c r="F1425" s="71"/>
    </row>
    <row r="1426" customFormat="false" ht="15" hidden="false" customHeight="false" outlineLevel="0" collapsed="false">
      <c r="A1426" s="71"/>
      <c r="B1426" s="72"/>
      <c r="C1426" s="72"/>
      <c r="D1426" s="72"/>
      <c r="E1426" s="78" t="str">
        <f aca="false">IF(OR(B1426="",C1426=""),"",DATE(B1426,1,4)-WEEKDAY(DATE(B1426,1,4),2)+1+(C1426-1)*7)</f>
        <v/>
      </c>
      <c r="F1426" s="71"/>
    </row>
    <row r="1427" customFormat="false" ht="15" hidden="false" customHeight="false" outlineLevel="0" collapsed="false">
      <c r="A1427" s="71"/>
      <c r="B1427" s="72"/>
      <c r="C1427" s="72"/>
      <c r="D1427" s="72"/>
      <c r="E1427" s="78" t="str">
        <f aca="false">IF(OR(B1427="",C1427=""),"",DATE(B1427,1,4)-WEEKDAY(DATE(B1427,1,4),2)+1+(C1427-1)*7)</f>
        <v/>
      </c>
      <c r="F1427" s="71"/>
    </row>
    <row r="1428" customFormat="false" ht="15" hidden="false" customHeight="false" outlineLevel="0" collapsed="false">
      <c r="A1428" s="71"/>
      <c r="B1428" s="72"/>
      <c r="C1428" s="72"/>
      <c r="D1428" s="72"/>
      <c r="E1428" s="78" t="str">
        <f aca="false">IF(OR(B1428="",C1428=""),"",DATE(B1428,1,4)-WEEKDAY(DATE(B1428,1,4),2)+1+(C1428-1)*7)</f>
        <v/>
      </c>
      <c r="F1428" s="71"/>
    </row>
    <row r="1429" customFormat="false" ht="15" hidden="false" customHeight="false" outlineLevel="0" collapsed="false">
      <c r="A1429" s="71"/>
      <c r="B1429" s="72"/>
      <c r="C1429" s="72"/>
      <c r="D1429" s="72"/>
      <c r="E1429" s="78" t="str">
        <f aca="false">IF(OR(B1429="",C1429=""),"",DATE(B1429,1,4)-WEEKDAY(DATE(B1429,1,4),2)+1+(C1429-1)*7)</f>
        <v/>
      </c>
      <c r="F1429" s="71"/>
    </row>
    <row r="1430" customFormat="false" ht="15" hidden="false" customHeight="false" outlineLevel="0" collapsed="false">
      <c r="A1430" s="71"/>
      <c r="B1430" s="72"/>
      <c r="C1430" s="72"/>
      <c r="D1430" s="72"/>
      <c r="E1430" s="78" t="str">
        <f aca="false">IF(OR(B1430="",C1430=""),"",DATE(B1430,1,4)-WEEKDAY(DATE(B1430,1,4),2)+1+(C1430-1)*7)</f>
        <v/>
      </c>
      <c r="F1430" s="71"/>
    </row>
    <row r="1431" customFormat="false" ht="15" hidden="false" customHeight="false" outlineLevel="0" collapsed="false">
      <c r="A1431" s="71"/>
      <c r="B1431" s="72"/>
      <c r="C1431" s="72"/>
      <c r="D1431" s="72"/>
      <c r="E1431" s="78" t="str">
        <f aca="false">IF(OR(B1431="",C1431=""),"",DATE(B1431,1,4)-WEEKDAY(DATE(B1431,1,4),2)+1+(C1431-1)*7)</f>
        <v/>
      </c>
      <c r="F1431" s="71"/>
    </row>
    <row r="1432" customFormat="false" ht="15" hidden="false" customHeight="false" outlineLevel="0" collapsed="false">
      <c r="A1432" s="71"/>
      <c r="B1432" s="72"/>
      <c r="C1432" s="72"/>
      <c r="D1432" s="72"/>
      <c r="E1432" s="78" t="str">
        <f aca="false">IF(OR(B1432="",C1432=""),"",DATE(B1432,1,4)-WEEKDAY(DATE(B1432,1,4),2)+1+(C1432-1)*7)</f>
        <v/>
      </c>
      <c r="F1432" s="71"/>
    </row>
    <row r="1433" customFormat="false" ht="15" hidden="false" customHeight="false" outlineLevel="0" collapsed="false">
      <c r="A1433" s="71"/>
      <c r="B1433" s="72"/>
      <c r="C1433" s="72"/>
      <c r="D1433" s="72"/>
      <c r="E1433" s="78" t="str">
        <f aca="false">IF(OR(B1433="",C1433=""),"",DATE(B1433,1,4)-WEEKDAY(DATE(B1433,1,4),2)+1+(C1433-1)*7)</f>
        <v/>
      </c>
      <c r="F1433" s="71"/>
    </row>
    <row r="1434" customFormat="false" ht="15" hidden="false" customHeight="false" outlineLevel="0" collapsed="false">
      <c r="A1434" s="71"/>
      <c r="B1434" s="72"/>
      <c r="C1434" s="72"/>
      <c r="D1434" s="72"/>
      <c r="E1434" s="78" t="str">
        <f aca="false">IF(OR(B1434="",C1434=""),"",DATE(B1434,1,4)-WEEKDAY(DATE(B1434,1,4),2)+1+(C1434-1)*7)</f>
        <v/>
      </c>
      <c r="F1434" s="71"/>
    </row>
    <row r="1435" customFormat="false" ht="15" hidden="false" customHeight="false" outlineLevel="0" collapsed="false">
      <c r="A1435" s="71"/>
      <c r="B1435" s="72"/>
      <c r="C1435" s="72"/>
      <c r="D1435" s="72"/>
      <c r="E1435" s="78" t="str">
        <f aca="false">IF(OR(B1435="",C1435=""),"",DATE(B1435,1,4)-WEEKDAY(DATE(B1435,1,4),2)+1+(C1435-1)*7)</f>
        <v/>
      </c>
      <c r="F1435" s="71"/>
    </row>
    <row r="1436" customFormat="false" ht="15" hidden="false" customHeight="false" outlineLevel="0" collapsed="false">
      <c r="A1436" s="71"/>
      <c r="B1436" s="72"/>
      <c r="C1436" s="72"/>
      <c r="D1436" s="72"/>
      <c r="E1436" s="78" t="str">
        <f aca="false">IF(OR(B1436="",C1436=""),"",DATE(B1436,1,4)-WEEKDAY(DATE(B1436,1,4),2)+1+(C1436-1)*7)</f>
        <v/>
      </c>
      <c r="F1436" s="71"/>
    </row>
    <row r="1437" customFormat="false" ht="15" hidden="false" customHeight="false" outlineLevel="0" collapsed="false">
      <c r="A1437" s="71"/>
      <c r="B1437" s="72"/>
      <c r="C1437" s="72"/>
      <c r="D1437" s="72"/>
      <c r="E1437" s="78" t="str">
        <f aca="false">IF(OR(B1437="",C1437=""),"",DATE(B1437,1,4)-WEEKDAY(DATE(B1437,1,4),2)+1+(C1437-1)*7)</f>
        <v/>
      </c>
      <c r="F1437" s="71"/>
    </row>
    <row r="1438" customFormat="false" ht="15" hidden="false" customHeight="false" outlineLevel="0" collapsed="false">
      <c r="A1438" s="71"/>
      <c r="B1438" s="72"/>
      <c r="C1438" s="72"/>
      <c r="D1438" s="72"/>
      <c r="E1438" s="78" t="str">
        <f aca="false">IF(OR(B1438="",C1438=""),"",DATE(B1438,1,4)-WEEKDAY(DATE(B1438,1,4),2)+1+(C1438-1)*7)</f>
        <v/>
      </c>
      <c r="F1438" s="71"/>
    </row>
    <row r="1439" customFormat="false" ht="15" hidden="false" customHeight="false" outlineLevel="0" collapsed="false">
      <c r="A1439" s="71"/>
      <c r="B1439" s="72"/>
      <c r="C1439" s="72"/>
      <c r="D1439" s="72"/>
      <c r="E1439" s="78" t="str">
        <f aca="false">IF(OR(B1439="",C1439=""),"",DATE(B1439,1,4)-WEEKDAY(DATE(B1439,1,4),2)+1+(C1439-1)*7)</f>
        <v/>
      </c>
      <c r="F1439" s="71"/>
    </row>
    <row r="1440" customFormat="false" ht="15" hidden="false" customHeight="false" outlineLevel="0" collapsed="false">
      <c r="A1440" s="71"/>
      <c r="B1440" s="72"/>
      <c r="C1440" s="72"/>
      <c r="D1440" s="72"/>
      <c r="E1440" s="78" t="str">
        <f aca="false">IF(OR(B1440="",C1440=""),"",DATE(B1440,1,4)-WEEKDAY(DATE(B1440,1,4),2)+1+(C1440-1)*7)</f>
        <v/>
      </c>
      <c r="F1440" s="71"/>
    </row>
    <row r="1441" customFormat="false" ht="15" hidden="false" customHeight="false" outlineLevel="0" collapsed="false">
      <c r="A1441" s="71"/>
      <c r="B1441" s="72"/>
      <c r="C1441" s="72"/>
      <c r="D1441" s="72"/>
      <c r="E1441" s="78" t="str">
        <f aca="false">IF(OR(B1441="",C1441=""),"",DATE(B1441,1,4)-WEEKDAY(DATE(B1441,1,4),2)+1+(C1441-1)*7)</f>
        <v/>
      </c>
      <c r="F1441" s="71"/>
    </row>
    <row r="1442" customFormat="false" ht="15" hidden="false" customHeight="false" outlineLevel="0" collapsed="false">
      <c r="A1442" s="71"/>
      <c r="B1442" s="72"/>
      <c r="C1442" s="72"/>
      <c r="D1442" s="72"/>
      <c r="E1442" s="78" t="str">
        <f aca="false">IF(OR(B1442="",C1442=""),"",DATE(B1442,1,4)-WEEKDAY(DATE(B1442,1,4),2)+1+(C1442-1)*7)</f>
        <v/>
      </c>
      <c r="F1442" s="71"/>
    </row>
    <row r="1443" customFormat="false" ht="15" hidden="false" customHeight="false" outlineLevel="0" collapsed="false">
      <c r="A1443" s="71"/>
      <c r="B1443" s="72"/>
      <c r="C1443" s="72"/>
      <c r="D1443" s="72"/>
      <c r="E1443" s="78" t="str">
        <f aca="false">IF(OR(B1443="",C1443=""),"",DATE(B1443,1,4)-WEEKDAY(DATE(B1443,1,4),2)+1+(C1443-1)*7)</f>
        <v/>
      </c>
      <c r="F1443" s="71"/>
    </row>
    <row r="1444" customFormat="false" ht="15" hidden="false" customHeight="false" outlineLevel="0" collapsed="false">
      <c r="A1444" s="71"/>
      <c r="B1444" s="72"/>
      <c r="C1444" s="72"/>
      <c r="D1444" s="72"/>
      <c r="E1444" s="78" t="str">
        <f aca="false">IF(OR(B1444="",C1444=""),"",DATE(B1444,1,4)-WEEKDAY(DATE(B1444,1,4),2)+1+(C1444-1)*7)</f>
        <v/>
      </c>
      <c r="F1444" s="71"/>
    </row>
    <row r="1445" customFormat="false" ht="15" hidden="false" customHeight="false" outlineLevel="0" collapsed="false">
      <c r="A1445" s="71"/>
      <c r="B1445" s="72"/>
      <c r="C1445" s="72"/>
      <c r="D1445" s="72"/>
      <c r="E1445" s="78" t="str">
        <f aca="false">IF(OR(B1445="",C1445=""),"",DATE(B1445,1,4)-WEEKDAY(DATE(B1445,1,4),2)+1+(C1445-1)*7)</f>
        <v/>
      </c>
      <c r="F1445" s="71"/>
    </row>
    <row r="1446" customFormat="false" ht="15" hidden="false" customHeight="false" outlineLevel="0" collapsed="false">
      <c r="A1446" s="71"/>
      <c r="B1446" s="72"/>
      <c r="C1446" s="72"/>
      <c r="D1446" s="72"/>
      <c r="E1446" s="78" t="str">
        <f aca="false">IF(OR(B1446="",C1446=""),"",DATE(B1446,1,4)-WEEKDAY(DATE(B1446,1,4),2)+1+(C1446-1)*7)</f>
        <v/>
      </c>
      <c r="F1446" s="71"/>
    </row>
    <row r="1447" customFormat="false" ht="15" hidden="false" customHeight="false" outlineLevel="0" collapsed="false">
      <c r="A1447" s="71"/>
      <c r="B1447" s="72"/>
      <c r="C1447" s="72"/>
      <c r="D1447" s="72"/>
      <c r="E1447" s="78" t="str">
        <f aca="false">IF(OR(B1447="",C1447=""),"",DATE(B1447,1,4)-WEEKDAY(DATE(B1447,1,4),2)+1+(C1447-1)*7)</f>
        <v/>
      </c>
      <c r="F1447" s="71"/>
    </row>
    <row r="1448" customFormat="false" ht="15" hidden="false" customHeight="false" outlineLevel="0" collapsed="false">
      <c r="A1448" s="71"/>
      <c r="B1448" s="72"/>
      <c r="C1448" s="72"/>
      <c r="D1448" s="72"/>
      <c r="E1448" s="78" t="str">
        <f aca="false">IF(OR(B1448="",C1448=""),"",DATE(B1448,1,4)-WEEKDAY(DATE(B1448,1,4),2)+1+(C1448-1)*7)</f>
        <v/>
      </c>
      <c r="F1448" s="71"/>
    </row>
    <row r="1449" customFormat="false" ht="15" hidden="false" customHeight="false" outlineLevel="0" collapsed="false">
      <c r="A1449" s="71"/>
      <c r="B1449" s="72"/>
      <c r="C1449" s="72"/>
      <c r="D1449" s="72"/>
      <c r="E1449" s="78" t="str">
        <f aca="false">IF(OR(B1449="",C1449=""),"",DATE(B1449,1,4)-WEEKDAY(DATE(B1449,1,4),2)+1+(C1449-1)*7)</f>
        <v/>
      </c>
      <c r="F1449" s="71"/>
    </row>
    <row r="1450" customFormat="false" ht="15" hidden="false" customHeight="false" outlineLevel="0" collapsed="false">
      <c r="A1450" s="71"/>
      <c r="B1450" s="72"/>
      <c r="C1450" s="72"/>
      <c r="D1450" s="72"/>
      <c r="E1450" s="78" t="str">
        <f aca="false">IF(OR(B1450="",C1450=""),"",DATE(B1450,1,4)-WEEKDAY(DATE(B1450,1,4),2)+1+(C1450-1)*7)</f>
        <v/>
      </c>
      <c r="F1450" s="71"/>
    </row>
    <row r="1451" customFormat="false" ht="15" hidden="false" customHeight="false" outlineLevel="0" collapsed="false">
      <c r="A1451" s="71"/>
      <c r="B1451" s="72"/>
      <c r="C1451" s="72"/>
      <c r="D1451" s="72"/>
      <c r="E1451" s="78" t="str">
        <f aca="false">IF(OR(B1451="",C1451=""),"",DATE(B1451,1,4)-WEEKDAY(DATE(B1451,1,4),2)+1+(C1451-1)*7)</f>
        <v/>
      </c>
      <c r="F1451" s="71"/>
    </row>
    <row r="1452" customFormat="false" ht="15" hidden="false" customHeight="false" outlineLevel="0" collapsed="false">
      <c r="A1452" s="71"/>
      <c r="B1452" s="72"/>
      <c r="C1452" s="72"/>
      <c r="D1452" s="72"/>
      <c r="E1452" s="78" t="str">
        <f aca="false">IF(OR(B1452="",C1452=""),"",DATE(B1452,1,4)-WEEKDAY(DATE(B1452,1,4),2)+1+(C1452-1)*7)</f>
        <v/>
      </c>
      <c r="F1452" s="71"/>
    </row>
    <row r="1453" customFormat="false" ht="15" hidden="false" customHeight="false" outlineLevel="0" collapsed="false">
      <c r="A1453" s="71"/>
      <c r="B1453" s="72"/>
      <c r="C1453" s="72"/>
      <c r="D1453" s="72"/>
      <c r="E1453" s="78" t="str">
        <f aca="false">IF(OR(B1453="",C1453=""),"",DATE(B1453,1,4)-WEEKDAY(DATE(B1453,1,4),2)+1+(C1453-1)*7)</f>
        <v/>
      </c>
      <c r="F1453" s="71"/>
    </row>
    <row r="1454" customFormat="false" ht="15" hidden="false" customHeight="false" outlineLevel="0" collapsed="false">
      <c r="A1454" s="71"/>
      <c r="B1454" s="72"/>
      <c r="C1454" s="72"/>
      <c r="D1454" s="72"/>
      <c r="E1454" s="78" t="str">
        <f aca="false">IF(OR(B1454="",C1454=""),"",DATE(B1454,1,4)-WEEKDAY(DATE(B1454,1,4),2)+1+(C1454-1)*7)</f>
        <v/>
      </c>
      <c r="F1454" s="71"/>
    </row>
    <row r="1455" customFormat="false" ht="15" hidden="false" customHeight="false" outlineLevel="0" collapsed="false">
      <c r="A1455" s="71"/>
      <c r="B1455" s="72"/>
      <c r="C1455" s="72"/>
      <c r="D1455" s="72"/>
      <c r="E1455" s="78" t="str">
        <f aca="false">IF(OR(B1455="",C1455=""),"",DATE(B1455,1,4)-WEEKDAY(DATE(B1455,1,4),2)+1+(C1455-1)*7)</f>
        <v/>
      </c>
      <c r="F1455" s="71"/>
    </row>
    <row r="1456" customFormat="false" ht="15" hidden="false" customHeight="false" outlineLevel="0" collapsed="false">
      <c r="A1456" s="71"/>
      <c r="B1456" s="72"/>
      <c r="C1456" s="72"/>
      <c r="D1456" s="72"/>
      <c r="E1456" s="78" t="str">
        <f aca="false">IF(OR(B1456="",C1456=""),"",DATE(B1456,1,4)-WEEKDAY(DATE(B1456,1,4),2)+1+(C1456-1)*7)</f>
        <v/>
      </c>
      <c r="F1456" s="71"/>
    </row>
    <row r="1457" customFormat="false" ht="15" hidden="false" customHeight="false" outlineLevel="0" collapsed="false">
      <c r="A1457" s="71"/>
      <c r="B1457" s="72"/>
      <c r="C1457" s="72"/>
      <c r="D1457" s="72"/>
      <c r="E1457" s="78" t="str">
        <f aca="false">IF(OR(B1457="",C1457=""),"",DATE(B1457,1,4)-WEEKDAY(DATE(B1457,1,4),2)+1+(C1457-1)*7)</f>
        <v/>
      </c>
      <c r="F1457" s="71"/>
    </row>
    <row r="1458" customFormat="false" ht="15" hidden="false" customHeight="false" outlineLevel="0" collapsed="false">
      <c r="A1458" s="71"/>
      <c r="B1458" s="72"/>
      <c r="C1458" s="72"/>
      <c r="D1458" s="72"/>
      <c r="E1458" s="78" t="str">
        <f aca="false">IF(OR(B1458="",C1458=""),"",DATE(B1458,1,4)-WEEKDAY(DATE(B1458,1,4),2)+1+(C1458-1)*7)</f>
        <v/>
      </c>
      <c r="F1458" s="71"/>
    </row>
    <row r="1459" customFormat="false" ht="15" hidden="false" customHeight="false" outlineLevel="0" collapsed="false">
      <c r="A1459" s="71"/>
      <c r="B1459" s="72"/>
      <c r="C1459" s="72"/>
      <c r="D1459" s="72"/>
      <c r="E1459" s="78" t="str">
        <f aca="false">IF(OR(B1459="",C1459=""),"",DATE(B1459,1,4)-WEEKDAY(DATE(B1459,1,4),2)+1+(C1459-1)*7)</f>
        <v/>
      </c>
      <c r="F1459" s="71"/>
    </row>
    <row r="1460" customFormat="false" ht="15" hidden="false" customHeight="false" outlineLevel="0" collapsed="false">
      <c r="A1460" s="71"/>
      <c r="B1460" s="72"/>
      <c r="C1460" s="72"/>
      <c r="D1460" s="72"/>
      <c r="E1460" s="78" t="str">
        <f aca="false">IF(OR(B1460="",C1460=""),"",DATE(B1460,1,4)-WEEKDAY(DATE(B1460,1,4),2)+1+(C1460-1)*7)</f>
        <v/>
      </c>
      <c r="F1460" s="71"/>
    </row>
    <row r="1461" customFormat="false" ht="15" hidden="false" customHeight="false" outlineLevel="0" collapsed="false">
      <c r="A1461" s="71"/>
      <c r="B1461" s="72"/>
      <c r="C1461" s="72"/>
      <c r="D1461" s="72"/>
      <c r="E1461" s="78" t="str">
        <f aca="false">IF(OR(B1461="",C1461=""),"",DATE(B1461,1,4)-WEEKDAY(DATE(B1461,1,4),2)+1+(C1461-1)*7)</f>
        <v/>
      </c>
      <c r="F1461" s="71"/>
    </row>
    <row r="1462" customFormat="false" ht="15" hidden="false" customHeight="false" outlineLevel="0" collapsed="false">
      <c r="A1462" s="71"/>
      <c r="B1462" s="72"/>
      <c r="C1462" s="72"/>
      <c r="D1462" s="72"/>
      <c r="E1462" s="78" t="str">
        <f aca="false">IF(OR(B1462="",C1462=""),"",DATE(B1462,1,4)-WEEKDAY(DATE(B1462,1,4),2)+1+(C1462-1)*7)</f>
        <v/>
      </c>
      <c r="F1462" s="71"/>
    </row>
    <row r="1463" customFormat="false" ht="15" hidden="false" customHeight="false" outlineLevel="0" collapsed="false">
      <c r="A1463" s="71"/>
      <c r="B1463" s="72"/>
      <c r="C1463" s="72"/>
      <c r="D1463" s="72"/>
      <c r="E1463" s="78" t="str">
        <f aca="false">IF(OR(B1463="",C1463=""),"",DATE(B1463,1,4)-WEEKDAY(DATE(B1463,1,4),2)+1+(C1463-1)*7)</f>
        <v/>
      </c>
      <c r="F1463" s="71"/>
    </row>
    <row r="1464" customFormat="false" ht="15" hidden="false" customHeight="false" outlineLevel="0" collapsed="false">
      <c r="A1464" s="71"/>
      <c r="B1464" s="72"/>
      <c r="C1464" s="72"/>
      <c r="D1464" s="72"/>
      <c r="E1464" s="78" t="str">
        <f aca="false">IF(OR(B1464="",C1464=""),"",DATE(B1464,1,4)-WEEKDAY(DATE(B1464,1,4),2)+1+(C1464-1)*7)</f>
        <v/>
      </c>
      <c r="F1464" s="71"/>
    </row>
    <row r="1465" customFormat="false" ht="15" hidden="false" customHeight="false" outlineLevel="0" collapsed="false">
      <c r="A1465" s="71"/>
      <c r="B1465" s="72"/>
      <c r="C1465" s="72"/>
      <c r="D1465" s="72"/>
      <c r="E1465" s="78" t="str">
        <f aca="false">IF(OR(B1465="",C1465=""),"",DATE(B1465,1,4)-WEEKDAY(DATE(B1465,1,4),2)+1+(C1465-1)*7)</f>
        <v/>
      </c>
      <c r="F1465" s="71"/>
    </row>
    <row r="1466" customFormat="false" ht="15" hidden="false" customHeight="false" outlineLevel="0" collapsed="false">
      <c r="A1466" s="71"/>
      <c r="B1466" s="72"/>
      <c r="C1466" s="72"/>
      <c r="D1466" s="72"/>
      <c r="E1466" s="78" t="str">
        <f aca="false">IF(OR(B1466="",C1466=""),"",DATE(B1466,1,4)-WEEKDAY(DATE(B1466,1,4),2)+1+(C1466-1)*7)</f>
        <v/>
      </c>
      <c r="F1466" s="71"/>
    </row>
    <row r="1467" customFormat="false" ht="15" hidden="false" customHeight="false" outlineLevel="0" collapsed="false">
      <c r="A1467" s="71"/>
      <c r="B1467" s="72"/>
      <c r="C1467" s="72"/>
      <c r="D1467" s="72"/>
      <c r="E1467" s="78" t="str">
        <f aca="false">IF(OR(B1467="",C1467=""),"",DATE(B1467,1,4)-WEEKDAY(DATE(B1467,1,4),2)+1+(C1467-1)*7)</f>
        <v/>
      </c>
      <c r="F1467" s="71"/>
    </row>
    <row r="1468" customFormat="false" ht="15" hidden="false" customHeight="false" outlineLevel="0" collapsed="false">
      <c r="A1468" s="71"/>
      <c r="B1468" s="72"/>
      <c r="C1468" s="72"/>
      <c r="D1468" s="72"/>
      <c r="E1468" s="78" t="str">
        <f aca="false">IF(OR(B1468="",C1468=""),"",DATE(B1468,1,4)-WEEKDAY(DATE(B1468,1,4),2)+1+(C1468-1)*7)</f>
        <v/>
      </c>
      <c r="F1468" s="71"/>
    </row>
    <row r="1469" customFormat="false" ht="15" hidden="false" customHeight="false" outlineLevel="0" collapsed="false">
      <c r="A1469" s="71"/>
      <c r="B1469" s="72"/>
      <c r="C1469" s="72"/>
      <c r="D1469" s="72"/>
      <c r="E1469" s="78" t="str">
        <f aca="false">IF(OR(B1469="",C1469=""),"",DATE(B1469,1,4)-WEEKDAY(DATE(B1469,1,4),2)+1+(C1469-1)*7)</f>
        <v/>
      </c>
      <c r="F1469" s="71"/>
    </row>
    <row r="1470" customFormat="false" ht="15" hidden="false" customHeight="false" outlineLevel="0" collapsed="false">
      <c r="A1470" s="71"/>
      <c r="B1470" s="72"/>
      <c r="C1470" s="72"/>
      <c r="D1470" s="72"/>
      <c r="E1470" s="78" t="str">
        <f aca="false">IF(OR(B1470="",C1470=""),"",DATE(B1470,1,4)-WEEKDAY(DATE(B1470,1,4),2)+1+(C1470-1)*7)</f>
        <v/>
      </c>
      <c r="F1470" s="71"/>
    </row>
    <row r="1471" customFormat="false" ht="15" hidden="false" customHeight="false" outlineLevel="0" collapsed="false">
      <c r="A1471" s="71"/>
      <c r="B1471" s="72"/>
      <c r="C1471" s="72"/>
      <c r="D1471" s="72"/>
      <c r="E1471" s="78" t="str">
        <f aca="false">IF(OR(B1471="",C1471=""),"",DATE(B1471,1,4)-WEEKDAY(DATE(B1471,1,4),2)+1+(C1471-1)*7)</f>
        <v/>
      </c>
      <c r="F1471" s="71"/>
    </row>
    <row r="1472" customFormat="false" ht="15" hidden="false" customHeight="false" outlineLevel="0" collapsed="false">
      <c r="A1472" s="71"/>
      <c r="B1472" s="72"/>
      <c r="C1472" s="72"/>
      <c r="D1472" s="72"/>
      <c r="E1472" s="78" t="str">
        <f aca="false">IF(OR(B1472="",C1472=""),"",DATE(B1472,1,4)-WEEKDAY(DATE(B1472,1,4),2)+1+(C1472-1)*7)</f>
        <v/>
      </c>
      <c r="F1472" s="71"/>
    </row>
    <row r="1473" customFormat="false" ht="15" hidden="false" customHeight="false" outlineLevel="0" collapsed="false">
      <c r="A1473" s="71"/>
      <c r="B1473" s="72"/>
      <c r="C1473" s="72"/>
      <c r="D1473" s="72"/>
      <c r="E1473" s="78" t="str">
        <f aca="false">IF(OR(B1473="",C1473=""),"",DATE(B1473,1,4)-WEEKDAY(DATE(B1473,1,4),2)+1+(C1473-1)*7)</f>
        <v/>
      </c>
      <c r="F1473" s="71"/>
    </row>
    <row r="1474" customFormat="false" ht="15" hidden="false" customHeight="false" outlineLevel="0" collapsed="false">
      <c r="A1474" s="71"/>
      <c r="B1474" s="72"/>
      <c r="C1474" s="72"/>
      <c r="D1474" s="72"/>
      <c r="E1474" s="78" t="str">
        <f aca="false">IF(OR(B1474="",C1474=""),"",DATE(B1474,1,4)-WEEKDAY(DATE(B1474,1,4),2)+1+(C1474-1)*7)</f>
        <v/>
      </c>
      <c r="F1474" s="71"/>
    </row>
    <row r="1475" customFormat="false" ht="15" hidden="false" customHeight="false" outlineLevel="0" collapsed="false">
      <c r="A1475" s="71"/>
      <c r="B1475" s="72"/>
      <c r="C1475" s="72"/>
      <c r="D1475" s="72"/>
      <c r="E1475" s="78" t="str">
        <f aca="false">IF(OR(B1475="",C1475=""),"",DATE(B1475,1,4)-WEEKDAY(DATE(B1475,1,4),2)+1+(C1475-1)*7)</f>
        <v/>
      </c>
      <c r="F1475" s="71"/>
    </row>
    <row r="1476" customFormat="false" ht="15" hidden="false" customHeight="false" outlineLevel="0" collapsed="false">
      <c r="A1476" s="71"/>
      <c r="B1476" s="72"/>
      <c r="C1476" s="72"/>
      <c r="D1476" s="72"/>
      <c r="E1476" s="78" t="str">
        <f aca="false">IF(OR(B1476="",C1476=""),"",DATE(B1476,1,4)-WEEKDAY(DATE(B1476,1,4),2)+1+(C1476-1)*7)</f>
        <v/>
      </c>
      <c r="F1476" s="71"/>
    </row>
    <row r="1477" customFormat="false" ht="15" hidden="false" customHeight="false" outlineLevel="0" collapsed="false">
      <c r="A1477" s="71"/>
      <c r="B1477" s="72"/>
      <c r="C1477" s="72"/>
      <c r="D1477" s="72"/>
      <c r="E1477" s="78" t="str">
        <f aca="false">IF(OR(B1477="",C1477=""),"",DATE(B1477,1,4)-WEEKDAY(DATE(B1477,1,4),2)+1+(C1477-1)*7)</f>
        <v/>
      </c>
      <c r="F1477" s="71"/>
    </row>
    <row r="1478" customFormat="false" ht="15" hidden="false" customHeight="false" outlineLevel="0" collapsed="false">
      <c r="A1478" s="71"/>
      <c r="B1478" s="72"/>
      <c r="C1478" s="72"/>
      <c r="D1478" s="72"/>
      <c r="E1478" s="78" t="str">
        <f aca="false">IF(OR(B1478="",C1478=""),"",DATE(B1478,1,4)-WEEKDAY(DATE(B1478,1,4),2)+1+(C1478-1)*7)</f>
        <v/>
      </c>
      <c r="F1478" s="71"/>
    </row>
    <row r="1479" customFormat="false" ht="15" hidden="false" customHeight="false" outlineLevel="0" collapsed="false">
      <c r="A1479" s="71"/>
      <c r="B1479" s="72"/>
      <c r="C1479" s="72"/>
      <c r="D1479" s="72"/>
      <c r="E1479" s="78" t="str">
        <f aca="false">IF(OR(B1479="",C1479=""),"",DATE(B1479,1,4)-WEEKDAY(DATE(B1479,1,4),2)+1+(C1479-1)*7)</f>
        <v/>
      </c>
      <c r="F1479" s="71"/>
    </row>
    <row r="1480" customFormat="false" ht="15" hidden="false" customHeight="false" outlineLevel="0" collapsed="false">
      <c r="A1480" s="71"/>
      <c r="B1480" s="72"/>
      <c r="C1480" s="72"/>
      <c r="D1480" s="72"/>
      <c r="E1480" s="78" t="str">
        <f aca="false">IF(OR(B1480="",C1480=""),"",DATE(B1480,1,4)-WEEKDAY(DATE(B1480,1,4),2)+1+(C1480-1)*7)</f>
        <v/>
      </c>
      <c r="F1480" s="71"/>
    </row>
    <row r="1481" customFormat="false" ht="15" hidden="false" customHeight="false" outlineLevel="0" collapsed="false">
      <c r="A1481" s="71"/>
      <c r="B1481" s="72"/>
      <c r="C1481" s="72"/>
      <c r="D1481" s="72"/>
      <c r="E1481" s="78" t="str">
        <f aca="false">IF(OR(B1481="",C1481=""),"",DATE(B1481,1,4)-WEEKDAY(DATE(B1481,1,4),2)+1+(C1481-1)*7)</f>
        <v/>
      </c>
      <c r="F1481" s="71"/>
    </row>
    <row r="1482" customFormat="false" ht="15" hidden="false" customHeight="false" outlineLevel="0" collapsed="false">
      <c r="A1482" s="71"/>
      <c r="B1482" s="72"/>
      <c r="C1482" s="72"/>
      <c r="D1482" s="72"/>
      <c r="E1482" s="78" t="str">
        <f aca="false">IF(OR(B1482="",C1482=""),"",DATE(B1482,1,4)-WEEKDAY(DATE(B1482,1,4),2)+1+(C1482-1)*7)</f>
        <v/>
      </c>
      <c r="F1482" s="71"/>
    </row>
    <row r="1483" customFormat="false" ht="15" hidden="false" customHeight="false" outlineLevel="0" collapsed="false">
      <c r="A1483" s="71"/>
      <c r="B1483" s="72"/>
      <c r="C1483" s="72"/>
      <c r="D1483" s="72"/>
      <c r="E1483" s="78" t="str">
        <f aca="false">IF(OR(B1483="",C1483=""),"",DATE(B1483,1,4)-WEEKDAY(DATE(B1483,1,4),2)+1+(C1483-1)*7)</f>
        <v/>
      </c>
      <c r="F1483" s="71"/>
    </row>
    <row r="1484" customFormat="false" ht="15" hidden="false" customHeight="false" outlineLevel="0" collapsed="false">
      <c r="A1484" s="71"/>
      <c r="B1484" s="72"/>
      <c r="C1484" s="72"/>
      <c r="D1484" s="72"/>
      <c r="E1484" s="78" t="str">
        <f aca="false">IF(OR(B1484="",C1484=""),"",DATE(B1484,1,4)-WEEKDAY(DATE(B1484,1,4),2)+1+(C1484-1)*7)</f>
        <v/>
      </c>
      <c r="F1484" s="71"/>
    </row>
    <row r="1485" customFormat="false" ht="15" hidden="false" customHeight="false" outlineLevel="0" collapsed="false">
      <c r="A1485" s="71"/>
      <c r="B1485" s="72"/>
      <c r="C1485" s="72"/>
      <c r="D1485" s="72"/>
      <c r="E1485" s="78" t="str">
        <f aca="false">IF(OR(B1485="",C1485=""),"",DATE(B1485,1,4)-WEEKDAY(DATE(B1485,1,4),2)+1+(C1485-1)*7)</f>
        <v/>
      </c>
      <c r="F1485" s="71"/>
    </row>
    <row r="1486" customFormat="false" ht="15" hidden="false" customHeight="false" outlineLevel="0" collapsed="false">
      <c r="A1486" s="71"/>
      <c r="B1486" s="72"/>
      <c r="C1486" s="72"/>
      <c r="D1486" s="72"/>
      <c r="E1486" s="78" t="str">
        <f aca="false">IF(OR(B1486="",C1486=""),"",DATE(B1486,1,4)-WEEKDAY(DATE(B1486,1,4),2)+1+(C1486-1)*7)</f>
        <v/>
      </c>
      <c r="F1486" s="71"/>
    </row>
    <row r="1487" customFormat="false" ht="15" hidden="false" customHeight="false" outlineLevel="0" collapsed="false">
      <c r="A1487" s="71"/>
      <c r="B1487" s="72"/>
      <c r="C1487" s="72"/>
      <c r="D1487" s="72"/>
      <c r="E1487" s="78" t="str">
        <f aca="false">IF(OR(B1487="",C1487=""),"",DATE(B1487,1,4)-WEEKDAY(DATE(B1487,1,4),2)+1+(C1487-1)*7)</f>
        <v/>
      </c>
      <c r="F1487" s="71"/>
    </row>
    <row r="1488" customFormat="false" ht="15" hidden="false" customHeight="false" outlineLevel="0" collapsed="false">
      <c r="A1488" s="71"/>
      <c r="B1488" s="72"/>
      <c r="C1488" s="72"/>
      <c r="D1488" s="72"/>
      <c r="E1488" s="78" t="str">
        <f aca="false">IF(OR(B1488="",C1488=""),"",DATE(B1488,1,4)-WEEKDAY(DATE(B1488,1,4),2)+1+(C1488-1)*7)</f>
        <v/>
      </c>
      <c r="F1488" s="71"/>
    </row>
    <row r="1489" customFormat="false" ht="15" hidden="false" customHeight="false" outlineLevel="0" collapsed="false">
      <c r="A1489" s="71"/>
      <c r="B1489" s="72"/>
      <c r="C1489" s="72"/>
      <c r="D1489" s="72"/>
      <c r="E1489" s="78" t="str">
        <f aca="false">IF(OR(B1489="",C1489=""),"",DATE(B1489,1,4)-WEEKDAY(DATE(B1489,1,4),2)+1+(C1489-1)*7)</f>
        <v/>
      </c>
      <c r="F1489" s="71"/>
    </row>
    <row r="1490" customFormat="false" ht="15" hidden="false" customHeight="false" outlineLevel="0" collapsed="false">
      <c r="A1490" s="71"/>
      <c r="B1490" s="72"/>
      <c r="C1490" s="72"/>
      <c r="D1490" s="72"/>
      <c r="E1490" s="78" t="str">
        <f aca="false">IF(OR(B1490="",C1490=""),"",DATE(B1490,1,4)-WEEKDAY(DATE(B1490,1,4),2)+1+(C1490-1)*7)</f>
        <v/>
      </c>
      <c r="F1490" s="71"/>
    </row>
    <row r="1491" customFormat="false" ht="15" hidden="false" customHeight="false" outlineLevel="0" collapsed="false">
      <c r="A1491" s="71"/>
      <c r="B1491" s="72"/>
      <c r="C1491" s="72"/>
      <c r="D1491" s="72"/>
      <c r="E1491" s="78" t="str">
        <f aca="false">IF(OR(B1491="",C1491=""),"",DATE(B1491,1,4)-WEEKDAY(DATE(B1491,1,4),2)+1+(C1491-1)*7)</f>
        <v/>
      </c>
      <c r="F1491" s="71"/>
    </row>
    <row r="1492" customFormat="false" ht="15" hidden="false" customHeight="false" outlineLevel="0" collapsed="false">
      <c r="A1492" s="71"/>
      <c r="B1492" s="72"/>
      <c r="C1492" s="72"/>
      <c r="D1492" s="72"/>
      <c r="E1492" s="78" t="str">
        <f aca="false">IF(OR(B1492="",C1492=""),"",DATE(B1492,1,4)-WEEKDAY(DATE(B1492,1,4),2)+1+(C1492-1)*7)</f>
        <v/>
      </c>
      <c r="F1492" s="71"/>
    </row>
    <row r="1493" customFormat="false" ht="15" hidden="false" customHeight="false" outlineLevel="0" collapsed="false">
      <c r="A1493" s="71"/>
      <c r="B1493" s="72"/>
      <c r="C1493" s="72"/>
      <c r="D1493" s="72"/>
      <c r="E1493" s="78" t="str">
        <f aca="false">IF(OR(B1493="",C1493=""),"",DATE(B1493,1,4)-WEEKDAY(DATE(B1493,1,4),2)+1+(C1493-1)*7)</f>
        <v/>
      </c>
      <c r="F1493" s="71"/>
    </row>
    <row r="1494" customFormat="false" ht="15" hidden="false" customHeight="false" outlineLevel="0" collapsed="false">
      <c r="A1494" s="71"/>
      <c r="B1494" s="72"/>
      <c r="C1494" s="72"/>
      <c r="D1494" s="72"/>
      <c r="E1494" s="78" t="str">
        <f aca="false">IF(OR(B1494="",C1494=""),"",DATE(B1494,1,4)-WEEKDAY(DATE(B1494,1,4),2)+1+(C1494-1)*7)</f>
        <v/>
      </c>
      <c r="F1494" s="71"/>
    </row>
    <row r="1495" customFormat="false" ht="15" hidden="false" customHeight="false" outlineLevel="0" collapsed="false">
      <c r="A1495" s="71"/>
      <c r="B1495" s="72"/>
      <c r="C1495" s="72"/>
      <c r="D1495" s="72"/>
      <c r="E1495" s="78" t="str">
        <f aca="false">IF(OR(B1495="",C1495=""),"",DATE(B1495,1,4)-WEEKDAY(DATE(B1495,1,4),2)+1+(C1495-1)*7)</f>
        <v/>
      </c>
      <c r="F1495" s="71"/>
    </row>
    <row r="1496" customFormat="false" ht="15" hidden="false" customHeight="false" outlineLevel="0" collapsed="false">
      <c r="A1496" s="71"/>
      <c r="B1496" s="72"/>
      <c r="C1496" s="72"/>
      <c r="D1496" s="72"/>
      <c r="E1496" s="78" t="str">
        <f aca="false">IF(OR(B1496="",C1496=""),"",DATE(B1496,1,4)-WEEKDAY(DATE(B1496,1,4),2)+1+(C1496-1)*7)</f>
        <v/>
      </c>
      <c r="F1496" s="71"/>
    </row>
    <row r="1497" customFormat="false" ht="15" hidden="false" customHeight="false" outlineLevel="0" collapsed="false">
      <c r="A1497" s="71"/>
      <c r="B1497" s="72"/>
      <c r="C1497" s="72"/>
      <c r="D1497" s="72"/>
      <c r="E1497" s="78" t="str">
        <f aca="false">IF(OR(B1497="",C1497=""),"",DATE(B1497,1,4)-WEEKDAY(DATE(B1497,1,4),2)+1+(C1497-1)*7)</f>
        <v/>
      </c>
      <c r="F1497" s="71"/>
    </row>
    <row r="1498" customFormat="false" ht="15" hidden="false" customHeight="false" outlineLevel="0" collapsed="false">
      <c r="A1498" s="71"/>
      <c r="B1498" s="72"/>
      <c r="C1498" s="72"/>
      <c r="D1498" s="72"/>
      <c r="E1498" s="78" t="str">
        <f aca="false">IF(OR(B1498="",C1498=""),"",DATE(B1498,1,4)-WEEKDAY(DATE(B1498,1,4),2)+1+(C1498-1)*7)</f>
        <v/>
      </c>
      <c r="F1498" s="71"/>
    </row>
    <row r="1499" customFormat="false" ht="15" hidden="false" customHeight="false" outlineLevel="0" collapsed="false">
      <c r="A1499" s="71"/>
      <c r="B1499" s="72"/>
      <c r="C1499" s="72"/>
      <c r="D1499" s="72"/>
      <c r="E1499" s="78" t="str">
        <f aca="false">IF(OR(B1499="",C1499=""),"",DATE(B1499,1,4)-WEEKDAY(DATE(B1499,1,4),2)+1+(C1499-1)*7)</f>
        <v/>
      </c>
      <c r="F1499" s="71"/>
    </row>
    <row r="1500" customFormat="false" ht="15" hidden="false" customHeight="false" outlineLevel="0" collapsed="false">
      <c r="A1500" s="71"/>
      <c r="B1500" s="72"/>
      <c r="C1500" s="72"/>
      <c r="D1500" s="72"/>
      <c r="E1500" s="78" t="str">
        <f aca="false">IF(OR(B1500="",C1500=""),"",DATE(B1500,1,4)-WEEKDAY(DATE(B1500,1,4),2)+1+(C1500-1)*7)</f>
        <v/>
      </c>
      <c r="F1500" s="71"/>
    </row>
    <row r="1501" customFormat="false" ht="15" hidden="false" customHeight="false" outlineLevel="0" collapsed="false">
      <c r="A1501" s="71"/>
      <c r="B1501" s="72"/>
      <c r="C1501" s="72"/>
      <c r="D1501" s="72"/>
      <c r="E1501" s="78" t="str">
        <f aca="false">IF(OR(B1501="",C1501=""),"",DATE(B1501,1,4)-WEEKDAY(DATE(B1501,1,4),2)+1+(C1501-1)*7)</f>
        <v/>
      </c>
      <c r="F1501" s="71"/>
    </row>
    <row r="1502" customFormat="false" ht="15" hidden="false" customHeight="false" outlineLevel="0" collapsed="false">
      <c r="A1502" s="71"/>
      <c r="B1502" s="72"/>
      <c r="C1502" s="72"/>
      <c r="D1502" s="72"/>
      <c r="E1502" s="78" t="str">
        <f aca="false">IF(OR(B1502="",C1502=""),"",DATE(B1502,1,4)-WEEKDAY(DATE(B1502,1,4),2)+1+(C1502-1)*7)</f>
        <v/>
      </c>
      <c r="F1502" s="71"/>
    </row>
    <row r="1503" customFormat="false" ht="15" hidden="false" customHeight="false" outlineLevel="0" collapsed="false">
      <c r="A1503" s="71"/>
      <c r="B1503" s="72"/>
      <c r="C1503" s="72"/>
      <c r="D1503" s="72"/>
      <c r="E1503" s="78" t="str">
        <f aca="false">IF(OR(B1503="",C1503=""),"",DATE(B1503,1,4)-WEEKDAY(DATE(B1503,1,4),2)+1+(C1503-1)*7)</f>
        <v/>
      </c>
      <c r="F1503" s="71"/>
    </row>
    <row r="1504" customFormat="false" ht="15" hidden="false" customHeight="false" outlineLevel="0" collapsed="false">
      <c r="A1504" s="71"/>
      <c r="B1504" s="72"/>
      <c r="C1504" s="72"/>
      <c r="D1504" s="72"/>
      <c r="E1504" s="78" t="str">
        <f aca="false">IF(OR(B1504="",C1504=""),"",DATE(B1504,1,4)-WEEKDAY(DATE(B1504,1,4),2)+1+(C1504-1)*7)</f>
        <v/>
      </c>
      <c r="F1504" s="71"/>
    </row>
    <row r="1505" customFormat="false" ht="15" hidden="false" customHeight="false" outlineLevel="0" collapsed="false">
      <c r="A1505" s="71"/>
      <c r="B1505" s="72"/>
      <c r="C1505" s="72"/>
      <c r="D1505" s="72"/>
      <c r="E1505" s="78" t="str">
        <f aca="false">IF(OR(B1505="",C1505=""),"",DATE(B1505,1,4)-WEEKDAY(DATE(B1505,1,4),2)+1+(C1505-1)*7)</f>
        <v/>
      </c>
      <c r="F1505" s="71"/>
    </row>
  </sheetData>
  <autoFilter ref="A5:F1505"/>
  <dataValidations count="1">
    <dataValidation allowBlank="true" errorStyle="stop" operator="between" showDropDown="false" showErrorMessage="false" showInputMessage="false" sqref="A6:A1505" type="list">
      <formula1>Contracts!$A$6:$A$65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true" outlineLevel="0" max="9" min="9" style="0" width="13"/>
  </cols>
  <sheetData>
    <row r="1" customFormat="false" ht="19.7" hidden="false" customHeight="false" outlineLevel="0" collapsed="false">
      <c r="A1" s="66" t="s">
        <v>174</v>
      </c>
    </row>
    <row r="2" customFormat="false" ht="15" hidden="false" customHeight="false" outlineLevel="0" collapsed="false">
      <c r="A2" s="67" t="s">
        <v>175</v>
      </c>
    </row>
    <row r="3" customFormat="false" ht="15" hidden="false" customHeight="false" outlineLevel="0" collapsed="false">
      <c r="A3" s="79" t="s">
        <v>176</v>
      </c>
    </row>
    <row r="5" customFormat="false" ht="15" hidden="false" customHeight="false" outlineLevel="0" collapsed="false">
      <c r="A5" s="68" t="s">
        <v>30</v>
      </c>
      <c r="B5" s="68" t="s">
        <v>35</v>
      </c>
      <c r="C5" s="68" t="s">
        <v>19</v>
      </c>
      <c r="D5" s="68" t="s">
        <v>177</v>
      </c>
      <c r="E5" s="68" t="s">
        <v>32</v>
      </c>
      <c r="F5" s="68" t="s">
        <v>178</v>
      </c>
      <c r="G5" s="69" t="s">
        <v>20</v>
      </c>
      <c r="H5" s="69" t="s">
        <v>179</v>
      </c>
      <c r="I5" s="61" t="s">
        <v>180</v>
      </c>
    </row>
    <row r="6" customFormat="false" ht="15" hidden="false" customHeight="false" outlineLevel="0" collapsed="false">
      <c r="A6" s="80" t="n">
        <v>46132</v>
      </c>
      <c r="B6" s="71" t="s">
        <v>3</v>
      </c>
      <c r="C6" s="71" t="s">
        <v>108</v>
      </c>
      <c r="D6" s="81" t="n">
        <v>3</v>
      </c>
      <c r="E6" s="71"/>
      <c r="F6" s="71" t="s">
        <v>181</v>
      </c>
      <c r="G6" s="82" t="str">
        <f aca="false">IF(C6="","",IFERROR(INDEX('Kit Lists'!$D$6:$D$605,MATCH(B6&amp;"|"&amp;C6,'Kit Lists'!$J$6:$J$605,0)),"Not on this contract's kit list"))</f>
        <v>R5B PSB SUB ASSEMBLY 4P-4FP</v>
      </c>
      <c r="H6" s="83" t="str">
        <f aca="false">IF(AND(B6="",C6="",D6=""),"",IF(B6="","Missing contract",IF(C6="","Missing code",IF(LEFT(G6,3)="Not","Wrong code",IF(D6="","Missing qty",IF(A6="","Missing date",""))))))</f>
        <v/>
      </c>
      <c r="I6" s="84" t="n">
        <f aca="false">IF(B6=Dashboard!$D$3,ROW(),"")</f>
        <v>6</v>
      </c>
    </row>
    <row r="7" customFormat="false" ht="15" hidden="false" customHeight="false" outlineLevel="0" collapsed="false">
      <c r="A7" s="80" t="n">
        <v>46148</v>
      </c>
      <c r="B7" s="71" t="s">
        <v>3</v>
      </c>
      <c r="C7" s="71" t="s">
        <v>103</v>
      </c>
      <c r="D7" s="81" t="n">
        <v>1</v>
      </c>
      <c r="E7" s="71"/>
      <c r="F7" s="71" t="s">
        <v>181</v>
      </c>
      <c r="G7" s="82" t="str">
        <f aca="false">IF(C7="","",IFERROR(INDEX('Kit Lists'!$D$6:$D$605,MATCH(B7&amp;"|"&amp;C7,'Kit Lists'!$J$6:$J$605,0)),"Not on this contract's kit list"))</f>
        <v>R5B LASER ASSEMBLY 4P BOAT 1 - E2A</v>
      </c>
      <c r="H7" s="83" t="str">
        <f aca="false">IF(AND(B7="",C7="",D7=""),"",IF(B7="","Missing contract",IF(C7="","Missing code",IF(LEFT(G7,3)="Not","Wrong code",IF(D7="","Missing qty",IF(A7="","Missing date",""))))))</f>
        <v/>
      </c>
      <c r="I7" s="84" t="n">
        <f aca="false">IF(B7=Dashboard!$D$3,ROW(),"")</f>
        <v>7</v>
      </c>
    </row>
    <row r="8" customFormat="false" ht="15" hidden="false" customHeight="false" outlineLevel="0" collapsed="false">
      <c r="A8" s="80" t="n">
        <v>46148</v>
      </c>
      <c r="B8" s="71" t="s">
        <v>3</v>
      </c>
      <c r="C8" s="71" t="s">
        <v>105</v>
      </c>
      <c r="D8" s="81" t="n">
        <v>2</v>
      </c>
      <c r="E8" s="71"/>
      <c r="F8" s="71" t="s">
        <v>181</v>
      </c>
      <c r="G8" s="82" t="str">
        <f aca="false">IF(C8="","",IFERROR(INDEX('Kit Lists'!$D$6:$D$605,MATCH(B8&amp;"|"&amp;C8,'Kit Lists'!$J$6:$J$605,0)),"Not on this contract's kit list"))</f>
        <v>R5B LASER ASSEMBLY 4P BOAT 2/3 - E2A</v>
      </c>
      <c r="H8" s="83" t="str">
        <f aca="false">IF(AND(B8="",C8="",D8=""),"",IF(B8="","Missing contract",IF(C8="","Missing code",IF(LEFT(G8,3)="Not","Wrong code",IF(D8="","Missing qty",IF(A8="","Missing date",""))))))</f>
        <v/>
      </c>
      <c r="I8" s="84" t="n">
        <f aca="false">IF(B8=Dashboard!$D$3,ROW(),"")</f>
        <v>8</v>
      </c>
    </row>
    <row r="9" customFormat="false" ht="15" hidden="false" customHeight="false" outlineLevel="0" collapsed="false">
      <c r="A9" s="80" t="n">
        <v>46148</v>
      </c>
      <c r="B9" s="71" t="s">
        <v>3</v>
      </c>
      <c r="C9" s="71" t="s">
        <v>116</v>
      </c>
      <c r="D9" s="81" t="n">
        <v>3</v>
      </c>
      <c r="E9" s="71"/>
      <c r="F9" s="71" t="s">
        <v>181</v>
      </c>
      <c r="G9" s="82" t="str">
        <f aca="false">IF(C9="","",IFERROR(INDEX('Kit Lists'!$D$6:$D$605,MATCH(B9&amp;"|"&amp;C9,'Kit Lists'!$J$6:$J$605,0)),"Not on this contract's kit list"))</f>
        <v>R5B 4FP POB LUMENTUM SUB ASSEMBLY - E2A</v>
      </c>
      <c r="H9" s="83" t="str">
        <f aca="false">IF(AND(B9="",C9="",D9=""),"",IF(B9="","Missing contract",IF(C9="","Missing code",IF(LEFT(G9,3)="Not","Wrong code",IF(D9="","Missing qty",IF(A9="","Missing date",""))))))</f>
        <v/>
      </c>
      <c r="I9" s="84" t="n">
        <f aca="false">IF(B9=Dashboard!$D$3,ROW(),"")</f>
        <v>9</v>
      </c>
    </row>
    <row r="10" customFormat="false" ht="15" hidden="false" customHeight="false" outlineLevel="0" collapsed="false">
      <c r="A10" s="80" t="n">
        <v>46156</v>
      </c>
      <c r="B10" s="71" t="s">
        <v>3</v>
      </c>
      <c r="C10" s="71" t="s">
        <v>111</v>
      </c>
      <c r="D10" s="81" t="n">
        <v>1</v>
      </c>
      <c r="E10" s="71"/>
      <c r="F10" s="71" t="s">
        <v>181</v>
      </c>
      <c r="G10" s="82" t="str">
        <f aca="false">IF(C10="","",IFERROR(INDEX('Kit Lists'!$D$6:$D$605,MATCH(B10&amp;"|"&amp;C10,'Kit Lists'!$J$6:$J$605,0)),"Not on this contract's kit list"))</f>
        <v>R5B OPF ASSEMBLY (4P-4FP) BOAT 1 - E2A</v>
      </c>
      <c r="H10" s="83" t="str">
        <f aca="false">IF(AND(B10="",C10="",D10=""),"",IF(B10="","Missing contract",IF(C10="","Missing code",IF(LEFT(G10,3)="Not","Wrong code",IF(D10="","Missing qty",IF(A10="","Missing date",""))))))</f>
        <v/>
      </c>
      <c r="I10" s="84" t="n">
        <f aca="false">IF(B10=Dashboard!$D$3,ROW(),"")</f>
        <v>10</v>
      </c>
    </row>
    <row r="11" customFormat="false" ht="15" hidden="false" customHeight="false" outlineLevel="0" collapsed="false">
      <c r="A11" s="80" t="n">
        <v>46156</v>
      </c>
      <c r="B11" s="71" t="s">
        <v>3</v>
      </c>
      <c r="C11" s="71" t="s">
        <v>113</v>
      </c>
      <c r="D11" s="81" t="n">
        <v>2</v>
      </c>
      <c r="E11" s="71"/>
      <c r="F11" s="71" t="s">
        <v>181</v>
      </c>
      <c r="G11" s="82" t="str">
        <f aca="false">IF(C11="","",IFERROR(INDEX('Kit Lists'!$D$6:$D$605,MATCH(B11&amp;"|"&amp;C11,'Kit Lists'!$J$6:$J$605,0)),"Not on this contract's kit list"))</f>
        <v>R5B OPF ASSEMBLY (4P-4FP) BOAT 2/3 - E2A</v>
      </c>
      <c r="H11" s="83" t="str">
        <f aca="false">IF(AND(B11="",C11="",D11=""),"",IF(B11="","Missing contract",IF(C11="","Missing code",IF(LEFT(G11,3)="Not","Wrong code",IF(D11="","Missing qty",IF(A11="","Missing date",""))))))</f>
        <v/>
      </c>
      <c r="I11" s="84" t="n">
        <f aca="false">IF(B11=Dashboard!$D$3,ROW(),"")</f>
        <v>11</v>
      </c>
    </row>
    <row r="12" customFormat="false" ht="15" hidden="false" customHeight="false" outlineLevel="0" collapsed="false">
      <c r="A12" s="80" t="n">
        <v>46156</v>
      </c>
      <c r="B12" s="71" t="s">
        <v>3</v>
      </c>
      <c r="C12" s="71" t="s">
        <v>130</v>
      </c>
      <c r="D12" s="81" t="n">
        <v>1</v>
      </c>
      <c r="E12" s="71"/>
      <c r="F12" s="71" t="s">
        <v>181</v>
      </c>
      <c r="G12" s="82" t="str">
        <f aca="false">IF(C12="","",IFERROR(INDEX('Kit Lists'!$D$6:$D$605,MATCH(B12&amp;"|"&amp;C12,'Kit Lists'!$J$6:$J$605,0)),"Not on this contract's kit list"))</f>
        <v>R5B BOAT 1 ASSY (4P-4FP)</v>
      </c>
      <c r="H12" s="83" t="str">
        <f aca="false">IF(AND(B12="",C12="",D12=""),"",IF(B12="","Missing contract",IF(C12="","Missing code",IF(LEFT(G12,3)="Not","Wrong code",IF(D12="","Missing qty",IF(A12="","Missing date",""))))))</f>
        <v/>
      </c>
      <c r="I12" s="84" t="n">
        <f aca="false">IF(B12=Dashboard!$D$3,ROW(),"")</f>
        <v>12</v>
      </c>
    </row>
    <row r="13" customFormat="false" ht="15" hidden="false" customHeight="false" outlineLevel="0" collapsed="false">
      <c r="A13" s="80" t="n">
        <v>46158</v>
      </c>
      <c r="B13" s="71" t="s">
        <v>3</v>
      </c>
      <c r="C13" s="71" t="s">
        <v>134</v>
      </c>
      <c r="D13" s="81" t="n">
        <v>1</v>
      </c>
      <c r="E13" s="71"/>
      <c r="F13" s="71" t="s">
        <v>181</v>
      </c>
      <c r="G13" s="82" t="str">
        <f aca="false">IF(C13="","",IFERROR(INDEX('Kit Lists'!$D$6:$D$605,MATCH(B13&amp;"|"&amp;C13,'Kit Lists'!$J$6:$J$605,0)),"Not on this contract's kit list"))</f>
        <v>R5B BOAT 3 ASSY (4P-4FP)</v>
      </c>
      <c r="H13" s="83" t="str">
        <f aca="false">IF(AND(B13="",C13="",D13=""),"",IF(B13="","Missing contract",IF(C13="","Missing code",IF(LEFT(G13,3)="Not","Wrong code",IF(D13="","Missing qty",IF(A13="","Missing date",""))))))</f>
        <v/>
      </c>
      <c r="I13" s="84" t="n">
        <f aca="false">IF(B13=Dashboard!$D$3,ROW(),"")</f>
        <v>13</v>
      </c>
    </row>
    <row r="14" customFormat="false" ht="15" hidden="false" customHeight="false" outlineLevel="0" collapsed="false">
      <c r="A14" s="80" t="n">
        <v>46160</v>
      </c>
      <c r="B14" s="71" t="s">
        <v>3</v>
      </c>
      <c r="C14" s="71" t="s">
        <v>132</v>
      </c>
      <c r="D14" s="81" t="n">
        <v>1</v>
      </c>
      <c r="E14" s="71"/>
      <c r="F14" s="71" t="s">
        <v>181</v>
      </c>
      <c r="G14" s="82" t="str">
        <f aca="false">IF(C14="","",IFERROR(INDEX('Kit Lists'!$D$6:$D$605,MATCH(B14&amp;"|"&amp;C14,'Kit Lists'!$J$6:$J$605,0)),"Not on this contract's kit list"))</f>
        <v>R5B BOAT 2 ASSY (4P-4FP)</v>
      </c>
      <c r="H14" s="83" t="str">
        <f aca="false">IF(AND(B14="",C14="",D14=""),"",IF(B14="","Missing contract",IF(C14="","Missing code",IF(LEFT(G14,3)="Not","Wrong code",IF(D14="","Missing qty",IF(A14="","Missing date",""))))))</f>
        <v/>
      </c>
      <c r="I14" s="84" t="n">
        <f aca="false">IF(B14=Dashboard!$D$3,ROW(),"")</f>
        <v>14</v>
      </c>
    </row>
    <row r="15" customFormat="false" ht="15" hidden="false" customHeight="false" outlineLevel="0" collapsed="false">
      <c r="A15" s="80" t="n">
        <v>46160</v>
      </c>
      <c r="B15" s="71" t="s">
        <v>3</v>
      </c>
      <c r="C15" s="71" t="s">
        <v>103</v>
      </c>
      <c r="D15" s="81" t="n">
        <v>1</v>
      </c>
      <c r="E15" s="71"/>
      <c r="F15" s="71" t="s">
        <v>182</v>
      </c>
      <c r="G15" s="82" t="str">
        <f aca="false">IF(C15="","",IFERROR(INDEX('Kit Lists'!$D$6:$D$605,MATCH(B15&amp;"|"&amp;C15,'Kit Lists'!$J$6:$J$605,0)),"Not on this contract's kit list"))</f>
        <v>R5B LASER ASSEMBLY 4P BOAT 1 - E2A</v>
      </c>
      <c r="H15" s="83" t="str">
        <f aca="false">IF(AND(B15="",C15="",D15=""),"",IF(B15="","Missing contract",IF(C15="","Missing code",IF(LEFT(G15,3)="Not","Wrong code",IF(D15="","Missing qty",IF(A15="","Missing date",""))))))</f>
        <v/>
      </c>
      <c r="I15" s="84" t="n">
        <f aca="false">IF(B15=Dashboard!$D$3,ROW(),"")</f>
        <v>15</v>
      </c>
    </row>
    <row r="16" customFormat="false" ht="15" hidden="false" customHeight="false" outlineLevel="0" collapsed="false">
      <c r="A16" s="80" t="n">
        <v>46160</v>
      </c>
      <c r="B16" s="71" t="s">
        <v>3</v>
      </c>
      <c r="C16" s="71" t="s">
        <v>108</v>
      </c>
      <c r="D16" s="81" t="n">
        <v>3</v>
      </c>
      <c r="E16" s="71"/>
      <c r="F16" s="71" t="s">
        <v>182</v>
      </c>
      <c r="G16" s="82" t="str">
        <f aca="false">IF(C16="","",IFERROR(INDEX('Kit Lists'!$D$6:$D$605,MATCH(B16&amp;"|"&amp;C16,'Kit Lists'!$J$6:$J$605,0)),"Not on this contract's kit list"))</f>
        <v>R5B PSB SUB ASSEMBLY 4P-4FP</v>
      </c>
      <c r="H16" s="83" t="str">
        <f aca="false">IF(AND(B16="",C16="",D16=""),"",IF(B16="","Missing contract",IF(C16="","Missing code",IF(LEFT(G16,3)="Not","Wrong code",IF(D16="","Missing qty",IF(A16="","Missing date",""))))))</f>
        <v/>
      </c>
      <c r="I16" s="84" t="n">
        <f aca="false">IF(B16=Dashboard!$D$3,ROW(),"")</f>
        <v>16</v>
      </c>
    </row>
    <row r="17" customFormat="false" ht="15" hidden="false" customHeight="false" outlineLevel="0" collapsed="false">
      <c r="A17" s="80" t="n">
        <v>46161</v>
      </c>
      <c r="B17" s="71" t="s">
        <v>3</v>
      </c>
      <c r="C17" s="71" t="s">
        <v>105</v>
      </c>
      <c r="D17" s="81" t="n">
        <v>2</v>
      </c>
      <c r="E17" s="71"/>
      <c r="F17" s="71" t="s">
        <v>182</v>
      </c>
      <c r="G17" s="82" t="str">
        <f aca="false">IF(C17="","",IFERROR(INDEX('Kit Lists'!$D$6:$D$605,MATCH(B17&amp;"|"&amp;C17,'Kit Lists'!$J$6:$J$605,0)),"Not on this contract's kit list"))</f>
        <v>R5B LASER ASSEMBLY 4P BOAT 2/3 - E2A</v>
      </c>
      <c r="H17" s="83" t="str">
        <f aca="false">IF(AND(B17="",C17="",D17=""),"",IF(B17="","Missing contract",IF(C17="","Missing code",IF(LEFT(G17,3)="Not","Wrong code",IF(D17="","Missing qty",IF(A17="","Missing date",""))))))</f>
        <v/>
      </c>
      <c r="I17" s="84" t="n">
        <f aca="false">IF(B17=Dashboard!$D$3,ROW(),"")</f>
        <v>17</v>
      </c>
    </row>
    <row r="18" customFormat="false" ht="15" hidden="false" customHeight="false" outlineLevel="0" collapsed="false">
      <c r="A18" s="80" t="n">
        <v>46162</v>
      </c>
      <c r="B18" s="71" t="s">
        <v>3</v>
      </c>
      <c r="C18" s="71" t="s">
        <v>116</v>
      </c>
      <c r="D18" s="81" t="n">
        <v>3</v>
      </c>
      <c r="E18" s="71"/>
      <c r="F18" s="71" t="s">
        <v>182</v>
      </c>
      <c r="G18" s="82" t="str">
        <f aca="false">IF(C18="","",IFERROR(INDEX('Kit Lists'!$D$6:$D$605,MATCH(B18&amp;"|"&amp;C18,'Kit Lists'!$J$6:$J$605,0)),"Not on this contract's kit list"))</f>
        <v>R5B 4FP POB LUMENTUM SUB ASSEMBLY - E2A</v>
      </c>
      <c r="H18" s="83" t="str">
        <f aca="false">IF(AND(B18="",C18="",D18=""),"",IF(B18="","Missing contract",IF(C18="","Missing code",IF(LEFT(G18,3)="Not","Wrong code",IF(D18="","Missing qty",IF(A18="","Missing date",""))))))</f>
        <v/>
      </c>
      <c r="I18" s="84" t="n">
        <f aca="false">IF(B18=Dashboard!$D$3,ROW(),"")</f>
        <v>18</v>
      </c>
    </row>
    <row r="19" customFormat="false" ht="15" hidden="false" customHeight="false" outlineLevel="0" collapsed="false">
      <c r="A19" s="80" t="n">
        <v>46163</v>
      </c>
      <c r="B19" s="71" t="s">
        <v>3</v>
      </c>
      <c r="C19" s="71" t="s">
        <v>111</v>
      </c>
      <c r="D19" s="81" t="n">
        <v>1</v>
      </c>
      <c r="E19" s="71"/>
      <c r="F19" s="71" t="s">
        <v>182</v>
      </c>
      <c r="G19" s="82" t="str">
        <f aca="false">IF(C19="","",IFERROR(INDEX('Kit Lists'!$D$6:$D$605,MATCH(B19&amp;"|"&amp;C19,'Kit Lists'!$J$6:$J$605,0)),"Not on this contract's kit list"))</f>
        <v>R5B OPF ASSEMBLY (4P-4FP) BOAT 1 - E2A</v>
      </c>
      <c r="H19" s="83" t="str">
        <f aca="false">IF(AND(B19="",C19="",D19=""),"",IF(B19="","Missing contract",IF(C19="","Missing code",IF(LEFT(G19,3)="Not","Wrong code",IF(D19="","Missing qty",IF(A19="","Missing date",""))))))</f>
        <v/>
      </c>
      <c r="I19" s="84" t="n">
        <f aca="false">IF(B19=Dashboard!$D$3,ROW(),"")</f>
        <v>19</v>
      </c>
    </row>
    <row r="20" customFormat="false" ht="15" hidden="false" customHeight="false" outlineLevel="0" collapsed="false">
      <c r="A20" s="80" t="n">
        <v>46163</v>
      </c>
      <c r="B20" s="71" t="s">
        <v>3</v>
      </c>
      <c r="C20" s="71" t="s">
        <v>113</v>
      </c>
      <c r="D20" s="81" t="n">
        <v>2</v>
      </c>
      <c r="E20" s="71"/>
      <c r="F20" s="71" t="s">
        <v>182</v>
      </c>
      <c r="G20" s="82" t="str">
        <f aca="false">IF(C20="","",IFERROR(INDEX('Kit Lists'!$D$6:$D$605,MATCH(B20&amp;"|"&amp;C20,'Kit Lists'!$J$6:$J$605,0)),"Not on this contract's kit list"))</f>
        <v>R5B OPF ASSEMBLY (4P-4FP) BOAT 2/3 - E2A</v>
      </c>
      <c r="H20" s="83" t="str">
        <f aca="false">IF(AND(B20="",C20="",D20=""),"",IF(B20="","Missing contract",IF(C20="","Missing code",IF(LEFT(G20,3)="Not","Wrong code",IF(D20="","Missing qty",IF(A20="","Missing date",""))))))</f>
        <v/>
      </c>
      <c r="I20" s="84" t="n">
        <f aca="false">IF(B20=Dashboard!$D$3,ROW(),"")</f>
        <v>20</v>
      </c>
    </row>
    <row r="21" customFormat="false" ht="15" hidden="false" customHeight="false" outlineLevel="0" collapsed="false">
      <c r="A21" s="80" t="n">
        <v>46165</v>
      </c>
      <c r="B21" s="71" t="s">
        <v>3</v>
      </c>
      <c r="C21" s="71" t="s">
        <v>121</v>
      </c>
      <c r="D21" s="81" t="n">
        <v>3</v>
      </c>
      <c r="E21" s="71"/>
      <c r="F21" s="71" t="s">
        <v>181</v>
      </c>
      <c r="G21" s="82" t="str">
        <f aca="false">IF(C21="","",IFERROR(INDEX('Kit Lists'!$D$6:$D$605,MATCH(B21&amp;"|"&amp;C21,'Kit Lists'!$J$6:$J$605,0)),"Not on this contract's kit list"))</f>
        <v>R5B ERBIUM ASSEMBLY POSITION 1</v>
      </c>
      <c r="H21" s="83" t="str">
        <f aca="false">IF(AND(B21="",C21="",D21=""),"",IF(B21="","Missing contract",IF(C21="","Missing code",IF(LEFT(G21,3)="Not","Wrong code",IF(D21="","Missing qty",IF(A21="","Missing date",""))))))</f>
        <v/>
      </c>
      <c r="I21" s="84" t="n">
        <f aca="false">IF(B21=Dashboard!$D$3,ROW(),"")</f>
        <v>21</v>
      </c>
    </row>
    <row r="22" customFormat="false" ht="15" hidden="false" customHeight="false" outlineLevel="0" collapsed="false">
      <c r="A22" s="80" t="n">
        <v>46165</v>
      </c>
      <c r="B22" s="71" t="s">
        <v>3</v>
      </c>
      <c r="C22" s="71" t="s">
        <v>125</v>
      </c>
      <c r="D22" s="81" t="n">
        <v>3</v>
      </c>
      <c r="E22" s="71"/>
      <c r="F22" s="71" t="s">
        <v>181</v>
      </c>
      <c r="G22" s="82" t="str">
        <f aca="false">IF(C22="","",IFERROR(INDEX('Kit Lists'!$D$6:$D$605,MATCH(B22&amp;"|"&amp;C22,'Kit Lists'!$J$6:$J$605,0)),"Not on this contract's kit list"))</f>
        <v>R5B ERBIUM ASSEMBLY POSITION 3</v>
      </c>
      <c r="H22" s="83" t="str">
        <f aca="false">IF(AND(B22="",C22="",D22=""),"",IF(B22="","Missing contract",IF(C22="","Missing code",IF(LEFT(G22,3)="Not","Wrong code",IF(D22="","Missing qty",IF(A22="","Missing date",""))))))</f>
        <v/>
      </c>
      <c r="I22" s="84" t="n">
        <f aca="false">IF(B22=Dashboard!$D$3,ROW(),"")</f>
        <v>22</v>
      </c>
    </row>
    <row r="23" customFormat="false" ht="15" hidden="false" customHeight="false" outlineLevel="0" collapsed="false">
      <c r="A23" s="80" t="n">
        <v>46165</v>
      </c>
      <c r="B23" s="71" t="s">
        <v>3</v>
      </c>
      <c r="C23" s="71" t="s">
        <v>127</v>
      </c>
      <c r="D23" s="81" t="n">
        <v>3</v>
      </c>
      <c r="E23" s="71"/>
      <c r="F23" s="71" t="s">
        <v>181</v>
      </c>
      <c r="G23" s="82" t="str">
        <f aca="false">IF(C23="","",IFERROR(INDEX('Kit Lists'!$D$6:$D$605,MATCH(B23&amp;"|"&amp;C23,'Kit Lists'!$J$6:$J$605,0)),"Not on this contract's kit list"))</f>
        <v>R5B ERBIUM ASSEMBLY POSITION 4</v>
      </c>
      <c r="H23" s="83" t="str">
        <f aca="false">IF(AND(B23="",C23="",D23=""),"",IF(B23="","Missing contract",IF(C23="","Missing code",IF(LEFT(G23,3)="Not","Wrong code",IF(D23="","Missing qty",IF(A23="","Missing date",""))))))</f>
        <v/>
      </c>
      <c r="I23" s="84" t="n">
        <f aca="false">IF(B23=Dashboard!$D$3,ROW(),"")</f>
        <v>23</v>
      </c>
    </row>
    <row r="24" customFormat="false" ht="15" hidden="false" customHeight="false" outlineLevel="0" collapsed="false">
      <c r="A24" s="80" t="n">
        <v>46170</v>
      </c>
      <c r="B24" s="71" t="s">
        <v>3</v>
      </c>
      <c r="C24" s="71" t="s">
        <v>130</v>
      </c>
      <c r="D24" s="81" t="n">
        <v>1</v>
      </c>
      <c r="E24" s="71"/>
      <c r="F24" s="71" t="s">
        <v>182</v>
      </c>
      <c r="G24" s="82" t="str">
        <f aca="false">IF(C24="","",IFERROR(INDEX('Kit Lists'!$D$6:$D$605,MATCH(B24&amp;"|"&amp;C24,'Kit Lists'!$J$6:$J$605,0)),"Not on this contract's kit list"))</f>
        <v>R5B BOAT 1 ASSY (4P-4FP)</v>
      </c>
      <c r="H24" s="83" t="str">
        <f aca="false">IF(AND(B24="",C24="",D24=""),"",IF(B24="","Missing contract",IF(C24="","Missing code",IF(LEFT(G24,3)="Not","Wrong code",IF(D24="","Missing qty",IF(A24="","Missing date",""))))))</f>
        <v/>
      </c>
      <c r="I24" s="84" t="n">
        <f aca="false">IF(B24=Dashboard!$D$3,ROW(),"")</f>
        <v>24</v>
      </c>
    </row>
    <row r="25" customFormat="false" ht="15" hidden="false" customHeight="false" outlineLevel="0" collapsed="false">
      <c r="A25" s="80" t="n">
        <v>46170</v>
      </c>
      <c r="B25" s="71" t="s">
        <v>3</v>
      </c>
      <c r="C25" s="71" t="s">
        <v>132</v>
      </c>
      <c r="D25" s="81" t="n">
        <v>1</v>
      </c>
      <c r="E25" s="71"/>
      <c r="F25" s="71" t="s">
        <v>182</v>
      </c>
      <c r="G25" s="82" t="str">
        <f aca="false">IF(C25="","",IFERROR(INDEX('Kit Lists'!$D$6:$D$605,MATCH(B25&amp;"|"&amp;C25,'Kit Lists'!$J$6:$J$605,0)),"Not on this contract's kit list"))</f>
        <v>R5B BOAT 2 ASSY (4P-4FP)</v>
      </c>
      <c r="H25" s="83" t="str">
        <f aca="false">IF(AND(B25="",C25="",D25=""),"",IF(B25="","Missing contract",IF(C25="","Missing code",IF(LEFT(G25,3)="Not","Wrong code",IF(D25="","Missing qty",IF(A25="","Missing date",""))))))</f>
        <v/>
      </c>
      <c r="I25" s="84" t="n">
        <f aca="false">IF(B25=Dashboard!$D$3,ROW(),"")</f>
        <v>25</v>
      </c>
    </row>
    <row r="26" customFormat="false" ht="15" hidden="false" customHeight="false" outlineLevel="0" collapsed="false">
      <c r="A26" s="80" t="n">
        <v>46170</v>
      </c>
      <c r="B26" s="71" t="s">
        <v>3</v>
      </c>
      <c r="C26" s="71" t="s">
        <v>134</v>
      </c>
      <c r="D26" s="81" t="n">
        <v>1</v>
      </c>
      <c r="E26" s="71"/>
      <c r="F26" s="71" t="s">
        <v>182</v>
      </c>
      <c r="G26" s="82" t="str">
        <f aca="false">IF(C26="","",IFERROR(INDEX('Kit Lists'!$D$6:$D$605,MATCH(B26&amp;"|"&amp;C26,'Kit Lists'!$J$6:$J$605,0)),"Not on this contract's kit list"))</f>
        <v>R5B BOAT 3 ASSY (4P-4FP)</v>
      </c>
      <c r="H26" s="83" t="str">
        <f aca="false">IF(AND(B26="",C26="",D26=""),"",IF(B26="","Missing contract",IF(C26="","Missing code",IF(LEFT(G26,3)="Not","Wrong code",IF(D26="","Missing qty",IF(A26="","Missing date",""))))))</f>
        <v/>
      </c>
      <c r="I26" s="84" t="n">
        <f aca="false">IF(B26=Dashboard!$D$3,ROW(),"")</f>
        <v>26</v>
      </c>
    </row>
    <row r="27" customFormat="false" ht="15" hidden="false" customHeight="false" outlineLevel="0" collapsed="false">
      <c r="A27" s="80" t="n">
        <v>46170</v>
      </c>
      <c r="B27" s="71" t="s">
        <v>3</v>
      </c>
      <c r="C27" s="71" t="s">
        <v>103</v>
      </c>
      <c r="D27" s="81" t="n">
        <v>1</v>
      </c>
      <c r="E27" s="71"/>
      <c r="F27" s="71" t="s">
        <v>183</v>
      </c>
      <c r="G27" s="82" t="str">
        <f aca="false">IF(C27="","",IFERROR(INDEX('Kit Lists'!$D$6:$D$605,MATCH(B27&amp;"|"&amp;C27,'Kit Lists'!$J$6:$J$605,0)),"Not on this contract's kit list"))</f>
        <v>R5B LASER ASSEMBLY 4P BOAT 1 - E2A</v>
      </c>
      <c r="H27" s="83" t="str">
        <f aca="false">IF(AND(B27="",C27="",D27=""),"",IF(B27="","Missing contract",IF(C27="","Missing code",IF(LEFT(G27,3)="Not","Wrong code",IF(D27="","Missing qty",IF(A27="","Missing date",""))))))</f>
        <v/>
      </c>
      <c r="I27" s="84" t="n">
        <f aca="false">IF(B27=Dashboard!$D$3,ROW(),"")</f>
        <v>27</v>
      </c>
    </row>
    <row r="28" customFormat="false" ht="15" hidden="false" customHeight="false" outlineLevel="0" collapsed="false">
      <c r="A28" s="80" t="n">
        <v>46170</v>
      </c>
      <c r="B28" s="71" t="s">
        <v>3</v>
      </c>
      <c r="C28" s="71" t="s">
        <v>108</v>
      </c>
      <c r="D28" s="81" t="n">
        <v>3</v>
      </c>
      <c r="E28" s="71"/>
      <c r="F28" s="71" t="s">
        <v>183</v>
      </c>
      <c r="G28" s="82" t="str">
        <f aca="false">IF(C28="","",IFERROR(INDEX('Kit Lists'!$D$6:$D$605,MATCH(B28&amp;"|"&amp;C28,'Kit Lists'!$J$6:$J$605,0)),"Not on this contract's kit list"))</f>
        <v>R5B PSB SUB ASSEMBLY 4P-4FP</v>
      </c>
      <c r="H28" s="83" t="str">
        <f aca="false">IF(AND(B28="",C28="",D28=""),"",IF(B28="","Missing contract",IF(C28="","Missing code",IF(LEFT(G28,3)="Not","Wrong code",IF(D28="","Missing qty",IF(A28="","Missing date",""))))))</f>
        <v/>
      </c>
      <c r="I28" s="84" t="n">
        <f aca="false">IF(B28=Dashboard!$D$3,ROW(),"")</f>
        <v>28</v>
      </c>
    </row>
    <row r="29" customFormat="false" ht="15" hidden="false" customHeight="false" outlineLevel="0" collapsed="false">
      <c r="A29" s="80" t="n">
        <v>46171</v>
      </c>
      <c r="B29" s="71" t="s">
        <v>3</v>
      </c>
      <c r="C29" s="71" t="s">
        <v>105</v>
      </c>
      <c r="D29" s="81" t="n">
        <v>2</v>
      </c>
      <c r="E29" s="71"/>
      <c r="F29" s="71" t="s">
        <v>183</v>
      </c>
      <c r="G29" s="82" t="str">
        <f aca="false">IF(C29="","",IFERROR(INDEX('Kit Lists'!$D$6:$D$605,MATCH(B29&amp;"|"&amp;C29,'Kit Lists'!$J$6:$J$605,0)),"Not on this contract's kit list"))</f>
        <v>R5B LASER ASSEMBLY 4P BOAT 2/3 - E2A</v>
      </c>
      <c r="H29" s="83" t="str">
        <f aca="false">IF(AND(B29="",C29="",D29=""),"",IF(B29="","Missing contract",IF(C29="","Missing code",IF(LEFT(G29,3)="Not","Wrong code",IF(D29="","Missing qty",IF(A29="","Missing date",""))))))</f>
        <v/>
      </c>
      <c r="I29" s="84" t="n">
        <f aca="false">IF(B29=Dashboard!$D$3,ROW(),"")</f>
        <v>29</v>
      </c>
    </row>
    <row r="30" customFormat="false" ht="15" hidden="false" customHeight="false" outlineLevel="0" collapsed="false">
      <c r="A30" s="80" t="n">
        <v>46176</v>
      </c>
      <c r="B30" s="71" t="s">
        <v>3</v>
      </c>
      <c r="C30" s="71" t="s">
        <v>119</v>
      </c>
      <c r="D30" s="81" t="n">
        <v>24</v>
      </c>
      <c r="E30" s="71"/>
      <c r="F30" s="71" t="s">
        <v>181</v>
      </c>
      <c r="G30" s="82" t="str">
        <f aca="false">IF(C30="","",IFERROR(INDEX('Kit Lists'!$D$6:$D$605,MATCH(B30&amp;"|"&amp;C30,'Kit Lists'!$J$6:$J$605,0)),"Not on this contract's kit list"))</f>
        <v>R5B ERBIUM SPOOL ASSEMBLY - E2A</v>
      </c>
      <c r="H30" s="83" t="str">
        <f aca="false">IF(AND(B30="",C30="",D30=""),"",IF(B30="","Missing contract",IF(C30="","Missing code",IF(LEFT(G30,3)="Not","Wrong code",IF(D30="","Missing qty",IF(A30="","Missing date",""))))))</f>
        <v/>
      </c>
      <c r="I30" s="84" t="n">
        <f aca="false">IF(B30=Dashboard!$D$3,ROW(),"")</f>
        <v>30</v>
      </c>
    </row>
    <row r="31" customFormat="false" ht="15" hidden="false" customHeight="false" outlineLevel="0" collapsed="false">
      <c r="A31" s="80" t="n">
        <v>46176</v>
      </c>
      <c r="B31" s="71" t="s">
        <v>3</v>
      </c>
      <c r="C31" s="71" t="s">
        <v>121</v>
      </c>
      <c r="D31" s="81" t="n">
        <v>3</v>
      </c>
      <c r="E31" s="71"/>
      <c r="F31" s="71" t="s">
        <v>182</v>
      </c>
      <c r="G31" s="82" t="str">
        <f aca="false">IF(C31="","",IFERROR(INDEX('Kit Lists'!$D$6:$D$605,MATCH(B31&amp;"|"&amp;C31,'Kit Lists'!$J$6:$J$605,0)),"Not on this contract's kit list"))</f>
        <v>R5B ERBIUM ASSEMBLY POSITION 1</v>
      </c>
      <c r="H31" s="83" t="str">
        <f aca="false">IF(AND(B31="",C31="",D31=""),"",IF(B31="","Missing contract",IF(C31="","Missing code",IF(LEFT(G31,3)="Not","Wrong code",IF(D31="","Missing qty",IF(A31="","Missing date",""))))))</f>
        <v/>
      </c>
      <c r="I31" s="84" t="n">
        <f aca="false">IF(B31=Dashboard!$D$3,ROW(),"")</f>
        <v>31</v>
      </c>
    </row>
    <row r="32" customFormat="false" ht="15" hidden="false" customHeight="false" outlineLevel="0" collapsed="false">
      <c r="A32" s="80" t="n">
        <v>46176</v>
      </c>
      <c r="B32" s="71" t="s">
        <v>3</v>
      </c>
      <c r="C32" s="71" t="s">
        <v>125</v>
      </c>
      <c r="D32" s="81" t="n">
        <v>3</v>
      </c>
      <c r="E32" s="71"/>
      <c r="F32" s="71" t="s">
        <v>182</v>
      </c>
      <c r="G32" s="82" t="str">
        <f aca="false">IF(C32="","",IFERROR(INDEX('Kit Lists'!$D$6:$D$605,MATCH(B32&amp;"|"&amp;C32,'Kit Lists'!$J$6:$J$605,0)),"Not on this contract's kit list"))</f>
        <v>R5B ERBIUM ASSEMBLY POSITION 3</v>
      </c>
      <c r="H32" s="83" t="str">
        <f aca="false">IF(AND(B32="",C32="",D32=""),"",IF(B32="","Missing contract",IF(C32="","Missing code",IF(LEFT(G32,3)="Not","Wrong code",IF(D32="","Missing qty",IF(A32="","Missing date",""))))))</f>
        <v/>
      </c>
      <c r="I32" s="84" t="n">
        <f aca="false">IF(B32=Dashboard!$D$3,ROW(),"")</f>
        <v>32</v>
      </c>
    </row>
    <row r="33" customFormat="false" ht="15" hidden="false" customHeight="false" outlineLevel="0" collapsed="false">
      <c r="A33" s="80" t="n">
        <v>46176</v>
      </c>
      <c r="B33" s="71" t="s">
        <v>3</v>
      </c>
      <c r="C33" s="71" t="s">
        <v>127</v>
      </c>
      <c r="D33" s="81" t="n">
        <v>3</v>
      </c>
      <c r="E33" s="71"/>
      <c r="F33" s="71" t="s">
        <v>182</v>
      </c>
      <c r="G33" s="82" t="str">
        <f aca="false">IF(C33="","",IFERROR(INDEX('Kit Lists'!$D$6:$D$605,MATCH(B33&amp;"|"&amp;C33,'Kit Lists'!$J$6:$J$605,0)),"Not on this contract's kit list"))</f>
        <v>R5B ERBIUM ASSEMBLY POSITION 4</v>
      </c>
      <c r="H33" s="83" t="str">
        <f aca="false">IF(AND(B33="",C33="",D33=""),"",IF(B33="","Missing contract",IF(C33="","Missing code",IF(LEFT(G33,3)="Not","Wrong code",IF(D33="","Missing qty",IF(A33="","Missing date",""))))))</f>
        <v/>
      </c>
      <c r="I33" s="84" t="n">
        <f aca="false">IF(B33=Dashboard!$D$3,ROW(),"")</f>
        <v>33</v>
      </c>
    </row>
    <row r="34" customFormat="false" ht="15" hidden="false" customHeight="false" outlineLevel="0" collapsed="false">
      <c r="A34" s="80" t="n">
        <v>46177</v>
      </c>
      <c r="B34" s="71" t="s">
        <v>3</v>
      </c>
      <c r="C34" s="71" t="s">
        <v>123</v>
      </c>
      <c r="D34" s="81" t="n">
        <v>3</v>
      </c>
      <c r="E34" s="71"/>
      <c r="F34" s="71" t="s">
        <v>181</v>
      </c>
      <c r="G34" s="82" t="str">
        <f aca="false">IF(C34="","",IFERROR(INDEX('Kit Lists'!$D$6:$D$605,MATCH(B34&amp;"|"&amp;C34,'Kit Lists'!$J$6:$J$605,0)),"Not on this contract's kit list"))</f>
        <v>R5B ERBIUM ASSEMBLY POSITION 2</v>
      </c>
      <c r="H34" s="83" t="str">
        <f aca="false">IF(AND(B34="",C34="",D34=""),"",IF(B34="","Missing contract",IF(C34="","Missing code",IF(LEFT(G34,3)="Not","Wrong code",IF(D34="","Missing qty",IF(A34="","Missing date",""))))))</f>
        <v/>
      </c>
      <c r="I34" s="84" t="n">
        <f aca="false">IF(B34=Dashboard!$D$3,ROW(),"")</f>
        <v>34</v>
      </c>
    </row>
    <row r="35" customFormat="false" ht="15" hidden="false" customHeight="false" outlineLevel="0" collapsed="false">
      <c r="A35" s="80" t="n">
        <v>46178</v>
      </c>
      <c r="B35" s="71" t="s">
        <v>3</v>
      </c>
      <c r="C35" s="71" t="s">
        <v>123</v>
      </c>
      <c r="D35" s="81" t="n">
        <v>3</v>
      </c>
      <c r="E35" s="71"/>
      <c r="F35" s="71" t="s">
        <v>182</v>
      </c>
      <c r="G35" s="82" t="str">
        <f aca="false">IF(C35="","",IFERROR(INDEX('Kit Lists'!$D$6:$D$605,MATCH(B35&amp;"|"&amp;C35,'Kit Lists'!$J$6:$J$605,0)),"Not on this contract's kit list"))</f>
        <v>R5B ERBIUM ASSEMBLY POSITION 2</v>
      </c>
      <c r="H35" s="83" t="str">
        <f aca="false">IF(AND(B35="",C35="",D35=""),"",IF(B35="","Missing contract",IF(C35="","Missing code",IF(LEFT(G35,3)="Not","Wrong code",IF(D35="","Missing qty",IF(A35="","Missing date",""))))))</f>
        <v/>
      </c>
      <c r="I35" s="84" t="n">
        <f aca="false">IF(B35=Dashboard!$D$3,ROW(),"")</f>
        <v>35</v>
      </c>
    </row>
    <row r="36" customFormat="false" ht="15" hidden="false" customHeight="false" outlineLevel="0" collapsed="false">
      <c r="A36" s="80" t="n">
        <v>46180</v>
      </c>
      <c r="B36" s="71" t="s">
        <v>3</v>
      </c>
      <c r="C36" s="71" t="s">
        <v>119</v>
      </c>
      <c r="D36" s="81" t="n">
        <v>24</v>
      </c>
      <c r="E36" s="71"/>
      <c r="F36" s="71" t="s">
        <v>182</v>
      </c>
      <c r="G36" s="82" t="str">
        <f aca="false">IF(C36="","",IFERROR(INDEX('Kit Lists'!$D$6:$D$605,MATCH(B36&amp;"|"&amp;C36,'Kit Lists'!$J$6:$J$605,0)),"Not on this contract's kit list"))</f>
        <v>R5B ERBIUM SPOOL ASSEMBLY - E2A</v>
      </c>
      <c r="H36" s="83" t="str">
        <f aca="false">IF(AND(B36="",C36="",D36=""),"",IF(B36="","Missing contract",IF(C36="","Missing code",IF(LEFT(G36,3)="Not","Wrong code",IF(D36="","Missing qty",IF(A36="","Missing date",""))))))</f>
        <v/>
      </c>
      <c r="I36" s="84" t="n">
        <f aca="false">IF(B36=Dashboard!$D$3,ROW(),"")</f>
        <v>36</v>
      </c>
    </row>
    <row r="37" customFormat="false" ht="15" hidden="false" customHeight="false" outlineLevel="0" collapsed="false">
      <c r="A37" s="80" t="n">
        <v>46182</v>
      </c>
      <c r="B37" s="71" t="s">
        <v>3</v>
      </c>
      <c r="C37" s="71" t="s">
        <v>111</v>
      </c>
      <c r="D37" s="81" t="n">
        <v>1</v>
      </c>
      <c r="E37" s="71"/>
      <c r="F37" s="71" t="s">
        <v>183</v>
      </c>
      <c r="G37" s="82" t="str">
        <f aca="false">IF(C37="","",IFERROR(INDEX('Kit Lists'!$D$6:$D$605,MATCH(B37&amp;"|"&amp;C37,'Kit Lists'!$J$6:$J$605,0)),"Not on this contract's kit list"))</f>
        <v>R5B OPF ASSEMBLY (4P-4FP) BOAT 1 - E2A</v>
      </c>
      <c r="H37" s="83" t="str">
        <f aca="false">IF(AND(B37="",C37="",D37=""),"",IF(B37="","Missing contract",IF(C37="","Missing code",IF(LEFT(G37,3)="Not","Wrong code",IF(D37="","Missing qty",IF(A37="","Missing date",""))))))</f>
        <v/>
      </c>
      <c r="I37" s="84" t="n">
        <f aca="false">IF(B37=Dashboard!$D$3,ROW(),"")</f>
        <v>37</v>
      </c>
    </row>
    <row r="38" customFormat="false" ht="15" hidden="false" customHeight="false" outlineLevel="0" collapsed="false">
      <c r="A38" s="80" t="n">
        <v>46182</v>
      </c>
      <c r="B38" s="71" t="s">
        <v>3</v>
      </c>
      <c r="C38" s="71" t="s">
        <v>113</v>
      </c>
      <c r="D38" s="81" t="n">
        <v>2</v>
      </c>
      <c r="E38" s="71"/>
      <c r="F38" s="71" t="s">
        <v>183</v>
      </c>
      <c r="G38" s="82" t="str">
        <f aca="false">IF(C38="","",IFERROR(INDEX('Kit Lists'!$D$6:$D$605,MATCH(B38&amp;"|"&amp;C38,'Kit Lists'!$J$6:$J$605,0)),"Not on this contract's kit list"))</f>
        <v>R5B OPF ASSEMBLY (4P-4FP) BOAT 2/3 - E2A</v>
      </c>
      <c r="H38" s="83" t="str">
        <f aca="false">IF(AND(B38="",C38="",D38=""),"",IF(B38="","Missing contract",IF(C38="","Missing code",IF(LEFT(G38,3)="Not","Wrong code",IF(D38="","Missing qty",IF(A38="","Missing date",""))))))</f>
        <v/>
      </c>
      <c r="I38" s="84" t="n">
        <f aca="false">IF(B38=Dashboard!$D$3,ROW(),"")</f>
        <v>38</v>
      </c>
    </row>
    <row r="39" customFormat="false" ht="15" hidden="false" customHeight="false" outlineLevel="0" collapsed="false">
      <c r="A39" s="80" t="n">
        <v>46182</v>
      </c>
      <c r="B39" s="71" t="s">
        <v>3</v>
      </c>
      <c r="C39" s="71" t="s">
        <v>116</v>
      </c>
      <c r="D39" s="81" t="n">
        <v>3</v>
      </c>
      <c r="E39" s="71"/>
      <c r="F39" s="71" t="s">
        <v>183</v>
      </c>
      <c r="G39" s="82" t="str">
        <f aca="false">IF(C39="","",IFERROR(INDEX('Kit Lists'!$D$6:$D$605,MATCH(B39&amp;"|"&amp;C39,'Kit Lists'!$J$6:$J$605,0)),"Not on this contract's kit list"))</f>
        <v>R5B 4FP POB LUMENTUM SUB ASSEMBLY - E2A</v>
      </c>
      <c r="H39" s="83" t="str">
        <f aca="false">IF(AND(B39="",C39="",D39=""),"",IF(B39="","Missing contract",IF(C39="","Missing code",IF(LEFT(G39,3)="Not","Wrong code",IF(D39="","Missing qty",IF(A39="","Missing date",""))))))</f>
        <v/>
      </c>
      <c r="I39" s="84" t="n">
        <f aca="false">IF(B39=Dashboard!$D$3,ROW(),"")</f>
        <v>39</v>
      </c>
    </row>
    <row r="40" customFormat="false" ht="15" hidden="false" customHeight="false" outlineLevel="0" collapsed="false">
      <c r="A40" s="80" t="n">
        <v>46188</v>
      </c>
      <c r="B40" s="71" t="s">
        <v>3</v>
      </c>
      <c r="C40" s="71" t="s">
        <v>108</v>
      </c>
      <c r="D40" s="81" t="n">
        <v>3</v>
      </c>
      <c r="E40" s="71"/>
      <c r="F40" s="71" t="s">
        <v>184</v>
      </c>
      <c r="G40" s="82" t="str">
        <f aca="false">IF(C40="","",IFERROR(INDEX('Kit Lists'!$D$6:$D$605,MATCH(B40&amp;"|"&amp;C40,'Kit Lists'!$J$6:$J$605,0)),"Not on this contract's kit list"))</f>
        <v>R5B PSB SUB ASSEMBLY 4P-4FP</v>
      </c>
      <c r="H40" s="83" t="str">
        <f aca="false">IF(AND(B40="",C40="",D40=""),"",IF(B40="","Missing contract",IF(C40="","Missing code",IF(LEFT(G40,3)="Not","Wrong code",IF(D40="","Missing qty",IF(A40="","Missing date",""))))))</f>
        <v/>
      </c>
      <c r="I40" s="84" t="n">
        <f aca="false">IF(B40=Dashboard!$D$3,ROW(),"")</f>
        <v>40</v>
      </c>
    </row>
    <row r="41" customFormat="false" ht="15" hidden="false" customHeight="false" outlineLevel="0" collapsed="false">
      <c r="A41" s="80" t="n">
        <v>46190</v>
      </c>
      <c r="B41" s="71" t="s">
        <v>3</v>
      </c>
      <c r="C41" s="71" t="s">
        <v>130</v>
      </c>
      <c r="D41" s="81" t="n">
        <v>1</v>
      </c>
      <c r="E41" s="71"/>
      <c r="F41" s="71" t="s">
        <v>183</v>
      </c>
      <c r="G41" s="82" t="str">
        <f aca="false">IF(C41="","",IFERROR(INDEX('Kit Lists'!$D$6:$D$605,MATCH(B41&amp;"|"&amp;C41,'Kit Lists'!$J$6:$J$605,0)),"Not on this contract's kit list"))</f>
        <v>R5B BOAT 1 ASSY (4P-4FP)</v>
      </c>
      <c r="H41" s="83" t="str">
        <f aca="false">IF(AND(B41="",C41="",D41=""),"",IF(B41="","Missing contract",IF(C41="","Missing code",IF(LEFT(G41,3)="Not","Wrong code",IF(D41="","Missing qty",IF(A41="","Missing date",""))))))</f>
        <v/>
      </c>
      <c r="I41" s="84" t="n">
        <f aca="false">IF(B41=Dashboard!$D$3,ROW(),"")</f>
        <v>41</v>
      </c>
    </row>
    <row r="42" customFormat="false" ht="15" hidden="false" customHeight="false" outlineLevel="0" collapsed="false">
      <c r="A42" s="80" t="n">
        <v>46190</v>
      </c>
      <c r="B42" s="71" t="s">
        <v>3</v>
      </c>
      <c r="C42" s="71" t="s">
        <v>132</v>
      </c>
      <c r="D42" s="81" t="n">
        <v>1</v>
      </c>
      <c r="E42" s="71"/>
      <c r="F42" s="71" t="s">
        <v>183</v>
      </c>
      <c r="G42" s="82" t="str">
        <f aca="false">IF(C42="","",IFERROR(INDEX('Kit Lists'!$D$6:$D$605,MATCH(B42&amp;"|"&amp;C42,'Kit Lists'!$J$6:$J$605,0)),"Not on this contract's kit list"))</f>
        <v>R5B BOAT 2 ASSY (4P-4FP)</v>
      </c>
      <c r="H42" s="83" t="str">
        <f aca="false">IF(AND(B42="",C42="",D42=""),"",IF(B42="","Missing contract",IF(C42="","Missing code",IF(LEFT(G42,3)="Not","Wrong code",IF(D42="","Missing qty",IF(A42="","Missing date",""))))))</f>
        <v/>
      </c>
      <c r="I42" s="84" t="n">
        <f aca="false">IF(B42=Dashboard!$D$3,ROW(),"")</f>
        <v>42</v>
      </c>
    </row>
    <row r="43" customFormat="false" ht="15" hidden="false" customHeight="false" outlineLevel="0" collapsed="false">
      <c r="A43" s="80" t="n">
        <v>46190</v>
      </c>
      <c r="B43" s="71" t="s">
        <v>3</v>
      </c>
      <c r="C43" s="71" t="s">
        <v>134</v>
      </c>
      <c r="D43" s="81" t="n">
        <v>1</v>
      </c>
      <c r="E43" s="71"/>
      <c r="F43" s="71" t="s">
        <v>183</v>
      </c>
      <c r="G43" s="82" t="str">
        <f aca="false">IF(C43="","",IFERROR(INDEX('Kit Lists'!$D$6:$D$605,MATCH(B43&amp;"|"&amp;C43,'Kit Lists'!$J$6:$J$605,0)),"Not on this contract's kit list"))</f>
        <v>R5B BOAT 3 ASSY (4P-4FP)</v>
      </c>
      <c r="H43" s="83" t="str">
        <f aca="false">IF(AND(B43="",C43="",D43=""),"",IF(B43="","Missing contract",IF(C43="","Missing code",IF(LEFT(G43,3)="Not","Wrong code",IF(D43="","Missing qty",IF(A43="","Missing date",""))))))</f>
        <v/>
      </c>
      <c r="I43" s="84" t="n">
        <f aca="false">IF(B43=Dashboard!$D$3,ROW(),"")</f>
        <v>43</v>
      </c>
    </row>
    <row r="44" customFormat="false" ht="15" hidden="false" customHeight="false" outlineLevel="0" collapsed="false">
      <c r="A44" s="80" t="n">
        <v>46223</v>
      </c>
      <c r="B44" s="71" t="s">
        <v>3</v>
      </c>
      <c r="C44" s="71" t="s">
        <v>119</v>
      </c>
      <c r="D44" s="81" t="n">
        <v>24</v>
      </c>
      <c r="E44" s="71"/>
      <c r="F44" s="71" t="s">
        <v>183</v>
      </c>
      <c r="G44" s="82" t="str">
        <f aca="false">IF(C44="","",IFERROR(INDEX('Kit Lists'!$D$6:$D$605,MATCH(B44&amp;"|"&amp;C44,'Kit Lists'!$J$6:$J$605,0)),"Not on this contract's kit list"))</f>
        <v>R5B ERBIUM SPOOL ASSEMBLY - E2A</v>
      </c>
      <c r="H44" s="83" t="str">
        <f aca="false">IF(AND(B44="",C44="",D44=""),"",IF(B44="","Missing contract",IF(C44="","Missing code",IF(LEFT(G44,3)="Not","Wrong code",IF(D44="","Missing qty",IF(A44="","Missing date",""))))))</f>
        <v/>
      </c>
      <c r="I44" s="84" t="n">
        <f aca="false">IF(B44=Dashboard!$D$3,ROW(),"")</f>
        <v>44</v>
      </c>
    </row>
    <row r="45" customFormat="false" ht="15" hidden="false" customHeight="false" outlineLevel="0" collapsed="false">
      <c r="A45" s="80" t="n">
        <v>46224</v>
      </c>
      <c r="B45" s="71" t="s">
        <v>3</v>
      </c>
      <c r="C45" s="71" t="s">
        <v>116</v>
      </c>
      <c r="D45" s="81" t="n">
        <v>3</v>
      </c>
      <c r="E45" s="71"/>
      <c r="F45" s="71" t="s">
        <v>184</v>
      </c>
      <c r="G45" s="82" t="str">
        <f aca="false">IF(C45="","",IFERROR(INDEX('Kit Lists'!$D$6:$D$605,MATCH(B45&amp;"|"&amp;C45,'Kit Lists'!$J$6:$J$605,0)),"Not on this contract's kit list"))</f>
        <v>R5B 4FP POB LUMENTUM SUB ASSEMBLY - E2A</v>
      </c>
      <c r="H45" s="83" t="str">
        <f aca="false">IF(AND(B45="",C45="",D45=""),"",IF(B45="","Missing contract",IF(C45="","Missing code",IF(LEFT(G45,3)="Not","Wrong code",IF(D45="","Missing qty",IF(A45="","Missing date",""))))))</f>
        <v/>
      </c>
      <c r="I45" s="84" t="n">
        <f aca="false">IF(B45=Dashboard!$D$3,ROW(),"")</f>
        <v>45</v>
      </c>
    </row>
    <row r="46" customFormat="false" ht="15" hidden="false" customHeight="false" outlineLevel="0" collapsed="false">
      <c r="A46" s="80" t="n">
        <v>46225</v>
      </c>
      <c r="B46" s="71" t="s">
        <v>3</v>
      </c>
      <c r="C46" s="71" t="s">
        <v>108</v>
      </c>
      <c r="D46" s="81" t="n">
        <v>3</v>
      </c>
      <c r="E46" s="71"/>
      <c r="F46" s="71" t="s">
        <v>185</v>
      </c>
      <c r="G46" s="82" t="str">
        <f aca="false">IF(C46="","",IFERROR(INDEX('Kit Lists'!$D$6:$D$605,MATCH(B46&amp;"|"&amp;C46,'Kit Lists'!$J$6:$J$605,0)),"Not on this contract's kit list"))</f>
        <v>R5B PSB SUB ASSEMBLY 4P-4FP</v>
      </c>
      <c r="H46" s="83" t="str">
        <f aca="false">IF(AND(B46="",C46="",D46=""),"",IF(B46="","Missing contract",IF(C46="","Missing code",IF(LEFT(G46,3)="Not","Wrong code",IF(D46="","Missing qty",IF(A46="","Missing date",""))))))</f>
        <v/>
      </c>
      <c r="I46" s="84" t="n">
        <f aca="false">IF(B46=Dashboard!$D$3,ROW(),"")</f>
        <v>46</v>
      </c>
    </row>
    <row r="47" customFormat="false" ht="15" hidden="false" customHeight="false" outlineLevel="0" collapsed="false">
      <c r="A47" s="80" t="n">
        <v>46226</v>
      </c>
      <c r="B47" s="71" t="s">
        <v>3</v>
      </c>
      <c r="C47" s="71" t="s">
        <v>121</v>
      </c>
      <c r="D47" s="81" t="n">
        <v>3</v>
      </c>
      <c r="E47" s="71"/>
      <c r="F47" s="71" t="s">
        <v>183</v>
      </c>
      <c r="G47" s="82" t="str">
        <f aca="false">IF(C47="","",IFERROR(INDEX('Kit Lists'!$D$6:$D$605,MATCH(B47&amp;"|"&amp;C47,'Kit Lists'!$J$6:$J$605,0)),"Not on this contract's kit list"))</f>
        <v>R5B ERBIUM ASSEMBLY POSITION 1</v>
      </c>
      <c r="H47" s="83" t="str">
        <f aca="false">IF(AND(B47="",C47="",D47=""),"",IF(B47="","Missing contract",IF(C47="","Missing code",IF(LEFT(G47,3)="Not","Wrong code",IF(D47="","Missing qty",IF(A47="","Missing date",""))))))</f>
        <v/>
      </c>
      <c r="I47" s="84" t="n">
        <f aca="false">IF(B47=Dashboard!$D$3,ROW(),"")</f>
        <v>47</v>
      </c>
    </row>
    <row r="48" customFormat="false" ht="15" hidden="false" customHeight="false" outlineLevel="0" collapsed="false">
      <c r="A48" s="80" t="n">
        <v>46226</v>
      </c>
      <c r="B48" s="71" t="s">
        <v>3</v>
      </c>
      <c r="C48" s="71" t="s">
        <v>123</v>
      </c>
      <c r="D48" s="81" t="n">
        <v>3</v>
      </c>
      <c r="E48" s="71"/>
      <c r="F48" s="71" t="s">
        <v>183</v>
      </c>
      <c r="G48" s="82" t="str">
        <f aca="false">IF(C48="","",IFERROR(INDEX('Kit Lists'!$D$6:$D$605,MATCH(B48&amp;"|"&amp;C48,'Kit Lists'!$J$6:$J$605,0)),"Not on this contract's kit list"))</f>
        <v>R5B ERBIUM ASSEMBLY POSITION 2</v>
      </c>
      <c r="H48" s="83" t="str">
        <f aca="false">IF(AND(B48="",C48="",D48=""),"",IF(B48="","Missing contract",IF(C48="","Missing code",IF(LEFT(G48,3)="Not","Wrong code",IF(D48="","Missing qty",IF(A48="","Missing date",""))))))</f>
        <v/>
      </c>
      <c r="I48" s="84" t="n">
        <f aca="false">IF(B48=Dashboard!$D$3,ROW(),"")</f>
        <v>48</v>
      </c>
    </row>
    <row r="49" customFormat="false" ht="15" hidden="false" customHeight="false" outlineLevel="0" collapsed="false">
      <c r="A49" s="80" t="n">
        <v>46226</v>
      </c>
      <c r="B49" s="71" t="s">
        <v>3</v>
      </c>
      <c r="C49" s="71" t="s">
        <v>125</v>
      </c>
      <c r="D49" s="81" t="n">
        <v>3</v>
      </c>
      <c r="E49" s="71"/>
      <c r="F49" s="71" t="s">
        <v>183</v>
      </c>
      <c r="G49" s="82" t="str">
        <f aca="false">IF(C49="","",IFERROR(INDEX('Kit Lists'!$D$6:$D$605,MATCH(B49&amp;"|"&amp;C49,'Kit Lists'!$J$6:$J$605,0)),"Not on this contract's kit list"))</f>
        <v>R5B ERBIUM ASSEMBLY POSITION 3</v>
      </c>
      <c r="H49" s="83" t="str">
        <f aca="false">IF(AND(B49="",C49="",D49=""),"",IF(B49="","Missing contract",IF(C49="","Missing code",IF(LEFT(G49,3)="Not","Wrong code",IF(D49="","Missing qty",IF(A49="","Missing date",""))))))</f>
        <v/>
      </c>
      <c r="I49" s="84" t="n">
        <f aca="false">IF(B49=Dashboard!$D$3,ROW(),"")</f>
        <v>49</v>
      </c>
    </row>
    <row r="50" customFormat="false" ht="15" hidden="false" customHeight="false" outlineLevel="0" collapsed="false">
      <c r="A50" s="80" t="n">
        <v>46226</v>
      </c>
      <c r="B50" s="71" t="s">
        <v>3</v>
      </c>
      <c r="C50" s="71" t="s">
        <v>127</v>
      </c>
      <c r="D50" s="81" t="n">
        <v>3</v>
      </c>
      <c r="E50" s="71"/>
      <c r="F50" s="71" t="s">
        <v>183</v>
      </c>
      <c r="G50" s="82" t="str">
        <f aca="false">IF(C50="","",IFERROR(INDEX('Kit Lists'!$D$6:$D$605,MATCH(B50&amp;"|"&amp;C50,'Kit Lists'!$J$6:$J$605,0)),"Not on this contract's kit list"))</f>
        <v>R5B ERBIUM ASSEMBLY POSITION 4</v>
      </c>
      <c r="H50" s="83" t="str">
        <f aca="false">IF(AND(B50="",C50="",D50=""),"",IF(B50="","Missing contract",IF(C50="","Missing code",IF(LEFT(G50,3)="Not","Wrong code",IF(D50="","Missing qty",IF(A50="","Missing date",""))))))</f>
        <v/>
      </c>
      <c r="I50" s="84" t="n">
        <f aca="false">IF(B50=Dashboard!$D$3,ROW(),"")</f>
        <v>50</v>
      </c>
    </row>
    <row r="51" customFormat="false" ht="15" hidden="false" customHeight="false" outlineLevel="0" collapsed="false">
      <c r="A51" s="80" t="n">
        <v>46231</v>
      </c>
      <c r="B51" s="71" t="s">
        <v>3</v>
      </c>
      <c r="C51" s="71" t="s">
        <v>103</v>
      </c>
      <c r="D51" s="81" t="n">
        <v>1</v>
      </c>
      <c r="E51" s="71"/>
      <c r="F51" s="71" t="s">
        <v>184</v>
      </c>
      <c r="G51" s="82" t="str">
        <f aca="false">IF(C51="","",IFERROR(INDEX('Kit Lists'!$D$6:$D$605,MATCH(B51&amp;"|"&amp;C51,'Kit Lists'!$J$6:$J$605,0)),"Not on this contract's kit list"))</f>
        <v>R5B LASER ASSEMBLY 4P BOAT 1 - E2A</v>
      </c>
      <c r="H51" s="83" t="str">
        <f aca="false">IF(AND(B51="",C51="",D51=""),"",IF(B51="","Missing contract",IF(C51="","Missing code",IF(LEFT(G51,3)="Not","Wrong code",IF(D51="","Missing qty",IF(A51="","Missing date",""))))))</f>
        <v/>
      </c>
      <c r="I51" s="84" t="n">
        <f aca="false">IF(B51=Dashboard!$D$3,ROW(),"")</f>
        <v>51</v>
      </c>
    </row>
    <row r="52" customFormat="false" ht="15" hidden="false" customHeight="false" outlineLevel="0" collapsed="false">
      <c r="A52" s="80" t="n">
        <v>46231</v>
      </c>
      <c r="B52" s="71" t="s">
        <v>3</v>
      </c>
      <c r="C52" s="71" t="s">
        <v>105</v>
      </c>
      <c r="D52" s="81" t="n">
        <v>2</v>
      </c>
      <c r="E52" s="71"/>
      <c r="F52" s="71" t="s">
        <v>184</v>
      </c>
      <c r="G52" s="82" t="str">
        <f aca="false">IF(C52="","",IFERROR(INDEX('Kit Lists'!$D$6:$D$605,MATCH(B52&amp;"|"&amp;C52,'Kit Lists'!$J$6:$J$605,0)),"Not on this contract's kit list"))</f>
        <v>R5B LASER ASSEMBLY 4P BOAT 2/3 - E2A</v>
      </c>
      <c r="H52" s="83" t="str">
        <f aca="false">IF(AND(B52="",C52="",D52=""),"",IF(B52="","Missing contract",IF(C52="","Missing code",IF(LEFT(G52,3)="Not","Wrong code",IF(D52="","Missing qty",IF(A52="","Missing date",""))))))</f>
        <v/>
      </c>
      <c r="I52" s="84" t="n">
        <f aca="false">IF(B52=Dashboard!$D$3,ROW(),"")</f>
        <v>52</v>
      </c>
    </row>
    <row r="53" customFormat="false" ht="15" hidden="false" customHeight="false" outlineLevel="0" collapsed="false">
      <c r="A53" s="80" t="n">
        <v>46232</v>
      </c>
      <c r="B53" s="71" t="s">
        <v>3</v>
      </c>
      <c r="C53" s="71" t="s">
        <v>125</v>
      </c>
      <c r="D53" s="81" t="n">
        <v>3</v>
      </c>
      <c r="E53" s="71"/>
      <c r="F53" s="71" t="s">
        <v>184</v>
      </c>
      <c r="G53" s="82" t="str">
        <f aca="false">IF(C53="","",IFERROR(INDEX('Kit Lists'!$D$6:$D$605,MATCH(B53&amp;"|"&amp;C53,'Kit Lists'!$J$6:$J$605,0)),"Not on this contract's kit list"))</f>
        <v>R5B ERBIUM ASSEMBLY POSITION 3</v>
      </c>
      <c r="H53" s="83" t="str">
        <f aca="false">IF(AND(B53="",C53="",D53=""),"",IF(B53="","Missing contract",IF(C53="","Missing code",IF(LEFT(G53,3)="Not","Wrong code",IF(D53="","Missing qty",IF(A53="","Missing date",""))))))</f>
        <v/>
      </c>
      <c r="I53" s="84" t="n">
        <f aca="false">IF(B53=Dashboard!$D$3,ROW(),"")</f>
        <v>53</v>
      </c>
    </row>
    <row r="54" customFormat="false" ht="15" hidden="false" customHeight="false" outlineLevel="0" collapsed="false">
      <c r="A54" s="80" t="n">
        <v>46234</v>
      </c>
      <c r="B54" s="71" t="s">
        <v>3</v>
      </c>
      <c r="C54" s="71" t="s">
        <v>111</v>
      </c>
      <c r="D54" s="81" t="n">
        <v>1</v>
      </c>
      <c r="E54" s="71"/>
      <c r="F54" s="71" t="s">
        <v>184</v>
      </c>
      <c r="G54" s="82" t="str">
        <f aca="false">IF(C54="","",IFERROR(INDEX('Kit Lists'!$D$6:$D$605,MATCH(B54&amp;"|"&amp;C54,'Kit Lists'!$J$6:$J$605,0)),"Not on this contract's kit list"))</f>
        <v>R5B OPF ASSEMBLY (4P-4FP) BOAT 1 - E2A</v>
      </c>
      <c r="H54" s="83" t="str">
        <f aca="false">IF(AND(B54="",C54="",D54=""),"",IF(B54="","Missing contract",IF(C54="","Missing code",IF(LEFT(G54,3)="Not","Wrong code",IF(D54="","Missing qty",IF(A54="","Missing date",""))))))</f>
        <v/>
      </c>
      <c r="I54" s="84" t="n">
        <f aca="false">IF(B54=Dashboard!$D$3,ROW(),"")</f>
        <v>54</v>
      </c>
    </row>
    <row r="55" customFormat="false" ht="15" hidden="false" customHeight="false" outlineLevel="0" collapsed="false">
      <c r="A55" s="80" t="n">
        <v>46234</v>
      </c>
      <c r="B55" s="71" t="s">
        <v>3</v>
      </c>
      <c r="C55" s="71" t="s">
        <v>113</v>
      </c>
      <c r="D55" s="81" t="n">
        <v>2</v>
      </c>
      <c r="E55" s="71"/>
      <c r="F55" s="71" t="s">
        <v>184</v>
      </c>
      <c r="G55" s="82" t="str">
        <f aca="false">IF(C55="","",IFERROR(INDEX('Kit Lists'!$D$6:$D$605,MATCH(B55&amp;"|"&amp;C55,'Kit Lists'!$J$6:$J$605,0)),"Not on this contract's kit list"))</f>
        <v>R5B OPF ASSEMBLY (4P-4FP) BOAT 2/3 - E2A</v>
      </c>
      <c r="H55" s="83" t="str">
        <f aca="false">IF(AND(B55="",C55="",D55=""),"",IF(B55="","Missing contract",IF(C55="","Missing code",IF(LEFT(G55,3)="Not","Wrong code",IF(D55="","Missing qty",IF(A55="","Missing date",""))))))</f>
        <v/>
      </c>
      <c r="I55" s="84" t="n">
        <f aca="false">IF(B55=Dashboard!$D$3,ROW(),"")</f>
        <v>55</v>
      </c>
    </row>
    <row r="56" customFormat="false" ht="15" hidden="false" customHeight="false" outlineLevel="0" collapsed="false">
      <c r="A56" s="80" t="n">
        <v>46238</v>
      </c>
      <c r="B56" s="71" t="s">
        <v>3</v>
      </c>
      <c r="C56" s="71" t="s">
        <v>119</v>
      </c>
      <c r="D56" s="81" t="n">
        <v>24</v>
      </c>
      <c r="E56" s="71"/>
      <c r="F56" s="71" t="s">
        <v>184</v>
      </c>
      <c r="G56" s="82" t="str">
        <f aca="false">IF(C56="","",IFERROR(INDEX('Kit Lists'!$D$6:$D$605,MATCH(B56&amp;"|"&amp;C56,'Kit Lists'!$J$6:$J$605,0)),"Not on this contract's kit list"))</f>
        <v>R5B ERBIUM SPOOL ASSEMBLY - E2A</v>
      </c>
      <c r="H56" s="83" t="str">
        <f aca="false">IF(AND(B56="",C56="",D56=""),"",IF(B56="","Missing contract",IF(C56="","Missing code",IF(LEFT(G56,3)="Not","Wrong code",IF(D56="","Missing qty",IF(A56="","Missing date",""))))))</f>
        <v/>
      </c>
      <c r="I56" s="84" t="n">
        <f aca="false">IF(B56=Dashboard!$D$3,ROW(),"")</f>
        <v>56</v>
      </c>
    </row>
    <row r="57" customFormat="false" ht="15" hidden="false" customHeight="false" outlineLevel="0" collapsed="false">
      <c r="A57" s="80" t="n">
        <v>46238</v>
      </c>
      <c r="B57" s="71" t="s">
        <v>3</v>
      </c>
      <c r="C57" s="71" t="s">
        <v>103</v>
      </c>
      <c r="D57" s="81" t="n">
        <v>1</v>
      </c>
      <c r="E57" s="71"/>
      <c r="F57" s="71" t="s">
        <v>185</v>
      </c>
      <c r="G57" s="82" t="str">
        <f aca="false">IF(C57="","",IFERROR(INDEX('Kit Lists'!$D$6:$D$605,MATCH(B57&amp;"|"&amp;C57,'Kit Lists'!$J$6:$J$605,0)),"Not on this contract's kit list"))</f>
        <v>R5B LASER ASSEMBLY 4P BOAT 1 - E2A</v>
      </c>
      <c r="H57" s="83" t="str">
        <f aca="false">IF(AND(B57="",C57="",D57=""),"",IF(B57="","Missing contract",IF(C57="","Missing code",IF(LEFT(G57,3)="Not","Wrong code",IF(D57="","Missing qty",IF(A57="","Missing date",""))))))</f>
        <v/>
      </c>
      <c r="I57" s="84" t="n">
        <f aca="false">IF(B57=Dashboard!$D$3,ROW(),"")</f>
        <v>57</v>
      </c>
    </row>
    <row r="58" customFormat="false" ht="15" hidden="false" customHeight="false" outlineLevel="0" collapsed="false">
      <c r="A58" s="80" t="n">
        <v>46238</v>
      </c>
      <c r="B58" s="71" t="s">
        <v>3</v>
      </c>
      <c r="C58" s="71" t="s">
        <v>111</v>
      </c>
      <c r="D58" s="81" t="n">
        <v>1</v>
      </c>
      <c r="E58" s="71"/>
      <c r="F58" s="71" t="s">
        <v>185</v>
      </c>
      <c r="G58" s="82" t="str">
        <f aca="false">IF(C58="","",IFERROR(INDEX('Kit Lists'!$D$6:$D$605,MATCH(B58&amp;"|"&amp;C58,'Kit Lists'!$J$6:$J$605,0)),"Not on this contract's kit list"))</f>
        <v>R5B OPF ASSEMBLY (4P-4FP) BOAT 1 - E2A</v>
      </c>
      <c r="H58" s="83" t="str">
        <f aca="false">IF(AND(B58="",C58="",D58=""),"",IF(B58="","Missing contract",IF(C58="","Missing code",IF(LEFT(G58,3)="Not","Wrong code",IF(D58="","Missing qty",IF(A58="","Missing date",""))))))</f>
        <v/>
      </c>
      <c r="I58" s="84" t="n">
        <f aca="false">IF(B58=Dashboard!$D$3,ROW(),"")</f>
        <v>58</v>
      </c>
    </row>
    <row r="59" customFormat="false" ht="15" hidden="false" customHeight="false" outlineLevel="0" collapsed="false">
      <c r="A59" s="80" t="n">
        <v>46241</v>
      </c>
      <c r="B59" s="71" t="s">
        <v>3</v>
      </c>
      <c r="C59" s="71" t="s">
        <v>121</v>
      </c>
      <c r="D59" s="81" t="n">
        <v>3</v>
      </c>
      <c r="E59" s="71"/>
      <c r="F59" s="71" t="s">
        <v>184</v>
      </c>
      <c r="G59" s="82" t="str">
        <f aca="false">IF(C59="","",IFERROR(INDEX('Kit Lists'!$D$6:$D$605,MATCH(B59&amp;"|"&amp;C59,'Kit Lists'!$J$6:$J$605,0)),"Not on this contract's kit list"))</f>
        <v>R5B ERBIUM ASSEMBLY POSITION 1</v>
      </c>
      <c r="H59" s="83" t="str">
        <f aca="false">IF(AND(B59="",C59="",D59=""),"",IF(B59="","Missing contract",IF(C59="","Missing code",IF(LEFT(G59,3)="Not","Wrong code",IF(D59="","Missing qty",IF(A59="","Missing date",""))))))</f>
        <v/>
      </c>
      <c r="I59" s="84" t="n">
        <f aca="false">IF(B59=Dashboard!$D$3,ROW(),"")</f>
        <v>59</v>
      </c>
    </row>
    <row r="60" customFormat="false" ht="15" hidden="false" customHeight="false" outlineLevel="0" collapsed="false">
      <c r="A60" s="80" t="n">
        <v>46241</v>
      </c>
      <c r="B60" s="71" t="s">
        <v>3</v>
      </c>
      <c r="C60" s="71" t="s">
        <v>123</v>
      </c>
      <c r="D60" s="81" t="n">
        <v>3</v>
      </c>
      <c r="E60" s="71"/>
      <c r="F60" s="71" t="s">
        <v>184</v>
      </c>
      <c r="G60" s="82" t="str">
        <f aca="false">IF(C60="","",IFERROR(INDEX('Kit Lists'!$D$6:$D$605,MATCH(B60&amp;"|"&amp;C60,'Kit Lists'!$J$6:$J$605,0)),"Not on this contract's kit list"))</f>
        <v>R5B ERBIUM ASSEMBLY POSITION 2</v>
      </c>
      <c r="H60" s="83" t="str">
        <f aca="false">IF(AND(B60="",C60="",D60=""),"",IF(B60="","Missing contract",IF(C60="","Missing code",IF(LEFT(G60,3)="Not","Wrong code",IF(D60="","Missing qty",IF(A60="","Missing date",""))))))</f>
        <v/>
      </c>
      <c r="I60" s="84" t="n">
        <f aca="false">IF(B60=Dashboard!$D$3,ROW(),"")</f>
        <v>60</v>
      </c>
    </row>
    <row r="61" customFormat="false" ht="15" hidden="false" customHeight="false" outlineLevel="0" collapsed="false">
      <c r="A61" s="80" t="n">
        <v>46241</v>
      </c>
      <c r="B61" s="71" t="s">
        <v>3</v>
      </c>
      <c r="C61" s="71" t="s">
        <v>127</v>
      </c>
      <c r="D61" s="81" t="n">
        <v>3</v>
      </c>
      <c r="E61" s="71"/>
      <c r="F61" s="71" t="s">
        <v>184</v>
      </c>
      <c r="G61" s="82" t="str">
        <f aca="false">IF(C61="","",IFERROR(INDEX('Kit Lists'!$D$6:$D$605,MATCH(B61&amp;"|"&amp;C61,'Kit Lists'!$J$6:$J$605,0)),"Not on this contract's kit list"))</f>
        <v>R5B ERBIUM ASSEMBLY POSITION 4</v>
      </c>
      <c r="H61" s="83" t="str">
        <f aca="false">IF(AND(B61="",C61="",D61=""),"",IF(B61="","Missing contract",IF(C61="","Missing code",IF(LEFT(G61,3)="Not","Wrong code",IF(D61="","Missing qty",IF(A61="","Missing date",""))))))</f>
        <v/>
      </c>
      <c r="I61" s="84" t="n">
        <f aca="false">IF(B61=Dashboard!$D$3,ROW(),"")</f>
        <v>61</v>
      </c>
    </row>
    <row r="62" customFormat="false" ht="15" hidden="false" customHeight="false" outlineLevel="0" collapsed="false">
      <c r="A62" s="80" t="n">
        <v>46242</v>
      </c>
      <c r="B62" s="71" t="s">
        <v>3</v>
      </c>
      <c r="C62" s="71" t="s">
        <v>130</v>
      </c>
      <c r="D62" s="81" t="n">
        <v>1</v>
      </c>
      <c r="E62" s="71"/>
      <c r="F62" s="71" t="s">
        <v>184</v>
      </c>
      <c r="G62" s="82" t="str">
        <f aca="false">IF(C62="","",IFERROR(INDEX('Kit Lists'!$D$6:$D$605,MATCH(B62&amp;"|"&amp;C62,'Kit Lists'!$J$6:$J$605,0)),"Not on this contract's kit list"))</f>
        <v>R5B BOAT 1 ASSY (4P-4FP)</v>
      </c>
      <c r="H62" s="83" t="str">
        <f aca="false">IF(AND(B62="",C62="",D62=""),"",IF(B62="","Missing contract",IF(C62="","Missing code",IF(LEFT(G62,3)="Not","Wrong code",IF(D62="","Missing qty",IF(A62="","Missing date",""))))))</f>
        <v/>
      </c>
      <c r="I62" s="84" t="n">
        <f aca="false">IF(B62=Dashboard!$D$3,ROW(),"")</f>
        <v>62</v>
      </c>
    </row>
    <row r="63" customFormat="false" ht="15" hidden="false" customHeight="false" outlineLevel="0" collapsed="false">
      <c r="A63" s="80" t="n">
        <v>46242</v>
      </c>
      <c r="B63" s="71" t="s">
        <v>3</v>
      </c>
      <c r="C63" s="71" t="s">
        <v>132</v>
      </c>
      <c r="D63" s="81" t="n">
        <v>1</v>
      </c>
      <c r="E63" s="71"/>
      <c r="F63" s="71" t="s">
        <v>184</v>
      </c>
      <c r="G63" s="82" t="str">
        <f aca="false">IF(C63="","",IFERROR(INDEX('Kit Lists'!$D$6:$D$605,MATCH(B63&amp;"|"&amp;C63,'Kit Lists'!$J$6:$J$605,0)),"Not on this contract's kit list"))</f>
        <v>R5B BOAT 2 ASSY (4P-4FP)</v>
      </c>
      <c r="H63" s="83" t="str">
        <f aca="false">IF(AND(B63="",C63="",D63=""),"",IF(B63="","Missing contract",IF(C63="","Missing code",IF(LEFT(G63,3)="Not","Wrong code",IF(D63="","Missing qty",IF(A63="","Missing date",""))))))</f>
        <v/>
      </c>
      <c r="I63" s="84" t="n">
        <f aca="false">IF(B63=Dashboard!$D$3,ROW(),"")</f>
        <v>63</v>
      </c>
    </row>
    <row r="64" customFormat="false" ht="15" hidden="false" customHeight="false" outlineLevel="0" collapsed="false">
      <c r="A64" s="80" t="n">
        <v>46242</v>
      </c>
      <c r="B64" s="71" t="s">
        <v>3</v>
      </c>
      <c r="C64" s="71" t="s">
        <v>134</v>
      </c>
      <c r="D64" s="81" t="n">
        <v>1</v>
      </c>
      <c r="E64" s="71"/>
      <c r="F64" s="71" t="s">
        <v>184</v>
      </c>
      <c r="G64" s="82" t="str">
        <f aca="false">IF(C64="","",IFERROR(INDEX('Kit Lists'!$D$6:$D$605,MATCH(B64&amp;"|"&amp;C64,'Kit Lists'!$J$6:$J$605,0)),"Not on this contract's kit list"))</f>
        <v>R5B BOAT 3 ASSY (4P-4FP)</v>
      </c>
      <c r="H64" s="83" t="str">
        <f aca="false">IF(AND(B64="",C64="",D64=""),"",IF(B64="","Missing contract",IF(C64="","Missing code",IF(LEFT(G64,3)="Not","Wrong code",IF(D64="","Missing qty",IF(A64="","Missing date",""))))))</f>
        <v/>
      </c>
      <c r="I64" s="84" t="n">
        <f aca="false">IF(B64=Dashboard!$D$3,ROW(),"")</f>
        <v>64</v>
      </c>
    </row>
    <row r="65" customFormat="false" ht="15" hidden="false" customHeight="false" outlineLevel="0" collapsed="false">
      <c r="A65" s="80" t="n">
        <v>46243</v>
      </c>
      <c r="B65" s="71" t="s">
        <v>3</v>
      </c>
      <c r="C65" s="71" t="s">
        <v>105</v>
      </c>
      <c r="D65" s="81" t="n">
        <v>2</v>
      </c>
      <c r="E65" s="71"/>
      <c r="F65" s="71" t="s">
        <v>185</v>
      </c>
      <c r="G65" s="82" t="str">
        <f aca="false">IF(C65="","",IFERROR(INDEX('Kit Lists'!$D$6:$D$605,MATCH(B65&amp;"|"&amp;C65,'Kit Lists'!$J$6:$J$605,0)),"Not on this contract's kit list"))</f>
        <v>R5B LASER ASSEMBLY 4P BOAT 2/3 - E2A</v>
      </c>
      <c r="H65" s="83" t="str">
        <f aca="false">IF(AND(B65="",C65="",D65=""),"",IF(B65="","Missing contract",IF(C65="","Missing code",IF(LEFT(G65,3)="Not","Wrong code",IF(D65="","Missing qty",IF(A65="","Missing date",""))))))</f>
        <v/>
      </c>
      <c r="I65" s="84" t="n">
        <f aca="false">IF(B65=Dashboard!$D$3,ROW(),"")</f>
        <v>65</v>
      </c>
    </row>
    <row r="66" customFormat="false" ht="15" hidden="false" customHeight="false" outlineLevel="0" collapsed="false">
      <c r="A66" s="80" t="n">
        <v>46243</v>
      </c>
      <c r="B66" s="71" t="s">
        <v>3</v>
      </c>
      <c r="C66" s="71" t="s">
        <v>103</v>
      </c>
      <c r="D66" s="81" t="n">
        <v>1</v>
      </c>
      <c r="E66" s="71"/>
      <c r="F66" s="71" t="s">
        <v>186</v>
      </c>
      <c r="G66" s="82" t="str">
        <f aca="false">IF(C66="","",IFERROR(INDEX('Kit Lists'!$D$6:$D$605,MATCH(B66&amp;"|"&amp;C66,'Kit Lists'!$J$6:$J$605,0)),"Not on this contract's kit list"))</f>
        <v>R5B LASER ASSEMBLY 4P BOAT 1 - E2A</v>
      </c>
      <c r="H66" s="83" t="str">
        <f aca="false">IF(AND(B66="",C66="",D66=""),"",IF(B66="","Missing contract",IF(C66="","Missing code",IF(LEFT(G66,3)="Not","Wrong code",IF(D66="","Missing qty",IF(A66="","Missing date",""))))))</f>
        <v/>
      </c>
      <c r="I66" s="84" t="n">
        <f aca="false">IF(B66=Dashboard!$D$3,ROW(),"")</f>
        <v>66</v>
      </c>
    </row>
    <row r="67" customFormat="false" ht="15" hidden="false" customHeight="false" outlineLevel="0" collapsed="false">
      <c r="A67" s="80" t="n">
        <v>46243</v>
      </c>
      <c r="B67" s="71" t="s">
        <v>3</v>
      </c>
      <c r="C67" s="71" t="s">
        <v>108</v>
      </c>
      <c r="D67" s="81" t="n">
        <v>3</v>
      </c>
      <c r="E67" s="71"/>
      <c r="F67" s="71" t="s">
        <v>186</v>
      </c>
      <c r="G67" s="82" t="str">
        <f aca="false">IF(C67="","",IFERROR(INDEX('Kit Lists'!$D$6:$D$605,MATCH(B67&amp;"|"&amp;C67,'Kit Lists'!$J$6:$J$605,0)),"Not on this contract's kit list"))</f>
        <v>R5B PSB SUB ASSEMBLY 4P-4FP</v>
      </c>
      <c r="H67" s="83" t="str">
        <f aca="false">IF(AND(B67="",C67="",D67=""),"",IF(B67="","Missing contract",IF(C67="","Missing code",IF(LEFT(G67,3)="Not","Wrong code",IF(D67="","Missing qty",IF(A67="","Missing date",""))))))</f>
        <v/>
      </c>
      <c r="I67" s="84" t="n">
        <f aca="false">IF(B67=Dashboard!$D$3,ROW(),"")</f>
        <v>67</v>
      </c>
    </row>
    <row r="68" customFormat="false" ht="15" hidden="false" customHeight="false" outlineLevel="0" collapsed="false">
      <c r="A68" s="80" t="n">
        <v>46244</v>
      </c>
      <c r="B68" s="71" t="s">
        <v>3</v>
      </c>
      <c r="C68" s="71" t="s">
        <v>113</v>
      </c>
      <c r="D68" s="81" t="n">
        <v>2</v>
      </c>
      <c r="E68" s="71"/>
      <c r="F68" s="71" t="s">
        <v>185</v>
      </c>
      <c r="G68" s="82" t="str">
        <f aca="false">IF(C68="","",IFERROR(INDEX('Kit Lists'!$D$6:$D$605,MATCH(B68&amp;"|"&amp;C68,'Kit Lists'!$J$6:$J$605,0)),"Not on this contract's kit list"))</f>
        <v>R5B OPF ASSEMBLY (4P-4FP) BOAT 2/3 - E2A</v>
      </c>
      <c r="H68" s="83" t="str">
        <f aca="false">IF(AND(B68="",C68="",D68=""),"",IF(B68="","Missing contract",IF(C68="","Missing code",IF(LEFT(G68,3)="Not","Wrong code",IF(D68="","Missing qty",IF(A68="","Missing date",""))))))</f>
        <v/>
      </c>
      <c r="I68" s="84" t="n">
        <f aca="false">IF(B68=Dashboard!$D$3,ROW(),"")</f>
        <v>68</v>
      </c>
    </row>
    <row r="69" customFormat="false" ht="15" hidden="false" customHeight="false" outlineLevel="0" collapsed="false">
      <c r="A69" s="80" t="n">
        <v>46244</v>
      </c>
      <c r="B69" s="71" t="s">
        <v>3</v>
      </c>
      <c r="C69" s="71" t="s">
        <v>116</v>
      </c>
      <c r="D69" s="81" t="n">
        <v>3</v>
      </c>
      <c r="E69" s="71"/>
      <c r="F69" s="71" t="s">
        <v>185</v>
      </c>
      <c r="G69" s="82" t="str">
        <f aca="false">IF(C69="","",IFERROR(INDEX('Kit Lists'!$D$6:$D$605,MATCH(B69&amp;"|"&amp;C69,'Kit Lists'!$J$6:$J$605,0)),"Not on this contract's kit list"))</f>
        <v>R5B 4FP POB LUMENTUM SUB ASSEMBLY - E2A</v>
      </c>
      <c r="H69" s="83" t="str">
        <f aca="false">IF(AND(B69="",C69="",D69=""),"",IF(B69="","Missing contract",IF(C69="","Missing code",IF(LEFT(G69,3)="Not","Wrong code",IF(D69="","Missing qty",IF(A69="","Missing date",""))))))</f>
        <v/>
      </c>
      <c r="I69" s="84" t="n">
        <f aca="false">IF(B69=Dashboard!$D$3,ROW(),"")</f>
        <v>69</v>
      </c>
    </row>
    <row r="70" customFormat="false" ht="15" hidden="false" customHeight="false" outlineLevel="0" collapsed="false">
      <c r="A70" s="80" t="n">
        <v>46244</v>
      </c>
      <c r="B70" s="71" t="s">
        <v>3</v>
      </c>
      <c r="C70" s="71" t="s">
        <v>111</v>
      </c>
      <c r="D70" s="81" t="n">
        <v>1</v>
      </c>
      <c r="E70" s="71"/>
      <c r="F70" s="71" t="s">
        <v>186</v>
      </c>
      <c r="G70" s="82" t="str">
        <f aca="false">IF(C70="","",IFERROR(INDEX('Kit Lists'!$D$6:$D$605,MATCH(B70&amp;"|"&amp;C70,'Kit Lists'!$J$6:$J$605,0)),"Not on this contract's kit list"))</f>
        <v>R5B OPF ASSEMBLY (4P-4FP) BOAT 1 - E2A</v>
      </c>
      <c r="H70" s="83" t="str">
        <f aca="false">IF(AND(B70="",C70="",D70=""),"",IF(B70="","Missing contract",IF(C70="","Missing code",IF(LEFT(G70,3)="Not","Wrong code",IF(D70="","Missing qty",IF(A70="","Missing date",""))))))</f>
        <v/>
      </c>
      <c r="I70" s="84" t="n">
        <f aca="false">IF(B70=Dashboard!$D$3,ROW(),"")</f>
        <v>70</v>
      </c>
    </row>
    <row r="71" customFormat="false" ht="15" hidden="false" customHeight="false" outlineLevel="0" collapsed="false">
      <c r="A71" s="80" t="n">
        <v>46246</v>
      </c>
      <c r="B71" s="71" t="s">
        <v>3</v>
      </c>
      <c r="C71" s="71" t="s">
        <v>119</v>
      </c>
      <c r="D71" s="81" t="n">
        <v>24</v>
      </c>
      <c r="E71" s="71"/>
      <c r="F71" s="71" t="s">
        <v>185</v>
      </c>
      <c r="G71" s="82" t="str">
        <f aca="false">IF(C71="","",IFERROR(INDEX('Kit Lists'!$D$6:$D$605,MATCH(B71&amp;"|"&amp;C71,'Kit Lists'!$J$6:$J$605,0)),"Not on this contract's kit list"))</f>
        <v>R5B ERBIUM SPOOL ASSEMBLY - E2A</v>
      </c>
      <c r="H71" s="83" t="str">
        <f aca="false">IF(AND(B71="",C71="",D71=""),"",IF(B71="","Missing contract",IF(C71="","Missing code",IF(LEFT(G71,3)="Not","Wrong code",IF(D71="","Missing qty",IF(A71="","Missing date",""))))))</f>
        <v/>
      </c>
      <c r="I71" s="84" t="n">
        <f aca="false">IF(B71=Dashboard!$D$3,ROW(),"")</f>
        <v>71</v>
      </c>
    </row>
    <row r="72" customFormat="false" ht="15" hidden="false" customHeight="false" outlineLevel="0" collapsed="false">
      <c r="A72" s="80" t="n">
        <v>46246</v>
      </c>
      <c r="B72" s="71" t="s">
        <v>3</v>
      </c>
      <c r="C72" s="71" t="s">
        <v>121</v>
      </c>
      <c r="D72" s="81" t="n">
        <v>3</v>
      </c>
      <c r="E72" s="71"/>
      <c r="F72" s="71" t="s">
        <v>185</v>
      </c>
      <c r="G72" s="82" t="str">
        <f aca="false">IF(C72="","",IFERROR(INDEX('Kit Lists'!$D$6:$D$605,MATCH(B72&amp;"|"&amp;C72,'Kit Lists'!$J$6:$J$605,0)),"Not on this contract's kit list"))</f>
        <v>R5B ERBIUM ASSEMBLY POSITION 1</v>
      </c>
      <c r="H72" s="83" t="str">
        <f aca="false">IF(AND(B72="",C72="",D72=""),"",IF(B72="","Missing contract",IF(C72="","Missing code",IF(LEFT(G72,3)="Not","Wrong code",IF(D72="","Missing qty",IF(A72="","Missing date",""))))))</f>
        <v/>
      </c>
      <c r="I72" s="84" t="n">
        <f aca="false">IF(B72=Dashboard!$D$3,ROW(),"")</f>
        <v>72</v>
      </c>
    </row>
    <row r="73" customFormat="false" ht="15" hidden="false" customHeight="false" outlineLevel="0" collapsed="false">
      <c r="A73" s="80" t="n">
        <v>46246</v>
      </c>
      <c r="B73" s="71" t="s">
        <v>3</v>
      </c>
      <c r="C73" s="71" t="s">
        <v>123</v>
      </c>
      <c r="D73" s="81" t="n">
        <v>3</v>
      </c>
      <c r="E73" s="71"/>
      <c r="F73" s="71" t="s">
        <v>185</v>
      </c>
      <c r="G73" s="82" t="str">
        <f aca="false">IF(C73="","",IFERROR(INDEX('Kit Lists'!$D$6:$D$605,MATCH(B73&amp;"|"&amp;C73,'Kit Lists'!$J$6:$J$605,0)),"Not on this contract's kit list"))</f>
        <v>R5B ERBIUM ASSEMBLY POSITION 2</v>
      </c>
      <c r="H73" s="83" t="str">
        <f aca="false">IF(AND(B73="",C73="",D73=""),"",IF(B73="","Missing contract",IF(C73="","Missing code",IF(LEFT(G73,3)="Not","Wrong code",IF(D73="","Missing qty",IF(A73="","Missing date",""))))))</f>
        <v/>
      </c>
      <c r="I73" s="84" t="n">
        <f aca="false">IF(B73=Dashboard!$D$3,ROW(),"")</f>
        <v>73</v>
      </c>
    </row>
    <row r="74" customFormat="false" ht="15" hidden="false" customHeight="false" outlineLevel="0" collapsed="false">
      <c r="A74" s="80" t="n">
        <v>46246</v>
      </c>
      <c r="B74" s="71" t="s">
        <v>3</v>
      </c>
      <c r="C74" s="71" t="s">
        <v>125</v>
      </c>
      <c r="D74" s="81" t="n">
        <v>3</v>
      </c>
      <c r="E74" s="71"/>
      <c r="F74" s="71" t="s">
        <v>185</v>
      </c>
      <c r="G74" s="82" t="str">
        <f aca="false">IF(C74="","",IFERROR(INDEX('Kit Lists'!$D$6:$D$605,MATCH(B74&amp;"|"&amp;C74,'Kit Lists'!$J$6:$J$605,0)),"Not on this contract's kit list"))</f>
        <v>R5B ERBIUM ASSEMBLY POSITION 3</v>
      </c>
      <c r="H74" s="83" t="str">
        <f aca="false">IF(AND(B74="",C74="",D74=""),"",IF(B74="","Missing contract",IF(C74="","Missing code",IF(LEFT(G74,3)="Not","Wrong code",IF(D74="","Missing qty",IF(A74="","Missing date",""))))))</f>
        <v/>
      </c>
      <c r="I74" s="84" t="n">
        <f aca="false">IF(B74=Dashboard!$D$3,ROW(),"")</f>
        <v>74</v>
      </c>
    </row>
    <row r="75" customFormat="false" ht="15" hidden="false" customHeight="false" outlineLevel="0" collapsed="false">
      <c r="A75" s="80" t="n">
        <v>46246</v>
      </c>
      <c r="B75" s="71" t="s">
        <v>3</v>
      </c>
      <c r="C75" s="71" t="s">
        <v>127</v>
      </c>
      <c r="D75" s="81" t="n">
        <v>3</v>
      </c>
      <c r="E75" s="71"/>
      <c r="F75" s="71" t="s">
        <v>185</v>
      </c>
      <c r="G75" s="82" t="str">
        <f aca="false">IF(C75="","",IFERROR(INDEX('Kit Lists'!$D$6:$D$605,MATCH(B75&amp;"|"&amp;C75,'Kit Lists'!$J$6:$J$605,0)),"Not on this contract's kit list"))</f>
        <v>R5B ERBIUM ASSEMBLY POSITION 4</v>
      </c>
      <c r="H75" s="83" t="str">
        <f aca="false">IF(AND(B75="",C75="",D75=""),"",IF(B75="","Missing contract",IF(C75="","Missing code",IF(LEFT(G75,3)="Not","Wrong code",IF(D75="","Missing qty",IF(A75="","Missing date",""))))))</f>
        <v/>
      </c>
      <c r="I75" s="84" t="n">
        <f aca="false">IF(B75=Dashboard!$D$3,ROW(),"")</f>
        <v>75</v>
      </c>
    </row>
    <row r="76" customFormat="false" ht="15" hidden="false" customHeight="false" outlineLevel="0" collapsed="false">
      <c r="A76" s="80" t="n">
        <v>46251</v>
      </c>
      <c r="B76" s="71" t="s">
        <v>3</v>
      </c>
      <c r="C76" s="71" t="s">
        <v>105</v>
      </c>
      <c r="D76" s="81" t="n">
        <v>2</v>
      </c>
      <c r="E76" s="71"/>
      <c r="F76" s="71" t="s">
        <v>186</v>
      </c>
      <c r="G76" s="82" t="str">
        <f aca="false">IF(C76="","",IFERROR(INDEX('Kit Lists'!$D$6:$D$605,MATCH(B76&amp;"|"&amp;C76,'Kit Lists'!$J$6:$J$605,0)),"Not on this contract's kit list"))</f>
        <v>R5B LASER ASSEMBLY 4P BOAT 2/3 - E2A</v>
      </c>
      <c r="H76" s="83" t="str">
        <f aca="false">IF(AND(B76="",C76="",D76=""),"",IF(B76="","Missing contract",IF(C76="","Missing code",IF(LEFT(G76,3)="Not","Wrong code",IF(D76="","Missing qty",IF(A76="","Missing date",""))))))</f>
        <v/>
      </c>
      <c r="I76" s="84" t="n">
        <f aca="false">IF(B76=Dashboard!$D$3,ROW(),"")</f>
        <v>76</v>
      </c>
    </row>
    <row r="77" customFormat="false" ht="15" hidden="false" customHeight="false" outlineLevel="0" collapsed="false">
      <c r="A77" s="80" t="n">
        <v>46251</v>
      </c>
      <c r="B77" s="71" t="s">
        <v>3</v>
      </c>
      <c r="C77" s="71" t="s">
        <v>103</v>
      </c>
      <c r="D77" s="81" t="n">
        <v>1</v>
      </c>
      <c r="E77" s="71"/>
      <c r="F77" s="71" t="s">
        <v>187</v>
      </c>
      <c r="G77" s="82" t="str">
        <f aca="false">IF(C77="","",IFERROR(INDEX('Kit Lists'!$D$6:$D$605,MATCH(B77&amp;"|"&amp;C77,'Kit Lists'!$J$6:$J$605,0)),"Not on this contract's kit list"))</f>
        <v>R5B LASER ASSEMBLY 4P BOAT 1 - E2A</v>
      </c>
      <c r="H77" s="83" t="str">
        <f aca="false">IF(AND(B77="",C77="",D77=""),"",IF(B77="","Missing contract",IF(C77="","Missing code",IF(LEFT(G77,3)="Not","Wrong code",IF(D77="","Missing qty",IF(A77="","Missing date",""))))))</f>
        <v/>
      </c>
      <c r="I77" s="84" t="n">
        <f aca="false">IF(B77=Dashboard!$D$3,ROW(),"")</f>
        <v>77</v>
      </c>
    </row>
    <row r="78" customFormat="false" ht="15" hidden="false" customHeight="false" outlineLevel="0" collapsed="false">
      <c r="A78" s="80" t="n">
        <v>46252</v>
      </c>
      <c r="B78" s="71" t="s">
        <v>3</v>
      </c>
      <c r="C78" s="71" t="s">
        <v>130</v>
      </c>
      <c r="D78" s="81" t="n">
        <v>1</v>
      </c>
      <c r="E78" s="71"/>
      <c r="F78" s="71" t="s">
        <v>185</v>
      </c>
      <c r="G78" s="82" t="str">
        <f aca="false">IF(C78="","",IFERROR(INDEX('Kit Lists'!$D$6:$D$605,MATCH(B78&amp;"|"&amp;C78,'Kit Lists'!$J$6:$J$605,0)),"Not on this contract's kit list"))</f>
        <v>R5B BOAT 1 ASSY (4P-4FP)</v>
      </c>
      <c r="H78" s="83" t="str">
        <f aca="false">IF(AND(B78="",C78="",D78=""),"",IF(B78="","Missing contract",IF(C78="","Missing code",IF(LEFT(G78,3)="Not","Wrong code",IF(D78="","Missing qty",IF(A78="","Missing date",""))))))</f>
        <v/>
      </c>
      <c r="I78" s="84" t="n">
        <f aca="false">IF(B78=Dashboard!$D$3,ROW(),"")</f>
        <v>78</v>
      </c>
    </row>
    <row r="79" customFormat="false" ht="15" hidden="false" customHeight="false" outlineLevel="0" collapsed="false">
      <c r="A79" s="80" t="n">
        <v>46252</v>
      </c>
      <c r="B79" s="71" t="s">
        <v>3</v>
      </c>
      <c r="C79" s="71" t="s">
        <v>132</v>
      </c>
      <c r="D79" s="81" t="n">
        <v>1</v>
      </c>
      <c r="E79" s="71"/>
      <c r="F79" s="71" t="s">
        <v>185</v>
      </c>
      <c r="G79" s="82" t="str">
        <f aca="false">IF(C79="","",IFERROR(INDEX('Kit Lists'!$D$6:$D$605,MATCH(B79&amp;"|"&amp;C79,'Kit Lists'!$J$6:$J$605,0)),"Not on this contract's kit list"))</f>
        <v>R5B BOAT 2 ASSY (4P-4FP)</v>
      </c>
      <c r="H79" s="83" t="str">
        <f aca="false">IF(AND(B79="",C79="",D79=""),"",IF(B79="","Missing contract",IF(C79="","Missing code",IF(LEFT(G79,3)="Not","Wrong code",IF(D79="","Missing qty",IF(A79="","Missing date",""))))))</f>
        <v/>
      </c>
      <c r="I79" s="84" t="n">
        <f aca="false">IF(B79=Dashboard!$D$3,ROW(),"")</f>
        <v>79</v>
      </c>
    </row>
    <row r="80" customFormat="false" ht="15" hidden="false" customHeight="false" outlineLevel="0" collapsed="false">
      <c r="A80" s="80" t="n">
        <v>46252</v>
      </c>
      <c r="B80" s="71" t="s">
        <v>3</v>
      </c>
      <c r="C80" s="71" t="s">
        <v>134</v>
      </c>
      <c r="D80" s="81" t="n">
        <v>1</v>
      </c>
      <c r="E80" s="71"/>
      <c r="F80" s="71" t="s">
        <v>185</v>
      </c>
      <c r="G80" s="82" t="str">
        <f aca="false">IF(C80="","",IFERROR(INDEX('Kit Lists'!$D$6:$D$605,MATCH(B80&amp;"|"&amp;C80,'Kit Lists'!$J$6:$J$605,0)),"Not on this contract's kit list"))</f>
        <v>R5B BOAT 3 ASSY (4P-4FP)</v>
      </c>
      <c r="H80" s="83" t="str">
        <f aca="false">IF(AND(B80="",C80="",D80=""),"",IF(B80="","Missing contract",IF(C80="","Missing code",IF(LEFT(G80,3)="Not","Wrong code",IF(D80="","Missing qty",IF(A80="","Missing date",""))))))</f>
        <v/>
      </c>
      <c r="I80" s="84" t="n">
        <f aca="false">IF(B80=Dashboard!$D$3,ROW(),"")</f>
        <v>80</v>
      </c>
    </row>
    <row r="81" customFormat="false" ht="15" hidden="false" customHeight="false" outlineLevel="0" collapsed="false">
      <c r="A81" s="80" t="n">
        <v>46253</v>
      </c>
      <c r="B81" s="71" t="s">
        <v>3</v>
      </c>
      <c r="C81" s="71" t="s">
        <v>108</v>
      </c>
      <c r="D81" s="81" t="n">
        <v>3</v>
      </c>
      <c r="E81" s="71"/>
      <c r="F81" s="71" t="s">
        <v>187</v>
      </c>
      <c r="G81" s="82" t="str">
        <f aca="false">IF(C81="","",IFERROR(INDEX('Kit Lists'!$D$6:$D$605,MATCH(B81&amp;"|"&amp;C81,'Kit Lists'!$J$6:$J$605,0)),"Not on this contract's kit list"))</f>
        <v>R5B PSB SUB ASSEMBLY 4P-4FP</v>
      </c>
      <c r="H81" s="83" t="str">
        <f aca="false">IF(AND(B81="",C81="",D81=""),"",IF(B81="","Missing contract",IF(C81="","Missing code",IF(LEFT(G81,3)="Not","Wrong code",IF(D81="","Missing qty",IF(A81="","Missing date",""))))))</f>
        <v/>
      </c>
      <c r="I81" s="84" t="n">
        <f aca="false">IF(B81=Dashboard!$D$3,ROW(),"")</f>
        <v>81</v>
      </c>
    </row>
    <row r="82" customFormat="false" ht="15" hidden="false" customHeight="false" outlineLevel="0" collapsed="false">
      <c r="A82" s="80" t="n">
        <v>46256</v>
      </c>
      <c r="B82" s="71" t="s">
        <v>3</v>
      </c>
      <c r="C82" s="71" t="s">
        <v>113</v>
      </c>
      <c r="D82" s="81" t="n">
        <v>2</v>
      </c>
      <c r="E82" s="71"/>
      <c r="F82" s="71" t="s">
        <v>186</v>
      </c>
      <c r="G82" s="82" t="str">
        <f aca="false">IF(C82="","",IFERROR(INDEX('Kit Lists'!$D$6:$D$605,MATCH(B82&amp;"|"&amp;C82,'Kit Lists'!$J$6:$J$605,0)),"Not on this contract's kit list"))</f>
        <v>R5B OPF ASSEMBLY (4P-4FP) BOAT 2/3 - E2A</v>
      </c>
      <c r="H82" s="83" t="str">
        <f aca="false">IF(AND(B82="",C82="",D82=""),"",IF(B82="","Missing contract",IF(C82="","Missing code",IF(LEFT(G82,3)="Not","Wrong code",IF(D82="","Missing qty",IF(A82="","Missing date",""))))))</f>
        <v/>
      </c>
      <c r="I82" s="84" t="n">
        <f aca="false">IF(B82=Dashboard!$D$3,ROW(),"")</f>
        <v>82</v>
      </c>
    </row>
    <row r="83" customFormat="false" ht="15" hidden="false" customHeight="false" outlineLevel="0" collapsed="false">
      <c r="A83" s="80" t="n">
        <v>46256</v>
      </c>
      <c r="B83" s="71" t="s">
        <v>3</v>
      </c>
      <c r="C83" s="71" t="s">
        <v>116</v>
      </c>
      <c r="D83" s="81" t="n">
        <v>3</v>
      </c>
      <c r="E83" s="71"/>
      <c r="F83" s="71" t="s">
        <v>186</v>
      </c>
      <c r="G83" s="82" t="str">
        <f aca="false">IF(C83="","",IFERROR(INDEX('Kit Lists'!$D$6:$D$605,MATCH(B83&amp;"|"&amp;C83,'Kit Lists'!$J$6:$J$605,0)),"Not on this contract's kit list"))</f>
        <v>R5B 4FP POB LUMENTUM SUB ASSEMBLY - E2A</v>
      </c>
      <c r="H83" s="83" t="str">
        <f aca="false">IF(AND(B83="",C83="",D83=""),"",IF(B83="","Missing contract",IF(C83="","Missing code",IF(LEFT(G83,3)="Not","Wrong code",IF(D83="","Missing qty",IF(A83="","Missing date",""))))))</f>
        <v/>
      </c>
      <c r="I83" s="84" t="n">
        <f aca="false">IF(B83=Dashboard!$D$3,ROW(),"")</f>
        <v>83</v>
      </c>
    </row>
    <row r="84" customFormat="false" ht="15" hidden="false" customHeight="false" outlineLevel="0" collapsed="false">
      <c r="A84" s="80" t="n">
        <v>46256</v>
      </c>
      <c r="B84" s="71" t="s">
        <v>3</v>
      </c>
      <c r="C84" s="71" t="s">
        <v>119</v>
      </c>
      <c r="D84" s="81" t="n">
        <v>24</v>
      </c>
      <c r="E84" s="71"/>
      <c r="F84" s="71" t="s">
        <v>186</v>
      </c>
      <c r="G84" s="82" t="str">
        <f aca="false">IF(C84="","",IFERROR(INDEX('Kit Lists'!$D$6:$D$605,MATCH(B84&amp;"|"&amp;C84,'Kit Lists'!$J$6:$J$605,0)),"Not on this contract's kit list"))</f>
        <v>R5B ERBIUM SPOOL ASSEMBLY - E2A</v>
      </c>
      <c r="H84" s="83" t="str">
        <f aca="false">IF(AND(B84="",C84="",D84=""),"",IF(B84="","Missing contract",IF(C84="","Missing code",IF(LEFT(G84,3)="Not","Wrong code",IF(D84="","Missing qty",IF(A84="","Missing date",""))))))</f>
        <v/>
      </c>
      <c r="I84" s="84" t="n">
        <f aca="false">IF(B84=Dashboard!$D$3,ROW(),"")</f>
        <v>84</v>
      </c>
    </row>
    <row r="85" customFormat="false" ht="15" hidden="false" customHeight="false" outlineLevel="0" collapsed="false">
      <c r="A85" s="80" t="n">
        <v>46256</v>
      </c>
      <c r="B85" s="71" t="s">
        <v>3</v>
      </c>
      <c r="C85" s="71" t="s">
        <v>111</v>
      </c>
      <c r="D85" s="81" t="n">
        <v>1</v>
      </c>
      <c r="E85" s="71"/>
      <c r="F85" s="71" t="s">
        <v>187</v>
      </c>
      <c r="G85" s="82" t="str">
        <f aca="false">IF(C85="","",IFERROR(INDEX('Kit Lists'!$D$6:$D$605,MATCH(B85&amp;"|"&amp;C85,'Kit Lists'!$J$6:$J$605,0)),"Not on this contract's kit list"))</f>
        <v>R5B OPF ASSEMBLY (4P-4FP) BOAT 1 - E2A</v>
      </c>
      <c r="H85" s="83" t="str">
        <f aca="false">IF(AND(B85="",C85="",D85=""),"",IF(B85="","Missing contract",IF(C85="","Missing code",IF(LEFT(G85,3)="Not","Wrong code",IF(D85="","Missing qty",IF(A85="","Missing date",""))))))</f>
        <v/>
      </c>
      <c r="I85" s="84" t="n">
        <f aca="false">IF(B85=Dashboard!$D$3,ROW(),"")</f>
        <v>85</v>
      </c>
    </row>
    <row r="86" customFormat="false" ht="15" hidden="false" customHeight="false" outlineLevel="0" collapsed="false">
      <c r="A86" s="80" t="n">
        <v>46259</v>
      </c>
      <c r="B86" s="71" t="s">
        <v>3</v>
      </c>
      <c r="C86" s="71" t="s">
        <v>108</v>
      </c>
      <c r="D86" s="81" t="n">
        <v>3</v>
      </c>
      <c r="E86" s="71"/>
      <c r="F86" s="71" t="s">
        <v>188</v>
      </c>
      <c r="G86" s="82" t="str">
        <f aca="false">IF(C86="","",IFERROR(INDEX('Kit Lists'!$D$6:$D$605,MATCH(B86&amp;"|"&amp;C86,'Kit Lists'!$J$6:$J$605,0)),"Not on this contract's kit list"))</f>
        <v>R5B PSB SUB ASSEMBLY 4P-4FP</v>
      </c>
      <c r="H86" s="83" t="str">
        <f aca="false">IF(AND(B86="",C86="",D86=""),"",IF(B86="","Missing contract",IF(C86="","Missing code",IF(LEFT(G86,3)="Not","Wrong code",IF(D86="","Missing qty",IF(A86="","Missing date",""))))))</f>
        <v/>
      </c>
      <c r="I86" s="84" t="n">
        <f aca="false">IF(B86=Dashboard!$D$3,ROW(),"")</f>
        <v>86</v>
      </c>
    </row>
    <row r="87" customFormat="false" ht="15" hidden="false" customHeight="false" outlineLevel="0" collapsed="false">
      <c r="A87" s="80" t="n">
        <v>46261</v>
      </c>
      <c r="B87" s="71" t="s">
        <v>3</v>
      </c>
      <c r="C87" s="71" t="s">
        <v>121</v>
      </c>
      <c r="D87" s="81" t="n">
        <v>3</v>
      </c>
      <c r="E87" s="71"/>
      <c r="F87" s="71" t="s">
        <v>186</v>
      </c>
      <c r="G87" s="82" t="str">
        <f aca="false">IF(C87="","",IFERROR(INDEX('Kit Lists'!$D$6:$D$605,MATCH(B87&amp;"|"&amp;C87,'Kit Lists'!$J$6:$J$605,0)),"Not on this contract's kit list"))</f>
        <v>R5B ERBIUM ASSEMBLY POSITION 1</v>
      </c>
      <c r="H87" s="83" t="str">
        <f aca="false">IF(AND(B87="",C87="",D87=""),"",IF(B87="","Missing contract",IF(C87="","Missing code",IF(LEFT(G87,3)="Not","Wrong code",IF(D87="","Missing qty",IF(A87="","Missing date",""))))))</f>
        <v/>
      </c>
      <c r="I87" s="84" t="n">
        <f aca="false">IF(B87=Dashboard!$D$3,ROW(),"")</f>
        <v>87</v>
      </c>
    </row>
    <row r="88" customFormat="false" ht="15" hidden="false" customHeight="false" outlineLevel="0" collapsed="false">
      <c r="A88" s="80" t="n">
        <v>46261</v>
      </c>
      <c r="B88" s="71" t="s">
        <v>3</v>
      </c>
      <c r="C88" s="71" t="s">
        <v>123</v>
      </c>
      <c r="D88" s="81" t="n">
        <v>3</v>
      </c>
      <c r="E88" s="71"/>
      <c r="F88" s="71" t="s">
        <v>186</v>
      </c>
      <c r="G88" s="82" t="str">
        <f aca="false">IF(C88="","",IFERROR(INDEX('Kit Lists'!$D$6:$D$605,MATCH(B88&amp;"|"&amp;C88,'Kit Lists'!$J$6:$J$605,0)),"Not on this contract's kit list"))</f>
        <v>R5B ERBIUM ASSEMBLY POSITION 2</v>
      </c>
      <c r="H88" s="83" t="str">
        <f aca="false">IF(AND(B88="",C88="",D88=""),"",IF(B88="","Missing contract",IF(C88="","Missing code",IF(LEFT(G88,3)="Not","Wrong code",IF(D88="","Missing qty",IF(A88="","Missing date",""))))))</f>
        <v/>
      </c>
      <c r="I88" s="84" t="n">
        <f aca="false">IF(B88=Dashboard!$D$3,ROW(),"")</f>
        <v>88</v>
      </c>
    </row>
    <row r="89" customFormat="false" ht="15" hidden="false" customHeight="false" outlineLevel="0" collapsed="false">
      <c r="A89" s="80" t="n">
        <v>46261</v>
      </c>
      <c r="B89" s="71" t="s">
        <v>3</v>
      </c>
      <c r="C89" s="71" t="s">
        <v>125</v>
      </c>
      <c r="D89" s="81" t="n">
        <v>3</v>
      </c>
      <c r="E89" s="71"/>
      <c r="F89" s="71" t="s">
        <v>186</v>
      </c>
      <c r="G89" s="82" t="str">
        <f aca="false">IF(C89="","",IFERROR(INDEX('Kit Lists'!$D$6:$D$605,MATCH(B89&amp;"|"&amp;C89,'Kit Lists'!$J$6:$J$605,0)),"Not on this contract's kit list"))</f>
        <v>R5B ERBIUM ASSEMBLY POSITION 3</v>
      </c>
      <c r="H89" s="83" t="str">
        <f aca="false">IF(AND(B89="",C89="",D89=""),"",IF(B89="","Missing contract",IF(C89="","Missing code",IF(LEFT(G89,3)="Not","Wrong code",IF(D89="","Missing qty",IF(A89="","Missing date",""))))))</f>
        <v/>
      </c>
      <c r="I89" s="84" t="n">
        <f aca="false">IF(B89=Dashboard!$D$3,ROW(),"")</f>
        <v>89</v>
      </c>
    </row>
    <row r="90" customFormat="false" ht="15" hidden="false" customHeight="false" outlineLevel="0" collapsed="false">
      <c r="A90" s="80" t="n">
        <v>46261</v>
      </c>
      <c r="B90" s="71" t="s">
        <v>3</v>
      </c>
      <c r="C90" s="71" t="s">
        <v>127</v>
      </c>
      <c r="D90" s="81" t="n">
        <v>3</v>
      </c>
      <c r="E90" s="71"/>
      <c r="F90" s="71" t="s">
        <v>186</v>
      </c>
      <c r="G90" s="82" t="str">
        <f aca="false">IF(C90="","",IFERROR(INDEX('Kit Lists'!$D$6:$D$605,MATCH(B90&amp;"|"&amp;C90,'Kit Lists'!$J$6:$J$605,0)),"Not on this contract's kit list"))</f>
        <v>R5B ERBIUM ASSEMBLY POSITION 4</v>
      </c>
      <c r="H90" s="83" t="str">
        <f aca="false">IF(AND(B90="",C90="",D90=""),"",IF(B90="","Missing contract",IF(C90="","Missing code",IF(LEFT(G90,3)="Not","Wrong code",IF(D90="","Missing qty",IF(A90="","Missing date",""))))))</f>
        <v/>
      </c>
      <c r="I90" s="84" t="n">
        <f aca="false">IF(B90=Dashboard!$D$3,ROW(),"")</f>
        <v>90</v>
      </c>
    </row>
    <row r="91" customFormat="false" ht="15" hidden="false" customHeight="false" outlineLevel="0" collapsed="false">
      <c r="A91" s="80" t="n">
        <v>46263</v>
      </c>
      <c r="B91" s="71" t="s">
        <v>3</v>
      </c>
      <c r="C91" s="71" t="s">
        <v>130</v>
      </c>
      <c r="D91" s="81" t="n">
        <v>1</v>
      </c>
      <c r="E91" s="71"/>
      <c r="F91" s="71" t="s">
        <v>186</v>
      </c>
      <c r="G91" s="82" t="str">
        <f aca="false">IF(C91="","",IFERROR(INDEX('Kit Lists'!$D$6:$D$605,MATCH(B91&amp;"|"&amp;C91,'Kit Lists'!$J$6:$J$605,0)),"Not on this contract's kit list"))</f>
        <v>R5B BOAT 1 ASSY (4P-4FP)</v>
      </c>
      <c r="H91" s="83" t="str">
        <f aca="false">IF(AND(B91="",C91="",D91=""),"",IF(B91="","Missing contract",IF(C91="","Missing code",IF(LEFT(G91,3)="Not","Wrong code",IF(D91="","Missing qty",IF(A91="","Missing date",""))))))</f>
        <v/>
      </c>
      <c r="I91" s="84" t="n">
        <f aca="false">IF(B91=Dashboard!$D$3,ROW(),"")</f>
        <v>91</v>
      </c>
    </row>
    <row r="92" customFormat="false" ht="15" hidden="false" customHeight="false" outlineLevel="0" collapsed="false">
      <c r="A92" s="80" t="n">
        <v>46263</v>
      </c>
      <c r="B92" s="71" t="s">
        <v>3</v>
      </c>
      <c r="C92" s="71" t="s">
        <v>132</v>
      </c>
      <c r="D92" s="81" t="n">
        <v>1</v>
      </c>
      <c r="E92" s="71"/>
      <c r="F92" s="71" t="s">
        <v>186</v>
      </c>
      <c r="G92" s="82" t="str">
        <f aca="false">IF(C92="","",IFERROR(INDEX('Kit Lists'!$D$6:$D$605,MATCH(B92&amp;"|"&amp;C92,'Kit Lists'!$J$6:$J$605,0)),"Not on this contract's kit list"))</f>
        <v>R5B BOAT 2 ASSY (4P-4FP)</v>
      </c>
      <c r="H92" s="83" t="str">
        <f aca="false">IF(AND(B92="",C92="",D92=""),"",IF(B92="","Missing contract",IF(C92="","Missing code",IF(LEFT(G92,3)="Not","Wrong code",IF(D92="","Missing qty",IF(A92="","Missing date",""))))))</f>
        <v/>
      </c>
      <c r="I92" s="84" t="n">
        <f aca="false">IF(B92=Dashboard!$D$3,ROW(),"")</f>
        <v>92</v>
      </c>
    </row>
    <row r="93" customFormat="false" ht="15" hidden="false" customHeight="false" outlineLevel="0" collapsed="false">
      <c r="A93" s="80" t="n">
        <v>46263</v>
      </c>
      <c r="B93" s="71" t="s">
        <v>3</v>
      </c>
      <c r="C93" s="71" t="s">
        <v>134</v>
      </c>
      <c r="D93" s="81" t="n">
        <v>1</v>
      </c>
      <c r="E93" s="71"/>
      <c r="F93" s="71" t="s">
        <v>186</v>
      </c>
      <c r="G93" s="82" t="str">
        <f aca="false">IF(C93="","",IFERROR(INDEX('Kit Lists'!$D$6:$D$605,MATCH(B93&amp;"|"&amp;C93,'Kit Lists'!$J$6:$J$605,0)),"Not on this contract's kit list"))</f>
        <v>R5B BOAT 3 ASSY (4P-4FP)</v>
      </c>
      <c r="H93" s="83" t="str">
        <f aca="false">IF(AND(B93="",C93="",D93=""),"",IF(B93="","Missing contract",IF(C93="","Missing code",IF(LEFT(G93,3)="Not","Wrong code",IF(D93="","Missing qty",IF(A93="","Missing date",""))))))</f>
        <v/>
      </c>
      <c r="I93" s="84" t="n">
        <f aca="false">IF(B93=Dashboard!$D$3,ROW(),"")</f>
        <v>93</v>
      </c>
    </row>
    <row r="94" customFormat="false" ht="15" hidden="false" customHeight="false" outlineLevel="0" collapsed="false">
      <c r="A94" s="80" t="n">
        <v>46266</v>
      </c>
      <c r="B94" s="71" t="s">
        <v>3</v>
      </c>
      <c r="C94" s="71" t="s">
        <v>105</v>
      </c>
      <c r="D94" s="81" t="n">
        <v>2</v>
      </c>
      <c r="E94" s="71"/>
      <c r="F94" s="71" t="s">
        <v>187</v>
      </c>
      <c r="G94" s="82" t="str">
        <f aca="false">IF(C94="","",IFERROR(INDEX('Kit Lists'!$D$6:$D$605,MATCH(B94&amp;"|"&amp;C94,'Kit Lists'!$J$6:$J$605,0)),"Not on this contract's kit list"))</f>
        <v>R5B LASER ASSEMBLY 4P BOAT 2/3 - E2A</v>
      </c>
      <c r="H94" s="83" t="str">
        <f aca="false">IF(AND(B94="",C94="",D94=""),"",IF(B94="","Missing contract",IF(C94="","Missing code",IF(LEFT(G94,3)="Not","Wrong code",IF(D94="","Missing qty",IF(A94="","Missing date",""))))))</f>
        <v/>
      </c>
      <c r="I94" s="84" t="n">
        <f aca="false">IF(B94=Dashboard!$D$3,ROW(),"")</f>
        <v>94</v>
      </c>
    </row>
    <row r="95" customFormat="false" ht="15" hidden="false" customHeight="false" outlineLevel="0" collapsed="false">
      <c r="A95" s="80" t="n">
        <v>46266</v>
      </c>
      <c r="B95" s="71" t="s">
        <v>3</v>
      </c>
      <c r="C95" s="71" t="s">
        <v>113</v>
      </c>
      <c r="D95" s="81" t="n">
        <v>2</v>
      </c>
      <c r="E95" s="71"/>
      <c r="F95" s="71" t="s">
        <v>187</v>
      </c>
      <c r="G95" s="82" t="str">
        <f aca="false">IF(C95="","",IFERROR(INDEX('Kit Lists'!$D$6:$D$605,MATCH(B95&amp;"|"&amp;C95,'Kit Lists'!$J$6:$J$605,0)),"Not on this contract's kit list"))</f>
        <v>R5B OPF ASSEMBLY (4P-4FP) BOAT 2/3 - E2A</v>
      </c>
      <c r="H95" s="83" t="str">
        <f aca="false">IF(AND(B95="",C95="",D95=""),"",IF(B95="","Missing contract",IF(C95="","Missing code",IF(LEFT(G95,3)="Not","Wrong code",IF(D95="","Missing qty",IF(A95="","Missing date",""))))))</f>
        <v/>
      </c>
      <c r="I95" s="84" t="n">
        <f aca="false">IF(B95=Dashboard!$D$3,ROW(),"")</f>
        <v>95</v>
      </c>
    </row>
    <row r="96" customFormat="false" ht="15" hidden="false" customHeight="false" outlineLevel="0" collapsed="false">
      <c r="A96" s="80" t="n">
        <v>46266</v>
      </c>
      <c r="B96" s="71" t="s">
        <v>3</v>
      </c>
      <c r="C96" s="71" t="s">
        <v>103</v>
      </c>
      <c r="D96" s="81" t="n">
        <v>1</v>
      </c>
      <c r="E96" s="71"/>
      <c r="F96" s="71" t="s">
        <v>188</v>
      </c>
      <c r="G96" s="82" t="str">
        <f aca="false">IF(C96="","",IFERROR(INDEX('Kit Lists'!$D$6:$D$605,MATCH(B96&amp;"|"&amp;C96,'Kit Lists'!$J$6:$J$605,0)),"Not on this contract's kit list"))</f>
        <v>R5B LASER ASSEMBLY 4P BOAT 1 - E2A</v>
      </c>
      <c r="H96" s="83" t="str">
        <f aca="false">IF(AND(B96="",C96="",D96=""),"",IF(B96="","Missing contract",IF(C96="","Missing code",IF(LEFT(G96,3)="Not","Wrong code",IF(D96="","Missing qty",IF(A96="","Missing date",""))))))</f>
        <v/>
      </c>
      <c r="I96" s="84" t="n">
        <f aca="false">IF(B96=Dashboard!$D$3,ROW(),"")</f>
        <v>96</v>
      </c>
    </row>
    <row r="97" customFormat="false" ht="15" hidden="false" customHeight="false" outlineLevel="0" collapsed="false">
      <c r="A97" s="80" t="n">
        <v>46266</v>
      </c>
      <c r="B97" s="71" t="s">
        <v>3</v>
      </c>
      <c r="C97" s="71" t="s">
        <v>111</v>
      </c>
      <c r="D97" s="81" t="n">
        <v>1</v>
      </c>
      <c r="E97" s="71"/>
      <c r="F97" s="71" t="s">
        <v>188</v>
      </c>
      <c r="G97" s="82" t="str">
        <f aca="false">IF(C97="","",IFERROR(INDEX('Kit Lists'!$D$6:$D$605,MATCH(B97&amp;"|"&amp;C97,'Kit Lists'!$J$6:$J$605,0)),"Not on this contract's kit list"))</f>
        <v>R5B OPF ASSEMBLY (4P-4FP) BOAT 1 - E2A</v>
      </c>
      <c r="H97" s="83" t="str">
        <f aca="false">IF(AND(B97="",C97="",D97=""),"",IF(B97="","Missing contract",IF(C97="","Missing code",IF(LEFT(G97,3)="Not","Wrong code",IF(D97="","Missing qty",IF(A97="","Missing date",""))))))</f>
        <v/>
      </c>
      <c r="I97" s="84" t="n">
        <f aca="false">IF(B97=Dashboard!$D$3,ROW(),"")</f>
        <v>97</v>
      </c>
    </row>
    <row r="98" customFormat="false" ht="15" hidden="false" customHeight="false" outlineLevel="0" collapsed="false">
      <c r="A98" s="80" t="n">
        <v>46269</v>
      </c>
      <c r="B98" s="71" t="s">
        <v>3</v>
      </c>
      <c r="C98" s="71" t="s">
        <v>116</v>
      </c>
      <c r="D98" s="81" t="n">
        <v>3</v>
      </c>
      <c r="E98" s="71"/>
      <c r="F98" s="71" t="s">
        <v>187</v>
      </c>
      <c r="G98" s="82" t="str">
        <f aca="false">IF(C98="","",IFERROR(INDEX('Kit Lists'!$D$6:$D$605,MATCH(B98&amp;"|"&amp;C98,'Kit Lists'!$J$6:$J$605,0)),"Not on this contract's kit list"))</f>
        <v>R5B 4FP POB LUMENTUM SUB ASSEMBLY - E2A</v>
      </c>
      <c r="H98" s="83" t="str">
        <f aca="false">IF(AND(B98="",C98="",D98=""),"",IF(B98="","Missing contract",IF(C98="","Missing code",IF(LEFT(G98,3)="Not","Wrong code",IF(D98="","Missing qty",IF(A98="","Missing date",""))))))</f>
        <v/>
      </c>
      <c r="I98" s="84" t="n">
        <f aca="false">IF(B98=Dashboard!$D$3,ROW(),"")</f>
        <v>98</v>
      </c>
    </row>
    <row r="99" customFormat="false" ht="15" hidden="false" customHeight="false" outlineLevel="0" collapsed="false">
      <c r="A99" s="80" t="n">
        <v>46269</v>
      </c>
      <c r="B99" s="71" t="s">
        <v>3</v>
      </c>
      <c r="C99" s="71" t="s">
        <v>121</v>
      </c>
      <c r="D99" s="81" t="n">
        <v>3</v>
      </c>
      <c r="E99" s="71"/>
      <c r="F99" s="71" t="s">
        <v>187</v>
      </c>
      <c r="G99" s="82" t="str">
        <f aca="false">IF(C99="","",IFERROR(INDEX('Kit Lists'!$D$6:$D$605,MATCH(B99&amp;"|"&amp;C99,'Kit Lists'!$J$6:$J$605,0)),"Not on this contract's kit list"))</f>
        <v>R5B ERBIUM ASSEMBLY POSITION 1</v>
      </c>
      <c r="H99" s="83" t="str">
        <f aca="false">IF(AND(B99="",C99="",D99=""),"",IF(B99="","Missing contract",IF(C99="","Missing code",IF(LEFT(G99,3)="Not","Wrong code",IF(D99="","Missing qty",IF(A99="","Missing date",""))))))</f>
        <v/>
      </c>
      <c r="I99" s="84" t="n">
        <f aca="false">IF(B99=Dashboard!$D$3,ROW(),"")</f>
        <v>99</v>
      </c>
    </row>
    <row r="100" customFormat="false" ht="15" hidden="false" customHeight="false" outlineLevel="0" collapsed="false">
      <c r="A100" s="80" t="n">
        <v>46269</v>
      </c>
      <c r="B100" s="71" t="s">
        <v>3</v>
      </c>
      <c r="C100" s="71" t="s">
        <v>123</v>
      </c>
      <c r="D100" s="81" t="n">
        <v>3</v>
      </c>
      <c r="E100" s="71"/>
      <c r="F100" s="71" t="s">
        <v>187</v>
      </c>
      <c r="G100" s="82" t="str">
        <f aca="false">IF(C100="","",IFERROR(INDEX('Kit Lists'!$D$6:$D$605,MATCH(B100&amp;"|"&amp;C100,'Kit Lists'!$J$6:$J$605,0)),"Not on this contract's kit list"))</f>
        <v>R5B ERBIUM ASSEMBLY POSITION 2</v>
      </c>
      <c r="H100" s="83" t="str">
        <f aca="false">IF(AND(B100="",C100="",D100=""),"",IF(B100="","Missing contract",IF(C100="","Missing code",IF(LEFT(G100,3)="Not","Wrong code",IF(D100="","Missing qty",IF(A100="","Missing date",""))))))</f>
        <v/>
      </c>
      <c r="I100" s="84" t="n">
        <f aca="false">IF(B100=Dashboard!$D$3,ROW(),"")</f>
        <v>100</v>
      </c>
    </row>
    <row r="101" customFormat="false" ht="15" hidden="false" customHeight="false" outlineLevel="0" collapsed="false">
      <c r="A101" s="80" t="n">
        <v>46269</v>
      </c>
      <c r="B101" s="71" t="s">
        <v>3</v>
      </c>
      <c r="C101" s="71" t="s">
        <v>125</v>
      </c>
      <c r="D101" s="81" t="n">
        <v>3</v>
      </c>
      <c r="E101" s="71"/>
      <c r="F101" s="71" t="s">
        <v>187</v>
      </c>
      <c r="G101" s="82" t="str">
        <f aca="false">IF(C101="","",IFERROR(INDEX('Kit Lists'!$D$6:$D$605,MATCH(B101&amp;"|"&amp;C101,'Kit Lists'!$J$6:$J$605,0)),"Not on this contract's kit list"))</f>
        <v>R5B ERBIUM ASSEMBLY POSITION 3</v>
      </c>
      <c r="H101" s="83" t="str">
        <f aca="false">IF(AND(B101="",C101="",D101=""),"",IF(B101="","Missing contract",IF(C101="","Missing code",IF(LEFT(G101,3)="Not","Wrong code",IF(D101="","Missing qty",IF(A101="","Missing date",""))))))</f>
        <v/>
      </c>
      <c r="I101" s="84" t="n">
        <f aca="false">IF(B101=Dashboard!$D$3,ROW(),"")</f>
        <v>101</v>
      </c>
    </row>
    <row r="102" customFormat="false" ht="15" hidden="false" customHeight="false" outlineLevel="0" collapsed="false">
      <c r="A102" s="80" t="n">
        <v>46269</v>
      </c>
      <c r="B102" s="71" t="s">
        <v>3</v>
      </c>
      <c r="C102" s="71" t="s">
        <v>127</v>
      </c>
      <c r="D102" s="81" t="n">
        <v>3</v>
      </c>
      <c r="E102" s="71"/>
      <c r="F102" s="71" t="s">
        <v>187</v>
      </c>
      <c r="G102" s="82" t="str">
        <f aca="false">IF(C102="","",IFERROR(INDEX('Kit Lists'!$D$6:$D$605,MATCH(B102&amp;"|"&amp;C102,'Kit Lists'!$J$6:$J$605,0)),"Not on this contract's kit list"))</f>
        <v>R5B ERBIUM ASSEMBLY POSITION 4</v>
      </c>
      <c r="H102" s="83" t="str">
        <f aca="false">IF(AND(B102="",C102="",D102=""),"",IF(B102="","Missing contract",IF(C102="","Missing code",IF(LEFT(G102,3)="Not","Wrong code",IF(D102="","Missing qty",IF(A102="","Missing date",""))))))</f>
        <v/>
      </c>
      <c r="I102" s="84" t="n">
        <f aca="false">IF(B102=Dashboard!$D$3,ROW(),"")</f>
        <v>102</v>
      </c>
    </row>
    <row r="103" customFormat="false" ht="15" hidden="false" customHeight="false" outlineLevel="0" collapsed="false">
      <c r="A103" s="80" t="n">
        <v>46270</v>
      </c>
      <c r="B103" s="71" t="s">
        <v>3</v>
      </c>
      <c r="C103" s="71" t="s">
        <v>130</v>
      </c>
      <c r="D103" s="81" t="n">
        <v>1</v>
      </c>
      <c r="E103" s="71"/>
      <c r="F103" s="71" t="s">
        <v>187</v>
      </c>
      <c r="G103" s="82" t="str">
        <f aca="false">IF(C103="","",IFERROR(INDEX('Kit Lists'!$D$6:$D$605,MATCH(B103&amp;"|"&amp;C103,'Kit Lists'!$J$6:$J$605,0)),"Not on this contract's kit list"))</f>
        <v>R5B BOAT 1 ASSY (4P-4FP)</v>
      </c>
      <c r="H103" s="83" t="str">
        <f aca="false">IF(AND(B103="",C103="",D103=""),"",IF(B103="","Missing contract",IF(C103="","Missing code",IF(LEFT(G103,3)="Not","Wrong code",IF(D103="","Missing qty",IF(A103="","Missing date",""))))))</f>
        <v/>
      </c>
      <c r="I103" s="84" t="n">
        <f aca="false">IF(B103=Dashboard!$D$3,ROW(),"")</f>
        <v>103</v>
      </c>
    </row>
    <row r="104" customFormat="false" ht="15" hidden="false" customHeight="false" outlineLevel="0" collapsed="false">
      <c r="A104" s="80" t="n">
        <v>46270</v>
      </c>
      <c r="B104" s="71" t="s">
        <v>3</v>
      </c>
      <c r="C104" s="71" t="s">
        <v>132</v>
      </c>
      <c r="D104" s="81" t="n">
        <v>1</v>
      </c>
      <c r="E104" s="71"/>
      <c r="F104" s="71" t="s">
        <v>187</v>
      </c>
      <c r="G104" s="82" t="str">
        <f aca="false">IF(C104="","",IFERROR(INDEX('Kit Lists'!$D$6:$D$605,MATCH(B104&amp;"|"&amp;C104,'Kit Lists'!$J$6:$J$605,0)),"Not on this contract's kit list"))</f>
        <v>R5B BOAT 2 ASSY (4P-4FP)</v>
      </c>
      <c r="H104" s="83" t="str">
        <f aca="false">IF(AND(B104="",C104="",D104=""),"",IF(B104="","Missing contract",IF(C104="","Missing code",IF(LEFT(G104,3)="Not","Wrong code",IF(D104="","Missing qty",IF(A104="","Missing date",""))))))</f>
        <v/>
      </c>
      <c r="I104" s="84" t="n">
        <f aca="false">IF(B104=Dashboard!$D$3,ROW(),"")</f>
        <v>104</v>
      </c>
    </row>
    <row r="105" customFormat="false" ht="15" hidden="false" customHeight="false" outlineLevel="0" collapsed="false">
      <c r="A105" s="80" t="n">
        <v>46270</v>
      </c>
      <c r="B105" s="71" t="s">
        <v>3</v>
      </c>
      <c r="C105" s="71" t="s">
        <v>134</v>
      </c>
      <c r="D105" s="81" t="n">
        <v>1</v>
      </c>
      <c r="E105" s="71"/>
      <c r="F105" s="71" t="s">
        <v>187</v>
      </c>
      <c r="G105" s="82" t="str">
        <f aca="false">IF(C105="","",IFERROR(INDEX('Kit Lists'!$D$6:$D$605,MATCH(B105&amp;"|"&amp;C105,'Kit Lists'!$J$6:$J$605,0)),"Not on this contract's kit list"))</f>
        <v>R5B BOAT 3 ASSY (4P-4FP)</v>
      </c>
      <c r="H105" s="83" t="str">
        <f aca="false">IF(AND(B105="",C105="",D105=""),"",IF(B105="","Missing contract",IF(C105="","Missing code",IF(LEFT(G105,3)="Not","Wrong code",IF(D105="","Missing qty",IF(A105="","Missing date",""))))))</f>
        <v/>
      </c>
      <c r="I105" s="84" t="n">
        <f aca="false">IF(B105=Dashboard!$D$3,ROW(),"")</f>
        <v>105</v>
      </c>
    </row>
    <row r="106" customFormat="false" ht="15" hidden="false" customHeight="false" outlineLevel="0" collapsed="false">
      <c r="A106" s="80" t="n">
        <v>46272</v>
      </c>
      <c r="B106" s="71" t="s">
        <v>3</v>
      </c>
      <c r="C106" s="71" t="s">
        <v>119</v>
      </c>
      <c r="D106" s="81" t="n">
        <v>24</v>
      </c>
      <c r="E106" s="71"/>
      <c r="F106" s="71" t="s">
        <v>187</v>
      </c>
      <c r="G106" s="82" t="str">
        <f aca="false">IF(C106="","",IFERROR(INDEX('Kit Lists'!$D$6:$D$605,MATCH(B106&amp;"|"&amp;C106,'Kit Lists'!$J$6:$J$605,0)),"Not on this contract's kit list"))</f>
        <v>R5B ERBIUM SPOOL ASSEMBLY - E2A</v>
      </c>
      <c r="H106" s="83" t="str">
        <f aca="false">IF(AND(B106="",C106="",D106=""),"",IF(B106="","Missing contract",IF(C106="","Missing code",IF(LEFT(G106,3)="Not","Wrong code",IF(D106="","Missing qty",IF(A106="","Missing date",""))))))</f>
        <v/>
      </c>
      <c r="I106" s="84" t="n">
        <f aca="false">IF(B106=Dashboard!$D$3,ROW(),"")</f>
        <v>106</v>
      </c>
    </row>
    <row r="107" customFormat="false" ht="15" hidden="false" customHeight="false" outlineLevel="0" collapsed="false">
      <c r="A107" s="80" t="n">
        <v>46273</v>
      </c>
      <c r="B107" s="71" t="s">
        <v>3</v>
      </c>
      <c r="C107" s="71" t="s">
        <v>108</v>
      </c>
      <c r="D107" s="81" t="n">
        <v>3</v>
      </c>
      <c r="E107" s="71"/>
      <c r="F107" s="71" t="s">
        <v>189</v>
      </c>
      <c r="G107" s="82" t="str">
        <f aca="false">IF(C107="","",IFERROR(INDEX('Kit Lists'!$D$6:$D$605,MATCH(B107&amp;"|"&amp;C107,'Kit Lists'!$J$6:$J$605,0)),"Not on this contract's kit list"))</f>
        <v>R5B PSB SUB ASSEMBLY 4P-4FP</v>
      </c>
      <c r="H107" s="83" t="str">
        <f aca="false">IF(AND(B107="",C107="",D107=""),"",IF(B107="","Missing contract",IF(C107="","Missing code",IF(LEFT(G107,3)="Not","Wrong code",IF(D107="","Missing qty",IF(A107="","Missing date",""))))))</f>
        <v/>
      </c>
      <c r="I107" s="84" t="n">
        <f aca="false">IF(B107=Dashboard!$D$3,ROW(),"")</f>
        <v>107</v>
      </c>
    </row>
    <row r="108" customFormat="false" ht="15" hidden="false" customHeight="false" outlineLevel="0" collapsed="false">
      <c r="A108" s="80" t="n">
        <v>46273</v>
      </c>
      <c r="B108" s="71" t="s">
        <v>3</v>
      </c>
      <c r="C108" s="71" t="s">
        <v>108</v>
      </c>
      <c r="D108" s="81" t="n">
        <v>3</v>
      </c>
      <c r="E108" s="71"/>
      <c r="F108" s="71" t="s">
        <v>190</v>
      </c>
      <c r="G108" s="82" t="str">
        <f aca="false">IF(C108="","",IFERROR(INDEX('Kit Lists'!$D$6:$D$605,MATCH(B108&amp;"|"&amp;C108,'Kit Lists'!$J$6:$J$605,0)),"Not on this contract's kit list"))</f>
        <v>R5B PSB SUB ASSEMBLY 4P-4FP</v>
      </c>
      <c r="H108" s="83" t="str">
        <f aca="false">IF(AND(B108="",C108="",D108=""),"",IF(B108="","Missing contract",IF(C108="","Missing code",IF(LEFT(G108,3)="Not","Wrong code",IF(D108="","Missing qty",IF(A108="","Missing date",""))))))</f>
        <v/>
      </c>
      <c r="I108" s="84" t="n">
        <f aca="false">IF(B108=Dashboard!$D$3,ROW(),"")</f>
        <v>108</v>
      </c>
    </row>
    <row r="109" customFormat="false" ht="15" hidden="false" customHeight="false" outlineLevel="0" collapsed="false">
      <c r="A109" s="80" t="n">
        <v>46273</v>
      </c>
      <c r="B109" s="71" t="s">
        <v>3</v>
      </c>
      <c r="C109" s="71" t="s">
        <v>108</v>
      </c>
      <c r="D109" s="81" t="n">
        <v>3</v>
      </c>
      <c r="E109" s="71"/>
      <c r="F109" s="71" t="s">
        <v>191</v>
      </c>
      <c r="G109" s="82" t="str">
        <f aca="false">IF(C109="","",IFERROR(INDEX('Kit Lists'!$D$6:$D$605,MATCH(B109&amp;"|"&amp;C109,'Kit Lists'!$J$6:$J$605,0)),"Not on this contract's kit list"))</f>
        <v>R5B PSB SUB ASSEMBLY 4P-4FP</v>
      </c>
      <c r="H109" s="83" t="str">
        <f aca="false">IF(AND(B109="",C109="",D109=""),"",IF(B109="","Missing contract",IF(C109="","Missing code",IF(LEFT(G109,3)="Not","Wrong code",IF(D109="","Missing qty",IF(A109="","Missing date",""))))))</f>
        <v/>
      </c>
      <c r="I109" s="84" t="n">
        <f aca="false">IF(B109=Dashboard!$D$3,ROW(),"")</f>
        <v>109</v>
      </c>
    </row>
    <row r="110" customFormat="false" ht="15" hidden="false" customHeight="false" outlineLevel="0" collapsed="false">
      <c r="A110" s="80" t="n">
        <v>46274</v>
      </c>
      <c r="B110" s="71" t="s">
        <v>3</v>
      </c>
      <c r="C110" s="71" t="s">
        <v>125</v>
      </c>
      <c r="D110" s="81" t="n">
        <v>3</v>
      </c>
      <c r="E110" s="71"/>
      <c r="F110" s="71" t="s">
        <v>188</v>
      </c>
      <c r="G110" s="82" t="str">
        <f aca="false">IF(C110="","",IFERROR(INDEX('Kit Lists'!$D$6:$D$605,MATCH(B110&amp;"|"&amp;C110,'Kit Lists'!$J$6:$J$605,0)),"Not on this contract's kit list"))</f>
        <v>R5B ERBIUM ASSEMBLY POSITION 3</v>
      </c>
      <c r="H110" s="83" t="str">
        <f aca="false">IF(AND(B110="",C110="",D110=""),"",IF(B110="","Missing contract",IF(C110="","Missing code",IF(LEFT(G110,3)="Not","Wrong code",IF(D110="","Missing qty",IF(A110="","Missing date",""))))))</f>
        <v/>
      </c>
      <c r="I110" s="84" t="n">
        <f aca="false">IF(B110=Dashboard!$D$3,ROW(),"")</f>
        <v>110</v>
      </c>
    </row>
    <row r="111" customFormat="false" ht="15" hidden="false" customHeight="false" outlineLevel="0" collapsed="false">
      <c r="A111" s="80" t="n">
        <v>46275</v>
      </c>
      <c r="B111" s="71" t="s">
        <v>3</v>
      </c>
      <c r="C111" s="71" t="s">
        <v>116</v>
      </c>
      <c r="D111" s="81" t="n">
        <v>3</v>
      </c>
      <c r="E111" s="71"/>
      <c r="F111" s="71" t="s">
        <v>188</v>
      </c>
      <c r="G111" s="82" t="str">
        <f aca="false">IF(C111="","",IFERROR(INDEX('Kit Lists'!$D$6:$D$605,MATCH(B111&amp;"|"&amp;C111,'Kit Lists'!$J$6:$J$605,0)),"Not on this contract's kit list"))</f>
        <v>R5B 4FP POB LUMENTUM SUB ASSEMBLY - E2A</v>
      </c>
      <c r="H111" s="83" t="str">
        <f aca="false">IF(AND(B111="",C111="",D111=""),"",IF(B111="","Missing contract",IF(C111="","Missing code",IF(LEFT(G111,3)="Not","Wrong code",IF(D111="","Missing qty",IF(A111="","Missing date",""))))))</f>
        <v/>
      </c>
      <c r="I111" s="84" t="n">
        <f aca="false">IF(B111=Dashboard!$D$3,ROW(),"")</f>
        <v>111</v>
      </c>
    </row>
    <row r="112" customFormat="false" ht="15" hidden="false" customHeight="false" outlineLevel="0" collapsed="false">
      <c r="A112" s="80" t="n">
        <v>46276</v>
      </c>
      <c r="B112" s="71" t="s">
        <v>3</v>
      </c>
      <c r="C112" s="71" t="s">
        <v>105</v>
      </c>
      <c r="D112" s="81" t="n">
        <v>2</v>
      </c>
      <c r="E112" s="71"/>
      <c r="F112" s="71" t="s">
        <v>188</v>
      </c>
      <c r="G112" s="82" t="str">
        <f aca="false">IF(C112="","",IFERROR(INDEX('Kit Lists'!$D$6:$D$605,MATCH(B112&amp;"|"&amp;C112,'Kit Lists'!$J$6:$J$605,0)),"Not on this contract's kit list"))</f>
        <v>R5B LASER ASSEMBLY 4P BOAT 2/3 - E2A</v>
      </c>
      <c r="H112" s="83" t="str">
        <f aca="false">IF(AND(B112="",C112="",D112=""),"",IF(B112="","Missing contract",IF(C112="","Missing code",IF(LEFT(G112,3)="Not","Wrong code",IF(D112="","Missing qty",IF(A112="","Missing date",""))))))</f>
        <v/>
      </c>
      <c r="I112" s="84" t="n">
        <f aca="false">IF(B112=Dashboard!$D$3,ROW(),"")</f>
        <v>112</v>
      </c>
    </row>
    <row r="113" customFormat="false" ht="15" hidden="false" customHeight="false" outlineLevel="0" collapsed="false">
      <c r="A113" s="80" t="n">
        <v>46276</v>
      </c>
      <c r="B113" s="71" t="s">
        <v>3</v>
      </c>
      <c r="C113" s="71" t="s">
        <v>103</v>
      </c>
      <c r="D113" s="81" t="n">
        <v>1</v>
      </c>
      <c r="E113" s="71"/>
      <c r="F113" s="71" t="s">
        <v>189</v>
      </c>
      <c r="G113" s="82" t="str">
        <f aca="false">IF(C113="","",IFERROR(INDEX('Kit Lists'!$D$6:$D$605,MATCH(B113&amp;"|"&amp;C113,'Kit Lists'!$J$6:$J$605,0)),"Not on this contract's kit list"))</f>
        <v>R5B LASER ASSEMBLY 4P BOAT 1 - E2A</v>
      </c>
      <c r="H113" s="83" t="str">
        <f aca="false">IF(AND(B113="",C113="",D113=""),"",IF(B113="","Missing contract",IF(C113="","Missing code",IF(LEFT(G113,3)="Not","Wrong code",IF(D113="","Missing qty",IF(A113="","Missing date",""))))))</f>
        <v/>
      </c>
      <c r="I113" s="84" t="n">
        <f aca="false">IF(B113=Dashboard!$D$3,ROW(),"")</f>
        <v>113</v>
      </c>
    </row>
    <row r="114" customFormat="false" ht="15" hidden="false" customHeight="false" outlineLevel="0" collapsed="false">
      <c r="A114" s="80" t="n">
        <v>46276</v>
      </c>
      <c r="B114" s="71" t="s">
        <v>3</v>
      </c>
      <c r="C114" s="71" t="s">
        <v>108</v>
      </c>
      <c r="D114" s="81" t="n">
        <v>3</v>
      </c>
      <c r="E114" s="71"/>
      <c r="F114" s="71" t="s">
        <v>192</v>
      </c>
      <c r="G114" s="82" t="str">
        <f aca="false">IF(C114="","",IFERROR(INDEX('Kit Lists'!$D$6:$D$605,MATCH(B114&amp;"|"&amp;C114,'Kit Lists'!$J$6:$J$605,0)),"Not on this contract's kit list"))</f>
        <v>R5B PSB SUB ASSEMBLY 4P-4FP</v>
      </c>
      <c r="H114" s="83" t="str">
        <f aca="false">IF(AND(B114="",C114="",D114=""),"",IF(B114="","Missing contract",IF(C114="","Missing code",IF(LEFT(G114,3)="Not","Wrong code",IF(D114="","Missing qty",IF(A114="","Missing date",""))))))</f>
        <v/>
      </c>
      <c r="I114" s="84" t="n">
        <f aca="false">IF(B114=Dashboard!$D$3,ROW(),"")</f>
        <v>114</v>
      </c>
    </row>
    <row r="115" customFormat="false" ht="15" hidden="false" customHeight="false" outlineLevel="0" collapsed="false">
      <c r="A115" s="80" t="n">
        <v>46276</v>
      </c>
      <c r="B115" s="71" t="s">
        <v>3</v>
      </c>
      <c r="C115" s="71" t="s">
        <v>108</v>
      </c>
      <c r="D115" s="81" t="n">
        <v>3</v>
      </c>
      <c r="E115" s="71"/>
      <c r="F115" s="71" t="s">
        <v>193</v>
      </c>
      <c r="G115" s="82" t="str">
        <f aca="false">IF(C115="","",IFERROR(INDEX('Kit Lists'!$D$6:$D$605,MATCH(B115&amp;"|"&amp;C115,'Kit Lists'!$J$6:$J$605,0)),"Not on this contract's kit list"))</f>
        <v>R5B PSB SUB ASSEMBLY 4P-4FP</v>
      </c>
      <c r="H115" s="83" t="str">
        <f aca="false">IF(AND(B115="",C115="",D115=""),"",IF(B115="","Missing contract",IF(C115="","Missing code",IF(LEFT(G115,3)="Not","Wrong code",IF(D115="","Missing qty",IF(A115="","Missing date",""))))))</f>
        <v/>
      </c>
      <c r="I115" s="84" t="n">
        <f aca="false">IF(B115=Dashboard!$D$3,ROW(),"")</f>
        <v>115</v>
      </c>
    </row>
    <row r="116" customFormat="false" ht="15" hidden="false" customHeight="false" outlineLevel="0" collapsed="false">
      <c r="A116" s="80" t="n">
        <v>46278</v>
      </c>
      <c r="B116" s="71" t="s">
        <v>3</v>
      </c>
      <c r="C116" s="71" t="s">
        <v>113</v>
      </c>
      <c r="D116" s="81" t="n">
        <v>2</v>
      </c>
      <c r="E116" s="71"/>
      <c r="F116" s="71" t="s">
        <v>188</v>
      </c>
      <c r="G116" s="82" t="str">
        <f aca="false">IF(C116="","",IFERROR(INDEX('Kit Lists'!$D$6:$D$605,MATCH(B116&amp;"|"&amp;C116,'Kit Lists'!$J$6:$J$605,0)),"Not on this contract's kit list"))</f>
        <v>R5B OPF ASSEMBLY (4P-4FP) BOAT 2/3 - E2A</v>
      </c>
      <c r="H116" s="83" t="str">
        <f aca="false">IF(AND(B116="",C116="",D116=""),"",IF(B116="","Missing contract",IF(C116="","Missing code",IF(LEFT(G116,3)="Not","Wrong code",IF(D116="","Missing qty",IF(A116="","Missing date",""))))))</f>
        <v/>
      </c>
      <c r="I116" s="84" t="n">
        <f aca="false">IF(B116=Dashboard!$D$3,ROW(),"")</f>
        <v>116</v>
      </c>
    </row>
    <row r="117" customFormat="false" ht="15" hidden="false" customHeight="false" outlineLevel="0" collapsed="false">
      <c r="A117" s="80" t="n">
        <v>46278</v>
      </c>
      <c r="B117" s="71" t="s">
        <v>3</v>
      </c>
      <c r="C117" s="71" t="s">
        <v>119</v>
      </c>
      <c r="D117" s="81" t="n">
        <v>24</v>
      </c>
      <c r="E117" s="71"/>
      <c r="F117" s="71" t="s">
        <v>188</v>
      </c>
      <c r="G117" s="82" t="str">
        <f aca="false">IF(C117="","",IFERROR(INDEX('Kit Lists'!$D$6:$D$605,MATCH(B117&amp;"|"&amp;C117,'Kit Lists'!$J$6:$J$605,0)),"Not on this contract's kit list"))</f>
        <v>R5B ERBIUM SPOOL ASSEMBLY - E2A</v>
      </c>
      <c r="H117" s="83" t="str">
        <f aca="false">IF(AND(B117="",C117="",D117=""),"",IF(B117="","Missing contract",IF(C117="","Missing code",IF(LEFT(G117,3)="Not","Wrong code",IF(D117="","Missing qty",IF(A117="","Missing date",""))))))</f>
        <v/>
      </c>
      <c r="I117" s="84" t="n">
        <f aca="false">IF(B117=Dashboard!$D$3,ROW(),"")</f>
        <v>117</v>
      </c>
    </row>
    <row r="118" customFormat="false" ht="15" hidden="false" customHeight="false" outlineLevel="0" collapsed="false">
      <c r="A118" s="80" t="n">
        <v>46278</v>
      </c>
      <c r="B118" s="71" t="s">
        <v>3</v>
      </c>
      <c r="C118" s="71" t="s">
        <v>111</v>
      </c>
      <c r="D118" s="81" t="n">
        <v>1</v>
      </c>
      <c r="E118" s="71"/>
      <c r="F118" s="71" t="s">
        <v>189</v>
      </c>
      <c r="G118" s="82" t="str">
        <f aca="false">IF(C118="","",IFERROR(INDEX('Kit Lists'!$D$6:$D$605,MATCH(B118&amp;"|"&amp;C118,'Kit Lists'!$J$6:$J$605,0)),"Not on this contract's kit list"))</f>
        <v>R5B OPF ASSEMBLY (4P-4FP) BOAT 1 - E2A</v>
      </c>
      <c r="H118" s="83" t="str">
        <f aca="false">IF(AND(B118="",C118="",D118=""),"",IF(B118="","Missing contract",IF(C118="","Missing code",IF(LEFT(G118,3)="Not","Wrong code",IF(D118="","Missing qty",IF(A118="","Missing date",""))))))</f>
        <v/>
      </c>
      <c r="I118" s="84" t="n">
        <f aca="false">IF(B118=Dashboard!$D$3,ROW(),"")</f>
        <v>118</v>
      </c>
    </row>
    <row r="119" customFormat="false" ht="15" hidden="false" customHeight="false" outlineLevel="0" collapsed="false">
      <c r="A119" s="80" t="n">
        <v>46281</v>
      </c>
      <c r="B119" s="71" t="s">
        <v>3</v>
      </c>
      <c r="C119" s="71" t="s">
        <v>121</v>
      </c>
      <c r="D119" s="81" t="n">
        <v>3</v>
      </c>
      <c r="E119" s="71"/>
      <c r="F119" s="71" t="s">
        <v>188</v>
      </c>
      <c r="G119" s="82" t="str">
        <f aca="false">IF(C119="","",IFERROR(INDEX('Kit Lists'!$D$6:$D$605,MATCH(B119&amp;"|"&amp;C119,'Kit Lists'!$J$6:$J$605,0)),"Not on this contract's kit list"))</f>
        <v>R5B ERBIUM ASSEMBLY POSITION 1</v>
      </c>
      <c r="H119" s="83" t="str">
        <f aca="false">IF(AND(B119="",C119="",D119=""),"",IF(B119="","Missing contract",IF(C119="","Missing code",IF(LEFT(G119,3)="Not","Wrong code",IF(D119="","Missing qty",IF(A119="","Missing date",""))))))</f>
        <v/>
      </c>
      <c r="I119" s="84" t="n">
        <f aca="false">IF(B119=Dashboard!$D$3,ROW(),"")</f>
        <v>119</v>
      </c>
    </row>
    <row r="120" customFormat="false" ht="15" hidden="false" customHeight="false" outlineLevel="0" collapsed="false">
      <c r="A120" s="80" t="n">
        <v>46281</v>
      </c>
      <c r="B120" s="71" t="s">
        <v>3</v>
      </c>
      <c r="C120" s="71" t="s">
        <v>123</v>
      </c>
      <c r="D120" s="81" t="n">
        <v>3</v>
      </c>
      <c r="E120" s="71"/>
      <c r="F120" s="71" t="s">
        <v>188</v>
      </c>
      <c r="G120" s="82" t="str">
        <f aca="false">IF(C120="","",IFERROR(INDEX('Kit Lists'!$D$6:$D$605,MATCH(B120&amp;"|"&amp;C120,'Kit Lists'!$J$6:$J$605,0)),"Not on this contract's kit list"))</f>
        <v>R5B ERBIUM ASSEMBLY POSITION 2</v>
      </c>
      <c r="H120" s="83" t="str">
        <f aca="false">IF(AND(B120="",C120="",D120=""),"",IF(B120="","Missing contract",IF(C120="","Missing code",IF(LEFT(G120,3)="Not","Wrong code",IF(D120="","Missing qty",IF(A120="","Missing date",""))))))</f>
        <v/>
      </c>
      <c r="I120" s="84" t="n">
        <f aca="false">IF(B120=Dashboard!$D$3,ROW(),"")</f>
        <v>120</v>
      </c>
    </row>
    <row r="121" customFormat="false" ht="15" hidden="false" customHeight="false" outlineLevel="0" collapsed="false">
      <c r="A121" s="80" t="n">
        <v>46281</v>
      </c>
      <c r="B121" s="71" t="s">
        <v>3</v>
      </c>
      <c r="C121" s="71" t="s">
        <v>127</v>
      </c>
      <c r="D121" s="81" t="n">
        <v>3</v>
      </c>
      <c r="E121" s="71"/>
      <c r="F121" s="71" t="s">
        <v>188</v>
      </c>
      <c r="G121" s="82" t="str">
        <f aca="false">IF(C121="","",IFERROR(INDEX('Kit Lists'!$D$6:$D$605,MATCH(B121&amp;"|"&amp;C121,'Kit Lists'!$J$6:$J$605,0)),"Not on this contract's kit list"))</f>
        <v>R5B ERBIUM ASSEMBLY POSITION 4</v>
      </c>
      <c r="H121" s="83" t="str">
        <f aca="false">IF(AND(B121="",C121="",D121=""),"",IF(B121="","Missing contract",IF(C121="","Missing code",IF(LEFT(G121,3)="Not","Wrong code",IF(D121="","Missing qty",IF(A121="","Missing date",""))))))</f>
        <v/>
      </c>
      <c r="I121" s="84" t="n">
        <f aca="false">IF(B121=Dashboard!$D$3,ROW(),"")</f>
        <v>121</v>
      </c>
    </row>
    <row r="122" customFormat="false" ht="15" hidden="false" customHeight="false" outlineLevel="0" collapsed="false">
      <c r="A122" s="80" t="n">
        <v>46281</v>
      </c>
      <c r="B122" s="71" t="s">
        <v>3</v>
      </c>
      <c r="C122" s="71" t="s">
        <v>130</v>
      </c>
      <c r="D122" s="81" t="n">
        <v>1</v>
      </c>
      <c r="E122" s="71"/>
      <c r="F122" s="71" t="s">
        <v>188</v>
      </c>
      <c r="G122" s="82" t="str">
        <f aca="false">IF(C122="","",IFERROR(INDEX('Kit Lists'!$D$6:$D$605,MATCH(B122&amp;"|"&amp;C122,'Kit Lists'!$J$6:$J$605,0)),"Not on this contract's kit list"))</f>
        <v>R5B BOAT 1 ASSY (4P-4FP)</v>
      </c>
      <c r="H122" s="83" t="str">
        <f aca="false">IF(AND(B122="",C122="",D122=""),"",IF(B122="","Missing contract",IF(C122="","Missing code",IF(LEFT(G122,3)="Not","Wrong code",IF(D122="","Missing qty",IF(A122="","Missing date",""))))))</f>
        <v/>
      </c>
      <c r="I122" s="84" t="n">
        <f aca="false">IF(B122=Dashboard!$D$3,ROW(),"")</f>
        <v>122</v>
      </c>
    </row>
    <row r="123" customFormat="false" ht="15" hidden="false" customHeight="false" outlineLevel="0" collapsed="false">
      <c r="A123" s="80" t="n">
        <v>46281</v>
      </c>
      <c r="B123" s="71" t="s">
        <v>3</v>
      </c>
      <c r="C123" s="71" t="s">
        <v>132</v>
      </c>
      <c r="D123" s="81" t="n">
        <v>1</v>
      </c>
      <c r="E123" s="71"/>
      <c r="F123" s="71" t="s">
        <v>188</v>
      </c>
      <c r="G123" s="82" t="str">
        <f aca="false">IF(C123="","",IFERROR(INDEX('Kit Lists'!$D$6:$D$605,MATCH(B123&amp;"|"&amp;C123,'Kit Lists'!$J$6:$J$605,0)),"Not on this contract's kit list"))</f>
        <v>R5B BOAT 2 ASSY (4P-4FP)</v>
      </c>
      <c r="H123" s="83" t="str">
        <f aca="false">IF(AND(B123="",C123="",D123=""),"",IF(B123="","Missing contract",IF(C123="","Missing code",IF(LEFT(G123,3)="Not","Wrong code",IF(D123="","Missing qty",IF(A123="","Missing date",""))))))</f>
        <v/>
      </c>
      <c r="I123" s="84" t="n">
        <f aca="false">IF(B123=Dashboard!$D$3,ROW(),"")</f>
        <v>123</v>
      </c>
    </row>
    <row r="124" customFormat="false" ht="15" hidden="false" customHeight="false" outlineLevel="0" collapsed="false">
      <c r="A124" s="80" t="n">
        <v>46281</v>
      </c>
      <c r="B124" s="71" t="s">
        <v>3</v>
      </c>
      <c r="C124" s="71" t="s">
        <v>134</v>
      </c>
      <c r="D124" s="81" t="n">
        <v>1</v>
      </c>
      <c r="E124" s="71"/>
      <c r="F124" s="71" t="s">
        <v>188</v>
      </c>
      <c r="G124" s="82" t="str">
        <f aca="false">IF(C124="","",IFERROR(INDEX('Kit Lists'!$D$6:$D$605,MATCH(B124&amp;"|"&amp;C124,'Kit Lists'!$J$6:$J$605,0)),"Not on this contract's kit list"))</f>
        <v>R5B BOAT 3 ASSY (4P-4FP)</v>
      </c>
      <c r="H124" s="83" t="str">
        <f aca="false">IF(AND(B124="",C124="",D124=""),"",IF(B124="","Missing contract",IF(C124="","Missing code",IF(LEFT(G124,3)="Not","Wrong code",IF(D124="","Missing qty",IF(A124="","Missing date",""))))))</f>
        <v/>
      </c>
      <c r="I124" s="84" t="n">
        <f aca="false">IF(B124=Dashboard!$D$3,ROW(),"")</f>
        <v>124</v>
      </c>
    </row>
    <row r="125" customFormat="false" ht="15" hidden="false" customHeight="false" outlineLevel="0" collapsed="false">
      <c r="A125" s="80" t="n">
        <v>46281</v>
      </c>
      <c r="B125" s="71" t="s">
        <v>3</v>
      </c>
      <c r="C125" s="71" t="s">
        <v>125</v>
      </c>
      <c r="D125" s="81" t="n">
        <v>3</v>
      </c>
      <c r="E125" s="71"/>
      <c r="F125" s="71" t="s">
        <v>189</v>
      </c>
      <c r="G125" s="82" t="str">
        <f aca="false">IF(C125="","",IFERROR(INDEX('Kit Lists'!$D$6:$D$605,MATCH(B125&amp;"|"&amp;C125,'Kit Lists'!$J$6:$J$605,0)),"Not on this contract's kit list"))</f>
        <v>R5B ERBIUM ASSEMBLY POSITION 3</v>
      </c>
      <c r="H125" s="83" t="str">
        <f aca="false">IF(AND(B125="",C125="",D125=""),"",IF(B125="","Missing contract",IF(C125="","Missing code",IF(LEFT(G125,3)="Not","Wrong code",IF(D125="","Missing qty",IF(A125="","Missing date",""))))))</f>
        <v/>
      </c>
      <c r="I125" s="84" t="n">
        <f aca="false">IF(B125=Dashboard!$D$3,ROW(),"")</f>
        <v>125</v>
      </c>
    </row>
    <row r="126" customFormat="false" ht="15" hidden="false" customHeight="false" outlineLevel="0" collapsed="false">
      <c r="A126" s="80" t="n">
        <v>46286</v>
      </c>
      <c r="B126" s="71" t="s">
        <v>3</v>
      </c>
      <c r="C126" s="71" t="s">
        <v>105</v>
      </c>
      <c r="D126" s="81" t="n">
        <v>2</v>
      </c>
      <c r="E126" s="71"/>
      <c r="F126" s="71" t="s">
        <v>189</v>
      </c>
      <c r="G126" s="82" t="str">
        <f aca="false">IF(C126="","",IFERROR(INDEX('Kit Lists'!$D$6:$D$605,MATCH(B126&amp;"|"&amp;C126,'Kit Lists'!$J$6:$J$605,0)),"Not on this contract's kit list"))</f>
        <v>R5B LASER ASSEMBLY 4P BOAT 2/3 - E2A</v>
      </c>
      <c r="H126" s="83" t="str">
        <f aca="false">IF(AND(B126="",C126="",D126=""),"",IF(B126="","Missing contract",IF(C126="","Missing code",IF(LEFT(G126,3)="Not","Wrong code",IF(D126="","Missing qty",IF(A126="","Missing date",""))))))</f>
        <v/>
      </c>
      <c r="I126" s="84" t="n">
        <f aca="false">IF(B126=Dashboard!$D$3,ROW(),"")</f>
        <v>126</v>
      </c>
    </row>
    <row r="127" customFormat="false" ht="15" hidden="false" customHeight="false" outlineLevel="0" collapsed="false">
      <c r="A127" s="80" t="n">
        <v>46286</v>
      </c>
      <c r="B127" s="71" t="s">
        <v>3</v>
      </c>
      <c r="C127" s="71" t="s">
        <v>103</v>
      </c>
      <c r="D127" s="81" t="n">
        <v>1</v>
      </c>
      <c r="E127" s="71"/>
      <c r="F127" s="71" t="s">
        <v>190</v>
      </c>
      <c r="G127" s="82" t="str">
        <f aca="false">IF(C127="","",IFERROR(INDEX('Kit Lists'!$D$6:$D$605,MATCH(B127&amp;"|"&amp;C127,'Kit Lists'!$J$6:$J$605,0)),"Not on this contract's kit list"))</f>
        <v>R5B LASER ASSEMBLY 4P BOAT 1 - E2A</v>
      </c>
      <c r="H127" s="83" t="str">
        <f aca="false">IF(AND(B127="",C127="",D127=""),"",IF(B127="","Missing contract",IF(C127="","Missing code",IF(LEFT(G127,3)="Not","Wrong code",IF(D127="","Missing qty",IF(A127="","Missing date",""))))))</f>
        <v/>
      </c>
      <c r="I127" s="84" t="n">
        <f aca="false">IF(B127=Dashboard!$D$3,ROW(),"")</f>
        <v>127</v>
      </c>
    </row>
    <row r="128" customFormat="false" ht="15" hidden="false" customHeight="false" outlineLevel="0" collapsed="false">
      <c r="A128" s="80" t="n">
        <v>46287</v>
      </c>
      <c r="B128" s="71" t="s">
        <v>3</v>
      </c>
      <c r="C128" s="71" t="s">
        <v>113</v>
      </c>
      <c r="D128" s="81" t="n">
        <v>2</v>
      </c>
      <c r="E128" s="71"/>
      <c r="F128" s="71" t="s">
        <v>189</v>
      </c>
      <c r="G128" s="82" t="str">
        <f aca="false">IF(C128="","",IFERROR(INDEX('Kit Lists'!$D$6:$D$605,MATCH(B128&amp;"|"&amp;C128,'Kit Lists'!$J$6:$J$605,0)),"Not on this contract's kit list"))</f>
        <v>R5B OPF ASSEMBLY (4P-4FP) BOAT 2/3 - E2A</v>
      </c>
      <c r="H128" s="83" t="str">
        <f aca="false">IF(AND(B128="",C128="",D128=""),"",IF(B128="","Missing contract",IF(C128="","Missing code",IF(LEFT(G128,3)="Not","Wrong code",IF(D128="","Missing qty",IF(A128="","Missing date",""))))))</f>
        <v/>
      </c>
      <c r="I128" s="84" t="n">
        <f aca="false">IF(B128=Dashboard!$D$3,ROW(),"")</f>
        <v>128</v>
      </c>
    </row>
    <row r="129" customFormat="false" ht="15" hidden="false" customHeight="false" outlineLevel="0" collapsed="false">
      <c r="A129" s="80" t="n">
        <v>46287</v>
      </c>
      <c r="B129" s="71" t="s">
        <v>3</v>
      </c>
      <c r="C129" s="71" t="s">
        <v>116</v>
      </c>
      <c r="D129" s="81" t="n">
        <v>3</v>
      </c>
      <c r="E129" s="71"/>
      <c r="F129" s="71" t="s">
        <v>189</v>
      </c>
      <c r="G129" s="82" t="str">
        <f aca="false">IF(C129="","",IFERROR(INDEX('Kit Lists'!$D$6:$D$605,MATCH(B129&amp;"|"&amp;C129,'Kit Lists'!$J$6:$J$605,0)),"Not on this contract's kit list"))</f>
        <v>R5B 4FP POB LUMENTUM SUB ASSEMBLY - E2A</v>
      </c>
      <c r="H129" s="83" t="str">
        <f aca="false">IF(AND(B129="",C129="",D129=""),"",IF(B129="","Missing contract",IF(C129="","Missing code",IF(LEFT(G129,3)="Not","Wrong code",IF(D129="","Missing qty",IF(A129="","Missing date",""))))))</f>
        <v/>
      </c>
      <c r="I129" s="84" t="n">
        <f aca="false">IF(B129=Dashboard!$D$3,ROW(),"")</f>
        <v>129</v>
      </c>
    </row>
    <row r="130" customFormat="false" ht="15" hidden="false" customHeight="false" outlineLevel="0" collapsed="false">
      <c r="A130" s="80" t="n">
        <v>46287</v>
      </c>
      <c r="B130" s="71" t="s">
        <v>3</v>
      </c>
      <c r="C130" s="71" t="s">
        <v>111</v>
      </c>
      <c r="D130" s="81" t="n">
        <v>1</v>
      </c>
      <c r="E130" s="71"/>
      <c r="F130" s="71" t="s">
        <v>190</v>
      </c>
      <c r="G130" s="82" t="str">
        <f aca="false">IF(C130="","",IFERROR(INDEX('Kit Lists'!$D$6:$D$605,MATCH(B130&amp;"|"&amp;C130,'Kit Lists'!$J$6:$J$605,0)),"Not on this contract's kit list"))</f>
        <v>R5B OPF ASSEMBLY (4P-4FP) BOAT 1 - E2A</v>
      </c>
      <c r="H130" s="83" t="str">
        <f aca="false">IF(AND(B130="",C130="",D130=""),"",IF(B130="","Missing contract",IF(C130="","Missing code",IF(LEFT(G130,3)="Not","Wrong code",IF(D130="","Missing qty",IF(A130="","Missing date",""))))))</f>
        <v/>
      </c>
      <c r="I130" s="84" t="n">
        <f aca="false">IF(B130=Dashboard!$D$3,ROW(),"")</f>
        <v>130</v>
      </c>
    </row>
    <row r="131" customFormat="false" ht="15" hidden="false" customHeight="false" outlineLevel="0" collapsed="false">
      <c r="A131" s="80" t="n">
        <v>46293</v>
      </c>
      <c r="B131" s="71" t="s">
        <v>3</v>
      </c>
      <c r="C131" s="71" t="s">
        <v>119</v>
      </c>
      <c r="D131" s="81" t="n">
        <v>24</v>
      </c>
      <c r="E131" s="71"/>
      <c r="F131" s="71" t="s">
        <v>189</v>
      </c>
      <c r="G131" s="82" t="str">
        <f aca="false">IF(C131="","",IFERROR(INDEX('Kit Lists'!$D$6:$D$605,MATCH(B131&amp;"|"&amp;C131,'Kit Lists'!$J$6:$J$605,0)),"Not on this contract's kit list"))</f>
        <v>R5B ERBIUM SPOOL ASSEMBLY - E2A</v>
      </c>
      <c r="H131" s="83" t="str">
        <f aca="false">IF(AND(B131="",C131="",D131=""),"",IF(B131="","Missing contract",IF(C131="","Missing code",IF(LEFT(G131,3)="Not","Wrong code",IF(D131="","Missing qty",IF(A131="","Missing date",""))))))</f>
        <v/>
      </c>
      <c r="I131" s="84" t="n">
        <f aca="false">IF(B131=Dashboard!$D$3,ROW(),"")</f>
        <v>131</v>
      </c>
    </row>
    <row r="132" customFormat="false" ht="15" hidden="false" customHeight="false" outlineLevel="0" collapsed="false">
      <c r="A132" s="80" t="n">
        <v>46293</v>
      </c>
      <c r="B132" s="71" t="s">
        <v>3</v>
      </c>
      <c r="C132" s="71" t="s">
        <v>121</v>
      </c>
      <c r="D132" s="81" t="n">
        <v>3</v>
      </c>
      <c r="E132" s="71"/>
      <c r="F132" s="71" t="s">
        <v>189</v>
      </c>
      <c r="G132" s="82" t="str">
        <f aca="false">IF(C132="","",IFERROR(INDEX('Kit Lists'!$D$6:$D$605,MATCH(B132&amp;"|"&amp;C132,'Kit Lists'!$J$6:$J$605,0)),"Not on this contract's kit list"))</f>
        <v>R5B ERBIUM ASSEMBLY POSITION 1</v>
      </c>
      <c r="H132" s="83" t="str">
        <f aca="false">IF(AND(B132="",C132="",D132=""),"",IF(B132="","Missing contract",IF(C132="","Missing code",IF(LEFT(G132,3)="Not","Wrong code",IF(D132="","Missing qty",IF(A132="","Missing date",""))))))</f>
        <v/>
      </c>
      <c r="I132" s="84" t="n">
        <f aca="false">IF(B132=Dashboard!$D$3,ROW(),"")</f>
        <v>132</v>
      </c>
    </row>
    <row r="133" customFormat="false" ht="15" hidden="false" customHeight="false" outlineLevel="0" collapsed="false">
      <c r="A133" s="80" t="n">
        <v>46293</v>
      </c>
      <c r="B133" s="71" t="s">
        <v>3</v>
      </c>
      <c r="C133" s="71" t="s">
        <v>123</v>
      </c>
      <c r="D133" s="81" t="n">
        <v>3</v>
      </c>
      <c r="E133" s="71"/>
      <c r="F133" s="71" t="s">
        <v>189</v>
      </c>
      <c r="G133" s="82" t="str">
        <f aca="false">IF(C133="","",IFERROR(INDEX('Kit Lists'!$D$6:$D$605,MATCH(B133&amp;"|"&amp;C133,'Kit Lists'!$J$6:$J$605,0)),"Not on this contract's kit list"))</f>
        <v>R5B ERBIUM ASSEMBLY POSITION 2</v>
      </c>
      <c r="H133" s="83" t="str">
        <f aca="false">IF(AND(B133="",C133="",D133=""),"",IF(B133="","Missing contract",IF(C133="","Missing code",IF(LEFT(G133,3)="Not","Wrong code",IF(D133="","Missing qty",IF(A133="","Missing date",""))))))</f>
        <v/>
      </c>
      <c r="I133" s="84" t="n">
        <f aca="false">IF(B133=Dashboard!$D$3,ROW(),"")</f>
        <v>133</v>
      </c>
    </row>
    <row r="134" customFormat="false" ht="15" hidden="false" customHeight="false" outlineLevel="0" collapsed="false">
      <c r="A134" s="80" t="n">
        <v>46293</v>
      </c>
      <c r="B134" s="71" t="s">
        <v>3</v>
      </c>
      <c r="C134" s="71" t="s">
        <v>127</v>
      </c>
      <c r="D134" s="81" t="n">
        <v>3</v>
      </c>
      <c r="E134" s="71"/>
      <c r="F134" s="71" t="s">
        <v>189</v>
      </c>
      <c r="G134" s="82" t="str">
        <f aca="false">IF(C134="","",IFERROR(INDEX('Kit Lists'!$D$6:$D$605,MATCH(B134&amp;"|"&amp;C134,'Kit Lists'!$J$6:$J$605,0)),"Not on this contract's kit list"))</f>
        <v>R5B ERBIUM ASSEMBLY POSITION 4</v>
      </c>
      <c r="H134" s="83" t="str">
        <f aca="false">IF(AND(B134="",C134="",D134=""),"",IF(B134="","Missing contract",IF(C134="","Missing code",IF(LEFT(G134,3)="Not","Wrong code",IF(D134="","Missing qty",IF(A134="","Missing date",""))))))</f>
        <v/>
      </c>
      <c r="I134" s="84" t="n">
        <f aca="false">IF(B134=Dashboard!$D$3,ROW(),"")</f>
        <v>134</v>
      </c>
    </row>
    <row r="135" customFormat="false" ht="15" hidden="false" customHeight="false" outlineLevel="0" collapsed="false">
      <c r="A135" s="80" t="n">
        <v>46293</v>
      </c>
      <c r="B135" s="71" t="s">
        <v>3</v>
      </c>
      <c r="C135" s="71" t="s">
        <v>125</v>
      </c>
      <c r="D135" s="81" t="n">
        <v>3</v>
      </c>
      <c r="E135" s="71"/>
      <c r="F135" s="71" t="s">
        <v>190</v>
      </c>
      <c r="G135" s="82" t="str">
        <f aca="false">IF(C135="","",IFERROR(INDEX('Kit Lists'!$D$6:$D$605,MATCH(B135&amp;"|"&amp;C135,'Kit Lists'!$J$6:$J$605,0)),"Not on this contract's kit list"))</f>
        <v>R5B ERBIUM ASSEMBLY POSITION 3</v>
      </c>
      <c r="H135" s="83" t="str">
        <f aca="false">IF(AND(B135="",C135="",D135=""),"",IF(B135="","Missing contract",IF(C135="","Missing code",IF(LEFT(G135,3)="Not","Wrong code",IF(D135="","Missing qty",IF(A135="","Missing date",""))))))</f>
        <v/>
      </c>
      <c r="I135" s="84" t="n">
        <f aca="false">IF(B135=Dashboard!$D$3,ROW(),"")</f>
        <v>135</v>
      </c>
    </row>
    <row r="136" customFormat="false" ht="15" hidden="false" customHeight="false" outlineLevel="0" collapsed="false">
      <c r="A136" s="80" t="n">
        <v>46294</v>
      </c>
      <c r="B136" s="71" t="s">
        <v>3</v>
      </c>
      <c r="C136" s="71" t="s">
        <v>130</v>
      </c>
      <c r="D136" s="81" t="n">
        <v>1</v>
      </c>
      <c r="E136" s="71"/>
      <c r="F136" s="71" t="s">
        <v>189</v>
      </c>
      <c r="G136" s="82" t="str">
        <f aca="false">IF(C136="","",IFERROR(INDEX('Kit Lists'!$D$6:$D$605,MATCH(B136&amp;"|"&amp;C136,'Kit Lists'!$J$6:$J$605,0)),"Not on this contract's kit list"))</f>
        <v>R5B BOAT 1 ASSY (4P-4FP)</v>
      </c>
      <c r="H136" s="83" t="str">
        <f aca="false">IF(AND(B136="",C136="",D136=""),"",IF(B136="","Missing contract",IF(C136="","Missing code",IF(LEFT(G136,3)="Not","Wrong code",IF(D136="","Missing qty",IF(A136="","Missing date",""))))))</f>
        <v/>
      </c>
      <c r="I136" s="84" t="n">
        <f aca="false">IF(B136=Dashboard!$D$3,ROW(),"")</f>
        <v>136</v>
      </c>
    </row>
    <row r="137" customFormat="false" ht="15" hidden="false" customHeight="false" outlineLevel="0" collapsed="false">
      <c r="A137" s="80" t="n">
        <v>46294</v>
      </c>
      <c r="B137" s="71" t="s">
        <v>3</v>
      </c>
      <c r="C137" s="71" t="s">
        <v>132</v>
      </c>
      <c r="D137" s="81" t="n">
        <v>1</v>
      </c>
      <c r="E137" s="71"/>
      <c r="F137" s="71" t="s">
        <v>189</v>
      </c>
      <c r="G137" s="82" t="str">
        <f aca="false">IF(C137="","",IFERROR(INDEX('Kit Lists'!$D$6:$D$605,MATCH(B137&amp;"|"&amp;C137,'Kit Lists'!$J$6:$J$605,0)),"Not on this contract's kit list"))</f>
        <v>R5B BOAT 2 ASSY (4P-4FP)</v>
      </c>
      <c r="H137" s="83" t="str">
        <f aca="false">IF(AND(B137="",C137="",D137=""),"",IF(B137="","Missing contract",IF(C137="","Missing code",IF(LEFT(G137,3)="Not","Wrong code",IF(D137="","Missing qty",IF(A137="","Missing date",""))))))</f>
        <v/>
      </c>
      <c r="I137" s="84" t="n">
        <f aca="false">IF(B137=Dashboard!$D$3,ROW(),"")</f>
        <v>137</v>
      </c>
    </row>
    <row r="138" customFormat="false" ht="15" hidden="false" customHeight="false" outlineLevel="0" collapsed="false">
      <c r="A138" s="80" t="n">
        <v>46294</v>
      </c>
      <c r="B138" s="71" t="s">
        <v>3</v>
      </c>
      <c r="C138" s="71" t="s">
        <v>134</v>
      </c>
      <c r="D138" s="81" t="n">
        <v>1</v>
      </c>
      <c r="E138" s="71"/>
      <c r="F138" s="71" t="s">
        <v>189</v>
      </c>
      <c r="G138" s="82" t="str">
        <f aca="false">IF(C138="","",IFERROR(INDEX('Kit Lists'!$D$6:$D$605,MATCH(B138&amp;"|"&amp;C138,'Kit Lists'!$J$6:$J$605,0)),"Not on this contract's kit list"))</f>
        <v>R5B BOAT 3 ASSY (4P-4FP)</v>
      </c>
      <c r="H138" s="83" t="str">
        <f aca="false">IF(AND(B138="",C138="",D138=""),"",IF(B138="","Missing contract",IF(C138="","Missing code",IF(LEFT(G138,3)="Not","Wrong code",IF(D138="","Missing qty",IF(A138="","Missing date",""))))))</f>
        <v/>
      </c>
      <c r="I138" s="84" t="n">
        <f aca="false">IF(B138=Dashboard!$D$3,ROW(),"")</f>
        <v>138</v>
      </c>
    </row>
    <row r="139" customFormat="false" ht="15" hidden="false" customHeight="false" outlineLevel="0" collapsed="false">
      <c r="A139" s="80" t="n">
        <v>46296</v>
      </c>
      <c r="B139" s="71" t="s">
        <v>3</v>
      </c>
      <c r="C139" s="71" t="s">
        <v>105</v>
      </c>
      <c r="D139" s="81" t="n">
        <v>2</v>
      </c>
      <c r="E139" s="71"/>
      <c r="F139" s="71" t="s">
        <v>190</v>
      </c>
      <c r="G139" s="82" t="str">
        <f aca="false">IF(C139="","",IFERROR(INDEX('Kit Lists'!$D$6:$D$605,MATCH(B139&amp;"|"&amp;C139,'Kit Lists'!$J$6:$J$605,0)),"Not on this contract's kit list"))</f>
        <v>R5B LASER ASSEMBLY 4P BOAT 2/3 - E2A</v>
      </c>
      <c r="H139" s="83" t="str">
        <f aca="false">IF(AND(B139="",C139="",D139=""),"",IF(B139="","Missing contract",IF(C139="","Missing code",IF(LEFT(G139,3)="Not","Wrong code",IF(D139="","Missing qty",IF(A139="","Missing date",""))))))</f>
        <v/>
      </c>
      <c r="I139" s="84" t="n">
        <f aca="false">IF(B139=Dashboard!$D$3,ROW(),"")</f>
        <v>139</v>
      </c>
    </row>
    <row r="140" customFormat="false" ht="15" hidden="false" customHeight="false" outlineLevel="0" collapsed="false">
      <c r="A140" s="80" t="n">
        <v>46296</v>
      </c>
      <c r="B140" s="71" t="s">
        <v>3</v>
      </c>
      <c r="C140" s="71" t="s">
        <v>113</v>
      </c>
      <c r="D140" s="81" t="n">
        <v>2</v>
      </c>
      <c r="E140" s="71"/>
      <c r="F140" s="71" t="s">
        <v>190</v>
      </c>
      <c r="G140" s="82" t="str">
        <f aca="false">IF(C140="","",IFERROR(INDEX('Kit Lists'!$D$6:$D$605,MATCH(B140&amp;"|"&amp;C140,'Kit Lists'!$J$6:$J$605,0)),"Not on this contract's kit list"))</f>
        <v>R5B OPF ASSEMBLY (4P-4FP) BOAT 2/3 - E2A</v>
      </c>
      <c r="H140" s="83" t="str">
        <f aca="false">IF(AND(B140="",C140="",D140=""),"",IF(B140="","Missing contract",IF(C140="","Missing code",IF(LEFT(G140,3)="Not","Wrong code",IF(D140="","Missing qty",IF(A140="","Missing date",""))))))</f>
        <v/>
      </c>
      <c r="I140" s="84" t="n">
        <f aca="false">IF(B140=Dashboard!$D$3,ROW(),"")</f>
        <v>140</v>
      </c>
    </row>
    <row r="141" customFormat="false" ht="15" hidden="false" customHeight="false" outlineLevel="0" collapsed="false">
      <c r="A141" s="80" t="n">
        <v>46296</v>
      </c>
      <c r="B141" s="71" t="s">
        <v>3</v>
      </c>
      <c r="C141" s="71" t="s">
        <v>116</v>
      </c>
      <c r="D141" s="81" t="n">
        <v>3</v>
      </c>
      <c r="E141" s="71"/>
      <c r="F141" s="71" t="s">
        <v>190</v>
      </c>
      <c r="G141" s="82" t="str">
        <f aca="false">IF(C141="","",IFERROR(INDEX('Kit Lists'!$D$6:$D$605,MATCH(B141&amp;"|"&amp;C141,'Kit Lists'!$J$6:$J$605,0)),"Not on this contract's kit list"))</f>
        <v>R5B 4FP POB LUMENTUM SUB ASSEMBLY - E2A</v>
      </c>
      <c r="H141" s="83" t="str">
        <f aca="false">IF(AND(B141="",C141="",D141=""),"",IF(B141="","Missing contract",IF(C141="","Missing code",IF(LEFT(G141,3)="Not","Wrong code",IF(D141="","Missing qty",IF(A141="","Missing date",""))))))</f>
        <v/>
      </c>
      <c r="I141" s="84" t="n">
        <f aca="false">IF(B141=Dashboard!$D$3,ROW(),"")</f>
        <v>141</v>
      </c>
    </row>
    <row r="142" customFormat="false" ht="15" hidden="false" customHeight="false" outlineLevel="0" collapsed="false">
      <c r="A142" s="80" t="n">
        <v>46296</v>
      </c>
      <c r="B142" s="71" t="s">
        <v>3</v>
      </c>
      <c r="C142" s="71" t="s">
        <v>119</v>
      </c>
      <c r="D142" s="81" t="n">
        <v>24</v>
      </c>
      <c r="E142" s="71"/>
      <c r="F142" s="71" t="s">
        <v>190</v>
      </c>
      <c r="G142" s="82" t="str">
        <f aca="false">IF(C142="","",IFERROR(INDEX('Kit Lists'!$D$6:$D$605,MATCH(B142&amp;"|"&amp;C142,'Kit Lists'!$J$6:$J$605,0)),"Not on this contract's kit list"))</f>
        <v>R5B ERBIUM SPOOL ASSEMBLY - E2A</v>
      </c>
      <c r="H142" s="83" t="str">
        <f aca="false">IF(AND(B142="",C142="",D142=""),"",IF(B142="","Missing contract",IF(C142="","Missing code",IF(LEFT(G142,3)="Not","Wrong code",IF(D142="","Missing qty",IF(A142="","Missing date",""))))))</f>
        <v/>
      </c>
      <c r="I142" s="84" t="n">
        <f aca="false">IF(B142=Dashboard!$D$3,ROW(),"")</f>
        <v>142</v>
      </c>
    </row>
    <row r="143" customFormat="false" ht="15" hidden="false" customHeight="false" outlineLevel="0" collapsed="false">
      <c r="A143" s="80" t="n">
        <v>46296</v>
      </c>
      <c r="B143" s="71" t="s">
        <v>3</v>
      </c>
      <c r="C143" s="71" t="s">
        <v>121</v>
      </c>
      <c r="D143" s="81" t="n">
        <v>3</v>
      </c>
      <c r="E143" s="71"/>
      <c r="F143" s="71" t="s">
        <v>190</v>
      </c>
      <c r="G143" s="82" t="str">
        <f aca="false">IF(C143="","",IFERROR(INDEX('Kit Lists'!$D$6:$D$605,MATCH(B143&amp;"|"&amp;C143,'Kit Lists'!$J$6:$J$605,0)),"Not on this contract's kit list"))</f>
        <v>R5B ERBIUM ASSEMBLY POSITION 1</v>
      </c>
      <c r="H143" s="83" t="str">
        <f aca="false">IF(AND(B143="",C143="",D143=""),"",IF(B143="","Missing contract",IF(C143="","Missing code",IF(LEFT(G143,3)="Not","Wrong code",IF(D143="","Missing qty",IF(A143="","Missing date",""))))))</f>
        <v/>
      </c>
      <c r="I143" s="84" t="n">
        <f aca="false">IF(B143=Dashboard!$D$3,ROW(),"")</f>
        <v>143</v>
      </c>
    </row>
    <row r="144" customFormat="false" ht="15" hidden="false" customHeight="false" outlineLevel="0" collapsed="false">
      <c r="A144" s="80" t="n">
        <v>46296</v>
      </c>
      <c r="B144" s="71" t="s">
        <v>3</v>
      </c>
      <c r="C144" s="71" t="s">
        <v>123</v>
      </c>
      <c r="D144" s="81" t="n">
        <v>3</v>
      </c>
      <c r="E144" s="71"/>
      <c r="F144" s="71" t="s">
        <v>190</v>
      </c>
      <c r="G144" s="82" t="str">
        <f aca="false">IF(C144="","",IFERROR(INDEX('Kit Lists'!$D$6:$D$605,MATCH(B144&amp;"|"&amp;C144,'Kit Lists'!$J$6:$J$605,0)),"Not on this contract's kit list"))</f>
        <v>R5B ERBIUM ASSEMBLY POSITION 2</v>
      </c>
      <c r="H144" s="83" t="str">
        <f aca="false">IF(AND(B144="",C144="",D144=""),"",IF(B144="","Missing contract",IF(C144="","Missing code",IF(LEFT(G144,3)="Not","Wrong code",IF(D144="","Missing qty",IF(A144="","Missing date",""))))))</f>
        <v/>
      </c>
      <c r="I144" s="84" t="n">
        <f aca="false">IF(B144=Dashboard!$D$3,ROW(),"")</f>
        <v>144</v>
      </c>
    </row>
    <row r="145" customFormat="false" ht="15" hidden="false" customHeight="false" outlineLevel="0" collapsed="false">
      <c r="A145" s="80" t="n">
        <v>46296</v>
      </c>
      <c r="B145" s="71" t="s">
        <v>3</v>
      </c>
      <c r="C145" s="71" t="s">
        <v>127</v>
      </c>
      <c r="D145" s="81" t="n">
        <v>3</v>
      </c>
      <c r="E145" s="71"/>
      <c r="F145" s="71" t="s">
        <v>190</v>
      </c>
      <c r="G145" s="82" t="str">
        <f aca="false">IF(C145="","",IFERROR(INDEX('Kit Lists'!$D$6:$D$605,MATCH(B145&amp;"|"&amp;C145,'Kit Lists'!$J$6:$J$605,0)),"Not on this contract's kit list"))</f>
        <v>R5B ERBIUM ASSEMBLY POSITION 4</v>
      </c>
      <c r="H145" s="83" t="str">
        <f aca="false">IF(AND(B145="",C145="",D145=""),"",IF(B145="","Missing contract",IF(C145="","Missing code",IF(LEFT(G145,3)="Not","Wrong code",IF(D145="","Missing qty",IF(A145="","Missing date",""))))))</f>
        <v/>
      </c>
      <c r="I145" s="84" t="n">
        <f aca="false">IF(B145=Dashboard!$D$3,ROW(),"")</f>
        <v>145</v>
      </c>
    </row>
    <row r="146" customFormat="false" ht="15" hidden="false" customHeight="false" outlineLevel="0" collapsed="false">
      <c r="A146" s="80" t="n">
        <v>46296</v>
      </c>
      <c r="B146" s="71" t="s">
        <v>3</v>
      </c>
      <c r="C146" s="71" t="s">
        <v>130</v>
      </c>
      <c r="D146" s="81" t="n">
        <v>1</v>
      </c>
      <c r="E146" s="71"/>
      <c r="F146" s="71" t="s">
        <v>190</v>
      </c>
      <c r="G146" s="82" t="str">
        <f aca="false">IF(C146="","",IFERROR(INDEX('Kit Lists'!$D$6:$D$605,MATCH(B146&amp;"|"&amp;C146,'Kit Lists'!$J$6:$J$605,0)),"Not on this contract's kit list"))</f>
        <v>R5B BOAT 1 ASSY (4P-4FP)</v>
      </c>
      <c r="H146" s="83" t="str">
        <f aca="false">IF(AND(B146="",C146="",D146=""),"",IF(B146="","Missing contract",IF(C146="","Missing code",IF(LEFT(G146,3)="Not","Wrong code",IF(D146="","Missing qty",IF(A146="","Missing date",""))))))</f>
        <v/>
      </c>
      <c r="I146" s="84" t="n">
        <f aca="false">IF(B146=Dashboard!$D$3,ROW(),"")</f>
        <v>146</v>
      </c>
    </row>
    <row r="147" customFormat="false" ht="15" hidden="false" customHeight="false" outlineLevel="0" collapsed="false">
      <c r="A147" s="80" t="n">
        <v>46296</v>
      </c>
      <c r="B147" s="71" t="s">
        <v>3</v>
      </c>
      <c r="C147" s="71" t="s">
        <v>132</v>
      </c>
      <c r="D147" s="81" t="n">
        <v>1</v>
      </c>
      <c r="E147" s="71"/>
      <c r="F147" s="71" t="s">
        <v>190</v>
      </c>
      <c r="G147" s="82" t="str">
        <f aca="false">IF(C147="","",IFERROR(INDEX('Kit Lists'!$D$6:$D$605,MATCH(B147&amp;"|"&amp;C147,'Kit Lists'!$J$6:$J$605,0)),"Not on this contract's kit list"))</f>
        <v>R5B BOAT 2 ASSY (4P-4FP)</v>
      </c>
      <c r="H147" s="83" t="str">
        <f aca="false">IF(AND(B147="",C147="",D147=""),"",IF(B147="","Missing contract",IF(C147="","Missing code",IF(LEFT(G147,3)="Not","Wrong code",IF(D147="","Missing qty",IF(A147="","Missing date",""))))))</f>
        <v/>
      </c>
      <c r="I147" s="84" t="n">
        <f aca="false">IF(B147=Dashboard!$D$3,ROW(),"")</f>
        <v>147</v>
      </c>
    </row>
    <row r="148" customFormat="false" ht="15" hidden="false" customHeight="false" outlineLevel="0" collapsed="false">
      <c r="A148" s="80" t="n">
        <v>46296</v>
      </c>
      <c r="B148" s="71" t="s">
        <v>3</v>
      </c>
      <c r="C148" s="71" t="s">
        <v>134</v>
      </c>
      <c r="D148" s="81" t="n">
        <v>1</v>
      </c>
      <c r="E148" s="71"/>
      <c r="F148" s="71" t="s">
        <v>190</v>
      </c>
      <c r="G148" s="82" t="str">
        <f aca="false">IF(C148="","",IFERROR(INDEX('Kit Lists'!$D$6:$D$605,MATCH(B148&amp;"|"&amp;C148,'Kit Lists'!$J$6:$J$605,0)),"Not on this contract's kit list"))</f>
        <v>R5B BOAT 3 ASSY (4P-4FP)</v>
      </c>
      <c r="H148" s="83" t="str">
        <f aca="false">IF(AND(B148="",C148="",D148=""),"",IF(B148="","Missing contract",IF(C148="","Missing code",IF(LEFT(G148,3)="Not","Wrong code",IF(D148="","Missing qty",IF(A148="","Missing date",""))))))</f>
        <v/>
      </c>
      <c r="I148" s="84" t="n">
        <f aca="false">IF(B148=Dashboard!$D$3,ROW(),"")</f>
        <v>148</v>
      </c>
    </row>
    <row r="149" customFormat="false" ht="15" hidden="false" customHeight="false" outlineLevel="0" collapsed="false">
      <c r="A149" s="80" t="n">
        <v>46296</v>
      </c>
      <c r="B149" s="71" t="s">
        <v>3</v>
      </c>
      <c r="C149" s="71" t="s">
        <v>103</v>
      </c>
      <c r="D149" s="81" t="n">
        <v>1</v>
      </c>
      <c r="E149" s="71"/>
      <c r="F149" s="71" t="s">
        <v>191</v>
      </c>
      <c r="G149" s="82" t="str">
        <f aca="false">IF(C149="","",IFERROR(INDEX('Kit Lists'!$D$6:$D$605,MATCH(B149&amp;"|"&amp;C149,'Kit Lists'!$J$6:$J$605,0)),"Not on this contract's kit list"))</f>
        <v>R5B LASER ASSEMBLY 4P BOAT 1 - E2A</v>
      </c>
      <c r="H149" s="83" t="str">
        <f aca="false">IF(AND(B149="",C149="",D149=""),"",IF(B149="","Missing contract",IF(C149="","Missing code",IF(LEFT(G149,3)="Not","Wrong code",IF(D149="","Missing qty",IF(A149="","Missing date",""))))))</f>
        <v/>
      </c>
      <c r="I149" s="84" t="n">
        <f aca="false">IF(B149=Dashboard!$D$3,ROW(),"")</f>
        <v>149</v>
      </c>
    </row>
    <row r="150" customFormat="false" ht="15" hidden="false" customHeight="false" outlineLevel="0" collapsed="false">
      <c r="A150" s="80" t="n">
        <v>46296</v>
      </c>
      <c r="B150" s="71" t="s">
        <v>3</v>
      </c>
      <c r="C150" s="71" t="s">
        <v>105</v>
      </c>
      <c r="D150" s="81" t="n">
        <v>2</v>
      </c>
      <c r="E150" s="71"/>
      <c r="F150" s="71" t="s">
        <v>191</v>
      </c>
      <c r="G150" s="82" t="str">
        <f aca="false">IF(C150="","",IFERROR(INDEX('Kit Lists'!$D$6:$D$605,MATCH(B150&amp;"|"&amp;C150,'Kit Lists'!$J$6:$J$605,0)),"Not on this contract's kit list"))</f>
        <v>R5B LASER ASSEMBLY 4P BOAT 2/3 - E2A</v>
      </c>
      <c r="H150" s="83" t="str">
        <f aca="false">IF(AND(B150="",C150="",D150=""),"",IF(B150="","Missing contract",IF(C150="","Missing code",IF(LEFT(G150,3)="Not","Wrong code",IF(D150="","Missing qty",IF(A150="","Missing date",""))))))</f>
        <v/>
      </c>
      <c r="I150" s="84" t="n">
        <f aca="false">IF(B150=Dashboard!$D$3,ROW(),"")</f>
        <v>150</v>
      </c>
    </row>
    <row r="151" customFormat="false" ht="15" hidden="false" customHeight="false" outlineLevel="0" collapsed="false">
      <c r="A151" s="80" t="n">
        <v>46296</v>
      </c>
      <c r="B151" s="71" t="s">
        <v>3</v>
      </c>
      <c r="C151" s="71" t="s">
        <v>111</v>
      </c>
      <c r="D151" s="81" t="n">
        <v>1</v>
      </c>
      <c r="E151" s="71"/>
      <c r="F151" s="71" t="s">
        <v>191</v>
      </c>
      <c r="G151" s="82" t="str">
        <f aca="false">IF(C151="","",IFERROR(INDEX('Kit Lists'!$D$6:$D$605,MATCH(B151&amp;"|"&amp;C151,'Kit Lists'!$J$6:$J$605,0)),"Not on this contract's kit list"))</f>
        <v>R5B OPF ASSEMBLY (4P-4FP) BOAT 1 - E2A</v>
      </c>
      <c r="H151" s="83" t="str">
        <f aca="false">IF(AND(B151="",C151="",D151=""),"",IF(B151="","Missing contract",IF(C151="","Missing code",IF(LEFT(G151,3)="Not","Wrong code",IF(D151="","Missing qty",IF(A151="","Missing date",""))))))</f>
        <v/>
      </c>
      <c r="I151" s="84" t="n">
        <f aca="false">IF(B151=Dashboard!$D$3,ROW(),"")</f>
        <v>151</v>
      </c>
    </row>
    <row r="152" customFormat="false" ht="15" hidden="false" customHeight="false" outlineLevel="0" collapsed="false">
      <c r="A152" s="80" t="n">
        <v>46296</v>
      </c>
      <c r="B152" s="71" t="s">
        <v>3</v>
      </c>
      <c r="C152" s="71" t="s">
        <v>113</v>
      </c>
      <c r="D152" s="81" t="n">
        <v>2</v>
      </c>
      <c r="E152" s="71"/>
      <c r="F152" s="71" t="s">
        <v>191</v>
      </c>
      <c r="G152" s="82" t="str">
        <f aca="false">IF(C152="","",IFERROR(INDEX('Kit Lists'!$D$6:$D$605,MATCH(B152&amp;"|"&amp;C152,'Kit Lists'!$J$6:$J$605,0)),"Not on this contract's kit list"))</f>
        <v>R5B OPF ASSEMBLY (4P-4FP) BOAT 2/3 - E2A</v>
      </c>
      <c r="H152" s="83" t="str">
        <f aca="false">IF(AND(B152="",C152="",D152=""),"",IF(B152="","Missing contract",IF(C152="","Missing code",IF(LEFT(G152,3)="Not","Wrong code",IF(D152="","Missing qty",IF(A152="","Missing date",""))))))</f>
        <v/>
      </c>
      <c r="I152" s="84" t="n">
        <f aca="false">IF(B152=Dashboard!$D$3,ROW(),"")</f>
        <v>152</v>
      </c>
    </row>
    <row r="153" customFormat="false" ht="15" hidden="false" customHeight="false" outlineLevel="0" collapsed="false">
      <c r="A153" s="80" t="n">
        <v>46296</v>
      </c>
      <c r="B153" s="71" t="s">
        <v>3</v>
      </c>
      <c r="C153" s="71" t="s">
        <v>116</v>
      </c>
      <c r="D153" s="81" t="n">
        <v>3</v>
      </c>
      <c r="E153" s="71"/>
      <c r="F153" s="71" t="s">
        <v>191</v>
      </c>
      <c r="G153" s="82" t="str">
        <f aca="false">IF(C153="","",IFERROR(INDEX('Kit Lists'!$D$6:$D$605,MATCH(B153&amp;"|"&amp;C153,'Kit Lists'!$J$6:$J$605,0)),"Not on this contract's kit list"))</f>
        <v>R5B 4FP POB LUMENTUM SUB ASSEMBLY - E2A</v>
      </c>
      <c r="H153" s="83" t="str">
        <f aca="false">IF(AND(B153="",C153="",D153=""),"",IF(B153="","Missing contract",IF(C153="","Missing code",IF(LEFT(G153,3)="Not","Wrong code",IF(D153="","Missing qty",IF(A153="","Missing date",""))))))</f>
        <v/>
      </c>
      <c r="I153" s="84" t="n">
        <f aca="false">IF(B153=Dashboard!$D$3,ROW(),"")</f>
        <v>153</v>
      </c>
    </row>
    <row r="154" customFormat="false" ht="15" hidden="false" customHeight="false" outlineLevel="0" collapsed="false">
      <c r="A154" s="80" t="n">
        <v>46296</v>
      </c>
      <c r="B154" s="71" t="s">
        <v>3</v>
      </c>
      <c r="C154" s="71" t="s">
        <v>119</v>
      </c>
      <c r="D154" s="81" t="n">
        <v>24</v>
      </c>
      <c r="E154" s="71"/>
      <c r="F154" s="71" t="s">
        <v>191</v>
      </c>
      <c r="G154" s="82" t="str">
        <f aca="false">IF(C154="","",IFERROR(INDEX('Kit Lists'!$D$6:$D$605,MATCH(B154&amp;"|"&amp;C154,'Kit Lists'!$J$6:$J$605,0)),"Not on this contract's kit list"))</f>
        <v>R5B ERBIUM SPOOL ASSEMBLY - E2A</v>
      </c>
      <c r="H154" s="83" t="str">
        <f aca="false">IF(AND(B154="",C154="",D154=""),"",IF(B154="","Missing contract",IF(C154="","Missing code",IF(LEFT(G154,3)="Not","Wrong code",IF(D154="","Missing qty",IF(A154="","Missing date",""))))))</f>
        <v/>
      </c>
      <c r="I154" s="84" t="n">
        <f aca="false">IF(B154=Dashboard!$D$3,ROW(),"")</f>
        <v>154</v>
      </c>
    </row>
    <row r="155" customFormat="false" ht="15" hidden="false" customHeight="false" outlineLevel="0" collapsed="false">
      <c r="A155" s="80" t="n">
        <v>46296</v>
      </c>
      <c r="B155" s="71" t="s">
        <v>3</v>
      </c>
      <c r="C155" s="71" t="s">
        <v>121</v>
      </c>
      <c r="D155" s="81" t="n">
        <v>3</v>
      </c>
      <c r="E155" s="71"/>
      <c r="F155" s="71" t="s">
        <v>191</v>
      </c>
      <c r="G155" s="82" t="str">
        <f aca="false">IF(C155="","",IFERROR(INDEX('Kit Lists'!$D$6:$D$605,MATCH(B155&amp;"|"&amp;C155,'Kit Lists'!$J$6:$J$605,0)),"Not on this contract's kit list"))</f>
        <v>R5B ERBIUM ASSEMBLY POSITION 1</v>
      </c>
      <c r="H155" s="83" t="str">
        <f aca="false">IF(AND(B155="",C155="",D155=""),"",IF(B155="","Missing contract",IF(C155="","Missing code",IF(LEFT(G155,3)="Not","Wrong code",IF(D155="","Missing qty",IF(A155="","Missing date",""))))))</f>
        <v/>
      </c>
      <c r="I155" s="84" t="n">
        <f aca="false">IF(B155=Dashboard!$D$3,ROW(),"")</f>
        <v>155</v>
      </c>
    </row>
    <row r="156" customFormat="false" ht="15" hidden="false" customHeight="false" outlineLevel="0" collapsed="false">
      <c r="A156" s="80" t="n">
        <v>46296</v>
      </c>
      <c r="B156" s="71" t="s">
        <v>3</v>
      </c>
      <c r="C156" s="71" t="s">
        <v>123</v>
      </c>
      <c r="D156" s="81" t="n">
        <v>3</v>
      </c>
      <c r="E156" s="71"/>
      <c r="F156" s="71" t="s">
        <v>191</v>
      </c>
      <c r="G156" s="82" t="str">
        <f aca="false">IF(C156="","",IFERROR(INDEX('Kit Lists'!$D$6:$D$605,MATCH(B156&amp;"|"&amp;C156,'Kit Lists'!$J$6:$J$605,0)),"Not on this contract's kit list"))</f>
        <v>R5B ERBIUM ASSEMBLY POSITION 2</v>
      </c>
      <c r="H156" s="83" t="str">
        <f aca="false">IF(AND(B156="",C156="",D156=""),"",IF(B156="","Missing contract",IF(C156="","Missing code",IF(LEFT(G156,3)="Not","Wrong code",IF(D156="","Missing qty",IF(A156="","Missing date",""))))))</f>
        <v/>
      </c>
      <c r="I156" s="84" t="n">
        <f aca="false">IF(B156=Dashboard!$D$3,ROW(),"")</f>
        <v>156</v>
      </c>
    </row>
    <row r="157" customFormat="false" ht="15" hidden="false" customHeight="false" outlineLevel="0" collapsed="false">
      <c r="A157" s="80" t="n">
        <v>46296</v>
      </c>
      <c r="B157" s="71" t="s">
        <v>3</v>
      </c>
      <c r="C157" s="71" t="s">
        <v>125</v>
      </c>
      <c r="D157" s="81" t="n">
        <v>3</v>
      </c>
      <c r="E157" s="71"/>
      <c r="F157" s="71" t="s">
        <v>191</v>
      </c>
      <c r="G157" s="82" t="str">
        <f aca="false">IF(C157="","",IFERROR(INDEX('Kit Lists'!$D$6:$D$605,MATCH(B157&amp;"|"&amp;C157,'Kit Lists'!$J$6:$J$605,0)),"Not on this contract's kit list"))</f>
        <v>R5B ERBIUM ASSEMBLY POSITION 3</v>
      </c>
      <c r="H157" s="83" t="str">
        <f aca="false">IF(AND(B157="",C157="",D157=""),"",IF(B157="","Missing contract",IF(C157="","Missing code",IF(LEFT(G157,3)="Not","Wrong code",IF(D157="","Missing qty",IF(A157="","Missing date",""))))))</f>
        <v/>
      </c>
      <c r="I157" s="84" t="n">
        <f aca="false">IF(B157=Dashboard!$D$3,ROW(),"")</f>
        <v>157</v>
      </c>
    </row>
    <row r="158" customFormat="false" ht="15" hidden="false" customHeight="false" outlineLevel="0" collapsed="false">
      <c r="A158" s="80" t="n">
        <v>46296</v>
      </c>
      <c r="B158" s="71" t="s">
        <v>3</v>
      </c>
      <c r="C158" s="71" t="s">
        <v>127</v>
      </c>
      <c r="D158" s="81" t="n">
        <v>3</v>
      </c>
      <c r="E158" s="71"/>
      <c r="F158" s="71" t="s">
        <v>191</v>
      </c>
      <c r="G158" s="82" t="str">
        <f aca="false">IF(C158="","",IFERROR(INDEX('Kit Lists'!$D$6:$D$605,MATCH(B158&amp;"|"&amp;C158,'Kit Lists'!$J$6:$J$605,0)),"Not on this contract's kit list"))</f>
        <v>R5B ERBIUM ASSEMBLY POSITION 4</v>
      </c>
      <c r="H158" s="83" t="str">
        <f aca="false">IF(AND(B158="",C158="",D158=""),"",IF(B158="","Missing contract",IF(C158="","Missing code",IF(LEFT(G158,3)="Not","Wrong code",IF(D158="","Missing qty",IF(A158="","Missing date",""))))))</f>
        <v/>
      </c>
      <c r="I158" s="84" t="n">
        <f aca="false">IF(B158=Dashboard!$D$3,ROW(),"")</f>
        <v>158</v>
      </c>
    </row>
    <row r="159" customFormat="false" ht="15" hidden="false" customHeight="false" outlineLevel="0" collapsed="false">
      <c r="A159" s="80" t="n">
        <v>46296</v>
      </c>
      <c r="B159" s="71" t="s">
        <v>3</v>
      </c>
      <c r="C159" s="71" t="s">
        <v>130</v>
      </c>
      <c r="D159" s="81" t="n">
        <v>1</v>
      </c>
      <c r="E159" s="71"/>
      <c r="F159" s="71" t="s">
        <v>191</v>
      </c>
      <c r="G159" s="82" t="str">
        <f aca="false">IF(C159="","",IFERROR(INDEX('Kit Lists'!$D$6:$D$605,MATCH(B159&amp;"|"&amp;C159,'Kit Lists'!$J$6:$J$605,0)),"Not on this contract's kit list"))</f>
        <v>R5B BOAT 1 ASSY (4P-4FP)</v>
      </c>
      <c r="H159" s="83" t="str">
        <f aca="false">IF(AND(B159="",C159="",D159=""),"",IF(B159="","Missing contract",IF(C159="","Missing code",IF(LEFT(G159,3)="Not","Wrong code",IF(D159="","Missing qty",IF(A159="","Missing date",""))))))</f>
        <v/>
      </c>
      <c r="I159" s="84" t="n">
        <f aca="false">IF(B159=Dashboard!$D$3,ROW(),"")</f>
        <v>159</v>
      </c>
    </row>
    <row r="160" customFormat="false" ht="15" hidden="false" customHeight="false" outlineLevel="0" collapsed="false">
      <c r="A160" s="80" t="n">
        <v>46296</v>
      </c>
      <c r="B160" s="71" t="s">
        <v>3</v>
      </c>
      <c r="C160" s="71" t="s">
        <v>132</v>
      </c>
      <c r="D160" s="81" t="n">
        <v>1</v>
      </c>
      <c r="E160" s="71"/>
      <c r="F160" s="71" t="s">
        <v>191</v>
      </c>
      <c r="G160" s="82" t="str">
        <f aca="false">IF(C160="","",IFERROR(INDEX('Kit Lists'!$D$6:$D$605,MATCH(B160&amp;"|"&amp;C160,'Kit Lists'!$J$6:$J$605,0)),"Not on this contract's kit list"))</f>
        <v>R5B BOAT 2 ASSY (4P-4FP)</v>
      </c>
      <c r="H160" s="83" t="str">
        <f aca="false">IF(AND(B160="",C160="",D160=""),"",IF(B160="","Missing contract",IF(C160="","Missing code",IF(LEFT(G160,3)="Not","Wrong code",IF(D160="","Missing qty",IF(A160="","Missing date",""))))))</f>
        <v/>
      </c>
      <c r="I160" s="84" t="n">
        <f aca="false">IF(B160=Dashboard!$D$3,ROW(),"")</f>
        <v>160</v>
      </c>
    </row>
    <row r="161" customFormat="false" ht="15" hidden="false" customHeight="false" outlineLevel="0" collapsed="false">
      <c r="A161" s="80" t="n">
        <v>46296</v>
      </c>
      <c r="B161" s="71" t="s">
        <v>3</v>
      </c>
      <c r="C161" s="71" t="s">
        <v>134</v>
      </c>
      <c r="D161" s="81" t="n">
        <v>1</v>
      </c>
      <c r="E161" s="71"/>
      <c r="F161" s="71" t="s">
        <v>191</v>
      </c>
      <c r="G161" s="82" t="str">
        <f aca="false">IF(C161="","",IFERROR(INDEX('Kit Lists'!$D$6:$D$605,MATCH(B161&amp;"|"&amp;C161,'Kit Lists'!$J$6:$J$605,0)),"Not on this contract's kit list"))</f>
        <v>R5B BOAT 3 ASSY (4P-4FP)</v>
      </c>
      <c r="H161" s="83" t="str">
        <f aca="false">IF(AND(B161="",C161="",D161=""),"",IF(B161="","Missing contract",IF(C161="","Missing code",IF(LEFT(G161,3)="Not","Wrong code",IF(D161="","Missing qty",IF(A161="","Missing date",""))))))</f>
        <v/>
      </c>
      <c r="I161" s="84" t="n">
        <f aca="false">IF(B161=Dashboard!$D$3,ROW(),"")</f>
        <v>161</v>
      </c>
    </row>
    <row r="162" customFormat="false" ht="15" hidden="false" customHeight="false" outlineLevel="0" collapsed="false">
      <c r="A162" s="80" t="n">
        <v>46296</v>
      </c>
      <c r="B162" s="71" t="s">
        <v>3</v>
      </c>
      <c r="C162" s="71" t="s">
        <v>103</v>
      </c>
      <c r="D162" s="81" t="n">
        <v>1</v>
      </c>
      <c r="E162" s="71"/>
      <c r="F162" s="71" t="s">
        <v>192</v>
      </c>
      <c r="G162" s="82" t="str">
        <f aca="false">IF(C162="","",IFERROR(INDEX('Kit Lists'!$D$6:$D$605,MATCH(B162&amp;"|"&amp;C162,'Kit Lists'!$J$6:$J$605,0)),"Not on this contract's kit list"))</f>
        <v>R5B LASER ASSEMBLY 4P BOAT 1 - E2A</v>
      </c>
      <c r="H162" s="83" t="str">
        <f aca="false">IF(AND(B162="",C162="",D162=""),"",IF(B162="","Missing contract",IF(C162="","Missing code",IF(LEFT(G162,3)="Not","Wrong code",IF(D162="","Missing qty",IF(A162="","Missing date",""))))))</f>
        <v/>
      </c>
      <c r="I162" s="84" t="n">
        <f aca="false">IF(B162=Dashboard!$D$3,ROW(),"")</f>
        <v>162</v>
      </c>
    </row>
    <row r="163" customFormat="false" ht="15" hidden="false" customHeight="false" outlineLevel="0" collapsed="false">
      <c r="A163" s="80" t="n">
        <v>46296</v>
      </c>
      <c r="B163" s="71" t="s">
        <v>3</v>
      </c>
      <c r="C163" s="71" t="s">
        <v>111</v>
      </c>
      <c r="D163" s="81" t="n">
        <v>1</v>
      </c>
      <c r="E163" s="71"/>
      <c r="F163" s="71" t="s">
        <v>192</v>
      </c>
      <c r="G163" s="82" t="str">
        <f aca="false">IF(C163="","",IFERROR(INDEX('Kit Lists'!$D$6:$D$605,MATCH(B163&amp;"|"&amp;C163,'Kit Lists'!$J$6:$J$605,0)),"Not on this contract's kit list"))</f>
        <v>R5B OPF ASSEMBLY (4P-4FP) BOAT 1 - E2A</v>
      </c>
      <c r="H163" s="83" t="str">
        <f aca="false">IF(AND(B163="",C163="",D163=""),"",IF(B163="","Missing contract",IF(C163="","Missing code",IF(LEFT(G163,3)="Not","Wrong code",IF(D163="","Missing qty",IF(A163="","Missing date",""))))))</f>
        <v/>
      </c>
      <c r="I163" s="84" t="n">
        <f aca="false">IF(B163=Dashboard!$D$3,ROW(),"")</f>
        <v>163</v>
      </c>
    </row>
    <row r="164" customFormat="false" ht="15" hidden="false" customHeight="false" outlineLevel="0" collapsed="false">
      <c r="A164" s="80" t="n">
        <v>46296</v>
      </c>
      <c r="B164" s="71" t="s">
        <v>3</v>
      </c>
      <c r="C164" s="71" t="s">
        <v>125</v>
      </c>
      <c r="D164" s="81" t="n">
        <v>3</v>
      </c>
      <c r="E164" s="71"/>
      <c r="F164" s="71" t="s">
        <v>192</v>
      </c>
      <c r="G164" s="82" t="str">
        <f aca="false">IF(C164="","",IFERROR(INDEX('Kit Lists'!$D$6:$D$605,MATCH(B164&amp;"|"&amp;C164,'Kit Lists'!$J$6:$J$605,0)),"Not on this contract's kit list"))</f>
        <v>R5B ERBIUM ASSEMBLY POSITION 3</v>
      </c>
      <c r="H164" s="83" t="str">
        <f aca="false">IF(AND(B164="",C164="",D164=""),"",IF(B164="","Missing contract",IF(C164="","Missing code",IF(LEFT(G164,3)="Not","Wrong code",IF(D164="","Missing qty",IF(A164="","Missing date",""))))))</f>
        <v/>
      </c>
      <c r="I164" s="84" t="n">
        <f aca="false">IF(B164=Dashboard!$D$3,ROW(),"")</f>
        <v>164</v>
      </c>
    </row>
    <row r="165" customFormat="false" ht="15" hidden="false" customHeight="false" outlineLevel="0" collapsed="false">
      <c r="A165" s="80" t="n">
        <v>46297</v>
      </c>
      <c r="B165" s="71" t="s">
        <v>3</v>
      </c>
      <c r="C165" s="71" t="s">
        <v>105</v>
      </c>
      <c r="D165" s="81" t="n">
        <v>2</v>
      </c>
      <c r="E165" s="71"/>
      <c r="F165" s="71" t="s">
        <v>192</v>
      </c>
      <c r="G165" s="82" t="str">
        <f aca="false">IF(C165="","",IFERROR(INDEX('Kit Lists'!$D$6:$D$605,MATCH(B165&amp;"|"&amp;C165,'Kit Lists'!$J$6:$J$605,0)),"Not on this contract's kit list"))</f>
        <v>R5B LASER ASSEMBLY 4P BOAT 2/3 - E2A</v>
      </c>
      <c r="H165" s="83" t="str">
        <f aca="false">IF(AND(B165="",C165="",D165=""),"",IF(B165="","Missing contract",IF(C165="","Missing code",IF(LEFT(G165,3)="Not","Wrong code",IF(D165="","Missing qty",IF(A165="","Missing date",""))))))</f>
        <v/>
      </c>
      <c r="I165" s="84" t="n">
        <f aca="false">IF(B165=Dashboard!$D$3,ROW(),"")</f>
        <v>165</v>
      </c>
    </row>
    <row r="166" customFormat="false" ht="15" hidden="false" customHeight="false" outlineLevel="0" collapsed="false">
      <c r="A166" s="80" t="n">
        <v>46297</v>
      </c>
      <c r="B166" s="71" t="s">
        <v>3</v>
      </c>
      <c r="C166" s="71" t="s">
        <v>113</v>
      </c>
      <c r="D166" s="81" t="n">
        <v>2</v>
      </c>
      <c r="E166" s="71"/>
      <c r="F166" s="71" t="s">
        <v>192</v>
      </c>
      <c r="G166" s="82" t="str">
        <f aca="false">IF(C166="","",IFERROR(INDEX('Kit Lists'!$D$6:$D$605,MATCH(B166&amp;"|"&amp;C166,'Kit Lists'!$J$6:$J$605,0)),"Not on this contract's kit list"))</f>
        <v>R5B OPF ASSEMBLY (4P-4FP) BOAT 2/3 - E2A</v>
      </c>
      <c r="H166" s="83" t="str">
        <f aca="false">IF(AND(B166="",C166="",D166=""),"",IF(B166="","Missing contract",IF(C166="","Missing code",IF(LEFT(G166,3)="Not","Wrong code",IF(D166="","Missing qty",IF(A166="","Missing date",""))))))</f>
        <v/>
      </c>
      <c r="I166" s="84" t="n">
        <f aca="false">IF(B166=Dashboard!$D$3,ROW(),"")</f>
        <v>166</v>
      </c>
    </row>
    <row r="167" customFormat="false" ht="15" hidden="false" customHeight="false" outlineLevel="0" collapsed="false">
      <c r="A167" s="80" t="n">
        <v>46297</v>
      </c>
      <c r="B167" s="71" t="s">
        <v>3</v>
      </c>
      <c r="C167" s="71" t="s">
        <v>116</v>
      </c>
      <c r="D167" s="81" t="n">
        <v>3</v>
      </c>
      <c r="E167" s="71"/>
      <c r="F167" s="71" t="s">
        <v>192</v>
      </c>
      <c r="G167" s="82" t="str">
        <f aca="false">IF(C167="","",IFERROR(INDEX('Kit Lists'!$D$6:$D$605,MATCH(B167&amp;"|"&amp;C167,'Kit Lists'!$J$6:$J$605,0)),"Not on this contract's kit list"))</f>
        <v>R5B 4FP POB LUMENTUM SUB ASSEMBLY - E2A</v>
      </c>
      <c r="H167" s="83" t="str">
        <f aca="false">IF(AND(B167="",C167="",D167=""),"",IF(B167="","Missing contract",IF(C167="","Missing code",IF(LEFT(G167,3)="Not","Wrong code",IF(D167="","Missing qty",IF(A167="","Missing date",""))))))</f>
        <v/>
      </c>
      <c r="I167" s="84" t="n">
        <f aca="false">IF(B167=Dashboard!$D$3,ROW(),"")</f>
        <v>167</v>
      </c>
    </row>
    <row r="168" customFormat="false" ht="15" hidden="false" customHeight="false" outlineLevel="0" collapsed="false">
      <c r="A168" s="80" t="n">
        <v>46297</v>
      </c>
      <c r="B168" s="71" t="s">
        <v>3</v>
      </c>
      <c r="C168" s="71" t="s">
        <v>119</v>
      </c>
      <c r="D168" s="81" t="n">
        <v>24</v>
      </c>
      <c r="E168" s="71"/>
      <c r="F168" s="71" t="s">
        <v>192</v>
      </c>
      <c r="G168" s="82" t="str">
        <f aca="false">IF(C168="","",IFERROR(INDEX('Kit Lists'!$D$6:$D$605,MATCH(B168&amp;"|"&amp;C168,'Kit Lists'!$J$6:$J$605,0)),"Not on this contract's kit list"))</f>
        <v>R5B ERBIUM SPOOL ASSEMBLY - E2A</v>
      </c>
      <c r="H168" s="83" t="str">
        <f aca="false">IF(AND(B168="",C168="",D168=""),"",IF(B168="","Missing contract",IF(C168="","Missing code",IF(LEFT(G168,3)="Not","Wrong code",IF(D168="","Missing qty",IF(A168="","Missing date",""))))))</f>
        <v/>
      </c>
      <c r="I168" s="84" t="n">
        <f aca="false">IF(B168=Dashboard!$D$3,ROW(),"")</f>
        <v>168</v>
      </c>
    </row>
    <row r="169" customFormat="false" ht="15" hidden="false" customHeight="false" outlineLevel="0" collapsed="false">
      <c r="A169" s="80" t="n">
        <v>46297</v>
      </c>
      <c r="B169" s="71" t="s">
        <v>3</v>
      </c>
      <c r="C169" s="71" t="s">
        <v>121</v>
      </c>
      <c r="D169" s="81" t="n">
        <v>3</v>
      </c>
      <c r="E169" s="71"/>
      <c r="F169" s="71" t="s">
        <v>192</v>
      </c>
      <c r="G169" s="82" t="str">
        <f aca="false">IF(C169="","",IFERROR(INDEX('Kit Lists'!$D$6:$D$605,MATCH(B169&amp;"|"&amp;C169,'Kit Lists'!$J$6:$J$605,0)),"Not on this contract's kit list"))</f>
        <v>R5B ERBIUM ASSEMBLY POSITION 1</v>
      </c>
      <c r="H169" s="83" t="str">
        <f aca="false">IF(AND(B169="",C169="",D169=""),"",IF(B169="","Missing contract",IF(C169="","Missing code",IF(LEFT(G169,3)="Not","Wrong code",IF(D169="","Missing qty",IF(A169="","Missing date",""))))))</f>
        <v/>
      </c>
      <c r="I169" s="84" t="n">
        <f aca="false">IF(B169=Dashboard!$D$3,ROW(),"")</f>
        <v>169</v>
      </c>
    </row>
    <row r="170" customFormat="false" ht="15" hidden="false" customHeight="false" outlineLevel="0" collapsed="false">
      <c r="A170" s="80" t="n">
        <v>46297</v>
      </c>
      <c r="B170" s="71" t="s">
        <v>3</v>
      </c>
      <c r="C170" s="71" t="s">
        <v>123</v>
      </c>
      <c r="D170" s="81" t="n">
        <v>3</v>
      </c>
      <c r="E170" s="71"/>
      <c r="F170" s="71" t="s">
        <v>192</v>
      </c>
      <c r="G170" s="82" t="str">
        <f aca="false">IF(C170="","",IFERROR(INDEX('Kit Lists'!$D$6:$D$605,MATCH(B170&amp;"|"&amp;C170,'Kit Lists'!$J$6:$J$605,0)),"Not on this contract's kit list"))</f>
        <v>R5B ERBIUM ASSEMBLY POSITION 2</v>
      </c>
      <c r="H170" s="83" t="str">
        <f aca="false">IF(AND(B170="",C170="",D170=""),"",IF(B170="","Missing contract",IF(C170="","Missing code",IF(LEFT(G170,3)="Not","Wrong code",IF(D170="","Missing qty",IF(A170="","Missing date",""))))))</f>
        <v/>
      </c>
      <c r="I170" s="84" t="n">
        <f aca="false">IF(B170=Dashboard!$D$3,ROW(),"")</f>
        <v>170</v>
      </c>
    </row>
    <row r="171" customFormat="false" ht="15" hidden="false" customHeight="false" outlineLevel="0" collapsed="false">
      <c r="A171" s="80" t="n">
        <v>46297</v>
      </c>
      <c r="B171" s="71" t="s">
        <v>3</v>
      </c>
      <c r="C171" s="71" t="s">
        <v>127</v>
      </c>
      <c r="D171" s="81" t="n">
        <v>3</v>
      </c>
      <c r="E171" s="71"/>
      <c r="F171" s="71" t="s">
        <v>192</v>
      </c>
      <c r="G171" s="82" t="str">
        <f aca="false">IF(C171="","",IFERROR(INDEX('Kit Lists'!$D$6:$D$605,MATCH(B171&amp;"|"&amp;C171,'Kit Lists'!$J$6:$J$605,0)),"Not on this contract's kit list"))</f>
        <v>R5B ERBIUM ASSEMBLY POSITION 4</v>
      </c>
      <c r="H171" s="83" t="str">
        <f aca="false">IF(AND(B171="",C171="",D171=""),"",IF(B171="","Missing contract",IF(C171="","Missing code",IF(LEFT(G171,3)="Not","Wrong code",IF(D171="","Missing qty",IF(A171="","Missing date",""))))))</f>
        <v/>
      </c>
      <c r="I171" s="84" t="n">
        <f aca="false">IF(B171=Dashboard!$D$3,ROW(),"")</f>
        <v>171</v>
      </c>
    </row>
    <row r="172" customFormat="false" ht="15" hidden="false" customHeight="false" outlineLevel="0" collapsed="false">
      <c r="A172" s="80" t="n">
        <v>46297</v>
      </c>
      <c r="B172" s="71" t="s">
        <v>3</v>
      </c>
      <c r="C172" s="71" t="s">
        <v>130</v>
      </c>
      <c r="D172" s="81" t="n">
        <v>1</v>
      </c>
      <c r="E172" s="71"/>
      <c r="F172" s="71" t="s">
        <v>192</v>
      </c>
      <c r="G172" s="82" t="str">
        <f aca="false">IF(C172="","",IFERROR(INDEX('Kit Lists'!$D$6:$D$605,MATCH(B172&amp;"|"&amp;C172,'Kit Lists'!$J$6:$J$605,0)),"Not on this contract's kit list"))</f>
        <v>R5B BOAT 1 ASSY (4P-4FP)</v>
      </c>
      <c r="H172" s="83" t="str">
        <f aca="false">IF(AND(B172="",C172="",D172=""),"",IF(B172="","Missing contract",IF(C172="","Missing code",IF(LEFT(G172,3)="Not","Wrong code",IF(D172="","Missing qty",IF(A172="","Missing date",""))))))</f>
        <v/>
      </c>
      <c r="I172" s="84" t="n">
        <f aca="false">IF(B172=Dashboard!$D$3,ROW(),"")</f>
        <v>172</v>
      </c>
    </row>
    <row r="173" customFormat="false" ht="15" hidden="false" customHeight="false" outlineLevel="0" collapsed="false">
      <c r="A173" s="80" t="n">
        <v>46297</v>
      </c>
      <c r="B173" s="71" t="s">
        <v>3</v>
      </c>
      <c r="C173" s="71" t="s">
        <v>132</v>
      </c>
      <c r="D173" s="81" t="n">
        <v>1</v>
      </c>
      <c r="E173" s="71"/>
      <c r="F173" s="71" t="s">
        <v>192</v>
      </c>
      <c r="G173" s="82" t="str">
        <f aca="false">IF(C173="","",IFERROR(INDEX('Kit Lists'!$D$6:$D$605,MATCH(B173&amp;"|"&amp;C173,'Kit Lists'!$J$6:$J$605,0)),"Not on this contract's kit list"))</f>
        <v>R5B BOAT 2 ASSY (4P-4FP)</v>
      </c>
      <c r="H173" s="83" t="str">
        <f aca="false">IF(AND(B173="",C173="",D173=""),"",IF(B173="","Missing contract",IF(C173="","Missing code",IF(LEFT(G173,3)="Not","Wrong code",IF(D173="","Missing qty",IF(A173="","Missing date",""))))))</f>
        <v/>
      </c>
      <c r="I173" s="84" t="n">
        <f aca="false">IF(B173=Dashboard!$D$3,ROW(),"")</f>
        <v>173</v>
      </c>
    </row>
    <row r="174" customFormat="false" ht="15" hidden="false" customHeight="false" outlineLevel="0" collapsed="false">
      <c r="A174" s="80" t="n">
        <v>46297</v>
      </c>
      <c r="B174" s="71" t="s">
        <v>3</v>
      </c>
      <c r="C174" s="71" t="s">
        <v>134</v>
      </c>
      <c r="D174" s="81" t="n">
        <v>1</v>
      </c>
      <c r="E174" s="71"/>
      <c r="F174" s="71" t="s">
        <v>192</v>
      </c>
      <c r="G174" s="82" t="str">
        <f aca="false">IF(C174="","",IFERROR(INDEX('Kit Lists'!$D$6:$D$605,MATCH(B174&amp;"|"&amp;C174,'Kit Lists'!$J$6:$J$605,0)),"Not on this contract's kit list"))</f>
        <v>R5B BOAT 3 ASSY (4P-4FP)</v>
      </c>
      <c r="H174" s="83" t="str">
        <f aca="false">IF(AND(B174="",C174="",D174=""),"",IF(B174="","Missing contract",IF(C174="","Missing code",IF(LEFT(G174,3)="Not","Wrong code",IF(D174="","Missing qty",IF(A174="","Missing date",""))))))</f>
        <v/>
      </c>
      <c r="I174" s="84" t="n">
        <f aca="false">IF(B174=Dashboard!$D$3,ROW(),"")</f>
        <v>174</v>
      </c>
    </row>
    <row r="175" customFormat="false" ht="15" hidden="false" customHeight="false" outlineLevel="0" collapsed="false">
      <c r="A175" s="80" t="n">
        <v>46297</v>
      </c>
      <c r="B175" s="71" t="s">
        <v>3</v>
      </c>
      <c r="C175" s="71" t="s">
        <v>103</v>
      </c>
      <c r="D175" s="81" t="n">
        <v>1</v>
      </c>
      <c r="E175" s="71"/>
      <c r="F175" s="71" t="s">
        <v>193</v>
      </c>
      <c r="G175" s="82" t="str">
        <f aca="false">IF(C175="","",IFERROR(INDEX('Kit Lists'!$D$6:$D$605,MATCH(B175&amp;"|"&amp;C175,'Kit Lists'!$J$6:$J$605,0)),"Not on this contract's kit list"))</f>
        <v>R5B LASER ASSEMBLY 4P BOAT 1 - E2A</v>
      </c>
      <c r="H175" s="83" t="str">
        <f aca="false">IF(AND(B175="",C175="",D175=""),"",IF(B175="","Missing contract",IF(C175="","Missing code",IF(LEFT(G175,3)="Not","Wrong code",IF(D175="","Missing qty",IF(A175="","Missing date",""))))))</f>
        <v/>
      </c>
      <c r="I175" s="84" t="n">
        <f aca="false">IF(B175=Dashboard!$D$3,ROW(),"")</f>
        <v>175</v>
      </c>
    </row>
    <row r="176" customFormat="false" ht="15" hidden="false" customHeight="false" outlineLevel="0" collapsed="false">
      <c r="A176" s="80" t="n">
        <v>46297</v>
      </c>
      <c r="B176" s="71" t="s">
        <v>3</v>
      </c>
      <c r="C176" s="71" t="s">
        <v>105</v>
      </c>
      <c r="D176" s="81" t="n">
        <v>2</v>
      </c>
      <c r="E176" s="71"/>
      <c r="F176" s="71" t="s">
        <v>193</v>
      </c>
      <c r="G176" s="82" t="str">
        <f aca="false">IF(C176="","",IFERROR(INDEX('Kit Lists'!$D$6:$D$605,MATCH(B176&amp;"|"&amp;C176,'Kit Lists'!$J$6:$J$605,0)),"Not on this contract's kit list"))</f>
        <v>R5B LASER ASSEMBLY 4P BOAT 2/3 - E2A</v>
      </c>
      <c r="H176" s="83" t="str">
        <f aca="false">IF(AND(B176="",C176="",D176=""),"",IF(B176="","Missing contract",IF(C176="","Missing code",IF(LEFT(G176,3)="Not","Wrong code",IF(D176="","Missing qty",IF(A176="","Missing date",""))))))</f>
        <v/>
      </c>
      <c r="I176" s="84" t="n">
        <f aca="false">IF(B176=Dashboard!$D$3,ROW(),"")</f>
        <v>176</v>
      </c>
    </row>
    <row r="177" customFormat="false" ht="15" hidden="false" customHeight="false" outlineLevel="0" collapsed="false">
      <c r="A177" s="80" t="n">
        <v>46297</v>
      </c>
      <c r="B177" s="71" t="s">
        <v>3</v>
      </c>
      <c r="C177" s="71" t="s">
        <v>111</v>
      </c>
      <c r="D177" s="81" t="n">
        <v>1</v>
      </c>
      <c r="E177" s="71"/>
      <c r="F177" s="71" t="s">
        <v>193</v>
      </c>
      <c r="G177" s="82" t="str">
        <f aca="false">IF(C177="","",IFERROR(INDEX('Kit Lists'!$D$6:$D$605,MATCH(B177&amp;"|"&amp;C177,'Kit Lists'!$J$6:$J$605,0)),"Not on this contract's kit list"))</f>
        <v>R5B OPF ASSEMBLY (4P-4FP) BOAT 1 - E2A</v>
      </c>
      <c r="H177" s="83" t="str">
        <f aca="false">IF(AND(B177="",C177="",D177=""),"",IF(B177="","Missing contract",IF(C177="","Missing code",IF(LEFT(G177,3)="Not","Wrong code",IF(D177="","Missing qty",IF(A177="","Missing date",""))))))</f>
        <v/>
      </c>
      <c r="I177" s="84" t="n">
        <f aca="false">IF(B177=Dashboard!$D$3,ROW(),"")</f>
        <v>177</v>
      </c>
    </row>
    <row r="178" customFormat="false" ht="15" hidden="false" customHeight="false" outlineLevel="0" collapsed="false">
      <c r="A178" s="80" t="n">
        <v>46297</v>
      </c>
      <c r="B178" s="71" t="s">
        <v>3</v>
      </c>
      <c r="C178" s="71" t="s">
        <v>113</v>
      </c>
      <c r="D178" s="81" t="n">
        <v>2</v>
      </c>
      <c r="E178" s="71"/>
      <c r="F178" s="71" t="s">
        <v>193</v>
      </c>
      <c r="G178" s="82" t="str">
        <f aca="false">IF(C178="","",IFERROR(INDEX('Kit Lists'!$D$6:$D$605,MATCH(B178&amp;"|"&amp;C178,'Kit Lists'!$J$6:$J$605,0)),"Not on this contract's kit list"))</f>
        <v>R5B OPF ASSEMBLY (4P-4FP) BOAT 2/3 - E2A</v>
      </c>
      <c r="H178" s="83" t="str">
        <f aca="false">IF(AND(B178="",C178="",D178=""),"",IF(B178="","Missing contract",IF(C178="","Missing code",IF(LEFT(G178,3)="Not","Wrong code",IF(D178="","Missing qty",IF(A178="","Missing date",""))))))</f>
        <v/>
      </c>
      <c r="I178" s="84" t="n">
        <f aca="false">IF(B178=Dashboard!$D$3,ROW(),"")</f>
        <v>178</v>
      </c>
    </row>
    <row r="179" customFormat="false" ht="15" hidden="false" customHeight="false" outlineLevel="0" collapsed="false">
      <c r="A179" s="80" t="n">
        <v>46297</v>
      </c>
      <c r="B179" s="71" t="s">
        <v>3</v>
      </c>
      <c r="C179" s="71" t="s">
        <v>116</v>
      </c>
      <c r="D179" s="81" t="n">
        <v>3</v>
      </c>
      <c r="E179" s="71"/>
      <c r="F179" s="71" t="s">
        <v>193</v>
      </c>
      <c r="G179" s="82" t="str">
        <f aca="false">IF(C179="","",IFERROR(INDEX('Kit Lists'!$D$6:$D$605,MATCH(B179&amp;"|"&amp;C179,'Kit Lists'!$J$6:$J$605,0)),"Not on this contract's kit list"))</f>
        <v>R5B 4FP POB LUMENTUM SUB ASSEMBLY - E2A</v>
      </c>
      <c r="H179" s="83" t="str">
        <f aca="false">IF(AND(B179="",C179="",D179=""),"",IF(B179="","Missing contract",IF(C179="","Missing code",IF(LEFT(G179,3)="Not","Wrong code",IF(D179="","Missing qty",IF(A179="","Missing date",""))))))</f>
        <v/>
      </c>
      <c r="I179" s="84" t="n">
        <f aca="false">IF(B179=Dashboard!$D$3,ROW(),"")</f>
        <v>179</v>
      </c>
    </row>
    <row r="180" customFormat="false" ht="15" hidden="false" customHeight="false" outlineLevel="0" collapsed="false">
      <c r="A180" s="80" t="n">
        <v>46297</v>
      </c>
      <c r="B180" s="71" t="s">
        <v>3</v>
      </c>
      <c r="C180" s="71" t="s">
        <v>119</v>
      </c>
      <c r="D180" s="81" t="n">
        <v>24</v>
      </c>
      <c r="E180" s="71"/>
      <c r="F180" s="71" t="s">
        <v>193</v>
      </c>
      <c r="G180" s="82" t="str">
        <f aca="false">IF(C180="","",IFERROR(INDEX('Kit Lists'!$D$6:$D$605,MATCH(B180&amp;"|"&amp;C180,'Kit Lists'!$J$6:$J$605,0)),"Not on this contract's kit list"))</f>
        <v>R5B ERBIUM SPOOL ASSEMBLY - E2A</v>
      </c>
      <c r="H180" s="83" t="str">
        <f aca="false">IF(AND(B180="",C180="",D180=""),"",IF(B180="","Missing contract",IF(C180="","Missing code",IF(LEFT(G180,3)="Not","Wrong code",IF(D180="","Missing qty",IF(A180="","Missing date",""))))))</f>
        <v/>
      </c>
      <c r="I180" s="84" t="n">
        <f aca="false">IF(B180=Dashboard!$D$3,ROW(),"")</f>
        <v>180</v>
      </c>
    </row>
    <row r="181" customFormat="false" ht="15" hidden="false" customHeight="false" outlineLevel="0" collapsed="false">
      <c r="A181" s="80" t="n">
        <v>46297</v>
      </c>
      <c r="B181" s="71" t="s">
        <v>3</v>
      </c>
      <c r="C181" s="71" t="s">
        <v>121</v>
      </c>
      <c r="D181" s="81" t="n">
        <v>3</v>
      </c>
      <c r="E181" s="71"/>
      <c r="F181" s="71" t="s">
        <v>193</v>
      </c>
      <c r="G181" s="82" t="str">
        <f aca="false">IF(C181="","",IFERROR(INDEX('Kit Lists'!$D$6:$D$605,MATCH(B181&amp;"|"&amp;C181,'Kit Lists'!$J$6:$J$605,0)),"Not on this contract's kit list"))</f>
        <v>R5B ERBIUM ASSEMBLY POSITION 1</v>
      </c>
      <c r="H181" s="83" t="str">
        <f aca="false">IF(AND(B181="",C181="",D181=""),"",IF(B181="","Missing contract",IF(C181="","Missing code",IF(LEFT(G181,3)="Not","Wrong code",IF(D181="","Missing qty",IF(A181="","Missing date",""))))))</f>
        <v/>
      </c>
      <c r="I181" s="84" t="n">
        <f aca="false">IF(B181=Dashboard!$D$3,ROW(),"")</f>
        <v>181</v>
      </c>
    </row>
    <row r="182" customFormat="false" ht="15" hidden="false" customHeight="false" outlineLevel="0" collapsed="false">
      <c r="A182" s="80" t="n">
        <v>46297</v>
      </c>
      <c r="B182" s="71" t="s">
        <v>3</v>
      </c>
      <c r="C182" s="71" t="s">
        <v>123</v>
      </c>
      <c r="D182" s="81" t="n">
        <v>3</v>
      </c>
      <c r="E182" s="71"/>
      <c r="F182" s="71" t="s">
        <v>193</v>
      </c>
      <c r="G182" s="82" t="str">
        <f aca="false">IF(C182="","",IFERROR(INDEX('Kit Lists'!$D$6:$D$605,MATCH(B182&amp;"|"&amp;C182,'Kit Lists'!$J$6:$J$605,0)),"Not on this contract's kit list"))</f>
        <v>R5B ERBIUM ASSEMBLY POSITION 2</v>
      </c>
      <c r="H182" s="83" t="str">
        <f aca="false">IF(AND(B182="",C182="",D182=""),"",IF(B182="","Missing contract",IF(C182="","Missing code",IF(LEFT(G182,3)="Not","Wrong code",IF(D182="","Missing qty",IF(A182="","Missing date",""))))))</f>
        <v/>
      </c>
      <c r="I182" s="84" t="n">
        <f aca="false">IF(B182=Dashboard!$D$3,ROW(),"")</f>
        <v>182</v>
      </c>
    </row>
    <row r="183" customFormat="false" ht="15" hidden="false" customHeight="false" outlineLevel="0" collapsed="false">
      <c r="A183" s="80" t="n">
        <v>46297</v>
      </c>
      <c r="B183" s="71" t="s">
        <v>3</v>
      </c>
      <c r="C183" s="71" t="s">
        <v>125</v>
      </c>
      <c r="D183" s="81" t="n">
        <v>3</v>
      </c>
      <c r="E183" s="71"/>
      <c r="F183" s="71" t="s">
        <v>193</v>
      </c>
      <c r="G183" s="82" t="str">
        <f aca="false">IF(C183="","",IFERROR(INDEX('Kit Lists'!$D$6:$D$605,MATCH(B183&amp;"|"&amp;C183,'Kit Lists'!$J$6:$J$605,0)),"Not on this contract's kit list"))</f>
        <v>R5B ERBIUM ASSEMBLY POSITION 3</v>
      </c>
      <c r="H183" s="83" t="str">
        <f aca="false">IF(AND(B183="",C183="",D183=""),"",IF(B183="","Missing contract",IF(C183="","Missing code",IF(LEFT(G183,3)="Not","Wrong code",IF(D183="","Missing qty",IF(A183="","Missing date",""))))))</f>
        <v/>
      </c>
      <c r="I183" s="84" t="n">
        <f aca="false">IF(B183=Dashboard!$D$3,ROW(),"")</f>
        <v>183</v>
      </c>
    </row>
    <row r="184" customFormat="false" ht="15" hidden="false" customHeight="false" outlineLevel="0" collapsed="false">
      <c r="A184" s="80" t="n">
        <v>46297</v>
      </c>
      <c r="B184" s="71" t="s">
        <v>3</v>
      </c>
      <c r="C184" s="71" t="s">
        <v>127</v>
      </c>
      <c r="D184" s="81" t="n">
        <v>3</v>
      </c>
      <c r="E184" s="71"/>
      <c r="F184" s="71" t="s">
        <v>193</v>
      </c>
      <c r="G184" s="82" t="str">
        <f aca="false">IF(C184="","",IFERROR(INDEX('Kit Lists'!$D$6:$D$605,MATCH(B184&amp;"|"&amp;C184,'Kit Lists'!$J$6:$J$605,0)),"Not on this contract's kit list"))</f>
        <v>R5B ERBIUM ASSEMBLY POSITION 4</v>
      </c>
      <c r="H184" s="83" t="str">
        <f aca="false">IF(AND(B184="",C184="",D184=""),"",IF(B184="","Missing contract",IF(C184="","Missing code",IF(LEFT(G184,3)="Not","Wrong code",IF(D184="","Missing qty",IF(A184="","Missing date",""))))))</f>
        <v/>
      </c>
      <c r="I184" s="84" t="n">
        <f aca="false">IF(B184=Dashboard!$D$3,ROW(),"")</f>
        <v>184</v>
      </c>
    </row>
    <row r="185" customFormat="false" ht="15" hidden="false" customHeight="false" outlineLevel="0" collapsed="false">
      <c r="A185" s="80" t="n">
        <v>46297</v>
      </c>
      <c r="B185" s="71" t="s">
        <v>3</v>
      </c>
      <c r="C185" s="71" t="s">
        <v>130</v>
      </c>
      <c r="D185" s="81" t="n">
        <v>1</v>
      </c>
      <c r="E185" s="71"/>
      <c r="F185" s="71" t="s">
        <v>193</v>
      </c>
      <c r="G185" s="82" t="str">
        <f aca="false">IF(C185="","",IFERROR(INDEX('Kit Lists'!$D$6:$D$605,MATCH(B185&amp;"|"&amp;C185,'Kit Lists'!$J$6:$J$605,0)),"Not on this contract's kit list"))</f>
        <v>R5B BOAT 1 ASSY (4P-4FP)</v>
      </c>
      <c r="H185" s="83" t="str">
        <f aca="false">IF(AND(B185="",C185="",D185=""),"",IF(B185="","Missing contract",IF(C185="","Missing code",IF(LEFT(G185,3)="Not","Wrong code",IF(D185="","Missing qty",IF(A185="","Missing date",""))))))</f>
        <v/>
      </c>
      <c r="I185" s="84" t="n">
        <f aca="false">IF(B185=Dashboard!$D$3,ROW(),"")</f>
        <v>185</v>
      </c>
    </row>
    <row r="186" customFormat="false" ht="15" hidden="false" customHeight="false" outlineLevel="0" collapsed="false">
      <c r="A186" s="80" t="n">
        <v>46297</v>
      </c>
      <c r="B186" s="71" t="s">
        <v>3</v>
      </c>
      <c r="C186" s="71" t="s">
        <v>132</v>
      </c>
      <c r="D186" s="81" t="n">
        <v>1</v>
      </c>
      <c r="E186" s="71"/>
      <c r="F186" s="71" t="s">
        <v>193</v>
      </c>
      <c r="G186" s="82" t="str">
        <f aca="false">IF(C186="","",IFERROR(INDEX('Kit Lists'!$D$6:$D$605,MATCH(B186&amp;"|"&amp;C186,'Kit Lists'!$J$6:$J$605,0)),"Not on this contract's kit list"))</f>
        <v>R5B BOAT 2 ASSY (4P-4FP)</v>
      </c>
      <c r="H186" s="83" t="str">
        <f aca="false">IF(AND(B186="",C186="",D186=""),"",IF(B186="","Missing contract",IF(C186="","Missing code",IF(LEFT(G186,3)="Not","Wrong code",IF(D186="","Missing qty",IF(A186="","Missing date",""))))))</f>
        <v/>
      </c>
      <c r="I186" s="84" t="n">
        <f aca="false">IF(B186=Dashboard!$D$3,ROW(),"")</f>
        <v>186</v>
      </c>
    </row>
    <row r="187" customFormat="false" ht="15" hidden="false" customHeight="false" outlineLevel="0" collapsed="false">
      <c r="A187" s="80" t="n">
        <v>46297</v>
      </c>
      <c r="B187" s="71" t="s">
        <v>3</v>
      </c>
      <c r="C187" s="71" t="s">
        <v>134</v>
      </c>
      <c r="D187" s="81" t="n">
        <v>1</v>
      </c>
      <c r="E187" s="71"/>
      <c r="F187" s="71" t="s">
        <v>193</v>
      </c>
      <c r="G187" s="82" t="str">
        <f aca="false">IF(C187="","",IFERROR(INDEX('Kit Lists'!$D$6:$D$605,MATCH(B187&amp;"|"&amp;C187,'Kit Lists'!$J$6:$J$605,0)),"Not on this contract's kit list"))</f>
        <v>R5B BOAT 3 ASSY (4P-4FP)</v>
      </c>
      <c r="H187" s="83" t="str">
        <f aca="false">IF(AND(B187="",C187="",D187=""),"",IF(B187="","Missing contract",IF(C187="","Missing code",IF(LEFT(G187,3)="Not","Wrong code",IF(D187="","Missing qty",IF(A187="","Missing date",""))))))</f>
        <v/>
      </c>
      <c r="I187" s="84" t="n">
        <f aca="false">IF(B187=Dashboard!$D$3,ROW(),"")</f>
        <v>187</v>
      </c>
    </row>
    <row r="188" customFormat="false" ht="15" hidden="false" customHeight="false" outlineLevel="0" collapsed="false">
      <c r="A188" s="80"/>
      <c r="B188" s="71"/>
      <c r="C188" s="71"/>
      <c r="D188" s="81"/>
      <c r="E188" s="71"/>
      <c r="F188" s="71"/>
      <c r="G188" s="82" t="str">
        <f aca="false">IF(C188="","",IFERROR(INDEX('Kit Lists'!$D$6:$D$605,MATCH(B188&amp;"|"&amp;C188,'Kit Lists'!$J$6:$J$605,0)),"Not on this contract's kit list"))</f>
        <v/>
      </c>
      <c r="H188" s="83" t="str">
        <f aca="false">IF(AND(B188="",C188="",D188=""),"",IF(B188="","Missing contract",IF(C188="","Missing code",IF(LEFT(G188,3)="Not","Wrong code",IF(D188="","Missing qty",IF(A188="","Missing date",""))))))</f>
        <v/>
      </c>
      <c r="I188" s="84" t="str">
        <f aca="false">IF(B188=Dashboard!$D$3,ROW(),"")</f>
        <v/>
      </c>
    </row>
    <row r="189" customFormat="false" ht="15" hidden="false" customHeight="false" outlineLevel="0" collapsed="false">
      <c r="A189" s="80"/>
      <c r="B189" s="71"/>
      <c r="C189" s="71"/>
      <c r="D189" s="81"/>
      <c r="E189" s="71"/>
      <c r="F189" s="71"/>
      <c r="G189" s="82" t="str">
        <f aca="false">IF(C189="","",IFERROR(INDEX('Kit Lists'!$D$6:$D$605,MATCH(B189&amp;"|"&amp;C189,'Kit Lists'!$J$6:$J$605,0)),"Not on this contract's kit list"))</f>
        <v/>
      </c>
      <c r="H189" s="83" t="str">
        <f aca="false">IF(AND(B189="",C189="",D189=""),"",IF(B189="","Missing contract",IF(C189="","Missing code",IF(LEFT(G189,3)="Not","Wrong code",IF(D189="","Missing qty",IF(A189="","Missing date",""))))))</f>
        <v/>
      </c>
      <c r="I189" s="84" t="str">
        <f aca="false">IF(B189=Dashboard!$D$3,ROW(),"")</f>
        <v/>
      </c>
    </row>
    <row r="190" customFormat="false" ht="15" hidden="false" customHeight="false" outlineLevel="0" collapsed="false">
      <c r="A190" s="80"/>
      <c r="B190" s="71"/>
      <c r="C190" s="71"/>
      <c r="D190" s="81"/>
      <c r="E190" s="71"/>
      <c r="F190" s="71"/>
      <c r="G190" s="82" t="str">
        <f aca="false">IF(C190="","",IFERROR(INDEX('Kit Lists'!$D$6:$D$605,MATCH(B190&amp;"|"&amp;C190,'Kit Lists'!$J$6:$J$605,0)),"Not on this contract's kit list"))</f>
        <v/>
      </c>
      <c r="H190" s="83" t="str">
        <f aca="false">IF(AND(B190="",C190="",D190=""),"",IF(B190="","Missing contract",IF(C190="","Missing code",IF(LEFT(G190,3)="Not","Wrong code",IF(D190="","Missing qty",IF(A190="","Missing date",""))))))</f>
        <v/>
      </c>
      <c r="I190" s="84" t="str">
        <f aca="false">IF(B190=Dashboard!$D$3,ROW(),"")</f>
        <v/>
      </c>
    </row>
    <row r="191" customFormat="false" ht="15" hidden="false" customHeight="false" outlineLevel="0" collapsed="false">
      <c r="A191" s="80"/>
      <c r="B191" s="71"/>
      <c r="C191" s="71"/>
      <c r="D191" s="81"/>
      <c r="E191" s="71"/>
      <c r="F191" s="71"/>
      <c r="G191" s="82" t="str">
        <f aca="false">IF(C191="","",IFERROR(INDEX('Kit Lists'!$D$6:$D$605,MATCH(B191&amp;"|"&amp;C191,'Kit Lists'!$J$6:$J$605,0)),"Not on this contract's kit list"))</f>
        <v/>
      </c>
      <c r="H191" s="83" t="str">
        <f aca="false">IF(AND(B191="",C191="",D191=""),"",IF(B191="","Missing contract",IF(C191="","Missing code",IF(LEFT(G191,3)="Not","Wrong code",IF(D191="","Missing qty",IF(A191="","Missing date",""))))))</f>
        <v/>
      </c>
      <c r="I191" s="84" t="str">
        <f aca="false">IF(B191=Dashboard!$D$3,ROW(),"")</f>
        <v/>
      </c>
    </row>
    <row r="192" customFormat="false" ht="15" hidden="false" customHeight="false" outlineLevel="0" collapsed="false">
      <c r="A192" s="80"/>
      <c r="B192" s="71"/>
      <c r="C192" s="71"/>
      <c r="D192" s="81"/>
      <c r="E192" s="71"/>
      <c r="F192" s="71"/>
      <c r="G192" s="82" t="str">
        <f aca="false">IF(C192="","",IFERROR(INDEX('Kit Lists'!$D$6:$D$605,MATCH(B192&amp;"|"&amp;C192,'Kit Lists'!$J$6:$J$605,0)),"Not on this contract's kit list"))</f>
        <v/>
      </c>
      <c r="H192" s="83" t="str">
        <f aca="false">IF(AND(B192="",C192="",D192=""),"",IF(B192="","Missing contract",IF(C192="","Missing code",IF(LEFT(G192,3)="Not","Wrong code",IF(D192="","Missing qty",IF(A192="","Missing date",""))))))</f>
        <v/>
      </c>
      <c r="I192" s="84" t="str">
        <f aca="false">IF(B192=Dashboard!$D$3,ROW(),"")</f>
        <v/>
      </c>
    </row>
    <row r="193" customFormat="false" ht="15" hidden="false" customHeight="false" outlineLevel="0" collapsed="false">
      <c r="A193" s="80"/>
      <c r="B193" s="71"/>
      <c r="C193" s="71"/>
      <c r="D193" s="81"/>
      <c r="E193" s="71"/>
      <c r="F193" s="71"/>
      <c r="G193" s="82" t="str">
        <f aca="false">IF(C193="","",IFERROR(INDEX('Kit Lists'!$D$6:$D$605,MATCH(B193&amp;"|"&amp;C193,'Kit Lists'!$J$6:$J$605,0)),"Not on this contract's kit list"))</f>
        <v/>
      </c>
      <c r="H193" s="83" t="str">
        <f aca="false">IF(AND(B193="",C193="",D193=""),"",IF(B193="","Missing contract",IF(C193="","Missing code",IF(LEFT(G193,3)="Not","Wrong code",IF(D193="","Missing qty",IF(A193="","Missing date",""))))))</f>
        <v/>
      </c>
      <c r="I193" s="84" t="str">
        <f aca="false">IF(B193=Dashboard!$D$3,ROW(),"")</f>
        <v/>
      </c>
    </row>
    <row r="194" customFormat="false" ht="15" hidden="false" customHeight="false" outlineLevel="0" collapsed="false">
      <c r="A194" s="80"/>
      <c r="B194" s="71"/>
      <c r="C194" s="71"/>
      <c r="D194" s="81"/>
      <c r="E194" s="71"/>
      <c r="F194" s="71"/>
      <c r="G194" s="82" t="str">
        <f aca="false">IF(C194="","",IFERROR(INDEX('Kit Lists'!$D$6:$D$605,MATCH(B194&amp;"|"&amp;C194,'Kit Lists'!$J$6:$J$605,0)),"Not on this contract's kit list"))</f>
        <v/>
      </c>
      <c r="H194" s="83" t="str">
        <f aca="false">IF(AND(B194="",C194="",D194=""),"",IF(B194="","Missing contract",IF(C194="","Missing code",IF(LEFT(G194,3)="Not","Wrong code",IF(D194="","Missing qty",IF(A194="","Missing date",""))))))</f>
        <v/>
      </c>
      <c r="I194" s="84" t="str">
        <f aca="false">IF(B194=Dashboard!$D$3,ROW(),"")</f>
        <v/>
      </c>
    </row>
    <row r="195" customFormat="false" ht="15" hidden="false" customHeight="false" outlineLevel="0" collapsed="false">
      <c r="A195" s="80"/>
      <c r="B195" s="71"/>
      <c r="C195" s="71"/>
      <c r="D195" s="81"/>
      <c r="E195" s="71"/>
      <c r="F195" s="71"/>
      <c r="G195" s="82" t="str">
        <f aca="false">IF(C195="","",IFERROR(INDEX('Kit Lists'!$D$6:$D$605,MATCH(B195&amp;"|"&amp;C195,'Kit Lists'!$J$6:$J$605,0)),"Not on this contract's kit list"))</f>
        <v/>
      </c>
      <c r="H195" s="83" t="str">
        <f aca="false">IF(AND(B195="",C195="",D195=""),"",IF(B195="","Missing contract",IF(C195="","Missing code",IF(LEFT(G195,3)="Not","Wrong code",IF(D195="","Missing qty",IF(A195="","Missing date",""))))))</f>
        <v/>
      </c>
      <c r="I195" s="84" t="str">
        <f aca="false">IF(B195=Dashboard!$D$3,ROW(),"")</f>
        <v/>
      </c>
    </row>
    <row r="196" customFormat="false" ht="15" hidden="false" customHeight="false" outlineLevel="0" collapsed="false">
      <c r="A196" s="80"/>
      <c r="B196" s="71"/>
      <c r="C196" s="71"/>
      <c r="D196" s="81"/>
      <c r="E196" s="71"/>
      <c r="F196" s="71"/>
      <c r="G196" s="82" t="str">
        <f aca="false">IF(C196="","",IFERROR(INDEX('Kit Lists'!$D$6:$D$605,MATCH(B196&amp;"|"&amp;C196,'Kit Lists'!$J$6:$J$605,0)),"Not on this contract's kit list"))</f>
        <v/>
      </c>
      <c r="H196" s="83" t="str">
        <f aca="false">IF(AND(B196="",C196="",D196=""),"",IF(B196="","Missing contract",IF(C196="","Missing code",IF(LEFT(G196,3)="Not","Wrong code",IF(D196="","Missing qty",IF(A196="","Missing date",""))))))</f>
        <v/>
      </c>
      <c r="I196" s="84" t="str">
        <f aca="false">IF(B196=Dashboard!$D$3,ROW(),"")</f>
        <v/>
      </c>
    </row>
    <row r="197" customFormat="false" ht="15" hidden="false" customHeight="false" outlineLevel="0" collapsed="false">
      <c r="A197" s="80"/>
      <c r="B197" s="71"/>
      <c r="C197" s="71"/>
      <c r="D197" s="81"/>
      <c r="E197" s="71"/>
      <c r="F197" s="71"/>
      <c r="G197" s="82" t="str">
        <f aca="false">IF(C197="","",IFERROR(INDEX('Kit Lists'!$D$6:$D$605,MATCH(B197&amp;"|"&amp;C197,'Kit Lists'!$J$6:$J$605,0)),"Not on this contract's kit list"))</f>
        <v/>
      </c>
      <c r="H197" s="83" t="str">
        <f aca="false">IF(AND(B197="",C197="",D197=""),"",IF(B197="","Missing contract",IF(C197="","Missing code",IF(LEFT(G197,3)="Not","Wrong code",IF(D197="","Missing qty",IF(A197="","Missing date",""))))))</f>
        <v/>
      </c>
      <c r="I197" s="84" t="str">
        <f aca="false">IF(B197=Dashboard!$D$3,ROW(),"")</f>
        <v/>
      </c>
    </row>
    <row r="198" customFormat="false" ht="15" hidden="false" customHeight="false" outlineLevel="0" collapsed="false">
      <c r="A198" s="80"/>
      <c r="B198" s="71"/>
      <c r="C198" s="71"/>
      <c r="D198" s="81"/>
      <c r="E198" s="71"/>
      <c r="F198" s="71"/>
      <c r="G198" s="82" t="str">
        <f aca="false">IF(C198="","",IFERROR(INDEX('Kit Lists'!$D$6:$D$605,MATCH(B198&amp;"|"&amp;C198,'Kit Lists'!$J$6:$J$605,0)),"Not on this contract's kit list"))</f>
        <v/>
      </c>
      <c r="H198" s="83" t="str">
        <f aca="false">IF(AND(B198="",C198="",D198=""),"",IF(B198="","Missing contract",IF(C198="","Missing code",IF(LEFT(G198,3)="Not","Wrong code",IF(D198="","Missing qty",IF(A198="","Missing date",""))))))</f>
        <v/>
      </c>
      <c r="I198" s="84" t="str">
        <f aca="false">IF(B198=Dashboard!$D$3,ROW(),"")</f>
        <v/>
      </c>
    </row>
    <row r="199" customFormat="false" ht="15" hidden="false" customHeight="false" outlineLevel="0" collapsed="false">
      <c r="A199" s="80"/>
      <c r="B199" s="71"/>
      <c r="C199" s="71"/>
      <c r="D199" s="81"/>
      <c r="E199" s="71"/>
      <c r="F199" s="71"/>
      <c r="G199" s="82" t="str">
        <f aca="false">IF(C199="","",IFERROR(INDEX('Kit Lists'!$D$6:$D$605,MATCH(B199&amp;"|"&amp;C199,'Kit Lists'!$J$6:$J$605,0)),"Not on this contract's kit list"))</f>
        <v/>
      </c>
      <c r="H199" s="83" t="str">
        <f aca="false">IF(AND(B199="",C199="",D199=""),"",IF(B199="","Missing contract",IF(C199="","Missing code",IF(LEFT(G199,3)="Not","Wrong code",IF(D199="","Missing qty",IF(A199="","Missing date",""))))))</f>
        <v/>
      </c>
      <c r="I199" s="84" t="str">
        <f aca="false">IF(B199=Dashboard!$D$3,ROW(),"")</f>
        <v/>
      </c>
    </row>
    <row r="200" customFormat="false" ht="15" hidden="false" customHeight="false" outlineLevel="0" collapsed="false">
      <c r="A200" s="80"/>
      <c r="B200" s="71"/>
      <c r="C200" s="71"/>
      <c r="D200" s="81"/>
      <c r="E200" s="71"/>
      <c r="F200" s="71"/>
      <c r="G200" s="82" t="str">
        <f aca="false">IF(C200="","",IFERROR(INDEX('Kit Lists'!$D$6:$D$605,MATCH(B200&amp;"|"&amp;C200,'Kit Lists'!$J$6:$J$605,0)),"Not on this contract's kit list"))</f>
        <v/>
      </c>
      <c r="H200" s="83" t="str">
        <f aca="false">IF(AND(B200="",C200="",D200=""),"",IF(B200="","Missing contract",IF(C200="","Missing code",IF(LEFT(G200,3)="Not","Wrong code",IF(D200="","Missing qty",IF(A200="","Missing date",""))))))</f>
        <v/>
      </c>
      <c r="I200" s="84" t="str">
        <f aca="false">IF(B200=Dashboard!$D$3,ROW(),"")</f>
        <v/>
      </c>
    </row>
    <row r="201" customFormat="false" ht="15" hidden="false" customHeight="false" outlineLevel="0" collapsed="false">
      <c r="A201" s="80"/>
      <c r="B201" s="71"/>
      <c r="C201" s="71"/>
      <c r="D201" s="81"/>
      <c r="E201" s="71"/>
      <c r="F201" s="71"/>
      <c r="G201" s="82" t="str">
        <f aca="false">IF(C201="","",IFERROR(INDEX('Kit Lists'!$D$6:$D$605,MATCH(B201&amp;"|"&amp;C201,'Kit Lists'!$J$6:$J$605,0)),"Not on this contract's kit list"))</f>
        <v/>
      </c>
      <c r="H201" s="83" t="str">
        <f aca="false">IF(AND(B201="",C201="",D201=""),"",IF(B201="","Missing contract",IF(C201="","Missing code",IF(LEFT(G201,3)="Not","Wrong code",IF(D201="","Missing qty",IF(A201="","Missing date",""))))))</f>
        <v/>
      </c>
      <c r="I201" s="84" t="str">
        <f aca="false">IF(B201=Dashboard!$D$3,ROW(),"")</f>
        <v/>
      </c>
    </row>
    <row r="202" customFormat="false" ht="15" hidden="false" customHeight="false" outlineLevel="0" collapsed="false">
      <c r="A202" s="80"/>
      <c r="B202" s="71"/>
      <c r="C202" s="71"/>
      <c r="D202" s="81"/>
      <c r="E202" s="71"/>
      <c r="F202" s="71"/>
      <c r="G202" s="82" t="str">
        <f aca="false">IF(C202="","",IFERROR(INDEX('Kit Lists'!$D$6:$D$605,MATCH(B202&amp;"|"&amp;C202,'Kit Lists'!$J$6:$J$605,0)),"Not on this contract's kit list"))</f>
        <v/>
      </c>
      <c r="H202" s="83" t="str">
        <f aca="false">IF(AND(B202="",C202="",D202=""),"",IF(B202="","Missing contract",IF(C202="","Missing code",IF(LEFT(G202,3)="Not","Wrong code",IF(D202="","Missing qty",IF(A202="","Missing date",""))))))</f>
        <v/>
      </c>
      <c r="I202" s="84" t="str">
        <f aca="false">IF(B202=Dashboard!$D$3,ROW(),"")</f>
        <v/>
      </c>
    </row>
    <row r="203" customFormat="false" ht="15" hidden="false" customHeight="false" outlineLevel="0" collapsed="false">
      <c r="A203" s="80"/>
      <c r="B203" s="71"/>
      <c r="C203" s="71"/>
      <c r="D203" s="81"/>
      <c r="E203" s="71"/>
      <c r="F203" s="71"/>
      <c r="G203" s="82" t="str">
        <f aca="false">IF(C203="","",IFERROR(INDEX('Kit Lists'!$D$6:$D$605,MATCH(B203&amp;"|"&amp;C203,'Kit Lists'!$J$6:$J$605,0)),"Not on this contract's kit list"))</f>
        <v/>
      </c>
      <c r="H203" s="83" t="str">
        <f aca="false">IF(AND(B203="",C203="",D203=""),"",IF(B203="","Missing contract",IF(C203="","Missing code",IF(LEFT(G203,3)="Not","Wrong code",IF(D203="","Missing qty",IF(A203="","Missing date",""))))))</f>
        <v/>
      </c>
      <c r="I203" s="84" t="str">
        <f aca="false">IF(B203=Dashboard!$D$3,ROW(),"")</f>
        <v/>
      </c>
    </row>
    <row r="204" customFormat="false" ht="15" hidden="false" customHeight="false" outlineLevel="0" collapsed="false">
      <c r="A204" s="80"/>
      <c r="B204" s="71"/>
      <c r="C204" s="71"/>
      <c r="D204" s="81"/>
      <c r="E204" s="71"/>
      <c r="F204" s="71"/>
      <c r="G204" s="82" t="str">
        <f aca="false">IF(C204="","",IFERROR(INDEX('Kit Lists'!$D$6:$D$605,MATCH(B204&amp;"|"&amp;C204,'Kit Lists'!$J$6:$J$605,0)),"Not on this contract's kit list"))</f>
        <v/>
      </c>
      <c r="H204" s="83" t="str">
        <f aca="false">IF(AND(B204="",C204="",D204=""),"",IF(B204="","Missing contract",IF(C204="","Missing code",IF(LEFT(G204,3)="Not","Wrong code",IF(D204="","Missing qty",IF(A204="","Missing date",""))))))</f>
        <v/>
      </c>
      <c r="I204" s="84" t="str">
        <f aca="false">IF(B204=Dashboard!$D$3,ROW(),"")</f>
        <v/>
      </c>
    </row>
    <row r="205" customFormat="false" ht="15" hidden="false" customHeight="false" outlineLevel="0" collapsed="false">
      <c r="A205" s="80"/>
      <c r="B205" s="71"/>
      <c r="C205" s="71"/>
      <c r="D205" s="81"/>
      <c r="E205" s="71"/>
      <c r="F205" s="71"/>
      <c r="G205" s="82" t="str">
        <f aca="false">IF(C205="","",IFERROR(INDEX('Kit Lists'!$D$6:$D$605,MATCH(B205&amp;"|"&amp;C205,'Kit Lists'!$J$6:$J$605,0)),"Not on this contract's kit list"))</f>
        <v/>
      </c>
      <c r="H205" s="83" t="str">
        <f aca="false">IF(AND(B205="",C205="",D205=""),"",IF(B205="","Missing contract",IF(C205="","Missing code",IF(LEFT(G205,3)="Not","Wrong code",IF(D205="","Missing qty",IF(A205="","Missing date",""))))))</f>
        <v/>
      </c>
      <c r="I205" s="84" t="str">
        <f aca="false">IF(B205=Dashboard!$D$3,ROW(),"")</f>
        <v/>
      </c>
    </row>
    <row r="206" customFormat="false" ht="15" hidden="false" customHeight="false" outlineLevel="0" collapsed="false">
      <c r="A206" s="80"/>
      <c r="B206" s="71"/>
      <c r="C206" s="71"/>
      <c r="D206" s="81"/>
      <c r="E206" s="71"/>
      <c r="F206" s="71"/>
      <c r="G206" s="82" t="str">
        <f aca="false">IF(C206="","",IFERROR(INDEX('Kit Lists'!$D$6:$D$605,MATCH(B206&amp;"|"&amp;C206,'Kit Lists'!$J$6:$J$605,0)),"Not on this contract's kit list"))</f>
        <v/>
      </c>
      <c r="H206" s="83" t="str">
        <f aca="false">IF(AND(B206="",C206="",D206=""),"",IF(B206="","Missing contract",IF(C206="","Missing code",IF(LEFT(G206,3)="Not","Wrong code",IF(D206="","Missing qty",IF(A206="","Missing date",""))))))</f>
        <v/>
      </c>
      <c r="I206" s="84" t="str">
        <f aca="false">IF(B206=Dashboard!$D$3,ROW(),"")</f>
        <v/>
      </c>
    </row>
    <row r="207" customFormat="false" ht="15" hidden="false" customHeight="false" outlineLevel="0" collapsed="false">
      <c r="A207" s="80"/>
      <c r="B207" s="71"/>
      <c r="C207" s="71"/>
      <c r="D207" s="81"/>
      <c r="E207" s="71"/>
      <c r="F207" s="71"/>
      <c r="G207" s="82" t="str">
        <f aca="false">IF(C207="","",IFERROR(INDEX('Kit Lists'!$D$6:$D$605,MATCH(B207&amp;"|"&amp;C207,'Kit Lists'!$J$6:$J$605,0)),"Not on this contract's kit list"))</f>
        <v/>
      </c>
      <c r="H207" s="83" t="str">
        <f aca="false">IF(AND(B207="",C207="",D207=""),"",IF(B207="","Missing contract",IF(C207="","Missing code",IF(LEFT(G207,3)="Not","Wrong code",IF(D207="","Missing qty",IF(A207="","Missing date",""))))))</f>
        <v/>
      </c>
      <c r="I207" s="84" t="str">
        <f aca="false">IF(B207=Dashboard!$D$3,ROW(),"")</f>
        <v/>
      </c>
    </row>
    <row r="208" customFormat="false" ht="15" hidden="false" customHeight="false" outlineLevel="0" collapsed="false">
      <c r="A208" s="80"/>
      <c r="B208" s="71"/>
      <c r="C208" s="71"/>
      <c r="D208" s="81"/>
      <c r="E208" s="71"/>
      <c r="F208" s="71"/>
      <c r="G208" s="82" t="str">
        <f aca="false">IF(C208="","",IFERROR(INDEX('Kit Lists'!$D$6:$D$605,MATCH(B208&amp;"|"&amp;C208,'Kit Lists'!$J$6:$J$605,0)),"Not on this contract's kit list"))</f>
        <v/>
      </c>
      <c r="H208" s="83" t="str">
        <f aca="false">IF(AND(B208="",C208="",D208=""),"",IF(B208="","Missing contract",IF(C208="","Missing code",IF(LEFT(G208,3)="Not","Wrong code",IF(D208="","Missing qty",IF(A208="","Missing date",""))))))</f>
        <v/>
      </c>
      <c r="I208" s="84" t="str">
        <f aca="false">IF(B208=Dashboard!$D$3,ROW(),"")</f>
        <v/>
      </c>
    </row>
    <row r="209" customFormat="false" ht="15" hidden="false" customHeight="false" outlineLevel="0" collapsed="false">
      <c r="A209" s="80"/>
      <c r="B209" s="71"/>
      <c r="C209" s="71"/>
      <c r="D209" s="81"/>
      <c r="E209" s="71"/>
      <c r="F209" s="71"/>
      <c r="G209" s="82" t="str">
        <f aca="false">IF(C209="","",IFERROR(INDEX('Kit Lists'!$D$6:$D$605,MATCH(B209&amp;"|"&amp;C209,'Kit Lists'!$J$6:$J$605,0)),"Not on this contract's kit list"))</f>
        <v/>
      </c>
      <c r="H209" s="83" t="str">
        <f aca="false">IF(AND(B209="",C209="",D209=""),"",IF(B209="","Missing contract",IF(C209="","Missing code",IF(LEFT(G209,3)="Not","Wrong code",IF(D209="","Missing qty",IF(A209="","Missing date",""))))))</f>
        <v/>
      </c>
      <c r="I209" s="84" t="str">
        <f aca="false">IF(B209=Dashboard!$D$3,ROW(),"")</f>
        <v/>
      </c>
    </row>
    <row r="210" customFormat="false" ht="15" hidden="false" customHeight="false" outlineLevel="0" collapsed="false">
      <c r="A210" s="80"/>
      <c r="B210" s="71"/>
      <c r="C210" s="71"/>
      <c r="D210" s="81"/>
      <c r="E210" s="71"/>
      <c r="F210" s="71"/>
      <c r="G210" s="82" t="str">
        <f aca="false">IF(C210="","",IFERROR(INDEX('Kit Lists'!$D$6:$D$605,MATCH(B210&amp;"|"&amp;C210,'Kit Lists'!$J$6:$J$605,0)),"Not on this contract's kit list"))</f>
        <v/>
      </c>
      <c r="H210" s="83" t="str">
        <f aca="false">IF(AND(B210="",C210="",D210=""),"",IF(B210="","Missing contract",IF(C210="","Missing code",IF(LEFT(G210,3)="Not","Wrong code",IF(D210="","Missing qty",IF(A210="","Missing date",""))))))</f>
        <v/>
      </c>
      <c r="I210" s="84" t="str">
        <f aca="false">IF(B210=Dashboard!$D$3,ROW(),"")</f>
        <v/>
      </c>
    </row>
    <row r="211" customFormat="false" ht="15" hidden="false" customHeight="false" outlineLevel="0" collapsed="false">
      <c r="A211" s="80"/>
      <c r="B211" s="71"/>
      <c r="C211" s="71"/>
      <c r="D211" s="81"/>
      <c r="E211" s="71"/>
      <c r="F211" s="71"/>
      <c r="G211" s="82" t="str">
        <f aca="false">IF(C211="","",IFERROR(INDEX('Kit Lists'!$D$6:$D$605,MATCH(B211&amp;"|"&amp;C211,'Kit Lists'!$J$6:$J$605,0)),"Not on this contract's kit list"))</f>
        <v/>
      </c>
      <c r="H211" s="83" t="str">
        <f aca="false">IF(AND(B211="",C211="",D211=""),"",IF(B211="","Missing contract",IF(C211="","Missing code",IF(LEFT(G211,3)="Not","Wrong code",IF(D211="","Missing qty",IF(A211="","Missing date",""))))))</f>
        <v/>
      </c>
      <c r="I211" s="84" t="str">
        <f aca="false">IF(B211=Dashboard!$D$3,ROW(),"")</f>
        <v/>
      </c>
    </row>
    <row r="212" customFormat="false" ht="15" hidden="false" customHeight="false" outlineLevel="0" collapsed="false">
      <c r="A212" s="80"/>
      <c r="B212" s="71"/>
      <c r="C212" s="71"/>
      <c r="D212" s="81"/>
      <c r="E212" s="71"/>
      <c r="F212" s="71"/>
      <c r="G212" s="82" t="str">
        <f aca="false">IF(C212="","",IFERROR(INDEX('Kit Lists'!$D$6:$D$605,MATCH(B212&amp;"|"&amp;C212,'Kit Lists'!$J$6:$J$605,0)),"Not on this contract's kit list"))</f>
        <v/>
      </c>
      <c r="H212" s="83" t="str">
        <f aca="false">IF(AND(B212="",C212="",D212=""),"",IF(B212="","Missing contract",IF(C212="","Missing code",IF(LEFT(G212,3)="Not","Wrong code",IF(D212="","Missing qty",IF(A212="","Missing date",""))))))</f>
        <v/>
      </c>
      <c r="I212" s="84" t="str">
        <f aca="false">IF(B212=Dashboard!$D$3,ROW(),"")</f>
        <v/>
      </c>
    </row>
    <row r="213" customFormat="false" ht="15" hidden="false" customHeight="false" outlineLevel="0" collapsed="false">
      <c r="A213" s="80"/>
      <c r="B213" s="71"/>
      <c r="C213" s="71"/>
      <c r="D213" s="81"/>
      <c r="E213" s="71"/>
      <c r="F213" s="71"/>
      <c r="G213" s="82" t="str">
        <f aca="false">IF(C213="","",IFERROR(INDEX('Kit Lists'!$D$6:$D$605,MATCH(B213&amp;"|"&amp;C213,'Kit Lists'!$J$6:$J$605,0)),"Not on this contract's kit list"))</f>
        <v/>
      </c>
      <c r="H213" s="83" t="str">
        <f aca="false">IF(AND(B213="",C213="",D213=""),"",IF(B213="","Missing contract",IF(C213="","Missing code",IF(LEFT(G213,3)="Not","Wrong code",IF(D213="","Missing qty",IF(A213="","Missing date",""))))))</f>
        <v/>
      </c>
      <c r="I213" s="84" t="str">
        <f aca="false">IF(B213=Dashboard!$D$3,ROW(),"")</f>
        <v/>
      </c>
    </row>
    <row r="214" customFormat="false" ht="15" hidden="false" customHeight="false" outlineLevel="0" collapsed="false">
      <c r="A214" s="80"/>
      <c r="B214" s="71"/>
      <c r="C214" s="71"/>
      <c r="D214" s="81"/>
      <c r="E214" s="71"/>
      <c r="F214" s="71"/>
      <c r="G214" s="82" t="str">
        <f aca="false">IF(C214="","",IFERROR(INDEX('Kit Lists'!$D$6:$D$605,MATCH(B214&amp;"|"&amp;C214,'Kit Lists'!$J$6:$J$605,0)),"Not on this contract's kit list"))</f>
        <v/>
      </c>
      <c r="H214" s="83" t="str">
        <f aca="false">IF(AND(B214="",C214="",D214=""),"",IF(B214="","Missing contract",IF(C214="","Missing code",IF(LEFT(G214,3)="Not","Wrong code",IF(D214="","Missing qty",IF(A214="","Missing date",""))))))</f>
        <v/>
      </c>
      <c r="I214" s="84" t="str">
        <f aca="false">IF(B214=Dashboard!$D$3,ROW(),"")</f>
        <v/>
      </c>
    </row>
    <row r="215" customFormat="false" ht="15" hidden="false" customHeight="false" outlineLevel="0" collapsed="false">
      <c r="A215" s="80"/>
      <c r="B215" s="71"/>
      <c r="C215" s="71"/>
      <c r="D215" s="81"/>
      <c r="E215" s="71"/>
      <c r="F215" s="71"/>
      <c r="G215" s="82" t="str">
        <f aca="false">IF(C215="","",IFERROR(INDEX('Kit Lists'!$D$6:$D$605,MATCH(B215&amp;"|"&amp;C215,'Kit Lists'!$J$6:$J$605,0)),"Not on this contract's kit list"))</f>
        <v/>
      </c>
      <c r="H215" s="83" t="str">
        <f aca="false">IF(AND(B215="",C215="",D215=""),"",IF(B215="","Missing contract",IF(C215="","Missing code",IF(LEFT(G215,3)="Not","Wrong code",IF(D215="","Missing qty",IF(A215="","Missing date",""))))))</f>
        <v/>
      </c>
      <c r="I215" s="84" t="str">
        <f aca="false">IF(B215=Dashboard!$D$3,ROW(),"")</f>
        <v/>
      </c>
    </row>
    <row r="216" customFormat="false" ht="15" hidden="false" customHeight="false" outlineLevel="0" collapsed="false">
      <c r="A216" s="80"/>
      <c r="B216" s="71"/>
      <c r="C216" s="71"/>
      <c r="D216" s="81"/>
      <c r="E216" s="71"/>
      <c r="F216" s="71"/>
      <c r="G216" s="82" t="str">
        <f aca="false">IF(C216="","",IFERROR(INDEX('Kit Lists'!$D$6:$D$605,MATCH(B216&amp;"|"&amp;C216,'Kit Lists'!$J$6:$J$605,0)),"Not on this contract's kit list"))</f>
        <v/>
      </c>
      <c r="H216" s="83" t="str">
        <f aca="false">IF(AND(B216="",C216="",D216=""),"",IF(B216="","Missing contract",IF(C216="","Missing code",IF(LEFT(G216,3)="Not","Wrong code",IF(D216="","Missing qty",IF(A216="","Missing date",""))))))</f>
        <v/>
      </c>
      <c r="I216" s="84" t="str">
        <f aca="false">IF(B216=Dashboard!$D$3,ROW(),"")</f>
        <v/>
      </c>
    </row>
    <row r="217" customFormat="false" ht="15" hidden="false" customHeight="false" outlineLevel="0" collapsed="false">
      <c r="A217" s="80"/>
      <c r="B217" s="71"/>
      <c r="C217" s="71"/>
      <c r="D217" s="81"/>
      <c r="E217" s="71"/>
      <c r="F217" s="71"/>
      <c r="G217" s="82" t="str">
        <f aca="false">IF(C217="","",IFERROR(INDEX('Kit Lists'!$D$6:$D$605,MATCH(B217&amp;"|"&amp;C217,'Kit Lists'!$J$6:$J$605,0)),"Not on this contract's kit list"))</f>
        <v/>
      </c>
      <c r="H217" s="83" t="str">
        <f aca="false">IF(AND(B217="",C217="",D217=""),"",IF(B217="","Missing contract",IF(C217="","Missing code",IF(LEFT(G217,3)="Not","Wrong code",IF(D217="","Missing qty",IF(A217="","Missing date",""))))))</f>
        <v/>
      </c>
      <c r="I217" s="84" t="str">
        <f aca="false">IF(B217=Dashboard!$D$3,ROW(),"")</f>
        <v/>
      </c>
    </row>
    <row r="218" customFormat="false" ht="15" hidden="false" customHeight="false" outlineLevel="0" collapsed="false">
      <c r="A218" s="80"/>
      <c r="B218" s="71"/>
      <c r="C218" s="71"/>
      <c r="D218" s="81"/>
      <c r="E218" s="71"/>
      <c r="F218" s="71"/>
      <c r="G218" s="82" t="str">
        <f aca="false">IF(C218="","",IFERROR(INDEX('Kit Lists'!$D$6:$D$605,MATCH(B218&amp;"|"&amp;C218,'Kit Lists'!$J$6:$J$605,0)),"Not on this contract's kit list"))</f>
        <v/>
      </c>
      <c r="H218" s="83" t="str">
        <f aca="false">IF(AND(B218="",C218="",D218=""),"",IF(B218="","Missing contract",IF(C218="","Missing code",IF(LEFT(G218,3)="Not","Wrong code",IF(D218="","Missing qty",IF(A218="","Missing date",""))))))</f>
        <v/>
      </c>
      <c r="I218" s="84" t="str">
        <f aca="false">IF(B218=Dashboard!$D$3,ROW(),"")</f>
        <v/>
      </c>
    </row>
    <row r="219" customFormat="false" ht="15" hidden="false" customHeight="false" outlineLevel="0" collapsed="false">
      <c r="A219" s="80"/>
      <c r="B219" s="71"/>
      <c r="C219" s="71"/>
      <c r="D219" s="81"/>
      <c r="E219" s="71"/>
      <c r="F219" s="71"/>
      <c r="G219" s="82" t="str">
        <f aca="false">IF(C219="","",IFERROR(INDEX('Kit Lists'!$D$6:$D$605,MATCH(B219&amp;"|"&amp;C219,'Kit Lists'!$J$6:$J$605,0)),"Not on this contract's kit list"))</f>
        <v/>
      </c>
      <c r="H219" s="83" t="str">
        <f aca="false">IF(AND(B219="",C219="",D219=""),"",IF(B219="","Missing contract",IF(C219="","Missing code",IF(LEFT(G219,3)="Not","Wrong code",IF(D219="","Missing qty",IF(A219="","Missing date",""))))))</f>
        <v/>
      </c>
      <c r="I219" s="84" t="str">
        <f aca="false">IF(B219=Dashboard!$D$3,ROW(),"")</f>
        <v/>
      </c>
    </row>
    <row r="220" customFormat="false" ht="15" hidden="false" customHeight="false" outlineLevel="0" collapsed="false">
      <c r="A220" s="80"/>
      <c r="B220" s="71"/>
      <c r="C220" s="71"/>
      <c r="D220" s="81"/>
      <c r="E220" s="71"/>
      <c r="F220" s="71"/>
      <c r="G220" s="82" t="str">
        <f aca="false">IF(C220="","",IFERROR(INDEX('Kit Lists'!$D$6:$D$605,MATCH(B220&amp;"|"&amp;C220,'Kit Lists'!$J$6:$J$605,0)),"Not on this contract's kit list"))</f>
        <v/>
      </c>
      <c r="H220" s="83" t="str">
        <f aca="false">IF(AND(B220="",C220="",D220=""),"",IF(B220="","Missing contract",IF(C220="","Missing code",IF(LEFT(G220,3)="Not","Wrong code",IF(D220="","Missing qty",IF(A220="","Missing date",""))))))</f>
        <v/>
      </c>
      <c r="I220" s="84" t="str">
        <f aca="false">IF(B220=Dashboard!$D$3,ROW(),"")</f>
        <v/>
      </c>
    </row>
    <row r="221" customFormat="false" ht="15" hidden="false" customHeight="false" outlineLevel="0" collapsed="false">
      <c r="A221" s="80"/>
      <c r="B221" s="71"/>
      <c r="C221" s="71"/>
      <c r="D221" s="81"/>
      <c r="E221" s="71"/>
      <c r="F221" s="71"/>
      <c r="G221" s="82" t="str">
        <f aca="false">IF(C221="","",IFERROR(INDEX('Kit Lists'!$D$6:$D$605,MATCH(B221&amp;"|"&amp;C221,'Kit Lists'!$J$6:$J$605,0)),"Not on this contract's kit list"))</f>
        <v/>
      </c>
      <c r="H221" s="83" t="str">
        <f aca="false">IF(AND(B221="",C221="",D221=""),"",IF(B221="","Missing contract",IF(C221="","Missing code",IF(LEFT(G221,3)="Not","Wrong code",IF(D221="","Missing qty",IF(A221="","Missing date",""))))))</f>
        <v/>
      </c>
      <c r="I221" s="84" t="str">
        <f aca="false">IF(B221=Dashboard!$D$3,ROW(),"")</f>
        <v/>
      </c>
    </row>
    <row r="222" customFormat="false" ht="15" hidden="false" customHeight="false" outlineLevel="0" collapsed="false">
      <c r="A222" s="80"/>
      <c r="B222" s="71"/>
      <c r="C222" s="71"/>
      <c r="D222" s="81"/>
      <c r="E222" s="71"/>
      <c r="F222" s="71"/>
      <c r="G222" s="82" t="str">
        <f aca="false">IF(C222="","",IFERROR(INDEX('Kit Lists'!$D$6:$D$605,MATCH(B222&amp;"|"&amp;C222,'Kit Lists'!$J$6:$J$605,0)),"Not on this contract's kit list"))</f>
        <v/>
      </c>
      <c r="H222" s="83" t="str">
        <f aca="false">IF(AND(B222="",C222="",D222=""),"",IF(B222="","Missing contract",IF(C222="","Missing code",IF(LEFT(G222,3)="Not","Wrong code",IF(D222="","Missing qty",IF(A222="","Missing date",""))))))</f>
        <v/>
      </c>
      <c r="I222" s="84" t="str">
        <f aca="false">IF(B222=Dashboard!$D$3,ROW(),"")</f>
        <v/>
      </c>
    </row>
    <row r="223" customFormat="false" ht="15" hidden="false" customHeight="false" outlineLevel="0" collapsed="false">
      <c r="A223" s="80"/>
      <c r="B223" s="71"/>
      <c r="C223" s="71"/>
      <c r="D223" s="81"/>
      <c r="E223" s="71"/>
      <c r="F223" s="71"/>
      <c r="G223" s="82" t="str">
        <f aca="false">IF(C223="","",IFERROR(INDEX('Kit Lists'!$D$6:$D$605,MATCH(B223&amp;"|"&amp;C223,'Kit Lists'!$J$6:$J$605,0)),"Not on this contract's kit list"))</f>
        <v/>
      </c>
      <c r="H223" s="83" t="str">
        <f aca="false">IF(AND(B223="",C223="",D223=""),"",IF(B223="","Missing contract",IF(C223="","Missing code",IF(LEFT(G223,3)="Not","Wrong code",IF(D223="","Missing qty",IF(A223="","Missing date",""))))))</f>
        <v/>
      </c>
      <c r="I223" s="84" t="str">
        <f aca="false">IF(B223=Dashboard!$D$3,ROW(),"")</f>
        <v/>
      </c>
    </row>
    <row r="224" customFormat="false" ht="15" hidden="false" customHeight="false" outlineLevel="0" collapsed="false">
      <c r="A224" s="80"/>
      <c r="B224" s="71"/>
      <c r="C224" s="71"/>
      <c r="D224" s="81"/>
      <c r="E224" s="71"/>
      <c r="F224" s="71"/>
      <c r="G224" s="82" t="str">
        <f aca="false">IF(C224="","",IFERROR(INDEX('Kit Lists'!$D$6:$D$605,MATCH(B224&amp;"|"&amp;C224,'Kit Lists'!$J$6:$J$605,0)),"Not on this contract's kit list"))</f>
        <v/>
      </c>
      <c r="H224" s="83" t="str">
        <f aca="false">IF(AND(B224="",C224="",D224=""),"",IF(B224="","Missing contract",IF(C224="","Missing code",IF(LEFT(G224,3)="Not","Wrong code",IF(D224="","Missing qty",IF(A224="","Missing date",""))))))</f>
        <v/>
      </c>
      <c r="I224" s="84" t="str">
        <f aca="false">IF(B224=Dashboard!$D$3,ROW(),"")</f>
        <v/>
      </c>
    </row>
    <row r="225" customFormat="false" ht="15" hidden="false" customHeight="false" outlineLevel="0" collapsed="false">
      <c r="A225" s="80"/>
      <c r="B225" s="71"/>
      <c r="C225" s="71"/>
      <c r="D225" s="81"/>
      <c r="E225" s="71"/>
      <c r="F225" s="71"/>
      <c r="G225" s="82" t="str">
        <f aca="false">IF(C225="","",IFERROR(INDEX('Kit Lists'!$D$6:$D$605,MATCH(B225&amp;"|"&amp;C225,'Kit Lists'!$J$6:$J$605,0)),"Not on this contract's kit list"))</f>
        <v/>
      </c>
      <c r="H225" s="83" t="str">
        <f aca="false">IF(AND(B225="",C225="",D225=""),"",IF(B225="","Missing contract",IF(C225="","Missing code",IF(LEFT(G225,3)="Not","Wrong code",IF(D225="","Missing qty",IF(A225="","Missing date",""))))))</f>
        <v/>
      </c>
      <c r="I225" s="84" t="str">
        <f aca="false">IF(B225=Dashboard!$D$3,ROW(),"")</f>
        <v/>
      </c>
    </row>
    <row r="226" customFormat="false" ht="15" hidden="false" customHeight="false" outlineLevel="0" collapsed="false">
      <c r="A226" s="80"/>
      <c r="B226" s="71"/>
      <c r="C226" s="71"/>
      <c r="D226" s="81"/>
      <c r="E226" s="71"/>
      <c r="F226" s="71"/>
      <c r="G226" s="82" t="str">
        <f aca="false">IF(C226="","",IFERROR(INDEX('Kit Lists'!$D$6:$D$605,MATCH(B226&amp;"|"&amp;C226,'Kit Lists'!$J$6:$J$605,0)),"Not on this contract's kit list"))</f>
        <v/>
      </c>
      <c r="H226" s="83" t="str">
        <f aca="false">IF(AND(B226="",C226="",D226=""),"",IF(B226="","Missing contract",IF(C226="","Missing code",IF(LEFT(G226,3)="Not","Wrong code",IF(D226="","Missing qty",IF(A226="","Missing date",""))))))</f>
        <v/>
      </c>
      <c r="I226" s="84" t="str">
        <f aca="false">IF(B226=Dashboard!$D$3,ROW(),"")</f>
        <v/>
      </c>
    </row>
    <row r="227" customFormat="false" ht="15" hidden="false" customHeight="false" outlineLevel="0" collapsed="false">
      <c r="A227" s="80"/>
      <c r="B227" s="71"/>
      <c r="C227" s="71"/>
      <c r="D227" s="81"/>
      <c r="E227" s="71"/>
      <c r="F227" s="71"/>
      <c r="G227" s="82" t="str">
        <f aca="false">IF(C227="","",IFERROR(INDEX('Kit Lists'!$D$6:$D$605,MATCH(B227&amp;"|"&amp;C227,'Kit Lists'!$J$6:$J$605,0)),"Not on this contract's kit list"))</f>
        <v/>
      </c>
      <c r="H227" s="83" t="str">
        <f aca="false">IF(AND(B227="",C227="",D227=""),"",IF(B227="","Missing contract",IF(C227="","Missing code",IF(LEFT(G227,3)="Not","Wrong code",IF(D227="","Missing qty",IF(A227="","Missing date",""))))))</f>
        <v/>
      </c>
      <c r="I227" s="84" t="str">
        <f aca="false">IF(B227=Dashboard!$D$3,ROW(),"")</f>
        <v/>
      </c>
    </row>
    <row r="228" customFormat="false" ht="15" hidden="false" customHeight="false" outlineLevel="0" collapsed="false">
      <c r="A228" s="80"/>
      <c r="B228" s="71"/>
      <c r="C228" s="71"/>
      <c r="D228" s="81"/>
      <c r="E228" s="71"/>
      <c r="F228" s="71"/>
      <c r="G228" s="82" t="str">
        <f aca="false">IF(C228="","",IFERROR(INDEX('Kit Lists'!$D$6:$D$605,MATCH(B228&amp;"|"&amp;C228,'Kit Lists'!$J$6:$J$605,0)),"Not on this contract's kit list"))</f>
        <v/>
      </c>
      <c r="H228" s="83" t="str">
        <f aca="false">IF(AND(B228="",C228="",D228=""),"",IF(B228="","Missing contract",IF(C228="","Missing code",IF(LEFT(G228,3)="Not","Wrong code",IF(D228="","Missing qty",IF(A228="","Missing date",""))))))</f>
        <v/>
      </c>
      <c r="I228" s="84" t="str">
        <f aca="false">IF(B228=Dashboard!$D$3,ROW(),"")</f>
        <v/>
      </c>
    </row>
    <row r="229" customFormat="false" ht="15" hidden="false" customHeight="false" outlineLevel="0" collapsed="false">
      <c r="A229" s="80"/>
      <c r="B229" s="71"/>
      <c r="C229" s="71"/>
      <c r="D229" s="81"/>
      <c r="E229" s="71"/>
      <c r="F229" s="71"/>
      <c r="G229" s="82" t="str">
        <f aca="false">IF(C229="","",IFERROR(INDEX('Kit Lists'!$D$6:$D$605,MATCH(B229&amp;"|"&amp;C229,'Kit Lists'!$J$6:$J$605,0)),"Not on this contract's kit list"))</f>
        <v/>
      </c>
      <c r="H229" s="83" t="str">
        <f aca="false">IF(AND(B229="",C229="",D229=""),"",IF(B229="","Missing contract",IF(C229="","Missing code",IF(LEFT(G229,3)="Not","Wrong code",IF(D229="","Missing qty",IF(A229="","Missing date",""))))))</f>
        <v/>
      </c>
      <c r="I229" s="84" t="str">
        <f aca="false">IF(B229=Dashboard!$D$3,ROW(),"")</f>
        <v/>
      </c>
    </row>
    <row r="230" customFormat="false" ht="15" hidden="false" customHeight="false" outlineLevel="0" collapsed="false">
      <c r="A230" s="80"/>
      <c r="B230" s="71"/>
      <c r="C230" s="71"/>
      <c r="D230" s="81"/>
      <c r="E230" s="71"/>
      <c r="F230" s="71"/>
      <c r="G230" s="82" t="str">
        <f aca="false">IF(C230="","",IFERROR(INDEX('Kit Lists'!$D$6:$D$605,MATCH(B230&amp;"|"&amp;C230,'Kit Lists'!$J$6:$J$605,0)),"Not on this contract's kit list"))</f>
        <v/>
      </c>
      <c r="H230" s="83" t="str">
        <f aca="false">IF(AND(B230="",C230="",D230=""),"",IF(B230="","Missing contract",IF(C230="","Missing code",IF(LEFT(G230,3)="Not","Wrong code",IF(D230="","Missing qty",IF(A230="","Missing date",""))))))</f>
        <v/>
      </c>
      <c r="I230" s="84" t="str">
        <f aca="false">IF(B230=Dashboard!$D$3,ROW(),"")</f>
        <v/>
      </c>
    </row>
    <row r="231" customFormat="false" ht="15" hidden="false" customHeight="false" outlineLevel="0" collapsed="false">
      <c r="A231" s="80"/>
      <c r="B231" s="71"/>
      <c r="C231" s="71"/>
      <c r="D231" s="81"/>
      <c r="E231" s="71"/>
      <c r="F231" s="71"/>
      <c r="G231" s="82" t="str">
        <f aca="false">IF(C231="","",IFERROR(INDEX('Kit Lists'!$D$6:$D$605,MATCH(B231&amp;"|"&amp;C231,'Kit Lists'!$J$6:$J$605,0)),"Not on this contract's kit list"))</f>
        <v/>
      </c>
      <c r="H231" s="83" t="str">
        <f aca="false">IF(AND(B231="",C231="",D231=""),"",IF(B231="","Missing contract",IF(C231="","Missing code",IF(LEFT(G231,3)="Not","Wrong code",IF(D231="","Missing qty",IF(A231="","Missing date",""))))))</f>
        <v/>
      </c>
      <c r="I231" s="84" t="str">
        <f aca="false">IF(B231=Dashboard!$D$3,ROW(),"")</f>
        <v/>
      </c>
    </row>
    <row r="232" customFormat="false" ht="15" hidden="false" customHeight="false" outlineLevel="0" collapsed="false">
      <c r="A232" s="80"/>
      <c r="B232" s="71"/>
      <c r="C232" s="71"/>
      <c r="D232" s="81"/>
      <c r="E232" s="71"/>
      <c r="F232" s="71"/>
      <c r="G232" s="82" t="str">
        <f aca="false">IF(C232="","",IFERROR(INDEX('Kit Lists'!$D$6:$D$605,MATCH(B232&amp;"|"&amp;C232,'Kit Lists'!$J$6:$J$605,0)),"Not on this contract's kit list"))</f>
        <v/>
      </c>
      <c r="H232" s="83" t="str">
        <f aca="false">IF(AND(B232="",C232="",D232=""),"",IF(B232="","Missing contract",IF(C232="","Missing code",IF(LEFT(G232,3)="Not","Wrong code",IF(D232="","Missing qty",IF(A232="","Missing date",""))))))</f>
        <v/>
      </c>
      <c r="I232" s="84" t="str">
        <f aca="false">IF(B232=Dashboard!$D$3,ROW(),"")</f>
        <v/>
      </c>
    </row>
    <row r="233" customFormat="false" ht="15" hidden="false" customHeight="false" outlineLevel="0" collapsed="false">
      <c r="A233" s="80"/>
      <c r="B233" s="71"/>
      <c r="C233" s="71"/>
      <c r="D233" s="81"/>
      <c r="E233" s="71"/>
      <c r="F233" s="71"/>
      <c r="G233" s="82" t="str">
        <f aca="false">IF(C233="","",IFERROR(INDEX('Kit Lists'!$D$6:$D$605,MATCH(B233&amp;"|"&amp;C233,'Kit Lists'!$J$6:$J$605,0)),"Not on this contract's kit list"))</f>
        <v/>
      </c>
      <c r="H233" s="83" t="str">
        <f aca="false">IF(AND(B233="",C233="",D233=""),"",IF(B233="","Missing contract",IF(C233="","Missing code",IF(LEFT(G233,3)="Not","Wrong code",IF(D233="","Missing qty",IF(A233="","Missing date",""))))))</f>
        <v/>
      </c>
      <c r="I233" s="84" t="str">
        <f aca="false">IF(B233=Dashboard!$D$3,ROW(),"")</f>
        <v/>
      </c>
    </row>
    <row r="234" customFormat="false" ht="15" hidden="false" customHeight="false" outlineLevel="0" collapsed="false">
      <c r="A234" s="80"/>
      <c r="B234" s="71"/>
      <c r="C234" s="71"/>
      <c r="D234" s="81"/>
      <c r="E234" s="71"/>
      <c r="F234" s="71"/>
      <c r="G234" s="82" t="str">
        <f aca="false">IF(C234="","",IFERROR(INDEX('Kit Lists'!$D$6:$D$605,MATCH(B234&amp;"|"&amp;C234,'Kit Lists'!$J$6:$J$605,0)),"Not on this contract's kit list"))</f>
        <v/>
      </c>
      <c r="H234" s="83" t="str">
        <f aca="false">IF(AND(B234="",C234="",D234=""),"",IF(B234="","Missing contract",IF(C234="","Missing code",IF(LEFT(G234,3)="Not","Wrong code",IF(D234="","Missing qty",IF(A234="","Missing date",""))))))</f>
        <v/>
      </c>
      <c r="I234" s="84" t="str">
        <f aca="false">IF(B234=Dashboard!$D$3,ROW(),"")</f>
        <v/>
      </c>
    </row>
    <row r="235" customFormat="false" ht="15" hidden="false" customHeight="false" outlineLevel="0" collapsed="false">
      <c r="A235" s="80"/>
      <c r="B235" s="71"/>
      <c r="C235" s="71"/>
      <c r="D235" s="81"/>
      <c r="E235" s="71"/>
      <c r="F235" s="71"/>
      <c r="G235" s="82" t="str">
        <f aca="false">IF(C235="","",IFERROR(INDEX('Kit Lists'!$D$6:$D$605,MATCH(B235&amp;"|"&amp;C235,'Kit Lists'!$J$6:$J$605,0)),"Not on this contract's kit list"))</f>
        <v/>
      </c>
      <c r="H235" s="83" t="str">
        <f aca="false">IF(AND(B235="",C235="",D235=""),"",IF(B235="","Missing contract",IF(C235="","Missing code",IF(LEFT(G235,3)="Not","Wrong code",IF(D235="","Missing qty",IF(A235="","Missing date",""))))))</f>
        <v/>
      </c>
      <c r="I235" s="84" t="str">
        <f aca="false">IF(B235=Dashboard!$D$3,ROW(),"")</f>
        <v/>
      </c>
    </row>
    <row r="236" customFormat="false" ht="15" hidden="false" customHeight="false" outlineLevel="0" collapsed="false">
      <c r="A236" s="80"/>
      <c r="B236" s="71"/>
      <c r="C236" s="71"/>
      <c r="D236" s="81"/>
      <c r="E236" s="71"/>
      <c r="F236" s="71"/>
      <c r="G236" s="82" t="str">
        <f aca="false">IF(C236="","",IFERROR(INDEX('Kit Lists'!$D$6:$D$605,MATCH(B236&amp;"|"&amp;C236,'Kit Lists'!$J$6:$J$605,0)),"Not on this contract's kit list"))</f>
        <v/>
      </c>
      <c r="H236" s="83" t="str">
        <f aca="false">IF(AND(B236="",C236="",D236=""),"",IF(B236="","Missing contract",IF(C236="","Missing code",IF(LEFT(G236,3)="Not","Wrong code",IF(D236="","Missing qty",IF(A236="","Missing date",""))))))</f>
        <v/>
      </c>
      <c r="I236" s="84" t="str">
        <f aca="false">IF(B236=Dashboard!$D$3,ROW(),"")</f>
        <v/>
      </c>
    </row>
    <row r="237" customFormat="false" ht="15" hidden="false" customHeight="false" outlineLevel="0" collapsed="false">
      <c r="A237" s="80"/>
      <c r="B237" s="71"/>
      <c r="C237" s="71"/>
      <c r="D237" s="81"/>
      <c r="E237" s="71"/>
      <c r="F237" s="71"/>
      <c r="G237" s="82" t="str">
        <f aca="false">IF(C237="","",IFERROR(INDEX('Kit Lists'!$D$6:$D$605,MATCH(B237&amp;"|"&amp;C237,'Kit Lists'!$J$6:$J$605,0)),"Not on this contract's kit list"))</f>
        <v/>
      </c>
      <c r="H237" s="83" t="str">
        <f aca="false">IF(AND(B237="",C237="",D237=""),"",IF(B237="","Missing contract",IF(C237="","Missing code",IF(LEFT(G237,3)="Not","Wrong code",IF(D237="","Missing qty",IF(A237="","Missing date",""))))))</f>
        <v/>
      </c>
      <c r="I237" s="84" t="str">
        <f aca="false">IF(B237=Dashboard!$D$3,ROW(),"")</f>
        <v/>
      </c>
    </row>
    <row r="238" customFormat="false" ht="15" hidden="false" customHeight="false" outlineLevel="0" collapsed="false">
      <c r="A238" s="80"/>
      <c r="B238" s="71"/>
      <c r="C238" s="71"/>
      <c r="D238" s="81"/>
      <c r="E238" s="71"/>
      <c r="F238" s="71"/>
      <c r="G238" s="82" t="str">
        <f aca="false">IF(C238="","",IFERROR(INDEX('Kit Lists'!$D$6:$D$605,MATCH(B238&amp;"|"&amp;C238,'Kit Lists'!$J$6:$J$605,0)),"Not on this contract's kit list"))</f>
        <v/>
      </c>
      <c r="H238" s="83" t="str">
        <f aca="false">IF(AND(B238="",C238="",D238=""),"",IF(B238="","Missing contract",IF(C238="","Missing code",IF(LEFT(G238,3)="Not","Wrong code",IF(D238="","Missing qty",IF(A238="","Missing date",""))))))</f>
        <v/>
      </c>
      <c r="I238" s="84" t="str">
        <f aca="false">IF(B238=Dashboard!$D$3,ROW(),"")</f>
        <v/>
      </c>
    </row>
    <row r="239" customFormat="false" ht="15" hidden="false" customHeight="false" outlineLevel="0" collapsed="false">
      <c r="A239" s="80"/>
      <c r="B239" s="71"/>
      <c r="C239" s="71"/>
      <c r="D239" s="81"/>
      <c r="E239" s="71"/>
      <c r="F239" s="71"/>
      <c r="G239" s="82" t="str">
        <f aca="false">IF(C239="","",IFERROR(INDEX('Kit Lists'!$D$6:$D$605,MATCH(B239&amp;"|"&amp;C239,'Kit Lists'!$J$6:$J$605,0)),"Not on this contract's kit list"))</f>
        <v/>
      </c>
      <c r="H239" s="83" t="str">
        <f aca="false">IF(AND(B239="",C239="",D239=""),"",IF(B239="","Missing contract",IF(C239="","Missing code",IF(LEFT(G239,3)="Not","Wrong code",IF(D239="","Missing qty",IF(A239="","Missing date",""))))))</f>
        <v/>
      </c>
      <c r="I239" s="84" t="str">
        <f aca="false">IF(B239=Dashboard!$D$3,ROW(),"")</f>
        <v/>
      </c>
    </row>
    <row r="240" customFormat="false" ht="15" hidden="false" customHeight="false" outlineLevel="0" collapsed="false">
      <c r="A240" s="80"/>
      <c r="B240" s="71"/>
      <c r="C240" s="71"/>
      <c r="D240" s="81"/>
      <c r="E240" s="71"/>
      <c r="F240" s="71"/>
      <c r="G240" s="82" t="str">
        <f aca="false">IF(C240="","",IFERROR(INDEX('Kit Lists'!$D$6:$D$605,MATCH(B240&amp;"|"&amp;C240,'Kit Lists'!$J$6:$J$605,0)),"Not on this contract's kit list"))</f>
        <v/>
      </c>
      <c r="H240" s="83" t="str">
        <f aca="false">IF(AND(B240="",C240="",D240=""),"",IF(B240="","Missing contract",IF(C240="","Missing code",IF(LEFT(G240,3)="Not","Wrong code",IF(D240="","Missing qty",IF(A240="","Missing date",""))))))</f>
        <v/>
      </c>
      <c r="I240" s="84" t="str">
        <f aca="false">IF(B240=Dashboard!$D$3,ROW(),"")</f>
        <v/>
      </c>
    </row>
    <row r="241" customFormat="false" ht="15" hidden="false" customHeight="false" outlineLevel="0" collapsed="false">
      <c r="A241" s="80"/>
      <c r="B241" s="71"/>
      <c r="C241" s="71"/>
      <c r="D241" s="81"/>
      <c r="E241" s="71"/>
      <c r="F241" s="71"/>
      <c r="G241" s="82" t="str">
        <f aca="false">IF(C241="","",IFERROR(INDEX('Kit Lists'!$D$6:$D$605,MATCH(B241&amp;"|"&amp;C241,'Kit Lists'!$J$6:$J$605,0)),"Not on this contract's kit list"))</f>
        <v/>
      </c>
      <c r="H241" s="83" t="str">
        <f aca="false">IF(AND(B241="",C241="",D241=""),"",IF(B241="","Missing contract",IF(C241="","Missing code",IF(LEFT(G241,3)="Not","Wrong code",IF(D241="","Missing qty",IF(A241="","Missing date",""))))))</f>
        <v/>
      </c>
      <c r="I241" s="84" t="str">
        <f aca="false">IF(B241=Dashboard!$D$3,ROW(),"")</f>
        <v/>
      </c>
    </row>
    <row r="242" customFormat="false" ht="15" hidden="false" customHeight="false" outlineLevel="0" collapsed="false">
      <c r="A242" s="80"/>
      <c r="B242" s="71"/>
      <c r="C242" s="71"/>
      <c r="D242" s="81"/>
      <c r="E242" s="71"/>
      <c r="F242" s="71"/>
      <c r="G242" s="82" t="str">
        <f aca="false">IF(C242="","",IFERROR(INDEX('Kit Lists'!$D$6:$D$605,MATCH(B242&amp;"|"&amp;C242,'Kit Lists'!$J$6:$J$605,0)),"Not on this contract's kit list"))</f>
        <v/>
      </c>
      <c r="H242" s="83" t="str">
        <f aca="false">IF(AND(B242="",C242="",D242=""),"",IF(B242="","Missing contract",IF(C242="","Missing code",IF(LEFT(G242,3)="Not","Wrong code",IF(D242="","Missing qty",IF(A242="","Missing date",""))))))</f>
        <v/>
      </c>
      <c r="I242" s="84" t="str">
        <f aca="false">IF(B242=Dashboard!$D$3,ROW(),"")</f>
        <v/>
      </c>
    </row>
    <row r="243" customFormat="false" ht="15" hidden="false" customHeight="false" outlineLevel="0" collapsed="false">
      <c r="A243" s="80"/>
      <c r="B243" s="71"/>
      <c r="C243" s="71"/>
      <c r="D243" s="81"/>
      <c r="E243" s="71"/>
      <c r="F243" s="71"/>
      <c r="G243" s="82" t="str">
        <f aca="false">IF(C243="","",IFERROR(INDEX('Kit Lists'!$D$6:$D$605,MATCH(B243&amp;"|"&amp;C243,'Kit Lists'!$J$6:$J$605,0)),"Not on this contract's kit list"))</f>
        <v/>
      </c>
      <c r="H243" s="83" t="str">
        <f aca="false">IF(AND(B243="",C243="",D243=""),"",IF(B243="","Missing contract",IF(C243="","Missing code",IF(LEFT(G243,3)="Not","Wrong code",IF(D243="","Missing qty",IF(A243="","Missing date",""))))))</f>
        <v/>
      </c>
      <c r="I243" s="84" t="str">
        <f aca="false">IF(B243=Dashboard!$D$3,ROW(),"")</f>
        <v/>
      </c>
    </row>
    <row r="244" customFormat="false" ht="15" hidden="false" customHeight="false" outlineLevel="0" collapsed="false">
      <c r="A244" s="80"/>
      <c r="B244" s="71"/>
      <c r="C244" s="71"/>
      <c r="D244" s="81"/>
      <c r="E244" s="71"/>
      <c r="F244" s="71"/>
      <c r="G244" s="82" t="str">
        <f aca="false">IF(C244="","",IFERROR(INDEX('Kit Lists'!$D$6:$D$605,MATCH(B244&amp;"|"&amp;C244,'Kit Lists'!$J$6:$J$605,0)),"Not on this contract's kit list"))</f>
        <v/>
      </c>
      <c r="H244" s="83" t="str">
        <f aca="false">IF(AND(B244="",C244="",D244=""),"",IF(B244="","Missing contract",IF(C244="","Missing code",IF(LEFT(G244,3)="Not","Wrong code",IF(D244="","Missing qty",IF(A244="","Missing date",""))))))</f>
        <v/>
      </c>
      <c r="I244" s="84" t="str">
        <f aca="false">IF(B244=Dashboard!$D$3,ROW(),"")</f>
        <v/>
      </c>
    </row>
    <row r="245" customFormat="false" ht="15" hidden="false" customHeight="false" outlineLevel="0" collapsed="false">
      <c r="A245" s="80"/>
      <c r="B245" s="71"/>
      <c r="C245" s="71"/>
      <c r="D245" s="81"/>
      <c r="E245" s="71"/>
      <c r="F245" s="71"/>
      <c r="G245" s="82" t="str">
        <f aca="false">IF(C245="","",IFERROR(INDEX('Kit Lists'!$D$6:$D$605,MATCH(B245&amp;"|"&amp;C245,'Kit Lists'!$J$6:$J$605,0)),"Not on this contract's kit list"))</f>
        <v/>
      </c>
      <c r="H245" s="83" t="str">
        <f aca="false">IF(AND(B245="",C245="",D245=""),"",IF(B245="","Missing contract",IF(C245="","Missing code",IF(LEFT(G245,3)="Not","Wrong code",IF(D245="","Missing qty",IF(A245="","Missing date",""))))))</f>
        <v/>
      </c>
      <c r="I245" s="84" t="str">
        <f aca="false">IF(B245=Dashboard!$D$3,ROW(),"")</f>
        <v/>
      </c>
    </row>
    <row r="246" customFormat="false" ht="15" hidden="false" customHeight="false" outlineLevel="0" collapsed="false">
      <c r="A246" s="80"/>
      <c r="B246" s="71"/>
      <c r="C246" s="71"/>
      <c r="D246" s="81"/>
      <c r="E246" s="71"/>
      <c r="F246" s="71"/>
      <c r="G246" s="82" t="str">
        <f aca="false">IF(C246="","",IFERROR(INDEX('Kit Lists'!$D$6:$D$605,MATCH(B246&amp;"|"&amp;C246,'Kit Lists'!$J$6:$J$605,0)),"Not on this contract's kit list"))</f>
        <v/>
      </c>
      <c r="H246" s="83" t="str">
        <f aca="false">IF(AND(B246="",C246="",D246=""),"",IF(B246="","Missing contract",IF(C246="","Missing code",IF(LEFT(G246,3)="Not","Wrong code",IF(D246="","Missing qty",IF(A246="","Missing date",""))))))</f>
        <v/>
      </c>
      <c r="I246" s="84" t="str">
        <f aca="false">IF(B246=Dashboard!$D$3,ROW(),"")</f>
        <v/>
      </c>
    </row>
    <row r="247" customFormat="false" ht="15" hidden="false" customHeight="false" outlineLevel="0" collapsed="false">
      <c r="A247" s="80"/>
      <c r="B247" s="71"/>
      <c r="C247" s="71"/>
      <c r="D247" s="81"/>
      <c r="E247" s="71"/>
      <c r="F247" s="71"/>
      <c r="G247" s="82" t="str">
        <f aca="false">IF(C247="","",IFERROR(INDEX('Kit Lists'!$D$6:$D$605,MATCH(B247&amp;"|"&amp;C247,'Kit Lists'!$J$6:$J$605,0)),"Not on this contract's kit list"))</f>
        <v/>
      </c>
      <c r="H247" s="83" t="str">
        <f aca="false">IF(AND(B247="",C247="",D247=""),"",IF(B247="","Missing contract",IF(C247="","Missing code",IF(LEFT(G247,3)="Not","Wrong code",IF(D247="","Missing qty",IF(A247="","Missing date",""))))))</f>
        <v/>
      </c>
      <c r="I247" s="84" t="str">
        <f aca="false">IF(B247=Dashboard!$D$3,ROW(),"")</f>
        <v/>
      </c>
    </row>
    <row r="248" customFormat="false" ht="15" hidden="false" customHeight="false" outlineLevel="0" collapsed="false">
      <c r="A248" s="80"/>
      <c r="B248" s="71"/>
      <c r="C248" s="71"/>
      <c r="D248" s="81"/>
      <c r="E248" s="71"/>
      <c r="F248" s="71"/>
      <c r="G248" s="82" t="str">
        <f aca="false">IF(C248="","",IFERROR(INDEX('Kit Lists'!$D$6:$D$605,MATCH(B248&amp;"|"&amp;C248,'Kit Lists'!$J$6:$J$605,0)),"Not on this contract's kit list"))</f>
        <v/>
      </c>
      <c r="H248" s="83" t="str">
        <f aca="false">IF(AND(B248="",C248="",D248=""),"",IF(B248="","Missing contract",IF(C248="","Missing code",IF(LEFT(G248,3)="Not","Wrong code",IF(D248="","Missing qty",IF(A248="","Missing date",""))))))</f>
        <v/>
      </c>
      <c r="I248" s="84" t="str">
        <f aca="false">IF(B248=Dashboard!$D$3,ROW(),"")</f>
        <v/>
      </c>
    </row>
    <row r="249" customFormat="false" ht="15" hidden="false" customHeight="false" outlineLevel="0" collapsed="false">
      <c r="A249" s="80"/>
      <c r="B249" s="71"/>
      <c r="C249" s="71"/>
      <c r="D249" s="81"/>
      <c r="E249" s="71"/>
      <c r="F249" s="71"/>
      <c r="G249" s="82" t="str">
        <f aca="false">IF(C249="","",IFERROR(INDEX('Kit Lists'!$D$6:$D$605,MATCH(B249&amp;"|"&amp;C249,'Kit Lists'!$J$6:$J$605,0)),"Not on this contract's kit list"))</f>
        <v/>
      </c>
      <c r="H249" s="83" t="str">
        <f aca="false">IF(AND(B249="",C249="",D249=""),"",IF(B249="","Missing contract",IF(C249="","Missing code",IF(LEFT(G249,3)="Not","Wrong code",IF(D249="","Missing qty",IF(A249="","Missing date",""))))))</f>
        <v/>
      </c>
      <c r="I249" s="84" t="str">
        <f aca="false">IF(B249=Dashboard!$D$3,ROW(),"")</f>
        <v/>
      </c>
    </row>
    <row r="250" customFormat="false" ht="15" hidden="false" customHeight="false" outlineLevel="0" collapsed="false">
      <c r="A250" s="80"/>
      <c r="B250" s="71"/>
      <c r="C250" s="71"/>
      <c r="D250" s="81"/>
      <c r="E250" s="71"/>
      <c r="F250" s="71"/>
      <c r="G250" s="82" t="str">
        <f aca="false">IF(C250="","",IFERROR(INDEX('Kit Lists'!$D$6:$D$605,MATCH(B250&amp;"|"&amp;C250,'Kit Lists'!$J$6:$J$605,0)),"Not on this contract's kit list"))</f>
        <v/>
      </c>
      <c r="H250" s="83" t="str">
        <f aca="false">IF(AND(B250="",C250="",D250=""),"",IF(B250="","Missing contract",IF(C250="","Missing code",IF(LEFT(G250,3)="Not","Wrong code",IF(D250="","Missing qty",IF(A250="","Missing date",""))))))</f>
        <v/>
      </c>
      <c r="I250" s="84" t="str">
        <f aca="false">IF(B250=Dashboard!$D$3,ROW(),"")</f>
        <v/>
      </c>
    </row>
    <row r="251" customFormat="false" ht="15" hidden="false" customHeight="false" outlineLevel="0" collapsed="false">
      <c r="A251" s="80"/>
      <c r="B251" s="71"/>
      <c r="C251" s="71"/>
      <c r="D251" s="81"/>
      <c r="E251" s="71"/>
      <c r="F251" s="71"/>
      <c r="G251" s="82" t="str">
        <f aca="false">IF(C251="","",IFERROR(INDEX('Kit Lists'!$D$6:$D$605,MATCH(B251&amp;"|"&amp;C251,'Kit Lists'!$J$6:$J$605,0)),"Not on this contract's kit list"))</f>
        <v/>
      </c>
      <c r="H251" s="83" t="str">
        <f aca="false">IF(AND(B251="",C251="",D251=""),"",IF(B251="","Missing contract",IF(C251="","Missing code",IF(LEFT(G251,3)="Not","Wrong code",IF(D251="","Missing qty",IF(A251="","Missing date",""))))))</f>
        <v/>
      </c>
      <c r="I251" s="84" t="str">
        <f aca="false">IF(B251=Dashboard!$D$3,ROW(),"")</f>
        <v/>
      </c>
    </row>
    <row r="252" customFormat="false" ht="15" hidden="false" customHeight="false" outlineLevel="0" collapsed="false">
      <c r="A252" s="80"/>
      <c r="B252" s="71"/>
      <c r="C252" s="71"/>
      <c r="D252" s="81"/>
      <c r="E252" s="71"/>
      <c r="F252" s="71"/>
      <c r="G252" s="82" t="str">
        <f aca="false">IF(C252="","",IFERROR(INDEX('Kit Lists'!$D$6:$D$605,MATCH(B252&amp;"|"&amp;C252,'Kit Lists'!$J$6:$J$605,0)),"Not on this contract's kit list"))</f>
        <v/>
      </c>
      <c r="H252" s="83" t="str">
        <f aca="false">IF(AND(B252="",C252="",D252=""),"",IF(B252="","Missing contract",IF(C252="","Missing code",IF(LEFT(G252,3)="Not","Wrong code",IF(D252="","Missing qty",IF(A252="","Missing date",""))))))</f>
        <v/>
      </c>
      <c r="I252" s="84" t="str">
        <f aca="false">IF(B252=Dashboard!$D$3,ROW(),"")</f>
        <v/>
      </c>
    </row>
    <row r="253" customFormat="false" ht="15" hidden="false" customHeight="false" outlineLevel="0" collapsed="false">
      <c r="A253" s="80"/>
      <c r="B253" s="71"/>
      <c r="C253" s="71"/>
      <c r="D253" s="81"/>
      <c r="E253" s="71"/>
      <c r="F253" s="71"/>
      <c r="G253" s="82" t="str">
        <f aca="false">IF(C253="","",IFERROR(INDEX('Kit Lists'!$D$6:$D$605,MATCH(B253&amp;"|"&amp;C253,'Kit Lists'!$J$6:$J$605,0)),"Not on this contract's kit list"))</f>
        <v/>
      </c>
      <c r="H253" s="83" t="str">
        <f aca="false">IF(AND(B253="",C253="",D253=""),"",IF(B253="","Missing contract",IF(C253="","Missing code",IF(LEFT(G253,3)="Not","Wrong code",IF(D253="","Missing qty",IF(A253="","Missing date",""))))))</f>
        <v/>
      </c>
      <c r="I253" s="84" t="str">
        <f aca="false">IF(B253=Dashboard!$D$3,ROW(),"")</f>
        <v/>
      </c>
    </row>
    <row r="254" customFormat="false" ht="15" hidden="false" customHeight="false" outlineLevel="0" collapsed="false">
      <c r="A254" s="80"/>
      <c r="B254" s="71"/>
      <c r="C254" s="71"/>
      <c r="D254" s="81"/>
      <c r="E254" s="71"/>
      <c r="F254" s="71"/>
      <c r="G254" s="82" t="str">
        <f aca="false">IF(C254="","",IFERROR(INDEX('Kit Lists'!$D$6:$D$605,MATCH(B254&amp;"|"&amp;C254,'Kit Lists'!$J$6:$J$605,0)),"Not on this contract's kit list"))</f>
        <v/>
      </c>
      <c r="H254" s="83" t="str">
        <f aca="false">IF(AND(B254="",C254="",D254=""),"",IF(B254="","Missing contract",IF(C254="","Missing code",IF(LEFT(G254,3)="Not","Wrong code",IF(D254="","Missing qty",IF(A254="","Missing date",""))))))</f>
        <v/>
      </c>
      <c r="I254" s="84" t="str">
        <f aca="false">IF(B254=Dashboard!$D$3,ROW(),"")</f>
        <v/>
      </c>
    </row>
    <row r="255" customFormat="false" ht="15" hidden="false" customHeight="false" outlineLevel="0" collapsed="false">
      <c r="A255" s="80"/>
      <c r="B255" s="71"/>
      <c r="C255" s="71"/>
      <c r="D255" s="81"/>
      <c r="E255" s="71"/>
      <c r="F255" s="71"/>
      <c r="G255" s="82" t="str">
        <f aca="false">IF(C255="","",IFERROR(INDEX('Kit Lists'!$D$6:$D$605,MATCH(B255&amp;"|"&amp;C255,'Kit Lists'!$J$6:$J$605,0)),"Not on this contract's kit list"))</f>
        <v/>
      </c>
      <c r="H255" s="83" t="str">
        <f aca="false">IF(AND(B255="",C255="",D255=""),"",IF(B255="","Missing contract",IF(C255="","Missing code",IF(LEFT(G255,3)="Not","Wrong code",IF(D255="","Missing qty",IF(A255="","Missing date",""))))))</f>
        <v/>
      </c>
      <c r="I255" s="84" t="str">
        <f aca="false">IF(B255=Dashboard!$D$3,ROW(),"")</f>
        <v/>
      </c>
    </row>
    <row r="256" customFormat="false" ht="15" hidden="false" customHeight="false" outlineLevel="0" collapsed="false">
      <c r="A256" s="80"/>
      <c r="B256" s="71"/>
      <c r="C256" s="71"/>
      <c r="D256" s="81"/>
      <c r="E256" s="71"/>
      <c r="F256" s="71"/>
      <c r="G256" s="82" t="str">
        <f aca="false">IF(C256="","",IFERROR(INDEX('Kit Lists'!$D$6:$D$605,MATCH(B256&amp;"|"&amp;C256,'Kit Lists'!$J$6:$J$605,0)),"Not on this contract's kit list"))</f>
        <v/>
      </c>
      <c r="H256" s="83" t="str">
        <f aca="false">IF(AND(B256="",C256="",D256=""),"",IF(B256="","Missing contract",IF(C256="","Missing code",IF(LEFT(G256,3)="Not","Wrong code",IF(D256="","Missing qty",IF(A256="","Missing date",""))))))</f>
        <v/>
      </c>
      <c r="I256" s="84" t="str">
        <f aca="false">IF(B256=Dashboard!$D$3,ROW(),"")</f>
        <v/>
      </c>
    </row>
    <row r="257" customFormat="false" ht="15" hidden="false" customHeight="false" outlineLevel="0" collapsed="false">
      <c r="A257" s="80"/>
      <c r="B257" s="71"/>
      <c r="C257" s="71"/>
      <c r="D257" s="81"/>
      <c r="E257" s="71"/>
      <c r="F257" s="71"/>
      <c r="G257" s="82" t="str">
        <f aca="false">IF(C257="","",IFERROR(INDEX('Kit Lists'!$D$6:$D$605,MATCH(B257&amp;"|"&amp;C257,'Kit Lists'!$J$6:$J$605,0)),"Not on this contract's kit list"))</f>
        <v/>
      </c>
      <c r="H257" s="83" t="str">
        <f aca="false">IF(AND(B257="",C257="",D257=""),"",IF(B257="","Missing contract",IF(C257="","Missing code",IF(LEFT(G257,3)="Not","Wrong code",IF(D257="","Missing qty",IF(A257="","Missing date",""))))))</f>
        <v/>
      </c>
      <c r="I257" s="84" t="str">
        <f aca="false">IF(B257=Dashboard!$D$3,ROW(),"")</f>
        <v/>
      </c>
    </row>
    <row r="258" customFormat="false" ht="15" hidden="false" customHeight="false" outlineLevel="0" collapsed="false">
      <c r="A258" s="80"/>
      <c r="B258" s="71"/>
      <c r="C258" s="71"/>
      <c r="D258" s="81"/>
      <c r="E258" s="71"/>
      <c r="F258" s="71"/>
      <c r="G258" s="82" t="str">
        <f aca="false">IF(C258="","",IFERROR(INDEX('Kit Lists'!$D$6:$D$605,MATCH(B258&amp;"|"&amp;C258,'Kit Lists'!$J$6:$J$605,0)),"Not on this contract's kit list"))</f>
        <v/>
      </c>
      <c r="H258" s="83" t="str">
        <f aca="false">IF(AND(B258="",C258="",D258=""),"",IF(B258="","Missing contract",IF(C258="","Missing code",IF(LEFT(G258,3)="Not","Wrong code",IF(D258="","Missing qty",IF(A258="","Missing date",""))))))</f>
        <v/>
      </c>
      <c r="I258" s="84" t="str">
        <f aca="false">IF(B258=Dashboard!$D$3,ROW(),"")</f>
        <v/>
      </c>
    </row>
    <row r="259" customFormat="false" ht="15" hidden="false" customHeight="false" outlineLevel="0" collapsed="false">
      <c r="A259" s="80"/>
      <c r="B259" s="71"/>
      <c r="C259" s="71"/>
      <c r="D259" s="81"/>
      <c r="E259" s="71"/>
      <c r="F259" s="71"/>
      <c r="G259" s="82" t="str">
        <f aca="false">IF(C259="","",IFERROR(INDEX('Kit Lists'!$D$6:$D$605,MATCH(B259&amp;"|"&amp;C259,'Kit Lists'!$J$6:$J$605,0)),"Not on this contract's kit list"))</f>
        <v/>
      </c>
      <c r="H259" s="83" t="str">
        <f aca="false">IF(AND(B259="",C259="",D259=""),"",IF(B259="","Missing contract",IF(C259="","Missing code",IF(LEFT(G259,3)="Not","Wrong code",IF(D259="","Missing qty",IF(A259="","Missing date",""))))))</f>
        <v/>
      </c>
      <c r="I259" s="84" t="str">
        <f aca="false">IF(B259=Dashboard!$D$3,ROW(),"")</f>
        <v/>
      </c>
    </row>
    <row r="260" customFormat="false" ht="15" hidden="false" customHeight="false" outlineLevel="0" collapsed="false">
      <c r="A260" s="80"/>
      <c r="B260" s="71"/>
      <c r="C260" s="71"/>
      <c r="D260" s="81"/>
      <c r="E260" s="71"/>
      <c r="F260" s="71"/>
      <c r="G260" s="82" t="str">
        <f aca="false">IF(C260="","",IFERROR(INDEX('Kit Lists'!$D$6:$D$605,MATCH(B260&amp;"|"&amp;C260,'Kit Lists'!$J$6:$J$605,0)),"Not on this contract's kit list"))</f>
        <v/>
      </c>
      <c r="H260" s="83" t="str">
        <f aca="false">IF(AND(B260="",C260="",D260=""),"",IF(B260="","Missing contract",IF(C260="","Missing code",IF(LEFT(G260,3)="Not","Wrong code",IF(D260="","Missing qty",IF(A260="","Missing date",""))))))</f>
        <v/>
      </c>
      <c r="I260" s="84" t="str">
        <f aca="false">IF(B260=Dashboard!$D$3,ROW(),"")</f>
        <v/>
      </c>
    </row>
    <row r="261" customFormat="false" ht="15" hidden="false" customHeight="false" outlineLevel="0" collapsed="false">
      <c r="A261" s="80"/>
      <c r="B261" s="71"/>
      <c r="C261" s="71"/>
      <c r="D261" s="81"/>
      <c r="E261" s="71"/>
      <c r="F261" s="71"/>
      <c r="G261" s="82" t="str">
        <f aca="false">IF(C261="","",IFERROR(INDEX('Kit Lists'!$D$6:$D$605,MATCH(B261&amp;"|"&amp;C261,'Kit Lists'!$J$6:$J$605,0)),"Not on this contract's kit list"))</f>
        <v/>
      </c>
      <c r="H261" s="83" t="str">
        <f aca="false">IF(AND(B261="",C261="",D261=""),"",IF(B261="","Missing contract",IF(C261="","Missing code",IF(LEFT(G261,3)="Not","Wrong code",IF(D261="","Missing qty",IF(A261="","Missing date",""))))))</f>
        <v/>
      </c>
      <c r="I261" s="84" t="str">
        <f aca="false">IF(B261=Dashboard!$D$3,ROW(),"")</f>
        <v/>
      </c>
    </row>
    <row r="262" customFormat="false" ht="15" hidden="false" customHeight="false" outlineLevel="0" collapsed="false">
      <c r="A262" s="80"/>
      <c r="B262" s="71"/>
      <c r="C262" s="71"/>
      <c r="D262" s="81"/>
      <c r="E262" s="71"/>
      <c r="F262" s="71"/>
      <c r="G262" s="82" t="str">
        <f aca="false">IF(C262="","",IFERROR(INDEX('Kit Lists'!$D$6:$D$605,MATCH(B262&amp;"|"&amp;C262,'Kit Lists'!$J$6:$J$605,0)),"Not on this contract's kit list"))</f>
        <v/>
      </c>
      <c r="H262" s="83" t="str">
        <f aca="false">IF(AND(B262="",C262="",D262=""),"",IF(B262="","Missing contract",IF(C262="","Missing code",IF(LEFT(G262,3)="Not","Wrong code",IF(D262="","Missing qty",IF(A262="","Missing date",""))))))</f>
        <v/>
      </c>
      <c r="I262" s="84" t="str">
        <f aca="false">IF(B262=Dashboard!$D$3,ROW(),"")</f>
        <v/>
      </c>
    </row>
    <row r="263" customFormat="false" ht="15" hidden="false" customHeight="false" outlineLevel="0" collapsed="false">
      <c r="A263" s="80"/>
      <c r="B263" s="71"/>
      <c r="C263" s="71"/>
      <c r="D263" s="81"/>
      <c r="E263" s="71"/>
      <c r="F263" s="71"/>
      <c r="G263" s="82" t="str">
        <f aca="false">IF(C263="","",IFERROR(INDEX('Kit Lists'!$D$6:$D$605,MATCH(B263&amp;"|"&amp;C263,'Kit Lists'!$J$6:$J$605,0)),"Not on this contract's kit list"))</f>
        <v/>
      </c>
      <c r="H263" s="83" t="str">
        <f aca="false">IF(AND(B263="",C263="",D263=""),"",IF(B263="","Missing contract",IF(C263="","Missing code",IF(LEFT(G263,3)="Not","Wrong code",IF(D263="","Missing qty",IF(A263="","Missing date",""))))))</f>
        <v/>
      </c>
      <c r="I263" s="84" t="str">
        <f aca="false">IF(B263=Dashboard!$D$3,ROW(),"")</f>
        <v/>
      </c>
    </row>
    <row r="264" customFormat="false" ht="15" hidden="false" customHeight="false" outlineLevel="0" collapsed="false">
      <c r="A264" s="80"/>
      <c r="B264" s="71"/>
      <c r="C264" s="71"/>
      <c r="D264" s="81"/>
      <c r="E264" s="71"/>
      <c r="F264" s="71"/>
      <c r="G264" s="82" t="str">
        <f aca="false">IF(C264="","",IFERROR(INDEX('Kit Lists'!$D$6:$D$605,MATCH(B264&amp;"|"&amp;C264,'Kit Lists'!$J$6:$J$605,0)),"Not on this contract's kit list"))</f>
        <v/>
      </c>
      <c r="H264" s="83" t="str">
        <f aca="false">IF(AND(B264="",C264="",D264=""),"",IF(B264="","Missing contract",IF(C264="","Missing code",IF(LEFT(G264,3)="Not","Wrong code",IF(D264="","Missing qty",IF(A264="","Missing date",""))))))</f>
        <v/>
      </c>
      <c r="I264" s="84" t="str">
        <f aca="false">IF(B264=Dashboard!$D$3,ROW(),"")</f>
        <v/>
      </c>
    </row>
    <row r="265" customFormat="false" ht="15" hidden="false" customHeight="false" outlineLevel="0" collapsed="false">
      <c r="A265" s="80"/>
      <c r="B265" s="71"/>
      <c r="C265" s="71"/>
      <c r="D265" s="81"/>
      <c r="E265" s="71"/>
      <c r="F265" s="71"/>
      <c r="G265" s="82" t="str">
        <f aca="false">IF(C265="","",IFERROR(INDEX('Kit Lists'!$D$6:$D$605,MATCH(B265&amp;"|"&amp;C265,'Kit Lists'!$J$6:$J$605,0)),"Not on this contract's kit list"))</f>
        <v/>
      </c>
      <c r="H265" s="83" t="str">
        <f aca="false">IF(AND(B265="",C265="",D265=""),"",IF(B265="","Missing contract",IF(C265="","Missing code",IF(LEFT(G265,3)="Not","Wrong code",IF(D265="","Missing qty",IF(A265="","Missing date",""))))))</f>
        <v/>
      </c>
      <c r="I265" s="84" t="str">
        <f aca="false">IF(B265=Dashboard!$D$3,ROW(),"")</f>
        <v/>
      </c>
    </row>
    <row r="266" customFormat="false" ht="15" hidden="false" customHeight="false" outlineLevel="0" collapsed="false">
      <c r="A266" s="80"/>
      <c r="B266" s="71"/>
      <c r="C266" s="71"/>
      <c r="D266" s="81"/>
      <c r="E266" s="71"/>
      <c r="F266" s="71"/>
      <c r="G266" s="82" t="str">
        <f aca="false">IF(C266="","",IFERROR(INDEX('Kit Lists'!$D$6:$D$605,MATCH(B266&amp;"|"&amp;C266,'Kit Lists'!$J$6:$J$605,0)),"Not on this contract's kit list"))</f>
        <v/>
      </c>
      <c r="H266" s="83" t="str">
        <f aca="false">IF(AND(B266="",C266="",D266=""),"",IF(B266="","Missing contract",IF(C266="","Missing code",IF(LEFT(G266,3)="Not","Wrong code",IF(D266="","Missing qty",IF(A266="","Missing date",""))))))</f>
        <v/>
      </c>
      <c r="I266" s="84" t="str">
        <f aca="false">IF(B266=Dashboard!$D$3,ROW(),"")</f>
        <v/>
      </c>
    </row>
    <row r="267" customFormat="false" ht="15" hidden="false" customHeight="false" outlineLevel="0" collapsed="false">
      <c r="A267" s="80"/>
      <c r="B267" s="71"/>
      <c r="C267" s="71"/>
      <c r="D267" s="81"/>
      <c r="E267" s="71"/>
      <c r="F267" s="71"/>
      <c r="G267" s="82" t="str">
        <f aca="false">IF(C267="","",IFERROR(INDEX('Kit Lists'!$D$6:$D$605,MATCH(B267&amp;"|"&amp;C267,'Kit Lists'!$J$6:$J$605,0)),"Not on this contract's kit list"))</f>
        <v/>
      </c>
      <c r="H267" s="83" t="str">
        <f aca="false">IF(AND(B267="",C267="",D267=""),"",IF(B267="","Missing contract",IF(C267="","Missing code",IF(LEFT(G267,3)="Not","Wrong code",IF(D267="","Missing qty",IF(A267="","Missing date",""))))))</f>
        <v/>
      </c>
      <c r="I267" s="84" t="str">
        <f aca="false">IF(B267=Dashboard!$D$3,ROW(),"")</f>
        <v/>
      </c>
    </row>
    <row r="268" customFormat="false" ht="15" hidden="false" customHeight="false" outlineLevel="0" collapsed="false">
      <c r="A268" s="80"/>
      <c r="B268" s="71"/>
      <c r="C268" s="71"/>
      <c r="D268" s="81"/>
      <c r="E268" s="71"/>
      <c r="F268" s="71"/>
      <c r="G268" s="82" t="str">
        <f aca="false">IF(C268="","",IFERROR(INDEX('Kit Lists'!$D$6:$D$605,MATCH(B268&amp;"|"&amp;C268,'Kit Lists'!$J$6:$J$605,0)),"Not on this contract's kit list"))</f>
        <v/>
      </c>
      <c r="H268" s="83" t="str">
        <f aca="false">IF(AND(B268="",C268="",D268=""),"",IF(B268="","Missing contract",IF(C268="","Missing code",IF(LEFT(G268,3)="Not","Wrong code",IF(D268="","Missing qty",IF(A268="","Missing date",""))))))</f>
        <v/>
      </c>
      <c r="I268" s="84" t="str">
        <f aca="false">IF(B268=Dashboard!$D$3,ROW(),"")</f>
        <v/>
      </c>
    </row>
    <row r="269" customFormat="false" ht="15" hidden="false" customHeight="false" outlineLevel="0" collapsed="false">
      <c r="A269" s="80"/>
      <c r="B269" s="71"/>
      <c r="C269" s="71"/>
      <c r="D269" s="81"/>
      <c r="E269" s="71"/>
      <c r="F269" s="71"/>
      <c r="G269" s="82" t="str">
        <f aca="false">IF(C269="","",IFERROR(INDEX('Kit Lists'!$D$6:$D$605,MATCH(B269&amp;"|"&amp;C269,'Kit Lists'!$J$6:$J$605,0)),"Not on this contract's kit list"))</f>
        <v/>
      </c>
      <c r="H269" s="83" t="str">
        <f aca="false">IF(AND(B269="",C269="",D269=""),"",IF(B269="","Missing contract",IF(C269="","Missing code",IF(LEFT(G269,3)="Not","Wrong code",IF(D269="","Missing qty",IF(A269="","Missing date",""))))))</f>
        <v/>
      </c>
      <c r="I269" s="84" t="str">
        <f aca="false">IF(B269=Dashboard!$D$3,ROW(),"")</f>
        <v/>
      </c>
    </row>
    <row r="270" customFormat="false" ht="15" hidden="false" customHeight="false" outlineLevel="0" collapsed="false">
      <c r="A270" s="80"/>
      <c r="B270" s="71"/>
      <c r="C270" s="71"/>
      <c r="D270" s="81"/>
      <c r="E270" s="71"/>
      <c r="F270" s="71"/>
      <c r="G270" s="82" t="str">
        <f aca="false">IF(C270="","",IFERROR(INDEX('Kit Lists'!$D$6:$D$605,MATCH(B270&amp;"|"&amp;C270,'Kit Lists'!$J$6:$J$605,0)),"Not on this contract's kit list"))</f>
        <v/>
      </c>
      <c r="H270" s="83" t="str">
        <f aca="false">IF(AND(B270="",C270="",D270=""),"",IF(B270="","Missing contract",IF(C270="","Missing code",IF(LEFT(G270,3)="Not","Wrong code",IF(D270="","Missing qty",IF(A270="","Missing date",""))))))</f>
        <v/>
      </c>
      <c r="I270" s="84" t="str">
        <f aca="false">IF(B270=Dashboard!$D$3,ROW(),"")</f>
        <v/>
      </c>
    </row>
    <row r="271" customFormat="false" ht="15" hidden="false" customHeight="false" outlineLevel="0" collapsed="false">
      <c r="A271" s="80"/>
      <c r="B271" s="71"/>
      <c r="C271" s="71"/>
      <c r="D271" s="81"/>
      <c r="E271" s="71"/>
      <c r="F271" s="71"/>
      <c r="G271" s="82" t="str">
        <f aca="false">IF(C271="","",IFERROR(INDEX('Kit Lists'!$D$6:$D$605,MATCH(B271&amp;"|"&amp;C271,'Kit Lists'!$J$6:$J$605,0)),"Not on this contract's kit list"))</f>
        <v/>
      </c>
      <c r="H271" s="83" t="str">
        <f aca="false">IF(AND(B271="",C271="",D271=""),"",IF(B271="","Missing contract",IF(C271="","Missing code",IF(LEFT(G271,3)="Not","Wrong code",IF(D271="","Missing qty",IF(A271="","Missing date",""))))))</f>
        <v/>
      </c>
      <c r="I271" s="84" t="str">
        <f aca="false">IF(B271=Dashboard!$D$3,ROW(),"")</f>
        <v/>
      </c>
    </row>
    <row r="272" customFormat="false" ht="15" hidden="false" customHeight="false" outlineLevel="0" collapsed="false">
      <c r="A272" s="80"/>
      <c r="B272" s="71"/>
      <c r="C272" s="71"/>
      <c r="D272" s="81"/>
      <c r="E272" s="71"/>
      <c r="F272" s="71"/>
      <c r="G272" s="82" t="str">
        <f aca="false">IF(C272="","",IFERROR(INDEX('Kit Lists'!$D$6:$D$605,MATCH(B272&amp;"|"&amp;C272,'Kit Lists'!$J$6:$J$605,0)),"Not on this contract's kit list"))</f>
        <v/>
      </c>
      <c r="H272" s="83" t="str">
        <f aca="false">IF(AND(B272="",C272="",D272=""),"",IF(B272="","Missing contract",IF(C272="","Missing code",IF(LEFT(G272,3)="Not","Wrong code",IF(D272="","Missing qty",IF(A272="","Missing date",""))))))</f>
        <v/>
      </c>
      <c r="I272" s="84" t="str">
        <f aca="false">IF(B272=Dashboard!$D$3,ROW(),"")</f>
        <v/>
      </c>
    </row>
    <row r="273" customFormat="false" ht="15" hidden="false" customHeight="false" outlineLevel="0" collapsed="false">
      <c r="A273" s="80"/>
      <c r="B273" s="71"/>
      <c r="C273" s="71"/>
      <c r="D273" s="81"/>
      <c r="E273" s="71"/>
      <c r="F273" s="71"/>
      <c r="G273" s="82" t="str">
        <f aca="false">IF(C273="","",IFERROR(INDEX('Kit Lists'!$D$6:$D$605,MATCH(B273&amp;"|"&amp;C273,'Kit Lists'!$J$6:$J$605,0)),"Not on this contract's kit list"))</f>
        <v/>
      </c>
      <c r="H273" s="83" t="str">
        <f aca="false">IF(AND(B273="",C273="",D273=""),"",IF(B273="","Missing contract",IF(C273="","Missing code",IF(LEFT(G273,3)="Not","Wrong code",IF(D273="","Missing qty",IF(A273="","Missing date",""))))))</f>
        <v/>
      </c>
      <c r="I273" s="84" t="str">
        <f aca="false">IF(B273=Dashboard!$D$3,ROW(),"")</f>
        <v/>
      </c>
    </row>
    <row r="274" customFormat="false" ht="15" hidden="false" customHeight="false" outlineLevel="0" collapsed="false">
      <c r="A274" s="80"/>
      <c r="B274" s="71"/>
      <c r="C274" s="71"/>
      <c r="D274" s="81"/>
      <c r="E274" s="71"/>
      <c r="F274" s="71"/>
      <c r="G274" s="82" t="str">
        <f aca="false">IF(C274="","",IFERROR(INDEX('Kit Lists'!$D$6:$D$605,MATCH(B274&amp;"|"&amp;C274,'Kit Lists'!$J$6:$J$605,0)),"Not on this contract's kit list"))</f>
        <v/>
      </c>
      <c r="H274" s="83" t="str">
        <f aca="false">IF(AND(B274="",C274="",D274=""),"",IF(B274="","Missing contract",IF(C274="","Missing code",IF(LEFT(G274,3)="Not","Wrong code",IF(D274="","Missing qty",IF(A274="","Missing date",""))))))</f>
        <v/>
      </c>
      <c r="I274" s="84" t="str">
        <f aca="false">IF(B274=Dashboard!$D$3,ROW(),"")</f>
        <v/>
      </c>
    </row>
    <row r="275" customFormat="false" ht="15" hidden="false" customHeight="false" outlineLevel="0" collapsed="false">
      <c r="A275" s="80"/>
      <c r="B275" s="71"/>
      <c r="C275" s="71"/>
      <c r="D275" s="81"/>
      <c r="E275" s="71"/>
      <c r="F275" s="71"/>
      <c r="G275" s="82" t="str">
        <f aca="false">IF(C275="","",IFERROR(INDEX('Kit Lists'!$D$6:$D$605,MATCH(B275&amp;"|"&amp;C275,'Kit Lists'!$J$6:$J$605,0)),"Not on this contract's kit list"))</f>
        <v/>
      </c>
      <c r="H275" s="83" t="str">
        <f aca="false">IF(AND(B275="",C275="",D275=""),"",IF(B275="","Missing contract",IF(C275="","Missing code",IF(LEFT(G275,3)="Not","Wrong code",IF(D275="","Missing qty",IF(A275="","Missing date",""))))))</f>
        <v/>
      </c>
      <c r="I275" s="84" t="str">
        <f aca="false">IF(B275=Dashboard!$D$3,ROW(),"")</f>
        <v/>
      </c>
    </row>
    <row r="276" customFormat="false" ht="15" hidden="false" customHeight="false" outlineLevel="0" collapsed="false">
      <c r="A276" s="80"/>
      <c r="B276" s="71"/>
      <c r="C276" s="71"/>
      <c r="D276" s="81"/>
      <c r="E276" s="71"/>
      <c r="F276" s="71"/>
      <c r="G276" s="82" t="str">
        <f aca="false">IF(C276="","",IFERROR(INDEX('Kit Lists'!$D$6:$D$605,MATCH(B276&amp;"|"&amp;C276,'Kit Lists'!$J$6:$J$605,0)),"Not on this contract's kit list"))</f>
        <v/>
      </c>
      <c r="H276" s="83" t="str">
        <f aca="false">IF(AND(B276="",C276="",D276=""),"",IF(B276="","Missing contract",IF(C276="","Missing code",IF(LEFT(G276,3)="Not","Wrong code",IF(D276="","Missing qty",IF(A276="","Missing date",""))))))</f>
        <v/>
      </c>
      <c r="I276" s="84" t="str">
        <f aca="false">IF(B276=Dashboard!$D$3,ROW(),"")</f>
        <v/>
      </c>
    </row>
    <row r="277" customFormat="false" ht="15" hidden="false" customHeight="false" outlineLevel="0" collapsed="false">
      <c r="A277" s="80"/>
      <c r="B277" s="71"/>
      <c r="C277" s="71"/>
      <c r="D277" s="81"/>
      <c r="E277" s="71"/>
      <c r="F277" s="71"/>
      <c r="G277" s="82" t="str">
        <f aca="false">IF(C277="","",IFERROR(INDEX('Kit Lists'!$D$6:$D$605,MATCH(B277&amp;"|"&amp;C277,'Kit Lists'!$J$6:$J$605,0)),"Not on this contract's kit list"))</f>
        <v/>
      </c>
      <c r="H277" s="83" t="str">
        <f aca="false">IF(AND(B277="",C277="",D277=""),"",IF(B277="","Missing contract",IF(C277="","Missing code",IF(LEFT(G277,3)="Not","Wrong code",IF(D277="","Missing qty",IF(A277="","Missing date",""))))))</f>
        <v/>
      </c>
      <c r="I277" s="84" t="str">
        <f aca="false">IF(B277=Dashboard!$D$3,ROW(),"")</f>
        <v/>
      </c>
    </row>
    <row r="278" customFormat="false" ht="15" hidden="false" customHeight="false" outlineLevel="0" collapsed="false">
      <c r="A278" s="80"/>
      <c r="B278" s="71"/>
      <c r="C278" s="71"/>
      <c r="D278" s="81"/>
      <c r="E278" s="71"/>
      <c r="F278" s="71"/>
      <c r="G278" s="82" t="str">
        <f aca="false">IF(C278="","",IFERROR(INDEX('Kit Lists'!$D$6:$D$605,MATCH(B278&amp;"|"&amp;C278,'Kit Lists'!$J$6:$J$605,0)),"Not on this contract's kit list"))</f>
        <v/>
      </c>
      <c r="H278" s="83" t="str">
        <f aca="false">IF(AND(B278="",C278="",D278=""),"",IF(B278="","Missing contract",IF(C278="","Missing code",IF(LEFT(G278,3)="Not","Wrong code",IF(D278="","Missing qty",IF(A278="","Missing date",""))))))</f>
        <v/>
      </c>
      <c r="I278" s="84" t="str">
        <f aca="false">IF(B278=Dashboard!$D$3,ROW(),"")</f>
        <v/>
      </c>
    </row>
    <row r="279" customFormat="false" ht="15" hidden="false" customHeight="false" outlineLevel="0" collapsed="false">
      <c r="A279" s="80"/>
      <c r="B279" s="71"/>
      <c r="C279" s="71"/>
      <c r="D279" s="81"/>
      <c r="E279" s="71"/>
      <c r="F279" s="71"/>
      <c r="G279" s="82" t="str">
        <f aca="false">IF(C279="","",IFERROR(INDEX('Kit Lists'!$D$6:$D$605,MATCH(B279&amp;"|"&amp;C279,'Kit Lists'!$J$6:$J$605,0)),"Not on this contract's kit list"))</f>
        <v/>
      </c>
      <c r="H279" s="83" t="str">
        <f aca="false">IF(AND(B279="",C279="",D279=""),"",IF(B279="","Missing contract",IF(C279="","Missing code",IF(LEFT(G279,3)="Not","Wrong code",IF(D279="","Missing qty",IF(A279="","Missing date",""))))))</f>
        <v/>
      </c>
      <c r="I279" s="84" t="str">
        <f aca="false">IF(B279=Dashboard!$D$3,ROW(),"")</f>
        <v/>
      </c>
    </row>
    <row r="280" customFormat="false" ht="15" hidden="false" customHeight="false" outlineLevel="0" collapsed="false">
      <c r="A280" s="80"/>
      <c r="B280" s="71"/>
      <c r="C280" s="71"/>
      <c r="D280" s="81"/>
      <c r="E280" s="71"/>
      <c r="F280" s="71"/>
      <c r="G280" s="82" t="str">
        <f aca="false">IF(C280="","",IFERROR(INDEX('Kit Lists'!$D$6:$D$605,MATCH(B280&amp;"|"&amp;C280,'Kit Lists'!$J$6:$J$605,0)),"Not on this contract's kit list"))</f>
        <v/>
      </c>
      <c r="H280" s="83" t="str">
        <f aca="false">IF(AND(B280="",C280="",D280=""),"",IF(B280="","Missing contract",IF(C280="","Missing code",IF(LEFT(G280,3)="Not","Wrong code",IF(D280="","Missing qty",IF(A280="","Missing date",""))))))</f>
        <v/>
      </c>
      <c r="I280" s="84" t="str">
        <f aca="false">IF(B280=Dashboard!$D$3,ROW(),"")</f>
        <v/>
      </c>
    </row>
    <row r="281" customFormat="false" ht="15" hidden="false" customHeight="false" outlineLevel="0" collapsed="false">
      <c r="A281" s="80"/>
      <c r="B281" s="71"/>
      <c r="C281" s="71"/>
      <c r="D281" s="81"/>
      <c r="E281" s="71"/>
      <c r="F281" s="71"/>
      <c r="G281" s="82" t="str">
        <f aca="false">IF(C281="","",IFERROR(INDEX('Kit Lists'!$D$6:$D$605,MATCH(B281&amp;"|"&amp;C281,'Kit Lists'!$J$6:$J$605,0)),"Not on this contract's kit list"))</f>
        <v/>
      </c>
      <c r="H281" s="83" t="str">
        <f aca="false">IF(AND(B281="",C281="",D281=""),"",IF(B281="","Missing contract",IF(C281="","Missing code",IF(LEFT(G281,3)="Not","Wrong code",IF(D281="","Missing qty",IF(A281="","Missing date",""))))))</f>
        <v/>
      </c>
      <c r="I281" s="84" t="str">
        <f aca="false">IF(B281=Dashboard!$D$3,ROW(),"")</f>
        <v/>
      </c>
    </row>
    <row r="282" customFormat="false" ht="15" hidden="false" customHeight="false" outlineLevel="0" collapsed="false">
      <c r="A282" s="80"/>
      <c r="B282" s="71"/>
      <c r="C282" s="71"/>
      <c r="D282" s="81"/>
      <c r="E282" s="71"/>
      <c r="F282" s="71"/>
      <c r="G282" s="82" t="str">
        <f aca="false">IF(C282="","",IFERROR(INDEX('Kit Lists'!$D$6:$D$605,MATCH(B282&amp;"|"&amp;C282,'Kit Lists'!$J$6:$J$605,0)),"Not on this contract's kit list"))</f>
        <v/>
      </c>
      <c r="H282" s="83" t="str">
        <f aca="false">IF(AND(B282="",C282="",D282=""),"",IF(B282="","Missing contract",IF(C282="","Missing code",IF(LEFT(G282,3)="Not","Wrong code",IF(D282="","Missing qty",IF(A282="","Missing date",""))))))</f>
        <v/>
      </c>
      <c r="I282" s="84" t="str">
        <f aca="false">IF(B282=Dashboard!$D$3,ROW(),"")</f>
        <v/>
      </c>
    </row>
    <row r="283" customFormat="false" ht="15" hidden="false" customHeight="false" outlineLevel="0" collapsed="false">
      <c r="A283" s="80"/>
      <c r="B283" s="71"/>
      <c r="C283" s="71"/>
      <c r="D283" s="81"/>
      <c r="E283" s="71"/>
      <c r="F283" s="71"/>
      <c r="G283" s="82" t="str">
        <f aca="false">IF(C283="","",IFERROR(INDEX('Kit Lists'!$D$6:$D$605,MATCH(B283&amp;"|"&amp;C283,'Kit Lists'!$J$6:$J$605,0)),"Not on this contract's kit list"))</f>
        <v/>
      </c>
      <c r="H283" s="83" t="str">
        <f aca="false">IF(AND(B283="",C283="",D283=""),"",IF(B283="","Missing contract",IF(C283="","Missing code",IF(LEFT(G283,3)="Not","Wrong code",IF(D283="","Missing qty",IF(A283="","Missing date",""))))))</f>
        <v/>
      </c>
      <c r="I283" s="84" t="str">
        <f aca="false">IF(B283=Dashboard!$D$3,ROW(),"")</f>
        <v/>
      </c>
    </row>
    <row r="284" customFormat="false" ht="15" hidden="false" customHeight="false" outlineLevel="0" collapsed="false">
      <c r="A284" s="80"/>
      <c r="B284" s="71"/>
      <c r="C284" s="71"/>
      <c r="D284" s="81"/>
      <c r="E284" s="71"/>
      <c r="F284" s="71"/>
      <c r="G284" s="82" t="str">
        <f aca="false">IF(C284="","",IFERROR(INDEX('Kit Lists'!$D$6:$D$605,MATCH(B284&amp;"|"&amp;C284,'Kit Lists'!$J$6:$J$605,0)),"Not on this contract's kit list"))</f>
        <v/>
      </c>
      <c r="H284" s="83" t="str">
        <f aca="false">IF(AND(B284="",C284="",D284=""),"",IF(B284="","Missing contract",IF(C284="","Missing code",IF(LEFT(G284,3)="Not","Wrong code",IF(D284="","Missing qty",IF(A284="","Missing date",""))))))</f>
        <v/>
      </c>
      <c r="I284" s="84" t="str">
        <f aca="false">IF(B284=Dashboard!$D$3,ROW(),"")</f>
        <v/>
      </c>
    </row>
    <row r="285" customFormat="false" ht="15" hidden="false" customHeight="false" outlineLevel="0" collapsed="false">
      <c r="A285" s="80"/>
      <c r="B285" s="71"/>
      <c r="C285" s="71"/>
      <c r="D285" s="81"/>
      <c r="E285" s="71"/>
      <c r="F285" s="71"/>
      <c r="G285" s="82" t="str">
        <f aca="false">IF(C285="","",IFERROR(INDEX('Kit Lists'!$D$6:$D$605,MATCH(B285&amp;"|"&amp;C285,'Kit Lists'!$J$6:$J$605,0)),"Not on this contract's kit list"))</f>
        <v/>
      </c>
      <c r="H285" s="83" t="str">
        <f aca="false">IF(AND(B285="",C285="",D285=""),"",IF(B285="","Missing contract",IF(C285="","Missing code",IF(LEFT(G285,3)="Not","Wrong code",IF(D285="","Missing qty",IF(A285="","Missing date",""))))))</f>
        <v/>
      </c>
      <c r="I285" s="84" t="str">
        <f aca="false">IF(B285=Dashboard!$D$3,ROW(),"")</f>
        <v/>
      </c>
    </row>
    <row r="286" customFormat="false" ht="15" hidden="false" customHeight="false" outlineLevel="0" collapsed="false">
      <c r="A286" s="80"/>
      <c r="B286" s="71"/>
      <c r="C286" s="71"/>
      <c r="D286" s="81"/>
      <c r="E286" s="71"/>
      <c r="F286" s="71"/>
      <c r="G286" s="82" t="str">
        <f aca="false">IF(C286="","",IFERROR(INDEX('Kit Lists'!$D$6:$D$605,MATCH(B286&amp;"|"&amp;C286,'Kit Lists'!$J$6:$J$605,0)),"Not on this contract's kit list"))</f>
        <v/>
      </c>
      <c r="H286" s="83" t="str">
        <f aca="false">IF(AND(B286="",C286="",D286=""),"",IF(B286="","Missing contract",IF(C286="","Missing code",IF(LEFT(G286,3)="Not","Wrong code",IF(D286="","Missing qty",IF(A286="","Missing date",""))))))</f>
        <v/>
      </c>
      <c r="I286" s="84" t="str">
        <f aca="false">IF(B286=Dashboard!$D$3,ROW(),"")</f>
        <v/>
      </c>
    </row>
    <row r="287" customFormat="false" ht="15" hidden="false" customHeight="false" outlineLevel="0" collapsed="false">
      <c r="A287" s="80"/>
      <c r="B287" s="71"/>
      <c r="C287" s="71"/>
      <c r="D287" s="81"/>
      <c r="E287" s="71"/>
      <c r="F287" s="71"/>
      <c r="G287" s="82" t="str">
        <f aca="false">IF(C287="","",IFERROR(INDEX('Kit Lists'!$D$6:$D$605,MATCH(B287&amp;"|"&amp;C287,'Kit Lists'!$J$6:$J$605,0)),"Not on this contract's kit list"))</f>
        <v/>
      </c>
      <c r="H287" s="83" t="str">
        <f aca="false">IF(AND(B287="",C287="",D287=""),"",IF(B287="","Missing contract",IF(C287="","Missing code",IF(LEFT(G287,3)="Not","Wrong code",IF(D287="","Missing qty",IF(A287="","Missing date",""))))))</f>
        <v/>
      </c>
      <c r="I287" s="84" t="str">
        <f aca="false">IF(B287=Dashboard!$D$3,ROW(),"")</f>
        <v/>
      </c>
    </row>
    <row r="288" customFormat="false" ht="15" hidden="false" customHeight="false" outlineLevel="0" collapsed="false">
      <c r="A288" s="80"/>
      <c r="B288" s="71"/>
      <c r="C288" s="71"/>
      <c r="D288" s="81"/>
      <c r="E288" s="71"/>
      <c r="F288" s="71"/>
      <c r="G288" s="82" t="str">
        <f aca="false">IF(C288="","",IFERROR(INDEX('Kit Lists'!$D$6:$D$605,MATCH(B288&amp;"|"&amp;C288,'Kit Lists'!$J$6:$J$605,0)),"Not on this contract's kit list"))</f>
        <v/>
      </c>
      <c r="H288" s="83" t="str">
        <f aca="false">IF(AND(B288="",C288="",D288=""),"",IF(B288="","Missing contract",IF(C288="","Missing code",IF(LEFT(G288,3)="Not","Wrong code",IF(D288="","Missing qty",IF(A288="","Missing date",""))))))</f>
        <v/>
      </c>
      <c r="I288" s="84" t="str">
        <f aca="false">IF(B288=Dashboard!$D$3,ROW(),"")</f>
        <v/>
      </c>
    </row>
    <row r="289" customFormat="false" ht="15" hidden="false" customHeight="false" outlineLevel="0" collapsed="false">
      <c r="A289" s="80"/>
      <c r="B289" s="71"/>
      <c r="C289" s="71"/>
      <c r="D289" s="81"/>
      <c r="E289" s="71"/>
      <c r="F289" s="71"/>
      <c r="G289" s="82" t="str">
        <f aca="false">IF(C289="","",IFERROR(INDEX('Kit Lists'!$D$6:$D$605,MATCH(B289&amp;"|"&amp;C289,'Kit Lists'!$J$6:$J$605,0)),"Not on this contract's kit list"))</f>
        <v/>
      </c>
      <c r="H289" s="83" t="str">
        <f aca="false">IF(AND(B289="",C289="",D289=""),"",IF(B289="","Missing contract",IF(C289="","Missing code",IF(LEFT(G289,3)="Not","Wrong code",IF(D289="","Missing qty",IF(A289="","Missing date",""))))))</f>
        <v/>
      </c>
      <c r="I289" s="84" t="str">
        <f aca="false">IF(B289=Dashboard!$D$3,ROW(),"")</f>
        <v/>
      </c>
    </row>
    <row r="290" customFormat="false" ht="15" hidden="false" customHeight="false" outlineLevel="0" collapsed="false">
      <c r="A290" s="80"/>
      <c r="B290" s="71"/>
      <c r="C290" s="71"/>
      <c r="D290" s="81"/>
      <c r="E290" s="71"/>
      <c r="F290" s="71"/>
      <c r="G290" s="82" t="str">
        <f aca="false">IF(C290="","",IFERROR(INDEX('Kit Lists'!$D$6:$D$605,MATCH(B290&amp;"|"&amp;C290,'Kit Lists'!$J$6:$J$605,0)),"Not on this contract's kit list"))</f>
        <v/>
      </c>
      <c r="H290" s="83" t="str">
        <f aca="false">IF(AND(B290="",C290="",D290=""),"",IF(B290="","Missing contract",IF(C290="","Missing code",IF(LEFT(G290,3)="Not","Wrong code",IF(D290="","Missing qty",IF(A290="","Missing date",""))))))</f>
        <v/>
      </c>
      <c r="I290" s="84" t="str">
        <f aca="false">IF(B290=Dashboard!$D$3,ROW(),"")</f>
        <v/>
      </c>
    </row>
    <row r="291" customFormat="false" ht="15" hidden="false" customHeight="false" outlineLevel="0" collapsed="false">
      <c r="A291" s="80"/>
      <c r="B291" s="71"/>
      <c r="C291" s="71"/>
      <c r="D291" s="81"/>
      <c r="E291" s="71"/>
      <c r="F291" s="71"/>
      <c r="G291" s="82" t="str">
        <f aca="false">IF(C291="","",IFERROR(INDEX('Kit Lists'!$D$6:$D$605,MATCH(B291&amp;"|"&amp;C291,'Kit Lists'!$J$6:$J$605,0)),"Not on this contract's kit list"))</f>
        <v/>
      </c>
      <c r="H291" s="83" t="str">
        <f aca="false">IF(AND(B291="",C291="",D291=""),"",IF(B291="","Missing contract",IF(C291="","Missing code",IF(LEFT(G291,3)="Not","Wrong code",IF(D291="","Missing qty",IF(A291="","Missing date",""))))))</f>
        <v/>
      </c>
      <c r="I291" s="84" t="str">
        <f aca="false">IF(B291=Dashboard!$D$3,ROW(),"")</f>
        <v/>
      </c>
    </row>
    <row r="292" customFormat="false" ht="15" hidden="false" customHeight="false" outlineLevel="0" collapsed="false">
      <c r="A292" s="80"/>
      <c r="B292" s="71"/>
      <c r="C292" s="71"/>
      <c r="D292" s="81"/>
      <c r="E292" s="71"/>
      <c r="F292" s="71"/>
      <c r="G292" s="82" t="str">
        <f aca="false">IF(C292="","",IFERROR(INDEX('Kit Lists'!$D$6:$D$605,MATCH(B292&amp;"|"&amp;C292,'Kit Lists'!$J$6:$J$605,0)),"Not on this contract's kit list"))</f>
        <v/>
      </c>
      <c r="H292" s="83" t="str">
        <f aca="false">IF(AND(B292="",C292="",D292=""),"",IF(B292="","Missing contract",IF(C292="","Missing code",IF(LEFT(G292,3)="Not","Wrong code",IF(D292="","Missing qty",IF(A292="","Missing date",""))))))</f>
        <v/>
      </c>
      <c r="I292" s="84" t="str">
        <f aca="false">IF(B292=Dashboard!$D$3,ROW(),"")</f>
        <v/>
      </c>
    </row>
    <row r="293" customFormat="false" ht="15" hidden="false" customHeight="false" outlineLevel="0" collapsed="false">
      <c r="A293" s="80"/>
      <c r="B293" s="71"/>
      <c r="C293" s="71"/>
      <c r="D293" s="81"/>
      <c r="E293" s="71"/>
      <c r="F293" s="71"/>
      <c r="G293" s="82" t="str">
        <f aca="false">IF(C293="","",IFERROR(INDEX('Kit Lists'!$D$6:$D$605,MATCH(B293&amp;"|"&amp;C293,'Kit Lists'!$J$6:$J$605,0)),"Not on this contract's kit list"))</f>
        <v/>
      </c>
      <c r="H293" s="83" t="str">
        <f aca="false">IF(AND(B293="",C293="",D293=""),"",IF(B293="","Missing contract",IF(C293="","Missing code",IF(LEFT(G293,3)="Not","Wrong code",IF(D293="","Missing qty",IF(A293="","Missing date",""))))))</f>
        <v/>
      </c>
      <c r="I293" s="84" t="str">
        <f aca="false">IF(B293=Dashboard!$D$3,ROW(),"")</f>
        <v/>
      </c>
    </row>
    <row r="294" customFormat="false" ht="15" hidden="false" customHeight="false" outlineLevel="0" collapsed="false">
      <c r="A294" s="80"/>
      <c r="B294" s="71"/>
      <c r="C294" s="71"/>
      <c r="D294" s="81"/>
      <c r="E294" s="71"/>
      <c r="F294" s="71"/>
      <c r="G294" s="82" t="str">
        <f aca="false">IF(C294="","",IFERROR(INDEX('Kit Lists'!$D$6:$D$605,MATCH(B294&amp;"|"&amp;C294,'Kit Lists'!$J$6:$J$605,0)),"Not on this contract's kit list"))</f>
        <v/>
      </c>
      <c r="H294" s="83" t="str">
        <f aca="false">IF(AND(B294="",C294="",D294=""),"",IF(B294="","Missing contract",IF(C294="","Missing code",IF(LEFT(G294,3)="Not","Wrong code",IF(D294="","Missing qty",IF(A294="","Missing date",""))))))</f>
        <v/>
      </c>
      <c r="I294" s="84" t="str">
        <f aca="false">IF(B294=Dashboard!$D$3,ROW(),"")</f>
        <v/>
      </c>
    </row>
    <row r="295" customFormat="false" ht="15" hidden="false" customHeight="false" outlineLevel="0" collapsed="false">
      <c r="A295" s="80"/>
      <c r="B295" s="71"/>
      <c r="C295" s="71"/>
      <c r="D295" s="81"/>
      <c r="E295" s="71"/>
      <c r="F295" s="71"/>
      <c r="G295" s="82" t="str">
        <f aca="false">IF(C295="","",IFERROR(INDEX('Kit Lists'!$D$6:$D$605,MATCH(B295&amp;"|"&amp;C295,'Kit Lists'!$J$6:$J$605,0)),"Not on this contract's kit list"))</f>
        <v/>
      </c>
      <c r="H295" s="83" t="str">
        <f aca="false">IF(AND(B295="",C295="",D295=""),"",IF(B295="","Missing contract",IF(C295="","Missing code",IF(LEFT(G295,3)="Not","Wrong code",IF(D295="","Missing qty",IF(A295="","Missing date",""))))))</f>
        <v/>
      </c>
      <c r="I295" s="84" t="str">
        <f aca="false">IF(B295=Dashboard!$D$3,ROW(),"")</f>
        <v/>
      </c>
    </row>
    <row r="296" customFormat="false" ht="15" hidden="false" customHeight="false" outlineLevel="0" collapsed="false">
      <c r="A296" s="80"/>
      <c r="B296" s="71"/>
      <c r="C296" s="71"/>
      <c r="D296" s="81"/>
      <c r="E296" s="71"/>
      <c r="F296" s="71"/>
      <c r="G296" s="82" t="str">
        <f aca="false">IF(C296="","",IFERROR(INDEX('Kit Lists'!$D$6:$D$605,MATCH(B296&amp;"|"&amp;C296,'Kit Lists'!$J$6:$J$605,0)),"Not on this contract's kit list"))</f>
        <v/>
      </c>
      <c r="H296" s="83" t="str">
        <f aca="false">IF(AND(B296="",C296="",D296=""),"",IF(B296="","Missing contract",IF(C296="","Missing code",IF(LEFT(G296,3)="Not","Wrong code",IF(D296="","Missing qty",IF(A296="","Missing date",""))))))</f>
        <v/>
      </c>
      <c r="I296" s="84" t="str">
        <f aca="false">IF(B296=Dashboard!$D$3,ROW(),"")</f>
        <v/>
      </c>
    </row>
    <row r="297" customFormat="false" ht="15" hidden="false" customHeight="false" outlineLevel="0" collapsed="false">
      <c r="A297" s="80"/>
      <c r="B297" s="71"/>
      <c r="C297" s="71"/>
      <c r="D297" s="81"/>
      <c r="E297" s="71"/>
      <c r="F297" s="71"/>
      <c r="G297" s="82" t="str">
        <f aca="false">IF(C297="","",IFERROR(INDEX('Kit Lists'!$D$6:$D$605,MATCH(B297&amp;"|"&amp;C297,'Kit Lists'!$J$6:$J$605,0)),"Not on this contract's kit list"))</f>
        <v/>
      </c>
      <c r="H297" s="83" t="str">
        <f aca="false">IF(AND(B297="",C297="",D297=""),"",IF(B297="","Missing contract",IF(C297="","Missing code",IF(LEFT(G297,3)="Not","Wrong code",IF(D297="","Missing qty",IF(A297="","Missing date",""))))))</f>
        <v/>
      </c>
      <c r="I297" s="84" t="str">
        <f aca="false">IF(B297=Dashboard!$D$3,ROW(),"")</f>
        <v/>
      </c>
    </row>
    <row r="298" customFormat="false" ht="15" hidden="false" customHeight="false" outlineLevel="0" collapsed="false">
      <c r="A298" s="80"/>
      <c r="B298" s="71"/>
      <c r="C298" s="71"/>
      <c r="D298" s="81"/>
      <c r="E298" s="71"/>
      <c r="F298" s="71"/>
      <c r="G298" s="82" t="str">
        <f aca="false">IF(C298="","",IFERROR(INDEX('Kit Lists'!$D$6:$D$605,MATCH(B298&amp;"|"&amp;C298,'Kit Lists'!$J$6:$J$605,0)),"Not on this contract's kit list"))</f>
        <v/>
      </c>
      <c r="H298" s="83" t="str">
        <f aca="false">IF(AND(B298="",C298="",D298=""),"",IF(B298="","Missing contract",IF(C298="","Missing code",IF(LEFT(G298,3)="Not","Wrong code",IF(D298="","Missing qty",IF(A298="","Missing date",""))))))</f>
        <v/>
      </c>
      <c r="I298" s="84" t="str">
        <f aca="false">IF(B298=Dashboard!$D$3,ROW(),"")</f>
        <v/>
      </c>
    </row>
    <row r="299" customFormat="false" ht="15" hidden="false" customHeight="false" outlineLevel="0" collapsed="false">
      <c r="A299" s="80"/>
      <c r="B299" s="71"/>
      <c r="C299" s="71"/>
      <c r="D299" s="81"/>
      <c r="E299" s="71"/>
      <c r="F299" s="71"/>
      <c r="G299" s="82" t="str">
        <f aca="false">IF(C299="","",IFERROR(INDEX('Kit Lists'!$D$6:$D$605,MATCH(B299&amp;"|"&amp;C299,'Kit Lists'!$J$6:$J$605,0)),"Not on this contract's kit list"))</f>
        <v/>
      </c>
      <c r="H299" s="83" t="str">
        <f aca="false">IF(AND(B299="",C299="",D299=""),"",IF(B299="","Missing contract",IF(C299="","Missing code",IF(LEFT(G299,3)="Not","Wrong code",IF(D299="","Missing qty",IF(A299="","Missing date",""))))))</f>
        <v/>
      </c>
      <c r="I299" s="84" t="str">
        <f aca="false">IF(B299=Dashboard!$D$3,ROW(),"")</f>
        <v/>
      </c>
    </row>
    <row r="300" customFormat="false" ht="15" hidden="false" customHeight="false" outlineLevel="0" collapsed="false">
      <c r="A300" s="80"/>
      <c r="B300" s="71"/>
      <c r="C300" s="71"/>
      <c r="D300" s="81"/>
      <c r="E300" s="71"/>
      <c r="F300" s="71"/>
      <c r="G300" s="82" t="str">
        <f aca="false">IF(C300="","",IFERROR(INDEX('Kit Lists'!$D$6:$D$605,MATCH(B300&amp;"|"&amp;C300,'Kit Lists'!$J$6:$J$605,0)),"Not on this contract's kit list"))</f>
        <v/>
      </c>
      <c r="H300" s="83" t="str">
        <f aca="false">IF(AND(B300="",C300="",D300=""),"",IF(B300="","Missing contract",IF(C300="","Missing code",IF(LEFT(G300,3)="Not","Wrong code",IF(D300="","Missing qty",IF(A300="","Missing date",""))))))</f>
        <v/>
      </c>
      <c r="I300" s="84" t="str">
        <f aca="false">IF(B300=Dashboard!$D$3,ROW(),"")</f>
        <v/>
      </c>
    </row>
    <row r="301" customFormat="false" ht="15" hidden="false" customHeight="false" outlineLevel="0" collapsed="false">
      <c r="A301" s="80"/>
      <c r="B301" s="71"/>
      <c r="C301" s="71"/>
      <c r="D301" s="81"/>
      <c r="E301" s="71"/>
      <c r="F301" s="71"/>
      <c r="G301" s="82" t="str">
        <f aca="false">IF(C301="","",IFERROR(INDEX('Kit Lists'!$D$6:$D$605,MATCH(B301&amp;"|"&amp;C301,'Kit Lists'!$J$6:$J$605,0)),"Not on this contract's kit list"))</f>
        <v/>
      </c>
      <c r="H301" s="83" t="str">
        <f aca="false">IF(AND(B301="",C301="",D301=""),"",IF(B301="","Missing contract",IF(C301="","Missing code",IF(LEFT(G301,3)="Not","Wrong code",IF(D301="","Missing qty",IF(A301="","Missing date",""))))))</f>
        <v/>
      </c>
      <c r="I301" s="84" t="str">
        <f aca="false">IF(B301=Dashboard!$D$3,ROW(),"")</f>
        <v/>
      </c>
    </row>
    <row r="302" customFormat="false" ht="15" hidden="false" customHeight="false" outlineLevel="0" collapsed="false">
      <c r="A302" s="80"/>
      <c r="B302" s="71"/>
      <c r="C302" s="71"/>
      <c r="D302" s="81"/>
      <c r="E302" s="71"/>
      <c r="F302" s="71"/>
      <c r="G302" s="82" t="str">
        <f aca="false">IF(C302="","",IFERROR(INDEX('Kit Lists'!$D$6:$D$605,MATCH(B302&amp;"|"&amp;C302,'Kit Lists'!$J$6:$J$605,0)),"Not on this contract's kit list"))</f>
        <v/>
      </c>
      <c r="H302" s="83" t="str">
        <f aca="false">IF(AND(B302="",C302="",D302=""),"",IF(B302="","Missing contract",IF(C302="","Missing code",IF(LEFT(G302,3)="Not","Wrong code",IF(D302="","Missing qty",IF(A302="","Missing date",""))))))</f>
        <v/>
      </c>
      <c r="I302" s="84" t="str">
        <f aca="false">IF(B302=Dashboard!$D$3,ROW(),"")</f>
        <v/>
      </c>
    </row>
    <row r="303" customFormat="false" ht="15" hidden="false" customHeight="false" outlineLevel="0" collapsed="false">
      <c r="A303" s="80"/>
      <c r="B303" s="71"/>
      <c r="C303" s="71"/>
      <c r="D303" s="81"/>
      <c r="E303" s="71"/>
      <c r="F303" s="71"/>
      <c r="G303" s="82" t="str">
        <f aca="false">IF(C303="","",IFERROR(INDEX('Kit Lists'!$D$6:$D$605,MATCH(B303&amp;"|"&amp;C303,'Kit Lists'!$J$6:$J$605,0)),"Not on this contract's kit list"))</f>
        <v/>
      </c>
      <c r="H303" s="83" t="str">
        <f aca="false">IF(AND(B303="",C303="",D303=""),"",IF(B303="","Missing contract",IF(C303="","Missing code",IF(LEFT(G303,3)="Not","Wrong code",IF(D303="","Missing qty",IF(A303="","Missing date",""))))))</f>
        <v/>
      </c>
      <c r="I303" s="84" t="str">
        <f aca="false">IF(B303=Dashboard!$D$3,ROW(),"")</f>
        <v/>
      </c>
    </row>
    <row r="304" customFormat="false" ht="15" hidden="false" customHeight="false" outlineLevel="0" collapsed="false">
      <c r="A304" s="80"/>
      <c r="B304" s="71"/>
      <c r="C304" s="71"/>
      <c r="D304" s="81"/>
      <c r="E304" s="71"/>
      <c r="F304" s="71"/>
      <c r="G304" s="82" t="str">
        <f aca="false">IF(C304="","",IFERROR(INDEX('Kit Lists'!$D$6:$D$605,MATCH(B304&amp;"|"&amp;C304,'Kit Lists'!$J$6:$J$605,0)),"Not on this contract's kit list"))</f>
        <v/>
      </c>
      <c r="H304" s="83" t="str">
        <f aca="false">IF(AND(B304="",C304="",D304=""),"",IF(B304="","Missing contract",IF(C304="","Missing code",IF(LEFT(G304,3)="Not","Wrong code",IF(D304="","Missing qty",IF(A304="","Missing date",""))))))</f>
        <v/>
      </c>
      <c r="I304" s="84" t="str">
        <f aca="false">IF(B304=Dashboard!$D$3,ROW(),"")</f>
        <v/>
      </c>
    </row>
    <row r="305" customFormat="false" ht="15" hidden="false" customHeight="false" outlineLevel="0" collapsed="false">
      <c r="A305" s="80"/>
      <c r="B305" s="71"/>
      <c r="C305" s="71"/>
      <c r="D305" s="81"/>
      <c r="E305" s="71"/>
      <c r="F305" s="71"/>
      <c r="G305" s="82" t="str">
        <f aca="false">IF(C305="","",IFERROR(INDEX('Kit Lists'!$D$6:$D$605,MATCH(B305&amp;"|"&amp;C305,'Kit Lists'!$J$6:$J$605,0)),"Not on this contract's kit list"))</f>
        <v/>
      </c>
      <c r="H305" s="83" t="str">
        <f aca="false">IF(AND(B305="",C305="",D305=""),"",IF(B305="","Missing contract",IF(C305="","Missing code",IF(LEFT(G305,3)="Not","Wrong code",IF(D305="","Missing qty",IF(A305="","Missing date",""))))))</f>
        <v/>
      </c>
      <c r="I305" s="84" t="str">
        <f aca="false">IF(B305=Dashboard!$D$3,ROW(),"")</f>
        <v/>
      </c>
    </row>
    <row r="306" customFormat="false" ht="15" hidden="false" customHeight="false" outlineLevel="0" collapsed="false">
      <c r="A306" s="80"/>
      <c r="B306" s="71"/>
      <c r="C306" s="71"/>
      <c r="D306" s="81"/>
      <c r="E306" s="71"/>
      <c r="F306" s="71"/>
      <c r="G306" s="82" t="str">
        <f aca="false">IF(C306="","",IFERROR(INDEX('Kit Lists'!$D$6:$D$605,MATCH(B306&amp;"|"&amp;C306,'Kit Lists'!$J$6:$J$605,0)),"Not on this contract's kit list"))</f>
        <v/>
      </c>
      <c r="H306" s="83" t="str">
        <f aca="false">IF(AND(B306="",C306="",D306=""),"",IF(B306="","Missing contract",IF(C306="","Missing code",IF(LEFT(G306,3)="Not","Wrong code",IF(D306="","Missing qty",IF(A306="","Missing date",""))))))</f>
        <v/>
      </c>
      <c r="I306" s="84" t="str">
        <f aca="false">IF(B306=Dashboard!$D$3,ROW(),"")</f>
        <v/>
      </c>
    </row>
    <row r="307" customFormat="false" ht="15" hidden="false" customHeight="false" outlineLevel="0" collapsed="false">
      <c r="A307" s="80"/>
      <c r="B307" s="71"/>
      <c r="C307" s="71"/>
      <c r="D307" s="81"/>
      <c r="E307" s="71"/>
      <c r="F307" s="71"/>
      <c r="G307" s="82" t="str">
        <f aca="false">IF(C307="","",IFERROR(INDEX('Kit Lists'!$D$6:$D$605,MATCH(B307&amp;"|"&amp;C307,'Kit Lists'!$J$6:$J$605,0)),"Not on this contract's kit list"))</f>
        <v/>
      </c>
      <c r="H307" s="83" t="str">
        <f aca="false">IF(AND(B307="",C307="",D307=""),"",IF(B307="","Missing contract",IF(C307="","Missing code",IF(LEFT(G307,3)="Not","Wrong code",IF(D307="","Missing qty",IF(A307="","Missing date",""))))))</f>
        <v/>
      </c>
      <c r="I307" s="84" t="str">
        <f aca="false">IF(B307=Dashboard!$D$3,ROW(),"")</f>
        <v/>
      </c>
    </row>
    <row r="308" customFormat="false" ht="15" hidden="false" customHeight="false" outlineLevel="0" collapsed="false">
      <c r="A308" s="80"/>
      <c r="B308" s="71"/>
      <c r="C308" s="71"/>
      <c r="D308" s="81"/>
      <c r="E308" s="71"/>
      <c r="F308" s="71"/>
      <c r="G308" s="82" t="str">
        <f aca="false">IF(C308="","",IFERROR(INDEX('Kit Lists'!$D$6:$D$605,MATCH(B308&amp;"|"&amp;C308,'Kit Lists'!$J$6:$J$605,0)),"Not on this contract's kit list"))</f>
        <v/>
      </c>
      <c r="H308" s="83" t="str">
        <f aca="false">IF(AND(B308="",C308="",D308=""),"",IF(B308="","Missing contract",IF(C308="","Missing code",IF(LEFT(G308,3)="Not","Wrong code",IF(D308="","Missing qty",IF(A308="","Missing date",""))))))</f>
        <v/>
      </c>
      <c r="I308" s="84" t="str">
        <f aca="false">IF(B308=Dashboard!$D$3,ROW(),"")</f>
        <v/>
      </c>
    </row>
    <row r="309" customFormat="false" ht="15" hidden="false" customHeight="false" outlineLevel="0" collapsed="false">
      <c r="A309" s="80"/>
      <c r="B309" s="71"/>
      <c r="C309" s="71"/>
      <c r="D309" s="81"/>
      <c r="E309" s="71"/>
      <c r="F309" s="71"/>
      <c r="G309" s="82" t="str">
        <f aca="false">IF(C309="","",IFERROR(INDEX('Kit Lists'!$D$6:$D$605,MATCH(B309&amp;"|"&amp;C309,'Kit Lists'!$J$6:$J$605,0)),"Not on this contract's kit list"))</f>
        <v/>
      </c>
      <c r="H309" s="83" t="str">
        <f aca="false">IF(AND(B309="",C309="",D309=""),"",IF(B309="","Missing contract",IF(C309="","Missing code",IF(LEFT(G309,3)="Not","Wrong code",IF(D309="","Missing qty",IF(A309="","Missing date",""))))))</f>
        <v/>
      </c>
      <c r="I309" s="84" t="str">
        <f aca="false">IF(B309=Dashboard!$D$3,ROW(),"")</f>
        <v/>
      </c>
    </row>
    <row r="310" customFormat="false" ht="15" hidden="false" customHeight="false" outlineLevel="0" collapsed="false">
      <c r="A310" s="80"/>
      <c r="B310" s="71"/>
      <c r="C310" s="71"/>
      <c r="D310" s="81"/>
      <c r="E310" s="71"/>
      <c r="F310" s="71"/>
      <c r="G310" s="82" t="str">
        <f aca="false">IF(C310="","",IFERROR(INDEX('Kit Lists'!$D$6:$D$605,MATCH(B310&amp;"|"&amp;C310,'Kit Lists'!$J$6:$J$605,0)),"Not on this contract's kit list"))</f>
        <v/>
      </c>
      <c r="H310" s="83" t="str">
        <f aca="false">IF(AND(B310="",C310="",D310=""),"",IF(B310="","Missing contract",IF(C310="","Missing code",IF(LEFT(G310,3)="Not","Wrong code",IF(D310="","Missing qty",IF(A310="","Missing date",""))))))</f>
        <v/>
      </c>
      <c r="I310" s="84" t="str">
        <f aca="false">IF(B310=Dashboard!$D$3,ROW(),"")</f>
        <v/>
      </c>
    </row>
    <row r="311" customFormat="false" ht="15" hidden="false" customHeight="false" outlineLevel="0" collapsed="false">
      <c r="A311" s="80"/>
      <c r="B311" s="71"/>
      <c r="C311" s="71"/>
      <c r="D311" s="81"/>
      <c r="E311" s="71"/>
      <c r="F311" s="71"/>
      <c r="G311" s="82" t="str">
        <f aca="false">IF(C311="","",IFERROR(INDEX('Kit Lists'!$D$6:$D$605,MATCH(B311&amp;"|"&amp;C311,'Kit Lists'!$J$6:$J$605,0)),"Not on this contract's kit list"))</f>
        <v/>
      </c>
      <c r="H311" s="83" t="str">
        <f aca="false">IF(AND(B311="",C311="",D311=""),"",IF(B311="","Missing contract",IF(C311="","Missing code",IF(LEFT(G311,3)="Not","Wrong code",IF(D311="","Missing qty",IF(A311="","Missing date",""))))))</f>
        <v/>
      </c>
      <c r="I311" s="84" t="str">
        <f aca="false">IF(B311=Dashboard!$D$3,ROW(),"")</f>
        <v/>
      </c>
    </row>
    <row r="312" customFormat="false" ht="15" hidden="false" customHeight="false" outlineLevel="0" collapsed="false">
      <c r="A312" s="80"/>
      <c r="B312" s="71"/>
      <c r="C312" s="71"/>
      <c r="D312" s="81"/>
      <c r="E312" s="71"/>
      <c r="F312" s="71"/>
      <c r="G312" s="82" t="str">
        <f aca="false">IF(C312="","",IFERROR(INDEX('Kit Lists'!$D$6:$D$605,MATCH(B312&amp;"|"&amp;C312,'Kit Lists'!$J$6:$J$605,0)),"Not on this contract's kit list"))</f>
        <v/>
      </c>
      <c r="H312" s="83" t="str">
        <f aca="false">IF(AND(B312="",C312="",D312=""),"",IF(B312="","Missing contract",IF(C312="","Missing code",IF(LEFT(G312,3)="Not","Wrong code",IF(D312="","Missing qty",IF(A312="","Missing date",""))))))</f>
        <v/>
      </c>
      <c r="I312" s="84" t="str">
        <f aca="false">IF(B312=Dashboard!$D$3,ROW(),"")</f>
        <v/>
      </c>
    </row>
    <row r="313" customFormat="false" ht="15" hidden="false" customHeight="false" outlineLevel="0" collapsed="false">
      <c r="A313" s="80"/>
      <c r="B313" s="71"/>
      <c r="C313" s="71"/>
      <c r="D313" s="81"/>
      <c r="E313" s="71"/>
      <c r="F313" s="71"/>
      <c r="G313" s="82" t="str">
        <f aca="false">IF(C313="","",IFERROR(INDEX('Kit Lists'!$D$6:$D$605,MATCH(B313&amp;"|"&amp;C313,'Kit Lists'!$J$6:$J$605,0)),"Not on this contract's kit list"))</f>
        <v/>
      </c>
      <c r="H313" s="83" t="str">
        <f aca="false">IF(AND(B313="",C313="",D313=""),"",IF(B313="","Missing contract",IF(C313="","Missing code",IF(LEFT(G313,3)="Not","Wrong code",IF(D313="","Missing qty",IF(A313="","Missing date",""))))))</f>
        <v/>
      </c>
      <c r="I313" s="84" t="str">
        <f aca="false">IF(B313=Dashboard!$D$3,ROW(),"")</f>
        <v/>
      </c>
    </row>
    <row r="314" customFormat="false" ht="15" hidden="false" customHeight="false" outlineLevel="0" collapsed="false">
      <c r="A314" s="80"/>
      <c r="B314" s="71"/>
      <c r="C314" s="71"/>
      <c r="D314" s="81"/>
      <c r="E314" s="71"/>
      <c r="F314" s="71"/>
      <c r="G314" s="82" t="str">
        <f aca="false">IF(C314="","",IFERROR(INDEX('Kit Lists'!$D$6:$D$605,MATCH(B314&amp;"|"&amp;C314,'Kit Lists'!$J$6:$J$605,0)),"Not on this contract's kit list"))</f>
        <v/>
      </c>
      <c r="H314" s="83" t="str">
        <f aca="false">IF(AND(B314="",C314="",D314=""),"",IF(B314="","Missing contract",IF(C314="","Missing code",IF(LEFT(G314,3)="Not","Wrong code",IF(D314="","Missing qty",IF(A314="","Missing date",""))))))</f>
        <v/>
      </c>
      <c r="I314" s="84" t="str">
        <f aca="false">IF(B314=Dashboard!$D$3,ROW(),"")</f>
        <v/>
      </c>
    </row>
    <row r="315" customFormat="false" ht="15" hidden="false" customHeight="false" outlineLevel="0" collapsed="false">
      <c r="A315" s="80"/>
      <c r="B315" s="71"/>
      <c r="C315" s="71"/>
      <c r="D315" s="81"/>
      <c r="E315" s="71"/>
      <c r="F315" s="71"/>
      <c r="G315" s="82" t="str">
        <f aca="false">IF(C315="","",IFERROR(INDEX('Kit Lists'!$D$6:$D$605,MATCH(B315&amp;"|"&amp;C315,'Kit Lists'!$J$6:$J$605,0)),"Not on this contract's kit list"))</f>
        <v/>
      </c>
      <c r="H315" s="83" t="str">
        <f aca="false">IF(AND(B315="",C315="",D315=""),"",IF(B315="","Missing contract",IF(C315="","Missing code",IF(LEFT(G315,3)="Not","Wrong code",IF(D315="","Missing qty",IF(A315="","Missing date",""))))))</f>
        <v/>
      </c>
      <c r="I315" s="84" t="str">
        <f aca="false">IF(B315=Dashboard!$D$3,ROW(),"")</f>
        <v/>
      </c>
    </row>
    <row r="316" customFormat="false" ht="15" hidden="false" customHeight="false" outlineLevel="0" collapsed="false">
      <c r="A316" s="80"/>
      <c r="B316" s="71"/>
      <c r="C316" s="71"/>
      <c r="D316" s="81"/>
      <c r="E316" s="71"/>
      <c r="F316" s="71"/>
      <c r="G316" s="82" t="str">
        <f aca="false">IF(C316="","",IFERROR(INDEX('Kit Lists'!$D$6:$D$605,MATCH(B316&amp;"|"&amp;C316,'Kit Lists'!$J$6:$J$605,0)),"Not on this contract's kit list"))</f>
        <v/>
      </c>
      <c r="H316" s="83" t="str">
        <f aca="false">IF(AND(B316="",C316="",D316=""),"",IF(B316="","Missing contract",IF(C316="","Missing code",IF(LEFT(G316,3)="Not","Wrong code",IF(D316="","Missing qty",IF(A316="","Missing date",""))))))</f>
        <v/>
      </c>
      <c r="I316" s="84" t="str">
        <f aca="false">IF(B316=Dashboard!$D$3,ROW(),"")</f>
        <v/>
      </c>
    </row>
    <row r="317" customFormat="false" ht="15" hidden="false" customHeight="false" outlineLevel="0" collapsed="false">
      <c r="A317" s="80"/>
      <c r="B317" s="71"/>
      <c r="C317" s="71"/>
      <c r="D317" s="81"/>
      <c r="E317" s="71"/>
      <c r="F317" s="71"/>
      <c r="G317" s="82" t="str">
        <f aca="false">IF(C317="","",IFERROR(INDEX('Kit Lists'!$D$6:$D$605,MATCH(B317&amp;"|"&amp;C317,'Kit Lists'!$J$6:$J$605,0)),"Not on this contract's kit list"))</f>
        <v/>
      </c>
      <c r="H317" s="83" t="str">
        <f aca="false">IF(AND(B317="",C317="",D317=""),"",IF(B317="","Missing contract",IF(C317="","Missing code",IF(LEFT(G317,3)="Not","Wrong code",IF(D317="","Missing qty",IF(A317="","Missing date",""))))))</f>
        <v/>
      </c>
      <c r="I317" s="84" t="str">
        <f aca="false">IF(B317=Dashboard!$D$3,ROW(),"")</f>
        <v/>
      </c>
    </row>
    <row r="318" customFormat="false" ht="15" hidden="false" customHeight="false" outlineLevel="0" collapsed="false">
      <c r="A318" s="80"/>
      <c r="B318" s="71"/>
      <c r="C318" s="71"/>
      <c r="D318" s="81"/>
      <c r="E318" s="71"/>
      <c r="F318" s="71"/>
      <c r="G318" s="82" t="str">
        <f aca="false">IF(C318="","",IFERROR(INDEX('Kit Lists'!$D$6:$D$605,MATCH(B318&amp;"|"&amp;C318,'Kit Lists'!$J$6:$J$605,0)),"Not on this contract's kit list"))</f>
        <v/>
      </c>
      <c r="H318" s="83" t="str">
        <f aca="false">IF(AND(B318="",C318="",D318=""),"",IF(B318="","Missing contract",IF(C318="","Missing code",IF(LEFT(G318,3)="Not","Wrong code",IF(D318="","Missing qty",IF(A318="","Missing date",""))))))</f>
        <v/>
      </c>
      <c r="I318" s="84" t="str">
        <f aca="false">IF(B318=Dashboard!$D$3,ROW(),"")</f>
        <v/>
      </c>
    </row>
    <row r="319" customFormat="false" ht="15" hidden="false" customHeight="false" outlineLevel="0" collapsed="false">
      <c r="A319" s="80"/>
      <c r="B319" s="71"/>
      <c r="C319" s="71"/>
      <c r="D319" s="81"/>
      <c r="E319" s="71"/>
      <c r="F319" s="71"/>
      <c r="G319" s="82" t="str">
        <f aca="false">IF(C319="","",IFERROR(INDEX('Kit Lists'!$D$6:$D$605,MATCH(B319&amp;"|"&amp;C319,'Kit Lists'!$J$6:$J$605,0)),"Not on this contract's kit list"))</f>
        <v/>
      </c>
      <c r="H319" s="83" t="str">
        <f aca="false">IF(AND(B319="",C319="",D319=""),"",IF(B319="","Missing contract",IF(C319="","Missing code",IF(LEFT(G319,3)="Not","Wrong code",IF(D319="","Missing qty",IF(A319="","Missing date",""))))))</f>
        <v/>
      </c>
      <c r="I319" s="84" t="str">
        <f aca="false">IF(B319=Dashboard!$D$3,ROW(),"")</f>
        <v/>
      </c>
    </row>
    <row r="320" customFormat="false" ht="15" hidden="false" customHeight="false" outlineLevel="0" collapsed="false">
      <c r="A320" s="80"/>
      <c r="B320" s="71"/>
      <c r="C320" s="71"/>
      <c r="D320" s="81"/>
      <c r="E320" s="71"/>
      <c r="F320" s="71"/>
      <c r="G320" s="82" t="str">
        <f aca="false">IF(C320="","",IFERROR(INDEX('Kit Lists'!$D$6:$D$605,MATCH(B320&amp;"|"&amp;C320,'Kit Lists'!$J$6:$J$605,0)),"Not on this contract's kit list"))</f>
        <v/>
      </c>
      <c r="H320" s="83" t="str">
        <f aca="false">IF(AND(B320="",C320="",D320=""),"",IF(B320="","Missing contract",IF(C320="","Missing code",IF(LEFT(G320,3)="Not","Wrong code",IF(D320="","Missing qty",IF(A320="","Missing date",""))))))</f>
        <v/>
      </c>
      <c r="I320" s="84" t="str">
        <f aca="false">IF(B320=Dashboard!$D$3,ROW(),"")</f>
        <v/>
      </c>
    </row>
    <row r="321" customFormat="false" ht="15" hidden="false" customHeight="false" outlineLevel="0" collapsed="false">
      <c r="A321" s="80"/>
      <c r="B321" s="71"/>
      <c r="C321" s="71"/>
      <c r="D321" s="81"/>
      <c r="E321" s="71"/>
      <c r="F321" s="71"/>
      <c r="G321" s="82" t="str">
        <f aca="false">IF(C321="","",IFERROR(INDEX('Kit Lists'!$D$6:$D$605,MATCH(B321&amp;"|"&amp;C321,'Kit Lists'!$J$6:$J$605,0)),"Not on this contract's kit list"))</f>
        <v/>
      </c>
      <c r="H321" s="83" t="str">
        <f aca="false">IF(AND(B321="",C321="",D321=""),"",IF(B321="","Missing contract",IF(C321="","Missing code",IF(LEFT(G321,3)="Not","Wrong code",IF(D321="","Missing qty",IF(A321="","Missing date",""))))))</f>
        <v/>
      </c>
      <c r="I321" s="84" t="str">
        <f aca="false">IF(B321=Dashboard!$D$3,ROW(),"")</f>
        <v/>
      </c>
    </row>
    <row r="322" customFormat="false" ht="15" hidden="false" customHeight="false" outlineLevel="0" collapsed="false">
      <c r="A322" s="80"/>
      <c r="B322" s="71"/>
      <c r="C322" s="71"/>
      <c r="D322" s="81"/>
      <c r="E322" s="71"/>
      <c r="F322" s="71"/>
      <c r="G322" s="82" t="str">
        <f aca="false">IF(C322="","",IFERROR(INDEX('Kit Lists'!$D$6:$D$605,MATCH(B322&amp;"|"&amp;C322,'Kit Lists'!$J$6:$J$605,0)),"Not on this contract's kit list"))</f>
        <v/>
      </c>
      <c r="H322" s="83" t="str">
        <f aca="false">IF(AND(B322="",C322="",D322=""),"",IF(B322="","Missing contract",IF(C322="","Missing code",IF(LEFT(G322,3)="Not","Wrong code",IF(D322="","Missing qty",IF(A322="","Missing date",""))))))</f>
        <v/>
      </c>
      <c r="I322" s="84" t="str">
        <f aca="false">IF(B322=Dashboard!$D$3,ROW(),"")</f>
        <v/>
      </c>
    </row>
    <row r="323" customFormat="false" ht="15" hidden="false" customHeight="false" outlineLevel="0" collapsed="false">
      <c r="A323" s="80"/>
      <c r="B323" s="71"/>
      <c r="C323" s="71"/>
      <c r="D323" s="81"/>
      <c r="E323" s="71"/>
      <c r="F323" s="71"/>
      <c r="G323" s="82" t="str">
        <f aca="false">IF(C323="","",IFERROR(INDEX('Kit Lists'!$D$6:$D$605,MATCH(B323&amp;"|"&amp;C323,'Kit Lists'!$J$6:$J$605,0)),"Not on this contract's kit list"))</f>
        <v/>
      </c>
      <c r="H323" s="83" t="str">
        <f aca="false">IF(AND(B323="",C323="",D323=""),"",IF(B323="","Missing contract",IF(C323="","Missing code",IF(LEFT(G323,3)="Not","Wrong code",IF(D323="","Missing qty",IF(A323="","Missing date",""))))))</f>
        <v/>
      </c>
      <c r="I323" s="84" t="str">
        <f aca="false">IF(B323=Dashboard!$D$3,ROW(),"")</f>
        <v/>
      </c>
    </row>
    <row r="324" customFormat="false" ht="15" hidden="false" customHeight="false" outlineLevel="0" collapsed="false">
      <c r="A324" s="80"/>
      <c r="B324" s="71"/>
      <c r="C324" s="71"/>
      <c r="D324" s="81"/>
      <c r="E324" s="71"/>
      <c r="F324" s="71"/>
      <c r="G324" s="82" t="str">
        <f aca="false">IF(C324="","",IFERROR(INDEX('Kit Lists'!$D$6:$D$605,MATCH(B324&amp;"|"&amp;C324,'Kit Lists'!$J$6:$J$605,0)),"Not on this contract's kit list"))</f>
        <v/>
      </c>
      <c r="H324" s="83" t="str">
        <f aca="false">IF(AND(B324="",C324="",D324=""),"",IF(B324="","Missing contract",IF(C324="","Missing code",IF(LEFT(G324,3)="Not","Wrong code",IF(D324="","Missing qty",IF(A324="","Missing date",""))))))</f>
        <v/>
      </c>
      <c r="I324" s="84" t="str">
        <f aca="false">IF(B324=Dashboard!$D$3,ROW(),"")</f>
        <v/>
      </c>
    </row>
    <row r="325" customFormat="false" ht="15" hidden="false" customHeight="false" outlineLevel="0" collapsed="false">
      <c r="A325" s="80"/>
      <c r="B325" s="71"/>
      <c r="C325" s="71"/>
      <c r="D325" s="81"/>
      <c r="E325" s="71"/>
      <c r="F325" s="71"/>
      <c r="G325" s="82" t="str">
        <f aca="false">IF(C325="","",IFERROR(INDEX('Kit Lists'!$D$6:$D$605,MATCH(B325&amp;"|"&amp;C325,'Kit Lists'!$J$6:$J$605,0)),"Not on this contract's kit list"))</f>
        <v/>
      </c>
      <c r="H325" s="83" t="str">
        <f aca="false">IF(AND(B325="",C325="",D325=""),"",IF(B325="","Missing contract",IF(C325="","Missing code",IF(LEFT(G325,3)="Not","Wrong code",IF(D325="","Missing qty",IF(A325="","Missing date",""))))))</f>
        <v/>
      </c>
      <c r="I325" s="84" t="str">
        <f aca="false">IF(B325=Dashboard!$D$3,ROW(),"")</f>
        <v/>
      </c>
    </row>
    <row r="326" customFormat="false" ht="15" hidden="false" customHeight="false" outlineLevel="0" collapsed="false">
      <c r="A326" s="80"/>
      <c r="B326" s="71"/>
      <c r="C326" s="71"/>
      <c r="D326" s="81"/>
      <c r="E326" s="71"/>
      <c r="F326" s="71"/>
      <c r="G326" s="82" t="str">
        <f aca="false">IF(C326="","",IFERROR(INDEX('Kit Lists'!$D$6:$D$605,MATCH(B326&amp;"|"&amp;C326,'Kit Lists'!$J$6:$J$605,0)),"Not on this contract's kit list"))</f>
        <v/>
      </c>
      <c r="H326" s="83" t="str">
        <f aca="false">IF(AND(B326="",C326="",D326=""),"",IF(B326="","Missing contract",IF(C326="","Missing code",IF(LEFT(G326,3)="Not","Wrong code",IF(D326="","Missing qty",IF(A326="","Missing date",""))))))</f>
        <v/>
      </c>
      <c r="I326" s="84" t="str">
        <f aca="false">IF(B326=Dashboard!$D$3,ROW(),"")</f>
        <v/>
      </c>
    </row>
    <row r="327" customFormat="false" ht="15" hidden="false" customHeight="false" outlineLevel="0" collapsed="false">
      <c r="A327" s="80"/>
      <c r="B327" s="71"/>
      <c r="C327" s="71"/>
      <c r="D327" s="81"/>
      <c r="E327" s="71"/>
      <c r="F327" s="71"/>
      <c r="G327" s="82" t="str">
        <f aca="false">IF(C327="","",IFERROR(INDEX('Kit Lists'!$D$6:$D$605,MATCH(B327&amp;"|"&amp;C327,'Kit Lists'!$J$6:$J$605,0)),"Not on this contract's kit list"))</f>
        <v/>
      </c>
      <c r="H327" s="83" t="str">
        <f aca="false">IF(AND(B327="",C327="",D327=""),"",IF(B327="","Missing contract",IF(C327="","Missing code",IF(LEFT(G327,3)="Not","Wrong code",IF(D327="","Missing qty",IF(A327="","Missing date",""))))))</f>
        <v/>
      </c>
      <c r="I327" s="84" t="str">
        <f aca="false">IF(B327=Dashboard!$D$3,ROW(),"")</f>
        <v/>
      </c>
    </row>
    <row r="328" customFormat="false" ht="15" hidden="false" customHeight="false" outlineLevel="0" collapsed="false">
      <c r="A328" s="80"/>
      <c r="B328" s="71"/>
      <c r="C328" s="71"/>
      <c r="D328" s="81"/>
      <c r="E328" s="71"/>
      <c r="F328" s="71"/>
      <c r="G328" s="82" t="str">
        <f aca="false">IF(C328="","",IFERROR(INDEX('Kit Lists'!$D$6:$D$605,MATCH(B328&amp;"|"&amp;C328,'Kit Lists'!$J$6:$J$605,0)),"Not on this contract's kit list"))</f>
        <v/>
      </c>
      <c r="H328" s="83" t="str">
        <f aca="false">IF(AND(B328="",C328="",D328=""),"",IF(B328="","Missing contract",IF(C328="","Missing code",IF(LEFT(G328,3)="Not","Wrong code",IF(D328="","Missing qty",IF(A328="","Missing date",""))))))</f>
        <v/>
      </c>
      <c r="I328" s="84" t="str">
        <f aca="false">IF(B328=Dashboard!$D$3,ROW(),"")</f>
        <v/>
      </c>
    </row>
    <row r="329" customFormat="false" ht="15" hidden="false" customHeight="false" outlineLevel="0" collapsed="false">
      <c r="A329" s="80"/>
      <c r="B329" s="71"/>
      <c r="C329" s="71"/>
      <c r="D329" s="81"/>
      <c r="E329" s="71"/>
      <c r="F329" s="71"/>
      <c r="G329" s="82" t="str">
        <f aca="false">IF(C329="","",IFERROR(INDEX('Kit Lists'!$D$6:$D$605,MATCH(B329&amp;"|"&amp;C329,'Kit Lists'!$J$6:$J$605,0)),"Not on this contract's kit list"))</f>
        <v/>
      </c>
      <c r="H329" s="83" t="str">
        <f aca="false">IF(AND(B329="",C329="",D329=""),"",IF(B329="","Missing contract",IF(C329="","Missing code",IF(LEFT(G329,3)="Not","Wrong code",IF(D329="","Missing qty",IF(A329="","Missing date",""))))))</f>
        <v/>
      </c>
      <c r="I329" s="84" t="str">
        <f aca="false">IF(B329=Dashboard!$D$3,ROW(),"")</f>
        <v/>
      </c>
    </row>
    <row r="330" customFormat="false" ht="15" hidden="false" customHeight="false" outlineLevel="0" collapsed="false">
      <c r="A330" s="80"/>
      <c r="B330" s="71"/>
      <c r="C330" s="71"/>
      <c r="D330" s="81"/>
      <c r="E330" s="71"/>
      <c r="F330" s="71"/>
      <c r="G330" s="82" t="str">
        <f aca="false">IF(C330="","",IFERROR(INDEX('Kit Lists'!$D$6:$D$605,MATCH(B330&amp;"|"&amp;C330,'Kit Lists'!$J$6:$J$605,0)),"Not on this contract's kit list"))</f>
        <v/>
      </c>
      <c r="H330" s="83" t="str">
        <f aca="false">IF(AND(B330="",C330="",D330=""),"",IF(B330="","Missing contract",IF(C330="","Missing code",IF(LEFT(G330,3)="Not","Wrong code",IF(D330="","Missing qty",IF(A330="","Missing date",""))))))</f>
        <v/>
      </c>
      <c r="I330" s="84" t="str">
        <f aca="false">IF(B330=Dashboard!$D$3,ROW(),"")</f>
        <v/>
      </c>
    </row>
    <row r="331" customFormat="false" ht="15" hidden="false" customHeight="false" outlineLevel="0" collapsed="false">
      <c r="A331" s="80"/>
      <c r="B331" s="71"/>
      <c r="C331" s="71"/>
      <c r="D331" s="81"/>
      <c r="E331" s="71"/>
      <c r="F331" s="71"/>
      <c r="G331" s="82" t="str">
        <f aca="false">IF(C331="","",IFERROR(INDEX('Kit Lists'!$D$6:$D$605,MATCH(B331&amp;"|"&amp;C331,'Kit Lists'!$J$6:$J$605,0)),"Not on this contract's kit list"))</f>
        <v/>
      </c>
      <c r="H331" s="83" t="str">
        <f aca="false">IF(AND(B331="",C331="",D331=""),"",IF(B331="","Missing contract",IF(C331="","Missing code",IF(LEFT(G331,3)="Not","Wrong code",IF(D331="","Missing qty",IF(A331="","Missing date",""))))))</f>
        <v/>
      </c>
      <c r="I331" s="84" t="str">
        <f aca="false">IF(B331=Dashboard!$D$3,ROW(),"")</f>
        <v/>
      </c>
    </row>
    <row r="332" customFormat="false" ht="15" hidden="false" customHeight="false" outlineLevel="0" collapsed="false">
      <c r="A332" s="80"/>
      <c r="B332" s="71"/>
      <c r="C332" s="71"/>
      <c r="D332" s="81"/>
      <c r="E332" s="71"/>
      <c r="F332" s="71"/>
      <c r="G332" s="82" t="str">
        <f aca="false">IF(C332="","",IFERROR(INDEX('Kit Lists'!$D$6:$D$605,MATCH(B332&amp;"|"&amp;C332,'Kit Lists'!$J$6:$J$605,0)),"Not on this contract's kit list"))</f>
        <v/>
      </c>
      <c r="H332" s="83" t="str">
        <f aca="false">IF(AND(B332="",C332="",D332=""),"",IF(B332="","Missing contract",IF(C332="","Missing code",IF(LEFT(G332,3)="Not","Wrong code",IF(D332="","Missing qty",IF(A332="","Missing date",""))))))</f>
        <v/>
      </c>
      <c r="I332" s="84" t="str">
        <f aca="false">IF(B332=Dashboard!$D$3,ROW(),"")</f>
        <v/>
      </c>
    </row>
    <row r="333" customFormat="false" ht="15" hidden="false" customHeight="false" outlineLevel="0" collapsed="false">
      <c r="A333" s="80"/>
      <c r="B333" s="71"/>
      <c r="C333" s="71"/>
      <c r="D333" s="81"/>
      <c r="E333" s="71"/>
      <c r="F333" s="71"/>
      <c r="G333" s="82" t="str">
        <f aca="false">IF(C333="","",IFERROR(INDEX('Kit Lists'!$D$6:$D$605,MATCH(B333&amp;"|"&amp;C333,'Kit Lists'!$J$6:$J$605,0)),"Not on this contract's kit list"))</f>
        <v/>
      </c>
      <c r="H333" s="83" t="str">
        <f aca="false">IF(AND(B333="",C333="",D333=""),"",IF(B333="","Missing contract",IF(C333="","Missing code",IF(LEFT(G333,3)="Not","Wrong code",IF(D333="","Missing qty",IF(A333="","Missing date",""))))))</f>
        <v/>
      </c>
      <c r="I333" s="84" t="str">
        <f aca="false">IF(B333=Dashboard!$D$3,ROW(),"")</f>
        <v/>
      </c>
    </row>
    <row r="334" customFormat="false" ht="15" hidden="false" customHeight="false" outlineLevel="0" collapsed="false">
      <c r="A334" s="80"/>
      <c r="B334" s="71"/>
      <c r="C334" s="71"/>
      <c r="D334" s="81"/>
      <c r="E334" s="71"/>
      <c r="F334" s="71"/>
      <c r="G334" s="82" t="str">
        <f aca="false">IF(C334="","",IFERROR(INDEX('Kit Lists'!$D$6:$D$605,MATCH(B334&amp;"|"&amp;C334,'Kit Lists'!$J$6:$J$605,0)),"Not on this contract's kit list"))</f>
        <v/>
      </c>
      <c r="H334" s="83" t="str">
        <f aca="false">IF(AND(B334="",C334="",D334=""),"",IF(B334="","Missing contract",IF(C334="","Missing code",IF(LEFT(G334,3)="Not","Wrong code",IF(D334="","Missing qty",IF(A334="","Missing date",""))))))</f>
        <v/>
      </c>
      <c r="I334" s="84" t="str">
        <f aca="false">IF(B334=Dashboard!$D$3,ROW(),"")</f>
        <v/>
      </c>
    </row>
    <row r="335" customFormat="false" ht="15" hidden="false" customHeight="false" outlineLevel="0" collapsed="false">
      <c r="A335" s="80"/>
      <c r="B335" s="71"/>
      <c r="C335" s="71"/>
      <c r="D335" s="81"/>
      <c r="E335" s="71"/>
      <c r="F335" s="71"/>
      <c r="G335" s="82" t="str">
        <f aca="false">IF(C335="","",IFERROR(INDEX('Kit Lists'!$D$6:$D$605,MATCH(B335&amp;"|"&amp;C335,'Kit Lists'!$J$6:$J$605,0)),"Not on this contract's kit list"))</f>
        <v/>
      </c>
      <c r="H335" s="83" t="str">
        <f aca="false">IF(AND(B335="",C335="",D335=""),"",IF(B335="","Missing contract",IF(C335="","Missing code",IF(LEFT(G335,3)="Not","Wrong code",IF(D335="","Missing qty",IF(A335="","Missing date",""))))))</f>
        <v/>
      </c>
      <c r="I335" s="84" t="str">
        <f aca="false">IF(B335=Dashboard!$D$3,ROW(),"")</f>
        <v/>
      </c>
    </row>
    <row r="336" customFormat="false" ht="15" hidden="false" customHeight="false" outlineLevel="0" collapsed="false">
      <c r="A336" s="80"/>
      <c r="B336" s="71"/>
      <c r="C336" s="71"/>
      <c r="D336" s="81"/>
      <c r="E336" s="71"/>
      <c r="F336" s="71"/>
      <c r="G336" s="82" t="str">
        <f aca="false">IF(C336="","",IFERROR(INDEX('Kit Lists'!$D$6:$D$605,MATCH(B336&amp;"|"&amp;C336,'Kit Lists'!$J$6:$J$605,0)),"Not on this contract's kit list"))</f>
        <v/>
      </c>
      <c r="H336" s="83" t="str">
        <f aca="false">IF(AND(B336="",C336="",D336=""),"",IF(B336="","Missing contract",IF(C336="","Missing code",IF(LEFT(G336,3)="Not","Wrong code",IF(D336="","Missing qty",IF(A336="","Missing date",""))))))</f>
        <v/>
      </c>
      <c r="I336" s="84" t="str">
        <f aca="false">IF(B336=Dashboard!$D$3,ROW(),"")</f>
        <v/>
      </c>
    </row>
    <row r="337" customFormat="false" ht="15" hidden="false" customHeight="false" outlineLevel="0" collapsed="false">
      <c r="A337" s="80"/>
      <c r="B337" s="71"/>
      <c r="C337" s="71"/>
      <c r="D337" s="81"/>
      <c r="E337" s="71"/>
      <c r="F337" s="71"/>
      <c r="G337" s="82" t="str">
        <f aca="false">IF(C337="","",IFERROR(INDEX('Kit Lists'!$D$6:$D$605,MATCH(B337&amp;"|"&amp;C337,'Kit Lists'!$J$6:$J$605,0)),"Not on this contract's kit list"))</f>
        <v/>
      </c>
      <c r="H337" s="83" t="str">
        <f aca="false">IF(AND(B337="",C337="",D337=""),"",IF(B337="","Missing contract",IF(C337="","Missing code",IF(LEFT(G337,3)="Not","Wrong code",IF(D337="","Missing qty",IF(A337="","Missing date",""))))))</f>
        <v/>
      </c>
      <c r="I337" s="84" t="str">
        <f aca="false">IF(B337=Dashboard!$D$3,ROW(),"")</f>
        <v/>
      </c>
    </row>
    <row r="338" customFormat="false" ht="15" hidden="false" customHeight="false" outlineLevel="0" collapsed="false">
      <c r="A338" s="80"/>
      <c r="B338" s="71"/>
      <c r="C338" s="71"/>
      <c r="D338" s="81"/>
      <c r="E338" s="71"/>
      <c r="F338" s="71"/>
      <c r="G338" s="82" t="str">
        <f aca="false">IF(C338="","",IFERROR(INDEX('Kit Lists'!$D$6:$D$605,MATCH(B338&amp;"|"&amp;C338,'Kit Lists'!$J$6:$J$605,0)),"Not on this contract's kit list"))</f>
        <v/>
      </c>
      <c r="H338" s="83" t="str">
        <f aca="false">IF(AND(B338="",C338="",D338=""),"",IF(B338="","Missing contract",IF(C338="","Missing code",IF(LEFT(G338,3)="Not","Wrong code",IF(D338="","Missing qty",IF(A338="","Missing date",""))))))</f>
        <v/>
      </c>
      <c r="I338" s="84" t="str">
        <f aca="false">IF(B338=Dashboard!$D$3,ROW(),"")</f>
        <v/>
      </c>
    </row>
    <row r="339" customFormat="false" ht="15" hidden="false" customHeight="false" outlineLevel="0" collapsed="false">
      <c r="A339" s="80"/>
      <c r="B339" s="71"/>
      <c r="C339" s="71"/>
      <c r="D339" s="81"/>
      <c r="E339" s="71"/>
      <c r="F339" s="71"/>
      <c r="G339" s="82" t="str">
        <f aca="false">IF(C339="","",IFERROR(INDEX('Kit Lists'!$D$6:$D$605,MATCH(B339&amp;"|"&amp;C339,'Kit Lists'!$J$6:$J$605,0)),"Not on this contract's kit list"))</f>
        <v/>
      </c>
      <c r="H339" s="83" t="str">
        <f aca="false">IF(AND(B339="",C339="",D339=""),"",IF(B339="","Missing contract",IF(C339="","Missing code",IF(LEFT(G339,3)="Not","Wrong code",IF(D339="","Missing qty",IF(A339="","Missing date",""))))))</f>
        <v/>
      </c>
      <c r="I339" s="84" t="str">
        <f aca="false">IF(B339=Dashboard!$D$3,ROW(),"")</f>
        <v/>
      </c>
    </row>
    <row r="340" customFormat="false" ht="15" hidden="false" customHeight="false" outlineLevel="0" collapsed="false">
      <c r="A340" s="80"/>
      <c r="B340" s="71"/>
      <c r="C340" s="71"/>
      <c r="D340" s="81"/>
      <c r="E340" s="71"/>
      <c r="F340" s="71"/>
      <c r="G340" s="82" t="str">
        <f aca="false">IF(C340="","",IFERROR(INDEX('Kit Lists'!$D$6:$D$605,MATCH(B340&amp;"|"&amp;C340,'Kit Lists'!$J$6:$J$605,0)),"Not on this contract's kit list"))</f>
        <v/>
      </c>
      <c r="H340" s="83" t="str">
        <f aca="false">IF(AND(B340="",C340="",D340=""),"",IF(B340="","Missing contract",IF(C340="","Missing code",IF(LEFT(G340,3)="Not","Wrong code",IF(D340="","Missing qty",IF(A340="","Missing date",""))))))</f>
        <v/>
      </c>
      <c r="I340" s="84" t="str">
        <f aca="false">IF(B340=Dashboard!$D$3,ROW(),"")</f>
        <v/>
      </c>
    </row>
    <row r="341" customFormat="false" ht="15" hidden="false" customHeight="false" outlineLevel="0" collapsed="false">
      <c r="A341" s="80"/>
      <c r="B341" s="71"/>
      <c r="C341" s="71"/>
      <c r="D341" s="81"/>
      <c r="E341" s="71"/>
      <c r="F341" s="71"/>
      <c r="G341" s="82" t="str">
        <f aca="false">IF(C341="","",IFERROR(INDEX('Kit Lists'!$D$6:$D$605,MATCH(B341&amp;"|"&amp;C341,'Kit Lists'!$J$6:$J$605,0)),"Not on this contract's kit list"))</f>
        <v/>
      </c>
      <c r="H341" s="83" t="str">
        <f aca="false">IF(AND(B341="",C341="",D341=""),"",IF(B341="","Missing contract",IF(C341="","Missing code",IF(LEFT(G341,3)="Not","Wrong code",IF(D341="","Missing qty",IF(A341="","Missing date",""))))))</f>
        <v/>
      </c>
      <c r="I341" s="84" t="str">
        <f aca="false">IF(B341=Dashboard!$D$3,ROW(),"")</f>
        <v/>
      </c>
    </row>
    <row r="342" customFormat="false" ht="15" hidden="false" customHeight="false" outlineLevel="0" collapsed="false">
      <c r="A342" s="80"/>
      <c r="B342" s="71"/>
      <c r="C342" s="71"/>
      <c r="D342" s="81"/>
      <c r="E342" s="71"/>
      <c r="F342" s="71"/>
      <c r="G342" s="82" t="str">
        <f aca="false">IF(C342="","",IFERROR(INDEX('Kit Lists'!$D$6:$D$605,MATCH(B342&amp;"|"&amp;C342,'Kit Lists'!$J$6:$J$605,0)),"Not on this contract's kit list"))</f>
        <v/>
      </c>
      <c r="H342" s="83" t="str">
        <f aca="false">IF(AND(B342="",C342="",D342=""),"",IF(B342="","Missing contract",IF(C342="","Missing code",IF(LEFT(G342,3)="Not","Wrong code",IF(D342="","Missing qty",IF(A342="","Missing date",""))))))</f>
        <v/>
      </c>
      <c r="I342" s="84" t="str">
        <f aca="false">IF(B342=Dashboard!$D$3,ROW(),"")</f>
        <v/>
      </c>
    </row>
    <row r="343" customFormat="false" ht="15" hidden="false" customHeight="false" outlineLevel="0" collapsed="false">
      <c r="A343" s="80"/>
      <c r="B343" s="71"/>
      <c r="C343" s="71"/>
      <c r="D343" s="81"/>
      <c r="E343" s="71"/>
      <c r="F343" s="71"/>
      <c r="G343" s="82" t="str">
        <f aca="false">IF(C343="","",IFERROR(INDEX('Kit Lists'!$D$6:$D$605,MATCH(B343&amp;"|"&amp;C343,'Kit Lists'!$J$6:$J$605,0)),"Not on this contract's kit list"))</f>
        <v/>
      </c>
      <c r="H343" s="83" t="str">
        <f aca="false">IF(AND(B343="",C343="",D343=""),"",IF(B343="","Missing contract",IF(C343="","Missing code",IF(LEFT(G343,3)="Not","Wrong code",IF(D343="","Missing qty",IF(A343="","Missing date",""))))))</f>
        <v/>
      </c>
      <c r="I343" s="84" t="str">
        <f aca="false">IF(B343=Dashboard!$D$3,ROW(),"")</f>
        <v/>
      </c>
    </row>
    <row r="344" customFormat="false" ht="15" hidden="false" customHeight="false" outlineLevel="0" collapsed="false">
      <c r="A344" s="80"/>
      <c r="B344" s="71"/>
      <c r="C344" s="71"/>
      <c r="D344" s="81"/>
      <c r="E344" s="71"/>
      <c r="F344" s="71"/>
      <c r="G344" s="82" t="str">
        <f aca="false">IF(C344="","",IFERROR(INDEX('Kit Lists'!$D$6:$D$605,MATCH(B344&amp;"|"&amp;C344,'Kit Lists'!$J$6:$J$605,0)),"Not on this contract's kit list"))</f>
        <v/>
      </c>
      <c r="H344" s="83" t="str">
        <f aca="false">IF(AND(B344="",C344="",D344=""),"",IF(B344="","Missing contract",IF(C344="","Missing code",IF(LEFT(G344,3)="Not","Wrong code",IF(D344="","Missing qty",IF(A344="","Missing date",""))))))</f>
        <v/>
      </c>
      <c r="I344" s="84" t="str">
        <f aca="false">IF(B344=Dashboard!$D$3,ROW(),"")</f>
        <v/>
      </c>
    </row>
    <row r="345" customFormat="false" ht="15" hidden="false" customHeight="false" outlineLevel="0" collapsed="false">
      <c r="A345" s="80"/>
      <c r="B345" s="71"/>
      <c r="C345" s="71"/>
      <c r="D345" s="81"/>
      <c r="E345" s="71"/>
      <c r="F345" s="71"/>
      <c r="G345" s="82" t="str">
        <f aca="false">IF(C345="","",IFERROR(INDEX('Kit Lists'!$D$6:$D$605,MATCH(B345&amp;"|"&amp;C345,'Kit Lists'!$J$6:$J$605,0)),"Not on this contract's kit list"))</f>
        <v/>
      </c>
      <c r="H345" s="83" t="str">
        <f aca="false">IF(AND(B345="",C345="",D345=""),"",IF(B345="","Missing contract",IF(C345="","Missing code",IF(LEFT(G345,3)="Not","Wrong code",IF(D345="","Missing qty",IF(A345="","Missing date",""))))))</f>
        <v/>
      </c>
      <c r="I345" s="84" t="str">
        <f aca="false">IF(B345=Dashboard!$D$3,ROW(),"")</f>
        <v/>
      </c>
    </row>
    <row r="346" customFormat="false" ht="15" hidden="false" customHeight="false" outlineLevel="0" collapsed="false">
      <c r="A346" s="80"/>
      <c r="B346" s="71"/>
      <c r="C346" s="71"/>
      <c r="D346" s="81"/>
      <c r="E346" s="71"/>
      <c r="F346" s="71"/>
      <c r="G346" s="82" t="str">
        <f aca="false">IF(C346="","",IFERROR(INDEX('Kit Lists'!$D$6:$D$605,MATCH(B346&amp;"|"&amp;C346,'Kit Lists'!$J$6:$J$605,0)),"Not on this contract's kit list"))</f>
        <v/>
      </c>
      <c r="H346" s="83" t="str">
        <f aca="false">IF(AND(B346="",C346="",D346=""),"",IF(B346="","Missing contract",IF(C346="","Missing code",IF(LEFT(G346,3)="Not","Wrong code",IF(D346="","Missing qty",IF(A346="","Missing date",""))))))</f>
        <v/>
      </c>
      <c r="I346" s="84" t="str">
        <f aca="false">IF(B346=Dashboard!$D$3,ROW(),"")</f>
        <v/>
      </c>
    </row>
    <row r="347" customFormat="false" ht="15" hidden="false" customHeight="false" outlineLevel="0" collapsed="false">
      <c r="A347" s="80"/>
      <c r="B347" s="71"/>
      <c r="C347" s="71"/>
      <c r="D347" s="81"/>
      <c r="E347" s="71"/>
      <c r="F347" s="71"/>
      <c r="G347" s="82" t="str">
        <f aca="false">IF(C347="","",IFERROR(INDEX('Kit Lists'!$D$6:$D$605,MATCH(B347&amp;"|"&amp;C347,'Kit Lists'!$J$6:$J$605,0)),"Not on this contract's kit list"))</f>
        <v/>
      </c>
      <c r="H347" s="83" t="str">
        <f aca="false">IF(AND(B347="",C347="",D347=""),"",IF(B347="","Missing contract",IF(C347="","Missing code",IF(LEFT(G347,3)="Not","Wrong code",IF(D347="","Missing qty",IF(A347="","Missing date",""))))))</f>
        <v/>
      </c>
      <c r="I347" s="84" t="str">
        <f aca="false">IF(B347=Dashboard!$D$3,ROW(),"")</f>
        <v/>
      </c>
    </row>
    <row r="348" customFormat="false" ht="15" hidden="false" customHeight="false" outlineLevel="0" collapsed="false">
      <c r="A348" s="80"/>
      <c r="B348" s="71"/>
      <c r="C348" s="71"/>
      <c r="D348" s="81"/>
      <c r="E348" s="71"/>
      <c r="F348" s="71"/>
      <c r="G348" s="82" t="str">
        <f aca="false">IF(C348="","",IFERROR(INDEX('Kit Lists'!$D$6:$D$605,MATCH(B348&amp;"|"&amp;C348,'Kit Lists'!$J$6:$J$605,0)),"Not on this contract's kit list"))</f>
        <v/>
      </c>
      <c r="H348" s="83" t="str">
        <f aca="false">IF(AND(B348="",C348="",D348=""),"",IF(B348="","Missing contract",IF(C348="","Missing code",IF(LEFT(G348,3)="Not","Wrong code",IF(D348="","Missing qty",IF(A348="","Missing date",""))))))</f>
        <v/>
      </c>
      <c r="I348" s="84" t="str">
        <f aca="false">IF(B348=Dashboard!$D$3,ROW(),"")</f>
        <v/>
      </c>
    </row>
    <row r="349" customFormat="false" ht="15" hidden="false" customHeight="false" outlineLevel="0" collapsed="false">
      <c r="A349" s="80"/>
      <c r="B349" s="71"/>
      <c r="C349" s="71"/>
      <c r="D349" s="81"/>
      <c r="E349" s="71"/>
      <c r="F349" s="71"/>
      <c r="G349" s="82" t="str">
        <f aca="false">IF(C349="","",IFERROR(INDEX('Kit Lists'!$D$6:$D$605,MATCH(B349&amp;"|"&amp;C349,'Kit Lists'!$J$6:$J$605,0)),"Not on this contract's kit list"))</f>
        <v/>
      </c>
      <c r="H349" s="83" t="str">
        <f aca="false">IF(AND(B349="",C349="",D349=""),"",IF(B349="","Missing contract",IF(C349="","Missing code",IF(LEFT(G349,3)="Not","Wrong code",IF(D349="","Missing qty",IF(A349="","Missing date",""))))))</f>
        <v/>
      </c>
      <c r="I349" s="84" t="str">
        <f aca="false">IF(B349=Dashboard!$D$3,ROW(),"")</f>
        <v/>
      </c>
    </row>
    <row r="350" customFormat="false" ht="15" hidden="false" customHeight="false" outlineLevel="0" collapsed="false">
      <c r="A350" s="80"/>
      <c r="B350" s="71"/>
      <c r="C350" s="71"/>
      <c r="D350" s="81"/>
      <c r="E350" s="71"/>
      <c r="F350" s="71"/>
      <c r="G350" s="82" t="str">
        <f aca="false">IF(C350="","",IFERROR(INDEX('Kit Lists'!$D$6:$D$605,MATCH(B350&amp;"|"&amp;C350,'Kit Lists'!$J$6:$J$605,0)),"Not on this contract's kit list"))</f>
        <v/>
      </c>
      <c r="H350" s="83" t="str">
        <f aca="false">IF(AND(B350="",C350="",D350=""),"",IF(B350="","Missing contract",IF(C350="","Missing code",IF(LEFT(G350,3)="Not","Wrong code",IF(D350="","Missing qty",IF(A350="","Missing date",""))))))</f>
        <v/>
      </c>
      <c r="I350" s="84" t="str">
        <f aca="false">IF(B350=Dashboard!$D$3,ROW(),"")</f>
        <v/>
      </c>
    </row>
    <row r="351" customFormat="false" ht="15" hidden="false" customHeight="false" outlineLevel="0" collapsed="false">
      <c r="A351" s="80"/>
      <c r="B351" s="71"/>
      <c r="C351" s="71"/>
      <c r="D351" s="81"/>
      <c r="E351" s="71"/>
      <c r="F351" s="71"/>
      <c r="G351" s="82" t="str">
        <f aca="false">IF(C351="","",IFERROR(INDEX('Kit Lists'!$D$6:$D$605,MATCH(B351&amp;"|"&amp;C351,'Kit Lists'!$J$6:$J$605,0)),"Not on this contract's kit list"))</f>
        <v/>
      </c>
      <c r="H351" s="83" t="str">
        <f aca="false">IF(AND(B351="",C351="",D351=""),"",IF(B351="","Missing contract",IF(C351="","Missing code",IF(LEFT(G351,3)="Not","Wrong code",IF(D351="","Missing qty",IF(A351="","Missing date",""))))))</f>
        <v/>
      </c>
      <c r="I351" s="84" t="str">
        <f aca="false">IF(B351=Dashboard!$D$3,ROW(),"")</f>
        <v/>
      </c>
    </row>
    <row r="352" customFormat="false" ht="15" hidden="false" customHeight="false" outlineLevel="0" collapsed="false">
      <c r="A352" s="80"/>
      <c r="B352" s="71"/>
      <c r="C352" s="71"/>
      <c r="D352" s="81"/>
      <c r="E352" s="71"/>
      <c r="F352" s="71"/>
      <c r="G352" s="82" t="str">
        <f aca="false">IF(C352="","",IFERROR(INDEX('Kit Lists'!$D$6:$D$605,MATCH(B352&amp;"|"&amp;C352,'Kit Lists'!$J$6:$J$605,0)),"Not on this contract's kit list"))</f>
        <v/>
      </c>
      <c r="H352" s="83" t="str">
        <f aca="false">IF(AND(B352="",C352="",D352=""),"",IF(B352="","Missing contract",IF(C352="","Missing code",IF(LEFT(G352,3)="Not","Wrong code",IF(D352="","Missing qty",IF(A352="","Missing date",""))))))</f>
        <v/>
      </c>
      <c r="I352" s="84" t="str">
        <f aca="false">IF(B352=Dashboard!$D$3,ROW(),"")</f>
        <v/>
      </c>
    </row>
    <row r="353" customFormat="false" ht="15" hidden="false" customHeight="false" outlineLevel="0" collapsed="false">
      <c r="A353" s="80"/>
      <c r="B353" s="71"/>
      <c r="C353" s="71"/>
      <c r="D353" s="81"/>
      <c r="E353" s="71"/>
      <c r="F353" s="71"/>
      <c r="G353" s="82" t="str">
        <f aca="false">IF(C353="","",IFERROR(INDEX('Kit Lists'!$D$6:$D$605,MATCH(B353&amp;"|"&amp;C353,'Kit Lists'!$J$6:$J$605,0)),"Not on this contract's kit list"))</f>
        <v/>
      </c>
      <c r="H353" s="83" t="str">
        <f aca="false">IF(AND(B353="",C353="",D353=""),"",IF(B353="","Missing contract",IF(C353="","Missing code",IF(LEFT(G353,3)="Not","Wrong code",IF(D353="","Missing qty",IF(A353="","Missing date",""))))))</f>
        <v/>
      </c>
      <c r="I353" s="84" t="str">
        <f aca="false">IF(B353=Dashboard!$D$3,ROW(),"")</f>
        <v/>
      </c>
    </row>
    <row r="354" customFormat="false" ht="15" hidden="false" customHeight="false" outlineLevel="0" collapsed="false">
      <c r="A354" s="80"/>
      <c r="B354" s="71"/>
      <c r="C354" s="71"/>
      <c r="D354" s="81"/>
      <c r="E354" s="71"/>
      <c r="F354" s="71"/>
      <c r="G354" s="82" t="str">
        <f aca="false">IF(C354="","",IFERROR(INDEX('Kit Lists'!$D$6:$D$605,MATCH(B354&amp;"|"&amp;C354,'Kit Lists'!$J$6:$J$605,0)),"Not on this contract's kit list"))</f>
        <v/>
      </c>
      <c r="H354" s="83" t="str">
        <f aca="false">IF(AND(B354="",C354="",D354=""),"",IF(B354="","Missing contract",IF(C354="","Missing code",IF(LEFT(G354,3)="Not","Wrong code",IF(D354="","Missing qty",IF(A354="","Missing date",""))))))</f>
        <v/>
      </c>
      <c r="I354" s="84" t="str">
        <f aca="false">IF(B354=Dashboard!$D$3,ROW(),"")</f>
        <v/>
      </c>
    </row>
    <row r="355" customFormat="false" ht="15" hidden="false" customHeight="false" outlineLevel="0" collapsed="false">
      <c r="A355" s="80"/>
      <c r="B355" s="71"/>
      <c r="C355" s="71"/>
      <c r="D355" s="81"/>
      <c r="E355" s="71"/>
      <c r="F355" s="71"/>
      <c r="G355" s="82" t="str">
        <f aca="false">IF(C355="","",IFERROR(INDEX('Kit Lists'!$D$6:$D$605,MATCH(B355&amp;"|"&amp;C355,'Kit Lists'!$J$6:$J$605,0)),"Not on this contract's kit list"))</f>
        <v/>
      </c>
      <c r="H355" s="83" t="str">
        <f aca="false">IF(AND(B355="",C355="",D355=""),"",IF(B355="","Missing contract",IF(C355="","Missing code",IF(LEFT(G355,3)="Not","Wrong code",IF(D355="","Missing qty",IF(A355="","Missing date",""))))))</f>
        <v/>
      </c>
      <c r="I355" s="84" t="str">
        <f aca="false">IF(B355=Dashboard!$D$3,ROW(),"")</f>
        <v/>
      </c>
    </row>
    <row r="356" customFormat="false" ht="15" hidden="false" customHeight="false" outlineLevel="0" collapsed="false">
      <c r="A356" s="80"/>
      <c r="B356" s="71"/>
      <c r="C356" s="71"/>
      <c r="D356" s="81"/>
      <c r="E356" s="71"/>
      <c r="F356" s="71"/>
      <c r="G356" s="82" t="str">
        <f aca="false">IF(C356="","",IFERROR(INDEX('Kit Lists'!$D$6:$D$605,MATCH(B356&amp;"|"&amp;C356,'Kit Lists'!$J$6:$J$605,0)),"Not on this contract's kit list"))</f>
        <v/>
      </c>
      <c r="H356" s="83" t="str">
        <f aca="false">IF(AND(B356="",C356="",D356=""),"",IF(B356="","Missing contract",IF(C356="","Missing code",IF(LEFT(G356,3)="Not","Wrong code",IF(D356="","Missing qty",IF(A356="","Missing date",""))))))</f>
        <v/>
      </c>
      <c r="I356" s="84" t="str">
        <f aca="false">IF(B356=Dashboard!$D$3,ROW(),"")</f>
        <v/>
      </c>
    </row>
    <row r="357" customFormat="false" ht="15" hidden="false" customHeight="false" outlineLevel="0" collapsed="false">
      <c r="A357" s="80"/>
      <c r="B357" s="71"/>
      <c r="C357" s="71"/>
      <c r="D357" s="81"/>
      <c r="E357" s="71"/>
      <c r="F357" s="71"/>
      <c r="G357" s="82" t="str">
        <f aca="false">IF(C357="","",IFERROR(INDEX('Kit Lists'!$D$6:$D$605,MATCH(B357&amp;"|"&amp;C357,'Kit Lists'!$J$6:$J$605,0)),"Not on this contract's kit list"))</f>
        <v/>
      </c>
      <c r="H357" s="83" t="str">
        <f aca="false">IF(AND(B357="",C357="",D357=""),"",IF(B357="","Missing contract",IF(C357="","Missing code",IF(LEFT(G357,3)="Not","Wrong code",IF(D357="","Missing qty",IF(A357="","Missing date",""))))))</f>
        <v/>
      </c>
      <c r="I357" s="84" t="str">
        <f aca="false">IF(B357=Dashboard!$D$3,ROW(),"")</f>
        <v/>
      </c>
    </row>
    <row r="358" customFormat="false" ht="15" hidden="false" customHeight="false" outlineLevel="0" collapsed="false">
      <c r="A358" s="80"/>
      <c r="B358" s="71"/>
      <c r="C358" s="71"/>
      <c r="D358" s="81"/>
      <c r="E358" s="71"/>
      <c r="F358" s="71"/>
      <c r="G358" s="82" t="str">
        <f aca="false">IF(C358="","",IFERROR(INDEX('Kit Lists'!$D$6:$D$605,MATCH(B358&amp;"|"&amp;C358,'Kit Lists'!$J$6:$J$605,0)),"Not on this contract's kit list"))</f>
        <v/>
      </c>
      <c r="H358" s="83" t="str">
        <f aca="false">IF(AND(B358="",C358="",D358=""),"",IF(B358="","Missing contract",IF(C358="","Missing code",IF(LEFT(G358,3)="Not","Wrong code",IF(D358="","Missing qty",IF(A358="","Missing date",""))))))</f>
        <v/>
      </c>
      <c r="I358" s="84" t="str">
        <f aca="false">IF(B358=Dashboard!$D$3,ROW(),"")</f>
        <v/>
      </c>
    </row>
    <row r="359" customFormat="false" ht="15" hidden="false" customHeight="false" outlineLevel="0" collapsed="false">
      <c r="A359" s="80"/>
      <c r="B359" s="71"/>
      <c r="C359" s="71"/>
      <c r="D359" s="81"/>
      <c r="E359" s="71"/>
      <c r="F359" s="71"/>
      <c r="G359" s="82" t="str">
        <f aca="false">IF(C359="","",IFERROR(INDEX('Kit Lists'!$D$6:$D$605,MATCH(B359&amp;"|"&amp;C359,'Kit Lists'!$J$6:$J$605,0)),"Not on this contract's kit list"))</f>
        <v/>
      </c>
      <c r="H359" s="83" t="str">
        <f aca="false">IF(AND(B359="",C359="",D359=""),"",IF(B359="","Missing contract",IF(C359="","Missing code",IF(LEFT(G359,3)="Not","Wrong code",IF(D359="","Missing qty",IF(A359="","Missing date",""))))))</f>
        <v/>
      </c>
      <c r="I359" s="84" t="str">
        <f aca="false">IF(B359=Dashboard!$D$3,ROW(),"")</f>
        <v/>
      </c>
    </row>
    <row r="360" customFormat="false" ht="15" hidden="false" customHeight="false" outlineLevel="0" collapsed="false">
      <c r="A360" s="80"/>
      <c r="B360" s="71"/>
      <c r="C360" s="71"/>
      <c r="D360" s="81"/>
      <c r="E360" s="71"/>
      <c r="F360" s="71"/>
      <c r="G360" s="82" t="str">
        <f aca="false">IF(C360="","",IFERROR(INDEX('Kit Lists'!$D$6:$D$605,MATCH(B360&amp;"|"&amp;C360,'Kit Lists'!$J$6:$J$605,0)),"Not on this contract's kit list"))</f>
        <v/>
      </c>
      <c r="H360" s="83" t="str">
        <f aca="false">IF(AND(B360="",C360="",D360=""),"",IF(B360="","Missing contract",IF(C360="","Missing code",IF(LEFT(G360,3)="Not","Wrong code",IF(D360="","Missing qty",IF(A360="","Missing date",""))))))</f>
        <v/>
      </c>
      <c r="I360" s="84" t="str">
        <f aca="false">IF(B360=Dashboard!$D$3,ROW(),"")</f>
        <v/>
      </c>
    </row>
    <row r="361" customFormat="false" ht="15" hidden="false" customHeight="false" outlineLevel="0" collapsed="false">
      <c r="A361" s="80"/>
      <c r="B361" s="71"/>
      <c r="C361" s="71"/>
      <c r="D361" s="81"/>
      <c r="E361" s="71"/>
      <c r="F361" s="71"/>
      <c r="G361" s="82" t="str">
        <f aca="false">IF(C361="","",IFERROR(INDEX('Kit Lists'!$D$6:$D$605,MATCH(B361&amp;"|"&amp;C361,'Kit Lists'!$J$6:$J$605,0)),"Not on this contract's kit list"))</f>
        <v/>
      </c>
      <c r="H361" s="83" t="str">
        <f aca="false">IF(AND(B361="",C361="",D361=""),"",IF(B361="","Missing contract",IF(C361="","Missing code",IF(LEFT(G361,3)="Not","Wrong code",IF(D361="","Missing qty",IF(A361="","Missing date",""))))))</f>
        <v/>
      </c>
      <c r="I361" s="84" t="str">
        <f aca="false">IF(B361=Dashboard!$D$3,ROW(),"")</f>
        <v/>
      </c>
    </row>
    <row r="362" customFormat="false" ht="15" hidden="false" customHeight="false" outlineLevel="0" collapsed="false">
      <c r="A362" s="80"/>
      <c r="B362" s="71"/>
      <c r="C362" s="71"/>
      <c r="D362" s="81"/>
      <c r="E362" s="71"/>
      <c r="F362" s="71"/>
      <c r="G362" s="82" t="str">
        <f aca="false">IF(C362="","",IFERROR(INDEX('Kit Lists'!$D$6:$D$605,MATCH(B362&amp;"|"&amp;C362,'Kit Lists'!$J$6:$J$605,0)),"Not on this contract's kit list"))</f>
        <v/>
      </c>
      <c r="H362" s="83" t="str">
        <f aca="false">IF(AND(B362="",C362="",D362=""),"",IF(B362="","Missing contract",IF(C362="","Missing code",IF(LEFT(G362,3)="Not","Wrong code",IF(D362="","Missing qty",IF(A362="","Missing date",""))))))</f>
        <v/>
      </c>
      <c r="I362" s="84" t="str">
        <f aca="false">IF(B362=Dashboard!$D$3,ROW(),"")</f>
        <v/>
      </c>
    </row>
    <row r="363" customFormat="false" ht="15" hidden="false" customHeight="false" outlineLevel="0" collapsed="false">
      <c r="A363" s="80"/>
      <c r="B363" s="71"/>
      <c r="C363" s="71"/>
      <c r="D363" s="81"/>
      <c r="E363" s="71"/>
      <c r="F363" s="71"/>
      <c r="G363" s="82" t="str">
        <f aca="false">IF(C363="","",IFERROR(INDEX('Kit Lists'!$D$6:$D$605,MATCH(B363&amp;"|"&amp;C363,'Kit Lists'!$J$6:$J$605,0)),"Not on this contract's kit list"))</f>
        <v/>
      </c>
      <c r="H363" s="83" t="str">
        <f aca="false">IF(AND(B363="",C363="",D363=""),"",IF(B363="","Missing contract",IF(C363="","Missing code",IF(LEFT(G363,3)="Not","Wrong code",IF(D363="","Missing qty",IF(A363="","Missing date",""))))))</f>
        <v/>
      </c>
      <c r="I363" s="84" t="str">
        <f aca="false">IF(B363=Dashboard!$D$3,ROW(),"")</f>
        <v/>
      </c>
    </row>
    <row r="364" customFormat="false" ht="15" hidden="false" customHeight="false" outlineLevel="0" collapsed="false">
      <c r="A364" s="80"/>
      <c r="B364" s="71"/>
      <c r="C364" s="71"/>
      <c r="D364" s="81"/>
      <c r="E364" s="71"/>
      <c r="F364" s="71"/>
      <c r="G364" s="82" t="str">
        <f aca="false">IF(C364="","",IFERROR(INDEX('Kit Lists'!$D$6:$D$605,MATCH(B364&amp;"|"&amp;C364,'Kit Lists'!$J$6:$J$605,0)),"Not on this contract's kit list"))</f>
        <v/>
      </c>
      <c r="H364" s="83" t="str">
        <f aca="false">IF(AND(B364="",C364="",D364=""),"",IF(B364="","Missing contract",IF(C364="","Missing code",IF(LEFT(G364,3)="Not","Wrong code",IF(D364="","Missing qty",IF(A364="","Missing date",""))))))</f>
        <v/>
      </c>
      <c r="I364" s="84" t="str">
        <f aca="false">IF(B364=Dashboard!$D$3,ROW(),"")</f>
        <v/>
      </c>
    </row>
    <row r="365" customFormat="false" ht="15" hidden="false" customHeight="false" outlineLevel="0" collapsed="false">
      <c r="A365" s="80"/>
      <c r="B365" s="71"/>
      <c r="C365" s="71"/>
      <c r="D365" s="81"/>
      <c r="E365" s="71"/>
      <c r="F365" s="71"/>
      <c r="G365" s="82" t="str">
        <f aca="false">IF(C365="","",IFERROR(INDEX('Kit Lists'!$D$6:$D$605,MATCH(B365&amp;"|"&amp;C365,'Kit Lists'!$J$6:$J$605,0)),"Not on this contract's kit list"))</f>
        <v/>
      </c>
      <c r="H365" s="83" t="str">
        <f aca="false">IF(AND(B365="",C365="",D365=""),"",IF(B365="","Missing contract",IF(C365="","Missing code",IF(LEFT(G365,3)="Not","Wrong code",IF(D365="","Missing qty",IF(A365="","Missing date",""))))))</f>
        <v/>
      </c>
      <c r="I365" s="84" t="str">
        <f aca="false">IF(B365=Dashboard!$D$3,ROW(),"")</f>
        <v/>
      </c>
    </row>
    <row r="366" customFormat="false" ht="15" hidden="false" customHeight="false" outlineLevel="0" collapsed="false">
      <c r="A366" s="80"/>
      <c r="B366" s="71"/>
      <c r="C366" s="71"/>
      <c r="D366" s="81"/>
      <c r="E366" s="71"/>
      <c r="F366" s="71"/>
      <c r="G366" s="82" t="str">
        <f aca="false">IF(C366="","",IFERROR(INDEX('Kit Lists'!$D$6:$D$605,MATCH(B366&amp;"|"&amp;C366,'Kit Lists'!$J$6:$J$605,0)),"Not on this contract's kit list"))</f>
        <v/>
      </c>
      <c r="H366" s="83" t="str">
        <f aca="false">IF(AND(B366="",C366="",D366=""),"",IF(B366="","Missing contract",IF(C366="","Missing code",IF(LEFT(G366,3)="Not","Wrong code",IF(D366="","Missing qty",IF(A366="","Missing date",""))))))</f>
        <v/>
      </c>
      <c r="I366" s="84" t="str">
        <f aca="false">IF(B366=Dashboard!$D$3,ROW(),"")</f>
        <v/>
      </c>
    </row>
    <row r="367" customFormat="false" ht="15" hidden="false" customHeight="false" outlineLevel="0" collapsed="false">
      <c r="A367" s="80"/>
      <c r="B367" s="71"/>
      <c r="C367" s="71"/>
      <c r="D367" s="81"/>
      <c r="E367" s="71"/>
      <c r="F367" s="71"/>
      <c r="G367" s="82" t="str">
        <f aca="false">IF(C367="","",IFERROR(INDEX('Kit Lists'!$D$6:$D$605,MATCH(B367&amp;"|"&amp;C367,'Kit Lists'!$J$6:$J$605,0)),"Not on this contract's kit list"))</f>
        <v/>
      </c>
      <c r="H367" s="83" t="str">
        <f aca="false">IF(AND(B367="",C367="",D367=""),"",IF(B367="","Missing contract",IF(C367="","Missing code",IF(LEFT(G367,3)="Not","Wrong code",IF(D367="","Missing qty",IF(A367="","Missing date",""))))))</f>
        <v/>
      </c>
      <c r="I367" s="84" t="str">
        <f aca="false">IF(B367=Dashboard!$D$3,ROW(),"")</f>
        <v/>
      </c>
    </row>
    <row r="368" customFormat="false" ht="15" hidden="false" customHeight="false" outlineLevel="0" collapsed="false">
      <c r="A368" s="80"/>
      <c r="B368" s="71"/>
      <c r="C368" s="71"/>
      <c r="D368" s="81"/>
      <c r="E368" s="71"/>
      <c r="F368" s="71"/>
      <c r="G368" s="82" t="str">
        <f aca="false">IF(C368="","",IFERROR(INDEX('Kit Lists'!$D$6:$D$605,MATCH(B368&amp;"|"&amp;C368,'Kit Lists'!$J$6:$J$605,0)),"Not on this contract's kit list"))</f>
        <v/>
      </c>
      <c r="H368" s="83" t="str">
        <f aca="false">IF(AND(B368="",C368="",D368=""),"",IF(B368="","Missing contract",IF(C368="","Missing code",IF(LEFT(G368,3)="Not","Wrong code",IF(D368="","Missing qty",IF(A368="","Missing date",""))))))</f>
        <v/>
      </c>
      <c r="I368" s="84" t="str">
        <f aca="false">IF(B368=Dashboard!$D$3,ROW(),"")</f>
        <v/>
      </c>
    </row>
    <row r="369" customFormat="false" ht="15" hidden="false" customHeight="false" outlineLevel="0" collapsed="false">
      <c r="A369" s="80"/>
      <c r="B369" s="71"/>
      <c r="C369" s="71"/>
      <c r="D369" s="81"/>
      <c r="E369" s="71"/>
      <c r="F369" s="71"/>
      <c r="G369" s="82" t="str">
        <f aca="false">IF(C369="","",IFERROR(INDEX('Kit Lists'!$D$6:$D$605,MATCH(B369&amp;"|"&amp;C369,'Kit Lists'!$J$6:$J$605,0)),"Not on this contract's kit list"))</f>
        <v/>
      </c>
      <c r="H369" s="83" t="str">
        <f aca="false">IF(AND(B369="",C369="",D369=""),"",IF(B369="","Missing contract",IF(C369="","Missing code",IF(LEFT(G369,3)="Not","Wrong code",IF(D369="","Missing qty",IF(A369="","Missing date",""))))))</f>
        <v/>
      </c>
      <c r="I369" s="84" t="str">
        <f aca="false">IF(B369=Dashboard!$D$3,ROW(),"")</f>
        <v/>
      </c>
    </row>
    <row r="370" customFormat="false" ht="15" hidden="false" customHeight="false" outlineLevel="0" collapsed="false">
      <c r="A370" s="80"/>
      <c r="B370" s="71"/>
      <c r="C370" s="71"/>
      <c r="D370" s="81"/>
      <c r="E370" s="71"/>
      <c r="F370" s="71"/>
      <c r="G370" s="82" t="str">
        <f aca="false">IF(C370="","",IFERROR(INDEX('Kit Lists'!$D$6:$D$605,MATCH(B370&amp;"|"&amp;C370,'Kit Lists'!$J$6:$J$605,0)),"Not on this contract's kit list"))</f>
        <v/>
      </c>
      <c r="H370" s="83" t="str">
        <f aca="false">IF(AND(B370="",C370="",D370=""),"",IF(B370="","Missing contract",IF(C370="","Missing code",IF(LEFT(G370,3)="Not","Wrong code",IF(D370="","Missing qty",IF(A370="","Missing date",""))))))</f>
        <v/>
      </c>
      <c r="I370" s="84" t="str">
        <f aca="false">IF(B370=Dashboard!$D$3,ROW(),"")</f>
        <v/>
      </c>
    </row>
    <row r="371" customFormat="false" ht="15" hidden="false" customHeight="false" outlineLevel="0" collapsed="false">
      <c r="A371" s="80"/>
      <c r="B371" s="71"/>
      <c r="C371" s="71"/>
      <c r="D371" s="81"/>
      <c r="E371" s="71"/>
      <c r="F371" s="71"/>
      <c r="G371" s="82" t="str">
        <f aca="false">IF(C371="","",IFERROR(INDEX('Kit Lists'!$D$6:$D$605,MATCH(B371&amp;"|"&amp;C371,'Kit Lists'!$J$6:$J$605,0)),"Not on this contract's kit list"))</f>
        <v/>
      </c>
      <c r="H371" s="83" t="str">
        <f aca="false">IF(AND(B371="",C371="",D371=""),"",IF(B371="","Missing contract",IF(C371="","Missing code",IF(LEFT(G371,3)="Not","Wrong code",IF(D371="","Missing qty",IF(A371="","Missing date",""))))))</f>
        <v/>
      </c>
      <c r="I371" s="84" t="str">
        <f aca="false">IF(B371=Dashboard!$D$3,ROW(),"")</f>
        <v/>
      </c>
    </row>
    <row r="372" customFormat="false" ht="15" hidden="false" customHeight="false" outlineLevel="0" collapsed="false">
      <c r="A372" s="80"/>
      <c r="B372" s="71"/>
      <c r="C372" s="71"/>
      <c r="D372" s="81"/>
      <c r="E372" s="71"/>
      <c r="F372" s="71"/>
      <c r="G372" s="82" t="str">
        <f aca="false">IF(C372="","",IFERROR(INDEX('Kit Lists'!$D$6:$D$605,MATCH(B372&amp;"|"&amp;C372,'Kit Lists'!$J$6:$J$605,0)),"Not on this contract's kit list"))</f>
        <v/>
      </c>
      <c r="H372" s="83" t="str">
        <f aca="false">IF(AND(B372="",C372="",D372=""),"",IF(B372="","Missing contract",IF(C372="","Missing code",IF(LEFT(G372,3)="Not","Wrong code",IF(D372="","Missing qty",IF(A372="","Missing date",""))))))</f>
        <v/>
      </c>
      <c r="I372" s="84" t="str">
        <f aca="false">IF(B372=Dashboard!$D$3,ROW(),"")</f>
        <v/>
      </c>
    </row>
    <row r="373" customFormat="false" ht="15" hidden="false" customHeight="false" outlineLevel="0" collapsed="false">
      <c r="A373" s="80"/>
      <c r="B373" s="71"/>
      <c r="C373" s="71"/>
      <c r="D373" s="81"/>
      <c r="E373" s="71"/>
      <c r="F373" s="71"/>
      <c r="G373" s="82" t="str">
        <f aca="false">IF(C373="","",IFERROR(INDEX('Kit Lists'!$D$6:$D$605,MATCH(B373&amp;"|"&amp;C373,'Kit Lists'!$J$6:$J$605,0)),"Not on this contract's kit list"))</f>
        <v/>
      </c>
      <c r="H373" s="83" t="str">
        <f aca="false">IF(AND(B373="",C373="",D373=""),"",IF(B373="","Missing contract",IF(C373="","Missing code",IF(LEFT(G373,3)="Not","Wrong code",IF(D373="","Missing qty",IF(A373="","Missing date",""))))))</f>
        <v/>
      </c>
      <c r="I373" s="84" t="str">
        <f aca="false">IF(B373=Dashboard!$D$3,ROW(),"")</f>
        <v/>
      </c>
    </row>
    <row r="374" customFormat="false" ht="15" hidden="false" customHeight="false" outlineLevel="0" collapsed="false">
      <c r="A374" s="80"/>
      <c r="B374" s="71"/>
      <c r="C374" s="71"/>
      <c r="D374" s="81"/>
      <c r="E374" s="71"/>
      <c r="F374" s="71"/>
      <c r="G374" s="82" t="str">
        <f aca="false">IF(C374="","",IFERROR(INDEX('Kit Lists'!$D$6:$D$605,MATCH(B374&amp;"|"&amp;C374,'Kit Lists'!$J$6:$J$605,0)),"Not on this contract's kit list"))</f>
        <v/>
      </c>
      <c r="H374" s="83" t="str">
        <f aca="false">IF(AND(B374="",C374="",D374=""),"",IF(B374="","Missing contract",IF(C374="","Missing code",IF(LEFT(G374,3)="Not","Wrong code",IF(D374="","Missing qty",IF(A374="","Missing date",""))))))</f>
        <v/>
      </c>
      <c r="I374" s="84" t="str">
        <f aca="false">IF(B374=Dashboard!$D$3,ROW(),"")</f>
        <v/>
      </c>
    </row>
    <row r="375" customFormat="false" ht="15" hidden="false" customHeight="false" outlineLevel="0" collapsed="false">
      <c r="A375" s="80"/>
      <c r="B375" s="71"/>
      <c r="C375" s="71"/>
      <c r="D375" s="81"/>
      <c r="E375" s="71"/>
      <c r="F375" s="71"/>
      <c r="G375" s="82" t="str">
        <f aca="false">IF(C375="","",IFERROR(INDEX('Kit Lists'!$D$6:$D$605,MATCH(B375&amp;"|"&amp;C375,'Kit Lists'!$J$6:$J$605,0)),"Not on this contract's kit list"))</f>
        <v/>
      </c>
      <c r="H375" s="83" t="str">
        <f aca="false">IF(AND(B375="",C375="",D375=""),"",IF(B375="","Missing contract",IF(C375="","Missing code",IF(LEFT(G375,3)="Not","Wrong code",IF(D375="","Missing qty",IF(A375="","Missing date",""))))))</f>
        <v/>
      </c>
      <c r="I375" s="84" t="str">
        <f aca="false">IF(B375=Dashboard!$D$3,ROW(),"")</f>
        <v/>
      </c>
    </row>
    <row r="376" customFormat="false" ht="15" hidden="false" customHeight="false" outlineLevel="0" collapsed="false">
      <c r="A376" s="80"/>
      <c r="B376" s="71"/>
      <c r="C376" s="71"/>
      <c r="D376" s="81"/>
      <c r="E376" s="71"/>
      <c r="F376" s="71"/>
      <c r="G376" s="82" t="str">
        <f aca="false">IF(C376="","",IFERROR(INDEX('Kit Lists'!$D$6:$D$605,MATCH(B376&amp;"|"&amp;C376,'Kit Lists'!$J$6:$J$605,0)),"Not on this contract's kit list"))</f>
        <v/>
      </c>
      <c r="H376" s="83" t="str">
        <f aca="false">IF(AND(B376="",C376="",D376=""),"",IF(B376="","Missing contract",IF(C376="","Missing code",IF(LEFT(G376,3)="Not","Wrong code",IF(D376="","Missing qty",IF(A376="","Missing date",""))))))</f>
        <v/>
      </c>
      <c r="I376" s="84" t="str">
        <f aca="false">IF(B376=Dashboard!$D$3,ROW(),"")</f>
        <v/>
      </c>
    </row>
    <row r="377" customFormat="false" ht="15" hidden="false" customHeight="false" outlineLevel="0" collapsed="false">
      <c r="A377" s="80"/>
      <c r="B377" s="71"/>
      <c r="C377" s="71"/>
      <c r="D377" s="81"/>
      <c r="E377" s="71"/>
      <c r="F377" s="71"/>
      <c r="G377" s="82" t="str">
        <f aca="false">IF(C377="","",IFERROR(INDEX('Kit Lists'!$D$6:$D$605,MATCH(B377&amp;"|"&amp;C377,'Kit Lists'!$J$6:$J$605,0)),"Not on this contract's kit list"))</f>
        <v/>
      </c>
      <c r="H377" s="83" t="str">
        <f aca="false">IF(AND(B377="",C377="",D377=""),"",IF(B377="","Missing contract",IF(C377="","Missing code",IF(LEFT(G377,3)="Not","Wrong code",IF(D377="","Missing qty",IF(A377="","Missing date",""))))))</f>
        <v/>
      </c>
      <c r="I377" s="84" t="str">
        <f aca="false">IF(B377=Dashboard!$D$3,ROW(),"")</f>
        <v/>
      </c>
    </row>
    <row r="378" customFormat="false" ht="15" hidden="false" customHeight="false" outlineLevel="0" collapsed="false">
      <c r="A378" s="80"/>
      <c r="B378" s="71"/>
      <c r="C378" s="71"/>
      <c r="D378" s="81"/>
      <c r="E378" s="71"/>
      <c r="F378" s="71"/>
      <c r="G378" s="82" t="str">
        <f aca="false">IF(C378="","",IFERROR(INDEX('Kit Lists'!$D$6:$D$605,MATCH(B378&amp;"|"&amp;C378,'Kit Lists'!$J$6:$J$605,0)),"Not on this contract's kit list"))</f>
        <v/>
      </c>
      <c r="H378" s="83" t="str">
        <f aca="false">IF(AND(B378="",C378="",D378=""),"",IF(B378="","Missing contract",IF(C378="","Missing code",IF(LEFT(G378,3)="Not","Wrong code",IF(D378="","Missing qty",IF(A378="","Missing date",""))))))</f>
        <v/>
      </c>
      <c r="I378" s="84" t="str">
        <f aca="false">IF(B378=Dashboard!$D$3,ROW(),"")</f>
        <v/>
      </c>
    </row>
    <row r="379" customFormat="false" ht="15" hidden="false" customHeight="false" outlineLevel="0" collapsed="false">
      <c r="A379" s="80"/>
      <c r="B379" s="71"/>
      <c r="C379" s="71"/>
      <c r="D379" s="81"/>
      <c r="E379" s="71"/>
      <c r="F379" s="71"/>
      <c r="G379" s="82" t="str">
        <f aca="false">IF(C379="","",IFERROR(INDEX('Kit Lists'!$D$6:$D$605,MATCH(B379&amp;"|"&amp;C379,'Kit Lists'!$J$6:$J$605,0)),"Not on this contract's kit list"))</f>
        <v/>
      </c>
      <c r="H379" s="83" t="str">
        <f aca="false">IF(AND(B379="",C379="",D379=""),"",IF(B379="","Missing contract",IF(C379="","Missing code",IF(LEFT(G379,3)="Not","Wrong code",IF(D379="","Missing qty",IF(A379="","Missing date",""))))))</f>
        <v/>
      </c>
      <c r="I379" s="84" t="str">
        <f aca="false">IF(B379=Dashboard!$D$3,ROW(),"")</f>
        <v/>
      </c>
    </row>
    <row r="380" customFormat="false" ht="15" hidden="false" customHeight="false" outlineLevel="0" collapsed="false">
      <c r="A380" s="80"/>
      <c r="B380" s="71"/>
      <c r="C380" s="71"/>
      <c r="D380" s="81"/>
      <c r="E380" s="71"/>
      <c r="F380" s="71"/>
      <c r="G380" s="82" t="str">
        <f aca="false">IF(C380="","",IFERROR(INDEX('Kit Lists'!$D$6:$D$605,MATCH(B380&amp;"|"&amp;C380,'Kit Lists'!$J$6:$J$605,0)),"Not on this contract's kit list"))</f>
        <v/>
      </c>
      <c r="H380" s="83" t="str">
        <f aca="false">IF(AND(B380="",C380="",D380=""),"",IF(B380="","Missing contract",IF(C380="","Missing code",IF(LEFT(G380,3)="Not","Wrong code",IF(D380="","Missing qty",IF(A380="","Missing date",""))))))</f>
        <v/>
      </c>
      <c r="I380" s="84" t="str">
        <f aca="false">IF(B380=Dashboard!$D$3,ROW(),"")</f>
        <v/>
      </c>
    </row>
    <row r="381" customFormat="false" ht="15" hidden="false" customHeight="false" outlineLevel="0" collapsed="false">
      <c r="A381" s="80"/>
      <c r="B381" s="71"/>
      <c r="C381" s="71"/>
      <c r="D381" s="81"/>
      <c r="E381" s="71"/>
      <c r="F381" s="71"/>
      <c r="G381" s="82" t="str">
        <f aca="false">IF(C381="","",IFERROR(INDEX('Kit Lists'!$D$6:$D$605,MATCH(B381&amp;"|"&amp;C381,'Kit Lists'!$J$6:$J$605,0)),"Not on this contract's kit list"))</f>
        <v/>
      </c>
      <c r="H381" s="83" t="str">
        <f aca="false">IF(AND(B381="",C381="",D381=""),"",IF(B381="","Missing contract",IF(C381="","Missing code",IF(LEFT(G381,3)="Not","Wrong code",IF(D381="","Missing qty",IF(A381="","Missing date",""))))))</f>
        <v/>
      </c>
      <c r="I381" s="84" t="str">
        <f aca="false">IF(B381=Dashboard!$D$3,ROW(),"")</f>
        <v/>
      </c>
    </row>
    <row r="382" customFormat="false" ht="15" hidden="false" customHeight="false" outlineLevel="0" collapsed="false">
      <c r="A382" s="80"/>
      <c r="B382" s="71"/>
      <c r="C382" s="71"/>
      <c r="D382" s="81"/>
      <c r="E382" s="71"/>
      <c r="F382" s="71"/>
      <c r="G382" s="82" t="str">
        <f aca="false">IF(C382="","",IFERROR(INDEX('Kit Lists'!$D$6:$D$605,MATCH(B382&amp;"|"&amp;C382,'Kit Lists'!$J$6:$J$605,0)),"Not on this contract's kit list"))</f>
        <v/>
      </c>
      <c r="H382" s="83" t="str">
        <f aca="false">IF(AND(B382="",C382="",D382=""),"",IF(B382="","Missing contract",IF(C382="","Missing code",IF(LEFT(G382,3)="Not","Wrong code",IF(D382="","Missing qty",IF(A382="","Missing date",""))))))</f>
        <v/>
      </c>
      <c r="I382" s="84" t="str">
        <f aca="false">IF(B382=Dashboard!$D$3,ROW(),"")</f>
        <v/>
      </c>
    </row>
    <row r="383" customFormat="false" ht="15" hidden="false" customHeight="false" outlineLevel="0" collapsed="false">
      <c r="A383" s="80"/>
      <c r="B383" s="71"/>
      <c r="C383" s="71"/>
      <c r="D383" s="81"/>
      <c r="E383" s="71"/>
      <c r="F383" s="71"/>
      <c r="G383" s="82" t="str">
        <f aca="false">IF(C383="","",IFERROR(INDEX('Kit Lists'!$D$6:$D$605,MATCH(B383&amp;"|"&amp;C383,'Kit Lists'!$J$6:$J$605,0)),"Not on this contract's kit list"))</f>
        <v/>
      </c>
      <c r="H383" s="83" t="str">
        <f aca="false">IF(AND(B383="",C383="",D383=""),"",IF(B383="","Missing contract",IF(C383="","Missing code",IF(LEFT(G383,3)="Not","Wrong code",IF(D383="","Missing qty",IF(A383="","Missing date",""))))))</f>
        <v/>
      </c>
      <c r="I383" s="84" t="str">
        <f aca="false">IF(B383=Dashboard!$D$3,ROW(),"")</f>
        <v/>
      </c>
    </row>
    <row r="384" customFormat="false" ht="15" hidden="false" customHeight="false" outlineLevel="0" collapsed="false">
      <c r="A384" s="80"/>
      <c r="B384" s="71"/>
      <c r="C384" s="71"/>
      <c r="D384" s="81"/>
      <c r="E384" s="71"/>
      <c r="F384" s="71"/>
      <c r="G384" s="82" t="str">
        <f aca="false">IF(C384="","",IFERROR(INDEX('Kit Lists'!$D$6:$D$605,MATCH(B384&amp;"|"&amp;C384,'Kit Lists'!$J$6:$J$605,0)),"Not on this contract's kit list"))</f>
        <v/>
      </c>
      <c r="H384" s="83" t="str">
        <f aca="false">IF(AND(B384="",C384="",D384=""),"",IF(B384="","Missing contract",IF(C384="","Missing code",IF(LEFT(G384,3)="Not","Wrong code",IF(D384="","Missing qty",IF(A384="","Missing date",""))))))</f>
        <v/>
      </c>
      <c r="I384" s="84" t="str">
        <f aca="false">IF(B384=Dashboard!$D$3,ROW(),"")</f>
        <v/>
      </c>
    </row>
    <row r="385" customFormat="false" ht="15" hidden="false" customHeight="false" outlineLevel="0" collapsed="false">
      <c r="A385" s="80"/>
      <c r="B385" s="71"/>
      <c r="C385" s="71"/>
      <c r="D385" s="81"/>
      <c r="E385" s="71"/>
      <c r="F385" s="71"/>
      <c r="G385" s="82" t="str">
        <f aca="false">IF(C385="","",IFERROR(INDEX('Kit Lists'!$D$6:$D$605,MATCH(B385&amp;"|"&amp;C385,'Kit Lists'!$J$6:$J$605,0)),"Not on this contract's kit list"))</f>
        <v/>
      </c>
      <c r="H385" s="83" t="str">
        <f aca="false">IF(AND(B385="",C385="",D385=""),"",IF(B385="","Missing contract",IF(C385="","Missing code",IF(LEFT(G385,3)="Not","Wrong code",IF(D385="","Missing qty",IF(A385="","Missing date",""))))))</f>
        <v/>
      </c>
      <c r="I385" s="84" t="str">
        <f aca="false">IF(B385=Dashboard!$D$3,ROW(),"")</f>
        <v/>
      </c>
    </row>
    <row r="386" customFormat="false" ht="15" hidden="false" customHeight="false" outlineLevel="0" collapsed="false">
      <c r="A386" s="80"/>
      <c r="B386" s="71"/>
      <c r="C386" s="71"/>
      <c r="D386" s="81"/>
      <c r="E386" s="71"/>
      <c r="F386" s="71"/>
      <c r="G386" s="82" t="str">
        <f aca="false">IF(C386="","",IFERROR(INDEX('Kit Lists'!$D$6:$D$605,MATCH(B386&amp;"|"&amp;C386,'Kit Lists'!$J$6:$J$605,0)),"Not on this contract's kit list"))</f>
        <v/>
      </c>
      <c r="H386" s="83" t="str">
        <f aca="false">IF(AND(B386="",C386="",D386=""),"",IF(B386="","Missing contract",IF(C386="","Missing code",IF(LEFT(G386,3)="Not","Wrong code",IF(D386="","Missing qty",IF(A386="","Missing date",""))))))</f>
        <v/>
      </c>
      <c r="I386" s="84" t="str">
        <f aca="false">IF(B386=Dashboard!$D$3,ROW(),"")</f>
        <v/>
      </c>
    </row>
    <row r="387" customFormat="false" ht="15" hidden="false" customHeight="false" outlineLevel="0" collapsed="false">
      <c r="A387" s="80"/>
      <c r="B387" s="71"/>
      <c r="C387" s="71"/>
      <c r="D387" s="81"/>
      <c r="E387" s="71"/>
      <c r="F387" s="71"/>
      <c r="G387" s="82" t="str">
        <f aca="false">IF(C387="","",IFERROR(INDEX('Kit Lists'!$D$6:$D$605,MATCH(B387&amp;"|"&amp;C387,'Kit Lists'!$J$6:$J$605,0)),"Not on this contract's kit list"))</f>
        <v/>
      </c>
      <c r="H387" s="83" t="str">
        <f aca="false">IF(AND(B387="",C387="",D387=""),"",IF(B387="","Missing contract",IF(C387="","Missing code",IF(LEFT(G387,3)="Not","Wrong code",IF(D387="","Missing qty",IF(A387="","Missing date",""))))))</f>
        <v/>
      </c>
      <c r="I387" s="84" t="str">
        <f aca="false">IF(B387=Dashboard!$D$3,ROW(),"")</f>
        <v/>
      </c>
    </row>
    <row r="388" customFormat="false" ht="15" hidden="false" customHeight="false" outlineLevel="0" collapsed="false">
      <c r="A388" s="80"/>
      <c r="B388" s="71"/>
      <c r="C388" s="71"/>
      <c r="D388" s="81"/>
      <c r="E388" s="71"/>
      <c r="F388" s="71"/>
      <c r="G388" s="82" t="str">
        <f aca="false">IF(C388="","",IFERROR(INDEX('Kit Lists'!$D$6:$D$605,MATCH(B388&amp;"|"&amp;C388,'Kit Lists'!$J$6:$J$605,0)),"Not on this contract's kit list"))</f>
        <v/>
      </c>
      <c r="H388" s="83" t="str">
        <f aca="false">IF(AND(B388="",C388="",D388=""),"",IF(B388="","Missing contract",IF(C388="","Missing code",IF(LEFT(G388,3)="Not","Wrong code",IF(D388="","Missing qty",IF(A388="","Missing date",""))))))</f>
        <v/>
      </c>
      <c r="I388" s="84" t="str">
        <f aca="false">IF(B388=Dashboard!$D$3,ROW(),"")</f>
        <v/>
      </c>
    </row>
    <row r="389" customFormat="false" ht="15" hidden="false" customHeight="false" outlineLevel="0" collapsed="false">
      <c r="A389" s="80"/>
      <c r="B389" s="71"/>
      <c r="C389" s="71"/>
      <c r="D389" s="81"/>
      <c r="E389" s="71"/>
      <c r="F389" s="71"/>
      <c r="G389" s="82" t="str">
        <f aca="false">IF(C389="","",IFERROR(INDEX('Kit Lists'!$D$6:$D$605,MATCH(B389&amp;"|"&amp;C389,'Kit Lists'!$J$6:$J$605,0)),"Not on this contract's kit list"))</f>
        <v/>
      </c>
      <c r="H389" s="83" t="str">
        <f aca="false">IF(AND(B389="",C389="",D389=""),"",IF(B389="","Missing contract",IF(C389="","Missing code",IF(LEFT(G389,3)="Not","Wrong code",IF(D389="","Missing qty",IF(A389="","Missing date",""))))))</f>
        <v/>
      </c>
      <c r="I389" s="84" t="str">
        <f aca="false">IF(B389=Dashboard!$D$3,ROW(),"")</f>
        <v/>
      </c>
    </row>
    <row r="390" customFormat="false" ht="15" hidden="false" customHeight="false" outlineLevel="0" collapsed="false">
      <c r="A390" s="80"/>
      <c r="B390" s="71"/>
      <c r="C390" s="71"/>
      <c r="D390" s="81"/>
      <c r="E390" s="71"/>
      <c r="F390" s="71"/>
      <c r="G390" s="82" t="str">
        <f aca="false">IF(C390="","",IFERROR(INDEX('Kit Lists'!$D$6:$D$605,MATCH(B390&amp;"|"&amp;C390,'Kit Lists'!$J$6:$J$605,0)),"Not on this contract's kit list"))</f>
        <v/>
      </c>
      <c r="H390" s="83" t="str">
        <f aca="false">IF(AND(B390="",C390="",D390=""),"",IF(B390="","Missing contract",IF(C390="","Missing code",IF(LEFT(G390,3)="Not","Wrong code",IF(D390="","Missing qty",IF(A390="","Missing date",""))))))</f>
        <v/>
      </c>
      <c r="I390" s="84" t="str">
        <f aca="false">IF(B390=Dashboard!$D$3,ROW(),"")</f>
        <v/>
      </c>
    </row>
    <row r="391" customFormat="false" ht="15" hidden="false" customHeight="false" outlineLevel="0" collapsed="false">
      <c r="A391" s="80"/>
      <c r="B391" s="71"/>
      <c r="C391" s="71"/>
      <c r="D391" s="81"/>
      <c r="E391" s="71"/>
      <c r="F391" s="71"/>
      <c r="G391" s="82" t="str">
        <f aca="false">IF(C391="","",IFERROR(INDEX('Kit Lists'!$D$6:$D$605,MATCH(B391&amp;"|"&amp;C391,'Kit Lists'!$J$6:$J$605,0)),"Not on this contract's kit list"))</f>
        <v/>
      </c>
      <c r="H391" s="83" t="str">
        <f aca="false">IF(AND(B391="",C391="",D391=""),"",IF(B391="","Missing contract",IF(C391="","Missing code",IF(LEFT(G391,3)="Not","Wrong code",IF(D391="","Missing qty",IF(A391="","Missing date",""))))))</f>
        <v/>
      </c>
      <c r="I391" s="84" t="str">
        <f aca="false">IF(B391=Dashboard!$D$3,ROW(),"")</f>
        <v/>
      </c>
    </row>
    <row r="392" customFormat="false" ht="15" hidden="false" customHeight="false" outlineLevel="0" collapsed="false">
      <c r="A392" s="80"/>
      <c r="B392" s="71"/>
      <c r="C392" s="71"/>
      <c r="D392" s="81"/>
      <c r="E392" s="71"/>
      <c r="F392" s="71"/>
      <c r="G392" s="82" t="str">
        <f aca="false">IF(C392="","",IFERROR(INDEX('Kit Lists'!$D$6:$D$605,MATCH(B392&amp;"|"&amp;C392,'Kit Lists'!$J$6:$J$605,0)),"Not on this contract's kit list"))</f>
        <v/>
      </c>
      <c r="H392" s="83" t="str">
        <f aca="false">IF(AND(B392="",C392="",D392=""),"",IF(B392="","Missing contract",IF(C392="","Missing code",IF(LEFT(G392,3)="Not","Wrong code",IF(D392="","Missing qty",IF(A392="","Missing date",""))))))</f>
        <v/>
      </c>
      <c r="I392" s="84" t="str">
        <f aca="false">IF(B392=Dashboard!$D$3,ROW(),"")</f>
        <v/>
      </c>
    </row>
    <row r="393" customFormat="false" ht="15" hidden="false" customHeight="false" outlineLevel="0" collapsed="false">
      <c r="A393" s="80"/>
      <c r="B393" s="71"/>
      <c r="C393" s="71"/>
      <c r="D393" s="81"/>
      <c r="E393" s="71"/>
      <c r="F393" s="71"/>
      <c r="G393" s="82" t="str">
        <f aca="false">IF(C393="","",IFERROR(INDEX('Kit Lists'!$D$6:$D$605,MATCH(B393&amp;"|"&amp;C393,'Kit Lists'!$J$6:$J$605,0)),"Not on this contract's kit list"))</f>
        <v/>
      </c>
      <c r="H393" s="83" t="str">
        <f aca="false">IF(AND(B393="",C393="",D393=""),"",IF(B393="","Missing contract",IF(C393="","Missing code",IF(LEFT(G393,3)="Not","Wrong code",IF(D393="","Missing qty",IF(A393="","Missing date",""))))))</f>
        <v/>
      </c>
      <c r="I393" s="84" t="str">
        <f aca="false">IF(B393=Dashboard!$D$3,ROW(),"")</f>
        <v/>
      </c>
    </row>
    <row r="394" customFormat="false" ht="15" hidden="false" customHeight="false" outlineLevel="0" collapsed="false">
      <c r="A394" s="80"/>
      <c r="B394" s="71"/>
      <c r="C394" s="71"/>
      <c r="D394" s="81"/>
      <c r="E394" s="71"/>
      <c r="F394" s="71"/>
      <c r="G394" s="82" t="str">
        <f aca="false">IF(C394="","",IFERROR(INDEX('Kit Lists'!$D$6:$D$605,MATCH(B394&amp;"|"&amp;C394,'Kit Lists'!$J$6:$J$605,0)),"Not on this contract's kit list"))</f>
        <v/>
      </c>
      <c r="H394" s="83" t="str">
        <f aca="false">IF(AND(B394="",C394="",D394=""),"",IF(B394="","Missing contract",IF(C394="","Missing code",IF(LEFT(G394,3)="Not","Wrong code",IF(D394="","Missing qty",IF(A394="","Missing date",""))))))</f>
        <v/>
      </c>
      <c r="I394" s="84" t="str">
        <f aca="false">IF(B394=Dashboard!$D$3,ROW(),"")</f>
        <v/>
      </c>
    </row>
    <row r="395" customFormat="false" ht="15" hidden="false" customHeight="false" outlineLevel="0" collapsed="false">
      <c r="A395" s="80"/>
      <c r="B395" s="71"/>
      <c r="C395" s="71"/>
      <c r="D395" s="81"/>
      <c r="E395" s="71"/>
      <c r="F395" s="71"/>
      <c r="G395" s="82" t="str">
        <f aca="false">IF(C395="","",IFERROR(INDEX('Kit Lists'!$D$6:$D$605,MATCH(B395&amp;"|"&amp;C395,'Kit Lists'!$J$6:$J$605,0)),"Not on this contract's kit list"))</f>
        <v/>
      </c>
      <c r="H395" s="83" t="str">
        <f aca="false">IF(AND(B395="",C395="",D395=""),"",IF(B395="","Missing contract",IF(C395="","Missing code",IF(LEFT(G395,3)="Not","Wrong code",IF(D395="","Missing qty",IF(A395="","Missing date",""))))))</f>
        <v/>
      </c>
      <c r="I395" s="84" t="str">
        <f aca="false">IF(B395=Dashboard!$D$3,ROW(),"")</f>
        <v/>
      </c>
    </row>
    <row r="396" customFormat="false" ht="15" hidden="false" customHeight="false" outlineLevel="0" collapsed="false">
      <c r="A396" s="80"/>
      <c r="B396" s="71"/>
      <c r="C396" s="71"/>
      <c r="D396" s="81"/>
      <c r="E396" s="71"/>
      <c r="F396" s="71"/>
      <c r="G396" s="82" t="str">
        <f aca="false">IF(C396="","",IFERROR(INDEX('Kit Lists'!$D$6:$D$605,MATCH(B396&amp;"|"&amp;C396,'Kit Lists'!$J$6:$J$605,0)),"Not on this contract's kit list"))</f>
        <v/>
      </c>
      <c r="H396" s="83" t="str">
        <f aca="false">IF(AND(B396="",C396="",D396=""),"",IF(B396="","Missing contract",IF(C396="","Missing code",IF(LEFT(G396,3)="Not","Wrong code",IF(D396="","Missing qty",IF(A396="","Missing date",""))))))</f>
        <v/>
      </c>
      <c r="I396" s="84" t="str">
        <f aca="false">IF(B396=Dashboard!$D$3,ROW(),"")</f>
        <v/>
      </c>
    </row>
    <row r="397" customFormat="false" ht="15" hidden="false" customHeight="false" outlineLevel="0" collapsed="false">
      <c r="A397" s="80"/>
      <c r="B397" s="71"/>
      <c r="C397" s="71"/>
      <c r="D397" s="81"/>
      <c r="E397" s="71"/>
      <c r="F397" s="71"/>
      <c r="G397" s="82" t="str">
        <f aca="false">IF(C397="","",IFERROR(INDEX('Kit Lists'!$D$6:$D$605,MATCH(B397&amp;"|"&amp;C397,'Kit Lists'!$J$6:$J$605,0)),"Not on this contract's kit list"))</f>
        <v/>
      </c>
      <c r="H397" s="83" t="str">
        <f aca="false">IF(AND(B397="",C397="",D397=""),"",IF(B397="","Missing contract",IF(C397="","Missing code",IF(LEFT(G397,3)="Not","Wrong code",IF(D397="","Missing qty",IF(A397="","Missing date",""))))))</f>
        <v/>
      </c>
      <c r="I397" s="84" t="str">
        <f aca="false">IF(B397=Dashboard!$D$3,ROW(),"")</f>
        <v/>
      </c>
    </row>
    <row r="398" customFormat="false" ht="15" hidden="false" customHeight="false" outlineLevel="0" collapsed="false">
      <c r="A398" s="80"/>
      <c r="B398" s="71"/>
      <c r="C398" s="71"/>
      <c r="D398" s="81"/>
      <c r="E398" s="71"/>
      <c r="F398" s="71"/>
      <c r="G398" s="82" t="str">
        <f aca="false">IF(C398="","",IFERROR(INDEX('Kit Lists'!$D$6:$D$605,MATCH(B398&amp;"|"&amp;C398,'Kit Lists'!$J$6:$J$605,0)),"Not on this contract's kit list"))</f>
        <v/>
      </c>
      <c r="H398" s="83" t="str">
        <f aca="false">IF(AND(B398="",C398="",D398=""),"",IF(B398="","Missing contract",IF(C398="","Missing code",IF(LEFT(G398,3)="Not","Wrong code",IF(D398="","Missing qty",IF(A398="","Missing date",""))))))</f>
        <v/>
      </c>
      <c r="I398" s="84" t="str">
        <f aca="false">IF(B398=Dashboard!$D$3,ROW(),"")</f>
        <v/>
      </c>
    </row>
    <row r="399" customFormat="false" ht="15" hidden="false" customHeight="false" outlineLevel="0" collapsed="false">
      <c r="A399" s="80"/>
      <c r="B399" s="71"/>
      <c r="C399" s="71"/>
      <c r="D399" s="81"/>
      <c r="E399" s="71"/>
      <c r="F399" s="71"/>
      <c r="G399" s="82" t="str">
        <f aca="false">IF(C399="","",IFERROR(INDEX('Kit Lists'!$D$6:$D$605,MATCH(B399&amp;"|"&amp;C399,'Kit Lists'!$J$6:$J$605,0)),"Not on this contract's kit list"))</f>
        <v/>
      </c>
      <c r="H399" s="83" t="str">
        <f aca="false">IF(AND(B399="",C399="",D399=""),"",IF(B399="","Missing contract",IF(C399="","Missing code",IF(LEFT(G399,3)="Not","Wrong code",IF(D399="","Missing qty",IF(A399="","Missing date",""))))))</f>
        <v/>
      </c>
      <c r="I399" s="84" t="str">
        <f aca="false">IF(B399=Dashboard!$D$3,ROW(),"")</f>
        <v/>
      </c>
    </row>
    <row r="400" customFormat="false" ht="15" hidden="false" customHeight="false" outlineLevel="0" collapsed="false">
      <c r="A400" s="80"/>
      <c r="B400" s="71"/>
      <c r="C400" s="71"/>
      <c r="D400" s="81"/>
      <c r="E400" s="71"/>
      <c r="F400" s="71"/>
      <c r="G400" s="82" t="str">
        <f aca="false">IF(C400="","",IFERROR(INDEX('Kit Lists'!$D$6:$D$605,MATCH(B400&amp;"|"&amp;C400,'Kit Lists'!$J$6:$J$605,0)),"Not on this contract's kit list"))</f>
        <v/>
      </c>
      <c r="H400" s="83" t="str">
        <f aca="false">IF(AND(B400="",C400="",D400=""),"",IF(B400="","Missing contract",IF(C400="","Missing code",IF(LEFT(G400,3)="Not","Wrong code",IF(D400="","Missing qty",IF(A400="","Missing date",""))))))</f>
        <v/>
      </c>
      <c r="I400" s="84" t="str">
        <f aca="false">IF(B400=Dashboard!$D$3,ROW(),"")</f>
        <v/>
      </c>
    </row>
    <row r="401" customFormat="false" ht="15" hidden="false" customHeight="false" outlineLevel="0" collapsed="false">
      <c r="A401" s="80"/>
      <c r="B401" s="71"/>
      <c r="C401" s="71"/>
      <c r="D401" s="81"/>
      <c r="E401" s="71"/>
      <c r="F401" s="71"/>
      <c r="G401" s="82" t="str">
        <f aca="false">IF(C401="","",IFERROR(INDEX('Kit Lists'!$D$6:$D$605,MATCH(B401&amp;"|"&amp;C401,'Kit Lists'!$J$6:$J$605,0)),"Not on this contract's kit list"))</f>
        <v/>
      </c>
      <c r="H401" s="83" t="str">
        <f aca="false">IF(AND(B401="",C401="",D401=""),"",IF(B401="","Missing contract",IF(C401="","Missing code",IF(LEFT(G401,3)="Not","Wrong code",IF(D401="","Missing qty",IF(A401="","Missing date",""))))))</f>
        <v/>
      </c>
      <c r="I401" s="84" t="str">
        <f aca="false">IF(B401=Dashboard!$D$3,ROW(),"")</f>
        <v/>
      </c>
    </row>
    <row r="402" customFormat="false" ht="15" hidden="false" customHeight="false" outlineLevel="0" collapsed="false">
      <c r="A402" s="80"/>
      <c r="B402" s="71"/>
      <c r="C402" s="71"/>
      <c r="D402" s="81"/>
      <c r="E402" s="71"/>
      <c r="F402" s="71"/>
      <c r="G402" s="82" t="str">
        <f aca="false">IF(C402="","",IFERROR(INDEX('Kit Lists'!$D$6:$D$605,MATCH(B402&amp;"|"&amp;C402,'Kit Lists'!$J$6:$J$605,0)),"Not on this contract's kit list"))</f>
        <v/>
      </c>
      <c r="H402" s="83" t="str">
        <f aca="false">IF(AND(B402="",C402="",D402=""),"",IF(B402="","Missing contract",IF(C402="","Missing code",IF(LEFT(G402,3)="Not","Wrong code",IF(D402="","Missing qty",IF(A402="","Missing date",""))))))</f>
        <v/>
      </c>
      <c r="I402" s="84" t="str">
        <f aca="false">IF(B402=Dashboard!$D$3,ROW(),"")</f>
        <v/>
      </c>
    </row>
    <row r="403" customFormat="false" ht="15" hidden="false" customHeight="false" outlineLevel="0" collapsed="false">
      <c r="A403" s="80"/>
      <c r="B403" s="71"/>
      <c r="C403" s="71"/>
      <c r="D403" s="81"/>
      <c r="E403" s="71"/>
      <c r="F403" s="71"/>
      <c r="G403" s="82" t="str">
        <f aca="false">IF(C403="","",IFERROR(INDEX('Kit Lists'!$D$6:$D$605,MATCH(B403&amp;"|"&amp;C403,'Kit Lists'!$J$6:$J$605,0)),"Not on this contract's kit list"))</f>
        <v/>
      </c>
      <c r="H403" s="83" t="str">
        <f aca="false">IF(AND(B403="",C403="",D403=""),"",IF(B403="","Missing contract",IF(C403="","Missing code",IF(LEFT(G403,3)="Not","Wrong code",IF(D403="","Missing qty",IF(A403="","Missing date",""))))))</f>
        <v/>
      </c>
      <c r="I403" s="84" t="str">
        <f aca="false">IF(B403=Dashboard!$D$3,ROW(),"")</f>
        <v/>
      </c>
    </row>
    <row r="404" customFormat="false" ht="15" hidden="false" customHeight="false" outlineLevel="0" collapsed="false">
      <c r="A404" s="80"/>
      <c r="B404" s="71"/>
      <c r="C404" s="71"/>
      <c r="D404" s="81"/>
      <c r="E404" s="71"/>
      <c r="F404" s="71"/>
      <c r="G404" s="82" t="str">
        <f aca="false">IF(C404="","",IFERROR(INDEX('Kit Lists'!$D$6:$D$605,MATCH(B404&amp;"|"&amp;C404,'Kit Lists'!$J$6:$J$605,0)),"Not on this contract's kit list"))</f>
        <v/>
      </c>
      <c r="H404" s="83" t="str">
        <f aca="false">IF(AND(B404="",C404="",D404=""),"",IF(B404="","Missing contract",IF(C404="","Missing code",IF(LEFT(G404,3)="Not","Wrong code",IF(D404="","Missing qty",IF(A404="","Missing date",""))))))</f>
        <v/>
      </c>
      <c r="I404" s="84" t="str">
        <f aca="false">IF(B404=Dashboard!$D$3,ROW(),"")</f>
        <v/>
      </c>
    </row>
    <row r="405" customFormat="false" ht="15" hidden="false" customHeight="false" outlineLevel="0" collapsed="false">
      <c r="A405" s="80"/>
      <c r="B405" s="71"/>
      <c r="C405" s="71"/>
      <c r="D405" s="81"/>
      <c r="E405" s="71"/>
      <c r="F405" s="71"/>
      <c r="G405" s="82" t="str">
        <f aca="false">IF(C405="","",IFERROR(INDEX('Kit Lists'!$D$6:$D$605,MATCH(B405&amp;"|"&amp;C405,'Kit Lists'!$J$6:$J$605,0)),"Not on this contract's kit list"))</f>
        <v/>
      </c>
      <c r="H405" s="83" t="str">
        <f aca="false">IF(AND(B405="",C405="",D405=""),"",IF(B405="","Missing contract",IF(C405="","Missing code",IF(LEFT(G405,3)="Not","Wrong code",IF(D405="","Missing qty",IF(A405="","Missing date",""))))))</f>
        <v/>
      </c>
      <c r="I405" s="84" t="str">
        <f aca="false">IF(B405=Dashboard!$D$3,ROW(),"")</f>
        <v/>
      </c>
    </row>
    <row r="406" customFormat="false" ht="15" hidden="false" customHeight="false" outlineLevel="0" collapsed="false">
      <c r="A406" s="80"/>
      <c r="B406" s="71"/>
      <c r="C406" s="71"/>
      <c r="D406" s="81"/>
      <c r="E406" s="71"/>
      <c r="F406" s="71"/>
      <c r="G406" s="82" t="str">
        <f aca="false">IF(C406="","",IFERROR(INDEX('Kit Lists'!$D$6:$D$605,MATCH(B406&amp;"|"&amp;C406,'Kit Lists'!$J$6:$J$605,0)),"Not on this contract's kit list"))</f>
        <v/>
      </c>
      <c r="H406" s="83" t="str">
        <f aca="false">IF(AND(B406="",C406="",D406=""),"",IF(B406="","Missing contract",IF(C406="","Missing code",IF(LEFT(G406,3)="Not","Wrong code",IF(D406="","Missing qty",IF(A406="","Missing date",""))))))</f>
        <v/>
      </c>
      <c r="I406" s="84" t="str">
        <f aca="false">IF(B406=Dashboard!$D$3,ROW(),"")</f>
        <v/>
      </c>
    </row>
    <row r="407" customFormat="false" ht="15" hidden="false" customHeight="false" outlineLevel="0" collapsed="false">
      <c r="A407" s="80"/>
      <c r="B407" s="71"/>
      <c r="C407" s="71"/>
      <c r="D407" s="81"/>
      <c r="E407" s="71"/>
      <c r="F407" s="71"/>
      <c r="G407" s="82" t="str">
        <f aca="false">IF(C407="","",IFERROR(INDEX('Kit Lists'!$D$6:$D$605,MATCH(B407&amp;"|"&amp;C407,'Kit Lists'!$J$6:$J$605,0)),"Not on this contract's kit list"))</f>
        <v/>
      </c>
      <c r="H407" s="83" t="str">
        <f aca="false">IF(AND(B407="",C407="",D407=""),"",IF(B407="","Missing contract",IF(C407="","Missing code",IF(LEFT(G407,3)="Not","Wrong code",IF(D407="","Missing qty",IF(A407="","Missing date",""))))))</f>
        <v/>
      </c>
      <c r="I407" s="84" t="str">
        <f aca="false">IF(B407=Dashboard!$D$3,ROW(),"")</f>
        <v/>
      </c>
    </row>
    <row r="408" customFormat="false" ht="15" hidden="false" customHeight="false" outlineLevel="0" collapsed="false">
      <c r="A408" s="80"/>
      <c r="B408" s="71"/>
      <c r="C408" s="71"/>
      <c r="D408" s="81"/>
      <c r="E408" s="71"/>
      <c r="F408" s="71"/>
      <c r="G408" s="82" t="str">
        <f aca="false">IF(C408="","",IFERROR(INDEX('Kit Lists'!$D$6:$D$605,MATCH(B408&amp;"|"&amp;C408,'Kit Lists'!$J$6:$J$605,0)),"Not on this contract's kit list"))</f>
        <v/>
      </c>
      <c r="H408" s="83" t="str">
        <f aca="false">IF(AND(B408="",C408="",D408=""),"",IF(B408="","Missing contract",IF(C408="","Missing code",IF(LEFT(G408,3)="Not","Wrong code",IF(D408="","Missing qty",IF(A408="","Missing date",""))))))</f>
        <v/>
      </c>
      <c r="I408" s="84" t="str">
        <f aca="false">IF(B408=Dashboard!$D$3,ROW(),"")</f>
        <v/>
      </c>
    </row>
    <row r="409" customFormat="false" ht="15" hidden="false" customHeight="false" outlineLevel="0" collapsed="false">
      <c r="A409" s="80"/>
      <c r="B409" s="71"/>
      <c r="C409" s="71"/>
      <c r="D409" s="81"/>
      <c r="E409" s="71"/>
      <c r="F409" s="71"/>
      <c r="G409" s="82" t="str">
        <f aca="false">IF(C409="","",IFERROR(INDEX('Kit Lists'!$D$6:$D$605,MATCH(B409&amp;"|"&amp;C409,'Kit Lists'!$J$6:$J$605,0)),"Not on this contract's kit list"))</f>
        <v/>
      </c>
      <c r="H409" s="83" t="str">
        <f aca="false">IF(AND(B409="",C409="",D409=""),"",IF(B409="","Missing contract",IF(C409="","Missing code",IF(LEFT(G409,3)="Not","Wrong code",IF(D409="","Missing qty",IF(A409="","Missing date",""))))))</f>
        <v/>
      </c>
      <c r="I409" s="84" t="str">
        <f aca="false">IF(B409=Dashboard!$D$3,ROW(),"")</f>
        <v/>
      </c>
    </row>
    <row r="410" customFormat="false" ht="15" hidden="false" customHeight="false" outlineLevel="0" collapsed="false">
      <c r="A410" s="80"/>
      <c r="B410" s="71"/>
      <c r="C410" s="71"/>
      <c r="D410" s="81"/>
      <c r="E410" s="71"/>
      <c r="F410" s="71"/>
      <c r="G410" s="82" t="str">
        <f aca="false">IF(C410="","",IFERROR(INDEX('Kit Lists'!$D$6:$D$605,MATCH(B410&amp;"|"&amp;C410,'Kit Lists'!$J$6:$J$605,0)),"Not on this contract's kit list"))</f>
        <v/>
      </c>
      <c r="H410" s="83" t="str">
        <f aca="false">IF(AND(B410="",C410="",D410=""),"",IF(B410="","Missing contract",IF(C410="","Missing code",IF(LEFT(G410,3)="Not","Wrong code",IF(D410="","Missing qty",IF(A410="","Missing date",""))))))</f>
        <v/>
      </c>
      <c r="I410" s="84" t="str">
        <f aca="false">IF(B410=Dashboard!$D$3,ROW(),"")</f>
        <v/>
      </c>
    </row>
    <row r="411" customFormat="false" ht="15" hidden="false" customHeight="false" outlineLevel="0" collapsed="false">
      <c r="A411" s="80"/>
      <c r="B411" s="71"/>
      <c r="C411" s="71"/>
      <c r="D411" s="81"/>
      <c r="E411" s="71"/>
      <c r="F411" s="71"/>
      <c r="G411" s="82" t="str">
        <f aca="false">IF(C411="","",IFERROR(INDEX('Kit Lists'!$D$6:$D$605,MATCH(B411&amp;"|"&amp;C411,'Kit Lists'!$J$6:$J$605,0)),"Not on this contract's kit list"))</f>
        <v/>
      </c>
      <c r="H411" s="83" t="str">
        <f aca="false">IF(AND(B411="",C411="",D411=""),"",IF(B411="","Missing contract",IF(C411="","Missing code",IF(LEFT(G411,3)="Not","Wrong code",IF(D411="","Missing qty",IF(A411="","Missing date",""))))))</f>
        <v/>
      </c>
      <c r="I411" s="84" t="str">
        <f aca="false">IF(B411=Dashboard!$D$3,ROW(),"")</f>
        <v/>
      </c>
    </row>
    <row r="412" customFormat="false" ht="15" hidden="false" customHeight="false" outlineLevel="0" collapsed="false">
      <c r="A412" s="80"/>
      <c r="B412" s="71"/>
      <c r="C412" s="71"/>
      <c r="D412" s="81"/>
      <c r="E412" s="71"/>
      <c r="F412" s="71"/>
      <c r="G412" s="82" t="str">
        <f aca="false">IF(C412="","",IFERROR(INDEX('Kit Lists'!$D$6:$D$605,MATCH(B412&amp;"|"&amp;C412,'Kit Lists'!$J$6:$J$605,0)),"Not on this contract's kit list"))</f>
        <v/>
      </c>
      <c r="H412" s="83" t="str">
        <f aca="false">IF(AND(B412="",C412="",D412=""),"",IF(B412="","Missing contract",IF(C412="","Missing code",IF(LEFT(G412,3)="Not","Wrong code",IF(D412="","Missing qty",IF(A412="","Missing date",""))))))</f>
        <v/>
      </c>
      <c r="I412" s="84" t="str">
        <f aca="false">IF(B412=Dashboard!$D$3,ROW(),"")</f>
        <v/>
      </c>
    </row>
    <row r="413" customFormat="false" ht="15" hidden="false" customHeight="false" outlineLevel="0" collapsed="false">
      <c r="A413" s="80"/>
      <c r="B413" s="71"/>
      <c r="C413" s="71"/>
      <c r="D413" s="81"/>
      <c r="E413" s="71"/>
      <c r="F413" s="71"/>
      <c r="G413" s="82" t="str">
        <f aca="false">IF(C413="","",IFERROR(INDEX('Kit Lists'!$D$6:$D$605,MATCH(B413&amp;"|"&amp;C413,'Kit Lists'!$J$6:$J$605,0)),"Not on this contract's kit list"))</f>
        <v/>
      </c>
      <c r="H413" s="83" t="str">
        <f aca="false">IF(AND(B413="",C413="",D413=""),"",IF(B413="","Missing contract",IF(C413="","Missing code",IF(LEFT(G413,3)="Not","Wrong code",IF(D413="","Missing qty",IF(A413="","Missing date",""))))))</f>
        <v/>
      </c>
      <c r="I413" s="84" t="str">
        <f aca="false">IF(B413=Dashboard!$D$3,ROW(),"")</f>
        <v/>
      </c>
    </row>
    <row r="414" customFormat="false" ht="15" hidden="false" customHeight="false" outlineLevel="0" collapsed="false">
      <c r="A414" s="80"/>
      <c r="B414" s="71"/>
      <c r="C414" s="71"/>
      <c r="D414" s="81"/>
      <c r="E414" s="71"/>
      <c r="F414" s="71"/>
      <c r="G414" s="82" t="str">
        <f aca="false">IF(C414="","",IFERROR(INDEX('Kit Lists'!$D$6:$D$605,MATCH(B414&amp;"|"&amp;C414,'Kit Lists'!$J$6:$J$605,0)),"Not on this contract's kit list"))</f>
        <v/>
      </c>
      <c r="H414" s="83" t="str">
        <f aca="false">IF(AND(B414="",C414="",D414=""),"",IF(B414="","Missing contract",IF(C414="","Missing code",IF(LEFT(G414,3)="Not","Wrong code",IF(D414="","Missing qty",IF(A414="","Missing date",""))))))</f>
        <v/>
      </c>
      <c r="I414" s="84" t="str">
        <f aca="false">IF(B414=Dashboard!$D$3,ROW(),"")</f>
        <v/>
      </c>
    </row>
    <row r="415" customFormat="false" ht="15" hidden="false" customHeight="false" outlineLevel="0" collapsed="false">
      <c r="A415" s="80"/>
      <c r="B415" s="71"/>
      <c r="C415" s="71"/>
      <c r="D415" s="81"/>
      <c r="E415" s="71"/>
      <c r="F415" s="71"/>
      <c r="G415" s="82" t="str">
        <f aca="false">IF(C415="","",IFERROR(INDEX('Kit Lists'!$D$6:$D$605,MATCH(B415&amp;"|"&amp;C415,'Kit Lists'!$J$6:$J$605,0)),"Not on this contract's kit list"))</f>
        <v/>
      </c>
      <c r="H415" s="83" t="str">
        <f aca="false">IF(AND(B415="",C415="",D415=""),"",IF(B415="","Missing contract",IF(C415="","Missing code",IF(LEFT(G415,3)="Not","Wrong code",IF(D415="","Missing qty",IF(A415="","Missing date",""))))))</f>
        <v/>
      </c>
      <c r="I415" s="84" t="str">
        <f aca="false">IF(B415=Dashboard!$D$3,ROW(),"")</f>
        <v/>
      </c>
    </row>
    <row r="416" customFormat="false" ht="15" hidden="false" customHeight="false" outlineLevel="0" collapsed="false">
      <c r="A416" s="80"/>
      <c r="B416" s="71"/>
      <c r="C416" s="71"/>
      <c r="D416" s="81"/>
      <c r="E416" s="71"/>
      <c r="F416" s="71"/>
      <c r="G416" s="82" t="str">
        <f aca="false">IF(C416="","",IFERROR(INDEX('Kit Lists'!$D$6:$D$605,MATCH(B416&amp;"|"&amp;C416,'Kit Lists'!$J$6:$J$605,0)),"Not on this contract's kit list"))</f>
        <v/>
      </c>
      <c r="H416" s="83" t="str">
        <f aca="false">IF(AND(B416="",C416="",D416=""),"",IF(B416="","Missing contract",IF(C416="","Missing code",IF(LEFT(G416,3)="Not","Wrong code",IF(D416="","Missing qty",IF(A416="","Missing date",""))))))</f>
        <v/>
      </c>
      <c r="I416" s="84" t="str">
        <f aca="false">IF(B416=Dashboard!$D$3,ROW(),"")</f>
        <v/>
      </c>
    </row>
    <row r="417" customFormat="false" ht="15" hidden="false" customHeight="false" outlineLevel="0" collapsed="false">
      <c r="A417" s="80"/>
      <c r="B417" s="71"/>
      <c r="C417" s="71"/>
      <c r="D417" s="81"/>
      <c r="E417" s="71"/>
      <c r="F417" s="71"/>
      <c r="G417" s="82" t="str">
        <f aca="false">IF(C417="","",IFERROR(INDEX('Kit Lists'!$D$6:$D$605,MATCH(B417&amp;"|"&amp;C417,'Kit Lists'!$J$6:$J$605,0)),"Not on this contract's kit list"))</f>
        <v/>
      </c>
      <c r="H417" s="83" t="str">
        <f aca="false">IF(AND(B417="",C417="",D417=""),"",IF(B417="","Missing contract",IF(C417="","Missing code",IF(LEFT(G417,3)="Not","Wrong code",IF(D417="","Missing qty",IF(A417="","Missing date",""))))))</f>
        <v/>
      </c>
      <c r="I417" s="84" t="str">
        <f aca="false">IF(B417=Dashboard!$D$3,ROW(),"")</f>
        <v/>
      </c>
    </row>
    <row r="418" customFormat="false" ht="15" hidden="false" customHeight="false" outlineLevel="0" collapsed="false">
      <c r="A418" s="80"/>
      <c r="B418" s="71"/>
      <c r="C418" s="71"/>
      <c r="D418" s="81"/>
      <c r="E418" s="71"/>
      <c r="F418" s="71"/>
      <c r="G418" s="82" t="str">
        <f aca="false">IF(C418="","",IFERROR(INDEX('Kit Lists'!$D$6:$D$605,MATCH(B418&amp;"|"&amp;C418,'Kit Lists'!$J$6:$J$605,0)),"Not on this contract's kit list"))</f>
        <v/>
      </c>
      <c r="H418" s="83" t="str">
        <f aca="false">IF(AND(B418="",C418="",D418=""),"",IF(B418="","Missing contract",IF(C418="","Missing code",IF(LEFT(G418,3)="Not","Wrong code",IF(D418="","Missing qty",IF(A418="","Missing date",""))))))</f>
        <v/>
      </c>
      <c r="I418" s="84" t="str">
        <f aca="false">IF(B418=Dashboard!$D$3,ROW(),"")</f>
        <v/>
      </c>
    </row>
    <row r="419" customFormat="false" ht="15" hidden="false" customHeight="false" outlineLevel="0" collapsed="false">
      <c r="A419" s="80"/>
      <c r="B419" s="71"/>
      <c r="C419" s="71"/>
      <c r="D419" s="81"/>
      <c r="E419" s="71"/>
      <c r="F419" s="71"/>
      <c r="G419" s="82" t="str">
        <f aca="false">IF(C419="","",IFERROR(INDEX('Kit Lists'!$D$6:$D$605,MATCH(B419&amp;"|"&amp;C419,'Kit Lists'!$J$6:$J$605,0)),"Not on this contract's kit list"))</f>
        <v/>
      </c>
      <c r="H419" s="83" t="str">
        <f aca="false">IF(AND(B419="",C419="",D419=""),"",IF(B419="","Missing contract",IF(C419="","Missing code",IF(LEFT(G419,3)="Not","Wrong code",IF(D419="","Missing qty",IF(A419="","Missing date",""))))))</f>
        <v/>
      </c>
      <c r="I419" s="84" t="str">
        <f aca="false">IF(B419=Dashboard!$D$3,ROW(),"")</f>
        <v/>
      </c>
    </row>
    <row r="420" customFormat="false" ht="15" hidden="false" customHeight="false" outlineLevel="0" collapsed="false">
      <c r="A420" s="80"/>
      <c r="B420" s="71"/>
      <c r="C420" s="71"/>
      <c r="D420" s="81"/>
      <c r="E420" s="71"/>
      <c r="F420" s="71"/>
      <c r="G420" s="82" t="str">
        <f aca="false">IF(C420="","",IFERROR(INDEX('Kit Lists'!$D$6:$D$605,MATCH(B420&amp;"|"&amp;C420,'Kit Lists'!$J$6:$J$605,0)),"Not on this contract's kit list"))</f>
        <v/>
      </c>
      <c r="H420" s="83" t="str">
        <f aca="false">IF(AND(B420="",C420="",D420=""),"",IF(B420="","Missing contract",IF(C420="","Missing code",IF(LEFT(G420,3)="Not","Wrong code",IF(D420="","Missing qty",IF(A420="","Missing date",""))))))</f>
        <v/>
      </c>
      <c r="I420" s="84" t="str">
        <f aca="false">IF(B420=Dashboard!$D$3,ROW(),"")</f>
        <v/>
      </c>
    </row>
    <row r="421" customFormat="false" ht="15" hidden="false" customHeight="false" outlineLevel="0" collapsed="false">
      <c r="A421" s="80"/>
      <c r="B421" s="71"/>
      <c r="C421" s="71"/>
      <c r="D421" s="81"/>
      <c r="E421" s="71"/>
      <c r="F421" s="71"/>
      <c r="G421" s="82" t="str">
        <f aca="false">IF(C421="","",IFERROR(INDEX('Kit Lists'!$D$6:$D$605,MATCH(B421&amp;"|"&amp;C421,'Kit Lists'!$J$6:$J$605,0)),"Not on this contract's kit list"))</f>
        <v/>
      </c>
      <c r="H421" s="83" t="str">
        <f aca="false">IF(AND(B421="",C421="",D421=""),"",IF(B421="","Missing contract",IF(C421="","Missing code",IF(LEFT(G421,3)="Not","Wrong code",IF(D421="","Missing qty",IF(A421="","Missing date",""))))))</f>
        <v/>
      </c>
      <c r="I421" s="84" t="str">
        <f aca="false">IF(B421=Dashboard!$D$3,ROW(),"")</f>
        <v/>
      </c>
    </row>
    <row r="422" customFormat="false" ht="15" hidden="false" customHeight="false" outlineLevel="0" collapsed="false">
      <c r="A422" s="80"/>
      <c r="B422" s="71"/>
      <c r="C422" s="71"/>
      <c r="D422" s="81"/>
      <c r="E422" s="71"/>
      <c r="F422" s="71"/>
      <c r="G422" s="82" t="str">
        <f aca="false">IF(C422="","",IFERROR(INDEX('Kit Lists'!$D$6:$D$605,MATCH(B422&amp;"|"&amp;C422,'Kit Lists'!$J$6:$J$605,0)),"Not on this contract's kit list"))</f>
        <v/>
      </c>
      <c r="H422" s="83" t="str">
        <f aca="false">IF(AND(B422="",C422="",D422=""),"",IF(B422="","Missing contract",IF(C422="","Missing code",IF(LEFT(G422,3)="Not","Wrong code",IF(D422="","Missing qty",IF(A422="","Missing date",""))))))</f>
        <v/>
      </c>
      <c r="I422" s="84" t="str">
        <f aca="false">IF(B422=Dashboard!$D$3,ROW(),"")</f>
        <v/>
      </c>
    </row>
    <row r="423" customFormat="false" ht="15" hidden="false" customHeight="false" outlineLevel="0" collapsed="false">
      <c r="A423" s="80"/>
      <c r="B423" s="71"/>
      <c r="C423" s="71"/>
      <c r="D423" s="81"/>
      <c r="E423" s="71"/>
      <c r="F423" s="71"/>
      <c r="G423" s="82" t="str">
        <f aca="false">IF(C423="","",IFERROR(INDEX('Kit Lists'!$D$6:$D$605,MATCH(B423&amp;"|"&amp;C423,'Kit Lists'!$J$6:$J$605,0)),"Not on this contract's kit list"))</f>
        <v/>
      </c>
      <c r="H423" s="83" t="str">
        <f aca="false">IF(AND(B423="",C423="",D423=""),"",IF(B423="","Missing contract",IF(C423="","Missing code",IF(LEFT(G423,3)="Not","Wrong code",IF(D423="","Missing qty",IF(A423="","Missing date",""))))))</f>
        <v/>
      </c>
      <c r="I423" s="84" t="str">
        <f aca="false">IF(B423=Dashboard!$D$3,ROW(),"")</f>
        <v/>
      </c>
    </row>
    <row r="424" customFormat="false" ht="15" hidden="false" customHeight="false" outlineLevel="0" collapsed="false">
      <c r="A424" s="80"/>
      <c r="B424" s="71"/>
      <c r="C424" s="71"/>
      <c r="D424" s="81"/>
      <c r="E424" s="71"/>
      <c r="F424" s="71"/>
      <c r="G424" s="82" t="str">
        <f aca="false">IF(C424="","",IFERROR(INDEX('Kit Lists'!$D$6:$D$605,MATCH(B424&amp;"|"&amp;C424,'Kit Lists'!$J$6:$J$605,0)),"Not on this contract's kit list"))</f>
        <v/>
      </c>
      <c r="H424" s="83" t="str">
        <f aca="false">IF(AND(B424="",C424="",D424=""),"",IF(B424="","Missing contract",IF(C424="","Missing code",IF(LEFT(G424,3)="Not","Wrong code",IF(D424="","Missing qty",IF(A424="","Missing date",""))))))</f>
        <v/>
      </c>
      <c r="I424" s="84" t="str">
        <f aca="false">IF(B424=Dashboard!$D$3,ROW(),"")</f>
        <v/>
      </c>
    </row>
    <row r="425" customFormat="false" ht="15" hidden="false" customHeight="false" outlineLevel="0" collapsed="false">
      <c r="A425" s="80"/>
      <c r="B425" s="71"/>
      <c r="C425" s="71"/>
      <c r="D425" s="81"/>
      <c r="E425" s="71"/>
      <c r="F425" s="71"/>
      <c r="G425" s="82" t="str">
        <f aca="false">IF(C425="","",IFERROR(INDEX('Kit Lists'!$D$6:$D$605,MATCH(B425&amp;"|"&amp;C425,'Kit Lists'!$J$6:$J$605,0)),"Not on this contract's kit list"))</f>
        <v/>
      </c>
      <c r="H425" s="83" t="str">
        <f aca="false">IF(AND(B425="",C425="",D425=""),"",IF(B425="","Missing contract",IF(C425="","Missing code",IF(LEFT(G425,3)="Not","Wrong code",IF(D425="","Missing qty",IF(A425="","Missing date",""))))))</f>
        <v/>
      </c>
      <c r="I425" s="84" t="str">
        <f aca="false">IF(B425=Dashboard!$D$3,ROW(),"")</f>
        <v/>
      </c>
    </row>
    <row r="426" customFormat="false" ht="15" hidden="false" customHeight="false" outlineLevel="0" collapsed="false">
      <c r="A426" s="80"/>
      <c r="B426" s="71"/>
      <c r="C426" s="71"/>
      <c r="D426" s="81"/>
      <c r="E426" s="71"/>
      <c r="F426" s="71"/>
      <c r="G426" s="82" t="str">
        <f aca="false">IF(C426="","",IFERROR(INDEX('Kit Lists'!$D$6:$D$605,MATCH(B426&amp;"|"&amp;C426,'Kit Lists'!$J$6:$J$605,0)),"Not on this contract's kit list"))</f>
        <v/>
      </c>
      <c r="H426" s="83" t="str">
        <f aca="false">IF(AND(B426="",C426="",D426=""),"",IF(B426="","Missing contract",IF(C426="","Missing code",IF(LEFT(G426,3)="Not","Wrong code",IF(D426="","Missing qty",IF(A426="","Missing date",""))))))</f>
        <v/>
      </c>
      <c r="I426" s="84" t="str">
        <f aca="false">IF(B426=Dashboard!$D$3,ROW(),"")</f>
        <v/>
      </c>
    </row>
    <row r="427" customFormat="false" ht="15" hidden="false" customHeight="false" outlineLevel="0" collapsed="false">
      <c r="A427" s="80"/>
      <c r="B427" s="71"/>
      <c r="C427" s="71"/>
      <c r="D427" s="81"/>
      <c r="E427" s="71"/>
      <c r="F427" s="71"/>
      <c r="G427" s="82" t="str">
        <f aca="false">IF(C427="","",IFERROR(INDEX('Kit Lists'!$D$6:$D$605,MATCH(B427&amp;"|"&amp;C427,'Kit Lists'!$J$6:$J$605,0)),"Not on this contract's kit list"))</f>
        <v/>
      </c>
      <c r="H427" s="83" t="str">
        <f aca="false">IF(AND(B427="",C427="",D427=""),"",IF(B427="","Missing contract",IF(C427="","Missing code",IF(LEFT(G427,3)="Not","Wrong code",IF(D427="","Missing qty",IF(A427="","Missing date",""))))))</f>
        <v/>
      </c>
      <c r="I427" s="84" t="str">
        <f aca="false">IF(B427=Dashboard!$D$3,ROW(),"")</f>
        <v/>
      </c>
    </row>
    <row r="428" customFormat="false" ht="15" hidden="false" customHeight="false" outlineLevel="0" collapsed="false">
      <c r="A428" s="80"/>
      <c r="B428" s="71"/>
      <c r="C428" s="71"/>
      <c r="D428" s="81"/>
      <c r="E428" s="71"/>
      <c r="F428" s="71"/>
      <c r="G428" s="82" t="str">
        <f aca="false">IF(C428="","",IFERROR(INDEX('Kit Lists'!$D$6:$D$605,MATCH(B428&amp;"|"&amp;C428,'Kit Lists'!$J$6:$J$605,0)),"Not on this contract's kit list"))</f>
        <v/>
      </c>
      <c r="H428" s="83" t="str">
        <f aca="false">IF(AND(B428="",C428="",D428=""),"",IF(B428="","Missing contract",IF(C428="","Missing code",IF(LEFT(G428,3)="Not","Wrong code",IF(D428="","Missing qty",IF(A428="","Missing date",""))))))</f>
        <v/>
      </c>
      <c r="I428" s="84" t="str">
        <f aca="false">IF(B428=Dashboard!$D$3,ROW(),"")</f>
        <v/>
      </c>
    </row>
    <row r="429" customFormat="false" ht="15" hidden="false" customHeight="false" outlineLevel="0" collapsed="false">
      <c r="A429" s="80"/>
      <c r="B429" s="71"/>
      <c r="C429" s="71"/>
      <c r="D429" s="81"/>
      <c r="E429" s="71"/>
      <c r="F429" s="71"/>
      <c r="G429" s="82" t="str">
        <f aca="false">IF(C429="","",IFERROR(INDEX('Kit Lists'!$D$6:$D$605,MATCH(B429&amp;"|"&amp;C429,'Kit Lists'!$J$6:$J$605,0)),"Not on this contract's kit list"))</f>
        <v/>
      </c>
      <c r="H429" s="83" t="str">
        <f aca="false">IF(AND(B429="",C429="",D429=""),"",IF(B429="","Missing contract",IF(C429="","Missing code",IF(LEFT(G429,3)="Not","Wrong code",IF(D429="","Missing qty",IF(A429="","Missing date",""))))))</f>
        <v/>
      </c>
      <c r="I429" s="84" t="str">
        <f aca="false">IF(B429=Dashboard!$D$3,ROW(),"")</f>
        <v/>
      </c>
    </row>
    <row r="430" customFormat="false" ht="15" hidden="false" customHeight="false" outlineLevel="0" collapsed="false">
      <c r="A430" s="80"/>
      <c r="B430" s="71"/>
      <c r="C430" s="71"/>
      <c r="D430" s="81"/>
      <c r="E430" s="71"/>
      <c r="F430" s="71"/>
      <c r="G430" s="82" t="str">
        <f aca="false">IF(C430="","",IFERROR(INDEX('Kit Lists'!$D$6:$D$605,MATCH(B430&amp;"|"&amp;C430,'Kit Lists'!$J$6:$J$605,0)),"Not on this contract's kit list"))</f>
        <v/>
      </c>
      <c r="H430" s="83" t="str">
        <f aca="false">IF(AND(B430="",C430="",D430=""),"",IF(B430="","Missing contract",IF(C430="","Missing code",IF(LEFT(G430,3)="Not","Wrong code",IF(D430="","Missing qty",IF(A430="","Missing date",""))))))</f>
        <v/>
      </c>
      <c r="I430" s="84" t="str">
        <f aca="false">IF(B430=Dashboard!$D$3,ROW(),"")</f>
        <v/>
      </c>
    </row>
    <row r="431" customFormat="false" ht="15" hidden="false" customHeight="false" outlineLevel="0" collapsed="false">
      <c r="A431" s="80"/>
      <c r="B431" s="71"/>
      <c r="C431" s="71"/>
      <c r="D431" s="81"/>
      <c r="E431" s="71"/>
      <c r="F431" s="71"/>
      <c r="G431" s="82" t="str">
        <f aca="false">IF(C431="","",IFERROR(INDEX('Kit Lists'!$D$6:$D$605,MATCH(B431&amp;"|"&amp;C431,'Kit Lists'!$J$6:$J$605,0)),"Not on this contract's kit list"))</f>
        <v/>
      </c>
      <c r="H431" s="83" t="str">
        <f aca="false">IF(AND(B431="",C431="",D431=""),"",IF(B431="","Missing contract",IF(C431="","Missing code",IF(LEFT(G431,3)="Not","Wrong code",IF(D431="","Missing qty",IF(A431="","Missing date",""))))))</f>
        <v/>
      </c>
      <c r="I431" s="84" t="str">
        <f aca="false">IF(B431=Dashboard!$D$3,ROW(),"")</f>
        <v/>
      </c>
    </row>
    <row r="432" customFormat="false" ht="15" hidden="false" customHeight="false" outlineLevel="0" collapsed="false">
      <c r="A432" s="80"/>
      <c r="B432" s="71"/>
      <c r="C432" s="71"/>
      <c r="D432" s="81"/>
      <c r="E432" s="71"/>
      <c r="F432" s="71"/>
      <c r="G432" s="82" t="str">
        <f aca="false">IF(C432="","",IFERROR(INDEX('Kit Lists'!$D$6:$D$605,MATCH(B432&amp;"|"&amp;C432,'Kit Lists'!$J$6:$J$605,0)),"Not on this contract's kit list"))</f>
        <v/>
      </c>
      <c r="H432" s="83" t="str">
        <f aca="false">IF(AND(B432="",C432="",D432=""),"",IF(B432="","Missing contract",IF(C432="","Missing code",IF(LEFT(G432,3)="Not","Wrong code",IF(D432="","Missing qty",IF(A432="","Missing date",""))))))</f>
        <v/>
      </c>
      <c r="I432" s="84" t="str">
        <f aca="false">IF(B432=Dashboard!$D$3,ROW(),"")</f>
        <v/>
      </c>
    </row>
    <row r="433" customFormat="false" ht="15" hidden="false" customHeight="false" outlineLevel="0" collapsed="false">
      <c r="A433" s="80"/>
      <c r="B433" s="71"/>
      <c r="C433" s="71"/>
      <c r="D433" s="81"/>
      <c r="E433" s="71"/>
      <c r="F433" s="71"/>
      <c r="G433" s="82" t="str">
        <f aca="false">IF(C433="","",IFERROR(INDEX('Kit Lists'!$D$6:$D$605,MATCH(B433&amp;"|"&amp;C433,'Kit Lists'!$J$6:$J$605,0)),"Not on this contract's kit list"))</f>
        <v/>
      </c>
      <c r="H433" s="83" t="str">
        <f aca="false">IF(AND(B433="",C433="",D433=""),"",IF(B433="","Missing contract",IF(C433="","Missing code",IF(LEFT(G433,3)="Not","Wrong code",IF(D433="","Missing qty",IF(A433="","Missing date",""))))))</f>
        <v/>
      </c>
      <c r="I433" s="84" t="str">
        <f aca="false">IF(B433=Dashboard!$D$3,ROW(),"")</f>
        <v/>
      </c>
    </row>
    <row r="434" customFormat="false" ht="15" hidden="false" customHeight="false" outlineLevel="0" collapsed="false">
      <c r="A434" s="80"/>
      <c r="B434" s="71"/>
      <c r="C434" s="71"/>
      <c r="D434" s="81"/>
      <c r="E434" s="71"/>
      <c r="F434" s="71"/>
      <c r="G434" s="82" t="str">
        <f aca="false">IF(C434="","",IFERROR(INDEX('Kit Lists'!$D$6:$D$605,MATCH(B434&amp;"|"&amp;C434,'Kit Lists'!$J$6:$J$605,0)),"Not on this contract's kit list"))</f>
        <v/>
      </c>
      <c r="H434" s="83" t="str">
        <f aca="false">IF(AND(B434="",C434="",D434=""),"",IF(B434="","Missing contract",IF(C434="","Missing code",IF(LEFT(G434,3)="Not","Wrong code",IF(D434="","Missing qty",IF(A434="","Missing date",""))))))</f>
        <v/>
      </c>
      <c r="I434" s="84" t="str">
        <f aca="false">IF(B434=Dashboard!$D$3,ROW(),"")</f>
        <v/>
      </c>
    </row>
    <row r="435" customFormat="false" ht="15" hidden="false" customHeight="false" outlineLevel="0" collapsed="false">
      <c r="A435" s="80"/>
      <c r="B435" s="71"/>
      <c r="C435" s="71"/>
      <c r="D435" s="81"/>
      <c r="E435" s="71"/>
      <c r="F435" s="71"/>
      <c r="G435" s="82" t="str">
        <f aca="false">IF(C435="","",IFERROR(INDEX('Kit Lists'!$D$6:$D$605,MATCH(B435&amp;"|"&amp;C435,'Kit Lists'!$J$6:$J$605,0)),"Not on this contract's kit list"))</f>
        <v/>
      </c>
      <c r="H435" s="83" t="str">
        <f aca="false">IF(AND(B435="",C435="",D435=""),"",IF(B435="","Missing contract",IF(C435="","Missing code",IF(LEFT(G435,3)="Not","Wrong code",IF(D435="","Missing qty",IF(A435="","Missing date",""))))))</f>
        <v/>
      </c>
      <c r="I435" s="84" t="str">
        <f aca="false">IF(B435=Dashboard!$D$3,ROW(),"")</f>
        <v/>
      </c>
    </row>
    <row r="436" customFormat="false" ht="15" hidden="false" customHeight="false" outlineLevel="0" collapsed="false">
      <c r="A436" s="80"/>
      <c r="B436" s="71"/>
      <c r="C436" s="71"/>
      <c r="D436" s="81"/>
      <c r="E436" s="71"/>
      <c r="F436" s="71"/>
      <c r="G436" s="82" t="str">
        <f aca="false">IF(C436="","",IFERROR(INDEX('Kit Lists'!$D$6:$D$605,MATCH(B436&amp;"|"&amp;C436,'Kit Lists'!$J$6:$J$605,0)),"Not on this contract's kit list"))</f>
        <v/>
      </c>
      <c r="H436" s="83" t="str">
        <f aca="false">IF(AND(B436="",C436="",D436=""),"",IF(B436="","Missing contract",IF(C436="","Missing code",IF(LEFT(G436,3)="Not","Wrong code",IF(D436="","Missing qty",IF(A436="","Missing date",""))))))</f>
        <v/>
      </c>
      <c r="I436" s="84" t="str">
        <f aca="false">IF(B436=Dashboard!$D$3,ROW(),"")</f>
        <v/>
      </c>
    </row>
    <row r="437" customFormat="false" ht="15" hidden="false" customHeight="false" outlineLevel="0" collapsed="false">
      <c r="A437" s="80"/>
      <c r="B437" s="71"/>
      <c r="C437" s="71"/>
      <c r="D437" s="81"/>
      <c r="E437" s="71"/>
      <c r="F437" s="71"/>
      <c r="G437" s="82" t="str">
        <f aca="false">IF(C437="","",IFERROR(INDEX('Kit Lists'!$D$6:$D$605,MATCH(B437&amp;"|"&amp;C437,'Kit Lists'!$J$6:$J$605,0)),"Not on this contract's kit list"))</f>
        <v/>
      </c>
      <c r="H437" s="83" t="str">
        <f aca="false">IF(AND(B437="",C437="",D437=""),"",IF(B437="","Missing contract",IF(C437="","Missing code",IF(LEFT(G437,3)="Not","Wrong code",IF(D437="","Missing qty",IF(A437="","Missing date",""))))))</f>
        <v/>
      </c>
      <c r="I437" s="84" t="str">
        <f aca="false">IF(B437=Dashboard!$D$3,ROW(),"")</f>
        <v/>
      </c>
    </row>
    <row r="438" customFormat="false" ht="15" hidden="false" customHeight="false" outlineLevel="0" collapsed="false">
      <c r="A438" s="80"/>
      <c r="B438" s="71"/>
      <c r="C438" s="71"/>
      <c r="D438" s="81"/>
      <c r="E438" s="71"/>
      <c r="F438" s="71"/>
      <c r="G438" s="82" t="str">
        <f aca="false">IF(C438="","",IFERROR(INDEX('Kit Lists'!$D$6:$D$605,MATCH(B438&amp;"|"&amp;C438,'Kit Lists'!$J$6:$J$605,0)),"Not on this contract's kit list"))</f>
        <v/>
      </c>
      <c r="H438" s="83" t="str">
        <f aca="false">IF(AND(B438="",C438="",D438=""),"",IF(B438="","Missing contract",IF(C438="","Missing code",IF(LEFT(G438,3)="Not","Wrong code",IF(D438="","Missing qty",IF(A438="","Missing date",""))))))</f>
        <v/>
      </c>
      <c r="I438" s="84" t="str">
        <f aca="false">IF(B438=Dashboard!$D$3,ROW(),"")</f>
        <v/>
      </c>
    </row>
    <row r="439" customFormat="false" ht="15" hidden="false" customHeight="false" outlineLevel="0" collapsed="false">
      <c r="A439" s="80"/>
      <c r="B439" s="71"/>
      <c r="C439" s="71"/>
      <c r="D439" s="81"/>
      <c r="E439" s="71"/>
      <c r="F439" s="71"/>
      <c r="G439" s="82" t="str">
        <f aca="false">IF(C439="","",IFERROR(INDEX('Kit Lists'!$D$6:$D$605,MATCH(B439&amp;"|"&amp;C439,'Kit Lists'!$J$6:$J$605,0)),"Not on this contract's kit list"))</f>
        <v/>
      </c>
      <c r="H439" s="83" t="str">
        <f aca="false">IF(AND(B439="",C439="",D439=""),"",IF(B439="","Missing contract",IF(C439="","Missing code",IF(LEFT(G439,3)="Not","Wrong code",IF(D439="","Missing qty",IF(A439="","Missing date",""))))))</f>
        <v/>
      </c>
      <c r="I439" s="84" t="str">
        <f aca="false">IF(B439=Dashboard!$D$3,ROW(),"")</f>
        <v/>
      </c>
    </row>
    <row r="440" customFormat="false" ht="15" hidden="false" customHeight="false" outlineLevel="0" collapsed="false">
      <c r="A440" s="80"/>
      <c r="B440" s="71"/>
      <c r="C440" s="71"/>
      <c r="D440" s="81"/>
      <c r="E440" s="71"/>
      <c r="F440" s="71"/>
      <c r="G440" s="82" t="str">
        <f aca="false">IF(C440="","",IFERROR(INDEX('Kit Lists'!$D$6:$D$605,MATCH(B440&amp;"|"&amp;C440,'Kit Lists'!$J$6:$J$605,0)),"Not on this contract's kit list"))</f>
        <v/>
      </c>
      <c r="H440" s="83" t="str">
        <f aca="false">IF(AND(B440="",C440="",D440=""),"",IF(B440="","Missing contract",IF(C440="","Missing code",IF(LEFT(G440,3)="Not","Wrong code",IF(D440="","Missing qty",IF(A440="","Missing date",""))))))</f>
        <v/>
      </c>
      <c r="I440" s="84" t="str">
        <f aca="false">IF(B440=Dashboard!$D$3,ROW(),"")</f>
        <v/>
      </c>
    </row>
    <row r="441" customFormat="false" ht="15" hidden="false" customHeight="false" outlineLevel="0" collapsed="false">
      <c r="A441" s="80"/>
      <c r="B441" s="71"/>
      <c r="C441" s="71"/>
      <c r="D441" s="81"/>
      <c r="E441" s="71"/>
      <c r="F441" s="71"/>
      <c r="G441" s="82" t="str">
        <f aca="false">IF(C441="","",IFERROR(INDEX('Kit Lists'!$D$6:$D$605,MATCH(B441&amp;"|"&amp;C441,'Kit Lists'!$J$6:$J$605,0)),"Not on this contract's kit list"))</f>
        <v/>
      </c>
      <c r="H441" s="83" t="str">
        <f aca="false">IF(AND(B441="",C441="",D441=""),"",IF(B441="","Missing contract",IF(C441="","Missing code",IF(LEFT(G441,3)="Not","Wrong code",IF(D441="","Missing qty",IF(A441="","Missing date",""))))))</f>
        <v/>
      </c>
      <c r="I441" s="84" t="str">
        <f aca="false">IF(B441=Dashboard!$D$3,ROW(),"")</f>
        <v/>
      </c>
    </row>
    <row r="442" customFormat="false" ht="15" hidden="false" customHeight="false" outlineLevel="0" collapsed="false">
      <c r="A442" s="80"/>
      <c r="B442" s="71"/>
      <c r="C442" s="71"/>
      <c r="D442" s="81"/>
      <c r="E442" s="71"/>
      <c r="F442" s="71"/>
      <c r="G442" s="82" t="str">
        <f aca="false">IF(C442="","",IFERROR(INDEX('Kit Lists'!$D$6:$D$605,MATCH(B442&amp;"|"&amp;C442,'Kit Lists'!$J$6:$J$605,0)),"Not on this contract's kit list"))</f>
        <v/>
      </c>
      <c r="H442" s="83" t="str">
        <f aca="false">IF(AND(B442="",C442="",D442=""),"",IF(B442="","Missing contract",IF(C442="","Missing code",IF(LEFT(G442,3)="Not","Wrong code",IF(D442="","Missing qty",IF(A442="","Missing date",""))))))</f>
        <v/>
      </c>
      <c r="I442" s="84" t="str">
        <f aca="false">IF(B442=Dashboard!$D$3,ROW(),"")</f>
        <v/>
      </c>
    </row>
    <row r="443" customFormat="false" ht="15" hidden="false" customHeight="false" outlineLevel="0" collapsed="false">
      <c r="A443" s="80"/>
      <c r="B443" s="71"/>
      <c r="C443" s="71"/>
      <c r="D443" s="81"/>
      <c r="E443" s="71"/>
      <c r="F443" s="71"/>
      <c r="G443" s="82" t="str">
        <f aca="false">IF(C443="","",IFERROR(INDEX('Kit Lists'!$D$6:$D$605,MATCH(B443&amp;"|"&amp;C443,'Kit Lists'!$J$6:$J$605,0)),"Not on this contract's kit list"))</f>
        <v/>
      </c>
      <c r="H443" s="83" t="str">
        <f aca="false">IF(AND(B443="",C443="",D443=""),"",IF(B443="","Missing contract",IF(C443="","Missing code",IF(LEFT(G443,3)="Not","Wrong code",IF(D443="","Missing qty",IF(A443="","Missing date",""))))))</f>
        <v/>
      </c>
      <c r="I443" s="84" t="str">
        <f aca="false">IF(B443=Dashboard!$D$3,ROW(),"")</f>
        <v/>
      </c>
    </row>
    <row r="444" customFormat="false" ht="15" hidden="false" customHeight="false" outlineLevel="0" collapsed="false">
      <c r="A444" s="80"/>
      <c r="B444" s="71"/>
      <c r="C444" s="71"/>
      <c r="D444" s="81"/>
      <c r="E444" s="71"/>
      <c r="F444" s="71"/>
      <c r="G444" s="82" t="str">
        <f aca="false">IF(C444="","",IFERROR(INDEX('Kit Lists'!$D$6:$D$605,MATCH(B444&amp;"|"&amp;C444,'Kit Lists'!$J$6:$J$605,0)),"Not on this contract's kit list"))</f>
        <v/>
      </c>
      <c r="H444" s="83" t="str">
        <f aca="false">IF(AND(B444="",C444="",D444=""),"",IF(B444="","Missing contract",IF(C444="","Missing code",IF(LEFT(G444,3)="Not","Wrong code",IF(D444="","Missing qty",IF(A444="","Missing date",""))))))</f>
        <v/>
      </c>
      <c r="I444" s="84" t="str">
        <f aca="false">IF(B444=Dashboard!$D$3,ROW(),"")</f>
        <v/>
      </c>
    </row>
    <row r="445" customFormat="false" ht="15" hidden="false" customHeight="false" outlineLevel="0" collapsed="false">
      <c r="A445" s="80"/>
      <c r="B445" s="71"/>
      <c r="C445" s="71"/>
      <c r="D445" s="81"/>
      <c r="E445" s="71"/>
      <c r="F445" s="71"/>
      <c r="G445" s="82" t="str">
        <f aca="false">IF(C445="","",IFERROR(INDEX('Kit Lists'!$D$6:$D$605,MATCH(B445&amp;"|"&amp;C445,'Kit Lists'!$J$6:$J$605,0)),"Not on this contract's kit list"))</f>
        <v/>
      </c>
      <c r="H445" s="83" t="str">
        <f aca="false">IF(AND(B445="",C445="",D445=""),"",IF(B445="","Missing contract",IF(C445="","Missing code",IF(LEFT(G445,3)="Not","Wrong code",IF(D445="","Missing qty",IF(A445="","Missing date",""))))))</f>
        <v/>
      </c>
      <c r="I445" s="84" t="str">
        <f aca="false">IF(B445=Dashboard!$D$3,ROW(),"")</f>
        <v/>
      </c>
    </row>
    <row r="446" customFormat="false" ht="15" hidden="false" customHeight="false" outlineLevel="0" collapsed="false">
      <c r="A446" s="80"/>
      <c r="B446" s="71"/>
      <c r="C446" s="71"/>
      <c r="D446" s="81"/>
      <c r="E446" s="71"/>
      <c r="F446" s="71"/>
      <c r="G446" s="82" t="str">
        <f aca="false">IF(C446="","",IFERROR(INDEX('Kit Lists'!$D$6:$D$605,MATCH(B446&amp;"|"&amp;C446,'Kit Lists'!$J$6:$J$605,0)),"Not on this contract's kit list"))</f>
        <v/>
      </c>
      <c r="H446" s="83" t="str">
        <f aca="false">IF(AND(B446="",C446="",D446=""),"",IF(B446="","Missing contract",IF(C446="","Missing code",IF(LEFT(G446,3)="Not","Wrong code",IF(D446="","Missing qty",IF(A446="","Missing date",""))))))</f>
        <v/>
      </c>
      <c r="I446" s="84" t="str">
        <f aca="false">IF(B446=Dashboard!$D$3,ROW(),"")</f>
        <v/>
      </c>
    </row>
    <row r="447" customFormat="false" ht="15" hidden="false" customHeight="false" outlineLevel="0" collapsed="false">
      <c r="A447" s="80"/>
      <c r="B447" s="71"/>
      <c r="C447" s="71"/>
      <c r="D447" s="81"/>
      <c r="E447" s="71"/>
      <c r="F447" s="71"/>
      <c r="G447" s="82" t="str">
        <f aca="false">IF(C447="","",IFERROR(INDEX('Kit Lists'!$D$6:$D$605,MATCH(B447&amp;"|"&amp;C447,'Kit Lists'!$J$6:$J$605,0)),"Not on this contract's kit list"))</f>
        <v/>
      </c>
      <c r="H447" s="83" t="str">
        <f aca="false">IF(AND(B447="",C447="",D447=""),"",IF(B447="","Missing contract",IF(C447="","Missing code",IF(LEFT(G447,3)="Not","Wrong code",IF(D447="","Missing qty",IF(A447="","Missing date",""))))))</f>
        <v/>
      </c>
      <c r="I447" s="84" t="str">
        <f aca="false">IF(B447=Dashboard!$D$3,ROW(),"")</f>
        <v/>
      </c>
    </row>
    <row r="448" customFormat="false" ht="15" hidden="false" customHeight="false" outlineLevel="0" collapsed="false">
      <c r="A448" s="80"/>
      <c r="B448" s="71"/>
      <c r="C448" s="71"/>
      <c r="D448" s="81"/>
      <c r="E448" s="71"/>
      <c r="F448" s="71"/>
      <c r="G448" s="82" t="str">
        <f aca="false">IF(C448="","",IFERROR(INDEX('Kit Lists'!$D$6:$D$605,MATCH(B448&amp;"|"&amp;C448,'Kit Lists'!$J$6:$J$605,0)),"Not on this contract's kit list"))</f>
        <v/>
      </c>
      <c r="H448" s="83" t="str">
        <f aca="false">IF(AND(B448="",C448="",D448=""),"",IF(B448="","Missing contract",IF(C448="","Missing code",IF(LEFT(G448,3)="Not","Wrong code",IF(D448="","Missing qty",IF(A448="","Missing date",""))))))</f>
        <v/>
      </c>
      <c r="I448" s="84" t="str">
        <f aca="false">IF(B448=Dashboard!$D$3,ROW(),"")</f>
        <v/>
      </c>
    </row>
    <row r="449" customFormat="false" ht="15" hidden="false" customHeight="false" outlineLevel="0" collapsed="false">
      <c r="A449" s="80"/>
      <c r="B449" s="71"/>
      <c r="C449" s="71"/>
      <c r="D449" s="81"/>
      <c r="E449" s="71"/>
      <c r="F449" s="71"/>
      <c r="G449" s="82" t="str">
        <f aca="false">IF(C449="","",IFERROR(INDEX('Kit Lists'!$D$6:$D$605,MATCH(B449&amp;"|"&amp;C449,'Kit Lists'!$J$6:$J$605,0)),"Not on this contract's kit list"))</f>
        <v/>
      </c>
      <c r="H449" s="83" t="str">
        <f aca="false">IF(AND(B449="",C449="",D449=""),"",IF(B449="","Missing contract",IF(C449="","Missing code",IF(LEFT(G449,3)="Not","Wrong code",IF(D449="","Missing qty",IF(A449="","Missing date",""))))))</f>
        <v/>
      </c>
      <c r="I449" s="84" t="str">
        <f aca="false">IF(B449=Dashboard!$D$3,ROW(),"")</f>
        <v/>
      </c>
    </row>
    <row r="450" customFormat="false" ht="15" hidden="false" customHeight="false" outlineLevel="0" collapsed="false">
      <c r="A450" s="80"/>
      <c r="B450" s="71"/>
      <c r="C450" s="71"/>
      <c r="D450" s="81"/>
      <c r="E450" s="71"/>
      <c r="F450" s="71"/>
      <c r="G450" s="82" t="str">
        <f aca="false">IF(C450="","",IFERROR(INDEX('Kit Lists'!$D$6:$D$605,MATCH(B450&amp;"|"&amp;C450,'Kit Lists'!$J$6:$J$605,0)),"Not on this contract's kit list"))</f>
        <v/>
      </c>
      <c r="H450" s="83" t="str">
        <f aca="false">IF(AND(B450="",C450="",D450=""),"",IF(B450="","Missing contract",IF(C450="","Missing code",IF(LEFT(G450,3)="Not","Wrong code",IF(D450="","Missing qty",IF(A450="","Missing date",""))))))</f>
        <v/>
      </c>
      <c r="I450" s="84" t="str">
        <f aca="false">IF(B450=Dashboard!$D$3,ROW(),"")</f>
        <v/>
      </c>
    </row>
    <row r="451" customFormat="false" ht="15" hidden="false" customHeight="false" outlineLevel="0" collapsed="false">
      <c r="A451" s="80"/>
      <c r="B451" s="71"/>
      <c r="C451" s="71"/>
      <c r="D451" s="81"/>
      <c r="E451" s="71"/>
      <c r="F451" s="71"/>
      <c r="G451" s="82" t="str">
        <f aca="false">IF(C451="","",IFERROR(INDEX('Kit Lists'!$D$6:$D$605,MATCH(B451&amp;"|"&amp;C451,'Kit Lists'!$J$6:$J$605,0)),"Not on this contract's kit list"))</f>
        <v/>
      </c>
      <c r="H451" s="83" t="str">
        <f aca="false">IF(AND(B451="",C451="",D451=""),"",IF(B451="","Missing contract",IF(C451="","Missing code",IF(LEFT(G451,3)="Not","Wrong code",IF(D451="","Missing qty",IF(A451="","Missing date",""))))))</f>
        <v/>
      </c>
      <c r="I451" s="84" t="str">
        <f aca="false">IF(B451=Dashboard!$D$3,ROW(),"")</f>
        <v/>
      </c>
    </row>
    <row r="452" customFormat="false" ht="15" hidden="false" customHeight="false" outlineLevel="0" collapsed="false">
      <c r="A452" s="80"/>
      <c r="B452" s="71"/>
      <c r="C452" s="71"/>
      <c r="D452" s="81"/>
      <c r="E452" s="71"/>
      <c r="F452" s="71"/>
      <c r="G452" s="82" t="str">
        <f aca="false">IF(C452="","",IFERROR(INDEX('Kit Lists'!$D$6:$D$605,MATCH(B452&amp;"|"&amp;C452,'Kit Lists'!$J$6:$J$605,0)),"Not on this contract's kit list"))</f>
        <v/>
      </c>
      <c r="H452" s="83" t="str">
        <f aca="false">IF(AND(B452="",C452="",D452=""),"",IF(B452="","Missing contract",IF(C452="","Missing code",IF(LEFT(G452,3)="Not","Wrong code",IF(D452="","Missing qty",IF(A452="","Missing date",""))))))</f>
        <v/>
      </c>
      <c r="I452" s="84" t="str">
        <f aca="false">IF(B452=Dashboard!$D$3,ROW(),"")</f>
        <v/>
      </c>
    </row>
    <row r="453" customFormat="false" ht="15" hidden="false" customHeight="false" outlineLevel="0" collapsed="false">
      <c r="A453" s="80"/>
      <c r="B453" s="71"/>
      <c r="C453" s="71"/>
      <c r="D453" s="81"/>
      <c r="E453" s="71"/>
      <c r="F453" s="71"/>
      <c r="G453" s="82" t="str">
        <f aca="false">IF(C453="","",IFERROR(INDEX('Kit Lists'!$D$6:$D$605,MATCH(B453&amp;"|"&amp;C453,'Kit Lists'!$J$6:$J$605,0)),"Not on this contract's kit list"))</f>
        <v/>
      </c>
      <c r="H453" s="83" t="str">
        <f aca="false">IF(AND(B453="",C453="",D453=""),"",IF(B453="","Missing contract",IF(C453="","Missing code",IF(LEFT(G453,3)="Not","Wrong code",IF(D453="","Missing qty",IF(A453="","Missing date",""))))))</f>
        <v/>
      </c>
      <c r="I453" s="84" t="str">
        <f aca="false">IF(B453=Dashboard!$D$3,ROW(),"")</f>
        <v/>
      </c>
    </row>
    <row r="454" customFormat="false" ht="15" hidden="false" customHeight="false" outlineLevel="0" collapsed="false">
      <c r="A454" s="80"/>
      <c r="B454" s="71"/>
      <c r="C454" s="71"/>
      <c r="D454" s="81"/>
      <c r="E454" s="71"/>
      <c r="F454" s="71"/>
      <c r="G454" s="82" t="str">
        <f aca="false">IF(C454="","",IFERROR(INDEX('Kit Lists'!$D$6:$D$605,MATCH(B454&amp;"|"&amp;C454,'Kit Lists'!$J$6:$J$605,0)),"Not on this contract's kit list"))</f>
        <v/>
      </c>
      <c r="H454" s="83" t="str">
        <f aca="false">IF(AND(B454="",C454="",D454=""),"",IF(B454="","Missing contract",IF(C454="","Missing code",IF(LEFT(G454,3)="Not","Wrong code",IF(D454="","Missing qty",IF(A454="","Missing date",""))))))</f>
        <v/>
      </c>
      <c r="I454" s="84" t="str">
        <f aca="false">IF(B454=Dashboard!$D$3,ROW(),"")</f>
        <v/>
      </c>
    </row>
    <row r="455" customFormat="false" ht="15" hidden="false" customHeight="false" outlineLevel="0" collapsed="false">
      <c r="A455" s="80"/>
      <c r="B455" s="71"/>
      <c r="C455" s="71"/>
      <c r="D455" s="81"/>
      <c r="E455" s="71"/>
      <c r="F455" s="71"/>
      <c r="G455" s="82" t="str">
        <f aca="false">IF(C455="","",IFERROR(INDEX('Kit Lists'!$D$6:$D$605,MATCH(B455&amp;"|"&amp;C455,'Kit Lists'!$J$6:$J$605,0)),"Not on this contract's kit list"))</f>
        <v/>
      </c>
      <c r="H455" s="83" t="str">
        <f aca="false">IF(AND(B455="",C455="",D455=""),"",IF(B455="","Missing contract",IF(C455="","Missing code",IF(LEFT(G455,3)="Not","Wrong code",IF(D455="","Missing qty",IF(A455="","Missing date",""))))))</f>
        <v/>
      </c>
      <c r="I455" s="84" t="str">
        <f aca="false">IF(B455=Dashboard!$D$3,ROW(),"")</f>
        <v/>
      </c>
    </row>
    <row r="456" customFormat="false" ht="15" hidden="false" customHeight="false" outlineLevel="0" collapsed="false">
      <c r="A456" s="80"/>
      <c r="B456" s="71"/>
      <c r="C456" s="71"/>
      <c r="D456" s="81"/>
      <c r="E456" s="71"/>
      <c r="F456" s="71"/>
      <c r="G456" s="82" t="str">
        <f aca="false">IF(C456="","",IFERROR(INDEX('Kit Lists'!$D$6:$D$605,MATCH(B456&amp;"|"&amp;C456,'Kit Lists'!$J$6:$J$605,0)),"Not on this contract's kit list"))</f>
        <v/>
      </c>
      <c r="H456" s="83" t="str">
        <f aca="false">IF(AND(B456="",C456="",D456=""),"",IF(B456="","Missing contract",IF(C456="","Missing code",IF(LEFT(G456,3)="Not","Wrong code",IF(D456="","Missing qty",IF(A456="","Missing date",""))))))</f>
        <v/>
      </c>
      <c r="I456" s="84" t="str">
        <f aca="false">IF(B456=Dashboard!$D$3,ROW(),"")</f>
        <v/>
      </c>
    </row>
    <row r="457" customFormat="false" ht="15" hidden="false" customHeight="false" outlineLevel="0" collapsed="false">
      <c r="A457" s="80"/>
      <c r="B457" s="71"/>
      <c r="C457" s="71"/>
      <c r="D457" s="81"/>
      <c r="E457" s="71"/>
      <c r="F457" s="71"/>
      <c r="G457" s="82" t="str">
        <f aca="false">IF(C457="","",IFERROR(INDEX('Kit Lists'!$D$6:$D$605,MATCH(B457&amp;"|"&amp;C457,'Kit Lists'!$J$6:$J$605,0)),"Not on this contract's kit list"))</f>
        <v/>
      </c>
      <c r="H457" s="83" t="str">
        <f aca="false">IF(AND(B457="",C457="",D457=""),"",IF(B457="","Missing contract",IF(C457="","Missing code",IF(LEFT(G457,3)="Not","Wrong code",IF(D457="","Missing qty",IF(A457="","Missing date",""))))))</f>
        <v/>
      </c>
      <c r="I457" s="84" t="str">
        <f aca="false">IF(B457=Dashboard!$D$3,ROW(),"")</f>
        <v/>
      </c>
    </row>
    <row r="458" customFormat="false" ht="15" hidden="false" customHeight="false" outlineLevel="0" collapsed="false">
      <c r="A458" s="80"/>
      <c r="B458" s="71"/>
      <c r="C458" s="71"/>
      <c r="D458" s="81"/>
      <c r="E458" s="71"/>
      <c r="F458" s="71"/>
      <c r="G458" s="82" t="str">
        <f aca="false">IF(C458="","",IFERROR(INDEX('Kit Lists'!$D$6:$D$605,MATCH(B458&amp;"|"&amp;C458,'Kit Lists'!$J$6:$J$605,0)),"Not on this contract's kit list"))</f>
        <v/>
      </c>
      <c r="H458" s="83" t="str">
        <f aca="false">IF(AND(B458="",C458="",D458=""),"",IF(B458="","Missing contract",IF(C458="","Missing code",IF(LEFT(G458,3)="Not","Wrong code",IF(D458="","Missing qty",IF(A458="","Missing date",""))))))</f>
        <v/>
      </c>
      <c r="I458" s="84" t="str">
        <f aca="false">IF(B458=Dashboard!$D$3,ROW(),"")</f>
        <v/>
      </c>
    </row>
    <row r="459" customFormat="false" ht="15" hidden="false" customHeight="false" outlineLevel="0" collapsed="false">
      <c r="A459" s="80"/>
      <c r="B459" s="71"/>
      <c r="C459" s="71"/>
      <c r="D459" s="81"/>
      <c r="E459" s="71"/>
      <c r="F459" s="71"/>
      <c r="G459" s="82" t="str">
        <f aca="false">IF(C459="","",IFERROR(INDEX('Kit Lists'!$D$6:$D$605,MATCH(B459&amp;"|"&amp;C459,'Kit Lists'!$J$6:$J$605,0)),"Not on this contract's kit list"))</f>
        <v/>
      </c>
      <c r="H459" s="83" t="str">
        <f aca="false">IF(AND(B459="",C459="",D459=""),"",IF(B459="","Missing contract",IF(C459="","Missing code",IF(LEFT(G459,3)="Not","Wrong code",IF(D459="","Missing qty",IF(A459="","Missing date",""))))))</f>
        <v/>
      </c>
      <c r="I459" s="84" t="str">
        <f aca="false">IF(B459=Dashboard!$D$3,ROW(),"")</f>
        <v/>
      </c>
    </row>
    <row r="460" customFormat="false" ht="15" hidden="false" customHeight="false" outlineLevel="0" collapsed="false">
      <c r="A460" s="80"/>
      <c r="B460" s="71"/>
      <c r="C460" s="71"/>
      <c r="D460" s="81"/>
      <c r="E460" s="71"/>
      <c r="F460" s="71"/>
      <c r="G460" s="82" t="str">
        <f aca="false">IF(C460="","",IFERROR(INDEX('Kit Lists'!$D$6:$D$605,MATCH(B460&amp;"|"&amp;C460,'Kit Lists'!$J$6:$J$605,0)),"Not on this contract's kit list"))</f>
        <v/>
      </c>
      <c r="H460" s="83" t="str">
        <f aca="false">IF(AND(B460="",C460="",D460=""),"",IF(B460="","Missing contract",IF(C460="","Missing code",IF(LEFT(G460,3)="Not","Wrong code",IF(D460="","Missing qty",IF(A460="","Missing date",""))))))</f>
        <v/>
      </c>
      <c r="I460" s="84" t="str">
        <f aca="false">IF(B460=Dashboard!$D$3,ROW(),"")</f>
        <v/>
      </c>
    </row>
    <row r="461" customFormat="false" ht="15" hidden="false" customHeight="false" outlineLevel="0" collapsed="false">
      <c r="A461" s="80"/>
      <c r="B461" s="71"/>
      <c r="C461" s="71"/>
      <c r="D461" s="81"/>
      <c r="E461" s="71"/>
      <c r="F461" s="71"/>
      <c r="G461" s="82" t="str">
        <f aca="false">IF(C461="","",IFERROR(INDEX('Kit Lists'!$D$6:$D$605,MATCH(B461&amp;"|"&amp;C461,'Kit Lists'!$J$6:$J$605,0)),"Not on this contract's kit list"))</f>
        <v/>
      </c>
      <c r="H461" s="83" t="str">
        <f aca="false">IF(AND(B461="",C461="",D461=""),"",IF(B461="","Missing contract",IF(C461="","Missing code",IF(LEFT(G461,3)="Not","Wrong code",IF(D461="","Missing qty",IF(A461="","Missing date",""))))))</f>
        <v/>
      </c>
      <c r="I461" s="84" t="str">
        <f aca="false">IF(B461=Dashboard!$D$3,ROW(),"")</f>
        <v/>
      </c>
    </row>
    <row r="462" customFormat="false" ht="15" hidden="false" customHeight="false" outlineLevel="0" collapsed="false">
      <c r="A462" s="80"/>
      <c r="B462" s="71"/>
      <c r="C462" s="71"/>
      <c r="D462" s="81"/>
      <c r="E462" s="71"/>
      <c r="F462" s="71"/>
      <c r="G462" s="82" t="str">
        <f aca="false">IF(C462="","",IFERROR(INDEX('Kit Lists'!$D$6:$D$605,MATCH(B462&amp;"|"&amp;C462,'Kit Lists'!$J$6:$J$605,0)),"Not on this contract's kit list"))</f>
        <v/>
      </c>
      <c r="H462" s="83" t="str">
        <f aca="false">IF(AND(B462="",C462="",D462=""),"",IF(B462="","Missing contract",IF(C462="","Missing code",IF(LEFT(G462,3)="Not","Wrong code",IF(D462="","Missing qty",IF(A462="","Missing date",""))))))</f>
        <v/>
      </c>
      <c r="I462" s="84" t="str">
        <f aca="false">IF(B462=Dashboard!$D$3,ROW(),"")</f>
        <v/>
      </c>
    </row>
    <row r="463" customFormat="false" ht="15" hidden="false" customHeight="false" outlineLevel="0" collapsed="false">
      <c r="A463" s="80"/>
      <c r="B463" s="71"/>
      <c r="C463" s="71"/>
      <c r="D463" s="81"/>
      <c r="E463" s="71"/>
      <c r="F463" s="71"/>
      <c r="G463" s="82" t="str">
        <f aca="false">IF(C463="","",IFERROR(INDEX('Kit Lists'!$D$6:$D$605,MATCH(B463&amp;"|"&amp;C463,'Kit Lists'!$J$6:$J$605,0)),"Not on this contract's kit list"))</f>
        <v/>
      </c>
      <c r="H463" s="83" t="str">
        <f aca="false">IF(AND(B463="",C463="",D463=""),"",IF(B463="","Missing contract",IF(C463="","Missing code",IF(LEFT(G463,3)="Not","Wrong code",IF(D463="","Missing qty",IF(A463="","Missing date",""))))))</f>
        <v/>
      </c>
      <c r="I463" s="84" t="str">
        <f aca="false">IF(B463=Dashboard!$D$3,ROW(),"")</f>
        <v/>
      </c>
    </row>
    <row r="464" customFormat="false" ht="15" hidden="false" customHeight="false" outlineLevel="0" collapsed="false">
      <c r="A464" s="80"/>
      <c r="B464" s="71"/>
      <c r="C464" s="71"/>
      <c r="D464" s="81"/>
      <c r="E464" s="71"/>
      <c r="F464" s="71"/>
      <c r="G464" s="82" t="str">
        <f aca="false">IF(C464="","",IFERROR(INDEX('Kit Lists'!$D$6:$D$605,MATCH(B464&amp;"|"&amp;C464,'Kit Lists'!$J$6:$J$605,0)),"Not on this contract's kit list"))</f>
        <v/>
      </c>
      <c r="H464" s="83" t="str">
        <f aca="false">IF(AND(B464="",C464="",D464=""),"",IF(B464="","Missing contract",IF(C464="","Missing code",IF(LEFT(G464,3)="Not","Wrong code",IF(D464="","Missing qty",IF(A464="","Missing date",""))))))</f>
        <v/>
      </c>
      <c r="I464" s="84" t="str">
        <f aca="false">IF(B464=Dashboard!$D$3,ROW(),"")</f>
        <v/>
      </c>
    </row>
    <row r="465" customFormat="false" ht="15" hidden="false" customHeight="false" outlineLevel="0" collapsed="false">
      <c r="A465" s="80"/>
      <c r="B465" s="71"/>
      <c r="C465" s="71"/>
      <c r="D465" s="81"/>
      <c r="E465" s="71"/>
      <c r="F465" s="71"/>
      <c r="G465" s="82" t="str">
        <f aca="false">IF(C465="","",IFERROR(INDEX('Kit Lists'!$D$6:$D$605,MATCH(B465&amp;"|"&amp;C465,'Kit Lists'!$J$6:$J$605,0)),"Not on this contract's kit list"))</f>
        <v/>
      </c>
      <c r="H465" s="83" t="str">
        <f aca="false">IF(AND(B465="",C465="",D465=""),"",IF(B465="","Missing contract",IF(C465="","Missing code",IF(LEFT(G465,3)="Not","Wrong code",IF(D465="","Missing qty",IF(A465="","Missing date",""))))))</f>
        <v/>
      </c>
      <c r="I465" s="84" t="str">
        <f aca="false">IF(B465=Dashboard!$D$3,ROW(),"")</f>
        <v/>
      </c>
    </row>
    <row r="466" customFormat="false" ht="15" hidden="false" customHeight="false" outlineLevel="0" collapsed="false">
      <c r="A466" s="80"/>
      <c r="B466" s="71"/>
      <c r="C466" s="71"/>
      <c r="D466" s="81"/>
      <c r="E466" s="71"/>
      <c r="F466" s="71"/>
      <c r="G466" s="82" t="str">
        <f aca="false">IF(C466="","",IFERROR(INDEX('Kit Lists'!$D$6:$D$605,MATCH(B466&amp;"|"&amp;C466,'Kit Lists'!$J$6:$J$605,0)),"Not on this contract's kit list"))</f>
        <v/>
      </c>
      <c r="H466" s="83" t="str">
        <f aca="false">IF(AND(B466="",C466="",D466=""),"",IF(B466="","Missing contract",IF(C466="","Missing code",IF(LEFT(G466,3)="Not","Wrong code",IF(D466="","Missing qty",IF(A466="","Missing date",""))))))</f>
        <v/>
      </c>
      <c r="I466" s="84" t="str">
        <f aca="false">IF(B466=Dashboard!$D$3,ROW(),"")</f>
        <v/>
      </c>
    </row>
    <row r="467" customFormat="false" ht="15" hidden="false" customHeight="false" outlineLevel="0" collapsed="false">
      <c r="A467" s="80"/>
      <c r="B467" s="71"/>
      <c r="C467" s="71"/>
      <c r="D467" s="81"/>
      <c r="E467" s="71"/>
      <c r="F467" s="71"/>
      <c r="G467" s="82" t="str">
        <f aca="false">IF(C467="","",IFERROR(INDEX('Kit Lists'!$D$6:$D$605,MATCH(B467&amp;"|"&amp;C467,'Kit Lists'!$J$6:$J$605,0)),"Not on this contract's kit list"))</f>
        <v/>
      </c>
      <c r="H467" s="83" t="str">
        <f aca="false">IF(AND(B467="",C467="",D467=""),"",IF(B467="","Missing contract",IF(C467="","Missing code",IF(LEFT(G467,3)="Not","Wrong code",IF(D467="","Missing qty",IF(A467="","Missing date",""))))))</f>
        <v/>
      </c>
      <c r="I467" s="84" t="str">
        <f aca="false">IF(B467=Dashboard!$D$3,ROW(),"")</f>
        <v/>
      </c>
    </row>
    <row r="468" customFormat="false" ht="15" hidden="false" customHeight="false" outlineLevel="0" collapsed="false">
      <c r="A468" s="80"/>
      <c r="B468" s="71"/>
      <c r="C468" s="71"/>
      <c r="D468" s="81"/>
      <c r="E468" s="71"/>
      <c r="F468" s="71"/>
      <c r="G468" s="82" t="str">
        <f aca="false">IF(C468="","",IFERROR(INDEX('Kit Lists'!$D$6:$D$605,MATCH(B468&amp;"|"&amp;C468,'Kit Lists'!$J$6:$J$605,0)),"Not on this contract's kit list"))</f>
        <v/>
      </c>
      <c r="H468" s="83" t="str">
        <f aca="false">IF(AND(B468="",C468="",D468=""),"",IF(B468="","Missing contract",IF(C468="","Missing code",IF(LEFT(G468,3)="Not","Wrong code",IF(D468="","Missing qty",IF(A468="","Missing date",""))))))</f>
        <v/>
      </c>
      <c r="I468" s="84" t="str">
        <f aca="false">IF(B468=Dashboard!$D$3,ROW(),"")</f>
        <v/>
      </c>
    </row>
    <row r="469" customFormat="false" ht="15" hidden="false" customHeight="false" outlineLevel="0" collapsed="false">
      <c r="A469" s="80"/>
      <c r="B469" s="71"/>
      <c r="C469" s="71"/>
      <c r="D469" s="81"/>
      <c r="E469" s="71"/>
      <c r="F469" s="71"/>
      <c r="G469" s="82" t="str">
        <f aca="false">IF(C469="","",IFERROR(INDEX('Kit Lists'!$D$6:$D$605,MATCH(B469&amp;"|"&amp;C469,'Kit Lists'!$J$6:$J$605,0)),"Not on this contract's kit list"))</f>
        <v/>
      </c>
      <c r="H469" s="83" t="str">
        <f aca="false">IF(AND(B469="",C469="",D469=""),"",IF(B469="","Missing contract",IF(C469="","Missing code",IF(LEFT(G469,3)="Not","Wrong code",IF(D469="","Missing qty",IF(A469="","Missing date",""))))))</f>
        <v/>
      </c>
      <c r="I469" s="84" t="str">
        <f aca="false">IF(B469=Dashboard!$D$3,ROW(),"")</f>
        <v/>
      </c>
    </row>
    <row r="470" customFormat="false" ht="15" hidden="false" customHeight="false" outlineLevel="0" collapsed="false">
      <c r="A470" s="80"/>
      <c r="B470" s="71"/>
      <c r="C470" s="71"/>
      <c r="D470" s="81"/>
      <c r="E470" s="71"/>
      <c r="F470" s="71"/>
      <c r="G470" s="82" t="str">
        <f aca="false">IF(C470="","",IFERROR(INDEX('Kit Lists'!$D$6:$D$605,MATCH(B470&amp;"|"&amp;C470,'Kit Lists'!$J$6:$J$605,0)),"Not on this contract's kit list"))</f>
        <v/>
      </c>
      <c r="H470" s="83" t="str">
        <f aca="false">IF(AND(B470="",C470="",D470=""),"",IF(B470="","Missing contract",IF(C470="","Missing code",IF(LEFT(G470,3)="Not","Wrong code",IF(D470="","Missing qty",IF(A470="","Missing date",""))))))</f>
        <v/>
      </c>
      <c r="I470" s="84" t="str">
        <f aca="false">IF(B470=Dashboard!$D$3,ROW(),"")</f>
        <v/>
      </c>
    </row>
    <row r="471" customFormat="false" ht="15" hidden="false" customHeight="false" outlineLevel="0" collapsed="false">
      <c r="A471" s="80"/>
      <c r="B471" s="71"/>
      <c r="C471" s="71"/>
      <c r="D471" s="81"/>
      <c r="E471" s="71"/>
      <c r="F471" s="71"/>
      <c r="G471" s="82" t="str">
        <f aca="false">IF(C471="","",IFERROR(INDEX('Kit Lists'!$D$6:$D$605,MATCH(B471&amp;"|"&amp;C471,'Kit Lists'!$J$6:$J$605,0)),"Not on this contract's kit list"))</f>
        <v/>
      </c>
      <c r="H471" s="83" t="str">
        <f aca="false">IF(AND(B471="",C471="",D471=""),"",IF(B471="","Missing contract",IF(C471="","Missing code",IF(LEFT(G471,3)="Not","Wrong code",IF(D471="","Missing qty",IF(A471="","Missing date",""))))))</f>
        <v/>
      </c>
      <c r="I471" s="84" t="str">
        <f aca="false">IF(B471=Dashboard!$D$3,ROW(),"")</f>
        <v/>
      </c>
    </row>
    <row r="472" customFormat="false" ht="15" hidden="false" customHeight="false" outlineLevel="0" collapsed="false">
      <c r="A472" s="80"/>
      <c r="B472" s="71"/>
      <c r="C472" s="71"/>
      <c r="D472" s="81"/>
      <c r="E472" s="71"/>
      <c r="F472" s="71"/>
      <c r="G472" s="82" t="str">
        <f aca="false">IF(C472="","",IFERROR(INDEX('Kit Lists'!$D$6:$D$605,MATCH(B472&amp;"|"&amp;C472,'Kit Lists'!$J$6:$J$605,0)),"Not on this contract's kit list"))</f>
        <v/>
      </c>
      <c r="H472" s="83" t="str">
        <f aca="false">IF(AND(B472="",C472="",D472=""),"",IF(B472="","Missing contract",IF(C472="","Missing code",IF(LEFT(G472,3)="Not","Wrong code",IF(D472="","Missing qty",IF(A472="","Missing date",""))))))</f>
        <v/>
      </c>
      <c r="I472" s="84" t="str">
        <f aca="false">IF(B472=Dashboard!$D$3,ROW(),"")</f>
        <v/>
      </c>
    </row>
    <row r="473" customFormat="false" ht="15" hidden="false" customHeight="false" outlineLevel="0" collapsed="false">
      <c r="A473" s="80"/>
      <c r="B473" s="71"/>
      <c r="C473" s="71"/>
      <c r="D473" s="81"/>
      <c r="E473" s="71"/>
      <c r="F473" s="71"/>
      <c r="G473" s="82" t="str">
        <f aca="false">IF(C473="","",IFERROR(INDEX('Kit Lists'!$D$6:$D$605,MATCH(B473&amp;"|"&amp;C473,'Kit Lists'!$J$6:$J$605,0)),"Not on this contract's kit list"))</f>
        <v/>
      </c>
      <c r="H473" s="83" t="str">
        <f aca="false">IF(AND(B473="",C473="",D473=""),"",IF(B473="","Missing contract",IF(C473="","Missing code",IF(LEFT(G473,3)="Not","Wrong code",IF(D473="","Missing qty",IF(A473="","Missing date",""))))))</f>
        <v/>
      </c>
      <c r="I473" s="84" t="str">
        <f aca="false">IF(B473=Dashboard!$D$3,ROW(),"")</f>
        <v/>
      </c>
    </row>
    <row r="474" customFormat="false" ht="15" hidden="false" customHeight="false" outlineLevel="0" collapsed="false">
      <c r="A474" s="80"/>
      <c r="B474" s="71"/>
      <c r="C474" s="71"/>
      <c r="D474" s="81"/>
      <c r="E474" s="71"/>
      <c r="F474" s="71"/>
      <c r="G474" s="82" t="str">
        <f aca="false">IF(C474="","",IFERROR(INDEX('Kit Lists'!$D$6:$D$605,MATCH(B474&amp;"|"&amp;C474,'Kit Lists'!$J$6:$J$605,0)),"Not on this contract's kit list"))</f>
        <v/>
      </c>
      <c r="H474" s="83" t="str">
        <f aca="false">IF(AND(B474="",C474="",D474=""),"",IF(B474="","Missing contract",IF(C474="","Missing code",IF(LEFT(G474,3)="Not","Wrong code",IF(D474="","Missing qty",IF(A474="","Missing date",""))))))</f>
        <v/>
      </c>
      <c r="I474" s="84" t="str">
        <f aca="false">IF(B474=Dashboard!$D$3,ROW(),"")</f>
        <v/>
      </c>
    </row>
    <row r="475" customFormat="false" ht="15" hidden="false" customHeight="false" outlineLevel="0" collapsed="false">
      <c r="A475" s="80"/>
      <c r="B475" s="71"/>
      <c r="C475" s="71"/>
      <c r="D475" s="81"/>
      <c r="E475" s="71"/>
      <c r="F475" s="71"/>
      <c r="G475" s="82" t="str">
        <f aca="false">IF(C475="","",IFERROR(INDEX('Kit Lists'!$D$6:$D$605,MATCH(B475&amp;"|"&amp;C475,'Kit Lists'!$J$6:$J$605,0)),"Not on this contract's kit list"))</f>
        <v/>
      </c>
      <c r="H475" s="83" t="str">
        <f aca="false">IF(AND(B475="",C475="",D475=""),"",IF(B475="","Missing contract",IF(C475="","Missing code",IF(LEFT(G475,3)="Not","Wrong code",IF(D475="","Missing qty",IF(A475="","Missing date",""))))))</f>
        <v/>
      </c>
      <c r="I475" s="84" t="str">
        <f aca="false">IF(B475=Dashboard!$D$3,ROW(),"")</f>
        <v/>
      </c>
    </row>
    <row r="476" customFormat="false" ht="15" hidden="false" customHeight="false" outlineLevel="0" collapsed="false">
      <c r="A476" s="80"/>
      <c r="B476" s="71"/>
      <c r="C476" s="71"/>
      <c r="D476" s="81"/>
      <c r="E476" s="71"/>
      <c r="F476" s="71"/>
      <c r="G476" s="82" t="str">
        <f aca="false">IF(C476="","",IFERROR(INDEX('Kit Lists'!$D$6:$D$605,MATCH(B476&amp;"|"&amp;C476,'Kit Lists'!$J$6:$J$605,0)),"Not on this contract's kit list"))</f>
        <v/>
      </c>
      <c r="H476" s="83" t="str">
        <f aca="false">IF(AND(B476="",C476="",D476=""),"",IF(B476="","Missing contract",IF(C476="","Missing code",IF(LEFT(G476,3)="Not","Wrong code",IF(D476="","Missing qty",IF(A476="","Missing date",""))))))</f>
        <v/>
      </c>
      <c r="I476" s="84" t="str">
        <f aca="false">IF(B476=Dashboard!$D$3,ROW(),"")</f>
        <v/>
      </c>
    </row>
    <row r="477" customFormat="false" ht="15" hidden="false" customHeight="false" outlineLevel="0" collapsed="false">
      <c r="A477" s="80"/>
      <c r="B477" s="71"/>
      <c r="C477" s="71"/>
      <c r="D477" s="81"/>
      <c r="E477" s="71"/>
      <c r="F477" s="71"/>
      <c r="G477" s="82" t="str">
        <f aca="false">IF(C477="","",IFERROR(INDEX('Kit Lists'!$D$6:$D$605,MATCH(B477&amp;"|"&amp;C477,'Kit Lists'!$J$6:$J$605,0)),"Not on this contract's kit list"))</f>
        <v/>
      </c>
      <c r="H477" s="83" t="str">
        <f aca="false">IF(AND(B477="",C477="",D477=""),"",IF(B477="","Missing contract",IF(C477="","Missing code",IF(LEFT(G477,3)="Not","Wrong code",IF(D477="","Missing qty",IF(A477="","Missing date",""))))))</f>
        <v/>
      </c>
      <c r="I477" s="84" t="str">
        <f aca="false">IF(B477=Dashboard!$D$3,ROW(),"")</f>
        <v/>
      </c>
    </row>
    <row r="478" customFormat="false" ht="15" hidden="false" customHeight="false" outlineLevel="0" collapsed="false">
      <c r="A478" s="80"/>
      <c r="B478" s="71"/>
      <c r="C478" s="71"/>
      <c r="D478" s="81"/>
      <c r="E478" s="71"/>
      <c r="F478" s="71"/>
      <c r="G478" s="82" t="str">
        <f aca="false">IF(C478="","",IFERROR(INDEX('Kit Lists'!$D$6:$D$605,MATCH(B478&amp;"|"&amp;C478,'Kit Lists'!$J$6:$J$605,0)),"Not on this contract's kit list"))</f>
        <v/>
      </c>
      <c r="H478" s="83" t="str">
        <f aca="false">IF(AND(B478="",C478="",D478=""),"",IF(B478="","Missing contract",IF(C478="","Missing code",IF(LEFT(G478,3)="Not","Wrong code",IF(D478="","Missing qty",IF(A478="","Missing date",""))))))</f>
        <v/>
      </c>
      <c r="I478" s="84" t="str">
        <f aca="false">IF(B478=Dashboard!$D$3,ROW(),"")</f>
        <v/>
      </c>
    </row>
    <row r="479" customFormat="false" ht="15" hidden="false" customHeight="false" outlineLevel="0" collapsed="false">
      <c r="A479" s="80"/>
      <c r="B479" s="71"/>
      <c r="C479" s="71"/>
      <c r="D479" s="81"/>
      <c r="E479" s="71"/>
      <c r="F479" s="71"/>
      <c r="G479" s="82" t="str">
        <f aca="false">IF(C479="","",IFERROR(INDEX('Kit Lists'!$D$6:$D$605,MATCH(B479&amp;"|"&amp;C479,'Kit Lists'!$J$6:$J$605,0)),"Not on this contract's kit list"))</f>
        <v/>
      </c>
      <c r="H479" s="83" t="str">
        <f aca="false">IF(AND(B479="",C479="",D479=""),"",IF(B479="","Missing contract",IF(C479="","Missing code",IF(LEFT(G479,3)="Not","Wrong code",IF(D479="","Missing qty",IF(A479="","Missing date",""))))))</f>
        <v/>
      </c>
      <c r="I479" s="84" t="str">
        <f aca="false">IF(B479=Dashboard!$D$3,ROW(),"")</f>
        <v/>
      </c>
    </row>
    <row r="480" customFormat="false" ht="15" hidden="false" customHeight="false" outlineLevel="0" collapsed="false">
      <c r="A480" s="80"/>
      <c r="B480" s="71"/>
      <c r="C480" s="71"/>
      <c r="D480" s="81"/>
      <c r="E480" s="71"/>
      <c r="F480" s="71"/>
      <c r="G480" s="82" t="str">
        <f aca="false">IF(C480="","",IFERROR(INDEX('Kit Lists'!$D$6:$D$605,MATCH(B480&amp;"|"&amp;C480,'Kit Lists'!$J$6:$J$605,0)),"Not on this contract's kit list"))</f>
        <v/>
      </c>
      <c r="H480" s="83" t="str">
        <f aca="false">IF(AND(B480="",C480="",D480=""),"",IF(B480="","Missing contract",IF(C480="","Missing code",IF(LEFT(G480,3)="Not","Wrong code",IF(D480="","Missing qty",IF(A480="","Missing date",""))))))</f>
        <v/>
      </c>
      <c r="I480" s="84" t="str">
        <f aca="false">IF(B480=Dashboard!$D$3,ROW(),"")</f>
        <v/>
      </c>
    </row>
    <row r="481" customFormat="false" ht="15" hidden="false" customHeight="false" outlineLevel="0" collapsed="false">
      <c r="A481" s="80"/>
      <c r="B481" s="71"/>
      <c r="C481" s="71"/>
      <c r="D481" s="81"/>
      <c r="E481" s="71"/>
      <c r="F481" s="71"/>
      <c r="G481" s="82" t="str">
        <f aca="false">IF(C481="","",IFERROR(INDEX('Kit Lists'!$D$6:$D$605,MATCH(B481&amp;"|"&amp;C481,'Kit Lists'!$J$6:$J$605,0)),"Not on this contract's kit list"))</f>
        <v/>
      </c>
      <c r="H481" s="83" t="str">
        <f aca="false">IF(AND(B481="",C481="",D481=""),"",IF(B481="","Missing contract",IF(C481="","Missing code",IF(LEFT(G481,3)="Not","Wrong code",IF(D481="","Missing qty",IF(A481="","Missing date",""))))))</f>
        <v/>
      </c>
      <c r="I481" s="84" t="str">
        <f aca="false">IF(B481=Dashboard!$D$3,ROW(),"")</f>
        <v/>
      </c>
    </row>
    <row r="482" customFormat="false" ht="15" hidden="false" customHeight="false" outlineLevel="0" collapsed="false">
      <c r="A482" s="80"/>
      <c r="B482" s="71"/>
      <c r="C482" s="71"/>
      <c r="D482" s="81"/>
      <c r="E482" s="71"/>
      <c r="F482" s="71"/>
      <c r="G482" s="82" t="str">
        <f aca="false">IF(C482="","",IFERROR(INDEX('Kit Lists'!$D$6:$D$605,MATCH(B482&amp;"|"&amp;C482,'Kit Lists'!$J$6:$J$605,0)),"Not on this contract's kit list"))</f>
        <v/>
      </c>
      <c r="H482" s="83" t="str">
        <f aca="false">IF(AND(B482="",C482="",D482=""),"",IF(B482="","Missing contract",IF(C482="","Missing code",IF(LEFT(G482,3)="Not","Wrong code",IF(D482="","Missing qty",IF(A482="","Missing date",""))))))</f>
        <v/>
      </c>
      <c r="I482" s="84" t="str">
        <f aca="false">IF(B482=Dashboard!$D$3,ROW(),"")</f>
        <v/>
      </c>
    </row>
    <row r="483" customFormat="false" ht="15" hidden="false" customHeight="false" outlineLevel="0" collapsed="false">
      <c r="A483" s="80"/>
      <c r="B483" s="71"/>
      <c r="C483" s="71"/>
      <c r="D483" s="81"/>
      <c r="E483" s="71"/>
      <c r="F483" s="71"/>
      <c r="G483" s="82" t="str">
        <f aca="false">IF(C483="","",IFERROR(INDEX('Kit Lists'!$D$6:$D$605,MATCH(B483&amp;"|"&amp;C483,'Kit Lists'!$J$6:$J$605,0)),"Not on this contract's kit list"))</f>
        <v/>
      </c>
      <c r="H483" s="83" t="str">
        <f aca="false">IF(AND(B483="",C483="",D483=""),"",IF(B483="","Missing contract",IF(C483="","Missing code",IF(LEFT(G483,3)="Not","Wrong code",IF(D483="","Missing qty",IF(A483="","Missing date",""))))))</f>
        <v/>
      </c>
      <c r="I483" s="84" t="str">
        <f aca="false">IF(B483=Dashboard!$D$3,ROW(),"")</f>
        <v/>
      </c>
    </row>
    <row r="484" customFormat="false" ht="15" hidden="false" customHeight="false" outlineLevel="0" collapsed="false">
      <c r="A484" s="80"/>
      <c r="B484" s="71"/>
      <c r="C484" s="71"/>
      <c r="D484" s="81"/>
      <c r="E484" s="71"/>
      <c r="F484" s="71"/>
      <c r="G484" s="82" t="str">
        <f aca="false">IF(C484="","",IFERROR(INDEX('Kit Lists'!$D$6:$D$605,MATCH(B484&amp;"|"&amp;C484,'Kit Lists'!$J$6:$J$605,0)),"Not on this contract's kit list"))</f>
        <v/>
      </c>
      <c r="H484" s="83" t="str">
        <f aca="false">IF(AND(B484="",C484="",D484=""),"",IF(B484="","Missing contract",IF(C484="","Missing code",IF(LEFT(G484,3)="Not","Wrong code",IF(D484="","Missing qty",IF(A484="","Missing date",""))))))</f>
        <v/>
      </c>
      <c r="I484" s="84" t="str">
        <f aca="false">IF(B484=Dashboard!$D$3,ROW(),"")</f>
        <v/>
      </c>
    </row>
    <row r="485" customFormat="false" ht="15" hidden="false" customHeight="false" outlineLevel="0" collapsed="false">
      <c r="A485" s="80"/>
      <c r="B485" s="71"/>
      <c r="C485" s="71"/>
      <c r="D485" s="81"/>
      <c r="E485" s="71"/>
      <c r="F485" s="71"/>
      <c r="G485" s="82" t="str">
        <f aca="false">IF(C485="","",IFERROR(INDEX('Kit Lists'!$D$6:$D$605,MATCH(B485&amp;"|"&amp;C485,'Kit Lists'!$J$6:$J$605,0)),"Not on this contract's kit list"))</f>
        <v/>
      </c>
      <c r="H485" s="83" t="str">
        <f aca="false">IF(AND(B485="",C485="",D485=""),"",IF(B485="","Missing contract",IF(C485="","Missing code",IF(LEFT(G485,3)="Not","Wrong code",IF(D485="","Missing qty",IF(A485="","Missing date",""))))))</f>
        <v/>
      </c>
      <c r="I485" s="84" t="str">
        <f aca="false">IF(B485=Dashboard!$D$3,ROW(),"")</f>
        <v/>
      </c>
    </row>
    <row r="486" customFormat="false" ht="15" hidden="false" customHeight="false" outlineLevel="0" collapsed="false">
      <c r="A486" s="80"/>
      <c r="B486" s="71"/>
      <c r="C486" s="71"/>
      <c r="D486" s="81"/>
      <c r="E486" s="71"/>
      <c r="F486" s="71"/>
      <c r="G486" s="82" t="str">
        <f aca="false">IF(C486="","",IFERROR(INDEX('Kit Lists'!$D$6:$D$605,MATCH(B486&amp;"|"&amp;C486,'Kit Lists'!$J$6:$J$605,0)),"Not on this contract's kit list"))</f>
        <v/>
      </c>
      <c r="H486" s="83" t="str">
        <f aca="false">IF(AND(B486="",C486="",D486=""),"",IF(B486="","Missing contract",IF(C486="","Missing code",IF(LEFT(G486,3)="Not","Wrong code",IF(D486="","Missing qty",IF(A486="","Missing date",""))))))</f>
        <v/>
      </c>
      <c r="I486" s="84" t="str">
        <f aca="false">IF(B486=Dashboard!$D$3,ROW(),"")</f>
        <v/>
      </c>
    </row>
    <row r="487" customFormat="false" ht="15" hidden="false" customHeight="false" outlineLevel="0" collapsed="false">
      <c r="A487" s="80"/>
      <c r="B487" s="71"/>
      <c r="C487" s="71"/>
      <c r="D487" s="81"/>
      <c r="E487" s="71"/>
      <c r="F487" s="71"/>
      <c r="G487" s="82" t="str">
        <f aca="false">IF(C487="","",IFERROR(INDEX('Kit Lists'!$D$6:$D$605,MATCH(B487&amp;"|"&amp;C487,'Kit Lists'!$J$6:$J$605,0)),"Not on this contract's kit list"))</f>
        <v/>
      </c>
      <c r="H487" s="83" t="str">
        <f aca="false">IF(AND(B487="",C487="",D487=""),"",IF(B487="","Missing contract",IF(C487="","Missing code",IF(LEFT(G487,3)="Not","Wrong code",IF(D487="","Missing qty",IF(A487="","Missing date",""))))))</f>
        <v/>
      </c>
      <c r="I487" s="84" t="str">
        <f aca="false">IF(B487=Dashboard!$D$3,ROW(),"")</f>
        <v/>
      </c>
    </row>
    <row r="488" customFormat="false" ht="15" hidden="false" customHeight="false" outlineLevel="0" collapsed="false">
      <c r="A488" s="80"/>
      <c r="B488" s="71"/>
      <c r="C488" s="71"/>
      <c r="D488" s="81"/>
      <c r="E488" s="71"/>
      <c r="F488" s="71"/>
      <c r="G488" s="82" t="str">
        <f aca="false">IF(C488="","",IFERROR(INDEX('Kit Lists'!$D$6:$D$605,MATCH(B488&amp;"|"&amp;C488,'Kit Lists'!$J$6:$J$605,0)),"Not on this contract's kit list"))</f>
        <v/>
      </c>
      <c r="H488" s="83" t="str">
        <f aca="false">IF(AND(B488="",C488="",D488=""),"",IF(B488="","Missing contract",IF(C488="","Missing code",IF(LEFT(G488,3)="Not","Wrong code",IF(D488="","Missing qty",IF(A488="","Missing date",""))))))</f>
        <v/>
      </c>
      <c r="I488" s="84" t="str">
        <f aca="false">IF(B488=Dashboard!$D$3,ROW(),"")</f>
        <v/>
      </c>
    </row>
    <row r="489" customFormat="false" ht="15" hidden="false" customHeight="false" outlineLevel="0" collapsed="false">
      <c r="A489" s="80"/>
      <c r="B489" s="71"/>
      <c r="C489" s="71"/>
      <c r="D489" s="81"/>
      <c r="E489" s="71"/>
      <c r="F489" s="71"/>
      <c r="G489" s="82" t="str">
        <f aca="false">IF(C489="","",IFERROR(INDEX('Kit Lists'!$D$6:$D$605,MATCH(B489&amp;"|"&amp;C489,'Kit Lists'!$J$6:$J$605,0)),"Not on this contract's kit list"))</f>
        <v/>
      </c>
      <c r="H489" s="83" t="str">
        <f aca="false">IF(AND(B489="",C489="",D489=""),"",IF(B489="","Missing contract",IF(C489="","Missing code",IF(LEFT(G489,3)="Not","Wrong code",IF(D489="","Missing qty",IF(A489="","Missing date",""))))))</f>
        <v/>
      </c>
      <c r="I489" s="84" t="str">
        <f aca="false">IF(B489=Dashboard!$D$3,ROW(),"")</f>
        <v/>
      </c>
    </row>
    <row r="490" customFormat="false" ht="15" hidden="false" customHeight="false" outlineLevel="0" collapsed="false">
      <c r="A490" s="80"/>
      <c r="B490" s="71"/>
      <c r="C490" s="71"/>
      <c r="D490" s="81"/>
      <c r="E490" s="71"/>
      <c r="F490" s="71"/>
      <c r="G490" s="82" t="str">
        <f aca="false">IF(C490="","",IFERROR(INDEX('Kit Lists'!$D$6:$D$605,MATCH(B490&amp;"|"&amp;C490,'Kit Lists'!$J$6:$J$605,0)),"Not on this contract's kit list"))</f>
        <v/>
      </c>
      <c r="H490" s="83" t="str">
        <f aca="false">IF(AND(B490="",C490="",D490=""),"",IF(B490="","Missing contract",IF(C490="","Missing code",IF(LEFT(G490,3)="Not","Wrong code",IF(D490="","Missing qty",IF(A490="","Missing date",""))))))</f>
        <v/>
      </c>
      <c r="I490" s="84" t="str">
        <f aca="false">IF(B490=Dashboard!$D$3,ROW(),"")</f>
        <v/>
      </c>
    </row>
    <row r="491" customFormat="false" ht="15" hidden="false" customHeight="false" outlineLevel="0" collapsed="false">
      <c r="A491" s="80"/>
      <c r="B491" s="71"/>
      <c r="C491" s="71"/>
      <c r="D491" s="81"/>
      <c r="E491" s="71"/>
      <c r="F491" s="71"/>
      <c r="G491" s="82" t="str">
        <f aca="false">IF(C491="","",IFERROR(INDEX('Kit Lists'!$D$6:$D$605,MATCH(B491&amp;"|"&amp;C491,'Kit Lists'!$J$6:$J$605,0)),"Not on this contract's kit list"))</f>
        <v/>
      </c>
      <c r="H491" s="83" t="str">
        <f aca="false">IF(AND(B491="",C491="",D491=""),"",IF(B491="","Missing contract",IF(C491="","Missing code",IF(LEFT(G491,3)="Not","Wrong code",IF(D491="","Missing qty",IF(A491="","Missing date",""))))))</f>
        <v/>
      </c>
      <c r="I491" s="84" t="str">
        <f aca="false">IF(B491=Dashboard!$D$3,ROW(),"")</f>
        <v/>
      </c>
    </row>
    <row r="492" customFormat="false" ht="15" hidden="false" customHeight="false" outlineLevel="0" collapsed="false">
      <c r="A492" s="80"/>
      <c r="B492" s="71"/>
      <c r="C492" s="71"/>
      <c r="D492" s="81"/>
      <c r="E492" s="71"/>
      <c r="F492" s="71"/>
      <c r="G492" s="82" t="str">
        <f aca="false">IF(C492="","",IFERROR(INDEX('Kit Lists'!$D$6:$D$605,MATCH(B492&amp;"|"&amp;C492,'Kit Lists'!$J$6:$J$605,0)),"Not on this contract's kit list"))</f>
        <v/>
      </c>
      <c r="H492" s="83" t="str">
        <f aca="false">IF(AND(B492="",C492="",D492=""),"",IF(B492="","Missing contract",IF(C492="","Missing code",IF(LEFT(G492,3)="Not","Wrong code",IF(D492="","Missing qty",IF(A492="","Missing date",""))))))</f>
        <v/>
      </c>
      <c r="I492" s="84" t="str">
        <f aca="false">IF(B492=Dashboard!$D$3,ROW(),"")</f>
        <v/>
      </c>
    </row>
    <row r="493" customFormat="false" ht="15" hidden="false" customHeight="false" outlineLevel="0" collapsed="false">
      <c r="A493" s="80"/>
      <c r="B493" s="71"/>
      <c r="C493" s="71"/>
      <c r="D493" s="81"/>
      <c r="E493" s="71"/>
      <c r="F493" s="71"/>
      <c r="G493" s="82" t="str">
        <f aca="false">IF(C493="","",IFERROR(INDEX('Kit Lists'!$D$6:$D$605,MATCH(B493&amp;"|"&amp;C493,'Kit Lists'!$J$6:$J$605,0)),"Not on this contract's kit list"))</f>
        <v/>
      </c>
      <c r="H493" s="83" t="str">
        <f aca="false">IF(AND(B493="",C493="",D493=""),"",IF(B493="","Missing contract",IF(C493="","Missing code",IF(LEFT(G493,3)="Not","Wrong code",IF(D493="","Missing qty",IF(A493="","Missing date",""))))))</f>
        <v/>
      </c>
      <c r="I493" s="84" t="str">
        <f aca="false">IF(B493=Dashboard!$D$3,ROW(),"")</f>
        <v/>
      </c>
    </row>
    <row r="494" customFormat="false" ht="15" hidden="false" customHeight="false" outlineLevel="0" collapsed="false">
      <c r="A494" s="80"/>
      <c r="B494" s="71"/>
      <c r="C494" s="71"/>
      <c r="D494" s="81"/>
      <c r="E494" s="71"/>
      <c r="F494" s="71"/>
      <c r="G494" s="82" t="str">
        <f aca="false">IF(C494="","",IFERROR(INDEX('Kit Lists'!$D$6:$D$605,MATCH(B494&amp;"|"&amp;C494,'Kit Lists'!$J$6:$J$605,0)),"Not on this contract's kit list"))</f>
        <v/>
      </c>
      <c r="H494" s="83" t="str">
        <f aca="false">IF(AND(B494="",C494="",D494=""),"",IF(B494="","Missing contract",IF(C494="","Missing code",IF(LEFT(G494,3)="Not","Wrong code",IF(D494="","Missing qty",IF(A494="","Missing date",""))))))</f>
        <v/>
      </c>
      <c r="I494" s="84" t="str">
        <f aca="false">IF(B494=Dashboard!$D$3,ROW(),"")</f>
        <v/>
      </c>
    </row>
    <row r="495" customFormat="false" ht="15" hidden="false" customHeight="false" outlineLevel="0" collapsed="false">
      <c r="A495" s="80"/>
      <c r="B495" s="71"/>
      <c r="C495" s="71"/>
      <c r="D495" s="81"/>
      <c r="E495" s="71"/>
      <c r="F495" s="71"/>
      <c r="G495" s="82" t="str">
        <f aca="false">IF(C495="","",IFERROR(INDEX('Kit Lists'!$D$6:$D$605,MATCH(B495&amp;"|"&amp;C495,'Kit Lists'!$J$6:$J$605,0)),"Not on this contract's kit list"))</f>
        <v/>
      </c>
      <c r="H495" s="83" t="str">
        <f aca="false">IF(AND(B495="",C495="",D495=""),"",IF(B495="","Missing contract",IF(C495="","Missing code",IF(LEFT(G495,3)="Not","Wrong code",IF(D495="","Missing qty",IF(A495="","Missing date",""))))))</f>
        <v/>
      </c>
      <c r="I495" s="84" t="str">
        <f aca="false">IF(B495=Dashboard!$D$3,ROW(),"")</f>
        <v/>
      </c>
    </row>
    <row r="496" customFormat="false" ht="15" hidden="false" customHeight="false" outlineLevel="0" collapsed="false">
      <c r="A496" s="80"/>
      <c r="B496" s="71"/>
      <c r="C496" s="71"/>
      <c r="D496" s="81"/>
      <c r="E496" s="71"/>
      <c r="F496" s="71"/>
      <c r="G496" s="82" t="str">
        <f aca="false">IF(C496="","",IFERROR(INDEX('Kit Lists'!$D$6:$D$605,MATCH(B496&amp;"|"&amp;C496,'Kit Lists'!$J$6:$J$605,0)),"Not on this contract's kit list"))</f>
        <v/>
      </c>
      <c r="H496" s="83" t="str">
        <f aca="false">IF(AND(B496="",C496="",D496=""),"",IF(B496="","Missing contract",IF(C496="","Missing code",IF(LEFT(G496,3)="Not","Wrong code",IF(D496="","Missing qty",IF(A496="","Missing date",""))))))</f>
        <v/>
      </c>
      <c r="I496" s="84" t="str">
        <f aca="false">IF(B496=Dashboard!$D$3,ROW(),"")</f>
        <v/>
      </c>
    </row>
    <row r="497" customFormat="false" ht="15" hidden="false" customHeight="false" outlineLevel="0" collapsed="false">
      <c r="A497" s="80"/>
      <c r="B497" s="71"/>
      <c r="C497" s="71"/>
      <c r="D497" s="81"/>
      <c r="E497" s="71"/>
      <c r="F497" s="71"/>
      <c r="G497" s="82" t="str">
        <f aca="false">IF(C497="","",IFERROR(INDEX('Kit Lists'!$D$6:$D$605,MATCH(B497&amp;"|"&amp;C497,'Kit Lists'!$J$6:$J$605,0)),"Not on this contract's kit list"))</f>
        <v/>
      </c>
      <c r="H497" s="83" t="str">
        <f aca="false">IF(AND(B497="",C497="",D497=""),"",IF(B497="","Missing contract",IF(C497="","Missing code",IF(LEFT(G497,3)="Not","Wrong code",IF(D497="","Missing qty",IF(A497="","Missing date",""))))))</f>
        <v/>
      </c>
      <c r="I497" s="84" t="str">
        <f aca="false">IF(B497=Dashboard!$D$3,ROW(),"")</f>
        <v/>
      </c>
    </row>
    <row r="498" customFormat="false" ht="15" hidden="false" customHeight="false" outlineLevel="0" collapsed="false">
      <c r="A498" s="80"/>
      <c r="B498" s="71"/>
      <c r="C498" s="71"/>
      <c r="D498" s="81"/>
      <c r="E498" s="71"/>
      <c r="F498" s="71"/>
      <c r="G498" s="82" t="str">
        <f aca="false">IF(C498="","",IFERROR(INDEX('Kit Lists'!$D$6:$D$605,MATCH(B498&amp;"|"&amp;C498,'Kit Lists'!$J$6:$J$605,0)),"Not on this contract's kit list"))</f>
        <v/>
      </c>
      <c r="H498" s="83" t="str">
        <f aca="false">IF(AND(B498="",C498="",D498=""),"",IF(B498="","Missing contract",IF(C498="","Missing code",IF(LEFT(G498,3)="Not","Wrong code",IF(D498="","Missing qty",IF(A498="","Missing date",""))))))</f>
        <v/>
      </c>
      <c r="I498" s="84" t="str">
        <f aca="false">IF(B498=Dashboard!$D$3,ROW(),"")</f>
        <v/>
      </c>
    </row>
    <row r="499" customFormat="false" ht="15" hidden="false" customHeight="false" outlineLevel="0" collapsed="false">
      <c r="A499" s="80"/>
      <c r="B499" s="71"/>
      <c r="C499" s="71"/>
      <c r="D499" s="81"/>
      <c r="E499" s="71"/>
      <c r="F499" s="71"/>
      <c r="G499" s="82" t="str">
        <f aca="false">IF(C499="","",IFERROR(INDEX('Kit Lists'!$D$6:$D$605,MATCH(B499&amp;"|"&amp;C499,'Kit Lists'!$J$6:$J$605,0)),"Not on this contract's kit list"))</f>
        <v/>
      </c>
      <c r="H499" s="83" t="str">
        <f aca="false">IF(AND(B499="",C499="",D499=""),"",IF(B499="","Missing contract",IF(C499="","Missing code",IF(LEFT(G499,3)="Not","Wrong code",IF(D499="","Missing qty",IF(A499="","Missing date",""))))))</f>
        <v/>
      </c>
      <c r="I499" s="84" t="str">
        <f aca="false">IF(B499=Dashboard!$D$3,ROW(),"")</f>
        <v/>
      </c>
    </row>
    <row r="500" customFormat="false" ht="15" hidden="false" customHeight="false" outlineLevel="0" collapsed="false">
      <c r="A500" s="80"/>
      <c r="B500" s="71"/>
      <c r="C500" s="71"/>
      <c r="D500" s="81"/>
      <c r="E500" s="71"/>
      <c r="F500" s="71"/>
      <c r="G500" s="82" t="str">
        <f aca="false">IF(C500="","",IFERROR(INDEX('Kit Lists'!$D$6:$D$605,MATCH(B500&amp;"|"&amp;C500,'Kit Lists'!$J$6:$J$605,0)),"Not on this contract's kit list"))</f>
        <v/>
      </c>
      <c r="H500" s="83" t="str">
        <f aca="false">IF(AND(B500="",C500="",D500=""),"",IF(B500="","Missing contract",IF(C500="","Missing code",IF(LEFT(G500,3)="Not","Wrong code",IF(D500="","Missing qty",IF(A500="","Missing date",""))))))</f>
        <v/>
      </c>
      <c r="I500" s="84" t="str">
        <f aca="false">IF(B500=Dashboard!$D$3,ROW(),"")</f>
        <v/>
      </c>
    </row>
    <row r="501" customFormat="false" ht="15" hidden="false" customHeight="false" outlineLevel="0" collapsed="false">
      <c r="A501" s="80"/>
      <c r="B501" s="71"/>
      <c r="C501" s="71"/>
      <c r="D501" s="81"/>
      <c r="E501" s="71"/>
      <c r="F501" s="71"/>
      <c r="G501" s="82" t="str">
        <f aca="false">IF(C501="","",IFERROR(INDEX('Kit Lists'!$D$6:$D$605,MATCH(B501&amp;"|"&amp;C501,'Kit Lists'!$J$6:$J$605,0)),"Not on this contract's kit list"))</f>
        <v/>
      </c>
      <c r="H501" s="83" t="str">
        <f aca="false">IF(AND(B501="",C501="",D501=""),"",IF(B501="","Missing contract",IF(C501="","Missing code",IF(LEFT(G501,3)="Not","Wrong code",IF(D501="","Missing qty",IF(A501="","Missing date",""))))))</f>
        <v/>
      </c>
      <c r="I501" s="84" t="str">
        <f aca="false">IF(B501=Dashboard!$D$3,ROW(),"")</f>
        <v/>
      </c>
    </row>
    <row r="502" customFormat="false" ht="15" hidden="false" customHeight="false" outlineLevel="0" collapsed="false">
      <c r="A502" s="80"/>
      <c r="B502" s="71"/>
      <c r="C502" s="71"/>
      <c r="D502" s="81"/>
      <c r="E502" s="71"/>
      <c r="F502" s="71"/>
      <c r="G502" s="82" t="str">
        <f aca="false">IF(C502="","",IFERROR(INDEX('Kit Lists'!$D$6:$D$605,MATCH(B502&amp;"|"&amp;C502,'Kit Lists'!$J$6:$J$605,0)),"Not on this contract's kit list"))</f>
        <v/>
      </c>
      <c r="H502" s="83" t="str">
        <f aca="false">IF(AND(B502="",C502="",D502=""),"",IF(B502="","Missing contract",IF(C502="","Missing code",IF(LEFT(G502,3)="Not","Wrong code",IF(D502="","Missing qty",IF(A502="","Missing date",""))))))</f>
        <v/>
      </c>
      <c r="I502" s="84" t="str">
        <f aca="false">IF(B502=Dashboard!$D$3,ROW(),"")</f>
        <v/>
      </c>
    </row>
    <row r="503" customFormat="false" ht="15" hidden="false" customHeight="false" outlineLevel="0" collapsed="false">
      <c r="A503" s="80"/>
      <c r="B503" s="71"/>
      <c r="C503" s="71"/>
      <c r="D503" s="81"/>
      <c r="E503" s="71"/>
      <c r="F503" s="71"/>
      <c r="G503" s="82" t="str">
        <f aca="false">IF(C503="","",IFERROR(INDEX('Kit Lists'!$D$6:$D$605,MATCH(B503&amp;"|"&amp;C503,'Kit Lists'!$J$6:$J$605,0)),"Not on this contract's kit list"))</f>
        <v/>
      </c>
      <c r="H503" s="83" t="str">
        <f aca="false">IF(AND(B503="",C503="",D503=""),"",IF(B503="","Missing contract",IF(C503="","Missing code",IF(LEFT(G503,3)="Not","Wrong code",IF(D503="","Missing qty",IF(A503="","Missing date",""))))))</f>
        <v/>
      </c>
      <c r="I503" s="84" t="str">
        <f aca="false">IF(B503=Dashboard!$D$3,ROW(),"")</f>
        <v/>
      </c>
    </row>
    <row r="504" customFormat="false" ht="15" hidden="false" customHeight="false" outlineLevel="0" collapsed="false">
      <c r="A504" s="80"/>
      <c r="B504" s="71"/>
      <c r="C504" s="71"/>
      <c r="D504" s="81"/>
      <c r="E504" s="71"/>
      <c r="F504" s="71"/>
      <c r="G504" s="82" t="str">
        <f aca="false">IF(C504="","",IFERROR(INDEX('Kit Lists'!$D$6:$D$605,MATCH(B504&amp;"|"&amp;C504,'Kit Lists'!$J$6:$J$605,0)),"Not on this contract's kit list"))</f>
        <v/>
      </c>
      <c r="H504" s="83" t="str">
        <f aca="false">IF(AND(B504="",C504="",D504=""),"",IF(B504="","Missing contract",IF(C504="","Missing code",IF(LEFT(G504,3)="Not","Wrong code",IF(D504="","Missing qty",IF(A504="","Missing date",""))))))</f>
        <v/>
      </c>
      <c r="I504" s="84" t="str">
        <f aca="false">IF(B504=Dashboard!$D$3,ROW(),"")</f>
        <v/>
      </c>
    </row>
    <row r="505" customFormat="false" ht="15" hidden="false" customHeight="false" outlineLevel="0" collapsed="false">
      <c r="A505" s="80"/>
      <c r="B505" s="71"/>
      <c r="C505" s="71"/>
      <c r="D505" s="81"/>
      <c r="E505" s="71"/>
      <c r="F505" s="71"/>
      <c r="G505" s="82" t="str">
        <f aca="false">IF(C505="","",IFERROR(INDEX('Kit Lists'!$D$6:$D$605,MATCH(B505&amp;"|"&amp;C505,'Kit Lists'!$J$6:$J$605,0)),"Not on this contract's kit list"))</f>
        <v/>
      </c>
      <c r="H505" s="83" t="str">
        <f aca="false">IF(AND(B505="",C505="",D505=""),"",IF(B505="","Missing contract",IF(C505="","Missing code",IF(LEFT(G505,3)="Not","Wrong code",IF(D505="","Missing qty",IF(A505="","Missing date",""))))))</f>
        <v/>
      </c>
      <c r="I505" s="84" t="str">
        <f aca="false">IF(B505=Dashboard!$D$3,ROW(),"")</f>
        <v/>
      </c>
    </row>
    <row r="506" customFormat="false" ht="15" hidden="false" customHeight="false" outlineLevel="0" collapsed="false">
      <c r="A506" s="80"/>
      <c r="B506" s="71"/>
      <c r="C506" s="71"/>
      <c r="D506" s="81"/>
      <c r="E506" s="71"/>
      <c r="F506" s="71"/>
      <c r="G506" s="82" t="str">
        <f aca="false">IF(C506="","",IFERROR(INDEX('Kit Lists'!$D$6:$D$605,MATCH(B506&amp;"|"&amp;C506,'Kit Lists'!$J$6:$J$605,0)),"Not on this contract's kit list"))</f>
        <v/>
      </c>
      <c r="H506" s="83" t="str">
        <f aca="false">IF(AND(B506="",C506="",D506=""),"",IF(B506="","Missing contract",IF(C506="","Missing code",IF(LEFT(G506,3)="Not","Wrong code",IF(D506="","Missing qty",IF(A506="","Missing date",""))))))</f>
        <v/>
      </c>
      <c r="I506" s="84" t="str">
        <f aca="false">IF(B506=Dashboard!$D$3,ROW(),"")</f>
        <v/>
      </c>
    </row>
    <row r="507" customFormat="false" ht="15" hidden="false" customHeight="false" outlineLevel="0" collapsed="false">
      <c r="A507" s="80"/>
      <c r="B507" s="71"/>
      <c r="C507" s="71"/>
      <c r="D507" s="81"/>
      <c r="E507" s="71"/>
      <c r="F507" s="71"/>
      <c r="G507" s="82" t="str">
        <f aca="false">IF(C507="","",IFERROR(INDEX('Kit Lists'!$D$6:$D$605,MATCH(B507&amp;"|"&amp;C507,'Kit Lists'!$J$6:$J$605,0)),"Not on this contract's kit list"))</f>
        <v/>
      </c>
      <c r="H507" s="83" t="str">
        <f aca="false">IF(AND(B507="",C507="",D507=""),"",IF(B507="","Missing contract",IF(C507="","Missing code",IF(LEFT(G507,3)="Not","Wrong code",IF(D507="","Missing qty",IF(A507="","Missing date",""))))))</f>
        <v/>
      </c>
      <c r="I507" s="84" t="str">
        <f aca="false">IF(B507=Dashboard!$D$3,ROW(),"")</f>
        <v/>
      </c>
    </row>
    <row r="508" customFormat="false" ht="15" hidden="false" customHeight="false" outlineLevel="0" collapsed="false">
      <c r="A508" s="80"/>
      <c r="B508" s="71"/>
      <c r="C508" s="71"/>
      <c r="D508" s="81"/>
      <c r="E508" s="71"/>
      <c r="F508" s="71"/>
      <c r="G508" s="82" t="str">
        <f aca="false">IF(C508="","",IFERROR(INDEX('Kit Lists'!$D$6:$D$605,MATCH(B508&amp;"|"&amp;C508,'Kit Lists'!$J$6:$J$605,0)),"Not on this contract's kit list"))</f>
        <v/>
      </c>
      <c r="H508" s="83" t="str">
        <f aca="false">IF(AND(B508="",C508="",D508=""),"",IF(B508="","Missing contract",IF(C508="","Missing code",IF(LEFT(G508,3)="Not","Wrong code",IF(D508="","Missing qty",IF(A508="","Missing date",""))))))</f>
        <v/>
      </c>
      <c r="I508" s="84" t="str">
        <f aca="false">IF(B508=Dashboard!$D$3,ROW(),"")</f>
        <v/>
      </c>
    </row>
    <row r="509" customFormat="false" ht="15" hidden="false" customHeight="false" outlineLevel="0" collapsed="false">
      <c r="A509" s="80"/>
      <c r="B509" s="71"/>
      <c r="C509" s="71"/>
      <c r="D509" s="81"/>
      <c r="E509" s="71"/>
      <c r="F509" s="71"/>
      <c r="G509" s="82" t="str">
        <f aca="false">IF(C509="","",IFERROR(INDEX('Kit Lists'!$D$6:$D$605,MATCH(B509&amp;"|"&amp;C509,'Kit Lists'!$J$6:$J$605,0)),"Not on this contract's kit list"))</f>
        <v/>
      </c>
      <c r="H509" s="83" t="str">
        <f aca="false">IF(AND(B509="",C509="",D509=""),"",IF(B509="","Missing contract",IF(C509="","Missing code",IF(LEFT(G509,3)="Not","Wrong code",IF(D509="","Missing qty",IF(A509="","Missing date",""))))))</f>
        <v/>
      </c>
      <c r="I509" s="84" t="str">
        <f aca="false">IF(B509=Dashboard!$D$3,ROW(),"")</f>
        <v/>
      </c>
    </row>
    <row r="510" customFormat="false" ht="15" hidden="false" customHeight="false" outlineLevel="0" collapsed="false">
      <c r="A510" s="80"/>
      <c r="B510" s="71"/>
      <c r="C510" s="71"/>
      <c r="D510" s="81"/>
      <c r="E510" s="71"/>
      <c r="F510" s="71"/>
      <c r="G510" s="82" t="str">
        <f aca="false">IF(C510="","",IFERROR(INDEX('Kit Lists'!$D$6:$D$605,MATCH(B510&amp;"|"&amp;C510,'Kit Lists'!$J$6:$J$605,0)),"Not on this contract's kit list"))</f>
        <v/>
      </c>
      <c r="H510" s="83" t="str">
        <f aca="false">IF(AND(B510="",C510="",D510=""),"",IF(B510="","Missing contract",IF(C510="","Missing code",IF(LEFT(G510,3)="Not","Wrong code",IF(D510="","Missing qty",IF(A510="","Missing date",""))))))</f>
        <v/>
      </c>
      <c r="I510" s="84" t="str">
        <f aca="false">IF(B510=Dashboard!$D$3,ROW(),"")</f>
        <v/>
      </c>
    </row>
    <row r="511" customFormat="false" ht="15" hidden="false" customHeight="false" outlineLevel="0" collapsed="false">
      <c r="A511" s="80"/>
      <c r="B511" s="71"/>
      <c r="C511" s="71"/>
      <c r="D511" s="81"/>
      <c r="E511" s="71"/>
      <c r="F511" s="71"/>
      <c r="G511" s="82" t="str">
        <f aca="false">IF(C511="","",IFERROR(INDEX('Kit Lists'!$D$6:$D$605,MATCH(B511&amp;"|"&amp;C511,'Kit Lists'!$J$6:$J$605,0)),"Not on this contract's kit list"))</f>
        <v/>
      </c>
      <c r="H511" s="83" t="str">
        <f aca="false">IF(AND(B511="",C511="",D511=""),"",IF(B511="","Missing contract",IF(C511="","Missing code",IF(LEFT(G511,3)="Not","Wrong code",IF(D511="","Missing qty",IF(A511="","Missing date",""))))))</f>
        <v/>
      </c>
      <c r="I511" s="84" t="str">
        <f aca="false">IF(B511=Dashboard!$D$3,ROW(),"")</f>
        <v/>
      </c>
    </row>
    <row r="512" customFormat="false" ht="15" hidden="false" customHeight="false" outlineLevel="0" collapsed="false">
      <c r="A512" s="80"/>
      <c r="B512" s="71"/>
      <c r="C512" s="71"/>
      <c r="D512" s="81"/>
      <c r="E512" s="71"/>
      <c r="F512" s="71"/>
      <c r="G512" s="82" t="str">
        <f aca="false">IF(C512="","",IFERROR(INDEX('Kit Lists'!$D$6:$D$605,MATCH(B512&amp;"|"&amp;C512,'Kit Lists'!$J$6:$J$605,0)),"Not on this contract's kit list"))</f>
        <v/>
      </c>
      <c r="H512" s="83" t="str">
        <f aca="false">IF(AND(B512="",C512="",D512=""),"",IF(B512="","Missing contract",IF(C512="","Missing code",IF(LEFT(G512,3)="Not","Wrong code",IF(D512="","Missing qty",IF(A512="","Missing date",""))))))</f>
        <v/>
      </c>
      <c r="I512" s="84" t="str">
        <f aca="false">IF(B512=Dashboard!$D$3,ROW(),"")</f>
        <v/>
      </c>
    </row>
    <row r="513" customFormat="false" ht="15" hidden="false" customHeight="false" outlineLevel="0" collapsed="false">
      <c r="A513" s="80"/>
      <c r="B513" s="71"/>
      <c r="C513" s="71"/>
      <c r="D513" s="81"/>
      <c r="E513" s="71"/>
      <c r="F513" s="71"/>
      <c r="G513" s="82" t="str">
        <f aca="false">IF(C513="","",IFERROR(INDEX('Kit Lists'!$D$6:$D$605,MATCH(B513&amp;"|"&amp;C513,'Kit Lists'!$J$6:$J$605,0)),"Not on this contract's kit list"))</f>
        <v/>
      </c>
      <c r="H513" s="83" t="str">
        <f aca="false">IF(AND(B513="",C513="",D513=""),"",IF(B513="","Missing contract",IF(C513="","Missing code",IF(LEFT(G513,3)="Not","Wrong code",IF(D513="","Missing qty",IF(A513="","Missing date",""))))))</f>
        <v/>
      </c>
      <c r="I513" s="84" t="str">
        <f aca="false">IF(B513=Dashboard!$D$3,ROW(),"")</f>
        <v/>
      </c>
    </row>
    <row r="514" customFormat="false" ht="15" hidden="false" customHeight="false" outlineLevel="0" collapsed="false">
      <c r="A514" s="80"/>
      <c r="B514" s="71"/>
      <c r="C514" s="71"/>
      <c r="D514" s="81"/>
      <c r="E514" s="71"/>
      <c r="F514" s="71"/>
      <c r="G514" s="82" t="str">
        <f aca="false">IF(C514="","",IFERROR(INDEX('Kit Lists'!$D$6:$D$605,MATCH(B514&amp;"|"&amp;C514,'Kit Lists'!$J$6:$J$605,0)),"Not on this contract's kit list"))</f>
        <v/>
      </c>
      <c r="H514" s="83" t="str">
        <f aca="false">IF(AND(B514="",C514="",D514=""),"",IF(B514="","Missing contract",IF(C514="","Missing code",IF(LEFT(G514,3)="Not","Wrong code",IF(D514="","Missing qty",IF(A514="","Missing date",""))))))</f>
        <v/>
      </c>
      <c r="I514" s="84" t="str">
        <f aca="false">IF(B514=Dashboard!$D$3,ROW(),"")</f>
        <v/>
      </c>
    </row>
    <row r="515" customFormat="false" ht="15" hidden="false" customHeight="false" outlineLevel="0" collapsed="false">
      <c r="A515" s="80"/>
      <c r="B515" s="71"/>
      <c r="C515" s="71"/>
      <c r="D515" s="81"/>
      <c r="E515" s="71"/>
      <c r="F515" s="71"/>
      <c r="G515" s="82" t="str">
        <f aca="false">IF(C515="","",IFERROR(INDEX('Kit Lists'!$D$6:$D$605,MATCH(B515&amp;"|"&amp;C515,'Kit Lists'!$J$6:$J$605,0)),"Not on this contract's kit list"))</f>
        <v/>
      </c>
      <c r="H515" s="83" t="str">
        <f aca="false">IF(AND(B515="",C515="",D515=""),"",IF(B515="","Missing contract",IF(C515="","Missing code",IF(LEFT(G515,3)="Not","Wrong code",IF(D515="","Missing qty",IF(A515="","Missing date",""))))))</f>
        <v/>
      </c>
      <c r="I515" s="84" t="str">
        <f aca="false">IF(B515=Dashboard!$D$3,ROW(),"")</f>
        <v/>
      </c>
    </row>
    <row r="516" customFormat="false" ht="15" hidden="false" customHeight="false" outlineLevel="0" collapsed="false">
      <c r="A516" s="80"/>
      <c r="B516" s="71"/>
      <c r="C516" s="71"/>
      <c r="D516" s="81"/>
      <c r="E516" s="71"/>
      <c r="F516" s="71"/>
      <c r="G516" s="82" t="str">
        <f aca="false">IF(C516="","",IFERROR(INDEX('Kit Lists'!$D$6:$D$605,MATCH(B516&amp;"|"&amp;C516,'Kit Lists'!$J$6:$J$605,0)),"Not on this contract's kit list"))</f>
        <v/>
      </c>
      <c r="H516" s="83" t="str">
        <f aca="false">IF(AND(B516="",C516="",D516=""),"",IF(B516="","Missing contract",IF(C516="","Missing code",IF(LEFT(G516,3)="Not","Wrong code",IF(D516="","Missing qty",IF(A516="","Missing date",""))))))</f>
        <v/>
      </c>
      <c r="I516" s="84" t="str">
        <f aca="false">IF(B516=Dashboard!$D$3,ROW(),"")</f>
        <v/>
      </c>
    </row>
    <row r="517" customFormat="false" ht="15" hidden="false" customHeight="false" outlineLevel="0" collapsed="false">
      <c r="A517" s="80"/>
      <c r="B517" s="71"/>
      <c r="C517" s="71"/>
      <c r="D517" s="81"/>
      <c r="E517" s="71"/>
      <c r="F517" s="71"/>
      <c r="G517" s="82" t="str">
        <f aca="false">IF(C517="","",IFERROR(INDEX('Kit Lists'!$D$6:$D$605,MATCH(B517&amp;"|"&amp;C517,'Kit Lists'!$J$6:$J$605,0)),"Not on this contract's kit list"))</f>
        <v/>
      </c>
      <c r="H517" s="83" t="str">
        <f aca="false">IF(AND(B517="",C517="",D517=""),"",IF(B517="","Missing contract",IF(C517="","Missing code",IF(LEFT(G517,3)="Not","Wrong code",IF(D517="","Missing qty",IF(A517="","Missing date",""))))))</f>
        <v/>
      </c>
      <c r="I517" s="84" t="str">
        <f aca="false">IF(B517=Dashboard!$D$3,ROW(),"")</f>
        <v/>
      </c>
    </row>
    <row r="518" customFormat="false" ht="15" hidden="false" customHeight="false" outlineLevel="0" collapsed="false">
      <c r="A518" s="80"/>
      <c r="B518" s="71"/>
      <c r="C518" s="71"/>
      <c r="D518" s="81"/>
      <c r="E518" s="71"/>
      <c r="F518" s="71"/>
      <c r="G518" s="82" t="str">
        <f aca="false">IF(C518="","",IFERROR(INDEX('Kit Lists'!$D$6:$D$605,MATCH(B518&amp;"|"&amp;C518,'Kit Lists'!$J$6:$J$605,0)),"Not on this contract's kit list"))</f>
        <v/>
      </c>
      <c r="H518" s="83" t="str">
        <f aca="false">IF(AND(B518="",C518="",D518=""),"",IF(B518="","Missing contract",IF(C518="","Missing code",IF(LEFT(G518,3)="Not","Wrong code",IF(D518="","Missing qty",IF(A518="","Missing date",""))))))</f>
        <v/>
      </c>
      <c r="I518" s="84" t="str">
        <f aca="false">IF(B518=Dashboard!$D$3,ROW(),"")</f>
        <v/>
      </c>
    </row>
    <row r="519" customFormat="false" ht="15" hidden="false" customHeight="false" outlineLevel="0" collapsed="false">
      <c r="A519" s="80"/>
      <c r="B519" s="71"/>
      <c r="C519" s="71"/>
      <c r="D519" s="81"/>
      <c r="E519" s="71"/>
      <c r="F519" s="71"/>
      <c r="G519" s="82" t="str">
        <f aca="false">IF(C519="","",IFERROR(INDEX('Kit Lists'!$D$6:$D$605,MATCH(B519&amp;"|"&amp;C519,'Kit Lists'!$J$6:$J$605,0)),"Not on this contract's kit list"))</f>
        <v/>
      </c>
      <c r="H519" s="83" t="str">
        <f aca="false">IF(AND(B519="",C519="",D519=""),"",IF(B519="","Missing contract",IF(C519="","Missing code",IF(LEFT(G519,3)="Not","Wrong code",IF(D519="","Missing qty",IF(A519="","Missing date",""))))))</f>
        <v/>
      </c>
      <c r="I519" s="84" t="str">
        <f aca="false">IF(B519=Dashboard!$D$3,ROW(),"")</f>
        <v/>
      </c>
    </row>
    <row r="520" customFormat="false" ht="15" hidden="false" customHeight="false" outlineLevel="0" collapsed="false">
      <c r="A520" s="80"/>
      <c r="B520" s="71"/>
      <c r="C520" s="71"/>
      <c r="D520" s="81"/>
      <c r="E520" s="71"/>
      <c r="F520" s="71"/>
      <c r="G520" s="82" t="str">
        <f aca="false">IF(C520="","",IFERROR(INDEX('Kit Lists'!$D$6:$D$605,MATCH(B520&amp;"|"&amp;C520,'Kit Lists'!$J$6:$J$605,0)),"Not on this contract's kit list"))</f>
        <v/>
      </c>
      <c r="H520" s="83" t="str">
        <f aca="false">IF(AND(B520="",C520="",D520=""),"",IF(B520="","Missing contract",IF(C520="","Missing code",IF(LEFT(G520,3)="Not","Wrong code",IF(D520="","Missing qty",IF(A520="","Missing date",""))))))</f>
        <v/>
      </c>
      <c r="I520" s="84" t="str">
        <f aca="false">IF(B520=Dashboard!$D$3,ROW(),"")</f>
        <v/>
      </c>
    </row>
    <row r="521" customFormat="false" ht="15" hidden="false" customHeight="false" outlineLevel="0" collapsed="false">
      <c r="A521" s="80"/>
      <c r="B521" s="71"/>
      <c r="C521" s="71"/>
      <c r="D521" s="81"/>
      <c r="E521" s="71"/>
      <c r="F521" s="71"/>
      <c r="G521" s="82" t="str">
        <f aca="false">IF(C521="","",IFERROR(INDEX('Kit Lists'!$D$6:$D$605,MATCH(B521&amp;"|"&amp;C521,'Kit Lists'!$J$6:$J$605,0)),"Not on this contract's kit list"))</f>
        <v/>
      </c>
      <c r="H521" s="83" t="str">
        <f aca="false">IF(AND(B521="",C521="",D521=""),"",IF(B521="","Missing contract",IF(C521="","Missing code",IF(LEFT(G521,3)="Not","Wrong code",IF(D521="","Missing qty",IF(A521="","Missing date",""))))))</f>
        <v/>
      </c>
      <c r="I521" s="84" t="str">
        <f aca="false">IF(B521=Dashboard!$D$3,ROW(),"")</f>
        <v/>
      </c>
    </row>
    <row r="522" customFormat="false" ht="15" hidden="false" customHeight="false" outlineLevel="0" collapsed="false">
      <c r="A522" s="80"/>
      <c r="B522" s="71"/>
      <c r="C522" s="71"/>
      <c r="D522" s="81"/>
      <c r="E522" s="71"/>
      <c r="F522" s="71"/>
      <c r="G522" s="82" t="str">
        <f aca="false">IF(C522="","",IFERROR(INDEX('Kit Lists'!$D$6:$D$605,MATCH(B522&amp;"|"&amp;C522,'Kit Lists'!$J$6:$J$605,0)),"Not on this contract's kit list"))</f>
        <v/>
      </c>
      <c r="H522" s="83" t="str">
        <f aca="false">IF(AND(B522="",C522="",D522=""),"",IF(B522="","Missing contract",IF(C522="","Missing code",IF(LEFT(G522,3)="Not","Wrong code",IF(D522="","Missing qty",IF(A522="","Missing date",""))))))</f>
        <v/>
      </c>
      <c r="I522" s="84" t="str">
        <f aca="false">IF(B522=Dashboard!$D$3,ROW(),"")</f>
        <v/>
      </c>
    </row>
    <row r="523" customFormat="false" ht="15" hidden="false" customHeight="false" outlineLevel="0" collapsed="false">
      <c r="A523" s="80"/>
      <c r="B523" s="71"/>
      <c r="C523" s="71"/>
      <c r="D523" s="81"/>
      <c r="E523" s="71"/>
      <c r="F523" s="71"/>
      <c r="G523" s="82" t="str">
        <f aca="false">IF(C523="","",IFERROR(INDEX('Kit Lists'!$D$6:$D$605,MATCH(B523&amp;"|"&amp;C523,'Kit Lists'!$J$6:$J$605,0)),"Not on this contract's kit list"))</f>
        <v/>
      </c>
      <c r="H523" s="83" t="str">
        <f aca="false">IF(AND(B523="",C523="",D523=""),"",IF(B523="","Missing contract",IF(C523="","Missing code",IF(LEFT(G523,3)="Not","Wrong code",IF(D523="","Missing qty",IF(A523="","Missing date",""))))))</f>
        <v/>
      </c>
      <c r="I523" s="84" t="str">
        <f aca="false">IF(B523=Dashboard!$D$3,ROW(),"")</f>
        <v/>
      </c>
    </row>
    <row r="524" customFormat="false" ht="15" hidden="false" customHeight="false" outlineLevel="0" collapsed="false">
      <c r="A524" s="80"/>
      <c r="B524" s="71"/>
      <c r="C524" s="71"/>
      <c r="D524" s="81"/>
      <c r="E524" s="71"/>
      <c r="F524" s="71"/>
      <c r="G524" s="82" t="str">
        <f aca="false">IF(C524="","",IFERROR(INDEX('Kit Lists'!$D$6:$D$605,MATCH(B524&amp;"|"&amp;C524,'Kit Lists'!$J$6:$J$605,0)),"Not on this contract's kit list"))</f>
        <v/>
      </c>
      <c r="H524" s="83" t="str">
        <f aca="false">IF(AND(B524="",C524="",D524=""),"",IF(B524="","Missing contract",IF(C524="","Missing code",IF(LEFT(G524,3)="Not","Wrong code",IF(D524="","Missing qty",IF(A524="","Missing date",""))))))</f>
        <v/>
      </c>
      <c r="I524" s="84" t="str">
        <f aca="false">IF(B524=Dashboard!$D$3,ROW(),"")</f>
        <v/>
      </c>
    </row>
    <row r="525" customFormat="false" ht="15" hidden="false" customHeight="false" outlineLevel="0" collapsed="false">
      <c r="A525" s="80"/>
      <c r="B525" s="71"/>
      <c r="C525" s="71"/>
      <c r="D525" s="81"/>
      <c r="E525" s="71"/>
      <c r="F525" s="71"/>
      <c r="G525" s="82" t="str">
        <f aca="false">IF(C525="","",IFERROR(INDEX('Kit Lists'!$D$6:$D$605,MATCH(B525&amp;"|"&amp;C525,'Kit Lists'!$J$6:$J$605,0)),"Not on this contract's kit list"))</f>
        <v/>
      </c>
      <c r="H525" s="83" t="str">
        <f aca="false">IF(AND(B525="",C525="",D525=""),"",IF(B525="","Missing contract",IF(C525="","Missing code",IF(LEFT(G525,3)="Not","Wrong code",IF(D525="","Missing qty",IF(A525="","Missing date",""))))))</f>
        <v/>
      </c>
      <c r="I525" s="84" t="str">
        <f aca="false">IF(B525=Dashboard!$D$3,ROW(),"")</f>
        <v/>
      </c>
    </row>
    <row r="526" customFormat="false" ht="15" hidden="false" customHeight="false" outlineLevel="0" collapsed="false">
      <c r="A526" s="80"/>
      <c r="B526" s="71"/>
      <c r="C526" s="71"/>
      <c r="D526" s="81"/>
      <c r="E526" s="71"/>
      <c r="F526" s="71"/>
      <c r="G526" s="82" t="str">
        <f aca="false">IF(C526="","",IFERROR(INDEX('Kit Lists'!$D$6:$D$605,MATCH(B526&amp;"|"&amp;C526,'Kit Lists'!$J$6:$J$605,0)),"Not on this contract's kit list"))</f>
        <v/>
      </c>
      <c r="H526" s="83" t="str">
        <f aca="false">IF(AND(B526="",C526="",D526=""),"",IF(B526="","Missing contract",IF(C526="","Missing code",IF(LEFT(G526,3)="Not","Wrong code",IF(D526="","Missing qty",IF(A526="","Missing date",""))))))</f>
        <v/>
      </c>
      <c r="I526" s="84" t="str">
        <f aca="false">IF(B526=Dashboard!$D$3,ROW(),"")</f>
        <v/>
      </c>
    </row>
    <row r="527" customFormat="false" ht="15" hidden="false" customHeight="false" outlineLevel="0" collapsed="false">
      <c r="A527" s="80"/>
      <c r="B527" s="71"/>
      <c r="C527" s="71"/>
      <c r="D527" s="81"/>
      <c r="E527" s="71"/>
      <c r="F527" s="71"/>
      <c r="G527" s="82" t="str">
        <f aca="false">IF(C527="","",IFERROR(INDEX('Kit Lists'!$D$6:$D$605,MATCH(B527&amp;"|"&amp;C527,'Kit Lists'!$J$6:$J$605,0)),"Not on this contract's kit list"))</f>
        <v/>
      </c>
      <c r="H527" s="83" t="str">
        <f aca="false">IF(AND(B527="",C527="",D527=""),"",IF(B527="","Missing contract",IF(C527="","Missing code",IF(LEFT(G527,3)="Not","Wrong code",IF(D527="","Missing qty",IF(A527="","Missing date",""))))))</f>
        <v/>
      </c>
      <c r="I527" s="84" t="str">
        <f aca="false">IF(B527=Dashboard!$D$3,ROW(),"")</f>
        <v/>
      </c>
    </row>
    <row r="528" customFormat="false" ht="15" hidden="false" customHeight="false" outlineLevel="0" collapsed="false">
      <c r="A528" s="80"/>
      <c r="B528" s="71"/>
      <c r="C528" s="71"/>
      <c r="D528" s="81"/>
      <c r="E528" s="71"/>
      <c r="F528" s="71"/>
      <c r="G528" s="82" t="str">
        <f aca="false">IF(C528="","",IFERROR(INDEX('Kit Lists'!$D$6:$D$605,MATCH(B528&amp;"|"&amp;C528,'Kit Lists'!$J$6:$J$605,0)),"Not on this contract's kit list"))</f>
        <v/>
      </c>
      <c r="H528" s="83" t="str">
        <f aca="false">IF(AND(B528="",C528="",D528=""),"",IF(B528="","Missing contract",IF(C528="","Missing code",IF(LEFT(G528,3)="Not","Wrong code",IF(D528="","Missing qty",IF(A528="","Missing date",""))))))</f>
        <v/>
      </c>
      <c r="I528" s="84" t="str">
        <f aca="false">IF(B528=Dashboard!$D$3,ROW(),"")</f>
        <v/>
      </c>
    </row>
    <row r="529" customFormat="false" ht="15" hidden="false" customHeight="false" outlineLevel="0" collapsed="false">
      <c r="A529" s="80"/>
      <c r="B529" s="71"/>
      <c r="C529" s="71"/>
      <c r="D529" s="81"/>
      <c r="E529" s="71"/>
      <c r="F529" s="71"/>
      <c r="G529" s="82" t="str">
        <f aca="false">IF(C529="","",IFERROR(INDEX('Kit Lists'!$D$6:$D$605,MATCH(B529&amp;"|"&amp;C529,'Kit Lists'!$J$6:$J$605,0)),"Not on this contract's kit list"))</f>
        <v/>
      </c>
      <c r="H529" s="83" t="str">
        <f aca="false">IF(AND(B529="",C529="",D529=""),"",IF(B529="","Missing contract",IF(C529="","Missing code",IF(LEFT(G529,3)="Not","Wrong code",IF(D529="","Missing qty",IF(A529="","Missing date",""))))))</f>
        <v/>
      </c>
      <c r="I529" s="84" t="str">
        <f aca="false">IF(B529=Dashboard!$D$3,ROW(),"")</f>
        <v/>
      </c>
    </row>
    <row r="530" customFormat="false" ht="15" hidden="false" customHeight="false" outlineLevel="0" collapsed="false">
      <c r="A530" s="80"/>
      <c r="B530" s="71"/>
      <c r="C530" s="71"/>
      <c r="D530" s="81"/>
      <c r="E530" s="71"/>
      <c r="F530" s="71"/>
      <c r="G530" s="82" t="str">
        <f aca="false">IF(C530="","",IFERROR(INDEX('Kit Lists'!$D$6:$D$605,MATCH(B530&amp;"|"&amp;C530,'Kit Lists'!$J$6:$J$605,0)),"Not on this contract's kit list"))</f>
        <v/>
      </c>
      <c r="H530" s="83" t="str">
        <f aca="false">IF(AND(B530="",C530="",D530=""),"",IF(B530="","Missing contract",IF(C530="","Missing code",IF(LEFT(G530,3)="Not","Wrong code",IF(D530="","Missing qty",IF(A530="","Missing date",""))))))</f>
        <v/>
      </c>
      <c r="I530" s="84" t="str">
        <f aca="false">IF(B530=Dashboard!$D$3,ROW(),"")</f>
        <v/>
      </c>
    </row>
    <row r="531" customFormat="false" ht="15" hidden="false" customHeight="false" outlineLevel="0" collapsed="false">
      <c r="A531" s="80"/>
      <c r="B531" s="71"/>
      <c r="C531" s="71"/>
      <c r="D531" s="81"/>
      <c r="E531" s="71"/>
      <c r="F531" s="71"/>
      <c r="G531" s="82" t="str">
        <f aca="false">IF(C531="","",IFERROR(INDEX('Kit Lists'!$D$6:$D$605,MATCH(B531&amp;"|"&amp;C531,'Kit Lists'!$J$6:$J$605,0)),"Not on this contract's kit list"))</f>
        <v/>
      </c>
      <c r="H531" s="83" t="str">
        <f aca="false">IF(AND(B531="",C531="",D531=""),"",IF(B531="","Missing contract",IF(C531="","Missing code",IF(LEFT(G531,3)="Not","Wrong code",IF(D531="","Missing qty",IF(A531="","Missing date",""))))))</f>
        <v/>
      </c>
      <c r="I531" s="84" t="str">
        <f aca="false">IF(B531=Dashboard!$D$3,ROW(),"")</f>
        <v/>
      </c>
    </row>
    <row r="532" customFormat="false" ht="15" hidden="false" customHeight="false" outlineLevel="0" collapsed="false">
      <c r="A532" s="80"/>
      <c r="B532" s="71"/>
      <c r="C532" s="71"/>
      <c r="D532" s="81"/>
      <c r="E532" s="71"/>
      <c r="F532" s="71"/>
      <c r="G532" s="82" t="str">
        <f aca="false">IF(C532="","",IFERROR(INDEX('Kit Lists'!$D$6:$D$605,MATCH(B532&amp;"|"&amp;C532,'Kit Lists'!$J$6:$J$605,0)),"Not on this contract's kit list"))</f>
        <v/>
      </c>
      <c r="H532" s="83" t="str">
        <f aca="false">IF(AND(B532="",C532="",D532=""),"",IF(B532="","Missing contract",IF(C532="","Missing code",IF(LEFT(G532,3)="Not","Wrong code",IF(D532="","Missing qty",IF(A532="","Missing date",""))))))</f>
        <v/>
      </c>
      <c r="I532" s="84" t="str">
        <f aca="false">IF(B532=Dashboard!$D$3,ROW(),"")</f>
        <v/>
      </c>
    </row>
    <row r="533" customFormat="false" ht="15" hidden="false" customHeight="false" outlineLevel="0" collapsed="false">
      <c r="A533" s="80"/>
      <c r="B533" s="71"/>
      <c r="C533" s="71"/>
      <c r="D533" s="81"/>
      <c r="E533" s="71"/>
      <c r="F533" s="71"/>
      <c r="G533" s="82" t="str">
        <f aca="false">IF(C533="","",IFERROR(INDEX('Kit Lists'!$D$6:$D$605,MATCH(B533&amp;"|"&amp;C533,'Kit Lists'!$J$6:$J$605,0)),"Not on this contract's kit list"))</f>
        <v/>
      </c>
      <c r="H533" s="83" t="str">
        <f aca="false">IF(AND(B533="",C533="",D533=""),"",IF(B533="","Missing contract",IF(C533="","Missing code",IF(LEFT(G533,3)="Not","Wrong code",IF(D533="","Missing qty",IF(A533="","Missing date",""))))))</f>
        <v/>
      </c>
      <c r="I533" s="84" t="str">
        <f aca="false">IF(B533=Dashboard!$D$3,ROW(),"")</f>
        <v/>
      </c>
    </row>
    <row r="534" customFormat="false" ht="15" hidden="false" customHeight="false" outlineLevel="0" collapsed="false">
      <c r="A534" s="80"/>
      <c r="B534" s="71"/>
      <c r="C534" s="71"/>
      <c r="D534" s="81"/>
      <c r="E534" s="71"/>
      <c r="F534" s="71"/>
      <c r="G534" s="82" t="str">
        <f aca="false">IF(C534="","",IFERROR(INDEX('Kit Lists'!$D$6:$D$605,MATCH(B534&amp;"|"&amp;C534,'Kit Lists'!$J$6:$J$605,0)),"Not on this contract's kit list"))</f>
        <v/>
      </c>
      <c r="H534" s="83" t="str">
        <f aca="false">IF(AND(B534="",C534="",D534=""),"",IF(B534="","Missing contract",IF(C534="","Missing code",IF(LEFT(G534,3)="Not","Wrong code",IF(D534="","Missing qty",IF(A534="","Missing date",""))))))</f>
        <v/>
      </c>
      <c r="I534" s="84" t="str">
        <f aca="false">IF(B534=Dashboard!$D$3,ROW(),"")</f>
        <v/>
      </c>
    </row>
    <row r="535" customFormat="false" ht="15" hidden="false" customHeight="false" outlineLevel="0" collapsed="false">
      <c r="A535" s="80"/>
      <c r="B535" s="71"/>
      <c r="C535" s="71"/>
      <c r="D535" s="81"/>
      <c r="E535" s="71"/>
      <c r="F535" s="71"/>
      <c r="G535" s="82" t="str">
        <f aca="false">IF(C535="","",IFERROR(INDEX('Kit Lists'!$D$6:$D$605,MATCH(B535&amp;"|"&amp;C535,'Kit Lists'!$J$6:$J$605,0)),"Not on this contract's kit list"))</f>
        <v/>
      </c>
      <c r="H535" s="83" t="str">
        <f aca="false">IF(AND(B535="",C535="",D535=""),"",IF(B535="","Missing contract",IF(C535="","Missing code",IF(LEFT(G535,3)="Not","Wrong code",IF(D535="","Missing qty",IF(A535="","Missing date",""))))))</f>
        <v/>
      </c>
      <c r="I535" s="84" t="str">
        <f aca="false">IF(B535=Dashboard!$D$3,ROW(),"")</f>
        <v/>
      </c>
    </row>
    <row r="536" customFormat="false" ht="15" hidden="false" customHeight="false" outlineLevel="0" collapsed="false">
      <c r="A536" s="80"/>
      <c r="B536" s="71"/>
      <c r="C536" s="71"/>
      <c r="D536" s="81"/>
      <c r="E536" s="71"/>
      <c r="F536" s="71"/>
      <c r="G536" s="82" t="str">
        <f aca="false">IF(C536="","",IFERROR(INDEX('Kit Lists'!$D$6:$D$605,MATCH(B536&amp;"|"&amp;C536,'Kit Lists'!$J$6:$J$605,0)),"Not on this contract's kit list"))</f>
        <v/>
      </c>
      <c r="H536" s="83" t="str">
        <f aca="false">IF(AND(B536="",C536="",D536=""),"",IF(B536="","Missing contract",IF(C536="","Missing code",IF(LEFT(G536,3)="Not","Wrong code",IF(D536="","Missing qty",IF(A536="","Missing date",""))))))</f>
        <v/>
      </c>
      <c r="I536" s="84" t="str">
        <f aca="false">IF(B536=Dashboard!$D$3,ROW(),"")</f>
        <v/>
      </c>
    </row>
    <row r="537" customFormat="false" ht="15" hidden="false" customHeight="false" outlineLevel="0" collapsed="false">
      <c r="A537" s="80"/>
      <c r="B537" s="71"/>
      <c r="C537" s="71"/>
      <c r="D537" s="81"/>
      <c r="E537" s="71"/>
      <c r="F537" s="71"/>
      <c r="G537" s="82" t="str">
        <f aca="false">IF(C537="","",IFERROR(INDEX('Kit Lists'!$D$6:$D$605,MATCH(B537&amp;"|"&amp;C537,'Kit Lists'!$J$6:$J$605,0)),"Not on this contract's kit list"))</f>
        <v/>
      </c>
      <c r="H537" s="83" t="str">
        <f aca="false">IF(AND(B537="",C537="",D537=""),"",IF(B537="","Missing contract",IF(C537="","Missing code",IF(LEFT(G537,3)="Not","Wrong code",IF(D537="","Missing qty",IF(A537="","Missing date",""))))))</f>
        <v/>
      </c>
      <c r="I537" s="84" t="str">
        <f aca="false">IF(B537=Dashboard!$D$3,ROW(),"")</f>
        <v/>
      </c>
    </row>
    <row r="538" customFormat="false" ht="15" hidden="false" customHeight="false" outlineLevel="0" collapsed="false">
      <c r="A538" s="80"/>
      <c r="B538" s="71"/>
      <c r="C538" s="71"/>
      <c r="D538" s="81"/>
      <c r="E538" s="71"/>
      <c r="F538" s="71"/>
      <c r="G538" s="82" t="str">
        <f aca="false">IF(C538="","",IFERROR(INDEX('Kit Lists'!$D$6:$D$605,MATCH(B538&amp;"|"&amp;C538,'Kit Lists'!$J$6:$J$605,0)),"Not on this contract's kit list"))</f>
        <v/>
      </c>
      <c r="H538" s="83" t="str">
        <f aca="false">IF(AND(B538="",C538="",D538=""),"",IF(B538="","Missing contract",IF(C538="","Missing code",IF(LEFT(G538,3)="Not","Wrong code",IF(D538="","Missing qty",IF(A538="","Missing date",""))))))</f>
        <v/>
      </c>
      <c r="I538" s="84" t="str">
        <f aca="false">IF(B538=Dashboard!$D$3,ROW(),"")</f>
        <v/>
      </c>
    </row>
    <row r="539" customFormat="false" ht="15" hidden="false" customHeight="false" outlineLevel="0" collapsed="false">
      <c r="A539" s="80"/>
      <c r="B539" s="71"/>
      <c r="C539" s="71"/>
      <c r="D539" s="81"/>
      <c r="E539" s="71"/>
      <c r="F539" s="71"/>
      <c r="G539" s="82" t="str">
        <f aca="false">IF(C539="","",IFERROR(INDEX('Kit Lists'!$D$6:$D$605,MATCH(B539&amp;"|"&amp;C539,'Kit Lists'!$J$6:$J$605,0)),"Not on this contract's kit list"))</f>
        <v/>
      </c>
      <c r="H539" s="83" t="str">
        <f aca="false">IF(AND(B539="",C539="",D539=""),"",IF(B539="","Missing contract",IF(C539="","Missing code",IF(LEFT(G539,3)="Not","Wrong code",IF(D539="","Missing qty",IF(A539="","Missing date",""))))))</f>
        <v/>
      </c>
      <c r="I539" s="84" t="str">
        <f aca="false">IF(B539=Dashboard!$D$3,ROW(),"")</f>
        <v/>
      </c>
    </row>
    <row r="540" customFormat="false" ht="15" hidden="false" customHeight="false" outlineLevel="0" collapsed="false">
      <c r="A540" s="80"/>
      <c r="B540" s="71"/>
      <c r="C540" s="71"/>
      <c r="D540" s="81"/>
      <c r="E540" s="71"/>
      <c r="F540" s="71"/>
      <c r="G540" s="82" t="str">
        <f aca="false">IF(C540="","",IFERROR(INDEX('Kit Lists'!$D$6:$D$605,MATCH(B540&amp;"|"&amp;C540,'Kit Lists'!$J$6:$J$605,0)),"Not on this contract's kit list"))</f>
        <v/>
      </c>
      <c r="H540" s="83" t="str">
        <f aca="false">IF(AND(B540="",C540="",D540=""),"",IF(B540="","Missing contract",IF(C540="","Missing code",IF(LEFT(G540,3)="Not","Wrong code",IF(D540="","Missing qty",IF(A540="","Missing date",""))))))</f>
        <v/>
      </c>
      <c r="I540" s="84" t="str">
        <f aca="false">IF(B540=Dashboard!$D$3,ROW(),"")</f>
        <v/>
      </c>
    </row>
    <row r="541" customFormat="false" ht="15" hidden="false" customHeight="false" outlineLevel="0" collapsed="false">
      <c r="A541" s="80"/>
      <c r="B541" s="71"/>
      <c r="C541" s="71"/>
      <c r="D541" s="81"/>
      <c r="E541" s="71"/>
      <c r="F541" s="71"/>
      <c r="G541" s="82" t="str">
        <f aca="false">IF(C541="","",IFERROR(INDEX('Kit Lists'!$D$6:$D$605,MATCH(B541&amp;"|"&amp;C541,'Kit Lists'!$J$6:$J$605,0)),"Not on this contract's kit list"))</f>
        <v/>
      </c>
      <c r="H541" s="83" t="str">
        <f aca="false">IF(AND(B541="",C541="",D541=""),"",IF(B541="","Missing contract",IF(C541="","Missing code",IF(LEFT(G541,3)="Not","Wrong code",IF(D541="","Missing qty",IF(A541="","Missing date",""))))))</f>
        <v/>
      </c>
      <c r="I541" s="84" t="str">
        <f aca="false">IF(B541=Dashboard!$D$3,ROW(),"")</f>
        <v/>
      </c>
    </row>
    <row r="542" customFormat="false" ht="15" hidden="false" customHeight="false" outlineLevel="0" collapsed="false">
      <c r="A542" s="80"/>
      <c r="B542" s="71"/>
      <c r="C542" s="71"/>
      <c r="D542" s="81"/>
      <c r="E542" s="71"/>
      <c r="F542" s="71"/>
      <c r="G542" s="82" t="str">
        <f aca="false">IF(C542="","",IFERROR(INDEX('Kit Lists'!$D$6:$D$605,MATCH(B542&amp;"|"&amp;C542,'Kit Lists'!$J$6:$J$605,0)),"Not on this contract's kit list"))</f>
        <v/>
      </c>
      <c r="H542" s="83" t="str">
        <f aca="false">IF(AND(B542="",C542="",D542=""),"",IF(B542="","Missing contract",IF(C542="","Missing code",IF(LEFT(G542,3)="Not","Wrong code",IF(D542="","Missing qty",IF(A542="","Missing date",""))))))</f>
        <v/>
      </c>
      <c r="I542" s="84" t="str">
        <f aca="false">IF(B542=Dashboard!$D$3,ROW(),"")</f>
        <v/>
      </c>
    </row>
    <row r="543" customFormat="false" ht="15" hidden="false" customHeight="false" outlineLevel="0" collapsed="false">
      <c r="A543" s="80"/>
      <c r="B543" s="71"/>
      <c r="C543" s="71"/>
      <c r="D543" s="81"/>
      <c r="E543" s="71"/>
      <c r="F543" s="71"/>
      <c r="G543" s="82" t="str">
        <f aca="false">IF(C543="","",IFERROR(INDEX('Kit Lists'!$D$6:$D$605,MATCH(B543&amp;"|"&amp;C543,'Kit Lists'!$J$6:$J$605,0)),"Not on this contract's kit list"))</f>
        <v/>
      </c>
      <c r="H543" s="83" t="str">
        <f aca="false">IF(AND(B543="",C543="",D543=""),"",IF(B543="","Missing contract",IF(C543="","Missing code",IF(LEFT(G543,3)="Not","Wrong code",IF(D543="","Missing qty",IF(A543="","Missing date",""))))))</f>
        <v/>
      </c>
      <c r="I543" s="84" t="str">
        <f aca="false">IF(B543=Dashboard!$D$3,ROW(),"")</f>
        <v/>
      </c>
    </row>
    <row r="544" customFormat="false" ht="15" hidden="false" customHeight="false" outlineLevel="0" collapsed="false">
      <c r="A544" s="80"/>
      <c r="B544" s="71"/>
      <c r="C544" s="71"/>
      <c r="D544" s="81"/>
      <c r="E544" s="71"/>
      <c r="F544" s="71"/>
      <c r="G544" s="82" t="str">
        <f aca="false">IF(C544="","",IFERROR(INDEX('Kit Lists'!$D$6:$D$605,MATCH(B544&amp;"|"&amp;C544,'Kit Lists'!$J$6:$J$605,0)),"Not on this contract's kit list"))</f>
        <v/>
      </c>
      <c r="H544" s="83" t="str">
        <f aca="false">IF(AND(B544="",C544="",D544=""),"",IF(B544="","Missing contract",IF(C544="","Missing code",IF(LEFT(G544,3)="Not","Wrong code",IF(D544="","Missing qty",IF(A544="","Missing date",""))))))</f>
        <v/>
      </c>
      <c r="I544" s="84" t="str">
        <f aca="false">IF(B544=Dashboard!$D$3,ROW(),"")</f>
        <v/>
      </c>
    </row>
    <row r="545" customFormat="false" ht="15" hidden="false" customHeight="false" outlineLevel="0" collapsed="false">
      <c r="A545" s="80"/>
      <c r="B545" s="71"/>
      <c r="C545" s="71"/>
      <c r="D545" s="81"/>
      <c r="E545" s="71"/>
      <c r="F545" s="71"/>
      <c r="G545" s="82" t="str">
        <f aca="false">IF(C545="","",IFERROR(INDEX('Kit Lists'!$D$6:$D$605,MATCH(B545&amp;"|"&amp;C545,'Kit Lists'!$J$6:$J$605,0)),"Not on this contract's kit list"))</f>
        <v/>
      </c>
      <c r="H545" s="83" t="str">
        <f aca="false">IF(AND(B545="",C545="",D545=""),"",IF(B545="","Missing contract",IF(C545="","Missing code",IF(LEFT(G545,3)="Not","Wrong code",IF(D545="","Missing qty",IF(A545="","Missing date",""))))))</f>
        <v/>
      </c>
      <c r="I545" s="84" t="str">
        <f aca="false">IF(B545=Dashboard!$D$3,ROW(),"")</f>
        <v/>
      </c>
    </row>
    <row r="546" customFormat="false" ht="15" hidden="false" customHeight="false" outlineLevel="0" collapsed="false">
      <c r="A546" s="80"/>
      <c r="B546" s="71"/>
      <c r="C546" s="71"/>
      <c r="D546" s="81"/>
      <c r="E546" s="71"/>
      <c r="F546" s="71"/>
      <c r="G546" s="82" t="str">
        <f aca="false">IF(C546="","",IFERROR(INDEX('Kit Lists'!$D$6:$D$605,MATCH(B546&amp;"|"&amp;C546,'Kit Lists'!$J$6:$J$605,0)),"Not on this contract's kit list"))</f>
        <v/>
      </c>
      <c r="H546" s="83" t="str">
        <f aca="false">IF(AND(B546="",C546="",D546=""),"",IF(B546="","Missing contract",IF(C546="","Missing code",IF(LEFT(G546,3)="Not","Wrong code",IF(D546="","Missing qty",IF(A546="","Missing date",""))))))</f>
        <v/>
      </c>
      <c r="I546" s="84" t="str">
        <f aca="false">IF(B546=Dashboard!$D$3,ROW(),"")</f>
        <v/>
      </c>
    </row>
    <row r="547" customFormat="false" ht="15" hidden="false" customHeight="false" outlineLevel="0" collapsed="false">
      <c r="A547" s="80"/>
      <c r="B547" s="71"/>
      <c r="C547" s="71"/>
      <c r="D547" s="81"/>
      <c r="E547" s="71"/>
      <c r="F547" s="71"/>
      <c r="G547" s="82" t="str">
        <f aca="false">IF(C547="","",IFERROR(INDEX('Kit Lists'!$D$6:$D$605,MATCH(B547&amp;"|"&amp;C547,'Kit Lists'!$J$6:$J$605,0)),"Not on this contract's kit list"))</f>
        <v/>
      </c>
      <c r="H547" s="83" t="str">
        <f aca="false">IF(AND(B547="",C547="",D547=""),"",IF(B547="","Missing contract",IF(C547="","Missing code",IF(LEFT(G547,3)="Not","Wrong code",IF(D547="","Missing qty",IF(A547="","Missing date",""))))))</f>
        <v/>
      </c>
      <c r="I547" s="84" t="str">
        <f aca="false">IF(B547=Dashboard!$D$3,ROW(),"")</f>
        <v/>
      </c>
    </row>
    <row r="548" customFormat="false" ht="15" hidden="false" customHeight="false" outlineLevel="0" collapsed="false">
      <c r="A548" s="80"/>
      <c r="B548" s="71"/>
      <c r="C548" s="71"/>
      <c r="D548" s="81"/>
      <c r="E548" s="71"/>
      <c r="F548" s="71"/>
      <c r="G548" s="82" t="str">
        <f aca="false">IF(C548="","",IFERROR(INDEX('Kit Lists'!$D$6:$D$605,MATCH(B548&amp;"|"&amp;C548,'Kit Lists'!$J$6:$J$605,0)),"Not on this contract's kit list"))</f>
        <v/>
      </c>
      <c r="H548" s="83" t="str">
        <f aca="false">IF(AND(B548="",C548="",D548=""),"",IF(B548="","Missing contract",IF(C548="","Missing code",IF(LEFT(G548,3)="Not","Wrong code",IF(D548="","Missing qty",IF(A548="","Missing date",""))))))</f>
        <v/>
      </c>
      <c r="I548" s="84" t="str">
        <f aca="false">IF(B548=Dashboard!$D$3,ROW(),"")</f>
        <v/>
      </c>
    </row>
    <row r="549" customFormat="false" ht="15" hidden="false" customHeight="false" outlineLevel="0" collapsed="false">
      <c r="A549" s="80"/>
      <c r="B549" s="71"/>
      <c r="C549" s="71"/>
      <c r="D549" s="81"/>
      <c r="E549" s="71"/>
      <c r="F549" s="71"/>
      <c r="G549" s="82" t="str">
        <f aca="false">IF(C549="","",IFERROR(INDEX('Kit Lists'!$D$6:$D$605,MATCH(B549&amp;"|"&amp;C549,'Kit Lists'!$J$6:$J$605,0)),"Not on this contract's kit list"))</f>
        <v/>
      </c>
      <c r="H549" s="83" t="str">
        <f aca="false">IF(AND(B549="",C549="",D549=""),"",IF(B549="","Missing contract",IF(C549="","Missing code",IF(LEFT(G549,3)="Not","Wrong code",IF(D549="","Missing qty",IF(A549="","Missing date",""))))))</f>
        <v/>
      </c>
      <c r="I549" s="84" t="str">
        <f aca="false">IF(B549=Dashboard!$D$3,ROW(),"")</f>
        <v/>
      </c>
    </row>
    <row r="550" customFormat="false" ht="15" hidden="false" customHeight="false" outlineLevel="0" collapsed="false">
      <c r="A550" s="80"/>
      <c r="B550" s="71"/>
      <c r="C550" s="71"/>
      <c r="D550" s="81"/>
      <c r="E550" s="71"/>
      <c r="F550" s="71"/>
      <c r="G550" s="82" t="str">
        <f aca="false">IF(C550="","",IFERROR(INDEX('Kit Lists'!$D$6:$D$605,MATCH(B550&amp;"|"&amp;C550,'Kit Lists'!$J$6:$J$605,0)),"Not on this contract's kit list"))</f>
        <v/>
      </c>
      <c r="H550" s="83" t="str">
        <f aca="false">IF(AND(B550="",C550="",D550=""),"",IF(B550="","Missing contract",IF(C550="","Missing code",IF(LEFT(G550,3)="Not","Wrong code",IF(D550="","Missing qty",IF(A550="","Missing date",""))))))</f>
        <v/>
      </c>
      <c r="I550" s="84" t="str">
        <f aca="false">IF(B550=Dashboard!$D$3,ROW(),"")</f>
        <v/>
      </c>
    </row>
    <row r="551" customFormat="false" ht="15" hidden="false" customHeight="false" outlineLevel="0" collapsed="false">
      <c r="A551" s="80"/>
      <c r="B551" s="71"/>
      <c r="C551" s="71"/>
      <c r="D551" s="81"/>
      <c r="E551" s="71"/>
      <c r="F551" s="71"/>
      <c r="G551" s="82" t="str">
        <f aca="false">IF(C551="","",IFERROR(INDEX('Kit Lists'!$D$6:$D$605,MATCH(B551&amp;"|"&amp;C551,'Kit Lists'!$J$6:$J$605,0)),"Not on this contract's kit list"))</f>
        <v/>
      </c>
      <c r="H551" s="83" t="str">
        <f aca="false">IF(AND(B551="",C551="",D551=""),"",IF(B551="","Missing contract",IF(C551="","Missing code",IF(LEFT(G551,3)="Not","Wrong code",IF(D551="","Missing qty",IF(A551="","Missing date",""))))))</f>
        <v/>
      </c>
      <c r="I551" s="84" t="str">
        <f aca="false">IF(B551=Dashboard!$D$3,ROW(),"")</f>
        <v/>
      </c>
    </row>
    <row r="552" customFormat="false" ht="15" hidden="false" customHeight="false" outlineLevel="0" collapsed="false">
      <c r="A552" s="80"/>
      <c r="B552" s="71"/>
      <c r="C552" s="71"/>
      <c r="D552" s="81"/>
      <c r="E552" s="71"/>
      <c r="F552" s="71"/>
      <c r="G552" s="82" t="str">
        <f aca="false">IF(C552="","",IFERROR(INDEX('Kit Lists'!$D$6:$D$605,MATCH(B552&amp;"|"&amp;C552,'Kit Lists'!$J$6:$J$605,0)),"Not on this contract's kit list"))</f>
        <v/>
      </c>
      <c r="H552" s="83" t="str">
        <f aca="false">IF(AND(B552="",C552="",D552=""),"",IF(B552="","Missing contract",IF(C552="","Missing code",IF(LEFT(G552,3)="Not","Wrong code",IF(D552="","Missing qty",IF(A552="","Missing date",""))))))</f>
        <v/>
      </c>
      <c r="I552" s="84" t="str">
        <f aca="false">IF(B552=Dashboard!$D$3,ROW(),"")</f>
        <v/>
      </c>
    </row>
    <row r="553" customFormat="false" ht="15" hidden="false" customHeight="false" outlineLevel="0" collapsed="false">
      <c r="A553" s="80"/>
      <c r="B553" s="71"/>
      <c r="C553" s="71"/>
      <c r="D553" s="81"/>
      <c r="E553" s="71"/>
      <c r="F553" s="71"/>
      <c r="G553" s="82" t="str">
        <f aca="false">IF(C553="","",IFERROR(INDEX('Kit Lists'!$D$6:$D$605,MATCH(B553&amp;"|"&amp;C553,'Kit Lists'!$J$6:$J$605,0)),"Not on this contract's kit list"))</f>
        <v/>
      </c>
      <c r="H553" s="83" t="str">
        <f aca="false">IF(AND(B553="",C553="",D553=""),"",IF(B553="","Missing contract",IF(C553="","Missing code",IF(LEFT(G553,3)="Not","Wrong code",IF(D553="","Missing qty",IF(A553="","Missing date",""))))))</f>
        <v/>
      </c>
      <c r="I553" s="84" t="str">
        <f aca="false">IF(B553=Dashboard!$D$3,ROW(),"")</f>
        <v/>
      </c>
    </row>
    <row r="554" customFormat="false" ht="15" hidden="false" customHeight="false" outlineLevel="0" collapsed="false">
      <c r="A554" s="80"/>
      <c r="B554" s="71"/>
      <c r="C554" s="71"/>
      <c r="D554" s="81"/>
      <c r="E554" s="71"/>
      <c r="F554" s="71"/>
      <c r="G554" s="82" t="str">
        <f aca="false">IF(C554="","",IFERROR(INDEX('Kit Lists'!$D$6:$D$605,MATCH(B554&amp;"|"&amp;C554,'Kit Lists'!$J$6:$J$605,0)),"Not on this contract's kit list"))</f>
        <v/>
      </c>
      <c r="H554" s="83" t="str">
        <f aca="false">IF(AND(B554="",C554="",D554=""),"",IF(B554="","Missing contract",IF(C554="","Missing code",IF(LEFT(G554,3)="Not","Wrong code",IF(D554="","Missing qty",IF(A554="","Missing date",""))))))</f>
        <v/>
      </c>
      <c r="I554" s="84" t="str">
        <f aca="false">IF(B554=Dashboard!$D$3,ROW(),"")</f>
        <v/>
      </c>
    </row>
    <row r="555" customFormat="false" ht="15" hidden="false" customHeight="false" outlineLevel="0" collapsed="false">
      <c r="A555" s="80"/>
      <c r="B555" s="71"/>
      <c r="C555" s="71"/>
      <c r="D555" s="81"/>
      <c r="E555" s="71"/>
      <c r="F555" s="71"/>
      <c r="G555" s="82" t="str">
        <f aca="false">IF(C555="","",IFERROR(INDEX('Kit Lists'!$D$6:$D$605,MATCH(B555&amp;"|"&amp;C555,'Kit Lists'!$J$6:$J$605,0)),"Not on this contract's kit list"))</f>
        <v/>
      </c>
      <c r="H555" s="83" t="str">
        <f aca="false">IF(AND(B555="",C555="",D555=""),"",IF(B555="","Missing contract",IF(C555="","Missing code",IF(LEFT(G555,3)="Not","Wrong code",IF(D555="","Missing qty",IF(A555="","Missing date",""))))))</f>
        <v/>
      </c>
      <c r="I555" s="84" t="str">
        <f aca="false">IF(B555=Dashboard!$D$3,ROW(),"")</f>
        <v/>
      </c>
    </row>
    <row r="556" customFormat="false" ht="15" hidden="false" customHeight="false" outlineLevel="0" collapsed="false">
      <c r="A556" s="80"/>
      <c r="B556" s="71"/>
      <c r="C556" s="71"/>
      <c r="D556" s="81"/>
      <c r="E556" s="71"/>
      <c r="F556" s="71"/>
      <c r="G556" s="82" t="str">
        <f aca="false">IF(C556="","",IFERROR(INDEX('Kit Lists'!$D$6:$D$605,MATCH(B556&amp;"|"&amp;C556,'Kit Lists'!$J$6:$J$605,0)),"Not on this contract's kit list"))</f>
        <v/>
      </c>
      <c r="H556" s="83" t="str">
        <f aca="false">IF(AND(B556="",C556="",D556=""),"",IF(B556="","Missing contract",IF(C556="","Missing code",IF(LEFT(G556,3)="Not","Wrong code",IF(D556="","Missing qty",IF(A556="","Missing date",""))))))</f>
        <v/>
      </c>
      <c r="I556" s="84" t="str">
        <f aca="false">IF(B556=Dashboard!$D$3,ROW(),"")</f>
        <v/>
      </c>
    </row>
    <row r="557" customFormat="false" ht="15" hidden="false" customHeight="false" outlineLevel="0" collapsed="false">
      <c r="A557" s="80"/>
      <c r="B557" s="71"/>
      <c r="C557" s="71"/>
      <c r="D557" s="81"/>
      <c r="E557" s="71"/>
      <c r="F557" s="71"/>
      <c r="G557" s="82" t="str">
        <f aca="false">IF(C557="","",IFERROR(INDEX('Kit Lists'!$D$6:$D$605,MATCH(B557&amp;"|"&amp;C557,'Kit Lists'!$J$6:$J$605,0)),"Not on this contract's kit list"))</f>
        <v/>
      </c>
      <c r="H557" s="83" t="str">
        <f aca="false">IF(AND(B557="",C557="",D557=""),"",IF(B557="","Missing contract",IF(C557="","Missing code",IF(LEFT(G557,3)="Not","Wrong code",IF(D557="","Missing qty",IF(A557="","Missing date",""))))))</f>
        <v/>
      </c>
      <c r="I557" s="84" t="str">
        <f aca="false">IF(B557=Dashboard!$D$3,ROW(),"")</f>
        <v/>
      </c>
    </row>
    <row r="558" customFormat="false" ht="15" hidden="false" customHeight="false" outlineLevel="0" collapsed="false">
      <c r="A558" s="80"/>
      <c r="B558" s="71"/>
      <c r="C558" s="71"/>
      <c r="D558" s="81"/>
      <c r="E558" s="71"/>
      <c r="F558" s="71"/>
      <c r="G558" s="82" t="str">
        <f aca="false">IF(C558="","",IFERROR(INDEX('Kit Lists'!$D$6:$D$605,MATCH(B558&amp;"|"&amp;C558,'Kit Lists'!$J$6:$J$605,0)),"Not on this contract's kit list"))</f>
        <v/>
      </c>
      <c r="H558" s="83" t="str">
        <f aca="false">IF(AND(B558="",C558="",D558=""),"",IF(B558="","Missing contract",IF(C558="","Missing code",IF(LEFT(G558,3)="Not","Wrong code",IF(D558="","Missing qty",IF(A558="","Missing date",""))))))</f>
        <v/>
      </c>
      <c r="I558" s="84" t="str">
        <f aca="false">IF(B558=Dashboard!$D$3,ROW(),"")</f>
        <v/>
      </c>
    </row>
    <row r="559" customFormat="false" ht="15" hidden="false" customHeight="false" outlineLevel="0" collapsed="false">
      <c r="A559" s="80"/>
      <c r="B559" s="71"/>
      <c r="C559" s="71"/>
      <c r="D559" s="81"/>
      <c r="E559" s="71"/>
      <c r="F559" s="71"/>
      <c r="G559" s="82" t="str">
        <f aca="false">IF(C559="","",IFERROR(INDEX('Kit Lists'!$D$6:$D$605,MATCH(B559&amp;"|"&amp;C559,'Kit Lists'!$J$6:$J$605,0)),"Not on this contract's kit list"))</f>
        <v/>
      </c>
      <c r="H559" s="83" t="str">
        <f aca="false">IF(AND(B559="",C559="",D559=""),"",IF(B559="","Missing contract",IF(C559="","Missing code",IF(LEFT(G559,3)="Not","Wrong code",IF(D559="","Missing qty",IF(A559="","Missing date",""))))))</f>
        <v/>
      </c>
      <c r="I559" s="84" t="str">
        <f aca="false">IF(B559=Dashboard!$D$3,ROW(),"")</f>
        <v/>
      </c>
    </row>
    <row r="560" customFormat="false" ht="15" hidden="false" customHeight="false" outlineLevel="0" collapsed="false">
      <c r="A560" s="80"/>
      <c r="B560" s="71"/>
      <c r="C560" s="71"/>
      <c r="D560" s="81"/>
      <c r="E560" s="71"/>
      <c r="F560" s="71"/>
      <c r="G560" s="82" t="str">
        <f aca="false">IF(C560="","",IFERROR(INDEX('Kit Lists'!$D$6:$D$605,MATCH(B560&amp;"|"&amp;C560,'Kit Lists'!$J$6:$J$605,0)),"Not on this contract's kit list"))</f>
        <v/>
      </c>
      <c r="H560" s="83" t="str">
        <f aca="false">IF(AND(B560="",C560="",D560=""),"",IF(B560="","Missing contract",IF(C560="","Missing code",IF(LEFT(G560,3)="Not","Wrong code",IF(D560="","Missing qty",IF(A560="","Missing date",""))))))</f>
        <v/>
      </c>
      <c r="I560" s="84" t="str">
        <f aca="false">IF(B560=Dashboard!$D$3,ROW(),"")</f>
        <v/>
      </c>
    </row>
    <row r="561" customFormat="false" ht="15" hidden="false" customHeight="false" outlineLevel="0" collapsed="false">
      <c r="A561" s="80"/>
      <c r="B561" s="71"/>
      <c r="C561" s="71"/>
      <c r="D561" s="81"/>
      <c r="E561" s="71"/>
      <c r="F561" s="71"/>
      <c r="G561" s="82" t="str">
        <f aca="false">IF(C561="","",IFERROR(INDEX('Kit Lists'!$D$6:$D$605,MATCH(B561&amp;"|"&amp;C561,'Kit Lists'!$J$6:$J$605,0)),"Not on this contract's kit list"))</f>
        <v/>
      </c>
      <c r="H561" s="83" t="str">
        <f aca="false">IF(AND(B561="",C561="",D561=""),"",IF(B561="","Missing contract",IF(C561="","Missing code",IF(LEFT(G561,3)="Not","Wrong code",IF(D561="","Missing qty",IF(A561="","Missing date",""))))))</f>
        <v/>
      </c>
      <c r="I561" s="84" t="str">
        <f aca="false">IF(B561=Dashboard!$D$3,ROW(),"")</f>
        <v/>
      </c>
    </row>
    <row r="562" customFormat="false" ht="15" hidden="false" customHeight="false" outlineLevel="0" collapsed="false">
      <c r="A562" s="80"/>
      <c r="B562" s="71"/>
      <c r="C562" s="71"/>
      <c r="D562" s="81"/>
      <c r="E562" s="71"/>
      <c r="F562" s="71"/>
      <c r="G562" s="82" t="str">
        <f aca="false">IF(C562="","",IFERROR(INDEX('Kit Lists'!$D$6:$D$605,MATCH(B562&amp;"|"&amp;C562,'Kit Lists'!$J$6:$J$605,0)),"Not on this contract's kit list"))</f>
        <v/>
      </c>
      <c r="H562" s="83" t="str">
        <f aca="false">IF(AND(B562="",C562="",D562=""),"",IF(B562="","Missing contract",IF(C562="","Missing code",IF(LEFT(G562,3)="Not","Wrong code",IF(D562="","Missing qty",IF(A562="","Missing date",""))))))</f>
        <v/>
      </c>
      <c r="I562" s="84" t="str">
        <f aca="false">IF(B562=Dashboard!$D$3,ROW(),"")</f>
        <v/>
      </c>
    </row>
    <row r="563" customFormat="false" ht="15" hidden="false" customHeight="false" outlineLevel="0" collapsed="false">
      <c r="A563" s="80"/>
      <c r="B563" s="71"/>
      <c r="C563" s="71"/>
      <c r="D563" s="81"/>
      <c r="E563" s="71"/>
      <c r="F563" s="71"/>
      <c r="G563" s="82" t="str">
        <f aca="false">IF(C563="","",IFERROR(INDEX('Kit Lists'!$D$6:$D$605,MATCH(B563&amp;"|"&amp;C563,'Kit Lists'!$J$6:$J$605,0)),"Not on this contract's kit list"))</f>
        <v/>
      </c>
      <c r="H563" s="83" t="str">
        <f aca="false">IF(AND(B563="",C563="",D563=""),"",IF(B563="","Missing contract",IF(C563="","Missing code",IF(LEFT(G563,3)="Not","Wrong code",IF(D563="","Missing qty",IF(A563="","Missing date",""))))))</f>
        <v/>
      </c>
      <c r="I563" s="84" t="str">
        <f aca="false">IF(B563=Dashboard!$D$3,ROW(),"")</f>
        <v/>
      </c>
    </row>
    <row r="564" customFormat="false" ht="15" hidden="false" customHeight="false" outlineLevel="0" collapsed="false">
      <c r="A564" s="80"/>
      <c r="B564" s="71"/>
      <c r="C564" s="71"/>
      <c r="D564" s="81"/>
      <c r="E564" s="71"/>
      <c r="F564" s="71"/>
      <c r="G564" s="82" t="str">
        <f aca="false">IF(C564="","",IFERROR(INDEX('Kit Lists'!$D$6:$D$605,MATCH(B564&amp;"|"&amp;C564,'Kit Lists'!$J$6:$J$605,0)),"Not on this contract's kit list"))</f>
        <v/>
      </c>
      <c r="H564" s="83" t="str">
        <f aca="false">IF(AND(B564="",C564="",D564=""),"",IF(B564="","Missing contract",IF(C564="","Missing code",IF(LEFT(G564,3)="Not","Wrong code",IF(D564="","Missing qty",IF(A564="","Missing date",""))))))</f>
        <v/>
      </c>
      <c r="I564" s="84" t="str">
        <f aca="false">IF(B564=Dashboard!$D$3,ROW(),"")</f>
        <v/>
      </c>
    </row>
    <row r="565" customFormat="false" ht="15" hidden="false" customHeight="false" outlineLevel="0" collapsed="false">
      <c r="A565" s="80"/>
      <c r="B565" s="71"/>
      <c r="C565" s="71"/>
      <c r="D565" s="81"/>
      <c r="E565" s="71"/>
      <c r="F565" s="71"/>
      <c r="G565" s="82" t="str">
        <f aca="false">IF(C565="","",IFERROR(INDEX('Kit Lists'!$D$6:$D$605,MATCH(B565&amp;"|"&amp;C565,'Kit Lists'!$J$6:$J$605,0)),"Not on this contract's kit list"))</f>
        <v/>
      </c>
      <c r="H565" s="83" t="str">
        <f aca="false">IF(AND(B565="",C565="",D565=""),"",IF(B565="","Missing contract",IF(C565="","Missing code",IF(LEFT(G565,3)="Not","Wrong code",IF(D565="","Missing qty",IF(A565="","Missing date",""))))))</f>
        <v/>
      </c>
      <c r="I565" s="84" t="str">
        <f aca="false">IF(B565=Dashboard!$D$3,ROW(),"")</f>
        <v/>
      </c>
    </row>
    <row r="566" customFormat="false" ht="15" hidden="false" customHeight="false" outlineLevel="0" collapsed="false">
      <c r="A566" s="80"/>
      <c r="B566" s="71"/>
      <c r="C566" s="71"/>
      <c r="D566" s="81"/>
      <c r="E566" s="71"/>
      <c r="F566" s="71"/>
      <c r="G566" s="82" t="str">
        <f aca="false">IF(C566="","",IFERROR(INDEX('Kit Lists'!$D$6:$D$605,MATCH(B566&amp;"|"&amp;C566,'Kit Lists'!$J$6:$J$605,0)),"Not on this contract's kit list"))</f>
        <v/>
      </c>
      <c r="H566" s="83" t="str">
        <f aca="false">IF(AND(B566="",C566="",D566=""),"",IF(B566="","Missing contract",IF(C566="","Missing code",IF(LEFT(G566,3)="Not","Wrong code",IF(D566="","Missing qty",IF(A566="","Missing date",""))))))</f>
        <v/>
      </c>
      <c r="I566" s="84" t="str">
        <f aca="false">IF(B566=Dashboard!$D$3,ROW(),"")</f>
        <v/>
      </c>
    </row>
    <row r="567" customFormat="false" ht="15" hidden="false" customHeight="false" outlineLevel="0" collapsed="false">
      <c r="A567" s="80"/>
      <c r="B567" s="71"/>
      <c r="C567" s="71"/>
      <c r="D567" s="81"/>
      <c r="E567" s="71"/>
      <c r="F567" s="71"/>
      <c r="G567" s="82" t="str">
        <f aca="false">IF(C567="","",IFERROR(INDEX('Kit Lists'!$D$6:$D$605,MATCH(B567&amp;"|"&amp;C567,'Kit Lists'!$J$6:$J$605,0)),"Not on this contract's kit list"))</f>
        <v/>
      </c>
      <c r="H567" s="83" t="str">
        <f aca="false">IF(AND(B567="",C567="",D567=""),"",IF(B567="","Missing contract",IF(C567="","Missing code",IF(LEFT(G567,3)="Not","Wrong code",IF(D567="","Missing qty",IF(A567="","Missing date",""))))))</f>
        <v/>
      </c>
      <c r="I567" s="84" t="str">
        <f aca="false">IF(B567=Dashboard!$D$3,ROW(),"")</f>
        <v/>
      </c>
    </row>
    <row r="568" customFormat="false" ht="15" hidden="false" customHeight="false" outlineLevel="0" collapsed="false">
      <c r="A568" s="80"/>
      <c r="B568" s="71"/>
      <c r="C568" s="71"/>
      <c r="D568" s="81"/>
      <c r="E568" s="71"/>
      <c r="F568" s="71"/>
      <c r="G568" s="82" t="str">
        <f aca="false">IF(C568="","",IFERROR(INDEX('Kit Lists'!$D$6:$D$605,MATCH(B568&amp;"|"&amp;C568,'Kit Lists'!$J$6:$J$605,0)),"Not on this contract's kit list"))</f>
        <v/>
      </c>
      <c r="H568" s="83" t="str">
        <f aca="false">IF(AND(B568="",C568="",D568=""),"",IF(B568="","Missing contract",IF(C568="","Missing code",IF(LEFT(G568,3)="Not","Wrong code",IF(D568="","Missing qty",IF(A568="","Missing date",""))))))</f>
        <v/>
      </c>
      <c r="I568" s="84" t="str">
        <f aca="false">IF(B568=Dashboard!$D$3,ROW(),"")</f>
        <v/>
      </c>
    </row>
    <row r="569" customFormat="false" ht="15" hidden="false" customHeight="false" outlineLevel="0" collapsed="false">
      <c r="A569" s="80"/>
      <c r="B569" s="71"/>
      <c r="C569" s="71"/>
      <c r="D569" s="81"/>
      <c r="E569" s="71"/>
      <c r="F569" s="71"/>
      <c r="G569" s="82" t="str">
        <f aca="false">IF(C569="","",IFERROR(INDEX('Kit Lists'!$D$6:$D$605,MATCH(B569&amp;"|"&amp;C569,'Kit Lists'!$J$6:$J$605,0)),"Not on this contract's kit list"))</f>
        <v/>
      </c>
      <c r="H569" s="83" t="str">
        <f aca="false">IF(AND(B569="",C569="",D569=""),"",IF(B569="","Missing contract",IF(C569="","Missing code",IF(LEFT(G569,3)="Not","Wrong code",IF(D569="","Missing qty",IF(A569="","Missing date",""))))))</f>
        <v/>
      </c>
      <c r="I569" s="84" t="str">
        <f aca="false">IF(B569=Dashboard!$D$3,ROW(),"")</f>
        <v/>
      </c>
    </row>
    <row r="570" customFormat="false" ht="15" hidden="false" customHeight="false" outlineLevel="0" collapsed="false">
      <c r="A570" s="80"/>
      <c r="B570" s="71"/>
      <c r="C570" s="71"/>
      <c r="D570" s="81"/>
      <c r="E570" s="71"/>
      <c r="F570" s="71"/>
      <c r="G570" s="82" t="str">
        <f aca="false">IF(C570="","",IFERROR(INDEX('Kit Lists'!$D$6:$D$605,MATCH(B570&amp;"|"&amp;C570,'Kit Lists'!$J$6:$J$605,0)),"Not on this contract's kit list"))</f>
        <v/>
      </c>
      <c r="H570" s="83" t="str">
        <f aca="false">IF(AND(B570="",C570="",D570=""),"",IF(B570="","Missing contract",IF(C570="","Missing code",IF(LEFT(G570,3)="Not","Wrong code",IF(D570="","Missing qty",IF(A570="","Missing date",""))))))</f>
        <v/>
      </c>
      <c r="I570" s="84" t="str">
        <f aca="false">IF(B570=Dashboard!$D$3,ROW(),"")</f>
        <v/>
      </c>
    </row>
    <row r="571" customFormat="false" ht="15" hidden="false" customHeight="false" outlineLevel="0" collapsed="false">
      <c r="A571" s="80"/>
      <c r="B571" s="71"/>
      <c r="C571" s="71"/>
      <c r="D571" s="81"/>
      <c r="E571" s="71"/>
      <c r="F571" s="71"/>
      <c r="G571" s="82" t="str">
        <f aca="false">IF(C571="","",IFERROR(INDEX('Kit Lists'!$D$6:$D$605,MATCH(B571&amp;"|"&amp;C571,'Kit Lists'!$J$6:$J$605,0)),"Not on this contract's kit list"))</f>
        <v/>
      </c>
      <c r="H571" s="83" t="str">
        <f aca="false">IF(AND(B571="",C571="",D571=""),"",IF(B571="","Missing contract",IF(C571="","Missing code",IF(LEFT(G571,3)="Not","Wrong code",IF(D571="","Missing qty",IF(A571="","Missing date",""))))))</f>
        <v/>
      </c>
      <c r="I571" s="84" t="str">
        <f aca="false">IF(B571=Dashboard!$D$3,ROW(),"")</f>
        <v/>
      </c>
    </row>
    <row r="572" customFormat="false" ht="15" hidden="false" customHeight="false" outlineLevel="0" collapsed="false">
      <c r="A572" s="80"/>
      <c r="B572" s="71"/>
      <c r="C572" s="71"/>
      <c r="D572" s="81"/>
      <c r="E572" s="71"/>
      <c r="F572" s="71"/>
      <c r="G572" s="82" t="str">
        <f aca="false">IF(C572="","",IFERROR(INDEX('Kit Lists'!$D$6:$D$605,MATCH(B572&amp;"|"&amp;C572,'Kit Lists'!$J$6:$J$605,0)),"Not on this contract's kit list"))</f>
        <v/>
      </c>
      <c r="H572" s="83" t="str">
        <f aca="false">IF(AND(B572="",C572="",D572=""),"",IF(B572="","Missing contract",IF(C572="","Missing code",IF(LEFT(G572,3)="Not","Wrong code",IF(D572="","Missing qty",IF(A572="","Missing date",""))))))</f>
        <v/>
      </c>
      <c r="I572" s="84" t="str">
        <f aca="false">IF(B572=Dashboard!$D$3,ROW(),"")</f>
        <v/>
      </c>
    </row>
    <row r="573" customFormat="false" ht="15" hidden="false" customHeight="false" outlineLevel="0" collapsed="false">
      <c r="A573" s="80"/>
      <c r="B573" s="71"/>
      <c r="C573" s="71"/>
      <c r="D573" s="81"/>
      <c r="E573" s="71"/>
      <c r="F573" s="71"/>
      <c r="G573" s="82" t="str">
        <f aca="false">IF(C573="","",IFERROR(INDEX('Kit Lists'!$D$6:$D$605,MATCH(B573&amp;"|"&amp;C573,'Kit Lists'!$J$6:$J$605,0)),"Not on this contract's kit list"))</f>
        <v/>
      </c>
      <c r="H573" s="83" t="str">
        <f aca="false">IF(AND(B573="",C573="",D573=""),"",IF(B573="","Missing contract",IF(C573="","Missing code",IF(LEFT(G573,3)="Not","Wrong code",IF(D573="","Missing qty",IF(A573="","Missing date",""))))))</f>
        <v/>
      </c>
      <c r="I573" s="84" t="str">
        <f aca="false">IF(B573=Dashboard!$D$3,ROW(),"")</f>
        <v/>
      </c>
    </row>
    <row r="574" customFormat="false" ht="15" hidden="false" customHeight="false" outlineLevel="0" collapsed="false">
      <c r="A574" s="80"/>
      <c r="B574" s="71"/>
      <c r="C574" s="71"/>
      <c r="D574" s="81"/>
      <c r="E574" s="71"/>
      <c r="F574" s="71"/>
      <c r="G574" s="82" t="str">
        <f aca="false">IF(C574="","",IFERROR(INDEX('Kit Lists'!$D$6:$D$605,MATCH(B574&amp;"|"&amp;C574,'Kit Lists'!$J$6:$J$605,0)),"Not on this contract's kit list"))</f>
        <v/>
      </c>
      <c r="H574" s="83" t="str">
        <f aca="false">IF(AND(B574="",C574="",D574=""),"",IF(B574="","Missing contract",IF(C574="","Missing code",IF(LEFT(G574,3)="Not","Wrong code",IF(D574="","Missing qty",IF(A574="","Missing date",""))))))</f>
        <v/>
      </c>
      <c r="I574" s="84" t="str">
        <f aca="false">IF(B574=Dashboard!$D$3,ROW(),"")</f>
        <v/>
      </c>
    </row>
    <row r="575" customFormat="false" ht="15" hidden="false" customHeight="false" outlineLevel="0" collapsed="false">
      <c r="A575" s="80"/>
      <c r="B575" s="71"/>
      <c r="C575" s="71"/>
      <c r="D575" s="81"/>
      <c r="E575" s="71"/>
      <c r="F575" s="71"/>
      <c r="G575" s="82" t="str">
        <f aca="false">IF(C575="","",IFERROR(INDEX('Kit Lists'!$D$6:$D$605,MATCH(B575&amp;"|"&amp;C575,'Kit Lists'!$J$6:$J$605,0)),"Not on this contract's kit list"))</f>
        <v/>
      </c>
      <c r="H575" s="83" t="str">
        <f aca="false">IF(AND(B575="",C575="",D575=""),"",IF(B575="","Missing contract",IF(C575="","Missing code",IF(LEFT(G575,3)="Not","Wrong code",IF(D575="","Missing qty",IF(A575="","Missing date",""))))))</f>
        <v/>
      </c>
      <c r="I575" s="84" t="str">
        <f aca="false">IF(B575=Dashboard!$D$3,ROW(),"")</f>
        <v/>
      </c>
    </row>
    <row r="576" customFormat="false" ht="15" hidden="false" customHeight="false" outlineLevel="0" collapsed="false">
      <c r="A576" s="80"/>
      <c r="B576" s="71"/>
      <c r="C576" s="71"/>
      <c r="D576" s="81"/>
      <c r="E576" s="71"/>
      <c r="F576" s="71"/>
      <c r="G576" s="82" t="str">
        <f aca="false">IF(C576="","",IFERROR(INDEX('Kit Lists'!$D$6:$D$605,MATCH(B576&amp;"|"&amp;C576,'Kit Lists'!$J$6:$J$605,0)),"Not on this contract's kit list"))</f>
        <v/>
      </c>
      <c r="H576" s="83" t="str">
        <f aca="false">IF(AND(B576="",C576="",D576=""),"",IF(B576="","Missing contract",IF(C576="","Missing code",IF(LEFT(G576,3)="Not","Wrong code",IF(D576="","Missing qty",IF(A576="","Missing date",""))))))</f>
        <v/>
      </c>
      <c r="I576" s="84" t="str">
        <f aca="false">IF(B576=Dashboard!$D$3,ROW(),"")</f>
        <v/>
      </c>
    </row>
    <row r="577" customFormat="false" ht="15" hidden="false" customHeight="false" outlineLevel="0" collapsed="false">
      <c r="A577" s="80"/>
      <c r="B577" s="71"/>
      <c r="C577" s="71"/>
      <c r="D577" s="81"/>
      <c r="E577" s="71"/>
      <c r="F577" s="71"/>
      <c r="G577" s="82" t="str">
        <f aca="false">IF(C577="","",IFERROR(INDEX('Kit Lists'!$D$6:$D$605,MATCH(B577&amp;"|"&amp;C577,'Kit Lists'!$J$6:$J$605,0)),"Not on this contract's kit list"))</f>
        <v/>
      </c>
      <c r="H577" s="83" t="str">
        <f aca="false">IF(AND(B577="",C577="",D577=""),"",IF(B577="","Missing contract",IF(C577="","Missing code",IF(LEFT(G577,3)="Not","Wrong code",IF(D577="","Missing qty",IF(A577="","Missing date",""))))))</f>
        <v/>
      </c>
      <c r="I577" s="84" t="str">
        <f aca="false">IF(B577=Dashboard!$D$3,ROW(),"")</f>
        <v/>
      </c>
    </row>
    <row r="578" customFormat="false" ht="15" hidden="false" customHeight="false" outlineLevel="0" collapsed="false">
      <c r="A578" s="80"/>
      <c r="B578" s="71"/>
      <c r="C578" s="71"/>
      <c r="D578" s="81"/>
      <c r="E578" s="71"/>
      <c r="F578" s="71"/>
      <c r="G578" s="82" t="str">
        <f aca="false">IF(C578="","",IFERROR(INDEX('Kit Lists'!$D$6:$D$605,MATCH(B578&amp;"|"&amp;C578,'Kit Lists'!$J$6:$J$605,0)),"Not on this contract's kit list"))</f>
        <v/>
      </c>
      <c r="H578" s="83" t="str">
        <f aca="false">IF(AND(B578="",C578="",D578=""),"",IF(B578="","Missing contract",IF(C578="","Missing code",IF(LEFT(G578,3)="Not","Wrong code",IF(D578="","Missing qty",IF(A578="","Missing date",""))))))</f>
        <v/>
      </c>
      <c r="I578" s="84" t="str">
        <f aca="false">IF(B578=Dashboard!$D$3,ROW(),"")</f>
        <v/>
      </c>
    </row>
    <row r="579" customFormat="false" ht="15" hidden="false" customHeight="false" outlineLevel="0" collapsed="false">
      <c r="A579" s="80"/>
      <c r="B579" s="71"/>
      <c r="C579" s="71"/>
      <c r="D579" s="81"/>
      <c r="E579" s="71"/>
      <c r="F579" s="71"/>
      <c r="G579" s="82" t="str">
        <f aca="false">IF(C579="","",IFERROR(INDEX('Kit Lists'!$D$6:$D$605,MATCH(B579&amp;"|"&amp;C579,'Kit Lists'!$J$6:$J$605,0)),"Not on this contract's kit list"))</f>
        <v/>
      </c>
      <c r="H579" s="83" t="str">
        <f aca="false">IF(AND(B579="",C579="",D579=""),"",IF(B579="","Missing contract",IF(C579="","Missing code",IF(LEFT(G579,3)="Not","Wrong code",IF(D579="","Missing qty",IF(A579="","Missing date",""))))))</f>
        <v/>
      </c>
      <c r="I579" s="84" t="str">
        <f aca="false">IF(B579=Dashboard!$D$3,ROW(),"")</f>
        <v/>
      </c>
    </row>
    <row r="580" customFormat="false" ht="15" hidden="false" customHeight="false" outlineLevel="0" collapsed="false">
      <c r="A580" s="80"/>
      <c r="B580" s="71"/>
      <c r="C580" s="71"/>
      <c r="D580" s="81"/>
      <c r="E580" s="71"/>
      <c r="F580" s="71"/>
      <c r="G580" s="82" t="str">
        <f aca="false">IF(C580="","",IFERROR(INDEX('Kit Lists'!$D$6:$D$605,MATCH(B580&amp;"|"&amp;C580,'Kit Lists'!$J$6:$J$605,0)),"Not on this contract's kit list"))</f>
        <v/>
      </c>
      <c r="H580" s="83" t="str">
        <f aca="false">IF(AND(B580="",C580="",D580=""),"",IF(B580="","Missing contract",IF(C580="","Missing code",IF(LEFT(G580,3)="Not","Wrong code",IF(D580="","Missing qty",IF(A580="","Missing date",""))))))</f>
        <v/>
      </c>
      <c r="I580" s="84" t="str">
        <f aca="false">IF(B580=Dashboard!$D$3,ROW(),"")</f>
        <v/>
      </c>
    </row>
    <row r="581" customFormat="false" ht="15" hidden="false" customHeight="false" outlineLevel="0" collapsed="false">
      <c r="A581" s="80"/>
      <c r="B581" s="71"/>
      <c r="C581" s="71"/>
      <c r="D581" s="81"/>
      <c r="E581" s="71"/>
      <c r="F581" s="71"/>
      <c r="G581" s="82" t="str">
        <f aca="false">IF(C581="","",IFERROR(INDEX('Kit Lists'!$D$6:$D$605,MATCH(B581&amp;"|"&amp;C581,'Kit Lists'!$J$6:$J$605,0)),"Not on this contract's kit list"))</f>
        <v/>
      </c>
      <c r="H581" s="83" t="str">
        <f aca="false">IF(AND(B581="",C581="",D581=""),"",IF(B581="","Missing contract",IF(C581="","Missing code",IF(LEFT(G581,3)="Not","Wrong code",IF(D581="","Missing qty",IF(A581="","Missing date",""))))))</f>
        <v/>
      </c>
      <c r="I581" s="84" t="str">
        <f aca="false">IF(B581=Dashboard!$D$3,ROW(),"")</f>
        <v/>
      </c>
    </row>
    <row r="582" customFormat="false" ht="15" hidden="false" customHeight="false" outlineLevel="0" collapsed="false">
      <c r="A582" s="80"/>
      <c r="B582" s="71"/>
      <c r="C582" s="71"/>
      <c r="D582" s="81"/>
      <c r="E582" s="71"/>
      <c r="F582" s="71"/>
      <c r="G582" s="82" t="str">
        <f aca="false">IF(C582="","",IFERROR(INDEX('Kit Lists'!$D$6:$D$605,MATCH(B582&amp;"|"&amp;C582,'Kit Lists'!$J$6:$J$605,0)),"Not on this contract's kit list"))</f>
        <v/>
      </c>
      <c r="H582" s="83" t="str">
        <f aca="false">IF(AND(B582="",C582="",D582=""),"",IF(B582="","Missing contract",IF(C582="","Missing code",IF(LEFT(G582,3)="Not","Wrong code",IF(D582="","Missing qty",IF(A582="","Missing date",""))))))</f>
        <v/>
      </c>
      <c r="I582" s="84" t="str">
        <f aca="false">IF(B582=Dashboard!$D$3,ROW(),"")</f>
        <v/>
      </c>
    </row>
    <row r="583" customFormat="false" ht="15" hidden="false" customHeight="false" outlineLevel="0" collapsed="false">
      <c r="A583" s="80"/>
      <c r="B583" s="71"/>
      <c r="C583" s="71"/>
      <c r="D583" s="81"/>
      <c r="E583" s="71"/>
      <c r="F583" s="71"/>
      <c r="G583" s="82" t="str">
        <f aca="false">IF(C583="","",IFERROR(INDEX('Kit Lists'!$D$6:$D$605,MATCH(B583&amp;"|"&amp;C583,'Kit Lists'!$J$6:$J$605,0)),"Not on this contract's kit list"))</f>
        <v/>
      </c>
      <c r="H583" s="83" t="str">
        <f aca="false">IF(AND(B583="",C583="",D583=""),"",IF(B583="","Missing contract",IF(C583="","Missing code",IF(LEFT(G583,3)="Not","Wrong code",IF(D583="","Missing qty",IF(A583="","Missing date",""))))))</f>
        <v/>
      </c>
      <c r="I583" s="84" t="str">
        <f aca="false">IF(B583=Dashboard!$D$3,ROW(),"")</f>
        <v/>
      </c>
    </row>
    <row r="584" customFormat="false" ht="15" hidden="false" customHeight="false" outlineLevel="0" collapsed="false">
      <c r="A584" s="80"/>
      <c r="B584" s="71"/>
      <c r="C584" s="71"/>
      <c r="D584" s="81"/>
      <c r="E584" s="71"/>
      <c r="F584" s="71"/>
      <c r="G584" s="82" t="str">
        <f aca="false">IF(C584="","",IFERROR(INDEX('Kit Lists'!$D$6:$D$605,MATCH(B584&amp;"|"&amp;C584,'Kit Lists'!$J$6:$J$605,0)),"Not on this contract's kit list"))</f>
        <v/>
      </c>
      <c r="H584" s="83" t="str">
        <f aca="false">IF(AND(B584="",C584="",D584=""),"",IF(B584="","Missing contract",IF(C584="","Missing code",IF(LEFT(G584,3)="Not","Wrong code",IF(D584="","Missing qty",IF(A584="","Missing date",""))))))</f>
        <v/>
      </c>
      <c r="I584" s="84" t="str">
        <f aca="false">IF(B584=Dashboard!$D$3,ROW(),"")</f>
        <v/>
      </c>
    </row>
    <row r="585" customFormat="false" ht="15" hidden="false" customHeight="false" outlineLevel="0" collapsed="false">
      <c r="A585" s="80"/>
      <c r="B585" s="71"/>
      <c r="C585" s="71"/>
      <c r="D585" s="81"/>
      <c r="E585" s="71"/>
      <c r="F585" s="71"/>
      <c r="G585" s="82" t="str">
        <f aca="false">IF(C585="","",IFERROR(INDEX('Kit Lists'!$D$6:$D$605,MATCH(B585&amp;"|"&amp;C585,'Kit Lists'!$J$6:$J$605,0)),"Not on this contract's kit list"))</f>
        <v/>
      </c>
      <c r="H585" s="83" t="str">
        <f aca="false">IF(AND(B585="",C585="",D585=""),"",IF(B585="","Missing contract",IF(C585="","Missing code",IF(LEFT(G585,3)="Not","Wrong code",IF(D585="","Missing qty",IF(A585="","Missing date",""))))))</f>
        <v/>
      </c>
      <c r="I585" s="84" t="str">
        <f aca="false">IF(B585=Dashboard!$D$3,ROW(),"")</f>
        <v/>
      </c>
    </row>
    <row r="586" customFormat="false" ht="15" hidden="false" customHeight="false" outlineLevel="0" collapsed="false">
      <c r="A586" s="80"/>
      <c r="B586" s="71"/>
      <c r="C586" s="71"/>
      <c r="D586" s="81"/>
      <c r="E586" s="71"/>
      <c r="F586" s="71"/>
      <c r="G586" s="82" t="str">
        <f aca="false">IF(C586="","",IFERROR(INDEX('Kit Lists'!$D$6:$D$605,MATCH(B586&amp;"|"&amp;C586,'Kit Lists'!$J$6:$J$605,0)),"Not on this contract's kit list"))</f>
        <v/>
      </c>
      <c r="H586" s="83" t="str">
        <f aca="false">IF(AND(B586="",C586="",D586=""),"",IF(B586="","Missing contract",IF(C586="","Missing code",IF(LEFT(G586,3)="Not","Wrong code",IF(D586="","Missing qty",IF(A586="","Missing date",""))))))</f>
        <v/>
      </c>
      <c r="I586" s="84" t="str">
        <f aca="false">IF(B586=Dashboard!$D$3,ROW(),"")</f>
        <v/>
      </c>
    </row>
    <row r="587" customFormat="false" ht="15" hidden="false" customHeight="false" outlineLevel="0" collapsed="false">
      <c r="A587" s="80"/>
      <c r="B587" s="71"/>
      <c r="C587" s="71"/>
      <c r="D587" s="81"/>
      <c r="E587" s="71"/>
      <c r="F587" s="71"/>
      <c r="G587" s="82" t="str">
        <f aca="false">IF(C587="","",IFERROR(INDEX('Kit Lists'!$D$6:$D$605,MATCH(B587&amp;"|"&amp;C587,'Kit Lists'!$J$6:$J$605,0)),"Not on this contract's kit list"))</f>
        <v/>
      </c>
      <c r="H587" s="83" t="str">
        <f aca="false">IF(AND(B587="",C587="",D587=""),"",IF(B587="","Missing contract",IF(C587="","Missing code",IF(LEFT(G587,3)="Not","Wrong code",IF(D587="","Missing qty",IF(A587="","Missing date",""))))))</f>
        <v/>
      </c>
      <c r="I587" s="84" t="str">
        <f aca="false">IF(B587=Dashboard!$D$3,ROW(),"")</f>
        <v/>
      </c>
    </row>
    <row r="588" customFormat="false" ht="15" hidden="false" customHeight="false" outlineLevel="0" collapsed="false">
      <c r="A588" s="80"/>
      <c r="B588" s="71"/>
      <c r="C588" s="71"/>
      <c r="D588" s="81"/>
      <c r="E588" s="71"/>
      <c r="F588" s="71"/>
      <c r="G588" s="82" t="str">
        <f aca="false">IF(C588="","",IFERROR(INDEX('Kit Lists'!$D$6:$D$605,MATCH(B588&amp;"|"&amp;C588,'Kit Lists'!$J$6:$J$605,0)),"Not on this contract's kit list"))</f>
        <v/>
      </c>
      <c r="H588" s="83" t="str">
        <f aca="false">IF(AND(B588="",C588="",D588=""),"",IF(B588="","Missing contract",IF(C588="","Missing code",IF(LEFT(G588,3)="Not","Wrong code",IF(D588="","Missing qty",IF(A588="","Missing date",""))))))</f>
        <v/>
      </c>
      <c r="I588" s="84" t="str">
        <f aca="false">IF(B588=Dashboard!$D$3,ROW(),"")</f>
        <v/>
      </c>
    </row>
    <row r="589" customFormat="false" ht="15" hidden="false" customHeight="false" outlineLevel="0" collapsed="false">
      <c r="A589" s="80"/>
      <c r="B589" s="71"/>
      <c r="C589" s="71"/>
      <c r="D589" s="81"/>
      <c r="E589" s="71"/>
      <c r="F589" s="71"/>
      <c r="G589" s="82" t="str">
        <f aca="false">IF(C589="","",IFERROR(INDEX('Kit Lists'!$D$6:$D$605,MATCH(B589&amp;"|"&amp;C589,'Kit Lists'!$J$6:$J$605,0)),"Not on this contract's kit list"))</f>
        <v/>
      </c>
      <c r="H589" s="83" t="str">
        <f aca="false">IF(AND(B589="",C589="",D589=""),"",IF(B589="","Missing contract",IF(C589="","Missing code",IF(LEFT(G589,3)="Not","Wrong code",IF(D589="","Missing qty",IF(A589="","Missing date",""))))))</f>
        <v/>
      </c>
      <c r="I589" s="84" t="str">
        <f aca="false">IF(B589=Dashboard!$D$3,ROW(),"")</f>
        <v/>
      </c>
    </row>
    <row r="590" customFormat="false" ht="15" hidden="false" customHeight="false" outlineLevel="0" collapsed="false">
      <c r="A590" s="80"/>
      <c r="B590" s="71"/>
      <c r="C590" s="71"/>
      <c r="D590" s="81"/>
      <c r="E590" s="71"/>
      <c r="F590" s="71"/>
      <c r="G590" s="82" t="str">
        <f aca="false">IF(C590="","",IFERROR(INDEX('Kit Lists'!$D$6:$D$605,MATCH(B590&amp;"|"&amp;C590,'Kit Lists'!$J$6:$J$605,0)),"Not on this contract's kit list"))</f>
        <v/>
      </c>
      <c r="H590" s="83" t="str">
        <f aca="false">IF(AND(B590="",C590="",D590=""),"",IF(B590="","Missing contract",IF(C590="","Missing code",IF(LEFT(G590,3)="Not","Wrong code",IF(D590="","Missing qty",IF(A590="","Missing date",""))))))</f>
        <v/>
      </c>
      <c r="I590" s="84" t="str">
        <f aca="false">IF(B590=Dashboard!$D$3,ROW(),"")</f>
        <v/>
      </c>
    </row>
    <row r="591" customFormat="false" ht="15" hidden="false" customHeight="false" outlineLevel="0" collapsed="false">
      <c r="A591" s="80"/>
      <c r="B591" s="71"/>
      <c r="C591" s="71"/>
      <c r="D591" s="81"/>
      <c r="E591" s="71"/>
      <c r="F591" s="71"/>
      <c r="G591" s="82" t="str">
        <f aca="false">IF(C591="","",IFERROR(INDEX('Kit Lists'!$D$6:$D$605,MATCH(B591&amp;"|"&amp;C591,'Kit Lists'!$J$6:$J$605,0)),"Not on this contract's kit list"))</f>
        <v/>
      </c>
      <c r="H591" s="83" t="str">
        <f aca="false">IF(AND(B591="",C591="",D591=""),"",IF(B591="","Missing contract",IF(C591="","Missing code",IF(LEFT(G591,3)="Not","Wrong code",IF(D591="","Missing qty",IF(A591="","Missing date",""))))))</f>
        <v/>
      </c>
      <c r="I591" s="84" t="str">
        <f aca="false">IF(B591=Dashboard!$D$3,ROW(),"")</f>
        <v/>
      </c>
    </row>
    <row r="592" customFormat="false" ht="15" hidden="false" customHeight="false" outlineLevel="0" collapsed="false">
      <c r="A592" s="80"/>
      <c r="B592" s="71"/>
      <c r="C592" s="71"/>
      <c r="D592" s="81"/>
      <c r="E592" s="71"/>
      <c r="F592" s="71"/>
      <c r="G592" s="82" t="str">
        <f aca="false">IF(C592="","",IFERROR(INDEX('Kit Lists'!$D$6:$D$605,MATCH(B592&amp;"|"&amp;C592,'Kit Lists'!$J$6:$J$605,0)),"Not on this contract's kit list"))</f>
        <v/>
      </c>
      <c r="H592" s="83" t="str">
        <f aca="false">IF(AND(B592="",C592="",D592=""),"",IF(B592="","Missing contract",IF(C592="","Missing code",IF(LEFT(G592,3)="Not","Wrong code",IF(D592="","Missing qty",IF(A592="","Missing date",""))))))</f>
        <v/>
      </c>
      <c r="I592" s="84" t="str">
        <f aca="false">IF(B592=Dashboard!$D$3,ROW(),"")</f>
        <v/>
      </c>
    </row>
    <row r="593" customFormat="false" ht="15" hidden="false" customHeight="false" outlineLevel="0" collapsed="false">
      <c r="A593" s="80"/>
      <c r="B593" s="71"/>
      <c r="C593" s="71"/>
      <c r="D593" s="81"/>
      <c r="E593" s="71"/>
      <c r="F593" s="71"/>
      <c r="G593" s="82" t="str">
        <f aca="false">IF(C593="","",IFERROR(INDEX('Kit Lists'!$D$6:$D$605,MATCH(B593&amp;"|"&amp;C593,'Kit Lists'!$J$6:$J$605,0)),"Not on this contract's kit list"))</f>
        <v/>
      </c>
      <c r="H593" s="83" t="str">
        <f aca="false">IF(AND(B593="",C593="",D593=""),"",IF(B593="","Missing contract",IF(C593="","Missing code",IF(LEFT(G593,3)="Not","Wrong code",IF(D593="","Missing qty",IF(A593="","Missing date",""))))))</f>
        <v/>
      </c>
      <c r="I593" s="84" t="str">
        <f aca="false">IF(B593=Dashboard!$D$3,ROW(),"")</f>
        <v/>
      </c>
    </row>
    <row r="594" customFormat="false" ht="15" hidden="false" customHeight="false" outlineLevel="0" collapsed="false">
      <c r="A594" s="80"/>
      <c r="B594" s="71"/>
      <c r="C594" s="71"/>
      <c r="D594" s="81"/>
      <c r="E594" s="71"/>
      <c r="F594" s="71"/>
      <c r="G594" s="82" t="str">
        <f aca="false">IF(C594="","",IFERROR(INDEX('Kit Lists'!$D$6:$D$605,MATCH(B594&amp;"|"&amp;C594,'Kit Lists'!$J$6:$J$605,0)),"Not on this contract's kit list"))</f>
        <v/>
      </c>
      <c r="H594" s="83" t="str">
        <f aca="false">IF(AND(B594="",C594="",D594=""),"",IF(B594="","Missing contract",IF(C594="","Missing code",IF(LEFT(G594,3)="Not","Wrong code",IF(D594="","Missing qty",IF(A594="","Missing date",""))))))</f>
        <v/>
      </c>
      <c r="I594" s="84" t="str">
        <f aca="false">IF(B594=Dashboard!$D$3,ROW(),"")</f>
        <v/>
      </c>
    </row>
    <row r="595" customFormat="false" ht="15" hidden="false" customHeight="false" outlineLevel="0" collapsed="false">
      <c r="A595" s="80"/>
      <c r="B595" s="71"/>
      <c r="C595" s="71"/>
      <c r="D595" s="81"/>
      <c r="E595" s="71"/>
      <c r="F595" s="71"/>
      <c r="G595" s="82" t="str">
        <f aca="false">IF(C595="","",IFERROR(INDEX('Kit Lists'!$D$6:$D$605,MATCH(B595&amp;"|"&amp;C595,'Kit Lists'!$J$6:$J$605,0)),"Not on this contract's kit list"))</f>
        <v/>
      </c>
      <c r="H595" s="83" t="str">
        <f aca="false">IF(AND(B595="",C595="",D595=""),"",IF(B595="","Missing contract",IF(C595="","Missing code",IF(LEFT(G595,3)="Not","Wrong code",IF(D595="","Missing qty",IF(A595="","Missing date",""))))))</f>
        <v/>
      </c>
      <c r="I595" s="84" t="str">
        <f aca="false">IF(B595=Dashboard!$D$3,ROW(),"")</f>
        <v/>
      </c>
    </row>
    <row r="596" customFormat="false" ht="15" hidden="false" customHeight="false" outlineLevel="0" collapsed="false">
      <c r="A596" s="80"/>
      <c r="B596" s="71"/>
      <c r="C596" s="71"/>
      <c r="D596" s="81"/>
      <c r="E596" s="71"/>
      <c r="F596" s="71"/>
      <c r="G596" s="82" t="str">
        <f aca="false">IF(C596="","",IFERROR(INDEX('Kit Lists'!$D$6:$D$605,MATCH(B596&amp;"|"&amp;C596,'Kit Lists'!$J$6:$J$605,0)),"Not on this contract's kit list"))</f>
        <v/>
      </c>
      <c r="H596" s="83" t="str">
        <f aca="false">IF(AND(B596="",C596="",D596=""),"",IF(B596="","Missing contract",IF(C596="","Missing code",IF(LEFT(G596,3)="Not","Wrong code",IF(D596="","Missing qty",IF(A596="","Missing date",""))))))</f>
        <v/>
      </c>
      <c r="I596" s="84" t="str">
        <f aca="false">IF(B596=Dashboard!$D$3,ROW(),"")</f>
        <v/>
      </c>
    </row>
    <row r="597" customFormat="false" ht="15" hidden="false" customHeight="false" outlineLevel="0" collapsed="false">
      <c r="A597" s="80"/>
      <c r="B597" s="71"/>
      <c r="C597" s="71"/>
      <c r="D597" s="81"/>
      <c r="E597" s="71"/>
      <c r="F597" s="71"/>
      <c r="G597" s="82" t="str">
        <f aca="false">IF(C597="","",IFERROR(INDEX('Kit Lists'!$D$6:$D$605,MATCH(B597&amp;"|"&amp;C597,'Kit Lists'!$J$6:$J$605,0)),"Not on this contract's kit list"))</f>
        <v/>
      </c>
      <c r="H597" s="83" t="str">
        <f aca="false">IF(AND(B597="",C597="",D597=""),"",IF(B597="","Missing contract",IF(C597="","Missing code",IF(LEFT(G597,3)="Not","Wrong code",IF(D597="","Missing qty",IF(A597="","Missing date",""))))))</f>
        <v/>
      </c>
      <c r="I597" s="84" t="str">
        <f aca="false">IF(B597=Dashboard!$D$3,ROW(),"")</f>
        <v/>
      </c>
    </row>
    <row r="598" customFormat="false" ht="15" hidden="false" customHeight="false" outlineLevel="0" collapsed="false">
      <c r="A598" s="80"/>
      <c r="B598" s="71"/>
      <c r="C598" s="71"/>
      <c r="D598" s="81"/>
      <c r="E598" s="71"/>
      <c r="F598" s="71"/>
      <c r="G598" s="82" t="str">
        <f aca="false">IF(C598="","",IFERROR(INDEX('Kit Lists'!$D$6:$D$605,MATCH(B598&amp;"|"&amp;C598,'Kit Lists'!$J$6:$J$605,0)),"Not on this contract's kit list"))</f>
        <v/>
      </c>
      <c r="H598" s="83" t="str">
        <f aca="false">IF(AND(B598="",C598="",D598=""),"",IF(B598="","Missing contract",IF(C598="","Missing code",IF(LEFT(G598,3)="Not","Wrong code",IF(D598="","Missing qty",IF(A598="","Missing date",""))))))</f>
        <v/>
      </c>
      <c r="I598" s="84" t="str">
        <f aca="false">IF(B598=Dashboard!$D$3,ROW(),"")</f>
        <v/>
      </c>
    </row>
    <row r="599" customFormat="false" ht="15" hidden="false" customHeight="false" outlineLevel="0" collapsed="false">
      <c r="A599" s="80"/>
      <c r="B599" s="71"/>
      <c r="C599" s="71"/>
      <c r="D599" s="81"/>
      <c r="E599" s="71"/>
      <c r="F599" s="71"/>
      <c r="G599" s="82" t="str">
        <f aca="false">IF(C599="","",IFERROR(INDEX('Kit Lists'!$D$6:$D$605,MATCH(B599&amp;"|"&amp;C599,'Kit Lists'!$J$6:$J$605,0)),"Not on this contract's kit list"))</f>
        <v/>
      </c>
      <c r="H599" s="83" t="str">
        <f aca="false">IF(AND(B599="",C599="",D599=""),"",IF(B599="","Missing contract",IF(C599="","Missing code",IF(LEFT(G599,3)="Not","Wrong code",IF(D599="","Missing qty",IF(A599="","Missing date",""))))))</f>
        <v/>
      </c>
      <c r="I599" s="84" t="str">
        <f aca="false">IF(B599=Dashboard!$D$3,ROW(),"")</f>
        <v/>
      </c>
    </row>
    <row r="600" customFormat="false" ht="15" hidden="false" customHeight="false" outlineLevel="0" collapsed="false">
      <c r="A600" s="80"/>
      <c r="B600" s="71"/>
      <c r="C600" s="71"/>
      <c r="D600" s="81"/>
      <c r="E600" s="71"/>
      <c r="F600" s="71"/>
      <c r="G600" s="82" t="str">
        <f aca="false">IF(C600="","",IFERROR(INDEX('Kit Lists'!$D$6:$D$605,MATCH(B600&amp;"|"&amp;C600,'Kit Lists'!$J$6:$J$605,0)),"Not on this contract's kit list"))</f>
        <v/>
      </c>
      <c r="H600" s="83" t="str">
        <f aca="false">IF(AND(B600="",C600="",D600=""),"",IF(B600="","Missing contract",IF(C600="","Missing code",IF(LEFT(G600,3)="Not","Wrong code",IF(D600="","Missing qty",IF(A600="","Missing date",""))))))</f>
        <v/>
      </c>
      <c r="I600" s="84" t="str">
        <f aca="false">IF(B600=Dashboard!$D$3,ROW(),"")</f>
        <v/>
      </c>
    </row>
    <row r="601" customFormat="false" ht="15" hidden="false" customHeight="false" outlineLevel="0" collapsed="false">
      <c r="A601" s="80"/>
      <c r="B601" s="71"/>
      <c r="C601" s="71"/>
      <c r="D601" s="81"/>
      <c r="E601" s="71"/>
      <c r="F601" s="71"/>
      <c r="G601" s="82" t="str">
        <f aca="false">IF(C601="","",IFERROR(INDEX('Kit Lists'!$D$6:$D$605,MATCH(B601&amp;"|"&amp;C601,'Kit Lists'!$J$6:$J$605,0)),"Not on this contract's kit list"))</f>
        <v/>
      </c>
      <c r="H601" s="83" t="str">
        <f aca="false">IF(AND(B601="",C601="",D601=""),"",IF(B601="","Missing contract",IF(C601="","Missing code",IF(LEFT(G601,3)="Not","Wrong code",IF(D601="","Missing qty",IF(A601="","Missing date",""))))))</f>
        <v/>
      </c>
      <c r="I601" s="84" t="str">
        <f aca="false">IF(B601=Dashboard!$D$3,ROW(),"")</f>
        <v/>
      </c>
    </row>
    <row r="602" customFormat="false" ht="15" hidden="false" customHeight="false" outlineLevel="0" collapsed="false">
      <c r="A602" s="80"/>
      <c r="B602" s="71"/>
      <c r="C602" s="71"/>
      <c r="D602" s="81"/>
      <c r="E602" s="71"/>
      <c r="F602" s="71"/>
      <c r="G602" s="82" t="str">
        <f aca="false">IF(C602="","",IFERROR(INDEX('Kit Lists'!$D$6:$D$605,MATCH(B602&amp;"|"&amp;C602,'Kit Lists'!$J$6:$J$605,0)),"Not on this contract's kit list"))</f>
        <v/>
      </c>
      <c r="H602" s="83" t="str">
        <f aca="false">IF(AND(B602="",C602="",D602=""),"",IF(B602="","Missing contract",IF(C602="","Missing code",IF(LEFT(G602,3)="Not","Wrong code",IF(D602="","Missing qty",IF(A602="","Missing date",""))))))</f>
        <v/>
      </c>
      <c r="I602" s="84" t="str">
        <f aca="false">IF(B602=Dashboard!$D$3,ROW(),"")</f>
        <v/>
      </c>
    </row>
    <row r="603" customFormat="false" ht="15" hidden="false" customHeight="false" outlineLevel="0" collapsed="false">
      <c r="A603" s="80"/>
      <c r="B603" s="71"/>
      <c r="C603" s="71"/>
      <c r="D603" s="81"/>
      <c r="E603" s="71"/>
      <c r="F603" s="71"/>
      <c r="G603" s="82" t="str">
        <f aca="false">IF(C603="","",IFERROR(INDEX('Kit Lists'!$D$6:$D$605,MATCH(B603&amp;"|"&amp;C603,'Kit Lists'!$J$6:$J$605,0)),"Not on this contract's kit list"))</f>
        <v/>
      </c>
      <c r="H603" s="83" t="str">
        <f aca="false">IF(AND(B603="",C603="",D603=""),"",IF(B603="","Missing contract",IF(C603="","Missing code",IF(LEFT(G603,3)="Not","Wrong code",IF(D603="","Missing qty",IF(A603="","Missing date",""))))))</f>
        <v/>
      </c>
      <c r="I603" s="84" t="str">
        <f aca="false">IF(B603=Dashboard!$D$3,ROW(),"")</f>
        <v/>
      </c>
    </row>
    <row r="604" customFormat="false" ht="15" hidden="false" customHeight="false" outlineLevel="0" collapsed="false">
      <c r="A604" s="80"/>
      <c r="B604" s="71"/>
      <c r="C604" s="71"/>
      <c r="D604" s="81"/>
      <c r="E604" s="71"/>
      <c r="F604" s="71"/>
      <c r="G604" s="82" t="str">
        <f aca="false">IF(C604="","",IFERROR(INDEX('Kit Lists'!$D$6:$D$605,MATCH(B604&amp;"|"&amp;C604,'Kit Lists'!$J$6:$J$605,0)),"Not on this contract's kit list"))</f>
        <v/>
      </c>
      <c r="H604" s="83" t="str">
        <f aca="false">IF(AND(B604="",C604="",D604=""),"",IF(B604="","Missing contract",IF(C604="","Missing code",IF(LEFT(G604,3)="Not","Wrong code",IF(D604="","Missing qty",IF(A604="","Missing date",""))))))</f>
        <v/>
      </c>
      <c r="I604" s="84" t="str">
        <f aca="false">IF(B604=Dashboard!$D$3,ROW(),"")</f>
        <v/>
      </c>
    </row>
    <row r="605" customFormat="false" ht="15" hidden="false" customHeight="false" outlineLevel="0" collapsed="false">
      <c r="A605" s="80"/>
      <c r="B605" s="71"/>
      <c r="C605" s="71"/>
      <c r="D605" s="81"/>
      <c r="E605" s="71"/>
      <c r="F605" s="71"/>
      <c r="G605" s="82" t="str">
        <f aca="false">IF(C605="","",IFERROR(INDEX('Kit Lists'!$D$6:$D$605,MATCH(B605&amp;"|"&amp;C605,'Kit Lists'!$J$6:$J$605,0)),"Not on this contract's kit list"))</f>
        <v/>
      </c>
      <c r="H605" s="83" t="str">
        <f aca="false">IF(AND(B605="",C605="",D605=""),"",IF(B605="","Missing contract",IF(C605="","Missing code",IF(LEFT(G605,3)="Not","Wrong code",IF(D605="","Missing qty",IF(A605="","Missing date",""))))))</f>
        <v/>
      </c>
      <c r="I605" s="84" t="str">
        <f aca="false">IF(B605=Dashboard!$D$3,ROW(),"")</f>
        <v/>
      </c>
    </row>
    <row r="606" customFormat="false" ht="15" hidden="false" customHeight="false" outlineLevel="0" collapsed="false">
      <c r="A606" s="80"/>
      <c r="B606" s="71"/>
      <c r="C606" s="71"/>
      <c r="D606" s="81"/>
      <c r="E606" s="71"/>
      <c r="F606" s="71"/>
      <c r="G606" s="82" t="str">
        <f aca="false">IF(C606="","",IFERROR(INDEX('Kit Lists'!$D$6:$D$605,MATCH(B606&amp;"|"&amp;C606,'Kit Lists'!$J$6:$J$605,0)),"Not on this contract's kit list"))</f>
        <v/>
      </c>
      <c r="H606" s="83" t="str">
        <f aca="false">IF(AND(B606="",C606="",D606=""),"",IF(B606="","Missing contract",IF(C606="","Missing code",IF(LEFT(G606,3)="Not","Wrong code",IF(D606="","Missing qty",IF(A606="","Missing date",""))))))</f>
        <v/>
      </c>
      <c r="I606" s="84" t="str">
        <f aca="false">IF(B606=Dashboard!$D$3,ROW(),"")</f>
        <v/>
      </c>
    </row>
    <row r="607" customFormat="false" ht="15" hidden="false" customHeight="false" outlineLevel="0" collapsed="false">
      <c r="A607" s="80"/>
      <c r="B607" s="71"/>
      <c r="C607" s="71"/>
      <c r="D607" s="81"/>
      <c r="E607" s="71"/>
      <c r="F607" s="71"/>
      <c r="G607" s="82" t="str">
        <f aca="false">IF(C607="","",IFERROR(INDEX('Kit Lists'!$D$6:$D$605,MATCH(B607&amp;"|"&amp;C607,'Kit Lists'!$J$6:$J$605,0)),"Not on this contract's kit list"))</f>
        <v/>
      </c>
      <c r="H607" s="83" t="str">
        <f aca="false">IF(AND(B607="",C607="",D607=""),"",IF(B607="","Missing contract",IF(C607="","Missing code",IF(LEFT(G607,3)="Not","Wrong code",IF(D607="","Missing qty",IF(A607="","Missing date",""))))))</f>
        <v/>
      </c>
      <c r="I607" s="84" t="str">
        <f aca="false">IF(B607=Dashboard!$D$3,ROW(),"")</f>
        <v/>
      </c>
    </row>
    <row r="608" customFormat="false" ht="15" hidden="false" customHeight="false" outlineLevel="0" collapsed="false">
      <c r="A608" s="80"/>
      <c r="B608" s="71"/>
      <c r="C608" s="71"/>
      <c r="D608" s="81"/>
      <c r="E608" s="71"/>
      <c r="F608" s="71"/>
      <c r="G608" s="82" t="str">
        <f aca="false">IF(C608="","",IFERROR(INDEX('Kit Lists'!$D$6:$D$605,MATCH(B608&amp;"|"&amp;C608,'Kit Lists'!$J$6:$J$605,0)),"Not on this contract's kit list"))</f>
        <v/>
      </c>
      <c r="H608" s="83" t="str">
        <f aca="false">IF(AND(B608="",C608="",D608=""),"",IF(B608="","Missing contract",IF(C608="","Missing code",IF(LEFT(G608,3)="Not","Wrong code",IF(D608="","Missing qty",IF(A608="","Missing date",""))))))</f>
        <v/>
      </c>
      <c r="I608" s="84" t="str">
        <f aca="false">IF(B608=Dashboard!$D$3,ROW(),"")</f>
        <v/>
      </c>
    </row>
    <row r="609" customFormat="false" ht="15" hidden="false" customHeight="false" outlineLevel="0" collapsed="false">
      <c r="A609" s="80"/>
      <c r="B609" s="71"/>
      <c r="C609" s="71"/>
      <c r="D609" s="81"/>
      <c r="E609" s="71"/>
      <c r="F609" s="71"/>
      <c r="G609" s="82" t="str">
        <f aca="false">IF(C609="","",IFERROR(INDEX('Kit Lists'!$D$6:$D$605,MATCH(B609&amp;"|"&amp;C609,'Kit Lists'!$J$6:$J$605,0)),"Not on this contract's kit list"))</f>
        <v/>
      </c>
      <c r="H609" s="83" t="str">
        <f aca="false">IF(AND(B609="",C609="",D609=""),"",IF(B609="","Missing contract",IF(C609="","Missing code",IF(LEFT(G609,3)="Not","Wrong code",IF(D609="","Missing qty",IF(A609="","Missing date",""))))))</f>
        <v/>
      </c>
      <c r="I609" s="84" t="str">
        <f aca="false">IF(B609=Dashboard!$D$3,ROW(),"")</f>
        <v/>
      </c>
    </row>
    <row r="610" customFormat="false" ht="15" hidden="false" customHeight="false" outlineLevel="0" collapsed="false">
      <c r="A610" s="80"/>
      <c r="B610" s="71"/>
      <c r="C610" s="71"/>
      <c r="D610" s="81"/>
      <c r="E610" s="71"/>
      <c r="F610" s="71"/>
      <c r="G610" s="82" t="str">
        <f aca="false">IF(C610="","",IFERROR(INDEX('Kit Lists'!$D$6:$D$605,MATCH(B610&amp;"|"&amp;C610,'Kit Lists'!$J$6:$J$605,0)),"Not on this contract's kit list"))</f>
        <v/>
      </c>
      <c r="H610" s="83" t="str">
        <f aca="false">IF(AND(B610="",C610="",D610=""),"",IF(B610="","Missing contract",IF(C610="","Missing code",IF(LEFT(G610,3)="Not","Wrong code",IF(D610="","Missing qty",IF(A610="","Missing date",""))))))</f>
        <v/>
      </c>
      <c r="I610" s="84" t="str">
        <f aca="false">IF(B610=Dashboard!$D$3,ROW(),"")</f>
        <v/>
      </c>
    </row>
    <row r="611" customFormat="false" ht="15" hidden="false" customHeight="false" outlineLevel="0" collapsed="false">
      <c r="A611" s="80"/>
      <c r="B611" s="71"/>
      <c r="C611" s="71"/>
      <c r="D611" s="81"/>
      <c r="E611" s="71"/>
      <c r="F611" s="71"/>
      <c r="G611" s="82" t="str">
        <f aca="false">IF(C611="","",IFERROR(INDEX('Kit Lists'!$D$6:$D$605,MATCH(B611&amp;"|"&amp;C611,'Kit Lists'!$J$6:$J$605,0)),"Not on this contract's kit list"))</f>
        <v/>
      </c>
      <c r="H611" s="83" t="str">
        <f aca="false">IF(AND(B611="",C611="",D611=""),"",IF(B611="","Missing contract",IF(C611="","Missing code",IF(LEFT(G611,3)="Not","Wrong code",IF(D611="","Missing qty",IF(A611="","Missing date",""))))))</f>
        <v/>
      </c>
      <c r="I611" s="84" t="str">
        <f aca="false">IF(B611=Dashboard!$D$3,ROW(),"")</f>
        <v/>
      </c>
    </row>
    <row r="612" customFormat="false" ht="15" hidden="false" customHeight="false" outlineLevel="0" collapsed="false">
      <c r="A612" s="80"/>
      <c r="B612" s="71"/>
      <c r="C612" s="71"/>
      <c r="D612" s="81"/>
      <c r="E612" s="71"/>
      <c r="F612" s="71"/>
      <c r="G612" s="82" t="str">
        <f aca="false">IF(C612="","",IFERROR(INDEX('Kit Lists'!$D$6:$D$605,MATCH(B612&amp;"|"&amp;C612,'Kit Lists'!$J$6:$J$605,0)),"Not on this contract's kit list"))</f>
        <v/>
      </c>
      <c r="H612" s="83" t="str">
        <f aca="false">IF(AND(B612="",C612="",D612=""),"",IF(B612="","Missing contract",IF(C612="","Missing code",IF(LEFT(G612,3)="Not","Wrong code",IF(D612="","Missing qty",IF(A612="","Missing date",""))))))</f>
        <v/>
      </c>
      <c r="I612" s="84" t="str">
        <f aca="false">IF(B612=Dashboard!$D$3,ROW(),"")</f>
        <v/>
      </c>
    </row>
    <row r="613" customFormat="false" ht="15" hidden="false" customHeight="false" outlineLevel="0" collapsed="false">
      <c r="A613" s="80"/>
      <c r="B613" s="71"/>
      <c r="C613" s="71"/>
      <c r="D613" s="81"/>
      <c r="E613" s="71"/>
      <c r="F613" s="71"/>
      <c r="G613" s="82" t="str">
        <f aca="false">IF(C613="","",IFERROR(INDEX('Kit Lists'!$D$6:$D$605,MATCH(B613&amp;"|"&amp;C613,'Kit Lists'!$J$6:$J$605,0)),"Not on this contract's kit list"))</f>
        <v/>
      </c>
      <c r="H613" s="83" t="str">
        <f aca="false">IF(AND(B613="",C613="",D613=""),"",IF(B613="","Missing contract",IF(C613="","Missing code",IF(LEFT(G613,3)="Not","Wrong code",IF(D613="","Missing qty",IF(A613="","Missing date",""))))))</f>
        <v/>
      </c>
      <c r="I613" s="84" t="str">
        <f aca="false">IF(B613=Dashboard!$D$3,ROW(),"")</f>
        <v/>
      </c>
    </row>
    <row r="614" customFormat="false" ht="15" hidden="false" customHeight="false" outlineLevel="0" collapsed="false">
      <c r="A614" s="80"/>
      <c r="B614" s="71"/>
      <c r="C614" s="71"/>
      <c r="D614" s="81"/>
      <c r="E614" s="71"/>
      <c r="F614" s="71"/>
      <c r="G614" s="82" t="str">
        <f aca="false">IF(C614="","",IFERROR(INDEX('Kit Lists'!$D$6:$D$605,MATCH(B614&amp;"|"&amp;C614,'Kit Lists'!$J$6:$J$605,0)),"Not on this contract's kit list"))</f>
        <v/>
      </c>
      <c r="H614" s="83" t="str">
        <f aca="false">IF(AND(B614="",C614="",D614=""),"",IF(B614="","Missing contract",IF(C614="","Missing code",IF(LEFT(G614,3)="Not","Wrong code",IF(D614="","Missing qty",IF(A614="","Missing date",""))))))</f>
        <v/>
      </c>
      <c r="I614" s="84" t="str">
        <f aca="false">IF(B614=Dashboard!$D$3,ROW(),"")</f>
        <v/>
      </c>
    </row>
    <row r="615" customFormat="false" ht="15" hidden="false" customHeight="false" outlineLevel="0" collapsed="false">
      <c r="A615" s="80"/>
      <c r="B615" s="71"/>
      <c r="C615" s="71"/>
      <c r="D615" s="81"/>
      <c r="E615" s="71"/>
      <c r="F615" s="71"/>
      <c r="G615" s="82" t="str">
        <f aca="false">IF(C615="","",IFERROR(INDEX('Kit Lists'!$D$6:$D$605,MATCH(B615&amp;"|"&amp;C615,'Kit Lists'!$J$6:$J$605,0)),"Not on this contract's kit list"))</f>
        <v/>
      </c>
      <c r="H615" s="83" t="str">
        <f aca="false">IF(AND(B615="",C615="",D615=""),"",IF(B615="","Missing contract",IF(C615="","Missing code",IF(LEFT(G615,3)="Not","Wrong code",IF(D615="","Missing qty",IF(A615="","Missing date",""))))))</f>
        <v/>
      </c>
      <c r="I615" s="84" t="str">
        <f aca="false">IF(B615=Dashboard!$D$3,ROW(),"")</f>
        <v/>
      </c>
    </row>
    <row r="616" customFormat="false" ht="15" hidden="false" customHeight="false" outlineLevel="0" collapsed="false">
      <c r="A616" s="80"/>
      <c r="B616" s="71"/>
      <c r="C616" s="71"/>
      <c r="D616" s="81"/>
      <c r="E616" s="71"/>
      <c r="F616" s="71"/>
      <c r="G616" s="82" t="str">
        <f aca="false">IF(C616="","",IFERROR(INDEX('Kit Lists'!$D$6:$D$605,MATCH(B616&amp;"|"&amp;C616,'Kit Lists'!$J$6:$J$605,0)),"Not on this contract's kit list"))</f>
        <v/>
      </c>
      <c r="H616" s="83" t="str">
        <f aca="false">IF(AND(B616="",C616="",D616=""),"",IF(B616="","Missing contract",IF(C616="","Missing code",IF(LEFT(G616,3)="Not","Wrong code",IF(D616="","Missing qty",IF(A616="","Missing date",""))))))</f>
        <v/>
      </c>
      <c r="I616" s="84" t="str">
        <f aca="false">IF(B616=Dashboard!$D$3,ROW(),"")</f>
        <v/>
      </c>
    </row>
    <row r="617" customFormat="false" ht="15" hidden="false" customHeight="false" outlineLevel="0" collapsed="false">
      <c r="A617" s="80"/>
      <c r="B617" s="71"/>
      <c r="C617" s="71"/>
      <c r="D617" s="81"/>
      <c r="E617" s="71"/>
      <c r="F617" s="71"/>
      <c r="G617" s="82" t="str">
        <f aca="false">IF(C617="","",IFERROR(INDEX('Kit Lists'!$D$6:$D$605,MATCH(B617&amp;"|"&amp;C617,'Kit Lists'!$J$6:$J$605,0)),"Not on this contract's kit list"))</f>
        <v/>
      </c>
      <c r="H617" s="83" t="str">
        <f aca="false">IF(AND(B617="",C617="",D617=""),"",IF(B617="","Missing contract",IF(C617="","Missing code",IF(LEFT(G617,3)="Not","Wrong code",IF(D617="","Missing qty",IF(A617="","Missing date",""))))))</f>
        <v/>
      </c>
      <c r="I617" s="84" t="str">
        <f aca="false">IF(B617=Dashboard!$D$3,ROW(),"")</f>
        <v/>
      </c>
    </row>
    <row r="618" customFormat="false" ht="15" hidden="false" customHeight="false" outlineLevel="0" collapsed="false">
      <c r="A618" s="80"/>
      <c r="B618" s="71"/>
      <c r="C618" s="71"/>
      <c r="D618" s="81"/>
      <c r="E618" s="71"/>
      <c r="F618" s="71"/>
      <c r="G618" s="82" t="str">
        <f aca="false">IF(C618="","",IFERROR(INDEX('Kit Lists'!$D$6:$D$605,MATCH(B618&amp;"|"&amp;C618,'Kit Lists'!$J$6:$J$605,0)),"Not on this contract's kit list"))</f>
        <v/>
      </c>
      <c r="H618" s="83" t="str">
        <f aca="false">IF(AND(B618="",C618="",D618=""),"",IF(B618="","Missing contract",IF(C618="","Missing code",IF(LEFT(G618,3)="Not","Wrong code",IF(D618="","Missing qty",IF(A618="","Missing date",""))))))</f>
        <v/>
      </c>
      <c r="I618" s="84" t="str">
        <f aca="false">IF(B618=Dashboard!$D$3,ROW(),"")</f>
        <v/>
      </c>
    </row>
    <row r="619" customFormat="false" ht="15" hidden="false" customHeight="false" outlineLevel="0" collapsed="false">
      <c r="A619" s="80"/>
      <c r="B619" s="71"/>
      <c r="C619" s="71"/>
      <c r="D619" s="81"/>
      <c r="E619" s="71"/>
      <c r="F619" s="71"/>
      <c r="G619" s="82" t="str">
        <f aca="false">IF(C619="","",IFERROR(INDEX('Kit Lists'!$D$6:$D$605,MATCH(B619&amp;"|"&amp;C619,'Kit Lists'!$J$6:$J$605,0)),"Not on this contract's kit list"))</f>
        <v/>
      </c>
      <c r="H619" s="83" t="str">
        <f aca="false">IF(AND(B619="",C619="",D619=""),"",IF(B619="","Missing contract",IF(C619="","Missing code",IF(LEFT(G619,3)="Not","Wrong code",IF(D619="","Missing qty",IF(A619="","Missing date",""))))))</f>
        <v/>
      </c>
      <c r="I619" s="84" t="str">
        <f aca="false">IF(B619=Dashboard!$D$3,ROW(),"")</f>
        <v/>
      </c>
    </row>
    <row r="620" customFormat="false" ht="15" hidden="false" customHeight="false" outlineLevel="0" collapsed="false">
      <c r="A620" s="80"/>
      <c r="B620" s="71"/>
      <c r="C620" s="71"/>
      <c r="D620" s="81"/>
      <c r="E620" s="71"/>
      <c r="F620" s="71"/>
      <c r="G620" s="82" t="str">
        <f aca="false">IF(C620="","",IFERROR(INDEX('Kit Lists'!$D$6:$D$605,MATCH(B620&amp;"|"&amp;C620,'Kit Lists'!$J$6:$J$605,0)),"Not on this contract's kit list"))</f>
        <v/>
      </c>
      <c r="H620" s="83" t="str">
        <f aca="false">IF(AND(B620="",C620="",D620=""),"",IF(B620="","Missing contract",IF(C620="","Missing code",IF(LEFT(G620,3)="Not","Wrong code",IF(D620="","Missing qty",IF(A620="","Missing date",""))))))</f>
        <v/>
      </c>
      <c r="I620" s="84" t="str">
        <f aca="false">IF(B620=Dashboard!$D$3,ROW(),"")</f>
        <v/>
      </c>
    </row>
    <row r="621" customFormat="false" ht="15" hidden="false" customHeight="false" outlineLevel="0" collapsed="false">
      <c r="A621" s="80"/>
      <c r="B621" s="71"/>
      <c r="C621" s="71"/>
      <c r="D621" s="81"/>
      <c r="E621" s="71"/>
      <c r="F621" s="71"/>
      <c r="G621" s="82" t="str">
        <f aca="false">IF(C621="","",IFERROR(INDEX('Kit Lists'!$D$6:$D$605,MATCH(B621&amp;"|"&amp;C621,'Kit Lists'!$J$6:$J$605,0)),"Not on this contract's kit list"))</f>
        <v/>
      </c>
      <c r="H621" s="83" t="str">
        <f aca="false">IF(AND(B621="",C621="",D621=""),"",IF(B621="","Missing contract",IF(C621="","Missing code",IF(LEFT(G621,3)="Not","Wrong code",IF(D621="","Missing qty",IF(A621="","Missing date",""))))))</f>
        <v/>
      </c>
      <c r="I621" s="84" t="str">
        <f aca="false">IF(B621=Dashboard!$D$3,ROW(),"")</f>
        <v/>
      </c>
    </row>
    <row r="622" customFormat="false" ht="15" hidden="false" customHeight="false" outlineLevel="0" collapsed="false">
      <c r="A622" s="80"/>
      <c r="B622" s="71"/>
      <c r="C622" s="71"/>
      <c r="D622" s="81"/>
      <c r="E622" s="71"/>
      <c r="F622" s="71"/>
      <c r="G622" s="82" t="str">
        <f aca="false">IF(C622="","",IFERROR(INDEX('Kit Lists'!$D$6:$D$605,MATCH(B622&amp;"|"&amp;C622,'Kit Lists'!$J$6:$J$605,0)),"Not on this contract's kit list"))</f>
        <v/>
      </c>
      <c r="H622" s="83" t="str">
        <f aca="false">IF(AND(B622="",C622="",D622=""),"",IF(B622="","Missing contract",IF(C622="","Missing code",IF(LEFT(G622,3)="Not","Wrong code",IF(D622="","Missing qty",IF(A622="","Missing date",""))))))</f>
        <v/>
      </c>
      <c r="I622" s="84" t="str">
        <f aca="false">IF(B622=Dashboard!$D$3,ROW(),"")</f>
        <v/>
      </c>
    </row>
    <row r="623" customFormat="false" ht="15" hidden="false" customHeight="false" outlineLevel="0" collapsed="false">
      <c r="A623" s="80"/>
      <c r="B623" s="71"/>
      <c r="C623" s="71"/>
      <c r="D623" s="81"/>
      <c r="E623" s="71"/>
      <c r="F623" s="71"/>
      <c r="G623" s="82" t="str">
        <f aca="false">IF(C623="","",IFERROR(INDEX('Kit Lists'!$D$6:$D$605,MATCH(B623&amp;"|"&amp;C623,'Kit Lists'!$J$6:$J$605,0)),"Not on this contract's kit list"))</f>
        <v/>
      </c>
      <c r="H623" s="83" t="str">
        <f aca="false">IF(AND(B623="",C623="",D623=""),"",IF(B623="","Missing contract",IF(C623="","Missing code",IF(LEFT(G623,3)="Not","Wrong code",IF(D623="","Missing qty",IF(A623="","Missing date",""))))))</f>
        <v/>
      </c>
      <c r="I623" s="84" t="str">
        <f aca="false">IF(B623=Dashboard!$D$3,ROW(),"")</f>
        <v/>
      </c>
    </row>
    <row r="624" customFormat="false" ht="15" hidden="false" customHeight="false" outlineLevel="0" collapsed="false">
      <c r="A624" s="80"/>
      <c r="B624" s="71"/>
      <c r="C624" s="71"/>
      <c r="D624" s="81"/>
      <c r="E624" s="71"/>
      <c r="F624" s="71"/>
      <c r="G624" s="82" t="str">
        <f aca="false">IF(C624="","",IFERROR(INDEX('Kit Lists'!$D$6:$D$605,MATCH(B624&amp;"|"&amp;C624,'Kit Lists'!$J$6:$J$605,0)),"Not on this contract's kit list"))</f>
        <v/>
      </c>
      <c r="H624" s="83" t="str">
        <f aca="false">IF(AND(B624="",C624="",D624=""),"",IF(B624="","Missing contract",IF(C624="","Missing code",IF(LEFT(G624,3)="Not","Wrong code",IF(D624="","Missing qty",IF(A624="","Missing date",""))))))</f>
        <v/>
      </c>
      <c r="I624" s="84" t="str">
        <f aca="false">IF(B624=Dashboard!$D$3,ROW(),"")</f>
        <v/>
      </c>
    </row>
    <row r="625" customFormat="false" ht="15" hidden="false" customHeight="false" outlineLevel="0" collapsed="false">
      <c r="A625" s="80"/>
      <c r="B625" s="71"/>
      <c r="C625" s="71"/>
      <c r="D625" s="81"/>
      <c r="E625" s="71"/>
      <c r="F625" s="71"/>
      <c r="G625" s="82" t="str">
        <f aca="false">IF(C625="","",IFERROR(INDEX('Kit Lists'!$D$6:$D$605,MATCH(B625&amp;"|"&amp;C625,'Kit Lists'!$J$6:$J$605,0)),"Not on this contract's kit list"))</f>
        <v/>
      </c>
      <c r="H625" s="83" t="str">
        <f aca="false">IF(AND(B625="",C625="",D625=""),"",IF(B625="","Missing contract",IF(C625="","Missing code",IF(LEFT(G625,3)="Not","Wrong code",IF(D625="","Missing qty",IF(A625="","Missing date",""))))))</f>
        <v/>
      </c>
      <c r="I625" s="84" t="str">
        <f aca="false">IF(B625=Dashboard!$D$3,ROW(),"")</f>
        <v/>
      </c>
    </row>
    <row r="626" customFormat="false" ht="15" hidden="false" customHeight="false" outlineLevel="0" collapsed="false">
      <c r="A626" s="80"/>
      <c r="B626" s="71"/>
      <c r="C626" s="71"/>
      <c r="D626" s="81"/>
      <c r="E626" s="71"/>
      <c r="F626" s="71"/>
      <c r="G626" s="82" t="str">
        <f aca="false">IF(C626="","",IFERROR(INDEX('Kit Lists'!$D$6:$D$605,MATCH(B626&amp;"|"&amp;C626,'Kit Lists'!$J$6:$J$605,0)),"Not on this contract's kit list"))</f>
        <v/>
      </c>
      <c r="H626" s="83" t="str">
        <f aca="false">IF(AND(B626="",C626="",D626=""),"",IF(B626="","Missing contract",IF(C626="","Missing code",IF(LEFT(G626,3)="Not","Wrong code",IF(D626="","Missing qty",IF(A626="","Missing date",""))))))</f>
        <v/>
      </c>
      <c r="I626" s="84" t="str">
        <f aca="false">IF(B626=Dashboard!$D$3,ROW(),"")</f>
        <v/>
      </c>
    </row>
    <row r="627" customFormat="false" ht="15" hidden="false" customHeight="false" outlineLevel="0" collapsed="false">
      <c r="A627" s="80"/>
      <c r="B627" s="71"/>
      <c r="C627" s="71"/>
      <c r="D627" s="81"/>
      <c r="E627" s="71"/>
      <c r="F627" s="71"/>
      <c r="G627" s="82" t="str">
        <f aca="false">IF(C627="","",IFERROR(INDEX('Kit Lists'!$D$6:$D$605,MATCH(B627&amp;"|"&amp;C627,'Kit Lists'!$J$6:$J$605,0)),"Not on this contract's kit list"))</f>
        <v/>
      </c>
      <c r="H627" s="83" t="str">
        <f aca="false">IF(AND(B627="",C627="",D627=""),"",IF(B627="","Missing contract",IF(C627="","Missing code",IF(LEFT(G627,3)="Not","Wrong code",IF(D627="","Missing qty",IF(A627="","Missing date",""))))))</f>
        <v/>
      </c>
      <c r="I627" s="84" t="str">
        <f aca="false">IF(B627=Dashboard!$D$3,ROW(),"")</f>
        <v/>
      </c>
    </row>
    <row r="628" customFormat="false" ht="15" hidden="false" customHeight="false" outlineLevel="0" collapsed="false">
      <c r="A628" s="80"/>
      <c r="B628" s="71"/>
      <c r="C628" s="71"/>
      <c r="D628" s="81"/>
      <c r="E628" s="71"/>
      <c r="F628" s="71"/>
      <c r="G628" s="82" t="str">
        <f aca="false">IF(C628="","",IFERROR(INDEX('Kit Lists'!$D$6:$D$605,MATCH(B628&amp;"|"&amp;C628,'Kit Lists'!$J$6:$J$605,0)),"Not on this contract's kit list"))</f>
        <v/>
      </c>
      <c r="H628" s="83" t="str">
        <f aca="false">IF(AND(B628="",C628="",D628=""),"",IF(B628="","Missing contract",IF(C628="","Missing code",IF(LEFT(G628,3)="Not","Wrong code",IF(D628="","Missing qty",IF(A628="","Missing date",""))))))</f>
        <v/>
      </c>
      <c r="I628" s="84" t="str">
        <f aca="false">IF(B628=Dashboard!$D$3,ROW(),"")</f>
        <v/>
      </c>
    </row>
    <row r="629" customFormat="false" ht="15" hidden="false" customHeight="false" outlineLevel="0" collapsed="false">
      <c r="A629" s="80"/>
      <c r="B629" s="71"/>
      <c r="C629" s="71"/>
      <c r="D629" s="81"/>
      <c r="E629" s="71"/>
      <c r="F629" s="71"/>
      <c r="G629" s="82" t="str">
        <f aca="false">IF(C629="","",IFERROR(INDEX('Kit Lists'!$D$6:$D$605,MATCH(B629&amp;"|"&amp;C629,'Kit Lists'!$J$6:$J$605,0)),"Not on this contract's kit list"))</f>
        <v/>
      </c>
      <c r="H629" s="83" t="str">
        <f aca="false">IF(AND(B629="",C629="",D629=""),"",IF(B629="","Missing contract",IF(C629="","Missing code",IF(LEFT(G629,3)="Not","Wrong code",IF(D629="","Missing qty",IF(A629="","Missing date",""))))))</f>
        <v/>
      </c>
      <c r="I629" s="84" t="str">
        <f aca="false">IF(B629=Dashboard!$D$3,ROW(),"")</f>
        <v/>
      </c>
    </row>
    <row r="630" customFormat="false" ht="15" hidden="false" customHeight="false" outlineLevel="0" collapsed="false">
      <c r="A630" s="80"/>
      <c r="B630" s="71"/>
      <c r="C630" s="71"/>
      <c r="D630" s="81"/>
      <c r="E630" s="71"/>
      <c r="F630" s="71"/>
      <c r="G630" s="82" t="str">
        <f aca="false">IF(C630="","",IFERROR(INDEX('Kit Lists'!$D$6:$D$605,MATCH(B630&amp;"|"&amp;C630,'Kit Lists'!$J$6:$J$605,0)),"Not on this contract's kit list"))</f>
        <v/>
      </c>
      <c r="H630" s="83" t="str">
        <f aca="false">IF(AND(B630="",C630="",D630=""),"",IF(B630="","Missing contract",IF(C630="","Missing code",IF(LEFT(G630,3)="Not","Wrong code",IF(D630="","Missing qty",IF(A630="","Missing date",""))))))</f>
        <v/>
      </c>
      <c r="I630" s="84" t="str">
        <f aca="false">IF(B630=Dashboard!$D$3,ROW(),"")</f>
        <v/>
      </c>
    </row>
    <row r="631" customFormat="false" ht="15" hidden="false" customHeight="false" outlineLevel="0" collapsed="false">
      <c r="A631" s="80"/>
      <c r="B631" s="71"/>
      <c r="C631" s="71"/>
      <c r="D631" s="81"/>
      <c r="E631" s="71"/>
      <c r="F631" s="71"/>
      <c r="G631" s="82" t="str">
        <f aca="false">IF(C631="","",IFERROR(INDEX('Kit Lists'!$D$6:$D$605,MATCH(B631&amp;"|"&amp;C631,'Kit Lists'!$J$6:$J$605,0)),"Not on this contract's kit list"))</f>
        <v/>
      </c>
      <c r="H631" s="83" t="str">
        <f aca="false">IF(AND(B631="",C631="",D631=""),"",IF(B631="","Missing contract",IF(C631="","Missing code",IF(LEFT(G631,3)="Not","Wrong code",IF(D631="","Missing qty",IF(A631="","Missing date",""))))))</f>
        <v/>
      </c>
      <c r="I631" s="84" t="str">
        <f aca="false">IF(B631=Dashboard!$D$3,ROW(),"")</f>
        <v/>
      </c>
    </row>
    <row r="632" customFormat="false" ht="15" hidden="false" customHeight="false" outlineLevel="0" collapsed="false">
      <c r="A632" s="80"/>
      <c r="B632" s="71"/>
      <c r="C632" s="71"/>
      <c r="D632" s="81"/>
      <c r="E632" s="71"/>
      <c r="F632" s="71"/>
      <c r="G632" s="82" t="str">
        <f aca="false">IF(C632="","",IFERROR(INDEX('Kit Lists'!$D$6:$D$605,MATCH(B632&amp;"|"&amp;C632,'Kit Lists'!$J$6:$J$605,0)),"Not on this contract's kit list"))</f>
        <v/>
      </c>
      <c r="H632" s="83" t="str">
        <f aca="false">IF(AND(B632="",C632="",D632=""),"",IF(B632="","Missing contract",IF(C632="","Missing code",IF(LEFT(G632,3)="Not","Wrong code",IF(D632="","Missing qty",IF(A632="","Missing date",""))))))</f>
        <v/>
      </c>
      <c r="I632" s="84" t="str">
        <f aca="false">IF(B632=Dashboard!$D$3,ROW(),"")</f>
        <v/>
      </c>
    </row>
    <row r="633" customFormat="false" ht="15" hidden="false" customHeight="false" outlineLevel="0" collapsed="false">
      <c r="A633" s="80"/>
      <c r="B633" s="71"/>
      <c r="C633" s="71"/>
      <c r="D633" s="81"/>
      <c r="E633" s="71"/>
      <c r="F633" s="71"/>
      <c r="G633" s="82" t="str">
        <f aca="false">IF(C633="","",IFERROR(INDEX('Kit Lists'!$D$6:$D$605,MATCH(B633&amp;"|"&amp;C633,'Kit Lists'!$J$6:$J$605,0)),"Not on this contract's kit list"))</f>
        <v/>
      </c>
      <c r="H633" s="83" t="str">
        <f aca="false">IF(AND(B633="",C633="",D633=""),"",IF(B633="","Missing contract",IF(C633="","Missing code",IF(LEFT(G633,3)="Not","Wrong code",IF(D633="","Missing qty",IF(A633="","Missing date",""))))))</f>
        <v/>
      </c>
      <c r="I633" s="84" t="str">
        <f aca="false">IF(B633=Dashboard!$D$3,ROW(),"")</f>
        <v/>
      </c>
    </row>
    <row r="634" customFormat="false" ht="15" hidden="false" customHeight="false" outlineLevel="0" collapsed="false">
      <c r="A634" s="80"/>
      <c r="B634" s="71"/>
      <c r="C634" s="71"/>
      <c r="D634" s="81"/>
      <c r="E634" s="71"/>
      <c r="F634" s="71"/>
      <c r="G634" s="82" t="str">
        <f aca="false">IF(C634="","",IFERROR(INDEX('Kit Lists'!$D$6:$D$605,MATCH(B634&amp;"|"&amp;C634,'Kit Lists'!$J$6:$J$605,0)),"Not on this contract's kit list"))</f>
        <v/>
      </c>
      <c r="H634" s="83" t="str">
        <f aca="false">IF(AND(B634="",C634="",D634=""),"",IF(B634="","Missing contract",IF(C634="","Missing code",IF(LEFT(G634,3)="Not","Wrong code",IF(D634="","Missing qty",IF(A634="","Missing date",""))))))</f>
        <v/>
      </c>
      <c r="I634" s="84" t="str">
        <f aca="false">IF(B634=Dashboard!$D$3,ROW(),"")</f>
        <v/>
      </c>
    </row>
    <row r="635" customFormat="false" ht="15" hidden="false" customHeight="false" outlineLevel="0" collapsed="false">
      <c r="A635" s="80"/>
      <c r="B635" s="71"/>
      <c r="C635" s="71"/>
      <c r="D635" s="81"/>
      <c r="E635" s="71"/>
      <c r="F635" s="71"/>
      <c r="G635" s="82" t="str">
        <f aca="false">IF(C635="","",IFERROR(INDEX('Kit Lists'!$D$6:$D$605,MATCH(B635&amp;"|"&amp;C635,'Kit Lists'!$J$6:$J$605,0)),"Not on this contract's kit list"))</f>
        <v/>
      </c>
      <c r="H635" s="83" t="str">
        <f aca="false">IF(AND(B635="",C635="",D635=""),"",IF(B635="","Missing contract",IF(C635="","Missing code",IF(LEFT(G635,3)="Not","Wrong code",IF(D635="","Missing qty",IF(A635="","Missing date",""))))))</f>
        <v/>
      </c>
      <c r="I635" s="84" t="str">
        <f aca="false">IF(B635=Dashboard!$D$3,ROW(),"")</f>
        <v/>
      </c>
    </row>
    <row r="636" customFormat="false" ht="15" hidden="false" customHeight="false" outlineLevel="0" collapsed="false">
      <c r="A636" s="80"/>
      <c r="B636" s="71"/>
      <c r="C636" s="71"/>
      <c r="D636" s="81"/>
      <c r="E636" s="71"/>
      <c r="F636" s="71"/>
      <c r="G636" s="82" t="str">
        <f aca="false">IF(C636="","",IFERROR(INDEX('Kit Lists'!$D$6:$D$605,MATCH(B636&amp;"|"&amp;C636,'Kit Lists'!$J$6:$J$605,0)),"Not on this contract's kit list"))</f>
        <v/>
      </c>
      <c r="H636" s="83" t="str">
        <f aca="false">IF(AND(B636="",C636="",D636=""),"",IF(B636="","Missing contract",IF(C636="","Missing code",IF(LEFT(G636,3)="Not","Wrong code",IF(D636="","Missing qty",IF(A636="","Missing date",""))))))</f>
        <v/>
      </c>
      <c r="I636" s="84" t="str">
        <f aca="false">IF(B636=Dashboard!$D$3,ROW(),"")</f>
        <v/>
      </c>
    </row>
    <row r="637" customFormat="false" ht="15" hidden="false" customHeight="false" outlineLevel="0" collapsed="false">
      <c r="A637" s="80"/>
      <c r="B637" s="71"/>
      <c r="C637" s="71"/>
      <c r="D637" s="81"/>
      <c r="E637" s="71"/>
      <c r="F637" s="71"/>
      <c r="G637" s="82" t="str">
        <f aca="false">IF(C637="","",IFERROR(INDEX('Kit Lists'!$D$6:$D$605,MATCH(B637&amp;"|"&amp;C637,'Kit Lists'!$J$6:$J$605,0)),"Not on this contract's kit list"))</f>
        <v/>
      </c>
      <c r="H637" s="83" t="str">
        <f aca="false">IF(AND(B637="",C637="",D637=""),"",IF(B637="","Missing contract",IF(C637="","Missing code",IF(LEFT(G637,3)="Not","Wrong code",IF(D637="","Missing qty",IF(A637="","Missing date",""))))))</f>
        <v/>
      </c>
      <c r="I637" s="84" t="str">
        <f aca="false">IF(B637=Dashboard!$D$3,ROW(),"")</f>
        <v/>
      </c>
    </row>
    <row r="638" customFormat="false" ht="15" hidden="false" customHeight="false" outlineLevel="0" collapsed="false">
      <c r="A638" s="80"/>
      <c r="B638" s="71"/>
      <c r="C638" s="71"/>
      <c r="D638" s="81"/>
      <c r="E638" s="71"/>
      <c r="F638" s="71"/>
      <c r="G638" s="82" t="str">
        <f aca="false">IF(C638="","",IFERROR(INDEX('Kit Lists'!$D$6:$D$605,MATCH(B638&amp;"|"&amp;C638,'Kit Lists'!$J$6:$J$605,0)),"Not on this contract's kit list"))</f>
        <v/>
      </c>
      <c r="H638" s="83" t="str">
        <f aca="false">IF(AND(B638="",C638="",D638=""),"",IF(B638="","Missing contract",IF(C638="","Missing code",IF(LEFT(G638,3)="Not","Wrong code",IF(D638="","Missing qty",IF(A638="","Missing date",""))))))</f>
        <v/>
      </c>
      <c r="I638" s="84" t="str">
        <f aca="false">IF(B638=Dashboard!$D$3,ROW(),"")</f>
        <v/>
      </c>
    </row>
    <row r="639" customFormat="false" ht="15" hidden="false" customHeight="false" outlineLevel="0" collapsed="false">
      <c r="A639" s="80"/>
      <c r="B639" s="71"/>
      <c r="C639" s="71"/>
      <c r="D639" s="81"/>
      <c r="E639" s="71"/>
      <c r="F639" s="71"/>
      <c r="G639" s="82" t="str">
        <f aca="false">IF(C639="","",IFERROR(INDEX('Kit Lists'!$D$6:$D$605,MATCH(B639&amp;"|"&amp;C639,'Kit Lists'!$J$6:$J$605,0)),"Not on this contract's kit list"))</f>
        <v/>
      </c>
      <c r="H639" s="83" t="str">
        <f aca="false">IF(AND(B639="",C639="",D639=""),"",IF(B639="","Missing contract",IF(C639="","Missing code",IF(LEFT(G639,3)="Not","Wrong code",IF(D639="","Missing qty",IF(A639="","Missing date",""))))))</f>
        <v/>
      </c>
      <c r="I639" s="84" t="str">
        <f aca="false">IF(B639=Dashboard!$D$3,ROW(),"")</f>
        <v/>
      </c>
    </row>
    <row r="640" customFormat="false" ht="15" hidden="false" customHeight="false" outlineLevel="0" collapsed="false">
      <c r="A640" s="80"/>
      <c r="B640" s="71"/>
      <c r="C640" s="71"/>
      <c r="D640" s="81"/>
      <c r="E640" s="71"/>
      <c r="F640" s="71"/>
      <c r="G640" s="82" t="str">
        <f aca="false">IF(C640="","",IFERROR(INDEX('Kit Lists'!$D$6:$D$605,MATCH(B640&amp;"|"&amp;C640,'Kit Lists'!$J$6:$J$605,0)),"Not on this contract's kit list"))</f>
        <v/>
      </c>
      <c r="H640" s="83" t="str">
        <f aca="false">IF(AND(B640="",C640="",D640=""),"",IF(B640="","Missing contract",IF(C640="","Missing code",IF(LEFT(G640,3)="Not","Wrong code",IF(D640="","Missing qty",IF(A640="","Missing date",""))))))</f>
        <v/>
      </c>
      <c r="I640" s="84" t="str">
        <f aca="false">IF(B640=Dashboard!$D$3,ROW(),"")</f>
        <v/>
      </c>
    </row>
    <row r="641" customFormat="false" ht="15" hidden="false" customHeight="false" outlineLevel="0" collapsed="false">
      <c r="A641" s="80"/>
      <c r="B641" s="71"/>
      <c r="C641" s="71"/>
      <c r="D641" s="81"/>
      <c r="E641" s="71"/>
      <c r="F641" s="71"/>
      <c r="G641" s="82" t="str">
        <f aca="false">IF(C641="","",IFERROR(INDEX('Kit Lists'!$D$6:$D$605,MATCH(B641&amp;"|"&amp;C641,'Kit Lists'!$J$6:$J$605,0)),"Not on this contract's kit list"))</f>
        <v/>
      </c>
      <c r="H641" s="83" t="str">
        <f aca="false">IF(AND(B641="",C641="",D641=""),"",IF(B641="","Missing contract",IF(C641="","Missing code",IF(LEFT(G641,3)="Not","Wrong code",IF(D641="","Missing qty",IF(A641="","Missing date",""))))))</f>
        <v/>
      </c>
      <c r="I641" s="84" t="str">
        <f aca="false">IF(B641=Dashboard!$D$3,ROW(),"")</f>
        <v/>
      </c>
    </row>
    <row r="642" customFormat="false" ht="15" hidden="false" customHeight="false" outlineLevel="0" collapsed="false">
      <c r="A642" s="80"/>
      <c r="B642" s="71"/>
      <c r="C642" s="71"/>
      <c r="D642" s="81"/>
      <c r="E642" s="71"/>
      <c r="F642" s="71"/>
      <c r="G642" s="82" t="str">
        <f aca="false">IF(C642="","",IFERROR(INDEX('Kit Lists'!$D$6:$D$605,MATCH(B642&amp;"|"&amp;C642,'Kit Lists'!$J$6:$J$605,0)),"Not on this contract's kit list"))</f>
        <v/>
      </c>
      <c r="H642" s="83" t="str">
        <f aca="false">IF(AND(B642="",C642="",D642=""),"",IF(B642="","Missing contract",IF(C642="","Missing code",IF(LEFT(G642,3)="Not","Wrong code",IF(D642="","Missing qty",IF(A642="","Missing date",""))))))</f>
        <v/>
      </c>
      <c r="I642" s="84" t="str">
        <f aca="false">IF(B642=Dashboard!$D$3,ROW(),"")</f>
        <v/>
      </c>
    </row>
    <row r="643" customFormat="false" ht="15" hidden="false" customHeight="false" outlineLevel="0" collapsed="false">
      <c r="A643" s="80"/>
      <c r="B643" s="71"/>
      <c r="C643" s="71"/>
      <c r="D643" s="81"/>
      <c r="E643" s="71"/>
      <c r="F643" s="71"/>
      <c r="G643" s="82" t="str">
        <f aca="false">IF(C643="","",IFERROR(INDEX('Kit Lists'!$D$6:$D$605,MATCH(B643&amp;"|"&amp;C643,'Kit Lists'!$J$6:$J$605,0)),"Not on this contract's kit list"))</f>
        <v/>
      </c>
      <c r="H643" s="83" t="str">
        <f aca="false">IF(AND(B643="",C643="",D643=""),"",IF(B643="","Missing contract",IF(C643="","Missing code",IF(LEFT(G643,3)="Not","Wrong code",IF(D643="","Missing qty",IF(A643="","Missing date",""))))))</f>
        <v/>
      </c>
      <c r="I643" s="84" t="str">
        <f aca="false">IF(B643=Dashboard!$D$3,ROW(),"")</f>
        <v/>
      </c>
    </row>
    <row r="644" customFormat="false" ht="15" hidden="false" customHeight="false" outlineLevel="0" collapsed="false">
      <c r="A644" s="80"/>
      <c r="B644" s="71"/>
      <c r="C644" s="71"/>
      <c r="D644" s="81"/>
      <c r="E644" s="71"/>
      <c r="F644" s="71"/>
      <c r="G644" s="82" t="str">
        <f aca="false">IF(C644="","",IFERROR(INDEX('Kit Lists'!$D$6:$D$605,MATCH(B644&amp;"|"&amp;C644,'Kit Lists'!$J$6:$J$605,0)),"Not on this contract's kit list"))</f>
        <v/>
      </c>
      <c r="H644" s="83" t="str">
        <f aca="false">IF(AND(B644="",C644="",D644=""),"",IF(B644="","Missing contract",IF(C644="","Missing code",IF(LEFT(G644,3)="Not","Wrong code",IF(D644="","Missing qty",IF(A644="","Missing date",""))))))</f>
        <v/>
      </c>
      <c r="I644" s="84" t="str">
        <f aca="false">IF(B644=Dashboard!$D$3,ROW(),"")</f>
        <v/>
      </c>
    </row>
    <row r="645" customFormat="false" ht="15" hidden="false" customHeight="false" outlineLevel="0" collapsed="false">
      <c r="A645" s="80"/>
      <c r="B645" s="71"/>
      <c r="C645" s="71"/>
      <c r="D645" s="81"/>
      <c r="E645" s="71"/>
      <c r="F645" s="71"/>
      <c r="G645" s="82" t="str">
        <f aca="false">IF(C645="","",IFERROR(INDEX('Kit Lists'!$D$6:$D$605,MATCH(B645&amp;"|"&amp;C645,'Kit Lists'!$J$6:$J$605,0)),"Not on this contract's kit list"))</f>
        <v/>
      </c>
      <c r="H645" s="83" t="str">
        <f aca="false">IF(AND(B645="",C645="",D645=""),"",IF(B645="","Missing contract",IF(C645="","Missing code",IF(LEFT(G645,3)="Not","Wrong code",IF(D645="","Missing qty",IF(A645="","Missing date",""))))))</f>
        <v/>
      </c>
      <c r="I645" s="84" t="str">
        <f aca="false">IF(B645=Dashboard!$D$3,ROW(),"")</f>
        <v/>
      </c>
    </row>
    <row r="646" customFormat="false" ht="15" hidden="false" customHeight="false" outlineLevel="0" collapsed="false">
      <c r="A646" s="80"/>
      <c r="B646" s="71"/>
      <c r="C646" s="71"/>
      <c r="D646" s="81"/>
      <c r="E646" s="71"/>
      <c r="F646" s="71"/>
      <c r="G646" s="82" t="str">
        <f aca="false">IF(C646="","",IFERROR(INDEX('Kit Lists'!$D$6:$D$605,MATCH(B646&amp;"|"&amp;C646,'Kit Lists'!$J$6:$J$605,0)),"Not on this contract's kit list"))</f>
        <v/>
      </c>
      <c r="H646" s="83" t="str">
        <f aca="false">IF(AND(B646="",C646="",D646=""),"",IF(B646="","Missing contract",IF(C646="","Missing code",IF(LEFT(G646,3)="Not","Wrong code",IF(D646="","Missing qty",IF(A646="","Missing date",""))))))</f>
        <v/>
      </c>
      <c r="I646" s="84" t="str">
        <f aca="false">IF(B646=Dashboard!$D$3,ROW(),"")</f>
        <v/>
      </c>
    </row>
    <row r="647" customFormat="false" ht="15" hidden="false" customHeight="false" outlineLevel="0" collapsed="false">
      <c r="A647" s="80"/>
      <c r="B647" s="71"/>
      <c r="C647" s="71"/>
      <c r="D647" s="81"/>
      <c r="E647" s="71"/>
      <c r="F647" s="71"/>
      <c r="G647" s="82" t="str">
        <f aca="false">IF(C647="","",IFERROR(INDEX('Kit Lists'!$D$6:$D$605,MATCH(B647&amp;"|"&amp;C647,'Kit Lists'!$J$6:$J$605,0)),"Not on this contract's kit list"))</f>
        <v/>
      </c>
      <c r="H647" s="83" t="str">
        <f aca="false">IF(AND(B647="",C647="",D647=""),"",IF(B647="","Missing contract",IF(C647="","Missing code",IF(LEFT(G647,3)="Not","Wrong code",IF(D647="","Missing qty",IF(A647="","Missing date",""))))))</f>
        <v/>
      </c>
      <c r="I647" s="84" t="str">
        <f aca="false">IF(B647=Dashboard!$D$3,ROW(),"")</f>
        <v/>
      </c>
    </row>
    <row r="648" customFormat="false" ht="15" hidden="false" customHeight="false" outlineLevel="0" collapsed="false">
      <c r="A648" s="80"/>
      <c r="B648" s="71"/>
      <c r="C648" s="71"/>
      <c r="D648" s="81"/>
      <c r="E648" s="71"/>
      <c r="F648" s="71"/>
      <c r="G648" s="82" t="str">
        <f aca="false">IF(C648="","",IFERROR(INDEX('Kit Lists'!$D$6:$D$605,MATCH(B648&amp;"|"&amp;C648,'Kit Lists'!$J$6:$J$605,0)),"Not on this contract's kit list"))</f>
        <v/>
      </c>
      <c r="H648" s="83" t="str">
        <f aca="false">IF(AND(B648="",C648="",D648=""),"",IF(B648="","Missing contract",IF(C648="","Missing code",IF(LEFT(G648,3)="Not","Wrong code",IF(D648="","Missing qty",IF(A648="","Missing date",""))))))</f>
        <v/>
      </c>
      <c r="I648" s="84" t="str">
        <f aca="false">IF(B648=Dashboard!$D$3,ROW(),"")</f>
        <v/>
      </c>
    </row>
    <row r="649" customFormat="false" ht="15" hidden="false" customHeight="false" outlineLevel="0" collapsed="false">
      <c r="A649" s="80"/>
      <c r="B649" s="71"/>
      <c r="C649" s="71"/>
      <c r="D649" s="81"/>
      <c r="E649" s="71"/>
      <c r="F649" s="71"/>
      <c r="G649" s="82" t="str">
        <f aca="false">IF(C649="","",IFERROR(INDEX('Kit Lists'!$D$6:$D$605,MATCH(B649&amp;"|"&amp;C649,'Kit Lists'!$J$6:$J$605,0)),"Not on this contract's kit list"))</f>
        <v/>
      </c>
      <c r="H649" s="83" t="str">
        <f aca="false">IF(AND(B649="",C649="",D649=""),"",IF(B649="","Missing contract",IF(C649="","Missing code",IF(LEFT(G649,3)="Not","Wrong code",IF(D649="","Missing qty",IF(A649="","Missing date",""))))))</f>
        <v/>
      </c>
      <c r="I649" s="84" t="str">
        <f aca="false">IF(B649=Dashboard!$D$3,ROW(),"")</f>
        <v/>
      </c>
    </row>
    <row r="650" customFormat="false" ht="15" hidden="false" customHeight="false" outlineLevel="0" collapsed="false">
      <c r="A650" s="80"/>
      <c r="B650" s="71"/>
      <c r="C650" s="71"/>
      <c r="D650" s="81"/>
      <c r="E650" s="71"/>
      <c r="F650" s="71"/>
      <c r="G650" s="82" t="str">
        <f aca="false">IF(C650="","",IFERROR(INDEX('Kit Lists'!$D$6:$D$605,MATCH(B650&amp;"|"&amp;C650,'Kit Lists'!$J$6:$J$605,0)),"Not on this contract's kit list"))</f>
        <v/>
      </c>
      <c r="H650" s="83" t="str">
        <f aca="false">IF(AND(B650="",C650="",D650=""),"",IF(B650="","Missing contract",IF(C650="","Missing code",IF(LEFT(G650,3)="Not","Wrong code",IF(D650="","Missing qty",IF(A650="","Missing date",""))))))</f>
        <v/>
      </c>
      <c r="I650" s="84" t="str">
        <f aca="false">IF(B650=Dashboard!$D$3,ROW(),"")</f>
        <v/>
      </c>
    </row>
    <row r="651" customFormat="false" ht="15" hidden="false" customHeight="false" outlineLevel="0" collapsed="false">
      <c r="A651" s="80"/>
      <c r="B651" s="71"/>
      <c r="C651" s="71"/>
      <c r="D651" s="81"/>
      <c r="E651" s="71"/>
      <c r="F651" s="71"/>
      <c r="G651" s="82" t="str">
        <f aca="false">IF(C651="","",IFERROR(INDEX('Kit Lists'!$D$6:$D$605,MATCH(B651&amp;"|"&amp;C651,'Kit Lists'!$J$6:$J$605,0)),"Not on this contract's kit list"))</f>
        <v/>
      </c>
      <c r="H651" s="83" t="str">
        <f aca="false">IF(AND(B651="",C651="",D651=""),"",IF(B651="","Missing contract",IF(C651="","Missing code",IF(LEFT(G651,3)="Not","Wrong code",IF(D651="","Missing qty",IF(A651="","Missing date",""))))))</f>
        <v/>
      </c>
      <c r="I651" s="84" t="str">
        <f aca="false">IF(B651=Dashboard!$D$3,ROW(),"")</f>
        <v/>
      </c>
    </row>
    <row r="652" customFormat="false" ht="15" hidden="false" customHeight="false" outlineLevel="0" collapsed="false">
      <c r="A652" s="80"/>
      <c r="B652" s="71"/>
      <c r="C652" s="71"/>
      <c r="D652" s="81"/>
      <c r="E652" s="71"/>
      <c r="F652" s="71"/>
      <c r="G652" s="82" t="str">
        <f aca="false">IF(C652="","",IFERROR(INDEX('Kit Lists'!$D$6:$D$605,MATCH(B652&amp;"|"&amp;C652,'Kit Lists'!$J$6:$J$605,0)),"Not on this contract's kit list"))</f>
        <v/>
      </c>
      <c r="H652" s="83" t="str">
        <f aca="false">IF(AND(B652="",C652="",D652=""),"",IF(B652="","Missing contract",IF(C652="","Missing code",IF(LEFT(G652,3)="Not","Wrong code",IF(D652="","Missing qty",IF(A652="","Missing date",""))))))</f>
        <v/>
      </c>
      <c r="I652" s="84" t="str">
        <f aca="false">IF(B652=Dashboard!$D$3,ROW(),"")</f>
        <v/>
      </c>
    </row>
    <row r="653" customFormat="false" ht="15" hidden="false" customHeight="false" outlineLevel="0" collapsed="false">
      <c r="A653" s="80"/>
      <c r="B653" s="71"/>
      <c r="C653" s="71"/>
      <c r="D653" s="81"/>
      <c r="E653" s="71"/>
      <c r="F653" s="71"/>
      <c r="G653" s="82" t="str">
        <f aca="false">IF(C653="","",IFERROR(INDEX('Kit Lists'!$D$6:$D$605,MATCH(B653&amp;"|"&amp;C653,'Kit Lists'!$J$6:$J$605,0)),"Not on this contract's kit list"))</f>
        <v/>
      </c>
      <c r="H653" s="83" t="str">
        <f aca="false">IF(AND(B653="",C653="",D653=""),"",IF(B653="","Missing contract",IF(C653="","Missing code",IF(LEFT(G653,3)="Not","Wrong code",IF(D653="","Missing qty",IF(A653="","Missing date",""))))))</f>
        <v/>
      </c>
      <c r="I653" s="84" t="str">
        <f aca="false">IF(B653=Dashboard!$D$3,ROW(),"")</f>
        <v/>
      </c>
    </row>
    <row r="654" customFormat="false" ht="15" hidden="false" customHeight="false" outlineLevel="0" collapsed="false">
      <c r="A654" s="80"/>
      <c r="B654" s="71"/>
      <c r="C654" s="71"/>
      <c r="D654" s="81"/>
      <c r="E654" s="71"/>
      <c r="F654" s="71"/>
      <c r="G654" s="82" t="str">
        <f aca="false">IF(C654="","",IFERROR(INDEX('Kit Lists'!$D$6:$D$605,MATCH(B654&amp;"|"&amp;C654,'Kit Lists'!$J$6:$J$605,0)),"Not on this contract's kit list"))</f>
        <v/>
      </c>
      <c r="H654" s="83" t="str">
        <f aca="false">IF(AND(B654="",C654="",D654=""),"",IF(B654="","Missing contract",IF(C654="","Missing code",IF(LEFT(G654,3)="Not","Wrong code",IF(D654="","Missing qty",IF(A654="","Missing date",""))))))</f>
        <v/>
      </c>
      <c r="I654" s="84" t="str">
        <f aca="false">IF(B654=Dashboard!$D$3,ROW(),"")</f>
        <v/>
      </c>
    </row>
    <row r="655" customFormat="false" ht="15" hidden="false" customHeight="false" outlineLevel="0" collapsed="false">
      <c r="A655" s="80"/>
      <c r="B655" s="71"/>
      <c r="C655" s="71"/>
      <c r="D655" s="81"/>
      <c r="E655" s="71"/>
      <c r="F655" s="71"/>
      <c r="G655" s="82" t="str">
        <f aca="false">IF(C655="","",IFERROR(INDEX('Kit Lists'!$D$6:$D$605,MATCH(B655&amp;"|"&amp;C655,'Kit Lists'!$J$6:$J$605,0)),"Not on this contract's kit list"))</f>
        <v/>
      </c>
      <c r="H655" s="83" t="str">
        <f aca="false">IF(AND(B655="",C655="",D655=""),"",IF(B655="","Missing contract",IF(C655="","Missing code",IF(LEFT(G655,3)="Not","Wrong code",IF(D655="","Missing qty",IF(A655="","Missing date",""))))))</f>
        <v/>
      </c>
      <c r="I655" s="84" t="str">
        <f aca="false">IF(B655=Dashboard!$D$3,ROW(),"")</f>
        <v/>
      </c>
    </row>
    <row r="656" customFormat="false" ht="15" hidden="false" customHeight="false" outlineLevel="0" collapsed="false">
      <c r="A656" s="80"/>
      <c r="B656" s="71"/>
      <c r="C656" s="71"/>
      <c r="D656" s="81"/>
      <c r="E656" s="71"/>
      <c r="F656" s="71"/>
      <c r="G656" s="82" t="str">
        <f aca="false">IF(C656="","",IFERROR(INDEX('Kit Lists'!$D$6:$D$605,MATCH(B656&amp;"|"&amp;C656,'Kit Lists'!$J$6:$J$605,0)),"Not on this contract's kit list"))</f>
        <v/>
      </c>
      <c r="H656" s="83" t="str">
        <f aca="false">IF(AND(B656="",C656="",D656=""),"",IF(B656="","Missing contract",IF(C656="","Missing code",IF(LEFT(G656,3)="Not","Wrong code",IF(D656="","Missing qty",IF(A656="","Missing date",""))))))</f>
        <v/>
      </c>
      <c r="I656" s="84" t="str">
        <f aca="false">IF(B656=Dashboard!$D$3,ROW(),"")</f>
        <v/>
      </c>
    </row>
    <row r="657" customFormat="false" ht="15" hidden="false" customHeight="false" outlineLevel="0" collapsed="false">
      <c r="A657" s="80"/>
      <c r="B657" s="71"/>
      <c r="C657" s="71"/>
      <c r="D657" s="81"/>
      <c r="E657" s="71"/>
      <c r="F657" s="71"/>
      <c r="G657" s="82" t="str">
        <f aca="false">IF(C657="","",IFERROR(INDEX('Kit Lists'!$D$6:$D$605,MATCH(B657&amp;"|"&amp;C657,'Kit Lists'!$J$6:$J$605,0)),"Not on this contract's kit list"))</f>
        <v/>
      </c>
      <c r="H657" s="83" t="str">
        <f aca="false">IF(AND(B657="",C657="",D657=""),"",IF(B657="","Missing contract",IF(C657="","Missing code",IF(LEFT(G657,3)="Not","Wrong code",IF(D657="","Missing qty",IF(A657="","Missing date",""))))))</f>
        <v/>
      </c>
      <c r="I657" s="84" t="str">
        <f aca="false">IF(B657=Dashboard!$D$3,ROW(),"")</f>
        <v/>
      </c>
    </row>
    <row r="658" customFormat="false" ht="15" hidden="false" customHeight="false" outlineLevel="0" collapsed="false">
      <c r="A658" s="80"/>
      <c r="B658" s="71"/>
      <c r="C658" s="71"/>
      <c r="D658" s="81"/>
      <c r="E658" s="71"/>
      <c r="F658" s="71"/>
      <c r="G658" s="82" t="str">
        <f aca="false">IF(C658="","",IFERROR(INDEX('Kit Lists'!$D$6:$D$605,MATCH(B658&amp;"|"&amp;C658,'Kit Lists'!$J$6:$J$605,0)),"Not on this contract's kit list"))</f>
        <v/>
      </c>
      <c r="H658" s="83" t="str">
        <f aca="false">IF(AND(B658="",C658="",D658=""),"",IF(B658="","Missing contract",IF(C658="","Missing code",IF(LEFT(G658,3)="Not","Wrong code",IF(D658="","Missing qty",IF(A658="","Missing date",""))))))</f>
        <v/>
      </c>
      <c r="I658" s="84" t="str">
        <f aca="false">IF(B658=Dashboard!$D$3,ROW(),"")</f>
        <v/>
      </c>
    </row>
    <row r="659" customFormat="false" ht="15" hidden="false" customHeight="false" outlineLevel="0" collapsed="false">
      <c r="A659" s="80"/>
      <c r="B659" s="71"/>
      <c r="C659" s="71"/>
      <c r="D659" s="81"/>
      <c r="E659" s="71"/>
      <c r="F659" s="71"/>
      <c r="G659" s="82" t="str">
        <f aca="false">IF(C659="","",IFERROR(INDEX('Kit Lists'!$D$6:$D$605,MATCH(B659&amp;"|"&amp;C659,'Kit Lists'!$J$6:$J$605,0)),"Not on this contract's kit list"))</f>
        <v/>
      </c>
      <c r="H659" s="83" t="str">
        <f aca="false">IF(AND(B659="",C659="",D659=""),"",IF(B659="","Missing contract",IF(C659="","Missing code",IF(LEFT(G659,3)="Not","Wrong code",IF(D659="","Missing qty",IF(A659="","Missing date",""))))))</f>
        <v/>
      </c>
      <c r="I659" s="84" t="str">
        <f aca="false">IF(B659=Dashboard!$D$3,ROW(),"")</f>
        <v/>
      </c>
    </row>
    <row r="660" customFormat="false" ht="15" hidden="false" customHeight="false" outlineLevel="0" collapsed="false">
      <c r="A660" s="80"/>
      <c r="B660" s="71"/>
      <c r="C660" s="71"/>
      <c r="D660" s="81"/>
      <c r="E660" s="71"/>
      <c r="F660" s="71"/>
      <c r="G660" s="82" t="str">
        <f aca="false">IF(C660="","",IFERROR(INDEX('Kit Lists'!$D$6:$D$605,MATCH(B660&amp;"|"&amp;C660,'Kit Lists'!$J$6:$J$605,0)),"Not on this contract's kit list"))</f>
        <v/>
      </c>
      <c r="H660" s="83" t="str">
        <f aca="false">IF(AND(B660="",C660="",D660=""),"",IF(B660="","Missing contract",IF(C660="","Missing code",IF(LEFT(G660,3)="Not","Wrong code",IF(D660="","Missing qty",IF(A660="","Missing date",""))))))</f>
        <v/>
      </c>
      <c r="I660" s="84" t="str">
        <f aca="false">IF(B660=Dashboard!$D$3,ROW(),"")</f>
        <v/>
      </c>
    </row>
    <row r="661" customFormat="false" ht="15" hidden="false" customHeight="false" outlineLevel="0" collapsed="false">
      <c r="A661" s="80"/>
      <c r="B661" s="71"/>
      <c r="C661" s="71"/>
      <c r="D661" s="81"/>
      <c r="E661" s="71"/>
      <c r="F661" s="71"/>
      <c r="G661" s="82" t="str">
        <f aca="false">IF(C661="","",IFERROR(INDEX('Kit Lists'!$D$6:$D$605,MATCH(B661&amp;"|"&amp;C661,'Kit Lists'!$J$6:$J$605,0)),"Not on this contract's kit list"))</f>
        <v/>
      </c>
      <c r="H661" s="83" t="str">
        <f aca="false">IF(AND(B661="",C661="",D661=""),"",IF(B661="","Missing contract",IF(C661="","Missing code",IF(LEFT(G661,3)="Not","Wrong code",IF(D661="","Missing qty",IF(A661="","Missing date",""))))))</f>
        <v/>
      </c>
      <c r="I661" s="84" t="str">
        <f aca="false">IF(B661=Dashboard!$D$3,ROW(),"")</f>
        <v/>
      </c>
    </row>
    <row r="662" customFormat="false" ht="15" hidden="false" customHeight="false" outlineLevel="0" collapsed="false">
      <c r="A662" s="80"/>
      <c r="B662" s="71"/>
      <c r="C662" s="71"/>
      <c r="D662" s="81"/>
      <c r="E662" s="71"/>
      <c r="F662" s="71"/>
      <c r="G662" s="82" t="str">
        <f aca="false">IF(C662="","",IFERROR(INDEX('Kit Lists'!$D$6:$D$605,MATCH(B662&amp;"|"&amp;C662,'Kit Lists'!$J$6:$J$605,0)),"Not on this contract's kit list"))</f>
        <v/>
      </c>
      <c r="H662" s="83" t="str">
        <f aca="false">IF(AND(B662="",C662="",D662=""),"",IF(B662="","Missing contract",IF(C662="","Missing code",IF(LEFT(G662,3)="Not","Wrong code",IF(D662="","Missing qty",IF(A662="","Missing date",""))))))</f>
        <v/>
      </c>
      <c r="I662" s="84" t="str">
        <f aca="false">IF(B662=Dashboard!$D$3,ROW(),"")</f>
        <v/>
      </c>
    </row>
    <row r="663" customFormat="false" ht="15" hidden="false" customHeight="false" outlineLevel="0" collapsed="false">
      <c r="A663" s="80"/>
      <c r="B663" s="71"/>
      <c r="C663" s="71"/>
      <c r="D663" s="81"/>
      <c r="E663" s="71"/>
      <c r="F663" s="71"/>
      <c r="G663" s="82" t="str">
        <f aca="false">IF(C663="","",IFERROR(INDEX('Kit Lists'!$D$6:$D$605,MATCH(B663&amp;"|"&amp;C663,'Kit Lists'!$J$6:$J$605,0)),"Not on this contract's kit list"))</f>
        <v/>
      </c>
      <c r="H663" s="83" t="str">
        <f aca="false">IF(AND(B663="",C663="",D663=""),"",IF(B663="","Missing contract",IF(C663="","Missing code",IF(LEFT(G663,3)="Not","Wrong code",IF(D663="","Missing qty",IF(A663="","Missing date",""))))))</f>
        <v/>
      </c>
      <c r="I663" s="84" t="str">
        <f aca="false">IF(B663=Dashboard!$D$3,ROW(),"")</f>
        <v/>
      </c>
    </row>
    <row r="664" customFormat="false" ht="15" hidden="false" customHeight="false" outlineLevel="0" collapsed="false">
      <c r="A664" s="80"/>
      <c r="B664" s="71"/>
      <c r="C664" s="71"/>
      <c r="D664" s="81"/>
      <c r="E664" s="71"/>
      <c r="F664" s="71"/>
      <c r="G664" s="82" t="str">
        <f aca="false">IF(C664="","",IFERROR(INDEX('Kit Lists'!$D$6:$D$605,MATCH(B664&amp;"|"&amp;C664,'Kit Lists'!$J$6:$J$605,0)),"Not on this contract's kit list"))</f>
        <v/>
      </c>
      <c r="H664" s="83" t="str">
        <f aca="false">IF(AND(B664="",C664="",D664=""),"",IF(B664="","Missing contract",IF(C664="","Missing code",IF(LEFT(G664,3)="Not","Wrong code",IF(D664="","Missing qty",IF(A664="","Missing date",""))))))</f>
        <v/>
      </c>
      <c r="I664" s="84" t="str">
        <f aca="false">IF(B664=Dashboard!$D$3,ROW(),"")</f>
        <v/>
      </c>
    </row>
    <row r="665" customFormat="false" ht="15" hidden="false" customHeight="false" outlineLevel="0" collapsed="false">
      <c r="A665" s="80"/>
      <c r="B665" s="71"/>
      <c r="C665" s="71"/>
      <c r="D665" s="81"/>
      <c r="E665" s="71"/>
      <c r="F665" s="71"/>
      <c r="G665" s="82" t="str">
        <f aca="false">IF(C665="","",IFERROR(INDEX('Kit Lists'!$D$6:$D$605,MATCH(B665&amp;"|"&amp;C665,'Kit Lists'!$J$6:$J$605,0)),"Not on this contract's kit list"))</f>
        <v/>
      </c>
      <c r="H665" s="83" t="str">
        <f aca="false">IF(AND(B665="",C665="",D665=""),"",IF(B665="","Missing contract",IF(C665="","Missing code",IF(LEFT(G665,3)="Not","Wrong code",IF(D665="","Missing qty",IF(A665="","Missing date",""))))))</f>
        <v/>
      </c>
      <c r="I665" s="84" t="str">
        <f aca="false">IF(B665=Dashboard!$D$3,ROW(),"")</f>
        <v/>
      </c>
    </row>
    <row r="666" customFormat="false" ht="15" hidden="false" customHeight="false" outlineLevel="0" collapsed="false">
      <c r="A666" s="80"/>
      <c r="B666" s="71"/>
      <c r="C666" s="71"/>
      <c r="D666" s="81"/>
      <c r="E666" s="71"/>
      <c r="F666" s="71"/>
      <c r="G666" s="82" t="str">
        <f aca="false">IF(C666="","",IFERROR(INDEX('Kit Lists'!$D$6:$D$605,MATCH(B666&amp;"|"&amp;C666,'Kit Lists'!$J$6:$J$605,0)),"Not on this contract's kit list"))</f>
        <v/>
      </c>
      <c r="H666" s="83" t="str">
        <f aca="false">IF(AND(B666="",C666="",D666=""),"",IF(B666="","Missing contract",IF(C666="","Missing code",IF(LEFT(G666,3)="Not","Wrong code",IF(D666="","Missing qty",IF(A666="","Missing date",""))))))</f>
        <v/>
      </c>
      <c r="I666" s="84" t="str">
        <f aca="false">IF(B666=Dashboard!$D$3,ROW(),"")</f>
        <v/>
      </c>
    </row>
    <row r="667" customFormat="false" ht="15" hidden="false" customHeight="false" outlineLevel="0" collapsed="false">
      <c r="A667" s="80"/>
      <c r="B667" s="71"/>
      <c r="C667" s="71"/>
      <c r="D667" s="81"/>
      <c r="E667" s="71"/>
      <c r="F667" s="71"/>
      <c r="G667" s="82" t="str">
        <f aca="false">IF(C667="","",IFERROR(INDEX('Kit Lists'!$D$6:$D$605,MATCH(B667&amp;"|"&amp;C667,'Kit Lists'!$J$6:$J$605,0)),"Not on this contract's kit list"))</f>
        <v/>
      </c>
      <c r="H667" s="83" t="str">
        <f aca="false">IF(AND(B667="",C667="",D667=""),"",IF(B667="","Missing contract",IF(C667="","Missing code",IF(LEFT(G667,3)="Not","Wrong code",IF(D667="","Missing qty",IF(A667="","Missing date",""))))))</f>
        <v/>
      </c>
      <c r="I667" s="84" t="str">
        <f aca="false">IF(B667=Dashboard!$D$3,ROW(),"")</f>
        <v/>
      </c>
    </row>
    <row r="668" customFormat="false" ht="15" hidden="false" customHeight="false" outlineLevel="0" collapsed="false">
      <c r="A668" s="80"/>
      <c r="B668" s="71"/>
      <c r="C668" s="71"/>
      <c r="D668" s="81"/>
      <c r="E668" s="71"/>
      <c r="F668" s="71"/>
      <c r="G668" s="82" t="str">
        <f aca="false">IF(C668="","",IFERROR(INDEX('Kit Lists'!$D$6:$D$605,MATCH(B668&amp;"|"&amp;C668,'Kit Lists'!$J$6:$J$605,0)),"Not on this contract's kit list"))</f>
        <v/>
      </c>
      <c r="H668" s="83" t="str">
        <f aca="false">IF(AND(B668="",C668="",D668=""),"",IF(B668="","Missing contract",IF(C668="","Missing code",IF(LEFT(G668,3)="Not","Wrong code",IF(D668="","Missing qty",IF(A668="","Missing date",""))))))</f>
        <v/>
      </c>
      <c r="I668" s="84" t="str">
        <f aca="false">IF(B668=Dashboard!$D$3,ROW(),"")</f>
        <v/>
      </c>
    </row>
    <row r="669" customFormat="false" ht="15" hidden="false" customHeight="false" outlineLevel="0" collapsed="false">
      <c r="A669" s="80"/>
      <c r="B669" s="71"/>
      <c r="C669" s="71"/>
      <c r="D669" s="81"/>
      <c r="E669" s="71"/>
      <c r="F669" s="71"/>
      <c r="G669" s="82" t="str">
        <f aca="false">IF(C669="","",IFERROR(INDEX('Kit Lists'!$D$6:$D$605,MATCH(B669&amp;"|"&amp;C669,'Kit Lists'!$J$6:$J$605,0)),"Not on this contract's kit list"))</f>
        <v/>
      </c>
      <c r="H669" s="83" t="str">
        <f aca="false">IF(AND(B669="",C669="",D669=""),"",IF(B669="","Missing contract",IF(C669="","Missing code",IF(LEFT(G669,3)="Not","Wrong code",IF(D669="","Missing qty",IF(A669="","Missing date",""))))))</f>
        <v/>
      </c>
      <c r="I669" s="84" t="str">
        <f aca="false">IF(B669=Dashboard!$D$3,ROW(),"")</f>
        <v/>
      </c>
    </row>
    <row r="670" customFormat="false" ht="15" hidden="false" customHeight="false" outlineLevel="0" collapsed="false">
      <c r="A670" s="80"/>
      <c r="B670" s="71"/>
      <c r="C670" s="71"/>
      <c r="D670" s="81"/>
      <c r="E670" s="71"/>
      <c r="F670" s="71"/>
      <c r="G670" s="82" t="str">
        <f aca="false">IF(C670="","",IFERROR(INDEX('Kit Lists'!$D$6:$D$605,MATCH(B670&amp;"|"&amp;C670,'Kit Lists'!$J$6:$J$605,0)),"Not on this contract's kit list"))</f>
        <v/>
      </c>
      <c r="H670" s="83" t="str">
        <f aca="false">IF(AND(B670="",C670="",D670=""),"",IF(B670="","Missing contract",IF(C670="","Missing code",IF(LEFT(G670,3)="Not","Wrong code",IF(D670="","Missing qty",IF(A670="","Missing date",""))))))</f>
        <v/>
      </c>
      <c r="I670" s="84" t="str">
        <f aca="false">IF(B670=Dashboard!$D$3,ROW(),"")</f>
        <v/>
      </c>
    </row>
    <row r="671" customFormat="false" ht="15" hidden="false" customHeight="false" outlineLevel="0" collapsed="false">
      <c r="A671" s="80"/>
      <c r="B671" s="71"/>
      <c r="C671" s="71"/>
      <c r="D671" s="81"/>
      <c r="E671" s="71"/>
      <c r="F671" s="71"/>
      <c r="G671" s="82" t="str">
        <f aca="false">IF(C671="","",IFERROR(INDEX('Kit Lists'!$D$6:$D$605,MATCH(B671&amp;"|"&amp;C671,'Kit Lists'!$J$6:$J$605,0)),"Not on this contract's kit list"))</f>
        <v/>
      </c>
      <c r="H671" s="83" t="str">
        <f aca="false">IF(AND(B671="",C671="",D671=""),"",IF(B671="","Missing contract",IF(C671="","Missing code",IF(LEFT(G671,3)="Not","Wrong code",IF(D671="","Missing qty",IF(A671="","Missing date",""))))))</f>
        <v/>
      </c>
      <c r="I671" s="84" t="str">
        <f aca="false">IF(B671=Dashboard!$D$3,ROW(),"")</f>
        <v/>
      </c>
    </row>
    <row r="672" customFormat="false" ht="15" hidden="false" customHeight="false" outlineLevel="0" collapsed="false">
      <c r="A672" s="80"/>
      <c r="B672" s="71"/>
      <c r="C672" s="71"/>
      <c r="D672" s="81"/>
      <c r="E672" s="71"/>
      <c r="F672" s="71"/>
      <c r="G672" s="82" t="str">
        <f aca="false">IF(C672="","",IFERROR(INDEX('Kit Lists'!$D$6:$D$605,MATCH(B672&amp;"|"&amp;C672,'Kit Lists'!$J$6:$J$605,0)),"Not on this contract's kit list"))</f>
        <v/>
      </c>
      <c r="H672" s="83" t="str">
        <f aca="false">IF(AND(B672="",C672="",D672=""),"",IF(B672="","Missing contract",IF(C672="","Missing code",IF(LEFT(G672,3)="Not","Wrong code",IF(D672="","Missing qty",IF(A672="","Missing date",""))))))</f>
        <v/>
      </c>
      <c r="I672" s="84" t="str">
        <f aca="false">IF(B672=Dashboard!$D$3,ROW(),"")</f>
        <v/>
      </c>
    </row>
    <row r="673" customFormat="false" ht="15" hidden="false" customHeight="false" outlineLevel="0" collapsed="false">
      <c r="A673" s="80"/>
      <c r="B673" s="71"/>
      <c r="C673" s="71"/>
      <c r="D673" s="81"/>
      <c r="E673" s="71"/>
      <c r="F673" s="71"/>
      <c r="G673" s="82" t="str">
        <f aca="false">IF(C673="","",IFERROR(INDEX('Kit Lists'!$D$6:$D$605,MATCH(B673&amp;"|"&amp;C673,'Kit Lists'!$J$6:$J$605,0)),"Not on this contract's kit list"))</f>
        <v/>
      </c>
      <c r="H673" s="83" t="str">
        <f aca="false">IF(AND(B673="",C673="",D673=""),"",IF(B673="","Missing contract",IF(C673="","Missing code",IF(LEFT(G673,3)="Not","Wrong code",IF(D673="","Missing qty",IF(A673="","Missing date",""))))))</f>
        <v/>
      </c>
      <c r="I673" s="84" t="str">
        <f aca="false">IF(B673=Dashboard!$D$3,ROW(),"")</f>
        <v/>
      </c>
    </row>
    <row r="674" customFormat="false" ht="15" hidden="false" customHeight="false" outlineLevel="0" collapsed="false">
      <c r="A674" s="80"/>
      <c r="B674" s="71"/>
      <c r="C674" s="71"/>
      <c r="D674" s="81"/>
      <c r="E674" s="71"/>
      <c r="F674" s="71"/>
      <c r="G674" s="82" t="str">
        <f aca="false">IF(C674="","",IFERROR(INDEX('Kit Lists'!$D$6:$D$605,MATCH(B674&amp;"|"&amp;C674,'Kit Lists'!$J$6:$J$605,0)),"Not on this contract's kit list"))</f>
        <v/>
      </c>
      <c r="H674" s="83" t="str">
        <f aca="false">IF(AND(B674="",C674="",D674=""),"",IF(B674="","Missing contract",IF(C674="","Missing code",IF(LEFT(G674,3)="Not","Wrong code",IF(D674="","Missing qty",IF(A674="","Missing date",""))))))</f>
        <v/>
      </c>
      <c r="I674" s="84" t="str">
        <f aca="false">IF(B674=Dashboard!$D$3,ROW(),"")</f>
        <v/>
      </c>
    </row>
    <row r="675" customFormat="false" ht="15" hidden="false" customHeight="false" outlineLevel="0" collapsed="false">
      <c r="A675" s="80"/>
      <c r="B675" s="71"/>
      <c r="C675" s="71"/>
      <c r="D675" s="81"/>
      <c r="E675" s="71"/>
      <c r="F675" s="71"/>
      <c r="G675" s="82" t="str">
        <f aca="false">IF(C675="","",IFERROR(INDEX('Kit Lists'!$D$6:$D$605,MATCH(B675&amp;"|"&amp;C675,'Kit Lists'!$J$6:$J$605,0)),"Not on this contract's kit list"))</f>
        <v/>
      </c>
      <c r="H675" s="83" t="str">
        <f aca="false">IF(AND(B675="",C675="",D675=""),"",IF(B675="","Missing contract",IF(C675="","Missing code",IF(LEFT(G675,3)="Not","Wrong code",IF(D675="","Missing qty",IF(A675="","Missing date",""))))))</f>
        <v/>
      </c>
      <c r="I675" s="84" t="str">
        <f aca="false">IF(B675=Dashboard!$D$3,ROW(),"")</f>
        <v/>
      </c>
    </row>
    <row r="676" customFormat="false" ht="15" hidden="false" customHeight="false" outlineLevel="0" collapsed="false">
      <c r="A676" s="80"/>
      <c r="B676" s="71"/>
      <c r="C676" s="71"/>
      <c r="D676" s="81"/>
      <c r="E676" s="71"/>
      <c r="F676" s="71"/>
      <c r="G676" s="82" t="str">
        <f aca="false">IF(C676="","",IFERROR(INDEX('Kit Lists'!$D$6:$D$605,MATCH(B676&amp;"|"&amp;C676,'Kit Lists'!$J$6:$J$605,0)),"Not on this contract's kit list"))</f>
        <v/>
      </c>
      <c r="H676" s="83" t="str">
        <f aca="false">IF(AND(B676="",C676="",D676=""),"",IF(B676="","Missing contract",IF(C676="","Missing code",IF(LEFT(G676,3)="Not","Wrong code",IF(D676="","Missing qty",IF(A676="","Missing date",""))))))</f>
        <v/>
      </c>
      <c r="I676" s="84" t="str">
        <f aca="false">IF(B676=Dashboard!$D$3,ROW(),"")</f>
        <v/>
      </c>
    </row>
    <row r="677" customFormat="false" ht="15" hidden="false" customHeight="false" outlineLevel="0" collapsed="false">
      <c r="A677" s="80"/>
      <c r="B677" s="71"/>
      <c r="C677" s="71"/>
      <c r="D677" s="81"/>
      <c r="E677" s="71"/>
      <c r="F677" s="71"/>
      <c r="G677" s="82" t="str">
        <f aca="false">IF(C677="","",IFERROR(INDEX('Kit Lists'!$D$6:$D$605,MATCH(B677&amp;"|"&amp;C677,'Kit Lists'!$J$6:$J$605,0)),"Not on this contract's kit list"))</f>
        <v/>
      </c>
      <c r="H677" s="83" t="str">
        <f aca="false">IF(AND(B677="",C677="",D677=""),"",IF(B677="","Missing contract",IF(C677="","Missing code",IF(LEFT(G677,3)="Not","Wrong code",IF(D677="","Missing qty",IF(A677="","Missing date",""))))))</f>
        <v/>
      </c>
      <c r="I677" s="84" t="str">
        <f aca="false">IF(B677=Dashboard!$D$3,ROW(),"")</f>
        <v/>
      </c>
    </row>
    <row r="678" customFormat="false" ht="15" hidden="false" customHeight="false" outlineLevel="0" collapsed="false">
      <c r="A678" s="80"/>
      <c r="B678" s="71"/>
      <c r="C678" s="71"/>
      <c r="D678" s="81"/>
      <c r="E678" s="71"/>
      <c r="F678" s="71"/>
      <c r="G678" s="82" t="str">
        <f aca="false">IF(C678="","",IFERROR(INDEX('Kit Lists'!$D$6:$D$605,MATCH(B678&amp;"|"&amp;C678,'Kit Lists'!$J$6:$J$605,0)),"Not on this contract's kit list"))</f>
        <v/>
      </c>
      <c r="H678" s="83" t="str">
        <f aca="false">IF(AND(B678="",C678="",D678=""),"",IF(B678="","Missing contract",IF(C678="","Missing code",IF(LEFT(G678,3)="Not","Wrong code",IF(D678="","Missing qty",IF(A678="","Missing date",""))))))</f>
        <v/>
      </c>
      <c r="I678" s="84" t="str">
        <f aca="false">IF(B678=Dashboard!$D$3,ROW(),"")</f>
        <v/>
      </c>
    </row>
    <row r="679" customFormat="false" ht="15" hidden="false" customHeight="false" outlineLevel="0" collapsed="false">
      <c r="A679" s="80"/>
      <c r="B679" s="71"/>
      <c r="C679" s="71"/>
      <c r="D679" s="81"/>
      <c r="E679" s="71"/>
      <c r="F679" s="71"/>
      <c r="G679" s="82" t="str">
        <f aca="false">IF(C679="","",IFERROR(INDEX('Kit Lists'!$D$6:$D$605,MATCH(B679&amp;"|"&amp;C679,'Kit Lists'!$J$6:$J$605,0)),"Not on this contract's kit list"))</f>
        <v/>
      </c>
      <c r="H679" s="83" t="str">
        <f aca="false">IF(AND(B679="",C679="",D679=""),"",IF(B679="","Missing contract",IF(C679="","Missing code",IF(LEFT(G679,3)="Not","Wrong code",IF(D679="","Missing qty",IF(A679="","Missing date",""))))))</f>
        <v/>
      </c>
      <c r="I679" s="84" t="str">
        <f aca="false">IF(B679=Dashboard!$D$3,ROW(),"")</f>
        <v/>
      </c>
    </row>
    <row r="680" customFormat="false" ht="15" hidden="false" customHeight="false" outlineLevel="0" collapsed="false">
      <c r="A680" s="80"/>
      <c r="B680" s="71"/>
      <c r="C680" s="71"/>
      <c r="D680" s="81"/>
      <c r="E680" s="71"/>
      <c r="F680" s="71"/>
      <c r="G680" s="82" t="str">
        <f aca="false">IF(C680="","",IFERROR(INDEX('Kit Lists'!$D$6:$D$605,MATCH(B680&amp;"|"&amp;C680,'Kit Lists'!$J$6:$J$605,0)),"Not on this contract's kit list"))</f>
        <v/>
      </c>
      <c r="H680" s="83" t="str">
        <f aca="false">IF(AND(B680="",C680="",D680=""),"",IF(B680="","Missing contract",IF(C680="","Missing code",IF(LEFT(G680,3)="Not","Wrong code",IF(D680="","Missing qty",IF(A680="","Missing date",""))))))</f>
        <v/>
      </c>
      <c r="I680" s="84" t="str">
        <f aca="false">IF(B680=Dashboard!$D$3,ROW(),"")</f>
        <v/>
      </c>
    </row>
    <row r="681" customFormat="false" ht="15" hidden="false" customHeight="false" outlineLevel="0" collapsed="false">
      <c r="A681" s="80"/>
      <c r="B681" s="71"/>
      <c r="C681" s="71"/>
      <c r="D681" s="81"/>
      <c r="E681" s="71"/>
      <c r="F681" s="71"/>
      <c r="G681" s="82" t="str">
        <f aca="false">IF(C681="","",IFERROR(INDEX('Kit Lists'!$D$6:$D$605,MATCH(B681&amp;"|"&amp;C681,'Kit Lists'!$J$6:$J$605,0)),"Not on this contract's kit list"))</f>
        <v/>
      </c>
      <c r="H681" s="83" t="str">
        <f aca="false">IF(AND(B681="",C681="",D681=""),"",IF(B681="","Missing contract",IF(C681="","Missing code",IF(LEFT(G681,3)="Not","Wrong code",IF(D681="","Missing qty",IF(A681="","Missing date",""))))))</f>
        <v/>
      </c>
      <c r="I681" s="84" t="str">
        <f aca="false">IF(B681=Dashboard!$D$3,ROW(),"")</f>
        <v/>
      </c>
    </row>
    <row r="682" customFormat="false" ht="15" hidden="false" customHeight="false" outlineLevel="0" collapsed="false">
      <c r="A682" s="80"/>
      <c r="B682" s="71"/>
      <c r="C682" s="71"/>
      <c r="D682" s="81"/>
      <c r="E682" s="71"/>
      <c r="F682" s="71"/>
      <c r="G682" s="82" t="str">
        <f aca="false">IF(C682="","",IFERROR(INDEX('Kit Lists'!$D$6:$D$605,MATCH(B682&amp;"|"&amp;C682,'Kit Lists'!$J$6:$J$605,0)),"Not on this contract's kit list"))</f>
        <v/>
      </c>
      <c r="H682" s="83" t="str">
        <f aca="false">IF(AND(B682="",C682="",D682=""),"",IF(B682="","Missing contract",IF(C682="","Missing code",IF(LEFT(G682,3)="Not","Wrong code",IF(D682="","Missing qty",IF(A682="","Missing date",""))))))</f>
        <v/>
      </c>
      <c r="I682" s="84" t="str">
        <f aca="false">IF(B682=Dashboard!$D$3,ROW(),"")</f>
        <v/>
      </c>
    </row>
    <row r="683" customFormat="false" ht="15" hidden="false" customHeight="false" outlineLevel="0" collapsed="false">
      <c r="A683" s="80"/>
      <c r="B683" s="71"/>
      <c r="C683" s="71"/>
      <c r="D683" s="81"/>
      <c r="E683" s="71"/>
      <c r="F683" s="71"/>
      <c r="G683" s="82" t="str">
        <f aca="false">IF(C683="","",IFERROR(INDEX('Kit Lists'!$D$6:$D$605,MATCH(B683&amp;"|"&amp;C683,'Kit Lists'!$J$6:$J$605,0)),"Not on this contract's kit list"))</f>
        <v/>
      </c>
      <c r="H683" s="83" t="str">
        <f aca="false">IF(AND(B683="",C683="",D683=""),"",IF(B683="","Missing contract",IF(C683="","Missing code",IF(LEFT(G683,3)="Not","Wrong code",IF(D683="","Missing qty",IF(A683="","Missing date",""))))))</f>
        <v/>
      </c>
      <c r="I683" s="84" t="str">
        <f aca="false">IF(B683=Dashboard!$D$3,ROW(),"")</f>
        <v/>
      </c>
    </row>
    <row r="684" customFormat="false" ht="15" hidden="false" customHeight="false" outlineLevel="0" collapsed="false">
      <c r="A684" s="80"/>
      <c r="B684" s="71"/>
      <c r="C684" s="71"/>
      <c r="D684" s="81"/>
      <c r="E684" s="71"/>
      <c r="F684" s="71"/>
      <c r="G684" s="82" t="str">
        <f aca="false">IF(C684="","",IFERROR(INDEX('Kit Lists'!$D$6:$D$605,MATCH(B684&amp;"|"&amp;C684,'Kit Lists'!$J$6:$J$605,0)),"Not on this contract's kit list"))</f>
        <v/>
      </c>
      <c r="H684" s="83" t="str">
        <f aca="false">IF(AND(B684="",C684="",D684=""),"",IF(B684="","Missing contract",IF(C684="","Missing code",IF(LEFT(G684,3)="Not","Wrong code",IF(D684="","Missing qty",IF(A684="","Missing date",""))))))</f>
        <v/>
      </c>
      <c r="I684" s="84" t="str">
        <f aca="false">IF(B684=Dashboard!$D$3,ROW(),"")</f>
        <v/>
      </c>
    </row>
    <row r="685" customFormat="false" ht="15" hidden="false" customHeight="false" outlineLevel="0" collapsed="false">
      <c r="A685" s="80"/>
      <c r="B685" s="71"/>
      <c r="C685" s="71"/>
      <c r="D685" s="81"/>
      <c r="E685" s="71"/>
      <c r="F685" s="71"/>
      <c r="G685" s="82" t="str">
        <f aca="false">IF(C685="","",IFERROR(INDEX('Kit Lists'!$D$6:$D$605,MATCH(B685&amp;"|"&amp;C685,'Kit Lists'!$J$6:$J$605,0)),"Not on this contract's kit list"))</f>
        <v/>
      </c>
      <c r="H685" s="83" t="str">
        <f aca="false">IF(AND(B685="",C685="",D685=""),"",IF(B685="","Missing contract",IF(C685="","Missing code",IF(LEFT(G685,3)="Not","Wrong code",IF(D685="","Missing qty",IF(A685="","Missing date",""))))))</f>
        <v/>
      </c>
      <c r="I685" s="84" t="str">
        <f aca="false">IF(B685=Dashboard!$D$3,ROW(),"")</f>
        <v/>
      </c>
    </row>
    <row r="686" customFormat="false" ht="15" hidden="false" customHeight="false" outlineLevel="0" collapsed="false">
      <c r="A686" s="80"/>
      <c r="B686" s="71"/>
      <c r="C686" s="71"/>
      <c r="D686" s="81"/>
      <c r="E686" s="71"/>
      <c r="F686" s="71"/>
      <c r="G686" s="82" t="str">
        <f aca="false">IF(C686="","",IFERROR(INDEX('Kit Lists'!$D$6:$D$605,MATCH(B686&amp;"|"&amp;C686,'Kit Lists'!$J$6:$J$605,0)),"Not on this contract's kit list"))</f>
        <v/>
      </c>
      <c r="H686" s="83" t="str">
        <f aca="false">IF(AND(B686="",C686="",D686=""),"",IF(B686="","Missing contract",IF(C686="","Missing code",IF(LEFT(G686,3)="Not","Wrong code",IF(D686="","Missing qty",IF(A686="","Missing date",""))))))</f>
        <v/>
      </c>
      <c r="I686" s="84" t="str">
        <f aca="false">IF(B686=Dashboard!$D$3,ROW(),"")</f>
        <v/>
      </c>
    </row>
    <row r="687" customFormat="false" ht="15" hidden="false" customHeight="false" outlineLevel="0" collapsed="false">
      <c r="A687" s="80"/>
      <c r="B687" s="71"/>
      <c r="C687" s="71"/>
      <c r="D687" s="81"/>
      <c r="E687" s="71"/>
      <c r="F687" s="71"/>
      <c r="G687" s="82" t="str">
        <f aca="false">IF(C687="","",IFERROR(INDEX('Kit Lists'!$D$6:$D$605,MATCH(B687&amp;"|"&amp;C687,'Kit Lists'!$J$6:$J$605,0)),"Not on this contract's kit list"))</f>
        <v/>
      </c>
      <c r="H687" s="83" t="str">
        <f aca="false">IF(AND(B687="",C687="",D687=""),"",IF(B687="","Missing contract",IF(C687="","Missing code",IF(LEFT(G687,3)="Not","Wrong code",IF(D687="","Missing qty",IF(A687="","Missing date",""))))))</f>
        <v/>
      </c>
      <c r="I687" s="84" t="str">
        <f aca="false">IF(B687=Dashboard!$D$3,ROW(),"")</f>
        <v/>
      </c>
    </row>
    <row r="688" customFormat="false" ht="15" hidden="false" customHeight="false" outlineLevel="0" collapsed="false">
      <c r="A688" s="80"/>
      <c r="B688" s="71"/>
      <c r="C688" s="71"/>
      <c r="D688" s="81"/>
      <c r="E688" s="71"/>
      <c r="F688" s="71"/>
      <c r="G688" s="82" t="str">
        <f aca="false">IF(C688="","",IFERROR(INDEX('Kit Lists'!$D$6:$D$605,MATCH(B688&amp;"|"&amp;C688,'Kit Lists'!$J$6:$J$605,0)),"Not on this contract's kit list"))</f>
        <v/>
      </c>
      <c r="H688" s="83" t="str">
        <f aca="false">IF(AND(B688="",C688="",D688=""),"",IF(B688="","Missing contract",IF(C688="","Missing code",IF(LEFT(G688,3)="Not","Wrong code",IF(D688="","Missing qty",IF(A688="","Missing date",""))))))</f>
        <v/>
      </c>
      <c r="I688" s="84" t="str">
        <f aca="false">IF(B688=Dashboard!$D$3,ROW(),"")</f>
        <v/>
      </c>
    </row>
    <row r="689" customFormat="false" ht="15" hidden="false" customHeight="false" outlineLevel="0" collapsed="false">
      <c r="A689" s="80"/>
      <c r="B689" s="71"/>
      <c r="C689" s="71"/>
      <c r="D689" s="81"/>
      <c r="E689" s="71"/>
      <c r="F689" s="71"/>
      <c r="G689" s="82" t="str">
        <f aca="false">IF(C689="","",IFERROR(INDEX('Kit Lists'!$D$6:$D$605,MATCH(B689&amp;"|"&amp;C689,'Kit Lists'!$J$6:$J$605,0)),"Not on this contract's kit list"))</f>
        <v/>
      </c>
      <c r="H689" s="83" t="str">
        <f aca="false">IF(AND(B689="",C689="",D689=""),"",IF(B689="","Missing contract",IF(C689="","Missing code",IF(LEFT(G689,3)="Not","Wrong code",IF(D689="","Missing qty",IF(A689="","Missing date",""))))))</f>
        <v/>
      </c>
      <c r="I689" s="84" t="str">
        <f aca="false">IF(B689=Dashboard!$D$3,ROW(),"")</f>
        <v/>
      </c>
    </row>
    <row r="690" customFormat="false" ht="15" hidden="false" customHeight="false" outlineLevel="0" collapsed="false">
      <c r="A690" s="80"/>
      <c r="B690" s="71"/>
      <c r="C690" s="71"/>
      <c r="D690" s="81"/>
      <c r="E690" s="71"/>
      <c r="F690" s="71"/>
      <c r="G690" s="82" t="str">
        <f aca="false">IF(C690="","",IFERROR(INDEX('Kit Lists'!$D$6:$D$605,MATCH(B690&amp;"|"&amp;C690,'Kit Lists'!$J$6:$J$605,0)),"Not on this contract's kit list"))</f>
        <v/>
      </c>
      <c r="H690" s="83" t="str">
        <f aca="false">IF(AND(B690="",C690="",D690=""),"",IF(B690="","Missing contract",IF(C690="","Missing code",IF(LEFT(G690,3)="Not","Wrong code",IF(D690="","Missing qty",IF(A690="","Missing date",""))))))</f>
        <v/>
      </c>
      <c r="I690" s="84" t="str">
        <f aca="false">IF(B690=Dashboard!$D$3,ROW(),"")</f>
        <v/>
      </c>
    </row>
    <row r="691" customFormat="false" ht="15" hidden="false" customHeight="false" outlineLevel="0" collapsed="false">
      <c r="A691" s="80"/>
      <c r="B691" s="71"/>
      <c r="C691" s="71"/>
      <c r="D691" s="81"/>
      <c r="E691" s="71"/>
      <c r="F691" s="71"/>
      <c r="G691" s="82" t="str">
        <f aca="false">IF(C691="","",IFERROR(INDEX('Kit Lists'!$D$6:$D$605,MATCH(B691&amp;"|"&amp;C691,'Kit Lists'!$J$6:$J$605,0)),"Not on this contract's kit list"))</f>
        <v/>
      </c>
      <c r="H691" s="83" t="str">
        <f aca="false">IF(AND(B691="",C691="",D691=""),"",IF(B691="","Missing contract",IF(C691="","Missing code",IF(LEFT(G691,3)="Not","Wrong code",IF(D691="","Missing qty",IF(A691="","Missing date",""))))))</f>
        <v/>
      </c>
      <c r="I691" s="84" t="str">
        <f aca="false">IF(B691=Dashboard!$D$3,ROW(),"")</f>
        <v/>
      </c>
    </row>
    <row r="692" customFormat="false" ht="15" hidden="false" customHeight="false" outlineLevel="0" collapsed="false">
      <c r="A692" s="80"/>
      <c r="B692" s="71"/>
      <c r="C692" s="71"/>
      <c r="D692" s="81"/>
      <c r="E692" s="71"/>
      <c r="F692" s="71"/>
      <c r="G692" s="82" t="str">
        <f aca="false">IF(C692="","",IFERROR(INDEX('Kit Lists'!$D$6:$D$605,MATCH(B692&amp;"|"&amp;C692,'Kit Lists'!$J$6:$J$605,0)),"Not on this contract's kit list"))</f>
        <v/>
      </c>
      <c r="H692" s="83" t="str">
        <f aca="false">IF(AND(B692="",C692="",D692=""),"",IF(B692="","Missing contract",IF(C692="","Missing code",IF(LEFT(G692,3)="Not","Wrong code",IF(D692="","Missing qty",IF(A692="","Missing date",""))))))</f>
        <v/>
      </c>
      <c r="I692" s="84" t="str">
        <f aca="false">IF(B692=Dashboard!$D$3,ROW(),"")</f>
        <v/>
      </c>
    </row>
    <row r="693" customFormat="false" ht="15" hidden="false" customHeight="false" outlineLevel="0" collapsed="false">
      <c r="A693" s="80"/>
      <c r="B693" s="71"/>
      <c r="C693" s="71"/>
      <c r="D693" s="81"/>
      <c r="E693" s="71"/>
      <c r="F693" s="71"/>
      <c r="G693" s="82" t="str">
        <f aca="false">IF(C693="","",IFERROR(INDEX('Kit Lists'!$D$6:$D$605,MATCH(B693&amp;"|"&amp;C693,'Kit Lists'!$J$6:$J$605,0)),"Not on this contract's kit list"))</f>
        <v/>
      </c>
      <c r="H693" s="83" t="str">
        <f aca="false">IF(AND(B693="",C693="",D693=""),"",IF(B693="","Missing contract",IF(C693="","Missing code",IF(LEFT(G693,3)="Not","Wrong code",IF(D693="","Missing qty",IF(A693="","Missing date",""))))))</f>
        <v/>
      </c>
      <c r="I693" s="84" t="str">
        <f aca="false">IF(B693=Dashboard!$D$3,ROW(),"")</f>
        <v/>
      </c>
    </row>
    <row r="694" customFormat="false" ht="15" hidden="false" customHeight="false" outlineLevel="0" collapsed="false">
      <c r="A694" s="80"/>
      <c r="B694" s="71"/>
      <c r="C694" s="71"/>
      <c r="D694" s="81"/>
      <c r="E694" s="71"/>
      <c r="F694" s="71"/>
      <c r="G694" s="82" t="str">
        <f aca="false">IF(C694="","",IFERROR(INDEX('Kit Lists'!$D$6:$D$605,MATCH(B694&amp;"|"&amp;C694,'Kit Lists'!$J$6:$J$605,0)),"Not on this contract's kit list"))</f>
        <v/>
      </c>
      <c r="H694" s="83" t="str">
        <f aca="false">IF(AND(B694="",C694="",D694=""),"",IF(B694="","Missing contract",IF(C694="","Missing code",IF(LEFT(G694,3)="Not","Wrong code",IF(D694="","Missing qty",IF(A694="","Missing date",""))))))</f>
        <v/>
      </c>
      <c r="I694" s="84" t="str">
        <f aca="false">IF(B694=Dashboard!$D$3,ROW(),"")</f>
        <v/>
      </c>
    </row>
    <row r="695" customFormat="false" ht="15" hidden="false" customHeight="false" outlineLevel="0" collapsed="false">
      <c r="A695" s="80"/>
      <c r="B695" s="71"/>
      <c r="C695" s="71"/>
      <c r="D695" s="81"/>
      <c r="E695" s="71"/>
      <c r="F695" s="71"/>
      <c r="G695" s="82" t="str">
        <f aca="false">IF(C695="","",IFERROR(INDEX('Kit Lists'!$D$6:$D$605,MATCH(B695&amp;"|"&amp;C695,'Kit Lists'!$J$6:$J$605,0)),"Not on this contract's kit list"))</f>
        <v/>
      </c>
      <c r="H695" s="83" t="str">
        <f aca="false">IF(AND(B695="",C695="",D695=""),"",IF(B695="","Missing contract",IF(C695="","Missing code",IF(LEFT(G695,3)="Not","Wrong code",IF(D695="","Missing qty",IF(A695="","Missing date",""))))))</f>
        <v/>
      </c>
      <c r="I695" s="84" t="str">
        <f aca="false">IF(B695=Dashboard!$D$3,ROW(),"")</f>
        <v/>
      </c>
    </row>
    <row r="696" customFormat="false" ht="15" hidden="false" customHeight="false" outlineLevel="0" collapsed="false">
      <c r="A696" s="80"/>
      <c r="B696" s="71"/>
      <c r="C696" s="71"/>
      <c r="D696" s="81"/>
      <c r="E696" s="71"/>
      <c r="F696" s="71"/>
      <c r="G696" s="82" t="str">
        <f aca="false">IF(C696="","",IFERROR(INDEX('Kit Lists'!$D$6:$D$605,MATCH(B696&amp;"|"&amp;C696,'Kit Lists'!$J$6:$J$605,0)),"Not on this contract's kit list"))</f>
        <v/>
      </c>
      <c r="H696" s="83" t="str">
        <f aca="false">IF(AND(B696="",C696="",D696=""),"",IF(B696="","Missing contract",IF(C696="","Missing code",IF(LEFT(G696,3)="Not","Wrong code",IF(D696="","Missing qty",IF(A696="","Missing date",""))))))</f>
        <v/>
      </c>
      <c r="I696" s="84" t="str">
        <f aca="false">IF(B696=Dashboard!$D$3,ROW(),"")</f>
        <v/>
      </c>
    </row>
    <row r="697" customFormat="false" ht="15" hidden="false" customHeight="false" outlineLevel="0" collapsed="false">
      <c r="A697" s="80"/>
      <c r="B697" s="71"/>
      <c r="C697" s="71"/>
      <c r="D697" s="81"/>
      <c r="E697" s="71"/>
      <c r="F697" s="71"/>
      <c r="G697" s="82" t="str">
        <f aca="false">IF(C697="","",IFERROR(INDEX('Kit Lists'!$D$6:$D$605,MATCH(B697&amp;"|"&amp;C697,'Kit Lists'!$J$6:$J$605,0)),"Not on this contract's kit list"))</f>
        <v/>
      </c>
      <c r="H697" s="83" t="str">
        <f aca="false">IF(AND(B697="",C697="",D697=""),"",IF(B697="","Missing contract",IF(C697="","Missing code",IF(LEFT(G697,3)="Not","Wrong code",IF(D697="","Missing qty",IF(A697="","Missing date",""))))))</f>
        <v/>
      </c>
      <c r="I697" s="84" t="str">
        <f aca="false">IF(B697=Dashboard!$D$3,ROW(),"")</f>
        <v/>
      </c>
    </row>
    <row r="698" customFormat="false" ht="15" hidden="false" customHeight="false" outlineLevel="0" collapsed="false">
      <c r="A698" s="80"/>
      <c r="B698" s="71"/>
      <c r="C698" s="71"/>
      <c r="D698" s="81"/>
      <c r="E698" s="71"/>
      <c r="F698" s="71"/>
      <c r="G698" s="82" t="str">
        <f aca="false">IF(C698="","",IFERROR(INDEX('Kit Lists'!$D$6:$D$605,MATCH(B698&amp;"|"&amp;C698,'Kit Lists'!$J$6:$J$605,0)),"Not on this contract's kit list"))</f>
        <v/>
      </c>
      <c r="H698" s="83" t="str">
        <f aca="false">IF(AND(B698="",C698="",D698=""),"",IF(B698="","Missing contract",IF(C698="","Missing code",IF(LEFT(G698,3)="Not","Wrong code",IF(D698="","Missing qty",IF(A698="","Missing date",""))))))</f>
        <v/>
      </c>
      <c r="I698" s="84" t="str">
        <f aca="false">IF(B698=Dashboard!$D$3,ROW(),"")</f>
        <v/>
      </c>
    </row>
    <row r="699" customFormat="false" ht="15" hidden="false" customHeight="false" outlineLevel="0" collapsed="false">
      <c r="A699" s="80"/>
      <c r="B699" s="71"/>
      <c r="C699" s="71"/>
      <c r="D699" s="81"/>
      <c r="E699" s="71"/>
      <c r="F699" s="71"/>
      <c r="G699" s="82" t="str">
        <f aca="false">IF(C699="","",IFERROR(INDEX('Kit Lists'!$D$6:$D$605,MATCH(B699&amp;"|"&amp;C699,'Kit Lists'!$J$6:$J$605,0)),"Not on this contract's kit list"))</f>
        <v/>
      </c>
      <c r="H699" s="83" t="str">
        <f aca="false">IF(AND(B699="",C699="",D699=""),"",IF(B699="","Missing contract",IF(C699="","Missing code",IF(LEFT(G699,3)="Not","Wrong code",IF(D699="","Missing qty",IF(A699="","Missing date",""))))))</f>
        <v/>
      </c>
      <c r="I699" s="84" t="str">
        <f aca="false">IF(B699=Dashboard!$D$3,ROW(),"")</f>
        <v/>
      </c>
    </row>
    <row r="700" customFormat="false" ht="15" hidden="false" customHeight="false" outlineLevel="0" collapsed="false">
      <c r="A700" s="80"/>
      <c r="B700" s="71"/>
      <c r="C700" s="71"/>
      <c r="D700" s="81"/>
      <c r="E700" s="71"/>
      <c r="F700" s="71"/>
      <c r="G700" s="82" t="str">
        <f aca="false">IF(C700="","",IFERROR(INDEX('Kit Lists'!$D$6:$D$605,MATCH(B700&amp;"|"&amp;C700,'Kit Lists'!$J$6:$J$605,0)),"Not on this contract's kit list"))</f>
        <v/>
      </c>
      <c r="H700" s="83" t="str">
        <f aca="false">IF(AND(B700="",C700="",D700=""),"",IF(B700="","Missing contract",IF(C700="","Missing code",IF(LEFT(G700,3)="Not","Wrong code",IF(D700="","Missing qty",IF(A700="","Missing date",""))))))</f>
        <v/>
      </c>
      <c r="I700" s="84" t="str">
        <f aca="false">IF(B700=Dashboard!$D$3,ROW(),"")</f>
        <v/>
      </c>
    </row>
    <row r="701" customFormat="false" ht="15" hidden="false" customHeight="false" outlineLevel="0" collapsed="false">
      <c r="A701" s="80"/>
      <c r="B701" s="71"/>
      <c r="C701" s="71"/>
      <c r="D701" s="81"/>
      <c r="E701" s="71"/>
      <c r="F701" s="71"/>
      <c r="G701" s="82" t="str">
        <f aca="false">IF(C701="","",IFERROR(INDEX('Kit Lists'!$D$6:$D$605,MATCH(B701&amp;"|"&amp;C701,'Kit Lists'!$J$6:$J$605,0)),"Not on this contract's kit list"))</f>
        <v/>
      </c>
      <c r="H701" s="83" t="str">
        <f aca="false">IF(AND(B701="",C701="",D701=""),"",IF(B701="","Missing contract",IF(C701="","Missing code",IF(LEFT(G701,3)="Not","Wrong code",IF(D701="","Missing qty",IF(A701="","Missing date",""))))))</f>
        <v/>
      </c>
      <c r="I701" s="84" t="str">
        <f aca="false">IF(B701=Dashboard!$D$3,ROW(),"")</f>
        <v/>
      </c>
    </row>
    <row r="702" customFormat="false" ht="15" hidden="false" customHeight="false" outlineLevel="0" collapsed="false">
      <c r="A702" s="80"/>
      <c r="B702" s="71"/>
      <c r="C702" s="71"/>
      <c r="D702" s="81"/>
      <c r="E702" s="71"/>
      <c r="F702" s="71"/>
      <c r="G702" s="82" t="str">
        <f aca="false">IF(C702="","",IFERROR(INDEX('Kit Lists'!$D$6:$D$605,MATCH(B702&amp;"|"&amp;C702,'Kit Lists'!$J$6:$J$605,0)),"Not on this contract's kit list"))</f>
        <v/>
      </c>
      <c r="H702" s="83" t="str">
        <f aca="false">IF(AND(B702="",C702="",D702=""),"",IF(B702="","Missing contract",IF(C702="","Missing code",IF(LEFT(G702,3)="Not","Wrong code",IF(D702="","Missing qty",IF(A702="","Missing date",""))))))</f>
        <v/>
      </c>
      <c r="I702" s="84" t="str">
        <f aca="false">IF(B702=Dashboard!$D$3,ROW(),"")</f>
        <v/>
      </c>
    </row>
    <row r="703" customFormat="false" ht="15" hidden="false" customHeight="false" outlineLevel="0" collapsed="false">
      <c r="A703" s="80"/>
      <c r="B703" s="71"/>
      <c r="C703" s="71"/>
      <c r="D703" s="81"/>
      <c r="E703" s="71"/>
      <c r="F703" s="71"/>
      <c r="G703" s="82" t="str">
        <f aca="false">IF(C703="","",IFERROR(INDEX('Kit Lists'!$D$6:$D$605,MATCH(B703&amp;"|"&amp;C703,'Kit Lists'!$J$6:$J$605,0)),"Not on this contract's kit list"))</f>
        <v/>
      </c>
      <c r="H703" s="83" t="str">
        <f aca="false">IF(AND(B703="",C703="",D703=""),"",IF(B703="","Missing contract",IF(C703="","Missing code",IF(LEFT(G703,3)="Not","Wrong code",IF(D703="","Missing qty",IF(A703="","Missing date",""))))))</f>
        <v/>
      </c>
      <c r="I703" s="84" t="str">
        <f aca="false">IF(B703=Dashboard!$D$3,ROW(),"")</f>
        <v/>
      </c>
    </row>
    <row r="704" customFormat="false" ht="15" hidden="false" customHeight="false" outlineLevel="0" collapsed="false">
      <c r="A704" s="80"/>
      <c r="B704" s="71"/>
      <c r="C704" s="71"/>
      <c r="D704" s="81"/>
      <c r="E704" s="71"/>
      <c r="F704" s="71"/>
      <c r="G704" s="82" t="str">
        <f aca="false">IF(C704="","",IFERROR(INDEX('Kit Lists'!$D$6:$D$605,MATCH(B704&amp;"|"&amp;C704,'Kit Lists'!$J$6:$J$605,0)),"Not on this contract's kit list"))</f>
        <v/>
      </c>
      <c r="H704" s="83" t="str">
        <f aca="false">IF(AND(B704="",C704="",D704=""),"",IF(B704="","Missing contract",IF(C704="","Missing code",IF(LEFT(G704,3)="Not","Wrong code",IF(D704="","Missing qty",IF(A704="","Missing date",""))))))</f>
        <v/>
      </c>
      <c r="I704" s="84" t="str">
        <f aca="false">IF(B704=Dashboard!$D$3,ROW(),"")</f>
        <v/>
      </c>
    </row>
    <row r="705" customFormat="false" ht="15" hidden="false" customHeight="false" outlineLevel="0" collapsed="false">
      <c r="A705" s="80"/>
      <c r="B705" s="71"/>
      <c r="C705" s="71"/>
      <c r="D705" s="81"/>
      <c r="E705" s="71"/>
      <c r="F705" s="71"/>
      <c r="G705" s="82" t="str">
        <f aca="false">IF(C705="","",IFERROR(INDEX('Kit Lists'!$D$6:$D$605,MATCH(B705&amp;"|"&amp;C705,'Kit Lists'!$J$6:$J$605,0)),"Not on this contract's kit list"))</f>
        <v/>
      </c>
      <c r="H705" s="83" t="str">
        <f aca="false">IF(AND(B705="",C705="",D705=""),"",IF(B705="","Missing contract",IF(C705="","Missing code",IF(LEFT(G705,3)="Not","Wrong code",IF(D705="","Missing qty",IF(A705="","Missing date",""))))))</f>
        <v/>
      </c>
      <c r="I705" s="84" t="str">
        <f aca="false">IF(B705=Dashboard!$D$3,ROW(),"")</f>
        <v/>
      </c>
    </row>
    <row r="706" customFormat="false" ht="15" hidden="false" customHeight="false" outlineLevel="0" collapsed="false">
      <c r="A706" s="80"/>
      <c r="B706" s="71"/>
      <c r="C706" s="71"/>
      <c r="D706" s="81"/>
      <c r="E706" s="71"/>
      <c r="F706" s="71"/>
      <c r="G706" s="82" t="str">
        <f aca="false">IF(C706="","",IFERROR(INDEX('Kit Lists'!$D$6:$D$605,MATCH(B706&amp;"|"&amp;C706,'Kit Lists'!$J$6:$J$605,0)),"Not on this contract's kit list"))</f>
        <v/>
      </c>
      <c r="H706" s="83" t="str">
        <f aca="false">IF(AND(B706="",C706="",D706=""),"",IF(B706="","Missing contract",IF(C706="","Missing code",IF(LEFT(G706,3)="Not","Wrong code",IF(D706="","Missing qty",IF(A706="","Missing date",""))))))</f>
        <v/>
      </c>
      <c r="I706" s="84" t="str">
        <f aca="false">IF(B706=Dashboard!$D$3,ROW(),"")</f>
        <v/>
      </c>
    </row>
    <row r="707" customFormat="false" ht="15" hidden="false" customHeight="false" outlineLevel="0" collapsed="false">
      <c r="A707" s="80"/>
      <c r="B707" s="71"/>
      <c r="C707" s="71"/>
      <c r="D707" s="81"/>
      <c r="E707" s="71"/>
      <c r="F707" s="71"/>
      <c r="G707" s="82" t="str">
        <f aca="false">IF(C707="","",IFERROR(INDEX('Kit Lists'!$D$6:$D$605,MATCH(B707&amp;"|"&amp;C707,'Kit Lists'!$J$6:$J$605,0)),"Not on this contract's kit list"))</f>
        <v/>
      </c>
      <c r="H707" s="83" t="str">
        <f aca="false">IF(AND(B707="",C707="",D707=""),"",IF(B707="","Missing contract",IF(C707="","Missing code",IF(LEFT(G707,3)="Not","Wrong code",IF(D707="","Missing qty",IF(A707="","Missing date",""))))))</f>
        <v/>
      </c>
      <c r="I707" s="84" t="str">
        <f aca="false">IF(B707=Dashboard!$D$3,ROW(),"")</f>
        <v/>
      </c>
    </row>
    <row r="708" customFormat="false" ht="15" hidden="false" customHeight="false" outlineLevel="0" collapsed="false">
      <c r="A708" s="80"/>
      <c r="B708" s="71"/>
      <c r="C708" s="71"/>
      <c r="D708" s="81"/>
      <c r="E708" s="71"/>
      <c r="F708" s="71"/>
      <c r="G708" s="82" t="str">
        <f aca="false">IF(C708="","",IFERROR(INDEX('Kit Lists'!$D$6:$D$605,MATCH(B708&amp;"|"&amp;C708,'Kit Lists'!$J$6:$J$605,0)),"Not on this contract's kit list"))</f>
        <v/>
      </c>
      <c r="H708" s="83" t="str">
        <f aca="false">IF(AND(B708="",C708="",D708=""),"",IF(B708="","Missing contract",IF(C708="","Missing code",IF(LEFT(G708,3)="Not","Wrong code",IF(D708="","Missing qty",IF(A708="","Missing date",""))))))</f>
        <v/>
      </c>
      <c r="I708" s="84" t="str">
        <f aca="false">IF(B708=Dashboard!$D$3,ROW(),"")</f>
        <v/>
      </c>
    </row>
    <row r="709" customFormat="false" ht="15" hidden="false" customHeight="false" outlineLevel="0" collapsed="false">
      <c r="A709" s="80"/>
      <c r="B709" s="71"/>
      <c r="C709" s="71"/>
      <c r="D709" s="81"/>
      <c r="E709" s="71"/>
      <c r="F709" s="71"/>
      <c r="G709" s="82" t="str">
        <f aca="false">IF(C709="","",IFERROR(INDEX('Kit Lists'!$D$6:$D$605,MATCH(B709&amp;"|"&amp;C709,'Kit Lists'!$J$6:$J$605,0)),"Not on this contract's kit list"))</f>
        <v/>
      </c>
      <c r="H709" s="83" t="str">
        <f aca="false">IF(AND(B709="",C709="",D709=""),"",IF(B709="","Missing contract",IF(C709="","Missing code",IF(LEFT(G709,3)="Not","Wrong code",IF(D709="","Missing qty",IF(A709="","Missing date",""))))))</f>
        <v/>
      </c>
      <c r="I709" s="84" t="str">
        <f aca="false">IF(B709=Dashboard!$D$3,ROW(),"")</f>
        <v/>
      </c>
    </row>
    <row r="710" customFormat="false" ht="15" hidden="false" customHeight="false" outlineLevel="0" collapsed="false">
      <c r="A710" s="80"/>
      <c r="B710" s="71"/>
      <c r="C710" s="71"/>
      <c r="D710" s="81"/>
      <c r="E710" s="71"/>
      <c r="F710" s="71"/>
      <c r="G710" s="82" t="str">
        <f aca="false">IF(C710="","",IFERROR(INDEX('Kit Lists'!$D$6:$D$605,MATCH(B710&amp;"|"&amp;C710,'Kit Lists'!$J$6:$J$605,0)),"Not on this contract's kit list"))</f>
        <v/>
      </c>
      <c r="H710" s="83" t="str">
        <f aca="false">IF(AND(B710="",C710="",D710=""),"",IF(B710="","Missing contract",IF(C710="","Missing code",IF(LEFT(G710,3)="Not","Wrong code",IF(D710="","Missing qty",IF(A710="","Missing date",""))))))</f>
        <v/>
      </c>
      <c r="I710" s="84" t="str">
        <f aca="false">IF(B710=Dashboard!$D$3,ROW(),"")</f>
        <v/>
      </c>
    </row>
    <row r="711" customFormat="false" ht="15" hidden="false" customHeight="false" outlineLevel="0" collapsed="false">
      <c r="A711" s="80"/>
      <c r="B711" s="71"/>
      <c r="C711" s="71"/>
      <c r="D711" s="81"/>
      <c r="E711" s="71"/>
      <c r="F711" s="71"/>
      <c r="G711" s="82" t="str">
        <f aca="false">IF(C711="","",IFERROR(INDEX('Kit Lists'!$D$6:$D$605,MATCH(B711&amp;"|"&amp;C711,'Kit Lists'!$J$6:$J$605,0)),"Not on this contract's kit list"))</f>
        <v/>
      </c>
      <c r="H711" s="83" t="str">
        <f aca="false">IF(AND(B711="",C711="",D711=""),"",IF(B711="","Missing contract",IF(C711="","Missing code",IF(LEFT(G711,3)="Not","Wrong code",IF(D711="","Missing qty",IF(A711="","Missing date",""))))))</f>
        <v/>
      </c>
      <c r="I711" s="84" t="str">
        <f aca="false">IF(B711=Dashboard!$D$3,ROW(),"")</f>
        <v/>
      </c>
    </row>
    <row r="712" customFormat="false" ht="15" hidden="false" customHeight="false" outlineLevel="0" collapsed="false">
      <c r="A712" s="80"/>
      <c r="B712" s="71"/>
      <c r="C712" s="71"/>
      <c r="D712" s="81"/>
      <c r="E712" s="71"/>
      <c r="F712" s="71"/>
      <c r="G712" s="82" t="str">
        <f aca="false">IF(C712="","",IFERROR(INDEX('Kit Lists'!$D$6:$D$605,MATCH(B712&amp;"|"&amp;C712,'Kit Lists'!$J$6:$J$605,0)),"Not on this contract's kit list"))</f>
        <v/>
      </c>
      <c r="H712" s="83" t="str">
        <f aca="false">IF(AND(B712="",C712="",D712=""),"",IF(B712="","Missing contract",IF(C712="","Missing code",IF(LEFT(G712,3)="Not","Wrong code",IF(D712="","Missing qty",IF(A712="","Missing date",""))))))</f>
        <v/>
      </c>
      <c r="I712" s="84" t="str">
        <f aca="false">IF(B712=Dashboard!$D$3,ROW(),"")</f>
        <v/>
      </c>
    </row>
    <row r="713" customFormat="false" ht="15" hidden="false" customHeight="false" outlineLevel="0" collapsed="false">
      <c r="A713" s="80"/>
      <c r="B713" s="71"/>
      <c r="C713" s="71"/>
      <c r="D713" s="81"/>
      <c r="E713" s="71"/>
      <c r="F713" s="71"/>
      <c r="G713" s="82" t="str">
        <f aca="false">IF(C713="","",IFERROR(INDEX('Kit Lists'!$D$6:$D$605,MATCH(B713&amp;"|"&amp;C713,'Kit Lists'!$J$6:$J$605,0)),"Not on this contract's kit list"))</f>
        <v/>
      </c>
      <c r="H713" s="83" t="str">
        <f aca="false">IF(AND(B713="",C713="",D713=""),"",IF(B713="","Missing contract",IF(C713="","Missing code",IF(LEFT(G713,3)="Not","Wrong code",IF(D713="","Missing qty",IF(A713="","Missing date",""))))))</f>
        <v/>
      </c>
      <c r="I713" s="84" t="str">
        <f aca="false">IF(B713=Dashboard!$D$3,ROW(),"")</f>
        <v/>
      </c>
    </row>
    <row r="714" customFormat="false" ht="15" hidden="false" customHeight="false" outlineLevel="0" collapsed="false">
      <c r="A714" s="80"/>
      <c r="B714" s="71"/>
      <c r="C714" s="71"/>
      <c r="D714" s="81"/>
      <c r="E714" s="71"/>
      <c r="F714" s="71"/>
      <c r="G714" s="82" t="str">
        <f aca="false">IF(C714="","",IFERROR(INDEX('Kit Lists'!$D$6:$D$605,MATCH(B714&amp;"|"&amp;C714,'Kit Lists'!$J$6:$J$605,0)),"Not on this contract's kit list"))</f>
        <v/>
      </c>
      <c r="H714" s="83" t="str">
        <f aca="false">IF(AND(B714="",C714="",D714=""),"",IF(B714="","Missing contract",IF(C714="","Missing code",IF(LEFT(G714,3)="Not","Wrong code",IF(D714="","Missing qty",IF(A714="","Missing date",""))))))</f>
        <v/>
      </c>
      <c r="I714" s="84" t="str">
        <f aca="false">IF(B714=Dashboard!$D$3,ROW(),"")</f>
        <v/>
      </c>
    </row>
    <row r="715" customFormat="false" ht="15" hidden="false" customHeight="false" outlineLevel="0" collapsed="false">
      <c r="A715" s="80"/>
      <c r="B715" s="71"/>
      <c r="C715" s="71"/>
      <c r="D715" s="81"/>
      <c r="E715" s="71"/>
      <c r="F715" s="71"/>
      <c r="G715" s="82" t="str">
        <f aca="false">IF(C715="","",IFERROR(INDEX('Kit Lists'!$D$6:$D$605,MATCH(B715&amp;"|"&amp;C715,'Kit Lists'!$J$6:$J$605,0)),"Not on this contract's kit list"))</f>
        <v/>
      </c>
      <c r="H715" s="83" t="str">
        <f aca="false">IF(AND(B715="",C715="",D715=""),"",IF(B715="","Missing contract",IF(C715="","Missing code",IF(LEFT(G715,3)="Not","Wrong code",IF(D715="","Missing qty",IF(A715="","Missing date",""))))))</f>
        <v/>
      </c>
      <c r="I715" s="84" t="str">
        <f aca="false">IF(B715=Dashboard!$D$3,ROW(),"")</f>
        <v/>
      </c>
    </row>
    <row r="716" customFormat="false" ht="15" hidden="false" customHeight="false" outlineLevel="0" collapsed="false">
      <c r="A716" s="80"/>
      <c r="B716" s="71"/>
      <c r="C716" s="71"/>
      <c r="D716" s="81"/>
      <c r="E716" s="71"/>
      <c r="F716" s="71"/>
      <c r="G716" s="82" t="str">
        <f aca="false">IF(C716="","",IFERROR(INDEX('Kit Lists'!$D$6:$D$605,MATCH(B716&amp;"|"&amp;C716,'Kit Lists'!$J$6:$J$605,0)),"Not on this contract's kit list"))</f>
        <v/>
      </c>
      <c r="H716" s="83" t="str">
        <f aca="false">IF(AND(B716="",C716="",D716=""),"",IF(B716="","Missing contract",IF(C716="","Missing code",IF(LEFT(G716,3)="Not","Wrong code",IF(D716="","Missing qty",IF(A716="","Missing date",""))))))</f>
        <v/>
      </c>
      <c r="I716" s="84" t="str">
        <f aca="false">IF(B716=Dashboard!$D$3,ROW(),"")</f>
        <v/>
      </c>
    </row>
    <row r="717" customFormat="false" ht="15" hidden="false" customHeight="false" outlineLevel="0" collapsed="false">
      <c r="A717" s="80"/>
      <c r="B717" s="71"/>
      <c r="C717" s="71"/>
      <c r="D717" s="81"/>
      <c r="E717" s="71"/>
      <c r="F717" s="71"/>
      <c r="G717" s="82" t="str">
        <f aca="false">IF(C717="","",IFERROR(INDEX('Kit Lists'!$D$6:$D$605,MATCH(B717&amp;"|"&amp;C717,'Kit Lists'!$J$6:$J$605,0)),"Not on this contract's kit list"))</f>
        <v/>
      </c>
      <c r="H717" s="83" t="str">
        <f aca="false">IF(AND(B717="",C717="",D717=""),"",IF(B717="","Missing contract",IF(C717="","Missing code",IF(LEFT(G717,3)="Not","Wrong code",IF(D717="","Missing qty",IF(A717="","Missing date",""))))))</f>
        <v/>
      </c>
      <c r="I717" s="84" t="str">
        <f aca="false">IF(B717=Dashboard!$D$3,ROW(),"")</f>
        <v/>
      </c>
    </row>
    <row r="718" customFormat="false" ht="15" hidden="false" customHeight="false" outlineLevel="0" collapsed="false">
      <c r="A718" s="80"/>
      <c r="B718" s="71"/>
      <c r="C718" s="71"/>
      <c r="D718" s="81"/>
      <c r="E718" s="71"/>
      <c r="F718" s="71"/>
      <c r="G718" s="82" t="str">
        <f aca="false">IF(C718="","",IFERROR(INDEX('Kit Lists'!$D$6:$D$605,MATCH(B718&amp;"|"&amp;C718,'Kit Lists'!$J$6:$J$605,0)),"Not on this contract's kit list"))</f>
        <v/>
      </c>
      <c r="H718" s="83" t="str">
        <f aca="false">IF(AND(B718="",C718="",D718=""),"",IF(B718="","Missing contract",IF(C718="","Missing code",IF(LEFT(G718,3)="Not","Wrong code",IF(D718="","Missing qty",IF(A718="","Missing date",""))))))</f>
        <v/>
      </c>
      <c r="I718" s="84" t="str">
        <f aca="false">IF(B718=Dashboard!$D$3,ROW(),"")</f>
        <v/>
      </c>
    </row>
    <row r="719" customFormat="false" ht="15" hidden="false" customHeight="false" outlineLevel="0" collapsed="false">
      <c r="A719" s="80"/>
      <c r="B719" s="71"/>
      <c r="C719" s="71"/>
      <c r="D719" s="81"/>
      <c r="E719" s="71"/>
      <c r="F719" s="71"/>
      <c r="G719" s="82" t="str">
        <f aca="false">IF(C719="","",IFERROR(INDEX('Kit Lists'!$D$6:$D$605,MATCH(B719&amp;"|"&amp;C719,'Kit Lists'!$J$6:$J$605,0)),"Not on this contract's kit list"))</f>
        <v/>
      </c>
      <c r="H719" s="83" t="str">
        <f aca="false">IF(AND(B719="",C719="",D719=""),"",IF(B719="","Missing contract",IF(C719="","Missing code",IF(LEFT(G719,3)="Not","Wrong code",IF(D719="","Missing qty",IF(A719="","Missing date",""))))))</f>
        <v/>
      </c>
      <c r="I719" s="84" t="str">
        <f aca="false">IF(B719=Dashboard!$D$3,ROW(),"")</f>
        <v/>
      </c>
    </row>
    <row r="720" customFormat="false" ht="15" hidden="false" customHeight="false" outlineLevel="0" collapsed="false">
      <c r="A720" s="80"/>
      <c r="B720" s="71"/>
      <c r="C720" s="71"/>
      <c r="D720" s="81"/>
      <c r="E720" s="71"/>
      <c r="F720" s="71"/>
      <c r="G720" s="82" t="str">
        <f aca="false">IF(C720="","",IFERROR(INDEX('Kit Lists'!$D$6:$D$605,MATCH(B720&amp;"|"&amp;C720,'Kit Lists'!$J$6:$J$605,0)),"Not on this contract's kit list"))</f>
        <v/>
      </c>
      <c r="H720" s="83" t="str">
        <f aca="false">IF(AND(B720="",C720="",D720=""),"",IF(B720="","Missing contract",IF(C720="","Missing code",IF(LEFT(G720,3)="Not","Wrong code",IF(D720="","Missing qty",IF(A720="","Missing date",""))))))</f>
        <v/>
      </c>
      <c r="I720" s="84" t="str">
        <f aca="false">IF(B720=Dashboard!$D$3,ROW(),"")</f>
        <v/>
      </c>
    </row>
    <row r="721" customFormat="false" ht="15" hidden="false" customHeight="false" outlineLevel="0" collapsed="false">
      <c r="A721" s="80"/>
      <c r="B721" s="71"/>
      <c r="C721" s="71"/>
      <c r="D721" s="81"/>
      <c r="E721" s="71"/>
      <c r="F721" s="71"/>
      <c r="G721" s="82" t="str">
        <f aca="false">IF(C721="","",IFERROR(INDEX('Kit Lists'!$D$6:$D$605,MATCH(B721&amp;"|"&amp;C721,'Kit Lists'!$J$6:$J$605,0)),"Not on this contract's kit list"))</f>
        <v/>
      </c>
      <c r="H721" s="83" t="str">
        <f aca="false">IF(AND(B721="",C721="",D721=""),"",IF(B721="","Missing contract",IF(C721="","Missing code",IF(LEFT(G721,3)="Not","Wrong code",IF(D721="","Missing qty",IF(A721="","Missing date",""))))))</f>
        <v/>
      </c>
      <c r="I721" s="84" t="str">
        <f aca="false">IF(B721=Dashboard!$D$3,ROW(),"")</f>
        <v/>
      </c>
    </row>
    <row r="722" customFormat="false" ht="15" hidden="false" customHeight="false" outlineLevel="0" collapsed="false">
      <c r="A722" s="80"/>
      <c r="B722" s="71"/>
      <c r="C722" s="71"/>
      <c r="D722" s="81"/>
      <c r="E722" s="71"/>
      <c r="F722" s="71"/>
      <c r="G722" s="82" t="str">
        <f aca="false">IF(C722="","",IFERROR(INDEX('Kit Lists'!$D$6:$D$605,MATCH(B722&amp;"|"&amp;C722,'Kit Lists'!$J$6:$J$605,0)),"Not on this contract's kit list"))</f>
        <v/>
      </c>
      <c r="H722" s="83" t="str">
        <f aca="false">IF(AND(B722="",C722="",D722=""),"",IF(B722="","Missing contract",IF(C722="","Missing code",IF(LEFT(G722,3)="Not","Wrong code",IF(D722="","Missing qty",IF(A722="","Missing date",""))))))</f>
        <v/>
      </c>
      <c r="I722" s="84" t="str">
        <f aca="false">IF(B722=Dashboard!$D$3,ROW(),"")</f>
        <v/>
      </c>
    </row>
    <row r="723" customFormat="false" ht="15" hidden="false" customHeight="false" outlineLevel="0" collapsed="false">
      <c r="A723" s="80"/>
      <c r="B723" s="71"/>
      <c r="C723" s="71"/>
      <c r="D723" s="81"/>
      <c r="E723" s="71"/>
      <c r="F723" s="71"/>
      <c r="G723" s="82" t="str">
        <f aca="false">IF(C723="","",IFERROR(INDEX('Kit Lists'!$D$6:$D$605,MATCH(B723&amp;"|"&amp;C723,'Kit Lists'!$J$6:$J$605,0)),"Not on this contract's kit list"))</f>
        <v/>
      </c>
      <c r="H723" s="83" t="str">
        <f aca="false">IF(AND(B723="",C723="",D723=""),"",IF(B723="","Missing contract",IF(C723="","Missing code",IF(LEFT(G723,3)="Not","Wrong code",IF(D723="","Missing qty",IF(A723="","Missing date",""))))))</f>
        <v/>
      </c>
      <c r="I723" s="84" t="str">
        <f aca="false">IF(B723=Dashboard!$D$3,ROW(),"")</f>
        <v/>
      </c>
    </row>
    <row r="724" customFormat="false" ht="15" hidden="false" customHeight="false" outlineLevel="0" collapsed="false">
      <c r="A724" s="80"/>
      <c r="B724" s="71"/>
      <c r="C724" s="71"/>
      <c r="D724" s="81"/>
      <c r="E724" s="71"/>
      <c r="F724" s="71"/>
      <c r="G724" s="82" t="str">
        <f aca="false">IF(C724="","",IFERROR(INDEX('Kit Lists'!$D$6:$D$605,MATCH(B724&amp;"|"&amp;C724,'Kit Lists'!$J$6:$J$605,0)),"Not on this contract's kit list"))</f>
        <v/>
      </c>
      <c r="H724" s="83" t="str">
        <f aca="false">IF(AND(B724="",C724="",D724=""),"",IF(B724="","Missing contract",IF(C724="","Missing code",IF(LEFT(G724,3)="Not","Wrong code",IF(D724="","Missing qty",IF(A724="","Missing date",""))))))</f>
        <v/>
      </c>
      <c r="I724" s="84" t="str">
        <f aca="false">IF(B724=Dashboard!$D$3,ROW(),"")</f>
        <v/>
      </c>
    </row>
    <row r="725" customFormat="false" ht="15" hidden="false" customHeight="false" outlineLevel="0" collapsed="false">
      <c r="A725" s="80"/>
      <c r="B725" s="71"/>
      <c r="C725" s="71"/>
      <c r="D725" s="81"/>
      <c r="E725" s="71"/>
      <c r="F725" s="71"/>
      <c r="G725" s="82" t="str">
        <f aca="false">IF(C725="","",IFERROR(INDEX('Kit Lists'!$D$6:$D$605,MATCH(B725&amp;"|"&amp;C725,'Kit Lists'!$J$6:$J$605,0)),"Not on this contract's kit list"))</f>
        <v/>
      </c>
      <c r="H725" s="83" t="str">
        <f aca="false">IF(AND(B725="",C725="",D725=""),"",IF(B725="","Missing contract",IF(C725="","Missing code",IF(LEFT(G725,3)="Not","Wrong code",IF(D725="","Missing qty",IF(A725="","Missing date",""))))))</f>
        <v/>
      </c>
      <c r="I725" s="84" t="str">
        <f aca="false">IF(B725=Dashboard!$D$3,ROW(),"")</f>
        <v/>
      </c>
    </row>
    <row r="726" customFormat="false" ht="15" hidden="false" customHeight="false" outlineLevel="0" collapsed="false">
      <c r="A726" s="80"/>
      <c r="B726" s="71"/>
      <c r="C726" s="71"/>
      <c r="D726" s="81"/>
      <c r="E726" s="71"/>
      <c r="F726" s="71"/>
      <c r="G726" s="82" t="str">
        <f aca="false">IF(C726="","",IFERROR(INDEX('Kit Lists'!$D$6:$D$605,MATCH(B726&amp;"|"&amp;C726,'Kit Lists'!$J$6:$J$605,0)),"Not on this contract's kit list"))</f>
        <v/>
      </c>
      <c r="H726" s="83" t="str">
        <f aca="false">IF(AND(B726="",C726="",D726=""),"",IF(B726="","Missing contract",IF(C726="","Missing code",IF(LEFT(G726,3)="Not","Wrong code",IF(D726="","Missing qty",IF(A726="","Missing date",""))))))</f>
        <v/>
      </c>
      <c r="I726" s="84" t="str">
        <f aca="false">IF(B726=Dashboard!$D$3,ROW(),"")</f>
        <v/>
      </c>
    </row>
    <row r="727" customFormat="false" ht="15" hidden="false" customHeight="false" outlineLevel="0" collapsed="false">
      <c r="A727" s="80"/>
      <c r="B727" s="71"/>
      <c r="C727" s="71"/>
      <c r="D727" s="81"/>
      <c r="E727" s="71"/>
      <c r="F727" s="71"/>
      <c r="G727" s="82" t="str">
        <f aca="false">IF(C727="","",IFERROR(INDEX('Kit Lists'!$D$6:$D$605,MATCH(B727&amp;"|"&amp;C727,'Kit Lists'!$J$6:$J$605,0)),"Not on this contract's kit list"))</f>
        <v/>
      </c>
      <c r="H727" s="83" t="str">
        <f aca="false">IF(AND(B727="",C727="",D727=""),"",IF(B727="","Missing contract",IF(C727="","Missing code",IF(LEFT(G727,3)="Not","Wrong code",IF(D727="","Missing qty",IF(A727="","Missing date",""))))))</f>
        <v/>
      </c>
      <c r="I727" s="84" t="str">
        <f aca="false">IF(B727=Dashboard!$D$3,ROW(),"")</f>
        <v/>
      </c>
    </row>
    <row r="728" customFormat="false" ht="15" hidden="false" customHeight="false" outlineLevel="0" collapsed="false">
      <c r="A728" s="80"/>
      <c r="B728" s="71"/>
      <c r="C728" s="71"/>
      <c r="D728" s="81"/>
      <c r="E728" s="71"/>
      <c r="F728" s="71"/>
      <c r="G728" s="82" t="str">
        <f aca="false">IF(C728="","",IFERROR(INDEX('Kit Lists'!$D$6:$D$605,MATCH(B728&amp;"|"&amp;C728,'Kit Lists'!$J$6:$J$605,0)),"Not on this contract's kit list"))</f>
        <v/>
      </c>
      <c r="H728" s="83" t="str">
        <f aca="false">IF(AND(B728="",C728="",D728=""),"",IF(B728="","Missing contract",IF(C728="","Missing code",IF(LEFT(G728,3)="Not","Wrong code",IF(D728="","Missing qty",IF(A728="","Missing date",""))))))</f>
        <v/>
      </c>
      <c r="I728" s="84" t="str">
        <f aca="false">IF(B728=Dashboard!$D$3,ROW(),"")</f>
        <v/>
      </c>
    </row>
    <row r="729" customFormat="false" ht="15" hidden="false" customHeight="false" outlineLevel="0" collapsed="false">
      <c r="A729" s="80"/>
      <c r="B729" s="71"/>
      <c r="C729" s="71"/>
      <c r="D729" s="81"/>
      <c r="E729" s="71"/>
      <c r="F729" s="71"/>
      <c r="G729" s="82" t="str">
        <f aca="false">IF(C729="","",IFERROR(INDEX('Kit Lists'!$D$6:$D$605,MATCH(B729&amp;"|"&amp;C729,'Kit Lists'!$J$6:$J$605,0)),"Not on this contract's kit list"))</f>
        <v/>
      </c>
      <c r="H729" s="83" t="str">
        <f aca="false">IF(AND(B729="",C729="",D729=""),"",IF(B729="","Missing contract",IF(C729="","Missing code",IF(LEFT(G729,3)="Not","Wrong code",IF(D729="","Missing qty",IF(A729="","Missing date",""))))))</f>
        <v/>
      </c>
      <c r="I729" s="84" t="str">
        <f aca="false">IF(B729=Dashboard!$D$3,ROW(),"")</f>
        <v/>
      </c>
    </row>
    <row r="730" customFormat="false" ht="15" hidden="false" customHeight="false" outlineLevel="0" collapsed="false">
      <c r="A730" s="80"/>
      <c r="B730" s="71"/>
      <c r="C730" s="71"/>
      <c r="D730" s="81"/>
      <c r="E730" s="71"/>
      <c r="F730" s="71"/>
      <c r="G730" s="82" t="str">
        <f aca="false">IF(C730="","",IFERROR(INDEX('Kit Lists'!$D$6:$D$605,MATCH(B730&amp;"|"&amp;C730,'Kit Lists'!$J$6:$J$605,0)),"Not on this contract's kit list"))</f>
        <v/>
      </c>
      <c r="H730" s="83" t="str">
        <f aca="false">IF(AND(B730="",C730="",D730=""),"",IF(B730="","Missing contract",IF(C730="","Missing code",IF(LEFT(G730,3)="Not","Wrong code",IF(D730="","Missing qty",IF(A730="","Missing date",""))))))</f>
        <v/>
      </c>
      <c r="I730" s="84" t="str">
        <f aca="false">IF(B730=Dashboard!$D$3,ROW(),"")</f>
        <v/>
      </c>
    </row>
    <row r="731" customFormat="false" ht="15" hidden="false" customHeight="false" outlineLevel="0" collapsed="false">
      <c r="A731" s="80"/>
      <c r="B731" s="71"/>
      <c r="C731" s="71"/>
      <c r="D731" s="81"/>
      <c r="E731" s="71"/>
      <c r="F731" s="71"/>
      <c r="G731" s="82" t="str">
        <f aca="false">IF(C731="","",IFERROR(INDEX('Kit Lists'!$D$6:$D$605,MATCH(B731&amp;"|"&amp;C731,'Kit Lists'!$J$6:$J$605,0)),"Not on this contract's kit list"))</f>
        <v/>
      </c>
      <c r="H731" s="83" t="str">
        <f aca="false">IF(AND(B731="",C731="",D731=""),"",IF(B731="","Missing contract",IF(C731="","Missing code",IF(LEFT(G731,3)="Not","Wrong code",IF(D731="","Missing qty",IF(A731="","Missing date",""))))))</f>
        <v/>
      </c>
      <c r="I731" s="84" t="str">
        <f aca="false">IF(B731=Dashboard!$D$3,ROW(),"")</f>
        <v/>
      </c>
    </row>
    <row r="732" customFormat="false" ht="15" hidden="false" customHeight="false" outlineLevel="0" collapsed="false">
      <c r="A732" s="80"/>
      <c r="B732" s="71"/>
      <c r="C732" s="71"/>
      <c r="D732" s="81"/>
      <c r="E732" s="71"/>
      <c r="F732" s="71"/>
      <c r="G732" s="82" t="str">
        <f aca="false">IF(C732="","",IFERROR(INDEX('Kit Lists'!$D$6:$D$605,MATCH(B732&amp;"|"&amp;C732,'Kit Lists'!$J$6:$J$605,0)),"Not on this contract's kit list"))</f>
        <v/>
      </c>
      <c r="H732" s="83" t="str">
        <f aca="false">IF(AND(B732="",C732="",D732=""),"",IF(B732="","Missing contract",IF(C732="","Missing code",IF(LEFT(G732,3)="Not","Wrong code",IF(D732="","Missing qty",IF(A732="","Missing date",""))))))</f>
        <v/>
      </c>
      <c r="I732" s="84" t="str">
        <f aca="false">IF(B732=Dashboard!$D$3,ROW(),"")</f>
        <v/>
      </c>
    </row>
    <row r="733" customFormat="false" ht="15" hidden="false" customHeight="false" outlineLevel="0" collapsed="false">
      <c r="A733" s="80"/>
      <c r="B733" s="71"/>
      <c r="C733" s="71"/>
      <c r="D733" s="81"/>
      <c r="E733" s="71"/>
      <c r="F733" s="71"/>
      <c r="G733" s="82" t="str">
        <f aca="false">IF(C733="","",IFERROR(INDEX('Kit Lists'!$D$6:$D$605,MATCH(B733&amp;"|"&amp;C733,'Kit Lists'!$J$6:$J$605,0)),"Not on this contract's kit list"))</f>
        <v/>
      </c>
      <c r="H733" s="83" t="str">
        <f aca="false">IF(AND(B733="",C733="",D733=""),"",IF(B733="","Missing contract",IF(C733="","Missing code",IF(LEFT(G733,3)="Not","Wrong code",IF(D733="","Missing qty",IF(A733="","Missing date",""))))))</f>
        <v/>
      </c>
      <c r="I733" s="84" t="str">
        <f aca="false">IF(B733=Dashboard!$D$3,ROW(),"")</f>
        <v/>
      </c>
    </row>
    <row r="734" customFormat="false" ht="15" hidden="false" customHeight="false" outlineLevel="0" collapsed="false">
      <c r="A734" s="80"/>
      <c r="B734" s="71"/>
      <c r="C734" s="71"/>
      <c r="D734" s="81"/>
      <c r="E734" s="71"/>
      <c r="F734" s="71"/>
      <c r="G734" s="82" t="str">
        <f aca="false">IF(C734="","",IFERROR(INDEX('Kit Lists'!$D$6:$D$605,MATCH(B734&amp;"|"&amp;C734,'Kit Lists'!$J$6:$J$605,0)),"Not on this contract's kit list"))</f>
        <v/>
      </c>
      <c r="H734" s="83" t="str">
        <f aca="false">IF(AND(B734="",C734="",D734=""),"",IF(B734="","Missing contract",IF(C734="","Missing code",IF(LEFT(G734,3)="Not","Wrong code",IF(D734="","Missing qty",IF(A734="","Missing date",""))))))</f>
        <v/>
      </c>
      <c r="I734" s="84" t="str">
        <f aca="false">IF(B734=Dashboard!$D$3,ROW(),"")</f>
        <v/>
      </c>
    </row>
    <row r="735" customFormat="false" ht="15" hidden="false" customHeight="false" outlineLevel="0" collapsed="false">
      <c r="A735" s="80"/>
      <c r="B735" s="71"/>
      <c r="C735" s="71"/>
      <c r="D735" s="81"/>
      <c r="E735" s="71"/>
      <c r="F735" s="71"/>
      <c r="G735" s="82" t="str">
        <f aca="false">IF(C735="","",IFERROR(INDEX('Kit Lists'!$D$6:$D$605,MATCH(B735&amp;"|"&amp;C735,'Kit Lists'!$J$6:$J$605,0)),"Not on this contract's kit list"))</f>
        <v/>
      </c>
      <c r="H735" s="83" t="str">
        <f aca="false">IF(AND(B735="",C735="",D735=""),"",IF(B735="","Missing contract",IF(C735="","Missing code",IF(LEFT(G735,3)="Not","Wrong code",IF(D735="","Missing qty",IF(A735="","Missing date",""))))))</f>
        <v/>
      </c>
      <c r="I735" s="84" t="str">
        <f aca="false">IF(B735=Dashboard!$D$3,ROW(),"")</f>
        <v/>
      </c>
    </row>
    <row r="736" customFormat="false" ht="15" hidden="false" customHeight="false" outlineLevel="0" collapsed="false">
      <c r="A736" s="80"/>
      <c r="B736" s="71"/>
      <c r="C736" s="71"/>
      <c r="D736" s="81"/>
      <c r="E736" s="71"/>
      <c r="F736" s="71"/>
      <c r="G736" s="82" t="str">
        <f aca="false">IF(C736="","",IFERROR(INDEX('Kit Lists'!$D$6:$D$605,MATCH(B736&amp;"|"&amp;C736,'Kit Lists'!$J$6:$J$605,0)),"Not on this contract's kit list"))</f>
        <v/>
      </c>
      <c r="H736" s="83" t="str">
        <f aca="false">IF(AND(B736="",C736="",D736=""),"",IF(B736="","Missing contract",IF(C736="","Missing code",IF(LEFT(G736,3)="Not","Wrong code",IF(D736="","Missing qty",IF(A736="","Missing date",""))))))</f>
        <v/>
      </c>
      <c r="I736" s="84" t="str">
        <f aca="false">IF(B736=Dashboard!$D$3,ROW(),"")</f>
        <v/>
      </c>
    </row>
    <row r="737" customFormat="false" ht="15" hidden="false" customHeight="false" outlineLevel="0" collapsed="false">
      <c r="A737" s="80"/>
      <c r="B737" s="71"/>
      <c r="C737" s="71"/>
      <c r="D737" s="81"/>
      <c r="E737" s="71"/>
      <c r="F737" s="71"/>
      <c r="G737" s="82" t="str">
        <f aca="false">IF(C737="","",IFERROR(INDEX('Kit Lists'!$D$6:$D$605,MATCH(B737&amp;"|"&amp;C737,'Kit Lists'!$J$6:$J$605,0)),"Not on this contract's kit list"))</f>
        <v/>
      </c>
      <c r="H737" s="83" t="str">
        <f aca="false">IF(AND(B737="",C737="",D737=""),"",IF(B737="","Missing contract",IF(C737="","Missing code",IF(LEFT(G737,3)="Not","Wrong code",IF(D737="","Missing qty",IF(A737="","Missing date",""))))))</f>
        <v/>
      </c>
      <c r="I737" s="84" t="str">
        <f aca="false">IF(B737=Dashboard!$D$3,ROW(),"")</f>
        <v/>
      </c>
    </row>
    <row r="738" customFormat="false" ht="15" hidden="false" customHeight="false" outlineLevel="0" collapsed="false">
      <c r="A738" s="80"/>
      <c r="B738" s="71"/>
      <c r="C738" s="71"/>
      <c r="D738" s="81"/>
      <c r="E738" s="71"/>
      <c r="F738" s="71"/>
      <c r="G738" s="82" t="str">
        <f aca="false">IF(C738="","",IFERROR(INDEX('Kit Lists'!$D$6:$D$605,MATCH(B738&amp;"|"&amp;C738,'Kit Lists'!$J$6:$J$605,0)),"Not on this contract's kit list"))</f>
        <v/>
      </c>
      <c r="H738" s="83" t="str">
        <f aca="false">IF(AND(B738="",C738="",D738=""),"",IF(B738="","Missing contract",IF(C738="","Missing code",IF(LEFT(G738,3)="Not","Wrong code",IF(D738="","Missing qty",IF(A738="","Missing date",""))))))</f>
        <v/>
      </c>
      <c r="I738" s="84" t="str">
        <f aca="false">IF(B738=Dashboard!$D$3,ROW(),"")</f>
        <v/>
      </c>
    </row>
    <row r="739" customFormat="false" ht="15" hidden="false" customHeight="false" outlineLevel="0" collapsed="false">
      <c r="A739" s="80"/>
      <c r="B739" s="71"/>
      <c r="C739" s="71"/>
      <c r="D739" s="81"/>
      <c r="E739" s="71"/>
      <c r="F739" s="71"/>
      <c r="G739" s="82" t="str">
        <f aca="false">IF(C739="","",IFERROR(INDEX('Kit Lists'!$D$6:$D$605,MATCH(B739&amp;"|"&amp;C739,'Kit Lists'!$J$6:$J$605,0)),"Not on this contract's kit list"))</f>
        <v/>
      </c>
      <c r="H739" s="83" t="str">
        <f aca="false">IF(AND(B739="",C739="",D739=""),"",IF(B739="","Missing contract",IF(C739="","Missing code",IF(LEFT(G739,3)="Not","Wrong code",IF(D739="","Missing qty",IF(A739="","Missing date",""))))))</f>
        <v/>
      </c>
      <c r="I739" s="84" t="str">
        <f aca="false">IF(B739=Dashboard!$D$3,ROW(),"")</f>
        <v/>
      </c>
    </row>
    <row r="740" customFormat="false" ht="15" hidden="false" customHeight="false" outlineLevel="0" collapsed="false">
      <c r="A740" s="80"/>
      <c r="B740" s="71"/>
      <c r="C740" s="71"/>
      <c r="D740" s="81"/>
      <c r="E740" s="71"/>
      <c r="F740" s="71"/>
      <c r="G740" s="82" t="str">
        <f aca="false">IF(C740="","",IFERROR(INDEX('Kit Lists'!$D$6:$D$605,MATCH(B740&amp;"|"&amp;C740,'Kit Lists'!$J$6:$J$605,0)),"Not on this contract's kit list"))</f>
        <v/>
      </c>
      <c r="H740" s="83" t="str">
        <f aca="false">IF(AND(B740="",C740="",D740=""),"",IF(B740="","Missing contract",IF(C740="","Missing code",IF(LEFT(G740,3)="Not","Wrong code",IF(D740="","Missing qty",IF(A740="","Missing date",""))))))</f>
        <v/>
      </c>
      <c r="I740" s="84" t="str">
        <f aca="false">IF(B740=Dashboard!$D$3,ROW(),"")</f>
        <v/>
      </c>
    </row>
    <row r="741" customFormat="false" ht="15" hidden="false" customHeight="false" outlineLevel="0" collapsed="false">
      <c r="A741" s="80"/>
      <c r="B741" s="71"/>
      <c r="C741" s="71"/>
      <c r="D741" s="81"/>
      <c r="E741" s="71"/>
      <c r="F741" s="71"/>
      <c r="G741" s="82" t="str">
        <f aca="false">IF(C741="","",IFERROR(INDEX('Kit Lists'!$D$6:$D$605,MATCH(B741&amp;"|"&amp;C741,'Kit Lists'!$J$6:$J$605,0)),"Not on this contract's kit list"))</f>
        <v/>
      </c>
      <c r="H741" s="83" t="str">
        <f aca="false">IF(AND(B741="",C741="",D741=""),"",IF(B741="","Missing contract",IF(C741="","Missing code",IF(LEFT(G741,3)="Not","Wrong code",IF(D741="","Missing qty",IF(A741="","Missing date",""))))))</f>
        <v/>
      </c>
      <c r="I741" s="84" t="str">
        <f aca="false">IF(B741=Dashboard!$D$3,ROW(),"")</f>
        <v/>
      </c>
    </row>
    <row r="742" customFormat="false" ht="15" hidden="false" customHeight="false" outlineLevel="0" collapsed="false">
      <c r="A742" s="80"/>
      <c r="B742" s="71"/>
      <c r="C742" s="71"/>
      <c r="D742" s="81"/>
      <c r="E742" s="71"/>
      <c r="F742" s="71"/>
      <c r="G742" s="82" t="str">
        <f aca="false">IF(C742="","",IFERROR(INDEX('Kit Lists'!$D$6:$D$605,MATCH(B742&amp;"|"&amp;C742,'Kit Lists'!$J$6:$J$605,0)),"Not on this contract's kit list"))</f>
        <v/>
      </c>
      <c r="H742" s="83" t="str">
        <f aca="false">IF(AND(B742="",C742="",D742=""),"",IF(B742="","Missing contract",IF(C742="","Missing code",IF(LEFT(G742,3)="Not","Wrong code",IF(D742="","Missing qty",IF(A742="","Missing date",""))))))</f>
        <v/>
      </c>
      <c r="I742" s="84" t="str">
        <f aca="false">IF(B742=Dashboard!$D$3,ROW(),"")</f>
        <v/>
      </c>
    </row>
    <row r="743" customFormat="false" ht="15" hidden="false" customHeight="false" outlineLevel="0" collapsed="false">
      <c r="A743" s="80"/>
      <c r="B743" s="71"/>
      <c r="C743" s="71"/>
      <c r="D743" s="81"/>
      <c r="E743" s="71"/>
      <c r="F743" s="71"/>
      <c r="G743" s="82" t="str">
        <f aca="false">IF(C743="","",IFERROR(INDEX('Kit Lists'!$D$6:$D$605,MATCH(B743&amp;"|"&amp;C743,'Kit Lists'!$J$6:$J$605,0)),"Not on this contract's kit list"))</f>
        <v/>
      </c>
      <c r="H743" s="83" t="str">
        <f aca="false">IF(AND(B743="",C743="",D743=""),"",IF(B743="","Missing contract",IF(C743="","Missing code",IF(LEFT(G743,3)="Not","Wrong code",IF(D743="","Missing qty",IF(A743="","Missing date",""))))))</f>
        <v/>
      </c>
      <c r="I743" s="84" t="str">
        <f aca="false">IF(B743=Dashboard!$D$3,ROW(),"")</f>
        <v/>
      </c>
    </row>
    <row r="744" customFormat="false" ht="15" hidden="false" customHeight="false" outlineLevel="0" collapsed="false">
      <c r="A744" s="80"/>
      <c r="B744" s="71"/>
      <c r="C744" s="71"/>
      <c r="D744" s="81"/>
      <c r="E744" s="71"/>
      <c r="F744" s="71"/>
      <c r="G744" s="82" t="str">
        <f aca="false">IF(C744="","",IFERROR(INDEX('Kit Lists'!$D$6:$D$605,MATCH(B744&amp;"|"&amp;C744,'Kit Lists'!$J$6:$J$605,0)),"Not on this contract's kit list"))</f>
        <v/>
      </c>
      <c r="H744" s="83" t="str">
        <f aca="false">IF(AND(B744="",C744="",D744=""),"",IF(B744="","Missing contract",IF(C744="","Missing code",IF(LEFT(G744,3)="Not","Wrong code",IF(D744="","Missing qty",IF(A744="","Missing date",""))))))</f>
        <v/>
      </c>
      <c r="I744" s="84" t="str">
        <f aca="false">IF(B744=Dashboard!$D$3,ROW(),"")</f>
        <v/>
      </c>
    </row>
    <row r="745" customFormat="false" ht="15" hidden="false" customHeight="false" outlineLevel="0" collapsed="false">
      <c r="A745" s="80"/>
      <c r="B745" s="71"/>
      <c r="C745" s="71"/>
      <c r="D745" s="81"/>
      <c r="E745" s="71"/>
      <c r="F745" s="71"/>
      <c r="G745" s="82" t="str">
        <f aca="false">IF(C745="","",IFERROR(INDEX('Kit Lists'!$D$6:$D$605,MATCH(B745&amp;"|"&amp;C745,'Kit Lists'!$J$6:$J$605,0)),"Not on this contract's kit list"))</f>
        <v/>
      </c>
      <c r="H745" s="83" t="str">
        <f aca="false">IF(AND(B745="",C745="",D745=""),"",IF(B745="","Missing contract",IF(C745="","Missing code",IF(LEFT(G745,3)="Not","Wrong code",IF(D745="","Missing qty",IF(A745="","Missing date",""))))))</f>
        <v/>
      </c>
      <c r="I745" s="84" t="str">
        <f aca="false">IF(B745=Dashboard!$D$3,ROW(),"")</f>
        <v/>
      </c>
    </row>
    <row r="746" customFormat="false" ht="15" hidden="false" customHeight="false" outlineLevel="0" collapsed="false">
      <c r="A746" s="80"/>
      <c r="B746" s="71"/>
      <c r="C746" s="71"/>
      <c r="D746" s="81"/>
      <c r="E746" s="71"/>
      <c r="F746" s="71"/>
      <c r="G746" s="82" t="str">
        <f aca="false">IF(C746="","",IFERROR(INDEX('Kit Lists'!$D$6:$D$605,MATCH(B746&amp;"|"&amp;C746,'Kit Lists'!$J$6:$J$605,0)),"Not on this contract's kit list"))</f>
        <v/>
      </c>
      <c r="H746" s="83" t="str">
        <f aca="false">IF(AND(B746="",C746="",D746=""),"",IF(B746="","Missing contract",IF(C746="","Missing code",IF(LEFT(G746,3)="Not","Wrong code",IF(D746="","Missing qty",IF(A746="","Missing date",""))))))</f>
        <v/>
      </c>
      <c r="I746" s="84" t="str">
        <f aca="false">IF(B746=Dashboard!$D$3,ROW(),"")</f>
        <v/>
      </c>
    </row>
    <row r="747" customFormat="false" ht="15" hidden="false" customHeight="false" outlineLevel="0" collapsed="false">
      <c r="A747" s="80"/>
      <c r="B747" s="71"/>
      <c r="C747" s="71"/>
      <c r="D747" s="81"/>
      <c r="E747" s="71"/>
      <c r="F747" s="71"/>
      <c r="G747" s="82" t="str">
        <f aca="false">IF(C747="","",IFERROR(INDEX('Kit Lists'!$D$6:$D$605,MATCH(B747&amp;"|"&amp;C747,'Kit Lists'!$J$6:$J$605,0)),"Not on this contract's kit list"))</f>
        <v/>
      </c>
      <c r="H747" s="83" t="str">
        <f aca="false">IF(AND(B747="",C747="",D747=""),"",IF(B747="","Missing contract",IF(C747="","Missing code",IF(LEFT(G747,3)="Not","Wrong code",IF(D747="","Missing qty",IF(A747="","Missing date",""))))))</f>
        <v/>
      </c>
      <c r="I747" s="84" t="str">
        <f aca="false">IF(B747=Dashboard!$D$3,ROW(),"")</f>
        <v/>
      </c>
    </row>
    <row r="748" customFormat="false" ht="15" hidden="false" customHeight="false" outlineLevel="0" collapsed="false">
      <c r="A748" s="80"/>
      <c r="B748" s="71"/>
      <c r="C748" s="71"/>
      <c r="D748" s="81"/>
      <c r="E748" s="71"/>
      <c r="F748" s="71"/>
      <c r="G748" s="82" t="str">
        <f aca="false">IF(C748="","",IFERROR(INDEX('Kit Lists'!$D$6:$D$605,MATCH(B748&amp;"|"&amp;C748,'Kit Lists'!$J$6:$J$605,0)),"Not on this contract's kit list"))</f>
        <v/>
      </c>
      <c r="H748" s="83" t="str">
        <f aca="false">IF(AND(B748="",C748="",D748=""),"",IF(B748="","Missing contract",IF(C748="","Missing code",IF(LEFT(G748,3)="Not","Wrong code",IF(D748="","Missing qty",IF(A748="","Missing date",""))))))</f>
        <v/>
      </c>
      <c r="I748" s="84" t="str">
        <f aca="false">IF(B748=Dashboard!$D$3,ROW(),"")</f>
        <v/>
      </c>
    </row>
    <row r="749" customFormat="false" ht="15" hidden="false" customHeight="false" outlineLevel="0" collapsed="false">
      <c r="A749" s="80"/>
      <c r="B749" s="71"/>
      <c r="C749" s="71"/>
      <c r="D749" s="81"/>
      <c r="E749" s="71"/>
      <c r="F749" s="71"/>
      <c r="G749" s="82" t="str">
        <f aca="false">IF(C749="","",IFERROR(INDEX('Kit Lists'!$D$6:$D$605,MATCH(B749&amp;"|"&amp;C749,'Kit Lists'!$J$6:$J$605,0)),"Not on this contract's kit list"))</f>
        <v/>
      </c>
      <c r="H749" s="83" t="str">
        <f aca="false">IF(AND(B749="",C749="",D749=""),"",IF(B749="","Missing contract",IF(C749="","Missing code",IF(LEFT(G749,3)="Not","Wrong code",IF(D749="","Missing qty",IF(A749="","Missing date",""))))))</f>
        <v/>
      </c>
      <c r="I749" s="84" t="str">
        <f aca="false">IF(B749=Dashboard!$D$3,ROW(),"")</f>
        <v/>
      </c>
    </row>
    <row r="750" customFormat="false" ht="15" hidden="false" customHeight="false" outlineLevel="0" collapsed="false">
      <c r="A750" s="80"/>
      <c r="B750" s="71"/>
      <c r="C750" s="71"/>
      <c r="D750" s="81"/>
      <c r="E750" s="71"/>
      <c r="F750" s="71"/>
      <c r="G750" s="82" t="str">
        <f aca="false">IF(C750="","",IFERROR(INDEX('Kit Lists'!$D$6:$D$605,MATCH(B750&amp;"|"&amp;C750,'Kit Lists'!$J$6:$J$605,0)),"Not on this contract's kit list"))</f>
        <v/>
      </c>
      <c r="H750" s="83" t="str">
        <f aca="false">IF(AND(B750="",C750="",D750=""),"",IF(B750="","Missing contract",IF(C750="","Missing code",IF(LEFT(G750,3)="Not","Wrong code",IF(D750="","Missing qty",IF(A750="","Missing date",""))))))</f>
        <v/>
      </c>
      <c r="I750" s="84" t="str">
        <f aca="false">IF(B750=Dashboard!$D$3,ROW(),"")</f>
        <v/>
      </c>
    </row>
    <row r="751" customFormat="false" ht="15" hidden="false" customHeight="false" outlineLevel="0" collapsed="false">
      <c r="A751" s="80"/>
      <c r="B751" s="71"/>
      <c r="C751" s="71"/>
      <c r="D751" s="81"/>
      <c r="E751" s="71"/>
      <c r="F751" s="71"/>
      <c r="G751" s="82" t="str">
        <f aca="false">IF(C751="","",IFERROR(INDEX('Kit Lists'!$D$6:$D$605,MATCH(B751&amp;"|"&amp;C751,'Kit Lists'!$J$6:$J$605,0)),"Not on this contract's kit list"))</f>
        <v/>
      </c>
      <c r="H751" s="83" t="str">
        <f aca="false">IF(AND(B751="",C751="",D751=""),"",IF(B751="","Missing contract",IF(C751="","Missing code",IF(LEFT(G751,3)="Not","Wrong code",IF(D751="","Missing qty",IF(A751="","Missing date",""))))))</f>
        <v/>
      </c>
      <c r="I751" s="84" t="str">
        <f aca="false">IF(B751=Dashboard!$D$3,ROW(),"")</f>
        <v/>
      </c>
    </row>
    <row r="752" customFormat="false" ht="15" hidden="false" customHeight="false" outlineLevel="0" collapsed="false">
      <c r="A752" s="80"/>
      <c r="B752" s="71"/>
      <c r="C752" s="71"/>
      <c r="D752" s="81"/>
      <c r="E752" s="71"/>
      <c r="F752" s="71"/>
      <c r="G752" s="82" t="str">
        <f aca="false">IF(C752="","",IFERROR(INDEX('Kit Lists'!$D$6:$D$605,MATCH(B752&amp;"|"&amp;C752,'Kit Lists'!$J$6:$J$605,0)),"Not on this contract's kit list"))</f>
        <v/>
      </c>
      <c r="H752" s="83" t="str">
        <f aca="false">IF(AND(B752="",C752="",D752=""),"",IF(B752="","Missing contract",IF(C752="","Missing code",IF(LEFT(G752,3)="Not","Wrong code",IF(D752="","Missing qty",IF(A752="","Missing date",""))))))</f>
        <v/>
      </c>
      <c r="I752" s="84" t="str">
        <f aca="false">IF(B752=Dashboard!$D$3,ROW(),"")</f>
        <v/>
      </c>
    </row>
    <row r="753" customFormat="false" ht="15" hidden="false" customHeight="false" outlineLevel="0" collapsed="false">
      <c r="A753" s="80"/>
      <c r="B753" s="71"/>
      <c r="C753" s="71"/>
      <c r="D753" s="81"/>
      <c r="E753" s="71"/>
      <c r="F753" s="71"/>
      <c r="G753" s="82" t="str">
        <f aca="false">IF(C753="","",IFERROR(INDEX('Kit Lists'!$D$6:$D$605,MATCH(B753&amp;"|"&amp;C753,'Kit Lists'!$J$6:$J$605,0)),"Not on this contract's kit list"))</f>
        <v/>
      </c>
      <c r="H753" s="83" t="str">
        <f aca="false">IF(AND(B753="",C753="",D753=""),"",IF(B753="","Missing contract",IF(C753="","Missing code",IF(LEFT(G753,3)="Not","Wrong code",IF(D753="","Missing qty",IF(A753="","Missing date",""))))))</f>
        <v/>
      </c>
      <c r="I753" s="84" t="str">
        <f aca="false">IF(B753=Dashboard!$D$3,ROW(),"")</f>
        <v/>
      </c>
    </row>
    <row r="754" customFormat="false" ht="15" hidden="false" customHeight="false" outlineLevel="0" collapsed="false">
      <c r="A754" s="80"/>
      <c r="B754" s="71"/>
      <c r="C754" s="71"/>
      <c r="D754" s="81"/>
      <c r="E754" s="71"/>
      <c r="F754" s="71"/>
      <c r="G754" s="82" t="str">
        <f aca="false">IF(C754="","",IFERROR(INDEX('Kit Lists'!$D$6:$D$605,MATCH(B754&amp;"|"&amp;C754,'Kit Lists'!$J$6:$J$605,0)),"Not on this contract's kit list"))</f>
        <v/>
      </c>
      <c r="H754" s="83" t="str">
        <f aca="false">IF(AND(B754="",C754="",D754=""),"",IF(B754="","Missing contract",IF(C754="","Missing code",IF(LEFT(G754,3)="Not","Wrong code",IF(D754="","Missing qty",IF(A754="","Missing date",""))))))</f>
        <v/>
      </c>
      <c r="I754" s="84" t="str">
        <f aca="false">IF(B754=Dashboard!$D$3,ROW(),"")</f>
        <v/>
      </c>
    </row>
    <row r="755" customFormat="false" ht="15" hidden="false" customHeight="false" outlineLevel="0" collapsed="false">
      <c r="A755" s="80"/>
      <c r="B755" s="71"/>
      <c r="C755" s="71"/>
      <c r="D755" s="81"/>
      <c r="E755" s="71"/>
      <c r="F755" s="71"/>
      <c r="G755" s="82" t="str">
        <f aca="false">IF(C755="","",IFERROR(INDEX('Kit Lists'!$D$6:$D$605,MATCH(B755&amp;"|"&amp;C755,'Kit Lists'!$J$6:$J$605,0)),"Not on this contract's kit list"))</f>
        <v/>
      </c>
      <c r="H755" s="83" t="str">
        <f aca="false">IF(AND(B755="",C755="",D755=""),"",IF(B755="","Missing contract",IF(C755="","Missing code",IF(LEFT(G755,3)="Not","Wrong code",IF(D755="","Missing qty",IF(A755="","Missing date",""))))))</f>
        <v/>
      </c>
      <c r="I755" s="84" t="str">
        <f aca="false">IF(B755=Dashboard!$D$3,ROW(),"")</f>
        <v/>
      </c>
    </row>
    <row r="756" customFormat="false" ht="15" hidden="false" customHeight="false" outlineLevel="0" collapsed="false">
      <c r="A756" s="80"/>
      <c r="B756" s="71"/>
      <c r="C756" s="71"/>
      <c r="D756" s="81"/>
      <c r="E756" s="71"/>
      <c r="F756" s="71"/>
      <c r="G756" s="82" t="str">
        <f aca="false">IF(C756="","",IFERROR(INDEX('Kit Lists'!$D$6:$D$605,MATCH(B756&amp;"|"&amp;C756,'Kit Lists'!$J$6:$J$605,0)),"Not on this contract's kit list"))</f>
        <v/>
      </c>
      <c r="H756" s="83" t="str">
        <f aca="false">IF(AND(B756="",C756="",D756=""),"",IF(B756="","Missing contract",IF(C756="","Missing code",IF(LEFT(G756,3)="Not","Wrong code",IF(D756="","Missing qty",IF(A756="","Missing date",""))))))</f>
        <v/>
      </c>
      <c r="I756" s="84" t="str">
        <f aca="false">IF(B756=Dashboard!$D$3,ROW(),"")</f>
        <v/>
      </c>
    </row>
    <row r="757" customFormat="false" ht="15" hidden="false" customHeight="false" outlineLevel="0" collapsed="false">
      <c r="A757" s="80"/>
      <c r="B757" s="71"/>
      <c r="C757" s="71"/>
      <c r="D757" s="81"/>
      <c r="E757" s="71"/>
      <c r="F757" s="71"/>
      <c r="G757" s="82" t="str">
        <f aca="false">IF(C757="","",IFERROR(INDEX('Kit Lists'!$D$6:$D$605,MATCH(B757&amp;"|"&amp;C757,'Kit Lists'!$J$6:$J$605,0)),"Not on this contract's kit list"))</f>
        <v/>
      </c>
      <c r="H757" s="83" t="str">
        <f aca="false">IF(AND(B757="",C757="",D757=""),"",IF(B757="","Missing contract",IF(C757="","Missing code",IF(LEFT(G757,3)="Not","Wrong code",IF(D757="","Missing qty",IF(A757="","Missing date",""))))))</f>
        <v/>
      </c>
      <c r="I757" s="84" t="str">
        <f aca="false">IF(B757=Dashboard!$D$3,ROW(),"")</f>
        <v/>
      </c>
    </row>
    <row r="758" customFormat="false" ht="15" hidden="false" customHeight="false" outlineLevel="0" collapsed="false">
      <c r="A758" s="80"/>
      <c r="B758" s="71"/>
      <c r="C758" s="71"/>
      <c r="D758" s="81"/>
      <c r="E758" s="71"/>
      <c r="F758" s="71"/>
      <c r="G758" s="82" t="str">
        <f aca="false">IF(C758="","",IFERROR(INDEX('Kit Lists'!$D$6:$D$605,MATCH(B758&amp;"|"&amp;C758,'Kit Lists'!$J$6:$J$605,0)),"Not on this contract's kit list"))</f>
        <v/>
      </c>
      <c r="H758" s="83" t="str">
        <f aca="false">IF(AND(B758="",C758="",D758=""),"",IF(B758="","Missing contract",IF(C758="","Missing code",IF(LEFT(G758,3)="Not","Wrong code",IF(D758="","Missing qty",IF(A758="","Missing date",""))))))</f>
        <v/>
      </c>
      <c r="I758" s="84" t="str">
        <f aca="false">IF(B758=Dashboard!$D$3,ROW(),"")</f>
        <v/>
      </c>
    </row>
    <row r="759" customFormat="false" ht="15" hidden="false" customHeight="false" outlineLevel="0" collapsed="false">
      <c r="A759" s="80"/>
      <c r="B759" s="71"/>
      <c r="C759" s="71"/>
      <c r="D759" s="81"/>
      <c r="E759" s="71"/>
      <c r="F759" s="71"/>
      <c r="G759" s="82" t="str">
        <f aca="false">IF(C759="","",IFERROR(INDEX('Kit Lists'!$D$6:$D$605,MATCH(B759&amp;"|"&amp;C759,'Kit Lists'!$J$6:$J$605,0)),"Not on this contract's kit list"))</f>
        <v/>
      </c>
      <c r="H759" s="83" t="str">
        <f aca="false">IF(AND(B759="",C759="",D759=""),"",IF(B759="","Missing contract",IF(C759="","Missing code",IF(LEFT(G759,3)="Not","Wrong code",IF(D759="","Missing qty",IF(A759="","Missing date",""))))))</f>
        <v/>
      </c>
      <c r="I759" s="84" t="str">
        <f aca="false">IF(B759=Dashboard!$D$3,ROW(),"")</f>
        <v/>
      </c>
    </row>
    <row r="760" customFormat="false" ht="15" hidden="false" customHeight="false" outlineLevel="0" collapsed="false">
      <c r="A760" s="80"/>
      <c r="B760" s="71"/>
      <c r="C760" s="71"/>
      <c r="D760" s="81"/>
      <c r="E760" s="71"/>
      <c r="F760" s="71"/>
      <c r="G760" s="82" t="str">
        <f aca="false">IF(C760="","",IFERROR(INDEX('Kit Lists'!$D$6:$D$605,MATCH(B760&amp;"|"&amp;C760,'Kit Lists'!$J$6:$J$605,0)),"Not on this contract's kit list"))</f>
        <v/>
      </c>
      <c r="H760" s="83" t="str">
        <f aca="false">IF(AND(B760="",C760="",D760=""),"",IF(B760="","Missing contract",IF(C760="","Missing code",IF(LEFT(G760,3)="Not","Wrong code",IF(D760="","Missing qty",IF(A760="","Missing date",""))))))</f>
        <v/>
      </c>
      <c r="I760" s="84" t="str">
        <f aca="false">IF(B760=Dashboard!$D$3,ROW(),"")</f>
        <v/>
      </c>
    </row>
    <row r="761" customFormat="false" ht="15" hidden="false" customHeight="false" outlineLevel="0" collapsed="false">
      <c r="A761" s="80"/>
      <c r="B761" s="71"/>
      <c r="C761" s="71"/>
      <c r="D761" s="81"/>
      <c r="E761" s="71"/>
      <c r="F761" s="71"/>
      <c r="G761" s="82" t="str">
        <f aca="false">IF(C761="","",IFERROR(INDEX('Kit Lists'!$D$6:$D$605,MATCH(B761&amp;"|"&amp;C761,'Kit Lists'!$J$6:$J$605,0)),"Not on this contract's kit list"))</f>
        <v/>
      </c>
      <c r="H761" s="83" t="str">
        <f aca="false">IF(AND(B761="",C761="",D761=""),"",IF(B761="","Missing contract",IF(C761="","Missing code",IF(LEFT(G761,3)="Not","Wrong code",IF(D761="","Missing qty",IF(A761="","Missing date",""))))))</f>
        <v/>
      </c>
      <c r="I761" s="84" t="str">
        <f aca="false">IF(B761=Dashboard!$D$3,ROW(),"")</f>
        <v/>
      </c>
    </row>
    <row r="762" customFormat="false" ht="15" hidden="false" customHeight="false" outlineLevel="0" collapsed="false">
      <c r="A762" s="80"/>
      <c r="B762" s="71"/>
      <c r="C762" s="71"/>
      <c r="D762" s="81"/>
      <c r="E762" s="71"/>
      <c r="F762" s="71"/>
      <c r="G762" s="82" t="str">
        <f aca="false">IF(C762="","",IFERROR(INDEX('Kit Lists'!$D$6:$D$605,MATCH(B762&amp;"|"&amp;C762,'Kit Lists'!$J$6:$J$605,0)),"Not on this contract's kit list"))</f>
        <v/>
      </c>
      <c r="H762" s="83" t="str">
        <f aca="false">IF(AND(B762="",C762="",D762=""),"",IF(B762="","Missing contract",IF(C762="","Missing code",IF(LEFT(G762,3)="Not","Wrong code",IF(D762="","Missing qty",IF(A762="","Missing date",""))))))</f>
        <v/>
      </c>
      <c r="I762" s="84" t="str">
        <f aca="false">IF(B762=Dashboard!$D$3,ROW(),"")</f>
        <v/>
      </c>
    </row>
    <row r="763" customFormat="false" ht="15" hidden="false" customHeight="false" outlineLevel="0" collapsed="false">
      <c r="A763" s="80"/>
      <c r="B763" s="71"/>
      <c r="C763" s="71"/>
      <c r="D763" s="81"/>
      <c r="E763" s="71"/>
      <c r="F763" s="71"/>
      <c r="G763" s="82" t="str">
        <f aca="false">IF(C763="","",IFERROR(INDEX('Kit Lists'!$D$6:$D$605,MATCH(B763&amp;"|"&amp;C763,'Kit Lists'!$J$6:$J$605,0)),"Not on this contract's kit list"))</f>
        <v/>
      </c>
      <c r="H763" s="83" t="str">
        <f aca="false">IF(AND(B763="",C763="",D763=""),"",IF(B763="","Missing contract",IF(C763="","Missing code",IF(LEFT(G763,3)="Not","Wrong code",IF(D763="","Missing qty",IF(A763="","Missing date",""))))))</f>
        <v/>
      </c>
      <c r="I763" s="84" t="str">
        <f aca="false">IF(B763=Dashboard!$D$3,ROW(),"")</f>
        <v/>
      </c>
    </row>
    <row r="764" customFormat="false" ht="15" hidden="false" customHeight="false" outlineLevel="0" collapsed="false">
      <c r="A764" s="80"/>
      <c r="B764" s="71"/>
      <c r="C764" s="71"/>
      <c r="D764" s="81"/>
      <c r="E764" s="71"/>
      <c r="F764" s="71"/>
      <c r="G764" s="82" t="str">
        <f aca="false">IF(C764="","",IFERROR(INDEX('Kit Lists'!$D$6:$D$605,MATCH(B764&amp;"|"&amp;C764,'Kit Lists'!$J$6:$J$605,0)),"Not on this contract's kit list"))</f>
        <v/>
      </c>
      <c r="H764" s="83" t="str">
        <f aca="false">IF(AND(B764="",C764="",D764=""),"",IF(B764="","Missing contract",IF(C764="","Missing code",IF(LEFT(G764,3)="Not","Wrong code",IF(D764="","Missing qty",IF(A764="","Missing date",""))))))</f>
        <v/>
      </c>
      <c r="I764" s="84" t="str">
        <f aca="false">IF(B764=Dashboard!$D$3,ROW(),"")</f>
        <v/>
      </c>
    </row>
    <row r="765" customFormat="false" ht="15" hidden="false" customHeight="false" outlineLevel="0" collapsed="false">
      <c r="A765" s="80"/>
      <c r="B765" s="71"/>
      <c r="C765" s="71"/>
      <c r="D765" s="81"/>
      <c r="E765" s="71"/>
      <c r="F765" s="71"/>
      <c r="G765" s="82" t="str">
        <f aca="false">IF(C765="","",IFERROR(INDEX('Kit Lists'!$D$6:$D$605,MATCH(B765&amp;"|"&amp;C765,'Kit Lists'!$J$6:$J$605,0)),"Not on this contract's kit list"))</f>
        <v/>
      </c>
      <c r="H765" s="83" t="str">
        <f aca="false">IF(AND(B765="",C765="",D765=""),"",IF(B765="","Missing contract",IF(C765="","Missing code",IF(LEFT(G765,3)="Not","Wrong code",IF(D765="","Missing qty",IF(A765="","Missing date",""))))))</f>
        <v/>
      </c>
      <c r="I765" s="84" t="str">
        <f aca="false">IF(B765=Dashboard!$D$3,ROW(),"")</f>
        <v/>
      </c>
    </row>
    <row r="766" customFormat="false" ht="15" hidden="false" customHeight="false" outlineLevel="0" collapsed="false">
      <c r="A766" s="80"/>
      <c r="B766" s="71"/>
      <c r="C766" s="71"/>
      <c r="D766" s="81"/>
      <c r="E766" s="71"/>
      <c r="F766" s="71"/>
      <c r="G766" s="82" t="str">
        <f aca="false">IF(C766="","",IFERROR(INDEX('Kit Lists'!$D$6:$D$605,MATCH(B766&amp;"|"&amp;C766,'Kit Lists'!$J$6:$J$605,0)),"Not on this contract's kit list"))</f>
        <v/>
      </c>
      <c r="H766" s="83" t="str">
        <f aca="false">IF(AND(B766="",C766="",D766=""),"",IF(B766="","Missing contract",IF(C766="","Missing code",IF(LEFT(G766,3)="Not","Wrong code",IF(D766="","Missing qty",IF(A766="","Missing date",""))))))</f>
        <v/>
      </c>
      <c r="I766" s="84" t="str">
        <f aca="false">IF(B766=Dashboard!$D$3,ROW(),"")</f>
        <v/>
      </c>
    </row>
    <row r="767" customFormat="false" ht="15" hidden="false" customHeight="false" outlineLevel="0" collapsed="false">
      <c r="A767" s="80"/>
      <c r="B767" s="71"/>
      <c r="C767" s="71"/>
      <c r="D767" s="81"/>
      <c r="E767" s="71"/>
      <c r="F767" s="71"/>
      <c r="G767" s="82" t="str">
        <f aca="false">IF(C767="","",IFERROR(INDEX('Kit Lists'!$D$6:$D$605,MATCH(B767&amp;"|"&amp;C767,'Kit Lists'!$J$6:$J$605,0)),"Not on this contract's kit list"))</f>
        <v/>
      </c>
      <c r="H767" s="83" t="str">
        <f aca="false">IF(AND(B767="",C767="",D767=""),"",IF(B767="","Missing contract",IF(C767="","Missing code",IF(LEFT(G767,3)="Not","Wrong code",IF(D767="","Missing qty",IF(A767="","Missing date",""))))))</f>
        <v/>
      </c>
      <c r="I767" s="84" t="str">
        <f aca="false">IF(B767=Dashboard!$D$3,ROW(),"")</f>
        <v/>
      </c>
    </row>
    <row r="768" customFormat="false" ht="15" hidden="false" customHeight="false" outlineLevel="0" collapsed="false">
      <c r="A768" s="80"/>
      <c r="B768" s="71"/>
      <c r="C768" s="71"/>
      <c r="D768" s="81"/>
      <c r="E768" s="71"/>
      <c r="F768" s="71"/>
      <c r="G768" s="82" t="str">
        <f aca="false">IF(C768="","",IFERROR(INDEX('Kit Lists'!$D$6:$D$605,MATCH(B768&amp;"|"&amp;C768,'Kit Lists'!$J$6:$J$605,0)),"Not on this contract's kit list"))</f>
        <v/>
      </c>
      <c r="H768" s="83" t="str">
        <f aca="false">IF(AND(B768="",C768="",D768=""),"",IF(B768="","Missing contract",IF(C768="","Missing code",IF(LEFT(G768,3)="Not","Wrong code",IF(D768="","Missing qty",IF(A768="","Missing date",""))))))</f>
        <v/>
      </c>
      <c r="I768" s="84" t="str">
        <f aca="false">IF(B768=Dashboard!$D$3,ROW(),"")</f>
        <v/>
      </c>
    </row>
    <row r="769" customFormat="false" ht="15" hidden="false" customHeight="false" outlineLevel="0" collapsed="false">
      <c r="A769" s="80"/>
      <c r="B769" s="71"/>
      <c r="C769" s="71"/>
      <c r="D769" s="81"/>
      <c r="E769" s="71"/>
      <c r="F769" s="71"/>
      <c r="G769" s="82" t="str">
        <f aca="false">IF(C769="","",IFERROR(INDEX('Kit Lists'!$D$6:$D$605,MATCH(B769&amp;"|"&amp;C769,'Kit Lists'!$J$6:$J$605,0)),"Not on this contract's kit list"))</f>
        <v/>
      </c>
      <c r="H769" s="83" t="str">
        <f aca="false">IF(AND(B769="",C769="",D769=""),"",IF(B769="","Missing contract",IF(C769="","Missing code",IF(LEFT(G769,3)="Not","Wrong code",IF(D769="","Missing qty",IF(A769="","Missing date",""))))))</f>
        <v/>
      </c>
      <c r="I769" s="84" t="str">
        <f aca="false">IF(B769=Dashboard!$D$3,ROW(),"")</f>
        <v/>
      </c>
    </row>
    <row r="770" customFormat="false" ht="15" hidden="false" customHeight="false" outlineLevel="0" collapsed="false">
      <c r="A770" s="80"/>
      <c r="B770" s="71"/>
      <c r="C770" s="71"/>
      <c r="D770" s="81"/>
      <c r="E770" s="71"/>
      <c r="F770" s="71"/>
      <c r="G770" s="82" t="str">
        <f aca="false">IF(C770="","",IFERROR(INDEX('Kit Lists'!$D$6:$D$605,MATCH(B770&amp;"|"&amp;C770,'Kit Lists'!$J$6:$J$605,0)),"Not on this contract's kit list"))</f>
        <v/>
      </c>
      <c r="H770" s="83" t="str">
        <f aca="false">IF(AND(B770="",C770="",D770=""),"",IF(B770="","Missing contract",IF(C770="","Missing code",IF(LEFT(G770,3)="Not","Wrong code",IF(D770="","Missing qty",IF(A770="","Missing date",""))))))</f>
        <v/>
      </c>
      <c r="I770" s="84" t="str">
        <f aca="false">IF(B770=Dashboard!$D$3,ROW(),"")</f>
        <v/>
      </c>
    </row>
    <row r="771" customFormat="false" ht="15" hidden="false" customHeight="false" outlineLevel="0" collapsed="false">
      <c r="A771" s="80"/>
      <c r="B771" s="71"/>
      <c r="C771" s="71"/>
      <c r="D771" s="81"/>
      <c r="E771" s="71"/>
      <c r="F771" s="71"/>
      <c r="G771" s="82" t="str">
        <f aca="false">IF(C771="","",IFERROR(INDEX('Kit Lists'!$D$6:$D$605,MATCH(B771&amp;"|"&amp;C771,'Kit Lists'!$J$6:$J$605,0)),"Not on this contract's kit list"))</f>
        <v/>
      </c>
      <c r="H771" s="83" t="str">
        <f aca="false">IF(AND(B771="",C771="",D771=""),"",IF(B771="","Missing contract",IF(C771="","Missing code",IF(LEFT(G771,3)="Not","Wrong code",IF(D771="","Missing qty",IF(A771="","Missing date",""))))))</f>
        <v/>
      </c>
      <c r="I771" s="84" t="str">
        <f aca="false">IF(B771=Dashboard!$D$3,ROW(),"")</f>
        <v/>
      </c>
    </row>
    <row r="772" customFormat="false" ht="15" hidden="false" customHeight="false" outlineLevel="0" collapsed="false">
      <c r="A772" s="80"/>
      <c r="B772" s="71"/>
      <c r="C772" s="71"/>
      <c r="D772" s="81"/>
      <c r="E772" s="71"/>
      <c r="F772" s="71"/>
      <c r="G772" s="82" t="str">
        <f aca="false">IF(C772="","",IFERROR(INDEX('Kit Lists'!$D$6:$D$605,MATCH(B772&amp;"|"&amp;C772,'Kit Lists'!$J$6:$J$605,0)),"Not on this contract's kit list"))</f>
        <v/>
      </c>
      <c r="H772" s="83" t="str">
        <f aca="false">IF(AND(B772="",C772="",D772=""),"",IF(B772="","Missing contract",IF(C772="","Missing code",IF(LEFT(G772,3)="Not","Wrong code",IF(D772="","Missing qty",IF(A772="","Missing date",""))))))</f>
        <v/>
      </c>
      <c r="I772" s="84" t="str">
        <f aca="false">IF(B772=Dashboard!$D$3,ROW(),"")</f>
        <v/>
      </c>
    </row>
    <row r="773" customFormat="false" ht="15" hidden="false" customHeight="false" outlineLevel="0" collapsed="false">
      <c r="A773" s="80"/>
      <c r="B773" s="71"/>
      <c r="C773" s="71"/>
      <c r="D773" s="81"/>
      <c r="E773" s="71"/>
      <c r="F773" s="71"/>
      <c r="G773" s="82" t="str">
        <f aca="false">IF(C773="","",IFERROR(INDEX('Kit Lists'!$D$6:$D$605,MATCH(B773&amp;"|"&amp;C773,'Kit Lists'!$J$6:$J$605,0)),"Not on this contract's kit list"))</f>
        <v/>
      </c>
      <c r="H773" s="83" t="str">
        <f aca="false">IF(AND(B773="",C773="",D773=""),"",IF(B773="","Missing contract",IF(C773="","Missing code",IF(LEFT(G773,3)="Not","Wrong code",IF(D773="","Missing qty",IF(A773="","Missing date",""))))))</f>
        <v/>
      </c>
      <c r="I773" s="84" t="str">
        <f aca="false">IF(B773=Dashboard!$D$3,ROW(),"")</f>
        <v/>
      </c>
    </row>
    <row r="774" customFormat="false" ht="15" hidden="false" customHeight="false" outlineLevel="0" collapsed="false">
      <c r="A774" s="80"/>
      <c r="B774" s="71"/>
      <c r="C774" s="71"/>
      <c r="D774" s="81"/>
      <c r="E774" s="71"/>
      <c r="F774" s="71"/>
      <c r="G774" s="82" t="str">
        <f aca="false">IF(C774="","",IFERROR(INDEX('Kit Lists'!$D$6:$D$605,MATCH(B774&amp;"|"&amp;C774,'Kit Lists'!$J$6:$J$605,0)),"Not on this contract's kit list"))</f>
        <v/>
      </c>
      <c r="H774" s="83" t="str">
        <f aca="false">IF(AND(B774="",C774="",D774=""),"",IF(B774="","Missing contract",IF(C774="","Missing code",IF(LEFT(G774,3)="Not","Wrong code",IF(D774="","Missing qty",IF(A774="","Missing date",""))))))</f>
        <v/>
      </c>
      <c r="I774" s="84" t="str">
        <f aca="false">IF(B774=Dashboard!$D$3,ROW(),"")</f>
        <v/>
      </c>
    </row>
    <row r="775" customFormat="false" ht="15" hidden="false" customHeight="false" outlineLevel="0" collapsed="false">
      <c r="A775" s="80"/>
      <c r="B775" s="71"/>
      <c r="C775" s="71"/>
      <c r="D775" s="81"/>
      <c r="E775" s="71"/>
      <c r="F775" s="71"/>
      <c r="G775" s="82" t="str">
        <f aca="false">IF(C775="","",IFERROR(INDEX('Kit Lists'!$D$6:$D$605,MATCH(B775&amp;"|"&amp;C775,'Kit Lists'!$J$6:$J$605,0)),"Not on this contract's kit list"))</f>
        <v/>
      </c>
      <c r="H775" s="83" t="str">
        <f aca="false">IF(AND(B775="",C775="",D775=""),"",IF(B775="","Missing contract",IF(C775="","Missing code",IF(LEFT(G775,3)="Not","Wrong code",IF(D775="","Missing qty",IF(A775="","Missing date",""))))))</f>
        <v/>
      </c>
      <c r="I775" s="84" t="str">
        <f aca="false">IF(B775=Dashboard!$D$3,ROW(),"")</f>
        <v/>
      </c>
    </row>
    <row r="776" customFormat="false" ht="15" hidden="false" customHeight="false" outlineLevel="0" collapsed="false">
      <c r="A776" s="80"/>
      <c r="B776" s="71"/>
      <c r="C776" s="71"/>
      <c r="D776" s="81"/>
      <c r="E776" s="71"/>
      <c r="F776" s="71"/>
      <c r="G776" s="82" t="str">
        <f aca="false">IF(C776="","",IFERROR(INDEX('Kit Lists'!$D$6:$D$605,MATCH(B776&amp;"|"&amp;C776,'Kit Lists'!$J$6:$J$605,0)),"Not on this contract's kit list"))</f>
        <v/>
      </c>
      <c r="H776" s="83" t="str">
        <f aca="false">IF(AND(B776="",C776="",D776=""),"",IF(B776="","Missing contract",IF(C776="","Missing code",IF(LEFT(G776,3)="Not","Wrong code",IF(D776="","Missing qty",IF(A776="","Missing date",""))))))</f>
        <v/>
      </c>
      <c r="I776" s="84" t="str">
        <f aca="false">IF(B776=Dashboard!$D$3,ROW(),"")</f>
        <v/>
      </c>
    </row>
    <row r="777" customFormat="false" ht="15" hidden="false" customHeight="false" outlineLevel="0" collapsed="false">
      <c r="A777" s="80"/>
      <c r="B777" s="71"/>
      <c r="C777" s="71"/>
      <c r="D777" s="81"/>
      <c r="E777" s="71"/>
      <c r="F777" s="71"/>
      <c r="G777" s="82" t="str">
        <f aca="false">IF(C777="","",IFERROR(INDEX('Kit Lists'!$D$6:$D$605,MATCH(B777&amp;"|"&amp;C777,'Kit Lists'!$J$6:$J$605,0)),"Not on this contract's kit list"))</f>
        <v/>
      </c>
      <c r="H777" s="83" t="str">
        <f aca="false">IF(AND(B777="",C777="",D777=""),"",IF(B777="","Missing contract",IF(C777="","Missing code",IF(LEFT(G777,3)="Not","Wrong code",IF(D777="","Missing qty",IF(A777="","Missing date",""))))))</f>
        <v/>
      </c>
      <c r="I777" s="84" t="str">
        <f aca="false">IF(B777=Dashboard!$D$3,ROW(),"")</f>
        <v/>
      </c>
    </row>
    <row r="778" customFormat="false" ht="15" hidden="false" customHeight="false" outlineLevel="0" collapsed="false">
      <c r="A778" s="80"/>
      <c r="B778" s="71"/>
      <c r="C778" s="71"/>
      <c r="D778" s="81"/>
      <c r="E778" s="71"/>
      <c r="F778" s="71"/>
      <c r="G778" s="82" t="str">
        <f aca="false">IF(C778="","",IFERROR(INDEX('Kit Lists'!$D$6:$D$605,MATCH(B778&amp;"|"&amp;C778,'Kit Lists'!$J$6:$J$605,0)),"Not on this contract's kit list"))</f>
        <v/>
      </c>
      <c r="H778" s="83" t="str">
        <f aca="false">IF(AND(B778="",C778="",D778=""),"",IF(B778="","Missing contract",IF(C778="","Missing code",IF(LEFT(G778,3)="Not","Wrong code",IF(D778="","Missing qty",IF(A778="","Missing date",""))))))</f>
        <v/>
      </c>
      <c r="I778" s="84" t="str">
        <f aca="false">IF(B778=Dashboard!$D$3,ROW(),"")</f>
        <v/>
      </c>
    </row>
    <row r="779" customFormat="false" ht="15" hidden="false" customHeight="false" outlineLevel="0" collapsed="false">
      <c r="A779" s="80"/>
      <c r="B779" s="71"/>
      <c r="C779" s="71"/>
      <c r="D779" s="81"/>
      <c r="E779" s="71"/>
      <c r="F779" s="71"/>
      <c r="G779" s="82" t="str">
        <f aca="false">IF(C779="","",IFERROR(INDEX('Kit Lists'!$D$6:$D$605,MATCH(B779&amp;"|"&amp;C779,'Kit Lists'!$J$6:$J$605,0)),"Not on this contract's kit list"))</f>
        <v/>
      </c>
      <c r="H779" s="83" t="str">
        <f aca="false">IF(AND(B779="",C779="",D779=""),"",IF(B779="","Missing contract",IF(C779="","Missing code",IF(LEFT(G779,3)="Not","Wrong code",IF(D779="","Missing qty",IF(A779="","Missing date",""))))))</f>
        <v/>
      </c>
      <c r="I779" s="84" t="str">
        <f aca="false">IF(B779=Dashboard!$D$3,ROW(),"")</f>
        <v/>
      </c>
    </row>
    <row r="780" customFormat="false" ht="15" hidden="false" customHeight="false" outlineLevel="0" collapsed="false">
      <c r="A780" s="80"/>
      <c r="B780" s="71"/>
      <c r="C780" s="71"/>
      <c r="D780" s="81"/>
      <c r="E780" s="71"/>
      <c r="F780" s="71"/>
      <c r="G780" s="82" t="str">
        <f aca="false">IF(C780="","",IFERROR(INDEX('Kit Lists'!$D$6:$D$605,MATCH(B780&amp;"|"&amp;C780,'Kit Lists'!$J$6:$J$605,0)),"Not on this contract's kit list"))</f>
        <v/>
      </c>
      <c r="H780" s="83" t="str">
        <f aca="false">IF(AND(B780="",C780="",D780=""),"",IF(B780="","Missing contract",IF(C780="","Missing code",IF(LEFT(G780,3)="Not","Wrong code",IF(D780="","Missing qty",IF(A780="","Missing date",""))))))</f>
        <v/>
      </c>
      <c r="I780" s="84" t="str">
        <f aca="false">IF(B780=Dashboard!$D$3,ROW(),"")</f>
        <v/>
      </c>
    </row>
    <row r="781" customFormat="false" ht="15" hidden="false" customHeight="false" outlineLevel="0" collapsed="false">
      <c r="A781" s="80"/>
      <c r="B781" s="71"/>
      <c r="C781" s="71"/>
      <c r="D781" s="81"/>
      <c r="E781" s="71"/>
      <c r="F781" s="71"/>
      <c r="G781" s="82" t="str">
        <f aca="false">IF(C781="","",IFERROR(INDEX('Kit Lists'!$D$6:$D$605,MATCH(B781&amp;"|"&amp;C781,'Kit Lists'!$J$6:$J$605,0)),"Not on this contract's kit list"))</f>
        <v/>
      </c>
      <c r="H781" s="83" t="str">
        <f aca="false">IF(AND(B781="",C781="",D781=""),"",IF(B781="","Missing contract",IF(C781="","Missing code",IF(LEFT(G781,3)="Not","Wrong code",IF(D781="","Missing qty",IF(A781="","Missing date",""))))))</f>
        <v/>
      </c>
      <c r="I781" s="84" t="str">
        <f aca="false">IF(B781=Dashboard!$D$3,ROW(),"")</f>
        <v/>
      </c>
    </row>
    <row r="782" customFormat="false" ht="15" hidden="false" customHeight="false" outlineLevel="0" collapsed="false">
      <c r="A782" s="80"/>
      <c r="B782" s="71"/>
      <c r="C782" s="71"/>
      <c r="D782" s="81"/>
      <c r="E782" s="71"/>
      <c r="F782" s="71"/>
      <c r="G782" s="82" t="str">
        <f aca="false">IF(C782="","",IFERROR(INDEX('Kit Lists'!$D$6:$D$605,MATCH(B782&amp;"|"&amp;C782,'Kit Lists'!$J$6:$J$605,0)),"Not on this contract's kit list"))</f>
        <v/>
      </c>
      <c r="H782" s="83" t="str">
        <f aca="false">IF(AND(B782="",C782="",D782=""),"",IF(B782="","Missing contract",IF(C782="","Missing code",IF(LEFT(G782,3)="Not","Wrong code",IF(D782="","Missing qty",IF(A782="","Missing date",""))))))</f>
        <v/>
      </c>
      <c r="I782" s="84" t="str">
        <f aca="false">IF(B782=Dashboard!$D$3,ROW(),"")</f>
        <v/>
      </c>
    </row>
    <row r="783" customFormat="false" ht="15" hidden="false" customHeight="false" outlineLevel="0" collapsed="false">
      <c r="A783" s="80"/>
      <c r="B783" s="71"/>
      <c r="C783" s="71"/>
      <c r="D783" s="81"/>
      <c r="E783" s="71"/>
      <c r="F783" s="71"/>
      <c r="G783" s="82" t="str">
        <f aca="false">IF(C783="","",IFERROR(INDEX('Kit Lists'!$D$6:$D$605,MATCH(B783&amp;"|"&amp;C783,'Kit Lists'!$J$6:$J$605,0)),"Not on this contract's kit list"))</f>
        <v/>
      </c>
      <c r="H783" s="83" t="str">
        <f aca="false">IF(AND(B783="",C783="",D783=""),"",IF(B783="","Missing contract",IF(C783="","Missing code",IF(LEFT(G783,3)="Not","Wrong code",IF(D783="","Missing qty",IF(A783="","Missing date",""))))))</f>
        <v/>
      </c>
      <c r="I783" s="84" t="str">
        <f aca="false">IF(B783=Dashboard!$D$3,ROW(),"")</f>
        <v/>
      </c>
    </row>
    <row r="784" customFormat="false" ht="15" hidden="false" customHeight="false" outlineLevel="0" collapsed="false">
      <c r="A784" s="80"/>
      <c r="B784" s="71"/>
      <c r="C784" s="71"/>
      <c r="D784" s="81"/>
      <c r="E784" s="71"/>
      <c r="F784" s="71"/>
      <c r="G784" s="82" t="str">
        <f aca="false">IF(C784="","",IFERROR(INDEX('Kit Lists'!$D$6:$D$605,MATCH(B784&amp;"|"&amp;C784,'Kit Lists'!$J$6:$J$605,0)),"Not on this contract's kit list"))</f>
        <v/>
      </c>
      <c r="H784" s="83" t="str">
        <f aca="false">IF(AND(B784="",C784="",D784=""),"",IF(B784="","Missing contract",IF(C784="","Missing code",IF(LEFT(G784,3)="Not","Wrong code",IF(D784="","Missing qty",IF(A784="","Missing date",""))))))</f>
        <v/>
      </c>
      <c r="I784" s="84" t="str">
        <f aca="false">IF(B784=Dashboard!$D$3,ROW(),"")</f>
        <v/>
      </c>
    </row>
    <row r="785" customFormat="false" ht="15" hidden="false" customHeight="false" outlineLevel="0" collapsed="false">
      <c r="A785" s="80"/>
      <c r="B785" s="71"/>
      <c r="C785" s="71"/>
      <c r="D785" s="81"/>
      <c r="E785" s="71"/>
      <c r="F785" s="71"/>
      <c r="G785" s="82" t="str">
        <f aca="false">IF(C785="","",IFERROR(INDEX('Kit Lists'!$D$6:$D$605,MATCH(B785&amp;"|"&amp;C785,'Kit Lists'!$J$6:$J$605,0)),"Not on this contract's kit list"))</f>
        <v/>
      </c>
      <c r="H785" s="83" t="str">
        <f aca="false">IF(AND(B785="",C785="",D785=""),"",IF(B785="","Missing contract",IF(C785="","Missing code",IF(LEFT(G785,3)="Not","Wrong code",IF(D785="","Missing qty",IF(A785="","Missing date",""))))))</f>
        <v/>
      </c>
      <c r="I785" s="84" t="str">
        <f aca="false">IF(B785=Dashboard!$D$3,ROW(),"")</f>
        <v/>
      </c>
    </row>
    <row r="786" customFormat="false" ht="15" hidden="false" customHeight="false" outlineLevel="0" collapsed="false">
      <c r="A786" s="80"/>
      <c r="B786" s="71"/>
      <c r="C786" s="71"/>
      <c r="D786" s="81"/>
      <c r="E786" s="71"/>
      <c r="F786" s="71"/>
      <c r="G786" s="82" t="str">
        <f aca="false">IF(C786="","",IFERROR(INDEX('Kit Lists'!$D$6:$D$605,MATCH(B786&amp;"|"&amp;C786,'Kit Lists'!$J$6:$J$605,0)),"Not on this contract's kit list"))</f>
        <v/>
      </c>
      <c r="H786" s="83" t="str">
        <f aca="false">IF(AND(B786="",C786="",D786=""),"",IF(B786="","Missing contract",IF(C786="","Missing code",IF(LEFT(G786,3)="Not","Wrong code",IF(D786="","Missing qty",IF(A786="","Missing date",""))))))</f>
        <v/>
      </c>
      <c r="I786" s="84" t="str">
        <f aca="false">IF(B786=Dashboard!$D$3,ROW(),"")</f>
        <v/>
      </c>
    </row>
    <row r="787" customFormat="false" ht="15" hidden="false" customHeight="false" outlineLevel="0" collapsed="false">
      <c r="A787" s="80"/>
      <c r="B787" s="71"/>
      <c r="C787" s="71"/>
      <c r="D787" s="81"/>
      <c r="E787" s="71"/>
      <c r="F787" s="71"/>
      <c r="G787" s="82" t="str">
        <f aca="false">IF(C787="","",IFERROR(INDEX('Kit Lists'!$D$6:$D$605,MATCH(B787&amp;"|"&amp;C787,'Kit Lists'!$J$6:$J$605,0)),"Not on this contract's kit list"))</f>
        <v/>
      </c>
      <c r="H787" s="83" t="str">
        <f aca="false">IF(AND(B787="",C787="",D787=""),"",IF(B787="","Missing contract",IF(C787="","Missing code",IF(LEFT(G787,3)="Not","Wrong code",IF(D787="","Missing qty",IF(A787="","Missing date",""))))))</f>
        <v/>
      </c>
      <c r="I787" s="84" t="str">
        <f aca="false">IF(B787=Dashboard!$D$3,ROW(),"")</f>
        <v/>
      </c>
    </row>
    <row r="788" customFormat="false" ht="15" hidden="false" customHeight="false" outlineLevel="0" collapsed="false">
      <c r="A788" s="80"/>
      <c r="B788" s="71"/>
      <c r="C788" s="71"/>
      <c r="D788" s="81"/>
      <c r="E788" s="71"/>
      <c r="F788" s="71"/>
      <c r="G788" s="82" t="str">
        <f aca="false">IF(C788="","",IFERROR(INDEX('Kit Lists'!$D$6:$D$605,MATCH(B788&amp;"|"&amp;C788,'Kit Lists'!$J$6:$J$605,0)),"Not on this contract's kit list"))</f>
        <v/>
      </c>
      <c r="H788" s="83" t="str">
        <f aca="false">IF(AND(B788="",C788="",D788=""),"",IF(B788="","Missing contract",IF(C788="","Missing code",IF(LEFT(G788,3)="Not","Wrong code",IF(D788="","Missing qty",IF(A788="","Missing date",""))))))</f>
        <v/>
      </c>
      <c r="I788" s="84" t="str">
        <f aca="false">IF(B788=Dashboard!$D$3,ROW(),"")</f>
        <v/>
      </c>
    </row>
    <row r="789" customFormat="false" ht="15" hidden="false" customHeight="false" outlineLevel="0" collapsed="false">
      <c r="A789" s="80"/>
      <c r="B789" s="71"/>
      <c r="C789" s="71"/>
      <c r="D789" s="81"/>
      <c r="E789" s="71"/>
      <c r="F789" s="71"/>
      <c r="G789" s="82" t="str">
        <f aca="false">IF(C789="","",IFERROR(INDEX('Kit Lists'!$D$6:$D$605,MATCH(B789&amp;"|"&amp;C789,'Kit Lists'!$J$6:$J$605,0)),"Not on this contract's kit list"))</f>
        <v/>
      </c>
      <c r="H789" s="83" t="str">
        <f aca="false">IF(AND(B789="",C789="",D789=""),"",IF(B789="","Missing contract",IF(C789="","Missing code",IF(LEFT(G789,3)="Not","Wrong code",IF(D789="","Missing qty",IF(A789="","Missing date",""))))))</f>
        <v/>
      </c>
      <c r="I789" s="84" t="str">
        <f aca="false">IF(B789=Dashboard!$D$3,ROW(),"")</f>
        <v/>
      </c>
    </row>
    <row r="790" customFormat="false" ht="15" hidden="false" customHeight="false" outlineLevel="0" collapsed="false">
      <c r="A790" s="80"/>
      <c r="B790" s="71"/>
      <c r="C790" s="71"/>
      <c r="D790" s="81"/>
      <c r="E790" s="71"/>
      <c r="F790" s="71"/>
      <c r="G790" s="82" t="str">
        <f aca="false">IF(C790="","",IFERROR(INDEX('Kit Lists'!$D$6:$D$605,MATCH(B790&amp;"|"&amp;C790,'Kit Lists'!$J$6:$J$605,0)),"Not on this contract's kit list"))</f>
        <v/>
      </c>
      <c r="H790" s="83" t="str">
        <f aca="false">IF(AND(B790="",C790="",D790=""),"",IF(B790="","Missing contract",IF(C790="","Missing code",IF(LEFT(G790,3)="Not","Wrong code",IF(D790="","Missing qty",IF(A790="","Missing date",""))))))</f>
        <v/>
      </c>
      <c r="I790" s="84" t="str">
        <f aca="false">IF(B790=Dashboard!$D$3,ROW(),"")</f>
        <v/>
      </c>
    </row>
    <row r="791" customFormat="false" ht="15" hidden="false" customHeight="false" outlineLevel="0" collapsed="false">
      <c r="A791" s="80"/>
      <c r="B791" s="71"/>
      <c r="C791" s="71"/>
      <c r="D791" s="81"/>
      <c r="E791" s="71"/>
      <c r="F791" s="71"/>
      <c r="G791" s="82" t="str">
        <f aca="false">IF(C791="","",IFERROR(INDEX('Kit Lists'!$D$6:$D$605,MATCH(B791&amp;"|"&amp;C791,'Kit Lists'!$J$6:$J$605,0)),"Not on this contract's kit list"))</f>
        <v/>
      </c>
      <c r="H791" s="83" t="str">
        <f aca="false">IF(AND(B791="",C791="",D791=""),"",IF(B791="","Missing contract",IF(C791="","Missing code",IF(LEFT(G791,3)="Not","Wrong code",IF(D791="","Missing qty",IF(A791="","Missing date",""))))))</f>
        <v/>
      </c>
      <c r="I791" s="84" t="str">
        <f aca="false">IF(B791=Dashboard!$D$3,ROW(),"")</f>
        <v/>
      </c>
    </row>
    <row r="792" customFormat="false" ht="15" hidden="false" customHeight="false" outlineLevel="0" collapsed="false">
      <c r="A792" s="80"/>
      <c r="B792" s="71"/>
      <c r="C792" s="71"/>
      <c r="D792" s="81"/>
      <c r="E792" s="71"/>
      <c r="F792" s="71"/>
      <c r="G792" s="82" t="str">
        <f aca="false">IF(C792="","",IFERROR(INDEX('Kit Lists'!$D$6:$D$605,MATCH(B792&amp;"|"&amp;C792,'Kit Lists'!$J$6:$J$605,0)),"Not on this contract's kit list"))</f>
        <v/>
      </c>
      <c r="H792" s="83" t="str">
        <f aca="false">IF(AND(B792="",C792="",D792=""),"",IF(B792="","Missing contract",IF(C792="","Missing code",IF(LEFT(G792,3)="Not","Wrong code",IF(D792="","Missing qty",IF(A792="","Missing date",""))))))</f>
        <v/>
      </c>
      <c r="I792" s="84" t="str">
        <f aca="false">IF(B792=Dashboard!$D$3,ROW(),"")</f>
        <v/>
      </c>
    </row>
    <row r="793" customFormat="false" ht="15" hidden="false" customHeight="false" outlineLevel="0" collapsed="false">
      <c r="A793" s="80"/>
      <c r="B793" s="71"/>
      <c r="C793" s="71"/>
      <c r="D793" s="81"/>
      <c r="E793" s="71"/>
      <c r="F793" s="71"/>
      <c r="G793" s="82" t="str">
        <f aca="false">IF(C793="","",IFERROR(INDEX('Kit Lists'!$D$6:$D$605,MATCH(B793&amp;"|"&amp;C793,'Kit Lists'!$J$6:$J$605,0)),"Not on this contract's kit list"))</f>
        <v/>
      </c>
      <c r="H793" s="83" t="str">
        <f aca="false">IF(AND(B793="",C793="",D793=""),"",IF(B793="","Missing contract",IF(C793="","Missing code",IF(LEFT(G793,3)="Not","Wrong code",IF(D793="","Missing qty",IF(A793="","Missing date",""))))))</f>
        <v/>
      </c>
      <c r="I793" s="84" t="str">
        <f aca="false">IF(B793=Dashboard!$D$3,ROW(),"")</f>
        <v/>
      </c>
    </row>
    <row r="794" customFormat="false" ht="15" hidden="false" customHeight="false" outlineLevel="0" collapsed="false">
      <c r="A794" s="80"/>
      <c r="B794" s="71"/>
      <c r="C794" s="71"/>
      <c r="D794" s="81"/>
      <c r="E794" s="71"/>
      <c r="F794" s="71"/>
      <c r="G794" s="82" t="str">
        <f aca="false">IF(C794="","",IFERROR(INDEX('Kit Lists'!$D$6:$D$605,MATCH(B794&amp;"|"&amp;C794,'Kit Lists'!$J$6:$J$605,0)),"Not on this contract's kit list"))</f>
        <v/>
      </c>
      <c r="H794" s="83" t="str">
        <f aca="false">IF(AND(B794="",C794="",D794=""),"",IF(B794="","Missing contract",IF(C794="","Missing code",IF(LEFT(G794,3)="Not","Wrong code",IF(D794="","Missing qty",IF(A794="","Missing date",""))))))</f>
        <v/>
      </c>
      <c r="I794" s="84" t="str">
        <f aca="false">IF(B794=Dashboard!$D$3,ROW(),"")</f>
        <v/>
      </c>
    </row>
    <row r="795" customFormat="false" ht="15" hidden="false" customHeight="false" outlineLevel="0" collapsed="false">
      <c r="A795" s="80"/>
      <c r="B795" s="71"/>
      <c r="C795" s="71"/>
      <c r="D795" s="81"/>
      <c r="E795" s="71"/>
      <c r="F795" s="71"/>
      <c r="G795" s="82" t="str">
        <f aca="false">IF(C795="","",IFERROR(INDEX('Kit Lists'!$D$6:$D$605,MATCH(B795&amp;"|"&amp;C795,'Kit Lists'!$J$6:$J$605,0)),"Not on this contract's kit list"))</f>
        <v/>
      </c>
      <c r="H795" s="83" t="str">
        <f aca="false">IF(AND(B795="",C795="",D795=""),"",IF(B795="","Missing contract",IF(C795="","Missing code",IF(LEFT(G795,3)="Not","Wrong code",IF(D795="","Missing qty",IF(A795="","Missing date",""))))))</f>
        <v/>
      </c>
      <c r="I795" s="84" t="str">
        <f aca="false">IF(B795=Dashboard!$D$3,ROW(),"")</f>
        <v/>
      </c>
    </row>
    <row r="796" customFormat="false" ht="15" hidden="false" customHeight="false" outlineLevel="0" collapsed="false">
      <c r="A796" s="80"/>
      <c r="B796" s="71"/>
      <c r="C796" s="71"/>
      <c r="D796" s="81"/>
      <c r="E796" s="71"/>
      <c r="F796" s="71"/>
      <c r="G796" s="82" t="str">
        <f aca="false">IF(C796="","",IFERROR(INDEX('Kit Lists'!$D$6:$D$605,MATCH(B796&amp;"|"&amp;C796,'Kit Lists'!$J$6:$J$605,0)),"Not on this contract's kit list"))</f>
        <v/>
      </c>
      <c r="H796" s="83" t="str">
        <f aca="false">IF(AND(B796="",C796="",D796=""),"",IF(B796="","Missing contract",IF(C796="","Missing code",IF(LEFT(G796,3)="Not","Wrong code",IF(D796="","Missing qty",IF(A796="","Missing date",""))))))</f>
        <v/>
      </c>
      <c r="I796" s="84" t="str">
        <f aca="false">IF(B796=Dashboard!$D$3,ROW(),"")</f>
        <v/>
      </c>
    </row>
    <row r="797" customFormat="false" ht="15" hidden="false" customHeight="false" outlineLevel="0" collapsed="false">
      <c r="A797" s="80"/>
      <c r="B797" s="71"/>
      <c r="C797" s="71"/>
      <c r="D797" s="81"/>
      <c r="E797" s="71"/>
      <c r="F797" s="71"/>
      <c r="G797" s="82" t="str">
        <f aca="false">IF(C797="","",IFERROR(INDEX('Kit Lists'!$D$6:$D$605,MATCH(B797&amp;"|"&amp;C797,'Kit Lists'!$J$6:$J$605,0)),"Not on this contract's kit list"))</f>
        <v/>
      </c>
      <c r="H797" s="83" t="str">
        <f aca="false">IF(AND(B797="",C797="",D797=""),"",IF(B797="","Missing contract",IF(C797="","Missing code",IF(LEFT(G797,3)="Not","Wrong code",IF(D797="","Missing qty",IF(A797="","Missing date",""))))))</f>
        <v/>
      </c>
      <c r="I797" s="84" t="str">
        <f aca="false">IF(B797=Dashboard!$D$3,ROW(),"")</f>
        <v/>
      </c>
    </row>
    <row r="798" customFormat="false" ht="15" hidden="false" customHeight="false" outlineLevel="0" collapsed="false">
      <c r="A798" s="80"/>
      <c r="B798" s="71"/>
      <c r="C798" s="71"/>
      <c r="D798" s="81"/>
      <c r="E798" s="71"/>
      <c r="F798" s="71"/>
      <c r="G798" s="82" t="str">
        <f aca="false">IF(C798="","",IFERROR(INDEX('Kit Lists'!$D$6:$D$605,MATCH(B798&amp;"|"&amp;C798,'Kit Lists'!$J$6:$J$605,0)),"Not on this contract's kit list"))</f>
        <v/>
      </c>
      <c r="H798" s="83" t="str">
        <f aca="false">IF(AND(B798="",C798="",D798=""),"",IF(B798="","Missing contract",IF(C798="","Missing code",IF(LEFT(G798,3)="Not","Wrong code",IF(D798="","Missing qty",IF(A798="","Missing date",""))))))</f>
        <v/>
      </c>
      <c r="I798" s="84" t="str">
        <f aca="false">IF(B798=Dashboard!$D$3,ROW(),"")</f>
        <v/>
      </c>
    </row>
    <row r="799" customFormat="false" ht="15" hidden="false" customHeight="false" outlineLevel="0" collapsed="false">
      <c r="A799" s="80"/>
      <c r="B799" s="71"/>
      <c r="C799" s="71"/>
      <c r="D799" s="81"/>
      <c r="E799" s="71"/>
      <c r="F799" s="71"/>
      <c r="G799" s="82" t="str">
        <f aca="false">IF(C799="","",IFERROR(INDEX('Kit Lists'!$D$6:$D$605,MATCH(B799&amp;"|"&amp;C799,'Kit Lists'!$J$6:$J$605,0)),"Not on this contract's kit list"))</f>
        <v/>
      </c>
      <c r="H799" s="83" t="str">
        <f aca="false">IF(AND(B799="",C799="",D799=""),"",IF(B799="","Missing contract",IF(C799="","Missing code",IF(LEFT(G799,3)="Not","Wrong code",IF(D799="","Missing qty",IF(A799="","Missing date",""))))))</f>
        <v/>
      </c>
      <c r="I799" s="84" t="str">
        <f aca="false">IF(B799=Dashboard!$D$3,ROW(),"")</f>
        <v/>
      </c>
    </row>
    <row r="800" customFormat="false" ht="15" hidden="false" customHeight="false" outlineLevel="0" collapsed="false">
      <c r="A800" s="80"/>
      <c r="B800" s="71"/>
      <c r="C800" s="71"/>
      <c r="D800" s="81"/>
      <c r="E800" s="71"/>
      <c r="F800" s="71"/>
      <c r="G800" s="82" t="str">
        <f aca="false">IF(C800="","",IFERROR(INDEX('Kit Lists'!$D$6:$D$605,MATCH(B800&amp;"|"&amp;C800,'Kit Lists'!$J$6:$J$605,0)),"Not on this contract's kit list"))</f>
        <v/>
      </c>
      <c r="H800" s="83" t="str">
        <f aca="false">IF(AND(B800="",C800="",D800=""),"",IF(B800="","Missing contract",IF(C800="","Missing code",IF(LEFT(G800,3)="Not","Wrong code",IF(D800="","Missing qty",IF(A800="","Missing date",""))))))</f>
        <v/>
      </c>
      <c r="I800" s="84" t="str">
        <f aca="false">IF(B800=Dashboard!$D$3,ROW(),"")</f>
        <v/>
      </c>
    </row>
    <row r="801" customFormat="false" ht="15" hidden="false" customHeight="false" outlineLevel="0" collapsed="false">
      <c r="A801" s="80"/>
      <c r="B801" s="71"/>
      <c r="C801" s="71"/>
      <c r="D801" s="81"/>
      <c r="E801" s="71"/>
      <c r="F801" s="71"/>
      <c r="G801" s="82" t="str">
        <f aca="false">IF(C801="","",IFERROR(INDEX('Kit Lists'!$D$6:$D$605,MATCH(B801&amp;"|"&amp;C801,'Kit Lists'!$J$6:$J$605,0)),"Not on this contract's kit list"))</f>
        <v/>
      </c>
      <c r="H801" s="83" t="str">
        <f aca="false">IF(AND(B801="",C801="",D801=""),"",IF(B801="","Missing contract",IF(C801="","Missing code",IF(LEFT(G801,3)="Not","Wrong code",IF(D801="","Missing qty",IF(A801="","Missing date",""))))))</f>
        <v/>
      </c>
      <c r="I801" s="84" t="str">
        <f aca="false">IF(B801=Dashboard!$D$3,ROW(),"")</f>
        <v/>
      </c>
    </row>
    <row r="802" customFormat="false" ht="15" hidden="false" customHeight="false" outlineLevel="0" collapsed="false">
      <c r="A802" s="80"/>
      <c r="B802" s="71"/>
      <c r="C802" s="71"/>
      <c r="D802" s="81"/>
      <c r="E802" s="71"/>
      <c r="F802" s="71"/>
      <c r="G802" s="82" t="str">
        <f aca="false">IF(C802="","",IFERROR(INDEX('Kit Lists'!$D$6:$D$605,MATCH(B802&amp;"|"&amp;C802,'Kit Lists'!$J$6:$J$605,0)),"Not on this contract's kit list"))</f>
        <v/>
      </c>
      <c r="H802" s="83" t="str">
        <f aca="false">IF(AND(B802="",C802="",D802=""),"",IF(B802="","Missing contract",IF(C802="","Missing code",IF(LEFT(G802,3)="Not","Wrong code",IF(D802="","Missing qty",IF(A802="","Missing date",""))))))</f>
        <v/>
      </c>
      <c r="I802" s="84" t="str">
        <f aca="false">IF(B802=Dashboard!$D$3,ROW(),"")</f>
        <v/>
      </c>
    </row>
    <row r="803" customFormat="false" ht="15" hidden="false" customHeight="false" outlineLevel="0" collapsed="false">
      <c r="A803" s="80"/>
      <c r="B803" s="71"/>
      <c r="C803" s="71"/>
      <c r="D803" s="81"/>
      <c r="E803" s="71"/>
      <c r="F803" s="71"/>
      <c r="G803" s="82" t="str">
        <f aca="false">IF(C803="","",IFERROR(INDEX('Kit Lists'!$D$6:$D$605,MATCH(B803&amp;"|"&amp;C803,'Kit Lists'!$J$6:$J$605,0)),"Not on this contract's kit list"))</f>
        <v/>
      </c>
      <c r="H803" s="83" t="str">
        <f aca="false">IF(AND(B803="",C803="",D803=""),"",IF(B803="","Missing contract",IF(C803="","Missing code",IF(LEFT(G803,3)="Not","Wrong code",IF(D803="","Missing qty",IF(A803="","Missing date",""))))))</f>
        <v/>
      </c>
      <c r="I803" s="84" t="str">
        <f aca="false">IF(B803=Dashboard!$D$3,ROW(),"")</f>
        <v/>
      </c>
    </row>
    <row r="804" customFormat="false" ht="15" hidden="false" customHeight="false" outlineLevel="0" collapsed="false">
      <c r="A804" s="80"/>
      <c r="B804" s="71"/>
      <c r="C804" s="71"/>
      <c r="D804" s="81"/>
      <c r="E804" s="71"/>
      <c r="F804" s="71"/>
      <c r="G804" s="82" t="str">
        <f aca="false">IF(C804="","",IFERROR(INDEX('Kit Lists'!$D$6:$D$605,MATCH(B804&amp;"|"&amp;C804,'Kit Lists'!$J$6:$J$605,0)),"Not on this contract's kit list"))</f>
        <v/>
      </c>
      <c r="H804" s="83" t="str">
        <f aca="false">IF(AND(B804="",C804="",D804=""),"",IF(B804="","Missing contract",IF(C804="","Missing code",IF(LEFT(G804,3)="Not","Wrong code",IF(D804="","Missing qty",IF(A804="","Missing date",""))))))</f>
        <v/>
      </c>
      <c r="I804" s="84" t="str">
        <f aca="false">IF(B804=Dashboard!$D$3,ROW(),"")</f>
        <v/>
      </c>
    </row>
    <row r="805" customFormat="false" ht="15" hidden="false" customHeight="false" outlineLevel="0" collapsed="false">
      <c r="A805" s="80"/>
      <c r="B805" s="71"/>
      <c r="C805" s="71"/>
      <c r="D805" s="81"/>
      <c r="E805" s="71"/>
      <c r="F805" s="71"/>
      <c r="G805" s="82" t="str">
        <f aca="false">IF(C805="","",IFERROR(INDEX('Kit Lists'!$D$6:$D$605,MATCH(B805&amp;"|"&amp;C805,'Kit Lists'!$J$6:$J$605,0)),"Not on this contract's kit list"))</f>
        <v/>
      </c>
      <c r="H805" s="83" t="str">
        <f aca="false">IF(AND(B805="",C805="",D805=""),"",IF(B805="","Missing contract",IF(C805="","Missing code",IF(LEFT(G805,3)="Not","Wrong code",IF(D805="","Missing qty",IF(A805="","Missing date",""))))))</f>
        <v/>
      </c>
      <c r="I805" s="84" t="str">
        <f aca="false">IF(B805=Dashboard!$D$3,ROW(),"")</f>
        <v/>
      </c>
    </row>
    <row r="806" customFormat="false" ht="15" hidden="false" customHeight="false" outlineLevel="0" collapsed="false">
      <c r="A806" s="80"/>
      <c r="B806" s="71"/>
      <c r="C806" s="71"/>
      <c r="D806" s="81"/>
      <c r="E806" s="71"/>
      <c r="F806" s="71"/>
      <c r="G806" s="82" t="str">
        <f aca="false">IF(C806="","",IFERROR(INDEX('Kit Lists'!$D$6:$D$605,MATCH(B806&amp;"|"&amp;C806,'Kit Lists'!$J$6:$J$605,0)),"Not on this contract's kit list"))</f>
        <v/>
      </c>
      <c r="H806" s="83" t="str">
        <f aca="false">IF(AND(B806="",C806="",D806=""),"",IF(B806="","Missing contract",IF(C806="","Missing code",IF(LEFT(G806,3)="Not","Wrong code",IF(D806="","Missing qty",IF(A806="","Missing date",""))))))</f>
        <v/>
      </c>
      <c r="I806" s="84" t="str">
        <f aca="false">IF(B806=Dashboard!$D$3,ROW(),"")</f>
        <v/>
      </c>
    </row>
    <row r="807" customFormat="false" ht="15" hidden="false" customHeight="false" outlineLevel="0" collapsed="false">
      <c r="A807" s="80"/>
      <c r="B807" s="71"/>
      <c r="C807" s="71"/>
      <c r="D807" s="81"/>
      <c r="E807" s="71"/>
      <c r="F807" s="71"/>
      <c r="G807" s="82" t="str">
        <f aca="false">IF(C807="","",IFERROR(INDEX('Kit Lists'!$D$6:$D$605,MATCH(B807&amp;"|"&amp;C807,'Kit Lists'!$J$6:$J$605,0)),"Not on this contract's kit list"))</f>
        <v/>
      </c>
      <c r="H807" s="83" t="str">
        <f aca="false">IF(AND(B807="",C807="",D807=""),"",IF(B807="","Missing contract",IF(C807="","Missing code",IF(LEFT(G807,3)="Not","Wrong code",IF(D807="","Missing qty",IF(A807="","Missing date",""))))))</f>
        <v/>
      </c>
      <c r="I807" s="84" t="str">
        <f aca="false">IF(B807=Dashboard!$D$3,ROW(),"")</f>
        <v/>
      </c>
    </row>
    <row r="808" customFormat="false" ht="15" hidden="false" customHeight="false" outlineLevel="0" collapsed="false">
      <c r="A808" s="80"/>
      <c r="B808" s="71"/>
      <c r="C808" s="71"/>
      <c r="D808" s="81"/>
      <c r="E808" s="71"/>
      <c r="F808" s="71"/>
      <c r="G808" s="82" t="str">
        <f aca="false">IF(C808="","",IFERROR(INDEX('Kit Lists'!$D$6:$D$605,MATCH(B808&amp;"|"&amp;C808,'Kit Lists'!$J$6:$J$605,0)),"Not on this contract's kit list"))</f>
        <v/>
      </c>
      <c r="H808" s="83" t="str">
        <f aca="false">IF(AND(B808="",C808="",D808=""),"",IF(B808="","Missing contract",IF(C808="","Missing code",IF(LEFT(G808,3)="Not","Wrong code",IF(D808="","Missing qty",IF(A808="","Missing date",""))))))</f>
        <v/>
      </c>
      <c r="I808" s="84" t="str">
        <f aca="false">IF(B808=Dashboard!$D$3,ROW(),"")</f>
        <v/>
      </c>
    </row>
    <row r="809" customFormat="false" ht="15" hidden="false" customHeight="false" outlineLevel="0" collapsed="false">
      <c r="A809" s="80"/>
      <c r="B809" s="71"/>
      <c r="C809" s="71"/>
      <c r="D809" s="81"/>
      <c r="E809" s="71"/>
      <c r="F809" s="71"/>
      <c r="G809" s="82" t="str">
        <f aca="false">IF(C809="","",IFERROR(INDEX('Kit Lists'!$D$6:$D$605,MATCH(B809&amp;"|"&amp;C809,'Kit Lists'!$J$6:$J$605,0)),"Not on this contract's kit list"))</f>
        <v/>
      </c>
      <c r="H809" s="83" t="str">
        <f aca="false">IF(AND(B809="",C809="",D809=""),"",IF(B809="","Missing contract",IF(C809="","Missing code",IF(LEFT(G809,3)="Not","Wrong code",IF(D809="","Missing qty",IF(A809="","Missing date",""))))))</f>
        <v/>
      </c>
      <c r="I809" s="84" t="str">
        <f aca="false">IF(B809=Dashboard!$D$3,ROW(),"")</f>
        <v/>
      </c>
    </row>
    <row r="810" customFormat="false" ht="15" hidden="false" customHeight="false" outlineLevel="0" collapsed="false">
      <c r="A810" s="80"/>
      <c r="B810" s="71"/>
      <c r="C810" s="71"/>
      <c r="D810" s="81"/>
      <c r="E810" s="71"/>
      <c r="F810" s="71"/>
      <c r="G810" s="82" t="str">
        <f aca="false">IF(C810="","",IFERROR(INDEX('Kit Lists'!$D$6:$D$605,MATCH(B810&amp;"|"&amp;C810,'Kit Lists'!$J$6:$J$605,0)),"Not on this contract's kit list"))</f>
        <v/>
      </c>
      <c r="H810" s="83" t="str">
        <f aca="false">IF(AND(B810="",C810="",D810=""),"",IF(B810="","Missing contract",IF(C810="","Missing code",IF(LEFT(G810,3)="Not","Wrong code",IF(D810="","Missing qty",IF(A810="","Missing date",""))))))</f>
        <v/>
      </c>
      <c r="I810" s="84" t="str">
        <f aca="false">IF(B810=Dashboard!$D$3,ROW(),"")</f>
        <v/>
      </c>
    </row>
    <row r="811" customFormat="false" ht="15" hidden="false" customHeight="false" outlineLevel="0" collapsed="false">
      <c r="A811" s="80"/>
      <c r="B811" s="71"/>
      <c r="C811" s="71"/>
      <c r="D811" s="81"/>
      <c r="E811" s="71"/>
      <c r="F811" s="71"/>
      <c r="G811" s="82" t="str">
        <f aca="false">IF(C811="","",IFERROR(INDEX('Kit Lists'!$D$6:$D$605,MATCH(B811&amp;"|"&amp;C811,'Kit Lists'!$J$6:$J$605,0)),"Not on this contract's kit list"))</f>
        <v/>
      </c>
      <c r="H811" s="83" t="str">
        <f aca="false">IF(AND(B811="",C811="",D811=""),"",IF(B811="","Missing contract",IF(C811="","Missing code",IF(LEFT(G811,3)="Not","Wrong code",IF(D811="","Missing qty",IF(A811="","Missing date",""))))))</f>
        <v/>
      </c>
      <c r="I811" s="84" t="str">
        <f aca="false">IF(B811=Dashboard!$D$3,ROW(),"")</f>
        <v/>
      </c>
    </row>
    <row r="812" customFormat="false" ht="15" hidden="false" customHeight="false" outlineLevel="0" collapsed="false">
      <c r="A812" s="80"/>
      <c r="B812" s="71"/>
      <c r="C812" s="71"/>
      <c r="D812" s="81"/>
      <c r="E812" s="71"/>
      <c r="F812" s="71"/>
      <c r="G812" s="82" t="str">
        <f aca="false">IF(C812="","",IFERROR(INDEX('Kit Lists'!$D$6:$D$605,MATCH(B812&amp;"|"&amp;C812,'Kit Lists'!$J$6:$J$605,0)),"Not on this contract's kit list"))</f>
        <v/>
      </c>
      <c r="H812" s="83" t="str">
        <f aca="false">IF(AND(B812="",C812="",D812=""),"",IF(B812="","Missing contract",IF(C812="","Missing code",IF(LEFT(G812,3)="Not","Wrong code",IF(D812="","Missing qty",IF(A812="","Missing date",""))))))</f>
        <v/>
      </c>
      <c r="I812" s="84" t="str">
        <f aca="false">IF(B812=Dashboard!$D$3,ROW(),"")</f>
        <v/>
      </c>
    </row>
    <row r="813" customFormat="false" ht="15" hidden="false" customHeight="false" outlineLevel="0" collapsed="false">
      <c r="A813" s="80"/>
      <c r="B813" s="71"/>
      <c r="C813" s="71"/>
      <c r="D813" s="81"/>
      <c r="E813" s="71"/>
      <c r="F813" s="71"/>
      <c r="G813" s="82" t="str">
        <f aca="false">IF(C813="","",IFERROR(INDEX('Kit Lists'!$D$6:$D$605,MATCH(B813&amp;"|"&amp;C813,'Kit Lists'!$J$6:$J$605,0)),"Not on this contract's kit list"))</f>
        <v/>
      </c>
      <c r="H813" s="83" t="str">
        <f aca="false">IF(AND(B813="",C813="",D813=""),"",IF(B813="","Missing contract",IF(C813="","Missing code",IF(LEFT(G813,3)="Not","Wrong code",IF(D813="","Missing qty",IF(A813="","Missing date",""))))))</f>
        <v/>
      </c>
      <c r="I813" s="84" t="str">
        <f aca="false">IF(B813=Dashboard!$D$3,ROW(),"")</f>
        <v/>
      </c>
    </row>
    <row r="814" customFormat="false" ht="15" hidden="false" customHeight="false" outlineLevel="0" collapsed="false">
      <c r="A814" s="80"/>
      <c r="B814" s="71"/>
      <c r="C814" s="71"/>
      <c r="D814" s="81"/>
      <c r="E814" s="71"/>
      <c r="F814" s="71"/>
      <c r="G814" s="82" t="str">
        <f aca="false">IF(C814="","",IFERROR(INDEX('Kit Lists'!$D$6:$D$605,MATCH(B814&amp;"|"&amp;C814,'Kit Lists'!$J$6:$J$605,0)),"Not on this contract's kit list"))</f>
        <v/>
      </c>
      <c r="H814" s="83" t="str">
        <f aca="false">IF(AND(B814="",C814="",D814=""),"",IF(B814="","Missing contract",IF(C814="","Missing code",IF(LEFT(G814,3)="Not","Wrong code",IF(D814="","Missing qty",IF(A814="","Missing date",""))))))</f>
        <v/>
      </c>
      <c r="I814" s="84" t="str">
        <f aca="false">IF(B814=Dashboard!$D$3,ROW(),"")</f>
        <v/>
      </c>
    </row>
    <row r="815" customFormat="false" ht="15" hidden="false" customHeight="false" outlineLevel="0" collapsed="false">
      <c r="A815" s="80"/>
      <c r="B815" s="71"/>
      <c r="C815" s="71"/>
      <c r="D815" s="81"/>
      <c r="E815" s="71"/>
      <c r="F815" s="71"/>
      <c r="G815" s="82" t="str">
        <f aca="false">IF(C815="","",IFERROR(INDEX('Kit Lists'!$D$6:$D$605,MATCH(B815&amp;"|"&amp;C815,'Kit Lists'!$J$6:$J$605,0)),"Not on this contract's kit list"))</f>
        <v/>
      </c>
      <c r="H815" s="83" t="str">
        <f aca="false">IF(AND(B815="",C815="",D815=""),"",IF(B815="","Missing contract",IF(C815="","Missing code",IF(LEFT(G815,3)="Not","Wrong code",IF(D815="","Missing qty",IF(A815="","Missing date",""))))))</f>
        <v/>
      </c>
      <c r="I815" s="84" t="str">
        <f aca="false">IF(B815=Dashboard!$D$3,ROW(),"")</f>
        <v/>
      </c>
    </row>
    <row r="816" customFormat="false" ht="15" hidden="false" customHeight="false" outlineLevel="0" collapsed="false">
      <c r="A816" s="80"/>
      <c r="B816" s="71"/>
      <c r="C816" s="71"/>
      <c r="D816" s="81"/>
      <c r="E816" s="71"/>
      <c r="F816" s="71"/>
      <c r="G816" s="82" t="str">
        <f aca="false">IF(C816="","",IFERROR(INDEX('Kit Lists'!$D$6:$D$605,MATCH(B816&amp;"|"&amp;C816,'Kit Lists'!$J$6:$J$605,0)),"Not on this contract's kit list"))</f>
        <v/>
      </c>
      <c r="H816" s="83" t="str">
        <f aca="false">IF(AND(B816="",C816="",D816=""),"",IF(B816="","Missing contract",IF(C816="","Missing code",IF(LEFT(G816,3)="Not","Wrong code",IF(D816="","Missing qty",IF(A816="","Missing date",""))))))</f>
        <v/>
      </c>
      <c r="I816" s="84" t="str">
        <f aca="false">IF(B816=Dashboard!$D$3,ROW(),"")</f>
        <v/>
      </c>
    </row>
    <row r="817" customFormat="false" ht="15" hidden="false" customHeight="false" outlineLevel="0" collapsed="false">
      <c r="A817" s="80"/>
      <c r="B817" s="71"/>
      <c r="C817" s="71"/>
      <c r="D817" s="81"/>
      <c r="E817" s="71"/>
      <c r="F817" s="71"/>
      <c r="G817" s="82" t="str">
        <f aca="false">IF(C817="","",IFERROR(INDEX('Kit Lists'!$D$6:$D$605,MATCH(B817&amp;"|"&amp;C817,'Kit Lists'!$J$6:$J$605,0)),"Not on this contract's kit list"))</f>
        <v/>
      </c>
      <c r="H817" s="83" t="str">
        <f aca="false">IF(AND(B817="",C817="",D817=""),"",IF(B817="","Missing contract",IF(C817="","Missing code",IF(LEFT(G817,3)="Not","Wrong code",IF(D817="","Missing qty",IF(A817="","Missing date",""))))))</f>
        <v/>
      </c>
      <c r="I817" s="84" t="str">
        <f aca="false">IF(B817=Dashboard!$D$3,ROW(),"")</f>
        <v/>
      </c>
    </row>
    <row r="818" customFormat="false" ht="15" hidden="false" customHeight="false" outlineLevel="0" collapsed="false">
      <c r="A818" s="80"/>
      <c r="B818" s="71"/>
      <c r="C818" s="71"/>
      <c r="D818" s="81"/>
      <c r="E818" s="71"/>
      <c r="F818" s="71"/>
      <c r="G818" s="82" t="str">
        <f aca="false">IF(C818="","",IFERROR(INDEX('Kit Lists'!$D$6:$D$605,MATCH(B818&amp;"|"&amp;C818,'Kit Lists'!$J$6:$J$605,0)),"Not on this contract's kit list"))</f>
        <v/>
      </c>
      <c r="H818" s="83" t="str">
        <f aca="false">IF(AND(B818="",C818="",D818=""),"",IF(B818="","Missing contract",IF(C818="","Missing code",IF(LEFT(G818,3)="Not","Wrong code",IF(D818="","Missing qty",IF(A818="","Missing date",""))))))</f>
        <v/>
      </c>
      <c r="I818" s="84" t="str">
        <f aca="false">IF(B818=Dashboard!$D$3,ROW(),"")</f>
        <v/>
      </c>
    </row>
    <row r="819" customFormat="false" ht="15" hidden="false" customHeight="false" outlineLevel="0" collapsed="false">
      <c r="A819" s="80"/>
      <c r="B819" s="71"/>
      <c r="C819" s="71"/>
      <c r="D819" s="81"/>
      <c r="E819" s="71"/>
      <c r="F819" s="71"/>
      <c r="G819" s="82" t="str">
        <f aca="false">IF(C819="","",IFERROR(INDEX('Kit Lists'!$D$6:$D$605,MATCH(B819&amp;"|"&amp;C819,'Kit Lists'!$J$6:$J$605,0)),"Not on this contract's kit list"))</f>
        <v/>
      </c>
      <c r="H819" s="83" t="str">
        <f aca="false">IF(AND(B819="",C819="",D819=""),"",IF(B819="","Missing contract",IF(C819="","Missing code",IF(LEFT(G819,3)="Not","Wrong code",IF(D819="","Missing qty",IF(A819="","Missing date",""))))))</f>
        <v/>
      </c>
      <c r="I819" s="84" t="str">
        <f aca="false">IF(B819=Dashboard!$D$3,ROW(),"")</f>
        <v/>
      </c>
    </row>
    <row r="820" customFormat="false" ht="15" hidden="false" customHeight="false" outlineLevel="0" collapsed="false">
      <c r="A820" s="80"/>
      <c r="B820" s="71"/>
      <c r="C820" s="71"/>
      <c r="D820" s="81"/>
      <c r="E820" s="71"/>
      <c r="F820" s="71"/>
      <c r="G820" s="82" t="str">
        <f aca="false">IF(C820="","",IFERROR(INDEX('Kit Lists'!$D$6:$D$605,MATCH(B820&amp;"|"&amp;C820,'Kit Lists'!$J$6:$J$605,0)),"Not on this contract's kit list"))</f>
        <v/>
      </c>
      <c r="H820" s="83" t="str">
        <f aca="false">IF(AND(B820="",C820="",D820=""),"",IF(B820="","Missing contract",IF(C820="","Missing code",IF(LEFT(G820,3)="Not","Wrong code",IF(D820="","Missing qty",IF(A820="","Missing date",""))))))</f>
        <v/>
      </c>
      <c r="I820" s="84" t="str">
        <f aca="false">IF(B820=Dashboard!$D$3,ROW(),"")</f>
        <v/>
      </c>
    </row>
    <row r="821" customFormat="false" ht="15" hidden="false" customHeight="false" outlineLevel="0" collapsed="false">
      <c r="A821" s="80"/>
      <c r="B821" s="71"/>
      <c r="C821" s="71"/>
      <c r="D821" s="81"/>
      <c r="E821" s="71"/>
      <c r="F821" s="71"/>
      <c r="G821" s="82" t="str">
        <f aca="false">IF(C821="","",IFERROR(INDEX('Kit Lists'!$D$6:$D$605,MATCH(B821&amp;"|"&amp;C821,'Kit Lists'!$J$6:$J$605,0)),"Not on this contract's kit list"))</f>
        <v/>
      </c>
      <c r="H821" s="83" t="str">
        <f aca="false">IF(AND(B821="",C821="",D821=""),"",IF(B821="","Missing contract",IF(C821="","Missing code",IF(LEFT(G821,3)="Not","Wrong code",IF(D821="","Missing qty",IF(A821="","Missing date",""))))))</f>
        <v/>
      </c>
      <c r="I821" s="84" t="str">
        <f aca="false">IF(B821=Dashboard!$D$3,ROW(),"")</f>
        <v/>
      </c>
    </row>
    <row r="822" customFormat="false" ht="15" hidden="false" customHeight="false" outlineLevel="0" collapsed="false">
      <c r="A822" s="80"/>
      <c r="B822" s="71"/>
      <c r="C822" s="71"/>
      <c r="D822" s="81"/>
      <c r="E822" s="71"/>
      <c r="F822" s="71"/>
      <c r="G822" s="82" t="str">
        <f aca="false">IF(C822="","",IFERROR(INDEX('Kit Lists'!$D$6:$D$605,MATCH(B822&amp;"|"&amp;C822,'Kit Lists'!$J$6:$J$605,0)),"Not on this contract's kit list"))</f>
        <v/>
      </c>
      <c r="H822" s="83" t="str">
        <f aca="false">IF(AND(B822="",C822="",D822=""),"",IF(B822="","Missing contract",IF(C822="","Missing code",IF(LEFT(G822,3)="Not","Wrong code",IF(D822="","Missing qty",IF(A822="","Missing date",""))))))</f>
        <v/>
      </c>
      <c r="I822" s="84" t="str">
        <f aca="false">IF(B822=Dashboard!$D$3,ROW(),"")</f>
        <v/>
      </c>
    </row>
    <row r="823" customFormat="false" ht="15" hidden="false" customHeight="false" outlineLevel="0" collapsed="false">
      <c r="A823" s="80"/>
      <c r="B823" s="71"/>
      <c r="C823" s="71"/>
      <c r="D823" s="81"/>
      <c r="E823" s="71"/>
      <c r="F823" s="71"/>
      <c r="G823" s="82" t="str">
        <f aca="false">IF(C823="","",IFERROR(INDEX('Kit Lists'!$D$6:$D$605,MATCH(B823&amp;"|"&amp;C823,'Kit Lists'!$J$6:$J$605,0)),"Not on this contract's kit list"))</f>
        <v/>
      </c>
      <c r="H823" s="83" t="str">
        <f aca="false">IF(AND(B823="",C823="",D823=""),"",IF(B823="","Missing contract",IF(C823="","Missing code",IF(LEFT(G823,3)="Not","Wrong code",IF(D823="","Missing qty",IF(A823="","Missing date",""))))))</f>
        <v/>
      </c>
      <c r="I823" s="84" t="str">
        <f aca="false">IF(B823=Dashboard!$D$3,ROW(),"")</f>
        <v/>
      </c>
    </row>
    <row r="824" customFormat="false" ht="15" hidden="false" customHeight="false" outlineLevel="0" collapsed="false">
      <c r="A824" s="80"/>
      <c r="B824" s="71"/>
      <c r="C824" s="71"/>
      <c r="D824" s="81"/>
      <c r="E824" s="71"/>
      <c r="F824" s="71"/>
      <c r="G824" s="82" t="str">
        <f aca="false">IF(C824="","",IFERROR(INDEX('Kit Lists'!$D$6:$D$605,MATCH(B824&amp;"|"&amp;C824,'Kit Lists'!$J$6:$J$605,0)),"Not on this contract's kit list"))</f>
        <v/>
      </c>
      <c r="H824" s="83" t="str">
        <f aca="false">IF(AND(B824="",C824="",D824=""),"",IF(B824="","Missing contract",IF(C824="","Missing code",IF(LEFT(G824,3)="Not","Wrong code",IF(D824="","Missing qty",IF(A824="","Missing date",""))))))</f>
        <v/>
      </c>
      <c r="I824" s="84" t="str">
        <f aca="false">IF(B824=Dashboard!$D$3,ROW(),"")</f>
        <v/>
      </c>
    </row>
    <row r="825" customFormat="false" ht="15" hidden="false" customHeight="false" outlineLevel="0" collapsed="false">
      <c r="A825" s="80"/>
      <c r="B825" s="71"/>
      <c r="C825" s="71"/>
      <c r="D825" s="81"/>
      <c r="E825" s="71"/>
      <c r="F825" s="71"/>
      <c r="G825" s="82" t="str">
        <f aca="false">IF(C825="","",IFERROR(INDEX('Kit Lists'!$D$6:$D$605,MATCH(B825&amp;"|"&amp;C825,'Kit Lists'!$J$6:$J$605,0)),"Not on this contract's kit list"))</f>
        <v/>
      </c>
      <c r="H825" s="83" t="str">
        <f aca="false">IF(AND(B825="",C825="",D825=""),"",IF(B825="","Missing contract",IF(C825="","Missing code",IF(LEFT(G825,3)="Not","Wrong code",IF(D825="","Missing qty",IF(A825="","Missing date",""))))))</f>
        <v/>
      </c>
      <c r="I825" s="84" t="str">
        <f aca="false">IF(B825=Dashboard!$D$3,ROW(),"")</f>
        <v/>
      </c>
    </row>
    <row r="826" customFormat="false" ht="15" hidden="false" customHeight="false" outlineLevel="0" collapsed="false">
      <c r="A826" s="80"/>
      <c r="B826" s="71"/>
      <c r="C826" s="71"/>
      <c r="D826" s="81"/>
      <c r="E826" s="71"/>
      <c r="F826" s="71"/>
      <c r="G826" s="82" t="str">
        <f aca="false">IF(C826="","",IFERROR(INDEX('Kit Lists'!$D$6:$D$605,MATCH(B826&amp;"|"&amp;C826,'Kit Lists'!$J$6:$J$605,0)),"Not on this contract's kit list"))</f>
        <v/>
      </c>
      <c r="H826" s="83" t="str">
        <f aca="false">IF(AND(B826="",C826="",D826=""),"",IF(B826="","Missing contract",IF(C826="","Missing code",IF(LEFT(G826,3)="Not","Wrong code",IF(D826="","Missing qty",IF(A826="","Missing date",""))))))</f>
        <v/>
      </c>
      <c r="I826" s="84" t="str">
        <f aca="false">IF(B826=Dashboard!$D$3,ROW(),"")</f>
        <v/>
      </c>
    </row>
    <row r="827" customFormat="false" ht="15" hidden="false" customHeight="false" outlineLevel="0" collapsed="false">
      <c r="A827" s="80"/>
      <c r="B827" s="71"/>
      <c r="C827" s="71"/>
      <c r="D827" s="81"/>
      <c r="E827" s="71"/>
      <c r="F827" s="71"/>
      <c r="G827" s="82" t="str">
        <f aca="false">IF(C827="","",IFERROR(INDEX('Kit Lists'!$D$6:$D$605,MATCH(B827&amp;"|"&amp;C827,'Kit Lists'!$J$6:$J$605,0)),"Not on this contract's kit list"))</f>
        <v/>
      </c>
      <c r="H827" s="83" t="str">
        <f aca="false">IF(AND(B827="",C827="",D827=""),"",IF(B827="","Missing contract",IF(C827="","Missing code",IF(LEFT(G827,3)="Not","Wrong code",IF(D827="","Missing qty",IF(A827="","Missing date",""))))))</f>
        <v/>
      </c>
      <c r="I827" s="84" t="str">
        <f aca="false">IF(B827=Dashboard!$D$3,ROW(),"")</f>
        <v/>
      </c>
    </row>
    <row r="828" customFormat="false" ht="15" hidden="false" customHeight="false" outlineLevel="0" collapsed="false">
      <c r="A828" s="80"/>
      <c r="B828" s="71"/>
      <c r="C828" s="71"/>
      <c r="D828" s="81"/>
      <c r="E828" s="71"/>
      <c r="F828" s="71"/>
      <c r="G828" s="82" t="str">
        <f aca="false">IF(C828="","",IFERROR(INDEX('Kit Lists'!$D$6:$D$605,MATCH(B828&amp;"|"&amp;C828,'Kit Lists'!$J$6:$J$605,0)),"Not on this contract's kit list"))</f>
        <v/>
      </c>
      <c r="H828" s="83" t="str">
        <f aca="false">IF(AND(B828="",C828="",D828=""),"",IF(B828="","Missing contract",IF(C828="","Missing code",IF(LEFT(G828,3)="Not","Wrong code",IF(D828="","Missing qty",IF(A828="","Missing date",""))))))</f>
        <v/>
      </c>
      <c r="I828" s="84" t="str">
        <f aca="false">IF(B828=Dashboard!$D$3,ROW(),"")</f>
        <v/>
      </c>
    </row>
    <row r="829" customFormat="false" ht="15" hidden="false" customHeight="false" outlineLevel="0" collapsed="false">
      <c r="A829" s="80"/>
      <c r="B829" s="71"/>
      <c r="C829" s="71"/>
      <c r="D829" s="81"/>
      <c r="E829" s="71"/>
      <c r="F829" s="71"/>
      <c r="G829" s="82" t="str">
        <f aca="false">IF(C829="","",IFERROR(INDEX('Kit Lists'!$D$6:$D$605,MATCH(B829&amp;"|"&amp;C829,'Kit Lists'!$J$6:$J$605,0)),"Not on this contract's kit list"))</f>
        <v/>
      </c>
      <c r="H829" s="83" t="str">
        <f aca="false">IF(AND(B829="",C829="",D829=""),"",IF(B829="","Missing contract",IF(C829="","Missing code",IF(LEFT(G829,3)="Not","Wrong code",IF(D829="","Missing qty",IF(A829="","Missing date",""))))))</f>
        <v/>
      </c>
      <c r="I829" s="84" t="str">
        <f aca="false">IF(B829=Dashboard!$D$3,ROW(),"")</f>
        <v/>
      </c>
    </row>
    <row r="830" customFormat="false" ht="15" hidden="false" customHeight="false" outlineLevel="0" collapsed="false">
      <c r="A830" s="80"/>
      <c r="B830" s="71"/>
      <c r="C830" s="71"/>
      <c r="D830" s="81"/>
      <c r="E830" s="71"/>
      <c r="F830" s="71"/>
      <c r="G830" s="82" t="str">
        <f aca="false">IF(C830="","",IFERROR(INDEX('Kit Lists'!$D$6:$D$605,MATCH(B830&amp;"|"&amp;C830,'Kit Lists'!$J$6:$J$605,0)),"Not on this contract's kit list"))</f>
        <v/>
      </c>
      <c r="H830" s="83" t="str">
        <f aca="false">IF(AND(B830="",C830="",D830=""),"",IF(B830="","Missing contract",IF(C830="","Missing code",IF(LEFT(G830,3)="Not","Wrong code",IF(D830="","Missing qty",IF(A830="","Missing date",""))))))</f>
        <v/>
      </c>
      <c r="I830" s="84" t="str">
        <f aca="false">IF(B830=Dashboard!$D$3,ROW(),"")</f>
        <v/>
      </c>
    </row>
    <row r="831" customFormat="false" ht="15" hidden="false" customHeight="false" outlineLevel="0" collapsed="false">
      <c r="A831" s="80"/>
      <c r="B831" s="71"/>
      <c r="C831" s="71"/>
      <c r="D831" s="81"/>
      <c r="E831" s="71"/>
      <c r="F831" s="71"/>
      <c r="G831" s="82" t="str">
        <f aca="false">IF(C831="","",IFERROR(INDEX('Kit Lists'!$D$6:$D$605,MATCH(B831&amp;"|"&amp;C831,'Kit Lists'!$J$6:$J$605,0)),"Not on this contract's kit list"))</f>
        <v/>
      </c>
      <c r="H831" s="83" t="str">
        <f aca="false">IF(AND(B831="",C831="",D831=""),"",IF(B831="","Missing contract",IF(C831="","Missing code",IF(LEFT(G831,3)="Not","Wrong code",IF(D831="","Missing qty",IF(A831="","Missing date",""))))))</f>
        <v/>
      </c>
      <c r="I831" s="84" t="str">
        <f aca="false">IF(B831=Dashboard!$D$3,ROW(),"")</f>
        <v/>
      </c>
    </row>
    <row r="832" customFormat="false" ht="15" hidden="false" customHeight="false" outlineLevel="0" collapsed="false">
      <c r="A832" s="80"/>
      <c r="B832" s="71"/>
      <c r="C832" s="71"/>
      <c r="D832" s="81"/>
      <c r="E832" s="71"/>
      <c r="F832" s="71"/>
      <c r="G832" s="82" t="str">
        <f aca="false">IF(C832="","",IFERROR(INDEX('Kit Lists'!$D$6:$D$605,MATCH(B832&amp;"|"&amp;C832,'Kit Lists'!$J$6:$J$605,0)),"Not on this contract's kit list"))</f>
        <v/>
      </c>
      <c r="H832" s="83" t="str">
        <f aca="false">IF(AND(B832="",C832="",D832=""),"",IF(B832="","Missing contract",IF(C832="","Missing code",IF(LEFT(G832,3)="Not","Wrong code",IF(D832="","Missing qty",IF(A832="","Missing date",""))))))</f>
        <v/>
      </c>
      <c r="I832" s="84" t="str">
        <f aca="false">IF(B832=Dashboard!$D$3,ROW(),"")</f>
        <v/>
      </c>
    </row>
    <row r="833" customFormat="false" ht="15" hidden="false" customHeight="false" outlineLevel="0" collapsed="false">
      <c r="A833" s="80"/>
      <c r="B833" s="71"/>
      <c r="C833" s="71"/>
      <c r="D833" s="81"/>
      <c r="E833" s="71"/>
      <c r="F833" s="71"/>
      <c r="G833" s="82" t="str">
        <f aca="false">IF(C833="","",IFERROR(INDEX('Kit Lists'!$D$6:$D$605,MATCH(B833&amp;"|"&amp;C833,'Kit Lists'!$J$6:$J$605,0)),"Not on this contract's kit list"))</f>
        <v/>
      </c>
      <c r="H833" s="83" t="str">
        <f aca="false">IF(AND(B833="",C833="",D833=""),"",IF(B833="","Missing contract",IF(C833="","Missing code",IF(LEFT(G833,3)="Not","Wrong code",IF(D833="","Missing qty",IF(A833="","Missing date",""))))))</f>
        <v/>
      </c>
      <c r="I833" s="84" t="str">
        <f aca="false">IF(B833=Dashboard!$D$3,ROW(),"")</f>
        <v/>
      </c>
    </row>
    <row r="834" customFormat="false" ht="15" hidden="false" customHeight="false" outlineLevel="0" collapsed="false">
      <c r="A834" s="80"/>
      <c r="B834" s="71"/>
      <c r="C834" s="71"/>
      <c r="D834" s="81"/>
      <c r="E834" s="71"/>
      <c r="F834" s="71"/>
      <c r="G834" s="82" t="str">
        <f aca="false">IF(C834="","",IFERROR(INDEX('Kit Lists'!$D$6:$D$605,MATCH(B834&amp;"|"&amp;C834,'Kit Lists'!$J$6:$J$605,0)),"Not on this contract's kit list"))</f>
        <v/>
      </c>
      <c r="H834" s="83" t="str">
        <f aca="false">IF(AND(B834="",C834="",D834=""),"",IF(B834="","Missing contract",IF(C834="","Missing code",IF(LEFT(G834,3)="Not","Wrong code",IF(D834="","Missing qty",IF(A834="","Missing date",""))))))</f>
        <v/>
      </c>
      <c r="I834" s="84" t="str">
        <f aca="false">IF(B834=Dashboard!$D$3,ROW(),"")</f>
        <v/>
      </c>
    </row>
    <row r="835" customFormat="false" ht="15" hidden="false" customHeight="false" outlineLevel="0" collapsed="false">
      <c r="A835" s="80"/>
      <c r="B835" s="71"/>
      <c r="C835" s="71"/>
      <c r="D835" s="81"/>
      <c r="E835" s="71"/>
      <c r="F835" s="71"/>
      <c r="G835" s="82" t="str">
        <f aca="false">IF(C835="","",IFERROR(INDEX('Kit Lists'!$D$6:$D$605,MATCH(B835&amp;"|"&amp;C835,'Kit Lists'!$J$6:$J$605,0)),"Not on this contract's kit list"))</f>
        <v/>
      </c>
      <c r="H835" s="83" t="str">
        <f aca="false">IF(AND(B835="",C835="",D835=""),"",IF(B835="","Missing contract",IF(C835="","Missing code",IF(LEFT(G835,3)="Not","Wrong code",IF(D835="","Missing qty",IF(A835="","Missing date",""))))))</f>
        <v/>
      </c>
      <c r="I835" s="84" t="str">
        <f aca="false">IF(B835=Dashboard!$D$3,ROW(),"")</f>
        <v/>
      </c>
    </row>
    <row r="836" customFormat="false" ht="15" hidden="false" customHeight="false" outlineLevel="0" collapsed="false">
      <c r="A836" s="80"/>
      <c r="B836" s="71"/>
      <c r="C836" s="71"/>
      <c r="D836" s="81"/>
      <c r="E836" s="71"/>
      <c r="F836" s="71"/>
      <c r="G836" s="82" t="str">
        <f aca="false">IF(C836="","",IFERROR(INDEX('Kit Lists'!$D$6:$D$605,MATCH(B836&amp;"|"&amp;C836,'Kit Lists'!$J$6:$J$605,0)),"Not on this contract's kit list"))</f>
        <v/>
      </c>
      <c r="H836" s="83" t="str">
        <f aca="false">IF(AND(B836="",C836="",D836=""),"",IF(B836="","Missing contract",IF(C836="","Missing code",IF(LEFT(G836,3)="Not","Wrong code",IF(D836="","Missing qty",IF(A836="","Missing date",""))))))</f>
        <v/>
      </c>
      <c r="I836" s="84" t="str">
        <f aca="false">IF(B836=Dashboard!$D$3,ROW(),"")</f>
        <v/>
      </c>
    </row>
    <row r="837" customFormat="false" ht="15" hidden="false" customHeight="false" outlineLevel="0" collapsed="false">
      <c r="A837" s="80"/>
      <c r="B837" s="71"/>
      <c r="C837" s="71"/>
      <c r="D837" s="81"/>
      <c r="E837" s="71"/>
      <c r="F837" s="71"/>
      <c r="G837" s="82" t="str">
        <f aca="false">IF(C837="","",IFERROR(INDEX('Kit Lists'!$D$6:$D$605,MATCH(B837&amp;"|"&amp;C837,'Kit Lists'!$J$6:$J$605,0)),"Not on this contract's kit list"))</f>
        <v/>
      </c>
      <c r="H837" s="83" t="str">
        <f aca="false">IF(AND(B837="",C837="",D837=""),"",IF(B837="","Missing contract",IF(C837="","Missing code",IF(LEFT(G837,3)="Not","Wrong code",IF(D837="","Missing qty",IF(A837="","Missing date",""))))))</f>
        <v/>
      </c>
      <c r="I837" s="84" t="str">
        <f aca="false">IF(B837=Dashboard!$D$3,ROW(),"")</f>
        <v/>
      </c>
    </row>
    <row r="838" customFormat="false" ht="15" hidden="false" customHeight="false" outlineLevel="0" collapsed="false">
      <c r="A838" s="80"/>
      <c r="B838" s="71"/>
      <c r="C838" s="71"/>
      <c r="D838" s="81"/>
      <c r="E838" s="71"/>
      <c r="F838" s="71"/>
      <c r="G838" s="82" t="str">
        <f aca="false">IF(C838="","",IFERROR(INDEX('Kit Lists'!$D$6:$D$605,MATCH(B838&amp;"|"&amp;C838,'Kit Lists'!$J$6:$J$605,0)),"Not on this contract's kit list"))</f>
        <v/>
      </c>
      <c r="H838" s="83" t="str">
        <f aca="false">IF(AND(B838="",C838="",D838=""),"",IF(B838="","Missing contract",IF(C838="","Missing code",IF(LEFT(G838,3)="Not","Wrong code",IF(D838="","Missing qty",IF(A838="","Missing date",""))))))</f>
        <v/>
      </c>
      <c r="I838" s="84" t="str">
        <f aca="false">IF(B838=Dashboard!$D$3,ROW(),"")</f>
        <v/>
      </c>
    </row>
    <row r="839" customFormat="false" ht="15" hidden="false" customHeight="false" outlineLevel="0" collapsed="false">
      <c r="A839" s="80"/>
      <c r="B839" s="71"/>
      <c r="C839" s="71"/>
      <c r="D839" s="81"/>
      <c r="E839" s="71"/>
      <c r="F839" s="71"/>
      <c r="G839" s="82" t="str">
        <f aca="false">IF(C839="","",IFERROR(INDEX('Kit Lists'!$D$6:$D$605,MATCH(B839&amp;"|"&amp;C839,'Kit Lists'!$J$6:$J$605,0)),"Not on this contract's kit list"))</f>
        <v/>
      </c>
      <c r="H839" s="83" t="str">
        <f aca="false">IF(AND(B839="",C839="",D839=""),"",IF(B839="","Missing contract",IF(C839="","Missing code",IF(LEFT(G839,3)="Not","Wrong code",IF(D839="","Missing qty",IF(A839="","Missing date",""))))))</f>
        <v/>
      </c>
      <c r="I839" s="84" t="str">
        <f aca="false">IF(B839=Dashboard!$D$3,ROW(),"")</f>
        <v/>
      </c>
    </row>
    <row r="840" customFormat="false" ht="15" hidden="false" customHeight="false" outlineLevel="0" collapsed="false">
      <c r="A840" s="80"/>
      <c r="B840" s="71"/>
      <c r="C840" s="71"/>
      <c r="D840" s="81"/>
      <c r="E840" s="71"/>
      <c r="F840" s="71"/>
      <c r="G840" s="82" t="str">
        <f aca="false">IF(C840="","",IFERROR(INDEX('Kit Lists'!$D$6:$D$605,MATCH(B840&amp;"|"&amp;C840,'Kit Lists'!$J$6:$J$605,0)),"Not on this contract's kit list"))</f>
        <v/>
      </c>
      <c r="H840" s="83" t="str">
        <f aca="false">IF(AND(B840="",C840="",D840=""),"",IF(B840="","Missing contract",IF(C840="","Missing code",IF(LEFT(G840,3)="Not","Wrong code",IF(D840="","Missing qty",IF(A840="","Missing date",""))))))</f>
        <v/>
      </c>
      <c r="I840" s="84" t="str">
        <f aca="false">IF(B840=Dashboard!$D$3,ROW(),"")</f>
        <v/>
      </c>
    </row>
    <row r="841" customFormat="false" ht="15" hidden="false" customHeight="false" outlineLevel="0" collapsed="false">
      <c r="A841" s="80"/>
      <c r="B841" s="71"/>
      <c r="C841" s="71"/>
      <c r="D841" s="81"/>
      <c r="E841" s="71"/>
      <c r="F841" s="71"/>
      <c r="G841" s="82" t="str">
        <f aca="false">IF(C841="","",IFERROR(INDEX('Kit Lists'!$D$6:$D$605,MATCH(B841&amp;"|"&amp;C841,'Kit Lists'!$J$6:$J$605,0)),"Not on this contract's kit list"))</f>
        <v/>
      </c>
      <c r="H841" s="83" t="str">
        <f aca="false">IF(AND(B841="",C841="",D841=""),"",IF(B841="","Missing contract",IF(C841="","Missing code",IF(LEFT(G841,3)="Not","Wrong code",IF(D841="","Missing qty",IF(A841="","Missing date",""))))))</f>
        <v/>
      </c>
      <c r="I841" s="84" t="str">
        <f aca="false">IF(B841=Dashboard!$D$3,ROW(),"")</f>
        <v/>
      </c>
    </row>
    <row r="842" customFormat="false" ht="15" hidden="false" customHeight="false" outlineLevel="0" collapsed="false">
      <c r="A842" s="80"/>
      <c r="B842" s="71"/>
      <c r="C842" s="71"/>
      <c r="D842" s="81"/>
      <c r="E842" s="71"/>
      <c r="F842" s="71"/>
      <c r="G842" s="82" t="str">
        <f aca="false">IF(C842="","",IFERROR(INDEX('Kit Lists'!$D$6:$D$605,MATCH(B842&amp;"|"&amp;C842,'Kit Lists'!$J$6:$J$605,0)),"Not on this contract's kit list"))</f>
        <v/>
      </c>
      <c r="H842" s="83" t="str">
        <f aca="false">IF(AND(B842="",C842="",D842=""),"",IF(B842="","Missing contract",IF(C842="","Missing code",IF(LEFT(G842,3)="Not","Wrong code",IF(D842="","Missing qty",IF(A842="","Missing date",""))))))</f>
        <v/>
      </c>
      <c r="I842" s="84" t="str">
        <f aca="false">IF(B842=Dashboard!$D$3,ROW(),"")</f>
        <v/>
      </c>
    </row>
    <row r="843" customFormat="false" ht="15" hidden="false" customHeight="false" outlineLevel="0" collapsed="false">
      <c r="A843" s="80"/>
      <c r="B843" s="71"/>
      <c r="C843" s="71"/>
      <c r="D843" s="81"/>
      <c r="E843" s="71"/>
      <c r="F843" s="71"/>
      <c r="G843" s="82" t="str">
        <f aca="false">IF(C843="","",IFERROR(INDEX('Kit Lists'!$D$6:$D$605,MATCH(B843&amp;"|"&amp;C843,'Kit Lists'!$J$6:$J$605,0)),"Not on this contract's kit list"))</f>
        <v/>
      </c>
      <c r="H843" s="83" t="str">
        <f aca="false">IF(AND(B843="",C843="",D843=""),"",IF(B843="","Missing contract",IF(C843="","Missing code",IF(LEFT(G843,3)="Not","Wrong code",IF(D843="","Missing qty",IF(A843="","Missing date",""))))))</f>
        <v/>
      </c>
      <c r="I843" s="84" t="str">
        <f aca="false">IF(B843=Dashboard!$D$3,ROW(),"")</f>
        <v/>
      </c>
    </row>
    <row r="844" customFormat="false" ht="15" hidden="false" customHeight="false" outlineLevel="0" collapsed="false">
      <c r="A844" s="80"/>
      <c r="B844" s="71"/>
      <c r="C844" s="71"/>
      <c r="D844" s="81"/>
      <c r="E844" s="71"/>
      <c r="F844" s="71"/>
      <c r="G844" s="82" t="str">
        <f aca="false">IF(C844="","",IFERROR(INDEX('Kit Lists'!$D$6:$D$605,MATCH(B844&amp;"|"&amp;C844,'Kit Lists'!$J$6:$J$605,0)),"Not on this contract's kit list"))</f>
        <v/>
      </c>
      <c r="H844" s="83" t="str">
        <f aca="false">IF(AND(B844="",C844="",D844=""),"",IF(B844="","Missing contract",IF(C844="","Missing code",IF(LEFT(G844,3)="Not","Wrong code",IF(D844="","Missing qty",IF(A844="","Missing date",""))))))</f>
        <v/>
      </c>
      <c r="I844" s="84" t="str">
        <f aca="false">IF(B844=Dashboard!$D$3,ROW(),"")</f>
        <v/>
      </c>
    </row>
    <row r="845" customFormat="false" ht="15" hidden="false" customHeight="false" outlineLevel="0" collapsed="false">
      <c r="A845" s="80"/>
      <c r="B845" s="71"/>
      <c r="C845" s="71"/>
      <c r="D845" s="81"/>
      <c r="E845" s="71"/>
      <c r="F845" s="71"/>
      <c r="G845" s="82" t="str">
        <f aca="false">IF(C845="","",IFERROR(INDEX('Kit Lists'!$D$6:$D$605,MATCH(B845&amp;"|"&amp;C845,'Kit Lists'!$J$6:$J$605,0)),"Not on this contract's kit list"))</f>
        <v/>
      </c>
      <c r="H845" s="83" t="str">
        <f aca="false">IF(AND(B845="",C845="",D845=""),"",IF(B845="","Missing contract",IF(C845="","Missing code",IF(LEFT(G845,3)="Not","Wrong code",IF(D845="","Missing qty",IF(A845="","Missing date",""))))))</f>
        <v/>
      </c>
      <c r="I845" s="84" t="str">
        <f aca="false">IF(B845=Dashboard!$D$3,ROW(),"")</f>
        <v/>
      </c>
    </row>
    <row r="846" customFormat="false" ht="15" hidden="false" customHeight="false" outlineLevel="0" collapsed="false">
      <c r="A846" s="80"/>
      <c r="B846" s="71"/>
      <c r="C846" s="71"/>
      <c r="D846" s="81"/>
      <c r="E846" s="71"/>
      <c r="F846" s="71"/>
      <c r="G846" s="82" t="str">
        <f aca="false">IF(C846="","",IFERROR(INDEX('Kit Lists'!$D$6:$D$605,MATCH(B846&amp;"|"&amp;C846,'Kit Lists'!$J$6:$J$605,0)),"Not on this contract's kit list"))</f>
        <v/>
      </c>
      <c r="H846" s="83" t="str">
        <f aca="false">IF(AND(B846="",C846="",D846=""),"",IF(B846="","Missing contract",IF(C846="","Missing code",IF(LEFT(G846,3)="Not","Wrong code",IF(D846="","Missing qty",IF(A846="","Missing date",""))))))</f>
        <v/>
      </c>
      <c r="I846" s="84" t="str">
        <f aca="false">IF(B846=Dashboard!$D$3,ROW(),"")</f>
        <v/>
      </c>
    </row>
    <row r="847" customFormat="false" ht="15" hidden="false" customHeight="false" outlineLevel="0" collapsed="false">
      <c r="A847" s="80"/>
      <c r="B847" s="71"/>
      <c r="C847" s="71"/>
      <c r="D847" s="81"/>
      <c r="E847" s="71"/>
      <c r="F847" s="71"/>
      <c r="G847" s="82" t="str">
        <f aca="false">IF(C847="","",IFERROR(INDEX('Kit Lists'!$D$6:$D$605,MATCH(B847&amp;"|"&amp;C847,'Kit Lists'!$J$6:$J$605,0)),"Not on this contract's kit list"))</f>
        <v/>
      </c>
      <c r="H847" s="83" t="str">
        <f aca="false">IF(AND(B847="",C847="",D847=""),"",IF(B847="","Missing contract",IF(C847="","Missing code",IF(LEFT(G847,3)="Not","Wrong code",IF(D847="","Missing qty",IF(A847="","Missing date",""))))))</f>
        <v/>
      </c>
      <c r="I847" s="84" t="str">
        <f aca="false">IF(B847=Dashboard!$D$3,ROW(),"")</f>
        <v/>
      </c>
    </row>
    <row r="848" customFormat="false" ht="15" hidden="false" customHeight="false" outlineLevel="0" collapsed="false">
      <c r="A848" s="80"/>
      <c r="B848" s="71"/>
      <c r="C848" s="71"/>
      <c r="D848" s="81"/>
      <c r="E848" s="71"/>
      <c r="F848" s="71"/>
      <c r="G848" s="82" t="str">
        <f aca="false">IF(C848="","",IFERROR(INDEX('Kit Lists'!$D$6:$D$605,MATCH(B848&amp;"|"&amp;C848,'Kit Lists'!$J$6:$J$605,0)),"Not on this contract's kit list"))</f>
        <v/>
      </c>
      <c r="H848" s="83" t="str">
        <f aca="false">IF(AND(B848="",C848="",D848=""),"",IF(B848="","Missing contract",IF(C848="","Missing code",IF(LEFT(G848,3)="Not","Wrong code",IF(D848="","Missing qty",IF(A848="","Missing date",""))))))</f>
        <v/>
      </c>
      <c r="I848" s="84" t="str">
        <f aca="false">IF(B848=Dashboard!$D$3,ROW(),"")</f>
        <v/>
      </c>
    </row>
    <row r="849" customFormat="false" ht="15" hidden="false" customHeight="false" outlineLevel="0" collapsed="false">
      <c r="A849" s="80"/>
      <c r="B849" s="71"/>
      <c r="C849" s="71"/>
      <c r="D849" s="81"/>
      <c r="E849" s="71"/>
      <c r="F849" s="71"/>
      <c r="G849" s="82" t="str">
        <f aca="false">IF(C849="","",IFERROR(INDEX('Kit Lists'!$D$6:$D$605,MATCH(B849&amp;"|"&amp;C849,'Kit Lists'!$J$6:$J$605,0)),"Not on this contract's kit list"))</f>
        <v/>
      </c>
      <c r="H849" s="83" t="str">
        <f aca="false">IF(AND(B849="",C849="",D849=""),"",IF(B849="","Missing contract",IF(C849="","Missing code",IF(LEFT(G849,3)="Not","Wrong code",IF(D849="","Missing qty",IF(A849="","Missing date",""))))))</f>
        <v/>
      </c>
      <c r="I849" s="84" t="str">
        <f aca="false">IF(B849=Dashboard!$D$3,ROW(),"")</f>
        <v/>
      </c>
    </row>
    <row r="850" customFormat="false" ht="15" hidden="false" customHeight="false" outlineLevel="0" collapsed="false">
      <c r="A850" s="80"/>
      <c r="B850" s="71"/>
      <c r="C850" s="71"/>
      <c r="D850" s="81"/>
      <c r="E850" s="71"/>
      <c r="F850" s="71"/>
      <c r="G850" s="82" t="str">
        <f aca="false">IF(C850="","",IFERROR(INDEX('Kit Lists'!$D$6:$D$605,MATCH(B850&amp;"|"&amp;C850,'Kit Lists'!$J$6:$J$605,0)),"Not on this contract's kit list"))</f>
        <v/>
      </c>
      <c r="H850" s="83" t="str">
        <f aca="false">IF(AND(B850="",C850="",D850=""),"",IF(B850="","Missing contract",IF(C850="","Missing code",IF(LEFT(G850,3)="Not","Wrong code",IF(D850="","Missing qty",IF(A850="","Missing date",""))))))</f>
        <v/>
      </c>
      <c r="I850" s="84" t="str">
        <f aca="false">IF(B850=Dashboard!$D$3,ROW(),"")</f>
        <v/>
      </c>
    </row>
    <row r="851" customFormat="false" ht="15" hidden="false" customHeight="false" outlineLevel="0" collapsed="false">
      <c r="A851" s="80"/>
      <c r="B851" s="71"/>
      <c r="C851" s="71"/>
      <c r="D851" s="81"/>
      <c r="E851" s="71"/>
      <c r="F851" s="71"/>
      <c r="G851" s="82" t="str">
        <f aca="false">IF(C851="","",IFERROR(INDEX('Kit Lists'!$D$6:$D$605,MATCH(B851&amp;"|"&amp;C851,'Kit Lists'!$J$6:$J$605,0)),"Not on this contract's kit list"))</f>
        <v/>
      </c>
      <c r="H851" s="83" t="str">
        <f aca="false">IF(AND(B851="",C851="",D851=""),"",IF(B851="","Missing contract",IF(C851="","Missing code",IF(LEFT(G851,3)="Not","Wrong code",IF(D851="","Missing qty",IF(A851="","Missing date",""))))))</f>
        <v/>
      </c>
      <c r="I851" s="84" t="str">
        <f aca="false">IF(B851=Dashboard!$D$3,ROW(),"")</f>
        <v/>
      </c>
    </row>
    <row r="852" customFormat="false" ht="15" hidden="false" customHeight="false" outlineLevel="0" collapsed="false">
      <c r="A852" s="80"/>
      <c r="B852" s="71"/>
      <c r="C852" s="71"/>
      <c r="D852" s="81"/>
      <c r="E852" s="71"/>
      <c r="F852" s="71"/>
      <c r="G852" s="82" t="str">
        <f aca="false">IF(C852="","",IFERROR(INDEX('Kit Lists'!$D$6:$D$605,MATCH(B852&amp;"|"&amp;C852,'Kit Lists'!$J$6:$J$605,0)),"Not on this contract's kit list"))</f>
        <v/>
      </c>
      <c r="H852" s="83" t="str">
        <f aca="false">IF(AND(B852="",C852="",D852=""),"",IF(B852="","Missing contract",IF(C852="","Missing code",IF(LEFT(G852,3)="Not","Wrong code",IF(D852="","Missing qty",IF(A852="","Missing date",""))))))</f>
        <v/>
      </c>
      <c r="I852" s="84" t="str">
        <f aca="false">IF(B852=Dashboard!$D$3,ROW(),"")</f>
        <v/>
      </c>
    </row>
    <row r="853" customFormat="false" ht="15" hidden="false" customHeight="false" outlineLevel="0" collapsed="false">
      <c r="A853" s="80"/>
      <c r="B853" s="71"/>
      <c r="C853" s="71"/>
      <c r="D853" s="81"/>
      <c r="E853" s="71"/>
      <c r="F853" s="71"/>
      <c r="G853" s="82" t="str">
        <f aca="false">IF(C853="","",IFERROR(INDEX('Kit Lists'!$D$6:$D$605,MATCH(B853&amp;"|"&amp;C853,'Kit Lists'!$J$6:$J$605,0)),"Not on this contract's kit list"))</f>
        <v/>
      </c>
      <c r="H853" s="83" t="str">
        <f aca="false">IF(AND(B853="",C853="",D853=""),"",IF(B853="","Missing contract",IF(C853="","Missing code",IF(LEFT(G853,3)="Not","Wrong code",IF(D853="","Missing qty",IF(A853="","Missing date",""))))))</f>
        <v/>
      </c>
      <c r="I853" s="84" t="str">
        <f aca="false">IF(B853=Dashboard!$D$3,ROW(),"")</f>
        <v/>
      </c>
    </row>
    <row r="854" customFormat="false" ht="15" hidden="false" customHeight="false" outlineLevel="0" collapsed="false">
      <c r="A854" s="80"/>
      <c r="B854" s="71"/>
      <c r="C854" s="71"/>
      <c r="D854" s="81"/>
      <c r="E854" s="71"/>
      <c r="F854" s="71"/>
      <c r="G854" s="82" t="str">
        <f aca="false">IF(C854="","",IFERROR(INDEX('Kit Lists'!$D$6:$D$605,MATCH(B854&amp;"|"&amp;C854,'Kit Lists'!$J$6:$J$605,0)),"Not on this contract's kit list"))</f>
        <v/>
      </c>
      <c r="H854" s="83" t="str">
        <f aca="false">IF(AND(B854="",C854="",D854=""),"",IF(B854="","Missing contract",IF(C854="","Missing code",IF(LEFT(G854,3)="Not","Wrong code",IF(D854="","Missing qty",IF(A854="","Missing date",""))))))</f>
        <v/>
      </c>
      <c r="I854" s="84" t="str">
        <f aca="false">IF(B854=Dashboard!$D$3,ROW(),"")</f>
        <v/>
      </c>
    </row>
    <row r="855" customFormat="false" ht="15" hidden="false" customHeight="false" outlineLevel="0" collapsed="false">
      <c r="A855" s="80"/>
      <c r="B855" s="71"/>
      <c r="C855" s="71"/>
      <c r="D855" s="81"/>
      <c r="E855" s="71"/>
      <c r="F855" s="71"/>
      <c r="G855" s="82" t="str">
        <f aca="false">IF(C855="","",IFERROR(INDEX('Kit Lists'!$D$6:$D$605,MATCH(B855&amp;"|"&amp;C855,'Kit Lists'!$J$6:$J$605,0)),"Not on this contract's kit list"))</f>
        <v/>
      </c>
      <c r="H855" s="83" t="str">
        <f aca="false">IF(AND(B855="",C855="",D855=""),"",IF(B855="","Missing contract",IF(C855="","Missing code",IF(LEFT(G855,3)="Not","Wrong code",IF(D855="","Missing qty",IF(A855="","Missing date",""))))))</f>
        <v/>
      </c>
      <c r="I855" s="84" t="str">
        <f aca="false">IF(B855=Dashboard!$D$3,ROW(),"")</f>
        <v/>
      </c>
    </row>
    <row r="856" customFormat="false" ht="15" hidden="false" customHeight="false" outlineLevel="0" collapsed="false">
      <c r="A856" s="80"/>
      <c r="B856" s="71"/>
      <c r="C856" s="71"/>
      <c r="D856" s="81"/>
      <c r="E856" s="71"/>
      <c r="F856" s="71"/>
      <c r="G856" s="82" t="str">
        <f aca="false">IF(C856="","",IFERROR(INDEX('Kit Lists'!$D$6:$D$605,MATCH(B856&amp;"|"&amp;C856,'Kit Lists'!$J$6:$J$605,0)),"Not on this contract's kit list"))</f>
        <v/>
      </c>
      <c r="H856" s="83" t="str">
        <f aca="false">IF(AND(B856="",C856="",D856=""),"",IF(B856="","Missing contract",IF(C856="","Missing code",IF(LEFT(G856,3)="Not","Wrong code",IF(D856="","Missing qty",IF(A856="","Missing date",""))))))</f>
        <v/>
      </c>
      <c r="I856" s="84" t="str">
        <f aca="false">IF(B856=Dashboard!$D$3,ROW(),"")</f>
        <v/>
      </c>
    </row>
    <row r="857" customFormat="false" ht="15" hidden="false" customHeight="false" outlineLevel="0" collapsed="false">
      <c r="A857" s="80"/>
      <c r="B857" s="71"/>
      <c r="C857" s="71"/>
      <c r="D857" s="81"/>
      <c r="E857" s="71"/>
      <c r="F857" s="71"/>
      <c r="G857" s="82" t="str">
        <f aca="false">IF(C857="","",IFERROR(INDEX('Kit Lists'!$D$6:$D$605,MATCH(B857&amp;"|"&amp;C857,'Kit Lists'!$J$6:$J$605,0)),"Not on this contract's kit list"))</f>
        <v/>
      </c>
      <c r="H857" s="83" t="str">
        <f aca="false">IF(AND(B857="",C857="",D857=""),"",IF(B857="","Missing contract",IF(C857="","Missing code",IF(LEFT(G857,3)="Not","Wrong code",IF(D857="","Missing qty",IF(A857="","Missing date",""))))))</f>
        <v/>
      </c>
      <c r="I857" s="84" t="str">
        <f aca="false">IF(B857=Dashboard!$D$3,ROW(),"")</f>
        <v/>
      </c>
    </row>
    <row r="858" customFormat="false" ht="15" hidden="false" customHeight="false" outlineLevel="0" collapsed="false">
      <c r="A858" s="80"/>
      <c r="B858" s="71"/>
      <c r="C858" s="71"/>
      <c r="D858" s="81"/>
      <c r="E858" s="71"/>
      <c r="F858" s="71"/>
      <c r="G858" s="82" t="str">
        <f aca="false">IF(C858="","",IFERROR(INDEX('Kit Lists'!$D$6:$D$605,MATCH(B858&amp;"|"&amp;C858,'Kit Lists'!$J$6:$J$605,0)),"Not on this contract's kit list"))</f>
        <v/>
      </c>
      <c r="H858" s="83" t="str">
        <f aca="false">IF(AND(B858="",C858="",D858=""),"",IF(B858="","Missing contract",IF(C858="","Missing code",IF(LEFT(G858,3)="Not","Wrong code",IF(D858="","Missing qty",IF(A858="","Missing date",""))))))</f>
        <v/>
      </c>
      <c r="I858" s="84" t="str">
        <f aca="false">IF(B858=Dashboard!$D$3,ROW(),"")</f>
        <v/>
      </c>
    </row>
    <row r="859" customFormat="false" ht="15" hidden="false" customHeight="false" outlineLevel="0" collapsed="false">
      <c r="A859" s="80"/>
      <c r="B859" s="71"/>
      <c r="C859" s="71"/>
      <c r="D859" s="81"/>
      <c r="E859" s="71"/>
      <c r="F859" s="71"/>
      <c r="G859" s="82" t="str">
        <f aca="false">IF(C859="","",IFERROR(INDEX('Kit Lists'!$D$6:$D$605,MATCH(B859&amp;"|"&amp;C859,'Kit Lists'!$J$6:$J$605,0)),"Not on this contract's kit list"))</f>
        <v/>
      </c>
      <c r="H859" s="83" t="str">
        <f aca="false">IF(AND(B859="",C859="",D859=""),"",IF(B859="","Missing contract",IF(C859="","Missing code",IF(LEFT(G859,3)="Not","Wrong code",IF(D859="","Missing qty",IF(A859="","Missing date",""))))))</f>
        <v/>
      </c>
      <c r="I859" s="84" t="str">
        <f aca="false">IF(B859=Dashboard!$D$3,ROW(),"")</f>
        <v/>
      </c>
    </row>
    <row r="860" customFormat="false" ht="15" hidden="false" customHeight="false" outlineLevel="0" collapsed="false">
      <c r="A860" s="80"/>
      <c r="B860" s="71"/>
      <c r="C860" s="71"/>
      <c r="D860" s="81"/>
      <c r="E860" s="71"/>
      <c r="F860" s="71"/>
      <c r="G860" s="82" t="str">
        <f aca="false">IF(C860="","",IFERROR(INDEX('Kit Lists'!$D$6:$D$605,MATCH(B860&amp;"|"&amp;C860,'Kit Lists'!$J$6:$J$605,0)),"Not on this contract's kit list"))</f>
        <v/>
      </c>
      <c r="H860" s="83" t="str">
        <f aca="false">IF(AND(B860="",C860="",D860=""),"",IF(B860="","Missing contract",IF(C860="","Missing code",IF(LEFT(G860,3)="Not","Wrong code",IF(D860="","Missing qty",IF(A860="","Missing date",""))))))</f>
        <v/>
      </c>
      <c r="I860" s="84" t="str">
        <f aca="false">IF(B860=Dashboard!$D$3,ROW(),"")</f>
        <v/>
      </c>
    </row>
    <row r="861" customFormat="false" ht="15" hidden="false" customHeight="false" outlineLevel="0" collapsed="false">
      <c r="A861" s="80"/>
      <c r="B861" s="71"/>
      <c r="C861" s="71"/>
      <c r="D861" s="81"/>
      <c r="E861" s="71"/>
      <c r="F861" s="71"/>
      <c r="G861" s="82" t="str">
        <f aca="false">IF(C861="","",IFERROR(INDEX('Kit Lists'!$D$6:$D$605,MATCH(B861&amp;"|"&amp;C861,'Kit Lists'!$J$6:$J$605,0)),"Not on this contract's kit list"))</f>
        <v/>
      </c>
      <c r="H861" s="83" t="str">
        <f aca="false">IF(AND(B861="",C861="",D861=""),"",IF(B861="","Missing contract",IF(C861="","Missing code",IF(LEFT(G861,3)="Not","Wrong code",IF(D861="","Missing qty",IF(A861="","Missing date",""))))))</f>
        <v/>
      </c>
      <c r="I861" s="84" t="str">
        <f aca="false">IF(B861=Dashboard!$D$3,ROW(),"")</f>
        <v/>
      </c>
    </row>
    <row r="862" customFormat="false" ht="15" hidden="false" customHeight="false" outlineLevel="0" collapsed="false">
      <c r="A862" s="80"/>
      <c r="B862" s="71"/>
      <c r="C862" s="71"/>
      <c r="D862" s="81"/>
      <c r="E862" s="71"/>
      <c r="F862" s="71"/>
      <c r="G862" s="82" t="str">
        <f aca="false">IF(C862="","",IFERROR(INDEX('Kit Lists'!$D$6:$D$605,MATCH(B862&amp;"|"&amp;C862,'Kit Lists'!$J$6:$J$605,0)),"Not on this contract's kit list"))</f>
        <v/>
      </c>
      <c r="H862" s="83" t="str">
        <f aca="false">IF(AND(B862="",C862="",D862=""),"",IF(B862="","Missing contract",IF(C862="","Missing code",IF(LEFT(G862,3)="Not","Wrong code",IF(D862="","Missing qty",IF(A862="","Missing date",""))))))</f>
        <v/>
      </c>
      <c r="I862" s="84" t="str">
        <f aca="false">IF(B862=Dashboard!$D$3,ROW(),"")</f>
        <v/>
      </c>
    </row>
    <row r="863" customFormat="false" ht="15" hidden="false" customHeight="false" outlineLevel="0" collapsed="false">
      <c r="A863" s="80"/>
      <c r="B863" s="71"/>
      <c r="C863" s="71"/>
      <c r="D863" s="81"/>
      <c r="E863" s="71"/>
      <c r="F863" s="71"/>
      <c r="G863" s="82" t="str">
        <f aca="false">IF(C863="","",IFERROR(INDEX('Kit Lists'!$D$6:$D$605,MATCH(B863&amp;"|"&amp;C863,'Kit Lists'!$J$6:$J$605,0)),"Not on this contract's kit list"))</f>
        <v/>
      </c>
      <c r="H863" s="83" t="str">
        <f aca="false">IF(AND(B863="",C863="",D863=""),"",IF(B863="","Missing contract",IF(C863="","Missing code",IF(LEFT(G863,3)="Not","Wrong code",IF(D863="","Missing qty",IF(A863="","Missing date",""))))))</f>
        <v/>
      </c>
      <c r="I863" s="84" t="str">
        <f aca="false">IF(B863=Dashboard!$D$3,ROW(),"")</f>
        <v/>
      </c>
    </row>
    <row r="864" customFormat="false" ht="15" hidden="false" customHeight="false" outlineLevel="0" collapsed="false">
      <c r="A864" s="80"/>
      <c r="B864" s="71"/>
      <c r="C864" s="71"/>
      <c r="D864" s="81"/>
      <c r="E864" s="71"/>
      <c r="F864" s="71"/>
      <c r="G864" s="82" t="str">
        <f aca="false">IF(C864="","",IFERROR(INDEX('Kit Lists'!$D$6:$D$605,MATCH(B864&amp;"|"&amp;C864,'Kit Lists'!$J$6:$J$605,0)),"Not on this contract's kit list"))</f>
        <v/>
      </c>
      <c r="H864" s="83" t="str">
        <f aca="false">IF(AND(B864="",C864="",D864=""),"",IF(B864="","Missing contract",IF(C864="","Missing code",IF(LEFT(G864,3)="Not","Wrong code",IF(D864="","Missing qty",IF(A864="","Missing date",""))))))</f>
        <v/>
      </c>
      <c r="I864" s="84" t="str">
        <f aca="false">IF(B864=Dashboard!$D$3,ROW(),"")</f>
        <v/>
      </c>
    </row>
    <row r="865" customFormat="false" ht="15" hidden="false" customHeight="false" outlineLevel="0" collapsed="false">
      <c r="A865" s="80"/>
      <c r="B865" s="71"/>
      <c r="C865" s="71"/>
      <c r="D865" s="81"/>
      <c r="E865" s="71"/>
      <c r="F865" s="71"/>
      <c r="G865" s="82" t="str">
        <f aca="false">IF(C865="","",IFERROR(INDEX('Kit Lists'!$D$6:$D$605,MATCH(B865&amp;"|"&amp;C865,'Kit Lists'!$J$6:$J$605,0)),"Not on this contract's kit list"))</f>
        <v/>
      </c>
      <c r="H865" s="83" t="str">
        <f aca="false">IF(AND(B865="",C865="",D865=""),"",IF(B865="","Missing contract",IF(C865="","Missing code",IF(LEFT(G865,3)="Not","Wrong code",IF(D865="","Missing qty",IF(A865="","Missing date",""))))))</f>
        <v/>
      </c>
      <c r="I865" s="84" t="str">
        <f aca="false">IF(B865=Dashboard!$D$3,ROW(),"")</f>
        <v/>
      </c>
    </row>
    <row r="866" customFormat="false" ht="15" hidden="false" customHeight="false" outlineLevel="0" collapsed="false">
      <c r="A866" s="80"/>
      <c r="B866" s="71"/>
      <c r="C866" s="71"/>
      <c r="D866" s="81"/>
      <c r="E866" s="71"/>
      <c r="F866" s="71"/>
      <c r="G866" s="82" t="str">
        <f aca="false">IF(C866="","",IFERROR(INDEX('Kit Lists'!$D$6:$D$605,MATCH(B866&amp;"|"&amp;C866,'Kit Lists'!$J$6:$J$605,0)),"Not on this contract's kit list"))</f>
        <v/>
      </c>
      <c r="H866" s="83" t="str">
        <f aca="false">IF(AND(B866="",C866="",D866=""),"",IF(B866="","Missing contract",IF(C866="","Missing code",IF(LEFT(G866,3)="Not","Wrong code",IF(D866="","Missing qty",IF(A866="","Missing date",""))))))</f>
        <v/>
      </c>
      <c r="I866" s="84" t="str">
        <f aca="false">IF(B866=Dashboard!$D$3,ROW(),"")</f>
        <v/>
      </c>
    </row>
    <row r="867" customFormat="false" ht="15" hidden="false" customHeight="false" outlineLevel="0" collapsed="false">
      <c r="A867" s="80"/>
      <c r="B867" s="71"/>
      <c r="C867" s="71"/>
      <c r="D867" s="81"/>
      <c r="E867" s="71"/>
      <c r="F867" s="71"/>
      <c r="G867" s="82" t="str">
        <f aca="false">IF(C867="","",IFERROR(INDEX('Kit Lists'!$D$6:$D$605,MATCH(B867&amp;"|"&amp;C867,'Kit Lists'!$J$6:$J$605,0)),"Not on this contract's kit list"))</f>
        <v/>
      </c>
      <c r="H867" s="83" t="str">
        <f aca="false">IF(AND(B867="",C867="",D867=""),"",IF(B867="","Missing contract",IF(C867="","Missing code",IF(LEFT(G867,3)="Not","Wrong code",IF(D867="","Missing qty",IF(A867="","Missing date",""))))))</f>
        <v/>
      </c>
      <c r="I867" s="84" t="str">
        <f aca="false">IF(B867=Dashboard!$D$3,ROW(),"")</f>
        <v/>
      </c>
    </row>
    <row r="868" customFormat="false" ht="15" hidden="false" customHeight="false" outlineLevel="0" collapsed="false">
      <c r="A868" s="80"/>
      <c r="B868" s="71"/>
      <c r="C868" s="71"/>
      <c r="D868" s="81"/>
      <c r="E868" s="71"/>
      <c r="F868" s="71"/>
      <c r="G868" s="82" t="str">
        <f aca="false">IF(C868="","",IFERROR(INDEX('Kit Lists'!$D$6:$D$605,MATCH(B868&amp;"|"&amp;C868,'Kit Lists'!$J$6:$J$605,0)),"Not on this contract's kit list"))</f>
        <v/>
      </c>
      <c r="H868" s="83" t="str">
        <f aca="false">IF(AND(B868="",C868="",D868=""),"",IF(B868="","Missing contract",IF(C868="","Missing code",IF(LEFT(G868,3)="Not","Wrong code",IF(D868="","Missing qty",IF(A868="","Missing date",""))))))</f>
        <v/>
      </c>
      <c r="I868" s="84" t="str">
        <f aca="false">IF(B868=Dashboard!$D$3,ROW(),"")</f>
        <v/>
      </c>
    </row>
    <row r="869" customFormat="false" ht="15" hidden="false" customHeight="false" outlineLevel="0" collapsed="false">
      <c r="A869" s="80"/>
      <c r="B869" s="71"/>
      <c r="C869" s="71"/>
      <c r="D869" s="81"/>
      <c r="E869" s="71"/>
      <c r="F869" s="71"/>
      <c r="G869" s="82" t="str">
        <f aca="false">IF(C869="","",IFERROR(INDEX('Kit Lists'!$D$6:$D$605,MATCH(B869&amp;"|"&amp;C869,'Kit Lists'!$J$6:$J$605,0)),"Not on this contract's kit list"))</f>
        <v/>
      </c>
      <c r="H869" s="83" t="str">
        <f aca="false">IF(AND(B869="",C869="",D869=""),"",IF(B869="","Missing contract",IF(C869="","Missing code",IF(LEFT(G869,3)="Not","Wrong code",IF(D869="","Missing qty",IF(A869="","Missing date",""))))))</f>
        <v/>
      </c>
      <c r="I869" s="84" t="str">
        <f aca="false">IF(B869=Dashboard!$D$3,ROW(),"")</f>
        <v/>
      </c>
    </row>
    <row r="870" customFormat="false" ht="15" hidden="false" customHeight="false" outlineLevel="0" collapsed="false">
      <c r="A870" s="80"/>
      <c r="B870" s="71"/>
      <c r="C870" s="71"/>
      <c r="D870" s="81"/>
      <c r="E870" s="71"/>
      <c r="F870" s="71"/>
      <c r="G870" s="82" t="str">
        <f aca="false">IF(C870="","",IFERROR(INDEX('Kit Lists'!$D$6:$D$605,MATCH(B870&amp;"|"&amp;C870,'Kit Lists'!$J$6:$J$605,0)),"Not on this contract's kit list"))</f>
        <v/>
      </c>
      <c r="H870" s="83" t="str">
        <f aca="false">IF(AND(B870="",C870="",D870=""),"",IF(B870="","Missing contract",IF(C870="","Missing code",IF(LEFT(G870,3)="Not","Wrong code",IF(D870="","Missing qty",IF(A870="","Missing date",""))))))</f>
        <v/>
      </c>
      <c r="I870" s="84" t="str">
        <f aca="false">IF(B870=Dashboard!$D$3,ROW(),"")</f>
        <v/>
      </c>
    </row>
    <row r="871" customFormat="false" ht="15" hidden="false" customHeight="false" outlineLevel="0" collapsed="false">
      <c r="A871" s="80"/>
      <c r="B871" s="71"/>
      <c r="C871" s="71"/>
      <c r="D871" s="81"/>
      <c r="E871" s="71"/>
      <c r="F871" s="71"/>
      <c r="G871" s="82" t="str">
        <f aca="false">IF(C871="","",IFERROR(INDEX('Kit Lists'!$D$6:$D$605,MATCH(B871&amp;"|"&amp;C871,'Kit Lists'!$J$6:$J$605,0)),"Not on this contract's kit list"))</f>
        <v/>
      </c>
      <c r="H871" s="83" t="str">
        <f aca="false">IF(AND(B871="",C871="",D871=""),"",IF(B871="","Missing contract",IF(C871="","Missing code",IF(LEFT(G871,3)="Not","Wrong code",IF(D871="","Missing qty",IF(A871="","Missing date",""))))))</f>
        <v/>
      </c>
      <c r="I871" s="84" t="str">
        <f aca="false">IF(B871=Dashboard!$D$3,ROW(),"")</f>
        <v/>
      </c>
    </row>
    <row r="872" customFormat="false" ht="15" hidden="false" customHeight="false" outlineLevel="0" collapsed="false">
      <c r="A872" s="80"/>
      <c r="B872" s="71"/>
      <c r="C872" s="71"/>
      <c r="D872" s="81"/>
      <c r="E872" s="71"/>
      <c r="F872" s="71"/>
      <c r="G872" s="82" t="str">
        <f aca="false">IF(C872="","",IFERROR(INDEX('Kit Lists'!$D$6:$D$605,MATCH(B872&amp;"|"&amp;C872,'Kit Lists'!$J$6:$J$605,0)),"Not on this contract's kit list"))</f>
        <v/>
      </c>
      <c r="H872" s="83" t="str">
        <f aca="false">IF(AND(B872="",C872="",D872=""),"",IF(B872="","Missing contract",IF(C872="","Missing code",IF(LEFT(G872,3)="Not","Wrong code",IF(D872="","Missing qty",IF(A872="","Missing date",""))))))</f>
        <v/>
      </c>
      <c r="I872" s="84" t="str">
        <f aca="false">IF(B872=Dashboard!$D$3,ROW(),"")</f>
        <v/>
      </c>
    </row>
    <row r="873" customFormat="false" ht="15" hidden="false" customHeight="false" outlineLevel="0" collapsed="false">
      <c r="A873" s="80"/>
      <c r="B873" s="71"/>
      <c r="C873" s="71"/>
      <c r="D873" s="81"/>
      <c r="E873" s="71"/>
      <c r="F873" s="71"/>
      <c r="G873" s="82" t="str">
        <f aca="false">IF(C873="","",IFERROR(INDEX('Kit Lists'!$D$6:$D$605,MATCH(B873&amp;"|"&amp;C873,'Kit Lists'!$J$6:$J$605,0)),"Not on this contract's kit list"))</f>
        <v/>
      </c>
      <c r="H873" s="83" t="str">
        <f aca="false">IF(AND(B873="",C873="",D873=""),"",IF(B873="","Missing contract",IF(C873="","Missing code",IF(LEFT(G873,3)="Not","Wrong code",IF(D873="","Missing qty",IF(A873="","Missing date",""))))))</f>
        <v/>
      </c>
      <c r="I873" s="84" t="str">
        <f aca="false">IF(B873=Dashboard!$D$3,ROW(),"")</f>
        <v/>
      </c>
    </row>
    <row r="874" customFormat="false" ht="15" hidden="false" customHeight="false" outlineLevel="0" collapsed="false">
      <c r="A874" s="80"/>
      <c r="B874" s="71"/>
      <c r="C874" s="71"/>
      <c r="D874" s="81"/>
      <c r="E874" s="71"/>
      <c r="F874" s="71"/>
      <c r="G874" s="82" t="str">
        <f aca="false">IF(C874="","",IFERROR(INDEX('Kit Lists'!$D$6:$D$605,MATCH(B874&amp;"|"&amp;C874,'Kit Lists'!$J$6:$J$605,0)),"Not on this contract's kit list"))</f>
        <v/>
      </c>
      <c r="H874" s="83" t="str">
        <f aca="false">IF(AND(B874="",C874="",D874=""),"",IF(B874="","Missing contract",IF(C874="","Missing code",IF(LEFT(G874,3)="Not","Wrong code",IF(D874="","Missing qty",IF(A874="","Missing date",""))))))</f>
        <v/>
      </c>
      <c r="I874" s="84" t="str">
        <f aca="false">IF(B874=Dashboard!$D$3,ROW(),"")</f>
        <v/>
      </c>
    </row>
    <row r="875" customFormat="false" ht="15" hidden="false" customHeight="false" outlineLevel="0" collapsed="false">
      <c r="A875" s="80"/>
      <c r="B875" s="71"/>
      <c r="C875" s="71"/>
      <c r="D875" s="81"/>
      <c r="E875" s="71"/>
      <c r="F875" s="71"/>
      <c r="G875" s="82" t="str">
        <f aca="false">IF(C875="","",IFERROR(INDEX('Kit Lists'!$D$6:$D$605,MATCH(B875&amp;"|"&amp;C875,'Kit Lists'!$J$6:$J$605,0)),"Not on this contract's kit list"))</f>
        <v/>
      </c>
      <c r="H875" s="83" t="str">
        <f aca="false">IF(AND(B875="",C875="",D875=""),"",IF(B875="","Missing contract",IF(C875="","Missing code",IF(LEFT(G875,3)="Not","Wrong code",IF(D875="","Missing qty",IF(A875="","Missing date",""))))))</f>
        <v/>
      </c>
      <c r="I875" s="84" t="str">
        <f aca="false">IF(B875=Dashboard!$D$3,ROW(),"")</f>
        <v/>
      </c>
    </row>
    <row r="876" customFormat="false" ht="15" hidden="false" customHeight="false" outlineLevel="0" collapsed="false">
      <c r="A876" s="80"/>
      <c r="B876" s="71"/>
      <c r="C876" s="71"/>
      <c r="D876" s="81"/>
      <c r="E876" s="71"/>
      <c r="F876" s="71"/>
      <c r="G876" s="82" t="str">
        <f aca="false">IF(C876="","",IFERROR(INDEX('Kit Lists'!$D$6:$D$605,MATCH(B876&amp;"|"&amp;C876,'Kit Lists'!$J$6:$J$605,0)),"Not on this contract's kit list"))</f>
        <v/>
      </c>
      <c r="H876" s="83" t="str">
        <f aca="false">IF(AND(B876="",C876="",D876=""),"",IF(B876="","Missing contract",IF(C876="","Missing code",IF(LEFT(G876,3)="Not","Wrong code",IF(D876="","Missing qty",IF(A876="","Missing date",""))))))</f>
        <v/>
      </c>
      <c r="I876" s="84" t="str">
        <f aca="false">IF(B876=Dashboard!$D$3,ROW(),"")</f>
        <v/>
      </c>
    </row>
    <row r="877" customFormat="false" ht="15" hidden="false" customHeight="false" outlineLevel="0" collapsed="false">
      <c r="A877" s="80"/>
      <c r="B877" s="71"/>
      <c r="C877" s="71"/>
      <c r="D877" s="81"/>
      <c r="E877" s="71"/>
      <c r="F877" s="71"/>
      <c r="G877" s="82" t="str">
        <f aca="false">IF(C877="","",IFERROR(INDEX('Kit Lists'!$D$6:$D$605,MATCH(B877&amp;"|"&amp;C877,'Kit Lists'!$J$6:$J$605,0)),"Not on this contract's kit list"))</f>
        <v/>
      </c>
      <c r="H877" s="83" t="str">
        <f aca="false">IF(AND(B877="",C877="",D877=""),"",IF(B877="","Missing contract",IF(C877="","Missing code",IF(LEFT(G877,3)="Not","Wrong code",IF(D877="","Missing qty",IF(A877="","Missing date",""))))))</f>
        <v/>
      </c>
      <c r="I877" s="84" t="str">
        <f aca="false">IF(B877=Dashboard!$D$3,ROW(),"")</f>
        <v/>
      </c>
    </row>
    <row r="878" customFormat="false" ht="15" hidden="false" customHeight="false" outlineLevel="0" collapsed="false">
      <c r="A878" s="80"/>
      <c r="B878" s="71"/>
      <c r="C878" s="71"/>
      <c r="D878" s="81"/>
      <c r="E878" s="71"/>
      <c r="F878" s="71"/>
      <c r="G878" s="82" t="str">
        <f aca="false">IF(C878="","",IFERROR(INDEX('Kit Lists'!$D$6:$D$605,MATCH(B878&amp;"|"&amp;C878,'Kit Lists'!$J$6:$J$605,0)),"Not on this contract's kit list"))</f>
        <v/>
      </c>
      <c r="H878" s="83" t="str">
        <f aca="false">IF(AND(B878="",C878="",D878=""),"",IF(B878="","Missing contract",IF(C878="","Missing code",IF(LEFT(G878,3)="Not","Wrong code",IF(D878="","Missing qty",IF(A878="","Missing date",""))))))</f>
        <v/>
      </c>
      <c r="I878" s="84" t="str">
        <f aca="false">IF(B878=Dashboard!$D$3,ROW(),"")</f>
        <v/>
      </c>
    </row>
    <row r="879" customFormat="false" ht="15" hidden="false" customHeight="false" outlineLevel="0" collapsed="false">
      <c r="A879" s="80"/>
      <c r="B879" s="71"/>
      <c r="C879" s="71"/>
      <c r="D879" s="81"/>
      <c r="E879" s="71"/>
      <c r="F879" s="71"/>
      <c r="G879" s="82" t="str">
        <f aca="false">IF(C879="","",IFERROR(INDEX('Kit Lists'!$D$6:$D$605,MATCH(B879&amp;"|"&amp;C879,'Kit Lists'!$J$6:$J$605,0)),"Not on this contract's kit list"))</f>
        <v/>
      </c>
      <c r="H879" s="83" t="str">
        <f aca="false">IF(AND(B879="",C879="",D879=""),"",IF(B879="","Missing contract",IF(C879="","Missing code",IF(LEFT(G879,3)="Not","Wrong code",IF(D879="","Missing qty",IF(A879="","Missing date",""))))))</f>
        <v/>
      </c>
      <c r="I879" s="84" t="str">
        <f aca="false">IF(B879=Dashboard!$D$3,ROW(),"")</f>
        <v/>
      </c>
    </row>
    <row r="880" customFormat="false" ht="15" hidden="false" customHeight="false" outlineLevel="0" collapsed="false">
      <c r="A880" s="80"/>
      <c r="B880" s="71"/>
      <c r="C880" s="71"/>
      <c r="D880" s="81"/>
      <c r="E880" s="71"/>
      <c r="F880" s="71"/>
      <c r="G880" s="82" t="str">
        <f aca="false">IF(C880="","",IFERROR(INDEX('Kit Lists'!$D$6:$D$605,MATCH(B880&amp;"|"&amp;C880,'Kit Lists'!$J$6:$J$605,0)),"Not on this contract's kit list"))</f>
        <v/>
      </c>
      <c r="H880" s="83" t="str">
        <f aca="false">IF(AND(B880="",C880="",D880=""),"",IF(B880="","Missing contract",IF(C880="","Missing code",IF(LEFT(G880,3)="Not","Wrong code",IF(D880="","Missing qty",IF(A880="","Missing date",""))))))</f>
        <v/>
      </c>
      <c r="I880" s="84" t="str">
        <f aca="false">IF(B880=Dashboard!$D$3,ROW(),"")</f>
        <v/>
      </c>
    </row>
    <row r="881" customFormat="false" ht="15" hidden="false" customHeight="false" outlineLevel="0" collapsed="false">
      <c r="A881" s="80"/>
      <c r="B881" s="71"/>
      <c r="C881" s="71"/>
      <c r="D881" s="81"/>
      <c r="E881" s="71"/>
      <c r="F881" s="71"/>
      <c r="G881" s="82" t="str">
        <f aca="false">IF(C881="","",IFERROR(INDEX('Kit Lists'!$D$6:$D$605,MATCH(B881&amp;"|"&amp;C881,'Kit Lists'!$J$6:$J$605,0)),"Not on this contract's kit list"))</f>
        <v/>
      </c>
      <c r="H881" s="83" t="str">
        <f aca="false">IF(AND(B881="",C881="",D881=""),"",IF(B881="","Missing contract",IF(C881="","Missing code",IF(LEFT(G881,3)="Not","Wrong code",IF(D881="","Missing qty",IF(A881="","Missing date",""))))))</f>
        <v/>
      </c>
      <c r="I881" s="84" t="str">
        <f aca="false">IF(B881=Dashboard!$D$3,ROW(),"")</f>
        <v/>
      </c>
    </row>
    <row r="882" customFormat="false" ht="15" hidden="false" customHeight="false" outlineLevel="0" collapsed="false">
      <c r="A882" s="80"/>
      <c r="B882" s="71"/>
      <c r="C882" s="71"/>
      <c r="D882" s="81"/>
      <c r="E882" s="71"/>
      <c r="F882" s="71"/>
      <c r="G882" s="82" t="str">
        <f aca="false">IF(C882="","",IFERROR(INDEX('Kit Lists'!$D$6:$D$605,MATCH(B882&amp;"|"&amp;C882,'Kit Lists'!$J$6:$J$605,0)),"Not on this contract's kit list"))</f>
        <v/>
      </c>
      <c r="H882" s="83" t="str">
        <f aca="false">IF(AND(B882="",C882="",D882=""),"",IF(B882="","Missing contract",IF(C882="","Missing code",IF(LEFT(G882,3)="Not","Wrong code",IF(D882="","Missing qty",IF(A882="","Missing date",""))))))</f>
        <v/>
      </c>
      <c r="I882" s="84" t="str">
        <f aca="false">IF(B882=Dashboard!$D$3,ROW(),"")</f>
        <v/>
      </c>
    </row>
    <row r="883" customFormat="false" ht="15" hidden="false" customHeight="false" outlineLevel="0" collapsed="false">
      <c r="A883" s="80"/>
      <c r="B883" s="71"/>
      <c r="C883" s="71"/>
      <c r="D883" s="81"/>
      <c r="E883" s="71"/>
      <c r="F883" s="71"/>
      <c r="G883" s="82" t="str">
        <f aca="false">IF(C883="","",IFERROR(INDEX('Kit Lists'!$D$6:$D$605,MATCH(B883&amp;"|"&amp;C883,'Kit Lists'!$J$6:$J$605,0)),"Not on this contract's kit list"))</f>
        <v/>
      </c>
      <c r="H883" s="83" t="str">
        <f aca="false">IF(AND(B883="",C883="",D883=""),"",IF(B883="","Missing contract",IF(C883="","Missing code",IF(LEFT(G883,3)="Not","Wrong code",IF(D883="","Missing qty",IF(A883="","Missing date",""))))))</f>
        <v/>
      </c>
      <c r="I883" s="84" t="str">
        <f aca="false">IF(B883=Dashboard!$D$3,ROW(),"")</f>
        <v/>
      </c>
    </row>
    <row r="884" customFormat="false" ht="15" hidden="false" customHeight="false" outlineLevel="0" collapsed="false">
      <c r="A884" s="80"/>
      <c r="B884" s="71"/>
      <c r="C884" s="71"/>
      <c r="D884" s="81"/>
      <c r="E884" s="71"/>
      <c r="F884" s="71"/>
      <c r="G884" s="82" t="str">
        <f aca="false">IF(C884="","",IFERROR(INDEX('Kit Lists'!$D$6:$D$605,MATCH(B884&amp;"|"&amp;C884,'Kit Lists'!$J$6:$J$605,0)),"Not on this contract's kit list"))</f>
        <v/>
      </c>
      <c r="H884" s="83" t="str">
        <f aca="false">IF(AND(B884="",C884="",D884=""),"",IF(B884="","Missing contract",IF(C884="","Missing code",IF(LEFT(G884,3)="Not","Wrong code",IF(D884="","Missing qty",IF(A884="","Missing date",""))))))</f>
        <v/>
      </c>
      <c r="I884" s="84" t="str">
        <f aca="false">IF(B884=Dashboard!$D$3,ROW(),"")</f>
        <v/>
      </c>
    </row>
    <row r="885" customFormat="false" ht="15" hidden="false" customHeight="false" outlineLevel="0" collapsed="false">
      <c r="A885" s="80"/>
      <c r="B885" s="71"/>
      <c r="C885" s="71"/>
      <c r="D885" s="81"/>
      <c r="E885" s="71"/>
      <c r="F885" s="71"/>
      <c r="G885" s="82" t="str">
        <f aca="false">IF(C885="","",IFERROR(INDEX('Kit Lists'!$D$6:$D$605,MATCH(B885&amp;"|"&amp;C885,'Kit Lists'!$J$6:$J$605,0)),"Not on this contract's kit list"))</f>
        <v/>
      </c>
      <c r="H885" s="83" t="str">
        <f aca="false">IF(AND(B885="",C885="",D885=""),"",IF(B885="","Missing contract",IF(C885="","Missing code",IF(LEFT(G885,3)="Not","Wrong code",IF(D885="","Missing qty",IF(A885="","Missing date",""))))))</f>
        <v/>
      </c>
      <c r="I885" s="84" t="str">
        <f aca="false">IF(B885=Dashboard!$D$3,ROW(),"")</f>
        <v/>
      </c>
    </row>
    <row r="886" customFormat="false" ht="15" hidden="false" customHeight="false" outlineLevel="0" collapsed="false">
      <c r="A886" s="80"/>
      <c r="B886" s="71"/>
      <c r="C886" s="71"/>
      <c r="D886" s="81"/>
      <c r="E886" s="71"/>
      <c r="F886" s="71"/>
      <c r="G886" s="82" t="str">
        <f aca="false">IF(C886="","",IFERROR(INDEX('Kit Lists'!$D$6:$D$605,MATCH(B886&amp;"|"&amp;C886,'Kit Lists'!$J$6:$J$605,0)),"Not on this contract's kit list"))</f>
        <v/>
      </c>
      <c r="H886" s="83" t="str">
        <f aca="false">IF(AND(B886="",C886="",D886=""),"",IF(B886="","Missing contract",IF(C886="","Missing code",IF(LEFT(G886,3)="Not","Wrong code",IF(D886="","Missing qty",IF(A886="","Missing date",""))))))</f>
        <v/>
      </c>
      <c r="I886" s="84" t="str">
        <f aca="false">IF(B886=Dashboard!$D$3,ROW(),"")</f>
        <v/>
      </c>
    </row>
    <row r="887" customFormat="false" ht="15" hidden="false" customHeight="false" outlineLevel="0" collapsed="false">
      <c r="A887" s="80"/>
      <c r="B887" s="71"/>
      <c r="C887" s="71"/>
      <c r="D887" s="81"/>
      <c r="E887" s="71"/>
      <c r="F887" s="71"/>
      <c r="G887" s="82" t="str">
        <f aca="false">IF(C887="","",IFERROR(INDEX('Kit Lists'!$D$6:$D$605,MATCH(B887&amp;"|"&amp;C887,'Kit Lists'!$J$6:$J$605,0)),"Not on this contract's kit list"))</f>
        <v/>
      </c>
      <c r="H887" s="83" t="str">
        <f aca="false">IF(AND(B887="",C887="",D887=""),"",IF(B887="","Missing contract",IF(C887="","Missing code",IF(LEFT(G887,3)="Not","Wrong code",IF(D887="","Missing qty",IF(A887="","Missing date",""))))))</f>
        <v/>
      </c>
      <c r="I887" s="84" t="str">
        <f aca="false">IF(B887=Dashboard!$D$3,ROW(),"")</f>
        <v/>
      </c>
    </row>
    <row r="888" customFormat="false" ht="15" hidden="false" customHeight="false" outlineLevel="0" collapsed="false">
      <c r="A888" s="80"/>
      <c r="B888" s="71"/>
      <c r="C888" s="71"/>
      <c r="D888" s="81"/>
      <c r="E888" s="71"/>
      <c r="F888" s="71"/>
      <c r="G888" s="82" t="str">
        <f aca="false">IF(C888="","",IFERROR(INDEX('Kit Lists'!$D$6:$D$605,MATCH(B888&amp;"|"&amp;C888,'Kit Lists'!$J$6:$J$605,0)),"Not on this contract's kit list"))</f>
        <v/>
      </c>
      <c r="H888" s="83" t="str">
        <f aca="false">IF(AND(B888="",C888="",D888=""),"",IF(B888="","Missing contract",IF(C888="","Missing code",IF(LEFT(G888,3)="Not","Wrong code",IF(D888="","Missing qty",IF(A888="","Missing date",""))))))</f>
        <v/>
      </c>
      <c r="I888" s="84" t="str">
        <f aca="false">IF(B888=Dashboard!$D$3,ROW(),"")</f>
        <v/>
      </c>
    </row>
    <row r="889" customFormat="false" ht="15" hidden="false" customHeight="false" outlineLevel="0" collapsed="false">
      <c r="A889" s="80"/>
      <c r="B889" s="71"/>
      <c r="C889" s="71"/>
      <c r="D889" s="81"/>
      <c r="E889" s="71"/>
      <c r="F889" s="71"/>
      <c r="G889" s="82" t="str">
        <f aca="false">IF(C889="","",IFERROR(INDEX('Kit Lists'!$D$6:$D$605,MATCH(B889&amp;"|"&amp;C889,'Kit Lists'!$J$6:$J$605,0)),"Not on this contract's kit list"))</f>
        <v/>
      </c>
      <c r="H889" s="83" t="str">
        <f aca="false">IF(AND(B889="",C889="",D889=""),"",IF(B889="","Missing contract",IF(C889="","Missing code",IF(LEFT(G889,3)="Not","Wrong code",IF(D889="","Missing qty",IF(A889="","Missing date",""))))))</f>
        <v/>
      </c>
      <c r="I889" s="84" t="str">
        <f aca="false">IF(B889=Dashboard!$D$3,ROW(),"")</f>
        <v/>
      </c>
    </row>
    <row r="890" customFormat="false" ht="15" hidden="false" customHeight="false" outlineLevel="0" collapsed="false">
      <c r="A890" s="80"/>
      <c r="B890" s="71"/>
      <c r="C890" s="71"/>
      <c r="D890" s="81"/>
      <c r="E890" s="71"/>
      <c r="F890" s="71"/>
      <c r="G890" s="82" t="str">
        <f aca="false">IF(C890="","",IFERROR(INDEX('Kit Lists'!$D$6:$D$605,MATCH(B890&amp;"|"&amp;C890,'Kit Lists'!$J$6:$J$605,0)),"Not on this contract's kit list"))</f>
        <v/>
      </c>
      <c r="H890" s="83" t="str">
        <f aca="false">IF(AND(B890="",C890="",D890=""),"",IF(B890="","Missing contract",IF(C890="","Missing code",IF(LEFT(G890,3)="Not","Wrong code",IF(D890="","Missing qty",IF(A890="","Missing date",""))))))</f>
        <v/>
      </c>
      <c r="I890" s="84" t="str">
        <f aca="false">IF(B890=Dashboard!$D$3,ROW(),"")</f>
        <v/>
      </c>
    </row>
    <row r="891" customFormat="false" ht="15" hidden="false" customHeight="false" outlineLevel="0" collapsed="false">
      <c r="A891" s="80"/>
      <c r="B891" s="71"/>
      <c r="C891" s="71"/>
      <c r="D891" s="81"/>
      <c r="E891" s="71"/>
      <c r="F891" s="71"/>
      <c r="G891" s="82" t="str">
        <f aca="false">IF(C891="","",IFERROR(INDEX('Kit Lists'!$D$6:$D$605,MATCH(B891&amp;"|"&amp;C891,'Kit Lists'!$J$6:$J$605,0)),"Not on this contract's kit list"))</f>
        <v/>
      </c>
      <c r="H891" s="83" t="str">
        <f aca="false">IF(AND(B891="",C891="",D891=""),"",IF(B891="","Missing contract",IF(C891="","Missing code",IF(LEFT(G891,3)="Not","Wrong code",IF(D891="","Missing qty",IF(A891="","Missing date",""))))))</f>
        <v/>
      </c>
      <c r="I891" s="84" t="str">
        <f aca="false">IF(B891=Dashboard!$D$3,ROW(),"")</f>
        <v/>
      </c>
    </row>
    <row r="892" customFormat="false" ht="15" hidden="false" customHeight="false" outlineLevel="0" collapsed="false">
      <c r="A892" s="80"/>
      <c r="B892" s="71"/>
      <c r="C892" s="71"/>
      <c r="D892" s="81"/>
      <c r="E892" s="71"/>
      <c r="F892" s="71"/>
      <c r="G892" s="82" t="str">
        <f aca="false">IF(C892="","",IFERROR(INDEX('Kit Lists'!$D$6:$D$605,MATCH(B892&amp;"|"&amp;C892,'Kit Lists'!$J$6:$J$605,0)),"Not on this contract's kit list"))</f>
        <v/>
      </c>
      <c r="H892" s="83" t="str">
        <f aca="false">IF(AND(B892="",C892="",D892=""),"",IF(B892="","Missing contract",IF(C892="","Missing code",IF(LEFT(G892,3)="Not","Wrong code",IF(D892="","Missing qty",IF(A892="","Missing date",""))))))</f>
        <v/>
      </c>
      <c r="I892" s="84" t="str">
        <f aca="false">IF(B892=Dashboard!$D$3,ROW(),"")</f>
        <v/>
      </c>
    </row>
    <row r="893" customFormat="false" ht="15" hidden="false" customHeight="false" outlineLevel="0" collapsed="false">
      <c r="A893" s="80"/>
      <c r="B893" s="71"/>
      <c r="C893" s="71"/>
      <c r="D893" s="81"/>
      <c r="E893" s="71"/>
      <c r="F893" s="71"/>
      <c r="G893" s="82" t="str">
        <f aca="false">IF(C893="","",IFERROR(INDEX('Kit Lists'!$D$6:$D$605,MATCH(B893&amp;"|"&amp;C893,'Kit Lists'!$J$6:$J$605,0)),"Not on this contract's kit list"))</f>
        <v/>
      </c>
      <c r="H893" s="83" t="str">
        <f aca="false">IF(AND(B893="",C893="",D893=""),"",IF(B893="","Missing contract",IF(C893="","Missing code",IF(LEFT(G893,3)="Not","Wrong code",IF(D893="","Missing qty",IF(A893="","Missing date",""))))))</f>
        <v/>
      </c>
      <c r="I893" s="84" t="str">
        <f aca="false">IF(B893=Dashboard!$D$3,ROW(),"")</f>
        <v/>
      </c>
    </row>
    <row r="894" customFormat="false" ht="15" hidden="false" customHeight="false" outlineLevel="0" collapsed="false">
      <c r="A894" s="80"/>
      <c r="B894" s="71"/>
      <c r="C894" s="71"/>
      <c r="D894" s="81"/>
      <c r="E894" s="71"/>
      <c r="F894" s="71"/>
      <c r="G894" s="82" t="str">
        <f aca="false">IF(C894="","",IFERROR(INDEX('Kit Lists'!$D$6:$D$605,MATCH(B894&amp;"|"&amp;C894,'Kit Lists'!$J$6:$J$605,0)),"Not on this contract's kit list"))</f>
        <v/>
      </c>
      <c r="H894" s="83" t="str">
        <f aca="false">IF(AND(B894="",C894="",D894=""),"",IF(B894="","Missing contract",IF(C894="","Missing code",IF(LEFT(G894,3)="Not","Wrong code",IF(D894="","Missing qty",IF(A894="","Missing date",""))))))</f>
        <v/>
      </c>
      <c r="I894" s="84" t="str">
        <f aca="false">IF(B894=Dashboard!$D$3,ROW(),"")</f>
        <v/>
      </c>
    </row>
    <row r="895" customFormat="false" ht="15" hidden="false" customHeight="false" outlineLevel="0" collapsed="false">
      <c r="A895" s="80"/>
      <c r="B895" s="71"/>
      <c r="C895" s="71"/>
      <c r="D895" s="81"/>
      <c r="E895" s="71"/>
      <c r="F895" s="71"/>
      <c r="G895" s="82" t="str">
        <f aca="false">IF(C895="","",IFERROR(INDEX('Kit Lists'!$D$6:$D$605,MATCH(B895&amp;"|"&amp;C895,'Kit Lists'!$J$6:$J$605,0)),"Not on this contract's kit list"))</f>
        <v/>
      </c>
      <c r="H895" s="83" t="str">
        <f aca="false">IF(AND(B895="",C895="",D895=""),"",IF(B895="","Missing contract",IF(C895="","Missing code",IF(LEFT(G895,3)="Not","Wrong code",IF(D895="","Missing qty",IF(A895="","Missing date",""))))))</f>
        <v/>
      </c>
      <c r="I895" s="84" t="str">
        <f aca="false">IF(B895=Dashboard!$D$3,ROW(),"")</f>
        <v/>
      </c>
    </row>
    <row r="896" customFormat="false" ht="15" hidden="false" customHeight="false" outlineLevel="0" collapsed="false">
      <c r="A896" s="80"/>
      <c r="B896" s="71"/>
      <c r="C896" s="71"/>
      <c r="D896" s="81"/>
      <c r="E896" s="71"/>
      <c r="F896" s="71"/>
      <c r="G896" s="82" t="str">
        <f aca="false">IF(C896="","",IFERROR(INDEX('Kit Lists'!$D$6:$D$605,MATCH(B896&amp;"|"&amp;C896,'Kit Lists'!$J$6:$J$605,0)),"Not on this contract's kit list"))</f>
        <v/>
      </c>
      <c r="H896" s="83" t="str">
        <f aca="false">IF(AND(B896="",C896="",D896=""),"",IF(B896="","Missing contract",IF(C896="","Missing code",IF(LEFT(G896,3)="Not","Wrong code",IF(D896="","Missing qty",IF(A896="","Missing date",""))))))</f>
        <v/>
      </c>
      <c r="I896" s="84" t="str">
        <f aca="false">IF(B896=Dashboard!$D$3,ROW(),"")</f>
        <v/>
      </c>
    </row>
    <row r="897" customFormat="false" ht="15" hidden="false" customHeight="false" outlineLevel="0" collapsed="false">
      <c r="A897" s="80"/>
      <c r="B897" s="71"/>
      <c r="C897" s="71"/>
      <c r="D897" s="81"/>
      <c r="E897" s="71"/>
      <c r="F897" s="71"/>
      <c r="G897" s="82" t="str">
        <f aca="false">IF(C897="","",IFERROR(INDEX('Kit Lists'!$D$6:$D$605,MATCH(B897&amp;"|"&amp;C897,'Kit Lists'!$J$6:$J$605,0)),"Not on this contract's kit list"))</f>
        <v/>
      </c>
      <c r="H897" s="83" t="str">
        <f aca="false">IF(AND(B897="",C897="",D897=""),"",IF(B897="","Missing contract",IF(C897="","Missing code",IF(LEFT(G897,3)="Not","Wrong code",IF(D897="","Missing qty",IF(A897="","Missing date",""))))))</f>
        <v/>
      </c>
      <c r="I897" s="84" t="str">
        <f aca="false">IF(B897=Dashboard!$D$3,ROW(),"")</f>
        <v/>
      </c>
    </row>
    <row r="898" customFormat="false" ht="15" hidden="false" customHeight="false" outlineLevel="0" collapsed="false">
      <c r="A898" s="80"/>
      <c r="B898" s="71"/>
      <c r="C898" s="71"/>
      <c r="D898" s="81"/>
      <c r="E898" s="71"/>
      <c r="F898" s="71"/>
      <c r="G898" s="82" t="str">
        <f aca="false">IF(C898="","",IFERROR(INDEX('Kit Lists'!$D$6:$D$605,MATCH(B898&amp;"|"&amp;C898,'Kit Lists'!$J$6:$J$605,0)),"Not on this contract's kit list"))</f>
        <v/>
      </c>
      <c r="H898" s="83" t="str">
        <f aca="false">IF(AND(B898="",C898="",D898=""),"",IF(B898="","Missing contract",IF(C898="","Missing code",IF(LEFT(G898,3)="Not","Wrong code",IF(D898="","Missing qty",IF(A898="","Missing date",""))))))</f>
        <v/>
      </c>
      <c r="I898" s="84" t="str">
        <f aca="false">IF(B898=Dashboard!$D$3,ROW(),"")</f>
        <v/>
      </c>
    </row>
    <row r="899" customFormat="false" ht="15" hidden="false" customHeight="false" outlineLevel="0" collapsed="false">
      <c r="A899" s="80"/>
      <c r="B899" s="71"/>
      <c r="C899" s="71"/>
      <c r="D899" s="81"/>
      <c r="E899" s="71"/>
      <c r="F899" s="71"/>
      <c r="G899" s="82" t="str">
        <f aca="false">IF(C899="","",IFERROR(INDEX('Kit Lists'!$D$6:$D$605,MATCH(B899&amp;"|"&amp;C899,'Kit Lists'!$J$6:$J$605,0)),"Not on this contract's kit list"))</f>
        <v/>
      </c>
      <c r="H899" s="83" t="str">
        <f aca="false">IF(AND(B899="",C899="",D899=""),"",IF(B899="","Missing contract",IF(C899="","Missing code",IF(LEFT(G899,3)="Not","Wrong code",IF(D899="","Missing qty",IF(A899="","Missing date",""))))))</f>
        <v/>
      </c>
      <c r="I899" s="84" t="str">
        <f aca="false">IF(B899=Dashboard!$D$3,ROW(),"")</f>
        <v/>
      </c>
    </row>
    <row r="900" customFormat="false" ht="15" hidden="false" customHeight="false" outlineLevel="0" collapsed="false">
      <c r="A900" s="80"/>
      <c r="B900" s="71"/>
      <c r="C900" s="71"/>
      <c r="D900" s="81"/>
      <c r="E900" s="71"/>
      <c r="F900" s="71"/>
      <c r="G900" s="82" t="str">
        <f aca="false">IF(C900="","",IFERROR(INDEX('Kit Lists'!$D$6:$D$605,MATCH(B900&amp;"|"&amp;C900,'Kit Lists'!$J$6:$J$605,0)),"Not on this contract's kit list"))</f>
        <v/>
      </c>
      <c r="H900" s="83" t="str">
        <f aca="false">IF(AND(B900="",C900="",D900=""),"",IF(B900="","Missing contract",IF(C900="","Missing code",IF(LEFT(G900,3)="Not","Wrong code",IF(D900="","Missing qty",IF(A900="","Missing date",""))))))</f>
        <v/>
      </c>
      <c r="I900" s="84" t="str">
        <f aca="false">IF(B900=Dashboard!$D$3,ROW(),"")</f>
        <v/>
      </c>
    </row>
    <row r="901" customFormat="false" ht="15" hidden="false" customHeight="false" outlineLevel="0" collapsed="false">
      <c r="A901" s="80"/>
      <c r="B901" s="71"/>
      <c r="C901" s="71"/>
      <c r="D901" s="81"/>
      <c r="E901" s="71"/>
      <c r="F901" s="71"/>
      <c r="G901" s="82" t="str">
        <f aca="false">IF(C901="","",IFERROR(INDEX('Kit Lists'!$D$6:$D$605,MATCH(B901&amp;"|"&amp;C901,'Kit Lists'!$J$6:$J$605,0)),"Not on this contract's kit list"))</f>
        <v/>
      </c>
      <c r="H901" s="83" t="str">
        <f aca="false">IF(AND(B901="",C901="",D901=""),"",IF(B901="","Missing contract",IF(C901="","Missing code",IF(LEFT(G901,3)="Not","Wrong code",IF(D901="","Missing qty",IF(A901="","Missing date",""))))))</f>
        <v/>
      </c>
      <c r="I901" s="84" t="str">
        <f aca="false">IF(B901=Dashboard!$D$3,ROW(),"")</f>
        <v/>
      </c>
    </row>
    <row r="902" customFormat="false" ht="15" hidden="false" customHeight="false" outlineLevel="0" collapsed="false">
      <c r="A902" s="80"/>
      <c r="B902" s="71"/>
      <c r="C902" s="71"/>
      <c r="D902" s="81"/>
      <c r="E902" s="71"/>
      <c r="F902" s="71"/>
      <c r="G902" s="82" t="str">
        <f aca="false">IF(C902="","",IFERROR(INDEX('Kit Lists'!$D$6:$D$605,MATCH(B902&amp;"|"&amp;C902,'Kit Lists'!$J$6:$J$605,0)),"Not on this contract's kit list"))</f>
        <v/>
      </c>
      <c r="H902" s="83" t="str">
        <f aca="false">IF(AND(B902="",C902="",D902=""),"",IF(B902="","Missing contract",IF(C902="","Missing code",IF(LEFT(G902,3)="Not","Wrong code",IF(D902="","Missing qty",IF(A902="","Missing date",""))))))</f>
        <v/>
      </c>
      <c r="I902" s="84" t="str">
        <f aca="false">IF(B902=Dashboard!$D$3,ROW(),"")</f>
        <v/>
      </c>
    </row>
    <row r="903" customFormat="false" ht="15" hidden="false" customHeight="false" outlineLevel="0" collapsed="false">
      <c r="A903" s="80"/>
      <c r="B903" s="71"/>
      <c r="C903" s="71"/>
      <c r="D903" s="81"/>
      <c r="E903" s="71"/>
      <c r="F903" s="71"/>
      <c r="G903" s="82" t="str">
        <f aca="false">IF(C903="","",IFERROR(INDEX('Kit Lists'!$D$6:$D$605,MATCH(B903&amp;"|"&amp;C903,'Kit Lists'!$J$6:$J$605,0)),"Not on this contract's kit list"))</f>
        <v/>
      </c>
      <c r="H903" s="83" t="str">
        <f aca="false">IF(AND(B903="",C903="",D903=""),"",IF(B903="","Missing contract",IF(C903="","Missing code",IF(LEFT(G903,3)="Not","Wrong code",IF(D903="","Missing qty",IF(A903="","Missing date",""))))))</f>
        <v/>
      </c>
      <c r="I903" s="84" t="str">
        <f aca="false">IF(B903=Dashboard!$D$3,ROW(),"")</f>
        <v/>
      </c>
    </row>
    <row r="904" customFormat="false" ht="15" hidden="false" customHeight="false" outlineLevel="0" collapsed="false">
      <c r="A904" s="80"/>
      <c r="B904" s="71"/>
      <c r="C904" s="71"/>
      <c r="D904" s="81"/>
      <c r="E904" s="71"/>
      <c r="F904" s="71"/>
      <c r="G904" s="82" t="str">
        <f aca="false">IF(C904="","",IFERROR(INDEX('Kit Lists'!$D$6:$D$605,MATCH(B904&amp;"|"&amp;C904,'Kit Lists'!$J$6:$J$605,0)),"Not on this contract's kit list"))</f>
        <v/>
      </c>
      <c r="H904" s="83" t="str">
        <f aca="false">IF(AND(B904="",C904="",D904=""),"",IF(B904="","Missing contract",IF(C904="","Missing code",IF(LEFT(G904,3)="Not","Wrong code",IF(D904="","Missing qty",IF(A904="","Missing date",""))))))</f>
        <v/>
      </c>
      <c r="I904" s="84" t="str">
        <f aca="false">IF(B904=Dashboard!$D$3,ROW(),"")</f>
        <v/>
      </c>
    </row>
    <row r="905" customFormat="false" ht="15" hidden="false" customHeight="false" outlineLevel="0" collapsed="false">
      <c r="A905" s="80"/>
      <c r="B905" s="71"/>
      <c r="C905" s="71"/>
      <c r="D905" s="81"/>
      <c r="E905" s="71"/>
      <c r="F905" s="71"/>
      <c r="G905" s="82" t="str">
        <f aca="false">IF(C905="","",IFERROR(INDEX('Kit Lists'!$D$6:$D$605,MATCH(B905&amp;"|"&amp;C905,'Kit Lists'!$J$6:$J$605,0)),"Not on this contract's kit list"))</f>
        <v/>
      </c>
      <c r="H905" s="83" t="str">
        <f aca="false">IF(AND(B905="",C905="",D905=""),"",IF(B905="","Missing contract",IF(C905="","Missing code",IF(LEFT(G905,3)="Not","Wrong code",IF(D905="","Missing qty",IF(A905="","Missing date",""))))))</f>
        <v/>
      </c>
      <c r="I905" s="84" t="str">
        <f aca="false">IF(B905=Dashboard!$D$3,ROW(),"")</f>
        <v/>
      </c>
    </row>
    <row r="906" customFormat="false" ht="15" hidden="false" customHeight="false" outlineLevel="0" collapsed="false">
      <c r="A906" s="80"/>
      <c r="B906" s="71"/>
      <c r="C906" s="71"/>
      <c r="D906" s="81"/>
      <c r="E906" s="71"/>
      <c r="F906" s="71"/>
      <c r="G906" s="82" t="str">
        <f aca="false">IF(C906="","",IFERROR(INDEX('Kit Lists'!$D$6:$D$605,MATCH(B906&amp;"|"&amp;C906,'Kit Lists'!$J$6:$J$605,0)),"Not on this contract's kit list"))</f>
        <v/>
      </c>
      <c r="H906" s="83" t="str">
        <f aca="false">IF(AND(B906="",C906="",D906=""),"",IF(B906="","Missing contract",IF(C906="","Missing code",IF(LEFT(G906,3)="Not","Wrong code",IF(D906="","Missing qty",IF(A906="","Missing date",""))))))</f>
        <v/>
      </c>
      <c r="I906" s="84" t="str">
        <f aca="false">IF(B906=Dashboard!$D$3,ROW(),"")</f>
        <v/>
      </c>
    </row>
    <row r="907" customFormat="false" ht="15" hidden="false" customHeight="false" outlineLevel="0" collapsed="false">
      <c r="A907" s="80"/>
      <c r="B907" s="71"/>
      <c r="C907" s="71"/>
      <c r="D907" s="81"/>
      <c r="E907" s="71"/>
      <c r="F907" s="71"/>
      <c r="G907" s="82" t="str">
        <f aca="false">IF(C907="","",IFERROR(INDEX('Kit Lists'!$D$6:$D$605,MATCH(B907&amp;"|"&amp;C907,'Kit Lists'!$J$6:$J$605,0)),"Not on this contract's kit list"))</f>
        <v/>
      </c>
      <c r="H907" s="83" t="str">
        <f aca="false">IF(AND(B907="",C907="",D907=""),"",IF(B907="","Missing contract",IF(C907="","Missing code",IF(LEFT(G907,3)="Not","Wrong code",IF(D907="","Missing qty",IF(A907="","Missing date",""))))))</f>
        <v/>
      </c>
      <c r="I907" s="84" t="str">
        <f aca="false">IF(B907=Dashboard!$D$3,ROW(),"")</f>
        <v/>
      </c>
    </row>
    <row r="908" customFormat="false" ht="15" hidden="false" customHeight="false" outlineLevel="0" collapsed="false">
      <c r="A908" s="80"/>
      <c r="B908" s="71"/>
      <c r="C908" s="71"/>
      <c r="D908" s="81"/>
      <c r="E908" s="71"/>
      <c r="F908" s="71"/>
      <c r="G908" s="82" t="str">
        <f aca="false">IF(C908="","",IFERROR(INDEX('Kit Lists'!$D$6:$D$605,MATCH(B908&amp;"|"&amp;C908,'Kit Lists'!$J$6:$J$605,0)),"Not on this contract's kit list"))</f>
        <v/>
      </c>
      <c r="H908" s="83" t="str">
        <f aca="false">IF(AND(B908="",C908="",D908=""),"",IF(B908="","Missing contract",IF(C908="","Missing code",IF(LEFT(G908,3)="Not","Wrong code",IF(D908="","Missing qty",IF(A908="","Missing date",""))))))</f>
        <v/>
      </c>
      <c r="I908" s="84" t="str">
        <f aca="false">IF(B908=Dashboard!$D$3,ROW(),"")</f>
        <v/>
      </c>
    </row>
    <row r="909" customFormat="false" ht="15" hidden="false" customHeight="false" outlineLevel="0" collapsed="false">
      <c r="A909" s="80"/>
      <c r="B909" s="71"/>
      <c r="C909" s="71"/>
      <c r="D909" s="81"/>
      <c r="E909" s="71"/>
      <c r="F909" s="71"/>
      <c r="G909" s="82" t="str">
        <f aca="false">IF(C909="","",IFERROR(INDEX('Kit Lists'!$D$6:$D$605,MATCH(B909&amp;"|"&amp;C909,'Kit Lists'!$J$6:$J$605,0)),"Not on this contract's kit list"))</f>
        <v/>
      </c>
      <c r="H909" s="83" t="str">
        <f aca="false">IF(AND(B909="",C909="",D909=""),"",IF(B909="","Missing contract",IF(C909="","Missing code",IF(LEFT(G909,3)="Not","Wrong code",IF(D909="","Missing qty",IF(A909="","Missing date",""))))))</f>
        <v/>
      </c>
      <c r="I909" s="84" t="str">
        <f aca="false">IF(B909=Dashboard!$D$3,ROW(),"")</f>
        <v/>
      </c>
    </row>
    <row r="910" customFormat="false" ht="15" hidden="false" customHeight="false" outlineLevel="0" collapsed="false">
      <c r="A910" s="80"/>
      <c r="B910" s="71"/>
      <c r="C910" s="71"/>
      <c r="D910" s="81"/>
      <c r="E910" s="71"/>
      <c r="F910" s="71"/>
      <c r="G910" s="82" t="str">
        <f aca="false">IF(C910="","",IFERROR(INDEX('Kit Lists'!$D$6:$D$605,MATCH(B910&amp;"|"&amp;C910,'Kit Lists'!$J$6:$J$605,0)),"Not on this contract's kit list"))</f>
        <v/>
      </c>
      <c r="H910" s="83" t="str">
        <f aca="false">IF(AND(B910="",C910="",D910=""),"",IF(B910="","Missing contract",IF(C910="","Missing code",IF(LEFT(G910,3)="Not","Wrong code",IF(D910="","Missing qty",IF(A910="","Missing date",""))))))</f>
        <v/>
      </c>
      <c r="I910" s="84" t="str">
        <f aca="false">IF(B910=Dashboard!$D$3,ROW(),"")</f>
        <v/>
      </c>
    </row>
    <row r="911" customFormat="false" ht="15" hidden="false" customHeight="false" outlineLevel="0" collapsed="false">
      <c r="A911" s="80"/>
      <c r="B911" s="71"/>
      <c r="C911" s="71"/>
      <c r="D911" s="81"/>
      <c r="E911" s="71"/>
      <c r="F911" s="71"/>
      <c r="G911" s="82" t="str">
        <f aca="false">IF(C911="","",IFERROR(INDEX('Kit Lists'!$D$6:$D$605,MATCH(B911&amp;"|"&amp;C911,'Kit Lists'!$J$6:$J$605,0)),"Not on this contract's kit list"))</f>
        <v/>
      </c>
      <c r="H911" s="83" t="str">
        <f aca="false">IF(AND(B911="",C911="",D911=""),"",IF(B911="","Missing contract",IF(C911="","Missing code",IF(LEFT(G911,3)="Not","Wrong code",IF(D911="","Missing qty",IF(A911="","Missing date",""))))))</f>
        <v/>
      </c>
      <c r="I911" s="84" t="str">
        <f aca="false">IF(B911=Dashboard!$D$3,ROW(),"")</f>
        <v/>
      </c>
    </row>
    <row r="912" customFormat="false" ht="15" hidden="false" customHeight="false" outlineLevel="0" collapsed="false">
      <c r="A912" s="80"/>
      <c r="B912" s="71"/>
      <c r="C912" s="71"/>
      <c r="D912" s="81"/>
      <c r="E912" s="71"/>
      <c r="F912" s="71"/>
      <c r="G912" s="82" t="str">
        <f aca="false">IF(C912="","",IFERROR(INDEX('Kit Lists'!$D$6:$D$605,MATCH(B912&amp;"|"&amp;C912,'Kit Lists'!$J$6:$J$605,0)),"Not on this contract's kit list"))</f>
        <v/>
      </c>
      <c r="H912" s="83" t="str">
        <f aca="false">IF(AND(B912="",C912="",D912=""),"",IF(B912="","Missing contract",IF(C912="","Missing code",IF(LEFT(G912,3)="Not","Wrong code",IF(D912="","Missing qty",IF(A912="","Missing date",""))))))</f>
        <v/>
      </c>
      <c r="I912" s="84" t="str">
        <f aca="false">IF(B912=Dashboard!$D$3,ROW(),"")</f>
        <v/>
      </c>
    </row>
    <row r="913" customFormat="false" ht="15" hidden="false" customHeight="false" outlineLevel="0" collapsed="false">
      <c r="A913" s="80"/>
      <c r="B913" s="71"/>
      <c r="C913" s="71"/>
      <c r="D913" s="81"/>
      <c r="E913" s="71"/>
      <c r="F913" s="71"/>
      <c r="G913" s="82" t="str">
        <f aca="false">IF(C913="","",IFERROR(INDEX('Kit Lists'!$D$6:$D$605,MATCH(B913&amp;"|"&amp;C913,'Kit Lists'!$J$6:$J$605,0)),"Not on this contract's kit list"))</f>
        <v/>
      </c>
      <c r="H913" s="83" t="str">
        <f aca="false">IF(AND(B913="",C913="",D913=""),"",IF(B913="","Missing contract",IF(C913="","Missing code",IF(LEFT(G913,3)="Not","Wrong code",IF(D913="","Missing qty",IF(A913="","Missing date",""))))))</f>
        <v/>
      </c>
      <c r="I913" s="84" t="str">
        <f aca="false">IF(B913=Dashboard!$D$3,ROW(),"")</f>
        <v/>
      </c>
    </row>
    <row r="914" customFormat="false" ht="15" hidden="false" customHeight="false" outlineLevel="0" collapsed="false">
      <c r="A914" s="80"/>
      <c r="B914" s="71"/>
      <c r="C914" s="71"/>
      <c r="D914" s="81"/>
      <c r="E914" s="71"/>
      <c r="F914" s="71"/>
      <c r="G914" s="82" t="str">
        <f aca="false">IF(C914="","",IFERROR(INDEX('Kit Lists'!$D$6:$D$605,MATCH(B914&amp;"|"&amp;C914,'Kit Lists'!$J$6:$J$605,0)),"Not on this contract's kit list"))</f>
        <v/>
      </c>
      <c r="H914" s="83" t="str">
        <f aca="false">IF(AND(B914="",C914="",D914=""),"",IF(B914="","Missing contract",IF(C914="","Missing code",IF(LEFT(G914,3)="Not","Wrong code",IF(D914="","Missing qty",IF(A914="","Missing date",""))))))</f>
        <v/>
      </c>
      <c r="I914" s="84" t="str">
        <f aca="false">IF(B914=Dashboard!$D$3,ROW(),"")</f>
        <v/>
      </c>
    </row>
    <row r="915" customFormat="false" ht="15" hidden="false" customHeight="false" outlineLevel="0" collapsed="false">
      <c r="A915" s="80"/>
      <c r="B915" s="71"/>
      <c r="C915" s="71"/>
      <c r="D915" s="81"/>
      <c r="E915" s="71"/>
      <c r="F915" s="71"/>
      <c r="G915" s="82" t="str">
        <f aca="false">IF(C915="","",IFERROR(INDEX('Kit Lists'!$D$6:$D$605,MATCH(B915&amp;"|"&amp;C915,'Kit Lists'!$J$6:$J$605,0)),"Not on this contract's kit list"))</f>
        <v/>
      </c>
      <c r="H915" s="83" t="str">
        <f aca="false">IF(AND(B915="",C915="",D915=""),"",IF(B915="","Missing contract",IF(C915="","Missing code",IF(LEFT(G915,3)="Not","Wrong code",IF(D915="","Missing qty",IF(A915="","Missing date",""))))))</f>
        <v/>
      </c>
      <c r="I915" s="84" t="str">
        <f aca="false">IF(B915=Dashboard!$D$3,ROW(),"")</f>
        <v/>
      </c>
    </row>
    <row r="916" customFormat="false" ht="15" hidden="false" customHeight="false" outlineLevel="0" collapsed="false">
      <c r="A916" s="80"/>
      <c r="B916" s="71"/>
      <c r="C916" s="71"/>
      <c r="D916" s="81"/>
      <c r="E916" s="71"/>
      <c r="F916" s="71"/>
      <c r="G916" s="82" t="str">
        <f aca="false">IF(C916="","",IFERROR(INDEX('Kit Lists'!$D$6:$D$605,MATCH(B916&amp;"|"&amp;C916,'Kit Lists'!$J$6:$J$605,0)),"Not on this contract's kit list"))</f>
        <v/>
      </c>
      <c r="H916" s="83" t="str">
        <f aca="false">IF(AND(B916="",C916="",D916=""),"",IF(B916="","Missing contract",IF(C916="","Missing code",IF(LEFT(G916,3)="Not","Wrong code",IF(D916="","Missing qty",IF(A916="","Missing date",""))))))</f>
        <v/>
      </c>
      <c r="I916" s="84" t="str">
        <f aca="false">IF(B916=Dashboard!$D$3,ROW(),"")</f>
        <v/>
      </c>
    </row>
    <row r="917" customFormat="false" ht="15" hidden="false" customHeight="false" outlineLevel="0" collapsed="false">
      <c r="A917" s="80"/>
      <c r="B917" s="71"/>
      <c r="C917" s="71"/>
      <c r="D917" s="81"/>
      <c r="E917" s="71"/>
      <c r="F917" s="71"/>
      <c r="G917" s="82" t="str">
        <f aca="false">IF(C917="","",IFERROR(INDEX('Kit Lists'!$D$6:$D$605,MATCH(B917&amp;"|"&amp;C917,'Kit Lists'!$J$6:$J$605,0)),"Not on this contract's kit list"))</f>
        <v/>
      </c>
      <c r="H917" s="83" t="str">
        <f aca="false">IF(AND(B917="",C917="",D917=""),"",IF(B917="","Missing contract",IF(C917="","Missing code",IF(LEFT(G917,3)="Not","Wrong code",IF(D917="","Missing qty",IF(A917="","Missing date",""))))))</f>
        <v/>
      </c>
      <c r="I917" s="84" t="str">
        <f aca="false">IF(B917=Dashboard!$D$3,ROW(),"")</f>
        <v/>
      </c>
    </row>
    <row r="918" customFormat="false" ht="15" hidden="false" customHeight="false" outlineLevel="0" collapsed="false">
      <c r="A918" s="80"/>
      <c r="B918" s="71"/>
      <c r="C918" s="71"/>
      <c r="D918" s="81"/>
      <c r="E918" s="71"/>
      <c r="F918" s="71"/>
      <c r="G918" s="82" t="str">
        <f aca="false">IF(C918="","",IFERROR(INDEX('Kit Lists'!$D$6:$D$605,MATCH(B918&amp;"|"&amp;C918,'Kit Lists'!$J$6:$J$605,0)),"Not on this contract's kit list"))</f>
        <v/>
      </c>
      <c r="H918" s="83" t="str">
        <f aca="false">IF(AND(B918="",C918="",D918=""),"",IF(B918="","Missing contract",IF(C918="","Missing code",IF(LEFT(G918,3)="Not","Wrong code",IF(D918="","Missing qty",IF(A918="","Missing date",""))))))</f>
        <v/>
      </c>
      <c r="I918" s="84" t="str">
        <f aca="false">IF(B918=Dashboard!$D$3,ROW(),"")</f>
        <v/>
      </c>
    </row>
    <row r="919" customFormat="false" ht="15" hidden="false" customHeight="false" outlineLevel="0" collapsed="false">
      <c r="A919" s="80"/>
      <c r="B919" s="71"/>
      <c r="C919" s="71"/>
      <c r="D919" s="81"/>
      <c r="E919" s="71"/>
      <c r="F919" s="71"/>
      <c r="G919" s="82" t="str">
        <f aca="false">IF(C919="","",IFERROR(INDEX('Kit Lists'!$D$6:$D$605,MATCH(B919&amp;"|"&amp;C919,'Kit Lists'!$J$6:$J$605,0)),"Not on this contract's kit list"))</f>
        <v/>
      </c>
      <c r="H919" s="83" t="str">
        <f aca="false">IF(AND(B919="",C919="",D919=""),"",IF(B919="","Missing contract",IF(C919="","Missing code",IF(LEFT(G919,3)="Not","Wrong code",IF(D919="","Missing qty",IF(A919="","Missing date",""))))))</f>
        <v/>
      </c>
      <c r="I919" s="84" t="str">
        <f aca="false">IF(B919=Dashboard!$D$3,ROW(),"")</f>
        <v/>
      </c>
    </row>
    <row r="920" customFormat="false" ht="15" hidden="false" customHeight="false" outlineLevel="0" collapsed="false">
      <c r="A920" s="80"/>
      <c r="B920" s="71"/>
      <c r="C920" s="71"/>
      <c r="D920" s="81"/>
      <c r="E920" s="71"/>
      <c r="F920" s="71"/>
      <c r="G920" s="82" t="str">
        <f aca="false">IF(C920="","",IFERROR(INDEX('Kit Lists'!$D$6:$D$605,MATCH(B920&amp;"|"&amp;C920,'Kit Lists'!$J$6:$J$605,0)),"Not on this contract's kit list"))</f>
        <v/>
      </c>
      <c r="H920" s="83" t="str">
        <f aca="false">IF(AND(B920="",C920="",D920=""),"",IF(B920="","Missing contract",IF(C920="","Missing code",IF(LEFT(G920,3)="Not","Wrong code",IF(D920="","Missing qty",IF(A920="","Missing date",""))))))</f>
        <v/>
      </c>
      <c r="I920" s="84" t="str">
        <f aca="false">IF(B920=Dashboard!$D$3,ROW(),"")</f>
        <v/>
      </c>
    </row>
    <row r="921" customFormat="false" ht="15" hidden="false" customHeight="false" outlineLevel="0" collapsed="false">
      <c r="A921" s="80"/>
      <c r="B921" s="71"/>
      <c r="C921" s="71"/>
      <c r="D921" s="81"/>
      <c r="E921" s="71"/>
      <c r="F921" s="71"/>
      <c r="G921" s="82" t="str">
        <f aca="false">IF(C921="","",IFERROR(INDEX('Kit Lists'!$D$6:$D$605,MATCH(B921&amp;"|"&amp;C921,'Kit Lists'!$J$6:$J$605,0)),"Not on this contract's kit list"))</f>
        <v/>
      </c>
      <c r="H921" s="83" t="str">
        <f aca="false">IF(AND(B921="",C921="",D921=""),"",IF(B921="","Missing contract",IF(C921="","Missing code",IF(LEFT(G921,3)="Not","Wrong code",IF(D921="","Missing qty",IF(A921="","Missing date",""))))))</f>
        <v/>
      </c>
      <c r="I921" s="84" t="str">
        <f aca="false">IF(B921=Dashboard!$D$3,ROW(),"")</f>
        <v/>
      </c>
    </row>
    <row r="922" customFormat="false" ht="15" hidden="false" customHeight="false" outlineLevel="0" collapsed="false">
      <c r="A922" s="80"/>
      <c r="B922" s="71"/>
      <c r="C922" s="71"/>
      <c r="D922" s="81"/>
      <c r="E922" s="71"/>
      <c r="F922" s="71"/>
      <c r="G922" s="82" t="str">
        <f aca="false">IF(C922="","",IFERROR(INDEX('Kit Lists'!$D$6:$D$605,MATCH(B922&amp;"|"&amp;C922,'Kit Lists'!$J$6:$J$605,0)),"Not on this contract's kit list"))</f>
        <v/>
      </c>
      <c r="H922" s="83" t="str">
        <f aca="false">IF(AND(B922="",C922="",D922=""),"",IF(B922="","Missing contract",IF(C922="","Missing code",IF(LEFT(G922,3)="Not","Wrong code",IF(D922="","Missing qty",IF(A922="","Missing date",""))))))</f>
        <v/>
      </c>
      <c r="I922" s="84" t="str">
        <f aca="false">IF(B922=Dashboard!$D$3,ROW(),"")</f>
        <v/>
      </c>
    </row>
    <row r="923" customFormat="false" ht="15" hidden="false" customHeight="false" outlineLevel="0" collapsed="false">
      <c r="A923" s="80"/>
      <c r="B923" s="71"/>
      <c r="C923" s="71"/>
      <c r="D923" s="81"/>
      <c r="E923" s="71"/>
      <c r="F923" s="71"/>
      <c r="G923" s="82" t="str">
        <f aca="false">IF(C923="","",IFERROR(INDEX('Kit Lists'!$D$6:$D$605,MATCH(B923&amp;"|"&amp;C923,'Kit Lists'!$J$6:$J$605,0)),"Not on this contract's kit list"))</f>
        <v/>
      </c>
      <c r="H923" s="83" t="str">
        <f aca="false">IF(AND(B923="",C923="",D923=""),"",IF(B923="","Missing contract",IF(C923="","Missing code",IF(LEFT(G923,3)="Not","Wrong code",IF(D923="","Missing qty",IF(A923="","Missing date",""))))))</f>
        <v/>
      </c>
      <c r="I923" s="84" t="str">
        <f aca="false">IF(B923=Dashboard!$D$3,ROW(),"")</f>
        <v/>
      </c>
    </row>
    <row r="924" customFormat="false" ht="15" hidden="false" customHeight="false" outlineLevel="0" collapsed="false">
      <c r="A924" s="80"/>
      <c r="B924" s="71"/>
      <c r="C924" s="71"/>
      <c r="D924" s="81"/>
      <c r="E924" s="71"/>
      <c r="F924" s="71"/>
      <c r="G924" s="82" t="str">
        <f aca="false">IF(C924="","",IFERROR(INDEX('Kit Lists'!$D$6:$D$605,MATCH(B924&amp;"|"&amp;C924,'Kit Lists'!$J$6:$J$605,0)),"Not on this contract's kit list"))</f>
        <v/>
      </c>
      <c r="H924" s="83" t="str">
        <f aca="false">IF(AND(B924="",C924="",D924=""),"",IF(B924="","Missing contract",IF(C924="","Missing code",IF(LEFT(G924,3)="Not","Wrong code",IF(D924="","Missing qty",IF(A924="","Missing date",""))))))</f>
        <v/>
      </c>
      <c r="I924" s="84" t="str">
        <f aca="false">IF(B924=Dashboard!$D$3,ROW(),"")</f>
        <v/>
      </c>
    </row>
    <row r="925" customFormat="false" ht="15" hidden="false" customHeight="false" outlineLevel="0" collapsed="false">
      <c r="A925" s="80"/>
      <c r="B925" s="71"/>
      <c r="C925" s="71"/>
      <c r="D925" s="81"/>
      <c r="E925" s="71"/>
      <c r="F925" s="71"/>
      <c r="G925" s="82" t="str">
        <f aca="false">IF(C925="","",IFERROR(INDEX('Kit Lists'!$D$6:$D$605,MATCH(B925&amp;"|"&amp;C925,'Kit Lists'!$J$6:$J$605,0)),"Not on this contract's kit list"))</f>
        <v/>
      </c>
      <c r="H925" s="83" t="str">
        <f aca="false">IF(AND(B925="",C925="",D925=""),"",IF(B925="","Missing contract",IF(C925="","Missing code",IF(LEFT(G925,3)="Not","Wrong code",IF(D925="","Missing qty",IF(A925="","Missing date",""))))))</f>
        <v/>
      </c>
      <c r="I925" s="84" t="str">
        <f aca="false">IF(B925=Dashboard!$D$3,ROW(),"")</f>
        <v/>
      </c>
    </row>
    <row r="926" customFormat="false" ht="15" hidden="false" customHeight="false" outlineLevel="0" collapsed="false">
      <c r="A926" s="80"/>
      <c r="B926" s="71"/>
      <c r="C926" s="71"/>
      <c r="D926" s="81"/>
      <c r="E926" s="71"/>
      <c r="F926" s="71"/>
      <c r="G926" s="82" t="str">
        <f aca="false">IF(C926="","",IFERROR(INDEX('Kit Lists'!$D$6:$D$605,MATCH(B926&amp;"|"&amp;C926,'Kit Lists'!$J$6:$J$605,0)),"Not on this contract's kit list"))</f>
        <v/>
      </c>
      <c r="H926" s="83" t="str">
        <f aca="false">IF(AND(B926="",C926="",D926=""),"",IF(B926="","Missing contract",IF(C926="","Missing code",IF(LEFT(G926,3)="Not","Wrong code",IF(D926="","Missing qty",IF(A926="","Missing date",""))))))</f>
        <v/>
      </c>
      <c r="I926" s="84" t="str">
        <f aca="false">IF(B926=Dashboard!$D$3,ROW(),"")</f>
        <v/>
      </c>
    </row>
    <row r="927" customFormat="false" ht="15" hidden="false" customHeight="false" outlineLevel="0" collapsed="false">
      <c r="A927" s="80"/>
      <c r="B927" s="71"/>
      <c r="C927" s="71"/>
      <c r="D927" s="81"/>
      <c r="E927" s="71"/>
      <c r="F927" s="71"/>
      <c r="G927" s="82" t="str">
        <f aca="false">IF(C927="","",IFERROR(INDEX('Kit Lists'!$D$6:$D$605,MATCH(B927&amp;"|"&amp;C927,'Kit Lists'!$J$6:$J$605,0)),"Not on this contract's kit list"))</f>
        <v/>
      </c>
      <c r="H927" s="83" t="str">
        <f aca="false">IF(AND(B927="",C927="",D927=""),"",IF(B927="","Missing contract",IF(C927="","Missing code",IF(LEFT(G927,3)="Not","Wrong code",IF(D927="","Missing qty",IF(A927="","Missing date",""))))))</f>
        <v/>
      </c>
      <c r="I927" s="84" t="str">
        <f aca="false">IF(B927=Dashboard!$D$3,ROW(),"")</f>
        <v/>
      </c>
    </row>
    <row r="928" customFormat="false" ht="15" hidden="false" customHeight="false" outlineLevel="0" collapsed="false">
      <c r="A928" s="80"/>
      <c r="B928" s="71"/>
      <c r="C928" s="71"/>
      <c r="D928" s="81"/>
      <c r="E928" s="71"/>
      <c r="F928" s="71"/>
      <c r="G928" s="82" t="str">
        <f aca="false">IF(C928="","",IFERROR(INDEX('Kit Lists'!$D$6:$D$605,MATCH(B928&amp;"|"&amp;C928,'Kit Lists'!$J$6:$J$605,0)),"Not on this contract's kit list"))</f>
        <v/>
      </c>
      <c r="H928" s="83" t="str">
        <f aca="false">IF(AND(B928="",C928="",D928=""),"",IF(B928="","Missing contract",IF(C928="","Missing code",IF(LEFT(G928,3)="Not","Wrong code",IF(D928="","Missing qty",IF(A928="","Missing date",""))))))</f>
        <v/>
      </c>
      <c r="I928" s="84" t="str">
        <f aca="false">IF(B928=Dashboard!$D$3,ROW(),"")</f>
        <v/>
      </c>
    </row>
    <row r="929" customFormat="false" ht="15" hidden="false" customHeight="false" outlineLevel="0" collapsed="false">
      <c r="A929" s="80"/>
      <c r="B929" s="71"/>
      <c r="C929" s="71"/>
      <c r="D929" s="81"/>
      <c r="E929" s="71"/>
      <c r="F929" s="71"/>
      <c r="G929" s="82" t="str">
        <f aca="false">IF(C929="","",IFERROR(INDEX('Kit Lists'!$D$6:$D$605,MATCH(B929&amp;"|"&amp;C929,'Kit Lists'!$J$6:$J$605,0)),"Not on this contract's kit list"))</f>
        <v/>
      </c>
      <c r="H929" s="83" t="str">
        <f aca="false">IF(AND(B929="",C929="",D929=""),"",IF(B929="","Missing contract",IF(C929="","Missing code",IF(LEFT(G929,3)="Not","Wrong code",IF(D929="","Missing qty",IF(A929="","Missing date",""))))))</f>
        <v/>
      </c>
      <c r="I929" s="84" t="str">
        <f aca="false">IF(B929=Dashboard!$D$3,ROW(),"")</f>
        <v/>
      </c>
    </row>
    <row r="930" customFormat="false" ht="15" hidden="false" customHeight="false" outlineLevel="0" collapsed="false">
      <c r="A930" s="80"/>
      <c r="B930" s="71"/>
      <c r="C930" s="71"/>
      <c r="D930" s="81"/>
      <c r="E930" s="71"/>
      <c r="F930" s="71"/>
      <c r="G930" s="82" t="str">
        <f aca="false">IF(C930="","",IFERROR(INDEX('Kit Lists'!$D$6:$D$605,MATCH(B930&amp;"|"&amp;C930,'Kit Lists'!$J$6:$J$605,0)),"Not on this contract's kit list"))</f>
        <v/>
      </c>
      <c r="H930" s="83" t="str">
        <f aca="false">IF(AND(B930="",C930="",D930=""),"",IF(B930="","Missing contract",IF(C930="","Missing code",IF(LEFT(G930,3)="Not","Wrong code",IF(D930="","Missing qty",IF(A930="","Missing date",""))))))</f>
        <v/>
      </c>
      <c r="I930" s="84" t="str">
        <f aca="false">IF(B930=Dashboard!$D$3,ROW(),"")</f>
        <v/>
      </c>
    </row>
    <row r="931" customFormat="false" ht="15" hidden="false" customHeight="false" outlineLevel="0" collapsed="false">
      <c r="A931" s="80"/>
      <c r="B931" s="71"/>
      <c r="C931" s="71"/>
      <c r="D931" s="81"/>
      <c r="E931" s="71"/>
      <c r="F931" s="71"/>
      <c r="G931" s="82" t="str">
        <f aca="false">IF(C931="","",IFERROR(INDEX('Kit Lists'!$D$6:$D$605,MATCH(B931&amp;"|"&amp;C931,'Kit Lists'!$J$6:$J$605,0)),"Not on this contract's kit list"))</f>
        <v/>
      </c>
      <c r="H931" s="83" t="str">
        <f aca="false">IF(AND(B931="",C931="",D931=""),"",IF(B931="","Missing contract",IF(C931="","Missing code",IF(LEFT(G931,3)="Not","Wrong code",IF(D931="","Missing qty",IF(A931="","Missing date",""))))))</f>
        <v/>
      </c>
      <c r="I931" s="84" t="str">
        <f aca="false">IF(B931=Dashboard!$D$3,ROW(),"")</f>
        <v/>
      </c>
    </row>
    <row r="932" customFormat="false" ht="15" hidden="false" customHeight="false" outlineLevel="0" collapsed="false">
      <c r="A932" s="80"/>
      <c r="B932" s="71"/>
      <c r="C932" s="71"/>
      <c r="D932" s="81"/>
      <c r="E932" s="71"/>
      <c r="F932" s="71"/>
      <c r="G932" s="82" t="str">
        <f aca="false">IF(C932="","",IFERROR(INDEX('Kit Lists'!$D$6:$D$605,MATCH(B932&amp;"|"&amp;C932,'Kit Lists'!$J$6:$J$605,0)),"Not on this contract's kit list"))</f>
        <v/>
      </c>
      <c r="H932" s="83" t="str">
        <f aca="false">IF(AND(B932="",C932="",D932=""),"",IF(B932="","Missing contract",IF(C932="","Missing code",IF(LEFT(G932,3)="Not","Wrong code",IF(D932="","Missing qty",IF(A932="","Missing date",""))))))</f>
        <v/>
      </c>
      <c r="I932" s="84" t="str">
        <f aca="false">IF(B932=Dashboard!$D$3,ROW(),"")</f>
        <v/>
      </c>
    </row>
    <row r="933" customFormat="false" ht="15" hidden="false" customHeight="false" outlineLevel="0" collapsed="false">
      <c r="A933" s="80"/>
      <c r="B933" s="71"/>
      <c r="C933" s="71"/>
      <c r="D933" s="81"/>
      <c r="E933" s="71"/>
      <c r="F933" s="71"/>
      <c r="G933" s="82" t="str">
        <f aca="false">IF(C933="","",IFERROR(INDEX('Kit Lists'!$D$6:$D$605,MATCH(B933&amp;"|"&amp;C933,'Kit Lists'!$J$6:$J$605,0)),"Not on this contract's kit list"))</f>
        <v/>
      </c>
      <c r="H933" s="83" t="str">
        <f aca="false">IF(AND(B933="",C933="",D933=""),"",IF(B933="","Missing contract",IF(C933="","Missing code",IF(LEFT(G933,3)="Not","Wrong code",IF(D933="","Missing qty",IF(A933="","Missing date",""))))))</f>
        <v/>
      </c>
      <c r="I933" s="84" t="str">
        <f aca="false">IF(B933=Dashboard!$D$3,ROW(),"")</f>
        <v/>
      </c>
    </row>
    <row r="934" customFormat="false" ht="15" hidden="false" customHeight="false" outlineLevel="0" collapsed="false">
      <c r="A934" s="80"/>
      <c r="B934" s="71"/>
      <c r="C934" s="71"/>
      <c r="D934" s="81"/>
      <c r="E934" s="71"/>
      <c r="F934" s="71"/>
      <c r="G934" s="82" t="str">
        <f aca="false">IF(C934="","",IFERROR(INDEX('Kit Lists'!$D$6:$D$605,MATCH(B934&amp;"|"&amp;C934,'Kit Lists'!$J$6:$J$605,0)),"Not on this contract's kit list"))</f>
        <v/>
      </c>
      <c r="H934" s="83" t="str">
        <f aca="false">IF(AND(B934="",C934="",D934=""),"",IF(B934="","Missing contract",IF(C934="","Missing code",IF(LEFT(G934,3)="Not","Wrong code",IF(D934="","Missing qty",IF(A934="","Missing date",""))))))</f>
        <v/>
      </c>
      <c r="I934" s="84" t="str">
        <f aca="false">IF(B934=Dashboard!$D$3,ROW(),"")</f>
        <v/>
      </c>
    </row>
    <row r="935" customFormat="false" ht="15" hidden="false" customHeight="false" outlineLevel="0" collapsed="false">
      <c r="A935" s="80"/>
      <c r="B935" s="71"/>
      <c r="C935" s="71"/>
      <c r="D935" s="81"/>
      <c r="E935" s="71"/>
      <c r="F935" s="71"/>
      <c r="G935" s="82" t="str">
        <f aca="false">IF(C935="","",IFERROR(INDEX('Kit Lists'!$D$6:$D$605,MATCH(B935&amp;"|"&amp;C935,'Kit Lists'!$J$6:$J$605,0)),"Not on this contract's kit list"))</f>
        <v/>
      </c>
      <c r="H935" s="83" t="str">
        <f aca="false">IF(AND(B935="",C935="",D935=""),"",IF(B935="","Missing contract",IF(C935="","Missing code",IF(LEFT(G935,3)="Not","Wrong code",IF(D935="","Missing qty",IF(A935="","Missing date",""))))))</f>
        <v/>
      </c>
      <c r="I935" s="84" t="str">
        <f aca="false">IF(B935=Dashboard!$D$3,ROW(),"")</f>
        <v/>
      </c>
    </row>
    <row r="936" customFormat="false" ht="15" hidden="false" customHeight="false" outlineLevel="0" collapsed="false">
      <c r="A936" s="80"/>
      <c r="B936" s="71"/>
      <c r="C936" s="71"/>
      <c r="D936" s="81"/>
      <c r="E936" s="71"/>
      <c r="F936" s="71"/>
      <c r="G936" s="82" t="str">
        <f aca="false">IF(C936="","",IFERROR(INDEX('Kit Lists'!$D$6:$D$605,MATCH(B936&amp;"|"&amp;C936,'Kit Lists'!$J$6:$J$605,0)),"Not on this contract's kit list"))</f>
        <v/>
      </c>
      <c r="H936" s="83" t="str">
        <f aca="false">IF(AND(B936="",C936="",D936=""),"",IF(B936="","Missing contract",IF(C936="","Missing code",IF(LEFT(G936,3)="Not","Wrong code",IF(D936="","Missing qty",IF(A936="","Missing date",""))))))</f>
        <v/>
      </c>
      <c r="I936" s="84" t="str">
        <f aca="false">IF(B936=Dashboard!$D$3,ROW(),"")</f>
        <v/>
      </c>
    </row>
    <row r="937" customFormat="false" ht="15" hidden="false" customHeight="false" outlineLevel="0" collapsed="false">
      <c r="A937" s="80"/>
      <c r="B937" s="71"/>
      <c r="C937" s="71"/>
      <c r="D937" s="81"/>
      <c r="E937" s="71"/>
      <c r="F937" s="71"/>
      <c r="G937" s="82" t="str">
        <f aca="false">IF(C937="","",IFERROR(INDEX('Kit Lists'!$D$6:$D$605,MATCH(B937&amp;"|"&amp;C937,'Kit Lists'!$J$6:$J$605,0)),"Not on this contract's kit list"))</f>
        <v/>
      </c>
      <c r="H937" s="83" t="str">
        <f aca="false">IF(AND(B937="",C937="",D937=""),"",IF(B937="","Missing contract",IF(C937="","Missing code",IF(LEFT(G937,3)="Not","Wrong code",IF(D937="","Missing qty",IF(A937="","Missing date",""))))))</f>
        <v/>
      </c>
      <c r="I937" s="84" t="str">
        <f aca="false">IF(B937=Dashboard!$D$3,ROW(),"")</f>
        <v/>
      </c>
    </row>
    <row r="938" customFormat="false" ht="15" hidden="false" customHeight="false" outlineLevel="0" collapsed="false">
      <c r="A938" s="80"/>
      <c r="B938" s="71"/>
      <c r="C938" s="71"/>
      <c r="D938" s="81"/>
      <c r="E938" s="71"/>
      <c r="F938" s="71"/>
      <c r="G938" s="82" t="str">
        <f aca="false">IF(C938="","",IFERROR(INDEX('Kit Lists'!$D$6:$D$605,MATCH(B938&amp;"|"&amp;C938,'Kit Lists'!$J$6:$J$605,0)),"Not on this contract's kit list"))</f>
        <v/>
      </c>
      <c r="H938" s="83" t="str">
        <f aca="false">IF(AND(B938="",C938="",D938=""),"",IF(B938="","Missing contract",IF(C938="","Missing code",IF(LEFT(G938,3)="Not","Wrong code",IF(D938="","Missing qty",IF(A938="","Missing date",""))))))</f>
        <v/>
      </c>
      <c r="I938" s="84" t="str">
        <f aca="false">IF(B938=Dashboard!$D$3,ROW(),"")</f>
        <v/>
      </c>
    </row>
    <row r="939" customFormat="false" ht="15" hidden="false" customHeight="false" outlineLevel="0" collapsed="false">
      <c r="A939" s="80"/>
      <c r="B939" s="71"/>
      <c r="C939" s="71"/>
      <c r="D939" s="81"/>
      <c r="E939" s="71"/>
      <c r="F939" s="71"/>
      <c r="G939" s="82" t="str">
        <f aca="false">IF(C939="","",IFERROR(INDEX('Kit Lists'!$D$6:$D$605,MATCH(B939&amp;"|"&amp;C939,'Kit Lists'!$J$6:$J$605,0)),"Not on this contract's kit list"))</f>
        <v/>
      </c>
      <c r="H939" s="83" t="str">
        <f aca="false">IF(AND(B939="",C939="",D939=""),"",IF(B939="","Missing contract",IF(C939="","Missing code",IF(LEFT(G939,3)="Not","Wrong code",IF(D939="","Missing qty",IF(A939="","Missing date",""))))))</f>
        <v/>
      </c>
      <c r="I939" s="84" t="str">
        <f aca="false">IF(B939=Dashboard!$D$3,ROW(),"")</f>
        <v/>
      </c>
    </row>
    <row r="940" customFormat="false" ht="15" hidden="false" customHeight="false" outlineLevel="0" collapsed="false">
      <c r="A940" s="80"/>
      <c r="B940" s="71"/>
      <c r="C940" s="71"/>
      <c r="D940" s="81"/>
      <c r="E940" s="71"/>
      <c r="F940" s="71"/>
      <c r="G940" s="82" t="str">
        <f aca="false">IF(C940="","",IFERROR(INDEX('Kit Lists'!$D$6:$D$605,MATCH(B940&amp;"|"&amp;C940,'Kit Lists'!$J$6:$J$605,0)),"Not on this contract's kit list"))</f>
        <v/>
      </c>
      <c r="H940" s="83" t="str">
        <f aca="false">IF(AND(B940="",C940="",D940=""),"",IF(B940="","Missing contract",IF(C940="","Missing code",IF(LEFT(G940,3)="Not","Wrong code",IF(D940="","Missing qty",IF(A940="","Missing date",""))))))</f>
        <v/>
      </c>
      <c r="I940" s="84" t="str">
        <f aca="false">IF(B940=Dashboard!$D$3,ROW(),"")</f>
        <v/>
      </c>
    </row>
    <row r="941" customFormat="false" ht="15" hidden="false" customHeight="false" outlineLevel="0" collapsed="false">
      <c r="A941" s="80"/>
      <c r="B941" s="71"/>
      <c r="C941" s="71"/>
      <c r="D941" s="81"/>
      <c r="E941" s="71"/>
      <c r="F941" s="71"/>
      <c r="G941" s="82" t="str">
        <f aca="false">IF(C941="","",IFERROR(INDEX('Kit Lists'!$D$6:$D$605,MATCH(B941&amp;"|"&amp;C941,'Kit Lists'!$J$6:$J$605,0)),"Not on this contract's kit list"))</f>
        <v/>
      </c>
      <c r="H941" s="83" t="str">
        <f aca="false">IF(AND(B941="",C941="",D941=""),"",IF(B941="","Missing contract",IF(C941="","Missing code",IF(LEFT(G941,3)="Not","Wrong code",IF(D941="","Missing qty",IF(A941="","Missing date",""))))))</f>
        <v/>
      </c>
      <c r="I941" s="84" t="str">
        <f aca="false">IF(B941=Dashboard!$D$3,ROW(),"")</f>
        <v/>
      </c>
    </row>
    <row r="942" customFormat="false" ht="15" hidden="false" customHeight="false" outlineLevel="0" collapsed="false">
      <c r="A942" s="80"/>
      <c r="B942" s="71"/>
      <c r="C942" s="71"/>
      <c r="D942" s="81"/>
      <c r="E942" s="71"/>
      <c r="F942" s="71"/>
      <c r="G942" s="82" t="str">
        <f aca="false">IF(C942="","",IFERROR(INDEX('Kit Lists'!$D$6:$D$605,MATCH(B942&amp;"|"&amp;C942,'Kit Lists'!$J$6:$J$605,0)),"Not on this contract's kit list"))</f>
        <v/>
      </c>
      <c r="H942" s="83" t="str">
        <f aca="false">IF(AND(B942="",C942="",D942=""),"",IF(B942="","Missing contract",IF(C942="","Missing code",IF(LEFT(G942,3)="Not","Wrong code",IF(D942="","Missing qty",IF(A942="","Missing date",""))))))</f>
        <v/>
      </c>
      <c r="I942" s="84" t="str">
        <f aca="false">IF(B942=Dashboard!$D$3,ROW(),"")</f>
        <v/>
      </c>
    </row>
    <row r="943" customFormat="false" ht="15" hidden="false" customHeight="false" outlineLevel="0" collapsed="false">
      <c r="A943" s="80"/>
      <c r="B943" s="71"/>
      <c r="C943" s="71"/>
      <c r="D943" s="81"/>
      <c r="E943" s="71"/>
      <c r="F943" s="71"/>
      <c r="G943" s="82" t="str">
        <f aca="false">IF(C943="","",IFERROR(INDEX('Kit Lists'!$D$6:$D$605,MATCH(B943&amp;"|"&amp;C943,'Kit Lists'!$J$6:$J$605,0)),"Not on this contract's kit list"))</f>
        <v/>
      </c>
      <c r="H943" s="83" t="str">
        <f aca="false">IF(AND(B943="",C943="",D943=""),"",IF(B943="","Missing contract",IF(C943="","Missing code",IF(LEFT(G943,3)="Not","Wrong code",IF(D943="","Missing qty",IF(A943="","Missing date",""))))))</f>
        <v/>
      </c>
      <c r="I943" s="84" t="str">
        <f aca="false">IF(B943=Dashboard!$D$3,ROW(),"")</f>
        <v/>
      </c>
    </row>
    <row r="944" customFormat="false" ht="15" hidden="false" customHeight="false" outlineLevel="0" collapsed="false">
      <c r="A944" s="80"/>
      <c r="B944" s="71"/>
      <c r="C944" s="71"/>
      <c r="D944" s="81"/>
      <c r="E944" s="71"/>
      <c r="F944" s="71"/>
      <c r="G944" s="82" t="str">
        <f aca="false">IF(C944="","",IFERROR(INDEX('Kit Lists'!$D$6:$D$605,MATCH(B944&amp;"|"&amp;C944,'Kit Lists'!$J$6:$J$605,0)),"Not on this contract's kit list"))</f>
        <v/>
      </c>
      <c r="H944" s="83" t="str">
        <f aca="false">IF(AND(B944="",C944="",D944=""),"",IF(B944="","Missing contract",IF(C944="","Missing code",IF(LEFT(G944,3)="Not","Wrong code",IF(D944="","Missing qty",IF(A944="","Missing date",""))))))</f>
        <v/>
      </c>
      <c r="I944" s="84" t="str">
        <f aca="false">IF(B944=Dashboard!$D$3,ROW(),"")</f>
        <v/>
      </c>
    </row>
    <row r="945" customFormat="false" ht="15" hidden="false" customHeight="false" outlineLevel="0" collapsed="false">
      <c r="A945" s="80"/>
      <c r="B945" s="71"/>
      <c r="C945" s="71"/>
      <c r="D945" s="81"/>
      <c r="E945" s="71"/>
      <c r="F945" s="71"/>
      <c r="G945" s="82" t="str">
        <f aca="false">IF(C945="","",IFERROR(INDEX('Kit Lists'!$D$6:$D$605,MATCH(B945&amp;"|"&amp;C945,'Kit Lists'!$J$6:$J$605,0)),"Not on this contract's kit list"))</f>
        <v/>
      </c>
      <c r="H945" s="83" t="str">
        <f aca="false">IF(AND(B945="",C945="",D945=""),"",IF(B945="","Missing contract",IF(C945="","Missing code",IF(LEFT(G945,3)="Not","Wrong code",IF(D945="","Missing qty",IF(A945="","Missing date",""))))))</f>
        <v/>
      </c>
      <c r="I945" s="84" t="str">
        <f aca="false">IF(B945=Dashboard!$D$3,ROW(),"")</f>
        <v/>
      </c>
    </row>
    <row r="946" customFormat="false" ht="15" hidden="false" customHeight="false" outlineLevel="0" collapsed="false">
      <c r="A946" s="80"/>
      <c r="B946" s="71"/>
      <c r="C946" s="71"/>
      <c r="D946" s="81"/>
      <c r="E946" s="71"/>
      <c r="F946" s="71"/>
      <c r="G946" s="82" t="str">
        <f aca="false">IF(C946="","",IFERROR(INDEX('Kit Lists'!$D$6:$D$605,MATCH(B946&amp;"|"&amp;C946,'Kit Lists'!$J$6:$J$605,0)),"Not on this contract's kit list"))</f>
        <v/>
      </c>
      <c r="H946" s="83" t="str">
        <f aca="false">IF(AND(B946="",C946="",D946=""),"",IF(B946="","Missing contract",IF(C946="","Missing code",IF(LEFT(G946,3)="Not","Wrong code",IF(D946="","Missing qty",IF(A946="","Missing date",""))))))</f>
        <v/>
      </c>
      <c r="I946" s="84" t="str">
        <f aca="false">IF(B946=Dashboard!$D$3,ROW(),"")</f>
        <v/>
      </c>
    </row>
    <row r="947" customFormat="false" ht="15" hidden="false" customHeight="false" outlineLevel="0" collapsed="false">
      <c r="A947" s="80"/>
      <c r="B947" s="71"/>
      <c r="C947" s="71"/>
      <c r="D947" s="81"/>
      <c r="E947" s="71"/>
      <c r="F947" s="71"/>
      <c r="G947" s="82" t="str">
        <f aca="false">IF(C947="","",IFERROR(INDEX('Kit Lists'!$D$6:$D$605,MATCH(B947&amp;"|"&amp;C947,'Kit Lists'!$J$6:$J$605,0)),"Not on this contract's kit list"))</f>
        <v/>
      </c>
      <c r="H947" s="83" t="str">
        <f aca="false">IF(AND(B947="",C947="",D947=""),"",IF(B947="","Missing contract",IF(C947="","Missing code",IF(LEFT(G947,3)="Not","Wrong code",IF(D947="","Missing qty",IF(A947="","Missing date",""))))))</f>
        <v/>
      </c>
      <c r="I947" s="84" t="str">
        <f aca="false">IF(B947=Dashboard!$D$3,ROW(),"")</f>
        <v/>
      </c>
    </row>
    <row r="948" customFormat="false" ht="15" hidden="false" customHeight="false" outlineLevel="0" collapsed="false">
      <c r="A948" s="80"/>
      <c r="B948" s="71"/>
      <c r="C948" s="71"/>
      <c r="D948" s="81"/>
      <c r="E948" s="71"/>
      <c r="F948" s="71"/>
      <c r="G948" s="82" t="str">
        <f aca="false">IF(C948="","",IFERROR(INDEX('Kit Lists'!$D$6:$D$605,MATCH(B948&amp;"|"&amp;C948,'Kit Lists'!$J$6:$J$605,0)),"Not on this contract's kit list"))</f>
        <v/>
      </c>
      <c r="H948" s="83" t="str">
        <f aca="false">IF(AND(B948="",C948="",D948=""),"",IF(B948="","Missing contract",IF(C948="","Missing code",IF(LEFT(G948,3)="Not","Wrong code",IF(D948="","Missing qty",IF(A948="","Missing date",""))))))</f>
        <v/>
      </c>
      <c r="I948" s="84" t="str">
        <f aca="false">IF(B948=Dashboard!$D$3,ROW(),"")</f>
        <v/>
      </c>
    </row>
    <row r="949" customFormat="false" ht="15" hidden="false" customHeight="false" outlineLevel="0" collapsed="false">
      <c r="A949" s="80"/>
      <c r="B949" s="71"/>
      <c r="C949" s="71"/>
      <c r="D949" s="81"/>
      <c r="E949" s="71"/>
      <c r="F949" s="71"/>
      <c r="G949" s="82" t="str">
        <f aca="false">IF(C949="","",IFERROR(INDEX('Kit Lists'!$D$6:$D$605,MATCH(B949&amp;"|"&amp;C949,'Kit Lists'!$J$6:$J$605,0)),"Not on this contract's kit list"))</f>
        <v/>
      </c>
      <c r="H949" s="83" t="str">
        <f aca="false">IF(AND(B949="",C949="",D949=""),"",IF(B949="","Missing contract",IF(C949="","Missing code",IF(LEFT(G949,3)="Not","Wrong code",IF(D949="","Missing qty",IF(A949="","Missing date",""))))))</f>
        <v/>
      </c>
      <c r="I949" s="84" t="str">
        <f aca="false">IF(B949=Dashboard!$D$3,ROW(),"")</f>
        <v/>
      </c>
    </row>
    <row r="950" customFormat="false" ht="15" hidden="false" customHeight="false" outlineLevel="0" collapsed="false">
      <c r="A950" s="80"/>
      <c r="B950" s="71"/>
      <c r="C950" s="71"/>
      <c r="D950" s="81"/>
      <c r="E950" s="71"/>
      <c r="F950" s="71"/>
      <c r="G950" s="82" t="str">
        <f aca="false">IF(C950="","",IFERROR(INDEX('Kit Lists'!$D$6:$D$605,MATCH(B950&amp;"|"&amp;C950,'Kit Lists'!$J$6:$J$605,0)),"Not on this contract's kit list"))</f>
        <v/>
      </c>
      <c r="H950" s="83" t="str">
        <f aca="false">IF(AND(B950="",C950="",D950=""),"",IF(B950="","Missing contract",IF(C950="","Missing code",IF(LEFT(G950,3)="Not","Wrong code",IF(D950="","Missing qty",IF(A950="","Missing date",""))))))</f>
        <v/>
      </c>
      <c r="I950" s="84" t="str">
        <f aca="false">IF(B950=Dashboard!$D$3,ROW(),"")</f>
        <v/>
      </c>
    </row>
    <row r="951" customFormat="false" ht="15" hidden="false" customHeight="false" outlineLevel="0" collapsed="false">
      <c r="A951" s="80"/>
      <c r="B951" s="71"/>
      <c r="C951" s="71"/>
      <c r="D951" s="81"/>
      <c r="E951" s="71"/>
      <c r="F951" s="71"/>
      <c r="G951" s="82" t="str">
        <f aca="false">IF(C951="","",IFERROR(INDEX('Kit Lists'!$D$6:$D$605,MATCH(B951&amp;"|"&amp;C951,'Kit Lists'!$J$6:$J$605,0)),"Not on this contract's kit list"))</f>
        <v/>
      </c>
      <c r="H951" s="83" t="str">
        <f aca="false">IF(AND(B951="",C951="",D951=""),"",IF(B951="","Missing contract",IF(C951="","Missing code",IF(LEFT(G951,3)="Not","Wrong code",IF(D951="","Missing qty",IF(A951="","Missing date",""))))))</f>
        <v/>
      </c>
      <c r="I951" s="84" t="str">
        <f aca="false">IF(B951=Dashboard!$D$3,ROW(),"")</f>
        <v/>
      </c>
    </row>
    <row r="952" customFormat="false" ht="15" hidden="false" customHeight="false" outlineLevel="0" collapsed="false">
      <c r="A952" s="80"/>
      <c r="B952" s="71"/>
      <c r="C952" s="71"/>
      <c r="D952" s="81"/>
      <c r="E952" s="71"/>
      <c r="F952" s="71"/>
      <c r="G952" s="82" t="str">
        <f aca="false">IF(C952="","",IFERROR(INDEX('Kit Lists'!$D$6:$D$605,MATCH(B952&amp;"|"&amp;C952,'Kit Lists'!$J$6:$J$605,0)),"Not on this contract's kit list"))</f>
        <v/>
      </c>
      <c r="H952" s="83" t="str">
        <f aca="false">IF(AND(B952="",C952="",D952=""),"",IF(B952="","Missing contract",IF(C952="","Missing code",IF(LEFT(G952,3)="Not","Wrong code",IF(D952="","Missing qty",IF(A952="","Missing date",""))))))</f>
        <v/>
      </c>
      <c r="I952" s="84" t="str">
        <f aca="false">IF(B952=Dashboard!$D$3,ROW(),"")</f>
        <v/>
      </c>
    </row>
    <row r="953" customFormat="false" ht="15" hidden="false" customHeight="false" outlineLevel="0" collapsed="false">
      <c r="A953" s="80"/>
      <c r="B953" s="71"/>
      <c r="C953" s="71"/>
      <c r="D953" s="81"/>
      <c r="E953" s="71"/>
      <c r="F953" s="71"/>
      <c r="G953" s="82" t="str">
        <f aca="false">IF(C953="","",IFERROR(INDEX('Kit Lists'!$D$6:$D$605,MATCH(B953&amp;"|"&amp;C953,'Kit Lists'!$J$6:$J$605,0)),"Not on this contract's kit list"))</f>
        <v/>
      </c>
      <c r="H953" s="83" t="str">
        <f aca="false">IF(AND(B953="",C953="",D953=""),"",IF(B953="","Missing contract",IF(C953="","Missing code",IF(LEFT(G953,3)="Not","Wrong code",IF(D953="","Missing qty",IF(A953="","Missing date",""))))))</f>
        <v/>
      </c>
      <c r="I953" s="84" t="str">
        <f aca="false">IF(B953=Dashboard!$D$3,ROW(),"")</f>
        <v/>
      </c>
    </row>
    <row r="954" customFormat="false" ht="15" hidden="false" customHeight="false" outlineLevel="0" collapsed="false">
      <c r="A954" s="80"/>
      <c r="B954" s="71"/>
      <c r="C954" s="71"/>
      <c r="D954" s="81"/>
      <c r="E954" s="71"/>
      <c r="F954" s="71"/>
      <c r="G954" s="82" t="str">
        <f aca="false">IF(C954="","",IFERROR(INDEX('Kit Lists'!$D$6:$D$605,MATCH(B954&amp;"|"&amp;C954,'Kit Lists'!$J$6:$J$605,0)),"Not on this contract's kit list"))</f>
        <v/>
      </c>
      <c r="H954" s="83" t="str">
        <f aca="false">IF(AND(B954="",C954="",D954=""),"",IF(B954="","Missing contract",IF(C954="","Missing code",IF(LEFT(G954,3)="Not","Wrong code",IF(D954="","Missing qty",IF(A954="","Missing date",""))))))</f>
        <v/>
      </c>
      <c r="I954" s="84" t="str">
        <f aca="false">IF(B954=Dashboard!$D$3,ROW(),"")</f>
        <v/>
      </c>
    </row>
    <row r="955" customFormat="false" ht="15" hidden="false" customHeight="false" outlineLevel="0" collapsed="false">
      <c r="A955" s="80"/>
      <c r="B955" s="71"/>
      <c r="C955" s="71"/>
      <c r="D955" s="81"/>
      <c r="E955" s="71"/>
      <c r="F955" s="71"/>
      <c r="G955" s="82" t="str">
        <f aca="false">IF(C955="","",IFERROR(INDEX('Kit Lists'!$D$6:$D$605,MATCH(B955&amp;"|"&amp;C955,'Kit Lists'!$J$6:$J$605,0)),"Not on this contract's kit list"))</f>
        <v/>
      </c>
      <c r="H955" s="83" t="str">
        <f aca="false">IF(AND(B955="",C955="",D955=""),"",IF(B955="","Missing contract",IF(C955="","Missing code",IF(LEFT(G955,3)="Not","Wrong code",IF(D955="","Missing qty",IF(A955="","Missing date",""))))))</f>
        <v/>
      </c>
      <c r="I955" s="84" t="str">
        <f aca="false">IF(B955=Dashboard!$D$3,ROW(),"")</f>
        <v/>
      </c>
    </row>
    <row r="956" customFormat="false" ht="15" hidden="false" customHeight="false" outlineLevel="0" collapsed="false">
      <c r="A956" s="80"/>
      <c r="B956" s="71"/>
      <c r="C956" s="71"/>
      <c r="D956" s="81"/>
      <c r="E956" s="71"/>
      <c r="F956" s="71"/>
      <c r="G956" s="82" t="str">
        <f aca="false">IF(C956="","",IFERROR(INDEX('Kit Lists'!$D$6:$D$605,MATCH(B956&amp;"|"&amp;C956,'Kit Lists'!$J$6:$J$605,0)),"Not on this contract's kit list"))</f>
        <v/>
      </c>
      <c r="H956" s="83" t="str">
        <f aca="false">IF(AND(B956="",C956="",D956=""),"",IF(B956="","Missing contract",IF(C956="","Missing code",IF(LEFT(G956,3)="Not","Wrong code",IF(D956="","Missing qty",IF(A956="","Missing date",""))))))</f>
        <v/>
      </c>
      <c r="I956" s="84" t="str">
        <f aca="false">IF(B956=Dashboard!$D$3,ROW(),"")</f>
        <v/>
      </c>
    </row>
    <row r="957" customFormat="false" ht="15" hidden="false" customHeight="false" outlineLevel="0" collapsed="false">
      <c r="A957" s="80"/>
      <c r="B957" s="71"/>
      <c r="C957" s="71"/>
      <c r="D957" s="81"/>
      <c r="E957" s="71"/>
      <c r="F957" s="71"/>
      <c r="G957" s="82" t="str">
        <f aca="false">IF(C957="","",IFERROR(INDEX('Kit Lists'!$D$6:$D$605,MATCH(B957&amp;"|"&amp;C957,'Kit Lists'!$J$6:$J$605,0)),"Not on this contract's kit list"))</f>
        <v/>
      </c>
      <c r="H957" s="83" t="str">
        <f aca="false">IF(AND(B957="",C957="",D957=""),"",IF(B957="","Missing contract",IF(C957="","Missing code",IF(LEFT(G957,3)="Not","Wrong code",IF(D957="","Missing qty",IF(A957="","Missing date",""))))))</f>
        <v/>
      </c>
      <c r="I957" s="84" t="str">
        <f aca="false">IF(B957=Dashboard!$D$3,ROW(),"")</f>
        <v/>
      </c>
    </row>
    <row r="958" customFormat="false" ht="15" hidden="false" customHeight="false" outlineLevel="0" collapsed="false">
      <c r="A958" s="80"/>
      <c r="B958" s="71"/>
      <c r="C958" s="71"/>
      <c r="D958" s="81"/>
      <c r="E958" s="71"/>
      <c r="F958" s="71"/>
      <c r="G958" s="82" t="str">
        <f aca="false">IF(C958="","",IFERROR(INDEX('Kit Lists'!$D$6:$D$605,MATCH(B958&amp;"|"&amp;C958,'Kit Lists'!$J$6:$J$605,0)),"Not on this contract's kit list"))</f>
        <v/>
      </c>
      <c r="H958" s="83" t="str">
        <f aca="false">IF(AND(B958="",C958="",D958=""),"",IF(B958="","Missing contract",IF(C958="","Missing code",IF(LEFT(G958,3)="Not","Wrong code",IF(D958="","Missing qty",IF(A958="","Missing date",""))))))</f>
        <v/>
      </c>
      <c r="I958" s="84" t="str">
        <f aca="false">IF(B958=Dashboard!$D$3,ROW(),"")</f>
        <v/>
      </c>
    </row>
    <row r="959" customFormat="false" ht="15" hidden="false" customHeight="false" outlineLevel="0" collapsed="false">
      <c r="A959" s="80"/>
      <c r="B959" s="71"/>
      <c r="C959" s="71"/>
      <c r="D959" s="81"/>
      <c r="E959" s="71"/>
      <c r="F959" s="71"/>
      <c r="G959" s="82" t="str">
        <f aca="false">IF(C959="","",IFERROR(INDEX('Kit Lists'!$D$6:$D$605,MATCH(B959&amp;"|"&amp;C959,'Kit Lists'!$J$6:$J$605,0)),"Not on this contract's kit list"))</f>
        <v/>
      </c>
      <c r="H959" s="83" t="str">
        <f aca="false">IF(AND(B959="",C959="",D959=""),"",IF(B959="","Missing contract",IF(C959="","Missing code",IF(LEFT(G959,3)="Not","Wrong code",IF(D959="","Missing qty",IF(A959="","Missing date",""))))))</f>
        <v/>
      </c>
      <c r="I959" s="84" t="str">
        <f aca="false">IF(B959=Dashboard!$D$3,ROW(),"")</f>
        <v/>
      </c>
    </row>
    <row r="960" customFormat="false" ht="15" hidden="false" customHeight="false" outlineLevel="0" collapsed="false">
      <c r="A960" s="80"/>
      <c r="B960" s="71"/>
      <c r="C960" s="71"/>
      <c r="D960" s="81"/>
      <c r="E960" s="71"/>
      <c r="F960" s="71"/>
      <c r="G960" s="82" t="str">
        <f aca="false">IF(C960="","",IFERROR(INDEX('Kit Lists'!$D$6:$D$605,MATCH(B960&amp;"|"&amp;C960,'Kit Lists'!$J$6:$J$605,0)),"Not on this contract's kit list"))</f>
        <v/>
      </c>
      <c r="H960" s="83" t="str">
        <f aca="false">IF(AND(B960="",C960="",D960=""),"",IF(B960="","Missing contract",IF(C960="","Missing code",IF(LEFT(G960,3)="Not","Wrong code",IF(D960="","Missing qty",IF(A960="","Missing date",""))))))</f>
        <v/>
      </c>
      <c r="I960" s="84" t="str">
        <f aca="false">IF(B960=Dashboard!$D$3,ROW(),"")</f>
        <v/>
      </c>
    </row>
    <row r="961" customFormat="false" ht="15" hidden="false" customHeight="false" outlineLevel="0" collapsed="false">
      <c r="A961" s="80"/>
      <c r="B961" s="71"/>
      <c r="C961" s="71"/>
      <c r="D961" s="81"/>
      <c r="E961" s="71"/>
      <c r="F961" s="71"/>
      <c r="G961" s="82" t="str">
        <f aca="false">IF(C961="","",IFERROR(INDEX('Kit Lists'!$D$6:$D$605,MATCH(B961&amp;"|"&amp;C961,'Kit Lists'!$J$6:$J$605,0)),"Not on this contract's kit list"))</f>
        <v/>
      </c>
      <c r="H961" s="83" t="str">
        <f aca="false">IF(AND(B961="",C961="",D961=""),"",IF(B961="","Missing contract",IF(C961="","Missing code",IF(LEFT(G961,3)="Not","Wrong code",IF(D961="","Missing qty",IF(A961="","Missing date",""))))))</f>
        <v/>
      </c>
      <c r="I961" s="84" t="str">
        <f aca="false">IF(B961=Dashboard!$D$3,ROW(),"")</f>
        <v/>
      </c>
    </row>
    <row r="962" customFormat="false" ht="15" hidden="false" customHeight="false" outlineLevel="0" collapsed="false">
      <c r="A962" s="80"/>
      <c r="B962" s="71"/>
      <c r="C962" s="71"/>
      <c r="D962" s="81"/>
      <c r="E962" s="71"/>
      <c r="F962" s="71"/>
      <c r="G962" s="82" t="str">
        <f aca="false">IF(C962="","",IFERROR(INDEX('Kit Lists'!$D$6:$D$605,MATCH(B962&amp;"|"&amp;C962,'Kit Lists'!$J$6:$J$605,0)),"Not on this contract's kit list"))</f>
        <v/>
      </c>
      <c r="H962" s="83" t="str">
        <f aca="false">IF(AND(B962="",C962="",D962=""),"",IF(B962="","Missing contract",IF(C962="","Missing code",IF(LEFT(G962,3)="Not","Wrong code",IF(D962="","Missing qty",IF(A962="","Missing date",""))))))</f>
        <v/>
      </c>
      <c r="I962" s="84" t="str">
        <f aca="false">IF(B962=Dashboard!$D$3,ROW(),"")</f>
        <v/>
      </c>
    </row>
    <row r="963" customFormat="false" ht="15" hidden="false" customHeight="false" outlineLevel="0" collapsed="false">
      <c r="A963" s="80"/>
      <c r="B963" s="71"/>
      <c r="C963" s="71"/>
      <c r="D963" s="81"/>
      <c r="E963" s="71"/>
      <c r="F963" s="71"/>
      <c r="G963" s="82" t="str">
        <f aca="false">IF(C963="","",IFERROR(INDEX('Kit Lists'!$D$6:$D$605,MATCH(B963&amp;"|"&amp;C963,'Kit Lists'!$J$6:$J$605,0)),"Not on this contract's kit list"))</f>
        <v/>
      </c>
      <c r="H963" s="83" t="str">
        <f aca="false">IF(AND(B963="",C963="",D963=""),"",IF(B963="","Missing contract",IF(C963="","Missing code",IF(LEFT(G963,3)="Not","Wrong code",IF(D963="","Missing qty",IF(A963="","Missing date",""))))))</f>
        <v/>
      </c>
      <c r="I963" s="84" t="str">
        <f aca="false">IF(B963=Dashboard!$D$3,ROW(),"")</f>
        <v/>
      </c>
    </row>
    <row r="964" customFormat="false" ht="15" hidden="false" customHeight="false" outlineLevel="0" collapsed="false">
      <c r="A964" s="80"/>
      <c r="B964" s="71"/>
      <c r="C964" s="71"/>
      <c r="D964" s="81"/>
      <c r="E964" s="71"/>
      <c r="F964" s="71"/>
      <c r="G964" s="82" t="str">
        <f aca="false">IF(C964="","",IFERROR(INDEX('Kit Lists'!$D$6:$D$605,MATCH(B964&amp;"|"&amp;C964,'Kit Lists'!$J$6:$J$605,0)),"Not on this contract's kit list"))</f>
        <v/>
      </c>
      <c r="H964" s="83" t="str">
        <f aca="false">IF(AND(B964="",C964="",D964=""),"",IF(B964="","Missing contract",IF(C964="","Missing code",IF(LEFT(G964,3)="Not","Wrong code",IF(D964="","Missing qty",IF(A964="","Missing date",""))))))</f>
        <v/>
      </c>
      <c r="I964" s="84" t="str">
        <f aca="false">IF(B964=Dashboard!$D$3,ROW(),"")</f>
        <v/>
      </c>
    </row>
    <row r="965" customFormat="false" ht="15" hidden="false" customHeight="false" outlineLevel="0" collapsed="false">
      <c r="A965" s="80"/>
      <c r="B965" s="71"/>
      <c r="C965" s="71"/>
      <c r="D965" s="81"/>
      <c r="E965" s="71"/>
      <c r="F965" s="71"/>
      <c r="G965" s="82" t="str">
        <f aca="false">IF(C965="","",IFERROR(INDEX('Kit Lists'!$D$6:$D$605,MATCH(B965&amp;"|"&amp;C965,'Kit Lists'!$J$6:$J$605,0)),"Not on this contract's kit list"))</f>
        <v/>
      </c>
      <c r="H965" s="83" t="str">
        <f aca="false">IF(AND(B965="",C965="",D965=""),"",IF(B965="","Missing contract",IF(C965="","Missing code",IF(LEFT(G965,3)="Not","Wrong code",IF(D965="","Missing qty",IF(A965="","Missing date",""))))))</f>
        <v/>
      </c>
      <c r="I965" s="84" t="str">
        <f aca="false">IF(B965=Dashboard!$D$3,ROW(),"")</f>
        <v/>
      </c>
    </row>
    <row r="966" customFormat="false" ht="15" hidden="false" customHeight="false" outlineLevel="0" collapsed="false">
      <c r="A966" s="80"/>
      <c r="B966" s="71"/>
      <c r="C966" s="71"/>
      <c r="D966" s="81"/>
      <c r="E966" s="71"/>
      <c r="F966" s="71"/>
      <c r="G966" s="82" t="str">
        <f aca="false">IF(C966="","",IFERROR(INDEX('Kit Lists'!$D$6:$D$605,MATCH(B966&amp;"|"&amp;C966,'Kit Lists'!$J$6:$J$605,0)),"Not on this contract's kit list"))</f>
        <v/>
      </c>
      <c r="H966" s="83" t="str">
        <f aca="false">IF(AND(B966="",C966="",D966=""),"",IF(B966="","Missing contract",IF(C966="","Missing code",IF(LEFT(G966,3)="Not","Wrong code",IF(D966="","Missing qty",IF(A966="","Missing date",""))))))</f>
        <v/>
      </c>
      <c r="I966" s="84" t="str">
        <f aca="false">IF(B966=Dashboard!$D$3,ROW(),"")</f>
        <v/>
      </c>
    </row>
    <row r="967" customFormat="false" ht="15" hidden="false" customHeight="false" outlineLevel="0" collapsed="false">
      <c r="A967" s="80"/>
      <c r="B967" s="71"/>
      <c r="C967" s="71"/>
      <c r="D967" s="81"/>
      <c r="E967" s="71"/>
      <c r="F967" s="71"/>
      <c r="G967" s="82" t="str">
        <f aca="false">IF(C967="","",IFERROR(INDEX('Kit Lists'!$D$6:$D$605,MATCH(B967&amp;"|"&amp;C967,'Kit Lists'!$J$6:$J$605,0)),"Not on this contract's kit list"))</f>
        <v/>
      </c>
      <c r="H967" s="83" t="str">
        <f aca="false">IF(AND(B967="",C967="",D967=""),"",IF(B967="","Missing contract",IF(C967="","Missing code",IF(LEFT(G967,3)="Not","Wrong code",IF(D967="","Missing qty",IF(A967="","Missing date",""))))))</f>
        <v/>
      </c>
      <c r="I967" s="84" t="str">
        <f aca="false">IF(B967=Dashboard!$D$3,ROW(),"")</f>
        <v/>
      </c>
    </row>
    <row r="968" customFormat="false" ht="15" hidden="false" customHeight="false" outlineLevel="0" collapsed="false">
      <c r="A968" s="80"/>
      <c r="B968" s="71"/>
      <c r="C968" s="71"/>
      <c r="D968" s="81"/>
      <c r="E968" s="71"/>
      <c r="F968" s="71"/>
      <c r="G968" s="82" t="str">
        <f aca="false">IF(C968="","",IFERROR(INDEX('Kit Lists'!$D$6:$D$605,MATCH(B968&amp;"|"&amp;C968,'Kit Lists'!$J$6:$J$605,0)),"Not on this contract's kit list"))</f>
        <v/>
      </c>
      <c r="H968" s="83" t="str">
        <f aca="false">IF(AND(B968="",C968="",D968=""),"",IF(B968="","Missing contract",IF(C968="","Missing code",IF(LEFT(G968,3)="Not","Wrong code",IF(D968="","Missing qty",IF(A968="","Missing date",""))))))</f>
        <v/>
      </c>
      <c r="I968" s="84" t="str">
        <f aca="false">IF(B968=Dashboard!$D$3,ROW(),"")</f>
        <v/>
      </c>
    </row>
    <row r="969" customFormat="false" ht="15" hidden="false" customHeight="false" outlineLevel="0" collapsed="false">
      <c r="A969" s="80"/>
      <c r="B969" s="71"/>
      <c r="C969" s="71"/>
      <c r="D969" s="81"/>
      <c r="E969" s="71"/>
      <c r="F969" s="71"/>
      <c r="G969" s="82" t="str">
        <f aca="false">IF(C969="","",IFERROR(INDEX('Kit Lists'!$D$6:$D$605,MATCH(B969&amp;"|"&amp;C969,'Kit Lists'!$J$6:$J$605,0)),"Not on this contract's kit list"))</f>
        <v/>
      </c>
      <c r="H969" s="83" t="str">
        <f aca="false">IF(AND(B969="",C969="",D969=""),"",IF(B969="","Missing contract",IF(C969="","Missing code",IF(LEFT(G969,3)="Not","Wrong code",IF(D969="","Missing qty",IF(A969="","Missing date",""))))))</f>
        <v/>
      </c>
      <c r="I969" s="84" t="str">
        <f aca="false">IF(B969=Dashboard!$D$3,ROW(),"")</f>
        <v/>
      </c>
    </row>
    <row r="970" customFormat="false" ht="15" hidden="false" customHeight="false" outlineLevel="0" collapsed="false">
      <c r="A970" s="80"/>
      <c r="B970" s="71"/>
      <c r="C970" s="71"/>
      <c r="D970" s="81"/>
      <c r="E970" s="71"/>
      <c r="F970" s="71"/>
      <c r="G970" s="82" t="str">
        <f aca="false">IF(C970="","",IFERROR(INDEX('Kit Lists'!$D$6:$D$605,MATCH(B970&amp;"|"&amp;C970,'Kit Lists'!$J$6:$J$605,0)),"Not on this contract's kit list"))</f>
        <v/>
      </c>
      <c r="H970" s="83" t="str">
        <f aca="false">IF(AND(B970="",C970="",D970=""),"",IF(B970="","Missing contract",IF(C970="","Missing code",IF(LEFT(G970,3)="Not","Wrong code",IF(D970="","Missing qty",IF(A970="","Missing date",""))))))</f>
        <v/>
      </c>
      <c r="I970" s="84" t="str">
        <f aca="false">IF(B970=Dashboard!$D$3,ROW(),"")</f>
        <v/>
      </c>
    </row>
    <row r="971" customFormat="false" ht="15" hidden="false" customHeight="false" outlineLevel="0" collapsed="false">
      <c r="A971" s="80"/>
      <c r="B971" s="71"/>
      <c r="C971" s="71"/>
      <c r="D971" s="81"/>
      <c r="E971" s="71"/>
      <c r="F971" s="71"/>
      <c r="G971" s="82" t="str">
        <f aca="false">IF(C971="","",IFERROR(INDEX('Kit Lists'!$D$6:$D$605,MATCH(B971&amp;"|"&amp;C971,'Kit Lists'!$J$6:$J$605,0)),"Not on this contract's kit list"))</f>
        <v/>
      </c>
      <c r="H971" s="83" t="str">
        <f aca="false">IF(AND(B971="",C971="",D971=""),"",IF(B971="","Missing contract",IF(C971="","Missing code",IF(LEFT(G971,3)="Not","Wrong code",IF(D971="","Missing qty",IF(A971="","Missing date",""))))))</f>
        <v/>
      </c>
      <c r="I971" s="84" t="str">
        <f aca="false">IF(B971=Dashboard!$D$3,ROW(),"")</f>
        <v/>
      </c>
    </row>
    <row r="972" customFormat="false" ht="15" hidden="false" customHeight="false" outlineLevel="0" collapsed="false">
      <c r="A972" s="80"/>
      <c r="B972" s="71"/>
      <c r="C972" s="71"/>
      <c r="D972" s="81"/>
      <c r="E972" s="71"/>
      <c r="F972" s="71"/>
      <c r="G972" s="82" t="str">
        <f aca="false">IF(C972="","",IFERROR(INDEX('Kit Lists'!$D$6:$D$605,MATCH(B972&amp;"|"&amp;C972,'Kit Lists'!$J$6:$J$605,0)),"Not on this contract's kit list"))</f>
        <v/>
      </c>
      <c r="H972" s="83" t="str">
        <f aca="false">IF(AND(B972="",C972="",D972=""),"",IF(B972="","Missing contract",IF(C972="","Missing code",IF(LEFT(G972,3)="Not","Wrong code",IF(D972="","Missing qty",IF(A972="","Missing date",""))))))</f>
        <v/>
      </c>
      <c r="I972" s="84" t="str">
        <f aca="false">IF(B972=Dashboard!$D$3,ROW(),"")</f>
        <v/>
      </c>
    </row>
    <row r="973" customFormat="false" ht="15" hidden="false" customHeight="false" outlineLevel="0" collapsed="false">
      <c r="A973" s="80"/>
      <c r="B973" s="71"/>
      <c r="C973" s="71"/>
      <c r="D973" s="81"/>
      <c r="E973" s="71"/>
      <c r="F973" s="71"/>
      <c r="G973" s="82" t="str">
        <f aca="false">IF(C973="","",IFERROR(INDEX('Kit Lists'!$D$6:$D$605,MATCH(B973&amp;"|"&amp;C973,'Kit Lists'!$J$6:$J$605,0)),"Not on this contract's kit list"))</f>
        <v/>
      </c>
      <c r="H973" s="83" t="str">
        <f aca="false">IF(AND(B973="",C973="",D973=""),"",IF(B973="","Missing contract",IF(C973="","Missing code",IF(LEFT(G973,3)="Not","Wrong code",IF(D973="","Missing qty",IF(A973="","Missing date",""))))))</f>
        <v/>
      </c>
      <c r="I973" s="84" t="str">
        <f aca="false">IF(B973=Dashboard!$D$3,ROW(),"")</f>
        <v/>
      </c>
    </row>
    <row r="974" customFormat="false" ht="15" hidden="false" customHeight="false" outlineLevel="0" collapsed="false">
      <c r="A974" s="80"/>
      <c r="B974" s="71"/>
      <c r="C974" s="71"/>
      <c r="D974" s="81"/>
      <c r="E974" s="71"/>
      <c r="F974" s="71"/>
      <c r="G974" s="82" t="str">
        <f aca="false">IF(C974="","",IFERROR(INDEX('Kit Lists'!$D$6:$D$605,MATCH(B974&amp;"|"&amp;C974,'Kit Lists'!$J$6:$J$605,0)),"Not on this contract's kit list"))</f>
        <v/>
      </c>
      <c r="H974" s="83" t="str">
        <f aca="false">IF(AND(B974="",C974="",D974=""),"",IF(B974="","Missing contract",IF(C974="","Missing code",IF(LEFT(G974,3)="Not","Wrong code",IF(D974="","Missing qty",IF(A974="","Missing date",""))))))</f>
        <v/>
      </c>
      <c r="I974" s="84" t="str">
        <f aca="false">IF(B974=Dashboard!$D$3,ROW(),"")</f>
        <v/>
      </c>
    </row>
    <row r="975" customFormat="false" ht="15" hidden="false" customHeight="false" outlineLevel="0" collapsed="false">
      <c r="A975" s="80"/>
      <c r="B975" s="71"/>
      <c r="C975" s="71"/>
      <c r="D975" s="81"/>
      <c r="E975" s="71"/>
      <c r="F975" s="71"/>
      <c r="G975" s="82" t="str">
        <f aca="false">IF(C975="","",IFERROR(INDEX('Kit Lists'!$D$6:$D$605,MATCH(B975&amp;"|"&amp;C975,'Kit Lists'!$J$6:$J$605,0)),"Not on this contract's kit list"))</f>
        <v/>
      </c>
      <c r="H975" s="83" t="str">
        <f aca="false">IF(AND(B975="",C975="",D975=""),"",IF(B975="","Missing contract",IF(C975="","Missing code",IF(LEFT(G975,3)="Not","Wrong code",IF(D975="","Missing qty",IF(A975="","Missing date",""))))))</f>
        <v/>
      </c>
      <c r="I975" s="84" t="str">
        <f aca="false">IF(B975=Dashboard!$D$3,ROW(),"")</f>
        <v/>
      </c>
    </row>
    <row r="976" customFormat="false" ht="15" hidden="false" customHeight="false" outlineLevel="0" collapsed="false">
      <c r="A976" s="80"/>
      <c r="B976" s="71"/>
      <c r="C976" s="71"/>
      <c r="D976" s="81"/>
      <c r="E976" s="71"/>
      <c r="F976" s="71"/>
      <c r="G976" s="82" t="str">
        <f aca="false">IF(C976="","",IFERROR(INDEX('Kit Lists'!$D$6:$D$605,MATCH(B976&amp;"|"&amp;C976,'Kit Lists'!$J$6:$J$605,0)),"Not on this contract's kit list"))</f>
        <v/>
      </c>
      <c r="H976" s="83" t="str">
        <f aca="false">IF(AND(B976="",C976="",D976=""),"",IF(B976="","Missing contract",IF(C976="","Missing code",IF(LEFT(G976,3)="Not","Wrong code",IF(D976="","Missing qty",IF(A976="","Missing date",""))))))</f>
        <v/>
      </c>
      <c r="I976" s="84" t="str">
        <f aca="false">IF(B976=Dashboard!$D$3,ROW(),"")</f>
        <v/>
      </c>
    </row>
    <row r="977" customFormat="false" ht="15" hidden="false" customHeight="false" outlineLevel="0" collapsed="false">
      <c r="A977" s="80"/>
      <c r="B977" s="71"/>
      <c r="C977" s="71"/>
      <c r="D977" s="81"/>
      <c r="E977" s="71"/>
      <c r="F977" s="71"/>
      <c r="G977" s="82" t="str">
        <f aca="false">IF(C977="","",IFERROR(INDEX('Kit Lists'!$D$6:$D$605,MATCH(B977&amp;"|"&amp;C977,'Kit Lists'!$J$6:$J$605,0)),"Not on this contract's kit list"))</f>
        <v/>
      </c>
      <c r="H977" s="83" t="str">
        <f aca="false">IF(AND(B977="",C977="",D977=""),"",IF(B977="","Missing contract",IF(C977="","Missing code",IF(LEFT(G977,3)="Not","Wrong code",IF(D977="","Missing qty",IF(A977="","Missing date",""))))))</f>
        <v/>
      </c>
      <c r="I977" s="84" t="str">
        <f aca="false">IF(B977=Dashboard!$D$3,ROW(),"")</f>
        <v/>
      </c>
    </row>
    <row r="978" customFormat="false" ht="15" hidden="false" customHeight="false" outlineLevel="0" collapsed="false">
      <c r="A978" s="80"/>
      <c r="B978" s="71"/>
      <c r="C978" s="71"/>
      <c r="D978" s="81"/>
      <c r="E978" s="71"/>
      <c r="F978" s="71"/>
      <c r="G978" s="82" t="str">
        <f aca="false">IF(C978="","",IFERROR(INDEX('Kit Lists'!$D$6:$D$605,MATCH(B978&amp;"|"&amp;C978,'Kit Lists'!$J$6:$J$605,0)),"Not on this contract's kit list"))</f>
        <v/>
      </c>
      <c r="H978" s="83" t="str">
        <f aca="false">IF(AND(B978="",C978="",D978=""),"",IF(B978="","Missing contract",IF(C978="","Missing code",IF(LEFT(G978,3)="Not","Wrong code",IF(D978="","Missing qty",IF(A978="","Missing date",""))))))</f>
        <v/>
      </c>
      <c r="I978" s="84" t="str">
        <f aca="false">IF(B978=Dashboard!$D$3,ROW(),"")</f>
        <v/>
      </c>
    </row>
    <row r="979" customFormat="false" ht="15" hidden="false" customHeight="false" outlineLevel="0" collapsed="false">
      <c r="A979" s="80"/>
      <c r="B979" s="71"/>
      <c r="C979" s="71"/>
      <c r="D979" s="81"/>
      <c r="E979" s="71"/>
      <c r="F979" s="71"/>
      <c r="G979" s="82" t="str">
        <f aca="false">IF(C979="","",IFERROR(INDEX('Kit Lists'!$D$6:$D$605,MATCH(B979&amp;"|"&amp;C979,'Kit Lists'!$J$6:$J$605,0)),"Not on this contract's kit list"))</f>
        <v/>
      </c>
      <c r="H979" s="83" t="str">
        <f aca="false">IF(AND(B979="",C979="",D979=""),"",IF(B979="","Missing contract",IF(C979="","Missing code",IF(LEFT(G979,3)="Not","Wrong code",IF(D979="","Missing qty",IF(A979="","Missing date",""))))))</f>
        <v/>
      </c>
      <c r="I979" s="84" t="str">
        <f aca="false">IF(B979=Dashboard!$D$3,ROW(),"")</f>
        <v/>
      </c>
    </row>
    <row r="980" customFormat="false" ht="15" hidden="false" customHeight="false" outlineLevel="0" collapsed="false">
      <c r="A980" s="80"/>
      <c r="B980" s="71"/>
      <c r="C980" s="71"/>
      <c r="D980" s="81"/>
      <c r="E980" s="71"/>
      <c r="F980" s="71"/>
      <c r="G980" s="82" t="str">
        <f aca="false">IF(C980="","",IFERROR(INDEX('Kit Lists'!$D$6:$D$605,MATCH(B980&amp;"|"&amp;C980,'Kit Lists'!$J$6:$J$605,0)),"Not on this contract's kit list"))</f>
        <v/>
      </c>
      <c r="H980" s="83" t="str">
        <f aca="false">IF(AND(B980="",C980="",D980=""),"",IF(B980="","Missing contract",IF(C980="","Missing code",IF(LEFT(G980,3)="Not","Wrong code",IF(D980="","Missing qty",IF(A980="","Missing date",""))))))</f>
        <v/>
      </c>
      <c r="I980" s="84" t="str">
        <f aca="false">IF(B980=Dashboard!$D$3,ROW(),"")</f>
        <v/>
      </c>
    </row>
    <row r="981" customFormat="false" ht="15" hidden="false" customHeight="false" outlineLevel="0" collapsed="false">
      <c r="A981" s="80"/>
      <c r="B981" s="71"/>
      <c r="C981" s="71"/>
      <c r="D981" s="81"/>
      <c r="E981" s="71"/>
      <c r="F981" s="71"/>
      <c r="G981" s="82" t="str">
        <f aca="false">IF(C981="","",IFERROR(INDEX('Kit Lists'!$D$6:$D$605,MATCH(B981&amp;"|"&amp;C981,'Kit Lists'!$J$6:$J$605,0)),"Not on this contract's kit list"))</f>
        <v/>
      </c>
      <c r="H981" s="83" t="str">
        <f aca="false">IF(AND(B981="",C981="",D981=""),"",IF(B981="","Missing contract",IF(C981="","Missing code",IF(LEFT(G981,3)="Not","Wrong code",IF(D981="","Missing qty",IF(A981="","Missing date",""))))))</f>
        <v/>
      </c>
      <c r="I981" s="84" t="str">
        <f aca="false">IF(B981=Dashboard!$D$3,ROW(),"")</f>
        <v/>
      </c>
    </row>
    <row r="982" customFormat="false" ht="15" hidden="false" customHeight="false" outlineLevel="0" collapsed="false">
      <c r="A982" s="80"/>
      <c r="B982" s="71"/>
      <c r="C982" s="71"/>
      <c r="D982" s="81"/>
      <c r="E982" s="71"/>
      <c r="F982" s="71"/>
      <c r="G982" s="82" t="str">
        <f aca="false">IF(C982="","",IFERROR(INDEX('Kit Lists'!$D$6:$D$605,MATCH(B982&amp;"|"&amp;C982,'Kit Lists'!$J$6:$J$605,0)),"Not on this contract's kit list"))</f>
        <v/>
      </c>
      <c r="H982" s="83" t="str">
        <f aca="false">IF(AND(B982="",C982="",D982=""),"",IF(B982="","Missing contract",IF(C982="","Missing code",IF(LEFT(G982,3)="Not","Wrong code",IF(D982="","Missing qty",IF(A982="","Missing date",""))))))</f>
        <v/>
      </c>
      <c r="I982" s="84" t="str">
        <f aca="false">IF(B982=Dashboard!$D$3,ROW(),"")</f>
        <v/>
      </c>
    </row>
    <row r="983" customFormat="false" ht="15" hidden="false" customHeight="false" outlineLevel="0" collapsed="false">
      <c r="A983" s="80"/>
      <c r="B983" s="71"/>
      <c r="C983" s="71"/>
      <c r="D983" s="81"/>
      <c r="E983" s="71"/>
      <c r="F983" s="71"/>
      <c r="G983" s="82" t="str">
        <f aca="false">IF(C983="","",IFERROR(INDEX('Kit Lists'!$D$6:$D$605,MATCH(B983&amp;"|"&amp;C983,'Kit Lists'!$J$6:$J$605,0)),"Not on this contract's kit list"))</f>
        <v/>
      </c>
      <c r="H983" s="83" t="str">
        <f aca="false">IF(AND(B983="",C983="",D983=""),"",IF(B983="","Missing contract",IF(C983="","Missing code",IF(LEFT(G983,3)="Not","Wrong code",IF(D983="","Missing qty",IF(A983="","Missing date",""))))))</f>
        <v/>
      </c>
      <c r="I983" s="84" t="str">
        <f aca="false">IF(B983=Dashboard!$D$3,ROW(),"")</f>
        <v/>
      </c>
    </row>
    <row r="984" customFormat="false" ht="15" hidden="false" customHeight="false" outlineLevel="0" collapsed="false">
      <c r="A984" s="80"/>
      <c r="B984" s="71"/>
      <c r="C984" s="71"/>
      <c r="D984" s="81"/>
      <c r="E984" s="71"/>
      <c r="F984" s="71"/>
      <c r="G984" s="82" t="str">
        <f aca="false">IF(C984="","",IFERROR(INDEX('Kit Lists'!$D$6:$D$605,MATCH(B984&amp;"|"&amp;C984,'Kit Lists'!$J$6:$J$605,0)),"Not on this contract's kit list"))</f>
        <v/>
      </c>
      <c r="H984" s="83" t="str">
        <f aca="false">IF(AND(B984="",C984="",D984=""),"",IF(B984="","Missing contract",IF(C984="","Missing code",IF(LEFT(G984,3)="Not","Wrong code",IF(D984="","Missing qty",IF(A984="","Missing date",""))))))</f>
        <v/>
      </c>
      <c r="I984" s="84" t="str">
        <f aca="false">IF(B984=Dashboard!$D$3,ROW(),"")</f>
        <v/>
      </c>
    </row>
    <row r="985" customFormat="false" ht="15" hidden="false" customHeight="false" outlineLevel="0" collapsed="false">
      <c r="A985" s="80"/>
      <c r="B985" s="71"/>
      <c r="C985" s="71"/>
      <c r="D985" s="81"/>
      <c r="E985" s="71"/>
      <c r="F985" s="71"/>
      <c r="G985" s="82" t="str">
        <f aca="false">IF(C985="","",IFERROR(INDEX('Kit Lists'!$D$6:$D$605,MATCH(B985&amp;"|"&amp;C985,'Kit Lists'!$J$6:$J$605,0)),"Not on this contract's kit list"))</f>
        <v/>
      </c>
      <c r="H985" s="83" t="str">
        <f aca="false">IF(AND(B985="",C985="",D985=""),"",IF(B985="","Missing contract",IF(C985="","Missing code",IF(LEFT(G985,3)="Not","Wrong code",IF(D985="","Missing qty",IF(A985="","Missing date",""))))))</f>
        <v/>
      </c>
      <c r="I985" s="84" t="str">
        <f aca="false">IF(B985=Dashboard!$D$3,ROW(),"")</f>
        <v/>
      </c>
    </row>
    <row r="986" customFormat="false" ht="15" hidden="false" customHeight="false" outlineLevel="0" collapsed="false">
      <c r="A986" s="80"/>
      <c r="B986" s="71"/>
      <c r="C986" s="71"/>
      <c r="D986" s="81"/>
      <c r="E986" s="71"/>
      <c r="F986" s="71"/>
      <c r="G986" s="82" t="str">
        <f aca="false">IF(C986="","",IFERROR(INDEX('Kit Lists'!$D$6:$D$605,MATCH(B986&amp;"|"&amp;C986,'Kit Lists'!$J$6:$J$605,0)),"Not on this contract's kit list"))</f>
        <v/>
      </c>
      <c r="H986" s="83" t="str">
        <f aca="false">IF(AND(B986="",C986="",D986=""),"",IF(B986="","Missing contract",IF(C986="","Missing code",IF(LEFT(G986,3)="Not","Wrong code",IF(D986="","Missing qty",IF(A986="","Missing date",""))))))</f>
        <v/>
      </c>
      <c r="I986" s="84" t="str">
        <f aca="false">IF(B986=Dashboard!$D$3,ROW(),"")</f>
        <v/>
      </c>
    </row>
    <row r="987" customFormat="false" ht="15" hidden="false" customHeight="false" outlineLevel="0" collapsed="false">
      <c r="A987" s="80"/>
      <c r="B987" s="71"/>
      <c r="C987" s="71"/>
      <c r="D987" s="81"/>
      <c r="E987" s="71"/>
      <c r="F987" s="71"/>
      <c r="G987" s="82" t="str">
        <f aca="false">IF(C987="","",IFERROR(INDEX('Kit Lists'!$D$6:$D$605,MATCH(B987&amp;"|"&amp;C987,'Kit Lists'!$J$6:$J$605,0)),"Not on this contract's kit list"))</f>
        <v/>
      </c>
      <c r="H987" s="83" t="str">
        <f aca="false">IF(AND(B987="",C987="",D987=""),"",IF(B987="","Missing contract",IF(C987="","Missing code",IF(LEFT(G987,3)="Not","Wrong code",IF(D987="","Missing qty",IF(A987="","Missing date",""))))))</f>
        <v/>
      </c>
      <c r="I987" s="84" t="str">
        <f aca="false">IF(B987=Dashboard!$D$3,ROW(),"")</f>
        <v/>
      </c>
    </row>
    <row r="988" customFormat="false" ht="15" hidden="false" customHeight="false" outlineLevel="0" collapsed="false">
      <c r="A988" s="80"/>
      <c r="B988" s="71"/>
      <c r="C988" s="71"/>
      <c r="D988" s="81"/>
      <c r="E988" s="71"/>
      <c r="F988" s="71"/>
      <c r="G988" s="82" t="str">
        <f aca="false">IF(C988="","",IFERROR(INDEX('Kit Lists'!$D$6:$D$605,MATCH(B988&amp;"|"&amp;C988,'Kit Lists'!$J$6:$J$605,0)),"Not on this contract's kit list"))</f>
        <v/>
      </c>
      <c r="H988" s="83" t="str">
        <f aca="false">IF(AND(B988="",C988="",D988=""),"",IF(B988="","Missing contract",IF(C988="","Missing code",IF(LEFT(G988,3)="Not","Wrong code",IF(D988="","Missing qty",IF(A988="","Missing date",""))))))</f>
        <v/>
      </c>
      <c r="I988" s="84" t="str">
        <f aca="false">IF(B988=Dashboard!$D$3,ROW(),"")</f>
        <v/>
      </c>
    </row>
    <row r="989" customFormat="false" ht="15" hidden="false" customHeight="false" outlineLevel="0" collapsed="false">
      <c r="A989" s="80"/>
      <c r="B989" s="71"/>
      <c r="C989" s="71"/>
      <c r="D989" s="81"/>
      <c r="E989" s="71"/>
      <c r="F989" s="71"/>
      <c r="G989" s="82" t="str">
        <f aca="false">IF(C989="","",IFERROR(INDEX('Kit Lists'!$D$6:$D$605,MATCH(B989&amp;"|"&amp;C989,'Kit Lists'!$J$6:$J$605,0)),"Not on this contract's kit list"))</f>
        <v/>
      </c>
      <c r="H989" s="83" t="str">
        <f aca="false">IF(AND(B989="",C989="",D989=""),"",IF(B989="","Missing contract",IF(C989="","Missing code",IF(LEFT(G989,3)="Not","Wrong code",IF(D989="","Missing qty",IF(A989="","Missing date",""))))))</f>
        <v/>
      </c>
      <c r="I989" s="84" t="str">
        <f aca="false">IF(B989=Dashboard!$D$3,ROW(),"")</f>
        <v/>
      </c>
    </row>
    <row r="990" customFormat="false" ht="15" hidden="false" customHeight="false" outlineLevel="0" collapsed="false">
      <c r="A990" s="80"/>
      <c r="B990" s="71"/>
      <c r="C990" s="71"/>
      <c r="D990" s="81"/>
      <c r="E990" s="71"/>
      <c r="F990" s="71"/>
      <c r="G990" s="82" t="str">
        <f aca="false">IF(C990="","",IFERROR(INDEX('Kit Lists'!$D$6:$D$605,MATCH(B990&amp;"|"&amp;C990,'Kit Lists'!$J$6:$J$605,0)),"Not on this contract's kit list"))</f>
        <v/>
      </c>
      <c r="H990" s="83" t="str">
        <f aca="false">IF(AND(B990="",C990="",D990=""),"",IF(B990="","Missing contract",IF(C990="","Missing code",IF(LEFT(G990,3)="Not","Wrong code",IF(D990="","Missing qty",IF(A990="","Missing date",""))))))</f>
        <v/>
      </c>
      <c r="I990" s="84" t="str">
        <f aca="false">IF(B990=Dashboard!$D$3,ROW(),"")</f>
        <v/>
      </c>
    </row>
    <row r="991" customFormat="false" ht="15" hidden="false" customHeight="false" outlineLevel="0" collapsed="false">
      <c r="A991" s="80"/>
      <c r="B991" s="71"/>
      <c r="C991" s="71"/>
      <c r="D991" s="81"/>
      <c r="E991" s="71"/>
      <c r="F991" s="71"/>
      <c r="G991" s="82" t="str">
        <f aca="false">IF(C991="","",IFERROR(INDEX('Kit Lists'!$D$6:$D$605,MATCH(B991&amp;"|"&amp;C991,'Kit Lists'!$J$6:$J$605,0)),"Not on this contract's kit list"))</f>
        <v/>
      </c>
      <c r="H991" s="83" t="str">
        <f aca="false">IF(AND(B991="",C991="",D991=""),"",IF(B991="","Missing contract",IF(C991="","Missing code",IF(LEFT(G991,3)="Not","Wrong code",IF(D991="","Missing qty",IF(A991="","Missing date",""))))))</f>
        <v/>
      </c>
      <c r="I991" s="84" t="str">
        <f aca="false">IF(B991=Dashboard!$D$3,ROW(),"")</f>
        <v/>
      </c>
    </row>
    <row r="992" customFormat="false" ht="15" hidden="false" customHeight="false" outlineLevel="0" collapsed="false">
      <c r="A992" s="80"/>
      <c r="B992" s="71"/>
      <c r="C992" s="71"/>
      <c r="D992" s="81"/>
      <c r="E992" s="71"/>
      <c r="F992" s="71"/>
      <c r="G992" s="82" t="str">
        <f aca="false">IF(C992="","",IFERROR(INDEX('Kit Lists'!$D$6:$D$605,MATCH(B992&amp;"|"&amp;C992,'Kit Lists'!$J$6:$J$605,0)),"Not on this contract's kit list"))</f>
        <v/>
      </c>
      <c r="H992" s="83" t="str">
        <f aca="false">IF(AND(B992="",C992="",D992=""),"",IF(B992="","Missing contract",IF(C992="","Missing code",IF(LEFT(G992,3)="Not","Wrong code",IF(D992="","Missing qty",IF(A992="","Missing date",""))))))</f>
        <v/>
      </c>
      <c r="I992" s="84" t="str">
        <f aca="false">IF(B992=Dashboard!$D$3,ROW(),"")</f>
        <v/>
      </c>
    </row>
    <row r="993" customFormat="false" ht="15" hidden="false" customHeight="false" outlineLevel="0" collapsed="false">
      <c r="A993" s="80"/>
      <c r="B993" s="71"/>
      <c r="C993" s="71"/>
      <c r="D993" s="81"/>
      <c r="E993" s="71"/>
      <c r="F993" s="71"/>
      <c r="G993" s="82" t="str">
        <f aca="false">IF(C993="","",IFERROR(INDEX('Kit Lists'!$D$6:$D$605,MATCH(B993&amp;"|"&amp;C993,'Kit Lists'!$J$6:$J$605,0)),"Not on this contract's kit list"))</f>
        <v/>
      </c>
      <c r="H993" s="83" t="str">
        <f aca="false">IF(AND(B993="",C993="",D993=""),"",IF(B993="","Missing contract",IF(C993="","Missing code",IF(LEFT(G993,3)="Not","Wrong code",IF(D993="","Missing qty",IF(A993="","Missing date",""))))))</f>
        <v/>
      </c>
      <c r="I993" s="84" t="str">
        <f aca="false">IF(B993=Dashboard!$D$3,ROW(),"")</f>
        <v/>
      </c>
    </row>
    <row r="994" customFormat="false" ht="15" hidden="false" customHeight="false" outlineLevel="0" collapsed="false">
      <c r="A994" s="80"/>
      <c r="B994" s="71"/>
      <c r="C994" s="71"/>
      <c r="D994" s="81"/>
      <c r="E994" s="71"/>
      <c r="F994" s="71"/>
      <c r="G994" s="82" t="str">
        <f aca="false">IF(C994="","",IFERROR(INDEX('Kit Lists'!$D$6:$D$605,MATCH(B994&amp;"|"&amp;C994,'Kit Lists'!$J$6:$J$605,0)),"Not on this contract's kit list"))</f>
        <v/>
      </c>
      <c r="H994" s="83" t="str">
        <f aca="false">IF(AND(B994="",C994="",D994=""),"",IF(B994="","Missing contract",IF(C994="","Missing code",IF(LEFT(G994,3)="Not","Wrong code",IF(D994="","Missing qty",IF(A994="","Missing date",""))))))</f>
        <v/>
      </c>
      <c r="I994" s="84" t="str">
        <f aca="false">IF(B994=Dashboard!$D$3,ROW(),"")</f>
        <v/>
      </c>
    </row>
    <row r="995" customFormat="false" ht="15" hidden="false" customHeight="false" outlineLevel="0" collapsed="false">
      <c r="A995" s="80"/>
      <c r="B995" s="71"/>
      <c r="C995" s="71"/>
      <c r="D995" s="81"/>
      <c r="E995" s="71"/>
      <c r="F995" s="71"/>
      <c r="G995" s="82" t="str">
        <f aca="false">IF(C995="","",IFERROR(INDEX('Kit Lists'!$D$6:$D$605,MATCH(B995&amp;"|"&amp;C995,'Kit Lists'!$J$6:$J$605,0)),"Not on this contract's kit list"))</f>
        <v/>
      </c>
      <c r="H995" s="83" t="str">
        <f aca="false">IF(AND(B995="",C995="",D995=""),"",IF(B995="","Missing contract",IF(C995="","Missing code",IF(LEFT(G995,3)="Not","Wrong code",IF(D995="","Missing qty",IF(A995="","Missing date",""))))))</f>
        <v/>
      </c>
      <c r="I995" s="84" t="str">
        <f aca="false">IF(B995=Dashboard!$D$3,ROW(),"")</f>
        <v/>
      </c>
    </row>
    <row r="996" customFormat="false" ht="15" hidden="false" customHeight="false" outlineLevel="0" collapsed="false">
      <c r="A996" s="80"/>
      <c r="B996" s="71"/>
      <c r="C996" s="71"/>
      <c r="D996" s="81"/>
      <c r="E996" s="71"/>
      <c r="F996" s="71"/>
      <c r="G996" s="82" t="str">
        <f aca="false">IF(C996="","",IFERROR(INDEX('Kit Lists'!$D$6:$D$605,MATCH(B996&amp;"|"&amp;C996,'Kit Lists'!$J$6:$J$605,0)),"Not on this contract's kit list"))</f>
        <v/>
      </c>
      <c r="H996" s="83" t="str">
        <f aca="false">IF(AND(B996="",C996="",D996=""),"",IF(B996="","Missing contract",IF(C996="","Missing code",IF(LEFT(G996,3)="Not","Wrong code",IF(D996="","Missing qty",IF(A996="","Missing date",""))))))</f>
        <v/>
      </c>
      <c r="I996" s="84" t="str">
        <f aca="false">IF(B996=Dashboard!$D$3,ROW(),"")</f>
        <v/>
      </c>
    </row>
    <row r="997" customFormat="false" ht="15" hidden="false" customHeight="false" outlineLevel="0" collapsed="false">
      <c r="A997" s="80"/>
      <c r="B997" s="71"/>
      <c r="C997" s="71"/>
      <c r="D997" s="81"/>
      <c r="E997" s="71"/>
      <c r="F997" s="71"/>
      <c r="G997" s="82" t="str">
        <f aca="false">IF(C997="","",IFERROR(INDEX('Kit Lists'!$D$6:$D$605,MATCH(B997&amp;"|"&amp;C997,'Kit Lists'!$J$6:$J$605,0)),"Not on this contract's kit list"))</f>
        <v/>
      </c>
      <c r="H997" s="83" t="str">
        <f aca="false">IF(AND(B997="",C997="",D997=""),"",IF(B997="","Missing contract",IF(C997="","Missing code",IF(LEFT(G997,3)="Not","Wrong code",IF(D997="","Missing qty",IF(A997="","Missing date",""))))))</f>
        <v/>
      </c>
      <c r="I997" s="84" t="str">
        <f aca="false">IF(B997=Dashboard!$D$3,ROW(),"")</f>
        <v/>
      </c>
    </row>
    <row r="998" customFormat="false" ht="15" hidden="false" customHeight="false" outlineLevel="0" collapsed="false">
      <c r="A998" s="80"/>
      <c r="B998" s="71"/>
      <c r="C998" s="71"/>
      <c r="D998" s="81"/>
      <c r="E998" s="71"/>
      <c r="F998" s="71"/>
      <c r="G998" s="82" t="str">
        <f aca="false">IF(C998="","",IFERROR(INDEX('Kit Lists'!$D$6:$D$605,MATCH(B998&amp;"|"&amp;C998,'Kit Lists'!$J$6:$J$605,0)),"Not on this contract's kit list"))</f>
        <v/>
      </c>
      <c r="H998" s="83" t="str">
        <f aca="false">IF(AND(B998="",C998="",D998=""),"",IF(B998="","Missing contract",IF(C998="","Missing code",IF(LEFT(G998,3)="Not","Wrong code",IF(D998="","Missing qty",IF(A998="","Missing date",""))))))</f>
        <v/>
      </c>
      <c r="I998" s="84" t="str">
        <f aca="false">IF(B998=Dashboard!$D$3,ROW(),"")</f>
        <v/>
      </c>
    </row>
    <row r="999" customFormat="false" ht="15" hidden="false" customHeight="false" outlineLevel="0" collapsed="false">
      <c r="A999" s="80"/>
      <c r="B999" s="71"/>
      <c r="C999" s="71"/>
      <c r="D999" s="81"/>
      <c r="E999" s="71"/>
      <c r="F999" s="71"/>
      <c r="G999" s="82" t="str">
        <f aca="false">IF(C999="","",IFERROR(INDEX('Kit Lists'!$D$6:$D$605,MATCH(B999&amp;"|"&amp;C999,'Kit Lists'!$J$6:$J$605,0)),"Not on this contract's kit list"))</f>
        <v/>
      </c>
      <c r="H999" s="83" t="str">
        <f aca="false">IF(AND(B999="",C999="",D999=""),"",IF(B999="","Missing contract",IF(C999="","Missing code",IF(LEFT(G999,3)="Not","Wrong code",IF(D999="","Missing qty",IF(A999="","Missing date",""))))))</f>
        <v/>
      </c>
      <c r="I999" s="84" t="str">
        <f aca="false">IF(B999=Dashboard!$D$3,ROW(),"")</f>
        <v/>
      </c>
    </row>
    <row r="1000" customFormat="false" ht="15" hidden="false" customHeight="false" outlineLevel="0" collapsed="false">
      <c r="A1000" s="80"/>
      <c r="B1000" s="71"/>
      <c r="C1000" s="71"/>
      <c r="D1000" s="81"/>
      <c r="E1000" s="71"/>
      <c r="F1000" s="71"/>
      <c r="G1000" s="82" t="str">
        <f aca="false">IF(C1000="","",IFERROR(INDEX('Kit Lists'!$D$6:$D$605,MATCH(B1000&amp;"|"&amp;C1000,'Kit Lists'!$J$6:$J$605,0)),"Not on this contract's kit list"))</f>
        <v/>
      </c>
      <c r="H1000" s="83" t="str">
        <f aca="false">IF(AND(B1000="",C1000="",D1000=""),"",IF(B1000="","Missing contract",IF(C1000="","Missing code",IF(LEFT(G1000,3)="Not","Wrong code",IF(D1000="","Missing qty",IF(A1000="","Missing date",""))))))</f>
        <v/>
      </c>
      <c r="I1000" s="84" t="str">
        <f aca="false">IF(B1000=Dashboard!$D$3,ROW(),"")</f>
        <v/>
      </c>
    </row>
    <row r="1001" customFormat="false" ht="15" hidden="false" customHeight="false" outlineLevel="0" collapsed="false">
      <c r="A1001" s="80"/>
      <c r="B1001" s="71"/>
      <c r="C1001" s="71"/>
      <c r="D1001" s="81"/>
      <c r="E1001" s="71"/>
      <c r="F1001" s="71"/>
      <c r="G1001" s="82" t="str">
        <f aca="false">IF(C1001="","",IFERROR(INDEX('Kit Lists'!$D$6:$D$605,MATCH(B1001&amp;"|"&amp;C1001,'Kit Lists'!$J$6:$J$605,0)),"Not on this contract's kit list"))</f>
        <v/>
      </c>
      <c r="H1001" s="83" t="str">
        <f aca="false">IF(AND(B1001="",C1001="",D1001=""),"",IF(B1001="","Missing contract",IF(C1001="","Missing code",IF(LEFT(G1001,3)="Not","Wrong code",IF(D1001="","Missing qty",IF(A1001="","Missing date",""))))))</f>
        <v/>
      </c>
      <c r="I1001" s="84" t="str">
        <f aca="false">IF(B1001=Dashboard!$D$3,ROW(),"")</f>
        <v/>
      </c>
    </row>
    <row r="1002" customFormat="false" ht="15" hidden="false" customHeight="false" outlineLevel="0" collapsed="false">
      <c r="A1002" s="80"/>
      <c r="B1002" s="71"/>
      <c r="C1002" s="71"/>
      <c r="D1002" s="81"/>
      <c r="E1002" s="71"/>
      <c r="F1002" s="71"/>
      <c r="G1002" s="82" t="str">
        <f aca="false">IF(C1002="","",IFERROR(INDEX('Kit Lists'!$D$6:$D$605,MATCH(B1002&amp;"|"&amp;C1002,'Kit Lists'!$J$6:$J$605,0)),"Not on this contract's kit list"))</f>
        <v/>
      </c>
      <c r="H1002" s="83" t="str">
        <f aca="false">IF(AND(B1002="",C1002="",D1002=""),"",IF(B1002="","Missing contract",IF(C1002="","Missing code",IF(LEFT(G1002,3)="Not","Wrong code",IF(D1002="","Missing qty",IF(A1002="","Missing date",""))))))</f>
        <v/>
      </c>
      <c r="I1002" s="84" t="str">
        <f aca="false">IF(B1002=Dashboard!$D$3,ROW(),"")</f>
        <v/>
      </c>
    </row>
    <row r="1003" customFormat="false" ht="15" hidden="false" customHeight="false" outlineLevel="0" collapsed="false">
      <c r="A1003" s="80"/>
      <c r="B1003" s="71"/>
      <c r="C1003" s="71"/>
      <c r="D1003" s="81"/>
      <c r="E1003" s="71"/>
      <c r="F1003" s="71"/>
      <c r="G1003" s="82" t="str">
        <f aca="false">IF(C1003="","",IFERROR(INDEX('Kit Lists'!$D$6:$D$605,MATCH(B1003&amp;"|"&amp;C1003,'Kit Lists'!$J$6:$J$605,0)),"Not on this contract's kit list"))</f>
        <v/>
      </c>
      <c r="H1003" s="83" t="str">
        <f aca="false">IF(AND(B1003="",C1003="",D1003=""),"",IF(B1003="","Missing contract",IF(C1003="","Missing code",IF(LEFT(G1003,3)="Not","Wrong code",IF(D1003="","Missing qty",IF(A1003="","Missing date",""))))))</f>
        <v/>
      </c>
      <c r="I1003" s="84" t="str">
        <f aca="false">IF(B1003=Dashboard!$D$3,ROW(),"")</f>
        <v/>
      </c>
    </row>
    <row r="1004" customFormat="false" ht="15" hidden="false" customHeight="false" outlineLevel="0" collapsed="false">
      <c r="A1004" s="80"/>
      <c r="B1004" s="71"/>
      <c r="C1004" s="71"/>
      <c r="D1004" s="81"/>
      <c r="E1004" s="71"/>
      <c r="F1004" s="71"/>
      <c r="G1004" s="82" t="str">
        <f aca="false">IF(C1004="","",IFERROR(INDEX('Kit Lists'!$D$6:$D$605,MATCH(B1004&amp;"|"&amp;C1004,'Kit Lists'!$J$6:$J$605,0)),"Not on this contract's kit list"))</f>
        <v/>
      </c>
      <c r="H1004" s="83" t="str">
        <f aca="false">IF(AND(B1004="",C1004="",D1004=""),"",IF(B1004="","Missing contract",IF(C1004="","Missing code",IF(LEFT(G1004,3)="Not","Wrong code",IF(D1004="","Missing qty",IF(A1004="","Missing date",""))))))</f>
        <v/>
      </c>
      <c r="I1004" s="84" t="str">
        <f aca="false">IF(B1004=Dashboard!$D$3,ROW(),"")</f>
        <v/>
      </c>
    </row>
    <row r="1005" customFormat="false" ht="15" hidden="false" customHeight="false" outlineLevel="0" collapsed="false">
      <c r="A1005" s="80"/>
      <c r="B1005" s="71"/>
      <c r="C1005" s="71"/>
      <c r="D1005" s="81"/>
      <c r="E1005" s="71"/>
      <c r="F1005" s="71"/>
      <c r="G1005" s="82" t="str">
        <f aca="false">IF(C1005="","",IFERROR(INDEX('Kit Lists'!$D$6:$D$605,MATCH(B1005&amp;"|"&amp;C1005,'Kit Lists'!$J$6:$J$605,0)),"Not on this contract's kit list"))</f>
        <v/>
      </c>
      <c r="H1005" s="83" t="str">
        <f aca="false">IF(AND(B1005="",C1005="",D1005=""),"",IF(B1005="","Missing contract",IF(C1005="","Missing code",IF(LEFT(G1005,3)="Not","Wrong code",IF(D1005="","Missing qty",IF(A1005="","Missing date",""))))))</f>
        <v/>
      </c>
      <c r="I1005" s="84" t="str">
        <f aca="false">IF(B1005=Dashboard!$D$3,ROW(),"")</f>
        <v/>
      </c>
    </row>
    <row r="1006" customFormat="false" ht="15" hidden="false" customHeight="false" outlineLevel="0" collapsed="false">
      <c r="A1006" s="80"/>
      <c r="B1006" s="71"/>
      <c r="C1006" s="71"/>
      <c r="D1006" s="81"/>
      <c r="E1006" s="71"/>
      <c r="F1006" s="71"/>
      <c r="G1006" s="82" t="str">
        <f aca="false">IF(C1006="","",IFERROR(INDEX('Kit Lists'!$D$6:$D$605,MATCH(B1006&amp;"|"&amp;C1006,'Kit Lists'!$J$6:$J$605,0)),"Not on this contract's kit list"))</f>
        <v/>
      </c>
      <c r="H1006" s="83" t="str">
        <f aca="false">IF(AND(B1006="",C1006="",D1006=""),"",IF(B1006="","Missing contract",IF(C1006="","Missing code",IF(LEFT(G1006,3)="Not","Wrong code",IF(D1006="","Missing qty",IF(A1006="","Missing date",""))))))</f>
        <v/>
      </c>
      <c r="I1006" s="84" t="str">
        <f aca="false">IF(B1006=Dashboard!$D$3,ROW(),"")</f>
        <v/>
      </c>
    </row>
    <row r="1007" customFormat="false" ht="15" hidden="false" customHeight="false" outlineLevel="0" collapsed="false">
      <c r="A1007" s="80"/>
      <c r="B1007" s="71"/>
      <c r="C1007" s="71"/>
      <c r="D1007" s="81"/>
      <c r="E1007" s="71"/>
      <c r="F1007" s="71"/>
      <c r="G1007" s="82" t="str">
        <f aca="false">IF(C1007="","",IFERROR(INDEX('Kit Lists'!$D$6:$D$605,MATCH(B1007&amp;"|"&amp;C1007,'Kit Lists'!$J$6:$J$605,0)),"Not on this contract's kit list"))</f>
        <v/>
      </c>
      <c r="H1007" s="83" t="str">
        <f aca="false">IF(AND(B1007="",C1007="",D1007=""),"",IF(B1007="","Missing contract",IF(C1007="","Missing code",IF(LEFT(G1007,3)="Not","Wrong code",IF(D1007="","Missing qty",IF(A1007="","Missing date",""))))))</f>
        <v/>
      </c>
      <c r="I1007" s="84" t="str">
        <f aca="false">IF(B1007=Dashboard!$D$3,ROW(),"")</f>
        <v/>
      </c>
    </row>
    <row r="1008" customFormat="false" ht="15" hidden="false" customHeight="false" outlineLevel="0" collapsed="false">
      <c r="A1008" s="80"/>
      <c r="B1008" s="71"/>
      <c r="C1008" s="71"/>
      <c r="D1008" s="81"/>
      <c r="E1008" s="71"/>
      <c r="F1008" s="71"/>
      <c r="G1008" s="82" t="str">
        <f aca="false">IF(C1008="","",IFERROR(INDEX('Kit Lists'!$D$6:$D$605,MATCH(B1008&amp;"|"&amp;C1008,'Kit Lists'!$J$6:$J$605,0)),"Not on this contract's kit list"))</f>
        <v/>
      </c>
      <c r="H1008" s="83" t="str">
        <f aca="false">IF(AND(B1008="",C1008="",D1008=""),"",IF(B1008="","Missing contract",IF(C1008="","Missing code",IF(LEFT(G1008,3)="Not","Wrong code",IF(D1008="","Missing qty",IF(A1008="","Missing date",""))))))</f>
        <v/>
      </c>
      <c r="I1008" s="84" t="str">
        <f aca="false">IF(B1008=Dashboard!$D$3,ROW(),"")</f>
        <v/>
      </c>
    </row>
    <row r="1009" customFormat="false" ht="15" hidden="false" customHeight="false" outlineLevel="0" collapsed="false">
      <c r="A1009" s="80"/>
      <c r="B1009" s="71"/>
      <c r="C1009" s="71"/>
      <c r="D1009" s="81"/>
      <c r="E1009" s="71"/>
      <c r="F1009" s="71"/>
      <c r="G1009" s="82" t="str">
        <f aca="false">IF(C1009="","",IFERROR(INDEX('Kit Lists'!$D$6:$D$605,MATCH(B1009&amp;"|"&amp;C1009,'Kit Lists'!$J$6:$J$605,0)),"Not on this contract's kit list"))</f>
        <v/>
      </c>
      <c r="H1009" s="83" t="str">
        <f aca="false">IF(AND(B1009="",C1009="",D1009=""),"",IF(B1009="","Missing contract",IF(C1009="","Missing code",IF(LEFT(G1009,3)="Not","Wrong code",IF(D1009="","Missing qty",IF(A1009="","Missing date",""))))))</f>
        <v/>
      </c>
      <c r="I1009" s="84" t="str">
        <f aca="false">IF(B1009=Dashboard!$D$3,ROW(),"")</f>
        <v/>
      </c>
    </row>
    <row r="1010" customFormat="false" ht="15" hidden="false" customHeight="false" outlineLevel="0" collapsed="false">
      <c r="A1010" s="80"/>
      <c r="B1010" s="71"/>
      <c r="C1010" s="71"/>
      <c r="D1010" s="81"/>
      <c r="E1010" s="71"/>
      <c r="F1010" s="71"/>
      <c r="G1010" s="82" t="str">
        <f aca="false">IF(C1010="","",IFERROR(INDEX('Kit Lists'!$D$6:$D$605,MATCH(B1010&amp;"|"&amp;C1010,'Kit Lists'!$J$6:$J$605,0)),"Not on this contract's kit list"))</f>
        <v/>
      </c>
      <c r="H1010" s="83" t="str">
        <f aca="false">IF(AND(B1010="",C1010="",D1010=""),"",IF(B1010="","Missing contract",IF(C1010="","Missing code",IF(LEFT(G1010,3)="Not","Wrong code",IF(D1010="","Missing qty",IF(A1010="","Missing date",""))))))</f>
        <v/>
      </c>
      <c r="I1010" s="84" t="str">
        <f aca="false">IF(B1010=Dashboard!$D$3,ROW(),"")</f>
        <v/>
      </c>
    </row>
    <row r="1011" customFormat="false" ht="15" hidden="false" customHeight="false" outlineLevel="0" collapsed="false">
      <c r="A1011" s="80"/>
      <c r="B1011" s="71"/>
      <c r="C1011" s="71"/>
      <c r="D1011" s="81"/>
      <c r="E1011" s="71"/>
      <c r="F1011" s="71"/>
      <c r="G1011" s="82" t="str">
        <f aca="false">IF(C1011="","",IFERROR(INDEX('Kit Lists'!$D$6:$D$605,MATCH(B1011&amp;"|"&amp;C1011,'Kit Lists'!$J$6:$J$605,0)),"Not on this contract's kit list"))</f>
        <v/>
      </c>
      <c r="H1011" s="83" t="str">
        <f aca="false">IF(AND(B1011="",C1011="",D1011=""),"",IF(B1011="","Missing contract",IF(C1011="","Missing code",IF(LEFT(G1011,3)="Not","Wrong code",IF(D1011="","Missing qty",IF(A1011="","Missing date",""))))))</f>
        <v/>
      </c>
      <c r="I1011" s="84" t="str">
        <f aca="false">IF(B1011=Dashboard!$D$3,ROW(),"")</f>
        <v/>
      </c>
    </row>
    <row r="1012" customFormat="false" ht="15" hidden="false" customHeight="false" outlineLevel="0" collapsed="false">
      <c r="A1012" s="80"/>
      <c r="B1012" s="71"/>
      <c r="C1012" s="71"/>
      <c r="D1012" s="81"/>
      <c r="E1012" s="71"/>
      <c r="F1012" s="71"/>
      <c r="G1012" s="82" t="str">
        <f aca="false">IF(C1012="","",IFERROR(INDEX('Kit Lists'!$D$6:$D$605,MATCH(B1012&amp;"|"&amp;C1012,'Kit Lists'!$J$6:$J$605,0)),"Not on this contract's kit list"))</f>
        <v/>
      </c>
      <c r="H1012" s="83" t="str">
        <f aca="false">IF(AND(B1012="",C1012="",D1012=""),"",IF(B1012="","Missing contract",IF(C1012="","Missing code",IF(LEFT(G1012,3)="Not","Wrong code",IF(D1012="","Missing qty",IF(A1012="","Missing date",""))))))</f>
        <v/>
      </c>
      <c r="I1012" s="84" t="str">
        <f aca="false">IF(B1012=Dashboard!$D$3,ROW(),"")</f>
        <v/>
      </c>
    </row>
    <row r="1013" customFormat="false" ht="15" hidden="false" customHeight="false" outlineLevel="0" collapsed="false">
      <c r="A1013" s="80"/>
      <c r="B1013" s="71"/>
      <c r="C1013" s="71"/>
      <c r="D1013" s="81"/>
      <c r="E1013" s="71"/>
      <c r="F1013" s="71"/>
      <c r="G1013" s="82" t="str">
        <f aca="false">IF(C1013="","",IFERROR(INDEX('Kit Lists'!$D$6:$D$605,MATCH(B1013&amp;"|"&amp;C1013,'Kit Lists'!$J$6:$J$605,0)),"Not on this contract's kit list"))</f>
        <v/>
      </c>
      <c r="H1013" s="83" t="str">
        <f aca="false">IF(AND(B1013="",C1013="",D1013=""),"",IF(B1013="","Missing contract",IF(C1013="","Missing code",IF(LEFT(G1013,3)="Not","Wrong code",IF(D1013="","Missing qty",IF(A1013="","Missing date",""))))))</f>
        <v/>
      </c>
      <c r="I1013" s="84" t="str">
        <f aca="false">IF(B1013=Dashboard!$D$3,ROW(),"")</f>
        <v/>
      </c>
    </row>
    <row r="1014" customFormat="false" ht="15" hidden="false" customHeight="false" outlineLevel="0" collapsed="false">
      <c r="A1014" s="80"/>
      <c r="B1014" s="71"/>
      <c r="C1014" s="71"/>
      <c r="D1014" s="81"/>
      <c r="E1014" s="71"/>
      <c r="F1014" s="71"/>
      <c r="G1014" s="82" t="str">
        <f aca="false">IF(C1014="","",IFERROR(INDEX('Kit Lists'!$D$6:$D$605,MATCH(B1014&amp;"|"&amp;C1014,'Kit Lists'!$J$6:$J$605,0)),"Not on this contract's kit list"))</f>
        <v/>
      </c>
      <c r="H1014" s="83" t="str">
        <f aca="false">IF(AND(B1014="",C1014="",D1014=""),"",IF(B1014="","Missing contract",IF(C1014="","Missing code",IF(LEFT(G1014,3)="Not","Wrong code",IF(D1014="","Missing qty",IF(A1014="","Missing date",""))))))</f>
        <v/>
      </c>
      <c r="I1014" s="84" t="str">
        <f aca="false">IF(B1014=Dashboard!$D$3,ROW(),"")</f>
        <v/>
      </c>
    </row>
    <row r="1015" customFormat="false" ht="15" hidden="false" customHeight="false" outlineLevel="0" collapsed="false">
      <c r="A1015" s="80"/>
      <c r="B1015" s="71"/>
      <c r="C1015" s="71"/>
      <c r="D1015" s="81"/>
      <c r="E1015" s="71"/>
      <c r="F1015" s="71"/>
      <c r="G1015" s="82" t="str">
        <f aca="false">IF(C1015="","",IFERROR(INDEX('Kit Lists'!$D$6:$D$605,MATCH(B1015&amp;"|"&amp;C1015,'Kit Lists'!$J$6:$J$605,0)),"Not on this contract's kit list"))</f>
        <v/>
      </c>
      <c r="H1015" s="83" t="str">
        <f aca="false">IF(AND(B1015="",C1015="",D1015=""),"",IF(B1015="","Missing contract",IF(C1015="","Missing code",IF(LEFT(G1015,3)="Not","Wrong code",IF(D1015="","Missing qty",IF(A1015="","Missing date",""))))))</f>
        <v/>
      </c>
      <c r="I1015" s="84" t="str">
        <f aca="false">IF(B1015=Dashboard!$D$3,ROW(),"")</f>
        <v/>
      </c>
    </row>
    <row r="1016" customFormat="false" ht="15" hidden="false" customHeight="false" outlineLevel="0" collapsed="false">
      <c r="A1016" s="80"/>
      <c r="B1016" s="71"/>
      <c r="C1016" s="71"/>
      <c r="D1016" s="81"/>
      <c r="E1016" s="71"/>
      <c r="F1016" s="71"/>
      <c r="G1016" s="82" t="str">
        <f aca="false">IF(C1016="","",IFERROR(INDEX('Kit Lists'!$D$6:$D$605,MATCH(B1016&amp;"|"&amp;C1016,'Kit Lists'!$J$6:$J$605,0)),"Not on this contract's kit list"))</f>
        <v/>
      </c>
      <c r="H1016" s="83" t="str">
        <f aca="false">IF(AND(B1016="",C1016="",D1016=""),"",IF(B1016="","Missing contract",IF(C1016="","Missing code",IF(LEFT(G1016,3)="Not","Wrong code",IF(D1016="","Missing qty",IF(A1016="","Missing date",""))))))</f>
        <v/>
      </c>
      <c r="I1016" s="84" t="str">
        <f aca="false">IF(B1016=Dashboard!$D$3,ROW(),"")</f>
        <v/>
      </c>
    </row>
    <row r="1017" customFormat="false" ht="15" hidden="false" customHeight="false" outlineLevel="0" collapsed="false">
      <c r="A1017" s="80"/>
      <c r="B1017" s="71"/>
      <c r="C1017" s="71"/>
      <c r="D1017" s="81"/>
      <c r="E1017" s="71"/>
      <c r="F1017" s="71"/>
      <c r="G1017" s="82" t="str">
        <f aca="false">IF(C1017="","",IFERROR(INDEX('Kit Lists'!$D$6:$D$605,MATCH(B1017&amp;"|"&amp;C1017,'Kit Lists'!$J$6:$J$605,0)),"Not on this contract's kit list"))</f>
        <v/>
      </c>
      <c r="H1017" s="83" t="str">
        <f aca="false">IF(AND(B1017="",C1017="",D1017=""),"",IF(B1017="","Missing contract",IF(C1017="","Missing code",IF(LEFT(G1017,3)="Not","Wrong code",IF(D1017="","Missing qty",IF(A1017="","Missing date",""))))))</f>
        <v/>
      </c>
      <c r="I1017" s="84" t="str">
        <f aca="false">IF(B1017=Dashboard!$D$3,ROW(),"")</f>
        <v/>
      </c>
    </row>
    <row r="1018" customFormat="false" ht="15" hidden="false" customHeight="false" outlineLevel="0" collapsed="false">
      <c r="A1018" s="80"/>
      <c r="B1018" s="71"/>
      <c r="C1018" s="71"/>
      <c r="D1018" s="81"/>
      <c r="E1018" s="71"/>
      <c r="F1018" s="71"/>
      <c r="G1018" s="82" t="str">
        <f aca="false">IF(C1018="","",IFERROR(INDEX('Kit Lists'!$D$6:$D$605,MATCH(B1018&amp;"|"&amp;C1018,'Kit Lists'!$J$6:$J$605,0)),"Not on this contract's kit list"))</f>
        <v/>
      </c>
      <c r="H1018" s="83" t="str">
        <f aca="false">IF(AND(B1018="",C1018="",D1018=""),"",IF(B1018="","Missing contract",IF(C1018="","Missing code",IF(LEFT(G1018,3)="Not","Wrong code",IF(D1018="","Missing qty",IF(A1018="","Missing date",""))))))</f>
        <v/>
      </c>
      <c r="I1018" s="84" t="str">
        <f aca="false">IF(B1018=Dashboard!$D$3,ROW(),"")</f>
        <v/>
      </c>
    </row>
    <row r="1019" customFormat="false" ht="15" hidden="false" customHeight="false" outlineLevel="0" collapsed="false">
      <c r="A1019" s="80"/>
      <c r="B1019" s="71"/>
      <c r="C1019" s="71"/>
      <c r="D1019" s="81"/>
      <c r="E1019" s="71"/>
      <c r="F1019" s="71"/>
      <c r="G1019" s="82" t="str">
        <f aca="false">IF(C1019="","",IFERROR(INDEX('Kit Lists'!$D$6:$D$605,MATCH(B1019&amp;"|"&amp;C1019,'Kit Lists'!$J$6:$J$605,0)),"Not on this contract's kit list"))</f>
        <v/>
      </c>
      <c r="H1019" s="83" t="str">
        <f aca="false">IF(AND(B1019="",C1019="",D1019=""),"",IF(B1019="","Missing contract",IF(C1019="","Missing code",IF(LEFT(G1019,3)="Not","Wrong code",IF(D1019="","Missing qty",IF(A1019="","Missing date",""))))))</f>
        <v/>
      </c>
      <c r="I1019" s="84" t="str">
        <f aca="false">IF(B1019=Dashboard!$D$3,ROW(),"")</f>
        <v/>
      </c>
    </row>
    <row r="1020" customFormat="false" ht="15" hidden="false" customHeight="false" outlineLevel="0" collapsed="false">
      <c r="A1020" s="80"/>
      <c r="B1020" s="71"/>
      <c r="C1020" s="71"/>
      <c r="D1020" s="81"/>
      <c r="E1020" s="71"/>
      <c r="F1020" s="71"/>
      <c r="G1020" s="82" t="str">
        <f aca="false">IF(C1020="","",IFERROR(INDEX('Kit Lists'!$D$6:$D$605,MATCH(B1020&amp;"|"&amp;C1020,'Kit Lists'!$J$6:$J$605,0)),"Not on this contract's kit list"))</f>
        <v/>
      </c>
      <c r="H1020" s="83" t="str">
        <f aca="false">IF(AND(B1020="",C1020="",D1020=""),"",IF(B1020="","Missing contract",IF(C1020="","Missing code",IF(LEFT(G1020,3)="Not","Wrong code",IF(D1020="","Missing qty",IF(A1020="","Missing date",""))))))</f>
        <v/>
      </c>
      <c r="I1020" s="84" t="str">
        <f aca="false">IF(B1020=Dashboard!$D$3,ROW(),"")</f>
        <v/>
      </c>
    </row>
    <row r="1021" customFormat="false" ht="15" hidden="false" customHeight="false" outlineLevel="0" collapsed="false">
      <c r="A1021" s="80"/>
      <c r="B1021" s="71"/>
      <c r="C1021" s="71"/>
      <c r="D1021" s="81"/>
      <c r="E1021" s="71"/>
      <c r="F1021" s="71"/>
      <c r="G1021" s="82" t="str">
        <f aca="false">IF(C1021="","",IFERROR(INDEX('Kit Lists'!$D$6:$D$605,MATCH(B1021&amp;"|"&amp;C1021,'Kit Lists'!$J$6:$J$605,0)),"Not on this contract's kit list"))</f>
        <v/>
      </c>
      <c r="H1021" s="83" t="str">
        <f aca="false">IF(AND(B1021="",C1021="",D1021=""),"",IF(B1021="","Missing contract",IF(C1021="","Missing code",IF(LEFT(G1021,3)="Not","Wrong code",IF(D1021="","Missing qty",IF(A1021="","Missing date",""))))))</f>
        <v/>
      </c>
      <c r="I1021" s="84" t="str">
        <f aca="false">IF(B1021=Dashboard!$D$3,ROW(),"")</f>
        <v/>
      </c>
    </row>
    <row r="1022" customFormat="false" ht="15" hidden="false" customHeight="false" outlineLevel="0" collapsed="false">
      <c r="A1022" s="80"/>
      <c r="B1022" s="71"/>
      <c r="C1022" s="71"/>
      <c r="D1022" s="81"/>
      <c r="E1022" s="71"/>
      <c r="F1022" s="71"/>
      <c r="G1022" s="82" t="str">
        <f aca="false">IF(C1022="","",IFERROR(INDEX('Kit Lists'!$D$6:$D$605,MATCH(B1022&amp;"|"&amp;C1022,'Kit Lists'!$J$6:$J$605,0)),"Not on this contract's kit list"))</f>
        <v/>
      </c>
      <c r="H1022" s="83" t="str">
        <f aca="false">IF(AND(B1022="",C1022="",D1022=""),"",IF(B1022="","Missing contract",IF(C1022="","Missing code",IF(LEFT(G1022,3)="Not","Wrong code",IF(D1022="","Missing qty",IF(A1022="","Missing date",""))))))</f>
        <v/>
      </c>
      <c r="I1022" s="84" t="str">
        <f aca="false">IF(B1022=Dashboard!$D$3,ROW(),"")</f>
        <v/>
      </c>
    </row>
    <row r="1023" customFormat="false" ht="15" hidden="false" customHeight="false" outlineLevel="0" collapsed="false">
      <c r="A1023" s="80"/>
      <c r="B1023" s="71"/>
      <c r="C1023" s="71"/>
      <c r="D1023" s="81"/>
      <c r="E1023" s="71"/>
      <c r="F1023" s="71"/>
      <c r="G1023" s="82" t="str">
        <f aca="false">IF(C1023="","",IFERROR(INDEX('Kit Lists'!$D$6:$D$605,MATCH(B1023&amp;"|"&amp;C1023,'Kit Lists'!$J$6:$J$605,0)),"Not on this contract's kit list"))</f>
        <v/>
      </c>
      <c r="H1023" s="83" t="str">
        <f aca="false">IF(AND(B1023="",C1023="",D1023=""),"",IF(B1023="","Missing contract",IF(C1023="","Missing code",IF(LEFT(G1023,3)="Not","Wrong code",IF(D1023="","Missing qty",IF(A1023="","Missing date",""))))))</f>
        <v/>
      </c>
      <c r="I1023" s="84" t="str">
        <f aca="false">IF(B1023=Dashboard!$D$3,ROW(),"")</f>
        <v/>
      </c>
    </row>
    <row r="1024" customFormat="false" ht="15" hidden="false" customHeight="false" outlineLevel="0" collapsed="false">
      <c r="A1024" s="80"/>
      <c r="B1024" s="71"/>
      <c r="C1024" s="71"/>
      <c r="D1024" s="81"/>
      <c r="E1024" s="71"/>
      <c r="F1024" s="71"/>
      <c r="G1024" s="82" t="str">
        <f aca="false">IF(C1024="","",IFERROR(INDEX('Kit Lists'!$D$6:$D$605,MATCH(B1024&amp;"|"&amp;C1024,'Kit Lists'!$J$6:$J$605,0)),"Not on this contract's kit list"))</f>
        <v/>
      </c>
      <c r="H1024" s="83" t="str">
        <f aca="false">IF(AND(B1024="",C1024="",D1024=""),"",IF(B1024="","Missing contract",IF(C1024="","Missing code",IF(LEFT(G1024,3)="Not","Wrong code",IF(D1024="","Missing qty",IF(A1024="","Missing date",""))))))</f>
        <v/>
      </c>
      <c r="I1024" s="84" t="str">
        <f aca="false">IF(B1024=Dashboard!$D$3,ROW(),"")</f>
        <v/>
      </c>
    </row>
    <row r="1025" customFormat="false" ht="15" hidden="false" customHeight="false" outlineLevel="0" collapsed="false">
      <c r="A1025" s="80"/>
      <c r="B1025" s="71"/>
      <c r="C1025" s="71"/>
      <c r="D1025" s="81"/>
      <c r="E1025" s="71"/>
      <c r="F1025" s="71"/>
      <c r="G1025" s="82" t="str">
        <f aca="false">IF(C1025="","",IFERROR(INDEX('Kit Lists'!$D$6:$D$605,MATCH(B1025&amp;"|"&amp;C1025,'Kit Lists'!$J$6:$J$605,0)),"Not on this contract's kit list"))</f>
        <v/>
      </c>
      <c r="H1025" s="83" t="str">
        <f aca="false">IF(AND(B1025="",C1025="",D1025=""),"",IF(B1025="","Missing contract",IF(C1025="","Missing code",IF(LEFT(G1025,3)="Not","Wrong code",IF(D1025="","Missing qty",IF(A1025="","Missing date",""))))))</f>
        <v/>
      </c>
      <c r="I1025" s="84" t="str">
        <f aca="false">IF(B1025=Dashboard!$D$3,ROW(),"")</f>
        <v/>
      </c>
    </row>
    <row r="1026" customFormat="false" ht="15" hidden="false" customHeight="false" outlineLevel="0" collapsed="false">
      <c r="A1026" s="80"/>
      <c r="B1026" s="71"/>
      <c r="C1026" s="71"/>
      <c r="D1026" s="81"/>
      <c r="E1026" s="71"/>
      <c r="F1026" s="71"/>
      <c r="G1026" s="82" t="str">
        <f aca="false">IF(C1026="","",IFERROR(INDEX('Kit Lists'!$D$6:$D$605,MATCH(B1026&amp;"|"&amp;C1026,'Kit Lists'!$J$6:$J$605,0)),"Not on this contract's kit list"))</f>
        <v/>
      </c>
      <c r="H1026" s="83" t="str">
        <f aca="false">IF(AND(B1026="",C1026="",D1026=""),"",IF(B1026="","Missing contract",IF(C1026="","Missing code",IF(LEFT(G1026,3)="Not","Wrong code",IF(D1026="","Missing qty",IF(A1026="","Missing date",""))))))</f>
        <v/>
      </c>
      <c r="I1026" s="84" t="str">
        <f aca="false">IF(B1026=Dashboard!$D$3,ROW(),"")</f>
        <v/>
      </c>
    </row>
    <row r="1027" customFormat="false" ht="15" hidden="false" customHeight="false" outlineLevel="0" collapsed="false">
      <c r="A1027" s="80"/>
      <c r="B1027" s="71"/>
      <c r="C1027" s="71"/>
      <c r="D1027" s="81"/>
      <c r="E1027" s="71"/>
      <c r="F1027" s="71"/>
      <c r="G1027" s="82" t="str">
        <f aca="false">IF(C1027="","",IFERROR(INDEX('Kit Lists'!$D$6:$D$605,MATCH(B1027&amp;"|"&amp;C1027,'Kit Lists'!$J$6:$J$605,0)),"Not on this contract's kit list"))</f>
        <v/>
      </c>
      <c r="H1027" s="83" t="str">
        <f aca="false">IF(AND(B1027="",C1027="",D1027=""),"",IF(B1027="","Missing contract",IF(C1027="","Missing code",IF(LEFT(G1027,3)="Not","Wrong code",IF(D1027="","Missing qty",IF(A1027="","Missing date",""))))))</f>
        <v/>
      </c>
      <c r="I1027" s="84" t="str">
        <f aca="false">IF(B1027=Dashboard!$D$3,ROW(),"")</f>
        <v/>
      </c>
    </row>
    <row r="1028" customFormat="false" ht="15" hidden="false" customHeight="false" outlineLevel="0" collapsed="false">
      <c r="A1028" s="80"/>
      <c r="B1028" s="71"/>
      <c r="C1028" s="71"/>
      <c r="D1028" s="81"/>
      <c r="E1028" s="71"/>
      <c r="F1028" s="71"/>
      <c r="G1028" s="82" t="str">
        <f aca="false">IF(C1028="","",IFERROR(INDEX('Kit Lists'!$D$6:$D$605,MATCH(B1028&amp;"|"&amp;C1028,'Kit Lists'!$J$6:$J$605,0)),"Not on this contract's kit list"))</f>
        <v/>
      </c>
      <c r="H1028" s="83" t="str">
        <f aca="false">IF(AND(B1028="",C1028="",D1028=""),"",IF(B1028="","Missing contract",IF(C1028="","Missing code",IF(LEFT(G1028,3)="Not","Wrong code",IF(D1028="","Missing qty",IF(A1028="","Missing date",""))))))</f>
        <v/>
      </c>
      <c r="I1028" s="84" t="str">
        <f aca="false">IF(B1028=Dashboard!$D$3,ROW(),"")</f>
        <v/>
      </c>
    </row>
    <row r="1029" customFormat="false" ht="15" hidden="false" customHeight="false" outlineLevel="0" collapsed="false">
      <c r="A1029" s="80"/>
      <c r="B1029" s="71"/>
      <c r="C1029" s="71"/>
      <c r="D1029" s="81"/>
      <c r="E1029" s="71"/>
      <c r="F1029" s="71"/>
      <c r="G1029" s="82" t="str">
        <f aca="false">IF(C1029="","",IFERROR(INDEX('Kit Lists'!$D$6:$D$605,MATCH(B1029&amp;"|"&amp;C1029,'Kit Lists'!$J$6:$J$605,0)),"Not on this contract's kit list"))</f>
        <v/>
      </c>
      <c r="H1029" s="83" t="str">
        <f aca="false">IF(AND(B1029="",C1029="",D1029=""),"",IF(B1029="","Missing contract",IF(C1029="","Missing code",IF(LEFT(G1029,3)="Not","Wrong code",IF(D1029="","Missing qty",IF(A1029="","Missing date",""))))))</f>
        <v/>
      </c>
      <c r="I1029" s="84" t="str">
        <f aca="false">IF(B1029=Dashboard!$D$3,ROW(),"")</f>
        <v/>
      </c>
    </row>
    <row r="1030" customFormat="false" ht="15" hidden="false" customHeight="false" outlineLevel="0" collapsed="false">
      <c r="A1030" s="80"/>
      <c r="B1030" s="71"/>
      <c r="C1030" s="71"/>
      <c r="D1030" s="81"/>
      <c r="E1030" s="71"/>
      <c r="F1030" s="71"/>
      <c r="G1030" s="82" t="str">
        <f aca="false">IF(C1030="","",IFERROR(INDEX('Kit Lists'!$D$6:$D$605,MATCH(B1030&amp;"|"&amp;C1030,'Kit Lists'!$J$6:$J$605,0)),"Not on this contract's kit list"))</f>
        <v/>
      </c>
      <c r="H1030" s="83" t="str">
        <f aca="false">IF(AND(B1030="",C1030="",D1030=""),"",IF(B1030="","Missing contract",IF(C1030="","Missing code",IF(LEFT(G1030,3)="Not","Wrong code",IF(D1030="","Missing qty",IF(A1030="","Missing date",""))))))</f>
        <v/>
      </c>
      <c r="I1030" s="84" t="str">
        <f aca="false">IF(B1030=Dashboard!$D$3,ROW(),"")</f>
        <v/>
      </c>
    </row>
    <row r="1031" customFormat="false" ht="15" hidden="false" customHeight="false" outlineLevel="0" collapsed="false">
      <c r="A1031" s="80"/>
      <c r="B1031" s="71"/>
      <c r="C1031" s="71"/>
      <c r="D1031" s="81"/>
      <c r="E1031" s="71"/>
      <c r="F1031" s="71"/>
      <c r="G1031" s="82" t="str">
        <f aca="false">IF(C1031="","",IFERROR(INDEX('Kit Lists'!$D$6:$D$605,MATCH(B1031&amp;"|"&amp;C1031,'Kit Lists'!$J$6:$J$605,0)),"Not on this contract's kit list"))</f>
        <v/>
      </c>
      <c r="H1031" s="83" t="str">
        <f aca="false">IF(AND(B1031="",C1031="",D1031=""),"",IF(B1031="","Missing contract",IF(C1031="","Missing code",IF(LEFT(G1031,3)="Not","Wrong code",IF(D1031="","Missing qty",IF(A1031="","Missing date",""))))))</f>
        <v/>
      </c>
      <c r="I1031" s="84" t="str">
        <f aca="false">IF(B1031=Dashboard!$D$3,ROW(),"")</f>
        <v/>
      </c>
    </row>
    <row r="1032" customFormat="false" ht="15" hidden="false" customHeight="false" outlineLevel="0" collapsed="false">
      <c r="A1032" s="80"/>
      <c r="B1032" s="71"/>
      <c r="C1032" s="71"/>
      <c r="D1032" s="81"/>
      <c r="E1032" s="71"/>
      <c r="F1032" s="71"/>
      <c r="G1032" s="82" t="str">
        <f aca="false">IF(C1032="","",IFERROR(INDEX('Kit Lists'!$D$6:$D$605,MATCH(B1032&amp;"|"&amp;C1032,'Kit Lists'!$J$6:$J$605,0)),"Not on this contract's kit list"))</f>
        <v/>
      </c>
      <c r="H1032" s="83" t="str">
        <f aca="false">IF(AND(B1032="",C1032="",D1032=""),"",IF(B1032="","Missing contract",IF(C1032="","Missing code",IF(LEFT(G1032,3)="Not","Wrong code",IF(D1032="","Missing qty",IF(A1032="","Missing date",""))))))</f>
        <v/>
      </c>
      <c r="I1032" s="84" t="str">
        <f aca="false">IF(B1032=Dashboard!$D$3,ROW(),"")</f>
        <v/>
      </c>
    </row>
    <row r="1033" customFormat="false" ht="15" hidden="false" customHeight="false" outlineLevel="0" collapsed="false">
      <c r="A1033" s="80"/>
      <c r="B1033" s="71"/>
      <c r="C1033" s="71"/>
      <c r="D1033" s="81"/>
      <c r="E1033" s="71"/>
      <c r="F1033" s="71"/>
      <c r="G1033" s="82" t="str">
        <f aca="false">IF(C1033="","",IFERROR(INDEX('Kit Lists'!$D$6:$D$605,MATCH(B1033&amp;"|"&amp;C1033,'Kit Lists'!$J$6:$J$605,0)),"Not on this contract's kit list"))</f>
        <v/>
      </c>
      <c r="H1033" s="83" t="str">
        <f aca="false">IF(AND(B1033="",C1033="",D1033=""),"",IF(B1033="","Missing contract",IF(C1033="","Missing code",IF(LEFT(G1033,3)="Not","Wrong code",IF(D1033="","Missing qty",IF(A1033="","Missing date",""))))))</f>
        <v/>
      </c>
      <c r="I1033" s="84" t="str">
        <f aca="false">IF(B1033=Dashboard!$D$3,ROW(),"")</f>
        <v/>
      </c>
    </row>
    <row r="1034" customFormat="false" ht="15" hidden="false" customHeight="false" outlineLevel="0" collapsed="false">
      <c r="A1034" s="80"/>
      <c r="B1034" s="71"/>
      <c r="C1034" s="71"/>
      <c r="D1034" s="81"/>
      <c r="E1034" s="71"/>
      <c r="F1034" s="71"/>
      <c r="G1034" s="82" t="str">
        <f aca="false">IF(C1034="","",IFERROR(INDEX('Kit Lists'!$D$6:$D$605,MATCH(B1034&amp;"|"&amp;C1034,'Kit Lists'!$J$6:$J$605,0)),"Not on this contract's kit list"))</f>
        <v/>
      </c>
      <c r="H1034" s="83" t="str">
        <f aca="false">IF(AND(B1034="",C1034="",D1034=""),"",IF(B1034="","Missing contract",IF(C1034="","Missing code",IF(LEFT(G1034,3)="Not","Wrong code",IF(D1034="","Missing qty",IF(A1034="","Missing date",""))))))</f>
        <v/>
      </c>
      <c r="I1034" s="84" t="str">
        <f aca="false">IF(B1034=Dashboard!$D$3,ROW(),"")</f>
        <v/>
      </c>
    </row>
    <row r="1035" customFormat="false" ht="15" hidden="false" customHeight="false" outlineLevel="0" collapsed="false">
      <c r="A1035" s="80"/>
      <c r="B1035" s="71"/>
      <c r="C1035" s="71"/>
      <c r="D1035" s="81"/>
      <c r="E1035" s="71"/>
      <c r="F1035" s="71"/>
      <c r="G1035" s="82" t="str">
        <f aca="false">IF(C1035="","",IFERROR(INDEX('Kit Lists'!$D$6:$D$605,MATCH(B1035&amp;"|"&amp;C1035,'Kit Lists'!$J$6:$J$605,0)),"Not on this contract's kit list"))</f>
        <v/>
      </c>
      <c r="H1035" s="83" t="str">
        <f aca="false">IF(AND(B1035="",C1035="",D1035=""),"",IF(B1035="","Missing contract",IF(C1035="","Missing code",IF(LEFT(G1035,3)="Not","Wrong code",IF(D1035="","Missing qty",IF(A1035="","Missing date",""))))))</f>
        <v/>
      </c>
      <c r="I1035" s="84" t="str">
        <f aca="false">IF(B1035=Dashboard!$D$3,ROW(),"")</f>
        <v/>
      </c>
    </row>
    <row r="1036" customFormat="false" ht="15" hidden="false" customHeight="false" outlineLevel="0" collapsed="false">
      <c r="A1036" s="80"/>
      <c r="B1036" s="71"/>
      <c r="C1036" s="71"/>
      <c r="D1036" s="81"/>
      <c r="E1036" s="71"/>
      <c r="F1036" s="71"/>
      <c r="G1036" s="82" t="str">
        <f aca="false">IF(C1036="","",IFERROR(INDEX('Kit Lists'!$D$6:$D$605,MATCH(B1036&amp;"|"&amp;C1036,'Kit Lists'!$J$6:$J$605,0)),"Not on this contract's kit list"))</f>
        <v/>
      </c>
      <c r="H1036" s="83" t="str">
        <f aca="false">IF(AND(B1036="",C1036="",D1036=""),"",IF(B1036="","Missing contract",IF(C1036="","Missing code",IF(LEFT(G1036,3)="Not","Wrong code",IF(D1036="","Missing qty",IF(A1036="","Missing date",""))))))</f>
        <v/>
      </c>
      <c r="I1036" s="84" t="str">
        <f aca="false">IF(B1036=Dashboard!$D$3,ROW(),"")</f>
        <v/>
      </c>
    </row>
    <row r="1037" customFormat="false" ht="15" hidden="false" customHeight="false" outlineLevel="0" collapsed="false">
      <c r="A1037" s="80"/>
      <c r="B1037" s="71"/>
      <c r="C1037" s="71"/>
      <c r="D1037" s="81"/>
      <c r="E1037" s="71"/>
      <c r="F1037" s="71"/>
      <c r="G1037" s="82" t="str">
        <f aca="false">IF(C1037="","",IFERROR(INDEX('Kit Lists'!$D$6:$D$605,MATCH(B1037&amp;"|"&amp;C1037,'Kit Lists'!$J$6:$J$605,0)),"Not on this contract's kit list"))</f>
        <v/>
      </c>
      <c r="H1037" s="83" t="str">
        <f aca="false">IF(AND(B1037="",C1037="",D1037=""),"",IF(B1037="","Missing contract",IF(C1037="","Missing code",IF(LEFT(G1037,3)="Not","Wrong code",IF(D1037="","Missing qty",IF(A1037="","Missing date",""))))))</f>
        <v/>
      </c>
      <c r="I1037" s="84" t="str">
        <f aca="false">IF(B1037=Dashboard!$D$3,ROW(),"")</f>
        <v/>
      </c>
    </row>
    <row r="1038" customFormat="false" ht="15" hidden="false" customHeight="false" outlineLevel="0" collapsed="false">
      <c r="A1038" s="80"/>
      <c r="B1038" s="71"/>
      <c r="C1038" s="71"/>
      <c r="D1038" s="81"/>
      <c r="E1038" s="71"/>
      <c r="F1038" s="71"/>
      <c r="G1038" s="82" t="str">
        <f aca="false">IF(C1038="","",IFERROR(INDEX('Kit Lists'!$D$6:$D$605,MATCH(B1038&amp;"|"&amp;C1038,'Kit Lists'!$J$6:$J$605,0)),"Not on this contract's kit list"))</f>
        <v/>
      </c>
      <c r="H1038" s="83" t="str">
        <f aca="false">IF(AND(B1038="",C1038="",D1038=""),"",IF(B1038="","Missing contract",IF(C1038="","Missing code",IF(LEFT(G1038,3)="Not","Wrong code",IF(D1038="","Missing qty",IF(A1038="","Missing date",""))))))</f>
        <v/>
      </c>
      <c r="I1038" s="84" t="str">
        <f aca="false">IF(B1038=Dashboard!$D$3,ROW(),"")</f>
        <v/>
      </c>
    </row>
    <row r="1039" customFormat="false" ht="15" hidden="false" customHeight="false" outlineLevel="0" collapsed="false">
      <c r="A1039" s="80"/>
      <c r="B1039" s="71"/>
      <c r="C1039" s="71"/>
      <c r="D1039" s="81"/>
      <c r="E1039" s="71"/>
      <c r="F1039" s="71"/>
      <c r="G1039" s="82" t="str">
        <f aca="false">IF(C1039="","",IFERROR(INDEX('Kit Lists'!$D$6:$D$605,MATCH(B1039&amp;"|"&amp;C1039,'Kit Lists'!$J$6:$J$605,0)),"Not on this contract's kit list"))</f>
        <v/>
      </c>
      <c r="H1039" s="83" t="str">
        <f aca="false">IF(AND(B1039="",C1039="",D1039=""),"",IF(B1039="","Missing contract",IF(C1039="","Missing code",IF(LEFT(G1039,3)="Not","Wrong code",IF(D1039="","Missing qty",IF(A1039="","Missing date",""))))))</f>
        <v/>
      </c>
      <c r="I1039" s="84" t="str">
        <f aca="false">IF(B1039=Dashboard!$D$3,ROW(),"")</f>
        <v/>
      </c>
    </row>
    <row r="1040" customFormat="false" ht="15" hidden="false" customHeight="false" outlineLevel="0" collapsed="false">
      <c r="A1040" s="80"/>
      <c r="B1040" s="71"/>
      <c r="C1040" s="71"/>
      <c r="D1040" s="81"/>
      <c r="E1040" s="71"/>
      <c r="F1040" s="71"/>
      <c r="G1040" s="82" t="str">
        <f aca="false">IF(C1040="","",IFERROR(INDEX('Kit Lists'!$D$6:$D$605,MATCH(B1040&amp;"|"&amp;C1040,'Kit Lists'!$J$6:$J$605,0)),"Not on this contract's kit list"))</f>
        <v/>
      </c>
      <c r="H1040" s="83" t="str">
        <f aca="false">IF(AND(B1040="",C1040="",D1040=""),"",IF(B1040="","Missing contract",IF(C1040="","Missing code",IF(LEFT(G1040,3)="Not","Wrong code",IF(D1040="","Missing qty",IF(A1040="","Missing date",""))))))</f>
        <v/>
      </c>
      <c r="I1040" s="84" t="str">
        <f aca="false">IF(B1040=Dashboard!$D$3,ROW(),"")</f>
        <v/>
      </c>
    </row>
    <row r="1041" customFormat="false" ht="15" hidden="false" customHeight="false" outlineLevel="0" collapsed="false">
      <c r="A1041" s="80"/>
      <c r="B1041" s="71"/>
      <c r="C1041" s="71"/>
      <c r="D1041" s="81"/>
      <c r="E1041" s="71"/>
      <c r="F1041" s="71"/>
      <c r="G1041" s="82" t="str">
        <f aca="false">IF(C1041="","",IFERROR(INDEX('Kit Lists'!$D$6:$D$605,MATCH(B1041&amp;"|"&amp;C1041,'Kit Lists'!$J$6:$J$605,0)),"Not on this contract's kit list"))</f>
        <v/>
      </c>
      <c r="H1041" s="83" t="str">
        <f aca="false">IF(AND(B1041="",C1041="",D1041=""),"",IF(B1041="","Missing contract",IF(C1041="","Missing code",IF(LEFT(G1041,3)="Not","Wrong code",IF(D1041="","Missing qty",IF(A1041="","Missing date",""))))))</f>
        <v/>
      </c>
      <c r="I1041" s="84" t="str">
        <f aca="false">IF(B1041=Dashboard!$D$3,ROW(),"")</f>
        <v/>
      </c>
    </row>
    <row r="1042" customFormat="false" ht="15" hidden="false" customHeight="false" outlineLevel="0" collapsed="false">
      <c r="A1042" s="80"/>
      <c r="B1042" s="71"/>
      <c r="C1042" s="71"/>
      <c r="D1042" s="81"/>
      <c r="E1042" s="71"/>
      <c r="F1042" s="71"/>
      <c r="G1042" s="82" t="str">
        <f aca="false">IF(C1042="","",IFERROR(INDEX('Kit Lists'!$D$6:$D$605,MATCH(B1042&amp;"|"&amp;C1042,'Kit Lists'!$J$6:$J$605,0)),"Not on this contract's kit list"))</f>
        <v/>
      </c>
      <c r="H1042" s="83" t="str">
        <f aca="false">IF(AND(B1042="",C1042="",D1042=""),"",IF(B1042="","Missing contract",IF(C1042="","Missing code",IF(LEFT(G1042,3)="Not","Wrong code",IF(D1042="","Missing qty",IF(A1042="","Missing date",""))))))</f>
        <v/>
      </c>
      <c r="I1042" s="84" t="str">
        <f aca="false">IF(B1042=Dashboard!$D$3,ROW(),"")</f>
        <v/>
      </c>
    </row>
    <row r="1043" customFormat="false" ht="15" hidden="false" customHeight="false" outlineLevel="0" collapsed="false">
      <c r="A1043" s="80"/>
      <c r="B1043" s="71"/>
      <c r="C1043" s="71"/>
      <c r="D1043" s="81"/>
      <c r="E1043" s="71"/>
      <c r="F1043" s="71"/>
      <c r="G1043" s="82" t="str">
        <f aca="false">IF(C1043="","",IFERROR(INDEX('Kit Lists'!$D$6:$D$605,MATCH(B1043&amp;"|"&amp;C1043,'Kit Lists'!$J$6:$J$605,0)),"Not on this contract's kit list"))</f>
        <v/>
      </c>
      <c r="H1043" s="83" t="str">
        <f aca="false">IF(AND(B1043="",C1043="",D1043=""),"",IF(B1043="","Missing contract",IF(C1043="","Missing code",IF(LEFT(G1043,3)="Not","Wrong code",IF(D1043="","Missing qty",IF(A1043="","Missing date",""))))))</f>
        <v/>
      </c>
      <c r="I1043" s="84" t="str">
        <f aca="false">IF(B1043=Dashboard!$D$3,ROW(),"")</f>
        <v/>
      </c>
    </row>
    <row r="1044" customFormat="false" ht="15" hidden="false" customHeight="false" outlineLevel="0" collapsed="false">
      <c r="A1044" s="80"/>
      <c r="B1044" s="71"/>
      <c r="C1044" s="71"/>
      <c r="D1044" s="81"/>
      <c r="E1044" s="71"/>
      <c r="F1044" s="71"/>
      <c r="G1044" s="82" t="str">
        <f aca="false">IF(C1044="","",IFERROR(INDEX('Kit Lists'!$D$6:$D$605,MATCH(B1044&amp;"|"&amp;C1044,'Kit Lists'!$J$6:$J$605,0)),"Not on this contract's kit list"))</f>
        <v/>
      </c>
      <c r="H1044" s="83" t="str">
        <f aca="false">IF(AND(B1044="",C1044="",D1044=""),"",IF(B1044="","Missing contract",IF(C1044="","Missing code",IF(LEFT(G1044,3)="Not","Wrong code",IF(D1044="","Missing qty",IF(A1044="","Missing date",""))))))</f>
        <v/>
      </c>
      <c r="I1044" s="84" t="str">
        <f aca="false">IF(B1044=Dashboard!$D$3,ROW(),"")</f>
        <v/>
      </c>
    </row>
    <row r="1045" customFormat="false" ht="15" hidden="false" customHeight="false" outlineLevel="0" collapsed="false">
      <c r="A1045" s="80"/>
      <c r="B1045" s="71"/>
      <c r="C1045" s="71"/>
      <c r="D1045" s="81"/>
      <c r="E1045" s="71"/>
      <c r="F1045" s="71"/>
      <c r="G1045" s="82" t="str">
        <f aca="false">IF(C1045="","",IFERROR(INDEX('Kit Lists'!$D$6:$D$605,MATCH(B1045&amp;"|"&amp;C1045,'Kit Lists'!$J$6:$J$605,0)),"Not on this contract's kit list"))</f>
        <v/>
      </c>
      <c r="H1045" s="83" t="str">
        <f aca="false">IF(AND(B1045="",C1045="",D1045=""),"",IF(B1045="","Missing contract",IF(C1045="","Missing code",IF(LEFT(G1045,3)="Not","Wrong code",IF(D1045="","Missing qty",IF(A1045="","Missing date",""))))))</f>
        <v/>
      </c>
      <c r="I1045" s="84" t="str">
        <f aca="false">IF(B1045=Dashboard!$D$3,ROW(),"")</f>
        <v/>
      </c>
    </row>
    <row r="1046" customFormat="false" ht="15" hidden="false" customHeight="false" outlineLevel="0" collapsed="false">
      <c r="A1046" s="80"/>
      <c r="B1046" s="71"/>
      <c r="C1046" s="71"/>
      <c r="D1046" s="81"/>
      <c r="E1046" s="71"/>
      <c r="F1046" s="71"/>
      <c r="G1046" s="82" t="str">
        <f aca="false">IF(C1046="","",IFERROR(INDEX('Kit Lists'!$D$6:$D$605,MATCH(B1046&amp;"|"&amp;C1046,'Kit Lists'!$J$6:$J$605,0)),"Not on this contract's kit list"))</f>
        <v/>
      </c>
      <c r="H1046" s="83" t="str">
        <f aca="false">IF(AND(B1046="",C1046="",D1046=""),"",IF(B1046="","Missing contract",IF(C1046="","Missing code",IF(LEFT(G1046,3)="Not","Wrong code",IF(D1046="","Missing qty",IF(A1046="","Missing date",""))))))</f>
        <v/>
      </c>
      <c r="I1046" s="84" t="str">
        <f aca="false">IF(B1046=Dashboard!$D$3,ROW(),"")</f>
        <v/>
      </c>
    </row>
    <row r="1047" customFormat="false" ht="15" hidden="false" customHeight="false" outlineLevel="0" collapsed="false">
      <c r="A1047" s="80"/>
      <c r="B1047" s="71"/>
      <c r="C1047" s="71"/>
      <c r="D1047" s="81"/>
      <c r="E1047" s="71"/>
      <c r="F1047" s="71"/>
      <c r="G1047" s="82" t="str">
        <f aca="false">IF(C1047="","",IFERROR(INDEX('Kit Lists'!$D$6:$D$605,MATCH(B1047&amp;"|"&amp;C1047,'Kit Lists'!$J$6:$J$605,0)),"Not on this contract's kit list"))</f>
        <v/>
      </c>
      <c r="H1047" s="83" t="str">
        <f aca="false">IF(AND(B1047="",C1047="",D1047=""),"",IF(B1047="","Missing contract",IF(C1047="","Missing code",IF(LEFT(G1047,3)="Not","Wrong code",IF(D1047="","Missing qty",IF(A1047="","Missing date",""))))))</f>
        <v/>
      </c>
      <c r="I1047" s="84" t="str">
        <f aca="false">IF(B1047=Dashboard!$D$3,ROW(),"")</f>
        <v/>
      </c>
    </row>
    <row r="1048" customFormat="false" ht="15" hidden="false" customHeight="false" outlineLevel="0" collapsed="false">
      <c r="A1048" s="80"/>
      <c r="B1048" s="71"/>
      <c r="C1048" s="71"/>
      <c r="D1048" s="81"/>
      <c r="E1048" s="71"/>
      <c r="F1048" s="71"/>
      <c r="G1048" s="82" t="str">
        <f aca="false">IF(C1048="","",IFERROR(INDEX('Kit Lists'!$D$6:$D$605,MATCH(B1048&amp;"|"&amp;C1048,'Kit Lists'!$J$6:$J$605,0)),"Not on this contract's kit list"))</f>
        <v/>
      </c>
      <c r="H1048" s="83" t="str">
        <f aca="false">IF(AND(B1048="",C1048="",D1048=""),"",IF(B1048="","Missing contract",IF(C1048="","Missing code",IF(LEFT(G1048,3)="Not","Wrong code",IF(D1048="","Missing qty",IF(A1048="","Missing date",""))))))</f>
        <v/>
      </c>
      <c r="I1048" s="84" t="str">
        <f aca="false">IF(B1048=Dashboard!$D$3,ROW(),"")</f>
        <v/>
      </c>
    </row>
    <row r="1049" customFormat="false" ht="15" hidden="false" customHeight="false" outlineLevel="0" collapsed="false">
      <c r="A1049" s="80"/>
      <c r="B1049" s="71"/>
      <c r="C1049" s="71"/>
      <c r="D1049" s="81"/>
      <c r="E1049" s="71"/>
      <c r="F1049" s="71"/>
      <c r="G1049" s="82" t="str">
        <f aca="false">IF(C1049="","",IFERROR(INDEX('Kit Lists'!$D$6:$D$605,MATCH(B1049&amp;"|"&amp;C1049,'Kit Lists'!$J$6:$J$605,0)),"Not on this contract's kit list"))</f>
        <v/>
      </c>
      <c r="H1049" s="83" t="str">
        <f aca="false">IF(AND(B1049="",C1049="",D1049=""),"",IF(B1049="","Missing contract",IF(C1049="","Missing code",IF(LEFT(G1049,3)="Not","Wrong code",IF(D1049="","Missing qty",IF(A1049="","Missing date",""))))))</f>
        <v/>
      </c>
      <c r="I1049" s="84" t="str">
        <f aca="false">IF(B1049=Dashboard!$D$3,ROW(),"")</f>
        <v/>
      </c>
    </row>
    <row r="1050" customFormat="false" ht="15" hidden="false" customHeight="false" outlineLevel="0" collapsed="false">
      <c r="A1050" s="80"/>
      <c r="B1050" s="71"/>
      <c r="C1050" s="71"/>
      <c r="D1050" s="81"/>
      <c r="E1050" s="71"/>
      <c r="F1050" s="71"/>
      <c r="G1050" s="82" t="str">
        <f aca="false">IF(C1050="","",IFERROR(INDEX('Kit Lists'!$D$6:$D$605,MATCH(B1050&amp;"|"&amp;C1050,'Kit Lists'!$J$6:$J$605,0)),"Not on this contract's kit list"))</f>
        <v/>
      </c>
      <c r="H1050" s="83" t="str">
        <f aca="false">IF(AND(B1050="",C1050="",D1050=""),"",IF(B1050="","Missing contract",IF(C1050="","Missing code",IF(LEFT(G1050,3)="Not","Wrong code",IF(D1050="","Missing qty",IF(A1050="","Missing date",""))))))</f>
        <v/>
      </c>
      <c r="I1050" s="84" t="str">
        <f aca="false">IF(B1050=Dashboard!$D$3,ROW(),"")</f>
        <v/>
      </c>
    </row>
    <row r="1051" customFormat="false" ht="15" hidden="false" customHeight="false" outlineLevel="0" collapsed="false">
      <c r="A1051" s="80"/>
      <c r="B1051" s="71"/>
      <c r="C1051" s="71"/>
      <c r="D1051" s="81"/>
      <c r="E1051" s="71"/>
      <c r="F1051" s="71"/>
      <c r="G1051" s="82" t="str">
        <f aca="false">IF(C1051="","",IFERROR(INDEX('Kit Lists'!$D$6:$D$605,MATCH(B1051&amp;"|"&amp;C1051,'Kit Lists'!$J$6:$J$605,0)),"Not on this contract's kit list"))</f>
        <v/>
      </c>
      <c r="H1051" s="83" t="str">
        <f aca="false">IF(AND(B1051="",C1051="",D1051=""),"",IF(B1051="","Missing contract",IF(C1051="","Missing code",IF(LEFT(G1051,3)="Not","Wrong code",IF(D1051="","Missing qty",IF(A1051="","Missing date",""))))))</f>
        <v/>
      </c>
      <c r="I1051" s="84" t="str">
        <f aca="false">IF(B1051=Dashboard!$D$3,ROW(),"")</f>
        <v/>
      </c>
    </row>
    <row r="1052" customFormat="false" ht="15" hidden="false" customHeight="false" outlineLevel="0" collapsed="false">
      <c r="A1052" s="80"/>
      <c r="B1052" s="71"/>
      <c r="C1052" s="71"/>
      <c r="D1052" s="81"/>
      <c r="E1052" s="71"/>
      <c r="F1052" s="71"/>
      <c r="G1052" s="82" t="str">
        <f aca="false">IF(C1052="","",IFERROR(INDEX('Kit Lists'!$D$6:$D$605,MATCH(B1052&amp;"|"&amp;C1052,'Kit Lists'!$J$6:$J$605,0)),"Not on this contract's kit list"))</f>
        <v/>
      </c>
      <c r="H1052" s="83" t="str">
        <f aca="false">IF(AND(B1052="",C1052="",D1052=""),"",IF(B1052="","Missing contract",IF(C1052="","Missing code",IF(LEFT(G1052,3)="Not","Wrong code",IF(D1052="","Missing qty",IF(A1052="","Missing date",""))))))</f>
        <v/>
      </c>
      <c r="I1052" s="84" t="str">
        <f aca="false">IF(B1052=Dashboard!$D$3,ROW(),"")</f>
        <v/>
      </c>
    </row>
    <row r="1053" customFormat="false" ht="15" hidden="false" customHeight="false" outlineLevel="0" collapsed="false">
      <c r="A1053" s="80"/>
      <c r="B1053" s="71"/>
      <c r="C1053" s="71"/>
      <c r="D1053" s="81"/>
      <c r="E1053" s="71"/>
      <c r="F1053" s="71"/>
      <c r="G1053" s="82" t="str">
        <f aca="false">IF(C1053="","",IFERROR(INDEX('Kit Lists'!$D$6:$D$605,MATCH(B1053&amp;"|"&amp;C1053,'Kit Lists'!$J$6:$J$605,0)),"Not on this contract's kit list"))</f>
        <v/>
      </c>
      <c r="H1053" s="83" t="str">
        <f aca="false">IF(AND(B1053="",C1053="",D1053=""),"",IF(B1053="","Missing contract",IF(C1053="","Missing code",IF(LEFT(G1053,3)="Not","Wrong code",IF(D1053="","Missing qty",IF(A1053="","Missing date",""))))))</f>
        <v/>
      </c>
      <c r="I1053" s="84" t="str">
        <f aca="false">IF(B1053=Dashboard!$D$3,ROW(),"")</f>
        <v/>
      </c>
    </row>
    <row r="1054" customFormat="false" ht="15" hidden="false" customHeight="false" outlineLevel="0" collapsed="false">
      <c r="A1054" s="80"/>
      <c r="B1054" s="71"/>
      <c r="C1054" s="71"/>
      <c r="D1054" s="81"/>
      <c r="E1054" s="71"/>
      <c r="F1054" s="71"/>
      <c r="G1054" s="82" t="str">
        <f aca="false">IF(C1054="","",IFERROR(INDEX('Kit Lists'!$D$6:$D$605,MATCH(B1054&amp;"|"&amp;C1054,'Kit Lists'!$J$6:$J$605,0)),"Not on this contract's kit list"))</f>
        <v/>
      </c>
      <c r="H1054" s="83" t="str">
        <f aca="false">IF(AND(B1054="",C1054="",D1054=""),"",IF(B1054="","Missing contract",IF(C1054="","Missing code",IF(LEFT(G1054,3)="Not","Wrong code",IF(D1054="","Missing qty",IF(A1054="","Missing date",""))))))</f>
        <v/>
      </c>
      <c r="I1054" s="84" t="str">
        <f aca="false">IF(B1054=Dashboard!$D$3,ROW(),"")</f>
        <v/>
      </c>
    </row>
    <row r="1055" customFormat="false" ht="15" hidden="false" customHeight="false" outlineLevel="0" collapsed="false">
      <c r="A1055" s="80"/>
      <c r="B1055" s="71"/>
      <c r="C1055" s="71"/>
      <c r="D1055" s="81"/>
      <c r="E1055" s="71"/>
      <c r="F1055" s="71"/>
      <c r="G1055" s="82" t="str">
        <f aca="false">IF(C1055="","",IFERROR(INDEX('Kit Lists'!$D$6:$D$605,MATCH(B1055&amp;"|"&amp;C1055,'Kit Lists'!$J$6:$J$605,0)),"Not on this contract's kit list"))</f>
        <v/>
      </c>
      <c r="H1055" s="83" t="str">
        <f aca="false">IF(AND(B1055="",C1055="",D1055=""),"",IF(B1055="","Missing contract",IF(C1055="","Missing code",IF(LEFT(G1055,3)="Not","Wrong code",IF(D1055="","Missing qty",IF(A1055="","Missing date",""))))))</f>
        <v/>
      </c>
      <c r="I1055" s="84" t="str">
        <f aca="false">IF(B1055=Dashboard!$D$3,ROW(),"")</f>
        <v/>
      </c>
    </row>
    <row r="1056" customFormat="false" ht="15" hidden="false" customHeight="false" outlineLevel="0" collapsed="false">
      <c r="A1056" s="80"/>
      <c r="B1056" s="71"/>
      <c r="C1056" s="71"/>
      <c r="D1056" s="81"/>
      <c r="E1056" s="71"/>
      <c r="F1056" s="71"/>
      <c r="G1056" s="82" t="str">
        <f aca="false">IF(C1056="","",IFERROR(INDEX('Kit Lists'!$D$6:$D$605,MATCH(B1056&amp;"|"&amp;C1056,'Kit Lists'!$J$6:$J$605,0)),"Not on this contract's kit list"))</f>
        <v/>
      </c>
      <c r="H1056" s="83" t="str">
        <f aca="false">IF(AND(B1056="",C1056="",D1056=""),"",IF(B1056="","Missing contract",IF(C1056="","Missing code",IF(LEFT(G1056,3)="Not","Wrong code",IF(D1056="","Missing qty",IF(A1056="","Missing date",""))))))</f>
        <v/>
      </c>
      <c r="I1056" s="84" t="str">
        <f aca="false">IF(B1056=Dashboard!$D$3,ROW(),"")</f>
        <v/>
      </c>
    </row>
    <row r="1057" customFormat="false" ht="15" hidden="false" customHeight="false" outlineLevel="0" collapsed="false">
      <c r="A1057" s="80"/>
      <c r="B1057" s="71"/>
      <c r="C1057" s="71"/>
      <c r="D1057" s="81"/>
      <c r="E1057" s="71"/>
      <c r="F1057" s="71"/>
      <c r="G1057" s="82" t="str">
        <f aca="false">IF(C1057="","",IFERROR(INDEX('Kit Lists'!$D$6:$D$605,MATCH(B1057&amp;"|"&amp;C1057,'Kit Lists'!$J$6:$J$605,0)),"Not on this contract's kit list"))</f>
        <v/>
      </c>
      <c r="H1057" s="83" t="str">
        <f aca="false">IF(AND(B1057="",C1057="",D1057=""),"",IF(B1057="","Missing contract",IF(C1057="","Missing code",IF(LEFT(G1057,3)="Not","Wrong code",IF(D1057="","Missing qty",IF(A1057="","Missing date",""))))))</f>
        <v/>
      </c>
      <c r="I1057" s="84" t="str">
        <f aca="false">IF(B1057=Dashboard!$D$3,ROW(),"")</f>
        <v/>
      </c>
    </row>
    <row r="1058" customFormat="false" ht="15" hidden="false" customHeight="false" outlineLevel="0" collapsed="false">
      <c r="A1058" s="80"/>
      <c r="B1058" s="71"/>
      <c r="C1058" s="71"/>
      <c r="D1058" s="81"/>
      <c r="E1058" s="71"/>
      <c r="F1058" s="71"/>
      <c r="G1058" s="82" t="str">
        <f aca="false">IF(C1058="","",IFERROR(INDEX('Kit Lists'!$D$6:$D$605,MATCH(B1058&amp;"|"&amp;C1058,'Kit Lists'!$J$6:$J$605,0)),"Not on this contract's kit list"))</f>
        <v/>
      </c>
      <c r="H1058" s="83" t="str">
        <f aca="false">IF(AND(B1058="",C1058="",D1058=""),"",IF(B1058="","Missing contract",IF(C1058="","Missing code",IF(LEFT(G1058,3)="Not","Wrong code",IF(D1058="","Missing qty",IF(A1058="","Missing date",""))))))</f>
        <v/>
      </c>
      <c r="I1058" s="84" t="str">
        <f aca="false">IF(B1058=Dashboard!$D$3,ROW(),"")</f>
        <v/>
      </c>
    </row>
    <row r="1059" customFormat="false" ht="15" hidden="false" customHeight="false" outlineLevel="0" collapsed="false">
      <c r="A1059" s="80"/>
      <c r="B1059" s="71"/>
      <c r="C1059" s="71"/>
      <c r="D1059" s="81"/>
      <c r="E1059" s="71"/>
      <c r="F1059" s="71"/>
      <c r="G1059" s="82" t="str">
        <f aca="false">IF(C1059="","",IFERROR(INDEX('Kit Lists'!$D$6:$D$605,MATCH(B1059&amp;"|"&amp;C1059,'Kit Lists'!$J$6:$J$605,0)),"Not on this contract's kit list"))</f>
        <v/>
      </c>
      <c r="H1059" s="83" t="str">
        <f aca="false">IF(AND(B1059="",C1059="",D1059=""),"",IF(B1059="","Missing contract",IF(C1059="","Missing code",IF(LEFT(G1059,3)="Not","Wrong code",IF(D1059="","Missing qty",IF(A1059="","Missing date",""))))))</f>
        <v/>
      </c>
      <c r="I1059" s="84" t="str">
        <f aca="false">IF(B1059=Dashboard!$D$3,ROW(),"")</f>
        <v/>
      </c>
    </row>
    <row r="1060" customFormat="false" ht="15" hidden="false" customHeight="false" outlineLevel="0" collapsed="false">
      <c r="A1060" s="80"/>
      <c r="B1060" s="71"/>
      <c r="C1060" s="71"/>
      <c r="D1060" s="81"/>
      <c r="E1060" s="71"/>
      <c r="F1060" s="71"/>
      <c r="G1060" s="82" t="str">
        <f aca="false">IF(C1060="","",IFERROR(INDEX('Kit Lists'!$D$6:$D$605,MATCH(B1060&amp;"|"&amp;C1060,'Kit Lists'!$J$6:$J$605,0)),"Not on this contract's kit list"))</f>
        <v/>
      </c>
      <c r="H1060" s="83" t="str">
        <f aca="false">IF(AND(B1060="",C1060="",D1060=""),"",IF(B1060="","Missing contract",IF(C1060="","Missing code",IF(LEFT(G1060,3)="Not","Wrong code",IF(D1060="","Missing qty",IF(A1060="","Missing date",""))))))</f>
        <v/>
      </c>
      <c r="I1060" s="84" t="str">
        <f aca="false">IF(B1060=Dashboard!$D$3,ROW(),"")</f>
        <v/>
      </c>
    </row>
    <row r="1061" customFormat="false" ht="15" hidden="false" customHeight="false" outlineLevel="0" collapsed="false">
      <c r="A1061" s="80"/>
      <c r="B1061" s="71"/>
      <c r="C1061" s="71"/>
      <c r="D1061" s="81"/>
      <c r="E1061" s="71"/>
      <c r="F1061" s="71"/>
      <c r="G1061" s="82" t="str">
        <f aca="false">IF(C1061="","",IFERROR(INDEX('Kit Lists'!$D$6:$D$605,MATCH(B1061&amp;"|"&amp;C1061,'Kit Lists'!$J$6:$J$605,0)),"Not on this contract's kit list"))</f>
        <v/>
      </c>
      <c r="H1061" s="83" t="str">
        <f aca="false">IF(AND(B1061="",C1061="",D1061=""),"",IF(B1061="","Missing contract",IF(C1061="","Missing code",IF(LEFT(G1061,3)="Not","Wrong code",IF(D1061="","Missing qty",IF(A1061="","Missing date",""))))))</f>
        <v/>
      </c>
      <c r="I1061" s="84" t="str">
        <f aca="false">IF(B1061=Dashboard!$D$3,ROW(),"")</f>
        <v/>
      </c>
    </row>
    <row r="1062" customFormat="false" ht="15" hidden="false" customHeight="false" outlineLevel="0" collapsed="false">
      <c r="A1062" s="80"/>
      <c r="B1062" s="71"/>
      <c r="C1062" s="71"/>
      <c r="D1062" s="81"/>
      <c r="E1062" s="71"/>
      <c r="F1062" s="71"/>
      <c r="G1062" s="82" t="str">
        <f aca="false">IF(C1062="","",IFERROR(INDEX('Kit Lists'!$D$6:$D$605,MATCH(B1062&amp;"|"&amp;C1062,'Kit Lists'!$J$6:$J$605,0)),"Not on this contract's kit list"))</f>
        <v/>
      </c>
      <c r="H1062" s="83" t="str">
        <f aca="false">IF(AND(B1062="",C1062="",D1062=""),"",IF(B1062="","Missing contract",IF(C1062="","Missing code",IF(LEFT(G1062,3)="Not","Wrong code",IF(D1062="","Missing qty",IF(A1062="","Missing date",""))))))</f>
        <v/>
      </c>
      <c r="I1062" s="84" t="str">
        <f aca="false">IF(B1062=Dashboard!$D$3,ROW(),"")</f>
        <v/>
      </c>
    </row>
    <row r="1063" customFormat="false" ht="15" hidden="false" customHeight="false" outlineLevel="0" collapsed="false">
      <c r="A1063" s="80"/>
      <c r="B1063" s="71"/>
      <c r="C1063" s="71"/>
      <c r="D1063" s="81"/>
      <c r="E1063" s="71"/>
      <c r="F1063" s="71"/>
      <c r="G1063" s="82" t="str">
        <f aca="false">IF(C1063="","",IFERROR(INDEX('Kit Lists'!$D$6:$D$605,MATCH(B1063&amp;"|"&amp;C1063,'Kit Lists'!$J$6:$J$605,0)),"Not on this contract's kit list"))</f>
        <v/>
      </c>
      <c r="H1063" s="83" t="str">
        <f aca="false">IF(AND(B1063="",C1063="",D1063=""),"",IF(B1063="","Missing contract",IF(C1063="","Missing code",IF(LEFT(G1063,3)="Not","Wrong code",IF(D1063="","Missing qty",IF(A1063="","Missing date",""))))))</f>
        <v/>
      </c>
      <c r="I1063" s="84" t="str">
        <f aca="false">IF(B1063=Dashboard!$D$3,ROW(),"")</f>
        <v/>
      </c>
    </row>
    <row r="1064" customFormat="false" ht="15" hidden="false" customHeight="false" outlineLevel="0" collapsed="false">
      <c r="A1064" s="80"/>
      <c r="B1064" s="71"/>
      <c r="C1064" s="71"/>
      <c r="D1064" s="81"/>
      <c r="E1064" s="71"/>
      <c r="F1064" s="71"/>
      <c r="G1064" s="82" t="str">
        <f aca="false">IF(C1064="","",IFERROR(INDEX('Kit Lists'!$D$6:$D$605,MATCH(B1064&amp;"|"&amp;C1064,'Kit Lists'!$J$6:$J$605,0)),"Not on this contract's kit list"))</f>
        <v/>
      </c>
      <c r="H1064" s="83" t="str">
        <f aca="false">IF(AND(B1064="",C1064="",D1064=""),"",IF(B1064="","Missing contract",IF(C1064="","Missing code",IF(LEFT(G1064,3)="Not","Wrong code",IF(D1064="","Missing qty",IF(A1064="","Missing date",""))))))</f>
        <v/>
      </c>
      <c r="I1064" s="84" t="str">
        <f aca="false">IF(B1064=Dashboard!$D$3,ROW(),"")</f>
        <v/>
      </c>
    </row>
    <row r="1065" customFormat="false" ht="15" hidden="false" customHeight="false" outlineLevel="0" collapsed="false">
      <c r="A1065" s="80"/>
      <c r="B1065" s="71"/>
      <c r="C1065" s="71"/>
      <c r="D1065" s="81"/>
      <c r="E1065" s="71"/>
      <c r="F1065" s="71"/>
      <c r="G1065" s="82" t="str">
        <f aca="false">IF(C1065="","",IFERROR(INDEX('Kit Lists'!$D$6:$D$605,MATCH(B1065&amp;"|"&amp;C1065,'Kit Lists'!$J$6:$J$605,0)),"Not on this contract's kit list"))</f>
        <v/>
      </c>
      <c r="H1065" s="83" t="str">
        <f aca="false">IF(AND(B1065="",C1065="",D1065=""),"",IF(B1065="","Missing contract",IF(C1065="","Missing code",IF(LEFT(G1065,3)="Not","Wrong code",IF(D1065="","Missing qty",IF(A1065="","Missing date",""))))))</f>
        <v/>
      </c>
      <c r="I1065" s="84" t="str">
        <f aca="false">IF(B1065=Dashboard!$D$3,ROW(),"")</f>
        <v/>
      </c>
    </row>
    <row r="1066" customFormat="false" ht="15" hidden="false" customHeight="false" outlineLevel="0" collapsed="false">
      <c r="A1066" s="80"/>
      <c r="B1066" s="71"/>
      <c r="C1066" s="71"/>
      <c r="D1066" s="81"/>
      <c r="E1066" s="71"/>
      <c r="F1066" s="71"/>
      <c r="G1066" s="82" t="str">
        <f aca="false">IF(C1066="","",IFERROR(INDEX('Kit Lists'!$D$6:$D$605,MATCH(B1066&amp;"|"&amp;C1066,'Kit Lists'!$J$6:$J$605,0)),"Not on this contract's kit list"))</f>
        <v/>
      </c>
      <c r="H1066" s="83" t="str">
        <f aca="false">IF(AND(B1066="",C1066="",D1066=""),"",IF(B1066="","Missing contract",IF(C1066="","Missing code",IF(LEFT(G1066,3)="Not","Wrong code",IF(D1066="","Missing qty",IF(A1066="","Missing date",""))))))</f>
        <v/>
      </c>
      <c r="I1066" s="84" t="str">
        <f aca="false">IF(B1066=Dashboard!$D$3,ROW(),"")</f>
        <v/>
      </c>
    </row>
    <row r="1067" customFormat="false" ht="15" hidden="false" customHeight="false" outlineLevel="0" collapsed="false">
      <c r="A1067" s="80"/>
      <c r="B1067" s="71"/>
      <c r="C1067" s="71"/>
      <c r="D1067" s="81"/>
      <c r="E1067" s="71"/>
      <c r="F1067" s="71"/>
      <c r="G1067" s="82" t="str">
        <f aca="false">IF(C1067="","",IFERROR(INDEX('Kit Lists'!$D$6:$D$605,MATCH(B1067&amp;"|"&amp;C1067,'Kit Lists'!$J$6:$J$605,0)),"Not on this contract's kit list"))</f>
        <v/>
      </c>
      <c r="H1067" s="83" t="str">
        <f aca="false">IF(AND(B1067="",C1067="",D1067=""),"",IF(B1067="","Missing contract",IF(C1067="","Missing code",IF(LEFT(G1067,3)="Not","Wrong code",IF(D1067="","Missing qty",IF(A1067="","Missing date",""))))))</f>
        <v/>
      </c>
      <c r="I1067" s="84" t="str">
        <f aca="false">IF(B1067=Dashboard!$D$3,ROW(),"")</f>
        <v/>
      </c>
    </row>
    <row r="1068" customFormat="false" ht="15" hidden="false" customHeight="false" outlineLevel="0" collapsed="false">
      <c r="A1068" s="80"/>
      <c r="B1068" s="71"/>
      <c r="C1068" s="71"/>
      <c r="D1068" s="81"/>
      <c r="E1068" s="71"/>
      <c r="F1068" s="71"/>
      <c r="G1068" s="82" t="str">
        <f aca="false">IF(C1068="","",IFERROR(INDEX('Kit Lists'!$D$6:$D$605,MATCH(B1068&amp;"|"&amp;C1068,'Kit Lists'!$J$6:$J$605,0)),"Not on this contract's kit list"))</f>
        <v/>
      </c>
      <c r="H1068" s="83" t="str">
        <f aca="false">IF(AND(B1068="",C1068="",D1068=""),"",IF(B1068="","Missing contract",IF(C1068="","Missing code",IF(LEFT(G1068,3)="Not","Wrong code",IF(D1068="","Missing qty",IF(A1068="","Missing date",""))))))</f>
        <v/>
      </c>
      <c r="I1068" s="84" t="str">
        <f aca="false">IF(B1068=Dashboard!$D$3,ROW(),"")</f>
        <v/>
      </c>
    </row>
    <row r="1069" customFormat="false" ht="15" hidden="false" customHeight="false" outlineLevel="0" collapsed="false">
      <c r="A1069" s="80"/>
      <c r="B1069" s="71"/>
      <c r="C1069" s="71"/>
      <c r="D1069" s="81"/>
      <c r="E1069" s="71"/>
      <c r="F1069" s="71"/>
      <c r="G1069" s="82" t="str">
        <f aca="false">IF(C1069="","",IFERROR(INDEX('Kit Lists'!$D$6:$D$605,MATCH(B1069&amp;"|"&amp;C1069,'Kit Lists'!$J$6:$J$605,0)),"Not on this contract's kit list"))</f>
        <v/>
      </c>
      <c r="H1069" s="83" t="str">
        <f aca="false">IF(AND(B1069="",C1069="",D1069=""),"",IF(B1069="","Missing contract",IF(C1069="","Missing code",IF(LEFT(G1069,3)="Not","Wrong code",IF(D1069="","Missing qty",IF(A1069="","Missing date",""))))))</f>
        <v/>
      </c>
      <c r="I1069" s="84" t="str">
        <f aca="false">IF(B1069=Dashboard!$D$3,ROW(),"")</f>
        <v/>
      </c>
    </row>
    <row r="1070" customFormat="false" ht="15" hidden="false" customHeight="false" outlineLevel="0" collapsed="false">
      <c r="A1070" s="80"/>
      <c r="B1070" s="71"/>
      <c r="C1070" s="71"/>
      <c r="D1070" s="81"/>
      <c r="E1070" s="71"/>
      <c r="F1070" s="71"/>
      <c r="G1070" s="82" t="str">
        <f aca="false">IF(C1070="","",IFERROR(INDEX('Kit Lists'!$D$6:$D$605,MATCH(B1070&amp;"|"&amp;C1070,'Kit Lists'!$J$6:$J$605,0)),"Not on this contract's kit list"))</f>
        <v/>
      </c>
      <c r="H1070" s="83" t="str">
        <f aca="false">IF(AND(B1070="",C1070="",D1070=""),"",IF(B1070="","Missing contract",IF(C1070="","Missing code",IF(LEFT(G1070,3)="Not","Wrong code",IF(D1070="","Missing qty",IF(A1070="","Missing date",""))))))</f>
        <v/>
      </c>
      <c r="I1070" s="84" t="str">
        <f aca="false">IF(B1070=Dashboard!$D$3,ROW(),"")</f>
        <v/>
      </c>
    </row>
    <row r="1071" customFormat="false" ht="15" hidden="false" customHeight="false" outlineLevel="0" collapsed="false">
      <c r="A1071" s="80"/>
      <c r="B1071" s="71"/>
      <c r="C1071" s="71"/>
      <c r="D1071" s="81"/>
      <c r="E1071" s="71"/>
      <c r="F1071" s="71"/>
      <c r="G1071" s="82" t="str">
        <f aca="false">IF(C1071="","",IFERROR(INDEX('Kit Lists'!$D$6:$D$605,MATCH(B1071&amp;"|"&amp;C1071,'Kit Lists'!$J$6:$J$605,0)),"Not on this contract's kit list"))</f>
        <v/>
      </c>
      <c r="H1071" s="83" t="str">
        <f aca="false">IF(AND(B1071="",C1071="",D1071=""),"",IF(B1071="","Missing contract",IF(C1071="","Missing code",IF(LEFT(G1071,3)="Not","Wrong code",IF(D1071="","Missing qty",IF(A1071="","Missing date",""))))))</f>
        <v/>
      </c>
      <c r="I1071" s="84" t="str">
        <f aca="false">IF(B1071=Dashboard!$D$3,ROW(),"")</f>
        <v/>
      </c>
    </row>
    <row r="1072" customFormat="false" ht="15" hidden="false" customHeight="false" outlineLevel="0" collapsed="false">
      <c r="A1072" s="80"/>
      <c r="B1072" s="71"/>
      <c r="C1072" s="71"/>
      <c r="D1072" s="81"/>
      <c r="E1072" s="71"/>
      <c r="F1072" s="71"/>
      <c r="G1072" s="82" t="str">
        <f aca="false">IF(C1072="","",IFERROR(INDEX('Kit Lists'!$D$6:$D$605,MATCH(B1072&amp;"|"&amp;C1072,'Kit Lists'!$J$6:$J$605,0)),"Not on this contract's kit list"))</f>
        <v/>
      </c>
      <c r="H1072" s="83" t="str">
        <f aca="false">IF(AND(B1072="",C1072="",D1072=""),"",IF(B1072="","Missing contract",IF(C1072="","Missing code",IF(LEFT(G1072,3)="Not","Wrong code",IF(D1072="","Missing qty",IF(A1072="","Missing date",""))))))</f>
        <v/>
      </c>
      <c r="I1072" s="84" t="str">
        <f aca="false">IF(B1072=Dashboard!$D$3,ROW(),"")</f>
        <v/>
      </c>
    </row>
    <row r="1073" customFormat="false" ht="15" hidden="false" customHeight="false" outlineLevel="0" collapsed="false">
      <c r="A1073" s="80"/>
      <c r="B1073" s="71"/>
      <c r="C1073" s="71"/>
      <c r="D1073" s="81"/>
      <c r="E1073" s="71"/>
      <c r="F1073" s="71"/>
      <c r="G1073" s="82" t="str">
        <f aca="false">IF(C1073="","",IFERROR(INDEX('Kit Lists'!$D$6:$D$605,MATCH(B1073&amp;"|"&amp;C1073,'Kit Lists'!$J$6:$J$605,0)),"Not on this contract's kit list"))</f>
        <v/>
      </c>
      <c r="H1073" s="83" t="str">
        <f aca="false">IF(AND(B1073="",C1073="",D1073=""),"",IF(B1073="","Missing contract",IF(C1073="","Missing code",IF(LEFT(G1073,3)="Not","Wrong code",IF(D1073="","Missing qty",IF(A1073="","Missing date",""))))))</f>
        <v/>
      </c>
      <c r="I1073" s="84" t="str">
        <f aca="false">IF(B1073=Dashboard!$D$3,ROW(),"")</f>
        <v/>
      </c>
    </row>
    <row r="1074" customFormat="false" ht="15" hidden="false" customHeight="false" outlineLevel="0" collapsed="false">
      <c r="A1074" s="80"/>
      <c r="B1074" s="71"/>
      <c r="C1074" s="71"/>
      <c r="D1074" s="81"/>
      <c r="E1074" s="71"/>
      <c r="F1074" s="71"/>
      <c r="G1074" s="82" t="str">
        <f aca="false">IF(C1074="","",IFERROR(INDEX('Kit Lists'!$D$6:$D$605,MATCH(B1074&amp;"|"&amp;C1074,'Kit Lists'!$J$6:$J$605,0)),"Not on this contract's kit list"))</f>
        <v/>
      </c>
      <c r="H1074" s="83" t="str">
        <f aca="false">IF(AND(B1074="",C1074="",D1074=""),"",IF(B1074="","Missing contract",IF(C1074="","Missing code",IF(LEFT(G1074,3)="Not","Wrong code",IF(D1074="","Missing qty",IF(A1074="","Missing date",""))))))</f>
        <v/>
      </c>
      <c r="I1074" s="84" t="str">
        <f aca="false">IF(B1074=Dashboard!$D$3,ROW(),"")</f>
        <v/>
      </c>
    </row>
    <row r="1075" customFormat="false" ht="15" hidden="false" customHeight="false" outlineLevel="0" collapsed="false">
      <c r="A1075" s="80"/>
      <c r="B1075" s="71"/>
      <c r="C1075" s="71"/>
      <c r="D1075" s="81"/>
      <c r="E1075" s="71"/>
      <c r="F1075" s="71"/>
      <c r="G1075" s="82" t="str">
        <f aca="false">IF(C1075="","",IFERROR(INDEX('Kit Lists'!$D$6:$D$605,MATCH(B1075&amp;"|"&amp;C1075,'Kit Lists'!$J$6:$J$605,0)),"Not on this contract's kit list"))</f>
        <v/>
      </c>
      <c r="H1075" s="83" t="str">
        <f aca="false">IF(AND(B1075="",C1075="",D1075=""),"",IF(B1075="","Missing contract",IF(C1075="","Missing code",IF(LEFT(G1075,3)="Not","Wrong code",IF(D1075="","Missing qty",IF(A1075="","Missing date",""))))))</f>
        <v/>
      </c>
      <c r="I1075" s="84" t="str">
        <f aca="false">IF(B1075=Dashboard!$D$3,ROW(),"")</f>
        <v/>
      </c>
    </row>
    <row r="1076" customFormat="false" ht="15" hidden="false" customHeight="false" outlineLevel="0" collapsed="false">
      <c r="A1076" s="80"/>
      <c r="B1076" s="71"/>
      <c r="C1076" s="71"/>
      <c r="D1076" s="81"/>
      <c r="E1076" s="71"/>
      <c r="F1076" s="71"/>
      <c r="G1076" s="82" t="str">
        <f aca="false">IF(C1076="","",IFERROR(INDEX('Kit Lists'!$D$6:$D$605,MATCH(B1076&amp;"|"&amp;C1076,'Kit Lists'!$J$6:$J$605,0)),"Not on this contract's kit list"))</f>
        <v/>
      </c>
      <c r="H1076" s="83" t="str">
        <f aca="false">IF(AND(B1076="",C1076="",D1076=""),"",IF(B1076="","Missing contract",IF(C1076="","Missing code",IF(LEFT(G1076,3)="Not","Wrong code",IF(D1076="","Missing qty",IF(A1076="","Missing date",""))))))</f>
        <v/>
      </c>
      <c r="I1076" s="84" t="str">
        <f aca="false">IF(B1076=Dashboard!$D$3,ROW(),"")</f>
        <v/>
      </c>
    </row>
    <row r="1077" customFormat="false" ht="15" hidden="false" customHeight="false" outlineLevel="0" collapsed="false">
      <c r="A1077" s="80"/>
      <c r="B1077" s="71"/>
      <c r="C1077" s="71"/>
      <c r="D1077" s="81"/>
      <c r="E1077" s="71"/>
      <c r="F1077" s="71"/>
      <c r="G1077" s="82" t="str">
        <f aca="false">IF(C1077="","",IFERROR(INDEX('Kit Lists'!$D$6:$D$605,MATCH(B1077&amp;"|"&amp;C1077,'Kit Lists'!$J$6:$J$605,0)),"Not on this contract's kit list"))</f>
        <v/>
      </c>
      <c r="H1077" s="83" t="str">
        <f aca="false">IF(AND(B1077="",C1077="",D1077=""),"",IF(B1077="","Missing contract",IF(C1077="","Missing code",IF(LEFT(G1077,3)="Not","Wrong code",IF(D1077="","Missing qty",IF(A1077="","Missing date",""))))))</f>
        <v/>
      </c>
      <c r="I1077" s="84" t="str">
        <f aca="false">IF(B1077=Dashboard!$D$3,ROW(),"")</f>
        <v/>
      </c>
    </row>
    <row r="1078" customFormat="false" ht="15" hidden="false" customHeight="false" outlineLevel="0" collapsed="false">
      <c r="A1078" s="80"/>
      <c r="B1078" s="71"/>
      <c r="C1078" s="71"/>
      <c r="D1078" s="81"/>
      <c r="E1078" s="71"/>
      <c r="F1078" s="71"/>
      <c r="G1078" s="82" t="str">
        <f aca="false">IF(C1078="","",IFERROR(INDEX('Kit Lists'!$D$6:$D$605,MATCH(B1078&amp;"|"&amp;C1078,'Kit Lists'!$J$6:$J$605,0)),"Not on this contract's kit list"))</f>
        <v/>
      </c>
      <c r="H1078" s="83" t="str">
        <f aca="false">IF(AND(B1078="",C1078="",D1078=""),"",IF(B1078="","Missing contract",IF(C1078="","Missing code",IF(LEFT(G1078,3)="Not","Wrong code",IF(D1078="","Missing qty",IF(A1078="","Missing date",""))))))</f>
        <v/>
      </c>
      <c r="I1078" s="84" t="str">
        <f aca="false">IF(B1078=Dashboard!$D$3,ROW(),"")</f>
        <v/>
      </c>
    </row>
    <row r="1079" customFormat="false" ht="15" hidden="false" customHeight="false" outlineLevel="0" collapsed="false">
      <c r="A1079" s="80"/>
      <c r="B1079" s="71"/>
      <c r="C1079" s="71"/>
      <c r="D1079" s="81"/>
      <c r="E1079" s="71"/>
      <c r="F1079" s="71"/>
      <c r="G1079" s="82" t="str">
        <f aca="false">IF(C1079="","",IFERROR(INDEX('Kit Lists'!$D$6:$D$605,MATCH(B1079&amp;"|"&amp;C1079,'Kit Lists'!$J$6:$J$605,0)),"Not on this contract's kit list"))</f>
        <v/>
      </c>
      <c r="H1079" s="83" t="str">
        <f aca="false">IF(AND(B1079="",C1079="",D1079=""),"",IF(B1079="","Missing contract",IF(C1079="","Missing code",IF(LEFT(G1079,3)="Not","Wrong code",IF(D1079="","Missing qty",IF(A1079="","Missing date",""))))))</f>
        <v/>
      </c>
      <c r="I1079" s="84" t="str">
        <f aca="false">IF(B1079=Dashboard!$D$3,ROW(),"")</f>
        <v/>
      </c>
    </row>
    <row r="1080" customFormat="false" ht="15" hidden="false" customHeight="false" outlineLevel="0" collapsed="false">
      <c r="A1080" s="80"/>
      <c r="B1080" s="71"/>
      <c r="C1080" s="71"/>
      <c r="D1080" s="81"/>
      <c r="E1080" s="71"/>
      <c r="F1080" s="71"/>
      <c r="G1080" s="82" t="str">
        <f aca="false">IF(C1080="","",IFERROR(INDEX('Kit Lists'!$D$6:$D$605,MATCH(B1080&amp;"|"&amp;C1080,'Kit Lists'!$J$6:$J$605,0)),"Not on this contract's kit list"))</f>
        <v/>
      </c>
      <c r="H1080" s="83" t="str">
        <f aca="false">IF(AND(B1080="",C1080="",D1080=""),"",IF(B1080="","Missing contract",IF(C1080="","Missing code",IF(LEFT(G1080,3)="Not","Wrong code",IF(D1080="","Missing qty",IF(A1080="","Missing date",""))))))</f>
        <v/>
      </c>
      <c r="I1080" s="84" t="str">
        <f aca="false">IF(B1080=Dashboard!$D$3,ROW(),"")</f>
        <v/>
      </c>
    </row>
    <row r="1081" customFormat="false" ht="15" hidden="false" customHeight="false" outlineLevel="0" collapsed="false">
      <c r="A1081" s="80"/>
      <c r="B1081" s="71"/>
      <c r="C1081" s="71"/>
      <c r="D1081" s="81"/>
      <c r="E1081" s="71"/>
      <c r="F1081" s="71"/>
      <c r="G1081" s="82" t="str">
        <f aca="false">IF(C1081="","",IFERROR(INDEX('Kit Lists'!$D$6:$D$605,MATCH(B1081&amp;"|"&amp;C1081,'Kit Lists'!$J$6:$J$605,0)),"Not on this contract's kit list"))</f>
        <v/>
      </c>
      <c r="H1081" s="83" t="str">
        <f aca="false">IF(AND(B1081="",C1081="",D1081=""),"",IF(B1081="","Missing contract",IF(C1081="","Missing code",IF(LEFT(G1081,3)="Not","Wrong code",IF(D1081="","Missing qty",IF(A1081="","Missing date",""))))))</f>
        <v/>
      </c>
      <c r="I1081" s="84" t="str">
        <f aca="false">IF(B1081=Dashboard!$D$3,ROW(),"")</f>
        <v/>
      </c>
    </row>
    <row r="1082" customFormat="false" ht="15" hidden="false" customHeight="false" outlineLevel="0" collapsed="false">
      <c r="A1082" s="80"/>
      <c r="B1082" s="71"/>
      <c r="C1082" s="71"/>
      <c r="D1082" s="81"/>
      <c r="E1082" s="71"/>
      <c r="F1082" s="71"/>
      <c r="G1082" s="82" t="str">
        <f aca="false">IF(C1082="","",IFERROR(INDEX('Kit Lists'!$D$6:$D$605,MATCH(B1082&amp;"|"&amp;C1082,'Kit Lists'!$J$6:$J$605,0)),"Not on this contract's kit list"))</f>
        <v/>
      </c>
      <c r="H1082" s="83" t="str">
        <f aca="false">IF(AND(B1082="",C1082="",D1082=""),"",IF(B1082="","Missing contract",IF(C1082="","Missing code",IF(LEFT(G1082,3)="Not","Wrong code",IF(D1082="","Missing qty",IF(A1082="","Missing date",""))))))</f>
        <v/>
      </c>
      <c r="I1082" s="84" t="str">
        <f aca="false">IF(B1082=Dashboard!$D$3,ROW(),"")</f>
        <v/>
      </c>
    </row>
    <row r="1083" customFormat="false" ht="15" hidden="false" customHeight="false" outlineLevel="0" collapsed="false">
      <c r="A1083" s="80"/>
      <c r="B1083" s="71"/>
      <c r="C1083" s="71"/>
      <c r="D1083" s="81"/>
      <c r="E1083" s="71"/>
      <c r="F1083" s="71"/>
      <c r="G1083" s="82" t="str">
        <f aca="false">IF(C1083="","",IFERROR(INDEX('Kit Lists'!$D$6:$D$605,MATCH(B1083&amp;"|"&amp;C1083,'Kit Lists'!$J$6:$J$605,0)),"Not on this contract's kit list"))</f>
        <v/>
      </c>
      <c r="H1083" s="83" t="str">
        <f aca="false">IF(AND(B1083="",C1083="",D1083=""),"",IF(B1083="","Missing contract",IF(C1083="","Missing code",IF(LEFT(G1083,3)="Not","Wrong code",IF(D1083="","Missing qty",IF(A1083="","Missing date",""))))))</f>
        <v/>
      </c>
      <c r="I1083" s="84" t="str">
        <f aca="false">IF(B1083=Dashboard!$D$3,ROW(),"")</f>
        <v/>
      </c>
    </row>
    <row r="1084" customFormat="false" ht="15" hidden="false" customHeight="false" outlineLevel="0" collapsed="false">
      <c r="A1084" s="80"/>
      <c r="B1084" s="71"/>
      <c r="C1084" s="71"/>
      <c r="D1084" s="81"/>
      <c r="E1084" s="71"/>
      <c r="F1084" s="71"/>
      <c r="G1084" s="82" t="str">
        <f aca="false">IF(C1084="","",IFERROR(INDEX('Kit Lists'!$D$6:$D$605,MATCH(B1084&amp;"|"&amp;C1084,'Kit Lists'!$J$6:$J$605,0)),"Not on this contract's kit list"))</f>
        <v/>
      </c>
      <c r="H1084" s="83" t="str">
        <f aca="false">IF(AND(B1084="",C1084="",D1084=""),"",IF(B1084="","Missing contract",IF(C1084="","Missing code",IF(LEFT(G1084,3)="Not","Wrong code",IF(D1084="","Missing qty",IF(A1084="","Missing date",""))))))</f>
        <v/>
      </c>
      <c r="I1084" s="84" t="str">
        <f aca="false">IF(B1084=Dashboard!$D$3,ROW(),"")</f>
        <v/>
      </c>
    </row>
    <row r="1085" customFormat="false" ht="15" hidden="false" customHeight="false" outlineLevel="0" collapsed="false">
      <c r="A1085" s="80"/>
      <c r="B1085" s="71"/>
      <c r="C1085" s="71"/>
      <c r="D1085" s="81"/>
      <c r="E1085" s="71"/>
      <c r="F1085" s="71"/>
      <c r="G1085" s="82" t="str">
        <f aca="false">IF(C1085="","",IFERROR(INDEX('Kit Lists'!$D$6:$D$605,MATCH(B1085&amp;"|"&amp;C1085,'Kit Lists'!$J$6:$J$605,0)),"Not on this contract's kit list"))</f>
        <v/>
      </c>
      <c r="H1085" s="83" t="str">
        <f aca="false">IF(AND(B1085="",C1085="",D1085=""),"",IF(B1085="","Missing contract",IF(C1085="","Missing code",IF(LEFT(G1085,3)="Not","Wrong code",IF(D1085="","Missing qty",IF(A1085="","Missing date",""))))))</f>
        <v/>
      </c>
      <c r="I1085" s="84" t="str">
        <f aca="false">IF(B1085=Dashboard!$D$3,ROW(),"")</f>
        <v/>
      </c>
    </row>
    <row r="1086" customFormat="false" ht="15" hidden="false" customHeight="false" outlineLevel="0" collapsed="false">
      <c r="A1086" s="80"/>
      <c r="B1086" s="71"/>
      <c r="C1086" s="71"/>
      <c r="D1086" s="81"/>
      <c r="E1086" s="71"/>
      <c r="F1086" s="71"/>
      <c r="G1086" s="82" t="str">
        <f aca="false">IF(C1086="","",IFERROR(INDEX('Kit Lists'!$D$6:$D$605,MATCH(B1086&amp;"|"&amp;C1086,'Kit Lists'!$J$6:$J$605,0)),"Not on this contract's kit list"))</f>
        <v/>
      </c>
      <c r="H1086" s="83" t="str">
        <f aca="false">IF(AND(B1086="",C1086="",D1086=""),"",IF(B1086="","Missing contract",IF(C1086="","Missing code",IF(LEFT(G1086,3)="Not","Wrong code",IF(D1086="","Missing qty",IF(A1086="","Missing date",""))))))</f>
        <v/>
      </c>
      <c r="I1086" s="84" t="str">
        <f aca="false">IF(B1086=Dashboard!$D$3,ROW(),"")</f>
        <v/>
      </c>
    </row>
    <row r="1087" customFormat="false" ht="15" hidden="false" customHeight="false" outlineLevel="0" collapsed="false">
      <c r="A1087" s="80"/>
      <c r="B1087" s="71"/>
      <c r="C1087" s="71"/>
      <c r="D1087" s="81"/>
      <c r="E1087" s="71"/>
      <c r="F1087" s="71"/>
      <c r="G1087" s="82" t="str">
        <f aca="false">IF(C1087="","",IFERROR(INDEX('Kit Lists'!$D$6:$D$605,MATCH(B1087&amp;"|"&amp;C1087,'Kit Lists'!$J$6:$J$605,0)),"Not on this contract's kit list"))</f>
        <v/>
      </c>
      <c r="H1087" s="83" t="str">
        <f aca="false">IF(AND(B1087="",C1087="",D1087=""),"",IF(B1087="","Missing contract",IF(C1087="","Missing code",IF(LEFT(G1087,3)="Not","Wrong code",IF(D1087="","Missing qty",IF(A1087="","Missing date",""))))))</f>
        <v/>
      </c>
      <c r="I1087" s="84" t="str">
        <f aca="false">IF(B1087=Dashboard!$D$3,ROW(),"")</f>
        <v/>
      </c>
    </row>
    <row r="1088" customFormat="false" ht="15" hidden="false" customHeight="false" outlineLevel="0" collapsed="false">
      <c r="A1088" s="80"/>
      <c r="B1088" s="71"/>
      <c r="C1088" s="71"/>
      <c r="D1088" s="81"/>
      <c r="E1088" s="71"/>
      <c r="F1088" s="71"/>
      <c r="G1088" s="82" t="str">
        <f aca="false">IF(C1088="","",IFERROR(INDEX('Kit Lists'!$D$6:$D$605,MATCH(B1088&amp;"|"&amp;C1088,'Kit Lists'!$J$6:$J$605,0)),"Not on this contract's kit list"))</f>
        <v/>
      </c>
      <c r="H1088" s="83" t="str">
        <f aca="false">IF(AND(B1088="",C1088="",D1088=""),"",IF(B1088="","Missing contract",IF(C1088="","Missing code",IF(LEFT(G1088,3)="Not","Wrong code",IF(D1088="","Missing qty",IF(A1088="","Missing date",""))))))</f>
        <v/>
      </c>
      <c r="I1088" s="84" t="str">
        <f aca="false">IF(B1088=Dashboard!$D$3,ROW(),"")</f>
        <v/>
      </c>
    </row>
    <row r="1089" customFormat="false" ht="15" hidden="false" customHeight="false" outlineLevel="0" collapsed="false">
      <c r="A1089" s="80"/>
      <c r="B1089" s="71"/>
      <c r="C1089" s="71"/>
      <c r="D1089" s="81"/>
      <c r="E1089" s="71"/>
      <c r="F1089" s="71"/>
      <c r="G1089" s="82" t="str">
        <f aca="false">IF(C1089="","",IFERROR(INDEX('Kit Lists'!$D$6:$D$605,MATCH(B1089&amp;"|"&amp;C1089,'Kit Lists'!$J$6:$J$605,0)),"Not on this contract's kit list"))</f>
        <v/>
      </c>
      <c r="H1089" s="83" t="str">
        <f aca="false">IF(AND(B1089="",C1089="",D1089=""),"",IF(B1089="","Missing contract",IF(C1089="","Missing code",IF(LEFT(G1089,3)="Not","Wrong code",IF(D1089="","Missing qty",IF(A1089="","Missing date",""))))))</f>
        <v/>
      </c>
      <c r="I1089" s="84" t="str">
        <f aca="false">IF(B1089=Dashboard!$D$3,ROW(),"")</f>
        <v/>
      </c>
    </row>
    <row r="1090" customFormat="false" ht="15" hidden="false" customHeight="false" outlineLevel="0" collapsed="false">
      <c r="A1090" s="80"/>
      <c r="B1090" s="71"/>
      <c r="C1090" s="71"/>
      <c r="D1090" s="81"/>
      <c r="E1090" s="71"/>
      <c r="F1090" s="71"/>
      <c r="G1090" s="82" t="str">
        <f aca="false">IF(C1090="","",IFERROR(INDEX('Kit Lists'!$D$6:$D$605,MATCH(B1090&amp;"|"&amp;C1090,'Kit Lists'!$J$6:$J$605,0)),"Not on this contract's kit list"))</f>
        <v/>
      </c>
      <c r="H1090" s="83" t="str">
        <f aca="false">IF(AND(B1090="",C1090="",D1090=""),"",IF(B1090="","Missing contract",IF(C1090="","Missing code",IF(LEFT(G1090,3)="Not","Wrong code",IF(D1090="","Missing qty",IF(A1090="","Missing date",""))))))</f>
        <v/>
      </c>
      <c r="I1090" s="84" t="str">
        <f aca="false">IF(B1090=Dashboard!$D$3,ROW(),"")</f>
        <v/>
      </c>
    </row>
    <row r="1091" customFormat="false" ht="15" hidden="false" customHeight="false" outlineLevel="0" collapsed="false">
      <c r="A1091" s="80"/>
      <c r="B1091" s="71"/>
      <c r="C1091" s="71"/>
      <c r="D1091" s="81"/>
      <c r="E1091" s="71"/>
      <c r="F1091" s="71"/>
      <c r="G1091" s="82" t="str">
        <f aca="false">IF(C1091="","",IFERROR(INDEX('Kit Lists'!$D$6:$D$605,MATCH(B1091&amp;"|"&amp;C1091,'Kit Lists'!$J$6:$J$605,0)),"Not on this contract's kit list"))</f>
        <v/>
      </c>
      <c r="H1091" s="83" t="str">
        <f aca="false">IF(AND(B1091="",C1091="",D1091=""),"",IF(B1091="","Missing contract",IF(C1091="","Missing code",IF(LEFT(G1091,3)="Not","Wrong code",IF(D1091="","Missing qty",IF(A1091="","Missing date",""))))))</f>
        <v/>
      </c>
      <c r="I1091" s="84" t="str">
        <f aca="false">IF(B1091=Dashboard!$D$3,ROW(),"")</f>
        <v/>
      </c>
    </row>
    <row r="1092" customFormat="false" ht="15" hidden="false" customHeight="false" outlineLevel="0" collapsed="false">
      <c r="A1092" s="80"/>
      <c r="B1092" s="71"/>
      <c r="C1092" s="71"/>
      <c r="D1092" s="81"/>
      <c r="E1092" s="71"/>
      <c r="F1092" s="71"/>
      <c r="G1092" s="82" t="str">
        <f aca="false">IF(C1092="","",IFERROR(INDEX('Kit Lists'!$D$6:$D$605,MATCH(B1092&amp;"|"&amp;C1092,'Kit Lists'!$J$6:$J$605,0)),"Not on this contract's kit list"))</f>
        <v/>
      </c>
      <c r="H1092" s="83" t="str">
        <f aca="false">IF(AND(B1092="",C1092="",D1092=""),"",IF(B1092="","Missing contract",IF(C1092="","Missing code",IF(LEFT(G1092,3)="Not","Wrong code",IF(D1092="","Missing qty",IF(A1092="","Missing date",""))))))</f>
        <v/>
      </c>
      <c r="I1092" s="84" t="str">
        <f aca="false">IF(B1092=Dashboard!$D$3,ROW(),"")</f>
        <v/>
      </c>
    </row>
    <row r="1093" customFormat="false" ht="15" hidden="false" customHeight="false" outlineLevel="0" collapsed="false">
      <c r="A1093" s="80"/>
      <c r="B1093" s="71"/>
      <c r="C1093" s="71"/>
      <c r="D1093" s="81"/>
      <c r="E1093" s="71"/>
      <c r="F1093" s="71"/>
      <c r="G1093" s="82" t="str">
        <f aca="false">IF(C1093="","",IFERROR(INDEX('Kit Lists'!$D$6:$D$605,MATCH(B1093&amp;"|"&amp;C1093,'Kit Lists'!$J$6:$J$605,0)),"Not on this contract's kit list"))</f>
        <v/>
      </c>
      <c r="H1093" s="83" t="str">
        <f aca="false">IF(AND(B1093="",C1093="",D1093=""),"",IF(B1093="","Missing contract",IF(C1093="","Missing code",IF(LEFT(G1093,3)="Not","Wrong code",IF(D1093="","Missing qty",IF(A1093="","Missing date",""))))))</f>
        <v/>
      </c>
      <c r="I1093" s="84" t="str">
        <f aca="false">IF(B1093=Dashboard!$D$3,ROW(),"")</f>
        <v/>
      </c>
    </row>
    <row r="1094" customFormat="false" ht="15" hidden="false" customHeight="false" outlineLevel="0" collapsed="false">
      <c r="A1094" s="80"/>
      <c r="B1094" s="71"/>
      <c r="C1094" s="71"/>
      <c r="D1094" s="81"/>
      <c r="E1094" s="71"/>
      <c r="F1094" s="71"/>
      <c r="G1094" s="82" t="str">
        <f aca="false">IF(C1094="","",IFERROR(INDEX('Kit Lists'!$D$6:$D$605,MATCH(B1094&amp;"|"&amp;C1094,'Kit Lists'!$J$6:$J$605,0)),"Not on this contract's kit list"))</f>
        <v/>
      </c>
      <c r="H1094" s="83" t="str">
        <f aca="false">IF(AND(B1094="",C1094="",D1094=""),"",IF(B1094="","Missing contract",IF(C1094="","Missing code",IF(LEFT(G1094,3)="Not","Wrong code",IF(D1094="","Missing qty",IF(A1094="","Missing date",""))))))</f>
        <v/>
      </c>
      <c r="I1094" s="84" t="str">
        <f aca="false">IF(B1094=Dashboard!$D$3,ROW(),"")</f>
        <v/>
      </c>
    </row>
    <row r="1095" customFormat="false" ht="15" hidden="false" customHeight="false" outlineLevel="0" collapsed="false">
      <c r="A1095" s="80"/>
      <c r="B1095" s="71"/>
      <c r="C1095" s="71"/>
      <c r="D1095" s="81"/>
      <c r="E1095" s="71"/>
      <c r="F1095" s="71"/>
      <c r="G1095" s="82" t="str">
        <f aca="false">IF(C1095="","",IFERROR(INDEX('Kit Lists'!$D$6:$D$605,MATCH(B1095&amp;"|"&amp;C1095,'Kit Lists'!$J$6:$J$605,0)),"Not on this contract's kit list"))</f>
        <v/>
      </c>
      <c r="H1095" s="83" t="str">
        <f aca="false">IF(AND(B1095="",C1095="",D1095=""),"",IF(B1095="","Missing contract",IF(C1095="","Missing code",IF(LEFT(G1095,3)="Not","Wrong code",IF(D1095="","Missing qty",IF(A1095="","Missing date",""))))))</f>
        <v/>
      </c>
      <c r="I1095" s="84" t="str">
        <f aca="false">IF(B1095=Dashboard!$D$3,ROW(),"")</f>
        <v/>
      </c>
    </row>
    <row r="1096" customFormat="false" ht="15" hidden="false" customHeight="false" outlineLevel="0" collapsed="false">
      <c r="A1096" s="80"/>
      <c r="B1096" s="71"/>
      <c r="C1096" s="71"/>
      <c r="D1096" s="81"/>
      <c r="E1096" s="71"/>
      <c r="F1096" s="71"/>
      <c r="G1096" s="82" t="str">
        <f aca="false">IF(C1096="","",IFERROR(INDEX('Kit Lists'!$D$6:$D$605,MATCH(B1096&amp;"|"&amp;C1096,'Kit Lists'!$J$6:$J$605,0)),"Not on this contract's kit list"))</f>
        <v/>
      </c>
      <c r="H1096" s="83" t="str">
        <f aca="false">IF(AND(B1096="",C1096="",D1096=""),"",IF(B1096="","Missing contract",IF(C1096="","Missing code",IF(LEFT(G1096,3)="Not","Wrong code",IF(D1096="","Missing qty",IF(A1096="","Missing date",""))))))</f>
        <v/>
      </c>
      <c r="I1096" s="84" t="str">
        <f aca="false">IF(B1096=Dashboard!$D$3,ROW(),"")</f>
        <v/>
      </c>
    </row>
    <row r="1097" customFormat="false" ht="15" hidden="false" customHeight="false" outlineLevel="0" collapsed="false">
      <c r="A1097" s="80"/>
      <c r="B1097" s="71"/>
      <c r="C1097" s="71"/>
      <c r="D1097" s="81"/>
      <c r="E1097" s="71"/>
      <c r="F1097" s="71"/>
      <c r="G1097" s="82" t="str">
        <f aca="false">IF(C1097="","",IFERROR(INDEX('Kit Lists'!$D$6:$D$605,MATCH(B1097&amp;"|"&amp;C1097,'Kit Lists'!$J$6:$J$605,0)),"Not on this contract's kit list"))</f>
        <v/>
      </c>
      <c r="H1097" s="83" t="str">
        <f aca="false">IF(AND(B1097="",C1097="",D1097=""),"",IF(B1097="","Missing contract",IF(C1097="","Missing code",IF(LEFT(G1097,3)="Not","Wrong code",IF(D1097="","Missing qty",IF(A1097="","Missing date",""))))))</f>
        <v/>
      </c>
      <c r="I1097" s="84" t="str">
        <f aca="false">IF(B1097=Dashboard!$D$3,ROW(),"")</f>
        <v/>
      </c>
    </row>
    <row r="1098" customFormat="false" ht="15" hidden="false" customHeight="false" outlineLevel="0" collapsed="false">
      <c r="A1098" s="80"/>
      <c r="B1098" s="71"/>
      <c r="C1098" s="71"/>
      <c r="D1098" s="81"/>
      <c r="E1098" s="71"/>
      <c r="F1098" s="71"/>
      <c r="G1098" s="82" t="str">
        <f aca="false">IF(C1098="","",IFERROR(INDEX('Kit Lists'!$D$6:$D$605,MATCH(B1098&amp;"|"&amp;C1098,'Kit Lists'!$J$6:$J$605,0)),"Not on this contract's kit list"))</f>
        <v/>
      </c>
      <c r="H1098" s="83" t="str">
        <f aca="false">IF(AND(B1098="",C1098="",D1098=""),"",IF(B1098="","Missing contract",IF(C1098="","Missing code",IF(LEFT(G1098,3)="Not","Wrong code",IF(D1098="","Missing qty",IF(A1098="","Missing date",""))))))</f>
        <v/>
      </c>
      <c r="I1098" s="84" t="str">
        <f aca="false">IF(B1098=Dashboard!$D$3,ROW(),"")</f>
        <v/>
      </c>
    </row>
    <row r="1099" customFormat="false" ht="15" hidden="false" customHeight="false" outlineLevel="0" collapsed="false">
      <c r="A1099" s="80"/>
      <c r="B1099" s="71"/>
      <c r="C1099" s="71"/>
      <c r="D1099" s="81"/>
      <c r="E1099" s="71"/>
      <c r="F1099" s="71"/>
      <c r="G1099" s="82" t="str">
        <f aca="false">IF(C1099="","",IFERROR(INDEX('Kit Lists'!$D$6:$D$605,MATCH(B1099&amp;"|"&amp;C1099,'Kit Lists'!$J$6:$J$605,0)),"Not on this contract's kit list"))</f>
        <v/>
      </c>
      <c r="H1099" s="83" t="str">
        <f aca="false">IF(AND(B1099="",C1099="",D1099=""),"",IF(B1099="","Missing contract",IF(C1099="","Missing code",IF(LEFT(G1099,3)="Not","Wrong code",IF(D1099="","Missing qty",IF(A1099="","Missing date",""))))))</f>
        <v/>
      </c>
      <c r="I1099" s="84" t="str">
        <f aca="false">IF(B1099=Dashboard!$D$3,ROW(),"")</f>
        <v/>
      </c>
    </row>
    <row r="1100" customFormat="false" ht="15" hidden="false" customHeight="false" outlineLevel="0" collapsed="false">
      <c r="A1100" s="80"/>
      <c r="B1100" s="71"/>
      <c r="C1100" s="71"/>
      <c r="D1100" s="81"/>
      <c r="E1100" s="71"/>
      <c r="F1100" s="71"/>
      <c r="G1100" s="82" t="str">
        <f aca="false">IF(C1100="","",IFERROR(INDEX('Kit Lists'!$D$6:$D$605,MATCH(B1100&amp;"|"&amp;C1100,'Kit Lists'!$J$6:$J$605,0)),"Not on this contract's kit list"))</f>
        <v/>
      </c>
      <c r="H1100" s="83" t="str">
        <f aca="false">IF(AND(B1100="",C1100="",D1100=""),"",IF(B1100="","Missing contract",IF(C1100="","Missing code",IF(LEFT(G1100,3)="Not","Wrong code",IF(D1100="","Missing qty",IF(A1100="","Missing date",""))))))</f>
        <v/>
      </c>
      <c r="I1100" s="84" t="str">
        <f aca="false">IF(B1100=Dashboard!$D$3,ROW(),"")</f>
        <v/>
      </c>
    </row>
    <row r="1101" customFormat="false" ht="15" hidden="false" customHeight="false" outlineLevel="0" collapsed="false">
      <c r="A1101" s="80"/>
      <c r="B1101" s="71"/>
      <c r="C1101" s="71"/>
      <c r="D1101" s="81"/>
      <c r="E1101" s="71"/>
      <c r="F1101" s="71"/>
      <c r="G1101" s="82" t="str">
        <f aca="false">IF(C1101="","",IFERROR(INDEX('Kit Lists'!$D$6:$D$605,MATCH(B1101&amp;"|"&amp;C1101,'Kit Lists'!$J$6:$J$605,0)),"Not on this contract's kit list"))</f>
        <v/>
      </c>
      <c r="H1101" s="83" t="str">
        <f aca="false">IF(AND(B1101="",C1101="",D1101=""),"",IF(B1101="","Missing contract",IF(C1101="","Missing code",IF(LEFT(G1101,3)="Not","Wrong code",IF(D1101="","Missing qty",IF(A1101="","Missing date",""))))))</f>
        <v/>
      </c>
      <c r="I1101" s="84" t="str">
        <f aca="false">IF(B1101=Dashboard!$D$3,ROW(),"")</f>
        <v/>
      </c>
    </row>
    <row r="1102" customFormat="false" ht="15" hidden="false" customHeight="false" outlineLevel="0" collapsed="false">
      <c r="A1102" s="80"/>
      <c r="B1102" s="71"/>
      <c r="C1102" s="71"/>
      <c r="D1102" s="81"/>
      <c r="E1102" s="71"/>
      <c r="F1102" s="71"/>
      <c r="G1102" s="82" t="str">
        <f aca="false">IF(C1102="","",IFERROR(INDEX('Kit Lists'!$D$6:$D$605,MATCH(B1102&amp;"|"&amp;C1102,'Kit Lists'!$J$6:$J$605,0)),"Not on this contract's kit list"))</f>
        <v/>
      </c>
      <c r="H1102" s="83" t="str">
        <f aca="false">IF(AND(B1102="",C1102="",D1102=""),"",IF(B1102="","Missing contract",IF(C1102="","Missing code",IF(LEFT(G1102,3)="Not","Wrong code",IF(D1102="","Missing qty",IF(A1102="","Missing date",""))))))</f>
        <v/>
      </c>
      <c r="I1102" s="84" t="str">
        <f aca="false">IF(B1102=Dashboard!$D$3,ROW(),"")</f>
        <v/>
      </c>
    </row>
    <row r="1103" customFormat="false" ht="15" hidden="false" customHeight="false" outlineLevel="0" collapsed="false">
      <c r="A1103" s="80"/>
      <c r="B1103" s="71"/>
      <c r="C1103" s="71"/>
      <c r="D1103" s="81"/>
      <c r="E1103" s="71"/>
      <c r="F1103" s="71"/>
      <c r="G1103" s="82" t="str">
        <f aca="false">IF(C1103="","",IFERROR(INDEX('Kit Lists'!$D$6:$D$605,MATCH(B1103&amp;"|"&amp;C1103,'Kit Lists'!$J$6:$J$605,0)),"Not on this contract's kit list"))</f>
        <v/>
      </c>
      <c r="H1103" s="83" t="str">
        <f aca="false">IF(AND(B1103="",C1103="",D1103=""),"",IF(B1103="","Missing contract",IF(C1103="","Missing code",IF(LEFT(G1103,3)="Not","Wrong code",IF(D1103="","Missing qty",IF(A1103="","Missing date",""))))))</f>
        <v/>
      </c>
      <c r="I1103" s="84" t="str">
        <f aca="false">IF(B1103=Dashboard!$D$3,ROW(),"")</f>
        <v/>
      </c>
    </row>
    <row r="1104" customFormat="false" ht="15" hidden="false" customHeight="false" outlineLevel="0" collapsed="false">
      <c r="A1104" s="80"/>
      <c r="B1104" s="71"/>
      <c r="C1104" s="71"/>
      <c r="D1104" s="81"/>
      <c r="E1104" s="71"/>
      <c r="F1104" s="71"/>
      <c r="G1104" s="82" t="str">
        <f aca="false">IF(C1104="","",IFERROR(INDEX('Kit Lists'!$D$6:$D$605,MATCH(B1104&amp;"|"&amp;C1104,'Kit Lists'!$J$6:$J$605,0)),"Not on this contract's kit list"))</f>
        <v/>
      </c>
      <c r="H1104" s="83" t="str">
        <f aca="false">IF(AND(B1104="",C1104="",D1104=""),"",IF(B1104="","Missing contract",IF(C1104="","Missing code",IF(LEFT(G1104,3)="Not","Wrong code",IF(D1104="","Missing qty",IF(A1104="","Missing date",""))))))</f>
        <v/>
      </c>
      <c r="I1104" s="84" t="str">
        <f aca="false">IF(B1104=Dashboard!$D$3,ROW(),"")</f>
        <v/>
      </c>
    </row>
    <row r="1105" customFormat="false" ht="15" hidden="false" customHeight="false" outlineLevel="0" collapsed="false">
      <c r="A1105" s="80"/>
      <c r="B1105" s="71"/>
      <c r="C1105" s="71"/>
      <c r="D1105" s="81"/>
      <c r="E1105" s="71"/>
      <c r="F1105" s="71"/>
      <c r="G1105" s="82" t="str">
        <f aca="false">IF(C1105="","",IFERROR(INDEX('Kit Lists'!$D$6:$D$605,MATCH(B1105&amp;"|"&amp;C1105,'Kit Lists'!$J$6:$J$605,0)),"Not on this contract's kit list"))</f>
        <v/>
      </c>
      <c r="H1105" s="83" t="str">
        <f aca="false">IF(AND(B1105="",C1105="",D1105=""),"",IF(B1105="","Missing contract",IF(C1105="","Missing code",IF(LEFT(G1105,3)="Not","Wrong code",IF(D1105="","Missing qty",IF(A1105="","Missing date",""))))))</f>
        <v/>
      </c>
      <c r="I1105" s="84" t="str">
        <f aca="false">IF(B1105=Dashboard!$D$3,ROW(),"")</f>
        <v/>
      </c>
    </row>
    <row r="1106" customFormat="false" ht="15" hidden="false" customHeight="false" outlineLevel="0" collapsed="false">
      <c r="A1106" s="80"/>
      <c r="B1106" s="71"/>
      <c r="C1106" s="71"/>
      <c r="D1106" s="81"/>
      <c r="E1106" s="71"/>
      <c r="F1106" s="71"/>
      <c r="G1106" s="82" t="str">
        <f aca="false">IF(C1106="","",IFERROR(INDEX('Kit Lists'!$D$6:$D$605,MATCH(B1106&amp;"|"&amp;C1106,'Kit Lists'!$J$6:$J$605,0)),"Not on this contract's kit list"))</f>
        <v/>
      </c>
      <c r="H1106" s="83" t="str">
        <f aca="false">IF(AND(B1106="",C1106="",D1106=""),"",IF(B1106="","Missing contract",IF(C1106="","Missing code",IF(LEFT(G1106,3)="Not","Wrong code",IF(D1106="","Missing qty",IF(A1106="","Missing date",""))))))</f>
        <v/>
      </c>
      <c r="I1106" s="84" t="str">
        <f aca="false">IF(B1106=Dashboard!$D$3,ROW(),"")</f>
        <v/>
      </c>
    </row>
    <row r="1107" customFormat="false" ht="15" hidden="false" customHeight="false" outlineLevel="0" collapsed="false">
      <c r="A1107" s="80"/>
      <c r="B1107" s="71"/>
      <c r="C1107" s="71"/>
      <c r="D1107" s="81"/>
      <c r="E1107" s="71"/>
      <c r="F1107" s="71"/>
      <c r="G1107" s="82" t="str">
        <f aca="false">IF(C1107="","",IFERROR(INDEX('Kit Lists'!$D$6:$D$605,MATCH(B1107&amp;"|"&amp;C1107,'Kit Lists'!$J$6:$J$605,0)),"Not on this contract's kit list"))</f>
        <v/>
      </c>
      <c r="H1107" s="83" t="str">
        <f aca="false">IF(AND(B1107="",C1107="",D1107=""),"",IF(B1107="","Missing contract",IF(C1107="","Missing code",IF(LEFT(G1107,3)="Not","Wrong code",IF(D1107="","Missing qty",IF(A1107="","Missing date",""))))))</f>
        <v/>
      </c>
      <c r="I1107" s="84" t="str">
        <f aca="false">IF(B1107=Dashboard!$D$3,ROW(),"")</f>
        <v/>
      </c>
    </row>
    <row r="1108" customFormat="false" ht="15" hidden="false" customHeight="false" outlineLevel="0" collapsed="false">
      <c r="A1108" s="80"/>
      <c r="B1108" s="71"/>
      <c r="C1108" s="71"/>
      <c r="D1108" s="81"/>
      <c r="E1108" s="71"/>
      <c r="F1108" s="71"/>
      <c r="G1108" s="82" t="str">
        <f aca="false">IF(C1108="","",IFERROR(INDEX('Kit Lists'!$D$6:$D$605,MATCH(B1108&amp;"|"&amp;C1108,'Kit Lists'!$J$6:$J$605,0)),"Not on this contract's kit list"))</f>
        <v/>
      </c>
      <c r="H1108" s="83" t="str">
        <f aca="false">IF(AND(B1108="",C1108="",D1108=""),"",IF(B1108="","Missing contract",IF(C1108="","Missing code",IF(LEFT(G1108,3)="Not","Wrong code",IF(D1108="","Missing qty",IF(A1108="","Missing date",""))))))</f>
        <v/>
      </c>
      <c r="I1108" s="84" t="str">
        <f aca="false">IF(B1108=Dashboard!$D$3,ROW(),"")</f>
        <v/>
      </c>
    </row>
    <row r="1109" customFormat="false" ht="15" hidden="false" customHeight="false" outlineLevel="0" collapsed="false">
      <c r="A1109" s="80"/>
      <c r="B1109" s="71"/>
      <c r="C1109" s="71"/>
      <c r="D1109" s="81"/>
      <c r="E1109" s="71"/>
      <c r="F1109" s="71"/>
      <c r="G1109" s="82" t="str">
        <f aca="false">IF(C1109="","",IFERROR(INDEX('Kit Lists'!$D$6:$D$605,MATCH(B1109&amp;"|"&amp;C1109,'Kit Lists'!$J$6:$J$605,0)),"Not on this contract's kit list"))</f>
        <v/>
      </c>
      <c r="H1109" s="83" t="str">
        <f aca="false">IF(AND(B1109="",C1109="",D1109=""),"",IF(B1109="","Missing contract",IF(C1109="","Missing code",IF(LEFT(G1109,3)="Not","Wrong code",IF(D1109="","Missing qty",IF(A1109="","Missing date",""))))))</f>
        <v/>
      </c>
      <c r="I1109" s="84" t="str">
        <f aca="false">IF(B1109=Dashboard!$D$3,ROW(),"")</f>
        <v/>
      </c>
    </row>
    <row r="1110" customFormat="false" ht="15" hidden="false" customHeight="false" outlineLevel="0" collapsed="false">
      <c r="A1110" s="80"/>
      <c r="B1110" s="71"/>
      <c r="C1110" s="71"/>
      <c r="D1110" s="81"/>
      <c r="E1110" s="71"/>
      <c r="F1110" s="71"/>
      <c r="G1110" s="82" t="str">
        <f aca="false">IF(C1110="","",IFERROR(INDEX('Kit Lists'!$D$6:$D$605,MATCH(B1110&amp;"|"&amp;C1110,'Kit Lists'!$J$6:$J$605,0)),"Not on this contract's kit list"))</f>
        <v/>
      </c>
      <c r="H1110" s="83" t="str">
        <f aca="false">IF(AND(B1110="",C1110="",D1110=""),"",IF(B1110="","Missing contract",IF(C1110="","Missing code",IF(LEFT(G1110,3)="Not","Wrong code",IF(D1110="","Missing qty",IF(A1110="","Missing date",""))))))</f>
        <v/>
      </c>
      <c r="I1110" s="84" t="str">
        <f aca="false">IF(B1110=Dashboard!$D$3,ROW(),"")</f>
        <v/>
      </c>
    </row>
    <row r="1111" customFormat="false" ht="15" hidden="false" customHeight="false" outlineLevel="0" collapsed="false">
      <c r="A1111" s="80"/>
      <c r="B1111" s="71"/>
      <c r="C1111" s="71"/>
      <c r="D1111" s="81"/>
      <c r="E1111" s="71"/>
      <c r="F1111" s="71"/>
      <c r="G1111" s="82" t="str">
        <f aca="false">IF(C1111="","",IFERROR(INDEX('Kit Lists'!$D$6:$D$605,MATCH(B1111&amp;"|"&amp;C1111,'Kit Lists'!$J$6:$J$605,0)),"Not on this contract's kit list"))</f>
        <v/>
      </c>
      <c r="H1111" s="83" t="str">
        <f aca="false">IF(AND(B1111="",C1111="",D1111=""),"",IF(B1111="","Missing contract",IF(C1111="","Missing code",IF(LEFT(G1111,3)="Not","Wrong code",IF(D1111="","Missing qty",IF(A1111="","Missing date",""))))))</f>
        <v/>
      </c>
      <c r="I1111" s="84" t="str">
        <f aca="false">IF(B1111=Dashboard!$D$3,ROW(),"")</f>
        <v/>
      </c>
    </row>
    <row r="1112" customFormat="false" ht="15" hidden="false" customHeight="false" outlineLevel="0" collapsed="false">
      <c r="A1112" s="80"/>
      <c r="B1112" s="71"/>
      <c r="C1112" s="71"/>
      <c r="D1112" s="81"/>
      <c r="E1112" s="71"/>
      <c r="F1112" s="71"/>
      <c r="G1112" s="82" t="str">
        <f aca="false">IF(C1112="","",IFERROR(INDEX('Kit Lists'!$D$6:$D$605,MATCH(B1112&amp;"|"&amp;C1112,'Kit Lists'!$J$6:$J$605,0)),"Not on this contract's kit list"))</f>
        <v/>
      </c>
      <c r="H1112" s="83" t="str">
        <f aca="false">IF(AND(B1112="",C1112="",D1112=""),"",IF(B1112="","Missing contract",IF(C1112="","Missing code",IF(LEFT(G1112,3)="Not","Wrong code",IF(D1112="","Missing qty",IF(A1112="","Missing date",""))))))</f>
        <v/>
      </c>
      <c r="I1112" s="84" t="str">
        <f aca="false">IF(B1112=Dashboard!$D$3,ROW(),"")</f>
        <v/>
      </c>
    </row>
    <row r="1113" customFormat="false" ht="15" hidden="false" customHeight="false" outlineLevel="0" collapsed="false">
      <c r="A1113" s="80"/>
      <c r="B1113" s="71"/>
      <c r="C1113" s="71"/>
      <c r="D1113" s="81"/>
      <c r="E1113" s="71"/>
      <c r="F1113" s="71"/>
      <c r="G1113" s="82" t="str">
        <f aca="false">IF(C1113="","",IFERROR(INDEX('Kit Lists'!$D$6:$D$605,MATCH(B1113&amp;"|"&amp;C1113,'Kit Lists'!$J$6:$J$605,0)),"Not on this contract's kit list"))</f>
        <v/>
      </c>
      <c r="H1113" s="83" t="str">
        <f aca="false">IF(AND(B1113="",C1113="",D1113=""),"",IF(B1113="","Missing contract",IF(C1113="","Missing code",IF(LEFT(G1113,3)="Not","Wrong code",IF(D1113="","Missing qty",IF(A1113="","Missing date",""))))))</f>
        <v/>
      </c>
      <c r="I1113" s="84" t="str">
        <f aca="false">IF(B1113=Dashboard!$D$3,ROW(),"")</f>
        <v/>
      </c>
    </row>
    <row r="1114" customFormat="false" ht="15" hidden="false" customHeight="false" outlineLevel="0" collapsed="false">
      <c r="A1114" s="80"/>
      <c r="B1114" s="71"/>
      <c r="C1114" s="71"/>
      <c r="D1114" s="81"/>
      <c r="E1114" s="71"/>
      <c r="F1114" s="71"/>
      <c r="G1114" s="82" t="str">
        <f aca="false">IF(C1114="","",IFERROR(INDEX('Kit Lists'!$D$6:$D$605,MATCH(B1114&amp;"|"&amp;C1114,'Kit Lists'!$J$6:$J$605,0)),"Not on this contract's kit list"))</f>
        <v/>
      </c>
      <c r="H1114" s="83" t="str">
        <f aca="false">IF(AND(B1114="",C1114="",D1114=""),"",IF(B1114="","Missing contract",IF(C1114="","Missing code",IF(LEFT(G1114,3)="Not","Wrong code",IF(D1114="","Missing qty",IF(A1114="","Missing date",""))))))</f>
        <v/>
      </c>
      <c r="I1114" s="84" t="str">
        <f aca="false">IF(B1114=Dashboard!$D$3,ROW(),"")</f>
        <v/>
      </c>
    </row>
    <row r="1115" customFormat="false" ht="15" hidden="false" customHeight="false" outlineLevel="0" collapsed="false">
      <c r="A1115" s="80"/>
      <c r="B1115" s="71"/>
      <c r="C1115" s="71"/>
      <c r="D1115" s="81"/>
      <c r="E1115" s="71"/>
      <c r="F1115" s="71"/>
      <c r="G1115" s="82" t="str">
        <f aca="false">IF(C1115="","",IFERROR(INDEX('Kit Lists'!$D$6:$D$605,MATCH(B1115&amp;"|"&amp;C1115,'Kit Lists'!$J$6:$J$605,0)),"Not on this contract's kit list"))</f>
        <v/>
      </c>
      <c r="H1115" s="83" t="str">
        <f aca="false">IF(AND(B1115="",C1115="",D1115=""),"",IF(B1115="","Missing contract",IF(C1115="","Missing code",IF(LEFT(G1115,3)="Not","Wrong code",IF(D1115="","Missing qty",IF(A1115="","Missing date",""))))))</f>
        <v/>
      </c>
      <c r="I1115" s="84" t="str">
        <f aca="false">IF(B1115=Dashboard!$D$3,ROW(),"")</f>
        <v/>
      </c>
    </row>
    <row r="1116" customFormat="false" ht="15" hidden="false" customHeight="false" outlineLevel="0" collapsed="false">
      <c r="A1116" s="80"/>
      <c r="B1116" s="71"/>
      <c r="C1116" s="71"/>
      <c r="D1116" s="81"/>
      <c r="E1116" s="71"/>
      <c r="F1116" s="71"/>
      <c r="G1116" s="82" t="str">
        <f aca="false">IF(C1116="","",IFERROR(INDEX('Kit Lists'!$D$6:$D$605,MATCH(B1116&amp;"|"&amp;C1116,'Kit Lists'!$J$6:$J$605,0)),"Not on this contract's kit list"))</f>
        <v/>
      </c>
      <c r="H1116" s="83" t="str">
        <f aca="false">IF(AND(B1116="",C1116="",D1116=""),"",IF(B1116="","Missing contract",IF(C1116="","Missing code",IF(LEFT(G1116,3)="Not","Wrong code",IF(D1116="","Missing qty",IF(A1116="","Missing date",""))))))</f>
        <v/>
      </c>
      <c r="I1116" s="84" t="str">
        <f aca="false">IF(B1116=Dashboard!$D$3,ROW(),"")</f>
        <v/>
      </c>
    </row>
    <row r="1117" customFormat="false" ht="15" hidden="false" customHeight="false" outlineLevel="0" collapsed="false">
      <c r="A1117" s="80"/>
      <c r="B1117" s="71"/>
      <c r="C1117" s="71"/>
      <c r="D1117" s="81"/>
      <c r="E1117" s="71"/>
      <c r="F1117" s="71"/>
      <c r="G1117" s="82" t="str">
        <f aca="false">IF(C1117="","",IFERROR(INDEX('Kit Lists'!$D$6:$D$605,MATCH(B1117&amp;"|"&amp;C1117,'Kit Lists'!$J$6:$J$605,0)),"Not on this contract's kit list"))</f>
        <v/>
      </c>
      <c r="H1117" s="83" t="str">
        <f aca="false">IF(AND(B1117="",C1117="",D1117=""),"",IF(B1117="","Missing contract",IF(C1117="","Missing code",IF(LEFT(G1117,3)="Not","Wrong code",IF(D1117="","Missing qty",IF(A1117="","Missing date",""))))))</f>
        <v/>
      </c>
      <c r="I1117" s="84" t="str">
        <f aca="false">IF(B1117=Dashboard!$D$3,ROW(),"")</f>
        <v/>
      </c>
    </row>
    <row r="1118" customFormat="false" ht="15" hidden="false" customHeight="false" outlineLevel="0" collapsed="false">
      <c r="A1118" s="80"/>
      <c r="B1118" s="71"/>
      <c r="C1118" s="71"/>
      <c r="D1118" s="81"/>
      <c r="E1118" s="71"/>
      <c r="F1118" s="71"/>
      <c r="G1118" s="82" t="str">
        <f aca="false">IF(C1118="","",IFERROR(INDEX('Kit Lists'!$D$6:$D$605,MATCH(B1118&amp;"|"&amp;C1118,'Kit Lists'!$J$6:$J$605,0)),"Not on this contract's kit list"))</f>
        <v/>
      </c>
      <c r="H1118" s="83" t="str">
        <f aca="false">IF(AND(B1118="",C1118="",D1118=""),"",IF(B1118="","Missing contract",IF(C1118="","Missing code",IF(LEFT(G1118,3)="Not","Wrong code",IF(D1118="","Missing qty",IF(A1118="","Missing date",""))))))</f>
        <v/>
      </c>
      <c r="I1118" s="84" t="str">
        <f aca="false">IF(B1118=Dashboard!$D$3,ROW(),"")</f>
        <v/>
      </c>
    </row>
    <row r="1119" customFormat="false" ht="15" hidden="false" customHeight="false" outlineLevel="0" collapsed="false">
      <c r="A1119" s="80"/>
      <c r="B1119" s="71"/>
      <c r="C1119" s="71"/>
      <c r="D1119" s="81"/>
      <c r="E1119" s="71"/>
      <c r="F1119" s="71"/>
      <c r="G1119" s="82" t="str">
        <f aca="false">IF(C1119="","",IFERROR(INDEX('Kit Lists'!$D$6:$D$605,MATCH(B1119&amp;"|"&amp;C1119,'Kit Lists'!$J$6:$J$605,0)),"Not on this contract's kit list"))</f>
        <v/>
      </c>
      <c r="H1119" s="83" t="str">
        <f aca="false">IF(AND(B1119="",C1119="",D1119=""),"",IF(B1119="","Missing contract",IF(C1119="","Missing code",IF(LEFT(G1119,3)="Not","Wrong code",IF(D1119="","Missing qty",IF(A1119="","Missing date",""))))))</f>
        <v/>
      </c>
      <c r="I1119" s="84" t="str">
        <f aca="false">IF(B1119=Dashboard!$D$3,ROW(),"")</f>
        <v/>
      </c>
    </row>
    <row r="1120" customFormat="false" ht="15" hidden="false" customHeight="false" outlineLevel="0" collapsed="false">
      <c r="A1120" s="80"/>
      <c r="B1120" s="71"/>
      <c r="C1120" s="71"/>
      <c r="D1120" s="81"/>
      <c r="E1120" s="71"/>
      <c r="F1120" s="71"/>
      <c r="G1120" s="82" t="str">
        <f aca="false">IF(C1120="","",IFERROR(INDEX('Kit Lists'!$D$6:$D$605,MATCH(B1120&amp;"|"&amp;C1120,'Kit Lists'!$J$6:$J$605,0)),"Not on this contract's kit list"))</f>
        <v/>
      </c>
      <c r="H1120" s="83" t="str">
        <f aca="false">IF(AND(B1120="",C1120="",D1120=""),"",IF(B1120="","Missing contract",IF(C1120="","Missing code",IF(LEFT(G1120,3)="Not","Wrong code",IF(D1120="","Missing qty",IF(A1120="","Missing date",""))))))</f>
        <v/>
      </c>
      <c r="I1120" s="84" t="str">
        <f aca="false">IF(B1120=Dashboard!$D$3,ROW(),"")</f>
        <v/>
      </c>
    </row>
    <row r="1121" customFormat="false" ht="15" hidden="false" customHeight="false" outlineLevel="0" collapsed="false">
      <c r="A1121" s="80"/>
      <c r="B1121" s="71"/>
      <c r="C1121" s="71"/>
      <c r="D1121" s="81"/>
      <c r="E1121" s="71"/>
      <c r="F1121" s="71"/>
      <c r="G1121" s="82" t="str">
        <f aca="false">IF(C1121="","",IFERROR(INDEX('Kit Lists'!$D$6:$D$605,MATCH(B1121&amp;"|"&amp;C1121,'Kit Lists'!$J$6:$J$605,0)),"Not on this contract's kit list"))</f>
        <v/>
      </c>
      <c r="H1121" s="83" t="str">
        <f aca="false">IF(AND(B1121="",C1121="",D1121=""),"",IF(B1121="","Missing contract",IF(C1121="","Missing code",IF(LEFT(G1121,3)="Not","Wrong code",IF(D1121="","Missing qty",IF(A1121="","Missing date",""))))))</f>
        <v/>
      </c>
      <c r="I1121" s="84" t="str">
        <f aca="false">IF(B1121=Dashboard!$D$3,ROW(),"")</f>
        <v/>
      </c>
    </row>
    <row r="1122" customFormat="false" ht="15" hidden="false" customHeight="false" outlineLevel="0" collapsed="false">
      <c r="A1122" s="80"/>
      <c r="B1122" s="71"/>
      <c r="C1122" s="71"/>
      <c r="D1122" s="81"/>
      <c r="E1122" s="71"/>
      <c r="F1122" s="71"/>
      <c r="G1122" s="82" t="str">
        <f aca="false">IF(C1122="","",IFERROR(INDEX('Kit Lists'!$D$6:$D$605,MATCH(B1122&amp;"|"&amp;C1122,'Kit Lists'!$J$6:$J$605,0)),"Not on this contract's kit list"))</f>
        <v/>
      </c>
      <c r="H1122" s="83" t="str">
        <f aca="false">IF(AND(B1122="",C1122="",D1122=""),"",IF(B1122="","Missing contract",IF(C1122="","Missing code",IF(LEFT(G1122,3)="Not","Wrong code",IF(D1122="","Missing qty",IF(A1122="","Missing date",""))))))</f>
        <v/>
      </c>
      <c r="I1122" s="84" t="str">
        <f aca="false">IF(B1122=Dashboard!$D$3,ROW(),"")</f>
        <v/>
      </c>
    </row>
    <row r="1123" customFormat="false" ht="15" hidden="false" customHeight="false" outlineLevel="0" collapsed="false">
      <c r="A1123" s="80"/>
      <c r="B1123" s="71"/>
      <c r="C1123" s="71"/>
      <c r="D1123" s="81"/>
      <c r="E1123" s="71"/>
      <c r="F1123" s="71"/>
      <c r="G1123" s="82" t="str">
        <f aca="false">IF(C1123="","",IFERROR(INDEX('Kit Lists'!$D$6:$D$605,MATCH(B1123&amp;"|"&amp;C1123,'Kit Lists'!$J$6:$J$605,0)),"Not on this contract's kit list"))</f>
        <v/>
      </c>
      <c r="H1123" s="83" t="str">
        <f aca="false">IF(AND(B1123="",C1123="",D1123=""),"",IF(B1123="","Missing contract",IF(C1123="","Missing code",IF(LEFT(G1123,3)="Not","Wrong code",IF(D1123="","Missing qty",IF(A1123="","Missing date",""))))))</f>
        <v/>
      </c>
      <c r="I1123" s="84" t="str">
        <f aca="false">IF(B1123=Dashboard!$D$3,ROW(),"")</f>
        <v/>
      </c>
    </row>
    <row r="1124" customFormat="false" ht="15" hidden="false" customHeight="false" outlineLevel="0" collapsed="false">
      <c r="A1124" s="80"/>
      <c r="B1124" s="71"/>
      <c r="C1124" s="71"/>
      <c r="D1124" s="81"/>
      <c r="E1124" s="71"/>
      <c r="F1124" s="71"/>
      <c r="G1124" s="82" t="str">
        <f aca="false">IF(C1124="","",IFERROR(INDEX('Kit Lists'!$D$6:$D$605,MATCH(B1124&amp;"|"&amp;C1124,'Kit Lists'!$J$6:$J$605,0)),"Not on this contract's kit list"))</f>
        <v/>
      </c>
      <c r="H1124" s="83" t="str">
        <f aca="false">IF(AND(B1124="",C1124="",D1124=""),"",IF(B1124="","Missing contract",IF(C1124="","Missing code",IF(LEFT(G1124,3)="Not","Wrong code",IF(D1124="","Missing qty",IF(A1124="","Missing date",""))))))</f>
        <v/>
      </c>
      <c r="I1124" s="84" t="str">
        <f aca="false">IF(B1124=Dashboard!$D$3,ROW(),"")</f>
        <v/>
      </c>
    </row>
    <row r="1125" customFormat="false" ht="15" hidden="false" customHeight="false" outlineLevel="0" collapsed="false">
      <c r="A1125" s="80"/>
      <c r="B1125" s="71"/>
      <c r="C1125" s="71"/>
      <c r="D1125" s="81"/>
      <c r="E1125" s="71"/>
      <c r="F1125" s="71"/>
      <c r="G1125" s="82" t="str">
        <f aca="false">IF(C1125="","",IFERROR(INDEX('Kit Lists'!$D$6:$D$605,MATCH(B1125&amp;"|"&amp;C1125,'Kit Lists'!$J$6:$J$605,0)),"Not on this contract's kit list"))</f>
        <v/>
      </c>
      <c r="H1125" s="83" t="str">
        <f aca="false">IF(AND(B1125="",C1125="",D1125=""),"",IF(B1125="","Missing contract",IF(C1125="","Missing code",IF(LEFT(G1125,3)="Not","Wrong code",IF(D1125="","Missing qty",IF(A1125="","Missing date",""))))))</f>
        <v/>
      </c>
      <c r="I1125" s="84" t="str">
        <f aca="false">IF(B1125=Dashboard!$D$3,ROW(),"")</f>
        <v/>
      </c>
    </row>
    <row r="1126" customFormat="false" ht="15" hidden="false" customHeight="false" outlineLevel="0" collapsed="false">
      <c r="A1126" s="80"/>
      <c r="B1126" s="71"/>
      <c r="C1126" s="71"/>
      <c r="D1126" s="81"/>
      <c r="E1126" s="71"/>
      <c r="F1126" s="71"/>
      <c r="G1126" s="82" t="str">
        <f aca="false">IF(C1126="","",IFERROR(INDEX('Kit Lists'!$D$6:$D$605,MATCH(B1126&amp;"|"&amp;C1126,'Kit Lists'!$J$6:$J$605,0)),"Not on this contract's kit list"))</f>
        <v/>
      </c>
      <c r="H1126" s="83" t="str">
        <f aca="false">IF(AND(B1126="",C1126="",D1126=""),"",IF(B1126="","Missing contract",IF(C1126="","Missing code",IF(LEFT(G1126,3)="Not","Wrong code",IF(D1126="","Missing qty",IF(A1126="","Missing date",""))))))</f>
        <v/>
      </c>
      <c r="I1126" s="84" t="str">
        <f aca="false">IF(B1126=Dashboard!$D$3,ROW(),"")</f>
        <v/>
      </c>
    </row>
    <row r="1127" customFormat="false" ht="15" hidden="false" customHeight="false" outlineLevel="0" collapsed="false">
      <c r="A1127" s="80"/>
      <c r="B1127" s="71"/>
      <c r="C1127" s="71"/>
      <c r="D1127" s="81"/>
      <c r="E1127" s="71"/>
      <c r="F1127" s="71"/>
      <c r="G1127" s="82" t="str">
        <f aca="false">IF(C1127="","",IFERROR(INDEX('Kit Lists'!$D$6:$D$605,MATCH(B1127&amp;"|"&amp;C1127,'Kit Lists'!$J$6:$J$605,0)),"Not on this contract's kit list"))</f>
        <v/>
      </c>
      <c r="H1127" s="83" t="str">
        <f aca="false">IF(AND(B1127="",C1127="",D1127=""),"",IF(B1127="","Missing contract",IF(C1127="","Missing code",IF(LEFT(G1127,3)="Not","Wrong code",IF(D1127="","Missing qty",IF(A1127="","Missing date",""))))))</f>
        <v/>
      </c>
      <c r="I1127" s="84" t="str">
        <f aca="false">IF(B1127=Dashboard!$D$3,ROW(),"")</f>
        <v/>
      </c>
    </row>
    <row r="1128" customFormat="false" ht="15" hidden="false" customHeight="false" outlineLevel="0" collapsed="false">
      <c r="A1128" s="80"/>
      <c r="B1128" s="71"/>
      <c r="C1128" s="71"/>
      <c r="D1128" s="81"/>
      <c r="E1128" s="71"/>
      <c r="F1128" s="71"/>
      <c r="G1128" s="82" t="str">
        <f aca="false">IF(C1128="","",IFERROR(INDEX('Kit Lists'!$D$6:$D$605,MATCH(B1128&amp;"|"&amp;C1128,'Kit Lists'!$J$6:$J$605,0)),"Not on this contract's kit list"))</f>
        <v/>
      </c>
      <c r="H1128" s="83" t="str">
        <f aca="false">IF(AND(B1128="",C1128="",D1128=""),"",IF(B1128="","Missing contract",IF(C1128="","Missing code",IF(LEFT(G1128,3)="Not","Wrong code",IF(D1128="","Missing qty",IF(A1128="","Missing date",""))))))</f>
        <v/>
      </c>
      <c r="I1128" s="84" t="str">
        <f aca="false">IF(B1128=Dashboard!$D$3,ROW(),"")</f>
        <v/>
      </c>
    </row>
    <row r="1129" customFormat="false" ht="15" hidden="false" customHeight="false" outlineLevel="0" collapsed="false">
      <c r="A1129" s="80"/>
      <c r="B1129" s="71"/>
      <c r="C1129" s="71"/>
      <c r="D1129" s="81"/>
      <c r="E1129" s="71"/>
      <c r="F1129" s="71"/>
      <c r="G1129" s="82" t="str">
        <f aca="false">IF(C1129="","",IFERROR(INDEX('Kit Lists'!$D$6:$D$605,MATCH(B1129&amp;"|"&amp;C1129,'Kit Lists'!$J$6:$J$605,0)),"Not on this contract's kit list"))</f>
        <v/>
      </c>
      <c r="H1129" s="83" t="str">
        <f aca="false">IF(AND(B1129="",C1129="",D1129=""),"",IF(B1129="","Missing contract",IF(C1129="","Missing code",IF(LEFT(G1129,3)="Not","Wrong code",IF(D1129="","Missing qty",IF(A1129="","Missing date",""))))))</f>
        <v/>
      </c>
      <c r="I1129" s="84" t="str">
        <f aca="false">IF(B1129=Dashboard!$D$3,ROW(),"")</f>
        <v/>
      </c>
    </row>
    <row r="1130" customFormat="false" ht="15" hidden="false" customHeight="false" outlineLevel="0" collapsed="false">
      <c r="A1130" s="80"/>
      <c r="B1130" s="71"/>
      <c r="C1130" s="71"/>
      <c r="D1130" s="81"/>
      <c r="E1130" s="71"/>
      <c r="F1130" s="71"/>
      <c r="G1130" s="82" t="str">
        <f aca="false">IF(C1130="","",IFERROR(INDEX('Kit Lists'!$D$6:$D$605,MATCH(B1130&amp;"|"&amp;C1130,'Kit Lists'!$J$6:$J$605,0)),"Not on this contract's kit list"))</f>
        <v/>
      </c>
      <c r="H1130" s="83" t="str">
        <f aca="false">IF(AND(B1130="",C1130="",D1130=""),"",IF(B1130="","Missing contract",IF(C1130="","Missing code",IF(LEFT(G1130,3)="Not","Wrong code",IF(D1130="","Missing qty",IF(A1130="","Missing date",""))))))</f>
        <v/>
      </c>
      <c r="I1130" s="84" t="str">
        <f aca="false">IF(B1130=Dashboard!$D$3,ROW(),"")</f>
        <v/>
      </c>
    </row>
    <row r="1131" customFormat="false" ht="15" hidden="false" customHeight="false" outlineLevel="0" collapsed="false">
      <c r="A1131" s="80"/>
      <c r="B1131" s="71"/>
      <c r="C1131" s="71"/>
      <c r="D1131" s="81"/>
      <c r="E1131" s="71"/>
      <c r="F1131" s="71"/>
      <c r="G1131" s="82" t="str">
        <f aca="false">IF(C1131="","",IFERROR(INDEX('Kit Lists'!$D$6:$D$605,MATCH(B1131&amp;"|"&amp;C1131,'Kit Lists'!$J$6:$J$605,0)),"Not on this contract's kit list"))</f>
        <v/>
      </c>
      <c r="H1131" s="83" t="str">
        <f aca="false">IF(AND(B1131="",C1131="",D1131=""),"",IF(B1131="","Missing contract",IF(C1131="","Missing code",IF(LEFT(G1131,3)="Not","Wrong code",IF(D1131="","Missing qty",IF(A1131="","Missing date",""))))))</f>
        <v/>
      </c>
      <c r="I1131" s="84" t="str">
        <f aca="false">IF(B1131=Dashboard!$D$3,ROW(),"")</f>
        <v/>
      </c>
    </row>
    <row r="1132" customFormat="false" ht="15" hidden="false" customHeight="false" outlineLevel="0" collapsed="false">
      <c r="A1132" s="80"/>
      <c r="B1132" s="71"/>
      <c r="C1132" s="71"/>
      <c r="D1132" s="81"/>
      <c r="E1132" s="71"/>
      <c r="F1132" s="71"/>
      <c r="G1132" s="82" t="str">
        <f aca="false">IF(C1132="","",IFERROR(INDEX('Kit Lists'!$D$6:$D$605,MATCH(B1132&amp;"|"&amp;C1132,'Kit Lists'!$J$6:$J$605,0)),"Not on this contract's kit list"))</f>
        <v/>
      </c>
      <c r="H1132" s="83" t="str">
        <f aca="false">IF(AND(B1132="",C1132="",D1132=""),"",IF(B1132="","Missing contract",IF(C1132="","Missing code",IF(LEFT(G1132,3)="Not","Wrong code",IF(D1132="","Missing qty",IF(A1132="","Missing date",""))))))</f>
        <v/>
      </c>
      <c r="I1132" s="84" t="str">
        <f aca="false">IF(B1132=Dashboard!$D$3,ROW(),"")</f>
        <v/>
      </c>
    </row>
    <row r="1133" customFormat="false" ht="15" hidden="false" customHeight="false" outlineLevel="0" collapsed="false">
      <c r="A1133" s="80"/>
      <c r="B1133" s="71"/>
      <c r="C1133" s="71"/>
      <c r="D1133" s="81"/>
      <c r="E1133" s="71"/>
      <c r="F1133" s="71"/>
      <c r="G1133" s="82" t="str">
        <f aca="false">IF(C1133="","",IFERROR(INDEX('Kit Lists'!$D$6:$D$605,MATCH(B1133&amp;"|"&amp;C1133,'Kit Lists'!$J$6:$J$605,0)),"Not on this contract's kit list"))</f>
        <v/>
      </c>
      <c r="H1133" s="83" t="str">
        <f aca="false">IF(AND(B1133="",C1133="",D1133=""),"",IF(B1133="","Missing contract",IF(C1133="","Missing code",IF(LEFT(G1133,3)="Not","Wrong code",IF(D1133="","Missing qty",IF(A1133="","Missing date",""))))))</f>
        <v/>
      </c>
      <c r="I1133" s="84" t="str">
        <f aca="false">IF(B1133=Dashboard!$D$3,ROW(),"")</f>
        <v/>
      </c>
    </row>
    <row r="1134" customFormat="false" ht="15" hidden="false" customHeight="false" outlineLevel="0" collapsed="false">
      <c r="A1134" s="80"/>
      <c r="B1134" s="71"/>
      <c r="C1134" s="71"/>
      <c r="D1134" s="81"/>
      <c r="E1134" s="71"/>
      <c r="F1134" s="71"/>
      <c r="G1134" s="82" t="str">
        <f aca="false">IF(C1134="","",IFERROR(INDEX('Kit Lists'!$D$6:$D$605,MATCH(B1134&amp;"|"&amp;C1134,'Kit Lists'!$J$6:$J$605,0)),"Not on this contract's kit list"))</f>
        <v/>
      </c>
      <c r="H1134" s="83" t="str">
        <f aca="false">IF(AND(B1134="",C1134="",D1134=""),"",IF(B1134="","Missing contract",IF(C1134="","Missing code",IF(LEFT(G1134,3)="Not","Wrong code",IF(D1134="","Missing qty",IF(A1134="","Missing date",""))))))</f>
        <v/>
      </c>
      <c r="I1134" s="84" t="str">
        <f aca="false">IF(B1134=Dashboard!$D$3,ROW(),"")</f>
        <v/>
      </c>
    </row>
    <row r="1135" customFormat="false" ht="15" hidden="false" customHeight="false" outlineLevel="0" collapsed="false">
      <c r="A1135" s="80"/>
      <c r="B1135" s="71"/>
      <c r="C1135" s="71"/>
      <c r="D1135" s="81"/>
      <c r="E1135" s="71"/>
      <c r="F1135" s="71"/>
      <c r="G1135" s="82" t="str">
        <f aca="false">IF(C1135="","",IFERROR(INDEX('Kit Lists'!$D$6:$D$605,MATCH(B1135&amp;"|"&amp;C1135,'Kit Lists'!$J$6:$J$605,0)),"Not on this contract's kit list"))</f>
        <v/>
      </c>
      <c r="H1135" s="83" t="str">
        <f aca="false">IF(AND(B1135="",C1135="",D1135=""),"",IF(B1135="","Missing contract",IF(C1135="","Missing code",IF(LEFT(G1135,3)="Not","Wrong code",IF(D1135="","Missing qty",IF(A1135="","Missing date",""))))))</f>
        <v/>
      </c>
      <c r="I1135" s="84" t="str">
        <f aca="false">IF(B1135=Dashboard!$D$3,ROW(),"")</f>
        <v/>
      </c>
    </row>
    <row r="1136" customFormat="false" ht="15" hidden="false" customHeight="false" outlineLevel="0" collapsed="false">
      <c r="A1136" s="80"/>
      <c r="B1136" s="71"/>
      <c r="C1136" s="71"/>
      <c r="D1136" s="81"/>
      <c r="E1136" s="71"/>
      <c r="F1136" s="71"/>
      <c r="G1136" s="82" t="str">
        <f aca="false">IF(C1136="","",IFERROR(INDEX('Kit Lists'!$D$6:$D$605,MATCH(B1136&amp;"|"&amp;C1136,'Kit Lists'!$J$6:$J$605,0)),"Not on this contract's kit list"))</f>
        <v/>
      </c>
      <c r="H1136" s="83" t="str">
        <f aca="false">IF(AND(B1136="",C1136="",D1136=""),"",IF(B1136="","Missing contract",IF(C1136="","Missing code",IF(LEFT(G1136,3)="Not","Wrong code",IF(D1136="","Missing qty",IF(A1136="","Missing date",""))))))</f>
        <v/>
      </c>
      <c r="I1136" s="84" t="str">
        <f aca="false">IF(B1136=Dashboard!$D$3,ROW(),"")</f>
        <v/>
      </c>
    </row>
    <row r="1137" customFormat="false" ht="15" hidden="false" customHeight="false" outlineLevel="0" collapsed="false">
      <c r="A1137" s="80"/>
      <c r="B1137" s="71"/>
      <c r="C1137" s="71"/>
      <c r="D1137" s="81"/>
      <c r="E1137" s="71"/>
      <c r="F1137" s="71"/>
      <c r="G1137" s="82" t="str">
        <f aca="false">IF(C1137="","",IFERROR(INDEX('Kit Lists'!$D$6:$D$605,MATCH(B1137&amp;"|"&amp;C1137,'Kit Lists'!$J$6:$J$605,0)),"Not on this contract's kit list"))</f>
        <v/>
      </c>
      <c r="H1137" s="83" t="str">
        <f aca="false">IF(AND(B1137="",C1137="",D1137=""),"",IF(B1137="","Missing contract",IF(C1137="","Missing code",IF(LEFT(G1137,3)="Not","Wrong code",IF(D1137="","Missing qty",IF(A1137="","Missing date",""))))))</f>
        <v/>
      </c>
      <c r="I1137" s="84" t="str">
        <f aca="false">IF(B1137=Dashboard!$D$3,ROW(),"")</f>
        <v/>
      </c>
    </row>
    <row r="1138" customFormat="false" ht="15" hidden="false" customHeight="false" outlineLevel="0" collapsed="false">
      <c r="A1138" s="80"/>
      <c r="B1138" s="71"/>
      <c r="C1138" s="71"/>
      <c r="D1138" s="81"/>
      <c r="E1138" s="71"/>
      <c r="F1138" s="71"/>
      <c r="G1138" s="82" t="str">
        <f aca="false">IF(C1138="","",IFERROR(INDEX('Kit Lists'!$D$6:$D$605,MATCH(B1138&amp;"|"&amp;C1138,'Kit Lists'!$J$6:$J$605,0)),"Not on this contract's kit list"))</f>
        <v/>
      </c>
      <c r="H1138" s="83" t="str">
        <f aca="false">IF(AND(B1138="",C1138="",D1138=""),"",IF(B1138="","Missing contract",IF(C1138="","Missing code",IF(LEFT(G1138,3)="Not","Wrong code",IF(D1138="","Missing qty",IF(A1138="","Missing date",""))))))</f>
        <v/>
      </c>
      <c r="I1138" s="84" t="str">
        <f aca="false">IF(B1138=Dashboard!$D$3,ROW(),"")</f>
        <v/>
      </c>
    </row>
    <row r="1139" customFormat="false" ht="15" hidden="false" customHeight="false" outlineLevel="0" collapsed="false">
      <c r="A1139" s="80"/>
      <c r="B1139" s="71"/>
      <c r="C1139" s="71"/>
      <c r="D1139" s="81"/>
      <c r="E1139" s="71"/>
      <c r="F1139" s="71"/>
      <c r="G1139" s="82" t="str">
        <f aca="false">IF(C1139="","",IFERROR(INDEX('Kit Lists'!$D$6:$D$605,MATCH(B1139&amp;"|"&amp;C1139,'Kit Lists'!$J$6:$J$605,0)),"Not on this contract's kit list"))</f>
        <v/>
      </c>
      <c r="H1139" s="83" t="str">
        <f aca="false">IF(AND(B1139="",C1139="",D1139=""),"",IF(B1139="","Missing contract",IF(C1139="","Missing code",IF(LEFT(G1139,3)="Not","Wrong code",IF(D1139="","Missing qty",IF(A1139="","Missing date",""))))))</f>
        <v/>
      </c>
      <c r="I1139" s="84" t="str">
        <f aca="false">IF(B1139=Dashboard!$D$3,ROW(),"")</f>
        <v/>
      </c>
    </row>
    <row r="1140" customFormat="false" ht="15" hidden="false" customHeight="false" outlineLevel="0" collapsed="false">
      <c r="A1140" s="80"/>
      <c r="B1140" s="71"/>
      <c r="C1140" s="71"/>
      <c r="D1140" s="81"/>
      <c r="E1140" s="71"/>
      <c r="F1140" s="71"/>
      <c r="G1140" s="82" t="str">
        <f aca="false">IF(C1140="","",IFERROR(INDEX('Kit Lists'!$D$6:$D$605,MATCH(B1140&amp;"|"&amp;C1140,'Kit Lists'!$J$6:$J$605,0)),"Not on this contract's kit list"))</f>
        <v/>
      </c>
      <c r="H1140" s="83" t="str">
        <f aca="false">IF(AND(B1140="",C1140="",D1140=""),"",IF(B1140="","Missing contract",IF(C1140="","Missing code",IF(LEFT(G1140,3)="Not","Wrong code",IF(D1140="","Missing qty",IF(A1140="","Missing date",""))))))</f>
        <v/>
      </c>
      <c r="I1140" s="84" t="str">
        <f aca="false">IF(B1140=Dashboard!$D$3,ROW(),"")</f>
        <v/>
      </c>
    </row>
    <row r="1141" customFormat="false" ht="15" hidden="false" customHeight="false" outlineLevel="0" collapsed="false">
      <c r="A1141" s="80"/>
      <c r="B1141" s="71"/>
      <c r="C1141" s="71"/>
      <c r="D1141" s="81"/>
      <c r="E1141" s="71"/>
      <c r="F1141" s="71"/>
      <c r="G1141" s="82" t="str">
        <f aca="false">IF(C1141="","",IFERROR(INDEX('Kit Lists'!$D$6:$D$605,MATCH(B1141&amp;"|"&amp;C1141,'Kit Lists'!$J$6:$J$605,0)),"Not on this contract's kit list"))</f>
        <v/>
      </c>
      <c r="H1141" s="83" t="str">
        <f aca="false">IF(AND(B1141="",C1141="",D1141=""),"",IF(B1141="","Missing contract",IF(C1141="","Missing code",IF(LEFT(G1141,3)="Not","Wrong code",IF(D1141="","Missing qty",IF(A1141="","Missing date",""))))))</f>
        <v/>
      </c>
      <c r="I1141" s="84" t="str">
        <f aca="false">IF(B1141=Dashboard!$D$3,ROW(),"")</f>
        <v/>
      </c>
    </row>
    <row r="1142" customFormat="false" ht="15" hidden="false" customHeight="false" outlineLevel="0" collapsed="false">
      <c r="A1142" s="80"/>
      <c r="B1142" s="71"/>
      <c r="C1142" s="71"/>
      <c r="D1142" s="81"/>
      <c r="E1142" s="71"/>
      <c r="F1142" s="71"/>
      <c r="G1142" s="82" t="str">
        <f aca="false">IF(C1142="","",IFERROR(INDEX('Kit Lists'!$D$6:$D$605,MATCH(B1142&amp;"|"&amp;C1142,'Kit Lists'!$J$6:$J$605,0)),"Not on this contract's kit list"))</f>
        <v/>
      </c>
      <c r="H1142" s="83" t="str">
        <f aca="false">IF(AND(B1142="",C1142="",D1142=""),"",IF(B1142="","Missing contract",IF(C1142="","Missing code",IF(LEFT(G1142,3)="Not","Wrong code",IF(D1142="","Missing qty",IF(A1142="","Missing date",""))))))</f>
        <v/>
      </c>
      <c r="I1142" s="84" t="str">
        <f aca="false">IF(B1142=Dashboard!$D$3,ROW(),"")</f>
        <v/>
      </c>
    </row>
    <row r="1143" customFormat="false" ht="15" hidden="false" customHeight="false" outlineLevel="0" collapsed="false">
      <c r="A1143" s="80"/>
      <c r="B1143" s="71"/>
      <c r="C1143" s="71"/>
      <c r="D1143" s="81"/>
      <c r="E1143" s="71"/>
      <c r="F1143" s="71"/>
      <c r="G1143" s="82" t="str">
        <f aca="false">IF(C1143="","",IFERROR(INDEX('Kit Lists'!$D$6:$D$605,MATCH(B1143&amp;"|"&amp;C1143,'Kit Lists'!$J$6:$J$605,0)),"Not on this contract's kit list"))</f>
        <v/>
      </c>
      <c r="H1143" s="83" t="str">
        <f aca="false">IF(AND(B1143="",C1143="",D1143=""),"",IF(B1143="","Missing contract",IF(C1143="","Missing code",IF(LEFT(G1143,3)="Not","Wrong code",IF(D1143="","Missing qty",IF(A1143="","Missing date",""))))))</f>
        <v/>
      </c>
      <c r="I1143" s="84" t="str">
        <f aca="false">IF(B1143=Dashboard!$D$3,ROW(),"")</f>
        <v/>
      </c>
    </row>
    <row r="1144" customFormat="false" ht="15" hidden="false" customHeight="false" outlineLevel="0" collapsed="false">
      <c r="A1144" s="80"/>
      <c r="B1144" s="71"/>
      <c r="C1144" s="71"/>
      <c r="D1144" s="81"/>
      <c r="E1144" s="71"/>
      <c r="F1144" s="71"/>
      <c r="G1144" s="82" t="str">
        <f aca="false">IF(C1144="","",IFERROR(INDEX('Kit Lists'!$D$6:$D$605,MATCH(B1144&amp;"|"&amp;C1144,'Kit Lists'!$J$6:$J$605,0)),"Not on this contract's kit list"))</f>
        <v/>
      </c>
      <c r="H1144" s="83" t="str">
        <f aca="false">IF(AND(B1144="",C1144="",D1144=""),"",IF(B1144="","Missing contract",IF(C1144="","Missing code",IF(LEFT(G1144,3)="Not","Wrong code",IF(D1144="","Missing qty",IF(A1144="","Missing date",""))))))</f>
        <v/>
      </c>
      <c r="I1144" s="84" t="str">
        <f aca="false">IF(B1144=Dashboard!$D$3,ROW(),"")</f>
        <v/>
      </c>
    </row>
    <row r="1145" customFormat="false" ht="15" hidden="false" customHeight="false" outlineLevel="0" collapsed="false">
      <c r="A1145" s="80"/>
      <c r="B1145" s="71"/>
      <c r="C1145" s="71"/>
      <c r="D1145" s="81"/>
      <c r="E1145" s="71"/>
      <c r="F1145" s="71"/>
      <c r="G1145" s="82" t="str">
        <f aca="false">IF(C1145="","",IFERROR(INDEX('Kit Lists'!$D$6:$D$605,MATCH(B1145&amp;"|"&amp;C1145,'Kit Lists'!$J$6:$J$605,0)),"Not on this contract's kit list"))</f>
        <v/>
      </c>
      <c r="H1145" s="83" t="str">
        <f aca="false">IF(AND(B1145="",C1145="",D1145=""),"",IF(B1145="","Missing contract",IF(C1145="","Missing code",IF(LEFT(G1145,3)="Not","Wrong code",IF(D1145="","Missing qty",IF(A1145="","Missing date",""))))))</f>
        <v/>
      </c>
      <c r="I1145" s="84" t="str">
        <f aca="false">IF(B1145=Dashboard!$D$3,ROW(),"")</f>
        <v/>
      </c>
    </row>
    <row r="1146" customFormat="false" ht="15" hidden="false" customHeight="false" outlineLevel="0" collapsed="false">
      <c r="A1146" s="80"/>
      <c r="B1146" s="71"/>
      <c r="C1146" s="71"/>
      <c r="D1146" s="81"/>
      <c r="E1146" s="71"/>
      <c r="F1146" s="71"/>
      <c r="G1146" s="82" t="str">
        <f aca="false">IF(C1146="","",IFERROR(INDEX('Kit Lists'!$D$6:$D$605,MATCH(B1146&amp;"|"&amp;C1146,'Kit Lists'!$J$6:$J$605,0)),"Not on this contract's kit list"))</f>
        <v/>
      </c>
      <c r="H1146" s="83" t="str">
        <f aca="false">IF(AND(B1146="",C1146="",D1146=""),"",IF(B1146="","Missing contract",IF(C1146="","Missing code",IF(LEFT(G1146,3)="Not","Wrong code",IF(D1146="","Missing qty",IF(A1146="","Missing date",""))))))</f>
        <v/>
      </c>
      <c r="I1146" s="84" t="str">
        <f aca="false">IF(B1146=Dashboard!$D$3,ROW(),"")</f>
        <v/>
      </c>
    </row>
    <row r="1147" customFormat="false" ht="15" hidden="false" customHeight="false" outlineLevel="0" collapsed="false">
      <c r="A1147" s="80"/>
      <c r="B1147" s="71"/>
      <c r="C1147" s="71"/>
      <c r="D1147" s="81"/>
      <c r="E1147" s="71"/>
      <c r="F1147" s="71"/>
      <c r="G1147" s="82" t="str">
        <f aca="false">IF(C1147="","",IFERROR(INDEX('Kit Lists'!$D$6:$D$605,MATCH(B1147&amp;"|"&amp;C1147,'Kit Lists'!$J$6:$J$605,0)),"Not on this contract's kit list"))</f>
        <v/>
      </c>
      <c r="H1147" s="83" t="str">
        <f aca="false">IF(AND(B1147="",C1147="",D1147=""),"",IF(B1147="","Missing contract",IF(C1147="","Missing code",IF(LEFT(G1147,3)="Not","Wrong code",IF(D1147="","Missing qty",IF(A1147="","Missing date",""))))))</f>
        <v/>
      </c>
      <c r="I1147" s="84" t="str">
        <f aca="false">IF(B1147=Dashboard!$D$3,ROW(),"")</f>
        <v/>
      </c>
    </row>
    <row r="1148" customFormat="false" ht="15" hidden="false" customHeight="false" outlineLevel="0" collapsed="false">
      <c r="A1148" s="80"/>
      <c r="B1148" s="71"/>
      <c r="C1148" s="71"/>
      <c r="D1148" s="81"/>
      <c r="E1148" s="71"/>
      <c r="F1148" s="71"/>
      <c r="G1148" s="82" t="str">
        <f aca="false">IF(C1148="","",IFERROR(INDEX('Kit Lists'!$D$6:$D$605,MATCH(B1148&amp;"|"&amp;C1148,'Kit Lists'!$J$6:$J$605,0)),"Not on this contract's kit list"))</f>
        <v/>
      </c>
      <c r="H1148" s="83" t="str">
        <f aca="false">IF(AND(B1148="",C1148="",D1148=""),"",IF(B1148="","Missing contract",IF(C1148="","Missing code",IF(LEFT(G1148,3)="Not","Wrong code",IF(D1148="","Missing qty",IF(A1148="","Missing date",""))))))</f>
        <v/>
      </c>
      <c r="I1148" s="84" t="str">
        <f aca="false">IF(B1148=Dashboard!$D$3,ROW(),"")</f>
        <v/>
      </c>
    </row>
    <row r="1149" customFormat="false" ht="15" hidden="false" customHeight="false" outlineLevel="0" collapsed="false">
      <c r="A1149" s="80"/>
      <c r="B1149" s="71"/>
      <c r="C1149" s="71"/>
      <c r="D1149" s="81"/>
      <c r="E1149" s="71"/>
      <c r="F1149" s="71"/>
      <c r="G1149" s="82" t="str">
        <f aca="false">IF(C1149="","",IFERROR(INDEX('Kit Lists'!$D$6:$D$605,MATCH(B1149&amp;"|"&amp;C1149,'Kit Lists'!$J$6:$J$605,0)),"Not on this contract's kit list"))</f>
        <v/>
      </c>
      <c r="H1149" s="83" t="str">
        <f aca="false">IF(AND(B1149="",C1149="",D1149=""),"",IF(B1149="","Missing contract",IF(C1149="","Missing code",IF(LEFT(G1149,3)="Not","Wrong code",IF(D1149="","Missing qty",IF(A1149="","Missing date",""))))))</f>
        <v/>
      </c>
      <c r="I1149" s="84" t="str">
        <f aca="false">IF(B1149=Dashboard!$D$3,ROW(),"")</f>
        <v/>
      </c>
    </row>
    <row r="1150" customFormat="false" ht="15" hidden="false" customHeight="false" outlineLevel="0" collapsed="false">
      <c r="A1150" s="80"/>
      <c r="B1150" s="71"/>
      <c r="C1150" s="71"/>
      <c r="D1150" s="81"/>
      <c r="E1150" s="71"/>
      <c r="F1150" s="71"/>
      <c r="G1150" s="82" t="str">
        <f aca="false">IF(C1150="","",IFERROR(INDEX('Kit Lists'!$D$6:$D$605,MATCH(B1150&amp;"|"&amp;C1150,'Kit Lists'!$J$6:$J$605,0)),"Not on this contract's kit list"))</f>
        <v/>
      </c>
      <c r="H1150" s="83" t="str">
        <f aca="false">IF(AND(B1150="",C1150="",D1150=""),"",IF(B1150="","Missing contract",IF(C1150="","Missing code",IF(LEFT(G1150,3)="Not","Wrong code",IF(D1150="","Missing qty",IF(A1150="","Missing date",""))))))</f>
        <v/>
      </c>
      <c r="I1150" s="84" t="str">
        <f aca="false">IF(B1150=Dashboard!$D$3,ROW(),"")</f>
        <v/>
      </c>
    </row>
    <row r="1151" customFormat="false" ht="15" hidden="false" customHeight="false" outlineLevel="0" collapsed="false">
      <c r="A1151" s="80"/>
      <c r="B1151" s="71"/>
      <c r="C1151" s="71"/>
      <c r="D1151" s="81"/>
      <c r="E1151" s="71"/>
      <c r="F1151" s="71"/>
      <c r="G1151" s="82" t="str">
        <f aca="false">IF(C1151="","",IFERROR(INDEX('Kit Lists'!$D$6:$D$605,MATCH(B1151&amp;"|"&amp;C1151,'Kit Lists'!$J$6:$J$605,0)),"Not on this contract's kit list"))</f>
        <v/>
      </c>
      <c r="H1151" s="83" t="str">
        <f aca="false">IF(AND(B1151="",C1151="",D1151=""),"",IF(B1151="","Missing contract",IF(C1151="","Missing code",IF(LEFT(G1151,3)="Not","Wrong code",IF(D1151="","Missing qty",IF(A1151="","Missing date",""))))))</f>
        <v/>
      </c>
      <c r="I1151" s="84" t="str">
        <f aca="false">IF(B1151=Dashboard!$D$3,ROW(),"")</f>
        <v/>
      </c>
    </row>
    <row r="1152" customFormat="false" ht="15" hidden="false" customHeight="false" outlineLevel="0" collapsed="false">
      <c r="A1152" s="80"/>
      <c r="B1152" s="71"/>
      <c r="C1152" s="71"/>
      <c r="D1152" s="81"/>
      <c r="E1152" s="71"/>
      <c r="F1152" s="71"/>
      <c r="G1152" s="82" t="str">
        <f aca="false">IF(C1152="","",IFERROR(INDEX('Kit Lists'!$D$6:$D$605,MATCH(B1152&amp;"|"&amp;C1152,'Kit Lists'!$J$6:$J$605,0)),"Not on this contract's kit list"))</f>
        <v/>
      </c>
      <c r="H1152" s="83" t="str">
        <f aca="false">IF(AND(B1152="",C1152="",D1152=""),"",IF(B1152="","Missing contract",IF(C1152="","Missing code",IF(LEFT(G1152,3)="Not","Wrong code",IF(D1152="","Missing qty",IF(A1152="","Missing date",""))))))</f>
        <v/>
      </c>
      <c r="I1152" s="84" t="str">
        <f aca="false">IF(B1152=Dashboard!$D$3,ROW(),"")</f>
        <v/>
      </c>
    </row>
    <row r="1153" customFormat="false" ht="15" hidden="false" customHeight="false" outlineLevel="0" collapsed="false">
      <c r="A1153" s="80"/>
      <c r="B1153" s="71"/>
      <c r="C1153" s="71"/>
      <c r="D1153" s="81"/>
      <c r="E1153" s="71"/>
      <c r="F1153" s="71"/>
      <c r="G1153" s="82" t="str">
        <f aca="false">IF(C1153="","",IFERROR(INDEX('Kit Lists'!$D$6:$D$605,MATCH(B1153&amp;"|"&amp;C1153,'Kit Lists'!$J$6:$J$605,0)),"Not on this contract's kit list"))</f>
        <v/>
      </c>
      <c r="H1153" s="83" t="str">
        <f aca="false">IF(AND(B1153="",C1153="",D1153=""),"",IF(B1153="","Missing contract",IF(C1153="","Missing code",IF(LEFT(G1153,3)="Not","Wrong code",IF(D1153="","Missing qty",IF(A1153="","Missing date",""))))))</f>
        <v/>
      </c>
      <c r="I1153" s="84" t="str">
        <f aca="false">IF(B1153=Dashboard!$D$3,ROW(),"")</f>
        <v/>
      </c>
    </row>
    <row r="1154" customFormat="false" ht="15" hidden="false" customHeight="false" outlineLevel="0" collapsed="false">
      <c r="A1154" s="80"/>
      <c r="B1154" s="71"/>
      <c r="C1154" s="71"/>
      <c r="D1154" s="81"/>
      <c r="E1154" s="71"/>
      <c r="F1154" s="71"/>
      <c r="G1154" s="82" t="str">
        <f aca="false">IF(C1154="","",IFERROR(INDEX('Kit Lists'!$D$6:$D$605,MATCH(B1154&amp;"|"&amp;C1154,'Kit Lists'!$J$6:$J$605,0)),"Not on this contract's kit list"))</f>
        <v/>
      </c>
      <c r="H1154" s="83" t="str">
        <f aca="false">IF(AND(B1154="",C1154="",D1154=""),"",IF(B1154="","Missing contract",IF(C1154="","Missing code",IF(LEFT(G1154,3)="Not","Wrong code",IF(D1154="","Missing qty",IF(A1154="","Missing date",""))))))</f>
        <v/>
      </c>
      <c r="I1154" s="84" t="str">
        <f aca="false">IF(B1154=Dashboard!$D$3,ROW(),"")</f>
        <v/>
      </c>
    </row>
    <row r="1155" customFormat="false" ht="15" hidden="false" customHeight="false" outlineLevel="0" collapsed="false">
      <c r="A1155" s="80"/>
      <c r="B1155" s="71"/>
      <c r="C1155" s="71"/>
      <c r="D1155" s="81"/>
      <c r="E1155" s="71"/>
      <c r="F1155" s="71"/>
      <c r="G1155" s="82" t="str">
        <f aca="false">IF(C1155="","",IFERROR(INDEX('Kit Lists'!$D$6:$D$605,MATCH(B1155&amp;"|"&amp;C1155,'Kit Lists'!$J$6:$J$605,0)),"Not on this contract's kit list"))</f>
        <v/>
      </c>
      <c r="H1155" s="83" t="str">
        <f aca="false">IF(AND(B1155="",C1155="",D1155=""),"",IF(B1155="","Missing contract",IF(C1155="","Missing code",IF(LEFT(G1155,3)="Not","Wrong code",IF(D1155="","Missing qty",IF(A1155="","Missing date",""))))))</f>
        <v/>
      </c>
      <c r="I1155" s="84" t="str">
        <f aca="false">IF(B1155=Dashboard!$D$3,ROW(),"")</f>
        <v/>
      </c>
    </row>
    <row r="1156" customFormat="false" ht="15" hidden="false" customHeight="false" outlineLevel="0" collapsed="false">
      <c r="A1156" s="80"/>
      <c r="B1156" s="71"/>
      <c r="C1156" s="71"/>
      <c r="D1156" s="81"/>
      <c r="E1156" s="71"/>
      <c r="F1156" s="71"/>
      <c r="G1156" s="82" t="str">
        <f aca="false">IF(C1156="","",IFERROR(INDEX('Kit Lists'!$D$6:$D$605,MATCH(B1156&amp;"|"&amp;C1156,'Kit Lists'!$J$6:$J$605,0)),"Not on this contract's kit list"))</f>
        <v/>
      </c>
      <c r="H1156" s="83" t="str">
        <f aca="false">IF(AND(B1156="",C1156="",D1156=""),"",IF(B1156="","Missing contract",IF(C1156="","Missing code",IF(LEFT(G1156,3)="Not","Wrong code",IF(D1156="","Missing qty",IF(A1156="","Missing date",""))))))</f>
        <v/>
      </c>
      <c r="I1156" s="84" t="str">
        <f aca="false">IF(B1156=Dashboard!$D$3,ROW(),"")</f>
        <v/>
      </c>
    </row>
    <row r="1157" customFormat="false" ht="15" hidden="false" customHeight="false" outlineLevel="0" collapsed="false">
      <c r="A1157" s="80"/>
      <c r="B1157" s="71"/>
      <c r="C1157" s="71"/>
      <c r="D1157" s="81"/>
      <c r="E1157" s="71"/>
      <c r="F1157" s="71"/>
      <c r="G1157" s="82" t="str">
        <f aca="false">IF(C1157="","",IFERROR(INDEX('Kit Lists'!$D$6:$D$605,MATCH(B1157&amp;"|"&amp;C1157,'Kit Lists'!$J$6:$J$605,0)),"Not on this contract's kit list"))</f>
        <v/>
      </c>
      <c r="H1157" s="83" t="str">
        <f aca="false">IF(AND(B1157="",C1157="",D1157=""),"",IF(B1157="","Missing contract",IF(C1157="","Missing code",IF(LEFT(G1157,3)="Not","Wrong code",IF(D1157="","Missing qty",IF(A1157="","Missing date",""))))))</f>
        <v/>
      </c>
      <c r="I1157" s="84" t="str">
        <f aca="false">IF(B1157=Dashboard!$D$3,ROW(),"")</f>
        <v/>
      </c>
    </row>
    <row r="1158" customFormat="false" ht="15" hidden="false" customHeight="false" outlineLevel="0" collapsed="false">
      <c r="A1158" s="80"/>
      <c r="B1158" s="71"/>
      <c r="C1158" s="71"/>
      <c r="D1158" s="81"/>
      <c r="E1158" s="71"/>
      <c r="F1158" s="71"/>
      <c r="G1158" s="82" t="str">
        <f aca="false">IF(C1158="","",IFERROR(INDEX('Kit Lists'!$D$6:$D$605,MATCH(B1158&amp;"|"&amp;C1158,'Kit Lists'!$J$6:$J$605,0)),"Not on this contract's kit list"))</f>
        <v/>
      </c>
      <c r="H1158" s="83" t="str">
        <f aca="false">IF(AND(B1158="",C1158="",D1158=""),"",IF(B1158="","Missing contract",IF(C1158="","Missing code",IF(LEFT(G1158,3)="Not","Wrong code",IF(D1158="","Missing qty",IF(A1158="","Missing date",""))))))</f>
        <v/>
      </c>
      <c r="I1158" s="84" t="str">
        <f aca="false">IF(B1158=Dashboard!$D$3,ROW(),"")</f>
        <v/>
      </c>
    </row>
    <row r="1159" customFormat="false" ht="15" hidden="false" customHeight="false" outlineLevel="0" collapsed="false">
      <c r="A1159" s="80"/>
      <c r="B1159" s="71"/>
      <c r="C1159" s="71"/>
      <c r="D1159" s="81"/>
      <c r="E1159" s="71"/>
      <c r="F1159" s="71"/>
      <c r="G1159" s="82" t="str">
        <f aca="false">IF(C1159="","",IFERROR(INDEX('Kit Lists'!$D$6:$D$605,MATCH(B1159&amp;"|"&amp;C1159,'Kit Lists'!$J$6:$J$605,0)),"Not on this contract's kit list"))</f>
        <v/>
      </c>
      <c r="H1159" s="83" t="str">
        <f aca="false">IF(AND(B1159="",C1159="",D1159=""),"",IF(B1159="","Missing contract",IF(C1159="","Missing code",IF(LEFT(G1159,3)="Not","Wrong code",IF(D1159="","Missing qty",IF(A1159="","Missing date",""))))))</f>
        <v/>
      </c>
      <c r="I1159" s="84" t="str">
        <f aca="false">IF(B1159=Dashboard!$D$3,ROW(),"")</f>
        <v/>
      </c>
    </row>
    <row r="1160" customFormat="false" ht="15" hidden="false" customHeight="false" outlineLevel="0" collapsed="false">
      <c r="A1160" s="80"/>
      <c r="B1160" s="71"/>
      <c r="C1160" s="71"/>
      <c r="D1160" s="81"/>
      <c r="E1160" s="71"/>
      <c r="F1160" s="71"/>
      <c r="G1160" s="82" t="str">
        <f aca="false">IF(C1160="","",IFERROR(INDEX('Kit Lists'!$D$6:$D$605,MATCH(B1160&amp;"|"&amp;C1160,'Kit Lists'!$J$6:$J$605,0)),"Not on this contract's kit list"))</f>
        <v/>
      </c>
      <c r="H1160" s="83" t="str">
        <f aca="false">IF(AND(B1160="",C1160="",D1160=""),"",IF(B1160="","Missing contract",IF(C1160="","Missing code",IF(LEFT(G1160,3)="Not","Wrong code",IF(D1160="","Missing qty",IF(A1160="","Missing date",""))))))</f>
        <v/>
      </c>
      <c r="I1160" s="84" t="str">
        <f aca="false">IF(B1160=Dashboard!$D$3,ROW(),"")</f>
        <v/>
      </c>
    </row>
    <row r="1161" customFormat="false" ht="15" hidden="false" customHeight="false" outlineLevel="0" collapsed="false">
      <c r="A1161" s="80"/>
      <c r="B1161" s="71"/>
      <c r="C1161" s="71"/>
      <c r="D1161" s="81"/>
      <c r="E1161" s="71"/>
      <c r="F1161" s="71"/>
      <c r="G1161" s="82" t="str">
        <f aca="false">IF(C1161="","",IFERROR(INDEX('Kit Lists'!$D$6:$D$605,MATCH(B1161&amp;"|"&amp;C1161,'Kit Lists'!$J$6:$J$605,0)),"Not on this contract's kit list"))</f>
        <v/>
      </c>
      <c r="H1161" s="83" t="str">
        <f aca="false">IF(AND(B1161="",C1161="",D1161=""),"",IF(B1161="","Missing contract",IF(C1161="","Missing code",IF(LEFT(G1161,3)="Not","Wrong code",IF(D1161="","Missing qty",IF(A1161="","Missing date",""))))))</f>
        <v/>
      </c>
      <c r="I1161" s="84" t="str">
        <f aca="false">IF(B1161=Dashboard!$D$3,ROW(),"")</f>
        <v/>
      </c>
    </row>
    <row r="1162" customFormat="false" ht="15" hidden="false" customHeight="false" outlineLevel="0" collapsed="false">
      <c r="A1162" s="80"/>
      <c r="B1162" s="71"/>
      <c r="C1162" s="71"/>
      <c r="D1162" s="81"/>
      <c r="E1162" s="71"/>
      <c r="F1162" s="71"/>
      <c r="G1162" s="82" t="str">
        <f aca="false">IF(C1162="","",IFERROR(INDEX('Kit Lists'!$D$6:$D$605,MATCH(B1162&amp;"|"&amp;C1162,'Kit Lists'!$J$6:$J$605,0)),"Not on this contract's kit list"))</f>
        <v/>
      </c>
      <c r="H1162" s="83" t="str">
        <f aca="false">IF(AND(B1162="",C1162="",D1162=""),"",IF(B1162="","Missing contract",IF(C1162="","Missing code",IF(LEFT(G1162,3)="Not","Wrong code",IF(D1162="","Missing qty",IF(A1162="","Missing date",""))))))</f>
        <v/>
      </c>
      <c r="I1162" s="84" t="str">
        <f aca="false">IF(B1162=Dashboard!$D$3,ROW(),"")</f>
        <v/>
      </c>
    </row>
    <row r="1163" customFormat="false" ht="15" hidden="false" customHeight="false" outlineLevel="0" collapsed="false">
      <c r="A1163" s="80"/>
      <c r="B1163" s="71"/>
      <c r="C1163" s="71"/>
      <c r="D1163" s="81"/>
      <c r="E1163" s="71"/>
      <c r="F1163" s="71"/>
      <c r="G1163" s="82" t="str">
        <f aca="false">IF(C1163="","",IFERROR(INDEX('Kit Lists'!$D$6:$D$605,MATCH(B1163&amp;"|"&amp;C1163,'Kit Lists'!$J$6:$J$605,0)),"Not on this contract's kit list"))</f>
        <v/>
      </c>
      <c r="H1163" s="83" t="str">
        <f aca="false">IF(AND(B1163="",C1163="",D1163=""),"",IF(B1163="","Missing contract",IF(C1163="","Missing code",IF(LEFT(G1163,3)="Not","Wrong code",IF(D1163="","Missing qty",IF(A1163="","Missing date",""))))))</f>
        <v/>
      </c>
      <c r="I1163" s="84" t="str">
        <f aca="false">IF(B1163=Dashboard!$D$3,ROW(),"")</f>
        <v/>
      </c>
    </row>
    <row r="1164" customFormat="false" ht="15" hidden="false" customHeight="false" outlineLevel="0" collapsed="false">
      <c r="A1164" s="80"/>
      <c r="B1164" s="71"/>
      <c r="C1164" s="71"/>
      <c r="D1164" s="81"/>
      <c r="E1164" s="71"/>
      <c r="F1164" s="71"/>
      <c r="G1164" s="82" t="str">
        <f aca="false">IF(C1164="","",IFERROR(INDEX('Kit Lists'!$D$6:$D$605,MATCH(B1164&amp;"|"&amp;C1164,'Kit Lists'!$J$6:$J$605,0)),"Not on this contract's kit list"))</f>
        <v/>
      </c>
      <c r="H1164" s="83" t="str">
        <f aca="false">IF(AND(B1164="",C1164="",D1164=""),"",IF(B1164="","Missing contract",IF(C1164="","Missing code",IF(LEFT(G1164,3)="Not","Wrong code",IF(D1164="","Missing qty",IF(A1164="","Missing date",""))))))</f>
        <v/>
      </c>
      <c r="I1164" s="84" t="str">
        <f aca="false">IF(B1164=Dashboard!$D$3,ROW(),"")</f>
        <v/>
      </c>
    </row>
    <row r="1165" customFormat="false" ht="15" hidden="false" customHeight="false" outlineLevel="0" collapsed="false">
      <c r="A1165" s="80"/>
      <c r="B1165" s="71"/>
      <c r="C1165" s="71"/>
      <c r="D1165" s="81"/>
      <c r="E1165" s="71"/>
      <c r="F1165" s="71"/>
      <c r="G1165" s="82" t="str">
        <f aca="false">IF(C1165="","",IFERROR(INDEX('Kit Lists'!$D$6:$D$605,MATCH(B1165&amp;"|"&amp;C1165,'Kit Lists'!$J$6:$J$605,0)),"Not on this contract's kit list"))</f>
        <v/>
      </c>
      <c r="H1165" s="83" t="str">
        <f aca="false">IF(AND(B1165="",C1165="",D1165=""),"",IF(B1165="","Missing contract",IF(C1165="","Missing code",IF(LEFT(G1165,3)="Not","Wrong code",IF(D1165="","Missing qty",IF(A1165="","Missing date",""))))))</f>
        <v/>
      </c>
      <c r="I1165" s="84" t="str">
        <f aca="false">IF(B1165=Dashboard!$D$3,ROW(),"")</f>
        <v/>
      </c>
    </row>
    <row r="1166" customFormat="false" ht="15" hidden="false" customHeight="false" outlineLevel="0" collapsed="false">
      <c r="A1166" s="80"/>
      <c r="B1166" s="71"/>
      <c r="C1166" s="71"/>
      <c r="D1166" s="81"/>
      <c r="E1166" s="71"/>
      <c r="F1166" s="71"/>
      <c r="G1166" s="82" t="str">
        <f aca="false">IF(C1166="","",IFERROR(INDEX('Kit Lists'!$D$6:$D$605,MATCH(B1166&amp;"|"&amp;C1166,'Kit Lists'!$J$6:$J$605,0)),"Not on this contract's kit list"))</f>
        <v/>
      </c>
      <c r="H1166" s="83" t="str">
        <f aca="false">IF(AND(B1166="",C1166="",D1166=""),"",IF(B1166="","Missing contract",IF(C1166="","Missing code",IF(LEFT(G1166,3)="Not","Wrong code",IF(D1166="","Missing qty",IF(A1166="","Missing date",""))))))</f>
        <v/>
      </c>
      <c r="I1166" s="84" t="str">
        <f aca="false">IF(B1166=Dashboard!$D$3,ROW(),"")</f>
        <v/>
      </c>
    </row>
    <row r="1167" customFormat="false" ht="15" hidden="false" customHeight="false" outlineLevel="0" collapsed="false">
      <c r="A1167" s="80"/>
      <c r="B1167" s="71"/>
      <c r="C1167" s="71"/>
      <c r="D1167" s="81"/>
      <c r="E1167" s="71"/>
      <c r="F1167" s="71"/>
      <c r="G1167" s="82" t="str">
        <f aca="false">IF(C1167="","",IFERROR(INDEX('Kit Lists'!$D$6:$D$605,MATCH(B1167&amp;"|"&amp;C1167,'Kit Lists'!$J$6:$J$605,0)),"Not on this contract's kit list"))</f>
        <v/>
      </c>
      <c r="H1167" s="83" t="str">
        <f aca="false">IF(AND(B1167="",C1167="",D1167=""),"",IF(B1167="","Missing contract",IF(C1167="","Missing code",IF(LEFT(G1167,3)="Not","Wrong code",IF(D1167="","Missing qty",IF(A1167="","Missing date",""))))))</f>
        <v/>
      </c>
      <c r="I1167" s="84" t="str">
        <f aca="false">IF(B1167=Dashboard!$D$3,ROW(),"")</f>
        <v/>
      </c>
    </row>
    <row r="1168" customFormat="false" ht="15" hidden="false" customHeight="false" outlineLevel="0" collapsed="false">
      <c r="A1168" s="80"/>
      <c r="B1168" s="71"/>
      <c r="C1168" s="71"/>
      <c r="D1168" s="81"/>
      <c r="E1168" s="71"/>
      <c r="F1168" s="71"/>
      <c r="G1168" s="82" t="str">
        <f aca="false">IF(C1168="","",IFERROR(INDEX('Kit Lists'!$D$6:$D$605,MATCH(B1168&amp;"|"&amp;C1168,'Kit Lists'!$J$6:$J$605,0)),"Not on this contract's kit list"))</f>
        <v/>
      </c>
      <c r="H1168" s="83" t="str">
        <f aca="false">IF(AND(B1168="",C1168="",D1168=""),"",IF(B1168="","Missing contract",IF(C1168="","Missing code",IF(LEFT(G1168,3)="Not","Wrong code",IF(D1168="","Missing qty",IF(A1168="","Missing date",""))))))</f>
        <v/>
      </c>
      <c r="I1168" s="84" t="str">
        <f aca="false">IF(B1168=Dashboard!$D$3,ROW(),"")</f>
        <v/>
      </c>
    </row>
    <row r="1169" customFormat="false" ht="15" hidden="false" customHeight="false" outlineLevel="0" collapsed="false">
      <c r="A1169" s="80"/>
      <c r="B1169" s="71"/>
      <c r="C1169" s="71"/>
      <c r="D1169" s="81"/>
      <c r="E1169" s="71"/>
      <c r="F1169" s="71"/>
      <c r="G1169" s="82" t="str">
        <f aca="false">IF(C1169="","",IFERROR(INDEX('Kit Lists'!$D$6:$D$605,MATCH(B1169&amp;"|"&amp;C1169,'Kit Lists'!$J$6:$J$605,0)),"Not on this contract's kit list"))</f>
        <v/>
      </c>
      <c r="H1169" s="83" t="str">
        <f aca="false">IF(AND(B1169="",C1169="",D1169=""),"",IF(B1169="","Missing contract",IF(C1169="","Missing code",IF(LEFT(G1169,3)="Not","Wrong code",IF(D1169="","Missing qty",IF(A1169="","Missing date",""))))))</f>
        <v/>
      </c>
      <c r="I1169" s="84" t="str">
        <f aca="false">IF(B1169=Dashboard!$D$3,ROW(),"")</f>
        <v/>
      </c>
    </row>
    <row r="1170" customFormat="false" ht="15" hidden="false" customHeight="false" outlineLevel="0" collapsed="false">
      <c r="A1170" s="80"/>
      <c r="B1170" s="71"/>
      <c r="C1170" s="71"/>
      <c r="D1170" s="81"/>
      <c r="E1170" s="71"/>
      <c r="F1170" s="71"/>
      <c r="G1170" s="82" t="str">
        <f aca="false">IF(C1170="","",IFERROR(INDEX('Kit Lists'!$D$6:$D$605,MATCH(B1170&amp;"|"&amp;C1170,'Kit Lists'!$J$6:$J$605,0)),"Not on this contract's kit list"))</f>
        <v/>
      </c>
      <c r="H1170" s="83" t="str">
        <f aca="false">IF(AND(B1170="",C1170="",D1170=""),"",IF(B1170="","Missing contract",IF(C1170="","Missing code",IF(LEFT(G1170,3)="Not","Wrong code",IF(D1170="","Missing qty",IF(A1170="","Missing date",""))))))</f>
        <v/>
      </c>
      <c r="I1170" s="84" t="str">
        <f aca="false">IF(B1170=Dashboard!$D$3,ROW(),"")</f>
        <v/>
      </c>
    </row>
    <row r="1171" customFormat="false" ht="15" hidden="false" customHeight="false" outlineLevel="0" collapsed="false">
      <c r="A1171" s="80"/>
      <c r="B1171" s="71"/>
      <c r="C1171" s="71"/>
      <c r="D1171" s="81"/>
      <c r="E1171" s="71"/>
      <c r="F1171" s="71"/>
      <c r="G1171" s="82" t="str">
        <f aca="false">IF(C1171="","",IFERROR(INDEX('Kit Lists'!$D$6:$D$605,MATCH(B1171&amp;"|"&amp;C1171,'Kit Lists'!$J$6:$J$605,0)),"Not on this contract's kit list"))</f>
        <v/>
      </c>
      <c r="H1171" s="83" t="str">
        <f aca="false">IF(AND(B1171="",C1171="",D1171=""),"",IF(B1171="","Missing contract",IF(C1171="","Missing code",IF(LEFT(G1171,3)="Not","Wrong code",IF(D1171="","Missing qty",IF(A1171="","Missing date",""))))))</f>
        <v/>
      </c>
      <c r="I1171" s="84" t="str">
        <f aca="false">IF(B1171=Dashboard!$D$3,ROW(),"")</f>
        <v/>
      </c>
    </row>
    <row r="1172" customFormat="false" ht="15" hidden="false" customHeight="false" outlineLevel="0" collapsed="false">
      <c r="A1172" s="80"/>
      <c r="B1172" s="71"/>
      <c r="C1172" s="71"/>
      <c r="D1172" s="81"/>
      <c r="E1172" s="71"/>
      <c r="F1172" s="71"/>
      <c r="G1172" s="82" t="str">
        <f aca="false">IF(C1172="","",IFERROR(INDEX('Kit Lists'!$D$6:$D$605,MATCH(B1172&amp;"|"&amp;C1172,'Kit Lists'!$J$6:$J$605,0)),"Not on this contract's kit list"))</f>
        <v/>
      </c>
      <c r="H1172" s="83" t="str">
        <f aca="false">IF(AND(B1172="",C1172="",D1172=""),"",IF(B1172="","Missing contract",IF(C1172="","Missing code",IF(LEFT(G1172,3)="Not","Wrong code",IF(D1172="","Missing qty",IF(A1172="","Missing date",""))))))</f>
        <v/>
      </c>
      <c r="I1172" s="84" t="str">
        <f aca="false">IF(B1172=Dashboard!$D$3,ROW(),"")</f>
        <v/>
      </c>
    </row>
    <row r="1173" customFormat="false" ht="15" hidden="false" customHeight="false" outlineLevel="0" collapsed="false">
      <c r="A1173" s="80"/>
      <c r="B1173" s="71"/>
      <c r="C1173" s="71"/>
      <c r="D1173" s="81"/>
      <c r="E1173" s="71"/>
      <c r="F1173" s="71"/>
      <c r="G1173" s="82" t="str">
        <f aca="false">IF(C1173="","",IFERROR(INDEX('Kit Lists'!$D$6:$D$605,MATCH(B1173&amp;"|"&amp;C1173,'Kit Lists'!$J$6:$J$605,0)),"Not on this contract's kit list"))</f>
        <v/>
      </c>
      <c r="H1173" s="83" t="str">
        <f aca="false">IF(AND(B1173="",C1173="",D1173=""),"",IF(B1173="","Missing contract",IF(C1173="","Missing code",IF(LEFT(G1173,3)="Not","Wrong code",IF(D1173="","Missing qty",IF(A1173="","Missing date",""))))))</f>
        <v/>
      </c>
      <c r="I1173" s="84" t="str">
        <f aca="false">IF(B1173=Dashboard!$D$3,ROW(),"")</f>
        <v/>
      </c>
    </row>
    <row r="1174" customFormat="false" ht="15" hidden="false" customHeight="false" outlineLevel="0" collapsed="false">
      <c r="A1174" s="80"/>
      <c r="B1174" s="71"/>
      <c r="C1174" s="71"/>
      <c r="D1174" s="81"/>
      <c r="E1174" s="71"/>
      <c r="F1174" s="71"/>
      <c r="G1174" s="82" t="str">
        <f aca="false">IF(C1174="","",IFERROR(INDEX('Kit Lists'!$D$6:$D$605,MATCH(B1174&amp;"|"&amp;C1174,'Kit Lists'!$J$6:$J$605,0)),"Not on this contract's kit list"))</f>
        <v/>
      </c>
      <c r="H1174" s="83" t="str">
        <f aca="false">IF(AND(B1174="",C1174="",D1174=""),"",IF(B1174="","Missing contract",IF(C1174="","Missing code",IF(LEFT(G1174,3)="Not","Wrong code",IF(D1174="","Missing qty",IF(A1174="","Missing date",""))))))</f>
        <v/>
      </c>
      <c r="I1174" s="84" t="str">
        <f aca="false">IF(B1174=Dashboard!$D$3,ROW(),"")</f>
        <v/>
      </c>
    </row>
    <row r="1175" customFormat="false" ht="15" hidden="false" customHeight="false" outlineLevel="0" collapsed="false">
      <c r="A1175" s="80"/>
      <c r="B1175" s="71"/>
      <c r="C1175" s="71"/>
      <c r="D1175" s="81"/>
      <c r="E1175" s="71"/>
      <c r="F1175" s="71"/>
      <c r="G1175" s="82" t="str">
        <f aca="false">IF(C1175="","",IFERROR(INDEX('Kit Lists'!$D$6:$D$605,MATCH(B1175&amp;"|"&amp;C1175,'Kit Lists'!$J$6:$J$605,0)),"Not on this contract's kit list"))</f>
        <v/>
      </c>
      <c r="H1175" s="83" t="str">
        <f aca="false">IF(AND(B1175="",C1175="",D1175=""),"",IF(B1175="","Missing contract",IF(C1175="","Missing code",IF(LEFT(G1175,3)="Not","Wrong code",IF(D1175="","Missing qty",IF(A1175="","Missing date",""))))))</f>
        <v/>
      </c>
      <c r="I1175" s="84" t="str">
        <f aca="false">IF(B1175=Dashboard!$D$3,ROW(),"")</f>
        <v/>
      </c>
    </row>
    <row r="1176" customFormat="false" ht="15" hidden="false" customHeight="false" outlineLevel="0" collapsed="false">
      <c r="A1176" s="80"/>
      <c r="B1176" s="71"/>
      <c r="C1176" s="71"/>
      <c r="D1176" s="81"/>
      <c r="E1176" s="71"/>
      <c r="F1176" s="71"/>
      <c r="G1176" s="82" t="str">
        <f aca="false">IF(C1176="","",IFERROR(INDEX('Kit Lists'!$D$6:$D$605,MATCH(B1176&amp;"|"&amp;C1176,'Kit Lists'!$J$6:$J$605,0)),"Not on this contract's kit list"))</f>
        <v/>
      </c>
      <c r="H1176" s="83" t="str">
        <f aca="false">IF(AND(B1176="",C1176="",D1176=""),"",IF(B1176="","Missing contract",IF(C1176="","Missing code",IF(LEFT(G1176,3)="Not","Wrong code",IF(D1176="","Missing qty",IF(A1176="","Missing date",""))))))</f>
        <v/>
      </c>
      <c r="I1176" s="84" t="str">
        <f aca="false">IF(B1176=Dashboard!$D$3,ROW(),"")</f>
        <v/>
      </c>
    </row>
    <row r="1177" customFormat="false" ht="15" hidden="false" customHeight="false" outlineLevel="0" collapsed="false">
      <c r="A1177" s="80"/>
      <c r="B1177" s="71"/>
      <c r="C1177" s="71"/>
      <c r="D1177" s="81"/>
      <c r="E1177" s="71"/>
      <c r="F1177" s="71"/>
      <c r="G1177" s="82" t="str">
        <f aca="false">IF(C1177="","",IFERROR(INDEX('Kit Lists'!$D$6:$D$605,MATCH(B1177&amp;"|"&amp;C1177,'Kit Lists'!$J$6:$J$605,0)),"Not on this contract's kit list"))</f>
        <v/>
      </c>
      <c r="H1177" s="83" t="str">
        <f aca="false">IF(AND(B1177="",C1177="",D1177=""),"",IF(B1177="","Missing contract",IF(C1177="","Missing code",IF(LEFT(G1177,3)="Not","Wrong code",IF(D1177="","Missing qty",IF(A1177="","Missing date",""))))))</f>
        <v/>
      </c>
      <c r="I1177" s="84" t="str">
        <f aca="false">IF(B1177=Dashboard!$D$3,ROW(),"")</f>
        <v/>
      </c>
    </row>
    <row r="1178" customFormat="false" ht="15" hidden="false" customHeight="false" outlineLevel="0" collapsed="false">
      <c r="A1178" s="80"/>
      <c r="B1178" s="71"/>
      <c r="C1178" s="71"/>
      <c r="D1178" s="81"/>
      <c r="E1178" s="71"/>
      <c r="F1178" s="71"/>
      <c r="G1178" s="82" t="str">
        <f aca="false">IF(C1178="","",IFERROR(INDEX('Kit Lists'!$D$6:$D$605,MATCH(B1178&amp;"|"&amp;C1178,'Kit Lists'!$J$6:$J$605,0)),"Not on this contract's kit list"))</f>
        <v/>
      </c>
      <c r="H1178" s="83" t="str">
        <f aca="false">IF(AND(B1178="",C1178="",D1178=""),"",IF(B1178="","Missing contract",IF(C1178="","Missing code",IF(LEFT(G1178,3)="Not","Wrong code",IF(D1178="","Missing qty",IF(A1178="","Missing date",""))))))</f>
        <v/>
      </c>
      <c r="I1178" s="84" t="str">
        <f aca="false">IF(B1178=Dashboard!$D$3,ROW(),"")</f>
        <v/>
      </c>
    </row>
    <row r="1179" customFormat="false" ht="15" hidden="false" customHeight="false" outlineLevel="0" collapsed="false">
      <c r="A1179" s="80"/>
      <c r="B1179" s="71"/>
      <c r="C1179" s="71"/>
      <c r="D1179" s="81"/>
      <c r="E1179" s="71"/>
      <c r="F1179" s="71"/>
      <c r="G1179" s="82" t="str">
        <f aca="false">IF(C1179="","",IFERROR(INDEX('Kit Lists'!$D$6:$D$605,MATCH(B1179&amp;"|"&amp;C1179,'Kit Lists'!$J$6:$J$605,0)),"Not on this contract's kit list"))</f>
        <v/>
      </c>
      <c r="H1179" s="83" t="str">
        <f aca="false">IF(AND(B1179="",C1179="",D1179=""),"",IF(B1179="","Missing contract",IF(C1179="","Missing code",IF(LEFT(G1179,3)="Not","Wrong code",IF(D1179="","Missing qty",IF(A1179="","Missing date",""))))))</f>
        <v/>
      </c>
      <c r="I1179" s="84" t="str">
        <f aca="false">IF(B1179=Dashboard!$D$3,ROW(),"")</f>
        <v/>
      </c>
    </row>
    <row r="1180" customFormat="false" ht="15" hidden="false" customHeight="false" outlineLevel="0" collapsed="false">
      <c r="A1180" s="80"/>
      <c r="B1180" s="71"/>
      <c r="C1180" s="71"/>
      <c r="D1180" s="81"/>
      <c r="E1180" s="71"/>
      <c r="F1180" s="71"/>
      <c r="G1180" s="82" t="str">
        <f aca="false">IF(C1180="","",IFERROR(INDEX('Kit Lists'!$D$6:$D$605,MATCH(B1180&amp;"|"&amp;C1180,'Kit Lists'!$J$6:$J$605,0)),"Not on this contract's kit list"))</f>
        <v/>
      </c>
      <c r="H1180" s="83" t="str">
        <f aca="false">IF(AND(B1180="",C1180="",D1180=""),"",IF(B1180="","Missing contract",IF(C1180="","Missing code",IF(LEFT(G1180,3)="Not","Wrong code",IF(D1180="","Missing qty",IF(A1180="","Missing date",""))))))</f>
        <v/>
      </c>
      <c r="I1180" s="84" t="str">
        <f aca="false">IF(B1180=Dashboard!$D$3,ROW(),"")</f>
        <v/>
      </c>
    </row>
    <row r="1181" customFormat="false" ht="15" hidden="false" customHeight="false" outlineLevel="0" collapsed="false">
      <c r="A1181" s="80"/>
      <c r="B1181" s="71"/>
      <c r="C1181" s="71"/>
      <c r="D1181" s="81"/>
      <c r="E1181" s="71"/>
      <c r="F1181" s="71"/>
      <c r="G1181" s="82" t="str">
        <f aca="false">IF(C1181="","",IFERROR(INDEX('Kit Lists'!$D$6:$D$605,MATCH(B1181&amp;"|"&amp;C1181,'Kit Lists'!$J$6:$J$605,0)),"Not on this contract's kit list"))</f>
        <v/>
      </c>
      <c r="H1181" s="83" t="str">
        <f aca="false">IF(AND(B1181="",C1181="",D1181=""),"",IF(B1181="","Missing contract",IF(C1181="","Missing code",IF(LEFT(G1181,3)="Not","Wrong code",IF(D1181="","Missing qty",IF(A1181="","Missing date",""))))))</f>
        <v/>
      </c>
      <c r="I1181" s="84" t="str">
        <f aca="false">IF(B1181=Dashboard!$D$3,ROW(),"")</f>
        <v/>
      </c>
    </row>
    <row r="1182" customFormat="false" ht="15" hidden="false" customHeight="false" outlineLevel="0" collapsed="false">
      <c r="A1182" s="80"/>
      <c r="B1182" s="71"/>
      <c r="C1182" s="71"/>
      <c r="D1182" s="81"/>
      <c r="E1182" s="71"/>
      <c r="F1182" s="71"/>
      <c r="G1182" s="82" t="str">
        <f aca="false">IF(C1182="","",IFERROR(INDEX('Kit Lists'!$D$6:$D$605,MATCH(B1182&amp;"|"&amp;C1182,'Kit Lists'!$J$6:$J$605,0)),"Not on this contract's kit list"))</f>
        <v/>
      </c>
      <c r="H1182" s="83" t="str">
        <f aca="false">IF(AND(B1182="",C1182="",D1182=""),"",IF(B1182="","Missing contract",IF(C1182="","Missing code",IF(LEFT(G1182,3)="Not","Wrong code",IF(D1182="","Missing qty",IF(A1182="","Missing date",""))))))</f>
        <v/>
      </c>
      <c r="I1182" s="84" t="str">
        <f aca="false">IF(B1182=Dashboard!$D$3,ROW(),"")</f>
        <v/>
      </c>
    </row>
    <row r="1183" customFormat="false" ht="15" hidden="false" customHeight="false" outlineLevel="0" collapsed="false">
      <c r="A1183" s="80"/>
      <c r="B1183" s="71"/>
      <c r="C1183" s="71"/>
      <c r="D1183" s="81"/>
      <c r="E1183" s="71"/>
      <c r="F1183" s="71"/>
      <c r="G1183" s="82" t="str">
        <f aca="false">IF(C1183="","",IFERROR(INDEX('Kit Lists'!$D$6:$D$605,MATCH(B1183&amp;"|"&amp;C1183,'Kit Lists'!$J$6:$J$605,0)),"Not on this contract's kit list"))</f>
        <v/>
      </c>
      <c r="H1183" s="83" t="str">
        <f aca="false">IF(AND(B1183="",C1183="",D1183=""),"",IF(B1183="","Missing contract",IF(C1183="","Missing code",IF(LEFT(G1183,3)="Not","Wrong code",IF(D1183="","Missing qty",IF(A1183="","Missing date",""))))))</f>
        <v/>
      </c>
      <c r="I1183" s="84" t="str">
        <f aca="false">IF(B1183=Dashboard!$D$3,ROW(),"")</f>
        <v/>
      </c>
    </row>
    <row r="1184" customFormat="false" ht="15" hidden="false" customHeight="false" outlineLevel="0" collapsed="false">
      <c r="A1184" s="80"/>
      <c r="B1184" s="71"/>
      <c r="C1184" s="71"/>
      <c r="D1184" s="81"/>
      <c r="E1184" s="71"/>
      <c r="F1184" s="71"/>
      <c r="G1184" s="82" t="str">
        <f aca="false">IF(C1184="","",IFERROR(INDEX('Kit Lists'!$D$6:$D$605,MATCH(B1184&amp;"|"&amp;C1184,'Kit Lists'!$J$6:$J$605,0)),"Not on this contract's kit list"))</f>
        <v/>
      </c>
      <c r="H1184" s="83" t="str">
        <f aca="false">IF(AND(B1184="",C1184="",D1184=""),"",IF(B1184="","Missing contract",IF(C1184="","Missing code",IF(LEFT(G1184,3)="Not","Wrong code",IF(D1184="","Missing qty",IF(A1184="","Missing date",""))))))</f>
        <v/>
      </c>
      <c r="I1184" s="84" t="str">
        <f aca="false">IF(B1184=Dashboard!$D$3,ROW(),"")</f>
        <v/>
      </c>
    </row>
    <row r="1185" customFormat="false" ht="15" hidden="false" customHeight="false" outlineLevel="0" collapsed="false">
      <c r="A1185" s="80"/>
      <c r="B1185" s="71"/>
      <c r="C1185" s="71"/>
      <c r="D1185" s="81"/>
      <c r="E1185" s="71"/>
      <c r="F1185" s="71"/>
      <c r="G1185" s="82" t="str">
        <f aca="false">IF(C1185="","",IFERROR(INDEX('Kit Lists'!$D$6:$D$605,MATCH(B1185&amp;"|"&amp;C1185,'Kit Lists'!$J$6:$J$605,0)),"Not on this contract's kit list"))</f>
        <v/>
      </c>
      <c r="H1185" s="83" t="str">
        <f aca="false">IF(AND(B1185="",C1185="",D1185=""),"",IF(B1185="","Missing contract",IF(C1185="","Missing code",IF(LEFT(G1185,3)="Not","Wrong code",IF(D1185="","Missing qty",IF(A1185="","Missing date",""))))))</f>
        <v/>
      </c>
      <c r="I1185" s="84" t="str">
        <f aca="false">IF(B1185=Dashboard!$D$3,ROW(),"")</f>
        <v/>
      </c>
    </row>
    <row r="1186" customFormat="false" ht="15" hidden="false" customHeight="false" outlineLevel="0" collapsed="false">
      <c r="A1186" s="80"/>
      <c r="B1186" s="71"/>
      <c r="C1186" s="71"/>
      <c r="D1186" s="81"/>
      <c r="E1186" s="71"/>
      <c r="F1186" s="71"/>
      <c r="G1186" s="82" t="str">
        <f aca="false">IF(C1186="","",IFERROR(INDEX('Kit Lists'!$D$6:$D$605,MATCH(B1186&amp;"|"&amp;C1186,'Kit Lists'!$J$6:$J$605,0)),"Not on this contract's kit list"))</f>
        <v/>
      </c>
      <c r="H1186" s="83" t="str">
        <f aca="false">IF(AND(B1186="",C1186="",D1186=""),"",IF(B1186="","Missing contract",IF(C1186="","Missing code",IF(LEFT(G1186,3)="Not","Wrong code",IF(D1186="","Missing qty",IF(A1186="","Missing date",""))))))</f>
        <v/>
      </c>
      <c r="I1186" s="84" t="str">
        <f aca="false">IF(B1186=Dashboard!$D$3,ROW(),"")</f>
        <v/>
      </c>
    </row>
    <row r="1187" customFormat="false" ht="15" hidden="false" customHeight="false" outlineLevel="0" collapsed="false">
      <c r="A1187" s="80"/>
      <c r="B1187" s="71"/>
      <c r="C1187" s="71"/>
      <c r="D1187" s="81"/>
      <c r="E1187" s="71"/>
      <c r="F1187" s="71"/>
      <c r="G1187" s="82" t="str">
        <f aca="false">IF(C1187="","",IFERROR(INDEX('Kit Lists'!$D$6:$D$605,MATCH(B1187&amp;"|"&amp;C1187,'Kit Lists'!$J$6:$J$605,0)),"Not on this contract's kit list"))</f>
        <v/>
      </c>
      <c r="H1187" s="83" t="str">
        <f aca="false">IF(AND(B1187="",C1187="",D1187=""),"",IF(B1187="","Missing contract",IF(C1187="","Missing code",IF(LEFT(G1187,3)="Not","Wrong code",IF(D1187="","Missing qty",IF(A1187="","Missing date",""))))))</f>
        <v/>
      </c>
      <c r="I1187" s="84" t="str">
        <f aca="false">IF(B1187=Dashboard!$D$3,ROW(),"")</f>
        <v/>
      </c>
    </row>
    <row r="1188" customFormat="false" ht="15" hidden="false" customHeight="false" outlineLevel="0" collapsed="false">
      <c r="A1188" s="80"/>
      <c r="B1188" s="71"/>
      <c r="C1188" s="71"/>
      <c r="D1188" s="81"/>
      <c r="E1188" s="71"/>
      <c r="F1188" s="71"/>
      <c r="G1188" s="82" t="str">
        <f aca="false">IF(C1188="","",IFERROR(INDEX('Kit Lists'!$D$6:$D$605,MATCH(B1188&amp;"|"&amp;C1188,'Kit Lists'!$J$6:$J$605,0)),"Not on this contract's kit list"))</f>
        <v/>
      </c>
      <c r="H1188" s="83" t="str">
        <f aca="false">IF(AND(B1188="",C1188="",D1188=""),"",IF(B1188="","Missing contract",IF(C1188="","Missing code",IF(LEFT(G1188,3)="Not","Wrong code",IF(D1188="","Missing qty",IF(A1188="","Missing date",""))))))</f>
        <v/>
      </c>
      <c r="I1188" s="84" t="str">
        <f aca="false">IF(B1188=Dashboard!$D$3,ROW(),"")</f>
        <v/>
      </c>
    </row>
    <row r="1189" customFormat="false" ht="15" hidden="false" customHeight="false" outlineLevel="0" collapsed="false">
      <c r="A1189" s="80"/>
      <c r="B1189" s="71"/>
      <c r="C1189" s="71"/>
      <c r="D1189" s="81"/>
      <c r="E1189" s="71"/>
      <c r="F1189" s="71"/>
      <c r="G1189" s="82" t="str">
        <f aca="false">IF(C1189="","",IFERROR(INDEX('Kit Lists'!$D$6:$D$605,MATCH(B1189&amp;"|"&amp;C1189,'Kit Lists'!$J$6:$J$605,0)),"Not on this contract's kit list"))</f>
        <v/>
      </c>
      <c r="H1189" s="83" t="str">
        <f aca="false">IF(AND(B1189="",C1189="",D1189=""),"",IF(B1189="","Missing contract",IF(C1189="","Missing code",IF(LEFT(G1189,3)="Not","Wrong code",IF(D1189="","Missing qty",IF(A1189="","Missing date",""))))))</f>
        <v/>
      </c>
      <c r="I1189" s="84" t="str">
        <f aca="false">IF(B1189=Dashboard!$D$3,ROW(),"")</f>
        <v/>
      </c>
    </row>
    <row r="1190" customFormat="false" ht="15" hidden="false" customHeight="false" outlineLevel="0" collapsed="false">
      <c r="A1190" s="80"/>
      <c r="B1190" s="71"/>
      <c r="C1190" s="71"/>
      <c r="D1190" s="81"/>
      <c r="E1190" s="71"/>
      <c r="F1190" s="71"/>
      <c r="G1190" s="82" t="str">
        <f aca="false">IF(C1190="","",IFERROR(INDEX('Kit Lists'!$D$6:$D$605,MATCH(B1190&amp;"|"&amp;C1190,'Kit Lists'!$J$6:$J$605,0)),"Not on this contract's kit list"))</f>
        <v/>
      </c>
      <c r="H1190" s="83" t="str">
        <f aca="false">IF(AND(B1190="",C1190="",D1190=""),"",IF(B1190="","Missing contract",IF(C1190="","Missing code",IF(LEFT(G1190,3)="Not","Wrong code",IF(D1190="","Missing qty",IF(A1190="","Missing date",""))))))</f>
        <v/>
      </c>
      <c r="I1190" s="84" t="str">
        <f aca="false">IF(B1190=Dashboard!$D$3,ROW(),"")</f>
        <v/>
      </c>
    </row>
    <row r="1191" customFormat="false" ht="15" hidden="false" customHeight="false" outlineLevel="0" collapsed="false">
      <c r="A1191" s="80"/>
      <c r="B1191" s="71"/>
      <c r="C1191" s="71"/>
      <c r="D1191" s="81"/>
      <c r="E1191" s="71"/>
      <c r="F1191" s="71"/>
      <c r="G1191" s="82" t="str">
        <f aca="false">IF(C1191="","",IFERROR(INDEX('Kit Lists'!$D$6:$D$605,MATCH(B1191&amp;"|"&amp;C1191,'Kit Lists'!$J$6:$J$605,0)),"Not on this contract's kit list"))</f>
        <v/>
      </c>
      <c r="H1191" s="83" t="str">
        <f aca="false">IF(AND(B1191="",C1191="",D1191=""),"",IF(B1191="","Missing contract",IF(C1191="","Missing code",IF(LEFT(G1191,3)="Not","Wrong code",IF(D1191="","Missing qty",IF(A1191="","Missing date",""))))))</f>
        <v/>
      </c>
      <c r="I1191" s="84" t="str">
        <f aca="false">IF(B1191=Dashboard!$D$3,ROW(),"")</f>
        <v/>
      </c>
    </row>
    <row r="1192" customFormat="false" ht="15" hidden="false" customHeight="false" outlineLevel="0" collapsed="false">
      <c r="A1192" s="80"/>
      <c r="B1192" s="71"/>
      <c r="C1192" s="71"/>
      <c r="D1192" s="81"/>
      <c r="E1192" s="71"/>
      <c r="F1192" s="71"/>
      <c r="G1192" s="82" t="str">
        <f aca="false">IF(C1192="","",IFERROR(INDEX('Kit Lists'!$D$6:$D$605,MATCH(B1192&amp;"|"&amp;C1192,'Kit Lists'!$J$6:$J$605,0)),"Not on this contract's kit list"))</f>
        <v/>
      </c>
      <c r="H1192" s="83" t="str">
        <f aca="false">IF(AND(B1192="",C1192="",D1192=""),"",IF(B1192="","Missing contract",IF(C1192="","Missing code",IF(LEFT(G1192,3)="Not","Wrong code",IF(D1192="","Missing qty",IF(A1192="","Missing date",""))))))</f>
        <v/>
      </c>
      <c r="I1192" s="84" t="str">
        <f aca="false">IF(B1192=Dashboard!$D$3,ROW(),"")</f>
        <v/>
      </c>
    </row>
    <row r="1193" customFormat="false" ht="15" hidden="false" customHeight="false" outlineLevel="0" collapsed="false">
      <c r="A1193" s="80"/>
      <c r="B1193" s="71"/>
      <c r="C1193" s="71"/>
      <c r="D1193" s="81"/>
      <c r="E1193" s="71"/>
      <c r="F1193" s="71"/>
      <c r="G1193" s="82" t="str">
        <f aca="false">IF(C1193="","",IFERROR(INDEX('Kit Lists'!$D$6:$D$605,MATCH(B1193&amp;"|"&amp;C1193,'Kit Lists'!$J$6:$J$605,0)),"Not on this contract's kit list"))</f>
        <v/>
      </c>
      <c r="H1193" s="83" t="str">
        <f aca="false">IF(AND(B1193="",C1193="",D1193=""),"",IF(B1193="","Missing contract",IF(C1193="","Missing code",IF(LEFT(G1193,3)="Not","Wrong code",IF(D1193="","Missing qty",IF(A1193="","Missing date",""))))))</f>
        <v/>
      </c>
      <c r="I1193" s="84" t="str">
        <f aca="false">IF(B1193=Dashboard!$D$3,ROW(),"")</f>
        <v/>
      </c>
    </row>
    <row r="1194" customFormat="false" ht="15" hidden="false" customHeight="false" outlineLevel="0" collapsed="false">
      <c r="A1194" s="80"/>
      <c r="B1194" s="71"/>
      <c r="C1194" s="71"/>
      <c r="D1194" s="81"/>
      <c r="E1194" s="71"/>
      <c r="F1194" s="71"/>
      <c r="G1194" s="82" t="str">
        <f aca="false">IF(C1194="","",IFERROR(INDEX('Kit Lists'!$D$6:$D$605,MATCH(B1194&amp;"|"&amp;C1194,'Kit Lists'!$J$6:$J$605,0)),"Not on this contract's kit list"))</f>
        <v/>
      </c>
      <c r="H1194" s="83" t="str">
        <f aca="false">IF(AND(B1194="",C1194="",D1194=""),"",IF(B1194="","Missing contract",IF(C1194="","Missing code",IF(LEFT(G1194,3)="Not","Wrong code",IF(D1194="","Missing qty",IF(A1194="","Missing date",""))))))</f>
        <v/>
      </c>
      <c r="I1194" s="84" t="str">
        <f aca="false">IF(B1194=Dashboard!$D$3,ROW(),"")</f>
        <v/>
      </c>
    </row>
    <row r="1195" customFormat="false" ht="15" hidden="false" customHeight="false" outlineLevel="0" collapsed="false">
      <c r="A1195" s="80"/>
      <c r="B1195" s="71"/>
      <c r="C1195" s="71"/>
      <c r="D1195" s="81"/>
      <c r="E1195" s="71"/>
      <c r="F1195" s="71"/>
      <c r="G1195" s="82" t="str">
        <f aca="false">IF(C1195="","",IFERROR(INDEX('Kit Lists'!$D$6:$D$605,MATCH(B1195&amp;"|"&amp;C1195,'Kit Lists'!$J$6:$J$605,0)),"Not on this contract's kit list"))</f>
        <v/>
      </c>
      <c r="H1195" s="83" t="str">
        <f aca="false">IF(AND(B1195="",C1195="",D1195=""),"",IF(B1195="","Missing contract",IF(C1195="","Missing code",IF(LEFT(G1195,3)="Not","Wrong code",IF(D1195="","Missing qty",IF(A1195="","Missing date",""))))))</f>
        <v/>
      </c>
      <c r="I1195" s="84" t="str">
        <f aca="false">IF(B1195=Dashboard!$D$3,ROW(),"")</f>
        <v/>
      </c>
    </row>
    <row r="1196" customFormat="false" ht="15" hidden="false" customHeight="false" outlineLevel="0" collapsed="false">
      <c r="A1196" s="80"/>
      <c r="B1196" s="71"/>
      <c r="C1196" s="71"/>
      <c r="D1196" s="81"/>
      <c r="E1196" s="71"/>
      <c r="F1196" s="71"/>
      <c r="G1196" s="82" t="str">
        <f aca="false">IF(C1196="","",IFERROR(INDEX('Kit Lists'!$D$6:$D$605,MATCH(B1196&amp;"|"&amp;C1196,'Kit Lists'!$J$6:$J$605,0)),"Not on this contract's kit list"))</f>
        <v/>
      </c>
      <c r="H1196" s="83" t="str">
        <f aca="false">IF(AND(B1196="",C1196="",D1196=""),"",IF(B1196="","Missing contract",IF(C1196="","Missing code",IF(LEFT(G1196,3)="Not","Wrong code",IF(D1196="","Missing qty",IF(A1196="","Missing date",""))))))</f>
        <v/>
      </c>
      <c r="I1196" s="84" t="str">
        <f aca="false">IF(B1196=Dashboard!$D$3,ROW(),"")</f>
        <v/>
      </c>
    </row>
    <row r="1197" customFormat="false" ht="15" hidden="false" customHeight="false" outlineLevel="0" collapsed="false">
      <c r="A1197" s="80"/>
      <c r="B1197" s="71"/>
      <c r="C1197" s="71"/>
      <c r="D1197" s="81"/>
      <c r="E1197" s="71"/>
      <c r="F1197" s="71"/>
      <c r="G1197" s="82" t="str">
        <f aca="false">IF(C1197="","",IFERROR(INDEX('Kit Lists'!$D$6:$D$605,MATCH(B1197&amp;"|"&amp;C1197,'Kit Lists'!$J$6:$J$605,0)),"Not on this contract's kit list"))</f>
        <v/>
      </c>
      <c r="H1197" s="83" t="str">
        <f aca="false">IF(AND(B1197="",C1197="",D1197=""),"",IF(B1197="","Missing contract",IF(C1197="","Missing code",IF(LEFT(G1197,3)="Not","Wrong code",IF(D1197="","Missing qty",IF(A1197="","Missing date",""))))))</f>
        <v/>
      </c>
      <c r="I1197" s="84" t="str">
        <f aca="false">IF(B1197=Dashboard!$D$3,ROW(),"")</f>
        <v/>
      </c>
    </row>
    <row r="1198" customFormat="false" ht="15" hidden="false" customHeight="false" outlineLevel="0" collapsed="false">
      <c r="A1198" s="80"/>
      <c r="B1198" s="71"/>
      <c r="C1198" s="71"/>
      <c r="D1198" s="81"/>
      <c r="E1198" s="71"/>
      <c r="F1198" s="71"/>
      <c r="G1198" s="82" t="str">
        <f aca="false">IF(C1198="","",IFERROR(INDEX('Kit Lists'!$D$6:$D$605,MATCH(B1198&amp;"|"&amp;C1198,'Kit Lists'!$J$6:$J$605,0)),"Not on this contract's kit list"))</f>
        <v/>
      </c>
      <c r="H1198" s="83" t="str">
        <f aca="false">IF(AND(B1198="",C1198="",D1198=""),"",IF(B1198="","Missing contract",IF(C1198="","Missing code",IF(LEFT(G1198,3)="Not","Wrong code",IF(D1198="","Missing qty",IF(A1198="","Missing date",""))))))</f>
        <v/>
      </c>
      <c r="I1198" s="84" t="str">
        <f aca="false">IF(B1198=Dashboard!$D$3,ROW(),"")</f>
        <v/>
      </c>
    </row>
    <row r="1199" customFormat="false" ht="15" hidden="false" customHeight="false" outlineLevel="0" collapsed="false">
      <c r="A1199" s="80"/>
      <c r="B1199" s="71"/>
      <c r="C1199" s="71"/>
      <c r="D1199" s="81"/>
      <c r="E1199" s="71"/>
      <c r="F1199" s="71"/>
      <c r="G1199" s="82" t="str">
        <f aca="false">IF(C1199="","",IFERROR(INDEX('Kit Lists'!$D$6:$D$605,MATCH(B1199&amp;"|"&amp;C1199,'Kit Lists'!$J$6:$J$605,0)),"Not on this contract's kit list"))</f>
        <v/>
      </c>
      <c r="H1199" s="83" t="str">
        <f aca="false">IF(AND(B1199="",C1199="",D1199=""),"",IF(B1199="","Missing contract",IF(C1199="","Missing code",IF(LEFT(G1199,3)="Not","Wrong code",IF(D1199="","Missing qty",IF(A1199="","Missing date",""))))))</f>
        <v/>
      </c>
      <c r="I1199" s="84" t="str">
        <f aca="false">IF(B1199=Dashboard!$D$3,ROW(),"")</f>
        <v/>
      </c>
    </row>
    <row r="1200" customFormat="false" ht="15" hidden="false" customHeight="false" outlineLevel="0" collapsed="false">
      <c r="A1200" s="80"/>
      <c r="B1200" s="71"/>
      <c r="C1200" s="71"/>
      <c r="D1200" s="81"/>
      <c r="E1200" s="71"/>
      <c r="F1200" s="71"/>
      <c r="G1200" s="82" t="str">
        <f aca="false">IF(C1200="","",IFERROR(INDEX('Kit Lists'!$D$6:$D$605,MATCH(B1200&amp;"|"&amp;C1200,'Kit Lists'!$J$6:$J$605,0)),"Not on this contract's kit list"))</f>
        <v/>
      </c>
      <c r="H1200" s="83" t="str">
        <f aca="false">IF(AND(B1200="",C1200="",D1200=""),"",IF(B1200="","Missing contract",IF(C1200="","Missing code",IF(LEFT(G1200,3)="Not","Wrong code",IF(D1200="","Missing qty",IF(A1200="","Missing date",""))))))</f>
        <v/>
      </c>
      <c r="I1200" s="84" t="str">
        <f aca="false">IF(B1200=Dashboard!$D$3,ROW(),"")</f>
        <v/>
      </c>
    </row>
    <row r="1201" customFormat="false" ht="15" hidden="false" customHeight="false" outlineLevel="0" collapsed="false">
      <c r="A1201" s="80"/>
      <c r="B1201" s="71"/>
      <c r="C1201" s="71"/>
      <c r="D1201" s="81"/>
      <c r="E1201" s="71"/>
      <c r="F1201" s="71"/>
      <c r="G1201" s="82" t="str">
        <f aca="false">IF(C1201="","",IFERROR(INDEX('Kit Lists'!$D$6:$D$605,MATCH(B1201&amp;"|"&amp;C1201,'Kit Lists'!$J$6:$J$605,0)),"Not on this contract's kit list"))</f>
        <v/>
      </c>
      <c r="H1201" s="83" t="str">
        <f aca="false">IF(AND(B1201="",C1201="",D1201=""),"",IF(B1201="","Missing contract",IF(C1201="","Missing code",IF(LEFT(G1201,3)="Not","Wrong code",IF(D1201="","Missing qty",IF(A1201="","Missing date",""))))))</f>
        <v/>
      </c>
      <c r="I1201" s="84" t="str">
        <f aca="false">IF(B1201=Dashboard!$D$3,ROW(),"")</f>
        <v/>
      </c>
    </row>
    <row r="1202" customFormat="false" ht="15" hidden="false" customHeight="false" outlineLevel="0" collapsed="false">
      <c r="A1202" s="80"/>
      <c r="B1202" s="71"/>
      <c r="C1202" s="71"/>
      <c r="D1202" s="81"/>
      <c r="E1202" s="71"/>
      <c r="F1202" s="71"/>
      <c r="G1202" s="82" t="str">
        <f aca="false">IF(C1202="","",IFERROR(INDEX('Kit Lists'!$D$6:$D$605,MATCH(B1202&amp;"|"&amp;C1202,'Kit Lists'!$J$6:$J$605,0)),"Not on this contract's kit list"))</f>
        <v/>
      </c>
      <c r="H1202" s="83" t="str">
        <f aca="false">IF(AND(B1202="",C1202="",D1202=""),"",IF(B1202="","Missing contract",IF(C1202="","Missing code",IF(LEFT(G1202,3)="Not","Wrong code",IF(D1202="","Missing qty",IF(A1202="","Missing date",""))))))</f>
        <v/>
      </c>
      <c r="I1202" s="84" t="str">
        <f aca="false">IF(B1202=Dashboard!$D$3,ROW(),"")</f>
        <v/>
      </c>
    </row>
    <row r="1203" customFormat="false" ht="15" hidden="false" customHeight="false" outlineLevel="0" collapsed="false">
      <c r="A1203" s="80"/>
      <c r="B1203" s="71"/>
      <c r="C1203" s="71"/>
      <c r="D1203" s="81"/>
      <c r="E1203" s="71"/>
      <c r="F1203" s="71"/>
      <c r="G1203" s="82" t="str">
        <f aca="false">IF(C1203="","",IFERROR(INDEX('Kit Lists'!$D$6:$D$605,MATCH(B1203&amp;"|"&amp;C1203,'Kit Lists'!$J$6:$J$605,0)),"Not on this contract's kit list"))</f>
        <v/>
      </c>
      <c r="H1203" s="83" t="str">
        <f aca="false">IF(AND(B1203="",C1203="",D1203=""),"",IF(B1203="","Missing contract",IF(C1203="","Missing code",IF(LEFT(G1203,3)="Not","Wrong code",IF(D1203="","Missing qty",IF(A1203="","Missing date",""))))))</f>
        <v/>
      </c>
      <c r="I1203" s="84" t="str">
        <f aca="false">IF(B1203=Dashboard!$D$3,ROW(),"")</f>
        <v/>
      </c>
    </row>
    <row r="1204" customFormat="false" ht="15" hidden="false" customHeight="false" outlineLevel="0" collapsed="false">
      <c r="A1204" s="80"/>
      <c r="B1204" s="71"/>
      <c r="C1204" s="71"/>
      <c r="D1204" s="81"/>
      <c r="E1204" s="71"/>
      <c r="F1204" s="71"/>
      <c r="G1204" s="82" t="str">
        <f aca="false">IF(C1204="","",IFERROR(INDEX('Kit Lists'!$D$6:$D$605,MATCH(B1204&amp;"|"&amp;C1204,'Kit Lists'!$J$6:$J$605,0)),"Not on this contract's kit list"))</f>
        <v/>
      </c>
      <c r="H1204" s="83" t="str">
        <f aca="false">IF(AND(B1204="",C1204="",D1204=""),"",IF(B1204="","Missing contract",IF(C1204="","Missing code",IF(LEFT(G1204,3)="Not","Wrong code",IF(D1204="","Missing qty",IF(A1204="","Missing date",""))))))</f>
        <v/>
      </c>
      <c r="I1204" s="84" t="str">
        <f aca="false">IF(B1204=Dashboard!$D$3,ROW(),"")</f>
        <v/>
      </c>
    </row>
    <row r="1205" customFormat="false" ht="15" hidden="false" customHeight="false" outlineLevel="0" collapsed="false">
      <c r="A1205" s="80"/>
      <c r="B1205" s="71"/>
      <c r="C1205" s="71"/>
      <c r="D1205" s="81"/>
      <c r="E1205" s="71"/>
      <c r="F1205" s="71"/>
      <c r="G1205" s="82" t="str">
        <f aca="false">IF(C1205="","",IFERROR(INDEX('Kit Lists'!$D$6:$D$605,MATCH(B1205&amp;"|"&amp;C1205,'Kit Lists'!$J$6:$J$605,0)),"Not on this contract's kit list"))</f>
        <v/>
      </c>
      <c r="H1205" s="83" t="str">
        <f aca="false">IF(AND(B1205="",C1205="",D1205=""),"",IF(B1205="","Missing contract",IF(C1205="","Missing code",IF(LEFT(G1205,3)="Not","Wrong code",IF(D1205="","Missing qty",IF(A1205="","Missing date",""))))))</f>
        <v/>
      </c>
      <c r="I1205" s="84" t="str">
        <f aca="false">IF(B1205=Dashboard!$D$3,ROW(),"")</f>
        <v/>
      </c>
    </row>
    <row r="1206" customFormat="false" ht="15" hidden="false" customHeight="false" outlineLevel="0" collapsed="false">
      <c r="A1206" s="80"/>
      <c r="B1206" s="71"/>
      <c r="C1206" s="71"/>
      <c r="D1206" s="81"/>
      <c r="E1206" s="71"/>
      <c r="F1206" s="71"/>
      <c r="G1206" s="82" t="str">
        <f aca="false">IF(C1206="","",IFERROR(INDEX('Kit Lists'!$D$6:$D$605,MATCH(B1206&amp;"|"&amp;C1206,'Kit Lists'!$J$6:$J$605,0)),"Not on this contract's kit list"))</f>
        <v/>
      </c>
      <c r="H1206" s="83" t="str">
        <f aca="false">IF(AND(B1206="",C1206="",D1206=""),"",IF(B1206="","Missing contract",IF(C1206="","Missing code",IF(LEFT(G1206,3)="Not","Wrong code",IF(D1206="","Missing qty",IF(A1206="","Missing date",""))))))</f>
        <v/>
      </c>
      <c r="I1206" s="84" t="str">
        <f aca="false">IF(B1206=Dashboard!$D$3,ROW(),"")</f>
        <v/>
      </c>
    </row>
    <row r="1207" customFormat="false" ht="15" hidden="false" customHeight="false" outlineLevel="0" collapsed="false">
      <c r="A1207" s="80"/>
      <c r="B1207" s="71"/>
      <c r="C1207" s="71"/>
      <c r="D1207" s="81"/>
      <c r="E1207" s="71"/>
      <c r="F1207" s="71"/>
      <c r="G1207" s="82" t="str">
        <f aca="false">IF(C1207="","",IFERROR(INDEX('Kit Lists'!$D$6:$D$605,MATCH(B1207&amp;"|"&amp;C1207,'Kit Lists'!$J$6:$J$605,0)),"Not on this contract's kit list"))</f>
        <v/>
      </c>
      <c r="H1207" s="83" t="str">
        <f aca="false">IF(AND(B1207="",C1207="",D1207=""),"",IF(B1207="","Missing contract",IF(C1207="","Missing code",IF(LEFT(G1207,3)="Not","Wrong code",IF(D1207="","Missing qty",IF(A1207="","Missing date",""))))))</f>
        <v/>
      </c>
      <c r="I1207" s="84" t="str">
        <f aca="false">IF(B1207=Dashboard!$D$3,ROW(),"")</f>
        <v/>
      </c>
    </row>
    <row r="1208" customFormat="false" ht="15" hidden="false" customHeight="false" outlineLevel="0" collapsed="false">
      <c r="A1208" s="80"/>
      <c r="B1208" s="71"/>
      <c r="C1208" s="71"/>
      <c r="D1208" s="81"/>
      <c r="E1208" s="71"/>
      <c r="F1208" s="71"/>
      <c r="G1208" s="82" t="str">
        <f aca="false">IF(C1208="","",IFERROR(INDEX('Kit Lists'!$D$6:$D$605,MATCH(B1208&amp;"|"&amp;C1208,'Kit Lists'!$J$6:$J$605,0)),"Not on this contract's kit list"))</f>
        <v/>
      </c>
      <c r="H1208" s="83" t="str">
        <f aca="false">IF(AND(B1208="",C1208="",D1208=""),"",IF(B1208="","Missing contract",IF(C1208="","Missing code",IF(LEFT(G1208,3)="Not","Wrong code",IF(D1208="","Missing qty",IF(A1208="","Missing date",""))))))</f>
        <v/>
      </c>
      <c r="I1208" s="84" t="str">
        <f aca="false">IF(B1208=Dashboard!$D$3,ROW(),"")</f>
        <v/>
      </c>
    </row>
    <row r="1209" customFormat="false" ht="15" hidden="false" customHeight="false" outlineLevel="0" collapsed="false">
      <c r="A1209" s="80"/>
      <c r="B1209" s="71"/>
      <c r="C1209" s="71"/>
      <c r="D1209" s="81"/>
      <c r="E1209" s="71"/>
      <c r="F1209" s="71"/>
      <c r="G1209" s="82" t="str">
        <f aca="false">IF(C1209="","",IFERROR(INDEX('Kit Lists'!$D$6:$D$605,MATCH(B1209&amp;"|"&amp;C1209,'Kit Lists'!$J$6:$J$605,0)),"Not on this contract's kit list"))</f>
        <v/>
      </c>
      <c r="H1209" s="83" t="str">
        <f aca="false">IF(AND(B1209="",C1209="",D1209=""),"",IF(B1209="","Missing contract",IF(C1209="","Missing code",IF(LEFT(G1209,3)="Not","Wrong code",IF(D1209="","Missing qty",IF(A1209="","Missing date",""))))))</f>
        <v/>
      </c>
      <c r="I1209" s="84" t="str">
        <f aca="false">IF(B1209=Dashboard!$D$3,ROW(),"")</f>
        <v/>
      </c>
    </row>
    <row r="1210" customFormat="false" ht="15" hidden="false" customHeight="false" outlineLevel="0" collapsed="false">
      <c r="A1210" s="80"/>
      <c r="B1210" s="71"/>
      <c r="C1210" s="71"/>
      <c r="D1210" s="81"/>
      <c r="E1210" s="71"/>
      <c r="F1210" s="71"/>
      <c r="G1210" s="82" t="str">
        <f aca="false">IF(C1210="","",IFERROR(INDEX('Kit Lists'!$D$6:$D$605,MATCH(B1210&amp;"|"&amp;C1210,'Kit Lists'!$J$6:$J$605,0)),"Not on this contract's kit list"))</f>
        <v/>
      </c>
      <c r="H1210" s="83" t="str">
        <f aca="false">IF(AND(B1210="",C1210="",D1210=""),"",IF(B1210="","Missing contract",IF(C1210="","Missing code",IF(LEFT(G1210,3)="Not","Wrong code",IF(D1210="","Missing qty",IF(A1210="","Missing date",""))))))</f>
        <v/>
      </c>
      <c r="I1210" s="84" t="str">
        <f aca="false">IF(B1210=Dashboard!$D$3,ROW(),"")</f>
        <v/>
      </c>
    </row>
    <row r="1211" customFormat="false" ht="15" hidden="false" customHeight="false" outlineLevel="0" collapsed="false">
      <c r="A1211" s="80"/>
      <c r="B1211" s="71"/>
      <c r="C1211" s="71"/>
      <c r="D1211" s="81"/>
      <c r="E1211" s="71"/>
      <c r="F1211" s="71"/>
      <c r="G1211" s="82" t="str">
        <f aca="false">IF(C1211="","",IFERROR(INDEX('Kit Lists'!$D$6:$D$605,MATCH(B1211&amp;"|"&amp;C1211,'Kit Lists'!$J$6:$J$605,0)),"Not on this contract's kit list"))</f>
        <v/>
      </c>
      <c r="H1211" s="83" t="str">
        <f aca="false">IF(AND(B1211="",C1211="",D1211=""),"",IF(B1211="","Missing contract",IF(C1211="","Missing code",IF(LEFT(G1211,3)="Not","Wrong code",IF(D1211="","Missing qty",IF(A1211="","Missing date",""))))))</f>
        <v/>
      </c>
      <c r="I1211" s="84" t="str">
        <f aca="false">IF(B1211=Dashboard!$D$3,ROW(),"")</f>
        <v/>
      </c>
    </row>
    <row r="1212" customFormat="false" ht="15" hidden="false" customHeight="false" outlineLevel="0" collapsed="false">
      <c r="A1212" s="80"/>
      <c r="B1212" s="71"/>
      <c r="C1212" s="71"/>
      <c r="D1212" s="81"/>
      <c r="E1212" s="71"/>
      <c r="F1212" s="71"/>
      <c r="G1212" s="82" t="str">
        <f aca="false">IF(C1212="","",IFERROR(INDEX('Kit Lists'!$D$6:$D$605,MATCH(B1212&amp;"|"&amp;C1212,'Kit Lists'!$J$6:$J$605,0)),"Not on this contract's kit list"))</f>
        <v/>
      </c>
      <c r="H1212" s="83" t="str">
        <f aca="false">IF(AND(B1212="",C1212="",D1212=""),"",IF(B1212="","Missing contract",IF(C1212="","Missing code",IF(LEFT(G1212,3)="Not","Wrong code",IF(D1212="","Missing qty",IF(A1212="","Missing date",""))))))</f>
        <v/>
      </c>
      <c r="I1212" s="84" t="str">
        <f aca="false">IF(B1212=Dashboard!$D$3,ROW(),"")</f>
        <v/>
      </c>
    </row>
    <row r="1213" customFormat="false" ht="15" hidden="false" customHeight="false" outlineLevel="0" collapsed="false">
      <c r="A1213" s="80"/>
      <c r="B1213" s="71"/>
      <c r="C1213" s="71"/>
      <c r="D1213" s="81"/>
      <c r="E1213" s="71"/>
      <c r="F1213" s="71"/>
      <c r="G1213" s="82" t="str">
        <f aca="false">IF(C1213="","",IFERROR(INDEX('Kit Lists'!$D$6:$D$605,MATCH(B1213&amp;"|"&amp;C1213,'Kit Lists'!$J$6:$J$605,0)),"Not on this contract's kit list"))</f>
        <v/>
      </c>
      <c r="H1213" s="83" t="str">
        <f aca="false">IF(AND(B1213="",C1213="",D1213=""),"",IF(B1213="","Missing contract",IF(C1213="","Missing code",IF(LEFT(G1213,3)="Not","Wrong code",IF(D1213="","Missing qty",IF(A1213="","Missing date",""))))))</f>
        <v/>
      </c>
      <c r="I1213" s="84" t="str">
        <f aca="false">IF(B1213=Dashboard!$D$3,ROW(),"")</f>
        <v/>
      </c>
    </row>
    <row r="1214" customFormat="false" ht="15" hidden="false" customHeight="false" outlineLevel="0" collapsed="false">
      <c r="A1214" s="80"/>
      <c r="B1214" s="71"/>
      <c r="C1214" s="71"/>
      <c r="D1214" s="81"/>
      <c r="E1214" s="71"/>
      <c r="F1214" s="71"/>
      <c r="G1214" s="82" t="str">
        <f aca="false">IF(C1214="","",IFERROR(INDEX('Kit Lists'!$D$6:$D$605,MATCH(B1214&amp;"|"&amp;C1214,'Kit Lists'!$J$6:$J$605,0)),"Not on this contract's kit list"))</f>
        <v/>
      </c>
      <c r="H1214" s="83" t="str">
        <f aca="false">IF(AND(B1214="",C1214="",D1214=""),"",IF(B1214="","Missing contract",IF(C1214="","Missing code",IF(LEFT(G1214,3)="Not","Wrong code",IF(D1214="","Missing qty",IF(A1214="","Missing date",""))))))</f>
        <v/>
      </c>
      <c r="I1214" s="84" t="str">
        <f aca="false">IF(B1214=Dashboard!$D$3,ROW(),"")</f>
        <v/>
      </c>
    </row>
    <row r="1215" customFormat="false" ht="15" hidden="false" customHeight="false" outlineLevel="0" collapsed="false">
      <c r="A1215" s="80"/>
      <c r="B1215" s="71"/>
      <c r="C1215" s="71"/>
      <c r="D1215" s="81"/>
      <c r="E1215" s="71"/>
      <c r="F1215" s="71"/>
      <c r="G1215" s="82" t="str">
        <f aca="false">IF(C1215="","",IFERROR(INDEX('Kit Lists'!$D$6:$D$605,MATCH(B1215&amp;"|"&amp;C1215,'Kit Lists'!$J$6:$J$605,0)),"Not on this contract's kit list"))</f>
        <v/>
      </c>
      <c r="H1215" s="83" t="str">
        <f aca="false">IF(AND(B1215="",C1215="",D1215=""),"",IF(B1215="","Missing contract",IF(C1215="","Missing code",IF(LEFT(G1215,3)="Not","Wrong code",IF(D1215="","Missing qty",IF(A1215="","Missing date",""))))))</f>
        <v/>
      </c>
      <c r="I1215" s="84" t="str">
        <f aca="false">IF(B1215=Dashboard!$D$3,ROW(),"")</f>
        <v/>
      </c>
    </row>
    <row r="1216" customFormat="false" ht="15" hidden="false" customHeight="false" outlineLevel="0" collapsed="false">
      <c r="A1216" s="80"/>
      <c r="B1216" s="71"/>
      <c r="C1216" s="71"/>
      <c r="D1216" s="81"/>
      <c r="E1216" s="71"/>
      <c r="F1216" s="71"/>
      <c r="G1216" s="82" t="str">
        <f aca="false">IF(C1216="","",IFERROR(INDEX('Kit Lists'!$D$6:$D$605,MATCH(B1216&amp;"|"&amp;C1216,'Kit Lists'!$J$6:$J$605,0)),"Not on this contract's kit list"))</f>
        <v/>
      </c>
      <c r="H1216" s="83" t="str">
        <f aca="false">IF(AND(B1216="",C1216="",D1216=""),"",IF(B1216="","Missing contract",IF(C1216="","Missing code",IF(LEFT(G1216,3)="Not","Wrong code",IF(D1216="","Missing qty",IF(A1216="","Missing date",""))))))</f>
        <v/>
      </c>
      <c r="I1216" s="84" t="str">
        <f aca="false">IF(B1216=Dashboard!$D$3,ROW(),"")</f>
        <v/>
      </c>
    </row>
    <row r="1217" customFormat="false" ht="15" hidden="false" customHeight="false" outlineLevel="0" collapsed="false">
      <c r="A1217" s="80"/>
      <c r="B1217" s="71"/>
      <c r="C1217" s="71"/>
      <c r="D1217" s="81"/>
      <c r="E1217" s="71"/>
      <c r="F1217" s="71"/>
      <c r="G1217" s="82" t="str">
        <f aca="false">IF(C1217="","",IFERROR(INDEX('Kit Lists'!$D$6:$D$605,MATCH(B1217&amp;"|"&amp;C1217,'Kit Lists'!$J$6:$J$605,0)),"Not on this contract's kit list"))</f>
        <v/>
      </c>
      <c r="H1217" s="83" t="str">
        <f aca="false">IF(AND(B1217="",C1217="",D1217=""),"",IF(B1217="","Missing contract",IF(C1217="","Missing code",IF(LEFT(G1217,3)="Not","Wrong code",IF(D1217="","Missing qty",IF(A1217="","Missing date",""))))))</f>
        <v/>
      </c>
      <c r="I1217" s="84" t="str">
        <f aca="false">IF(B1217=Dashboard!$D$3,ROW(),"")</f>
        <v/>
      </c>
    </row>
    <row r="1218" customFormat="false" ht="15" hidden="false" customHeight="false" outlineLevel="0" collapsed="false">
      <c r="A1218" s="80"/>
      <c r="B1218" s="71"/>
      <c r="C1218" s="71"/>
      <c r="D1218" s="81"/>
      <c r="E1218" s="71"/>
      <c r="F1218" s="71"/>
      <c r="G1218" s="82" t="str">
        <f aca="false">IF(C1218="","",IFERROR(INDEX('Kit Lists'!$D$6:$D$605,MATCH(B1218&amp;"|"&amp;C1218,'Kit Lists'!$J$6:$J$605,0)),"Not on this contract's kit list"))</f>
        <v/>
      </c>
      <c r="H1218" s="83" t="str">
        <f aca="false">IF(AND(B1218="",C1218="",D1218=""),"",IF(B1218="","Missing contract",IF(C1218="","Missing code",IF(LEFT(G1218,3)="Not","Wrong code",IF(D1218="","Missing qty",IF(A1218="","Missing date",""))))))</f>
        <v/>
      </c>
      <c r="I1218" s="84" t="str">
        <f aca="false">IF(B1218=Dashboard!$D$3,ROW(),"")</f>
        <v/>
      </c>
    </row>
    <row r="1219" customFormat="false" ht="15" hidden="false" customHeight="false" outlineLevel="0" collapsed="false">
      <c r="A1219" s="80"/>
      <c r="B1219" s="71"/>
      <c r="C1219" s="71"/>
      <c r="D1219" s="81"/>
      <c r="E1219" s="71"/>
      <c r="F1219" s="71"/>
      <c r="G1219" s="82" t="str">
        <f aca="false">IF(C1219="","",IFERROR(INDEX('Kit Lists'!$D$6:$D$605,MATCH(B1219&amp;"|"&amp;C1219,'Kit Lists'!$J$6:$J$605,0)),"Not on this contract's kit list"))</f>
        <v/>
      </c>
      <c r="H1219" s="83" t="str">
        <f aca="false">IF(AND(B1219="",C1219="",D1219=""),"",IF(B1219="","Missing contract",IF(C1219="","Missing code",IF(LEFT(G1219,3)="Not","Wrong code",IF(D1219="","Missing qty",IF(A1219="","Missing date",""))))))</f>
        <v/>
      </c>
      <c r="I1219" s="84" t="str">
        <f aca="false">IF(B1219=Dashboard!$D$3,ROW(),"")</f>
        <v/>
      </c>
    </row>
    <row r="1220" customFormat="false" ht="15" hidden="false" customHeight="false" outlineLevel="0" collapsed="false">
      <c r="A1220" s="80"/>
      <c r="B1220" s="71"/>
      <c r="C1220" s="71"/>
      <c r="D1220" s="81"/>
      <c r="E1220" s="71"/>
      <c r="F1220" s="71"/>
      <c r="G1220" s="82" t="str">
        <f aca="false">IF(C1220="","",IFERROR(INDEX('Kit Lists'!$D$6:$D$605,MATCH(B1220&amp;"|"&amp;C1220,'Kit Lists'!$J$6:$J$605,0)),"Not on this contract's kit list"))</f>
        <v/>
      </c>
      <c r="H1220" s="83" t="str">
        <f aca="false">IF(AND(B1220="",C1220="",D1220=""),"",IF(B1220="","Missing contract",IF(C1220="","Missing code",IF(LEFT(G1220,3)="Not","Wrong code",IF(D1220="","Missing qty",IF(A1220="","Missing date",""))))))</f>
        <v/>
      </c>
      <c r="I1220" s="84" t="str">
        <f aca="false">IF(B1220=Dashboard!$D$3,ROW(),"")</f>
        <v/>
      </c>
    </row>
    <row r="1221" customFormat="false" ht="15" hidden="false" customHeight="false" outlineLevel="0" collapsed="false">
      <c r="A1221" s="80"/>
      <c r="B1221" s="71"/>
      <c r="C1221" s="71"/>
      <c r="D1221" s="81"/>
      <c r="E1221" s="71"/>
      <c r="F1221" s="71"/>
      <c r="G1221" s="82" t="str">
        <f aca="false">IF(C1221="","",IFERROR(INDEX('Kit Lists'!$D$6:$D$605,MATCH(B1221&amp;"|"&amp;C1221,'Kit Lists'!$J$6:$J$605,0)),"Not on this contract's kit list"))</f>
        <v/>
      </c>
      <c r="H1221" s="83" t="str">
        <f aca="false">IF(AND(B1221="",C1221="",D1221=""),"",IF(B1221="","Missing contract",IF(C1221="","Missing code",IF(LEFT(G1221,3)="Not","Wrong code",IF(D1221="","Missing qty",IF(A1221="","Missing date",""))))))</f>
        <v/>
      </c>
      <c r="I1221" s="84" t="str">
        <f aca="false">IF(B1221=Dashboard!$D$3,ROW(),"")</f>
        <v/>
      </c>
    </row>
    <row r="1222" customFormat="false" ht="15" hidden="false" customHeight="false" outlineLevel="0" collapsed="false">
      <c r="A1222" s="80"/>
      <c r="B1222" s="71"/>
      <c r="C1222" s="71"/>
      <c r="D1222" s="81"/>
      <c r="E1222" s="71"/>
      <c r="F1222" s="71"/>
      <c r="G1222" s="82" t="str">
        <f aca="false">IF(C1222="","",IFERROR(INDEX('Kit Lists'!$D$6:$D$605,MATCH(B1222&amp;"|"&amp;C1222,'Kit Lists'!$J$6:$J$605,0)),"Not on this contract's kit list"))</f>
        <v/>
      </c>
      <c r="H1222" s="83" t="str">
        <f aca="false">IF(AND(B1222="",C1222="",D1222=""),"",IF(B1222="","Missing contract",IF(C1222="","Missing code",IF(LEFT(G1222,3)="Not","Wrong code",IF(D1222="","Missing qty",IF(A1222="","Missing date",""))))))</f>
        <v/>
      </c>
      <c r="I1222" s="84" t="str">
        <f aca="false">IF(B1222=Dashboard!$D$3,ROW(),"")</f>
        <v/>
      </c>
    </row>
    <row r="1223" customFormat="false" ht="15" hidden="false" customHeight="false" outlineLevel="0" collapsed="false">
      <c r="A1223" s="80"/>
      <c r="B1223" s="71"/>
      <c r="C1223" s="71"/>
      <c r="D1223" s="81"/>
      <c r="E1223" s="71"/>
      <c r="F1223" s="71"/>
      <c r="G1223" s="82" t="str">
        <f aca="false">IF(C1223="","",IFERROR(INDEX('Kit Lists'!$D$6:$D$605,MATCH(B1223&amp;"|"&amp;C1223,'Kit Lists'!$J$6:$J$605,0)),"Not on this contract's kit list"))</f>
        <v/>
      </c>
      <c r="H1223" s="83" t="str">
        <f aca="false">IF(AND(B1223="",C1223="",D1223=""),"",IF(B1223="","Missing contract",IF(C1223="","Missing code",IF(LEFT(G1223,3)="Not","Wrong code",IF(D1223="","Missing qty",IF(A1223="","Missing date",""))))))</f>
        <v/>
      </c>
      <c r="I1223" s="84" t="str">
        <f aca="false">IF(B1223=Dashboard!$D$3,ROW(),"")</f>
        <v/>
      </c>
    </row>
    <row r="1224" customFormat="false" ht="15" hidden="false" customHeight="false" outlineLevel="0" collapsed="false">
      <c r="A1224" s="80"/>
      <c r="B1224" s="71"/>
      <c r="C1224" s="71"/>
      <c r="D1224" s="81"/>
      <c r="E1224" s="71"/>
      <c r="F1224" s="71"/>
      <c r="G1224" s="82" t="str">
        <f aca="false">IF(C1224="","",IFERROR(INDEX('Kit Lists'!$D$6:$D$605,MATCH(B1224&amp;"|"&amp;C1224,'Kit Lists'!$J$6:$J$605,0)),"Not on this contract's kit list"))</f>
        <v/>
      </c>
      <c r="H1224" s="83" t="str">
        <f aca="false">IF(AND(B1224="",C1224="",D1224=""),"",IF(B1224="","Missing contract",IF(C1224="","Missing code",IF(LEFT(G1224,3)="Not","Wrong code",IF(D1224="","Missing qty",IF(A1224="","Missing date",""))))))</f>
        <v/>
      </c>
      <c r="I1224" s="84" t="str">
        <f aca="false">IF(B1224=Dashboard!$D$3,ROW(),"")</f>
        <v/>
      </c>
    </row>
    <row r="1225" customFormat="false" ht="15" hidden="false" customHeight="false" outlineLevel="0" collapsed="false">
      <c r="A1225" s="80"/>
      <c r="B1225" s="71"/>
      <c r="C1225" s="71"/>
      <c r="D1225" s="81"/>
      <c r="E1225" s="71"/>
      <c r="F1225" s="71"/>
      <c r="G1225" s="82" t="str">
        <f aca="false">IF(C1225="","",IFERROR(INDEX('Kit Lists'!$D$6:$D$605,MATCH(B1225&amp;"|"&amp;C1225,'Kit Lists'!$J$6:$J$605,0)),"Not on this contract's kit list"))</f>
        <v/>
      </c>
      <c r="H1225" s="83" t="str">
        <f aca="false">IF(AND(B1225="",C1225="",D1225=""),"",IF(B1225="","Missing contract",IF(C1225="","Missing code",IF(LEFT(G1225,3)="Not","Wrong code",IF(D1225="","Missing qty",IF(A1225="","Missing date",""))))))</f>
        <v/>
      </c>
      <c r="I1225" s="84" t="str">
        <f aca="false">IF(B1225=Dashboard!$D$3,ROW(),"")</f>
        <v/>
      </c>
    </row>
    <row r="1226" customFormat="false" ht="15" hidden="false" customHeight="false" outlineLevel="0" collapsed="false">
      <c r="A1226" s="80"/>
      <c r="B1226" s="71"/>
      <c r="C1226" s="71"/>
      <c r="D1226" s="81"/>
      <c r="E1226" s="71"/>
      <c r="F1226" s="71"/>
      <c r="G1226" s="82" t="str">
        <f aca="false">IF(C1226="","",IFERROR(INDEX('Kit Lists'!$D$6:$D$605,MATCH(B1226&amp;"|"&amp;C1226,'Kit Lists'!$J$6:$J$605,0)),"Not on this contract's kit list"))</f>
        <v/>
      </c>
      <c r="H1226" s="83" t="str">
        <f aca="false">IF(AND(B1226="",C1226="",D1226=""),"",IF(B1226="","Missing contract",IF(C1226="","Missing code",IF(LEFT(G1226,3)="Not","Wrong code",IF(D1226="","Missing qty",IF(A1226="","Missing date",""))))))</f>
        <v/>
      </c>
      <c r="I1226" s="84" t="str">
        <f aca="false">IF(B1226=Dashboard!$D$3,ROW(),"")</f>
        <v/>
      </c>
    </row>
    <row r="1227" customFormat="false" ht="15" hidden="false" customHeight="false" outlineLevel="0" collapsed="false">
      <c r="A1227" s="80"/>
      <c r="B1227" s="71"/>
      <c r="C1227" s="71"/>
      <c r="D1227" s="81"/>
      <c r="E1227" s="71"/>
      <c r="F1227" s="71"/>
      <c r="G1227" s="82" t="str">
        <f aca="false">IF(C1227="","",IFERROR(INDEX('Kit Lists'!$D$6:$D$605,MATCH(B1227&amp;"|"&amp;C1227,'Kit Lists'!$J$6:$J$605,0)),"Not on this contract's kit list"))</f>
        <v/>
      </c>
      <c r="H1227" s="83" t="str">
        <f aca="false">IF(AND(B1227="",C1227="",D1227=""),"",IF(B1227="","Missing contract",IF(C1227="","Missing code",IF(LEFT(G1227,3)="Not","Wrong code",IF(D1227="","Missing qty",IF(A1227="","Missing date",""))))))</f>
        <v/>
      </c>
      <c r="I1227" s="84" t="str">
        <f aca="false">IF(B1227=Dashboard!$D$3,ROW(),"")</f>
        <v/>
      </c>
    </row>
    <row r="1228" customFormat="false" ht="15" hidden="false" customHeight="false" outlineLevel="0" collapsed="false">
      <c r="A1228" s="80"/>
      <c r="B1228" s="71"/>
      <c r="C1228" s="71"/>
      <c r="D1228" s="81"/>
      <c r="E1228" s="71"/>
      <c r="F1228" s="71"/>
      <c r="G1228" s="82" t="str">
        <f aca="false">IF(C1228="","",IFERROR(INDEX('Kit Lists'!$D$6:$D$605,MATCH(B1228&amp;"|"&amp;C1228,'Kit Lists'!$J$6:$J$605,0)),"Not on this contract's kit list"))</f>
        <v/>
      </c>
      <c r="H1228" s="83" t="str">
        <f aca="false">IF(AND(B1228="",C1228="",D1228=""),"",IF(B1228="","Missing contract",IF(C1228="","Missing code",IF(LEFT(G1228,3)="Not","Wrong code",IF(D1228="","Missing qty",IF(A1228="","Missing date",""))))))</f>
        <v/>
      </c>
      <c r="I1228" s="84" t="str">
        <f aca="false">IF(B1228=Dashboard!$D$3,ROW(),"")</f>
        <v/>
      </c>
    </row>
    <row r="1229" customFormat="false" ht="15" hidden="false" customHeight="false" outlineLevel="0" collapsed="false">
      <c r="A1229" s="80"/>
      <c r="B1229" s="71"/>
      <c r="C1229" s="71"/>
      <c r="D1229" s="81"/>
      <c r="E1229" s="71"/>
      <c r="F1229" s="71"/>
      <c r="G1229" s="82" t="str">
        <f aca="false">IF(C1229="","",IFERROR(INDEX('Kit Lists'!$D$6:$D$605,MATCH(B1229&amp;"|"&amp;C1229,'Kit Lists'!$J$6:$J$605,0)),"Not on this contract's kit list"))</f>
        <v/>
      </c>
      <c r="H1229" s="83" t="str">
        <f aca="false">IF(AND(B1229="",C1229="",D1229=""),"",IF(B1229="","Missing contract",IF(C1229="","Missing code",IF(LEFT(G1229,3)="Not","Wrong code",IF(D1229="","Missing qty",IF(A1229="","Missing date",""))))))</f>
        <v/>
      </c>
      <c r="I1229" s="84" t="str">
        <f aca="false">IF(B1229=Dashboard!$D$3,ROW(),"")</f>
        <v/>
      </c>
    </row>
    <row r="1230" customFormat="false" ht="15" hidden="false" customHeight="false" outlineLevel="0" collapsed="false">
      <c r="A1230" s="80"/>
      <c r="B1230" s="71"/>
      <c r="C1230" s="71"/>
      <c r="D1230" s="81"/>
      <c r="E1230" s="71"/>
      <c r="F1230" s="71"/>
      <c r="G1230" s="82" t="str">
        <f aca="false">IF(C1230="","",IFERROR(INDEX('Kit Lists'!$D$6:$D$605,MATCH(B1230&amp;"|"&amp;C1230,'Kit Lists'!$J$6:$J$605,0)),"Not on this contract's kit list"))</f>
        <v/>
      </c>
      <c r="H1230" s="83" t="str">
        <f aca="false">IF(AND(B1230="",C1230="",D1230=""),"",IF(B1230="","Missing contract",IF(C1230="","Missing code",IF(LEFT(G1230,3)="Not","Wrong code",IF(D1230="","Missing qty",IF(A1230="","Missing date",""))))))</f>
        <v/>
      </c>
      <c r="I1230" s="84" t="str">
        <f aca="false">IF(B1230=Dashboard!$D$3,ROW(),"")</f>
        <v/>
      </c>
    </row>
    <row r="1231" customFormat="false" ht="15" hidden="false" customHeight="false" outlineLevel="0" collapsed="false">
      <c r="A1231" s="80"/>
      <c r="B1231" s="71"/>
      <c r="C1231" s="71"/>
      <c r="D1231" s="81"/>
      <c r="E1231" s="71"/>
      <c r="F1231" s="71"/>
      <c r="G1231" s="82" t="str">
        <f aca="false">IF(C1231="","",IFERROR(INDEX('Kit Lists'!$D$6:$D$605,MATCH(B1231&amp;"|"&amp;C1231,'Kit Lists'!$J$6:$J$605,0)),"Not on this contract's kit list"))</f>
        <v/>
      </c>
      <c r="H1231" s="83" t="str">
        <f aca="false">IF(AND(B1231="",C1231="",D1231=""),"",IF(B1231="","Missing contract",IF(C1231="","Missing code",IF(LEFT(G1231,3)="Not","Wrong code",IF(D1231="","Missing qty",IF(A1231="","Missing date",""))))))</f>
        <v/>
      </c>
      <c r="I1231" s="84" t="str">
        <f aca="false">IF(B1231=Dashboard!$D$3,ROW(),"")</f>
        <v/>
      </c>
    </row>
    <row r="1232" customFormat="false" ht="15" hidden="false" customHeight="false" outlineLevel="0" collapsed="false">
      <c r="A1232" s="80"/>
      <c r="B1232" s="71"/>
      <c r="C1232" s="71"/>
      <c r="D1232" s="81"/>
      <c r="E1232" s="71"/>
      <c r="F1232" s="71"/>
      <c r="G1232" s="82" t="str">
        <f aca="false">IF(C1232="","",IFERROR(INDEX('Kit Lists'!$D$6:$D$605,MATCH(B1232&amp;"|"&amp;C1232,'Kit Lists'!$J$6:$J$605,0)),"Not on this contract's kit list"))</f>
        <v/>
      </c>
      <c r="H1232" s="83" t="str">
        <f aca="false">IF(AND(B1232="",C1232="",D1232=""),"",IF(B1232="","Missing contract",IF(C1232="","Missing code",IF(LEFT(G1232,3)="Not","Wrong code",IF(D1232="","Missing qty",IF(A1232="","Missing date",""))))))</f>
        <v/>
      </c>
      <c r="I1232" s="84" t="str">
        <f aca="false">IF(B1232=Dashboard!$D$3,ROW(),"")</f>
        <v/>
      </c>
    </row>
    <row r="1233" customFormat="false" ht="15" hidden="false" customHeight="false" outlineLevel="0" collapsed="false">
      <c r="A1233" s="80"/>
      <c r="B1233" s="71"/>
      <c r="C1233" s="71"/>
      <c r="D1233" s="81"/>
      <c r="E1233" s="71"/>
      <c r="F1233" s="71"/>
      <c r="G1233" s="82" t="str">
        <f aca="false">IF(C1233="","",IFERROR(INDEX('Kit Lists'!$D$6:$D$605,MATCH(B1233&amp;"|"&amp;C1233,'Kit Lists'!$J$6:$J$605,0)),"Not on this contract's kit list"))</f>
        <v/>
      </c>
      <c r="H1233" s="83" t="str">
        <f aca="false">IF(AND(B1233="",C1233="",D1233=""),"",IF(B1233="","Missing contract",IF(C1233="","Missing code",IF(LEFT(G1233,3)="Not","Wrong code",IF(D1233="","Missing qty",IF(A1233="","Missing date",""))))))</f>
        <v/>
      </c>
      <c r="I1233" s="84" t="str">
        <f aca="false">IF(B1233=Dashboard!$D$3,ROW(),"")</f>
        <v/>
      </c>
    </row>
    <row r="1234" customFormat="false" ht="15" hidden="false" customHeight="false" outlineLevel="0" collapsed="false">
      <c r="A1234" s="80"/>
      <c r="B1234" s="71"/>
      <c r="C1234" s="71"/>
      <c r="D1234" s="81"/>
      <c r="E1234" s="71"/>
      <c r="F1234" s="71"/>
      <c r="G1234" s="82" t="str">
        <f aca="false">IF(C1234="","",IFERROR(INDEX('Kit Lists'!$D$6:$D$605,MATCH(B1234&amp;"|"&amp;C1234,'Kit Lists'!$J$6:$J$605,0)),"Not on this contract's kit list"))</f>
        <v/>
      </c>
      <c r="H1234" s="83" t="str">
        <f aca="false">IF(AND(B1234="",C1234="",D1234=""),"",IF(B1234="","Missing contract",IF(C1234="","Missing code",IF(LEFT(G1234,3)="Not","Wrong code",IF(D1234="","Missing qty",IF(A1234="","Missing date",""))))))</f>
        <v/>
      </c>
      <c r="I1234" s="84" t="str">
        <f aca="false">IF(B1234=Dashboard!$D$3,ROW(),"")</f>
        <v/>
      </c>
    </row>
    <row r="1235" customFormat="false" ht="15" hidden="false" customHeight="false" outlineLevel="0" collapsed="false">
      <c r="A1235" s="80"/>
      <c r="B1235" s="71"/>
      <c r="C1235" s="71"/>
      <c r="D1235" s="81"/>
      <c r="E1235" s="71"/>
      <c r="F1235" s="71"/>
      <c r="G1235" s="82" t="str">
        <f aca="false">IF(C1235="","",IFERROR(INDEX('Kit Lists'!$D$6:$D$605,MATCH(B1235&amp;"|"&amp;C1235,'Kit Lists'!$J$6:$J$605,0)),"Not on this contract's kit list"))</f>
        <v/>
      </c>
      <c r="H1235" s="83" t="str">
        <f aca="false">IF(AND(B1235="",C1235="",D1235=""),"",IF(B1235="","Missing contract",IF(C1235="","Missing code",IF(LEFT(G1235,3)="Not","Wrong code",IF(D1235="","Missing qty",IF(A1235="","Missing date",""))))))</f>
        <v/>
      </c>
      <c r="I1235" s="84" t="str">
        <f aca="false">IF(B1235=Dashboard!$D$3,ROW(),"")</f>
        <v/>
      </c>
    </row>
    <row r="1236" customFormat="false" ht="15" hidden="false" customHeight="false" outlineLevel="0" collapsed="false">
      <c r="A1236" s="80"/>
      <c r="B1236" s="71"/>
      <c r="C1236" s="71"/>
      <c r="D1236" s="81"/>
      <c r="E1236" s="71"/>
      <c r="F1236" s="71"/>
      <c r="G1236" s="82" t="str">
        <f aca="false">IF(C1236="","",IFERROR(INDEX('Kit Lists'!$D$6:$D$605,MATCH(B1236&amp;"|"&amp;C1236,'Kit Lists'!$J$6:$J$605,0)),"Not on this contract's kit list"))</f>
        <v/>
      </c>
      <c r="H1236" s="83" t="str">
        <f aca="false">IF(AND(B1236="",C1236="",D1236=""),"",IF(B1236="","Missing contract",IF(C1236="","Missing code",IF(LEFT(G1236,3)="Not","Wrong code",IF(D1236="","Missing qty",IF(A1236="","Missing date",""))))))</f>
        <v/>
      </c>
      <c r="I1236" s="84" t="str">
        <f aca="false">IF(B1236=Dashboard!$D$3,ROW(),"")</f>
        <v/>
      </c>
    </row>
    <row r="1237" customFormat="false" ht="15" hidden="false" customHeight="false" outlineLevel="0" collapsed="false">
      <c r="A1237" s="80"/>
      <c r="B1237" s="71"/>
      <c r="C1237" s="71"/>
      <c r="D1237" s="81"/>
      <c r="E1237" s="71"/>
      <c r="F1237" s="71"/>
      <c r="G1237" s="82" t="str">
        <f aca="false">IF(C1237="","",IFERROR(INDEX('Kit Lists'!$D$6:$D$605,MATCH(B1237&amp;"|"&amp;C1237,'Kit Lists'!$J$6:$J$605,0)),"Not on this contract's kit list"))</f>
        <v/>
      </c>
      <c r="H1237" s="83" t="str">
        <f aca="false">IF(AND(B1237="",C1237="",D1237=""),"",IF(B1237="","Missing contract",IF(C1237="","Missing code",IF(LEFT(G1237,3)="Not","Wrong code",IF(D1237="","Missing qty",IF(A1237="","Missing date",""))))))</f>
        <v/>
      </c>
      <c r="I1237" s="84" t="str">
        <f aca="false">IF(B1237=Dashboard!$D$3,ROW(),"")</f>
        <v/>
      </c>
    </row>
    <row r="1238" customFormat="false" ht="15" hidden="false" customHeight="false" outlineLevel="0" collapsed="false">
      <c r="A1238" s="80"/>
      <c r="B1238" s="71"/>
      <c r="C1238" s="71"/>
      <c r="D1238" s="81"/>
      <c r="E1238" s="71"/>
      <c r="F1238" s="71"/>
      <c r="G1238" s="82" t="str">
        <f aca="false">IF(C1238="","",IFERROR(INDEX('Kit Lists'!$D$6:$D$605,MATCH(B1238&amp;"|"&amp;C1238,'Kit Lists'!$J$6:$J$605,0)),"Not on this contract's kit list"))</f>
        <v/>
      </c>
      <c r="H1238" s="83" t="str">
        <f aca="false">IF(AND(B1238="",C1238="",D1238=""),"",IF(B1238="","Missing contract",IF(C1238="","Missing code",IF(LEFT(G1238,3)="Not","Wrong code",IF(D1238="","Missing qty",IF(A1238="","Missing date",""))))))</f>
        <v/>
      </c>
      <c r="I1238" s="84" t="str">
        <f aca="false">IF(B1238=Dashboard!$D$3,ROW(),"")</f>
        <v/>
      </c>
    </row>
    <row r="1239" customFormat="false" ht="15" hidden="false" customHeight="false" outlineLevel="0" collapsed="false">
      <c r="A1239" s="80"/>
      <c r="B1239" s="71"/>
      <c r="C1239" s="71"/>
      <c r="D1239" s="81"/>
      <c r="E1239" s="71"/>
      <c r="F1239" s="71"/>
      <c r="G1239" s="82" t="str">
        <f aca="false">IF(C1239="","",IFERROR(INDEX('Kit Lists'!$D$6:$D$605,MATCH(B1239&amp;"|"&amp;C1239,'Kit Lists'!$J$6:$J$605,0)),"Not on this contract's kit list"))</f>
        <v/>
      </c>
      <c r="H1239" s="83" t="str">
        <f aca="false">IF(AND(B1239="",C1239="",D1239=""),"",IF(B1239="","Missing contract",IF(C1239="","Missing code",IF(LEFT(G1239,3)="Not","Wrong code",IF(D1239="","Missing qty",IF(A1239="","Missing date",""))))))</f>
        <v/>
      </c>
      <c r="I1239" s="84" t="str">
        <f aca="false">IF(B1239=Dashboard!$D$3,ROW(),"")</f>
        <v/>
      </c>
    </row>
    <row r="1240" customFormat="false" ht="15" hidden="false" customHeight="false" outlineLevel="0" collapsed="false">
      <c r="A1240" s="80"/>
      <c r="B1240" s="71"/>
      <c r="C1240" s="71"/>
      <c r="D1240" s="81"/>
      <c r="E1240" s="71"/>
      <c r="F1240" s="71"/>
      <c r="G1240" s="82" t="str">
        <f aca="false">IF(C1240="","",IFERROR(INDEX('Kit Lists'!$D$6:$D$605,MATCH(B1240&amp;"|"&amp;C1240,'Kit Lists'!$J$6:$J$605,0)),"Not on this contract's kit list"))</f>
        <v/>
      </c>
      <c r="H1240" s="83" t="str">
        <f aca="false">IF(AND(B1240="",C1240="",D1240=""),"",IF(B1240="","Missing contract",IF(C1240="","Missing code",IF(LEFT(G1240,3)="Not","Wrong code",IF(D1240="","Missing qty",IF(A1240="","Missing date",""))))))</f>
        <v/>
      </c>
      <c r="I1240" s="84" t="str">
        <f aca="false">IF(B1240=Dashboard!$D$3,ROW(),"")</f>
        <v/>
      </c>
    </row>
    <row r="1241" customFormat="false" ht="15" hidden="false" customHeight="false" outlineLevel="0" collapsed="false">
      <c r="A1241" s="80"/>
      <c r="B1241" s="71"/>
      <c r="C1241" s="71"/>
      <c r="D1241" s="81"/>
      <c r="E1241" s="71"/>
      <c r="F1241" s="71"/>
      <c r="G1241" s="82" t="str">
        <f aca="false">IF(C1241="","",IFERROR(INDEX('Kit Lists'!$D$6:$D$605,MATCH(B1241&amp;"|"&amp;C1241,'Kit Lists'!$J$6:$J$605,0)),"Not on this contract's kit list"))</f>
        <v/>
      </c>
      <c r="H1241" s="83" t="str">
        <f aca="false">IF(AND(B1241="",C1241="",D1241=""),"",IF(B1241="","Missing contract",IF(C1241="","Missing code",IF(LEFT(G1241,3)="Not","Wrong code",IF(D1241="","Missing qty",IF(A1241="","Missing date",""))))))</f>
        <v/>
      </c>
      <c r="I1241" s="84" t="str">
        <f aca="false">IF(B1241=Dashboard!$D$3,ROW(),"")</f>
        <v/>
      </c>
    </row>
    <row r="1242" customFormat="false" ht="15" hidden="false" customHeight="false" outlineLevel="0" collapsed="false">
      <c r="A1242" s="80"/>
      <c r="B1242" s="71"/>
      <c r="C1242" s="71"/>
      <c r="D1242" s="81"/>
      <c r="E1242" s="71"/>
      <c r="F1242" s="71"/>
      <c r="G1242" s="82" t="str">
        <f aca="false">IF(C1242="","",IFERROR(INDEX('Kit Lists'!$D$6:$D$605,MATCH(B1242&amp;"|"&amp;C1242,'Kit Lists'!$J$6:$J$605,0)),"Not on this contract's kit list"))</f>
        <v/>
      </c>
      <c r="H1242" s="83" t="str">
        <f aca="false">IF(AND(B1242="",C1242="",D1242=""),"",IF(B1242="","Missing contract",IF(C1242="","Missing code",IF(LEFT(G1242,3)="Not","Wrong code",IF(D1242="","Missing qty",IF(A1242="","Missing date",""))))))</f>
        <v/>
      </c>
      <c r="I1242" s="84" t="str">
        <f aca="false">IF(B1242=Dashboard!$D$3,ROW(),"")</f>
        <v/>
      </c>
    </row>
    <row r="1243" customFormat="false" ht="15" hidden="false" customHeight="false" outlineLevel="0" collapsed="false">
      <c r="A1243" s="80"/>
      <c r="B1243" s="71"/>
      <c r="C1243" s="71"/>
      <c r="D1243" s="81"/>
      <c r="E1243" s="71"/>
      <c r="F1243" s="71"/>
      <c r="G1243" s="82" t="str">
        <f aca="false">IF(C1243="","",IFERROR(INDEX('Kit Lists'!$D$6:$D$605,MATCH(B1243&amp;"|"&amp;C1243,'Kit Lists'!$J$6:$J$605,0)),"Not on this contract's kit list"))</f>
        <v/>
      </c>
      <c r="H1243" s="83" t="str">
        <f aca="false">IF(AND(B1243="",C1243="",D1243=""),"",IF(B1243="","Missing contract",IF(C1243="","Missing code",IF(LEFT(G1243,3)="Not","Wrong code",IF(D1243="","Missing qty",IF(A1243="","Missing date",""))))))</f>
        <v/>
      </c>
      <c r="I1243" s="84" t="str">
        <f aca="false">IF(B1243=Dashboard!$D$3,ROW(),"")</f>
        <v/>
      </c>
    </row>
    <row r="1244" customFormat="false" ht="15" hidden="false" customHeight="false" outlineLevel="0" collapsed="false">
      <c r="A1244" s="80"/>
      <c r="B1244" s="71"/>
      <c r="C1244" s="71"/>
      <c r="D1244" s="81"/>
      <c r="E1244" s="71"/>
      <c r="F1244" s="71"/>
      <c r="G1244" s="82" t="str">
        <f aca="false">IF(C1244="","",IFERROR(INDEX('Kit Lists'!$D$6:$D$605,MATCH(B1244&amp;"|"&amp;C1244,'Kit Lists'!$J$6:$J$605,0)),"Not on this contract's kit list"))</f>
        <v/>
      </c>
      <c r="H1244" s="83" t="str">
        <f aca="false">IF(AND(B1244="",C1244="",D1244=""),"",IF(B1244="","Missing contract",IF(C1244="","Missing code",IF(LEFT(G1244,3)="Not","Wrong code",IF(D1244="","Missing qty",IF(A1244="","Missing date",""))))))</f>
        <v/>
      </c>
      <c r="I1244" s="84" t="str">
        <f aca="false">IF(B1244=Dashboard!$D$3,ROW(),"")</f>
        <v/>
      </c>
    </row>
    <row r="1245" customFormat="false" ht="15" hidden="false" customHeight="false" outlineLevel="0" collapsed="false">
      <c r="A1245" s="80"/>
      <c r="B1245" s="71"/>
      <c r="C1245" s="71"/>
      <c r="D1245" s="81"/>
      <c r="E1245" s="71"/>
      <c r="F1245" s="71"/>
      <c r="G1245" s="82" t="str">
        <f aca="false">IF(C1245="","",IFERROR(INDEX('Kit Lists'!$D$6:$D$605,MATCH(B1245&amp;"|"&amp;C1245,'Kit Lists'!$J$6:$J$605,0)),"Not on this contract's kit list"))</f>
        <v/>
      </c>
      <c r="H1245" s="83" t="str">
        <f aca="false">IF(AND(B1245="",C1245="",D1245=""),"",IF(B1245="","Missing contract",IF(C1245="","Missing code",IF(LEFT(G1245,3)="Not","Wrong code",IF(D1245="","Missing qty",IF(A1245="","Missing date",""))))))</f>
        <v/>
      </c>
      <c r="I1245" s="84" t="str">
        <f aca="false">IF(B1245=Dashboard!$D$3,ROW(),"")</f>
        <v/>
      </c>
    </row>
    <row r="1246" customFormat="false" ht="15" hidden="false" customHeight="false" outlineLevel="0" collapsed="false">
      <c r="A1246" s="80"/>
      <c r="B1246" s="71"/>
      <c r="C1246" s="71"/>
      <c r="D1246" s="81"/>
      <c r="E1246" s="71"/>
      <c r="F1246" s="71"/>
      <c r="G1246" s="82" t="str">
        <f aca="false">IF(C1246="","",IFERROR(INDEX('Kit Lists'!$D$6:$D$605,MATCH(B1246&amp;"|"&amp;C1246,'Kit Lists'!$J$6:$J$605,0)),"Not on this contract's kit list"))</f>
        <v/>
      </c>
      <c r="H1246" s="83" t="str">
        <f aca="false">IF(AND(B1246="",C1246="",D1246=""),"",IF(B1246="","Missing contract",IF(C1246="","Missing code",IF(LEFT(G1246,3)="Not","Wrong code",IF(D1246="","Missing qty",IF(A1246="","Missing date",""))))))</f>
        <v/>
      </c>
      <c r="I1246" s="84" t="str">
        <f aca="false">IF(B1246=Dashboard!$D$3,ROW(),"")</f>
        <v/>
      </c>
    </row>
    <row r="1247" customFormat="false" ht="15" hidden="false" customHeight="false" outlineLevel="0" collapsed="false">
      <c r="A1247" s="80"/>
      <c r="B1247" s="71"/>
      <c r="C1247" s="71"/>
      <c r="D1247" s="81"/>
      <c r="E1247" s="71"/>
      <c r="F1247" s="71"/>
      <c r="G1247" s="82" t="str">
        <f aca="false">IF(C1247="","",IFERROR(INDEX('Kit Lists'!$D$6:$D$605,MATCH(B1247&amp;"|"&amp;C1247,'Kit Lists'!$J$6:$J$605,0)),"Not on this contract's kit list"))</f>
        <v/>
      </c>
      <c r="H1247" s="83" t="str">
        <f aca="false">IF(AND(B1247="",C1247="",D1247=""),"",IF(B1247="","Missing contract",IF(C1247="","Missing code",IF(LEFT(G1247,3)="Not","Wrong code",IF(D1247="","Missing qty",IF(A1247="","Missing date",""))))))</f>
        <v/>
      </c>
      <c r="I1247" s="84" t="str">
        <f aca="false">IF(B1247=Dashboard!$D$3,ROW(),"")</f>
        <v/>
      </c>
    </row>
    <row r="1248" customFormat="false" ht="15" hidden="false" customHeight="false" outlineLevel="0" collapsed="false">
      <c r="A1248" s="80"/>
      <c r="B1248" s="71"/>
      <c r="C1248" s="71"/>
      <c r="D1248" s="81"/>
      <c r="E1248" s="71"/>
      <c r="F1248" s="71"/>
      <c r="G1248" s="82" t="str">
        <f aca="false">IF(C1248="","",IFERROR(INDEX('Kit Lists'!$D$6:$D$605,MATCH(B1248&amp;"|"&amp;C1248,'Kit Lists'!$J$6:$J$605,0)),"Not on this contract's kit list"))</f>
        <v/>
      </c>
      <c r="H1248" s="83" t="str">
        <f aca="false">IF(AND(B1248="",C1248="",D1248=""),"",IF(B1248="","Missing contract",IF(C1248="","Missing code",IF(LEFT(G1248,3)="Not","Wrong code",IF(D1248="","Missing qty",IF(A1248="","Missing date",""))))))</f>
        <v/>
      </c>
      <c r="I1248" s="84" t="str">
        <f aca="false">IF(B1248=Dashboard!$D$3,ROW(),"")</f>
        <v/>
      </c>
    </row>
    <row r="1249" customFormat="false" ht="15" hidden="false" customHeight="false" outlineLevel="0" collapsed="false">
      <c r="A1249" s="80"/>
      <c r="B1249" s="71"/>
      <c r="C1249" s="71"/>
      <c r="D1249" s="81"/>
      <c r="E1249" s="71"/>
      <c r="F1249" s="71"/>
      <c r="G1249" s="82" t="str">
        <f aca="false">IF(C1249="","",IFERROR(INDEX('Kit Lists'!$D$6:$D$605,MATCH(B1249&amp;"|"&amp;C1249,'Kit Lists'!$J$6:$J$605,0)),"Not on this contract's kit list"))</f>
        <v/>
      </c>
      <c r="H1249" s="83" t="str">
        <f aca="false">IF(AND(B1249="",C1249="",D1249=""),"",IF(B1249="","Missing contract",IF(C1249="","Missing code",IF(LEFT(G1249,3)="Not","Wrong code",IF(D1249="","Missing qty",IF(A1249="","Missing date",""))))))</f>
        <v/>
      </c>
      <c r="I1249" s="84" t="str">
        <f aca="false">IF(B1249=Dashboard!$D$3,ROW(),"")</f>
        <v/>
      </c>
    </row>
    <row r="1250" customFormat="false" ht="15" hidden="false" customHeight="false" outlineLevel="0" collapsed="false">
      <c r="A1250" s="80"/>
      <c r="B1250" s="71"/>
      <c r="C1250" s="71"/>
      <c r="D1250" s="81"/>
      <c r="E1250" s="71"/>
      <c r="F1250" s="71"/>
      <c r="G1250" s="82" t="str">
        <f aca="false">IF(C1250="","",IFERROR(INDEX('Kit Lists'!$D$6:$D$605,MATCH(B1250&amp;"|"&amp;C1250,'Kit Lists'!$J$6:$J$605,0)),"Not on this contract's kit list"))</f>
        <v/>
      </c>
      <c r="H1250" s="83" t="str">
        <f aca="false">IF(AND(B1250="",C1250="",D1250=""),"",IF(B1250="","Missing contract",IF(C1250="","Missing code",IF(LEFT(G1250,3)="Not","Wrong code",IF(D1250="","Missing qty",IF(A1250="","Missing date",""))))))</f>
        <v/>
      </c>
      <c r="I1250" s="84" t="str">
        <f aca="false">IF(B1250=Dashboard!$D$3,ROW(),"")</f>
        <v/>
      </c>
    </row>
    <row r="1251" customFormat="false" ht="15" hidden="false" customHeight="false" outlineLevel="0" collapsed="false">
      <c r="A1251" s="80"/>
      <c r="B1251" s="71"/>
      <c r="C1251" s="71"/>
      <c r="D1251" s="81"/>
      <c r="E1251" s="71"/>
      <c r="F1251" s="71"/>
      <c r="G1251" s="82" t="str">
        <f aca="false">IF(C1251="","",IFERROR(INDEX('Kit Lists'!$D$6:$D$605,MATCH(B1251&amp;"|"&amp;C1251,'Kit Lists'!$J$6:$J$605,0)),"Not on this contract's kit list"))</f>
        <v/>
      </c>
      <c r="H1251" s="83" t="str">
        <f aca="false">IF(AND(B1251="",C1251="",D1251=""),"",IF(B1251="","Missing contract",IF(C1251="","Missing code",IF(LEFT(G1251,3)="Not","Wrong code",IF(D1251="","Missing qty",IF(A1251="","Missing date",""))))))</f>
        <v/>
      </c>
      <c r="I1251" s="84" t="str">
        <f aca="false">IF(B1251=Dashboard!$D$3,ROW(),"")</f>
        <v/>
      </c>
    </row>
    <row r="1252" customFormat="false" ht="15" hidden="false" customHeight="false" outlineLevel="0" collapsed="false">
      <c r="A1252" s="80"/>
      <c r="B1252" s="71"/>
      <c r="C1252" s="71"/>
      <c r="D1252" s="81"/>
      <c r="E1252" s="71"/>
      <c r="F1252" s="71"/>
      <c r="G1252" s="82" t="str">
        <f aca="false">IF(C1252="","",IFERROR(INDEX('Kit Lists'!$D$6:$D$605,MATCH(B1252&amp;"|"&amp;C1252,'Kit Lists'!$J$6:$J$605,0)),"Not on this contract's kit list"))</f>
        <v/>
      </c>
      <c r="H1252" s="83" t="str">
        <f aca="false">IF(AND(B1252="",C1252="",D1252=""),"",IF(B1252="","Missing contract",IF(C1252="","Missing code",IF(LEFT(G1252,3)="Not","Wrong code",IF(D1252="","Missing qty",IF(A1252="","Missing date",""))))))</f>
        <v/>
      </c>
      <c r="I1252" s="84" t="str">
        <f aca="false">IF(B1252=Dashboard!$D$3,ROW(),"")</f>
        <v/>
      </c>
    </row>
    <row r="1253" customFormat="false" ht="15" hidden="false" customHeight="false" outlineLevel="0" collapsed="false">
      <c r="A1253" s="80"/>
      <c r="B1253" s="71"/>
      <c r="C1253" s="71"/>
      <c r="D1253" s="81"/>
      <c r="E1253" s="71"/>
      <c r="F1253" s="71"/>
      <c r="G1253" s="82" t="str">
        <f aca="false">IF(C1253="","",IFERROR(INDEX('Kit Lists'!$D$6:$D$605,MATCH(B1253&amp;"|"&amp;C1253,'Kit Lists'!$J$6:$J$605,0)),"Not on this contract's kit list"))</f>
        <v/>
      </c>
      <c r="H1253" s="83" t="str">
        <f aca="false">IF(AND(B1253="",C1253="",D1253=""),"",IF(B1253="","Missing contract",IF(C1253="","Missing code",IF(LEFT(G1253,3)="Not","Wrong code",IF(D1253="","Missing qty",IF(A1253="","Missing date",""))))))</f>
        <v/>
      </c>
      <c r="I1253" s="84" t="str">
        <f aca="false">IF(B1253=Dashboard!$D$3,ROW(),"")</f>
        <v/>
      </c>
    </row>
    <row r="1254" customFormat="false" ht="15" hidden="false" customHeight="false" outlineLevel="0" collapsed="false">
      <c r="A1254" s="80"/>
      <c r="B1254" s="71"/>
      <c r="C1254" s="71"/>
      <c r="D1254" s="81"/>
      <c r="E1254" s="71"/>
      <c r="F1254" s="71"/>
      <c r="G1254" s="82" t="str">
        <f aca="false">IF(C1254="","",IFERROR(INDEX('Kit Lists'!$D$6:$D$605,MATCH(B1254&amp;"|"&amp;C1254,'Kit Lists'!$J$6:$J$605,0)),"Not on this contract's kit list"))</f>
        <v/>
      </c>
      <c r="H1254" s="83" t="str">
        <f aca="false">IF(AND(B1254="",C1254="",D1254=""),"",IF(B1254="","Missing contract",IF(C1254="","Missing code",IF(LEFT(G1254,3)="Not","Wrong code",IF(D1254="","Missing qty",IF(A1254="","Missing date",""))))))</f>
        <v/>
      </c>
      <c r="I1254" s="84" t="str">
        <f aca="false">IF(B1254=Dashboard!$D$3,ROW(),"")</f>
        <v/>
      </c>
    </row>
    <row r="1255" customFormat="false" ht="15" hidden="false" customHeight="false" outlineLevel="0" collapsed="false">
      <c r="A1255" s="80"/>
      <c r="B1255" s="71"/>
      <c r="C1255" s="71"/>
      <c r="D1255" s="81"/>
      <c r="E1255" s="71"/>
      <c r="F1255" s="71"/>
      <c r="G1255" s="82" t="str">
        <f aca="false">IF(C1255="","",IFERROR(INDEX('Kit Lists'!$D$6:$D$605,MATCH(B1255&amp;"|"&amp;C1255,'Kit Lists'!$J$6:$J$605,0)),"Not on this contract's kit list"))</f>
        <v/>
      </c>
      <c r="H1255" s="83" t="str">
        <f aca="false">IF(AND(B1255="",C1255="",D1255=""),"",IF(B1255="","Missing contract",IF(C1255="","Missing code",IF(LEFT(G1255,3)="Not","Wrong code",IF(D1255="","Missing qty",IF(A1255="","Missing date",""))))))</f>
        <v/>
      </c>
      <c r="I1255" s="84" t="str">
        <f aca="false">IF(B1255=Dashboard!$D$3,ROW(),"")</f>
        <v/>
      </c>
    </row>
    <row r="1256" customFormat="false" ht="15" hidden="false" customHeight="false" outlineLevel="0" collapsed="false">
      <c r="A1256" s="80"/>
      <c r="B1256" s="71"/>
      <c r="C1256" s="71"/>
      <c r="D1256" s="81"/>
      <c r="E1256" s="71"/>
      <c r="F1256" s="71"/>
      <c r="G1256" s="82" t="str">
        <f aca="false">IF(C1256="","",IFERROR(INDEX('Kit Lists'!$D$6:$D$605,MATCH(B1256&amp;"|"&amp;C1256,'Kit Lists'!$J$6:$J$605,0)),"Not on this contract's kit list"))</f>
        <v/>
      </c>
      <c r="H1256" s="83" t="str">
        <f aca="false">IF(AND(B1256="",C1256="",D1256=""),"",IF(B1256="","Missing contract",IF(C1256="","Missing code",IF(LEFT(G1256,3)="Not","Wrong code",IF(D1256="","Missing qty",IF(A1256="","Missing date",""))))))</f>
        <v/>
      </c>
      <c r="I1256" s="84" t="str">
        <f aca="false">IF(B1256=Dashboard!$D$3,ROW(),"")</f>
        <v/>
      </c>
    </row>
    <row r="1257" customFormat="false" ht="15" hidden="false" customHeight="false" outlineLevel="0" collapsed="false">
      <c r="A1257" s="80"/>
      <c r="B1257" s="71"/>
      <c r="C1257" s="71"/>
      <c r="D1257" s="81"/>
      <c r="E1257" s="71"/>
      <c r="F1257" s="71"/>
      <c r="G1257" s="82" t="str">
        <f aca="false">IF(C1257="","",IFERROR(INDEX('Kit Lists'!$D$6:$D$605,MATCH(B1257&amp;"|"&amp;C1257,'Kit Lists'!$J$6:$J$605,0)),"Not on this contract's kit list"))</f>
        <v/>
      </c>
      <c r="H1257" s="83" t="str">
        <f aca="false">IF(AND(B1257="",C1257="",D1257=""),"",IF(B1257="","Missing contract",IF(C1257="","Missing code",IF(LEFT(G1257,3)="Not","Wrong code",IF(D1257="","Missing qty",IF(A1257="","Missing date",""))))))</f>
        <v/>
      </c>
      <c r="I1257" s="84" t="str">
        <f aca="false">IF(B1257=Dashboard!$D$3,ROW(),"")</f>
        <v/>
      </c>
    </row>
    <row r="1258" customFormat="false" ht="15" hidden="false" customHeight="false" outlineLevel="0" collapsed="false">
      <c r="A1258" s="80"/>
      <c r="B1258" s="71"/>
      <c r="C1258" s="71"/>
      <c r="D1258" s="81"/>
      <c r="E1258" s="71"/>
      <c r="F1258" s="71"/>
      <c r="G1258" s="82" t="str">
        <f aca="false">IF(C1258="","",IFERROR(INDEX('Kit Lists'!$D$6:$D$605,MATCH(B1258&amp;"|"&amp;C1258,'Kit Lists'!$J$6:$J$605,0)),"Not on this contract's kit list"))</f>
        <v/>
      </c>
      <c r="H1258" s="83" t="str">
        <f aca="false">IF(AND(B1258="",C1258="",D1258=""),"",IF(B1258="","Missing contract",IF(C1258="","Missing code",IF(LEFT(G1258,3)="Not","Wrong code",IF(D1258="","Missing qty",IF(A1258="","Missing date",""))))))</f>
        <v/>
      </c>
      <c r="I1258" s="84" t="str">
        <f aca="false">IF(B1258=Dashboard!$D$3,ROW(),"")</f>
        <v/>
      </c>
    </row>
    <row r="1259" customFormat="false" ht="15" hidden="false" customHeight="false" outlineLevel="0" collapsed="false">
      <c r="A1259" s="80"/>
      <c r="B1259" s="71"/>
      <c r="C1259" s="71"/>
      <c r="D1259" s="81"/>
      <c r="E1259" s="71"/>
      <c r="F1259" s="71"/>
      <c r="G1259" s="82" t="str">
        <f aca="false">IF(C1259="","",IFERROR(INDEX('Kit Lists'!$D$6:$D$605,MATCH(B1259&amp;"|"&amp;C1259,'Kit Lists'!$J$6:$J$605,0)),"Not on this contract's kit list"))</f>
        <v/>
      </c>
      <c r="H1259" s="83" t="str">
        <f aca="false">IF(AND(B1259="",C1259="",D1259=""),"",IF(B1259="","Missing contract",IF(C1259="","Missing code",IF(LEFT(G1259,3)="Not","Wrong code",IF(D1259="","Missing qty",IF(A1259="","Missing date",""))))))</f>
        <v/>
      </c>
      <c r="I1259" s="84" t="str">
        <f aca="false">IF(B1259=Dashboard!$D$3,ROW(),"")</f>
        <v/>
      </c>
    </row>
    <row r="1260" customFormat="false" ht="15" hidden="false" customHeight="false" outlineLevel="0" collapsed="false">
      <c r="A1260" s="80"/>
      <c r="B1260" s="71"/>
      <c r="C1260" s="71"/>
      <c r="D1260" s="81"/>
      <c r="E1260" s="71"/>
      <c r="F1260" s="71"/>
      <c r="G1260" s="82" t="str">
        <f aca="false">IF(C1260="","",IFERROR(INDEX('Kit Lists'!$D$6:$D$605,MATCH(B1260&amp;"|"&amp;C1260,'Kit Lists'!$J$6:$J$605,0)),"Not on this contract's kit list"))</f>
        <v/>
      </c>
      <c r="H1260" s="83" t="str">
        <f aca="false">IF(AND(B1260="",C1260="",D1260=""),"",IF(B1260="","Missing contract",IF(C1260="","Missing code",IF(LEFT(G1260,3)="Not","Wrong code",IF(D1260="","Missing qty",IF(A1260="","Missing date",""))))))</f>
        <v/>
      </c>
      <c r="I1260" s="84" t="str">
        <f aca="false">IF(B1260=Dashboard!$D$3,ROW(),"")</f>
        <v/>
      </c>
    </row>
    <row r="1261" customFormat="false" ht="15" hidden="false" customHeight="false" outlineLevel="0" collapsed="false">
      <c r="A1261" s="80"/>
      <c r="B1261" s="71"/>
      <c r="C1261" s="71"/>
      <c r="D1261" s="81"/>
      <c r="E1261" s="71"/>
      <c r="F1261" s="71"/>
      <c r="G1261" s="82" t="str">
        <f aca="false">IF(C1261="","",IFERROR(INDEX('Kit Lists'!$D$6:$D$605,MATCH(B1261&amp;"|"&amp;C1261,'Kit Lists'!$J$6:$J$605,0)),"Not on this contract's kit list"))</f>
        <v/>
      </c>
      <c r="H1261" s="83" t="str">
        <f aca="false">IF(AND(B1261="",C1261="",D1261=""),"",IF(B1261="","Missing contract",IF(C1261="","Missing code",IF(LEFT(G1261,3)="Not","Wrong code",IF(D1261="","Missing qty",IF(A1261="","Missing date",""))))))</f>
        <v/>
      </c>
      <c r="I1261" s="84" t="str">
        <f aca="false">IF(B1261=Dashboard!$D$3,ROW(),"")</f>
        <v/>
      </c>
    </row>
    <row r="1262" customFormat="false" ht="15" hidden="false" customHeight="false" outlineLevel="0" collapsed="false">
      <c r="A1262" s="80"/>
      <c r="B1262" s="71"/>
      <c r="C1262" s="71"/>
      <c r="D1262" s="81"/>
      <c r="E1262" s="71"/>
      <c r="F1262" s="71"/>
      <c r="G1262" s="82" t="str">
        <f aca="false">IF(C1262="","",IFERROR(INDEX('Kit Lists'!$D$6:$D$605,MATCH(B1262&amp;"|"&amp;C1262,'Kit Lists'!$J$6:$J$605,0)),"Not on this contract's kit list"))</f>
        <v/>
      </c>
      <c r="H1262" s="83" t="str">
        <f aca="false">IF(AND(B1262="",C1262="",D1262=""),"",IF(B1262="","Missing contract",IF(C1262="","Missing code",IF(LEFT(G1262,3)="Not","Wrong code",IF(D1262="","Missing qty",IF(A1262="","Missing date",""))))))</f>
        <v/>
      </c>
      <c r="I1262" s="84" t="str">
        <f aca="false">IF(B1262=Dashboard!$D$3,ROW(),"")</f>
        <v/>
      </c>
    </row>
    <row r="1263" customFormat="false" ht="15" hidden="false" customHeight="false" outlineLevel="0" collapsed="false">
      <c r="A1263" s="80"/>
      <c r="B1263" s="71"/>
      <c r="C1263" s="71"/>
      <c r="D1263" s="81"/>
      <c r="E1263" s="71"/>
      <c r="F1263" s="71"/>
      <c r="G1263" s="82" t="str">
        <f aca="false">IF(C1263="","",IFERROR(INDEX('Kit Lists'!$D$6:$D$605,MATCH(B1263&amp;"|"&amp;C1263,'Kit Lists'!$J$6:$J$605,0)),"Not on this contract's kit list"))</f>
        <v/>
      </c>
      <c r="H1263" s="83" t="str">
        <f aca="false">IF(AND(B1263="",C1263="",D1263=""),"",IF(B1263="","Missing contract",IF(C1263="","Missing code",IF(LEFT(G1263,3)="Not","Wrong code",IF(D1263="","Missing qty",IF(A1263="","Missing date",""))))))</f>
        <v/>
      </c>
      <c r="I1263" s="84" t="str">
        <f aca="false">IF(B1263=Dashboard!$D$3,ROW(),"")</f>
        <v/>
      </c>
    </row>
    <row r="1264" customFormat="false" ht="15" hidden="false" customHeight="false" outlineLevel="0" collapsed="false">
      <c r="A1264" s="80"/>
      <c r="B1264" s="71"/>
      <c r="C1264" s="71"/>
      <c r="D1264" s="81"/>
      <c r="E1264" s="71"/>
      <c r="F1264" s="71"/>
      <c r="G1264" s="82" t="str">
        <f aca="false">IF(C1264="","",IFERROR(INDEX('Kit Lists'!$D$6:$D$605,MATCH(B1264&amp;"|"&amp;C1264,'Kit Lists'!$J$6:$J$605,0)),"Not on this contract's kit list"))</f>
        <v/>
      </c>
      <c r="H1264" s="83" t="str">
        <f aca="false">IF(AND(B1264="",C1264="",D1264=""),"",IF(B1264="","Missing contract",IF(C1264="","Missing code",IF(LEFT(G1264,3)="Not","Wrong code",IF(D1264="","Missing qty",IF(A1264="","Missing date",""))))))</f>
        <v/>
      </c>
      <c r="I1264" s="84" t="str">
        <f aca="false">IF(B1264=Dashboard!$D$3,ROW(),"")</f>
        <v/>
      </c>
    </row>
    <row r="1265" customFormat="false" ht="15" hidden="false" customHeight="false" outlineLevel="0" collapsed="false">
      <c r="A1265" s="80"/>
      <c r="B1265" s="71"/>
      <c r="C1265" s="71"/>
      <c r="D1265" s="81"/>
      <c r="E1265" s="71"/>
      <c r="F1265" s="71"/>
      <c r="G1265" s="82" t="str">
        <f aca="false">IF(C1265="","",IFERROR(INDEX('Kit Lists'!$D$6:$D$605,MATCH(B1265&amp;"|"&amp;C1265,'Kit Lists'!$J$6:$J$605,0)),"Not on this contract's kit list"))</f>
        <v/>
      </c>
      <c r="H1265" s="83" t="str">
        <f aca="false">IF(AND(B1265="",C1265="",D1265=""),"",IF(B1265="","Missing contract",IF(C1265="","Missing code",IF(LEFT(G1265,3)="Not","Wrong code",IF(D1265="","Missing qty",IF(A1265="","Missing date",""))))))</f>
        <v/>
      </c>
      <c r="I1265" s="84" t="str">
        <f aca="false">IF(B1265=Dashboard!$D$3,ROW(),"")</f>
        <v/>
      </c>
    </row>
    <row r="1266" customFormat="false" ht="15" hidden="false" customHeight="false" outlineLevel="0" collapsed="false">
      <c r="A1266" s="80"/>
      <c r="B1266" s="71"/>
      <c r="C1266" s="71"/>
      <c r="D1266" s="81"/>
      <c r="E1266" s="71"/>
      <c r="F1266" s="71"/>
      <c r="G1266" s="82" t="str">
        <f aca="false">IF(C1266="","",IFERROR(INDEX('Kit Lists'!$D$6:$D$605,MATCH(B1266&amp;"|"&amp;C1266,'Kit Lists'!$J$6:$J$605,0)),"Not on this contract's kit list"))</f>
        <v/>
      </c>
      <c r="H1266" s="83" t="str">
        <f aca="false">IF(AND(B1266="",C1266="",D1266=""),"",IF(B1266="","Missing contract",IF(C1266="","Missing code",IF(LEFT(G1266,3)="Not","Wrong code",IF(D1266="","Missing qty",IF(A1266="","Missing date",""))))))</f>
        <v/>
      </c>
      <c r="I1266" s="84" t="str">
        <f aca="false">IF(B1266=Dashboard!$D$3,ROW(),"")</f>
        <v/>
      </c>
    </row>
    <row r="1267" customFormat="false" ht="15" hidden="false" customHeight="false" outlineLevel="0" collapsed="false">
      <c r="A1267" s="80"/>
      <c r="B1267" s="71"/>
      <c r="C1267" s="71"/>
      <c r="D1267" s="81"/>
      <c r="E1267" s="71"/>
      <c r="F1267" s="71"/>
      <c r="G1267" s="82" t="str">
        <f aca="false">IF(C1267="","",IFERROR(INDEX('Kit Lists'!$D$6:$D$605,MATCH(B1267&amp;"|"&amp;C1267,'Kit Lists'!$J$6:$J$605,0)),"Not on this contract's kit list"))</f>
        <v/>
      </c>
      <c r="H1267" s="83" t="str">
        <f aca="false">IF(AND(B1267="",C1267="",D1267=""),"",IF(B1267="","Missing contract",IF(C1267="","Missing code",IF(LEFT(G1267,3)="Not","Wrong code",IF(D1267="","Missing qty",IF(A1267="","Missing date",""))))))</f>
        <v/>
      </c>
      <c r="I1267" s="84" t="str">
        <f aca="false">IF(B1267=Dashboard!$D$3,ROW(),"")</f>
        <v/>
      </c>
    </row>
    <row r="1268" customFormat="false" ht="15" hidden="false" customHeight="false" outlineLevel="0" collapsed="false">
      <c r="A1268" s="80"/>
      <c r="B1268" s="71"/>
      <c r="C1268" s="71"/>
      <c r="D1268" s="81"/>
      <c r="E1268" s="71"/>
      <c r="F1268" s="71"/>
      <c r="G1268" s="82" t="str">
        <f aca="false">IF(C1268="","",IFERROR(INDEX('Kit Lists'!$D$6:$D$605,MATCH(B1268&amp;"|"&amp;C1268,'Kit Lists'!$J$6:$J$605,0)),"Not on this contract's kit list"))</f>
        <v/>
      </c>
      <c r="H1268" s="83" t="str">
        <f aca="false">IF(AND(B1268="",C1268="",D1268=""),"",IF(B1268="","Missing contract",IF(C1268="","Missing code",IF(LEFT(G1268,3)="Not","Wrong code",IF(D1268="","Missing qty",IF(A1268="","Missing date",""))))))</f>
        <v/>
      </c>
      <c r="I1268" s="84" t="str">
        <f aca="false">IF(B1268=Dashboard!$D$3,ROW(),"")</f>
        <v/>
      </c>
    </row>
    <row r="1269" customFormat="false" ht="15" hidden="false" customHeight="false" outlineLevel="0" collapsed="false">
      <c r="A1269" s="80"/>
      <c r="B1269" s="71"/>
      <c r="C1269" s="71"/>
      <c r="D1269" s="81"/>
      <c r="E1269" s="71"/>
      <c r="F1269" s="71"/>
      <c r="G1269" s="82" t="str">
        <f aca="false">IF(C1269="","",IFERROR(INDEX('Kit Lists'!$D$6:$D$605,MATCH(B1269&amp;"|"&amp;C1269,'Kit Lists'!$J$6:$J$605,0)),"Not on this contract's kit list"))</f>
        <v/>
      </c>
      <c r="H1269" s="83" t="str">
        <f aca="false">IF(AND(B1269="",C1269="",D1269=""),"",IF(B1269="","Missing contract",IF(C1269="","Missing code",IF(LEFT(G1269,3)="Not","Wrong code",IF(D1269="","Missing qty",IF(A1269="","Missing date",""))))))</f>
        <v/>
      </c>
      <c r="I1269" s="84" t="str">
        <f aca="false">IF(B1269=Dashboard!$D$3,ROW(),"")</f>
        <v/>
      </c>
    </row>
    <row r="1270" customFormat="false" ht="15" hidden="false" customHeight="false" outlineLevel="0" collapsed="false">
      <c r="A1270" s="80"/>
      <c r="B1270" s="71"/>
      <c r="C1270" s="71"/>
      <c r="D1270" s="81"/>
      <c r="E1270" s="71"/>
      <c r="F1270" s="71"/>
      <c r="G1270" s="82" t="str">
        <f aca="false">IF(C1270="","",IFERROR(INDEX('Kit Lists'!$D$6:$D$605,MATCH(B1270&amp;"|"&amp;C1270,'Kit Lists'!$J$6:$J$605,0)),"Not on this contract's kit list"))</f>
        <v/>
      </c>
      <c r="H1270" s="83" t="str">
        <f aca="false">IF(AND(B1270="",C1270="",D1270=""),"",IF(B1270="","Missing contract",IF(C1270="","Missing code",IF(LEFT(G1270,3)="Not","Wrong code",IF(D1270="","Missing qty",IF(A1270="","Missing date",""))))))</f>
        <v/>
      </c>
      <c r="I1270" s="84" t="str">
        <f aca="false">IF(B1270=Dashboard!$D$3,ROW(),"")</f>
        <v/>
      </c>
    </row>
    <row r="1271" customFormat="false" ht="15" hidden="false" customHeight="false" outlineLevel="0" collapsed="false">
      <c r="A1271" s="80"/>
      <c r="B1271" s="71"/>
      <c r="C1271" s="71"/>
      <c r="D1271" s="81"/>
      <c r="E1271" s="71"/>
      <c r="F1271" s="71"/>
      <c r="G1271" s="82" t="str">
        <f aca="false">IF(C1271="","",IFERROR(INDEX('Kit Lists'!$D$6:$D$605,MATCH(B1271&amp;"|"&amp;C1271,'Kit Lists'!$J$6:$J$605,0)),"Not on this contract's kit list"))</f>
        <v/>
      </c>
      <c r="H1271" s="83" t="str">
        <f aca="false">IF(AND(B1271="",C1271="",D1271=""),"",IF(B1271="","Missing contract",IF(C1271="","Missing code",IF(LEFT(G1271,3)="Not","Wrong code",IF(D1271="","Missing qty",IF(A1271="","Missing date",""))))))</f>
        <v/>
      </c>
      <c r="I1271" s="84" t="str">
        <f aca="false">IF(B1271=Dashboard!$D$3,ROW(),"")</f>
        <v/>
      </c>
    </row>
    <row r="1272" customFormat="false" ht="15" hidden="false" customHeight="false" outlineLevel="0" collapsed="false">
      <c r="A1272" s="80"/>
      <c r="B1272" s="71"/>
      <c r="C1272" s="71"/>
      <c r="D1272" s="81"/>
      <c r="E1272" s="71"/>
      <c r="F1272" s="71"/>
      <c r="G1272" s="82" t="str">
        <f aca="false">IF(C1272="","",IFERROR(INDEX('Kit Lists'!$D$6:$D$605,MATCH(B1272&amp;"|"&amp;C1272,'Kit Lists'!$J$6:$J$605,0)),"Not on this contract's kit list"))</f>
        <v/>
      </c>
      <c r="H1272" s="83" t="str">
        <f aca="false">IF(AND(B1272="",C1272="",D1272=""),"",IF(B1272="","Missing contract",IF(C1272="","Missing code",IF(LEFT(G1272,3)="Not","Wrong code",IF(D1272="","Missing qty",IF(A1272="","Missing date",""))))))</f>
        <v/>
      </c>
      <c r="I1272" s="84" t="str">
        <f aca="false">IF(B1272=Dashboard!$D$3,ROW(),"")</f>
        <v/>
      </c>
    </row>
    <row r="1273" customFormat="false" ht="15" hidden="false" customHeight="false" outlineLevel="0" collapsed="false">
      <c r="A1273" s="80"/>
      <c r="B1273" s="71"/>
      <c r="C1273" s="71"/>
      <c r="D1273" s="81"/>
      <c r="E1273" s="71"/>
      <c r="F1273" s="71"/>
      <c r="G1273" s="82" t="str">
        <f aca="false">IF(C1273="","",IFERROR(INDEX('Kit Lists'!$D$6:$D$605,MATCH(B1273&amp;"|"&amp;C1273,'Kit Lists'!$J$6:$J$605,0)),"Not on this contract's kit list"))</f>
        <v/>
      </c>
      <c r="H1273" s="83" t="str">
        <f aca="false">IF(AND(B1273="",C1273="",D1273=""),"",IF(B1273="","Missing contract",IF(C1273="","Missing code",IF(LEFT(G1273,3)="Not","Wrong code",IF(D1273="","Missing qty",IF(A1273="","Missing date",""))))))</f>
        <v/>
      </c>
      <c r="I1273" s="84" t="str">
        <f aca="false">IF(B1273=Dashboard!$D$3,ROW(),"")</f>
        <v/>
      </c>
    </row>
    <row r="1274" customFormat="false" ht="15" hidden="false" customHeight="false" outlineLevel="0" collapsed="false">
      <c r="A1274" s="80"/>
      <c r="B1274" s="71"/>
      <c r="C1274" s="71"/>
      <c r="D1274" s="81"/>
      <c r="E1274" s="71"/>
      <c r="F1274" s="71"/>
      <c r="G1274" s="82" t="str">
        <f aca="false">IF(C1274="","",IFERROR(INDEX('Kit Lists'!$D$6:$D$605,MATCH(B1274&amp;"|"&amp;C1274,'Kit Lists'!$J$6:$J$605,0)),"Not on this contract's kit list"))</f>
        <v/>
      </c>
      <c r="H1274" s="83" t="str">
        <f aca="false">IF(AND(B1274="",C1274="",D1274=""),"",IF(B1274="","Missing contract",IF(C1274="","Missing code",IF(LEFT(G1274,3)="Not","Wrong code",IF(D1274="","Missing qty",IF(A1274="","Missing date",""))))))</f>
        <v/>
      </c>
      <c r="I1274" s="84" t="str">
        <f aca="false">IF(B1274=Dashboard!$D$3,ROW(),"")</f>
        <v/>
      </c>
    </row>
    <row r="1275" customFormat="false" ht="15" hidden="false" customHeight="false" outlineLevel="0" collapsed="false">
      <c r="A1275" s="80"/>
      <c r="B1275" s="71"/>
      <c r="C1275" s="71"/>
      <c r="D1275" s="81"/>
      <c r="E1275" s="71"/>
      <c r="F1275" s="71"/>
      <c r="G1275" s="82" t="str">
        <f aca="false">IF(C1275="","",IFERROR(INDEX('Kit Lists'!$D$6:$D$605,MATCH(B1275&amp;"|"&amp;C1275,'Kit Lists'!$J$6:$J$605,0)),"Not on this contract's kit list"))</f>
        <v/>
      </c>
      <c r="H1275" s="83" t="str">
        <f aca="false">IF(AND(B1275="",C1275="",D1275=""),"",IF(B1275="","Missing contract",IF(C1275="","Missing code",IF(LEFT(G1275,3)="Not","Wrong code",IF(D1275="","Missing qty",IF(A1275="","Missing date",""))))))</f>
        <v/>
      </c>
      <c r="I1275" s="84" t="str">
        <f aca="false">IF(B1275=Dashboard!$D$3,ROW(),"")</f>
        <v/>
      </c>
    </row>
    <row r="1276" customFormat="false" ht="15" hidden="false" customHeight="false" outlineLevel="0" collapsed="false">
      <c r="A1276" s="80"/>
      <c r="B1276" s="71"/>
      <c r="C1276" s="71"/>
      <c r="D1276" s="81"/>
      <c r="E1276" s="71"/>
      <c r="F1276" s="71"/>
      <c r="G1276" s="82" t="str">
        <f aca="false">IF(C1276="","",IFERROR(INDEX('Kit Lists'!$D$6:$D$605,MATCH(B1276&amp;"|"&amp;C1276,'Kit Lists'!$J$6:$J$605,0)),"Not on this contract's kit list"))</f>
        <v/>
      </c>
      <c r="H1276" s="83" t="str">
        <f aca="false">IF(AND(B1276="",C1276="",D1276=""),"",IF(B1276="","Missing contract",IF(C1276="","Missing code",IF(LEFT(G1276,3)="Not","Wrong code",IF(D1276="","Missing qty",IF(A1276="","Missing date",""))))))</f>
        <v/>
      </c>
      <c r="I1276" s="84" t="str">
        <f aca="false">IF(B1276=Dashboard!$D$3,ROW(),"")</f>
        <v/>
      </c>
    </row>
    <row r="1277" customFormat="false" ht="15" hidden="false" customHeight="false" outlineLevel="0" collapsed="false">
      <c r="A1277" s="80"/>
      <c r="B1277" s="71"/>
      <c r="C1277" s="71"/>
      <c r="D1277" s="81"/>
      <c r="E1277" s="71"/>
      <c r="F1277" s="71"/>
      <c r="G1277" s="82" t="str">
        <f aca="false">IF(C1277="","",IFERROR(INDEX('Kit Lists'!$D$6:$D$605,MATCH(B1277&amp;"|"&amp;C1277,'Kit Lists'!$J$6:$J$605,0)),"Not on this contract's kit list"))</f>
        <v/>
      </c>
      <c r="H1277" s="83" t="str">
        <f aca="false">IF(AND(B1277="",C1277="",D1277=""),"",IF(B1277="","Missing contract",IF(C1277="","Missing code",IF(LEFT(G1277,3)="Not","Wrong code",IF(D1277="","Missing qty",IF(A1277="","Missing date",""))))))</f>
        <v/>
      </c>
      <c r="I1277" s="84" t="str">
        <f aca="false">IF(B1277=Dashboard!$D$3,ROW(),"")</f>
        <v/>
      </c>
    </row>
    <row r="1278" customFormat="false" ht="15" hidden="false" customHeight="false" outlineLevel="0" collapsed="false">
      <c r="A1278" s="80"/>
      <c r="B1278" s="71"/>
      <c r="C1278" s="71"/>
      <c r="D1278" s="81"/>
      <c r="E1278" s="71"/>
      <c r="F1278" s="71"/>
      <c r="G1278" s="82" t="str">
        <f aca="false">IF(C1278="","",IFERROR(INDEX('Kit Lists'!$D$6:$D$605,MATCH(B1278&amp;"|"&amp;C1278,'Kit Lists'!$J$6:$J$605,0)),"Not on this contract's kit list"))</f>
        <v/>
      </c>
      <c r="H1278" s="83" t="str">
        <f aca="false">IF(AND(B1278="",C1278="",D1278=""),"",IF(B1278="","Missing contract",IF(C1278="","Missing code",IF(LEFT(G1278,3)="Not","Wrong code",IF(D1278="","Missing qty",IF(A1278="","Missing date",""))))))</f>
        <v/>
      </c>
      <c r="I1278" s="84" t="str">
        <f aca="false">IF(B1278=Dashboard!$D$3,ROW(),"")</f>
        <v/>
      </c>
    </row>
    <row r="1279" customFormat="false" ht="15" hidden="false" customHeight="false" outlineLevel="0" collapsed="false">
      <c r="A1279" s="80"/>
      <c r="B1279" s="71"/>
      <c r="C1279" s="71"/>
      <c r="D1279" s="81"/>
      <c r="E1279" s="71"/>
      <c r="F1279" s="71"/>
      <c r="G1279" s="82" t="str">
        <f aca="false">IF(C1279="","",IFERROR(INDEX('Kit Lists'!$D$6:$D$605,MATCH(B1279&amp;"|"&amp;C1279,'Kit Lists'!$J$6:$J$605,0)),"Not on this contract's kit list"))</f>
        <v/>
      </c>
      <c r="H1279" s="83" t="str">
        <f aca="false">IF(AND(B1279="",C1279="",D1279=""),"",IF(B1279="","Missing contract",IF(C1279="","Missing code",IF(LEFT(G1279,3)="Not","Wrong code",IF(D1279="","Missing qty",IF(A1279="","Missing date",""))))))</f>
        <v/>
      </c>
      <c r="I1279" s="84" t="str">
        <f aca="false">IF(B1279=Dashboard!$D$3,ROW(),"")</f>
        <v/>
      </c>
    </row>
    <row r="1280" customFormat="false" ht="15" hidden="false" customHeight="false" outlineLevel="0" collapsed="false">
      <c r="A1280" s="80"/>
      <c r="B1280" s="71"/>
      <c r="C1280" s="71"/>
      <c r="D1280" s="81"/>
      <c r="E1280" s="71"/>
      <c r="F1280" s="71"/>
      <c r="G1280" s="82" t="str">
        <f aca="false">IF(C1280="","",IFERROR(INDEX('Kit Lists'!$D$6:$D$605,MATCH(B1280&amp;"|"&amp;C1280,'Kit Lists'!$J$6:$J$605,0)),"Not on this contract's kit list"))</f>
        <v/>
      </c>
      <c r="H1280" s="83" t="str">
        <f aca="false">IF(AND(B1280="",C1280="",D1280=""),"",IF(B1280="","Missing contract",IF(C1280="","Missing code",IF(LEFT(G1280,3)="Not","Wrong code",IF(D1280="","Missing qty",IF(A1280="","Missing date",""))))))</f>
        <v/>
      </c>
      <c r="I1280" s="84" t="str">
        <f aca="false">IF(B1280=Dashboard!$D$3,ROW(),"")</f>
        <v/>
      </c>
    </row>
    <row r="1281" customFormat="false" ht="15" hidden="false" customHeight="false" outlineLevel="0" collapsed="false">
      <c r="A1281" s="80"/>
      <c r="B1281" s="71"/>
      <c r="C1281" s="71"/>
      <c r="D1281" s="81"/>
      <c r="E1281" s="71"/>
      <c r="F1281" s="71"/>
      <c r="G1281" s="82" t="str">
        <f aca="false">IF(C1281="","",IFERROR(INDEX('Kit Lists'!$D$6:$D$605,MATCH(B1281&amp;"|"&amp;C1281,'Kit Lists'!$J$6:$J$605,0)),"Not on this contract's kit list"))</f>
        <v/>
      </c>
      <c r="H1281" s="83" t="str">
        <f aca="false">IF(AND(B1281="",C1281="",D1281=""),"",IF(B1281="","Missing contract",IF(C1281="","Missing code",IF(LEFT(G1281,3)="Not","Wrong code",IF(D1281="","Missing qty",IF(A1281="","Missing date",""))))))</f>
        <v/>
      </c>
      <c r="I1281" s="84" t="str">
        <f aca="false">IF(B1281=Dashboard!$D$3,ROW(),"")</f>
        <v/>
      </c>
    </row>
    <row r="1282" customFormat="false" ht="15" hidden="false" customHeight="false" outlineLevel="0" collapsed="false">
      <c r="A1282" s="80"/>
      <c r="B1282" s="71"/>
      <c r="C1282" s="71"/>
      <c r="D1282" s="81"/>
      <c r="E1282" s="71"/>
      <c r="F1282" s="71"/>
      <c r="G1282" s="82" t="str">
        <f aca="false">IF(C1282="","",IFERROR(INDEX('Kit Lists'!$D$6:$D$605,MATCH(B1282&amp;"|"&amp;C1282,'Kit Lists'!$J$6:$J$605,0)),"Not on this contract's kit list"))</f>
        <v/>
      </c>
      <c r="H1282" s="83" t="str">
        <f aca="false">IF(AND(B1282="",C1282="",D1282=""),"",IF(B1282="","Missing contract",IF(C1282="","Missing code",IF(LEFT(G1282,3)="Not","Wrong code",IF(D1282="","Missing qty",IF(A1282="","Missing date",""))))))</f>
        <v/>
      </c>
      <c r="I1282" s="84" t="str">
        <f aca="false">IF(B1282=Dashboard!$D$3,ROW(),"")</f>
        <v/>
      </c>
    </row>
    <row r="1283" customFormat="false" ht="15" hidden="false" customHeight="false" outlineLevel="0" collapsed="false">
      <c r="A1283" s="80"/>
      <c r="B1283" s="71"/>
      <c r="C1283" s="71"/>
      <c r="D1283" s="81"/>
      <c r="E1283" s="71"/>
      <c r="F1283" s="71"/>
      <c r="G1283" s="82" t="str">
        <f aca="false">IF(C1283="","",IFERROR(INDEX('Kit Lists'!$D$6:$D$605,MATCH(B1283&amp;"|"&amp;C1283,'Kit Lists'!$J$6:$J$605,0)),"Not on this contract's kit list"))</f>
        <v/>
      </c>
      <c r="H1283" s="83" t="str">
        <f aca="false">IF(AND(B1283="",C1283="",D1283=""),"",IF(B1283="","Missing contract",IF(C1283="","Missing code",IF(LEFT(G1283,3)="Not","Wrong code",IF(D1283="","Missing qty",IF(A1283="","Missing date",""))))))</f>
        <v/>
      </c>
      <c r="I1283" s="84" t="str">
        <f aca="false">IF(B1283=Dashboard!$D$3,ROW(),"")</f>
        <v/>
      </c>
    </row>
    <row r="1284" customFormat="false" ht="15" hidden="false" customHeight="false" outlineLevel="0" collapsed="false">
      <c r="A1284" s="80"/>
      <c r="B1284" s="71"/>
      <c r="C1284" s="71"/>
      <c r="D1284" s="81"/>
      <c r="E1284" s="71"/>
      <c r="F1284" s="71"/>
      <c r="G1284" s="82" t="str">
        <f aca="false">IF(C1284="","",IFERROR(INDEX('Kit Lists'!$D$6:$D$605,MATCH(B1284&amp;"|"&amp;C1284,'Kit Lists'!$J$6:$J$605,0)),"Not on this contract's kit list"))</f>
        <v/>
      </c>
      <c r="H1284" s="83" t="str">
        <f aca="false">IF(AND(B1284="",C1284="",D1284=""),"",IF(B1284="","Missing contract",IF(C1284="","Missing code",IF(LEFT(G1284,3)="Not","Wrong code",IF(D1284="","Missing qty",IF(A1284="","Missing date",""))))))</f>
        <v/>
      </c>
      <c r="I1284" s="84" t="str">
        <f aca="false">IF(B1284=Dashboard!$D$3,ROW(),"")</f>
        <v/>
      </c>
    </row>
    <row r="1285" customFormat="false" ht="15" hidden="false" customHeight="false" outlineLevel="0" collapsed="false">
      <c r="A1285" s="80"/>
      <c r="B1285" s="71"/>
      <c r="C1285" s="71"/>
      <c r="D1285" s="81"/>
      <c r="E1285" s="71"/>
      <c r="F1285" s="71"/>
      <c r="G1285" s="82" t="str">
        <f aca="false">IF(C1285="","",IFERROR(INDEX('Kit Lists'!$D$6:$D$605,MATCH(B1285&amp;"|"&amp;C1285,'Kit Lists'!$J$6:$J$605,0)),"Not on this contract's kit list"))</f>
        <v/>
      </c>
      <c r="H1285" s="83" t="str">
        <f aca="false">IF(AND(B1285="",C1285="",D1285=""),"",IF(B1285="","Missing contract",IF(C1285="","Missing code",IF(LEFT(G1285,3)="Not","Wrong code",IF(D1285="","Missing qty",IF(A1285="","Missing date",""))))))</f>
        <v/>
      </c>
      <c r="I1285" s="84" t="str">
        <f aca="false">IF(B1285=Dashboard!$D$3,ROW(),"")</f>
        <v/>
      </c>
    </row>
    <row r="1286" customFormat="false" ht="15" hidden="false" customHeight="false" outlineLevel="0" collapsed="false">
      <c r="A1286" s="80"/>
      <c r="B1286" s="71"/>
      <c r="C1286" s="71"/>
      <c r="D1286" s="81"/>
      <c r="E1286" s="71"/>
      <c r="F1286" s="71"/>
      <c r="G1286" s="82" t="str">
        <f aca="false">IF(C1286="","",IFERROR(INDEX('Kit Lists'!$D$6:$D$605,MATCH(B1286&amp;"|"&amp;C1286,'Kit Lists'!$J$6:$J$605,0)),"Not on this contract's kit list"))</f>
        <v/>
      </c>
      <c r="H1286" s="83" t="str">
        <f aca="false">IF(AND(B1286="",C1286="",D1286=""),"",IF(B1286="","Missing contract",IF(C1286="","Missing code",IF(LEFT(G1286,3)="Not","Wrong code",IF(D1286="","Missing qty",IF(A1286="","Missing date",""))))))</f>
        <v/>
      </c>
      <c r="I1286" s="84" t="str">
        <f aca="false">IF(B1286=Dashboard!$D$3,ROW(),"")</f>
        <v/>
      </c>
    </row>
    <row r="1287" customFormat="false" ht="15" hidden="false" customHeight="false" outlineLevel="0" collapsed="false">
      <c r="A1287" s="80"/>
      <c r="B1287" s="71"/>
      <c r="C1287" s="71"/>
      <c r="D1287" s="81"/>
      <c r="E1287" s="71"/>
      <c r="F1287" s="71"/>
      <c r="G1287" s="82" t="str">
        <f aca="false">IF(C1287="","",IFERROR(INDEX('Kit Lists'!$D$6:$D$605,MATCH(B1287&amp;"|"&amp;C1287,'Kit Lists'!$J$6:$J$605,0)),"Not on this contract's kit list"))</f>
        <v/>
      </c>
      <c r="H1287" s="83" t="str">
        <f aca="false">IF(AND(B1287="",C1287="",D1287=""),"",IF(B1287="","Missing contract",IF(C1287="","Missing code",IF(LEFT(G1287,3)="Not","Wrong code",IF(D1287="","Missing qty",IF(A1287="","Missing date",""))))))</f>
        <v/>
      </c>
      <c r="I1287" s="84" t="str">
        <f aca="false">IF(B1287=Dashboard!$D$3,ROW(),"")</f>
        <v/>
      </c>
    </row>
    <row r="1288" customFormat="false" ht="15" hidden="false" customHeight="false" outlineLevel="0" collapsed="false">
      <c r="A1288" s="80"/>
      <c r="B1288" s="71"/>
      <c r="C1288" s="71"/>
      <c r="D1288" s="81"/>
      <c r="E1288" s="71"/>
      <c r="F1288" s="71"/>
      <c r="G1288" s="82" t="str">
        <f aca="false">IF(C1288="","",IFERROR(INDEX('Kit Lists'!$D$6:$D$605,MATCH(B1288&amp;"|"&amp;C1288,'Kit Lists'!$J$6:$J$605,0)),"Not on this contract's kit list"))</f>
        <v/>
      </c>
      <c r="H1288" s="83" t="str">
        <f aca="false">IF(AND(B1288="",C1288="",D1288=""),"",IF(B1288="","Missing contract",IF(C1288="","Missing code",IF(LEFT(G1288,3)="Not","Wrong code",IF(D1288="","Missing qty",IF(A1288="","Missing date",""))))))</f>
        <v/>
      </c>
      <c r="I1288" s="84" t="str">
        <f aca="false">IF(B1288=Dashboard!$D$3,ROW(),"")</f>
        <v/>
      </c>
    </row>
    <row r="1289" customFormat="false" ht="15" hidden="false" customHeight="false" outlineLevel="0" collapsed="false">
      <c r="A1289" s="80"/>
      <c r="B1289" s="71"/>
      <c r="C1289" s="71"/>
      <c r="D1289" s="81"/>
      <c r="E1289" s="71"/>
      <c r="F1289" s="71"/>
      <c r="G1289" s="82" t="str">
        <f aca="false">IF(C1289="","",IFERROR(INDEX('Kit Lists'!$D$6:$D$605,MATCH(B1289&amp;"|"&amp;C1289,'Kit Lists'!$J$6:$J$605,0)),"Not on this contract's kit list"))</f>
        <v/>
      </c>
      <c r="H1289" s="83" t="str">
        <f aca="false">IF(AND(B1289="",C1289="",D1289=""),"",IF(B1289="","Missing contract",IF(C1289="","Missing code",IF(LEFT(G1289,3)="Not","Wrong code",IF(D1289="","Missing qty",IF(A1289="","Missing date",""))))))</f>
        <v/>
      </c>
      <c r="I1289" s="84" t="str">
        <f aca="false">IF(B1289=Dashboard!$D$3,ROW(),"")</f>
        <v/>
      </c>
    </row>
    <row r="1290" customFormat="false" ht="15" hidden="false" customHeight="false" outlineLevel="0" collapsed="false">
      <c r="A1290" s="80"/>
      <c r="B1290" s="71"/>
      <c r="C1290" s="71"/>
      <c r="D1290" s="81"/>
      <c r="E1290" s="71"/>
      <c r="F1290" s="71"/>
      <c r="G1290" s="82" t="str">
        <f aca="false">IF(C1290="","",IFERROR(INDEX('Kit Lists'!$D$6:$D$605,MATCH(B1290&amp;"|"&amp;C1290,'Kit Lists'!$J$6:$J$605,0)),"Not on this contract's kit list"))</f>
        <v/>
      </c>
      <c r="H1290" s="83" t="str">
        <f aca="false">IF(AND(B1290="",C1290="",D1290=""),"",IF(B1290="","Missing contract",IF(C1290="","Missing code",IF(LEFT(G1290,3)="Not","Wrong code",IF(D1290="","Missing qty",IF(A1290="","Missing date",""))))))</f>
        <v/>
      </c>
      <c r="I1290" s="84" t="str">
        <f aca="false">IF(B1290=Dashboard!$D$3,ROW(),"")</f>
        <v/>
      </c>
    </row>
    <row r="1291" customFormat="false" ht="15" hidden="false" customHeight="false" outlineLevel="0" collapsed="false">
      <c r="A1291" s="80"/>
      <c r="B1291" s="71"/>
      <c r="C1291" s="71"/>
      <c r="D1291" s="81"/>
      <c r="E1291" s="71"/>
      <c r="F1291" s="71"/>
      <c r="G1291" s="82" t="str">
        <f aca="false">IF(C1291="","",IFERROR(INDEX('Kit Lists'!$D$6:$D$605,MATCH(B1291&amp;"|"&amp;C1291,'Kit Lists'!$J$6:$J$605,0)),"Not on this contract's kit list"))</f>
        <v/>
      </c>
      <c r="H1291" s="83" t="str">
        <f aca="false">IF(AND(B1291="",C1291="",D1291=""),"",IF(B1291="","Missing contract",IF(C1291="","Missing code",IF(LEFT(G1291,3)="Not","Wrong code",IF(D1291="","Missing qty",IF(A1291="","Missing date",""))))))</f>
        <v/>
      </c>
      <c r="I1291" s="84" t="str">
        <f aca="false">IF(B1291=Dashboard!$D$3,ROW(),"")</f>
        <v/>
      </c>
    </row>
    <row r="1292" customFormat="false" ht="15" hidden="false" customHeight="false" outlineLevel="0" collapsed="false">
      <c r="A1292" s="80"/>
      <c r="B1292" s="71"/>
      <c r="C1292" s="71"/>
      <c r="D1292" s="81"/>
      <c r="E1292" s="71"/>
      <c r="F1292" s="71"/>
      <c r="G1292" s="82" t="str">
        <f aca="false">IF(C1292="","",IFERROR(INDEX('Kit Lists'!$D$6:$D$605,MATCH(B1292&amp;"|"&amp;C1292,'Kit Lists'!$J$6:$J$605,0)),"Not on this contract's kit list"))</f>
        <v/>
      </c>
      <c r="H1292" s="83" t="str">
        <f aca="false">IF(AND(B1292="",C1292="",D1292=""),"",IF(B1292="","Missing contract",IF(C1292="","Missing code",IF(LEFT(G1292,3)="Not","Wrong code",IF(D1292="","Missing qty",IF(A1292="","Missing date",""))))))</f>
        <v/>
      </c>
      <c r="I1292" s="84" t="str">
        <f aca="false">IF(B1292=Dashboard!$D$3,ROW(),"")</f>
        <v/>
      </c>
    </row>
    <row r="1293" customFormat="false" ht="15" hidden="false" customHeight="false" outlineLevel="0" collapsed="false">
      <c r="A1293" s="80"/>
      <c r="B1293" s="71"/>
      <c r="C1293" s="71"/>
      <c r="D1293" s="81"/>
      <c r="E1293" s="71"/>
      <c r="F1293" s="71"/>
      <c r="G1293" s="82" t="str">
        <f aca="false">IF(C1293="","",IFERROR(INDEX('Kit Lists'!$D$6:$D$605,MATCH(B1293&amp;"|"&amp;C1293,'Kit Lists'!$J$6:$J$605,0)),"Not on this contract's kit list"))</f>
        <v/>
      </c>
      <c r="H1293" s="83" t="str">
        <f aca="false">IF(AND(B1293="",C1293="",D1293=""),"",IF(B1293="","Missing contract",IF(C1293="","Missing code",IF(LEFT(G1293,3)="Not","Wrong code",IF(D1293="","Missing qty",IF(A1293="","Missing date",""))))))</f>
        <v/>
      </c>
      <c r="I1293" s="84" t="str">
        <f aca="false">IF(B1293=Dashboard!$D$3,ROW(),"")</f>
        <v/>
      </c>
    </row>
    <row r="1294" customFormat="false" ht="15" hidden="false" customHeight="false" outlineLevel="0" collapsed="false">
      <c r="A1294" s="80"/>
      <c r="B1294" s="71"/>
      <c r="C1294" s="71"/>
      <c r="D1294" s="81"/>
      <c r="E1294" s="71"/>
      <c r="F1294" s="71"/>
      <c r="G1294" s="82" t="str">
        <f aca="false">IF(C1294="","",IFERROR(INDEX('Kit Lists'!$D$6:$D$605,MATCH(B1294&amp;"|"&amp;C1294,'Kit Lists'!$J$6:$J$605,0)),"Not on this contract's kit list"))</f>
        <v/>
      </c>
      <c r="H1294" s="83" t="str">
        <f aca="false">IF(AND(B1294="",C1294="",D1294=""),"",IF(B1294="","Missing contract",IF(C1294="","Missing code",IF(LEFT(G1294,3)="Not","Wrong code",IF(D1294="","Missing qty",IF(A1294="","Missing date",""))))))</f>
        <v/>
      </c>
      <c r="I1294" s="84" t="str">
        <f aca="false">IF(B1294=Dashboard!$D$3,ROW(),"")</f>
        <v/>
      </c>
    </row>
    <row r="1295" customFormat="false" ht="15" hidden="false" customHeight="false" outlineLevel="0" collapsed="false">
      <c r="A1295" s="80"/>
      <c r="B1295" s="71"/>
      <c r="C1295" s="71"/>
      <c r="D1295" s="81"/>
      <c r="E1295" s="71"/>
      <c r="F1295" s="71"/>
      <c r="G1295" s="82" t="str">
        <f aca="false">IF(C1295="","",IFERROR(INDEX('Kit Lists'!$D$6:$D$605,MATCH(B1295&amp;"|"&amp;C1295,'Kit Lists'!$J$6:$J$605,0)),"Not on this contract's kit list"))</f>
        <v/>
      </c>
      <c r="H1295" s="83" t="str">
        <f aca="false">IF(AND(B1295="",C1295="",D1295=""),"",IF(B1295="","Missing contract",IF(C1295="","Missing code",IF(LEFT(G1295,3)="Not","Wrong code",IF(D1295="","Missing qty",IF(A1295="","Missing date",""))))))</f>
        <v/>
      </c>
      <c r="I1295" s="84" t="str">
        <f aca="false">IF(B1295=Dashboard!$D$3,ROW(),"")</f>
        <v/>
      </c>
    </row>
    <row r="1296" customFormat="false" ht="15" hidden="false" customHeight="false" outlineLevel="0" collapsed="false">
      <c r="A1296" s="80"/>
      <c r="B1296" s="71"/>
      <c r="C1296" s="71"/>
      <c r="D1296" s="81"/>
      <c r="E1296" s="71"/>
      <c r="F1296" s="71"/>
      <c r="G1296" s="82" t="str">
        <f aca="false">IF(C1296="","",IFERROR(INDEX('Kit Lists'!$D$6:$D$605,MATCH(B1296&amp;"|"&amp;C1296,'Kit Lists'!$J$6:$J$605,0)),"Not on this contract's kit list"))</f>
        <v/>
      </c>
      <c r="H1296" s="83" t="str">
        <f aca="false">IF(AND(B1296="",C1296="",D1296=""),"",IF(B1296="","Missing contract",IF(C1296="","Missing code",IF(LEFT(G1296,3)="Not","Wrong code",IF(D1296="","Missing qty",IF(A1296="","Missing date",""))))))</f>
        <v/>
      </c>
      <c r="I1296" s="84" t="str">
        <f aca="false">IF(B1296=Dashboard!$D$3,ROW(),"")</f>
        <v/>
      </c>
    </row>
    <row r="1297" customFormat="false" ht="15" hidden="false" customHeight="false" outlineLevel="0" collapsed="false">
      <c r="A1297" s="80"/>
      <c r="B1297" s="71"/>
      <c r="C1297" s="71"/>
      <c r="D1297" s="81"/>
      <c r="E1297" s="71"/>
      <c r="F1297" s="71"/>
      <c r="G1297" s="82" t="str">
        <f aca="false">IF(C1297="","",IFERROR(INDEX('Kit Lists'!$D$6:$D$605,MATCH(B1297&amp;"|"&amp;C1297,'Kit Lists'!$J$6:$J$605,0)),"Not on this contract's kit list"))</f>
        <v/>
      </c>
      <c r="H1297" s="83" t="str">
        <f aca="false">IF(AND(B1297="",C1297="",D1297=""),"",IF(B1297="","Missing contract",IF(C1297="","Missing code",IF(LEFT(G1297,3)="Not","Wrong code",IF(D1297="","Missing qty",IF(A1297="","Missing date",""))))))</f>
        <v/>
      </c>
      <c r="I1297" s="84" t="str">
        <f aca="false">IF(B1297=Dashboard!$D$3,ROW(),"")</f>
        <v/>
      </c>
    </row>
    <row r="1298" customFormat="false" ht="15" hidden="false" customHeight="false" outlineLevel="0" collapsed="false">
      <c r="A1298" s="80"/>
      <c r="B1298" s="71"/>
      <c r="C1298" s="71"/>
      <c r="D1298" s="81"/>
      <c r="E1298" s="71"/>
      <c r="F1298" s="71"/>
      <c r="G1298" s="82" t="str">
        <f aca="false">IF(C1298="","",IFERROR(INDEX('Kit Lists'!$D$6:$D$605,MATCH(B1298&amp;"|"&amp;C1298,'Kit Lists'!$J$6:$J$605,0)),"Not on this contract's kit list"))</f>
        <v/>
      </c>
      <c r="H1298" s="83" t="str">
        <f aca="false">IF(AND(B1298="",C1298="",D1298=""),"",IF(B1298="","Missing contract",IF(C1298="","Missing code",IF(LEFT(G1298,3)="Not","Wrong code",IF(D1298="","Missing qty",IF(A1298="","Missing date",""))))))</f>
        <v/>
      </c>
      <c r="I1298" s="84" t="str">
        <f aca="false">IF(B1298=Dashboard!$D$3,ROW(),"")</f>
        <v/>
      </c>
    </row>
    <row r="1299" customFormat="false" ht="15" hidden="false" customHeight="false" outlineLevel="0" collapsed="false">
      <c r="A1299" s="80"/>
      <c r="B1299" s="71"/>
      <c r="C1299" s="71"/>
      <c r="D1299" s="81"/>
      <c r="E1299" s="71"/>
      <c r="F1299" s="71"/>
      <c r="G1299" s="82" t="str">
        <f aca="false">IF(C1299="","",IFERROR(INDEX('Kit Lists'!$D$6:$D$605,MATCH(B1299&amp;"|"&amp;C1299,'Kit Lists'!$J$6:$J$605,0)),"Not on this contract's kit list"))</f>
        <v/>
      </c>
      <c r="H1299" s="83" t="str">
        <f aca="false">IF(AND(B1299="",C1299="",D1299=""),"",IF(B1299="","Missing contract",IF(C1299="","Missing code",IF(LEFT(G1299,3)="Not","Wrong code",IF(D1299="","Missing qty",IF(A1299="","Missing date",""))))))</f>
        <v/>
      </c>
      <c r="I1299" s="84" t="str">
        <f aca="false">IF(B1299=Dashboard!$D$3,ROW(),"")</f>
        <v/>
      </c>
    </row>
    <row r="1300" customFormat="false" ht="15" hidden="false" customHeight="false" outlineLevel="0" collapsed="false">
      <c r="A1300" s="80"/>
      <c r="B1300" s="71"/>
      <c r="C1300" s="71"/>
      <c r="D1300" s="81"/>
      <c r="E1300" s="71"/>
      <c r="F1300" s="71"/>
      <c r="G1300" s="82" t="str">
        <f aca="false">IF(C1300="","",IFERROR(INDEX('Kit Lists'!$D$6:$D$605,MATCH(B1300&amp;"|"&amp;C1300,'Kit Lists'!$J$6:$J$605,0)),"Not on this contract's kit list"))</f>
        <v/>
      </c>
      <c r="H1300" s="83" t="str">
        <f aca="false">IF(AND(B1300="",C1300="",D1300=""),"",IF(B1300="","Missing contract",IF(C1300="","Missing code",IF(LEFT(G1300,3)="Not","Wrong code",IF(D1300="","Missing qty",IF(A1300="","Missing date",""))))))</f>
        <v/>
      </c>
      <c r="I1300" s="84" t="str">
        <f aca="false">IF(B1300=Dashboard!$D$3,ROW(),"")</f>
        <v/>
      </c>
    </row>
    <row r="1301" customFormat="false" ht="15" hidden="false" customHeight="false" outlineLevel="0" collapsed="false">
      <c r="A1301" s="80"/>
      <c r="B1301" s="71"/>
      <c r="C1301" s="71"/>
      <c r="D1301" s="81"/>
      <c r="E1301" s="71"/>
      <c r="F1301" s="71"/>
      <c r="G1301" s="82" t="str">
        <f aca="false">IF(C1301="","",IFERROR(INDEX('Kit Lists'!$D$6:$D$605,MATCH(B1301&amp;"|"&amp;C1301,'Kit Lists'!$J$6:$J$605,0)),"Not on this contract's kit list"))</f>
        <v/>
      </c>
      <c r="H1301" s="83" t="str">
        <f aca="false">IF(AND(B1301="",C1301="",D1301=""),"",IF(B1301="","Missing contract",IF(C1301="","Missing code",IF(LEFT(G1301,3)="Not","Wrong code",IF(D1301="","Missing qty",IF(A1301="","Missing date",""))))))</f>
        <v/>
      </c>
      <c r="I1301" s="84" t="str">
        <f aca="false">IF(B1301=Dashboard!$D$3,ROW(),"")</f>
        <v/>
      </c>
    </row>
    <row r="1302" customFormat="false" ht="15" hidden="false" customHeight="false" outlineLevel="0" collapsed="false">
      <c r="A1302" s="80"/>
      <c r="B1302" s="71"/>
      <c r="C1302" s="71"/>
      <c r="D1302" s="81"/>
      <c r="E1302" s="71"/>
      <c r="F1302" s="71"/>
      <c r="G1302" s="82" t="str">
        <f aca="false">IF(C1302="","",IFERROR(INDEX('Kit Lists'!$D$6:$D$605,MATCH(B1302&amp;"|"&amp;C1302,'Kit Lists'!$J$6:$J$605,0)),"Not on this contract's kit list"))</f>
        <v/>
      </c>
      <c r="H1302" s="83" t="str">
        <f aca="false">IF(AND(B1302="",C1302="",D1302=""),"",IF(B1302="","Missing contract",IF(C1302="","Missing code",IF(LEFT(G1302,3)="Not","Wrong code",IF(D1302="","Missing qty",IF(A1302="","Missing date",""))))))</f>
        <v/>
      </c>
      <c r="I1302" s="84" t="str">
        <f aca="false">IF(B1302=Dashboard!$D$3,ROW(),"")</f>
        <v/>
      </c>
    </row>
    <row r="1303" customFormat="false" ht="15" hidden="false" customHeight="false" outlineLevel="0" collapsed="false">
      <c r="A1303" s="80"/>
      <c r="B1303" s="71"/>
      <c r="C1303" s="71"/>
      <c r="D1303" s="81"/>
      <c r="E1303" s="71"/>
      <c r="F1303" s="71"/>
      <c r="G1303" s="82" t="str">
        <f aca="false">IF(C1303="","",IFERROR(INDEX('Kit Lists'!$D$6:$D$605,MATCH(B1303&amp;"|"&amp;C1303,'Kit Lists'!$J$6:$J$605,0)),"Not on this contract's kit list"))</f>
        <v/>
      </c>
      <c r="H1303" s="83" t="str">
        <f aca="false">IF(AND(B1303="",C1303="",D1303=""),"",IF(B1303="","Missing contract",IF(C1303="","Missing code",IF(LEFT(G1303,3)="Not","Wrong code",IF(D1303="","Missing qty",IF(A1303="","Missing date",""))))))</f>
        <v/>
      </c>
      <c r="I1303" s="84" t="str">
        <f aca="false">IF(B1303=Dashboard!$D$3,ROW(),"")</f>
        <v/>
      </c>
    </row>
    <row r="1304" customFormat="false" ht="15" hidden="false" customHeight="false" outlineLevel="0" collapsed="false">
      <c r="A1304" s="80"/>
      <c r="B1304" s="71"/>
      <c r="C1304" s="71"/>
      <c r="D1304" s="81"/>
      <c r="E1304" s="71"/>
      <c r="F1304" s="71"/>
      <c r="G1304" s="82" t="str">
        <f aca="false">IF(C1304="","",IFERROR(INDEX('Kit Lists'!$D$6:$D$605,MATCH(B1304&amp;"|"&amp;C1304,'Kit Lists'!$J$6:$J$605,0)),"Not on this contract's kit list"))</f>
        <v/>
      </c>
      <c r="H1304" s="83" t="str">
        <f aca="false">IF(AND(B1304="",C1304="",D1304=""),"",IF(B1304="","Missing contract",IF(C1304="","Missing code",IF(LEFT(G1304,3)="Not","Wrong code",IF(D1304="","Missing qty",IF(A1304="","Missing date",""))))))</f>
        <v/>
      </c>
      <c r="I1304" s="84" t="str">
        <f aca="false">IF(B1304=Dashboard!$D$3,ROW(),"")</f>
        <v/>
      </c>
    </row>
    <row r="1305" customFormat="false" ht="15" hidden="false" customHeight="false" outlineLevel="0" collapsed="false">
      <c r="A1305" s="80"/>
      <c r="B1305" s="71"/>
      <c r="C1305" s="71"/>
      <c r="D1305" s="81"/>
      <c r="E1305" s="71"/>
      <c r="F1305" s="71"/>
      <c r="G1305" s="82" t="str">
        <f aca="false">IF(C1305="","",IFERROR(INDEX('Kit Lists'!$D$6:$D$605,MATCH(B1305&amp;"|"&amp;C1305,'Kit Lists'!$J$6:$J$605,0)),"Not on this contract's kit list"))</f>
        <v/>
      </c>
      <c r="H1305" s="83" t="str">
        <f aca="false">IF(AND(B1305="",C1305="",D1305=""),"",IF(B1305="","Missing contract",IF(C1305="","Missing code",IF(LEFT(G1305,3)="Not","Wrong code",IF(D1305="","Missing qty",IF(A1305="","Missing date",""))))))</f>
        <v/>
      </c>
      <c r="I1305" s="84" t="str">
        <f aca="false">IF(B1305=Dashboard!$D$3,ROW(),"")</f>
        <v/>
      </c>
    </row>
    <row r="1306" customFormat="false" ht="15" hidden="false" customHeight="false" outlineLevel="0" collapsed="false">
      <c r="A1306" s="80"/>
      <c r="B1306" s="71"/>
      <c r="C1306" s="71"/>
      <c r="D1306" s="81"/>
      <c r="E1306" s="71"/>
      <c r="F1306" s="71"/>
      <c r="G1306" s="82" t="str">
        <f aca="false">IF(C1306="","",IFERROR(INDEX('Kit Lists'!$D$6:$D$605,MATCH(B1306&amp;"|"&amp;C1306,'Kit Lists'!$J$6:$J$605,0)),"Not on this contract's kit list"))</f>
        <v/>
      </c>
      <c r="H1306" s="83" t="str">
        <f aca="false">IF(AND(B1306="",C1306="",D1306=""),"",IF(B1306="","Missing contract",IF(C1306="","Missing code",IF(LEFT(G1306,3)="Not","Wrong code",IF(D1306="","Missing qty",IF(A1306="","Missing date",""))))))</f>
        <v/>
      </c>
      <c r="I1306" s="84" t="str">
        <f aca="false">IF(B1306=Dashboard!$D$3,ROW(),"")</f>
        <v/>
      </c>
    </row>
    <row r="1307" customFormat="false" ht="15" hidden="false" customHeight="false" outlineLevel="0" collapsed="false">
      <c r="A1307" s="80"/>
      <c r="B1307" s="71"/>
      <c r="C1307" s="71"/>
      <c r="D1307" s="81"/>
      <c r="E1307" s="71"/>
      <c r="F1307" s="71"/>
      <c r="G1307" s="82" t="str">
        <f aca="false">IF(C1307="","",IFERROR(INDEX('Kit Lists'!$D$6:$D$605,MATCH(B1307&amp;"|"&amp;C1307,'Kit Lists'!$J$6:$J$605,0)),"Not on this contract's kit list"))</f>
        <v/>
      </c>
      <c r="H1307" s="83" t="str">
        <f aca="false">IF(AND(B1307="",C1307="",D1307=""),"",IF(B1307="","Missing contract",IF(C1307="","Missing code",IF(LEFT(G1307,3)="Not","Wrong code",IF(D1307="","Missing qty",IF(A1307="","Missing date",""))))))</f>
        <v/>
      </c>
      <c r="I1307" s="84" t="str">
        <f aca="false">IF(B1307=Dashboard!$D$3,ROW(),"")</f>
        <v/>
      </c>
    </row>
    <row r="1308" customFormat="false" ht="15" hidden="false" customHeight="false" outlineLevel="0" collapsed="false">
      <c r="A1308" s="80"/>
      <c r="B1308" s="71"/>
      <c r="C1308" s="71"/>
      <c r="D1308" s="81"/>
      <c r="E1308" s="71"/>
      <c r="F1308" s="71"/>
      <c r="G1308" s="82" t="str">
        <f aca="false">IF(C1308="","",IFERROR(INDEX('Kit Lists'!$D$6:$D$605,MATCH(B1308&amp;"|"&amp;C1308,'Kit Lists'!$J$6:$J$605,0)),"Not on this contract's kit list"))</f>
        <v/>
      </c>
      <c r="H1308" s="83" t="str">
        <f aca="false">IF(AND(B1308="",C1308="",D1308=""),"",IF(B1308="","Missing contract",IF(C1308="","Missing code",IF(LEFT(G1308,3)="Not","Wrong code",IF(D1308="","Missing qty",IF(A1308="","Missing date",""))))))</f>
        <v/>
      </c>
      <c r="I1308" s="84" t="str">
        <f aca="false">IF(B1308=Dashboard!$D$3,ROW(),"")</f>
        <v/>
      </c>
    </row>
    <row r="1309" customFormat="false" ht="15" hidden="false" customHeight="false" outlineLevel="0" collapsed="false">
      <c r="A1309" s="80"/>
      <c r="B1309" s="71"/>
      <c r="C1309" s="71"/>
      <c r="D1309" s="81"/>
      <c r="E1309" s="71"/>
      <c r="F1309" s="71"/>
      <c r="G1309" s="82" t="str">
        <f aca="false">IF(C1309="","",IFERROR(INDEX('Kit Lists'!$D$6:$D$605,MATCH(B1309&amp;"|"&amp;C1309,'Kit Lists'!$J$6:$J$605,0)),"Not on this contract's kit list"))</f>
        <v/>
      </c>
      <c r="H1309" s="83" t="str">
        <f aca="false">IF(AND(B1309="",C1309="",D1309=""),"",IF(B1309="","Missing contract",IF(C1309="","Missing code",IF(LEFT(G1309,3)="Not","Wrong code",IF(D1309="","Missing qty",IF(A1309="","Missing date",""))))))</f>
        <v/>
      </c>
      <c r="I1309" s="84" t="str">
        <f aca="false">IF(B1309=Dashboard!$D$3,ROW(),"")</f>
        <v/>
      </c>
    </row>
    <row r="1310" customFormat="false" ht="15" hidden="false" customHeight="false" outlineLevel="0" collapsed="false">
      <c r="A1310" s="80"/>
      <c r="B1310" s="71"/>
      <c r="C1310" s="71"/>
      <c r="D1310" s="81"/>
      <c r="E1310" s="71"/>
      <c r="F1310" s="71"/>
      <c r="G1310" s="82" t="str">
        <f aca="false">IF(C1310="","",IFERROR(INDEX('Kit Lists'!$D$6:$D$605,MATCH(B1310&amp;"|"&amp;C1310,'Kit Lists'!$J$6:$J$605,0)),"Not on this contract's kit list"))</f>
        <v/>
      </c>
      <c r="H1310" s="83" t="str">
        <f aca="false">IF(AND(B1310="",C1310="",D1310=""),"",IF(B1310="","Missing contract",IF(C1310="","Missing code",IF(LEFT(G1310,3)="Not","Wrong code",IF(D1310="","Missing qty",IF(A1310="","Missing date",""))))))</f>
        <v/>
      </c>
      <c r="I1310" s="84" t="str">
        <f aca="false">IF(B1310=Dashboard!$D$3,ROW(),"")</f>
        <v/>
      </c>
    </row>
    <row r="1311" customFormat="false" ht="15" hidden="false" customHeight="false" outlineLevel="0" collapsed="false">
      <c r="A1311" s="80"/>
      <c r="B1311" s="71"/>
      <c r="C1311" s="71"/>
      <c r="D1311" s="81"/>
      <c r="E1311" s="71"/>
      <c r="F1311" s="71"/>
      <c r="G1311" s="82" t="str">
        <f aca="false">IF(C1311="","",IFERROR(INDEX('Kit Lists'!$D$6:$D$605,MATCH(B1311&amp;"|"&amp;C1311,'Kit Lists'!$J$6:$J$605,0)),"Not on this contract's kit list"))</f>
        <v/>
      </c>
      <c r="H1311" s="83" t="str">
        <f aca="false">IF(AND(B1311="",C1311="",D1311=""),"",IF(B1311="","Missing contract",IF(C1311="","Missing code",IF(LEFT(G1311,3)="Not","Wrong code",IF(D1311="","Missing qty",IF(A1311="","Missing date",""))))))</f>
        <v/>
      </c>
      <c r="I1311" s="84" t="str">
        <f aca="false">IF(B1311=Dashboard!$D$3,ROW(),"")</f>
        <v/>
      </c>
    </row>
    <row r="1312" customFormat="false" ht="15" hidden="false" customHeight="false" outlineLevel="0" collapsed="false">
      <c r="A1312" s="80"/>
      <c r="B1312" s="71"/>
      <c r="C1312" s="71"/>
      <c r="D1312" s="81"/>
      <c r="E1312" s="71"/>
      <c r="F1312" s="71"/>
      <c r="G1312" s="82" t="str">
        <f aca="false">IF(C1312="","",IFERROR(INDEX('Kit Lists'!$D$6:$D$605,MATCH(B1312&amp;"|"&amp;C1312,'Kit Lists'!$J$6:$J$605,0)),"Not on this contract's kit list"))</f>
        <v/>
      </c>
      <c r="H1312" s="83" t="str">
        <f aca="false">IF(AND(B1312="",C1312="",D1312=""),"",IF(B1312="","Missing contract",IF(C1312="","Missing code",IF(LEFT(G1312,3)="Not","Wrong code",IF(D1312="","Missing qty",IF(A1312="","Missing date",""))))))</f>
        <v/>
      </c>
      <c r="I1312" s="84" t="str">
        <f aca="false">IF(B1312=Dashboard!$D$3,ROW(),"")</f>
        <v/>
      </c>
    </row>
    <row r="1313" customFormat="false" ht="15" hidden="false" customHeight="false" outlineLevel="0" collapsed="false">
      <c r="A1313" s="80"/>
      <c r="B1313" s="71"/>
      <c r="C1313" s="71"/>
      <c r="D1313" s="81"/>
      <c r="E1313" s="71"/>
      <c r="F1313" s="71"/>
      <c r="G1313" s="82" t="str">
        <f aca="false">IF(C1313="","",IFERROR(INDEX('Kit Lists'!$D$6:$D$605,MATCH(B1313&amp;"|"&amp;C1313,'Kit Lists'!$J$6:$J$605,0)),"Not on this contract's kit list"))</f>
        <v/>
      </c>
      <c r="H1313" s="83" t="str">
        <f aca="false">IF(AND(B1313="",C1313="",D1313=""),"",IF(B1313="","Missing contract",IF(C1313="","Missing code",IF(LEFT(G1313,3)="Not","Wrong code",IF(D1313="","Missing qty",IF(A1313="","Missing date",""))))))</f>
        <v/>
      </c>
      <c r="I1313" s="84" t="str">
        <f aca="false">IF(B1313=Dashboard!$D$3,ROW(),"")</f>
        <v/>
      </c>
    </row>
    <row r="1314" customFormat="false" ht="15" hidden="false" customHeight="false" outlineLevel="0" collapsed="false">
      <c r="A1314" s="80"/>
      <c r="B1314" s="71"/>
      <c r="C1314" s="71"/>
      <c r="D1314" s="81"/>
      <c r="E1314" s="71"/>
      <c r="F1314" s="71"/>
      <c r="G1314" s="82" t="str">
        <f aca="false">IF(C1314="","",IFERROR(INDEX('Kit Lists'!$D$6:$D$605,MATCH(B1314&amp;"|"&amp;C1314,'Kit Lists'!$J$6:$J$605,0)),"Not on this contract's kit list"))</f>
        <v/>
      </c>
      <c r="H1314" s="83" t="str">
        <f aca="false">IF(AND(B1314="",C1314="",D1314=""),"",IF(B1314="","Missing contract",IF(C1314="","Missing code",IF(LEFT(G1314,3)="Not","Wrong code",IF(D1314="","Missing qty",IF(A1314="","Missing date",""))))))</f>
        <v/>
      </c>
      <c r="I1314" s="84" t="str">
        <f aca="false">IF(B1314=Dashboard!$D$3,ROW(),"")</f>
        <v/>
      </c>
    </row>
    <row r="1315" customFormat="false" ht="15" hidden="false" customHeight="false" outlineLevel="0" collapsed="false">
      <c r="A1315" s="80"/>
      <c r="B1315" s="71"/>
      <c r="C1315" s="71"/>
      <c r="D1315" s="81"/>
      <c r="E1315" s="71"/>
      <c r="F1315" s="71"/>
      <c r="G1315" s="82" t="str">
        <f aca="false">IF(C1315="","",IFERROR(INDEX('Kit Lists'!$D$6:$D$605,MATCH(B1315&amp;"|"&amp;C1315,'Kit Lists'!$J$6:$J$605,0)),"Not on this contract's kit list"))</f>
        <v/>
      </c>
      <c r="H1315" s="83" t="str">
        <f aca="false">IF(AND(B1315="",C1315="",D1315=""),"",IF(B1315="","Missing contract",IF(C1315="","Missing code",IF(LEFT(G1315,3)="Not","Wrong code",IF(D1315="","Missing qty",IF(A1315="","Missing date",""))))))</f>
        <v/>
      </c>
      <c r="I1315" s="84" t="str">
        <f aca="false">IF(B1315=Dashboard!$D$3,ROW(),"")</f>
        <v/>
      </c>
    </row>
    <row r="1316" customFormat="false" ht="15" hidden="false" customHeight="false" outlineLevel="0" collapsed="false">
      <c r="A1316" s="80"/>
      <c r="B1316" s="71"/>
      <c r="C1316" s="71"/>
      <c r="D1316" s="81"/>
      <c r="E1316" s="71"/>
      <c r="F1316" s="71"/>
      <c r="G1316" s="82" t="str">
        <f aca="false">IF(C1316="","",IFERROR(INDEX('Kit Lists'!$D$6:$D$605,MATCH(B1316&amp;"|"&amp;C1316,'Kit Lists'!$J$6:$J$605,0)),"Not on this contract's kit list"))</f>
        <v/>
      </c>
      <c r="H1316" s="83" t="str">
        <f aca="false">IF(AND(B1316="",C1316="",D1316=""),"",IF(B1316="","Missing contract",IF(C1316="","Missing code",IF(LEFT(G1316,3)="Not","Wrong code",IF(D1316="","Missing qty",IF(A1316="","Missing date",""))))))</f>
        <v/>
      </c>
      <c r="I1316" s="84" t="str">
        <f aca="false">IF(B1316=Dashboard!$D$3,ROW(),"")</f>
        <v/>
      </c>
    </row>
    <row r="1317" customFormat="false" ht="15" hidden="false" customHeight="false" outlineLevel="0" collapsed="false">
      <c r="A1317" s="80"/>
      <c r="B1317" s="71"/>
      <c r="C1317" s="71"/>
      <c r="D1317" s="81"/>
      <c r="E1317" s="71"/>
      <c r="F1317" s="71"/>
      <c r="G1317" s="82" t="str">
        <f aca="false">IF(C1317="","",IFERROR(INDEX('Kit Lists'!$D$6:$D$605,MATCH(B1317&amp;"|"&amp;C1317,'Kit Lists'!$J$6:$J$605,0)),"Not on this contract's kit list"))</f>
        <v/>
      </c>
      <c r="H1317" s="83" t="str">
        <f aca="false">IF(AND(B1317="",C1317="",D1317=""),"",IF(B1317="","Missing contract",IF(C1317="","Missing code",IF(LEFT(G1317,3)="Not","Wrong code",IF(D1317="","Missing qty",IF(A1317="","Missing date",""))))))</f>
        <v/>
      </c>
      <c r="I1317" s="84" t="str">
        <f aca="false">IF(B1317=Dashboard!$D$3,ROW(),"")</f>
        <v/>
      </c>
    </row>
    <row r="1318" customFormat="false" ht="15" hidden="false" customHeight="false" outlineLevel="0" collapsed="false">
      <c r="A1318" s="80"/>
      <c r="B1318" s="71"/>
      <c r="C1318" s="71"/>
      <c r="D1318" s="81"/>
      <c r="E1318" s="71"/>
      <c r="F1318" s="71"/>
      <c r="G1318" s="82" t="str">
        <f aca="false">IF(C1318="","",IFERROR(INDEX('Kit Lists'!$D$6:$D$605,MATCH(B1318&amp;"|"&amp;C1318,'Kit Lists'!$J$6:$J$605,0)),"Not on this contract's kit list"))</f>
        <v/>
      </c>
      <c r="H1318" s="83" t="str">
        <f aca="false">IF(AND(B1318="",C1318="",D1318=""),"",IF(B1318="","Missing contract",IF(C1318="","Missing code",IF(LEFT(G1318,3)="Not","Wrong code",IF(D1318="","Missing qty",IF(A1318="","Missing date",""))))))</f>
        <v/>
      </c>
      <c r="I1318" s="84" t="str">
        <f aca="false">IF(B1318=Dashboard!$D$3,ROW(),"")</f>
        <v/>
      </c>
    </row>
    <row r="1319" customFormat="false" ht="15" hidden="false" customHeight="false" outlineLevel="0" collapsed="false">
      <c r="A1319" s="80"/>
      <c r="B1319" s="71"/>
      <c r="C1319" s="71"/>
      <c r="D1319" s="81"/>
      <c r="E1319" s="71"/>
      <c r="F1319" s="71"/>
      <c r="G1319" s="82" t="str">
        <f aca="false">IF(C1319="","",IFERROR(INDEX('Kit Lists'!$D$6:$D$605,MATCH(B1319&amp;"|"&amp;C1319,'Kit Lists'!$J$6:$J$605,0)),"Not on this contract's kit list"))</f>
        <v/>
      </c>
      <c r="H1319" s="83" t="str">
        <f aca="false">IF(AND(B1319="",C1319="",D1319=""),"",IF(B1319="","Missing contract",IF(C1319="","Missing code",IF(LEFT(G1319,3)="Not","Wrong code",IF(D1319="","Missing qty",IF(A1319="","Missing date",""))))))</f>
        <v/>
      </c>
      <c r="I1319" s="84" t="str">
        <f aca="false">IF(B1319=Dashboard!$D$3,ROW(),"")</f>
        <v/>
      </c>
    </row>
    <row r="1320" customFormat="false" ht="15" hidden="false" customHeight="false" outlineLevel="0" collapsed="false">
      <c r="A1320" s="80"/>
      <c r="B1320" s="71"/>
      <c r="C1320" s="71"/>
      <c r="D1320" s="81"/>
      <c r="E1320" s="71"/>
      <c r="F1320" s="71"/>
      <c r="G1320" s="82" t="str">
        <f aca="false">IF(C1320="","",IFERROR(INDEX('Kit Lists'!$D$6:$D$605,MATCH(B1320&amp;"|"&amp;C1320,'Kit Lists'!$J$6:$J$605,0)),"Not on this contract's kit list"))</f>
        <v/>
      </c>
      <c r="H1320" s="83" t="str">
        <f aca="false">IF(AND(B1320="",C1320="",D1320=""),"",IF(B1320="","Missing contract",IF(C1320="","Missing code",IF(LEFT(G1320,3)="Not","Wrong code",IF(D1320="","Missing qty",IF(A1320="","Missing date",""))))))</f>
        <v/>
      </c>
      <c r="I1320" s="84" t="str">
        <f aca="false">IF(B1320=Dashboard!$D$3,ROW(),"")</f>
        <v/>
      </c>
    </row>
    <row r="1321" customFormat="false" ht="15" hidden="false" customHeight="false" outlineLevel="0" collapsed="false">
      <c r="A1321" s="80"/>
      <c r="B1321" s="71"/>
      <c r="C1321" s="71"/>
      <c r="D1321" s="81"/>
      <c r="E1321" s="71"/>
      <c r="F1321" s="71"/>
      <c r="G1321" s="82" t="str">
        <f aca="false">IF(C1321="","",IFERROR(INDEX('Kit Lists'!$D$6:$D$605,MATCH(B1321&amp;"|"&amp;C1321,'Kit Lists'!$J$6:$J$605,0)),"Not on this contract's kit list"))</f>
        <v/>
      </c>
      <c r="H1321" s="83" t="str">
        <f aca="false">IF(AND(B1321="",C1321="",D1321=""),"",IF(B1321="","Missing contract",IF(C1321="","Missing code",IF(LEFT(G1321,3)="Not","Wrong code",IF(D1321="","Missing qty",IF(A1321="","Missing date",""))))))</f>
        <v/>
      </c>
      <c r="I1321" s="84" t="str">
        <f aca="false">IF(B1321=Dashboard!$D$3,ROW(),"")</f>
        <v/>
      </c>
    </row>
    <row r="1322" customFormat="false" ht="15" hidden="false" customHeight="false" outlineLevel="0" collapsed="false">
      <c r="A1322" s="80"/>
      <c r="B1322" s="71"/>
      <c r="C1322" s="71"/>
      <c r="D1322" s="81"/>
      <c r="E1322" s="71"/>
      <c r="F1322" s="71"/>
      <c r="G1322" s="82" t="str">
        <f aca="false">IF(C1322="","",IFERROR(INDEX('Kit Lists'!$D$6:$D$605,MATCH(B1322&amp;"|"&amp;C1322,'Kit Lists'!$J$6:$J$605,0)),"Not on this contract's kit list"))</f>
        <v/>
      </c>
      <c r="H1322" s="83" t="str">
        <f aca="false">IF(AND(B1322="",C1322="",D1322=""),"",IF(B1322="","Missing contract",IF(C1322="","Missing code",IF(LEFT(G1322,3)="Not","Wrong code",IF(D1322="","Missing qty",IF(A1322="","Missing date",""))))))</f>
        <v/>
      </c>
      <c r="I1322" s="84" t="str">
        <f aca="false">IF(B1322=Dashboard!$D$3,ROW(),"")</f>
        <v/>
      </c>
    </row>
    <row r="1323" customFormat="false" ht="15" hidden="false" customHeight="false" outlineLevel="0" collapsed="false">
      <c r="A1323" s="80"/>
      <c r="B1323" s="71"/>
      <c r="C1323" s="71"/>
      <c r="D1323" s="81"/>
      <c r="E1323" s="71"/>
      <c r="F1323" s="71"/>
      <c r="G1323" s="82" t="str">
        <f aca="false">IF(C1323="","",IFERROR(INDEX('Kit Lists'!$D$6:$D$605,MATCH(B1323&amp;"|"&amp;C1323,'Kit Lists'!$J$6:$J$605,0)),"Not on this contract's kit list"))</f>
        <v/>
      </c>
      <c r="H1323" s="83" t="str">
        <f aca="false">IF(AND(B1323="",C1323="",D1323=""),"",IF(B1323="","Missing contract",IF(C1323="","Missing code",IF(LEFT(G1323,3)="Not","Wrong code",IF(D1323="","Missing qty",IF(A1323="","Missing date",""))))))</f>
        <v/>
      </c>
      <c r="I1323" s="84" t="str">
        <f aca="false">IF(B1323=Dashboard!$D$3,ROW(),"")</f>
        <v/>
      </c>
    </row>
    <row r="1324" customFormat="false" ht="15" hidden="false" customHeight="false" outlineLevel="0" collapsed="false">
      <c r="A1324" s="80"/>
      <c r="B1324" s="71"/>
      <c r="C1324" s="71"/>
      <c r="D1324" s="81"/>
      <c r="E1324" s="71"/>
      <c r="F1324" s="71"/>
      <c r="G1324" s="82" t="str">
        <f aca="false">IF(C1324="","",IFERROR(INDEX('Kit Lists'!$D$6:$D$605,MATCH(B1324&amp;"|"&amp;C1324,'Kit Lists'!$J$6:$J$605,0)),"Not on this contract's kit list"))</f>
        <v/>
      </c>
      <c r="H1324" s="83" t="str">
        <f aca="false">IF(AND(B1324="",C1324="",D1324=""),"",IF(B1324="","Missing contract",IF(C1324="","Missing code",IF(LEFT(G1324,3)="Not","Wrong code",IF(D1324="","Missing qty",IF(A1324="","Missing date",""))))))</f>
        <v/>
      </c>
      <c r="I1324" s="84" t="str">
        <f aca="false">IF(B1324=Dashboard!$D$3,ROW(),"")</f>
        <v/>
      </c>
    </row>
    <row r="1325" customFormat="false" ht="15" hidden="false" customHeight="false" outlineLevel="0" collapsed="false">
      <c r="A1325" s="80"/>
      <c r="B1325" s="71"/>
      <c r="C1325" s="71"/>
      <c r="D1325" s="81"/>
      <c r="E1325" s="71"/>
      <c r="F1325" s="71"/>
      <c r="G1325" s="82" t="str">
        <f aca="false">IF(C1325="","",IFERROR(INDEX('Kit Lists'!$D$6:$D$605,MATCH(B1325&amp;"|"&amp;C1325,'Kit Lists'!$J$6:$J$605,0)),"Not on this contract's kit list"))</f>
        <v/>
      </c>
      <c r="H1325" s="83" t="str">
        <f aca="false">IF(AND(B1325="",C1325="",D1325=""),"",IF(B1325="","Missing contract",IF(C1325="","Missing code",IF(LEFT(G1325,3)="Not","Wrong code",IF(D1325="","Missing qty",IF(A1325="","Missing date",""))))))</f>
        <v/>
      </c>
      <c r="I1325" s="84" t="str">
        <f aca="false">IF(B1325=Dashboard!$D$3,ROW(),"")</f>
        <v/>
      </c>
    </row>
    <row r="1326" customFormat="false" ht="15" hidden="false" customHeight="false" outlineLevel="0" collapsed="false">
      <c r="A1326" s="80"/>
      <c r="B1326" s="71"/>
      <c r="C1326" s="71"/>
      <c r="D1326" s="81"/>
      <c r="E1326" s="71"/>
      <c r="F1326" s="71"/>
      <c r="G1326" s="82" t="str">
        <f aca="false">IF(C1326="","",IFERROR(INDEX('Kit Lists'!$D$6:$D$605,MATCH(B1326&amp;"|"&amp;C1326,'Kit Lists'!$J$6:$J$605,0)),"Not on this contract's kit list"))</f>
        <v/>
      </c>
      <c r="H1326" s="83" t="str">
        <f aca="false">IF(AND(B1326="",C1326="",D1326=""),"",IF(B1326="","Missing contract",IF(C1326="","Missing code",IF(LEFT(G1326,3)="Not","Wrong code",IF(D1326="","Missing qty",IF(A1326="","Missing date",""))))))</f>
        <v/>
      </c>
      <c r="I1326" s="84" t="str">
        <f aca="false">IF(B1326=Dashboard!$D$3,ROW(),"")</f>
        <v/>
      </c>
    </row>
    <row r="1327" customFormat="false" ht="15" hidden="false" customHeight="false" outlineLevel="0" collapsed="false">
      <c r="A1327" s="80"/>
      <c r="B1327" s="71"/>
      <c r="C1327" s="71"/>
      <c r="D1327" s="81"/>
      <c r="E1327" s="71"/>
      <c r="F1327" s="71"/>
      <c r="G1327" s="82" t="str">
        <f aca="false">IF(C1327="","",IFERROR(INDEX('Kit Lists'!$D$6:$D$605,MATCH(B1327&amp;"|"&amp;C1327,'Kit Lists'!$J$6:$J$605,0)),"Not on this contract's kit list"))</f>
        <v/>
      </c>
      <c r="H1327" s="83" t="str">
        <f aca="false">IF(AND(B1327="",C1327="",D1327=""),"",IF(B1327="","Missing contract",IF(C1327="","Missing code",IF(LEFT(G1327,3)="Not","Wrong code",IF(D1327="","Missing qty",IF(A1327="","Missing date",""))))))</f>
        <v/>
      </c>
      <c r="I1327" s="84" t="str">
        <f aca="false">IF(B1327=Dashboard!$D$3,ROW(),"")</f>
        <v/>
      </c>
    </row>
    <row r="1328" customFormat="false" ht="15" hidden="false" customHeight="false" outlineLevel="0" collapsed="false">
      <c r="A1328" s="80"/>
      <c r="B1328" s="71"/>
      <c r="C1328" s="71"/>
      <c r="D1328" s="81"/>
      <c r="E1328" s="71"/>
      <c r="F1328" s="71"/>
      <c r="G1328" s="82" t="str">
        <f aca="false">IF(C1328="","",IFERROR(INDEX('Kit Lists'!$D$6:$D$605,MATCH(B1328&amp;"|"&amp;C1328,'Kit Lists'!$J$6:$J$605,0)),"Not on this contract's kit list"))</f>
        <v/>
      </c>
      <c r="H1328" s="83" t="str">
        <f aca="false">IF(AND(B1328="",C1328="",D1328=""),"",IF(B1328="","Missing contract",IF(C1328="","Missing code",IF(LEFT(G1328,3)="Not","Wrong code",IF(D1328="","Missing qty",IF(A1328="","Missing date",""))))))</f>
        <v/>
      </c>
      <c r="I1328" s="84" t="str">
        <f aca="false">IF(B1328=Dashboard!$D$3,ROW(),"")</f>
        <v/>
      </c>
    </row>
    <row r="1329" customFormat="false" ht="15" hidden="false" customHeight="false" outlineLevel="0" collapsed="false">
      <c r="A1329" s="80"/>
      <c r="B1329" s="71"/>
      <c r="C1329" s="71"/>
      <c r="D1329" s="81"/>
      <c r="E1329" s="71"/>
      <c r="F1329" s="71"/>
      <c r="G1329" s="82" t="str">
        <f aca="false">IF(C1329="","",IFERROR(INDEX('Kit Lists'!$D$6:$D$605,MATCH(B1329&amp;"|"&amp;C1329,'Kit Lists'!$J$6:$J$605,0)),"Not on this contract's kit list"))</f>
        <v/>
      </c>
      <c r="H1329" s="83" t="str">
        <f aca="false">IF(AND(B1329="",C1329="",D1329=""),"",IF(B1329="","Missing contract",IF(C1329="","Missing code",IF(LEFT(G1329,3)="Not","Wrong code",IF(D1329="","Missing qty",IF(A1329="","Missing date",""))))))</f>
        <v/>
      </c>
      <c r="I1329" s="84" t="str">
        <f aca="false">IF(B1329=Dashboard!$D$3,ROW(),"")</f>
        <v/>
      </c>
    </row>
    <row r="1330" customFormat="false" ht="15" hidden="false" customHeight="false" outlineLevel="0" collapsed="false">
      <c r="A1330" s="80"/>
      <c r="B1330" s="71"/>
      <c r="C1330" s="71"/>
      <c r="D1330" s="81"/>
      <c r="E1330" s="71"/>
      <c r="F1330" s="71"/>
      <c r="G1330" s="82" t="str">
        <f aca="false">IF(C1330="","",IFERROR(INDEX('Kit Lists'!$D$6:$D$605,MATCH(B1330&amp;"|"&amp;C1330,'Kit Lists'!$J$6:$J$605,0)),"Not on this contract's kit list"))</f>
        <v/>
      </c>
      <c r="H1330" s="83" t="str">
        <f aca="false">IF(AND(B1330="",C1330="",D1330=""),"",IF(B1330="","Missing contract",IF(C1330="","Missing code",IF(LEFT(G1330,3)="Not","Wrong code",IF(D1330="","Missing qty",IF(A1330="","Missing date",""))))))</f>
        <v/>
      </c>
      <c r="I1330" s="84" t="str">
        <f aca="false">IF(B1330=Dashboard!$D$3,ROW(),"")</f>
        <v/>
      </c>
    </row>
    <row r="1331" customFormat="false" ht="15" hidden="false" customHeight="false" outlineLevel="0" collapsed="false">
      <c r="A1331" s="80"/>
      <c r="B1331" s="71"/>
      <c r="C1331" s="71"/>
      <c r="D1331" s="81"/>
      <c r="E1331" s="71"/>
      <c r="F1331" s="71"/>
      <c r="G1331" s="82" t="str">
        <f aca="false">IF(C1331="","",IFERROR(INDEX('Kit Lists'!$D$6:$D$605,MATCH(B1331&amp;"|"&amp;C1331,'Kit Lists'!$J$6:$J$605,0)),"Not on this contract's kit list"))</f>
        <v/>
      </c>
      <c r="H1331" s="83" t="str">
        <f aca="false">IF(AND(B1331="",C1331="",D1331=""),"",IF(B1331="","Missing contract",IF(C1331="","Missing code",IF(LEFT(G1331,3)="Not","Wrong code",IF(D1331="","Missing qty",IF(A1331="","Missing date",""))))))</f>
        <v/>
      </c>
      <c r="I1331" s="84" t="str">
        <f aca="false">IF(B1331=Dashboard!$D$3,ROW(),"")</f>
        <v/>
      </c>
    </row>
    <row r="1332" customFormat="false" ht="15" hidden="false" customHeight="false" outlineLevel="0" collapsed="false">
      <c r="A1332" s="80"/>
      <c r="B1332" s="71"/>
      <c r="C1332" s="71"/>
      <c r="D1332" s="81"/>
      <c r="E1332" s="71"/>
      <c r="F1332" s="71"/>
      <c r="G1332" s="82" t="str">
        <f aca="false">IF(C1332="","",IFERROR(INDEX('Kit Lists'!$D$6:$D$605,MATCH(B1332&amp;"|"&amp;C1332,'Kit Lists'!$J$6:$J$605,0)),"Not on this contract's kit list"))</f>
        <v/>
      </c>
      <c r="H1332" s="83" t="str">
        <f aca="false">IF(AND(B1332="",C1332="",D1332=""),"",IF(B1332="","Missing contract",IF(C1332="","Missing code",IF(LEFT(G1332,3)="Not","Wrong code",IF(D1332="","Missing qty",IF(A1332="","Missing date",""))))))</f>
        <v/>
      </c>
      <c r="I1332" s="84" t="str">
        <f aca="false">IF(B1332=Dashboard!$D$3,ROW(),"")</f>
        <v/>
      </c>
    </row>
    <row r="1333" customFormat="false" ht="15" hidden="false" customHeight="false" outlineLevel="0" collapsed="false">
      <c r="A1333" s="80"/>
      <c r="B1333" s="71"/>
      <c r="C1333" s="71"/>
      <c r="D1333" s="81"/>
      <c r="E1333" s="71"/>
      <c r="F1333" s="71"/>
      <c r="G1333" s="82" t="str">
        <f aca="false">IF(C1333="","",IFERROR(INDEX('Kit Lists'!$D$6:$D$605,MATCH(B1333&amp;"|"&amp;C1333,'Kit Lists'!$J$6:$J$605,0)),"Not on this contract's kit list"))</f>
        <v/>
      </c>
      <c r="H1333" s="83" t="str">
        <f aca="false">IF(AND(B1333="",C1333="",D1333=""),"",IF(B1333="","Missing contract",IF(C1333="","Missing code",IF(LEFT(G1333,3)="Not","Wrong code",IF(D1333="","Missing qty",IF(A1333="","Missing date",""))))))</f>
        <v/>
      </c>
      <c r="I1333" s="84" t="str">
        <f aca="false">IF(B1333=Dashboard!$D$3,ROW(),"")</f>
        <v/>
      </c>
    </row>
    <row r="1334" customFormat="false" ht="15" hidden="false" customHeight="false" outlineLevel="0" collapsed="false">
      <c r="A1334" s="80"/>
      <c r="B1334" s="71"/>
      <c r="C1334" s="71"/>
      <c r="D1334" s="81"/>
      <c r="E1334" s="71"/>
      <c r="F1334" s="71"/>
      <c r="G1334" s="82" t="str">
        <f aca="false">IF(C1334="","",IFERROR(INDEX('Kit Lists'!$D$6:$D$605,MATCH(B1334&amp;"|"&amp;C1334,'Kit Lists'!$J$6:$J$605,0)),"Not on this contract's kit list"))</f>
        <v/>
      </c>
      <c r="H1334" s="83" t="str">
        <f aca="false">IF(AND(B1334="",C1334="",D1334=""),"",IF(B1334="","Missing contract",IF(C1334="","Missing code",IF(LEFT(G1334,3)="Not","Wrong code",IF(D1334="","Missing qty",IF(A1334="","Missing date",""))))))</f>
        <v/>
      </c>
      <c r="I1334" s="84" t="str">
        <f aca="false">IF(B1334=Dashboard!$D$3,ROW(),"")</f>
        <v/>
      </c>
    </row>
    <row r="1335" customFormat="false" ht="15" hidden="false" customHeight="false" outlineLevel="0" collapsed="false">
      <c r="A1335" s="80"/>
      <c r="B1335" s="71"/>
      <c r="C1335" s="71"/>
      <c r="D1335" s="81"/>
      <c r="E1335" s="71"/>
      <c r="F1335" s="71"/>
      <c r="G1335" s="82" t="str">
        <f aca="false">IF(C1335="","",IFERROR(INDEX('Kit Lists'!$D$6:$D$605,MATCH(B1335&amp;"|"&amp;C1335,'Kit Lists'!$J$6:$J$605,0)),"Not on this contract's kit list"))</f>
        <v/>
      </c>
      <c r="H1335" s="83" t="str">
        <f aca="false">IF(AND(B1335="",C1335="",D1335=""),"",IF(B1335="","Missing contract",IF(C1335="","Missing code",IF(LEFT(G1335,3)="Not","Wrong code",IF(D1335="","Missing qty",IF(A1335="","Missing date",""))))))</f>
        <v/>
      </c>
      <c r="I1335" s="84" t="str">
        <f aca="false">IF(B1335=Dashboard!$D$3,ROW(),"")</f>
        <v/>
      </c>
    </row>
    <row r="1336" customFormat="false" ht="15" hidden="false" customHeight="false" outlineLevel="0" collapsed="false">
      <c r="A1336" s="80"/>
      <c r="B1336" s="71"/>
      <c r="C1336" s="71"/>
      <c r="D1336" s="81"/>
      <c r="E1336" s="71"/>
      <c r="F1336" s="71"/>
      <c r="G1336" s="82" t="str">
        <f aca="false">IF(C1336="","",IFERROR(INDEX('Kit Lists'!$D$6:$D$605,MATCH(B1336&amp;"|"&amp;C1336,'Kit Lists'!$J$6:$J$605,0)),"Not on this contract's kit list"))</f>
        <v/>
      </c>
      <c r="H1336" s="83" t="str">
        <f aca="false">IF(AND(B1336="",C1336="",D1336=""),"",IF(B1336="","Missing contract",IF(C1336="","Missing code",IF(LEFT(G1336,3)="Not","Wrong code",IF(D1336="","Missing qty",IF(A1336="","Missing date",""))))))</f>
        <v/>
      </c>
      <c r="I1336" s="84" t="str">
        <f aca="false">IF(B1336=Dashboard!$D$3,ROW(),"")</f>
        <v/>
      </c>
    </row>
    <row r="1337" customFormat="false" ht="15" hidden="false" customHeight="false" outlineLevel="0" collapsed="false">
      <c r="A1337" s="80"/>
      <c r="B1337" s="71"/>
      <c r="C1337" s="71"/>
      <c r="D1337" s="81"/>
      <c r="E1337" s="71"/>
      <c r="F1337" s="71"/>
      <c r="G1337" s="82" t="str">
        <f aca="false">IF(C1337="","",IFERROR(INDEX('Kit Lists'!$D$6:$D$605,MATCH(B1337&amp;"|"&amp;C1337,'Kit Lists'!$J$6:$J$605,0)),"Not on this contract's kit list"))</f>
        <v/>
      </c>
      <c r="H1337" s="83" t="str">
        <f aca="false">IF(AND(B1337="",C1337="",D1337=""),"",IF(B1337="","Missing contract",IF(C1337="","Missing code",IF(LEFT(G1337,3)="Not","Wrong code",IF(D1337="","Missing qty",IF(A1337="","Missing date",""))))))</f>
        <v/>
      </c>
      <c r="I1337" s="84" t="str">
        <f aca="false">IF(B1337=Dashboard!$D$3,ROW(),"")</f>
        <v/>
      </c>
    </row>
    <row r="1338" customFormat="false" ht="15" hidden="false" customHeight="false" outlineLevel="0" collapsed="false">
      <c r="A1338" s="80"/>
      <c r="B1338" s="71"/>
      <c r="C1338" s="71"/>
      <c r="D1338" s="81"/>
      <c r="E1338" s="71"/>
      <c r="F1338" s="71"/>
      <c r="G1338" s="82" t="str">
        <f aca="false">IF(C1338="","",IFERROR(INDEX('Kit Lists'!$D$6:$D$605,MATCH(B1338&amp;"|"&amp;C1338,'Kit Lists'!$J$6:$J$605,0)),"Not on this contract's kit list"))</f>
        <v/>
      </c>
      <c r="H1338" s="83" t="str">
        <f aca="false">IF(AND(B1338="",C1338="",D1338=""),"",IF(B1338="","Missing contract",IF(C1338="","Missing code",IF(LEFT(G1338,3)="Not","Wrong code",IF(D1338="","Missing qty",IF(A1338="","Missing date",""))))))</f>
        <v/>
      </c>
      <c r="I1338" s="84" t="str">
        <f aca="false">IF(B1338=Dashboard!$D$3,ROW(),"")</f>
        <v/>
      </c>
    </row>
    <row r="1339" customFormat="false" ht="15" hidden="false" customHeight="false" outlineLevel="0" collapsed="false">
      <c r="A1339" s="80"/>
      <c r="B1339" s="71"/>
      <c r="C1339" s="71"/>
      <c r="D1339" s="81"/>
      <c r="E1339" s="71"/>
      <c r="F1339" s="71"/>
      <c r="G1339" s="82" t="str">
        <f aca="false">IF(C1339="","",IFERROR(INDEX('Kit Lists'!$D$6:$D$605,MATCH(B1339&amp;"|"&amp;C1339,'Kit Lists'!$J$6:$J$605,0)),"Not on this contract's kit list"))</f>
        <v/>
      </c>
      <c r="H1339" s="83" t="str">
        <f aca="false">IF(AND(B1339="",C1339="",D1339=""),"",IF(B1339="","Missing contract",IF(C1339="","Missing code",IF(LEFT(G1339,3)="Not","Wrong code",IF(D1339="","Missing qty",IF(A1339="","Missing date",""))))))</f>
        <v/>
      </c>
      <c r="I1339" s="84" t="str">
        <f aca="false">IF(B1339=Dashboard!$D$3,ROW(),"")</f>
        <v/>
      </c>
    </row>
    <row r="1340" customFormat="false" ht="15" hidden="false" customHeight="false" outlineLevel="0" collapsed="false">
      <c r="A1340" s="80"/>
      <c r="B1340" s="71"/>
      <c r="C1340" s="71"/>
      <c r="D1340" s="81"/>
      <c r="E1340" s="71"/>
      <c r="F1340" s="71"/>
      <c r="G1340" s="82" t="str">
        <f aca="false">IF(C1340="","",IFERROR(INDEX('Kit Lists'!$D$6:$D$605,MATCH(B1340&amp;"|"&amp;C1340,'Kit Lists'!$J$6:$J$605,0)),"Not on this contract's kit list"))</f>
        <v/>
      </c>
      <c r="H1340" s="83" t="str">
        <f aca="false">IF(AND(B1340="",C1340="",D1340=""),"",IF(B1340="","Missing contract",IF(C1340="","Missing code",IF(LEFT(G1340,3)="Not","Wrong code",IF(D1340="","Missing qty",IF(A1340="","Missing date",""))))))</f>
        <v/>
      </c>
      <c r="I1340" s="84" t="str">
        <f aca="false">IF(B1340=Dashboard!$D$3,ROW(),"")</f>
        <v/>
      </c>
    </row>
    <row r="1341" customFormat="false" ht="15" hidden="false" customHeight="false" outlineLevel="0" collapsed="false">
      <c r="A1341" s="80"/>
      <c r="B1341" s="71"/>
      <c r="C1341" s="71"/>
      <c r="D1341" s="81"/>
      <c r="E1341" s="71"/>
      <c r="F1341" s="71"/>
      <c r="G1341" s="82" t="str">
        <f aca="false">IF(C1341="","",IFERROR(INDEX('Kit Lists'!$D$6:$D$605,MATCH(B1341&amp;"|"&amp;C1341,'Kit Lists'!$J$6:$J$605,0)),"Not on this contract's kit list"))</f>
        <v/>
      </c>
      <c r="H1341" s="83" t="str">
        <f aca="false">IF(AND(B1341="",C1341="",D1341=""),"",IF(B1341="","Missing contract",IF(C1341="","Missing code",IF(LEFT(G1341,3)="Not","Wrong code",IF(D1341="","Missing qty",IF(A1341="","Missing date",""))))))</f>
        <v/>
      </c>
      <c r="I1341" s="84" t="str">
        <f aca="false">IF(B1341=Dashboard!$D$3,ROW(),"")</f>
        <v/>
      </c>
    </row>
    <row r="1342" customFormat="false" ht="15" hidden="false" customHeight="false" outlineLevel="0" collapsed="false">
      <c r="A1342" s="80"/>
      <c r="B1342" s="71"/>
      <c r="C1342" s="71"/>
      <c r="D1342" s="81"/>
      <c r="E1342" s="71"/>
      <c r="F1342" s="71"/>
      <c r="G1342" s="82" t="str">
        <f aca="false">IF(C1342="","",IFERROR(INDEX('Kit Lists'!$D$6:$D$605,MATCH(B1342&amp;"|"&amp;C1342,'Kit Lists'!$J$6:$J$605,0)),"Not on this contract's kit list"))</f>
        <v/>
      </c>
      <c r="H1342" s="83" t="str">
        <f aca="false">IF(AND(B1342="",C1342="",D1342=""),"",IF(B1342="","Missing contract",IF(C1342="","Missing code",IF(LEFT(G1342,3)="Not","Wrong code",IF(D1342="","Missing qty",IF(A1342="","Missing date",""))))))</f>
        <v/>
      </c>
      <c r="I1342" s="84" t="str">
        <f aca="false">IF(B1342=Dashboard!$D$3,ROW(),"")</f>
        <v/>
      </c>
    </row>
    <row r="1343" customFormat="false" ht="15" hidden="false" customHeight="false" outlineLevel="0" collapsed="false">
      <c r="A1343" s="80"/>
      <c r="B1343" s="71"/>
      <c r="C1343" s="71"/>
      <c r="D1343" s="81"/>
      <c r="E1343" s="71"/>
      <c r="F1343" s="71"/>
      <c r="G1343" s="82" t="str">
        <f aca="false">IF(C1343="","",IFERROR(INDEX('Kit Lists'!$D$6:$D$605,MATCH(B1343&amp;"|"&amp;C1343,'Kit Lists'!$J$6:$J$605,0)),"Not on this contract's kit list"))</f>
        <v/>
      </c>
      <c r="H1343" s="83" t="str">
        <f aca="false">IF(AND(B1343="",C1343="",D1343=""),"",IF(B1343="","Missing contract",IF(C1343="","Missing code",IF(LEFT(G1343,3)="Not","Wrong code",IF(D1343="","Missing qty",IF(A1343="","Missing date",""))))))</f>
        <v/>
      </c>
      <c r="I1343" s="84" t="str">
        <f aca="false">IF(B1343=Dashboard!$D$3,ROW(),"")</f>
        <v/>
      </c>
    </row>
    <row r="1344" customFormat="false" ht="15" hidden="false" customHeight="false" outlineLevel="0" collapsed="false">
      <c r="A1344" s="80"/>
      <c r="B1344" s="71"/>
      <c r="C1344" s="71"/>
      <c r="D1344" s="81"/>
      <c r="E1344" s="71"/>
      <c r="F1344" s="71"/>
      <c r="G1344" s="82" t="str">
        <f aca="false">IF(C1344="","",IFERROR(INDEX('Kit Lists'!$D$6:$D$605,MATCH(B1344&amp;"|"&amp;C1344,'Kit Lists'!$J$6:$J$605,0)),"Not on this contract's kit list"))</f>
        <v/>
      </c>
      <c r="H1344" s="83" t="str">
        <f aca="false">IF(AND(B1344="",C1344="",D1344=""),"",IF(B1344="","Missing contract",IF(C1344="","Missing code",IF(LEFT(G1344,3)="Not","Wrong code",IF(D1344="","Missing qty",IF(A1344="","Missing date",""))))))</f>
        <v/>
      </c>
      <c r="I1344" s="84" t="str">
        <f aca="false">IF(B1344=Dashboard!$D$3,ROW(),"")</f>
        <v/>
      </c>
    </row>
    <row r="1345" customFormat="false" ht="15" hidden="false" customHeight="false" outlineLevel="0" collapsed="false">
      <c r="A1345" s="80"/>
      <c r="B1345" s="71"/>
      <c r="C1345" s="71"/>
      <c r="D1345" s="81"/>
      <c r="E1345" s="71"/>
      <c r="F1345" s="71"/>
      <c r="G1345" s="82" t="str">
        <f aca="false">IF(C1345="","",IFERROR(INDEX('Kit Lists'!$D$6:$D$605,MATCH(B1345&amp;"|"&amp;C1345,'Kit Lists'!$J$6:$J$605,0)),"Not on this contract's kit list"))</f>
        <v/>
      </c>
      <c r="H1345" s="83" t="str">
        <f aca="false">IF(AND(B1345="",C1345="",D1345=""),"",IF(B1345="","Missing contract",IF(C1345="","Missing code",IF(LEFT(G1345,3)="Not","Wrong code",IF(D1345="","Missing qty",IF(A1345="","Missing date",""))))))</f>
        <v/>
      </c>
      <c r="I1345" s="84" t="str">
        <f aca="false">IF(B1345=Dashboard!$D$3,ROW(),"")</f>
        <v/>
      </c>
    </row>
    <row r="1346" customFormat="false" ht="15" hidden="false" customHeight="false" outlineLevel="0" collapsed="false">
      <c r="A1346" s="80"/>
      <c r="B1346" s="71"/>
      <c r="C1346" s="71"/>
      <c r="D1346" s="81"/>
      <c r="E1346" s="71"/>
      <c r="F1346" s="71"/>
      <c r="G1346" s="82" t="str">
        <f aca="false">IF(C1346="","",IFERROR(INDEX('Kit Lists'!$D$6:$D$605,MATCH(B1346&amp;"|"&amp;C1346,'Kit Lists'!$J$6:$J$605,0)),"Not on this contract's kit list"))</f>
        <v/>
      </c>
      <c r="H1346" s="83" t="str">
        <f aca="false">IF(AND(B1346="",C1346="",D1346=""),"",IF(B1346="","Missing contract",IF(C1346="","Missing code",IF(LEFT(G1346,3)="Not","Wrong code",IF(D1346="","Missing qty",IF(A1346="","Missing date",""))))))</f>
        <v/>
      </c>
      <c r="I1346" s="84" t="str">
        <f aca="false">IF(B1346=Dashboard!$D$3,ROW(),"")</f>
        <v/>
      </c>
    </row>
    <row r="1347" customFormat="false" ht="15" hidden="false" customHeight="false" outlineLevel="0" collapsed="false">
      <c r="A1347" s="80"/>
      <c r="B1347" s="71"/>
      <c r="C1347" s="71"/>
      <c r="D1347" s="81"/>
      <c r="E1347" s="71"/>
      <c r="F1347" s="71"/>
      <c r="G1347" s="82" t="str">
        <f aca="false">IF(C1347="","",IFERROR(INDEX('Kit Lists'!$D$6:$D$605,MATCH(B1347&amp;"|"&amp;C1347,'Kit Lists'!$J$6:$J$605,0)),"Not on this contract's kit list"))</f>
        <v/>
      </c>
      <c r="H1347" s="83" t="str">
        <f aca="false">IF(AND(B1347="",C1347="",D1347=""),"",IF(B1347="","Missing contract",IF(C1347="","Missing code",IF(LEFT(G1347,3)="Not","Wrong code",IF(D1347="","Missing qty",IF(A1347="","Missing date",""))))))</f>
        <v/>
      </c>
      <c r="I1347" s="84" t="str">
        <f aca="false">IF(B1347=Dashboard!$D$3,ROW(),"")</f>
        <v/>
      </c>
    </row>
    <row r="1348" customFormat="false" ht="15" hidden="false" customHeight="false" outlineLevel="0" collapsed="false">
      <c r="A1348" s="80"/>
      <c r="B1348" s="71"/>
      <c r="C1348" s="71"/>
      <c r="D1348" s="81"/>
      <c r="E1348" s="71"/>
      <c r="F1348" s="71"/>
      <c r="G1348" s="82" t="str">
        <f aca="false">IF(C1348="","",IFERROR(INDEX('Kit Lists'!$D$6:$D$605,MATCH(B1348&amp;"|"&amp;C1348,'Kit Lists'!$J$6:$J$605,0)),"Not on this contract's kit list"))</f>
        <v/>
      </c>
      <c r="H1348" s="83" t="str">
        <f aca="false">IF(AND(B1348="",C1348="",D1348=""),"",IF(B1348="","Missing contract",IF(C1348="","Missing code",IF(LEFT(G1348,3)="Not","Wrong code",IF(D1348="","Missing qty",IF(A1348="","Missing date",""))))))</f>
        <v/>
      </c>
      <c r="I1348" s="84" t="str">
        <f aca="false">IF(B1348=Dashboard!$D$3,ROW(),"")</f>
        <v/>
      </c>
    </row>
    <row r="1349" customFormat="false" ht="15" hidden="false" customHeight="false" outlineLevel="0" collapsed="false">
      <c r="A1349" s="80"/>
      <c r="B1349" s="71"/>
      <c r="C1349" s="71"/>
      <c r="D1349" s="81"/>
      <c r="E1349" s="71"/>
      <c r="F1349" s="71"/>
      <c r="G1349" s="82" t="str">
        <f aca="false">IF(C1349="","",IFERROR(INDEX('Kit Lists'!$D$6:$D$605,MATCH(B1349&amp;"|"&amp;C1349,'Kit Lists'!$J$6:$J$605,0)),"Not on this contract's kit list"))</f>
        <v/>
      </c>
      <c r="H1349" s="83" t="str">
        <f aca="false">IF(AND(B1349="",C1349="",D1349=""),"",IF(B1349="","Missing contract",IF(C1349="","Missing code",IF(LEFT(G1349,3)="Not","Wrong code",IF(D1349="","Missing qty",IF(A1349="","Missing date",""))))))</f>
        <v/>
      </c>
      <c r="I1349" s="84" t="str">
        <f aca="false">IF(B1349=Dashboard!$D$3,ROW(),"")</f>
        <v/>
      </c>
    </row>
    <row r="1350" customFormat="false" ht="15" hidden="false" customHeight="false" outlineLevel="0" collapsed="false">
      <c r="A1350" s="80"/>
      <c r="B1350" s="71"/>
      <c r="C1350" s="71"/>
      <c r="D1350" s="81"/>
      <c r="E1350" s="71"/>
      <c r="F1350" s="71"/>
      <c r="G1350" s="82" t="str">
        <f aca="false">IF(C1350="","",IFERROR(INDEX('Kit Lists'!$D$6:$D$605,MATCH(B1350&amp;"|"&amp;C1350,'Kit Lists'!$J$6:$J$605,0)),"Not on this contract's kit list"))</f>
        <v/>
      </c>
      <c r="H1350" s="83" t="str">
        <f aca="false">IF(AND(B1350="",C1350="",D1350=""),"",IF(B1350="","Missing contract",IF(C1350="","Missing code",IF(LEFT(G1350,3)="Not","Wrong code",IF(D1350="","Missing qty",IF(A1350="","Missing date",""))))))</f>
        <v/>
      </c>
      <c r="I1350" s="84" t="str">
        <f aca="false">IF(B1350=Dashboard!$D$3,ROW(),"")</f>
        <v/>
      </c>
    </row>
    <row r="1351" customFormat="false" ht="15" hidden="false" customHeight="false" outlineLevel="0" collapsed="false">
      <c r="A1351" s="80"/>
      <c r="B1351" s="71"/>
      <c r="C1351" s="71"/>
      <c r="D1351" s="81"/>
      <c r="E1351" s="71"/>
      <c r="F1351" s="71"/>
      <c r="G1351" s="82" t="str">
        <f aca="false">IF(C1351="","",IFERROR(INDEX('Kit Lists'!$D$6:$D$605,MATCH(B1351&amp;"|"&amp;C1351,'Kit Lists'!$J$6:$J$605,0)),"Not on this contract's kit list"))</f>
        <v/>
      </c>
      <c r="H1351" s="83" t="str">
        <f aca="false">IF(AND(B1351="",C1351="",D1351=""),"",IF(B1351="","Missing contract",IF(C1351="","Missing code",IF(LEFT(G1351,3)="Not","Wrong code",IF(D1351="","Missing qty",IF(A1351="","Missing date",""))))))</f>
        <v/>
      </c>
      <c r="I1351" s="84" t="str">
        <f aca="false">IF(B1351=Dashboard!$D$3,ROW(),"")</f>
        <v/>
      </c>
    </row>
    <row r="1352" customFormat="false" ht="15" hidden="false" customHeight="false" outlineLevel="0" collapsed="false">
      <c r="A1352" s="80"/>
      <c r="B1352" s="71"/>
      <c r="C1352" s="71"/>
      <c r="D1352" s="81"/>
      <c r="E1352" s="71"/>
      <c r="F1352" s="71"/>
      <c r="G1352" s="82" t="str">
        <f aca="false">IF(C1352="","",IFERROR(INDEX('Kit Lists'!$D$6:$D$605,MATCH(B1352&amp;"|"&amp;C1352,'Kit Lists'!$J$6:$J$605,0)),"Not on this contract's kit list"))</f>
        <v/>
      </c>
      <c r="H1352" s="83" t="str">
        <f aca="false">IF(AND(B1352="",C1352="",D1352=""),"",IF(B1352="","Missing contract",IF(C1352="","Missing code",IF(LEFT(G1352,3)="Not","Wrong code",IF(D1352="","Missing qty",IF(A1352="","Missing date",""))))))</f>
        <v/>
      </c>
      <c r="I1352" s="84" t="str">
        <f aca="false">IF(B1352=Dashboard!$D$3,ROW(),"")</f>
        <v/>
      </c>
    </row>
    <row r="1353" customFormat="false" ht="15" hidden="false" customHeight="false" outlineLevel="0" collapsed="false">
      <c r="A1353" s="80"/>
      <c r="B1353" s="71"/>
      <c r="C1353" s="71"/>
      <c r="D1353" s="81"/>
      <c r="E1353" s="71"/>
      <c r="F1353" s="71"/>
      <c r="G1353" s="82" t="str">
        <f aca="false">IF(C1353="","",IFERROR(INDEX('Kit Lists'!$D$6:$D$605,MATCH(B1353&amp;"|"&amp;C1353,'Kit Lists'!$J$6:$J$605,0)),"Not on this contract's kit list"))</f>
        <v/>
      </c>
      <c r="H1353" s="83" t="str">
        <f aca="false">IF(AND(B1353="",C1353="",D1353=""),"",IF(B1353="","Missing contract",IF(C1353="","Missing code",IF(LEFT(G1353,3)="Not","Wrong code",IF(D1353="","Missing qty",IF(A1353="","Missing date",""))))))</f>
        <v/>
      </c>
      <c r="I1353" s="84" t="str">
        <f aca="false">IF(B1353=Dashboard!$D$3,ROW(),"")</f>
        <v/>
      </c>
    </row>
    <row r="1354" customFormat="false" ht="15" hidden="false" customHeight="false" outlineLevel="0" collapsed="false">
      <c r="A1354" s="80"/>
      <c r="B1354" s="71"/>
      <c r="C1354" s="71"/>
      <c r="D1354" s="81"/>
      <c r="E1354" s="71"/>
      <c r="F1354" s="71"/>
      <c r="G1354" s="82" t="str">
        <f aca="false">IF(C1354="","",IFERROR(INDEX('Kit Lists'!$D$6:$D$605,MATCH(B1354&amp;"|"&amp;C1354,'Kit Lists'!$J$6:$J$605,0)),"Not on this contract's kit list"))</f>
        <v/>
      </c>
      <c r="H1354" s="83" t="str">
        <f aca="false">IF(AND(B1354="",C1354="",D1354=""),"",IF(B1354="","Missing contract",IF(C1354="","Missing code",IF(LEFT(G1354,3)="Not","Wrong code",IF(D1354="","Missing qty",IF(A1354="","Missing date",""))))))</f>
        <v/>
      </c>
      <c r="I1354" s="84" t="str">
        <f aca="false">IF(B1354=Dashboard!$D$3,ROW(),"")</f>
        <v/>
      </c>
    </row>
    <row r="1355" customFormat="false" ht="15" hidden="false" customHeight="false" outlineLevel="0" collapsed="false">
      <c r="A1355" s="80"/>
      <c r="B1355" s="71"/>
      <c r="C1355" s="71"/>
      <c r="D1355" s="81"/>
      <c r="E1355" s="71"/>
      <c r="F1355" s="71"/>
      <c r="G1355" s="82" t="str">
        <f aca="false">IF(C1355="","",IFERROR(INDEX('Kit Lists'!$D$6:$D$605,MATCH(B1355&amp;"|"&amp;C1355,'Kit Lists'!$J$6:$J$605,0)),"Not on this contract's kit list"))</f>
        <v/>
      </c>
      <c r="H1355" s="83" t="str">
        <f aca="false">IF(AND(B1355="",C1355="",D1355=""),"",IF(B1355="","Missing contract",IF(C1355="","Missing code",IF(LEFT(G1355,3)="Not","Wrong code",IF(D1355="","Missing qty",IF(A1355="","Missing date",""))))))</f>
        <v/>
      </c>
      <c r="I1355" s="84" t="str">
        <f aca="false">IF(B1355=Dashboard!$D$3,ROW(),"")</f>
        <v/>
      </c>
    </row>
    <row r="1356" customFormat="false" ht="15" hidden="false" customHeight="false" outlineLevel="0" collapsed="false">
      <c r="A1356" s="80"/>
      <c r="B1356" s="71"/>
      <c r="C1356" s="71"/>
      <c r="D1356" s="81"/>
      <c r="E1356" s="71"/>
      <c r="F1356" s="71"/>
      <c r="G1356" s="82" t="str">
        <f aca="false">IF(C1356="","",IFERROR(INDEX('Kit Lists'!$D$6:$D$605,MATCH(B1356&amp;"|"&amp;C1356,'Kit Lists'!$J$6:$J$605,0)),"Not on this contract's kit list"))</f>
        <v/>
      </c>
      <c r="H1356" s="83" t="str">
        <f aca="false">IF(AND(B1356="",C1356="",D1356=""),"",IF(B1356="","Missing contract",IF(C1356="","Missing code",IF(LEFT(G1356,3)="Not","Wrong code",IF(D1356="","Missing qty",IF(A1356="","Missing date",""))))))</f>
        <v/>
      </c>
      <c r="I1356" s="84" t="str">
        <f aca="false">IF(B1356=Dashboard!$D$3,ROW(),"")</f>
        <v/>
      </c>
    </row>
    <row r="1357" customFormat="false" ht="15" hidden="false" customHeight="false" outlineLevel="0" collapsed="false">
      <c r="A1357" s="80"/>
      <c r="B1357" s="71"/>
      <c r="C1357" s="71"/>
      <c r="D1357" s="81"/>
      <c r="E1357" s="71"/>
      <c r="F1357" s="71"/>
      <c r="G1357" s="82" t="str">
        <f aca="false">IF(C1357="","",IFERROR(INDEX('Kit Lists'!$D$6:$D$605,MATCH(B1357&amp;"|"&amp;C1357,'Kit Lists'!$J$6:$J$605,0)),"Not on this contract's kit list"))</f>
        <v/>
      </c>
      <c r="H1357" s="83" t="str">
        <f aca="false">IF(AND(B1357="",C1357="",D1357=""),"",IF(B1357="","Missing contract",IF(C1357="","Missing code",IF(LEFT(G1357,3)="Not","Wrong code",IF(D1357="","Missing qty",IF(A1357="","Missing date",""))))))</f>
        <v/>
      </c>
      <c r="I1357" s="84" t="str">
        <f aca="false">IF(B1357=Dashboard!$D$3,ROW(),"")</f>
        <v/>
      </c>
    </row>
    <row r="1358" customFormat="false" ht="15" hidden="false" customHeight="false" outlineLevel="0" collapsed="false">
      <c r="A1358" s="80"/>
      <c r="B1358" s="71"/>
      <c r="C1358" s="71"/>
      <c r="D1358" s="81"/>
      <c r="E1358" s="71"/>
      <c r="F1358" s="71"/>
      <c r="G1358" s="82" t="str">
        <f aca="false">IF(C1358="","",IFERROR(INDEX('Kit Lists'!$D$6:$D$605,MATCH(B1358&amp;"|"&amp;C1358,'Kit Lists'!$J$6:$J$605,0)),"Not on this contract's kit list"))</f>
        <v/>
      </c>
      <c r="H1358" s="83" t="str">
        <f aca="false">IF(AND(B1358="",C1358="",D1358=""),"",IF(B1358="","Missing contract",IF(C1358="","Missing code",IF(LEFT(G1358,3)="Not","Wrong code",IF(D1358="","Missing qty",IF(A1358="","Missing date",""))))))</f>
        <v/>
      </c>
      <c r="I1358" s="84" t="str">
        <f aca="false">IF(B1358=Dashboard!$D$3,ROW(),"")</f>
        <v/>
      </c>
    </row>
    <row r="1359" customFormat="false" ht="15" hidden="false" customHeight="false" outlineLevel="0" collapsed="false">
      <c r="A1359" s="80"/>
      <c r="B1359" s="71"/>
      <c r="C1359" s="71"/>
      <c r="D1359" s="81"/>
      <c r="E1359" s="71"/>
      <c r="F1359" s="71"/>
      <c r="G1359" s="82" t="str">
        <f aca="false">IF(C1359="","",IFERROR(INDEX('Kit Lists'!$D$6:$D$605,MATCH(B1359&amp;"|"&amp;C1359,'Kit Lists'!$J$6:$J$605,0)),"Not on this contract's kit list"))</f>
        <v/>
      </c>
      <c r="H1359" s="83" t="str">
        <f aca="false">IF(AND(B1359="",C1359="",D1359=""),"",IF(B1359="","Missing contract",IF(C1359="","Missing code",IF(LEFT(G1359,3)="Not","Wrong code",IF(D1359="","Missing qty",IF(A1359="","Missing date",""))))))</f>
        <v/>
      </c>
      <c r="I1359" s="84" t="str">
        <f aca="false">IF(B1359=Dashboard!$D$3,ROW(),"")</f>
        <v/>
      </c>
    </row>
    <row r="1360" customFormat="false" ht="15" hidden="false" customHeight="false" outlineLevel="0" collapsed="false">
      <c r="A1360" s="80"/>
      <c r="B1360" s="71"/>
      <c r="C1360" s="71"/>
      <c r="D1360" s="81"/>
      <c r="E1360" s="71"/>
      <c r="F1360" s="71"/>
      <c r="G1360" s="82" t="str">
        <f aca="false">IF(C1360="","",IFERROR(INDEX('Kit Lists'!$D$6:$D$605,MATCH(B1360&amp;"|"&amp;C1360,'Kit Lists'!$J$6:$J$605,0)),"Not on this contract's kit list"))</f>
        <v/>
      </c>
      <c r="H1360" s="83" t="str">
        <f aca="false">IF(AND(B1360="",C1360="",D1360=""),"",IF(B1360="","Missing contract",IF(C1360="","Missing code",IF(LEFT(G1360,3)="Not","Wrong code",IF(D1360="","Missing qty",IF(A1360="","Missing date",""))))))</f>
        <v/>
      </c>
      <c r="I1360" s="84" t="str">
        <f aca="false">IF(B1360=Dashboard!$D$3,ROW(),"")</f>
        <v/>
      </c>
    </row>
    <row r="1361" customFormat="false" ht="15" hidden="false" customHeight="false" outlineLevel="0" collapsed="false">
      <c r="A1361" s="80"/>
      <c r="B1361" s="71"/>
      <c r="C1361" s="71"/>
      <c r="D1361" s="81"/>
      <c r="E1361" s="71"/>
      <c r="F1361" s="71"/>
      <c r="G1361" s="82" t="str">
        <f aca="false">IF(C1361="","",IFERROR(INDEX('Kit Lists'!$D$6:$D$605,MATCH(B1361&amp;"|"&amp;C1361,'Kit Lists'!$J$6:$J$605,0)),"Not on this contract's kit list"))</f>
        <v/>
      </c>
      <c r="H1361" s="83" t="str">
        <f aca="false">IF(AND(B1361="",C1361="",D1361=""),"",IF(B1361="","Missing contract",IF(C1361="","Missing code",IF(LEFT(G1361,3)="Not","Wrong code",IF(D1361="","Missing qty",IF(A1361="","Missing date",""))))))</f>
        <v/>
      </c>
      <c r="I1361" s="84" t="str">
        <f aca="false">IF(B1361=Dashboard!$D$3,ROW(),"")</f>
        <v/>
      </c>
    </row>
    <row r="1362" customFormat="false" ht="15" hidden="false" customHeight="false" outlineLevel="0" collapsed="false">
      <c r="A1362" s="80"/>
      <c r="B1362" s="71"/>
      <c r="C1362" s="71"/>
      <c r="D1362" s="81"/>
      <c r="E1362" s="71"/>
      <c r="F1362" s="71"/>
      <c r="G1362" s="82" t="str">
        <f aca="false">IF(C1362="","",IFERROR(INDEX('Kit Lists'!$D$6:$D$605,MATCH(B1362&amp;"|"&amp;C1362,'Kit Lists'!$J$6:$J$605,0)),"Not on this contract's kit list"))</f>
        <v/>
      </c>
      <c r="H1362" s="83" t="str">
        <f aca="false">IF(AND(B1362="",C1362="",D1362=""),"",IF(B1362="","Missing contract",IF(C1362="","Missing code",IF(LEFT(G1362,3)="Not","Wrong code",IF(D1362="","Missing qty",IF(A1362="","Missing date",""))))))</f>
        <v/>
      </c>
      <c r="I1362" s="84" t="str">
        <f aca="false">IF(B1362=Dashboard!$D$3,ROW(),"")</f>
        <v/>
      </c>
    </row>
    <row r="1363" customFormat="false" ht="15" hidden="false" customHeight="false" outlineLevel="0" collapsed="false">
      <c r="A1363" s="80"/>
      <c r="B1363" s="71"/>
      <c r="C1363" s="71"/>
      <c r="D1363" s="81"/>
      <c r="E1363" s="71"/>
      <c r="F1363" s="71"/>
      <c r="G1363" s="82" t="str">
        <f aca="false">IF(C1363="","",IFERROR(INDEX('Kit Lists'!$D$6:$D$605,MATCH(B1363&amp;"|"&amp;C1363,'Kit Lists'!$J$6:$J$605,0)),"Not on this contract's kit list"))</f>
        <v/>
      </c>
      <c r="H1363" s="83" t="str">
        <f aca="false">IF(AND(B1363="",C1363="",D1363=""),"",IF(B1363="","Missing contract",IF(C1363="","Missing code",IF(LEFT(G1363,3)="Not","Wrong code",IF(D1363="","Missing qty",IF(A1363="","Missing date",""))))))</f>
        <v/>
      </c>
      <c r="I1363" s="84" t="str">
        <f aca="false">IF(B1363=Dashboard!$D$3,ROW(),"")</f>
        <v/>
      </c>
    </row>
    <row r="1364" customFormat="false" ht="15" hidden="false" customHeight="false" outlineLevel="0" collapsed="false">
      <c r="A1364" s="80"/>
      <c r="B1364" s="71"/>
      <c r="C1364" s="71"/>
      <c r="D1364" s="81"/>
      <c r="E1364" s="71"/>
      <c r="F1364" s="71"/>
      <c r="G1364" s="82" t="str">
        <f aca="false">IF(C1364="","",IFERROR(INDEX('Kit Lists'!$D$6:$D$605,MATCH(B1364&amp;"|"&amp;C1364,'Kit Lists'!$J$6:$J$605,0)),"Not on this contract's kit list"))</f>
        <v/>
      </c>
      <c r="H1364" s="83" t="str">
        <f aca="false">IF(AND(B1364="",C1364="",D1364=""),"",IF(B1364="","Missing contract",IF(C1364="","Missing code",IF(LEFT(G1364,3)="Not","Wrong code",IF(D1364="","Missing qty",IF(A1364="","Missing date",""))))))</f>
        <v/>
      </c>
      <c r="I1364" s="84" t="str">
        <f aca="false">IF(B1364=Dashboard!$D$3,ROW(),"")</f>
        <v/>
      </c>
    </row>
    <row r="1365" customFormat="false" ht="15" hidden="false" customHeight="false" outlineLevel="0" collapsed="false">
      <c r="A1365" s="80"/>
      <c r="B1365" s="71"/>
      <c r="C1365" s="71"/>
      <c r="D1365" s="81"/>
      <c r="E1365" s="71"/>
      <c r="F1365" s="71"/>
      <c r="G1365" s="82" t="str">
        <f aca="false">IF(C1365="","",IFERROR(INDEX('Kit Lists'!$D$6:$D$605,MATCH(B1365&amp;"|"&amp;C1365,'Kit Lists'!$J$6:$J$605,0)),"Not on this contract's kit list"))</f>
        <v/>
      </c>
      <c r="H1365" s="83" t="str">
        <f aca="false">IF(AND(B1365="",C1365="",D1365=""),"",IF(B1365="","Missing contract",IF(C1365="","Missing code",IF(LEFT(G1365,3)="Not","Wrong code",IF(D1365="","Missing qty",IF(A1365="","Missing date",""))))))</f>
        <v/>
      </c>
      <c r="I1365" s="84" t="str">
        <f aca="false">IF(B1365=Dashboard!$D$3,ROW(),"")</f>
        <v/>
      </c>
    </row>
    <row r="1366" customFormat="false" ht="15" hidden="false" customHeight="false" outlineLevel="0" collapsed="false">
      <c r="A1366" s="80"/>
      <c r="B1366" s="71"/>
      <c r="C1366" s="71"/>
      <c r="D1366" s="81"/>
      <c r="E1366" s="71"/>
      <c r="F1366" s="71"/>
      <c r="G1366" s="82" t="str">
        <f aca="false">IF(C1366="","",IFERROR(INDEX('Kit Lists'!$D$6:$D$605,MATCH(B1366&amp;"|"&amp;C1366,'Kit Lists'!$J$6:$J$605,0)),"Not on this contract's kit list"))</f>
        <v/>
      </c>
      <c r="H1366" s="83" t="str">
        <f aca="false">IF(AND(B1366="",C1366="",D1366=""),"",IF(B1366="","Missing contract",IF(C1366="","Missing code",IF(LEFT(G1366,3)="Not","Wrong code",IF(D1366="","Missing qty",IF(A1366="","Missing date",""))))))</f>
        <v/>
      </c>
      <c r="I1366" s="84" t="str">
        <f aca="false">IF(B1366=Dashboard!$D$3,ROW(),"")</f>
        <v/>
      </c>
    </row>
    <row r="1367" customFormat="false" ht="15" hidden="false" customHeight="false" outlineLevel="0" collapsed="false">
      <c r="A1367" s="80"/>
      <c r="B1367" s="71"/>
      <c r="C1367" s="71"/>
      <c r="D1367" s="81"/>
      <c r="E1367" s="71"/>
      <c r="F1367" s="71"/>
      <c r="G1367" s="82" t="str">
        <f aca="false">IF(C1367="","",IFERROR(INDEX('Kit Lists'!$D$6:$D$605,MATCH(B1367&amp;"|"&amp;C1367,'Kit Lists'!$J$6:$J$605,0)),"Not on this contract's kit list"))</f>
        <v/>
      </c>
      <c r="H1367" s="83" t="str">
        <f aca="false">IF(AND(B1367="",C1367="",D1367=""),"",IF(B1367="","Missing contract",IF(C1367="","Missing code",IF(LEFT(G1367,3)="Not","Wrong code",IF(D1367="","Missing qty",IF(A1367="","Missing date",""))))))</f>
        <v/>
      </c>
      <c r="I1367" s="84" t="str">
        <f aca="false">IF(B1367=Dashboard!$D$3,ROW(),"")</f>
        <v/>
      </c>
    </row>
    <row r="1368" customFormat="false" ht="15" hidden="false" customHeight="false" outlineLevel="0" collapsed="false">
      <c r="A1368" s="80"/>
      <c r="B1368" s="71"/>
      <c r="C1368" s="71"/>
      <c r="D1368" s="81"/>
      <c r="E1368" s="71"/>
      <c r="F1368" s="71"/>
      <c r="G1368" s="82" t="str">
        <f aca="false">IF(C1368="","",IFERROR(INDEX('Kit Lists'!$D$6:$D$605,MATCH(B1368&amp;"|"&amp;C1368,'Kit Lists'!$J$6:$J$605,0)),"Not on this contract's kit list"))</f>
        <v/>
      </c>
      <c r="H1368" s="83" t="str">
        <f aca="false">IF(AND(B1368="",C1368="",D1368=""),"",IF(B1368="","Missing contract",IF(C1368="","Missing code",IF(LEFT(G1368,3)="Not","Wrong code",IF(D1368="","Missing qty",IF(A1368="","Missing date",""))))))</f>
        <v/>
      </c>
      <c r="I1368" s="84" t="str">
        <f aca="false">IF(B1368=Dashboard!$D$3,ROW(),"")</f>
        <v/>
      </c>
    </row>
    <row r="1369" customFormat="false" ht="15" hidden="false" customHeight="false" outlineLevel="0" collapsed="false">
      <c r="A1369" s="80"/>
      <c r="B1369" s="71"/>
      <c r="C1369" s="71"/>
      <c r="D1369" s="81"/>
      <c r="E1369" s="71"/>
      <c r="F1369" s="71"/>
      <c r="G1369" s="82" t="str">
        <f aca="false">IF(C1369="","",IFERROR(INDEX('Kit Lists'!$D$6:$D$605,MATCH(B1369&amp;"|"&amp;C1369,'Kit Lists'!$J$6:$J$605,0)),"Not on this contract's kit list"))</f>
        <v/>
      </c>
      <c r="H1369" s="83" t="str">
        <f aca="false">IF(AND(B1369="",C1369="",D1369=""),"",IF(B1369="","Missing contract",IF(C1369="","Missing code",IF(LEFT(G1369,3)="Not","Wrong code",IF(D1369="","Missing qty",IF(A1369="","Missing date",""))))))</f>
        <v/>
      </c>
      <c r="I1369" s="84" t="str">
        <f aca="false">IF(B1369=Dashboard!$D$3,ROW(),"")</f>
        <v/>
      </c>
    </row>
    <row r="1370" customFormat="false" ht="15" hidden="false" customHeight="false" outlineLevel="0" collapsed="false">
      <c r="A1370" s="80"/>
      <c r="B1370" s="71"/>
      <c r="C1370" s="71"/>
      <c r="D1370" s="81"/>
      <c r="E1370" s="71"/>
      <c r="F1370" s="71"/>
      <c r="G1370" s="82" t="str">
        <f aca="false">IF(C1370="","",IFERROR(INDEX('Kit Lists'!$D$6:$D$605,MATCH(B1370&amp;"|"&amp;C1370,'Kit Lists'!$J$6:$J$605,0)),"Not on this contract's kit list"))</f>
        <v/>
      </c>
      <c r="H1370" s="83" t="str">
        <f aca="false">IF(AND(B1370="",C1370="",D1370=""),"",IF(B1370="","Missing contract",IF(C1370="","Missing code",IF(LEFT(G1370,3)="Not","Wrong code",IF(D1370="","Missing qty",IF(A1370="","Missing date",""))))))</f>
        <v/>
      </c>
      <c r="I1370" s="84" t="str">
        <f aca="false">IF(B1370=Dashboard!$D$3,ROW(),"")</f>
        <v/>
      </c>
    </row>
    <row r="1371" customFormat="false" ht="15" hidden="false" customHeight="false" outlineLevel="0" collapsed="false">
      <c r="A1371" s="80"/>
      <c r="B1371" s="71"/>
      <c r="C1371" s="71"/>
      <c r="D1371" s="81"/>
      <c r="E1371" s="71"/>
      <c r="F1371" s="71"/>
      <c r="G1371" s="82" t="str">
        <f aca="false">IF(C1371="","",IFERROR(INDEX('Kit Lists'!$D$6:$D$605,MATCH(B1371&amp;"|"&amp;C1371,'Kit Lists'!$J$6:$J$605,0)),"Not on this contract's kit list"))</f>
        <v/>
      </c>
      <c r="H1371" s="83" t="str">
        <f aca="false">IF(AND(B1371="",C1371="",D1371=""),"",IF(B1371="","Missing contract",IF(C1371="","Missing code",IF(LEFT(G1371,3)="Not","Wrong code",IF(D1371="","Missing qty",IF(A1371="","Missing date",""))))))</f>
        <v/>
      </c>
      <c r="I1371" s="84" t="str">
        <f aca="false">IF(B1371=Dashboard!$D$3,ROW(),"")</f>
        <v/>
      </c>
    </row>
    <row r="1372" customFormat="false" ht="15" hidden="false" customHeight="false" outlineLevel="0" collapsed="false">
      <c r="A1372" s="80"/>
      <c r="B1372" s="71"/>
      <c r="C1372" s="71"/>
      <c r="D1372" s="81"/>
      <c r="E1372" s="71"/>
      <c r="F1372" s="71"/>
      <c r="G1372" s="82" t="str">
        <f aca="false">IF(C1372="","",IFERROR(INDEX('Kit Lists'!$D$6:$D$605,MATCH(B1372&amp;"|"&amp;C1372,'Kit Lists'!$J$6:$J$605,0)),"Not on this contract's kit list"))</f>
        <v/>
      </c>
      <c r="H1372" s="83" t="str">
        <f aca="false">IF(AND(B1372="",C1372="",D1372=""),"",IF(B1372="","Missing contract",IF(C1372="","Missing code",IF(LEFT(G1372,3)="Not","Wrong code",IF(D1372="","Missing qty",IF(A1372="","Missing date",""))))))</f>
        <v/>
      </c>
      <c r="I1372" s="84" t="str">
        <f aca="false">IF(B1372=Dashboard!$D$3,ROW(),"")</f>
        <v/>
      </c>
    </row>
    <row r="1373" customFormat="false" ht="15" hidden="false" customHeight="false" outlineLevel="0" collapsed="false">
      <c r="A1373" s="80"/>
      <c r="B1373" s="71"/>
      <c r="C1373" s="71"/>
      <c r="D1373" s="81"/>
      <c r="E1373" s="71"/>
      <c r="F1373" s="71"/>
      <c r="G1373" s="82" t="str">
        <f aca="false">IF(C1373="","",IFERROR(INDEX('Kit Lists'!$D$6:$D$605,MATCH(B1373&amp;"|"&amp;C1373,'Kit Lists'!$J$6:$J$605,0)),"Not on this contract's kit list"))</f>
        <v/>
      </c>
      <c r="H1373" s="83" t="str">
        <f aca="false">IF(AND(B1373="",C1373="",D1373=""),"",IF(B1373="","Missing contract",IF(C1373="","Missing code",IF(LEFT(G1373,3)="Not","Wrong code",IF(D1373="","Missing qty",IF(A1373="","Missing date",""))))))</f>
        <v/>
      </c>
      <c r="I1373" s="84" t="str">
        <f aca="false">IF(B1373=Dashboard!$D$3,ROW(),"")</f>
        <v/>
      </c>
    </row>
    <row r="1374" customFormat="false" ht="15" hidden="false" customHeight="false" outlineLevel="0" collapsed="false">
      <c r="A1374" s="80"/>
      <c r="B1374" s="71"/>
      <c r="C1374" s="71"/>
      <c r="D1374" s="81"/>
      <c r="E1374" s="71"/>
      <c r="F1374" s="71"/>
      <c r="G1374" s="82" t="str">
        <f aca="false">IF(C1374="","",IFERROR(INDEX('Kit Lists'!$D$6:$D$605,MATCH(B1374&amp;"|"&amp;C1374,'Kit Lists'!$J$6:$J$605,0)),"Not on this contract's kit list"))</f>
        <v/>
      </c>
      <c r="H1374" s="83" t="str">
        <f aca="false">IF(AND(B1374="",C1374="",D1374=""),"",IF(B1374="","Missing contract",IF(C1374="","Missing code",IF(LEFT(G1374,3)="Not","Wrong code",IF(D1374="","Missing qty",IF(A1374="","Missing date",""))))))</f>
        <v/>
      </c>
      <c r="I1374" s="84" t="str">
        <f aca="false">IF(B1374=Dashboard!$D$3,ROW(),"")</f>
        <v/>
      </c>
    </row>
    <row r="1375" customFormat="false" ht="15" hidden="false" customHeight="false" outlineLevel="0" collapsed="false">
      <c r="A1375" s="80"/>
      <c r="B1375" s="71"/>
      <c r="C1375" s="71"/>
      <c r="D1375" s="81"/>
      <c r="E1375" s="71"/>
      <c r="F1375" s="71"/>
      <c r="G1375" s="82" t="str">
        <f aca="false">IF(C1375="","",IFERROR(INDEX('Kit Lists'!$D$6:$D$605,MATCH(B1375&amp;"|"&amp;C1375,'Kit Lists'!$J$6:$J$605,0)),"Not on this contract's kit list"))</f>
        <v/>
      </c>
      <c r="H1375" s="83" t="str">
        <f aca="false">IF(AND(B1375="",C1375="",D1375=""),"",IF(B1375="","Missing contract",IF(C1375="","Missing code",IF(LEFT(G1375,3)="Not","Wrong code",IF(D1375="","Missing qty",IF(A1375="","Missing date",""))))))</f>
        <v/>
      </c>
      <c r="I1375" s="84" t="str">
        <f aca="false">IF(B1375=Dashboard!$D$3,ROW(),"")</f>
        <v/>
      </c>
    </row>
    <row r="1376" customFormat="false" ht="15" hidden="false" customHeight="false" outlineLevel="0" collapsed="false">
      <c r="A1376" s="80"/>
      <c r="B1376" s="71"/>
      <c r="C1376" s="71"/>
      <c r="D1376" s="81"/>
      <c r="E1376" s="71"/>
      <c r="F1376" s="71"/>
      <c r="G1376" s="82" t="str">
        <f aca="false">IF(C1376="","",IFERROR(INDEX('Kit Lists'!$D$6:$D$605,MATCH(B1376&amp;"|"&amp;C1376,'Kit Lists'!$J$6:$J$605,0)),"Not on this contract's kit list"))</f>
        <v/>
      </c>
      <c r="H1376" s="83" t="str">
        <f aca="false">IF(AND(B1376="",C1376="",D1376=""),"",IF(B1376="","Missing contract",IF(C1376="","Missing code",IF(LEFT(G1376,3)="Not","Wrong code",IF(D1376="","Missing qty",IF(A1376="","Missing date",""))))))</f>
        <v/>
      </c>
      <c r="I1376" s="84" t="str">
        <f aca="false">IF(B1376=Dashboard!$D$3,ROW(),"")</f>
        <v/>
      </c>
    </row>
    <row r="1377" customFormat="false" ht="15" hidden="false" customHeight="false" outlineLevel="0" collapsed="false">
      <c r="A1377" s="80"/>
      <c r="B1377" s="71"/>
      <c r="C1377" s="71"/>
      <c r="D1377" s="81"/>
      <c r="E1377" s="71"/>
      <c r="F1377" s="71"/>
      <c r="G1377" s="82" t="str">
        <f aca="false">IF(C1377="","",IFERROR(INDEX('Kit Lists'!$D$6:$D$605,MATCH(B1377&amp;"|"&amp;C1377,'Kit Lists'!$J$6:$J$605,0)),"Not on this contract's kit list"))</f>
        <v/>
      </c>
      <c r="H1377" s="83" t="str">
        <f aca="false">IF(AND(B1377="",C1377="",D1377=""),"",IF(B1377="","Missing contract",IF(C1377="","Missing code",IF(LEFT(G1377,3)="Not","Wrong code",IF(D1377="","Missing qty",IF(A1377="","Missing date",""))))))</f>
        <v/>
      </c>
      <c r="I1377" s="84" t="str">
        <f aca="false">IF(B1377=Dashboard!$D$3,ROW(),"")</f>
        <v/>
      </c>
    </row>
    <row r="1378" customFormat="false" ht="15" hidden="false" customHeight="false" outlineLevel="0" collapsed="false">
      <c r="A1378" s="80"/>
      <c r="B1378" s="71"/>
      <c r="C1378" s="71"/>
      <c r="D1378" s="81"/>
      <c r="E1378" s="71"/>
      <c r="F1378" s="71"/>
      <c r="G1378" s="82" t="str">
        <f aca="false">IF(C1378="","",IFERROR(INDEX('Kit Lists'!$D$6:$D$605,MATCH(B1378&amp;"|"&amp;C1378,'Kit Lists'!$J$6:$J$605,0)),"Not on this contract's kit list"))</f>
        <v/>
      </c>
      <c r="H1378" s="83" t="str">
        <f aca="false">IF(AND(B1378="",C1378="",D1378=""),"",IF(B1378="","Missing contract",IF(C1378="","Missing code",IF(LEFT(G1378,3)="Not","Wrong code",IF(D1378="","Missing qty",IF(A1378="","Missing date",""))))))</f>
        <v/>
      </c>
      <c r="I1378" s="84" t="str">
        <f aca="false">IF(B1378=Dashboard!$D$3,ROW(),"")</f>
        <v/>
      </c>
    </row>
    <row r="1379" customFormat="false" ht="15" hidden="false" customHeight="false" outlineLevel="0" collapsed="false">
      <c r="A1379" s="80"/>
      <c r="B1379" s="71"/>
      <c r="C1379" s="71"/>
      <c r="D1379" s="81"/>
      <c r="E1379" s="71"/>
      <c r="F1379" s="71"/>
      <c r="G1379" s="82" t="str">
        <f aca="false">IF(C1379="","",IFERROR(INDEX('Kit Lists'!$D$6:$D$605,MATCH(B1379&amp;"|"&amp;C1379,'Kit Lists'!$J$6:$J$605,0)),"Not on this contract's kit list"))</f>
        <v/>
      </c>
      <c r="H1379" s="83" t="str">
        <f aca="false">IF(AND(B1379="",C1379="",D1379=""),"",IF(B1379="","Missing contract",IF(C1379="","Missing code",IF(LEFT(G1379,3)="Not","Wrong code",IF(D1379="","Missing qty",IF(A1379="","Missing date",""))))))</f>
        <v/>
      </c>
      <c r="I1379" s="84" t="str">
        <f aca="false">IF(B1379=Dashboard!$D$3,ROW(),"")</f>
        <v/>
      </c>
    </row>
    <row r="1380" customFormat="false" ht="15" hidden="false" customHeight="false" outlineLevel="0" collapsed="false">
      <c r="A1380" s="80"/>
      <c r="B1380" s="71"/>
      <c r="C1380" s="71"/>
      <c r="D1380" s="81"/>
      <c r="E1380" s="71"/>
      <c r="F1380" s="71"/>
      <c r="G1380" s="82" t="str">
        <f aca="false">IF(C1380="","",IFERROR(INDEX('Kit Lists'!$D$6:$D$605,MATCH(B1380&amp;"|"&amp;C1380,'Kit Lists'!$J$6:$J$605,0)),"Not on this contract's kit list"))</f>
        <v/>
      </c>
      <c r="H1380" s="83" t="str">
        <f aca="false">IF(AND(B1380="",C1380="",D1380=""),"",IF(B1380="","Missing contract",IF(C1380="","Missing code",IF(LEFT(G1380,3)="Not","Wrong code",IF(D1380="","Missing qty",IF(A1380="","Missing date",""))))))</f>
        <v/>
      </c>
      <c r="I1380" s="84" t="str">
        <f aca="false">IF(B1380=Dashboard!$D$3,ROW(),"")</f>
        <v/>
      </c>
    </row>
    <row r="1381" customFormat="false" ht="15" hidden="false" customHeight="false" outlineLevel="0" collapsed="false">
      <c r="A1381" s="80"/>
      <c r="B1381" s="71"/>
      <c r="C1381" s="71"/>
      <c r="D1381" s="81"/>
      <c r="E1381" s="71"/>
      <c r="F1381" s="71"/>
      <c r="G1381" s="82" t="str">
        <f aca="false">IF(C1381="","",IFERROR(INDEX('Kit Lists'!$D$6:$D$605,MATCH(B1381&amp;"|"&amp;C1381,'Kit Lists'!$J$6:$J$605,0)),"Not on this contract's kit list"))</f>
        <v/>
      </c>
      <c r="H1381" s="83" t="str">
        <f aca="false">IF(AND(B1381="",C1381="",D1381=""),"",IF(B1381="","Missing contract",IF(C1381="","Missing code",IF(LEFT(G1381,3)="Not","Wrong code",IF(D1381="","Missing qty",IF(A1381="","Missing date",""))))))</f>
        <v/>
      </c>
      <c r="I1381" s="84" t="str">
        <f aca="false">IF(B1381=Dashboard!$D$3,ROW(),"")</f>
        <v/>
      </c>
    </row>
    <row r="1382" customFormat="false" ht="15" hidden="false" customHeight="false" outlineLevel="0" collapsed="false">
      <c r="A1382" s="80"/>
      <c r="B1382" s="71"/>
      <c r="C1382" s="71"/>
      <c r="D1382" s="81"/>
      <c r="E1382" s="71"/>
      <c r="F1382" s="71"/>
      <c r="G1382" s="82" t="str">
        <f aca="false">IF(C1382="","",IFERROR(INDEX('Kit Lists'!$D$6:$D$605,MATCH(B1382&amp;"|"&amp;C1382,'Kit Lists'!$J$6:$J$605,0)),"Not on this contract's kit list"))</f>
        <v/>
      </c>
      <c r="H1382" s="83" t="str">
        <f aca="false">IF(AND(B1382="",C1382="",D1382=""),"",IF(B1382="","Missing contract",IF(C1382="","Missing code",IF(LEFT(G1382,3)="Not","Wrong code",IF(D1382="","Missing qty",IF(A1382="","Missing date",""))))))</f>
        <v/>
      </c>
      <c r="I1382" s="84" t="str">
        <f aca="false">IF(B1382=Dashboard!$D$3,ROW(),"")</f>
        <v/>
      </c>
    </row>
    <row r="1383" customFormat="false" ht="15" hidden="false" customHeight="false" outlineLevel="0" collapsed="false">
      <c r="A1383" s="80"/>
      <c r="B1383" s="71"/>
      <c r="C1383" s="71"/>
      <c r="D1383" s="81"/>
      <c r="E1383" s="71"/>
      <c r="F1383" s="71"/>
      <c r="G1383" s="82" t="str">
        <f aca="false">IF(C1383="","",IFERROR(INDEX('Kit Lists'!$D$6:$D$605,MATCH(B1383&amp;"|"&amp;C1383,'Kit Lists'!$J$6:$J$605,0)),"Not on this contract's kit list"))</f>
        <v/>
      </c>
      <c r="H1383" s="83" t="str">
        <f aca="false">IF(AND(B1383="",C1383="",D1383=""),"",IF(B1383="","Missing contract",IF(C1383="","Missing code",IF(LEFT(G1383,3)="Not","Wrong code",IF(D1383="","Missing qty",IF(A1383="","Missing date",""))))))</f>
        <v/>
      </c>
      <c r="I1383" s="84" t="str">
        <f aca="false">IF(B1383=Dashboard!$D$3,ROW(),"")</f>
        <v/>
      </c>
    </row>
    <row r="1384" customFormat="false" ht="15" hidden="false" customHeight="false" outlineLevel="0" collapsed="false">
      <c r="A1384" s="80"/>
      <c r="B1384" s="71"/>
      <c r="C1384" s="71"/>
      <c r="D1384" s="81"/>
      <c r="E1384" s="71"/>
      <c r="F1384" s="71"/>
      <c r="G1384" s="82" t="str">
        <f aca="false">IF(C1384="","",IFERROR(INDEX('Kit Lists'!$D$6:$D$605,MATCH(B1384&amp;"|"&amp;C1384,'Kit Lists'!$J$6:$J$605,0)),"Not on this contract's kit list"))</f>
        <v/>
      </c>
      <c r="H1384" s="83" t="str">
        <f aca="false">IF(AND(B1384="",C1384="",D1384=""),"",IF(B1384="","Missing contract",IF(C1384="","Missing code",IF(LEFT(G1384,3)="Not","Wrong code",IF(D1384="","Missing qty",IF(A1384="","Missing date",""))))))</f>
        <v/>
      </c>
      <c r="I1384" s="84" t="str">
        <f aca="false">IF(B1384=Dashboard!$D$3,ROW(),"")</f>
        <v/>
      </c>
    </row>
    <row r="1385" customFormat="false" ht="15" hidden="false" customHeight="false" outlineLevel="0" collapsed="false">
      <c r="A1385" s="80"/>
      <c r="B1385" s="71"/>
      <c r="C1385" s="71"/>
      <c r="D1385" s="81"/>
      <c r="E1385" s="71"/>
      <c r="F1385" s="71"/>
      <c r="G1385" s="82" t="str">
        <f aca="false">IF(C1385="","",IFERROR(INDEX('Kit Lists'!$D$6:$D$605,MATCH(B1385&amp;"|"&amp;C1385,'Kit Lists'!$J$6:$J$605,0)),"Not on this contract's kit list"))</f>
        <v/>
      </c>
      <c r="H1385" s="83" t="str">
        <f aca="false">IF(AND(B1385="",C1385="",D1385=""),"",IF(B1385="","Missing contract",IF(C1385="","Missing code",IF(LEFT(G1385,3)="Not","Wrong code",IF(D1385="","Missing qty",IF(A1385="","Missing date",""))))))</f>
        <v/>
      </c>
      <c r="I1385" s="84" t="str">
        <f aca="false">IF(B1385=Dashboard!$D$3,ROW(),"")</f>
        <v/>
      </c>
    </row>
    <row r="1386" customFormat="false" ht="15" hidden="false" customHeight="false" outlineLevel="0" collapsed="false">
      <c r="A1386" s="80"/>
      <c r="B1386" s="71"/>
      <c r="C1386" s="71"/>
      <c r="D1386" s="81"/>
      <c r="E1386" s="71"/>
      <c r="F1386" s="71"/>
      <c r="G1386" s="82" t="str">
        <f aca="false">IF(C1386="","",IFERROR(INDEX('Kit Lists'!$D$6:$D$605,MATCH(B1386&amp;"|"&amp;C1386,'Kit Lists'!$J$6:$J$605,0)),"Not on this contract's kit list"))</f>
        <v/>
      </c>
      <c r="H1386" s="83" t="str">
        <f aca="false">IF(AND(B1386="",C1386="",D1386=""),"",IF(B1386="","Missing contract",IF(C1386="","Missing code",IF(LEFT(G1386,3)="Not","Wrong code",IF(D1386="","Missing qty",IF(A1386="","Missing date",""))))))</f>
        <v/>
      </c>
      <c r="I1386" s="84" t="str">
        <f aca="false">IF(B1386=Dashboard!$D$3,ROW(),"")</f>
        <v/>
      </c>
    </row>
    <row r="1387" customFormat="false" ht="15" hidden="false" customHeight="false" outlineLevel="0" collapsed="false">
      <c r="A1387" s="80"/>
      <c r="B1387" s="71"/>
      <c r="C1387" s="71"/>
      <c r="D1387" s="81"/>
      <c r="E1387" s="71"/>
      <c r="F1387" s="71"/>
      <c r="G1387" s="82" t="str">
        <f aca="false">IF(C1387="","",IFERROR(INDEX('Kit Lists'!$D$6:$D$605,MATCH(B1387&amp;"|"&amp;C1387,'Kit Lists'!$J$6:$J$605,0)),"Not on this contract's kit list"))</f>
        <v/>
      </c>
      <c r="H1387" s="83" t="str">
        <f aca="false">IF(AND(B1387="",C1387="",D1387=""),"",IF(B1387="","Missing contract",IF(C1387="","Missing code",IF(LEFT(G1387,3)="Not","Wrong code",IF(D1387="","Missing qty",IF(A1387="","Missing date",""))))))</f>
        <v/>
      </c>
      <c r="I1387" s="84" t="str">
        <f aca="false">IF(B1387=Dashboard!$D$3,ROW(),"")</f>
        <v/>
      </c>
    </row>
    <row r="1388" customFormat="false" ht="15" hidden="false" customHeight="false" outlineLevel="0" collapsed="false">
      <c r="A1388" s="80"/>
      <c r="B1388" s="71"/>
      <c r="C1388" s="71"/>
      <c r="D1388" s="81"/>
      <c r="E1388" s="71"/>
      <c r="F1388" s="71"/>
      <c r="G1388" s="82" t="str">
        <f aca="false">IF(C1388="","",IFERROR(INDEX('Kit Lists'!$D$6:$D$605,MATCH(B1388&amp;"|"&amp;C1388,'Kit Lists'!$J$6:$J$605,0)),"Not on this contract's kit list"))</f>
        <v/>
      </c>
      <c r="H1388" s="83" t="str">
        <f aca="false">IF(AND(B1388="",C1388="",D1388=""),"",IF(B1388="","Missing contract",IF(C1388="","Missing code",IF(LEFT(G1388,3)="Not","Wrong code",IF(D1388="","Missing qty",IF(A1388="","Missing date",""))))))</f>
        <v/>
      </c>
      <c r="I1388" s="84" t="str">
        <f aca="false">IF(B1388=Dashboard!$D$3,ROW(),"")</f>
        <v/>
      </c>
    </row>
    <row r="1389" customFormat="false" ht="15" hidden="false" customHeight="false" outlineLevel="0" collapsed="false">
      <c r="A1389" s="80"/>
      <c r="B1389" s="71"/>
      <c r="C1389" s="71"/>
      <c r="D1389" s="81"/>
      <c r="E1389" s="71"/>
      <c r="F1389" s="71"/>
      <c r="G1389" s="82" t="str">
        <f aca="false">IF(C1389="","",IFERROR(INDEX('Kit Lists'!$D$6:$D$605,MATCH(B1389&amp;"|"&amp;C1389,'Kit Lists'!$J$6:$J$605,0)),"Not on this contract's kit list"))</f>
        <v/>
      </c>
      <c r="H1389" s="83" t="str">
        <f aca="false">IF(AND(B1389="",C1389="",D1389=""),"",IF(B1389="","Missing contract",IF(C1389="","Missing code",IF(LEFT(G1389,3)="Not","Wrong code",IF(D1389="","Missing qty",IF(A1389="","Missing date",""))))))</f>
        <v/>
      </c>
      <c r="I1389" s="84" t="str">
        <f aca="false">IF(B1389=Dashboard!$D$3,ROW(),"")</f>
        <v/>
      </c>
    </row>
    <row r="1390" customFormat="false" ht="15" hidden="false" customHeight="false" outlineLevel="0" collapsed="false">
      <c r="A1390" s="80"/>
      <c r="B1390" s="71"/>
      <c r="C1390" s="71"/>
      <c r="D1390" s="81"/>
      <c r="E1390" s="71"/>
      <c r="F1390" s="71"/>
      <c r="G1390" s="82" t="str">
        <f aca="false">IF(C1390="","",IFERROR(INDEX('Kit Lists'!$D$6:$D$605,MATCH(B1390&amp;"|"&amp;C1390,'Kit Lists'!$J$6:$J$605,0)),"Not on this contract's kit list"))</f>
        <v/>
      </c>
      <c r="H1390" s="83" t="str">
        <f aca="false">IF(AND(B1390="",C1390="",D1390=""),"",IF(B1390="","Missing contract",IF(C1390="","Missing code",IF(LEFT(G1390,3)="Not","Wrong code",IF(D1390="","Missing qty",IF(A1390="","Missing date",""))))))</f>
        <v/>
      </c>
      <c r="I1390" s="84" t="str">
        <f aca="false">IF(B1390=Dashboard!$D$3,ROW(),"")</f>
        <v/>
      </c>
    </row>
    <row r="1391" customFormat="false" ht="15" hidden="false" customHeight="false" outlineLevel="0" collapsed="false">
      <c r="A1391" s="80"/>
      <c r="B1391" s="71"/>
      <c r="C1391" s="71"/>
      <c r="D1391" s="81"/>
      <c r="E1391" s="71"/>
      <c r="F1391" s="71"/>
      <c r="G1391" s="82" t="str">
        <f aca="false">IF(C1391="","",IFERROR(INDEX('Kit Lists'!$D$6:$D$605,MATCH(B1391&amp;"|"&amp;C1391,'Kit Lists'!$J$6:$J$605,0)),"Not on this contract's kit list"))</f>
        <v/>
      </c>
      <c r="H1391" s="83" t="str">
        <f aca="false">IF(AND(B1391="",C1391="",D1391=""),"",IF(B1391="","Missing contract",IF(C1391="","Missing code",IF(LEFT(G1391,3)="Not","Wrong code",IF(D1391="","Missing qty",IF(A1391="","Missing date",""))))))</f>
        <v/>
      </c>
      <c r="I1391" s="84" t="str">
        <f aca="false">IF(B1391=Dashboard!$D$3,ROW(),"")</f>
        <v/>
      </c>
    </row>
    <row r="1392" customFormat="false" ht="15" hidden="false" customHeight="false" outlineLevel="0" collapsed="false">
      <c r="A1392" s="80"/>
      <c r="B1392" s="71"/>
      <c r="C1392" s="71"/>
      <c r="D1392" s="81"/>
      <c r="E1392" s="71"/>
      <c r="F1392" s="71"/>
      <c r="G1392" s="82" t="str">
        <f aca="false">IF(C1392="","",IFERROR(INDEX('Kit Lists'!$D$6:$D$605,MATCH(B1392&amp;"|"&amp;C1392,'Kit Lists'!$J$6:$J$605,0)),"Not on this contract's kit list"))</f>
        <v/>
      </c>
      <c r="H1392" s="83" t="str">
        <f aca="false">IF(AND(B1392="",C1392="",D1392=""),"",IF(B1392="","Missing contract",IF(C1392="","Missing code",IF(LEFT(G1392,3)="Not","Wrong code",IF(D1392="","Missing qty",IF(A1392="","Missing date",""))))))</f>
        <v/>
      </c>
      <c r="I1392" s="84" t="str">
        <f aca="false">IF(B1392=Dashboard!$D$3,ROW(),"")</f>
        <v/>
      </c>
    </row>
    <row r="1393" customFormat="false" ht="15" hidden="false" customHeight="false" outlineLevel="0" collapsed="false">
      <c r="A1393" s="80"/>
      <c r="B1393" s="71"/>
      <c r="C1393" s="71"/>
      <c r="D1393" s="81"/>
      <c r="E1393" s="71"/>
      <c r="F1393" s="71"/>
      <c r="G1393" s="82" t="str">
        <f aca="false">IF(C1393="","",IFERROR(INDEX('Kit Lists'!$D$6:$D$605,MATCH(B1393&amp;"|"&amp;C1393,'Kit Lists'!$J$6:$J$605,0)),"Not on this contract's kit list"))</f>
        <v/>
      </c>
      <c r="H1393" s="83" t="str">
        <f aca="false">IF(AND(B1393="",C1393="",D1393=""),"",IF(B1393="","Missing contract",IF(C1393="","Missing code",IF(LEFT(G1393,3)="Not","Wrong code",IF(D1393="","Missing qty",IF(A1393="","Missing date",""))))))</f>
        <v/>
      </c>
      <c r="I1393" s="84" t="str">
        <f aca="false">IF(B1393=Dashboard!$D$3,ROW(),"")</f>
        <v/>
      </c>
    </row>
    <row r="1394" customFormat="false" ht="15" hidden="false" customHeight="false" outlineLevel="0" collapsed="false">
      <c r="A1394" s="80"/>
      <c r="B1394" s="71"/>
      <c r="C1394" s="71"/>
      <c r="D1394" s="81"/>
      <c r="E1394" s="71"/>
      <c r="F1394" s="71"/>
      <c r="G1394" s="82" t="str">
        <f aca="false">IF(C1394="","",IFERROR(INDEX('Kit Lists'!$D$6:$D$605,MATCH(B1394&amp;"|"&amp;C1394,'Kit Lists'!$J$6:$J$605,0)),"Not on this contract's kit list"))</f>
        <v/>
      </c>
      <c r="H1394" s="83" t="str">
        <f aca="false">IF(AND(B1394="",C1394="",D1394=""),"",IF(B1394="","Missing contract",IF(C1394="","Missing code",IF(LEFT(G1394,3)="Not","Wrong code",IF(D1394="","Missing qty",IF(A1394="","Missing date",""))))))</f>
        <v/>
      </c>
      <c r="I1394" s="84" t="str">
        <f aca="false">IF(B1394=Dashboard!$D$3,ROW(),"")</f>
        <v/>
      </c>
    </row>
    <row r="1395" customFormat="false" ht="15" hidden="false" customHeight="false" outlineLevel="0" collapsed="false">
      <c r="A1395" s="80"/>
      <c r="B1395" s="71"/>
      <c r="C1395" s="71"/>
      <c r="D1395" s="81"/>
      <c r="E1395" s="71"/>
      <c r="F1395" s="71"/>
      <c r="G1395" s="82" t="str">
        <f aca="false">IF(C1395="","",IFERROR(INDEX('Kit Lists'!$D$6:$D$605,MATCH(B1395&amp;"|"&amp;C1395,'Kit Lists'!$J$6:$J$605,0)),"Not on this contract's kit list"))</f>
        <v/>
      </c>
      <c r="H1395" s="83" t="str">
        <f aca="false">IF(AND(B1395="",C1395="",D1395=""),"",IF(B1395="","Missing contract",IF(C1395="","Missing code",IF(LEFT(G1395,3)="Not","Wrong code",IF(D1395="","Missing qty",IF(A1395="","Missing date",""))))))</f>
        <v/>
      </c>
      <c r="I1395" s="84" t="str">
        <f aca="false">IF(B1395=Dashboard!$D$3,ROW(),"")</f>
        <v/>
      </c>
    </row>
    <row r="1396" customFormat="false" ht="15" hidden="false" customHeight="false" outlineLevel="0" collapsed="false">
      <c r="A1396" s="80"/>
      <c r="B1396" s="71"/>
      <c r="C1396" s="71"/>
      <c r="D1396" s="81"/>
      <c r="E1396" s="71"/>
      <c r="F1396" s="71"/>
      <c r="G1396" s="82" t="str">
        <f aca="false">IF(C1396="","",IFERROR(INDEX('Kit Lists'!$D$6:$D$605,MATCH(B1396&amp;"|"&amp;C1396,'Kit Lists'!$J$6:$J$605,0)),"Not on this contract's kit list"))</f>
        <v/>
      </c>
      <c r="H1396" s="83" t="str">
        <f aca="false">IF(AND(B1396="",C1396="",D1396=""),"",IF(B1396="","Missing contract",IF(C1396="","Missing code",IF(LEFT(G1396,3)="Not","Wrong code",IF(D1396="","Missing qty",IF(A1396="","Missing date",""))))))</f>
        <v/>
      </c>
      <c r="I1396" s="84" t="str">
        <f aca="false">IF(B1396=Dashboard!$D$3,ROW(),"")</f>
        <v/>
      </c>
    </row>
    <row r="1397" customFormat="false" ht="15" hidden="false" customHeight="false" outlineLevel="0" collapsed="false">
      <c r="A1397" s="80"/>
      <c r="B1397" s="71"/>
      <c r="C1397" s="71"/>
      <c r="D1397" s="81"/>
      <c r="E1397" s="71"/>
      <c r="F1397" s="71"/>
      <c r="G1397" s="82" t="str">
        <f aca="false">IF(C1397="","",IFERROR(INDEX('Kit Lists'!$D$6:$D$605,MATCH(B1397&amp;"|"&amp;C1397,'Kit Lists'!$J$6:$J$605,0)),"Not on this contract's kit list"))</f>
        <v/>
      </c>
      <c r="H1397" s="83" t="str">
        <f aca="false">IF(AND(B1397="",C1397="",D1397=""),"",IF(B1397="","Missing contract",IF(C1397="","Missing code",IF(LEFT(G1397,3)="Not","Wrong code",IF(D1397="","Missing qty",IF(A1397="","Missing date",""))))))</f>
        <v/>
      </c>
      <c r="I1397" s="84" t="str">
        <f aca="false">IF(B1397=Dashboard!$D$3,ROW(),"")</f>
        <v/>
      </c>
    </row>
    <row r="1398" customFormat="false" ht="15" hidden="false" customHeight="false" outlineLevel="0" collapsed="false">
      <c r="A1398" s="80"/>
      <c r="B1398" s="71"/>
      <c r="C1398" s="71"/>
      <c r="D1398" s="81"/>
      <c r="E1398" s="71"/>
      <c r="F1398" s="71"/>
      <c r="G1398" s="82" t="str">
        <f aca="false">IF(C1398="","",IFERROR(INDEX('Kit Lists'!$D$6:$D$605,MATCH(B1398&amp;"|"&amp;C1398,'Kit Lists'!$J$6:$J$605,0)),"Not on this contract's kit list"))</f>
        <v/>
      </c>
      <c r="H1398" s="83" t="str">
        <f aca="false">IF(AND(B1398="",C1398="",D1398=""),"",IF(B1398="","Missing contract",IF(C1398="","Missing code",IF(LEFT(G1398,3)="Not","Wrong code",IF(D1398="","Missing qty",IF(A1398="","Missing date",""))))))</f>
        <v/>
      </c>
      <c r="I1398" s="84" t="str">
        <f aca="false">IF(B1398=Dashboard!$D$3,ROW(),"")</f>
        <v/>
      </c>
    </row>
    <row r="1399" customFormat="false" ht="15" hidden="false" customHeight="false" outlineLevel="0" collapsed="false">
      <c r="A1399" s="80"/>
      <c r="B1399" s="71"/>
      <c r="C1399" s="71"/>
      <c r="D1399" s="81"/>
      <c r="E1399" s="71"/>
      <c r="F1399" s="71"/>
      <c r="G1399" s="82" t="str">
        <f aca="false">IF(C1399="","",IFERROR(INDEX('Kit Lists'!$D$6:$D$605,MATCH(B1399&amp;"|"&amp;C1399,'Kit Lists'!$J$6:$J$605,0)),"Not on this contract's kit list"))</f>
        <v/>
      </c>
      <c r="H1399" s="83" t="str">
        <f aca="false">IF(AND(B1399="",C1399="",D1399=""),"",IF(B1399="","Missing contract",IF(C1399="","Missing code",IF(LEFT(G1399,3)="Not","Wrong code",IF(D1399="","Missing qty",IF(A1399="","Missing date",""))))))</f>
        <v/>
      </c>
      <c r="I1399" s="84" t="str">
        <f aca="false">IF(B1399=Dashboard!$D$3,ROW(),"")</f>
        <v/>
      </c>
    </row>
    <row r="1400" customFormat="false" ht="15" hidden="false" customHeight="false" outlineLevel="0" collapsed="false">
      <c r="A1400" s="80"/>
      <c r="B1400" s="71"/>
      <c r="C1400" s="71"/>
      <c r="D1400" s="81"/>
      <c r="E1400" s="71"/>
      <c r="F1400" s="71"/>
      <c r="G1400" s="82" t="str">
        <f aca="false">IF(C1400="","",IFERROR(INDEX('Kit Lists'!$D$6:$D$605,MATCH(B1400&amp;"|"&amp;C1400,'Kit Lists'!$J$6:$J$605,0)),"Not on this contract's kit list"))</f>
        <v/>
      </c>
      <c r="H1400" s="83" t="str">
        <f aca="false">IF(AND(B1400="",C1400="",D1400=""),"",IF(B1400="","Missing contract",IF(C1400="","Missing code",IF(LEFT(G1400,3)="Not","Wrong code",IF(D1400="","Missing qty",IF(A1400="","Missing date",""))))))</f>
        <v/>
      </c>
      <c r="I1400" s="84" t="str">
        <f aca="false">IF(B1400=Dashboard!$D$3,ROW(),"")</f>
        <v/>
      </c>
    </row>
    <row r="1401" customFormat="false" ht="15" hidden="false" customHeight="false" outlineLevel="0" collapsed="false">
      <c r="A1401" s="80"/>
      <c r="B1401" s="71"/>
      <c r="C1401" s="71"/>
      <c r="D1401" s="81"/>
      <c r="E1401" s="71"/>
      <c r="F1401" s="71"/>
      <c r="G1401" s="82" t="str">
        <f aca="false">IF(C1401="","",IFERROR(INDEX('Kit Lists'!$D$6:$D$605,MATCH(B1401&amp;"|"&amp;C1401,'Kit Lists'!$J$6:$J$605,0)),"Not on this contract's kit list"))</f>
        <v/>
      </c>
      <c r="H1401" s="83" t="str">
        <f aca="false">IF(AND(B1401="",C1401="",D1401=""),"",IF(B1401="","Missing contract",IF(C1401="","Missing code",IF(LEFT(G1401,3)="Not","Wrong code",IF(D1401="","Missing qty",IF(A1401="","Missing date",""))))))</f>
        <v/>
      </c>
      <c r="I1401" s="84" t="str">
        <f aca="false">IF(B1401=Dashboard!$D$3,ROW(),"")</f>
        <v/>
      </c>
    </row>
    <row r="1402" customFormat="false" ht="15" hidden="false" customHeight="false" outlineLevel="0" collapsed="false">
      <c r="A1402" s="80"/>
      <c r="B1402" s="71"/>
      <c r="C1402" s="71"/>
      <c r="D1402" s="81"/>
      <c r="E1402" s="71"/>
      <c r="F1402" s="71"/>
      <c r="G1402" s="82" t="str">
        <f aca="false">IF(C1402="","",IFERROR(INDEX('Kit Lists'!$D$6:$D$605,MATCH(B1402&amp;"|"&amp;C1402,'Kit Lists'!$J$6:$J$605,0)),"Not on this contract's kit list"))</f>
        <v/>
      </c>
      <c r="H1402" s="83" t="str">
        <f aca="false">IF(AND(B1402="",C1402="",D1402=""),"",IF(B1402="","Missing contract",IF(C1402="","Missing code",IF(LEFT(G1402,3)="Not","Wrong code",IF(D1402="","Missing qty",IF(A1402="","Missing date",""))))))</f>
        <v/>
      </c>
      <c r="I1402" s="84" t="str">
        <f aca="false">IF(B1402=Dashboard!$D$3,ROW(),"")</f>
        <v/>
      </c>
    </row>
    <row r="1403" customFormat="false" ht="15" hidden="false" customHeight="false" outlineLevel="0" collapsed="false">
      <c r="A1403" s="80"/>
      <c r="B1403" s="71"/>
      <c r="C1403" s="71"/>
      <c r="D1403" s="81"/>
      <c r="E1403" s="71"/>
      <c r="F1403" s="71"/>
      <c r="G1403" s="82" t="str">
        <f aca="false">IF(C1403="","",IFERROR(INDEX('Kit Lists'!$D$6:$D$605,MATCH(B1403&amp;"|"&amp;C1403,'Kit Lists'!$J$6:$J$605,0)),"Not on this contract's kit list"))</f>
        <v/>
      </c>
      <c r="H1403" s="83" t="str">
        <f aca="false">IF(AND(B1403="",C1403="",D1403=""),"",IF(B1403="","Missing contract",IF(C1403="","Missing code",IF(LEFT(G1403,3)="Not","Wrong code",IF(D1403="","Missing qty",IF(A1403="","Missing date",""))))))</f>
        <v/>
      </c>
      <c r="I1403" s="84" t="str">
        <f aca="false">IF(B1403=Dashboard!$D$3,ROW(),"")</f>
        <v/>
      </c>
    </row>
    <row r="1404" customFormat="false" ht="15" hidden="false" customHeight="false" outlineLevel="0" collapsed="false">
      <c r="A1404" s="80"/>
      <c r="B1404" s="71"/>
      <c r="C1404" s="71"/>
      <c r="D1404" s="81"/>
      <c r="E1404" s="71"/>
      <c r="F1404" s="71"/>
      <c r="G1404" s="82" t="str">
        <f aca="false">IF(C1404="","",IFERROR(INDEX('Kit Lists'!$D$6:$D$605,MATCH(B1404&amp;"|"&amp;C1404,'Kit Lists'!$J$6:$J$605,0)),"Not on this contract's kit list"))</f>
        <v/>
      </c>
      <c r="H1404" s="83" t="str">
        <f aca="false">IF(AND(B1404="",C1404="",D1404=""),"",IF(B1404="","Missing contract",IF(C1404="","Missing code",IF(LEFT(G1404,3)="Not","Wrong code",IF(D1404="","Missing qty",IF(A1404="","Missing date",""))))))</f>
        <v/>
      </c>
      <c r="I1404" s="84" t="str">
        <f aca="false">IF(B1404=Dashboard!$D$3,ROW(),"")</f>
        <v/>
      </c>
    </row>
    <row r="1405" customFormat="false" ht="15" hidden="false" customHeight="false" outlineLevel="0" collapsed="false">
      <c r="A1405" s="80"/>
      <c r="B1405" s="71"/>
      <c r="C1405" s="71"/>
      <c r="D1405" s="81"/>
      <c r="E1405" s="71"/>
      <c r="F1405" s="71"/>
      <c r="G1405" s="82" t="str">
        <f aca="false">IF(C1405="","",IFERROR(INDEX('Kit Lists'!$D$6:$D$605,MATCH(B1405&amp;"|"&amp;C1405,'Kit Lists'!$J$6:$J$605,0)),"Not on this contract's kit list"))</f>
        <v/>
      </c>
      <c r="H1405" s="83" t="str">
        <f aca="false">IF(AND(B1405="",C1405="",D1405=""),"",IF(B1405="","Missing contract",IF(C1405="","Missing code",IF(LEFT(G1405,3)="Not","Wrong code",IF(D1405="","Missing qty",IF(A1405="","Missing date",""))))))</f>
        <v/>
      </c>
      <c r="I1405" s="84" t="str">
        <f aca="false">IF(B1405=Dashboard!$D$3,ROW(),"")</f>
        <v/>
      </c>
    </row>
    <row r="1406" customFormat="false" ht="15" hidden="false" customHeight="false" outlineLevel="0" collapsed="false">
      <c r="A1406" s="80"/>
      <c r="B1406" s="71"/>
      <c r="C1406" s="71"/>
      <c r="D1406" s="81"/>
      <c r="E1406" s="71"/>
      <c r="F1406" s="71"/>
      <c r="G1406" s="82" t="str">
        <f aca="false">IF(C1406="","",IFERROR(INDEX('Kit Lists'!$D$6:$D$605,MATCH(B1406&amp;"|"&amp;C1406,'Kit Lists'!$J$6:$J$605,0)),"Not on this contract's kit list"))</f>
        <v/>
      </c>
      <c r="H1406" s="83" t="str">
        <f aca="false">IF(AND(B1406="",C1406="",D1406=""),"",IF(B1406="","Missing contract",IF(C1406="","Missing code",IF(LEFT(G1406,3)="Not","Wrong code",IF(D1406="","Missing qty",IF(A1406="","Missing date",""))))))</f>
        <v/>
      </c>
      <c r="I1406" s="84" t="str">
        <f aca="false">IF(B1406=Dashboard!$D$3,ROW(),"")</f>
        <v/>
      </c>
    </row>
    <row r="1407" customFormat="false" ht="15" hidden="false" customHeight="false" outlineLevel="0" collapsed="false">
      <c r="A1407" s="80"/>
      <c r="B1407" s="71"/>
      <c r="C1407" s="71"/>
      <c r="D1407" s="81"/>
      <c r="E1407" s="71"/>
      <c r="F1407" s="71"/>
      <c r="G1407" s="82" t="str">
        <f aca="false">IF(C1407="","",IFERROR(INDEX('Kit Lists'!$D$6:$D$605,MATCH(B1407&amp;"|"&amp;C1407,'Kit Lists'!$J$6:$J$605,0)),"Not on this contract's kit list"))</f>
        <v/>
      </c>
      <c r="H1407" s="83" t="str">
        <f aca="false">IF(AND(B1407="",C1407="",D1407=""),"",IF(B1407="","Missing contract",IF(C1407="","Missing code",IF(LEFT(G1407,3)="Not","Wrong code",IF(D1407="","Missing qty",IF(A1407="","Missing date",""))))))</f>
        <v/>
      </c>
      <c r="I1407" s="84" t="str">
        <f aca="false">IF(B1407=Dashboard!$D$3,ROW(),"")</f>
        <v/>
      </c>
    </row>
    <row r="1408" customFormat="false" ht="15" hidden="false" customHeight="false" outlineLevel="0" collapsed="false">
      <c r="A1408" s="80"/>
      <c r="B1408" s="71"/>
      <c r="C1408" s="71"/>
      <c r="D1408" s="81"/>
      <c r="E1408" s="71"/>
      <c r="F1408" s="71"/>
      <c r="G1408" s="82" t="str">
        <f aca="false">IF(C1408="","",IFERROR(INDEX('Kit Lists'!$D$6:$D$605,MATCH(B1408&amp;"|"&amp;C1408,'Kit Lists'!$J$6:$J$605,0)),"Not on this contract's kit list"))</f>
        <v/>
      </c>
      <c r="H1408" s="83" t="str">
        <f aca="false">IF(AND(B1408="",C1408="",D1408=""),"",IF(B1408="","Missing contract",IF(C1408="","Missing code",IF(LEFT(G1408,3)="Not","Wrong code",IF(D1408="","Missing qty",IF(A1408="","Missing date",""))))))</f>
        <v/>
      </c>
      <c r="I1408" s="84" t="str">
        <f aca="false">IF(B1408=Dashboard!$D$3,ROW(),"")</f>
        <v/>
      </c>
    </row>
    <row r="1409" customFormat="false" ht="15" hidden="false" customHeight="false" outlineLevel="0" collapsed="false">
      <c r="A1409" s="80"/>
      <c r="B1409" s="71"/>
      <c r="C1409" s="71"/>
      <c r="D1409" s="81"/>
      <c r="E1409" s="71"/>
      <c r="F1409" s="71"/>
      <c r="G1409" s="82" t="str">
        <f aca="false">IF(C1409="","",IFERROR(INDEX('Kit Lists'!$D$6:$D$605,MATCH(B1409&amp;"|"&amp;C1409,'Kit Lists'!$J$6:$J$605,0)),"Not on this contract's kit list"))</f>
        <v/>
      </c>
      <c r="H1409" s="83" t="str">
        <f aca="false">IF(AND(B1409="",C1409="",D1409=""),"",IF(B1409="","Missing contract",IF(C1409="","Missing code",IF(LEFT(G1409,3)="Not","Wrong code",IF(D1409="","Missing qty",IF(A1409="","Missing date",""))))))</f>
        <v/>
      </c>
      <c r="I1409" s="84" t="str">
        <f aca="false">IF(B1409=Dashboard!$D$3,ROW(),"")</f>
        <v/>
      </c>
    </row>
    <row r="1410" customFormat="false" ht="15" hidden="false" customHeight="false" outlineLevel="0" collapsed="false">
      <c r="A1410" s="80"/>
      <c r="B1410" s="71"/>
      <c r="C1410" s="71"/>
      <c r="D1410" s="81"/>
      <c r="E1410" s="71"/>
      <c r="F1410" s="71"/>
      <c r="G1410" s="82" t="str">
        <f aca="false">IF(C1410="","",IFERROR(INDEX('Kit Lists'!$D$6:$D$605,MATCH(B1410&amp;"|"&amp;C1410,'Kit Lists'!$J$6:$J$605,0)),"Not on this contract's kit list"))</f>
        <v/>
      </c>
      <c r="H1410" s="83" t="str">
        <f aca="false">IF(AND(B1410="",C1410="",D1410=""),"",IF(B1410="","Missing contract",IF(C1410="","Missing code",IF(LEFT(G1410,3)="Not","Wrong code",IF(D1410="","Missing qty",IF(A1410="","Missing date",""))))))</f>
        <v/>
      </c>
      <c r="I1410" s="84" t="str">
        <f aca="false">IF(B1410=Dashboard!$D$3,ROW(),"")</f>
        <v/>
      </c>
    </row>
    <row r="1411" customFormat="false" ht="15" hidden="false" customHeight="false" outlineLevel="0" collapsed="false">
      <c r="A1411" s="80"/>
      <c r="B1411" s="71"/>
      <c r="C1411" s="71"/>
      <c r="D1411" s="81"/>
      <c r="E1411" s="71"/>
      <c r="F1411" s="71"/>
      <c r="G1411" s="82" t="str">
        <f aca="false">IF(C1411="","",IFERROR(INDEX('Kit Lists'!$D$6:$D$605,MATCH(B1411&amp;"|"&amp;C1411,'Kit Lists'!$J$6:$J$605,0)),"Not on this contract's kit list"))</f>
        <v/>
      </c>
      <c r="H1411" s="83" t="str">
        <f aca="false">IF(AND(B1411="",C1411="",D1411=""),"",IF(B1411="","Missing contract",IF(C1411="","Missing code",IF(LEFT(G1411,3)="Not","Wrong code",IF(D1411="","Missing qty",IF(A1411="","Missing date",""))))))</f>
        <v/>
      </c>
      <c r="I1411" s="84" t="str">
        <f aca="false">IF(B1411=Dashboard!$D$3,ROW(),"")</f>
        <v/>
      </c>
    </row>
    <row r="1412" customFormat="false" ht="15" hidden="false" customHeight="false" outlineLevel="0" collapsed="false">
      <c r="A1412" s="80"/>
      <c r="B1412" s="71"/>
      <c r="C1412" s="71"/>
      <c r="D1412" s="81"/>
      <c r="E1412" s="71"/>
      <c r="F1412" s="71"/>
      <c r="G1412" s="82" t="str">
        <f aca="false">IF(C1412="","",IFERROR(INDEX('Kit Lists'!$D$6:$D$605,MATCH(B1412&amp;"|"&amp;C1412,'Kit Lists'!$J$6:$J$605,0)),"Not on this contract's kit list"))</f>
        <v/>
      </c>
      <c r="H1412" s="83" t="str">
        <f aca="false">IF(AND(B1412="",C1412="",D1412=""),"",IF(B1412="","Missing contract",IF(C1412="","Missing code",IF(LEFT(G1412,3)="Not","Wrong code",IF(D1412="","Missing qty",IF(A1412="","Missing date",""))))))</f>
        <v/>
      </c>
      <c r="I1412" s="84" t="str">
        <f aca="false">IF(B1412=Dashboard!$D$3,ROW(),"")</f>
        <v/>
      </c>
    </row>
    <row r="1413" customFormat="false" ht="15" hidden="false" customHeight="false" outlineLevel="0" collapsed="false">
      <c r="A1413" s="80"/>
      <c r="B1413" s="71"/>
      <c r="C1413" s="71"/>
      <c r="D1413" s="81"/>
      <c r="E1413" s="71"/>
      <c r="F1413" s="71"/>
      <c r="G1413" s="82" t="str">
        <f aca="false">IF(C1413="","",IFERROR(INDEX('Kit Lists'!$D$6:$D$605,MATCH(B1413&amp;"|"&amp;C1413,'Kit Lists'!$J$6:$J$605,0)),"Not on this contract's kit list"))</f>
        <v/>
      </c>
      <c r="H1413" s="83" t="str">
        <f aca="false">IF(AND(B1413="",C1413="",D1413=""),"",IF(B1413="","Missing contract",IF(C1413="","Missing code",IF(LEFT(G1413,3)="Not","Wrong code",IF(D1413="","Missing qty",IF(A1413="","Missing date",""))))))</f>
        <v/>
      </c>
      <c r="I1413" s="84" t="str">
        <f aca="false">IF(B1413=Dashboard!$D$3,ROW(),"")</f>
        <v/>
      </c>
    </row>
    <row r="1414" customFormat="false" ht="15" hidden="false" customHeight="false" outlineLevel="0" collapsed="false">
      <c r="A1414" s="80"/>
      <c r="B1414" s="71"/>
      <c r="C1414" s="71"/>
      <c r="D1414" s="81"/>
      <c r="E1414" s="71"/>
      <c r="F1414" s="71"/>
      <c r="G1414" s="82" t="str">
        <f aca="false">IF(C1414="","",IFERROR(INDEX('Kit Lists'!$D$6:$D$605,MATCH(B1414&amp;"|"&amp;C1414,'Kit Lists'!$J$6:$J$605,0)),"Not on this contract's kit list"))</f>
        <v/>
      </c>
      <c r="H1414" s="83" t="str">
        <f aca="false">IF(AND(B1414="",C1414="",D1414=""),"",IF(B1414="","Missing contract",IF(C1414="","Missing code",IF(LEFT(G1414,3)="Not","Wrong code",IF(D1414="","Missing qty",IF(A1414="","Missing date",""))))))</f>
        <v/>
      </c>
      <c r="I1414" s="84" t="str">
        <f aca="false">IF(B1414=Dashboard!$D$3,ROW(),"")</f>
        <v/>
      </c>
    </row>
    <row r="1415" customFormat="false" ht="15" hidden="false" customHeight="false" outlineLevel="0" collapsed="false">
      <c r="A1415" s="80"/>
      <c r="B1415" s="71"/>
      <c r="C1415" s="71"/>
      <c r="D1415" s="81"/>
      <c r="E1415" s="71"/>
      <c r="F1415" s="71"/>
      <c r="G1415" s="82" t="str">
        <f aca="false">IF(C1415="","",IFERROR(INDEX('Kit Lists'!$D$6:$D$605,MATCH(B1415&amp;"|"&amp;C1415,'Kit Lists'!$J$6:$J$605,0)),"Not on this contract's kit list"))</f>
        <v/>
      </c>
      <c r="H1415" s="83" t="str">
        <f aca="false">IF(AND(B1415="",C1415="",D1415=""),"",IF(B1415="","Missing contract",IF(C1415="","Missing code",IF(LEFT(G1415,3)="Not","Wrong code",IF(D1415="","Missing qty",IF(A1415="","Missing date",""))))))</f>
        <v/>
      </c>
      <c r="I1415" s="84" t="str">
        <f aca="false">IF(B1415=Dashboard!$D$3,ROW(),"")</f>
        <v/>
      </c>
    </row>
    <row r="1416" customFormat="false" ht="15" hidden="false" customHeight="false" outlineLevel="0" collapsed="false">
      <c r="A1416" s="80"/>
      <c r="B1416" s="71"/>
      <c r="C1416" s="71"/>
      <c r="D1416" s="81"/>
      <c r="E1416" s="71"/>
      <c r="F1416" s="71"/>
      <c r="G1416" s="82" t="str">
        <f aca="false">IF(C1416="","",IFERROR(INDEX('Kit Lists'!$D$6:$D$605,MATCH(B1416&amp;"|"&amp;C1416,'Kit Lists'!$J$6:$J$605,0)),"Not on this contract's kit list"))</f>
        <v/>
      </c>
      <c r="H1416" s="83" t="str">
        <f aca="false">IF(AND(B1416="",C1416="",D1416=""),"",IF(B1416="","Missing contract",IF(C1416="","Missing code",IF(LEFT(G1416,3)="Not","Wrong code",IF(D1416="","Missing qty",IF(A1416="","Missing date",""))))))</f>
        <v/>
      </c>
      <c r="I1416" s="84" t="str">
        <f aca="false">IF(B1416=Dashboard!$D$3,ROW(),"")</f>
        <v/>
      </c>
    </row>
    <row r="1417" customFormat="false" ht="15" hidden="false" customHeight="false" outlineLevel="0" collapsed="false">
      <c r="A1417" s="80"/>
      <c r="B1417" s="71"/>
      <c r="C1417" s="71"/>
      <c r="D1417" s="81"/>
      <c r="E1417" s="71"/>
      <c r="F1417" s="71"/>
      <c r="G1417" s="82" t="str">
        <f aca="false">IF(C1417="","",IFERROR(INDEX('Kit Lists'!$D$6:$D$605,MATCH(B1417&amp;"|"&amp;C1417,'Kit Lists'!$J$6:$J$605,0)),"Not on this contract's kit list"))</f>
        <v/>
      </c>
      <c r="H1417" s="83" t="str">
        <f aca="false">IF(AND(B1417="",C1417="",D1417=""),"",IF(B1417="","Missing contract",IF(C1417="","Missing code",IF(LEFT(G1417,3)="Not","Wrong code",IF(D1417="","Missing qty",IF(A1417="","Missing date",""))))))</f>
        <v/>
      </c>
      <c r="I1417" s="84" t="str">
        <f aca="false">IF(B1417=Dashboard!$D$3,ROW(),"")</f>
        <v/>
      </c>
    </row>
    <row r="1418" customFormat="false" ht="15" hidden="false" customHeight="false" outlineLevel="0" collapsed="false">
      <c r="A1418" s="80"/>
      <c r="B1418" s="71"/>
      <c r="C1418" s="71"/>
      <c r="D1418" s="81"/>
      <c r="E1418" s="71"/>
      <c r="F1418" s="71"/>
      <c r="G1418" s="82" t="str">
        <f aca="false">IF(C1418="","",IFERROR(INDEX('Kit Lists'!$D$6:$D$605,MATCH(B1418&amp;"|"&amp;C1418,'Kit Lists'!$J$6:$J$605,0)),"Not on this contract's kit list"))</f>
        <v/>
      </c>
      <c r="H1418" s="83" t="str">
        <f aca="false">IF(AND(B1418="",C1418="",D1418=""),"",IF(B1418="","Missing contract",IF(C1418="","Missing code",IF(LEFT(G1418,3)="Not","Wrong code",IF(D1418="","Missing qty",IF(A1418="","Missing date",""))))))</f>
        <v/>
      </c>
      <c r="I1418" s="84" t="str">
        <f aca="false">IF(B1418=Dashboard!$D$3,ROW(),"")</f>
        <v/>
      </c>
    </row>
    <row r="1419" customFormat="false" ht="15" hidden="false" customHeight="false" outlineLevel="0" collapsed="false">
      <c r="A1419" s="80"/>
      <c r="B1419" s="71"/>
      <c r="C1419" s="71"/>
      <c r="D1419" s="81"/>
      <c r="E1419" s="71"/>
      <c r="F1419" s="71"/>
      <c r="G1419" s="82" t="str">
        <f aca="false">IF(C1419="","",IFERROR(INDEX('Kit Lists'!$D$6:$D$605,MATCH(B1419&amp;"|"&amp;C1419,'Kit Lists'!$J$6:$J$605,0)),"Not on this contract's kit list"))</f>
        <v/>
      </c>
      <c r="H1419" s="83" t="str">
        <f aca="false">IF(AND(B1419="",C1419="",D1419=""),"",IF(B1419="","Missing contract",IF(C1419="","Missing code",IF(LEFT(G1419,3)="Not","Wrong code",IF(D1419="","Missing qty",IF(A1419="","Missing date",""))))))</f>
        <v/>
      </c>
      <c r="I1419" s="84" t="str">
        <f aca="false">IF(B1419=Dashboard!$D$3,ROW(),"")</f>
        <v/>
      </c>
    </row>
    <row r="1420" customFormat="false" ht="15" hidden="false" customHeight="false" outlineLevel="0" collapsed="false">
      <c r="A1420" s="80"/>
      <c r="B1420" s="71"/>
      <c r="C1420" s="71"/>
      <c r="D1420" s="81"/>
      <c r="E1420" s="71"/>
      <c r="F1420" s="71"/>
      <c r="G1420" s="82" t="str">
        <f aca="false">IF(C1420="","",IFERROR(INDEX('Kit Lists'!$D$6:$D$605,MATCH(B1420&amp;"|"&amp;C1420,'Kit Lists'!$J$6:$J$605,0)),"Not on this contract's kit list"))</f>
        <v/>
      </c>
      <c r="H1420" s="83" t="str">
        <f aca="false">IF(AND(B1420="",C1420="",D1420=""),"",IF(B1420="","Missing contract",IF(C1420="","Missing code",IF(LEFT(G1420,3)="Not","Wrong code",IF(D1420="","Missing qty",IF(A1420="","Missing date",""))))))</f>
        <v/>
      </c>
      <c r="I1420" s="84" t="str">
        <f aca="false">IF(B1420=Dashboard!$D$3,ROW(),"")</f>
        <v/>
      </c>
    </row>
    <row r="1421" customFormat="false" ht="15" hidden="false" customHeight="false" outlineLevel="0" collapsed="false">
      <c r="A1421" s="80"/>
      <c r="B1421" s="71"/>
      <c r="C1421" s="71"/>
      <c r="D1421" s="81"/>
      <c r="E1421" s="71"/>
      <c r="F1421" s="71"/>
      <c r="G1421" s="82" t="str">
        <f aca="false">IF(C1421="","",IFERROR(INDEX('Kit Lists'!$D$6:$D$605,MATCH(B1421&amp;"|"&amp;C1421,'Kit Lists'!$J$6:$J$605,0)),"Not on this contract's kit list"))</f>
        <v/>
      </c>
      <c r="H1421" s="83" t="str">
        <f aca="false">IF(AND(B1421="",C1421="",D1421=""),"",IF(B1421="","Missing contract",IF(C1421="","Missing code",IF(LEFT(G1421,3)="Not","Wrong code",IF(D1421="","Missing qty",IF(A1421="","Missing date",""))))))</f>
        <v/>
      </c>
      <c r="I1421" s="84" t="str">
        <f aca="false">IF(B1421=Dashboard!$D$3,ROW(),"")</f>
        <v/>
      </c>
    </row>
    <row r="1422" customFormat="false" ht="15" hidden="false" customHeight="false" outlineLevel="0" collapsed="false">
      <c r="A1422" s="80"/>
      <c r="B1422" s="71"/>
      <c r="C1422" s="71"/>
      <c r="D1422" s="81"/>
      <c r="E1422" s="71"/>
      <c r="F1422" s="71"/>
      <c r="G1422" s="82" t="str">
        <f aca="false">IF(C1422="","",IFERROR(INDEX('Kit Lists'!$D$6:$D$605,MATCH(B1422&amp;"|"&amp;C1422,'Kit Lists'!$J$6:$J$605,0)),"Not on this contract's kit list"))</f>
        <v/>
      </c>
      <c r="H1422" s="83" t="str">
        <f aca="false">IF(AND(B1422="",C1422="",D1422=""),"",IF(B1422="","Missing contract",IF(C1422="","Missing code",IF(LEFT(G1422,3)="Not","Wrong code",IF(D1422="","Missing qty",IF(A1422="","Missing date",""))))))</f>
        <v/>
      </c>
      <c r="I1422" s="84" t="str">
        <f aca="false">IF(B1422=Dashboard!$D$3,ROW(),"")</f>
        <v/>
      </c>
    </row>
    <row r="1423" customFormat="false" ht="15" hidden="false" customHeight="false" outlineLevel="0" collapsed="false">
      <c r="A1423" s="80"/>
      <c r="B1423" s="71"/>
      <c r="C1423" s="71"/>
      <c r="D1423" s="81"/>
      <c r="E1423" s="71"/>
      <c r="F1423" s="71"/>
      <c r="G1423" s="82" t="str">
        <f aca="false">IF(C1423="","",IFERROR(INDEX('Kit Lists'!$D$6:$D$605,MATCH(B1423&amp;"|"&amp;C1423,'Kit Lists'!$J$6:$J$605,0)),"Not on this contract's kit list"))</f>
        <v/>
      </c>
      <c r="H1423" s="83" t="str">
        <f aca="false">IF(AND(B1423="",C1423="",D1423=""),"",IF(B1423="","Missing contract",IF(C1423="","Missing code",IF(LEFT(G1423,3)="Not","Wrong code",IF(D1423="","Missing qty",IF(A1423="","Missing date",""))))))</f>
        <v/>
      </c>
      <c r="I1423" s="84" t="str">
        <f aca="false">IF(B1423=Dashboard!$D$3,ROW(),"")</f>
        <v/>
      </c>
    </row>
    <row r="1424" customFormat="false" ht="15" hidden="false" customHeight="false" outlineLevel="0" collapsed="false">
      <c r="A1424" s="80"/>
      <c r="B1424" s="71"/>
      <c r="C1424" s="71"/>
      <c r="D1424" s="81"/>
      <c r="E1424" s="71"/>
      <c r="F1424" s="71"/>
      <c r="G1424" s="82" t="str">
        <f aca="false">IF(C1424="","",IFERROR(INDEX('Kit Lists'!$D$6:$D$605,MATCH(B1424&amp;"|"&amp;C1424,'Kit Lists'!$J$6:$J$605,0)),"Not on this contract's kit list"))</f>
        <v/>
      </c>
      <c r="H1424" s="83" t="str">
        <f aca="false">IF(AND(B1424="",C1424="",D1424=""),"",IF(B1424="","Missing contract",IF(C1424="","Missing code",IF(LEFT(G1424,3)="Not","Wrong code",IF(D1424="","Missing qty",IF(A1424="","Missing date",""))))))</f>
        <v/>
      </c>
      <c r="I1424" s="84" t="str">
        <f aca="false">IF(B1424=Dashboard!$D$3,ROW(),"")</f>
        <v/>
      </c>
    </row>
    <row r="1425" customFormat="false" ht="15" hidden="false" customHeight="false" outlineLevel="0" collapsed="false">
      <c r="A1425" s="80"/>
      <c r="B1425" s="71"/>
      <c r="C1425" s="71"/>
      <c r="D1425" s="81"/>
      <c r="E1425" s="71"/>
      <c r="F1425" s="71"/>
      <c r="G1425" s="82" t="str">
        <f aca="false">IF(C1425="","",IFERROR(INDEX('Kit Lists'!$D$6:$D$605,MATCH(B1425&amp;"|"&amp;C1425,'Kit Lists'!$J$6:$J$605,0)),"Not on this contract's kit list"))</f>
        <v/>
      </c>
      <c r="H1425" s="83" t="str">
        <f aca="false">IF(AND(B1425="",C1425="",D1425=""),"",IF(B1425="","Missing contract",IF(C1425="","Missing code",IF(LEFT(G1425,3)="Not","Wrong code",IF(D1425="","Missing qty",IF(A1425="","Missing date",""))))))</f>
        <v/>
      </c>
      <c r="I1425" s="84" t="str">
        <f aca="false">IF(B1425=Dashboard!$D$3,ROW(),"")</f>
        <v/>
      </c>
    </row>
    <row r="1426" customFormat="false" ht="15" hidden="false" customHeight="false" outlineLevel="0" collapsed="false">
      <c r="A1426" s="80"/>
      <c r="B1426" s="71"/>
      <c r="C1426" s="71"/>
      <c r="D1426" s="81"/>
      <c r="E1426" s="71"/>
      <c r="F1426" s="71"/>
      <c r="G1426" s="82" t="str">
        <f aca="false">IF(C1426="","",IFERROR(INDEX('Kit Lists'!$D$6:$D$605,MATCH(B1426&amp;"|"&amp;C1426,'Kit Lists'!$J$6:$J$605,0)),"Not on this contract's kit list"))</f>
        <v/>
      </c>
      <c r="H1426" s="83" t="str">
        <f aca="false">IF(AND(B1426="",C1426="",D1426=""),"",IF(B1426="","Missing contract",IF(C1426="","Missing code",IF(LEFT(G1426,3)="Not","Wrong code",IF(D1426="","Missing qty",IF(A1426="","Missing date",""))))))</f>
        <v/>
      </c>
      <c r="I1426" s="84" t="str">
        <f aca="false">IF(B1426=Dashboard!$D$3,ROW(),"")</f>
        <v/>
      </c>
    </row>
    <row r="1427" customFormat="false" ht="15" hidden="false" customHeight="false" outlineLevel="0" collapsed="false">
      <c r="A1427" s="80"/>
      <c r="B1427" s="71"/>
      <c r="C1427" s="71"/>
      <c r="D1427" s="81"/>
      <c r="E1427" s="71"/>
      <c r="F1427" s="71"/>
      <c r="G1427" s="82" t="str">
        <f aca="false">IF(C1427="","",IFERROR(INDEX('Kit Lists'!$D$6:$D$605,MATCH(B1427&amp;"|"&amp;C1427,'Kit Lists'!$J$6:$J$605,0)),"Not on this contract's kit list"))</f>
        <v/>
      </c>
      <c r="H1427" s="83" t="str">
        <f aca="false">IF(AND(B1427="",C1427="",D1427=""),"",IF(B1427="","Missing contract",IF(C1427="","Missing code",IF(LEFT(G1427,3)="Not","Wrong code",IF(D1427="","Missing qty",IF(A1427="","Missing date",""))))))</f>
        <v/>
      </c>
      <c r="I1427" s="84" t="str">
        <f aca="false">IF(B1427=Dashboard!$D$3,ROW(),"")</f>
        <v/>
      </c>
    </row>
    <row r="1428" customFormat="false" ht="15" hidden="false" customHeight="false" outlineLevel="0" collapsed="false">
      <c r="A1428" s="80"/>
      <c r="B1428" s="71"/>
      <c r="C1428" s="71"/>
      <c r="D1428" s="81"/>
      <c r="E1428" s="71"/>
      <c r="F1428" s="71"/>
      <c r="G1428" s="82" t="str">
        <f aca="false">IF(C1428="","",IFERROR(INDEX('Kit Lists'!$D$6:$D$605,MATCH(B1428&amp;"|"&amp;C1428,'Kit Lists'!$J$6:$J$605,0)),"Not on this contract's kit list"))</f>
        <v/>
      </c>
      <c r="H1428" s="83" t="str">
        <f aca="false">IF(AND(B1428="",C1428="",D1428=""),"",IF(B1428="","Missing contract",IF(C1428="","Missing code",IF(LEFT(G1428,3)="Not","Wrong code",IF(D1428="","Missing qty",IF(A1428="","Missing date",""))))))</f>
        <v/>
      </c>
      <c r="I1428" s="84" t="str">
        <f aca="false">IF(B1428=Dashboard!$D$3,ROW(),"")</f>
        <v/>
      </c>
    </row>
    <row r="1429" customFormat="false" ht="15" hidden="false" customHeight="false" outlineLevel="0" collapsed="false">
      <c r="A1429" s="80"/>
      <c r="B1429" s="71"/>
      <c r="C1429" s="71"/>
      <c r="D1429" s="81"/>
      <c r="E1429" s="71"/>
      <c r="F1429" s="71"/>
      <c r="G1429" s="82" t="str">
        <f aca="false">IF(C1429="","",IFERROR(INDEX('Kit Lists'!$D$6:$D$605,MATCH(B1429&amp;"|"&amp;C1429,'Kit Lists'!$J$6:$J$605,0)),"Not on this contract's kit list"))</f>
        <v/>
      </c>
      <c r="H1429" s="83" t="str">
        <f aca="false">IF(AND(B1429="",C1429="",D1429=""),"",IF(B1429="","Missing contract",IF(C1429="","Missing code",IF(LEFT(G1429,3)="Not","Wrong code",IF(D1429="","Missing qty",IF(A1429="","Missing date",""))))))</f>
        <v/>
      </c>
      <c r="I1429" s="84" t="str">
        <f aca="false">IF(B1429=Dashboard!$D$3,ROW(),"")</f>
        <v/>
      </c>
    </row>
    <row r="1430" customFormat="false" ht="15" hidden="false" customHeight="false" outlineLevel="0" collapsed="false">
      <c r="A1430" s="80"/>
      <c r="B1430" s="71"/>
      <c r="C1430" s="71"/>
      <c r="D1430" s="81"/>
      <c r="E1430" s="71"/>
      <c r="F1430" s="71"/>
      <c r="G1430" s="82" t="str">
        <f aca="false">IF(C1430="","",IFERROR(INDEX('Kit Lists'!$D$6:$D$605,MATCH(B1430&amp;"|"&amp;C1430,'Kit Lists'!$J$6:$J$605,0)),"Not on this contract's kit list"))</f>
        <v/>
      </c>
      <c r="H1430" s="83" t="str">
        <f aca="false">IF(AND(B1430="",C1430="",D1430=""),"",IF(B1430="","Missing contract",IF(C1430="","Missing code",IF(LEFT(G1430,3)="Not","Wrong code",IF(D1430="","Missing qty",IF(A1430="","Missing date",""))))))</f>
        <v/>
      </c>
      <c r="I1430" s="84" t="str">
        <f aca="false">IF(B1430=Dashboard!$D$3,ROW(),"")</f>
        <v/>
      </c>
    </row>
    <row r="1431" customFormat="false" ht="15" hidden="false" customHeight="false" outlineLevel="0" collapsed="false">
      <c r="A1431" s="80"/>
      <c r="B1431" s="71"/>
      <c r="C1431" s="71"/>
      <c r="D1431" s="81"/>
      <c r="E1431" s="71"/>
      <c r="F1431" s="71"/>
      <c r="G1431" s="82" t="str">
        <f aca="false">IF(C1431="","",IFERROR(INDEX('Kit Lists'!$D$6:$D$605,MATCH(B1431&amp;"|"&amp;C1431,'Kit Lists'!$J$6:$J$605,0)),"Not on this contract's kit list"))</f>
        <v/>
      </c>
      <c r="H1431" s="83" t="str">
        <f aca="false">IF(AND(B1431="",C1431="",D1431=""),"",IF(B1431="","Missing contract",IF(C1431="","Missing code",IF(LEFT(G1431,3)="Not","Wrong code",IF(D1431="","Missing qty",IF(A1431="","Missing date",""))))))</f>
        <v/>
      </c>
      <c r="I1431" s="84" t="str">
        <f aca="false">IF(B1431=Dashboard!$D$3,ROW(),"")</f>
        <v/>
      </c>
    </row>
    <row r="1432" customFormat="false" ht="15" hidden="false" customHeight="false" outlineLevel="0" collapsed="false">
      <c r="A1432" s="80"/>
      <c r="B1432" s="71"/>
      <c r="C1432" s="71"/>
      <c r="D1432" s="81"/>
      <c r="E1432" s="71"/>
      <c r="F1432" s="71"/>
      <c r="G1432" s="82" t="str">
        <f aca="false">IF(C1432="","",IFERROR(INDEX('Kit Lists'!$D$6:$D$605,MATCH(B1432&amp;"|"&amp;C1432,'Kit Lists'!$J$6:$J$605,0)),"Not on this contract's kit list"))</f>
        <v/>
      </c>
      <c r="H1432" s="83" t="str">
        <f aca="false">IF(AND(B1432="",C1432="",D1432=""),"",IF(B1432="","Missing contract",IF(C1432="","Missing code",IF(LEFT(G1432,3)="Not","Wrong code",IF(D1432="","Missing qty",IF(A1432="","Missing date",""))))))</f>
        <v/>
      </c>
      <c r="I1432" s="84" t="str">
        <f aca="false">IF(B1432=Dashboard!$D$3,ROW(),"")</f>
        <v/>
      </c>
    </row>
    <row r="1433" customFormat="false" ht="15" hidden="false" customHeight="false" outlineLevel="0" collapsed="false">
      <c r="A1433" s="80"/>
      <c r="B1433" s="71"/>
      <c r="C1433" s="71"/>
      <c r="D1433" s="81"/>
      <c r="E1433" s="71"/>
      <c r="F1433" s="71"/>
      <c r="G1433" s="82" t="str">
        <f aca="false">IF(C1433="","",IFERROR(INDEX('Kit Lists'!$D$6:$D$605,MATCH(B1433&amp;"|"&amp;C1433,'Kit Lists'!$J$6:$J$605,0)),"Not on this contract's kit list"))</f>
        <v/>
      </c>
      <c r="H1433" s="83" t="str">
        <f aca="false">IF(AND(B1433="",C1433="",D1433=""),"",IF(B1433="","Missing contract",IF(C1433="","Missing code",IF(LEFT(G1433,3)="Not","Wrong code",IF(D1433="","Missing qty",IF(A1433="","Missing date",""))))))</f>
        <v/>
      </c>
      <c r="I1433" s="84" t="str">
        <f aca="false">IF(B1433=Dashboard!$D$3,ROW(),"")</f>
        <v/>
      </c>
    </row>
    <row r="1434" customFormat="false" ht="15" hidden="false" customHeight="false" outlineLevel="0" collapsed="false">
      <c r="A1434" s="80"/>
      <c r="B1434" s="71"/>
      <c r="C1434" s="71"/>
      <c r="D1434" s="81"/>
      <c r="E1434" s="71"/>
      <c r="F1434" s="71"/>
      <c r="G1434" s="82" t="str">
        <f aca="false">IF(C1434="","",IFERROR(INDEX('Kit Lists'!$D$6:$D$605,MATCH(B1434&amp;"|"&amp;C1434,'Kit Lists'!$J$6:$J$605,0)),"Not on this contract's kit list"))</f>
        <v/>
      </c>
      <c r="H1434" s="83" t="str">
        <f aca="false">IF(AND(B1434="",C1434="",D1434=""),"",IF(B1434="","Missing contract",IF(C1434="","Missing code",IF(LEFT(G1434,3)="Not","Wrong code",IF(D1434="","Missing qty",IF(A1434="","Missing date",""))))))</f>
        <v/>
      </c>
      <c r="I1434" s="84" t="str">
        <f aca="false">IF(B1434=Dashboard!$D$3,ROW(),"")</f>
        <v/>
      </c>
    </row>
    <row r="1435" customFormat="false" ht="15" hidden="false" customHeight="false" outlineLevel="0" collapsed="false">
      <c r="A1435" s="80"/>
      <c r="B1435" s="71"/>
      <c r="C1435" s="71"/>
      <c r="D1435" s="81"/>
      <c r="E1435" s="71"/>
      <c r="F1435" s="71"/>
      <c r="G1435" s="82" t="str">
        <f aca="false">IF(C1435="","",IFERROR(INDEX('Kit Lists'!$D$6:$D$605,MATCH(B1435&amp;"|"&amp;C1435,'Kit Lists'!$J$6:$J$605,0)),"Not on this contract's kit list"))</f>
        <v/>
      </c>
      <c r="H1435" s="83" t="str">
        <f aca="false">IF(AND(B1435="",C1435="",D1435=""),"",IF(B1435="","Missing contract",IF(C1435="","Missing code",IF(LEFT(G1435,3)="Not","Wrong code",IF(D1435="","Missing qty",IF(A1435="","Missing date",""))))))</f>
        <v/>
      </c>
      <c r="I1435" s="84" t="str">
        <f aca="false">IF(B1435=Dashboard!$D$3,ROW(),"")</f>
        <v/>
      </c>
    </row>
    <row r="1436" customFormat="false" ht="15" hidden="false" customHeight="false" outlineLevel="0" collapsed="false">
      <c r="A1436" s="80"/>
      <c r="B1436" s="71"/>
      <c r="C1436" s="71"/>
      <c r="D1436" s="81"/>
      <c r="E1436" s="71"/>
      <c r="F1436" s="71"/>
      <c r="G1436" s="82" t="str">
        <f aca="false">IF(C1436="","",IFERROR(INDEX('Kit Lists'!$D$6:$D$605,MATCH(B1436&amp;"|"&amp;C1436,'Kit Lists'!$J$6:$J$605,0)),"Not on this contract's kit list"))</f>
        <v/>
      </c>
      <c r="H1436" s="83" t="str">
        <f aca="false">IF(AND(B1436="",C1436="",D1436=""),"",IF(B1436="","Missing contract",IF(C1436="","Missing code",IF(LEFT(G1436,3)="Not","Wrong code",IF(D1436="","Missing qty",IF(A1436="","Missing date",""))))))</f>
        <v/>
      </c>
      <c r="I1436" s="84" t="str">
        <f aca="false">IF(B1436=Dashboard!$D$3,ROW(),"")</f>
        <v/>
      </c>
    </row>
    <row r="1437" customFormat="false" ht="15" hidden="false" customHeight="false" outlineLevel="0" collapsed="false">
      <c r="A1437" s="80"/>
      <c r="B1437" s="71"/>
      <c r="C1437" s="71"/>
      <c r="D1437" s="81"/>
      <c r="E1437" s="71"/>
      <c r="F1437" s="71"/>
      <c r="G1437" s="82" t="str">
        <f aca="false">IF(C1437="","",IFERROR(INDEX('Kit Lists'!$D$6:$D$605,MATCH(B1437&amp;"|"&amp;C1437,'Kit Lists'!$J$6:$J$605,0)),"Not on this contract's kit list"))</f>
        <v/>
      </c>
      <c r="H1437" s="83" t="str">
        <f aca="false">IF(AND(B1437="",C1437="",D1437=""),"",IF(B1437="","Missing contract",IF(C1437="","Missing code",IF(LEFT(G1437,3)="Not","Wrong code",IF(D1437="","Missing qty",IF(A1437="","Missing date",""))))))</f>
        <v/>
      </c>
      <c r="I1437" s="84" t="str">
        <f aca="false">IF(B1437=Dashboard!$D$3,ROW(),"")</f>
        <v/>
      </c>
    </row>
    <row r="1438" customFormat="false" ht="15" hidden="false" customHeight="false" outlineLevel="0" collapsed="false">
      <c r="A1438" s="80"/>
      <c r="B1438" s="71"/>
      <c r="C1438" s="71"/>
      <c r="D1438" s="81"/>
      <c r="E1438" s="71"/>
      <c r="F1438" s="71"/>
      <c r="G1438" s="82" t="str">
        <f aca="false">IF(C1438="","",IFERROR(INDEX('Kit Lists'!$D$6:$D$605,MATCH(B1438&amp;"|"&amp;C1438,'Kit Lists'!$J$6:$J$605,0)),"Not on this contract's kit list"))</f>
        <v/>
      </c>
      <c r="H1438" s="83" t="str">
        <f aca="false">IF(AND(B1438="",C1438="",D1438=""),"",IF(B1438="","Missing contract",IF(C1438="","Missing code",IF(LEFT(G1438,3)="Not","Wrong code",IF(D1438="","Missing qty",IF(A1438="","Missing date",""))))))</f>
        <v/>
      </c>
      <c r="I1438" s="84" t="str">
        <f aca="false">IF(B1438=Dashboard!$D$3,ROW(),"")</f>
        <v/>
      </c>
    </row>
    <row r="1439" customFormat="false" ht="15" hidden="false" customHeight="false" outlineLevel="0" collapsed="false">
      <c r="A1439" s="80"/>
      <c r="B1439" s="71"/>
      <c r="C1439" s="71"/>
      <c r="D1439" s="81"/>
      <c r="E1439" s="71"/>
      <c r="F1439" s="71"/>
      <c r="G1439" s="82" t="str">
        <f aca="false">IF(C1439="","",IFERROR(INDEX('Kit Lists'!$D$6:$D$605,MATCH(B1439&amp;"|"&amp;C1439,'Kit Lists'!$J$6:$J$605,0)),"Not on this contract's kit list"))</f>
        <v/>
      </c>
      <c r="H1439" s="83" t="str">
        <f aca="false">IF(AND(B1439="",C1439="",D1439=""),"",IF(B1439="","Missing contract",IF(C1439="","Missing code",IF(LEFT(G1439,3)="Not","Wrong code",IF(D1439="","Missing qty",IF(A1439="","Missing date",""))))))</f>
        <v/>
      </c>
      <c r="I1439" s="84" t="str">
        <f aca="false">IF(B1439=Dashboard!$D$3,ROW(),"")</f>
        <v/>
      </c>
    </row>
    <row r="1440" customFormat="false" ht="15" hidden="false" customHeight="false" outlineLevel="0" collapsed="false">
      <c r="A1440" s="80"/>
      <c r="B1440" s="71"/>
      <c r="C1440" s="71"/>
      <c r="D1440" s="81"/>
      <c r="E1440" s="71"/>
      <c r="F1440" s="71"/>
      <c r="G1440" s="82" t="str">
        <f aca="false">IF(C1440="","",IFERROR(INDEX('Kit Lists'!$D$6:$D$605,MATCH(B1440&amp;"|"&amp;C1440,'Kit Lists'!$J$6:$J$605,0)),"Not on this contract's kit list"))</f>
        <v/>
      </c>
      <c r="H1440" s="83" t="str">
        <f aca="false">IF(AND(B1440="",C1440="",D1440=""),"",IF(B1440="","Missing contract",IF(C1440="","Missing code",IF(LEFT(G1440,3)="Not","Wrong code",IF(D1440="","Missing qty",IF(A1440="","Missing date",""))))))</f>
        <v/>
      </c>
      <c r="I1440" s="84" t="str">
        <f aca="false">IF(B1440=Dashboard!$D$3,ROW(),"")</f>
        <v/>
      </c>
    </row>
    <row r="1441" customFormat="false" ht="15" hidden="false" customHeight="false" outlineLevel="0" collapsed="false">
      <c r="A1441" s="80"/>
      <c r="B1441" s="71"/>
      <c r="C1441" s="71"/>
      <c r="D1441" s="81"/>
      <c r="E1441" s="71"/>
      <c r="F1441" s="71"/>
      <c r="G1441" s="82" t="str">
        <f aca="false">IF(C1441="","",IFERROR(INDEX('Kit Lists'!$D$6:$D$605,MATCH(B1441&amp;"|"&amp;C1441,'Kit Lists'!$J$6:$J$605,0)),"Not on this contract's kit list"))</f>
        <v/>
      </c>
      <c r="H1441" s="83" t="str">
        <f aca="false">IF(AND(B1441="",C1441="",D1441=""),"",IF(B1441="","Missing contract",IF(C1441="","Missing code",IF(LEFT(G1441,3)="Not","Wrong code",IF(D1441="","Missing qty",IF(A1441="","Missing date",""))))))</f>
        <v/>
      </c>
      <c r="I1441" s="84" t="str">
        <f aca="false">IF(B1441=Dashboard!$D$3,ROW(),"")</f>
        <v/>
      </c>
    </row>
    <row r="1442" customFormat="false" ht="15" hidden="false" customHeight="false" outlineLevel="0" collapsed="false">
      <c r="A1442" s="80"/>
      <c r="B1442" s="71"/>
      <c r="C1442" s="71"/>
      <c r="D1442" s="81"/>
      <c r="E1442" s="71"/>
      <c r="F1442" s="71"/>
      <c r="G1442" s="82" t="str">
        <f aca="false">IF(C1442="","",IFERROR(INDEX('Kit Lists'!$D$6:$D$605,MATCH(B1442&amp;"|"&amp;C1442,'Kit Lists'!$J$6:$J$605,0)),"Not on this contract's kit list"))</f>
        <v/>
      </c>
      <c r="H1442" s="83" t="str">
        <f aca="false">IF(AND(B1442="",C1442="",D1442=""),"",IF(B1442="","Missing contract",IF(C1442="","Missing code",IF(LEFT(G1442,3)="Not","Wrong code",IF(D1442="","Missing qty",IF(A1442="","Missing date",""))))))</f>
        <v/>
      </c>
      <c r="I1442" s="84" t="str">
        <f aca="false">IF(B1442=Dashboard!$D$3,ROW(),"")</f>
        <v/>
      </c>
    </row>
    <row r="1443" customFormat="false" ht="15" hidden="false" customHeight="false" outlineLevel="0" collapsed="false">
      <c r="A1443" s="80"/>
      <c r="B1443" s="71"/>
      <c r="C1443" s="71"/>
      <c r="D1443" s="81"/>
      <c r="E1443" s="71"/>
      <c r="F1443" s="71"/>
      <c r="G1443" s="82" t="str">
        <f aca="false">IF(C1443="","",IFERROR(INDEX('Kit Lists'!$D$6:$D$605,MATCH(B1443&amp;"|"&amp;C1443,'Kit Lists'!$J$6:$J$605,0)),"Not on this contract's kit list"))</f>
        <v/>
      </c>
      <c r="H1443" s="83" t="str">
        <f aca="false">IF(AND(B1443="",C1443="",D1443=""),"",IF(B1443="","Missing contract",IF(C1443="","Missing code",IF(LEFT(G1443,3)="Not","Wrong code",IF(D1443="","Missing qty",IF(A1443="","Missing date",""))))))</f>
        <v/>
      </c>
      <c r="I1443" s="84" t="str">
        <f aca="false">IF(B1443=Dashboard!$D$3,ROW(),"")</f>
        <v/>
      </c>
    </row>
    <row r="1444" customFormat="false" ht="15" hidden="false" customHeight="false" outlineLevel="0" collapsed="false">
      <c r="A1444" s="80"/>
      <c r="B1444" s="71"/>
      <c r="C1444" s="71"/>
      <c r="D1444" s="81"/>
      <c r="E1444" s="71"/>
      <c r="F1444" s="71"/>
      <c r="G1444" s="82" t="str">
        <f aca="false">IF(C1444="","",IFERROR(INDEX('Kit Lists'!$D$6:$D$605,MATCH(B1444&amp;"|"&amp;C1444,'Kit Lists'!$J$6:$J$605,0)),"Not on this contract's kit list"))</f>
        <v/>
      </c>
      <c r="H1444" s="83" t="str">
        <f aca="false">IF(AND(B1444="",C1444="",D1444=""),"",IF(B1444="","Missing contract",IF(C1444="","Missing code",IF(LEFT(G1444,3)="Not","Wrong code",IF(D1444="","Missing qty",IF(A1444="","Missing date",""))))))</f>
        <v/>
      </c>
      <c r="I1444" s="84" t="str">
        <f aca="false">IF(B1444=Dashboard!$D$3,ROW(),"")</f>
        <v/>
      </c>
    </row>
    <row r="1445" customFormat="false" ht="15" hidden="false" customHeight="false" outlineLevel="0" collapsed="false">
      <c r="A1445" s="80"/>
      <c r="B1445" s="71"/>
      <c r="C1445" s="71"/>
      <c r="D1445" s="81"/>
      <c r="E1445" s="71"/>
      <c r="F1445" s="71"/>
      <c r="G1445" s="82" t="str">
        <f aca="false">IF(C1445="","",IFERROR(INDEX('Kit Lists'!$D$6:$D$605,MATCH(B1445&amp;"|"&amp;C1445,'Kit Lists'!$J$6:$J$605,0)),"Not on this contract's kit list"))</f>
        <v/>
      </c>
      <c r="H1445" s="83" t="str">
        <f aca="false">IF(AND(B1445="",C1445="",D1445=""),"",IF(B1445="","Missing contract",IF(C1445="","Missing code",IF(LEFT(G1445,3)="Not","Wrong code",IF(D1445="","Missing qty",IF(A1445="","Missing date",""))))))</f>
        <v/>
      </c>
      <c r="I1445" s="84" t="str">
        <f aca="false">IF(B1445=Dashboard!$D$3,ROW(),"")</f>
        <v/>
      </c>
    </row>
    <row r="1446" customFormat="false" ht="15" hidden="false" customHeight="false" outlineLevel="0" collapsed="false">
      <c r="A1446" s="80"/>
      <c r="B1446" s="71"/>
      <c r="C1446" s="71"/>
      <c r="D1446" s="81"/>
      <c r="E1446" s="71"/>
      <c r="F1446" s="71"/>
      <c r="G1446" s="82" t="str">
        <f aca="false">IF(C1446="","",IFERROR(INDEX('Kit Lists'!$D$6:$D$605,MATCH(B1446&amp;"|"&amp;C1446,'Kit Lists'!$J$6:$J$605,0)),"Not on this contract's kit list"))</f>
        <v/>
      </c>
      <c r="H1446" s="83" t="str">
        <f aca="false">IF(AND(B1446="",C1446="",D1446=""),"",IF(B1446="","Missing contract",IF(C1446="","Missing code",IF(LEFT(G1446,3)="Not","Wrong code",IF(D1446="","Missing qty",IF(A1446="","Missing date",""))))))</f>
        <v/>
      </c>
      <c r="I1446" s="84" t="str">
        <f aca="false">IF(B1446=Dashboard!$D$3,ROW(),"")</f>
        <v/>
      </c>
    </row>
    <row r="1447" customFormat="false" ht="15" hidden="false" customHeight="false" outlineLevel="0" collapsed="false">
      <c r="A1447" s="80"/>
      <c r="B1447" s="71"/>
      <c r="C1447" s="71"/>
      <c r="D1447" s="81"/>
      <c r="E1447" s="71"/>
      <c r="F1447" s="71"/>
      <c r="G1447" s="82" t="str">
        <f aca="false">IF(C1447="","",IFERROR(INDEX('Kit Lists'!$D$6:$D$605,MATCH(B1447&amp;"|"&amp;C1447,'Kit Lists'!$J$6:$J$605,0)),"Not on this contract's kit list"))</f>
        <v/>
      </c>
      <c r="H1447" s="83" t="str">
        <f aca="false">IF(AND(B1447="",C1447="",D1447=""),"",IF(B1447="","Missing contract",IF(C1447="","Missing code",IF(LEFT(G1447,3)="Not","Wrong code",IF(D1447="","Missing qty",IF(A1447="","Missing date",""))))))</f>
        <v/>
      </c>
      <c r="I1447" s="84" t="str">
        <f aca="false">IF(B1447=Dashboard!$D$3,ROW(),"")</f>
        <v/>
      </c>
    </row>
    <row r="1448" customFormat="false" ht="15" hidden="false" customHeight="false" outlineLevel="0" collapsed="false">
      <c r="A1448" s="80"/>
      <c r="B1448" s="71"/>
      <c r="C1448" s="71"/>
      <c r="D1448" s="81"/>
      <c r="E1448" s="71"/>
      <c r="F1448" s="71"/>
      <c r="G1448" s="82" t="str">
        <f aca="false">IF(C1448="","",IFERROR(INDEX('Kit Lists'!$D$6:$D$605,MATCH(B1448&amp;"|"&amp;C1448,'Kit Lists'!$J$6:$J$605,0)),"Not on this contract's kit list"))</f>
        <v/>
      </c>
      <c r="H1448" s="83" t="str">
        <f aca="false">IF(AND(B1448="",C1448="",D1448=""),"",IF(B1448="","Missing contract",IF(C1448="","Missing code",IF(LEFT(G1448,3)="Not","Wrong code",IF(D1448="","Missing qty",IF(A1448="","Missing date",""))))))</f>
        <v/>
      </c>
      <c r="I1448" s="84" t="str">
        <f aca="false">IF(B1448=Dashboard!$D$3,ROW(),"")</f>
        <v/>
      </c>
    </row>
    <row r="1449" customFormat="false" ht="15" hidden="false" customHeight="false" outlineLevel="0" collapsed="false">
      <c r="A1449" s="80"/>
      <c r="B1449" s="71"/>
      <c r="C1449" s="71"/>
      <c r="D1449" s="81"/>
      <c r="E1449" s="71"/>
      <c r="F1449" s="71"/>
      <c r="G1449" s="82" t="str">
        <f aca="false">IF(C1449="","",IFERROR(INDEX('Kit Lists'!$D$6:$D$605,MATCH(B1449&amp;"|"&amp;C1449,'Kit Lists'!$J$6:$J$605,0)),"Not on this contract's kit list"))</f>
        <v/>
      </c>
      <c r="H1449" s="83" t="str">
        <f aca="false">IF(AND(B1449="",C1449="",D1449=""),"",IF(B1449="","Missing contract",IF(C1449="","Missing code",IF(LEFT(G1449,3)="Not","Wrong code",IF(D1449="","Missing qty",IF(A1449="","Missing date",""))))))</f>
        <v/>
      </c>
      <c r="I1449" s="84" t="str">
        <f aca="false">IF(B1449=Dashboard!$D$3,ROW(),"")</f>
        <v/>
      </c>
    </row>
    <row r="1450" customFormat="false" ht="15" hidden="false" customHeight="false" outlineLevel="0" collapsed="false">
      <c r="A1450" s="80"/>
      <c r="B1450" s="71"/>
      <c r="C1450" s="71"/>
      <c r="D1450" s="81"/>
      <c r="E1450" s="71"/>
      <c r="F1450" s="71"/>
      <c r="G1450" s="82" t="str">
        <f aca="false">IF(C1450="","",IFERROR(INDEX('Kit Lists'!$D$6:$D$605,MATCH(B1450&amp;"|"&amp;C1450,'Kit Lists'!$J$6:$J$605,0)),"Not on this contract's kit list"))</f>
        <v/>
      </c>
      <c r="H1450" s="83" t="str">
        <f aca="false">IF(AND(B1450="",C1450="",D1450=""),"",IF(B1450="","Missing contract",IF(C1450="","Missing code",IF(LEFT(G1450,3)="Not","Wrong code",IF(D1450="","Missing qty",IF(A1450="","Missing date",""))))))</f>
        <v/>
      </c>
      <c r="I1450" s="84" t="str">
        <f aca="false">IF(B1450=Dashboard!$D$3,ROW(),"")</f>
        <v/>
      </c>
    </row>
    <row r="1451" customFormat="false" ht="15" hidden="false" customHeight="false" outlineLevel="0" collapsed="false">
      <c r="A1451" s="80"/>
      <c r="B1451" s="71"/>
      <c r="C1451" s="71"/>
      <c r="D1451" s="81"/>
      <c r="E1451" s="71"/>
      <c r="F1451" s="71"/>
      <c r="G1451" s="82" t="str">
        <f aca="false">IF(C1451="","",IFERROR(INDEX('Kit Lists'!$D$6:$D$605,MATCH(B1451&amp;"|"&amp;C1451,'Kit Lists'!$J$6:$J$605,0)),"Not on this contract's kit list"))</f>
        <v/>
      </c>
      <c r="H1451" s="83" t="str">
        <f aca="false">IF(AND(B1451="",C1451="",D1451=""),"",IF(B1451="","Missing contract",IF(C1451="","Missing code",IF(LEFT(G1451,3)="Not","Wrong code",IF(D1451="","Missing qty",IF(A1451="","Missing date",""))))))</f>
        <v/>
      </c>
      <c r="I1451" s="84" t="str">
        <f aca="false">IF(B1451=Dashboard!$D$3,ROW(),"")</f>
        <v/>
      </c>
    </row>
    <row r="1452" customFormat="false" ht="15" hidden="false" customHeight="false" outlineLevel="0" collapsed="false">
      <c r="A1452" s="80"/>
      <c r="B1452" s="71"/>
      <c r="C1452" s="71"/>
      <c r="D1452" s="81"/>
      <c r="E1452" s="71"/>
      <c r="F1452" s="71"/>
      <c r="G1452" s="82" t="str">
        <f aca="false">IF(C1452="","",IFERROR(INDEX('Kit Lists'!$D$6:$D$605,MATCH(B1452&amp;"|"&amp;C1452,'Kit Lists'!$J$6:$J$605,0)),"Not on this contract's kit list"))</f>
        <v/>
      </c>
      <c r="H1452" s="83" t="str">
        <f aca="false">IF(AND(B1452="",C1452="",D1452=""),"",IF(B1452="","Missing contract",IF(C1452="","Missing code",IF(LEFT(G1452,3)="Not","Wrong code",IF(D1452="","Missing qty",IF(A1452="","Missing date",""))))))</f>
        <v/>
      </c>
      <c r="I1452" s="84" t="str">
        <f aca="false">IF(B1452=Dashboard!$D$3,ROW(),"")</f>
        <v/>
      </c>
    </row>
    <row r="1453" customFormat="false" ht="15" hidden="false" customHeight="false" outlineLevel="0" collapsed="false">
      <c r="A1453" s="80"/>
      <c r="B1453" s="71"/>
      <c r="C1453" s="71"/>
      <c r="D1453" s="81"/>
      <c r="E1453" s="71"/>
      <c r="F1453" s="71"/>
      <c r="G1453" s="82" t="str">
        <f aca="false">IF(C1453="","",IFERROR(INDEX('Kit Lists'!$D$6:$D$605,MATCH(B1453&amp;"|"&amp;C1453,'Kit Lists'!$J$6:$J$605,0)),"Not on this contract's kit list"))</f>
        <v/>
      </c>
      <c r="H1453" s="83" t="str">
        <f aca="false">IF(AND(B1453="",C1453="",D1453=""),"",IF(B1453="","Missing contract",IF(C1453="","Missing code",IF(LEFT(G1453,3)="Not","Wrong code",IF(D1453="","Missing qty",IF(A1453="","Missing date",""))))))</f>
        <v/>
      </c>
      <c r="I1453" s="84" t="str">
        <f aca="false">IF(B1453=Dashboard!$D$3,ROW(),"")</f>
        <v/>
      </c>
    </row>
    <row r="1454" customFormat="false" ht="15" hidden="false" customHeight="false" outlineLevel="0" collapsed="false">
      <c r="A1454" s="80"/>
      <c r="B1454" s="71"/>
      <c r="C1454" s="71"/>
      <c r="D1454" s="81"/>
      <c r="E1454" s="71"/>
      <c r="F1454" s="71"/>
      <c r="G1454" s="82" t="str">
        <f aca="false">IF(C1454="","",IFERROR(INDEX('Kit Lists'!$D$6:$D$605,MATCH(B1454&amp;"|"&amp;C1454,'Kit Lists'!$J$6:$J$605,0)),"Not on this contract's kit list"))</f>
        <v/>
      </c>
      <c r="H1454" s="83" t="str">
        <f aca="false">IF(AND(B1454="",C1454="",D1454=""),"",IF(B1454="","Missing contract",IF(C1454="","Missing code",IF(LEFT(G1454,3)="Not","Wrong code",IF(D1454="","Missing qty",IF(A1454="","Missing date",""))))))</f>
        <v/>
      </c>
      <c r="I1454" s="84" t="str">
        <f aca="false">IF(B1454=Dashboard!$D$3,ROW(),"")</f>
        <v/>
      </c>
    </row>
    <row r="1455" customFormat="false" ht="15" hidden="false" customHeight="false" outlineLevel="0" collapsed="false">
      <c r="A1455" s="80"/>
      <c r="B1455" s="71"/>
      <c r="C1455" s="71"/>
      <c r="D1455" s="81"/>
      <c r="E1455" s="71"/>
      <c r="F1455" s="71"/>
      <c r="G1455" s="82" t="str">
        <f aca="false">IF(C1455="","",IFERROR(INDEX('Kit Lists'!$D$6:$D$605,MATCH(B1455&amp;"|"&amp;C1455,'Kit Lists'!$J$6:$J$605,0)),"Not on this contract's kit list"))</f>
        <v/>
      </c>
      <c r="H1455" s="83" t="str">
        <f aca="false">IF(AND(B1455="",C1455="",D1455=""),"",IF(B1455="","Missing contract",IF(C1455="","Missing code",IF(LEFT(G1455,3)="Not","Wrong code",IF(D1455="","Missing qty",IF(A1455="","Missing date",""))))))</f>
        <v/>
      </c>
      <c r="I1455" s="84" t="str">
        <f aca="false">IF(B1455=Dashboard!$D$3,ROW(),"")</f>
        <v/>
      </c>
    </row>
    <row r="1456" customFormat="false" ht="15" hidden="false" customHeight="false" outlineLevel="0" collapsed="false">
      <c r="A1456" s="80"/>
      <c r="B1456" s="71"/>
      <c r="C1456" s="71"/>
      <c r="D1456" s="81"/>
      <c r="E1456" s="71"/>
      <c r="F1456" s="71"/>
      <c r="G1456" s="82" t="str">
        <f aca="false">IF(C1456="","",IFERROR(INDEX('Kit Lists'!$D$6:$D$605,MATCH(B1456&amp;"|"&amp;C1456,'Kit Lists'!$J$6:$J$605,0)),"Not on this contract's kit list"))</f>
        <v/>
      </c>
      <c r="H1456" s="83" t="str">
        <f aca="false">IF(AND(B1456="",C1456="",D1456=""),"",IF(B1456="","Missing contract",IF(C1456="","Missing code",IF(LEFT(G1456,3)="Not","Wrong code",IF(D1456="","Missing qty",IF(A1456="","Missing date",""))))))</f>
        <v/>
      </c>
      <c r="I1456" s="84" t="str">
        <f aca="false">IF(B1456=Dashboard!$D$3,ROW(),"")</f>
        <v/>
      </c>
    </row>
    <row r="1457" customFormat="false" ht="15" hidden="false" customHeight="false" outlineLevel="0" collapsed="false">
      <c r="A1457" s="80"/>
      <c r="B1457" s="71"/>
      <c r="C1457" s="71"/>
      <c r="D1457" s="81"/>
      <c r="E1457" s="71"/>
      <c r="F1457" s="71"/>
      <c r="G1457" s="82" t="str">
        <f aca="false">IF(C1457="","",IFERROR(INDEX('Kit Lists'!$D$6:$D$605,MATCH(B1457&amp;"|"&amp;C1457,'Kit Lists'!$J$6:$J$605,0)),"Not on this contract's kit list"))</f>
        <v/>
      </c>
      <c r="H1457" s="83" t="str">
        <f aca="false">IF(AND(B1457="",C1457="",D1457=""),"",IF(B1457="","Missing contract",IF(C1457="","Missing code",IF(LEFT(G1457,3)="Not","Wrong code",IF(D1457="","Missing qty",IF(A1457="","Missing date",""))))))</f>
        <v/>
      </c>
      <c r="I1457" s="84" t="str">
        <f aca="false">IF(B1457=Dashboard!$D$3,ROW(),"")</f>
        <v/>
      </c>
    </row>
    <row r="1458" customFormat="false" ht="15" hidden="false" customHeight="false" outlineLevel="0" collapsed="false">
      <c r="A1458" s="80"/>
      <c r="B1458" s="71"/>
      <c r="C1458" s="71"/>
      <c r="D1458" s="81"/>
      <c r="E1458" s="71"/>
      <c r="F1458" s="71"/>
      <c r="G1458" s="82" t="str">
        <f aca="false">IF(C1458="","",IFERROR(INDEX('Kit Lists'!$D$6:$D$605,MATCH(B1458&amp;"|"&amp;C1458,'Kit Lists'!$J$6:$J$605,0)),"Not on this contract's kit list"))</f>
        <v/>
      </c>
      <c r="H1458" s="83" t="str">
        <f aca="false">IF(AND(B1458="",C1458="",D1458=""),"",IF(B1458="","Missing contract",IF(C1458="","Missing code",IF(LEFT(G1458,3)="Not","Wrong code",IF(D1458="","Missing qty",IF(A1458="","Missing date",""))))))</f>
        <v/>
      </c>
      <c r="I1458" s="84" t="str">
        <f aca="false">IF(B1458=Dashboard!$D$3,ROW(),"")</f>
        <v/>
      </c>
    </row>
    <row r="1459" customFormat="false" ht="15" hidden="false" customHeight="false" outlineLevel="0" collapsed="false">
      <c r="A1459" s="80"/>
      <c r="B1459" s="71"/>
      <c r="C1459" s="71"/>
      <c r="D1459" s="81"/>
      <c r="E1459" s="71"/>
      <c r="F1459" s="71"/>
      <c r="G1459" s="82" t="str">
        <f aca="false">IF(C1459="","",IFERROR(INDEX('Kit Lists'!$D$6:$D$605,MATCH(B1459&amp;"|"&amp;C1459,'Kit Lists'!$J$6:$J$605,0)),"Not on this contract's kit list"))</f>
        <v/>
      </c>
      <c r="H1459" s="83" t="str">
        <f aca="false">IF(AND(B1459="",C1459="",D1459=""),"",IF(B1459="","Missing contract",IF(C1459="","Missing code",IF(LEFT(G1459,3)="Not","Wrong code",IF(D1459="","Missing qty",IF(A1459="","Missing date",""))))))</f>
        <v/>
      </c>
      <c r="I1459" s="84" t="str">
        <f aca="false">IF(B1459=Dashboard!$D$3,ROW(),"")</f>
        <v/>
      </c>
    </row>
    <row r="1460" customFormat="false" ht="15" hidden="false" customHeight="false" outlineLevel="0" collapsed="false">
      <c r="A1460" s="80"/>
      <c r="B1460" s="71"/>
      <c r="C1460" s="71"/>
      <c r="D1460" s="81"/>
      <c r="E1460" s="71"/>
      <c r="F1460" s="71"/>
      <c r="G1460" s="82" t="str">
        <f aca="false">IF(C1460="","",IFERROR(INDEX('Kit Lists'!$D$6:$D$605,MATCH(B1460&amp;"|"&amp;C1460,'Kit Lists'!$J$6:$J$605,0)),"Not on this contract's kit list"))</f>
        <v/>
      </c>
      <c r="H1460" s="83" t="str">
        <f aca="false">IF(AND(B1460="",C1460="",D1460=""),"",IF(B1460="","Missing contract",IF(C1460="","Missing code",IF(LEFT(G1460,3)="Not","Wrong code",IF(D1460="","Missing qty",IF(A1460="","Missing date",""))))))</f>
        <v/>
      </c>
      <c r="I1460" s="84" t="str">
        <f aca="false">IF(B1460=Dashboard!$D$3,ROW(),"")</f>
        <v/>
      </c>
    </row>
    <row r="1461" customFormat="false" ht="15" hidden="false" customHeight="false" outlineLevel="0" collapsed="false">
      <c r="A1461" s="80"/>
      <c r="B1461" s="71"/>
      <c r="C1461" s="71"/>
      <c r="D1461" s="81"/>
      <c r="E1461" s="71"/>
      <c r="F1461" s="71"/>
      <c r="G1461" s="82" t="str">
        <f aca="false">IF(C1461="","",IFERROR(INDEX('Kit Lists'!$D$6:$D$605,MATCH(B1461&amp;"|"&amp;C1461,'Kit Lists'!$J$6:$J$605,0)),"Not on this contract's kit list"))</f>
        <v/>
      </c>
      <c r="H1461" s="83" t="str">
        <f aca="false">IF(AND(B1461="",C1461="",D1461=""),"",IF(B1461="","Missing contract",IF(C1461="","Missing code",IF(LEFT(G1461,3)="Not","Wrong code",IF(D1461="","Missing qty",IF(A1461="","Missing date",""))))))</f>
        <v/>
      </c>
      <c r="I1461" s="84" t="str">
        <f aca="false">IF(B1461=Dashboard!$D$3,ROW(),"")</f>
        <v/>
      </c>
    </row>
    <row r="1462" customFormat="false" ht="15" hidden="false" customHeight="false" outlineLevel="0" collapsed="false">
      <c r="A1462" s="80"/>
      <c r="B1462" s="71"/>
      <c r="C1462" s="71"/>
      <c r="D1462" s="81"/>
      <c r="E1462" s="71"/>
      <c r="F1462" s="71"/>
      <c r="G1462" s="82" t="str">
        <f aca="false">IF(C1462="","",IFERROR(INDEX('Kit Lists'!$D$6:$D$605,MATCH(B1462&amp;"|"&amp;C1462,'Kit Lists'!$J$6:$J$605,0)),"Not on this contract's kit list"))</f>
        <v/>
      </c>
      <c r="H1462" s="83" t="str">
        <f aca="false">IF(AND(B1462="",C1462="",D1462=""),"",IF(B1462="","Missing contract",IF(C1462="","Missing code",IF(LEFT(G1462,3)="Not","Wrong code",IF(D1462="","Missing qty",IF(A1462="","Missing date",""))))))</f>
        <v/>
      </c>
      <c r="I1462" s="84" t="str">
        <f aca="false">IF(B1462=Dashboard!$D$3,ROW(),"")</f>
        <v/>
      </c>
    </row>
    <row r="1463" customFormat="false" ht="15" hidden="false" customHeight="false" outlineLevel="0" collapsed="false">
      <c r="A1463" s="80"/>
      <c r="B1463" s="71"/>
      <c r="C1463" s="71"/>
      <c r="D1463" s="81"/>
      <c r="E1463" s="71"/>
      <c r="F1463" s="71"/>
      <c r="G1463" s="82" t="str">
        <f aca="false">IF(C1463="","",IFERROR(INDEX('Kit Lists'!$D$6:$D$605,MATCH(B1463&amp;"|"&amp;C1463,'Kit Lists'!$J$6:$J$605,0)),"Not on this contract's kit list"))</f>
        <v/>
      </c>
      <c r="H1463" s="83" t="str">
        <f aca="false">IF(AND(B1463="",C1463="",D1463=""),"",IF(B1463="","Missing contract",IF(C1463="","Missing code",IF(LEFT(G1463,3)="Not","Wrong code",IF(D1463="","Missing qty",IF(A1463="","Missing date",""))))))</f>
        <v/>
      </c>
      <c r="I1463" s="84" t="str">
        <f aca="false">IF(B1463=Dashboard!$D$3,ROW(),"")</f>
        <v/>
      </c>
    </row>
    <row r="1464" customFormat="false" ht="15" hidden="false" customHeight="false" outlineLevel="0" collapsed="false">
      <c r="A1464" s="80"/>
      <c r="B1464" s="71"/>
      <c r="C1464" s="71"/>
      <c r="D1464" s="81"/>
      <c r="E1464" s="71"/>
      <c r="F1464" s="71"/>
      <c r="G1464" s="82" t="str">
        <f aca="false">IF(C1464="","",IFERROR(INDEX('Kit Lists'!$D$6:$D$605,MATCH(B1464&amp;"|"&amp;C1464,'Kit Lists'!$J$6:$J$605,0)),"Not on this contract's kit list"))</f>
        <v/>
      </c>
      <c r="H1464" s="83" t="str">
        <f aca="false">IF(AND(B1464="",C1464="",D1464=""),"",IF(B1464="","Missing contract",IF(C1464="","Missing code",IF(LEFT(G1464,3)="Not","Wrong code",IF(D1464="","Missing qty",IF(A1464="","Missing date",""))))))</f>
        <v/>
      </c>
      <c r="I1464" s="84" t="str">
        <f aca="false">IF(B1464=Dashboard!$D$3,ROW(),"")</f>
        <v/>
      </c>
    </row>
    <row r="1465" customFormat="false" ht="15" hidden="false" customHeight="false" outlineLevel="0" collapsed="false">
      <c r="A1465" s="80"/>
      <c r="B1465" s="71"/>
      <c r="C1465" s="71"/>
      <c r="D1465" s="81"/>
      <c r="E1465" s="71"/>
      <c r="F1465" s="71"/>
      <c r="G1465" s="82" t="str">
        <f aca="false">IF(C1465="","",IFERROR(INDEX('Kit Lists'!$D$6:$D$605,MATCH(B1465&amp;"|"&amp;C1465,'Kit Lists'!$J$6:$J$605,0)),"Not on this contract's kit list"))</f>
        <v/>
      </c>
      <c r="H1465" s="83" t="str">
        <f aca="false">IF(AND(B1465="",C1465="",D1465=""),"",IF(B1465="","Missing contract",IF(C1465="","Missing code",IF(LEFT(G1465,3)="Not","Wrong code",IF(D1465="","Missing qty",IF(A1465="","Missing date",""))))))</f>
        <v/>
      </c>
      <c r="I1465" s="84" t="str">
        <f aca="false">IF(B1465=Dashboard!$D$3,ROW(),"")</f>
        <v/>
      </c>
    </row>
    <row r="1466" customFormat="false" ht="15" hidden="false" customHeight="false" outlineLevel="0" collapsed="false">
      <c r="A1466" s="80"/>
      <c r="B1466" s="71"/>
      <c r="C1466" s="71"/>
      <c r="D1466" s="81"/>
      <c r="E1466" s="71"/>
      <c r="F1466" s="71"/>
      <c r="G1466" s="82" t="str">
        <f aca="false">IF(C1466="","",IFERROR(INDEX('Kit Lists'!$D$6:$D$605,MATCH(B1466&amp;"|"&amp;C1466,'Kit Lists'!$J$6:$J$605,0)),"Not on this contract's kit list"))</f>
        <v/>
      </c>
      <c r="H1466" s="83" t="str">
        <f aca="false">IF(AND(B1466="",C1466="",D1466=""),"",IF(B1466="","Missing contract",IF(C1466="","Missing code",IF(LEFT(G1466,3)="Not","Wrong code",IF(D1466="","Missing qty",IF(A1466="","Missing date",""))))))</f>
        <v/>
      </c>
      <c r="I1466" s="84" t="str">
        <f aca="false">IF(B1466=Dashboard!$D$3,ROW(),"")</f>
        <v/>
      </c>
    </row>
    <row r="1467" customFormat="false" ht="15" hidden="false" customHeight="false" outlineLevel="0" collapsed="false">
      <c r="A1467" s="80"/>
      <c r="B1467" s="71"/>
      <c r="C1467" s="71"/>
      <c r="D1467" s="81"/>
      <c r="E1467" s="71"/>
      <c r="F1467" s="71"/>
      <c r="G1467" s="82" t="str">
        <f aca="false">IF(C1467="","",IFERROR(INDEX('Kit Lists'!$D$6:$D$605,MATCH(B1467&amp;"|"&amp;C1467,'Kit Lists'!$J$6:$J$605,0)),"Not on this contract's kit list"))</f>
        <v/>
      </c>
      <c r="H1467" s="83" t="str">
        <f aca="false">IF(AND(B1467="",C1467="",D1467=""),"",IF(B1467="","Missing contract",IF(C1467="","Missing code",IF(LEFT(G1467,3)="Not","Wrong code",IF(D1467="","Missing qty",IF(A1467="","Missing date",""))))))</f>
        <v/>
      </c>
      <c r="I1467" s="84" t="str">
        <f aca="false">IF(B1467=Dashboard!$D$3,ROW(),"")</f>
        <v/>
      </c>
    </row>
    <row r="1468" customFormat="false" ht="15" hidden="false" customHeight="false" outlineLevel="0" collapsed="false">
      <c r="A1468" s="80"/>
      <c r="B1468" s="71"/>
      <c r="C1468" s="71"/>
      <c r="D1468" s="81"/>
      <c r="E1468" s="71"/>
      <c r="F1468" s="71"/>
      <c r="G1468" s="82" t="str">
        <f aca="false">IF(C1468="","",IFERROR(INDEX('Kit Lists'!$D$6:$D$605,MATCH(B1468&amp;"|"&amp;C1468,'Kit Lists'!$J$6:$J$605,0)),"Not on this contract's kit list"))</f>
        <v/>
      </c>
      <c r="H1468" s="83" t="str">
        <f aca="false">IF(AND(B1468="",C1468="",D1468=""),"",IF(B1468="","Missing contract",IF(C1468="","Missing code",IF(LEFT(G1468,3)="Not","Wrong code",IF(D1468="","Missing qty",IF(A1468="","Missing date",""))))))</f>
        <v/>
      </c>
      <c r="I1468" s="84" t="str">
        <f aca="false">IF(B1468=Dashboard!$D$3,ROW(),"")</f>
        <v/>
      </c>
    </row>
    <row r="1469" customFormat="false" ht="15" hidden="false" customHeight="false" outlineLevel="0" collapsed="false">
      <c r="A1469" s="80"/>
      <c r="B1469" s="71"/>
      <c r="C1469" s="71"/>
      <c r="D1469" s="81"/>
      <c r="E1469" s="71"/>
      <c r="F1469" s="71"/>
      <c r="G1469" s="82" t="str">
        <f aca="false">IF(C1469="","",IFERROR(INDEX('Kit Lists'!$D$6:$D$605,MATCH(B1469&amp;"|"&amp;C1469,'Kit Lists'!$J$6:$J$605,0)),"Not on this contract's kit list"))</f>
        <v/>
      </c>
      <c r="H1469" s="83" t="str">
        <f aca="false">IF(AND(B1469="",C1469="",D1469=""),"",IF(B1469="","Missing contract",IF(C1469="","Missing code",IF(LEFT(G1469,3)="Not","Wrong code",IF(D1469="","Missing qty",IF(A1469="","Missing date",""))))))</f>
        <v/>
      </c>
      <c r="I1469" s="84" t="str">
        <f aca="false">IF(B1469=Dashboard!$D$3,ROW(),"")</f>
        <v/>
      </c>
    </row>
    <row r="1470" customFormat="false" ht="15" hidden="false" customHeight="false" outlineLevel="0" collapsed="false">
      <c r="A1470" s="80"/>
      <c r="B1470" s="71"/>
      <c r="C1470" s="71"/>
      <c r="D1470" s="81"/>
      <c r="E1470" s="71"/>
      <c r="F1470" s="71"/>
      <c r="G1470" s="82" t="str">
        <f aca="false">IF(C1470="","",IFERROR(INDEX('Kit Lists'!$D$6:$D$605,MATCH(B1470&amp;"|"&amp;C1470,'Kit Lists'!$J$6:$J$605,0)),"Not on this contract's kit list"))</f>
        <v/>
      </c>
      <c r="H1470" s="83" t="str">
        <f aca="false">IF(AND(B1470="",C1470="",D1470=""),"",IF(B1470="","Missing contract",IF(C1470="","Missing code",IF(LEFT(G1470,3)="Not","Wrong code",IF(D1470="","Missing qty",IF(A1470="","Missing date",""))))))</f>
        <v/>
      </c>
      <c r="I1470" s="84" t="str">
        <f aca="false">IF(B1470=Dashboard!$D$3,ROW(),"")</f>
        <v/>
      </c>
    </row>
    <row r="1471" customFormat="false" ht="15" hidden="false" customHeight="false" outlineLevel="0" collapsed="false">
      <c r="A1471" s="80"/>
      <c r="B1471" s="71"/>
      <c r="C1471" s="71"/>
      <c r="D1471" s="81"/>
      <c r="E1471" s="71"/>
      <c r="F1471" s="71"/>
      <c r="G1471" s="82" t="str">
        <f aca="false">IF(C1471="","",IFERROR(INDEX('Kit Lists'!$D$6:$D$605,MATCH(B1471&amp;"|"&amp;C1471,'Kit Lists'!$J$6:$J$605,0)),"Not on this contract's kit list"))</f>
        <v/>
      </c>
      <c r="H1471" s="83" t="str">
        <f aca="false">IF(AND(B1471="",C1471="",D1471=""),"",IF(B1471="","Missing contract",IF(C1471="","Missing code",IF(LEFT(G1471,3)="Not","Wrong code",IF(D1471="","Missing qty",IF(A1471="","Missing date",""))))))</f>
        <v/>
      </c>
      <c r="I1471" s="84" t="str">
        <f aca="false">IF(B1471=Dashboard!$D$3,ROW(),"")</f>
        <v/>
      </c>
    </row>
    <row r="1472" customFormat="false" ht="15" hidden="false" customHeight="false" outlineLevel="0" collapsed="false">
      <c r="A1472" s="80"/>
      <c r="B1472" s="71"/>
      <c r="C1472" s="71"/>
      <c r="D1472" s="81"/>
      <c r="E1472" s="71"/>
      <c r="F1472" s="71"/>
      <c r="G1472" s="82" t="str">
        <f aca="false">IF(C1472="","",IFERROR(INDEX('Kit Lists'!$D$6:$D$605,MATCH(B1472&amp;"|"&amp;C1472,'Kit Lists'!$J$6:$J$605,0)),"Not on this contract's kit list"))</f>
        <v/>
      </c>
      <c r="H1472" s="83" t="str">
        <f aca="false">IF(AND(B1472="",C1472="",D1472=""),"",IF(B1472="","Missing contract",IF(C1472="","Missing code",IF(LEFT(G1472,3)="Not","Wrong code",IF(D1472="","Missing qty",IF(A1472="","Missing date",""))))))</f>
        <v/>
      </c>
      <c r="I1472" s="84" t="str">
        <f aca="false">IF(B1472=Dashboard!$D$3,ROW(),"")</f>
        <v/>
      </c>
    </row>
    <row r="1473" customFormat="false" ht="15" hidden="false" customHeight="false" outlineLevel="0" collapsed="false">
      <c r="A1473" s="80"/>
      <c r="B1473" s="71"/>
      <c r="C1473" s="71"/>
      <c r="D1473" s="81"/>
      <c r="E1473" s="71"/>
      <c r="F1473" s="71"/>
      <c r="G1473" s="82" t="str">
        <f aca="false">IF(C1473="","",IFERROR(INDEX('Kit Lists'!$D$6:$D$605,MATCH(B1473&amp;"|"&amp;C1473,'Kit Lists'!$J$6:$J$605,0)),"Not on this contract's kit list"))</f>
        <v/>
      </c>
      <c r="H1473" s="83" t="str">
        <f aca="false">IF(AND(B1473="",C1473="",D1473=""),"",IF(B1473="","Missing contract",IF(C1473="","Missing code",IF(LEFT(G1473,3)="Not","Wrong code",IF(D1473="","Missing qty",IF(A1473="","Missing date",""))))))</f>
        <v/>
      </c>
      <c r="I1473" s="84" t="str">
        <f aca="false">IF(B1473=Dashboard!$D$3,ROW(),"")</f>
        <v/>
      </c>
    </row>
    <row r="1474" customFormat="false" ht="15" hidden="false" customHeight="false" outlineLevel="0" collapsed="false">
      <c r="A1474" s="80"/>
      <c r="B1474" s="71"/>
      <c r="C1474" s="71"/>
      <c r="D1474" s="81"/>
      <c r="E1474" s="71"/>
      <c r="F1474" s="71"/>
      <c r="G1474" s="82" t="str">
        <f aca="false">IF(C1474="","",IFERROR(INDEX('Kit Lists'!$D$6:$D$605,MATCH(B1474&amp;"|"&amp;C1474,'Kit Lists'!$J$6:$J$605,0)),"Not on this contract's kit list"))</f>
        <v/>
      </c>
      <c r="H1474" s="83" t="str">
        <f aca="false">IF(AND(B1474="",C1474="",D1474=""),"",IF(B1474="","Missing contract",IF(C1474="","Missing code",IF(LEFT(G1474,3)="Not","Wrong code",IF(D1474="","Missing qty",IF(A1474="","Missing date",""))))))</f>
        <v/>
      </c>
      <c r="I1474" s="84" t="str">
        <f aca="false">IF(B1474=Dashboard!$D$3,ROW(),"")</f>
        <v/>
      </c>
    </row>
    <row r="1475" customFormat="false" ht="15" hidden="false" customHeight="false" outlineLevel="0" collapsed="false">
      <c r="A1475" s="80"/>
      <c r="B1475" s="71"/>
      <c r="C1475" s="71"/>
      <c r="D1475" s="81"/>
      <c r="E1475" s="71"/>
      <c r="F1475" s="71"/>
      <c r="G1475" s="82" t="str">
        <f aca="false">IF(C1475="","",IFERROR(INDEX('Kit Lists'!$D$6:$D$605,MATCH(B1475&amp;"|"&amp;C1475,'Kit Lists'!$J$6:$J$605,0)),"Not on this contract's kit list"))</f>
        <v/>
      </c>
      <c r="H1475" s="83" t="str">
        <f aca="false">IF(AND(B1475="",C1475="",D1475=""),"",IF(B1475="","Missing contract",IF(C1475="","Missing code",IF(LEFT(G1475,3)="Not","Wrong code",IF(D1475="","Missing qty",IF(A1475="","Missing date",""))))))</f>
        <v/>
      </c>
      <c r="I1475" s="84" t="str">
        <f aca="false">IF(B1475=Dashboard!$D$3,ROW(),"")</f>
        <v/>
      </c>
    </row>
    <row r="1476" customFormat="false" ht="15" hidden="false" customHeight="false" outlineLevel="0" collapsed="false">
      <c r="A1476" s="80"/>
      <c r="B1476" s="71"/>
      <c r="C1476" s="71"/>
      <c r="D1476" s="81"/>
      <c r="E1476" s="71"/>
      <c r="F1476" s="71"/>
      <c r="G1476" s="82" t="str">
        <f aca="false">IF(C1476="","",IFERROR(INDEX('Kit Lists'!$D$6:$D$605,MATCH(B1476&amp;"|"&amp;C1476,'Kit Lists'!$J$6:$J$605,0)),"Not on this contract's kit list"))</f>
        <v/>
      </c>
      <c r="H1476" s="83" t="str">
        <f aca="false">IF(AND(B1476="",C1476="",D1476=""),"",IF(B1476="","Missing contract",IF(C1476="","Missing code",IF(LEFT(G1476,3)="Not","Wrong code",IF(D1476="","Missing qty",IF(A1476="","Missing date",""))))))</f>
        <v/>
      </c>
      <c r="I1476" s="84" t="str">
        <f aca="false">IF(B1476=Dashboard!$D$3,ROW(),"")</f>
        <v/>
      </c>
    </row>
    <row r="1477" customFormat="false" ht="15" hidden="false" customHeight="false" outlineLevel="0" collapsed="false">
      <c r="A1477" s="80"/>
      <c r="B1477" s="71"/>
      <c r="C1477" s="71"/>
      <c r="D1477" s="81"/>
      <c r="E1477" s="71"/>
      <c r="F1477" s="71"/>
      <c r="G1477" s="82" t="str">
        <f aca="false">IF(C1477="","",IFERROR(INDEX('Kit Lists'!$D$6:$D$605,MATCH(B1477&amp;"|"&amp;C1477,'Kit Lists'!$J$6:$J$605,0)),"Not on this contract's kit list"))</f>
        <v/>
      </c>
      <c r="H1477" s="83" t="str">
        <f aca="false">IF(AND(B1477="",C1477="",D1477=""),"",IF(B1477="","Missing contract",IF(C1477="","Missing code",IF(LEFT(G1477,3)="Not","Wrong code",IF(D1477="","Missing qty",IF(A1477="","Missing date",""))))))</f>
        <v/>
      </c>
      <c r="I1477" s="84" t="str">
        <f aca="false">IF(B1477=Dashboard!$D$3,ROW(),"")</f>
        <v/>
      </c>
    </row>
    <row r="1478" customFormat="false" ht="15" hidden="false" customHeight="false" outlineLevel="0" collapsed="false">
      <c r="A1478" s="80"/>
      <c r="B1478" s="71"/>
      <c r="C1478" s="71"/>
      <c r="D1478" s="81"/>
      <c r="E1478" s="71"/>
      <c r="F1478" s="71"/>
      <c r="G1478" s="82" t="str">
        <f aca="false">IF(C1478="","",IFERROR(INDEX('Kit Lists'!$D$6:$D$605,MATCH(B1478&amp;"|"&amp;C1478,'Kit Lists'!$J$6:$J$605,0)),"Not on this contract's kit list"))</f>
        <v/>
      </c>
      <c r="H1478" s="83" t="str">
        <f aca="false">IF(AND(B1478="",C1478="",D1478=""),"",IF(B1478="","Missing contract",IF(C1478="","Missing code",IF(LEFT(G1478,3)="Not","Wrong code",IF(D1478="","Missing qty",IF(A1478="","Missing date",""))))))</f>
        <v/>
      </c>
      <c r="I1478" s="84" t="str">
        <f aca="false">IF(B1478=Dashboard!$D$3,ROW(),"")</f>
        <v/>
      </c>
    </row>
    <row r="1479" customFormat="false" ht="15" hidden="false" customHeight="false" outlineLevel="0" collapsed="false">
      <c r="A1479" s="80"/>
      <c r="B1479" s="71"/>
      <c r="C1479" s="71"/>
      <c r="D1479" s="81"/>
      <c r="E1479" s="71"/>
      <c r="F1479" s="71"/>
      <c r="G1479" s="82" t="str">
        <f aca="false">IF(C1479="","",IFERROR(INDEX('Kit Lists'!$D$6:$D$605,MATCH(B1479&amp;"|"&amp;C1479,'Kit Lists'!$J$6:$J$605,0)),"Not on this contract's kit list"))</f>
        <v/>
      </c>
      <c r="H1479" s="83" t="str">
        <f aca="false">IF(AND(B1479="",C1479="",D1479=""),"",IF(B1479="","Missing contract",IF(C1479="","Missing code",IF(LEFT(G1479,3)="Not","Wrong code",IF(D1479="","Missing qty",IF(A1479="","Missing date",""))))))</f>
        <v/>
      </c>
      <c r="I1479" s="84" t="str">
        <f aca="false">IF(B1479=Dashboard!$D$3,ROW(),"")</f>
        <v/>
      </c>
    </row>
    <row r="1480" customFormat="false" ht="15" hidden="false" customHeight="false" outlineLevel="0" collapsed="false">
      <c r="A1480" s="80"/>
      <c r="B1480" s="71"/>
      <c r="C1480" s="71"/>
      <c r="D1480" s="81"/>
      <c r="E1480" s="71"/>
      <c r="F1480" s="71"/>
      <c r="G1480" s="82" t="str">
        <f aca="false">IF(C1480="","",IFERROR(INDEX('Kit Lists'!$D$6:$D$605,MATCH(B1480&amp;"|"&amp;C1480,'Kit Lists'!$J$6:$J$605,0)),"Not on this contract's kit list"))</f>
        <v/>
      </c>
      <c r="H1480" s="83" t="str">
        <f aca="false">IF(AND(B1480="",C1480="",D1480=""),"",IF(B1480="","Missing contract",IF(C1480="","Missing code",IF(LEFT(G1480,3)="Not","Wrong code",IF(D1480="","Missing qty",IF(A1480="","Missing date",""))))))</f>
        <v/>
      </c>
      <c r="I1480" s="84" t="str">
        <f aca="false">IF(B1480=Dashboard!$D$3,ROW(),"")</f>
        <v/>
      </c>
    </row>
    <row r="1481" customFormat="false" ht="15" hidden="false" customHeight="false" outlineLevel="0" collapsed="false">
      <c r="A1481" s="80"/>
      <c r="B1481" s="71"/>
      <c r="C1481" s="71"/>
      <c r="D1481" s="81"/>
      <c r="E1481" s="71"/>
      <c r="F1481" s="71"/>
      <c r="G1481" s="82" t="str">
        <f aca="false">IF(C1481="","",IFERROR(INDEX('Kit Lists'!$D$6:$D$605,MATCH(B1481&amp;"|"&amp;C1481,'Kit Lists'!$J$6:$J$605,0)),"Not on this contract's kit list"))</f>
        <v/>
      </c>
      <c r="H1481" s="83" t="str">
        <f aca="false">IF(AND(B1481="",C1481="",D1481=""),"",IF(B1481="","Missing contract",IF(C1481="","Missing code",IF(LEFT(G1481,3)="Not","Wrong code",IF(D1481="","Missing qty",IF(A1481="","Missing date",""))))))</f>
        <v/>
      </c>
      <c r="I1481" s="84" t="str">
        <f aca="false">IF(B1481=Dashboard!$D$3,ROW(),"")</f>
        <v/>
      </c>
    </row>
    <row r="1482" customFormat="false" ht="15" hidden="false" customHeight="false" outlineLevel="0" collapsed="false">
      <c r="A1482" s="80"/>
      <c r="B1482" s="71"/>
      <c r="C1482" s="71"/>
      <c r="D1482" s="81"/>
      <c r="E1482" s="71"/>
      <c r="F1482" s="71"/>
      <c r="G1482" s="82" t="str">
        <f aca="false">IF(C1482="","",IFERROR(INDEX('Kit Lists'!$D$6:$D$605,MATCH(B1482&amp;"|"&amp;C1482,'Kit Lists'!$J$6:$J$605,0)),"Not on this contract's kit list"))</f>
        <v/>
      </c>
      <c r="H1482" s="83" t="str">
        <f aca="false">IF(AND(B1482="",C1482="",D1482=""),"",IF(B1482="","Missing contract",IF(C1482="","Missing code",IF(LEFT(G1482,3)="Not","Wrong code",IF(D1482="","Missing qty",IF(A1482="","Missing date",""))))))</f>
        <v/>
      </c>
      <c r="I1482" s="84" t="str">
        <f aca="false">IF(B1482=Dashboard!$D$3,ROW(),"")</f>
        <v/>
      </c>
    </row>
    <row r="1483" customFormat="false" ht="15" hidden="false" customHeight="false" outlineLevel="0" collapsed="false">
      <c r="A1483" s="80"/>
      <c r="B1483" s="71"/>
      <c r="C1483" s="71"/>
      <c r="D1483" s="81"/>
      <c r="E1483" s="71"/>
      <c r="F1483" s="71"/>
      <c r="G1483" s="82" t="str">
        <f aca="false">IF(C1483="","",IFERROR(INDEX('Kit Lists'!$D$6:$D$605,MATCH(B1483&amp;"|"&amp;C1483,'Kit Lists'!$J$6:$J$605,0)),"Not on this contract's kit list"))</f>
        <v/>
      </c>
      <c r="H1483" s="83" t="str">
        <f aca="false">IF(AND(B1483="",C1483="",D1483=""),"",IF(B1483="","Missing contract",IF(C1483="","Missing code",IF(LEFT(G1483,3)="Not","Wrong code",IF(D1483="","Missing qty",IF(A1483="","Missing date",""))))))</f>
        <v/>
      </c>
      <c r="I1483" s="84" t="str">
        <f aca="false">IF(B1483=Dashboard!$D$3,ROW(),"")</f>
        <v/>
      </c>
    </row>
    <row r="1484" customFormat="false" ht="15" hidden="false" customHeight="false" outlineLevel="0" collapsed="false">
      <c r="A1484" s="80"/>
      <c r="B1484" s="71"/>
      <c r="C1484" s="71"/>
      <c r="D1484" s="81"/>
      <c r="E1484" s="71"/>
      <c r="F1484" s="71"/>
      <c r="G1484" s="82" t="str">
        <f aca="false">IF(C1484="","",IFERROR(INDEX('Kit Lists'!$D$6:$D$605,MATCH(B1484&amp;"|"&amp;C1484,'Kit Lists'!$J$6:$J$605,0)),"Not on this contract's kit list"))</f>
        <v/>
      </c>
      <c r="H1484" s="83" t="str">
        <f aca="false">IF(AND(B1484="",C1484="",D1484=""),"",IF(B1484="","Missing contract",IF(C1484="","Missing code",IF(LEFT(G1484,3)="Not","Wrong code",IF(D1484="","Missing qty",IF(A1484="","Missing date",""))))))</f>
        <v/>
      </c>
      <c r="I1484" s="84" t="str">
        <f aca="false">IF(B1484=Dashboard!$D$3,ROW(),"")</f>
        <v/>
      </c>
    </row>
    <row r="1485" customFormat="false" ht="15" hidden="false" customHeight="false" outlineLevel="0" collapsed="false">
      <c r="A1485" s="80"/>
      <c r="B1485" s="71"/>
      <c r="C1485" s="71"/>
      <c r="D1485" s="81"/>
      <c r="E1485" s="71"/>
      <c r="F1485" s="71"/>
      <c r="G1485" s="82" t="str">
        <f aca="false">IF(C1485="","",IFERROR(INDEX('Kit Lists'!$D$6:$D$605,MATCH(B1485&amp;"|"&amp;C1485,'Kit Lists'!$J$6:$J$605,0)),"Not on this contract's kit list"))</f>
        <v/>
      </c>
      <c r="H1485" s="83" t="str">
        <f aca="false">IF(AND(B1485="",C1485="",D1485=""),"",IF(B1485="","Missing contract",IF(C1485="","Missing code",IF(LEFT(G1485,3)="Not","Wrong code",IF(D1485="","Missing qty",IF(A1485="","Missing date",""))))))</f>
        <v/>
      </c>
      <c r="I1485" s="84" t="str">
        <f aca="false">IF(B1485=Dashboard!$D$3,ROW(),"")</f>
        <v/>
      </c>
    </row>
    <row r="1486" customFormat="false" ht="15" hidden="false" customHeight="false" outlineLevel="0" collapsed="false">
      <c r="A1486" s="80"/>
      <c r="B1486" s="71"/>
      <c r="C1486" s="71"/>
      <c r="D1486" s="81"/>
      <c r="E1486" s="71"/>
      <c r="F1486" s="71"/>
      <c r="G1486" s="82" t="str">
        <f aca="false">IF(C1486="","",IFERROR(INDEX('Kit Lists'!$D$6:$D$605,MATCH(B1486&amp;"|"&amp;C1486,'Kit Lists'!$J$6:$J$605,0)),"Not on this contract's kit list"))</f>
        <v/>
      </c>
      <c r="H1486" s="83" t="str">
        <f aca="false">IF(AND(B1486="",C1486="",D1486=""),"",IF(B1486="","Missing contract",IF(C1486="","Missing code",IF(LEFT(G1486,3)="Not","Wrong code",IF(D1486="","Missing qty",IF(A1486="","Missing date",""))))))</f>
        <v/>
      </c>
      <c r="I1486" s="84" t="str">
        <f aca="false">IF(B1486=Dashboard!$D$3,ROW(),"")</f>
        <v/>
      </c>
    </row>
    <row r="1487" customFormat="false" ht="15" hidden="false" customHeight="false" outlineLevel="0" collapsed="false">
      <c r="A1487" s="80"/>
      <c r="B1487" s="71"/>
      <c r="C1487" s="71"/>
      <c r="D1487" s="81"/>
      <c r="E1487" s="71"/>
      <c r="F1487" s="71"/>
      <c r="G1487" s="82" t="str">
        <f aca="false">IF(C1487="","",IFERROR(INDEX('Kit Lists'!$D$6:$D$605,MATCH(B1487&amp;"|"&amp;C1487,'Kit Lists'!$J$6:$J$605,0)),"Not on this contract's kit list"))</f>
        <v/>
      </c>
      <c r="H1487" s="83" t="str">
        <f aca="false">IF(AND(B1487="",C1487="",D1487=""),"",IF(B1487="","Missing contract",IF(C1487="","Missing code",IF(LEFT(G1487,3)="Not","Wrong code",IF(D1487="","Missing qty",IF(A1487="","Missing date",""))))))</f>
        <v/>
      </c>
      <c r="I1487" s="84" t="str">
        <f aca="false">IF(B1487=Dashboard!$D$3,ROW(),"")</f>
        <v/>
      </c>
    </row>
    <row r="1488" customFormat="false" ht="15" hidden="false" customHeight="false" outlineLevel="0" collapsed="false">
      <c r="A1488" s="80"/>
      <c r="B1488" s="71"/>
      <c r="C1488" s="71"/>
      <c r="D1488" s="81"/>
      <c r="E1488" s="71"/>
      <c r="F1488" s="71"/>
      <c r="G1488" s="82" t="str">
        <f aca="false">IF(C1488="","",IFERROR(INDEX('Kit Lists'!$D$6:$D$605,MATCH(B1488&amp;"|"&amp;C1488,'Kit Lists'!$J$6:$J$605,0)),"Not on this contract's kit list"))</f>
        <v/>
      </c>
      <c r="H1488" s="83" t="str">
        <f aca="false">IF(AND(B1488="",C1488="",D1488=""),"",IF(B1488="","Missing contract",IF(C1488="","Missing code",IF(LEFT(G1488,3)="Not","Wrong code",IF(D1488="","Missing qty",IF(A1488="","Missing date",""))))))</f>
        <v/>
      </c>
      <c r="I1488" s="84" t="str">
        <f aca="false">IF(B1488=Dashboard!$D$3,ROW(),"")</f>
        <v/>
      </c>
    </row>
    <row r="1489" customFormat="false" ht="15" hidden="false" customHeight="false" outlineLevel="0" collapsed="false">
      <c r="A1489" s="80"/>
      <c r="B1489" s="71"/>
      <c r="C1489" s="71"/>
      <c r="D1489" s="81"/>
      <c r="E1489" s="71"/>
      <c r="F1489" s="71"/>
      <c r="G1489" s="82" t="str">
        <f aca="false">IF(C1489="","",IFERROR(INDEX('Kit Lists'!$D$6:$D$605,MATCH(B1489&amp;"|"&amp;C1489,'Kit Lists'!$J$6:$J$605,0)),"Not on this contract's kit list"))</f>
        <v/>
      </c>
      <c r="H1489" s="83" t="str">
        <f aca="false">IF(AND(B1489="",C1489="",D1489=""),"",IF(B1489="","Missing contract",IF(C1489="","Missing code",IF(LEFT(G1489,3)="Not","Wrong code",IF(D1489="","Missing qty",IF(A1489="","Missing date",""))))))</f>
        <v/>
      </c>
      <c r="I1489" s="84" t="str">
        <f aca="false">IF(B1489=Dashboard!$D$3,ROW(),"")</f>
        <v/>
      </c>
    </row>
    <row r="1490" customFormat="false" ht="15" hidden="false" customHeight="false" outlineLevel="0" collapsed="false">
      <c r="A1490" s="80"/>
      <c r="B1490" s="71"/>
      <c r="C1490" s="71"/>
      <c r="D1490" s="81"/>
      <c r="E1490" s="71"/>
      <c r="F1490" s="71"/>
      <c r="G1490" s="82" t="str">
        <f aca="false">IF(C1490="","",IFERROR(INDEX('Kit Lists'!$D$6:$D$605,MATCH(B1490&amp;"|"&amp;C1490,'Kit Lists'!$J$6:$J$605,0)),"Not on this contract's kit list"))</f>
        <v/>
      </c>
      <c r="H1490" s="83" t="str">
        <f aca="false">IF(AND(B1490="",C1490="",D1490=""),"",IF(B1490="","Missing contract",IF(C1490="","Missing code",IF(LEFT(G1490,3)="Not","Wrong code",IF(D1490="","Missing qty",IF(A1490="","Missing date",""))))))</f>
        <v/>
      </c>
      <c r="I1490" s="84" t="str">
        <f aca="false">IF(B1490=Dashboard!$D$3,ROW(),"")</f>
        <v/>
      </c>
    </row>
    <row r="1491" customFormat="false" ht="15" hidden="false" customHeight="false" outlineLevel="0" collapsed="false">
      <c r="A1491" s="80"/>
      <c r="B1491" s="71"/>
      <c r="C1491" s="71"/>
      <c r="D1491" s="81"/>
      <c r="E1491" s="71"/>
      <c r="F1491" s="71"/>
      <c r="G1491" s="82" t="str">
        <f aca="false">IF(C1491="","",IFERROR(INDEX('Kit Lists'!$D$6:$D$605,MATCH(B1491&amp;"|"&amp;C1491,'Kit Lists'!$J$6:$J$605,0)),"Not on this contract's kit list"))</f>
        <v/>
      </c>
      <c r="H1491" s="83" t="str">
        <f aca="false">IF(AND(B1491="",C1491="",D1491=""),"",IF(B1491="","Missing contract",IF(C1491="","Missing code",IF(LEFT(G1491,3)="Not","Wrong code",IF(D1491="","Missing qty",IF(A1491="","Missing date",""))))))</f>
        <v/>
      </c>
      <c r="I1491" s="84" t="str">
        <f aca="false">IF(B1491=Dashboard!$D$3,ROW(),"")</f>
        <v/>
      </c>
    </row>
    <row r="1492" customFormat="false" ht="15" hidden="false" customHeight="false" outlineLevel="0" collapsed="false">
      <c r="A1492" s="80"/>
      <c r="B1492" s="71"/>
      <c r="C1492" s="71"/>
      <c r="D1492" s="81"/>
      <c r="E1492" s="71"/>
      <c r="F1492" s="71"/>
      <c r="G1492" s="82" t="str">
        <f aca="false">IF(C1492="","",IFERROR(INDEX('Kit Lists'!$D$6:$D$605,MATCH(B1492&amp;"|"&amp;C1492,'Kit Lists'!$J$6:$J$605,0)),"Not on this contract's kit list"))</f>
        <v/>
      </c>
      <c r="H1492" s="83" t="str">
        <f aca="false">IF(AND(B1492="",C1492="",D1492=""),"",IF(B1492="","Missing contract",IF(C1492="","Missing code",IF(LEFT(G1492,3)="Not","Wrong code",IF(D1492="","Missing qty",IF(A1492="","Missing date",""))))))</f>
        <v/>
      </c>
      <c r="I1492" s="84" t="str">
        <f aca="false">IF(B1492=Dashboard!$D$3,ROW(),"")</f>
        <v/>
      </c>
    </row>
    <row r="1493" customFormat="false" ht="15" hidden="false" customHeight="false" outlineLevel="0" collapsed="false">
      <c r="A1493" s="80"/>
      <c r="B1493" s="71"/>
      <c r="C1493" s="71"/>
      <c r="D1493" s="81"/>
      <c r="E1493" s="71"/>
      <c r="F1493" s="71"/>
      <c r="G1493" s="82" t="str">
        <f aca="false">IF(C1493="","",IFERROR(INDEX('Kit Lists'!$D$6:$D$605,MATCH(B1493&amp;"|"&amp;C1493,'Kit Lists'!$J$6:$J$605,0)),"Not on this contract's kit list"))</f>
        <v/>
      </c>
      <c r="H1493" s="83" t="str">
        <f aca="false">IF(AND(B1493="",C1493="",D1493=""),"",IF(B1493="","Missing contract",IF(C1493="","Missing code",IF(LEFT(G1493,3)="Not","Wrong code",IF(D1493="","Missing qty",IF(A1493="","Missing date",""))))))</f>
        <v/>
      </c>
      <c r="I1493" s="84" t="str">
        <f aca="false">IF(B1493=Dashboard!$D$3,ROW(),"")</f>
        <v/>
      </c>
    </row>
    <row r="1494" customFormat="false" ht="15" hidden="false" customHeight="false" outlineLevel="0" collapsed="false">
      <c r="A1494" s="80"/>
      <c r="B1494" s="71"/>
      <c r="C1494" s="71"/>
      <c r="D1494" s="81"/>
      <c r="E1494" s="71"/>
      <c r="F1494" s="71"/>
      <c r="G1494" s="82" t="str">
        <f aca="false">IF(C1494="","",IFERROR(INDEX('Kit Lists'!$D$6:$D$605,MATCH(B1494&amp;"|"&amp;C1494,'Kit Lists'!$J$6:$J$605,0)),"Not on this contract's kit list"))</f>
        <v/>
      </c>
      <c r="H1494" s="83" t="str">
        <f aca="false">IF(AND(B1494="",C1494="",D1494=""),"",IF(B1494="","Missing contract",IF(C1494="","Missing code",IF(LEFT(G1494,3)="Not","Wrong code",IF(D1494="","Missing qty",IF(A1494="","Missing date",""))))))</f>
        <v/>
      </c>
      <c r="I1494" s="84" t="str">
        <f aca="false">IF(B1494=Dashboard!$D$3,ROW(),"")</f>
        <v/>
      </c>
    </row>
    <row r="1495" customFormat="false" ht="15" hidden="false" customHeight="false" outlineLevel="0" collapsed="false">
      <c r="A1495" s="80"/>
      <c r="B1495" s="71"/>
      <c r="C1495" s="71"/>
      <c r="D1495" s="81"/>
      <c r="E1495" s="71"/>
      <c r="F1495" s="71"/>
      <c r="G1495" s="82" t="str">
        <f aca="false">IF(C1495="","",IFERROR(INDEX('Kit Lists'!$D$6:$D$605,MATCH(B1495&amp;"|"&amp;C1495,'Kit Lists'!$J$6:$J$605,0)),"Not on this contract's kit list"))</f>
        <v/>
      </c>
      <c r="H1495" s="83" t="str">
        <f aca="false">IF(AND(B1495="",C1495="",D1495=""),"",IF(B1495="","Missing contract",IF(C1495="","Missing code",IF(LEFT(G1495,3)="Not","Wrong code",IF(D1495="","Missing qty",IF(A1495="","Missing date",""))))))</f>
        <v/>
      </c>
      <c r="I1495" s="84" t="str">
        <f aca="false">IF(B1495=Dashboard!$D$3,ROW(),"")</f>
        <v/>
      </c>
    </row>
    <row r="1496" customFormat="false" ht="15" hidden="false" customHeight="false" outlineLevel="0" collapsed="false">
      <c r="A1496" s="80"/>
      <c r="B1496" s="71"/>
      <c r="C1496" s="71"/>
      <c r="D1496" s="81"/>
      <c r="E1496" s="71"/>
      <c r="F1496" s="71"/>
      <c r="G1496" s="82" t="str">
        <f aca="false">IF(C1496="","",IFERROR(INDEX('Kit Lists'!$D$6:$D$605,MATCH(B1496&amp;"|"&amp;C1496,'Kit Lists'!$J$6:$J$605,0)),"Not on this contract's kit list"))</f>
        <v/>
      </c>
      <c r="H1496" s="83" t="str">
        <f aca="false">IF(AND(B1496="",C1496="",D1496=""),"",IF(B1496="","Missing contract",IF(C1496="","Missing code",IF(LEFT(G1496,3)="Not","Wrong code",IF(D1496="","Missing qty",IF(A1496="","Missing date",""))))))</f>
        <v/>
      </c>
      <c r="I1496" s="84" t="str">
        <f aca="false">IF(B1496=Dashboard!$D$3,ROW(),"")</f>
        <v/>
      </c>
    </row>
    <row r="1497" customFormat="false" ht="15" hidden="false" customHeight="false" outlineLevel="0" collapsed="false">
      <c r="A1497" s="80"/>
      <c r="B1497" s="71"/>
      <c r="C1497" s="71"/>
      <c r="D1497" s="81"/>
      <c r="E1497" s="71"/>
      <c r="F1497" s="71"/>
      <c r="G1497" s="82" t="str">
        <f aca="false">IF(C1497="","",IFERROR(INDEX('Kit Lists'!$D$6:$D$605,MATCH(B1497&amp;"|"&amp;C1497,'Kit Lists'!$J$6:$J$605,0)),"Not on this contract's kit list"))</f>
        <v/>
      </c>
      <c r="H1497" s="83" t="str">
        <f aca="false">IF(AND(B1497="",C1497="",D1497=""),"",IF(B1497="","Missing contract",IF(C1497="","Missing code",IF(LEFT(G1497,3)="Not","Wrong code",IF(D1497="","Missing qty",IF(A1497="","Missing date",""))))))</f>
        <v/>
      </c>
      <c r="I1497" s="84" t="str">
        <f aca="false">IF(B1497=Dashboard!$D$3,ROW(),"")</f>
        <v/>
      </c>
    </row>
    <row r="1498" customFormat="false" ht="15" hidden="false" customHeight="false" outlineLevel="0" collapsed="false">
      <c r="A1498" s="80"/>
      <c r="B1498" s="71"/>
      <c r="C1498" s="71"/>
      <c r="D1498" s="81"/>
      <c r="E1498" s="71"/>
      <c r="F1498" s="71"/>
      <c r="G1498" s="82" t="str">
        <f aca="false">IF(C1498="","",IFERROR(INDEX('Kit Lists'!$D$6:$D$605,MATCH(B1498&amp;"|"&amp;C1498,'Kit Lists'!$J$6:$J$605,0)),"Not on this contract's kit list"))</f>
        <v/>
      </c>
      <c r="H1498" s="83" t="str">
        <f aca="false">IF(AND(B1498="",C1498="",D1498=""),"",IF(B1498="","Missing contract",IF(C1498="","Missing code",IF(LEFT(G1498,3)="Not","Wrong code",IF(D1498="","Missing qty",IF(A1498="","Missing date",""))))))</f>
        <v/>
      </c>
      <c r="I1498" s="84" t="str">
        <f aca="false">IF(B1498=Dashboard!$D$3,ROW(),"")</f>
        <v/>
      </c>
    </row>
    <row r="1499" customFormat="false" ht="15" hidden="false" customHeight="false" outlineLevel="0" collapsed="false">
      <c r="A1499" s="80"/>
      <c r="B1499" s="71"/>
      <c r="C1499" s="71"/>
      <c r="D1499" s="81"/>
      <c r="E1499" s="71"/>
      <c r="F1499" s="71"/>
      <c r="G1499" s="82" t="str">
        <f aca="false">IF(C1499="","",IFERROR(INDEX('Kit Lists'!$D$6:$D$605,MATCH(B1499&amp;"|"&amp;C1499,'Kit Lists'!$J$6:$J$605,0)),"Not on this contract's kit list"))</f>
        <v/>
      </c>
      <c r="H1499" s="83" t="str">
        <f aca="false">IF(AND(B1499="",C1499="",D1499=""),"",IF(B1499="","Missing contract",IF(C1499="","Missing code",IF(LEFT(G1499,3)="Not","Wrong code",IF(D1499="","Missing qty",IF(A1499="","Missing date",""))))))</f>
        <v/>
      </c>
      <c r="I1499" s="84" t="str">
        <f aca="false">IF(B1499=Dashboard!$D$3,ROW(),"")</f>
        <v/>
      </c>
    </row>
    <row r="1500" customFormat="false" ht="15" hidden="false" customHeight="false" outlineLevel="0" collapsed="false">
      <c r="A1500" s="80"/>
      <c r="B1500" s="71"/>
      <c r="C1500" s="71"/>
      <c r="D1500" s="81"/>
      <c r="E1500" s="71"/>
      <c r="F1500" s="71"/>
      <c r="G1500" s="82" t="str">
        <f aca="false">IF(C1500="","",IFERROR(INDEX('Kit Lists'!$D$6:$D$605,MATCH(B1500&amp;"|"&amp;C1500,'Kit Lists'!$J$6:$J$605,0)),"Not on this contract's kit list"))</f>
        <v/>
      </c>
      <c r="H1500" s="83" t="str">
        <f aca="false">IF(AND(B1500="",C1500="",D1500=""),"",IF(B1500="","Missing contract",IF(C1500="","Missing code",IF(LEFT(G1500,3)="Not","Wrong code",IF(D1500="","Missing qty",IF(A1500="","Missing date",""))))))</f>
        <v/>
      </c>
      <c r="I1500" s="84" t="str">
        <f aca="false">IF(B1500=Dashboard!$D$3,ROW(),"")</f>
        <v/>
      </c>
    </row>
    <row r="1501" customFormat="false" ht="15" hidden="false" customHeight="false" outlineLevel="0" collapsed="false">
      <c r="A1501" s="80"/>
      <c r="B1501" s="71"/>
      <c r="C1501" s="71"/>
      <c r="D1501" s="81"/>
      <c r="E1501" s="71"/>
      <c r="F1501" s="71"/>
      <c r="G1501" s="82" t="str">
        <f aca="false">IF(C1501="","",IFERROR(INDEX('Kit Lists'!$D$6:$D$605,MATCH(B1501&amp;"|"&amp;C1501,'Kit Lists'!$J$6:$J$605,0)),"Not on this contract's kit list"))</f>
        <v/>
      </c>
      <c r="H1501" s="83" t="str">
        <f aca="false">IF(AND(B1501="",C1501="",D1501=""),"",IF(B1501="","Missing contract",IF(C1501="","Missing code",IF(LEFT(G1501,3)="Not","Wrong code",IF(D1501="","Missing qty",IF(A1501="","Missing date",""))))))</f>
        <v/>
      </c>
      <c r="I1501" s="84" t="str">
        <f aca="false">IF(B1501=Dashboard!$D$3,ROW(),"")</f>
        <v/>
      </c>
    </row>
    <row r="1502" customFormat="false" ht="15" hidden="false" customHeight="false" outlineLevel="0" collapsed="false">
      <c r="A1502" s="80"/>
      <c r="B1502" s="71"/>
      <c r="C1502" s="71"/>
      <c r="D1502" s="81"/>
      <c r="E1502" s="71"/>
      <c r="F1502" s="71"/>
      <c r="G1502" s="82" t="str">
        <f aca="false">IF(C1502="","",IFERROR(INDEX('Kit Lists'!$D$6:$D$605,MATCH(B1502&amp;"|"&amp;C1502,'Kit Lists'!$J$6:$J$605,0)),"Not on this contract's kit list"))</f>
        <v/>
      </c>
      <c r="H1502" s="83" t="str">
        <f aca="false">IF(AND(B1502="",C1502="",D1502=""),"",IF(B1502="","Missing contract",IF(C1502="","Missing code",IF(LEFT(G1502,3)="Not","Wrong code",IF(D1502="","Missing qty",IF(A1502="","Missing date",""))))))</f>
        <v/>
      </c>
      <c r="I1502" s="84" t="str">
        <f aca="false">IF(B1502=Dashboard!$D$3,ROW(),"")</f>
        <v/>
      </c>
    </row>
    <row r="1503" customFormat="false" ht="15" hidden="false" customHeight="false" outlineLevel="0" collapsed="false">
      <c r="A1503" s="80"/>
      <c r="B1503" s="71"/>
      <c r="C1503" s="71"/>
      <c r="D1503" s="81"/>
      <c r="E1503" s="71"/>
      <c r="F1503" s="71"/>
      <c r="G1503" s="82" t="str">
        <f aca="false">IF(C1503="","",IFERROR(INDEX('Kit Lists'!$D$6:$D$605,MATCH(B1503&amp;"|"&amp;C1503,'Kit Lists'!$J$6:$J$605,0)),"Not on this contract's kit list"))</f>
        <v/>
      </c>
      <c r="H1503" s="83" t="str">
        <f aca="false">IF(AND(B1503="",C1503="",D1503=""),"",IF(B1503="","Missing contract",IF(C1503="","Missing code",IF(LEFT(G1503,3)="Not","Wrong code",IF(D1503="","Missing qty",IF(A1503="","Missing date",""))))))</f>
        <v/>
      </c>
      <c r="I1503" s="84" t="str">
        <f aca="false">IF(B1503=Dashboard!$D$3,ROW(),"")</f>
        <v/>
      </c>
    </row>
    <row r="1504" customFormat="false" ht="15" hidden="false" customHeight="false" outlineLevel="0" collapsed="false">
      <c r="A1504" s="80"/>
      <c r="B1504" s="71"/>
      <c r="C1504" s="71"/>
      <c r="D1504" s="81"/>
      <c r="E1504" s="71"/>
      <c r="F1504" s="71"/>
      <c r="G1504" s="82" t="str">
        <f aca="false">IF(C1504="","",IFERROR(INDEX('Kit Lists'!$D$6:$D$605,MATCH(B1504&amp;"|"&amp;C1504,'Kit Lists'!$J$6:$J$605,0)),"Not on this contract's kit list"))</f>
        <v/>
      </c>
      <c r="H1504" s="83" t="str">
        <f aca="false">IF(AND(B1504="",C1504="",D1504=""),"",IF(B1504="","Missing contract",IF(C1504="","Missing code",IF(LEFT(G1504,3)="Not","Wrong code",IF(D1504="","Missing qty",IF(A1504="","Missing date",""))))))</f>
        <v/>
      </c>
      <c r="I1504" s="84" t="str">
        <f aca="false">IF(B1504=Dashboard!$D$3,ROW(),"")</f>
        <v/>
      </c>
    </row>
    <row r="1505" customFormat="false" ht="15" hidden="false" customHeight="false" outlineLevel="0" collapsed="false">
      <c r="A1505" s="80"/>
      <c r="B1505" s="71"/>
      <c r="C1505" s="71"/>
      <c r="D1505" s="81"/>
      <c r="E1505" s="71"/>
      <c r="F1505" s="71"/>
      <c r="G1505" s="82" t="str">
        <f aca="false">IF(C1505="","",IFERROR(INDEX('Kit Lists'!$D$6:$D$605,MATCH(B1505&amp;"|"&amp;C1505,'Kit Lists'!$J$6:$J$605,0)),"Not on this contract's kit list"))</f>
        <v/>
      </c>
      <c r="H1505" s="83" t="str">
        <f aca="false">IF(AND(B1505="",C1505="",D1505=""),"",IF(B1505="","Missing contract",IF(C1505="","Missing code",IF(LEFT(G1505,3)="Not","Wrong code",IF(D1505="","Missing qty",IF(A1505="","Missing date",""))))))</f>
        <v/>
      </c>
      <c r="I1505" s="84" t="str">
        <f aca="false">IF(B1505=Dashboard!$D$3,ROW(),"")</f>
        <v/>
      </c>
    </row>
    <row r="1506" customFormat="false" ht="15" hidden="false" customHeight="false" outlineLevel="0" collapsed="false">
      <c r="A1506" s="80"/>
      <c r="B1506" s="71"/>
      <c r="C1506" s="71"/>
      <c r="D1506" s="81"/>
      <c r="E1506" s="71"/>
      <c r="F1506" s="71"/>
      <c r="G1506" s="82" t="str">
        <f aca="false">IF(C1506="","",IFERROR(INDEX('Kit Lists'!$D$6:$D$605,MATCH(B1506&amp;"|"&amp;C1506,'Kit Lists'!$J$6:$J$605,0)),"Not on this contract's kit list"))</f>
        <v/>
      </c>
      <c r="H1506" s="83" t="str">
        <f aca="false">IF(AND(B1506="",C1506="",D1506=""),"",IF(B1506="","Missing contract",IF(C1506="","Missing code",IF(LEFT(G1506,3)="Not","Wrong code",IF(D1506="","Missing qty",IF(A1506="","Missing date",""))))))</f>
        <v/>
      </c>
      <c r="I1506" s="84" t="str">
        <f aca="false">IF(B1506=Dashboard!$D$3,ROW(),"")</f>
        <v/>
      </c>
    </row>
    <row r="1507" customFormat="false" ht="15" hidden="false" customHeight="false" outlineLevel="0" collapsed="false">
      <c r="A1507" s="80"/>
      <c r="B1507" s="71"/>
      <c r="C1507" s="71"/>
      <c r="D1507" s="81"/>
      <c r="E1507" s="71"/>
      <c r="F1507" s="71"/>
      <c r="G1507" s="82" t="str">
        <f aca="false">IF(C1507="","",IFERROR(INDEX('Kit Lists'!$D$6:$D$605,MATCH(B1507&amp;"|"&amp;C1507,'Kit Lists'!$J$6:$J$605,0)),"Not on this contract's kit list"))</f>
        <v/>
      </c>
      <c r="H1507" s="83" t="str">
        <f aca="false">IF(AND(B1507="",C1507="",D1507=""),"",IF(B1507="","Missing contract",IF(C1507="","Missing code",IF(LEFT(G1507,3)="Not","Wrong code",IF(D1507="","Missing qty",IF(A1507="","Missing date",""))))))</f>
        <v/>
      </c>
      <c r="I1507" s="84" t="str">
        <f aca="false">IF(B1507=Dashboard!$D$3,ROW(),"")</f>
        <v/>
      </c>
    </row>
    <row r="1508" customFormat="false" ht="15" hidden="false" customHeight="false" outlineLevel="0" collapsed="false">
      <c r="A1508" s="80"/>
      <c r="B1508" s="71"/>
      <c r="C1508" s="71"/>
      <c r="D1508" s="81"/>
      <c r="E1508" s="71"/>
      <c r="F1508" s="71"/>
      <c r="G1508" s="82" t="str">
        <f aca="false">IF(C1508="","",IFERROR(INDEX('Kit Lists'!$D$6:$D$605,MATCH(B1508&amp;"|"&amp;C1508,'Kit Lists'!$J$6:$J$605,0)),"Not on this contract's kit list"))</f>
        <v/>
      </c>
      <c r="H1508" s="83" t="str">
        <f aca="false">IF(AND(B1508="",C1508="",D1508=""),"",IF(B1508="","Missing contract",IF(C1508="","Missing code",IF(LEFT(G1508,3)="Not","Wrong code",IF(D1508="","Missing qty",IF(A1508="","Missing date",""))))))</f>
        <v/>
      </c>
      <c r="I1508" s="84" t="str">
        <f aca="false">IF(B1508=Dashboard!$D$3,ROW(),"")</f>
        <v/>
      </c>
    </row>
    <row r="1509" customFormat="false" ht="15" hidden="false" customHeight="false" outlineLevel="0" collapsed="false">
      <c r="A1509" s="80"/>
      <c r="B1509" s="71"/>
      <c r="C1509" s="71"/>
      <c r="D1509" s="81"/>
      <c r="E1509" s="71"/>
      <c r="F1509" s="71"/>
      <c r="G1509" s="82" t="str">
        <f aca="false">IF(C1509="","",IFERROR(INDEX('Kit Lists'!$D$6:$D$605,MATCH(B1509&amp;"|"&amp;C1509,'Kit Lists'!$J$6:$J$605,0)),"Not on this contract's kit list"))</f>
        <v/>
      </c>
      <c r="H1509" s="83" t="str">
        <f aca="false">IF(AND(B1509="",C1509="",D1509=""),"",IF(B1509="","Missing contract",IF(C1509="","Missing code",IF(LEFT(G1509,3)="Not","Wrong code",IF(D1509="","Missing qty",IF(A1509="","Missing date",""))))))</f>
        <v/>
      </c>
      <c r="I1509" s="84" t="str">
        <f aca="false">IF(B1509=Dashboard!$D$3,ROW(),"")</f>
        <v/>
      </c>
    </row>
    <row r="1510" customFormat="false" ht="15" hidden="false" customHeight="false" outlineLevel="0" collapsed="false">
      <c r="A1510" s="80"/>
      <c r="B1510" s="71"/>
      <c r="C1510" s="71"/>
      <c r="D1510" s="81"/>
      <c r="E1510" s="71"/>
      <c r="F1510" s="71"/>
      <c r="G1510" s="82" t="str">
        <f aca="false">IF(C1510="","",IFERROR(INDEX('Kit Lists'!$D$6:$D$605,MATCH(B1510&amp;"|"&amp;C1510,'Kit Lists'!$J$6:$J$605,0)),"Not on this contract's kit list"))</f>
        <v/>
      </c>
      <c r="H1510" s="83" t="str">
        <f aca="false">IF(AND(B1510="",C1510="",D1510=""),"",IF(B1510="","Missing contract",IF(C1510="","Missing code",IF(LEFT(G1510,3)="Not","Wrong code",IF(D1510="","Missing qty",IF(A1510="","Missing date",""))))))</f>
        <v/>
      </c>
      <c r="I1510" s="84" t="str">
        <f aca="false">IF(B1510=Dashboard!$D$3,ROW(),"")</f>
        <v/>
      </c>
    </row>
    <row r="1511" customFormat="false" ht="15" hidden="false" customHeight="false" outlineLevel="0" collapsed="false">
      <c r="A1511" s="80"/>
      <c r="B1511" s="71"/>
      <c r="C1511" s="71"/>
      <c r="D1511" s="81"/>
      <c r="E1511" s="71"/>
      <c r="F1511" s="71"/>
      <c r="G1511" s="82" t="str">
        <f aca="false">IF(C1511="","",IFERROR(INDEX('Kit Lists'!$D$6:$D$605,MATCH(B1511&amp;"|"&amp;C1511,'Kit Lists'!$J$6:$J$605,0)),"Not on this contract's kit list"))</f>
        <v/>
      </c>
      <c r="H1511" s="83" t="str">
        <f aca="false">IF(AND(B1511="",C1511="",D1511=""),"",IF(B1511="","Missing contract",IF(C1511="","Missing code",IF(LEFT(G1511,3)="Not","Wrong code",IF(D1511="","Missing qty",IF(A1511="","Missing date",""))))))</f>
        <v/>
      </c>
      <c r="I1511" s="84" t="str">
        <f aca="false">IF(B1511=Dashboard!$D$3,ROW(),"")</f>
        <v/>
      </c>
    </row>
    <row r="1512" customFormat="false" ht="15" hidden="false" customHeight="false" outlineLevel="0" collapsed="false">
      <c r="A1512" s="80"/>
      <c r="B1512" s="71"/>
      <c r="C1512" s="71"/>
      <c r="D1512" s="81"/>
      <c r="E1512" s="71"/>
      <c r="F1512" s="71"/>
      <c r="G1512" s="82" t="str">
        <f aca="false">IF(C1512="","",IFERROR(INDEX('Kit Lists'!$D$6:$D$605,MATCH(B1512&amp;"|"&amp;C1512,'Kit Lists'!$J$6:$J$605,0)),"Not on this contract's kit list"))</f>
        <v/>
      </c>
      <c r="H1512" s="83" t="str">
        <f aca="false">IF(AND(B1512="",C1512="",D1512=""),"",IF(B1512="","Missing contract",IF(C1512="","Missing code",IF(LEFT(G1512,3)="Not","Wrong code",IF(D1512="","Missing qty",IF(A1512="","Missing date",""))))))</f>
        <v/>
      </c>
      <c r="I1512" s="84" t="str">
        <f aca="false">IF(B1512=Dashboard!$D$3,ROW(),"")</f>
        <v/>
      </c>
    </row>
    <row r="1513" customFormat="false" ht="15" hidden="false" customHeight="false" outlineLevel="0" collapsed="false">
      <c r="A1513" s="80"/>
      <c r="B1513" s="71"/>
      <c r="C1513" s="71"/>
      <c r="D1513" s="81"/>
      <c r="E1513" s="71"/>
      <c r="F1513" s="71"/>
      <c r="G1513" s="82" t="str">
        <f aca="false">IF(C1513="","",IFERROR(INDEX('Kit Lists'!$D$6:$D$605,MATCH(B1513&amp;"|"&amp;C1513,'Kit Lists'!$J$6:$J$605,0)),"Not on this contract's kit list"))</f>
        <v/>
      </c>
      <c r="H1513" s="83" t="str">
        <f aca="false">IF(AND(B1513="",C1513="",D1513=""),"",IF(B1513="","Missing contract",IF(C1513="","Missing code",IF(LEFT(G1513,3)="Not","Wrong code",IF(D1513="","Missing qty",IF(A1513="","Missing date",""))))))</f>
        <v/>
      </c>
      <c r="I1513" s="84" t="str">
        <f aca="false">IF(B1513=Dashboard!$D$3,ROW(),"")</f>
        <v/>
      </c>
    </row>
    <row r="1514" customFormat="false" ht="15" hidden="false" customHeight="false" outlineLevel="0" collapsed="false">
      <c r="A1514" s="80"/>
      <c r="B1514" s="71"/>
      <c r="C1514" s="71"/>
      <c r="D1514" s="81"/>
      <c r="E1514" s="71"/>
      <c r="F1514" s="71"/>
      <c r="G1514" s="82" t="str">
        <f aca="false">IF(C1514="","",IFERROR(INDEX('Kit Lists'!$D$6:$D$605,MATCH(B1514&amp;"|"&amp;C1514,'Kit Lists'!$J$6:$J$605,0)),"Not on this contract's kit list"))</f>
        <v/>
      </c>
      <c r="H1514" s="83" t="str">
        <f aca="false">IF(AND(B1514="",C1514="",D1514=""),"",IF(B1514="","Missing contract",IF(C1514="","Missing code",IF(LEFT(G1514,3)="Not","Wrong code",IF(D1514="","Missing qty",IF(A1514="","Missing date",""))))))</f>
        <v/>
      </c>
      <c r="I1514" s="84" t="str">
        <f aca="false">IF(B1514=Dashboard!$D$3,ROW(),"")</f>
        <v/>
      </c>
    </row>
    <row r="1515" customFormat="false" ht="15" hidden="false" customHeight="false" outlineLevel="0" collapsed="false">
      <c r="A1515" s="80"/>
      <c r="B1515" s="71"/>
      <c r="C1515" s="71"/>
      <c r="D1515" s="81"/>
      <c r="E1515" s="71"/>
      <c r="F1515" s="71"/>
      <c r="G1515" s="82" t="str">
        <f aca="false">IF(C1515="","",IFERROR(INDEX('Kit Lists'!$D$6:$D$605,MATCH(B1515&amp;"|"&amp;C1515,'Kit Lists'!$J$6:$J$605,0)),"Not on this contract's kit list"))</f>
        <v/>
      </c>
      <c r="H1515" s="83" t="str">
        <f aca="false">IF(AND(B1515="",C1515="",D1515=""),"",IF(B1515="","Missing contract",IF(C1515="","Missing code",IF(LEFT(G1515,3)="Not","Wrong code",IF(D1515="","Missing qty",IF(A1515="","Missing date",""))))))</f>
        <v/>
      </c>
      <c r="I1515" s="84" t="str">
        <f aca="false">IF(B1515=Dashboard!$D$3,ROW(),"")</f>
        <v/>
      </c>
    </row>
    <row r="1516" customFormat="false" ht="15" hidden="false" customHeight="false" outlineLevel="0" collapsed="false">
      <c r="A1516" s="80"/>
      <c r="B1516" s="71"/>
      <c r="C1516" s="71"/>
      <c r="D1516" s="81"/>
      <c r="E1516" s="71"/>
      <c r="F1516" s="71"/>
      <c r="G1516" s="82" t="str">
        <f aca="false">IF(C1516="","",IFERROR(INDEX('Kit Lists'!$D$6:$D$605,MATCH(B1516&amp;"|"&amp;C1516,'Kit Lists'!$J$6:$J$605,0)),"Not on this contract's kit list"))</f>
        <v/>
      </c>
      <c r="H1516" s="83" t="str">
        <f aca="false">IF(AND(B1516="",C1516="",D1516=""),"",IF(B1516="","Missing contract",IF(C1516="","Missing code",IF(LEFT(G1516,3)="Not","Wrong code",IF(D1516="","Missing qty",IF(A1516="","Missing date",""))))))</f>
        <v/>
      </c>
      <c r="I1516" s="84" t="str">
        <f aca="false">IF(B1516=Dashboard!$D$3,ROW(),"")</f>
        <v/>
      </c>
    </row>
    <row r="1517" customFormat="false" ht="15" hidden="false" customHeight="false" outlineLevel="0" collapsed="false">
      <c r="A1517" s="80"/>
      <c r="B1517" s="71"/>
      <c r="C1517" s="71"/>
      <c r="D1517" s="81"/>
      <c r="E1517" s="71"/>
      <c r="F1517" s="71"/>
      <c r="G1517" s="82" t="str">
        <f aca="false">IF(C1517="","",IFERROR(INDEX('Kit Lists'!$D$6:$D$605,MATCH(B1517&amp;"|"&amp;C1517,'Kit Lists'!$J$6:$J$605,0)),"Not on this contract's kit list"))</f>
        <v/>
      </c>
      <c r="H1517" s="83" t="str">
        <f aca="false">IF(AND(B1517="",C1517="",D1517=""),"",IF(B1517="","Missing contract",IF(C1517="","Missing code",IF(LEFT(G1517,3)="Not","Wrong code",IF(D1517="","Missing qty",IF(A1517="","Missing date",""))))))</f>
        <v/>
      </c>
      <c r="I1517" s="84" t="str">
        <f aca="false">IF(B1517=Dashboard!$D$3,ROW(),"")</f>
        <v/>
      </c>
    </row>
    <row r="1518" customFormat="false" ht="15" hidden="false" customHeight="false" outlineLevel="0" collapsed="false">
      <c r="A1518" s="80"/>
      <c r="B1518" s="71"/>
      <c r="C1518" s="71"/>
      <c r="D1518" s="81"/>
      <c r="E1518" s="71"/>
      <c r="F1518" s="71"/>
      <c r="G1518" s="82" t="str">
        <f aca="false">IF(C1518="","",IFERROR(INDEX('Kit Lists'!$D$6:$D$605,MATCH(B1518&amp;"|"&amp;C1518,'Kit Lists'!$J$6:$J$605,0)),"Not on this contract's kit list"))</f>
        <v/>
      </c>
      <c r="H1518" s="83" t="str">
        <f aca="false">IF(AND(B1518="",C1518="",D1518=""),"",IF(B1518="","Missing contract",IF(C1518="","Missing code",IF(LEFT(G1518,3)="Not","Wrong code",IF(D1518="","Missing qty",IF(A1518="","Missing date",""))))))</f>
        <v/>
      </c>
      <c r="I1518" s="84" t="str">
        <f aca="false">IF(B1518=Dashboard!$D$3,ROW(),"")</f>
        <v/>
      </c>
    </row>
    <row r="1519" customFormat="false" ht="15" hidden="false" customHeight="false" outlineLevel="0" collapsed="false">
      <c r="A1519" s="80"/>
      <c r="B1519" s="71"/>
      <c r="C1519" s="71"/>
      <c r="D1519" s="81"/>
      <c r="E1519" s="71"/>
      <c r="F1519" s="71"/>
      <c r="G1519" s="82" t="str">
        <f aca="false">IF(C1519="","",IFERROR(INDEX('Kit Lists'!$D$6:$D$605,MATCH(B1519&amp;"|"&amp;C1519,'Kit Lists'!$J$6:$J$605,0)),"Not on this contract's kit list"))</f>
        <v/>
      </c>
      <c r="H1519" s="83" t="str">
        <f aca="false">IF(AND(B1519="",C1519="",D1519=""),"",IF(B1519="","Missing contract",IF(C1519="","Missing code",IF(LEFT(G1519,3)="Not","Wrong code",IF(D1519="","Missing qty",IF(A1519="","Missing date",""))))))</f>
        <v/>
      </c>
      <c r="I1519" s="84" t="str">
        <f aca="false">IF(B1519=Dashboard!$D$3,ROW(),"")</f>
        <v/>
      </c>
    </row>
    <row r="1520" customFormat="false" ht="15" hidden="false" customHeight="false" outlineLevel="0" collapsed="false">
      <c r="A1520" s="80"/>
      <c r="B1520" s="71"/>
      <c r="C1520" s="71"/>
      <c r="D1520" s="81"/>
      <c r="E1520" s="71"/>
      <c r="F1520" s="71"/>
      <c r="G1520" s="82" t="str">
        <f aca="false">IF(C1520="","",IFERROR(INDEX('Kit Lists'!$D$6:$D$605,MATCH(B1520&amp;"|"&amp;C1520,'Kit Lists'!$J$6:$J$605,0)),"Not on this contract's kit list"))</f>
        <v/>
      </c>
      <c r="H1520" s="83" t="str">
        <f aca="false">IF(AND(B1520="",C1520="",D1520=""),"",IF(B1520="","Missing contract",IF(C1520="","Missing code",IF(LEFT(G1520,3)="Not","Wrong code",IF(D1520="","Missing qty",IF(A1520="","Missing date",""))))))</f>
        <v/>
      </c>
      <c r="I1520" s="84" t="str">
        <f aca="false">IF(B1520=Dashboard!$D$3,ROW(),"")</f>
        <v/>
      </c>
    </row>
    <row r="1521" customFormat="false" ht="15" hidden="false" customHeight="false" outlineLevel="0" collapsed="false">
      <c r="A1521" s="80"/>
      <c r="B1521" s="71"/>
      <c r="C1521" s="71"/>
      <c r="D1521" s="81"/>
      <c r="E1521" s="71"/>
      <c r="F1521" s="71"/>
      <c r="G1521" s="82" t="str">
        <f aca="false">IF(C1521="","",IFERROR(INDEX('Kit Lists'!$D$6:$D$605,MATCH(B1521&amp;"|"&amp;C1521,'Kit Lists'!$J$6:$J$605,0)),"Not on this contract's kit list"))</f>
        <v/>
      </c>
      <c r="H1521" s="83" t="str">
        <f aca="false">IF(AND(B1521="",C1521="",D1521=""),"",IF(B1521="","Missing contract",IF(C1521="","Missing code",IF(LEFT(G1521,3)="Not","Wrong code",IF(D1521="","Missing qty",IF(A1521="","Missing date",""))))))</f>
        <v/>
      </c>
      <c r="I1521" s="84" t="str">
        <f aca="false">IF(B1521=Dashboard!$D$3,ROW(),"")</f>
        <v/>
      </c>
    </row>
    <row r="1522" customFormat="false" ht="15" hidden="false" customHeight="false" outlineLevel="0" collapsed="false">
      <c r="A1522" s="80"/>
      <c r="B1522" s="71"/>
      <c r="C1522" s="71"/>
      <c r="D1522" s="81"/>
      <c r="E1522" s="71"/>
      <c r="F1522" s="71"/>
      <c r="G1522" s="82" t="str">
        <f aca="false">IF(C1522="","",IFERROR(INDEX('Kit Lists'!$D$6:$D$605,MATCH(B1522&amp;"|"&amp;C1522,'Kit Lists'!$J$6:$J$605,0)),"Not on this contract's kit list"))</f>
        <v/>
      </c>
      <c r="H1522" s="83" t="str">
        <f aca="false">IF(AND(B1522="",C1522="",D1522=""),"",IF(B1522="","Missing contract",IF(C1522="","Missing code",IF(LEFT(G1522,3)="Not","Wrong code",IF(D1522="","Missing qty",IF(A1522="","Missing date",""))))))</f>
        <v/>
      </c>
      <c r="I1522" s="84" t="str">
        <f aca="false">IF(B1522=Dashboard!$D$3,ROW(),"")</f>
        <v/>
      </c>
    </row>
    <row r="1523" customFormat="false" ht="15" hidden="false" customHeight="false" outlineLevel="0" collapsed="false">
      <c r="A1523" s="80"/>
      <c r="B1523" s="71"/>
      <c r="C1523" s="71"/>
      <c r="D1523" s="81"/>
      <c r="E1523" s="71"/>
      <c r="F1523" s="71"/>
      <c r="G1523" s="82" t="str">
        <f aca="false">IF(C1523="","",IFERROR(INDEX('Kit Lists'!$D$6:$D$605,MATCH(B1523&amp;"|"&amp;C1523,'Kit Lists'!$J$6:$J$605,0)),"Not on this contract's kit list"))</f>
        <v/>
      </c>
      <c r="H1523" s="83" t="str">
        <f aca="false">IF(AND(B1523="",C1523="",D1523=""),"",IF(B1523="","Missing contract",IF(C1523="","Missing code",IF(LEFT(G1523,3)="Not","Wrong code",IF(D1523="","Missing qty",IF(A1523="","Missing date",""))))))</f>
        <v/>
      </c>
      <c r="I1523" s="84" t="str">
        <f aca="false">IF(B1523=Dashboard!$D$3,ROW(),"")</f>
        <v/>
      </c>
    </row>
    <row r="1524" customFormat="false" ht="15" hidden="false" customHeight="false" outlineLevel="0" collapsed="false">
      <c r="A1524" s="80"/>
      <c r="B1524" s="71"/>
      <c r="C1524" s="71"/>
      <c r="D1524" s="81"/>
      <c r="E1524" s="71"/>
      <c r="F1524" s="71"/>
      <c r="G1524" s="82" t="str">
        <f aca="false">IF(C1524="","",IFERROR(INDEX('Kit Lists'!$D$6:$D$605,MATCH(B1524&amp;"|"&amp;C1524,'Kit Lists'!$J$6:$J$605,0)),"Not on this contract's kit list"))</f>
        <v/>
      </c>
      <c r="H1524" s="83" t="str">
        <f aca="false">IF(AND(B1524="",C1524="",D1524=""),"",IF(B1524="","Missing contract",IF(C1524="","Missing code",IF(LEFT(G1524,3)="Not","Wrong code",IF(D1524="","Missing qty",IF(A1524="","Missing date",""))))))</f>
        <v/>
      </c>
      <c r="I1524" s="84" t="str">
        <f aca="false">IF(B1524=Dashboard!$D$3,ROW(),"")</f>
        <v/>
      </c>
    </row>
    <row r="1525" customFormat="false" ht="15" hidden="false" customHeight="false" outlineLevel="0" collapsed="false">
      <c r="A1525" s="80"/>
      <c r="B1525" s="71"/>
      <c r="C1525" s="71"/>
      <c r="D1525" s="81"/>
      <c r="E1525" s="71"/>
      <c r="F1525" s="71"/>
      <c r="G1525" s="82" t="str">
        <f aca="false">IF(C1525="","",IFERROR(INDEX('Kit Lists'!$D$6:$D$605,MATCH(B1525&amp;"|"&amp;C1525,'Kit Lists'!$J$6:$J$605,0)),"Not on this contract's kit list"))</f>
        <v/>
      </c>
      <c r="H1525" s="83" t="str">
        <f aca="false">IF(AND(B1525="",C1525="",D1525=""),"",IF(B1525="","Missing contract",IF(C1525="","Missing code",IF(LEFT(G1525,3)="Not","Wrong code",IF(D1525="","Missing qty",IF(A1525="","Missing date",""))))))</f>
        <v/>
      </c>
      <c r="I1525" s="84" t="str">
        <f aca="false">IF(B1525=Dashboard!$D$3,ROW(),"")</f>
        <v/>
      </c>
    </row>
    <row r="1526" customFormat="false" ht="15" hidden="false" customHeight="false" outlineLevel="0" collapsed="false">
      <c r="A1526" s="80"/>
      <c r="B1526" s="71"/>
      <c r="C1526" s="71"/>
      <c r="D1526" s="81"/>
      <c r="E1526" s="71"/>
      <c r="F1526" s="71"/>
      <c r="G1526" s="82" t="str">
        <f aca="false">IF(C1526="","",IFERROR(INDEX('Kit Lists'!$D$6:$D$605,MATCH(B1526&amp;"|"&amp;C1526,'Kit Lists'!$J$6:$J$605,0)),"Not on this contract's kit list"))</f>
        <v/>
      </c>
      <c r="H1526" s="83" t="str">
        <f aca="false">IF(AND(B1526="",C1526="",D1526=""),"",IF(B1526="","Missing contract",IF(C1526="","Missing code",IF(LEFT(G1526,3)="Not","Wrong code",IF(D1526="","Missing qty",IF(A1526="","Missing date",""))))))</f>
        <v/>
      </c>
      <c r="I1526" s="84" t="str">
        <f aca="false">IF(B1526=Dashboard!$D$3,ROW(),"")</f>
        <v/>
      </c>
    </row>
    <row r="1527" customFormat="false" ht="15" hidden="false" customHeight="false" outlineLevel="0" collapsed="false">
      <c r="A1527" s="80"/>
      <c r="B1527" s="71"/>
      <c r="C1527" s="71"/>
      <c r="D1527" s="81"/>
      <c r="E1527" s="71"/>
      <c r="F1527" s="71"/>
      <c r="G1527" s="82" t="str">
        <f aca="false">IF(C1527="","",IFERROR(INDEX('Kit Lists'!$D$6:$D$605,MATCH(B1527&amp;"|"&amp;C1527,'Kit Lists'!$J$6:$J$605,0)),"Not on this contract's kit list"))</f>
        <v/>
      </c>
      <c r="H1527" s="83" t="str">
        <f aca="false">IF(AND(B1527="",C1527="",D1527=""),"",IF(B1527="","Missing contract",IF(C1527="","Missing code",IF(LEFT(G1527,3)="Not","Wrong code",IF(D1527="","Missing qty",IF(A1527="","Missing date",""))))))</f>
        <v/>
      </c>
      <c r="I1527" s="84" t="str">
        <f aca="false">IF(B1527=Dashboard!$D$3,ROW(),"")</f>
        <v/>
      </c>
    </row>
    <row r="1528" customFormat="false" ht="15" hidden="false" customHeight="false" outlineLevel="0" collapsed="false">
      <c r="A1528" s="80"/>
      <c r="B1528" s="71"/>
      <c r="C1528" s="71"/>
      <c r="D1528" s="81"/>
      <c r="E1528" s="71"/>
      <c r="F1528" s="71"/>
      <c r="G1528" s="82" t="str">
        <f aca="false">IF(C1528="","",IFERROR(INDEX('Kit Lists'!$D$6:$D$605,MATCH(B1528&amp;"|"&amp;C1528,'Kit Lists'!$J$6:$J$605,0)),"Not on this contract's kit list"))</f>
        <v/>
      </c>
      <c r="H1528" s="83" t="str">
        <f aca="false">IF(AND(B1528="",C1528="",D1528=""),"",IF(B1528="","Missing contract",IF(C1528="","Missing code",IF(LEFT(G1528,3)="Not","Wrong code",IF(D1528="","Missing qty",IF(A1528="","Missing date",""))))))</f>
        <v/>
      </c>
      <c r="I1528" s="84" t="str">
        <f aca="false">IF(B1528=Dashboard!$D$3,ROW(),"")</f>
        <v/>
      </c>
    </row>
    <row r="1529" customFormat="false" ht="15" hidden="false" customHeight="false" outlineLevel="0" collapsed="false">
      <c r="A1529" s="80"/>
      <c r="B1529" s="71"/>
      <c r="C1529" s="71"/>
      <c r="D1529" s="81"/>
      <c r="E1529" s="71"/>
      <c r="F1529" s="71"/>
      <c r="G1529" s="82" t="str">
        <f aca="false">IF(C1529="","",IFERROR(INDEX('Kit Lists'!$D$6:$D$605,MATCH(B1529&amp;"|"&amp;C1529,'Kit Lists'!$J$6:$J$605,0)),"Not on this contract's kit list"))</f>
        <v/>
      </c>
      <c r="H1529" s="83" t="str">
        <f aca="false">IF(AND(B1529="",C1529="",D1529=""),"",IF(B1529="","Missing contract",IF(C1529="","Missing code",IF(LEFT(G1529,3)="Not","Wrong code",IF(D1529="","Missing qty",IF(A1529="","Missing date",""))))))</f>
        <v/>
      </c>
      <c r="I1529" s="84" t="str">
        <f aca="false">IF(B1529=Dashboard!$D$3,ROW(),"")</f>
        <v/>
      </c>
    </row>
    <row r="1530" customFormat="false" ht="15" hidden="false" customHeight="false" outlineLevel="0" collapsed="false">
      <c r="A1530" s="80"/>
      <c r="B1530" s="71"/>
      <c r="C1530" s="71"/>
      <c r="D1530" s="81"/>
      <c r="E1530" s="71"/>
      <c r="F1530" s="71"/>
      <c r="G1530" s="82" t="str">
        <f aca="false">IF(C1530="","",IFERROR(INDEX('Kit Lists'!$D$6:$D$605,MATCH(B1530&amp;"|"&amp;C1530,'Kit Lists'!$J$6:$J$605,0)),"Not on this contract's kit list"))</f>
        <v/>
      </c>
      <c r="H1530" s="83" t="str">
        <f aca="false">IF(AND(B1530="",C1530="",D1530=""),"",IF(B1530="","Missing contract",IF(C1530="","Missing code",IF(LEFT(G1530,3)="Not","Wrong code",IF(D1530="","Missing qty",IF(A1530="","Missing date",""))))))</f>
        <v/>
      </c>
      <c r="I1530" s="84" t="str">
        <f aca="false">IF(B1530=Dashboard!$D$3,ROW(),"")</f>
        <v/>
      </c>
    </row>
    <row r="1531" customFormat="false" ht="15" hidden="false" customHeight="false" outlineLevel="0" collapsed="false">
      <c r="A1531" s="80"/>
      <c r="B1531" s="71"/>
      <c r="C1531" s="71"/>
      <c r="D1531" s="81"/>
      <c r="E1531" s="71"/>
      <c r="F1531" s="71"/>
      <c r="G1531" s="82" t="str">
        <f aca="false">IF(C1531="","",IFERROR(INDEX('Kit Lists'!$D$6:$D$605,MATCH(B1531&amp;"|"&amp;C1531,'Kit Lists'!$J$6:$J$605,0)),"Not on this contract's kit list"))</f>
        <v/>
      </c>
      <c r="H1531" s="83" t="str">
        <f aca="false">IF(AND(B1531="",C1531="",D1531=""),"",IF(B1531="","Missing contract",IF(C1531="","Missing code",IF(LEFT(G1531,3)="Not","Wrong code",IF(D1531="","Missing qty",IF(A1531="","Missing date",""))))))</f>
        <v/>
      </c>
      <c r="I1531" s="84" t="str">
        <f aca="false">IF(B1531=Dashboard!$D$3,ROW(),"")</f>
        <v/>
      </c>
    </row>
    <row r="1532" customFormat="false" ht="15" hidden="false" customHeight="false" outlineLevel="0" collapsed="false">
      <c r="A1532" s="80"/>
      <c r="B1532" s="71"/>
      <c r="C1532" s="71"/>
      <c r="D1532" s="81"/>
      <c r="E1532" s="71"/>
      <c r="F1532" s="71"/>
      <c r="G1532" s="82" t="str">
        <f aca="false">IF(C1532="","",IFERROR(INDEX('Kit Lists'!$D$6:$D$605,MATCH(B1532&amp;"|"&amp;C1532,'Kit Lists'!$J$6:$J$605,0)),"Not on this contract's kit list"))</f>
        <v/>
      </c>
      <c r="H1532" s="83" t="str">
        <f aca="false">IF(AND(B1532="",C1532="",D1532=""),"",IF(B1532="","Missing contract",IF(C1532="","Missing code",IF(LEFT(G1532,3)="Not","Wrong code",IF(D1532="","Missing qty",IF(A1532="","Missing date",""))))))</f>
        <v/>
      </c>
      <c r="I1532" s="84" t="str">
        <f aca="false">IF(B1532=Dashboard!$D$3,ROW(),"")</f>
        <v/>
      </c>
    </row>
    <row r="1533" customFormat="false" ht="15" hidden="false" customHeight="false" outlineLevel="0" collapsed="false">
      <c r="A1533" s="80"/>
      <c r="B1533" s="71"/>
      <c r="C1533" s="71"/>
      <c r="D1533" s="81"/>
      <c r="E1533" s="71"/>
      <c r="F1533" s="71"/>
      <c r="G1533" s="82" t="str">
        <f aca="false">IF(C1533="","",IFERROR(INDEX('Kit Lists'!$D$6:$D$605,MATCH(B1533&amp;"|"&amp;C1533,'Kit Lists'!$J$6:$J$605,0)),"Not on this contract's kit list"))</f>
        <v/>
      </c>
      <c r="H1533" s="83" t="str">
        <f aca="false">IF(AND(B1533="",C1533="",D1533=""),"",IF(B1533="","Missing contract",IF(C1533="","Missing code",IF(LEFT(G1533,3)="Not","Wrong code",IF(D1533="","Missing qty",IF(A1533="","Missing date",""))))))</f>
        <v/>
      </c>
      <c r="I1533" s="84" t="str">
        <f aca="false">IF(B1533=Dashboard!$D$3,ROW(),"")</f>
        <v/>
      </c>
    </row>
    <row r="1534" customFormat="false" ht="15" hidden="false" customHeight="false" outlineLevel="0" collapsed="false">
      <c r="A1534" s="80"/>
      <c r="B1534" s="71"/>
      <c r="C1534" s="71"/>
      <c r="D1534" s="81"/>
      <c r="E1534" s="71"/>
      <c r="F1534" s="71"/>
      <c r="G1534" s="82" t="str">
        <f aca="false">IF(C1534="","",IFERROR(INDEX('Kit Lists'!$D$6:$D$605,MATCH(B1534&amp;"|"&amp;C1534,'Kit Lists'!$J$6:$J$605,0)),"Not on this contract's kit list"))</f>
        <v/>
      </c>
      <c r="H1534" s="83" t="str">
        <f aca="false">IF(AND(B1534="",C1534="",D1534=""),"",IF(B1534="","Missing contract",IF(C1534="","Missing code",IF(LEFT(G1534,3)="Not","Wrong code",IF(D1534="","Missing qty",IF(A1534="","Missing date",""))))))</f>
        <v/>
      </c>
      <c r="I1534" s="84" t="str">
        <f aca="false">IF(B1534=Dashboard!$D$3,ROW(),"")</f>
        <v/>
      </c>
    </row>
    <row r="1535" customFormat="false" ht="15" hidden="false" customHeight="false" outlineLevel="0" collapsed="false">
      <c r="A1535" s="80"/>
      <c r="B1535" s="71"/>
      <c r="C1535" s="71"/>
      <c r="D1535" s="81"/>
      <c r="E1535" s="71"/>
      <c r="F1535" s="71"/>
      <c r="G1535" s="82" t="str">
        <f aca="false">IF(C1535="","",IFERROR(INDEX('Kit Lists'!$D$6:$D$605,MATCH(B1535&amp;"|"&amp;C1535,'Kit Lists'!$J$6:$J$605,0)),"Not on this contract's kit list"))</f>
        <v/>
      </c>
      <c r="H1535" s="83" t="str">
        <f aca="false">IF(AND(B1535="",C1535="",D1535=""),"",IF(B1535="","Missing contract",IF(C1535="","Missing code",IF(LEFT(G1535,3)="Not","Wrong code",IF(D1535="","Missing qty",IF(A1535="","Missing date",""))))))</f>
        <v/>
      </c>
      <c r="I1535" s="84" t="str">
        <f aca="false">IF(B1535=Dashboard!$D$3,ROW(),"")</f>
        <v/>
      </c>
    </row>
    <row r="1536" customFormat="false" ht="15" hidden="false" customHeight="false" outlineLevel="0" collapsed="false">
      <c r="A1536" s="80"/>
      <c r="B1536" s="71"/>
      <c r="C1536" s="71"/>
      <c r="D1536" s="81"/>
      <c r="E1536" s="71"/>
      <c r="F1536" s="71"/>
      <c r="G1536" s="82" t="str">
        <f aca="false">IF(C1536="","",IFERROR(INDEX('Kit Lists'!$D$6:$D$605,MATCH(B1536&amp;"|"&amp;C1536,'Kit Lists'!$J$6:$J$605,0)),"Not on this contract's kit list"))</f>
        <v/>
      </c>
      <c r="H1536" s="83" t="str">
        <f aca="false">IF(AND(B1536="",C1536="",D1536=""),"",IF(B1536="","Missing contract",IF(C1536="","Missing code",IF(LEFT(G1536,3)="Not","Wrong code",IF(D1536="","Missing qty",IF(A1536="","Missing date",""))))))</f>
        <v/>
      </c>
      <c r="I1536" s="84" t="str">
        <f aca="false">IF(B1536=Dashboard!$D$3,ROW(),"")</f>
        <v/>
      </c>
    </row>
    <row r="1537" customFormat="false" ht="15" hidden="false" customHeight="false" outlineLevel="0" collapsed="false">
      <c r="A1537" s="80"/>
      <c r="B1537" s="71"/>
      <c r="C1537" s="71"/>
      <c r="D1537" s="81"/>
      <c r="E1537" s="71"/>
      <c r="F1537" s="71"/>
      <c r="G1537" s="82" t="str">
        <f aca="false">IF(C1537="","",IFERROR(INDEX('Kit Lists'!$D$6:$D$605,MATCH(B1537&amp;"|"&amp;C1537,'Kit Lists'!$J$6:$J$605,0)),"Not on this contract's kit list"))</f>
        <v/>
      </c>
      <c r="H1537" s="83" t="str">
        <f aca="false">IF(AND(B1537="",C1537="",D1537=""),"",IF(B1537="","Missing contract",IF(C1537="","Missing code",IF(LEFT(G1537,3)="Not","Wrong code",IF(D1537="","Missing qty",IF(A1537="","Missing date",""))))))</f>
        <v/>
      </c>
      <c r="I1537" s="84" t="str">
        <f aca="false">IF(B1537=Dashboard!$D$3,ROW(),"")</f>
        <v/>
      </c>
    </row>
    <row r="1538" customFormat="false" ht="15" hidden="false" customHeight="false" outlineLevel="0" collapsed="false">
      <c r="A1538" s="80"/>
      <c r="B1538" s="71"/>
      <c r="C1538" s="71"/>
      <c r="D1538" s="81"/>
      <c r="E1538" s="71"/>
      <c r="F1538" s="71"/>
      <c r="G1538" s="82" t="str">
        <f aca="false">IF(C1538="","",IFERROR(INDEX('Kit Lists'!$D$6:$D$605,MATCH(B1538&amp;"|"&amp;C1538,'Kit Lists'!$J$6:$J$605,0)),"Not on this contract's kit list"))</f>
        <v/>
      </c>
      <c r="H1538" s="83" t="str">
        <f aca="false">IF(AND(B1538="",C1538="",D1538=""),"",IF(B1538="","Missing contract",IF(C1538="","Missing code",IF(LEFT(G1538,3)="Not","Wrong code",IF(D1538="","Missing qty",IF(A1538="","Missing date",""))))))</f>
        <v/>
      </c>
      <c r="I1538" s="84" t="str">
        <f aca="false">IF(B1538=Dashboard!$D$3,ROW(),"")</f>
        <v/>
      </c>
    </row>
    <row r="1539" customFormat="false" ht="15" hidden="false" customHeight="false" outlineLevel="0" collapsed="false">
      <c r="A1539" s="80"/>
      <c r="B1539" s="71"/>
      <c r="C1539" s="71"/>
      <c r="D1539" s="81"/>
      <c r="E1539" s="71"/>
      <c r="F1539" s="71"/>
      <c r="G1539" s="82" t="str">
        <f aca="false">IF(C1539="","",IFERROR(INDEX('Kit Lists'!$D$6:$D$605,MATCH(B1539&amp;"|"&amp;C1539,'Kit Lists'!$J$6:$J$605,0)),"Not on this contract's kit list"))</f>
        <v/>
      </c>
      <c r="H1539" s="83" t="str">
        <f aca="false">IF(AND(B1539="",C1539="",D1539=""),"",IF(B1539="","Missing contract",IF(C1539="","Missing code",IF(LEFT(G1539,3)="Not","Wrong code",IF(D1539="","Missing qty",IF(A1539="","Missing date",""))))))</f>
        <v/>
      </c>
      <c r="I1539" s="84" t="str">
        <f aca="false">IF(B1539=Dashboard!$D$3,ROW(),"")</f>
        <v/>
      </c>
    </row>
    <row r="1540" customFormat="false" ht="15" hidden="false" customHeight="false" outlineLevel="0" collapsed="false">
      <c r="A1540" s="80"/>
      <c r="B1540" s="71"/>
      <c r="C1540" s="71"/>
      <c r="D1540" s="81"/>
      <c r="E1540" s="71"/>
      <c r="F1540" s="71"/>
      <c r="G1540" s="82" t="str">
        <f aca="false">IF(C1540="","",IFERROR(INDEX('Kit Lists'!$D$6:$D$605,MATCH(B1540&amp;"|"&amp;C1540,'Kit Lists'!$J$6:$J$605,0)),"Not on this contract's kit list"))</f>
        <v/>
      </c>
      <c r="H1540" s="83" t="str">
        <f aca="false">IF(AND(B1540="",C1540="",D1540=""),"",IF(B1540="","Missing contract",IF(C1540="","Missing code",IF(LEFT(G1540,3)="Not","Wrong code",IF(D1540="","Missing qty",IF(A1540="","Missing date",""))))))</f>
        <v/>
      </c>
      <c r="I1540" s="84" t="str">
        <f aca="false">IF(B1540=Dashboard!$D$3,ROW(),"")</f>
        <v/>
      </c>
    </row>
    <row r="1541" customFormat="false" ht="15" hidden="false" customHeight="false" outlineLevel="0" collapsed="false">
      <c r="A1541" s="80"/>
      <c r="B1541" s="71"/>
      <c r="C1541" s="71"/>
      <c r="D1541" s="81"/>
      <c r="E1541" s="71"/>
      <c r="F1541" s="71"/>
      <c r="G1541" s="82" t="str">
        <f aca="false">IF(C1541="","",IFERROR(INDEX('Kit Lists'!$D$6:$D$605,MATCH(B1541&amp;"|"&amp;C1541,'Kit Lists'!$J$6:$J$605,0)),"Not on this contract's kit list"))</f>
        <v/>
      </c>
      <c r="H1541" s="83" t="str">
        <f aca="false">IF(AND(B1541="",C1541="",D1541=""),"",IF(B1541="","Missing contract",IF(C1541="","Missing code",IF(LEFT(G1541,3)="Not","Wrong code",IF(D1541="","Missing qty",IF(A1541="","Missing date",""))))))</f>
        <v/>
      </c>
      <c r="I1541" s="84" t="str">
        <f aca="false">IF(B1541=Dashboard!$D$3,ROW(),"")</f>
        <v/>
      </c>
    </row>
    <row r="1542" customFormat="false" ht="15" hidden="false" customHeight="false" outlineLevel="0" collapsed="false">
      <c r="A1542" s="80"/>
      <c r="B1542" s="71"/>
      <c r="C1542" s="71"/>
      <c r="D1542" s="81"/>
      <c r="E1542" s="71"/>
      <c r="F1542" s="71"/>
      <c r="G1542" s="82" t="str">
        <f aca="false">IF(C1542="","",IFERROR(INDEX('Kit Lists'!$D$6:$D$605,MATCH(B1542&amp;"|"&amp;C1542,'Kit Lists'!$J$6:$J$605,0)),"Not on this contract's kit list"))</f>
        <v/>
      </c>
      <c r="H1542" s="83" t="str">
        <f aca="false">IF(AND(B1542="",C1542="",D1542=""),"",IF(B1542="","Missing contract",IF(C1542="","Missing code",IF(LEFT(G1542,3)="Not","Wrong code",IF(D1542="","Missing qty",IF(A1542="","Missing date",""))))))</f>
        <v/>
      </c>
      <c r="I1542" s="84" t="str">
        <f aca="false">IF(B1542=Dashboard!$D$3,ROW(),"")</f>
        <v/>
      </c>
    </row>
    <row r="1543" customFormat="false" ht="15" hidden="false" customHeight="false" outlineLevel="0" collapsed="false">
      <c r="A1543" s="80"/>
      <c r="B1543" s="71"/>
      <c r="C1543" s="71"/>
      <c r="D1543" s="81"/>
      <c r="E1543" s="71"/>
      <c r="F1543" s="71"/>
      <c r="G1543" s="82" t="str">
        <f aca="false">IF(C1543="","",IFERROR(INDEX('Kit Lists'!$D$6:$D$605,MATCH(B1543&amp;"|"&amp;C1543,'Kit Lists'!$J$6:$J$605,0)),"Not on this contract's kit list"))</f>
        <v/>
      </c>
      <c r="H1543" s="83" t="str">
        <f aca="false">IF(AND(B1543="",C1543="",D1543=""),"",IF(B1543="","Missing contract",IF(C1543="","Missing code",IF(LEFT(G1543,3)="Not","Wrong code",IF(D1543="","Missing qty",IF(A1543="","Missing date",""))))))</f>
        <v/>
      </c>
      <c r="I1543" s="84" t="str">
        <f aca="false">IF(B1543=Dashboard!$D$3,ROW(),"")</f>
        <v/>
      </c>
    </row>
    <row r="1544" customFormat="false" ht="15" hidden="false" customHeight="false" outlineLevel="0" collapsed="false">
      <c r="A1544" s="80"/>
      <c r="B1544" s="71"/>
      <c r="C1544" s="71"/>
      <c r="D1544" s="81"/>
      <c r="E1544" s="71"/>
      <c r="F1544" s="71"/>
      <c r="G1544" s="82" t="str">
        <f aca="false">IF(C1544="","",IFERROR(INDEX('Kit Lists'!$D$6:$D$605,MATCH(B1544&amp;"|"&amp;C1544,'Kit Lists'!$J$6:$J$605,0)),"Not on this contract's kit list"))</f>
        <v/>
      </c>
      <c r="H1544" s="83" t="str">
        <f aca="false">IF(AND(B1544="",C1544="",D1544=""),"",IF(B1544="","Missing contract",IF(C1544="","Missing code",IF(LEFT(G1544,3)="Not","Wrong code",IF(D1544="","Missing qty",IF(A1544="","Missing date",""))))))</f>
        <v/>
      </c>
      <c r="I1544" s="84" t="str">
        <f aca="false">IF(B1544=Dashboard!$D$3,ROW(),"")</f>
        <v/>
      </c>
    </row>
    <row r="1545" customFormat="false" ht="15" hidden="false" customHeight="false" outlineLevel="0" collapsed="false">
      <c r="A1545" s="80"/>
      <c r="B1545" s="71"/>
      <c r="C1545" s="71"/>
      <c r="D1545" s="81"/>
      <c r="E1545" s="71"/>
      <c r="F1545" s="71"/>
      <c r="G1545" s="82" t="str">
        <f aca="false">IF(C1545="","",IFERROR(INDEX('Kit Lists'!$D$6:$D$605,MATCH(B1545&amp;"|"&amp;C1545,'Kit Lists'!$J$6:$J$605,0)),"Not on this contract's kit list"))</f>
        <v/>
      </c>
      <c r="H1545" s="83" t="str">
        <f aca="false">IF(AND(B1545="",C1545="",D1545=""),"",IF(B1545="","Missing contract",IF(C1545="","Missing code",IF(LEFT(G1545,3)="Not","Wrong code",IF(D1545="","Missing qty",IF(A1545="","Missing date",""))))))</f>
        <v/>
      </c>
      <c r="I1545" s="84" t="str">
        <f aca="false">IF(B1545=Dashboard!$D$3,ROW(),"")</f>
        <v/>
      </c>
    </row>
    <row r="1546" customFormat="false" ht="15" hidden="false" customHeight="false" outlineLevel="0" collapsed="false">
      <c r="A1546" s="80"/>
      <c r="B1546" s="71"/>
      <c r="C1546" s="71"/>
      <c r="D1546" s="81"/>
      <c r="E1546" s="71"/>
      <c r="F1546" s="71"/>
      <c r="G1546" s="82" t="str">
        <f aca="false">IF(C1546="","",IFERROR(INDEX('Kit Lists'!$D$6:$D$605,MATCH(B1546&amp;"|"&amp;C1546,'Kit Lists'!$J$6:$J$605,0)),"Not on this contract's kit list"))</f>
        <v/>
      </c>
      <c r="H1546" s="83" t="str">
        <f aca="false">IF(AND(B1546="",C1546="",D1546=""),"",IF(B1546="","Missing contract",IF(C1546="","Missing code",IF(LEFT(G1546,3)="Not","Wrong code",IF(D1546="","Missing qty",IF(A1546="","Missing date",""))))))</f>
        <v/>
      </c>
      <c r="I1546" s="84" t="str">
        <f aca="false">IF(B1546=Dashboard!$D$3,ROW(),"")</f>
        <v/>
      </c>
    </row>
    <row r="1547" customFormat="false" ht="15" hidden="false" customHeight="false" outlineLevel="0" collapsed="false">
      <c r="A1547" s="80"/>
      <c r="B1547" s="71"/>
      <c r="C1547" s="71"/>
      <c r="D1547" s="81"/>
      <c r="E1547" s="71"/>
      <c r="F1547" s="71"/>
      <c r="G1547" s="82" t="str">
        <f aca="false">IF(C1547="","",IFERROR(INDEX('Kit Lists'!$D$6:$D$605,MATCH(B1547&amp;"|"&amp;C1547,'Kit Lists'!$J$6:$J$605,0)),"Not on this contract's kit list"))</f>
        <v/>
      </c>
      <c r="H1547" s="83" t="str">
        <f aca="false">IF(AND(B1547="",C1547="",D1547=""),"",IF(B1547="","Missing contract",IF(C1547="","Missing code",IF(LEFT(G1547,3)="Not","Wrong code",IF(D1547="","Missing qty",IF(A1547="","Missing date",""))))))</f>
        <v/>
      </c>
      <c r="I1547" s="84" t="str">
        <f aca="false">IF(B1547=Dashboard!$D$3,ROW(),"")</f>
        <v/>
      </c>
    </row>
    <row r="1548" customFormat="false" ht="15" hidden="false" customHeight="false" outlineLevel="0" collapsed="false">
      <c r="A1548" s="80"/>
      <c r="B1548" s="71"/>
      <c r="C1548" s="71"/>
      <c r="D1548" s="81"/>
      <c r="E1548" s="71"/>
      <c r="F1548" s="71"/>
      <c r="G1548" s="82" t="str">
        <f aca="false">IF(C1548="","",IFERROR(INDEX('Kit Lists'!$D$6:$D$605,MATCH(B1548&amp;"|"&amp;C1548,'Kit Lists'!$J$6:$J$605,0)),"Not on this contract's kit list"))</f>
        <v/>
      </c>
      <c r="H1548" s="83" t="str">
        <f aca="false">IF(AND(B1548="",C1548="",D1548=""),"",IF(B1548="","Missing contract",IF(C1548="","Missing code",IF(LEFT(G1548,3)="Not","Wrong code",IF(D1548="","Missing qty",IF(A1548="","Missing date",""))))))</f>
        <v/>
      </c>
      <c r="I1548" s="84" t="str">
        <f aca="false">IF(B1548=Dashboard!$D$3,ROW(),"")</f>
        <v/>
      </c>
    </row>
    <row r="1549" customFormat="false" ht="15" hidden="false" customHeight="false" outlineLevel="0" collapsed="false">
      <c r="A1549" s="80"/>
      <c r="B1549" s="71"/>
      <c r="C1549" s="71"/>
      <c r="D1549" s="81"/>
      <c r="E1549" s="71"/>
      <c r="F1549" s="71"/>
      <c r="G1549" s="82" t="str">
        <f aca="false">IF(C1549="","",IFERROR(INDEX('Kit Lists'!$D$6:$D$605,MATCH(B1549&amp;"|"&amp;C1549,'Kit Lists'!$J$6:$J$605,0)),"Not on this contract's kit list"))</f>
        <v/>
      </c>
      <c r="H1549" s="83" t="str">
        <f aca="false">IF(AND(B1549="",C1549="",D1549=""),"",IF(B1549="","Missing contract",IF(C1549="","Missing code",IF(LEFT(G1549,3)="Not","Wrong code",IF(D1549="","Missing qty",IF(A1549="","Missing date",""))))))</f>
        <v/>
      </c>
      <c r="I1549" s="84" t="str">
        <f aca="false">IF(B1549=Dashboard!$D$3,ROW(),"")</f>
        <v/>
      </c>
    </row>
    <row r="1550" customFormat="false" ht="15" hidden="false" customHeight="false" outlineLevel="0" collapsed="false">
      <c r="A1550" s="80"/>
      <c r="B1550" s="71"/>
      <c r="C1550" s="71"/>
      <c r="D1550" s="81"/>
      <c r="E1550" s="71"/>
      <c r="F1550" s="71"/>
      <c r="G1550" s="82" t="str">
        <f aca="false">IF(C1550="","",IFERROR(INDEX('Kit Lists'!$D$6:$D$605,MATCH(B1550&amp;"|"&amp;C1550,'Kit Lists'!$J$6:$J$605,0)),"Not on this contract's kit list"))</f>
        <v/>
      </c>
      <c r="H1550" s="83" t="str">
        <f aca="false">IF(AND(B1550="",C1550="",D1550=""),"",IF(B1550="","Missing contract",IF(C1550="","Missing code",IF(LEFT(G1550,3)="Not","Wrong code",IF(D1550="","Missing qty",IF(A1550="","Missing date",""))))))</f>
        <v/>
      </c>
      <c r="I1550" s="84" t="str">
        <f aca="false">IF(B1550=Dashboard!$D$3,ROW(),"")</f>
        <v/>
      </c>
    </row>
    <row r="1551" customFormat="false" ht="15" hidden="false" customHeight="false" outlineLevel="0" collapsed="false">
      <c r="A1551" s="80"/>
      <c r="B1551" s="71"/>
      <c r="C1551" s="71"/>
      <c r="D1551" s="81"/>
      <c r="E1551" s="71"/>
      <c r="F1551" s="71"/>
      <c r="G1551" s="82" t="str">
        <f aca="false">IF(C1551="","",IFERROR(INDEX('Kit Lists'!$D$6:$D$605,MATCH(B1551&amp;"|"&amp;C1551,'Kit Lists'!$J$6:$J$605,0)),"Not on this contract's kit list"))</f>
        <v/>
      </c>
      <c r="H1551" s="83" t="str">
        <f aca="false">IF(AND(B1551="",C1551="",D1551=""),"",IF(B1551="","Missing contract",IF(C1551="","Missing code",IF(LEFT(G1551,3)="Not","Wrong code",IF(D1551="","Missing qty",IF(A1551="","Missing date",""))))))</f>
        <v/>
      </c>
      <c r="I1551" s="84" t="str">
        <f aca="false">IF(B1551=Dashboard!$D$3,ROW(),"")</f>
        <v/>
      </c>
    </row>
    <row r="1552" customFormat="false" ht="15" hidden="false" customHeight="false" outlineLevel="0" collapsed="false">
      <c r="A1552" s="80"/>
      <c r="B1552" s="71"/>
      <c r="C1552" s="71"/>
      <c r="D1552" s="81"/>
      <c r="E1552" s="71"/>
      <c r="F1552" s="71"/>
      <c r="G1552" s="82" t="str">
        <f aca="false">IF(C1552="","",IFERROR(INDEX('Kit Lists'!$D$6:$D$605,MATCH(B1552&amp;"|"&amp;C1552,'Kit Lists'!$J$6:$J$605,0)),"Not on this contract's kit list"))</f>
        <v/>
      </c>
      <c r="H1552" s="83" t="str">
        <f aca="false">IF(AND(B1552="",C1552="",D1552=""),"",IF(B1552="","Missing contract",IF(C1552="","Missing code",IF(LEFT(G1552,3)="Not","Wrong code",IF(D1552="","Missing qty",IF(A1552="","Missing date",""))))))</f>
        <v/>
      </c>
      <c r="I1552" s="84" t="str">
        <f aca="false">IF(B1552=Dashboard!$D$3,ROW(),"")</f>
        <v/>
      </c>
    </row>
    <row r="1553" customFormat="false" ht="15" hidden="false" customHeight="false" outlineLevel="0" collapsed="false">
      <c r="A1553" s="80"/>
      <c r="B1553" s="71"/>
      <c r="C1553" s="71"/>
      <c r="D1553" s="81"/>
      <c r="E1553" s="71"/>
      <c r="F1553" s="71"/>
      <c r="G1553" s="82" t="str">
        <f aca="false">IF(C1553="","",IFERROR(INDEX('Kit Lists'!$D$6:$D$605,MATCH(B1553&amp;"|"&amp;C1553,'Kit Lists'!$J$6:$J$605,0)),"Not on this contract's kit list"))</f>
        <v/>
      </c>
      <c r="H1553" s="83" t="str">
        <f aca="false">IF(AND(B1553="",C1553="",D1553=""),"",IF(B1553="","Missing contract",IF(C1553="","Missing code",IF(LEFT(G1553,3)="Not","Wrong code",IF(D1553="","Missing qty",IF(A1553="","Missing date",""))))))</f>
        <v/>
      </c>
      <c r="I1553" s="84" t="str">
        <f aca="false">IF(B1553=Dashboard!$D$3,ROW(),"")</f>
        <v/>
      </c>
    </row>
    <row r="1554" customFormat="false" ht="15" hidden="false" customHeight="false" outlineLevel="0" collapsed="false">
      <c r="A1554" s="80"/>
      <c r="B1554" s="71"/>
      <c r="C1554" s="71"/>
      <c r="D1554" s="81"/>
      <c r="E1554" s="71"/>
      <c r="F1554" s="71"/>
      <c r="G1554" s="82" t="str">
        <f aca="false">IF(C1554="","",IFERROR(INDEX('Kit Lists'!$D$6:$D$605,MATCH(B1554&amp;"|"&amp;C1554,'Kit Lists'!$J$6:$J$605,0)),"Not on this contract's kit list"))</f>
        <v/>
      </c>
      <c r="H1554" s="83" t="str">
        <f aca="false">IF(AND(B1554="",C1554="",D1554=""),"",IF(B1554="","Missing contract",IF(C1554="","Missing code",IF(LEFT(G1554,3)="Not","Wrong code",IF(D1554="","Missing qty",IF(A1554="","Missing date",""))))))</f>
        <v/>
      </c>
      <c r="I1554" s="84" t="str">
        <f aca="false">IF(B1554=Dashboard!$D$3,ROW(),"")</f>
        <v/>
      </c>
    </row>
    <row r="1555" customFormat="false" ht="15" hidden="false" customHeight="false" outlineLevel="0" collapsed="false">
      <c r="A1555" s="80"/>
      <c r="B1555" s="71"/>
      <c r="C1555" s="71"/>
      <c r="D1555" s="81"/>
      <c r="E1555" s="71"/>
      <c r="F1555" s="71"/>
      <c r="G1555" s="82" t="str">
        <f aca="false">IF(C1555="","",IFERROR(INDEX('Kit Lists'!$D$6:$D$605,MATCH(B1555&amp;"|"&amp;C1555,'Kit Lists'!$J$6:$J$605,0)),"Not on this contract's kit list"))</f>
        <v/>
      </c>
      <c r="H1555" s="83" t="str">
        <f aca="false">IF(AND(B1555="",C1555="",D1555=""),"",IF(B1555="","Missing contract",IF(C1555="","Missing code",IF(LEFT(G1555,3)="Not","Wrong code",IF(D1555="","Missing qty",IF(A1555="","Missing date",""))))))</f>
        <v/>
      </c>
      <c r="I1555" s="84" t="str">
        <f aca="false">IF(B1555=Dashboard!$D$3,ROW(),"")</f>
        <v/>
      </c>
    </row>
    <row r="1556" customFormat="false" ht="15" hidden="false" customHeight="false" outlineLevel="0" collapsed="false">
      <c r="A1556" s="80"/>
      <c r="B1556" s="71"/>
      <c r="C1556" s="71"/>
      <c r="D1556" s="81"/>
      <c r="E1556" s="71"/>
      <c r="F1556" s="71"/>
      <c r="G1556" s="82" t="str">
        <f aca="false">IF(C1556="","",IFERROR(INDEX('Kit Lists'!$D$6:$D$605,MATCH(B1556&amp;"|"&amp;C1556,'Kit Lists'!$J$6:$J$605,0)),"Not on this contract's kit list"))</f>
        <v/>
      </c>
      <c r="H1556" s="83" t="str">
        <f aca="false">IF(AND(B1556="",C1556="",D1556=""),"",IF(B1556="","Missing contract",IF(C1556="","Missing code",IF(LEFT(G1556,3)="Not","Wrong code",IF(D1556="","Missing qty",IF(A1556="","Missing date",""))))))</f>
        <v/>
      </c>
      <c r="I1556" s="84" t="str">
        <f aca="false">IF(B1556=Dashboard!$D$3,ROW(),"")</f>
        <v/>
      </c>
    </row>
    <row r="1557" customFormat="false" ht="15" hidden="false" customHeight="false" outlineLevel="0" collapsed="false">
      <c r="A1557" s="80"/>
      <c r="B1557" s="71"/>
      <c r="C1557" s="71"/>
      <c r="D1557" s="81"/>
      <c r="E1557" s="71"/>
      <c r="F1557" s="71"/>
      <c r="G1557" s="82" t="str">
        <f aca="false">IF(C1557="","",IFERROR(INDEX('Kit Lists'!$D$6:$D$605,MATCH(B1557&amp;"|"&amp;C1557,'Kit Lists'!$J$6:$J$605,0)),"Not on this contract's kit list"))</f>
        <v/>
      </c>
      <c r="H1557" s="83" t="str">
        <f aca="false">IF(AND(B1557="",C1557="",D1557=""),"",IF(B1557="","Missing contract",IF(C1557="","Missing code",IF(LEFT(G1557,3)="Not","Wrong code",IF(D1557="","Missing qty",IF(A1557="","Missing date",""))))))</f>
        <v/>
      </c>
      <c r="I1557" s="84" t="str">
        <f aca="false">IF(B1557=Dashboard!$D$3,ROW(),"")</f>
        <v/>
      </c>
    </row>
    <row r="1558" customFormat="false" ht="15" hidden="false" customHeight="false" outlineLevel="0" collapsed="false">
      <c r="A1558" s="80"/>
      <c r="B1558" s="71"/>
      <c r="C1558" s="71"/>
      <c r="D1558" s="81"/>
      <c r="E1558" s="71"/>
      <c r="F1558" s="71"/>
      <c r="G1558" s="82" t="str">
        <f aca="false">IF(C1558="","",IFERROR(INDEX('Kit Lists'!$D$6:$D$605,MATCH(B1558&amp;"|"&amp;C1558,'Kit Lists'!$J$6:$J$605,0)),"Not on this contract's kit list"))</f>
        <v/>
      </c>
      <c r="H1558" s="83" t="str">
        <f aca="false">IF(AND(B1558="",C1558="",D1558=""),"",IF(B1558="","Missing contract",IF(C1558="","Missing code",IF(LEFT(G1558,3)="Not","Wrong code",IF(D1558="","Missing qty",IF(A1558="","Missing date",""))))))</f>
        <v/>
      </c>
      <c r="I1558" s="84" t="str">
        <f aca="false">IF(B1558=Dashboard!$D$3,ROW(),"")</f>
        <v/>
      </c>
    </row>
    <row r="1559" customFormat="false" ht="15" hidden="false" customHeight="false" outlineLevel="0" collapsed="false">
      <c r="A1559" s="80"/>
      <c r="B1559" s="71"/>
      <c r="C1559" s="71"/>
      <c r="D1559" s="81"/>
      <c r="E1559" s="71"/>
      <c r="F1559" s="71"/>
      <c r="G1559" s="82" t="str">
        <f aca="false">IF(C1559="","",IFERROR(INDEX('Kit Lists'!$D$6:$D$605,MATCH(B1559&amp;"|"&amp;C1559,'Kit Lists'!$J$6:$J$605,0)),"Not on this contract's kit list"))</f>
        <v/>
      </c>
      <c r="H1559" s="83" t="str">
        <f aca="false">IF(AND(B1559="",C1559="",D1559=""),"",IF(B1559="","Missing contract",IF(C1559="","Missing code",IF(LEFT(G1559,3)="Not","Wrong code",IF(D1559="","Missing qty",IF(A1559="","Missing date",""))))))</f>
        <v/>
      </c>
      <c r="I1559" s="84" t="str">
        <f aca="false">IF(B1559=Dashboard!$D$3,ROW(),"")</f>
        <v/>
      </c>
    </row>
    <row r="1560" customFormat="false" ht="15" hidden="false" customHeight="false" outlineLevel="0" collapsed="false">
      <c r="A1560" s="80"/>
      <c r="B1560" s="71"/>
      <c r="C1560" s="71"/>
      <c r="D1560" s="81"/>
      <c r="E1560" s="71"/>
      <c r="F1560" s="71"/>
      <c r="G1560" s="82" t="str">
        <f aca="false">IF(C1560="","",IFERROR(INDEX('Kit Lists'!$D$6:$D$605,MATCH(B1560&amp;"|"&amp;C1560,'Kit Lists'!$J$6:$J$605,0)),"Not on this contract's kit list"))</f>
        <v/>
      </c>
      <c r="H1560" s="83" t="str">
        <f aca="false">IF(AND(B1560="",C1560="",D1560=""),"",IF(B1560="","Missing contract",IF(C1560="","Missing code",IF(LEFT(G1560,3)="Not","Wrong code",IF(D1560="","Missing qty",IF(A1560="","Missing date",""))))))</f>
        <v/>
      </c>
      <c r="I1560" s="84" t="str">
        <f aca="false">IF(B1560=Dashboard!$D$3,ROW(),"")</f>
        <v/>
      </c>
    </row>
    <row r="1561" customFormat="false" ht="15" hidden="false" customHeight="false" outlineLevel="0" collapsed="false">
      <c r="A1561" s="80"/>
      <c r="B1561" s="71"/>
      <c r="C1561" s="71"/>
      <c r="D1561" s="81"/>
      <c r="E1561" s="71"/>
      <c r="F1561" s="71"/>
      <c r="G1561" s="82" t="str">
        <f aca="false">IF(C1561="","",IFERROR(INDEX('Kit Lists'!$D$6:$D$605,MATCH(B1561&amp;"|"&amp;C1561,'Kit Lists'!$J$6:$J$605,0)),"Not on this contract's kit list"))</f>
        <v/>
      </c>
      <c r="H1561" s="83" t="str">
        <f aca="false">IF(AND(B1561="",C1561="",D1561=""),"",IF(B1561="","Missing contract",IF(C1561="","Missing code",IF(LEFT(G1561,3)="Not","Wrong code",IF(D1561="","Missing qty",IF(A1561="","Missing date",""))))))</f>
        <v/>
      </c>
      <c r="I1561" s="84" t="str">
        <f aca="false">IF(B1561=Dashboard!$D$3,ROW(),"")</f>
        <v/>
      </c>
    </row>
    <row r="1562" customFormat="false" ht="15" hidden="false" customHeight="false" outlineLevel="0" collapsed="false">
      <c r="A1562" s="80"/>
      <c r="B1562" s="71"/>
      <c r="C1562" s="71"/>
      <c r="D1562" s="81"/>
      <c r="E1562" s="71"/>
      <c r="F1562" s="71"/>
      <c r="G1562" s="82" t="str">
        <f aca="false">IF(C1562="","",IFERROR(INDEX('Kit Lists'!$D$6:$D$605,MATCH(B1562&amp;"|"&amp;C1562,'Kit Lists'!$J$6:$J$605,0)),"Not on this contract's kit list"))</f>
        <v/>
      </c>
      <c r="H1562" s="83" t="str">
        <f aca="false">IF(AND(B1562="",C1562="",D1562=""),"",IF(B1562="","Missing contract",IF(C1562="","Missing code",IF(LEFT(G1562,3)="Not","Wrong code",IF(D1562="","Missing qty",IF(A1562="","Missing date",""))))))</f>
        <v/>
      </c>
      <c r="I1562" s="84" t="str">
        <f aca="false">IF(B1562=Dashboard!$D$3,ROW(),"")</f>
        <v/>
      </c>
    </row>
    <row r="1563" customFormat="false" ht="15" hidden="false" customHeight="false" outlineLevel="0" collapsed="false">
      <c r="A1563" s="80"/>
      <c r="B1563" s="71"/>
      <c r="C1563" s="71"/>
      <c r="D1563" s="81"/>
      <c r="E1563" s="71"/>
      <c r="F1563" s="71"/>
      <c r="G1563" s="82" t="str">
        <f aca="false">IF(C1563="","",IFERROR(INDEX('Kit Lists'!$D$6:$D$605,MATCH(B1563&amp;"|"&amp;C1563,'Kit Lists'!$J$6:$J$605,0)),"Not on this contract's kit list"))</f>
        <v/>
      </c>
      <c r="H1563" s="83" t="str">
        <f aca="false">IF(AND(B1563="",C1563="",D1563=""),"",IF(B1563="","Missing contract",IF(C1563="","Missing code",IF(LEFT(G1563,3)="Not","Wrong code",IF(D1563="","Missing qty",IF(A1563="","Missing date",""))))))</f>
        <v/>
      </c>
      <c r="I1563" s="84" t="str">
        <f aca="false">IF(B1563=Dashboard!$D$3,ROW(),"")</f>
        <v/>
      </c>
    </row>
    <row r="1564" customFormat="false" ht="15" hidden="false" customHeight="false" outlineLevel="0" collapsed="false">
      <c r="A1564" s="80"/>
      <c r="B1564" s="71"/>
      <c r="C1564" s="71"/>
      <c r="D1564" s="81"/>
      <c r="E1564" s="71"/>
      <c r="F1564" s="71"/>
      <c r="G1564" s="82" t="str">
        <f aca="false">IF(C1564="","",IFERROR(INDEX('Kit Lists'!$D$6:$D$605,MATCH(B1564&amp;"|"&amp;C1564,'Kit Lists'!$J$6:$J$605,0)),"Not on this contract's kit list"))</f>
        <v/>
      </c>
      <c r="H1564" s="83" t="str">
        <f aca="false">IF(AND(B1564="",C1564="",D1564=""),"",IF(B1564="","Missing contract",IF(C1564="","Missing code",IF(LEFT(G1564,3)="Not","Wrong code",IF(D1564="","Missing qty",IF(A1564="","Missing date",""))))))</f>
        <v/>
      </c>
      <c r="I1564" s="84" t="str">
        <f aca="false">IF(B1564=Dashboard!$D$3,ROW(),"")</f>
        <v/>
      </c>
    </row>
    <row r="1565" customFormat="false" ht="15" hidden="false" customHeight="false" outlineLevel="0" collapsed="false">
      <c r="A1565" s="80"/>
      <c r="B1565" s="71"/>
      <c r="C1565" s="71"/>
      <c r="D1565" s="81"/>
      <c r="E1565" s="71"/>
      <c r="F1565" s="71"/>
      <c r="G1565" s="82" t="str">
        <f aca="false">IF(C1565="","",IFERROR(INDEX('Kit Lists'!$D$6:$D$605,MATCH(B1565&amp;"|"&amp;C1565,'Kit Lists'!$J$6:$J$605,0)),"Not on this contract's kit list"))</f>
        <v/>
      </c>
      <c r="H1565" s="83" t="str">
        <f aca="false">IF(AND(B1565="",C1565="",D1565=""),"",IF(B1565="","Missing contract",IF(C1565="","Missing code",IF(LEFT(G1565,3)="Not","Wrong code",IF(D1565="","Missing qty",IF(A1565="","Missing date",""))))))</f>
        <v/>
      </c>
      <c r="I1565" s="84" t="str">
        <f aca="false">IF(B1565=Dashboard!$D$3,ROW(),"")</f>
        <v/>
      </c>
    </row>
    <row r="1566" customFormat="false" ht="15" hidden="false" customHeight="false" outlineLevel="0" collapsed="false">
      <c r="A1566" s="80"/>
      <c r="B1566" s="71"/>
      <c r="C1566" s="71"/>
      <c r="D1566" s="81"/>
      <c r="E1566" s="71"/>
      <c r="F1566" s="71"/>
      <c r="G1566" s="82" t="str">
        <f aca="false">IF(C1566="","",IFERROR(INDEX('Kit Lists'!$D$6:$D$605,MATCH(B1566&amp;"|"&amp;C1566,'Kit Lists'!$J$6:$J$605,0)),"Not on this contract's kit list"))</f>
        <v/>
      </c>
      <c r="H1566" s="83" t="str">
        <f aca="false">IF(AND(B1566="",C1566="",D1566=""),"",IF(B1566="","Missing contract",IF(C1566="","Missing code",IF(LEFT(G1566,3)="Not","Wrong code",IF(D1566="","Missing qty",IF(A1566="","Missing date",""))))))</f>
        <v/>
      </c>
      <c r="I1566" s="84" t="str">
        <f aca="false">IF(B1566=Dashboard!$D$3,ROW(),"")</f>
        <v/>
      </c>
    </row>
    <row r="1567" customFormat="false" ht="15" hidden="false" customHeight="false" outlineLevel="0" collapsed="false">
      <c r="A1567" s="80"/>
      <c r="B1567" s="71"/>
      <c r="C1567" s="71"/>
      <c r="D1567" s="81"/>
      <c r="E1567" s="71"/>
      <c r="F1567" s="71"/>
      <c r="G1567" s="82" t="str">
        <f aca="false">IF(C1567="","",IFERROR(INDEX('Kit Lists'!$D$6:$D$605,MATCH(B1567&amp;"|"&amp;C1567,'Kit Lists'!$J$6:$J$605,0)),"Not on this contract's kit list"))</f>
        <v/>
      </c>
      <c r="H1567" s="83" t="str">
        <f aca="false">IF(AND(B1567="",C1567="",D1567=""),"",IF(B1567="","Missing contract",IF(C1567="","Missing code",IF(LEFT(G1567,3)="Not","Wrong code",IF(D1567="","Missing qty",IF(A1567="","Missing date",""))))))</f>
        <v/>
      </c>
      <c r="I1567" s="84" t="str">
        <f aca="false">IF(B1567=Dashboard!$D$3,ROW(),"")</f>
        <v/>
      </c>
    </row>
    <row r="1568" customFormat="false" ht="15" hidden="false" customHeight="false" outlineLevel="0" collapsed="false">
      <c r="A1568" s="80"/>
      <c r="B1568" s="71"/>
      <c r="C1568" s="71"/>
      <c r="D1568" s="81"/>
      <c r="E1568" s="71"/>
      <c r="F1568" s="71"/>
      <c r="G1568" s="82" t="str">
        <f aca="false">IF(C1568="","",IFERROR(INDEX('Kit Lists'!$D$6:$D$605,MATCH(B1568&amp;"|"&amp;C1568,'Kit Lists'!$J$6:$J$605,0)),"Not on this contract's kit list"))</f>
        <v/>
      </c>
      <c r="H1568" s="83" t="str">
        <f aca="false">IF(AND(B1568="",C1568="",D1568=""),"",IF(B1568="","Missing contract",IF(C1568="","Missing code",IF(LEFT(G1568,3)="Not","Wrong code",IF(D1568="","Missing qty",IF(A1568="","Missing date",""))))))</f>
        <v/>
      </c>
      <c r="I1568" s="84" t="str">
        <f aca="false">IF(B1568=Dashboard!$D$3,ROW(),"")</f>
        <v/>
      </c>
    </row>
    <row r="1569" customFormat="false" ht="15" hidden="false" customHeight="false" outlineLevel="0" collapsed="false">
      <c r="A1569" s="80"/>
      <c r="B1569" s="71"/>
      <c r="C1569" s="71"/>
      <c r="D1569" s="81"/>
      <c r="E1569" s="71"/>
      <c r="F1569" s="71"/>
      <c r="G1569" s="82" t="str">
        <f aca="false">IF(C1569="","",IFERROR(INDEX('Kit Lists'!$D$6:$D$605,MATCH(B1569&amp;"|"&amp;C1569,'Kit Lists'!$J$6:$J$605,0)),"Not on this contract's kit list"))</f>
        <v/>
      </c>
      <c r="H1569" s="83" t="str">
        <f aca="false">IF(AND(B1569="",C1569="",D1569=""),"",IF(B1569="","Missing contract",IF(C1569="","Missing code",IF(LEFT(G1569,3)="Not","Wrong code",IF(D1569="","Missing qty",IF(A1569="","Missing date",""))))))</f>
        <v/>
      </c>
      <c r="I1569" s="84" t="str">
        <f aca="false">IF(B1569=Dashboard!$D$3,ROW(),"")</f>
        <v/>
      </c>
    </row>
    <row r="1570" customFormat="false" ht="15" hidden="false" customHeight="false" outlineLevel="0" collapsed="false">
      <c r="A1570" s="80"/>
      <c r="B1570" s="71"/>
      <c r="C1570" s="71"/>
      <c r="D1570" s="81"/>
      <c r="E1570" s="71"/>
      <c r="F1570" s="71"/>
      <c r="G1570" s="82" t="str">
        <f aca="false">IF(C1570="","",IFERROR(INDEX('Kit Lists'!$D$6:$D$605,MATCH(B1570&amp;"|"&amp;C1570,'Kit Lists'!$J$6:$J$605,0)),"Not on this contract's kit list"))</f>
        <v/>
      </c>
      <c r="H1570" s="83" t="str">
        <f aca="false">IF(AND(B1570="",C1570="",D1570=""),"",IF(B1570="","Missing contract",IF(C1570="","Missing code",IF(LEFT(G1570,3)="Not","Wrong code",IF(D1570="","Missing qty",IF(A1570="","Missing date",""))))))</f>
        <v/>
      </c>
      <c r="I1570" s="84" t="str">
        <f aca="false">IF(B1570=Dashboard!$D$3,ROW(),"")</f>
        <v/>
      </c>
    </row>
    <row r="1571" customFormat="false" ht="15" hidden="false" customHeight="false" outlineLevel="0" collapsed="false">
      <c r="A1571" s="80"/>
      <c r="B1571" s="71"/>
      <c r="C1571" s="71"/>
      <c r="D1571" s="81"/>
      <c r="E1571" s="71"/>
      <c r="F1571" s="71"/>
      <c r="G1571" s="82" t="str">
        <f aca="false">IF(C1571="","",IFERROR(INDEX('Kit Lists'!$D$6:$D$605,MATCH(B1571&amp;"|"&amp;C1571,'Kit Lists'!$J$6:$J$605,0)),"Not on this contract's kit list"))</f>
        <v/>
      </c>
      <c r="H1571" s="83" t="str">
        <f aca="false">IF(AND(B1571="",C1571="",D1571=""),"",IF(B1571="","Missing contract",IF(C1571="","Missing code",IF(LEFT(G1571,3)="Not","Wrong code",IF(D1571="","Missing qty",IF(A1571="","Missing date",""))))))</f>
        <v/>
      </c>
      <c r="I1571" s="84" t="str">
        <f aca="false">IF(B1571=Dashboard!$D$3,ROW(),"")</f>
        <v/>
      </c>
    </row>
    <row r="1572" customFormat="false" ht="15" hidden="false" customHeight="false" outlineLevel="0" collapsed="false">
      <c r="A1572" s="80"/>
      <c r="B1572" s="71"/>
      <c r="C1572" s="71"/>
      <c r="D1572" s="81"/>
      <c r="E1572" s="71"/>
      <c r="F1572" s="71"/>
      <c r="G1572" s="82" t="str">
        <f aca="false">IF(C1572="","",IFERROR(INDEX('Kit Lists'!$D$6:$D$605,MATCH(B1572&amp;"|"&amp;C1572,'Kit Lists'!$J$6:$J$605,0)),"Not on this contract's kit list"))</f>
        <v/>
      </c>
      <c r="H1572" s="83" t="str">
        <f aca="false">IF(AND(B1572="",C1572="",D1572=""),"",IF(B1572="","Missing contract",IF(C1572="","Missing code",IF(LEFT(G1572,3)="Not","Wrong code",IF(D1572="","Missing qty",IF(A1572="","Missing date",""))))))</f>
        <v/>
      </c>
      <c r="I1572" s="84" t="str">
        <f aca="false">IF(B1572=Dashboard!$D$3,ROW(),"")</f>
        <v/>
      </c>
    </row>
    <row r="1573" customFormat="false" ht="15" hidden="false" customHeight="false" outlineLevel="0" collapsed="false">
      <c r="A1573" s="80"/>
      <c r="B1573" s="71"/>
      <c r="C1573" s="71"/>
      <c r="D1573" s="81"/>
      <c r="E1573" s="71"/>
      <c r="F1573" s="71"/>
      <c r="G1573" s="82" t="str">
        <f aca="false">IF(C1573="","",IFERROR(INDEX('Kit Lists'!$D$6:$D$605,MATCH(B1573&amp;"|"&amp;C1573,'Kit Lists'!$J$6:$J$605,0)),"Not on this contract's kit list"))</f>
        <v/>
      </c>
      <c r="H1573" s="83" t="str">
        <f aca="false">IF(AND(B1573="",C1573="",D1573=""),"",IF(B1573="","Missing contract",IF(C1573="","Missing code",IF(LEFT(G1573,3)="Not","Wrong code",IF(D1573="","Missing qty",IF(A1573="","Missing date",""))))))</f>
        <v/>
      </c>
      <c r="I1573" s="84" t="str">
        <f aca="false">IF(B1573=Dashboard!$D$3,ROW(),"")</f>
        <v/>
      </c>
    </row>
    <row r="1574" customFormat="false" ht="15" hidden="false" customHeight="false" outlineLevel="0" collapsed="false">
      <c r="A1574" s="80"/>
      <c r="B1574" s="71"/>
      <c r="C1574" s="71"/>
      <c r="D1574" s="81"/>
      <c r="E1574" s="71"/>
      <c r="F1574" s="71"/>
      <c r="G1574" s="82" t="str">
        <f aca="false">IF(C1574="","",IFERROR(INDEX('Kit Lists'!$D$6:$D$605,MATCH(B1574&amp;"|"&amp;C1574,'Kit Lists'!$J$6:$J$605,0)),"Not on this contract's kit list"))</f>
        <v/>
      </c>
      <c r="H1574" s="83" t="str">
        <f aca="false">IF(AND(B1574="",C1574="",D1574=""),"",IF(B1574="","Missing contract",IF(C1574="","Missing code",IF(LEFT(G1574,3)="Not","Wrong code",IF(D1574="","Missing qty",IF(A1574="","Missing date",""))))))</f>
        <v/>
      </c>
      <c r="I1574" s="84" t="str">
        <f aca="false">IF(B1574=Dashboard!$D$3,ROW(),"")</f>
        <v/>
      </c>
    </row>
    <row r="1575" customFormat="false" ht="15" hidden="false" customHeight="false" outlineLevel="0" collapsed="false">
      <c r="A1575" s="80"/>
      <c r="B1575" s="71"/>
      <c r="C1575" s="71"/>
      <c r="D1575" s="81"/>
      <c r="E1575" s="71"/>
      <c r="F1575" s="71"/>
      <c r="G1575" s="82" t="str">
        <f aca="false">IF(C1575="","",IFERROR(INDEX('Kit Lists'!$D$6:$D$605,MATCH(B1575&amp;"|"&amp;C1575,'Kit Lists'!$J$6:$J$605,0)),"Not on this contract's kit list"))</f>
        <v/>
      </c>
      <c r="H1575" s="83" t="str">
        <f aca="false">IF(AND(B1575="",C1575="",D1575=""),"",IF(B1575="","Missing contract",IF(C1575="","Missing code",IF(LEFT(G1575,3)="Not","Wrong code",IF(D1575="","Missing qty",IF(A1575="","Missing date",""))))))</f>
        <v/>
      </c>
      <c r="I1575" s="84" t="str">
        <f aca="false">IF(B1575=Dashboard!$D$3,ROW(),"")</f>
        <v/>
      </c>
    </row>
    <row r="1576" customFormat="false" ht="15" hidden="false" customHeight="false" outlineLevel="0" collapsed="false">
      <c r="A1576" s="80"/>
      <c r="B1576" s="71"/>
      <c r="C1576" s="71"/>
      <c r="D1576" s="81"/>
      <c r="E1576" s="71"/>
      <c r="F1576" s="71"/>
      <c r="G1576" s="82" t="str">
        <f aca="false">IF(C1576="","",IFERROR(INDEX('Kit Lists'!$D$6:$D$605,MATCH(B1576&amp;"|"&amp;C1576,'Kit Lists'!$J$6:$J$605,0)),"Not on this contract's kit list"))</f>
        <v/>
      </c>
      <c r="H1576" s="83" t="str">
        <f aca="false">IF(AND(B1576="",C1576="",D1576=""),"",IF(B1576="","Missing contract",IF(C1576="","Missing code",IF(LEFT(G1576,3)="Not","Wrong code",IF(D1576="","Missing qty",IF(A1576="","Missing date",""))))))</f>
        <v/>
      </c>
      <c r="I1576" s="84" t="str">
        <f aca="false">IF(B1576=Dashboard!$D$3,ROW(),"")</f>
        <v/>
      </c>
    </row>
    <row r="1577" customFormat="false" ht="15" hidden="false" customHeight="false" outlineLevel="0" collapsed="false">
      <c r="A1577" s="80"/>
      <c r="B1577" s="71"/>
      <c r="C1577" s="71"/>
      <c r="D1577" s="81"/>
      <c r="E1577" s="71"/>
      <c r="F1577" s="71"/>
      <c r="G1577" s="82" t="str">
        <f aca="false">IF(C1577="","",IFERROR(INDEX('Kit Lists'!$D$6:$D$605,MATCH(B1577&amp;"|"&amp;C1577,'Kit Lists'!$J$6:$J$605,0)),"Not on this contract's kit list"))</f>
        <v/>
      </c>
      <c r="H1577" s="83" t="str">
        <f aca="false">IF(AND(B1577="",C1577="",D1577=""),"",IF(B1577="","Missing contract",IF(C1577="","Missing code",IF(LEFT(G1577,3)="Not","Wrong code",IF(D1577="","Missing qty",IF(A1577="","Missing date",""))))))</f>
        <v/>
      </c>
      <c r="I1577" s="84" t="str">
        <f aca="false">IF(B1577=Dashboard!$D$3,ROW(),"")</f>
        <v/>
      </c>
    </row>
    <row r="1578" customFormat="false" ht="15" hidden="false" customHeight="false" outlineLevel="0" collapsed="false">
      <c r="A1578" s="80"/>
      <c r="B1578" s="71"/>
      <c r="C1578" s="71"/>
      <c r="D1578" s="81"/>
      <c r="E1578" s="71"/>
      <c r="F1578" s="71"/>
      <c r="G1578" s="82" t="str">
        <f aca="false">IF(C1578="","",IFERROR(INDEX('Kit Lists'!$D$6:$D$605,MATCH(B1578&amp;"|"&amp;C1578,'Kit Lists'!$J$6:$J$605,0)),"Not on this contract's kit list"))</f>
        <v/>
      </c>
      <c r="H1578" s="83" t="str">
        <f aca="false">IF(AND(B1578="",C1578="",D1578=""),"",IF(B1578="","Missing contract",IF(C1578="","Missing code",IF(LEFT(G1578,3)="Not","Wrong code",IF(D1578="","Missing qty",IF(A1578="","Missing date",""))))))</f>
        <v/>
      </c>
      <c r="I1578" s="84" t="str">
        <f aca="false">IF(B1578=Dashboard!$D$3,ROW(),"")</f>
        <v/>
      </c>
    </row>
    <row r="1579" customFormat="false" ht="15" hidden="false" customHeight="false" outlineLevel="0" collapsed="false">
      <c r="A1579" s="80"/>
      <c r="B1579" s="71"/>
      <c r="C1579" s="71"/>
      <c r="D1579" s="81"/>
      <c r="E1579" s="71"/>
      <c r="F1579" s="71"/>
      <c r="G1579" s="82" t="str">
        <f aca="false">IF(C1579="","",IFERROR(INDEX('Kit Lists'!$D$6:$D$605,MATCH(B1579&amp;"|"&amp;C1579,'Kit Lists'!$J$6:$J$605,0)),"Not on this contract's kit list"))</f>
        <v/>
      </c>
      <c r="H1579" s="83" t="str">
        <f aca="false">IF(AND(B1579="",C1579="",D1579=""),"",IF(B1579="","Missing contract",IF(C1579="","Missing code",IF(LEFT(G1579,3)="Not","Wrong code",IF(D1579="","Missing qty",IF(A1579="","Missing date",""))))))</f>
        <v/>
      </c>
      <c r="I1579" s="84" t="str">
        <f aca="false">IF(B1579=Dashboard!$D$3,ROW(),"")</f>
        <v/>
      </c>
    </row>
    <row r="1580" customFormat="false" ht="15" hidden="false" customHeight="false" outlineLevel="0" collapsed="false">
      <c r="A1580" s="80"/>
      <c r="B1580" s="71"/>
      <c r="C1580" s="71"/>
      <c r="D1580" s="81"/>
      <c r="E1580" s="71"/>
      <c r="F1580" s="71"/>
      <c r="G1580" s="82" t="str">
        <f aca="false">IF(C1580="","",IFERROR(INDEX('Kit Lists'!$D$6:$D$605,MATCH(B1580&amp;"|"&amp;C1580,'Kit Lists'!$J$6:$J$605,0)),"Not on this contract's kit list"))</f>
        <v/>
      </c>
      <c r="H1580" s="83" t="str">
        <f aca="false">IF(AND(B1580="",C1580="",D1580=""),"",IF(B1580="","Missing contract",IF(C1580="","Missing code",IF(LEFT(G1580,3)="Not","Wrong code",IF(D1580="","Missing qty",IF(A1580="","Missing date",""))))))</f>
        <v/>
      </c>
      <c r="I1580" s="84" t="str">
        <f aca="false">IF(B1580=Dashboard!$D$3,ROW(),"")</f>
        <v/>
      </c>
    </row>
    <row r="1581" customFormat="false" ht="15" hidden="false" customHeight="false" outlineLevel="0" collapsed="false">
      <c r="A1581" s="80"/>
      <c r="B1581" s="71"/>
      <c r="C1581" s="71"/>
      <c r="D1581" s="81"/>
      <c r="E1581" s="71"/>
      <c r="F1581" s="71"/>
      <c r="G1581" s="82" t="str">
        <f aca="false">IF(C1581="","",IFERROR(INDEX('Kit Lists'!$D$6:$D$605,MATCH(B1581&amp;"|"&amp;C1581,'Kit Lists'!$J$6:$J$605,0)),"Not on this contract's kit list"))</f>
        <v/>
      </c>
      <c r="H1581" s="83" t="str">
        <f aca="false">IF(AND(B1581="",C1581="",D1581=""),"",IF(B1581="","Missing contract",IF(C1581="","Missing code",IF(LEFT(G1581,3)="Not","Wrong code",IF(D1581="","Missing qty",IF(A1581="","Missing date",""))))))</f>
        <v/>
      </c>
      <c r="I1581" s="84" t="str">
        <f aca="false">IF(B1581=Dashboard!$D$3,ROW(),"")</f>
        <v/>
      </c>
    </row>
    <row r="1582" customFormat="false" ht="15" hidden="false" customHeight="false" outlineLevel="0" collapsed="false">
      <c r="A1582" s="80"/>
      <c r="B1582" s="71"/>
      <c r="C1582" s="71"/>
      <c r="D1582" s="81"/>
      <c r="E1582" s="71"/>
      <c r="F1582" s="71"/>
      <c r="G1582" s="82" t="str">
        <f aca="false">IF(C1582="","",IFERROR(INDEX('Kit Lists'!$D$6:$D$605,MATCH(B1582&amp;"|"&amp;C1582,'Kit Lists'!$J$6:$J$605,0)),"Not on this contract's kit list"))</f>
        <v/>
      </c>
      <c r="H1582" s="83" t="str">
        <f aca="false">IF(AND(B1582="",C1582="",D1582=""),"",IF(B1582="","Missing contract",IF(C1582="","Missing code",IF(LEFT(G1582,3)="Not","Wrong code",IF(D1582="","Missing qty",IF(A1582="","Missing date",""))))))</f>
        <v/>
      </c>
      <c r="I1582" s="84" t="str">
        <f aca="false">IF(B1582=Dashboard!$D$3,ROW(),"")</f>
        <v/>
      </c>
    </row>
    <row r="1583" customFormat="false" ht="15" hidden="false" customHeight="false" outlineLevel="0" collapsed="false">
      <c r="A1583" s="80"/>
      <c r="B1583" s="71"/>
      <c r="C1583" s="71"/>
      <c r="D1583" s="81"/>
      <c r="E1583" s="71"/>
      <c r="F1583" s="71"/>
      <c r="G1583" s="82" t="str">
        <f aca="false">IF(C1583="","",IFERROR(INDEX('Kit Lists'!$D$6:$D$605,MATCH(B1583&amp;"|"&amp;C1583,'Kit Lists'!$J$6:$J$605,0)),"Not on this contract's kit list"))</f>
        <v/>
      </c>
      <c r="H1583" s="83" t="str">
        <f aca="false">IF(AND(B1583="",C1583="",D1583=""),"",IF(B1583="","Missing contract",IF(C1583="","Missing code",IF(LEFT(G1583,3)="Not","Wrong code",IF(D1583="","Missing qty",IF(A1583="","Missing date",""))))))</f>
        <v/>
      </c>
      <c r="I1583" s="84" t="str">
        <f aca="false">IF(B1583=Dashboard!$D$3,ROW(),"")</f>
        <v/>
      </c>
    </row>
    <row r="1584" customFormat="false" ht="15" hidden="false" customHeight="false" outlineLevel="0" collapsed="false">
      <c r="A1584" s="80"/>
      <c r="B1584" s="71"/>
      <c r="C1584" s="71"/>
      <c r="D1584" s="81"/>
      <c r="E1584" s="71"/>
      <c r="F1584" s="71"/>
      <c r="G1584" s="82" t="str">
        <f aca="false">IF(C1584="","",IFERROR(INDEX('Kit Lists'!$D$6:$D$605,MATCH(B1584&amp;"|"&amp;C1584,'Kit Lists'!$J$6:$J$605,0)),"Not on this contract's kit list"))</f>
        <v/>
      </c>
      <c r="H1584" s="83" t="str">
        <f aca="false">IF(AND(B1584="",C1584="",D1584=""),"",IF(B1584="","Missing contract",IF(C1584="","Missing code",IF(LEFT(G1584,3)="Not","Wrong code",IF(D1584="","Missing qty",IF(A1584="","Missing date",""))))))</f>
        <v/>
      </c>
      <c r="I1584" s="84" t="str">
        <f aca="false">IF(B1584=Dashboard!$D$3,ROW(),"")</f>
        <v/>
      </c>
    </row>
    <row r="1585" customFormat="false" ht="15" hidden="false" customHeight="false" outlineLevel="0" collapsed="false">
      <c r="A1585" s="80"/>
      <c r="B1585" s="71"/>
      <c r="C1585" s="71"/>
      <c r="D1585" s="81"/>
      <c r="E1585" s="71"/>
      <c r="F1585" s="71"/>
      <c r="G1585" s="82" t="str">
        <f aca="false">IF(C1585="","",IFERROR(INDEX('Kit Lists'!$D$6:$D$605,MATCH(B1585&amp;"|"&amp;C1585,'Kit Lists'!$J$6:$J$605,0)),"Not on this contract's kit list"))</f>
        <v/>
      </c>
      <c r="H1585" s="83" t="str">
        <f aca="false">IF(AND(B1585="",C1585="",D1585=""),"",IF(B1585="","Missing contract",IF(C1585="","Missing code",IF(LEFT(G1585,3)="Not","Wrong code",IF(D1585="","Missing qty",IF(A1585="","Missing date",""))))))</f>
        <v/>
      </c>
      <c r="I1585" s="84" t="str">
        <f aca="false">IF(B1585=Dashboard!$D$3,ROW(),"")</f>
        <v/>
      </c>
    </row>
    <row r="1586" customFormat="false" ht="15" hidden="false" customHeight="false" outlineLevel="0" collapsed="false">
      <c r="A1586" s="80"/>
      <c r="B1586" s="71"/>
      <c r="C1586" s="71"/>
      <c r="D1586" s="81"/>
      <c r="E1586" s="71"/>
      <c r="F1586" s="71"/>
      <c r="G1586" s="82" t="str">
        <f aca="false">IF(C1586="","",IFERROR(INDEX('Kit Lists'!$D$6:$D$605,MATCH(B1586&amp;"|"&amp;C1586,'Kit Lists'!$J$6:$J$605,0)),"Not on this contract's kit list"))</f>
        <v/>
      </c>
      <c r="H1586" s="83" t="str">
        <f aca="false">IF(AND(B1586="",C1586="",D1586=""),"",IF(B1586="","Missing contract",IF(C1586="","Missing code",IF(LEFT(G1586,3)="Not","Wrong code",IF(D1586="","Missing qty",IF(A1586="","Missing date",""))))))</f>
        <v/>
      </c>
      <c r="I1586" s="84" t="str">
        <f aca="false">IF(B1586=Dashboard!$D$3,ROW(),"")</f>
        <v/>
      </c>
    </row>
    <row r="1587" customFormat="false" ht="15" hidden="false" customHeight="false" outlineLevel="0" collapsed="false">
      <c r="A1587" s="80"/>
      <c r="B1587" s="71"/>
      <c r="C1587" s="71"/>
      <c r="D1587" s="81"/>
      <c r="E1587" s="71"/>
      <c r="F1587" s="71"/>
      <c r="G1587" s="82" t="str">
        <f aca="false">IF(C1587="","",IFERROR(INDEX('Kit Lists'!$D$6:$D$605,MATCH(B1587&amp;"|"&amp;C1587,'Kit Lists'!$J$6:$J$605,0)),"Not on this contract's kit list"))</f>
        <v/>
      </c>
      <c r="H1587" s="83" t="str">
        <f aca="false">IF(AND(B1587="",C1587="",D1587=""),"",IF(B1587="","Missing contract",IF(C1587="","Missing code",IF(LEFT(G1587,3)="Not","Wrong code",IF(D1587="","Missing qty",IF(A1587="","Missing date",""))))))</f>
        <v/>
      </c>
      <c r="I1587" s="84" t="str">
        <f aca="false">IF(B1587=Dashboard!$D$3,ROW(),"")</f>
        <v/>
      </c>
    </row>
    <row r="1588" customFormat="false" ht="15" hidden="false" customHeight="false" outlineLevel="0" collapsed="false">
      <c r="A1588" s="80"/>
      <c r="B1588" s="71"/>
      <c r="C1588" s="71"/>
      <c r="D1588" s="81"/>
      <c r="E1588" s="71"/>
      <c r="F1588" s="71"/>
      <c r="G1588" s="82" t="str">
        <f aca="false">IF(C1588="","",IFERROR(INDEX('Kit Lists'!$D$6:$D$605,MATCH(B1588&amp;"|"&amp;C1588,'Kit Lists'!$J$6:$J$605,0)),"Not on this contract's kit list"))</f>
        <v/>
      </c>
      <c r="H1588" s="83" t="str">
        <f aca="false">IF(AND(B1588="",C1588="",D1588=""),"",IF(B1588="","Missing contract",IF(C1588="","Missing code",IF(LEFT(G1588,3)="Not","Wrong code",IF(D1588="","Missing qty",IF(A1588="","Missing date",""))))))</f>
        <v/>
      </c>
      <c r="I1588" s="84" t="str">
        <f aca="false">IF(B1588=Dashboard!$D$3,ROW(),"")</f>
        <v/>
      </c>
    </row>
    <row r="1589" customFormat="false" ht="15" hidden="false" customHeight="false" outlineLevel="0" collapsed="false">
      <c r="A1589" s="80"/>
      <c r="B1589" s="71"/>
      <c r="C1589" s="71"/>
      <c r="D1589" s="81"/>
      <c r="E1589" s="71"/>
      <c r="F1589" s="71"/>
      <c r="G1589" s="82" t="str">
        <f aca="false">IF(C1589="","",IFERROR(INDEX('Kit Lists'!$D$6:$D$605,MATCH(B1589&amp;"|"&amp;C1589,'Kit Lists'!$J$6:$J$605,0)),"Not on this contract's kit list"))</f>
        <v/>
      </c>
      <c r="H1589" s="83" t="str">
        <f aca="false">IF(AND(B1589="",C1589="",D1589=""),"",IF(B1589="","Missing contract",IF(C1589="","Missing code",IF(LEFT(G1589,3)="Not","Wrong code",IF(D1589="","Missing qty",IF(A1589="","Missing date",""))))))</f>
        <v/>
      </c>
      <c r="I1589" s="84" t="str">
        <f aca="false">IF(B1589=Dashboard!$D$3,ROW(),"")</f>
        <v/>
      </c>
    </row>
    <row r="1590" customFormat="false" ht="15" hidden="false" customHeight="false" outlineLevel="0" collapsed="false">
      <c r="A1590" s="80"/>
      <c r="B1590" s="71"/>
      <c r="C1590" s="71"/>
      <c r="D1590" s="81"/>
      <c r="E1590" s="71"/>
      <c r="F1590" s="71"/>
      <c r="G1590" s="82" t="str">
        <f aca="false">IF(C1590="","",IFERROR(INDEX('Kit Lists'!$D$6:$D$605,MATCH(B1590&amp;"|"&amp;C1590,'Kit Lists'!$J$6:$J$605,0)),"Not on this contract's kit list"))</f>
        <v/>
      </c>
      <c r="H1590" s="83" t="str">
        <f aca="false">IF(AND(B1590="",C1590="",D1590=""),"",IF(B1590="","Missing contract",IF(C1590="","Missing code",IF(LEFT(G1590,3)="Not","Wrong code",IF(D1590="","Missing qty",IF(A1590="","Missing date",""))))))</f>
        <v/>
      </c>
      <c r="I1590" s="84" t="str">
        <f aca="false">IF(B1590=Dashboard!$D$3,ROW(),"")</f>
        <v/>
      </c>
    </row>
    <row r="1591" customFormat="false" ht="15" hidden="false" customHeight="false" outlineLevel="0" collapsed="false">
      <c r="A1591" s="80"/>
      <c r="B1591" s="71"/>
      <c r="C1591" s="71"/>
      <c r="D1591" s="81"/>
      <c r="E1591" s="71"/>
      <c r="F1591" s="71"/>
      <c r="G1591" s="82" t="str">
        <f aca="false">IF(C1591="","",IFERROR(INDEX('Kit Lists'!$D$6:$D$605,MATCH(B1591&amp;"|"&amp;C1591,'Kit Lists'!$J$6:$J$605,0)),"Not on this contract's kit list"))</f>
        <v/>
      </c>
      <c r="H1591" s="83" t="str">
        <f aca="false">IF(AND(B1591="",C1591="",D1591=""),"",IF(B1591="","Missing contract",IF(C1591="","Missing code",IF(LEFT(G1591,3)="Not","Wrong code",IF(D1591="","Missing qty",IF(A1591="","Missing date",""))))))</f>
        <v/>
      </c>
      <c r="I1591" s="84" t="str">
        <f aca="false">IF(B1591=Dashboard!$D$3,ROW(),"")</f>
        <v/>
      </c>
    </row>
    <row r="1592" customFormat="false" ht="15" hidden="false" customHeight="false" outlineLevel="0" collapsed="false">
      <c r="A1592" s="80"/>
      <c r="B1592" s="71"/>
      <c r="C1592" s="71"/>
      <c r="D1592" s="81"/>
      <c r="E1592" s="71"/>
      <c r="F1592" s="71"/>
      <c r="G1592" s="82" t="str">
        <f aca="false">IF(C1592="","",IFERROR(INDEX('Kit Lists'!$D$6:$D$605,MATCH(B1592&amp;"|"&amp;C1592,'Kit Lists'!$J$6:$J$605,0)),"Not on this contract's kit list"))</f>
        <v/>
      </c>
      <c r="H1592" s="83" t="str">
        <f aca="false">IF(AND(B1592="",C1592="",D1592=""),"",IF(B1592="","Missing contract",IF(C1592="","Missing code",IF(LEFT(G1592,3)="Not","Wrong code",IF(D1592="","Missing qty",IF(A1592="","Missing date",""))))))</f>
        <v/>
      </c>
      <c r="I1592" s="84" t="str">
        <f aca="false">IF(B1592=Dashboard!$D$3,ROW(),"")</f>
        <v/>
      </c>
    </row>
    <row r="1593" customFormat="false" ht="15" hidden="false" customHeight="false" outlineLevel="0" collapsed="false">
      <c r="A1593" s="80"/>
      <c r="B1593" s="71"/>
      <c r="C1593" s="71"/>
      <c r="D1593" s="81"/>
      <c r="E1593" s="71"/>
      <c r="F1593" s="71"/>
      <c r="G1593" s="82" t="str">
        <f aca="false">IF(C1593="","",IFERROR(INDEX('Kit Lists'!$D$6:$D$605,MATCH(B1593&amp;"|"&amp;C1593,'Kit Lists'!$J$6:$J$605,0)),"Not on this contract's kit list"))</f>
        <v/>
      </c>
      <c r="H1593" s="83" t="str">
        <f aca="false">IF(AND(B1593="",C1593="",D1593=""),"",IF(B1593="","Missing contract",IF(C1593="","Missing code",IF(LEFT(G1593,3)="Not","Wrong code",IF(D1593="","Missing qty",IF(A1593="","Missing date",""))))))</f>
        <v/>
      </c>
      <c r="I1593" s="84" t="str">
        <f aca="false">IF(B1593=Dashboard!$D$3,ROW(),"")</f>
        <v/>
      </c>
    </row>
    <row r="1594" customFormat="false" ht="15" hidden="false" customHeight="false" outlineLevel="0" collapsed="false">
      <c r="A1594" s="80"/>
      <c r="B1594" s="71"/>
      <c r="C1594" s="71"/>
      <c r="D1594" s="81"/>
      <c r="E1594" s="71"/>
      <c r="F1594" s="71"/>
      <c r="G1594" s="82" t="str">
        <f aca="false">IF(C1594="","",IFERROR(INDEX('Kit Lists'!$D$6:$D$605,MATCH(B1594&amp;"|"&amp;C1594,'Kit Lists'!$J$6:$J$605,0)),"Not on this contract's kit list"))</f>
        <v/>
      </c>
      <c r="H1594" s="83" t="str">
        <f aca="false">IF(AND(B1594="",C1594="",D1594=""),"",IF(B1594="","Missing contract",IF(C1594="","Missing code",IF(LEFT(G1594,3)="Not","Wrong code",IF(D1594="","Missing qty",IF(A1594="","Missing date",""))))))</f>
        <v/>
      </c>
      <c r="I1594" s="84" t="str">
        <f aca="false">IF(B1594=Dashboard!$D$3,ROW(),"")</f>
        <v/>
      </c>
    </row>
    <row r="1595" customFormat="false" ht="15" hidden="false" customHeight="false" outlineLevel="0" collapsed="false">
      <c r="A1595" s="80"/>
      <c r="B1595" s="71"/>
      <c r="C1595" s="71"/>
      <c r="D1595" s="81"/>
      <c r="E1595" s="71"/>
      <c r="F1595" s="71"/>
      <c r="G1595" s="82" t="str">
        <f aca="false">IF(C1595="","",IFERROR(INDEX('Kit Lists'!$D$6:$D$605,MATCH(B1595&amp;"|"&amp;C1595,'Kit Lists'!$J$6:$J$605,0)),"Not on this contract's kit list"))</f>
        <v/>
      </c>
      <c r="H1595" s="83" t="str">
        <f aca="false">IF(AND(B1595="",C1595="",D1595=""),"",IF(B1595="","Missing contract",IF(C1595="","Missing code",IF(LEFT(G1595,3)="Not","Wrong code",IF(D1595="","Missing qty",IF(A1595="","Missing date",""))))))</f>
        <v/>
      </c>
      <c r="I1595" s="84" t="str">
        <f aca="false">IF(B1595=Dashboard!$D$3,ROW(),"")</f>
        <v/>
      </c>
    </row>
    <row r="1596" customFormat="false" ht="15" hidden="false" customHeight="false" outlineLevel="0" collapsed="false">
      <c r="A1596" s="80"/>
      <c r="B1596" s="71"/>
      <c r="C1596" s="71"/>
      <c r="D1596" s="81"/>
      <c r="E1596" s="71"/>
      <c r="F1596" s="71"/>
      <c r="G1596" s="82" t="str">
        <f aca="false">IF(C1596="","",IFERROR(INDEX('Kit Lists'!$D$6:$D$605,MATCH(B1596&amp;"|"&amp;C1596,'Kit Lists'!$J$6:$J$605,0)),"Not on this contract's kit list"))</f>
        <v/>
      </c>
      <c r="H1596" s="83" t="str">
        <f aca="false">IF(AND(B1596="",C1596="",D1596=""),"",IF(B1596="","Missing contract",IF(C1596="","Missing code",IF(LEFT(G1596,3)="Not","Wrong code",IF(D1596="","Missing qty",IF(A1596="","Missing date",""))))))</f>
        <v/>
      </c>
      <c r="I1596" s="84" t="str">
        <f aca="false">IF(B1596=Dashboard!$D$3,ROW(),"")</f>
        <v/>
      </c>
    </row>
    <row r="1597" customFormat="false" ht="15" hidden="false" customHeight="false" outlineLevel="0" collapsed="false">
      <c r="A1597" s="80"/>
      <c r="B1597" s="71"/>
      <c r="C1597" s="71"/>
      <c r="D1597" s="81"/>
      <c r="E1597" s="71"/>
      <c r="F1597" s="71"/>
      <c r="G1597" s="82" t="str">
        <f aca="false">IF(C1597="","",IFERROR(INDEX('Kit Lists'!$D$6:$D$605,MATCH(B1597&amp;"|"&amp;C1597,'Kit Lists'!$J$6:$J$605,0)),"Not on this contract's kit list"))</f>
        <v/>
      </c>
      <c r="H1597" s="83" t="str">
        <f aca="false">IF(AND(B1597="",C1597="",D1597=""),"",IF(B1597="","Missing contract",IF(C1597="","Missing code",IF(LEFT(G1597,3)="Not","Wrong code",IF(D1597="","Missing qty",IF(A1597="","Missing date",""))))))</f>
        <v/>
      </c>
      <c r="I1597" s="84" t="str">
        <f aca="false">IF(B1597=Dashboard!$D$3,ROW(),"")</f>
        <v/>
      </c>
    </row>
    <row r="1598" customFormat="false" ht="15" hidden="false" customHeight="false" outlineLevel="0" collapsed="false">
      <c r="A1598" s="80"/>
      <c r="B1598" s="71"/>
      <c r="C1598" s="71"/>
      <c r="D1598" s="81"/>
      <c r="E1598" s="71"/>
      <c r="F1598" s="71"/>
      <c r="G1598" s="82" t="str">
        <f aca="false">IF(C1598="","",IFERROR(INDEX('Kit Lists'!$D$6:$D$605,MATCH(B1598&amp;"|"&amp;C1598,'Kit Lists'!$J$6:$J$605,0)),"Not on this contract's kit list"))</f>
        <v/>
      </c>
      <c r="H1598" s="83" t="str">
        <f aca="false">IF(AND(B1598="",C1598="",D1598=""),"",IF(B1598="","Missing contract",IF(C1598="","Missing code",IF(LEFT(G1598,3)="Not","Wrong code",IF(D1598="","Missing qty",IF(A1598="","Missing date",""))))))</f>
        <v/>
      </c>
      <c r="I1598" s="84" t="str">
        <f aca="false">IF(B1598=Dashboard!$D$3,ROW(),"")</f>
        <v/>
      </c>
    </row>
    <row r="1599" customFormat="false" ht="15" hidden="false" customHeight="false" outlineLevel="0" collapsed="false">
      <c r="A1599" s="80"/>
      <c r="B1599" s="71"/>
      <c r="C1599" s="71"/>
      <c r="D1599" s="81"/>
      <c r="E1599" s="71"/>
      <c r="F1599" s="71"/>
      <c r="G1599" s="82" t="str">
        <f aca="false">IF(C1599="","",IFERROR(INDEX('Kit Lists'!$D$6:$D$605,MATCH(B1599&amp;"|"&amp;C1599,'Kit Lists'!$J$6:$J$605,0)),"Not on this contract's kit list"))</f>
        <v/>
      </c>
      <c r="H1599" s="83" t="str">
        <f aca="false">IF(AND(B1599="",C1599="",D1599=""),"",IF(B1599="","Missing contract",IF(C1599="","Missing code",IF(LEFT(G1599,3)="Not","Wrong code",IF(D1599="","Missing qty",IF(A1599="","Missing date",""))))))</f>
        <v/>
      </c>
      <c r="I1599" s="84" t="str">
        <f aca="false">IF(B1599=Dashboard!$D$3,ROW(),"")</f>
        <v/>
      </c>
    </row>
    <row r="1600" customFormat="false" ht="15" hidden="false" customHeight="false" outlineLevel="0" collapsed="false">
      <c r="A1600" s="80"/>
      <c r="B1600" s="71"/>
      <c r="C1600" s="71"/>
      <c r="D1600" s="81"/>
      <c r="E1600" s="71"/>
      <c r="F1600" s="71"/>
      <c r="G1600" s="82" t="str">
        <f aca="false">IF(C1600="","",IFERROR(INDEX('Kit Lists'!$D$6:$D$605,MATCH(B1600&amp;"|"&amp;C1600,'Kit Lists'!$J$6:$J$605,0)),"Not on this contract's kit list"))</f>
        <v/>
      </c>
      <c r="H1600" s="83" t="str">
        <f aca="false">IF(AND(B1600="",C1600="",D1600=""),"",IF(B1600="","Missing contract",IF(C1600="","Missing code",IF(LEFT(G1600,3)="Not","Wrong code",IF(D1600="","Missing qty",IF(A1600="","Missing date",""))))))</f>
        <v/>
      </c>
      <c r="I1600" s="84" t="str">
        <f aca="false">IF(B1600=Dashboard!$D$3,ROW(),"")</f>
        <v/>
      </c>
    </row>
    <row r="1601" customFormat="false" ht="15" hidden="false" customHeight="false" outlineLevel="0" collapsed="false">
      <c r="A1601" s="80"/>
      <c r="B1601" s="71"/>
      <c r="C1601" s="71"/>
      <c r="D1601" s="81"/>
      <c r="E1601" s="71"/>
      <c r="F1601" s="71"/>
      <c r="G1601" s="82" t="str">
        <f aca="false">IF(C1601="","",IFERROR(INDEX('Kit Lists'!$D$6:$D$605,MATCH(B1601&amp;"|"&amp;C1601,'Kit Lists'!$J$6:$J$605,0)),"Not on this contract's kit list"))</f>
        <v/>
      </c>
      <c r="H1601" s="83" t="str">
        <f aca="false">IF(AND(B1601="",C1601="",D1601=""),"",IF(B1601="","Missing contract",IF(C1601="","Missing code",IF(LEFT(G1601,3)="Not","Wrong code",IF(D1601="","Missing qty",IF(A1601="","Missing date",""))))))</f>
        <v/>
      </c>
      <c r="I1601" s="84" t="str">
        <f aca="false">IF(B1601=Dashboard!$D$3,ROW(),"")</f>
        <v/>
      </c>
    </row>
    <row r="1602" customFormat="false" ht="15" hidden="false" customHeight="false" outlineLevel="0" collapsed="false">
      <c r="A1602" s="80"/>
      <c r="B1602" s="71"/>
      <c r="C1602" s="71"/>
      <c r="D1602" s="81"/>
      <c r="E1602" s="71"/>
      <c r="F1602" s="71"/>
      <c r="G1602" s="82" t="str">
        <f aca="false">IF(C1602="","",IFERROR(INDEX('Kit Lists'!$D$6:$D$605,MATCH(B1602&amp;"|"&amp;C1602,'Kit Lists'!$J$6:$J$605,0)),"Not on this contract's kit list"))</f>
        <v/>
      </c>
      <c r="H1602" s="83" t="str">
        <f aca="false">IF(AND(B1602="",C1602="",D1602=""),"",IF(B1602="","Missing contract",IF(C1602="","Missing code",IF(LEFT(G1602,3)="Not","Wrong code",IF(D1602="","Missing qty",IF(A1602="","Missing date",""))))))</f>
        <v/>
      </c>
      <c r="I1602" s="84" t="str">
        <f aca="false">IF(B1602=Dashboard!$D$3,ROW(),"")</f>
        <v/>
      </c>
    </row>
    <row r="1603" customFormat="false" ht="15" hidden="false" customHeight="false" outlineLevel="0" collapsed="false">
      <c r="A1603" s="80"/>
      <c r="B1603" s="71"/>
      <c r="C1603" s="71"/>
      <c r="D1603" s="81"/>
      <c r="E1603" s="71"/>
      <c r="F1603" s="71"/>
      <c r="G1603" s="82" t="str">
        <f aca="false">IF(C1603="","",IFERROR(INDEX('Kit Lists'!$D$6:$D$605,MATCH(B1603&amp;"|"&amp;C1603,'Kit Lists'!$J$6:$J$605,0)),"Not on this contract's kit list"))</f>
        <v/>
      </c>
      <c r="H1603" s="83" t="str">
        <f aca="false">IF(AND(B1603="",C1603="",D1603=""),"",IF(B1603="","Missing contract",IF(C1603="","Missing code",IF(LEFT(G1603,3)="Not","Wrong code",IF(D1603="","Missing qty",IF(A1603="","Missing date",""))))))</f>
        <v/>
      </c>
      <c r="I1603" s="84" t="str">
        <f aca="false">IF(B1603=Dashboard!$D$3,ROW(),"")</f>
        <v/>
      </c>
    </row>
    <row r="1604" customFormat="false" ht="15" hidden="false" customHeight="false" outlineLevel="0" collapsed="false">
      <c r="A1604" s="80"/>
      <c r="B1604" s="71"/>
      <c r="C1604" s="71"/>
      <c r="D1604" s="81"/>
      <c r="E1604" s="71"/>
      <c r="F1604" s="71"/>
      <c r="G1604" s="82" t="str">
        <f aca="false">IF(C1604="","",IFERROR(INDEX('Kit Lists'!$D$6:$D$605,MATCH(B1604&amp;"|"&amp;C1604,'Kit Lists'!$J$6:$J$605,0)),"Not on this contract's kit list"))</f>
        <v/>
      </c>
      <c r="H1604" s="83" t="str">
        <f aca="false">IF(AND(B1604="",C1604="",D1604=""),"",IF(B1604="","Missing contract",IF(C1604="","Missing code",IF(LEFT(G1604,3)="Not","Wrong code",IF(D1604="","Missing qty",IF(A1604="","Missing date",""))))))</f>
        <v/>
      </c>
      <c r="I1604" s="84" t="str">
        <f aca="false">IF(B1604=Dashboard!$D$3,ROW(),"")</f>
        <v/>
      </c>
    </row>
    <row r="1605" customFormat="false" ht="15" hidden="false" customHeight="false" outlineLevel="0" collapsed="false">
      <c r="A1605" s="80"/>
      <c r="B1605" s="71"/>
      <c r="C1605" s="71"/>
      <c r="D1605" s="81"/>
      <c r="E1605" s="71"/>
      <c r="F1605" s="71"/>
      <c r="G1605" s="82" t="str">
        <f aca="false">IF(C1605="","",IFERROR(INDEX('Kit Lists'!$D$6:$D$605,MATCH(B1605&amp;"|"&amp;C1605,'Kit Lists'!$J$6:$J$605,0)),"Not on this contract's kit list"))</f>
        <v/>
      </c>
      <c r="H1605" s="83" t="str">
        <f aca="false">IF(AND(B1605="",C1605="",D1605=""),"",IF(B1605="","Missing contract",IF(C1605="","Missing code",IF(LEFT(G1605,3)="Not","Wrong code",IF(D1605="","Missing qty",IF(A1605="","Missing date",""))))))</f>
        <v/>
      </c>
      <c r="I1605" s="84" t="str">
        <f aca="false">IF(B1605=Dashboard!$D$3,ROW(),"")</f>
        <v/>
      </c>
    </row>
    <row r="1606" customFormat="false" ht="15" hidden="false" customHeight="false" outlineLevel="0" collapsed="false">
      <c r="A1606" s="80"/>
      <c r="B1606" s="71"/>
      <c r="C1606" s="71"/>
      <c r="D1606" s="81"/>
      <c r="E1606" s="71"/>
      <c r="F1606" s="71"/>
      <c r="G1606" s="82" t="str">
        <f aca="false">IF(C1606="","",IFERROR(INDEX('Kit Lists'!$D$6:$D$605,MATCH(B1606&amp;"|"&amp;C1606,'Kit Lists'!$J$6:$J$605,0)),"Not on this contract's kit list"))</f>
        <v/>
      </c>
      <c r="H1606" s="83" t="str">
        <f aca="false">IF(AND(B1606="",C1606="",D1606=""),"",IF(B1606="","Missing contract",IF(C1606="","Missing code",IF(LEFT(G1606,3)="Not","Wrong code",IF(D1606="","Missing qty",IF(A1606="","Missing date",""))))))</f>
        <v/>
      </c>
      <c r="I1606" s="84" t="str">
        <f aca="false">IF(B1606=Dashboard!$D$3,ROW(),"")</f>
        <v/>
      </c>
    </row>
    <row r="1607" customFormat="false" ht="15" hidden="false" customHeight="false" outlineLevel="0" collapsed="false">
      <c r="A1607" s="80"/>
      <c r="B1607" s="71"/>
      <c r="C1607" s="71"/>
      <c r="D1607" s="81"/>
      <c r="E1607" s="71"/>
      <c r="F1607" s="71"/>
      <c r="G1607" s="82" t="str">
        <f aca="false">IF(C1607="","",IFERROR(INDEX('Kit Lists'!$D$6:$D$605,MATCH(B1607&amp;"|"&amp;C1607,'Kit Lists'!$J$6:$J$605,0)),"Not on this contract's kit list"))</f>
        <v/>
      </c>
      <c r="H1607" s="83" t="str">
        <f aca="false">IF(AND(B1607="",C1607="",D1607=""),"",IF(B1607="","Missing contract",IF(C1607="","Missing code",IF(LEFT(G1607,3)="Not","Wrong code",IF(D1607="","Missing qty",IF(A1607="","Missing date",""))))))</f>
        <v/>
      </c>
      <c r="I1607" s="84" t="str">
        <f aca="false">IF(B1607=Dashboard!$D$3,ROW(),"")</f>
        <v/>
      </c>
    </row>
    <row r="1608" customFormat="false" ht="15" hidden="false" customHeight="false" outlineLevel="0" collapsed="false">
      <c r="A1608" s="80"/>
      <c r="B1608" s="71"/>
      <c r="C1608" s="71"/>
      <c r="D1608" s="81"/>
      <c r="E1608" s="71"/>
      <c r="F1608" s="71"/>
      <c r="G1608" s="82" t="str">
        <f aca="false">IF(C1608="","",IFERROR(INDEX('Kit Lists'!$D$6:$D$605,MATCH(B1608&amp;"|"&amp;C1608,'Kit Lists'!$J$6:$J$605,0)),"Not on this contract's kit list"))</f>
        <v/>
      </c>
      <c r="H1608" s="83" t="str">
        <f aca="false">IF(AND(B1608="",C1608="",D1608=""),"",IF(B1608="","Missing contract",IF(C1608="","Missing code",IF(LEFT(G1608,3)="Not","Wrong code",IF(D1608="","Missing qty",IF(A1608="","Missing date",""))))))</f>
        <v/>
      </c>
      <c r="I1608" s="84" t="str">
        <f aca="false">IF(B1608=Dashboard!$D$3,ROW(),"")</f>
        <v/>
      </c>
    </row>
    <row r="1609" customFormat="false" ht="15" hidden="false" customHeight="false" outlineLevel="0" collapsed="false">
      <c r="A1609" s="80"/>
      <c r="B1609" s="71"/>
      <c r="C1609" s="71"/>
      <c r="D1609" s="81"/>
      <c r="E1609" s="71"/>
      <c r="F1609" s="71"/>
      <c r="G1609" s="82" t="str">
        <f aca="false">IF(C1609="","",IFERROR(INDEX('Kit Lists'!$D$6:$D$605,MATCH(B1609&amp;"|"&amp;C1609,'Kit Lists'!$J$6:$J$605,0)),"Not on this contract's kit list"))</f>
        <v/>
      </c>
      <c r="H1609" s="83" t="str">
        <f aca="false">IF(AND(B1609="",C1609="",D1609=""),"",IF(B1609="","Missing contract",IF(C1609="","Missing code",IF(LEFT(G1609,3)="Not","Wrong code",IF(D1609="","Missing qty",IF(A1609="","Missing date",""))))))</f>
        <v/>
      </c>
      <c r="I1609" s="84" t="str">
        <f aca="false">IF(B1609=Dashboard!$D$3,ROW(),"")</f>
        <v/>
      </c>
    </row>
    <row r="1610" customFormat="false" ht="15" hidden="false" customHeight="false" outlineLevel="0" collapsed="false">
      <c r="A1610" s="80"/>
      <c r="B1610" s="71"/>
      <c r="C1610" s="71"/>
      <c r="D1610" s="81"/>
      <c r="E1610" s="71"/>
      <c r="F1610" s="71"/>
      <c r="G1610" s="82" t="str">
        <f aca="false">IF(C1610="","",IFERROR(INDEX('Kit Lists'!$D$6:$D$605,MATCH(B1610&amp;"|"&amp;C1610,'Kit Lists'!$J$6:$J$605,0)),"Not on this contract's kit list"))</f>
        <v/>
      </c>
      <c r="H1610" s="83" t="str">
        <f aca="false">IF(AND(B1610="",C1610="",D1610=""),"",IF(B1610="","Missing contract",IF(C1610="","Missing code",IF(LEFT(G1610,3)="Not","Wrong code",IF(D1610="","Missing qty",IF(A1610="","Missing date",""))))))</f>
        <v/>
      </c>
      <c r="I1610" s="84" t="str">
        <f aca="false">IF(B1610=Dashboard!$D$3,ROW(),"")</f>
        <v/>
      </c>
    </row>
    <row r="1611" customFormat="false" ht="15" hidden="false" customHeight="false" outlineLevel="0" collapsed="false">
      <c r="A1611" s="80"/>
      <c r="B1611" s="71"/>
      <c r="C1611" s="71"/>
      <c r="D1611" s="81"/>
      <c r="E1611" s="71"/>
      <c r="F1611" s="71"/>
      <c r="G1611" s="82" t="str">
        <f aca="false">IF(C1611="","",IFERROR(INDEX('Kit Lists'!$D$6:$D$605,MATCH(B1611&amp;"|"&amp;C1611,'Kit Lists'!$J$6:$J$605,0)),"Not on this contract's kit list"))</f>
        <v/>
      </c>
      <c r="H1611" s="83" t="str">
        <f aca="false">IF(AND(B1611="",C1611="",D1611=""),"",IF(B1611="","Missing contract",IF(C1611="","Missing code",IF(LEFT(G1611,3)="Not","Wrong code",IF(D1611="","Missing qty",IF(A1611="","Missing date",""))))))</f>
        <v/>
      </c>
      <c r="I1611" s="84" t="str">
        <f aca="false">IF(B1611=Dashboard!$D$3,ROW(),"")</f>
        <v/>
      </c>
    </row>
    <row r="1612" customFormat="false" ht="15" hidden="false" customHeight="false" outlineLevel="0" collapsed="false">
      <c r="A1612" s="80"/>
      <c r="B1612" s="71"/>
      <c r="C1612" s="71"/>
      <c r="D1612" s="81"/>
      <c r="E1612" s="71"/>
      <c r="F1612" s="71"/>
      <c r="G1612" s="82" t="str">
        <f aca="false">IF(C1612="","",IFERROR(INDEX('Kit Lists'!$D$6:$D$605,MATCH(B1612&amp;"|"&amp;C1612,'Kit Lists'!$J$6:$J$605,0)),"Not on this contract's kit list"))</f>
        <v/>
      </c>
      <c r="H1612" s="83" t="str">
        <f aca="false">IF(AND(B1612="",C1612="",D1612=""),"",IF(B1612="","Missing contract",IF(C1612="","Missing code",IF(LEFT(G1612,3)="Not","Wrong code",IF(D1612="","Missing qty",IF(A1612="","Missing date",""))))))</f>
        <v/>
      </c>
      <c r="I1612" s="84" t="str">
        <f aca="false">IF(B1612=Dashboard!$D$3,ROW(),"")</f>
        <v/>
      </c>
    </row>
    <row r="1613" customFormat="false" ht="15" hidden="false" customHeight="false" outlineLevel="0" collapsed="false">
      <c r="A1613" s="80"/>
      <c r="B1613" s="71"/>
      <c r="C1613" s="71"/>
      <c r="D1613" s="81"/>
      <c r="E1613" s="71"/>
      <c r="F1613" s="71"/>
      <c r="G1613" s="82" t="str">
        <f aca="false">IF(C1613="","",IFERROR(INDEX('Kit Lists'!$D$6:$D$605,MATCH(B1613&amp;"|"&amp;C1613,'Kit Lists'!$J$6:$J$605,0)),"Not on this contract's kit list"))</f>
        <v/>
      </c>
      <c r="H1613" s="83" t="str">
        <f aca="false">IF(AND(B1613="",C1613="",D1613=""),"",IF(B1613="","Missing contract",IF(C1613="","Missing code",IF(LEFT(G1613,3)="Not","Wrong code",IF(D1613="","Missing qty",IF(A1613="","Missing date",""))))))</f>
        <v/>
      </c>
      <c r="I1613" s="84" t="str">
        <f aca="false">IF(B1613=Dashboard!$D$3,ROW(),"")</f>
        <v/>
      </c>
    </row>
    <row r="1614" customFormat="false" ht="15" hidden="false" customHeight="false" outlineLevel="0" collapsed="false">
      <c r="A1614" s="80"/>
      <c r="B1614" s="71"/>
      <c r="C1614" s="71"/>
      <c r="D1614" s="81"/>
      <c r="E1614" s="71"/>
      <c r="F1614" s="71"/>
      <c r="G1614" s="82" t="str">
        <f aca="false">IF(C1614="","",IFERROR(INDEX('Kit Lists'!$D$6:$D$605,MATCH(B1614&amp;"|"&amp;C1614,'Kit Lists'!$J$6:$J$605,0)),"Not on this contract's kit list"))</f>
        <v/>
      </c>
      <c r="H1614" s="83" t="str">
        <f aca="false">IF(AND(B1614="",C1614="",D1614=""),"",IF(B1614="","Missing contract",IF(C1614="","Missing code",IF(LEFT(G1614,3)="Not","Wrong code",IF(D1614="","Missing qty",IF(A1614="","Missing date",""))))))</f>
        <v/>
      </c>
      <c r="I1614" s="84" t="str">
        <f aca="false">IF(B1614=Dashboard!$D$3,ROW(),"")</f>
        <v/>
      </c>
    </row>
    <row r="1615" customFormat="false" ht="15" hidden="false" customHeight="false" outlineLevel="0" collapsed="false">
      <c r="A1615" s="80"/>
      <c r="B1615" s="71"/>
      <c r="C1615" s="71"/>
      <c r="D1615" s="81"/>
      <c r="E1615" s="71"/>
      <c r="F1615" s="71"/>
      <c r="G1615" s="82" t="str">
        <f aca="false">IF(C1615="","",IFERROR(INDEX('Kit Lists'!$D$6:$D$605,MATCH(B1615&amp;"|"&amp;C1615,'Kit Lists'!$J$6:$J$605,0)),"Not on this contract's kit list"))</f>
        <v/>
      </c>
      <c r="H1615" s="83" t="str">
        <f aca="false">IF(AND(B1615="",C1615="",D1615=""),"",IF(B1615="","Missing contract",IF(C1615="","Missing code",IF(LEFT(G1615,3)="Not","Wrong code",IF(D1615="","Missing qty",IF(A1615="","Missing date",""))))))</f>
        <v/>
      </c>
      <c r="I1615" s="84" t="str">
        <f aca="false">IF(B1615=Dashboard!$D$3,ROW(),"")</f>
        <v/>
      </c>
    </row>
    <row r="1616" customFormat="false" ht="15" hidden="false" customHeight="false" outlineLevel="0" collapsed="false">
      <c r="A1616" s="80"/>
      <c r="B1616" s="71"/>
      <c r="C1616" s="71"/>
      <c r="D1616" s="81"/>
      <c r="E1616" s="71"/>
      <c r="F1616" s="71"/>
      <c r="G1616" s="82" t="str">
        <f aca="false">IF(C1616="","",IFERROR(INDEX('Kit Lists'!$D$6:$D$605,MATCH(B1616&amp;"|"&amp;C1616,'Kit Lists'!$J$6:$J$605,0)),"Not on this contract's kit list"))</f>
        <v/>
      </c>
      <c r="H1616" s="83" t="str">
        <f aca="false">IF(AND(B1616="",C1616="",D1616=""),"",IF(B1616="","Missing contract",IF(C1616="","Missing code",IF(LEFT(G1616,3)="Not","Wrong code",IF(D1616="","Missing qty",IF(A1616="","Missing date",""))))))</f>
        <v/>
      </c>
      <c r="I1616" s="84" t="str">
        <f aca="false">IF(B1616=Dashboard!$D$3,ROW(),"")</f>
        <v/>
      </c>
    </row>
    <row r="1617" customFormat="false" ht="15" hidden="false" customHeight="false" outlineLevel="0" collapsed="false">
      <c r="A1617" s="80"/>
      <c r="B1617" s="71"/>
      <c r="C1617" s="71"/>
      <c r="D1617" s="81"/>
      <c r="E1617" s="71"/>
      <c r="F1617" s="71"/>
      <c r="G1617" s="82" t="str">
        <f aca="false">IF(C1617="","",IFERROR(INDEX('Kit Lists'!$D$6:$D$605,MATCH(B1617&amp;"|"&amp;C1617,'Kit Lists'!$J$6:$J$605,0)),"Not on this contract's kit list"))</f>
        <v/>
      </c>
      <c r="H1617" s="83" t="str">
        <f aca="false">IF(AND(B1617="",C1617="",D1617=""),"",IF(B1617="","Missing contract",IF(C1617="","Missing code",IF(LEFT(G1617,3)="Not","Wrong code",IF(D1617="","Missing qty",IF(A1617="","Missing date",""))))))</f>
        <v/>
      </c>
      <c r="I1617" s="84" t="str">
        <f aca="false">IF(B1617=Dashboard!$D$3,ROW(),"")</f>
        <v/>
      </c>
    </row>
    <row r="1618" customFormat="false" ht="15" hidden="false" customHeight="false" outlineLevel="0" collapsed="false">
      <c r="A1618" s="80"/>
      <c r="B1618" s="71"/>
      <c r="C1618" s="71"/>
      <c r="D1618" s="81"/>
      <c r="E1618" s="71"/>
      <c r="F1618" s="71"/>
      <c r="G1618" s="82" t="str">
        <f aca="false">IF(C1618="","",IFERROR(INDEX('Kit Lists'!$D$6:$D$605,MATCH(B1618&amp;"|"&amp;C1618,'Kit Lists'!$J$6:$J$605,0)),"Not on this contract's kit list"))</f>
        <v/>
      </c>
      <c r="H1618" s="83" t="str">
        <f aca="false">IF(AND(B1618="",C1618="",D1618=""),"",IF(B1618="","Missing contract",IF(C1618="","Missing code",IF(LEFT(G1618,3)="Not","Wrong code",IF(D1618="","Missing qty",IF(A1618="","Missing date",""))))))</f>
        <v/>
      </c>
      <c r="I1618" s="84" t="str">
        <f aca="false">IF(B1618=Dashboard!$D$3,ROW(),"")</f>
        <v/>
      </c>
    </row>
    <row r="1619" customFormat="false" ht="15" hidden="false" customHeight="false" outlineLevel="0" collapsed="false">
      <c r="A1619" s="80"/>
      <c r="B1619" s="71"/>
      <c r="C1619" s="71"/>
      <c r="D1619" s="81"/>
      <c r="E1619" s="71"/>
      <c r="F1619" s="71"/>
      <c r="G1619" s="82" t="str">
        <f aca="false">IF(C1619="","",IFERROR(INDEX('Kit Lists'!$D$6:$D$605,MATCH(B1619&amp;"|"&amp;C1619,'Kit Lists'!$J$6:$J$605,0)),"Not on this contract's kit list"))</f>
        <v/>
      </c>
      <c r="H1619" s="83" t="str">
        <f aca="false">IF(AND(B1619="",C1619="",D1619=""),"",IF(B1619="","Missing contract",IF(C1619="","Missing code",IF(LEFT(G1619,3)="Not","Wrong code",IF(D1619="","Missing qty",IF(A1619="","Missing date",""))))))</f>
        <v/>
      </c>
      <c r="I1619" s="84" t="str">
        <f aca="false">IF(B1619=Dashboard!$D$3,ROW(),"")</f>
        <v/>
      </c>
    </row>
    <row r="1620" customFormat="false" ht="15" hidden="false" customHeight="false" outlineLevel="0" collapsed="false">
      <c r="A1620" s="80"/>
      <c r="B1620" s="71"/>
      <c r="C1620" s="71"/>
      <c r="D1620" s="81"/>
      <c r="E1620" s="71"/>
      <c r="F1620" s="71"/>
      <c r="G1620" s="82" t="str">
        <f aca="false">IF(C1620="","",IFERROR(INDEX('Kit Lists'!$D$6:$D$605,MATCH(B1620&amp;"|"&amp;C1620,'Kit Lists'!$J$6:$J$605,0)),"Not on this contract's kit list"))</f>
        <v/>
      </c>
      <c r="H1620" s="83" t="str">
        <f aca="false">IF(AND(B1620="",C1620="",D1620=""),"",IF(B1620="","Missing contract",IF(C1620="","Missing code",IF(LEFT(G1620,3)="Not","Wrong code",IF(D1620="","Missing qty",IF(A1620="","Missing date",""))))))</f>
        <v/>
      </c>
      <c r="I1620" s="84" t="str">
        <f aca="false">IF(B1620=Dashboard!$D$3,ROW(),"")</f>
        <v/>
      </c>
    </row>
    <row r="1621" customFormat="false" ht="15" hidden="false" customHeight="false" outlineLevel="0" collapsed="false">
      <c r="A1621" s="80"/>
      <c r="B1621" s="71"/>
      <c r="C1621" s="71"/>
      <c r="D1621" s="81"/>
      <c r="E1621" s="71"/>
      <c r="F1621" s="71"/>
      <c r="G1621" s="82" t="str">
        <f aca="false">IF(C1621="","",IFERROR(INDEX('Kit Lists'!$D$6:$D$605,MATCH(B1621&amp;"|"&amp;C1621,'Kit Lists'!$J$6:$J$605,0)),"Not on this contract's kit list"))</f>
        <v/>
      </c>
      <c r="H1621" s="83" t="str">
        <f aca="false">IF(AND(B1621="",C1621="",D1621=""),"",IF(B1621="","Missing contract",IF(C1621="","Missing code",IF(LEFT(G1621,3)="Not","Wrong code",IF(D1621="","Missing qty",IF(A1621="","Missing date",""))))))</f>
        <v/>
      </c>
      <c r="I1621" s="84" t="str">
        <f aca="false">IF(B1621=Dashboard!$D$3,ROW(),"")</f>
        <v/>
      </c>
    </row>
    <row r="1622" customFormat="false" ht="15" hidden="false" customHeight="false" outlineLevel="0" collapsed="false">
      <c r="A1622" s="80"/>
      <c r="B1622" s="71"/>
      <c r="C1622" s="71"/>
      <c r="D1622" s="81"/>
      <c r="E1622" s="71"/>
      <c r="F1622" s="71"/>
      <c r="G1622" s="82" t="str">
        <f aca="false">IF(C1622="","",IFERROR(INDEX('Kit Lists'!$D$6:$D$605,MATCH(B1622&amp;"|"&amp;C1622,'Kit Lists'!$J$6:$J$605,0)),"Not on this contract's kit list"))</f>
        <v/>
      </c>
      <c r="H1622" s="83" t="str">
        <f aca="false">IF(AND(B1622="",C1622="",D1622=""),"",IF(B1622="","Missing contract",IF(C1622="","Missing code",IF(LEFT(G1622,3)="Not","Wrong code",IF(D1622="","Missing qty",IF(A1622="","Missing date",""))))))</f>
        <v/>
      </c>
      <c r="I1622" s="84" t="str">
        <f aca="false">IF(B1622=Dashboard!$D$3,ROW(),"")</f>
        <v/>
      </c>
    </row>
    <row r="1623" customFormat="false" ht="15" hidden="false" customHeight="false" outlineLevel="0" collapsed="false">
      <c r="A1623" s="80"/>
      <c r="B1623" s="71"/>
      <c r="C1623" s="71"/>
      <c r="D1623" s="81"/>
      <c r="E1623" s="71"/>
      <c r="F1623" s="71"/>
      <c r="G1623" s="82" t="str">
        <f aca="false">IF(C1623="","",IFERROR(INDEX('Kit Lists'!$D$6:$D$605,MATCH(B1623&amp;"|"&amp;C1623,'Kit Lists'!$J$6:$J$605,0)),"Not on this contract's kit list"))</f>
        <v/>
      </c>
      <c r="H1623" s="83" t="str">
        <f aca="false">IF(AND(B1623="",C1623="",D1623=""),"",IF(B1623="","Missing contract",IF(C1623="","Missing code",IF(LEFT(G1623,3)="Not","Wrong code",IF(D1623="","Missing qty",IF(A1623="","Missing date",""))))))</f>
        <v/>
      </c>
      <c r="I1623" s="84" t="str">
        <f aca="false">IF(B1623=Dashboard!$D$3,ROW(),"")</f>
        <v/>
      </c>
    </row>
    <row r="1624" customFormat="false" ht="15" hidden="false" customHeight="false" outlineLevel="0" collapsed="false">
      <c r="A1624" s="80"/>
      <c r="B1624" s="71"/>
      <c r="C1624" s="71"/>
      <c r="D1624" s="81"/>
      <c r="E1624" s="71"/>
      <c r="F1624" s="71"/>
      <c r="G1624" s="82" t="str">
        <f aca="false">IF(C1624="","",IFERROR(INDEX('Kit Lists'!$D$6:$D$605,MATCH(B1624&amp;"|"&amp;C1624,'Kit Lists'!$J$6:$J$605,0)),"Not on this contract's kit list"))</f>
        <v/>
      </c>
      <c r="H1624" s="83" t="str">
        <f aca="false">IF(AND(B1624="",C1624="",D1624=""),"",IF(B1624="","Missing contract",IF(C1624="","Missing code",IF(LEFT(G1624,3)="Not","Wrong code",IF(D1624="","Missing qty",IF(A1624="","Missing date",""))))))</f>
        <v/>
      </c>
      <c r="I1624" s="84" t="str">
        <f aca="false">IF(B1624=Dashboard!$D$3,ROW(),"")</f>
        <v/>
      </c>
    </row>
    <row r="1625" customFormat="false" ht="15" hidden="false" customHeight="false" outlineLevel="0" collapsed="false">
      <c r="A1625" s="80"/>
      <c r="B1625" s="71"/>
      <c r="C1625" s="71"/>
      <c r="D1625" s="81"/>
      <c r="E1625" s="71"/>
      <c r="F1625" s="71"/>
      <c r="G1625" s="82" t="str">
        <f aca="false">IF(C1625="","",IFERROR(INDEX('Kit Lists'!$D$6:$D$605,MATCH(B1625&amp;"|"&amp;C1625,'Kit Lists'!$J$6:$J$605,0)),"Not on this contract's kit list"))</f>
        <v/>
      </c>
      <c r="H1625" s="83" t="str">
        <f aca="false">IF(AND(B1625="",C1625="",D1625=""),"",IF(B1625="","Missing contract",IF(C1625="","Missing code",IF(LEFT(G1625,3)="Not","Wrong code",IF(D1625="","Missing qty",IF(A1625="","Missing date",""))))))</f>
        <v/>
      </c>
      <c r="I1625" s="84" t="str">
        <f aca="false">IF(B1625=Dashboard!$D$3,ROW(),"")</f>
        <v/>
      </c>
    </row>
    <row r="1626" customFormat="false" ht="15" hidden="false" customHeight="false" outlineLevel="0" collapsed="false">
      <c r="A1626" s="80"/>
      <c r="B1626" s="71"/>
      <c r="C1626" s="71"/>
      <c r="D1626" s="81"/>
      <c r="E1626" s="71"/>
      <c r="F1626" s="71"/>
      <c r="G1626" s="82" t="str">
        <f aca="false">IF(C1626="","",IFERROR(INDEX('Kit Lists'!$D$6:$D$605,MATCH(B1626&amp;"|"&amp;C1626,'Kit Lists'!$J$6:$J$605,0)),"Not on this contract's kit list"))</f>
        <v/>
      </c>
      <c r="H1626" s="83" t="str">
        <f aca="false">IF(AND(B1626="",C1626="",D1626=""),"",IF(B1626="","Missing contract",IF(C1626="","Missing code",IF(LEFT(G1626,3)="Not","Wrong code",IF(D1626="","Missing qty",IF(A1626="","Missing date",""))))))</f>
        <v/>
      </c>
      <c r="I1626" s="84" t="str">
        <f aca="false">IF(B1626=Dashboard!$D$3,ROW(),"")</f>
        <v/>
      </c>
    </row>
    <row r="1627" customFormat="false" ht="15" hidden="false" customHeight="false" outlineLevel="0" collapsed="false">
      <c r="A1627" s="80"/>
      <c r="B1627" s="71"/>
      <c r="C1627" s="71"/>
      <c r="D1627" s="81"/>
      <c r="E1627" s="71"/>
      <c r="F1627" s="71"/>
      <c r="G1627" s="82" t="str">
        <f aca="false">IF(C1627="","",IFERROR(INDEX('Kit Lists'!$D$6:$D$605,MATCH(B1627&amp;"|"&amp;C1627,'Kit Lists'!$J$6:$J$605,0)),"Not on this contract's kit list"))</f>
        <v/>
      </c>
      <c r="H1627" s="83" t="str">
        <f aca="false">IF(AND(B1627="",C1627="",D1627=""),"",IF(B1627="","Missing contract",IF(C1627="","Missing code",IF(LEFT(G1627,3)="Not","Wrong code",IF(D1627="","Missing qty",IF(A1627="","Missing date",""))))))</f>
        <v/>
      </c>
      <c r="I1627" s="84" t="str">
        <f aca="false">IF(B1627=Dashboard!$D$3,ROW(),"")</f>
        <v/>
      </c>
    </row>
    <row r="1628" customFormat="false" ht="15" hidden="false" customHeight="false" outlineLevel="0" collapsed="false">
      <c r="A1628" s="80"/>
      <c r="B1628" s="71"/>
      <c r="C1628" s="71"/>
      <c r="D1628" s="81"/>
      <c r="E1628" s="71"/>
      <c r="F1628" s="71"/>
      <c r="G1628" s="82" t="str">
        <f aca="false">IF(C1628="","",IFERROR(INDEX('Kit Lists'!$D$6:$D$605,MATCH(B1628&amp;"|"&amp;C1628,'Kit Lists'!$J$6:$J$605,0)),"Not on this contract's kit list"))</f>
        <v/>
      </c>
      <c r="H1628" s="83" t="str">
        <f aca="false">IF(AND(B1628="",C1628="",D1628=""),"",IF(B1628="","Missing contract",IF(C1628="","Missing code",IF(LEFT(G1628,3)="Not","Wrong code",IF(D1628="","Missing qty",IF(A1628="","Missing date",""))))))</f>
        <v/>
      </c>
      <c r="I1628" s="84" t="str">
        <f aca="false">IF(B1628=Dashboard!$D$3,ROW(),"")</f>
        <v/>
      </c>
    </row>
    <row r="1629" customFormat="false" ht="15" hidden="false" customHeight="false" outlineLevel="0" collapsed="false">
      <c r="A1629" s="80"/>
      <c r="B1629" s="71"/>
      <c r="C1629" s="71"/>
      <c r="D1629" s="81"/>
      <c r="E1629" s="71"/>
      <c r="F1629" s="71"/>
      <c r="G1629" s="82" t="str">
        <f aca="false">IF(C1629="","",IFERROR(INDEX('Kit Lists'!$D$6:$D$605,MATCH(B1629&amp;"|"&amp;C1629,'Kit Lists'!$J$6:$J$605,0)),"Not on this contract's kit list"))</f>
        <v/>
      </c>
      <c r="H1629" s="83" t="str">
        <f aca="false">IF(AND(B1629="",C1629="",D1629=""),"",IF(B1629="","Missing contract",IF(C1629="","Missing code",IF(LEFT(G1629,3)="Not","Wrong code",IF(D1629="","Missing qty",IF(A1629="","Missing date",""))))))</f>
        <v/>
      </c>
      <c r="I1629" s="84" t="str">
        <f aca="false">IF(B1629=Dashboard!$D$3,ROW(),"")</f>
        <v/>
      </c>
    </row>
    <row r="1630" customFormat="false" ht="15" hidden="false" customHeight="false" outlineLevel="0" collapsed="false">
      <c r="A1630" s="80"/>
      <c r="B1630" s="71"/>
      <c r="C1630" s="71"/>
      <c r="D1630" s="81"/>
      <c r="E1630" s="71"/>
      <c r="F1630" s="71"/>
      <c r="G1630" s="82" t="str">
        <f aca="false">IF(C1630="","",IFERROR(INDEX('Kit Lists'!$D$6:$D$605,MATCH(B1630&amp;"|"&amp;C1630,'Kit Lists'!$J$6:$J$605,0)),"Not on this contract's kit list"))</f>
        <v/>
      </c>
      <c r="H1630" s="83" t="str">
        <f aca="false">IF(AND(B1630="",C1630="",D1630=""),"",IF(B1630="","Missing contract",IF(C1630="","Missing code",IF(LEFT(G1630,3)="Not","Wrong code",IF(D1630="","Missing qty",IF(A1630="","Missing date",""))))))</f>
        <v/>
      </c>
      <c r="I1630" s="84" t="str">
        <f aca="false">IF(B1630=Dashboard!$D$3,ROW(),"")</f>
        <v/>
      </c>
    </row>
    <row r="1631" customFormat="false" ht="15" hidden="false" customHeight="false" outlineLevel="0" collapsed="false">
      <c r="A1631" s="80"/>
      <c r="B1631" s="71"/>
      <c r="C1631" s="71"/>
      <c r="D1631" s="81"/>
      <c r="E1631" s="71"/>
      <c r="F1631" s="71"/>
      <c r="G1631" s="82" t="str">
        <f aca="false">IF(C1631="","",IFERROR(INDEX('Kit Lists'!$D$6:$D$605,MATCH(B1631&amp;"|"&amp;C1631,'Kit Lists'!$J$6:$J$605,0)),"Not on this contract's kit list"))</f>
        <v/>
      </c>
      <c r="H1631" s="83" t="str">
        <f aca="false">IF(AND(B1631="",C1631="",D1631=""),"",IF(B1631="","Missing contract",IF(C1631="","Missing code",IF(LEFT(G1631,3)="Not","Wrong code",IF(D1631="","Missing qty",IF(A1631="","Missing date",""))))))</f>
        <v/>
      </c>
      <c r="I1631" s="84" t="str">
        <f aca="false">IF(B1631=Dashboard!$D$3,ROW(),"")</f>
        <v/>
      </c>
    </row>
    <row r="1632" customFormat="false" ht="15" hidden="false" customHeight="false" outlineLevel="0" collapsed="false">
      <c r="A1632" s="80"/>
      <c r="B1632" s="71"/>
      <c r="C1632" s="71"/>
      <c r="D1632" s="81"/>
      <c r="E1632" s="71"/>
      <c r="F1632" s="71"/>
      <c r="G1632" s="82" t="str">
        <f aca="false">IF(C1632="","",IFERROR(INDEX('Kit Lists'!$D$6:$D$605,MATCH(B1632&amp;"|"&amp;C1632,'Kit Lists'!$J$6:$J$605,0)),"Not on this contract's kit list"))</f>
        <v/>
      </c>
      <c r="H1632" s="83" t="str">
        <f aca="false">IF(AND(B1632="",C1632="",D1632=""),"",IF(B1632="","Missing contract",IF(C1632="","Missing code",IF(LEFT(G1632,3)="Not","Wrong code",IF(D1632="","Missing qty",IF(A1632="","Missing date",""))))))</f>
        <v/>
      </c>
      <c r="I1632" s="84" t="str">
        <f aca="false">IF(B1632=Dashboard!$D$3,ROW(),"")</f>
        <v/>
      </c>
    </row>
    <row r="1633" customFormat="false" ht="15" hidden="false" customHeight="false" outlineLevel="0" collapsed="false">
      <c r="A1633" s="80"/>
      <c r="B1633" s="71"/>
      <c r="C1633" s="71"/>
      <c r="D1633" s="81"/>
      <c r="E1633" s="71"/>
      <c r="F1633" s="71"/>
      <c r="G1633" s="82" t="str">
        <f aca="false">IF(C1633="","",IFERROR(INDEX('Kit Lists'!$D$6:$D$605,MATCH(B1633&amp;"|"&amp;C1633,'Kit Lists'!$J$6:$J$605,0)),"Not on this contract's kit list"))</f>
        <v/>
      </c>
      <c r="H1633" s="83" t="str">
        <f aca="false">IF(AND(B1633="",C1633="",D1633=""),"",IF(B1633="","Missing contract",IF(C1633="","Missing code",IF(LEFT(G1633,3)="Not","Wrong code",IF(D1633="","Missing qty",IF(A1633="","Missing date",""))))))</f>
        <v/>
      </c>
      <c r="I1633" s="84" t="str">
        <f aca="false">IF(B1633=Dashboard!$D$3,ROW(),"")</f>
        <v/>
      </c>
    </row>
    <row r="1634" customFormat="false" ht="15" hidden="false" customHeight="false" outlineLevel="0" collapsed="false">
      <c r="A1634" s="80"/>
      <c r="B1634" s="71"/>
      <c r="C1634" s="71"/>
      <c r="D1634" s="81"/>
      <c r="E1634" s="71"/>
      <c r="F1634" s="71"/>
      <c r="G1634" s="82" t="str">
        <f aca="false">IF(C1634="","",IFERROR(INDEX('Kit Lists'!$D$6:$D$605,MATCH(B1634&amp;"|"&amp;C1634,'Kit Lists'!$J$6:$J$605,0)),"Not on this contract's kit list"))</f>
        <v/>
      </c>
      <c r="H1634" s="83" t="str">
        <f aca="false">IF(AND(B1634="",C1634="",D1634=""),"",IF(B1634="","Missing contract",IF(C1634="","Missing code",IF(LEFT(G1634,3)="Not","Wrong code",IF(D1634="","Missing qty",IF(A1634="","Missing date",""))))))</f>
        <v/>
      </c>
      <c r="I1634" s="84" t="str">
        <f aca="false">IF(B1634=Dashboard!$D$3,ROW(),"")</f>
        <v/>
      </c>
    </row>
    <row r="1635" customFormat="false" ht="15" hidden="false" customHeight="false" outlineLevel="0" collapsed="false">
      <c r="A1635" s="80"/>
      <c r="B1635" s="71"/>
      <c r="C1635" s="71"/>
      <c r="D1635" s="81"/>
      <c r="E1635" s="71"/>
      <c r="F1635" s="71"/>
      <c r="G1635" s="82" t="str">
        <f aca="false">IF(C1635="","",IFERROR(INDEX('Kit Lists'!$D$6:$D$605,MATCH(B1635&amp;"|"&amp;C1635,'Kit Lists'!$J$6:$J$605,0)),"Not on this contract's kit list"))</f>
        <v/>
      </c>
      <c r="H1635" s="83" t="str">
        <f aca="false">IF(AND(B1635="",C1635="",D1635=""),"",IF(B1635="","Missing contract",IF(C1635="","Missing code",IF(LEFT(G1635,3)="Not","Wrong code",IF(D1635="","Missing qty",IF(A1635="","Missing date",""))))))</f>
        <v/>
      </c>
      <c r="I1635" s="84" t="str">
        <f aca="false">IF(B1635=Dashboard!$D$3,ROW(),"")</f>
        <v/>
      </c>
    </row>
    <row r="1636" customFormat="false" ht="15" hidden="false" customHeight="false" outlineLevel="0" collapsed="false">
      <c r="A1636" s="80"/>
      <c r="B1636" s="71"/>
      <c r="C1636" s="71"/>
      <c r="D1636" s="81"/>
      <c r="E1636" s="71"/>
      <c r="F1636" s="71"/>
      <c r="G1636" s="82" t="str">
        <f aca="false">IF(C1636="","",IFERROR(INDEX('Kit Lists'!$D$6:$D$605,MATCH(B1636&amp;"|"&amp;C1636,'Kit Lists'!$J$6:$J$605,0)),"Not on this contract's kit list"))</f>
        <v/>
      </c>
      <c r="H1636" s="83" t="str">
        <f aca="false">IF(AND(B1636="",C1636="",D1636=""),"",IF(B1636="","Missing contract",IF(C1636="","Missing code",IF(LEFT(G1636,3)="Not","Wrong code",IF(D1636="","Missing qty",IF(A1636="","Missing date",""))))))</f>
        <v/>
      </c>
      <c r="I1636" s="84" t="str">
        <f aca="false">IF(B1636=Dashboard!$D$3,ROW(),"")</f>
        <v/>
      </c>
    </row>
    <row r="1637" customFormat="false" ht="15" hidden="false" customHeight="false" outlineLevel="0" collapsed="false">
      <c r="A1637" s="80"/>
      <c r="B1637" s="71"/>
      <c r="C1637" s="71"/>
      <c r="D1637" s="81"/>
      <c r="E1637" s="71"/>
      <c r="F1637" s="71"/>
      <c r="G1637" s="82" t="str">
        <f aca="false">IF(C1637="","",IFERROR(INDEX('Kit Lists'!$D$6:$D$605,MATCH(B1637&amp;"|"&amp;C1637,'Kit Lists'!$J$6:$J$605,0)),"Not on this contract's kit list"))</f>
        <v/>
      </c>
      <c r="H1637" s="83" t="str">
        <f aca="false">IF(AND(B1637="",C1637="",D1637=""),"",IF(B1637="","Missing contract",IF(C1637="","Missing code",IF(LEFT(G1637,3)="Not","Wrong code",IF(D1637="","Missing qty",IF(A1637="","Missing date",""))))))</f>
        <v/>
      </c>
      <c r="I1637" s="84" t="str">
        <f aca="false">IF(B1637=Dashboard!$D$3,ROW(),"")</f>
        <v/>
      </c>
    </row>
    <row r="1638" customFormat="false" ht="15" hidden="false" customHeight="false" outlineLevel="0" collapsed="false">
      <c r="A1638" s="80"/>
      <c r="B1638" s="71"/>
      <c r="C1638" s="71"/>
      <c r="D1638" s="81"/>
      <c r="E1638" s="71"/>
      <c r="F1638" s="71"/>
      <c r="G1638" s="82" t="str">
        <f aca="false">IF(C1638="","",IFERROR(INDEX('Kit Lists'!$D$6:$D$605,MATCH(B1638&amp;"|"&amp;C1638,'Kit Lists'!$J$6:$J$605,0)),"Not on this contract's kit list"))</f>
        <v/>
      </c>
      <c r="H1638" s="83" t="str">
        <f aca="false">IF(AND(B1638="",C1638="",D1638=""),"",IF(B1638="","Missing contract",IF(C1638="","Missing code",IF(LEFT(G1638,3)="Not","Wrong code",IF(D1638="","Missing qty",IF(A1638="","Missing date",""))))))</f>
        <v/>
      </c>
      <c r="I1638" s="84" t="str">
        <f aca="false">IF(B1638=Dashboard!$D$3,ROW(),"")</f>
        <v/>
      </c>
    </row>
    <row r="1639" customFormat="false" ht="15" hidden="false" customHeight="false" outlineLevel="0" collapsed="false">
      <c r="A1639" s="80"/>
      <c r="B1639" s="71"/>
      <c r="C1639" s="71"/>
      <c r="D1639" s="81"/>
      <c r="E1639" s="71"/>
      <c r="F1639" s="71"/>
      <c r="G1639" s="82" t="str">
        <f aca="false">IF(C1639="","",IFERROR(INDEX('Kit Lists'!$D$6:$D$605,MATCH(B1639&amp;"|"&amp;C1639,'Kit Lists'!$J$6:$J$605,0)),"Not on this contract's kit list"))</f>
        <v/>
      </c>
      <c r="H1639" s="83" t="str">
        <f aca="false">IF(AND(B1639="",C1639="",D1639=""),"",IF(B1639="","Missing contract",IF(C1639="","Missing code",IF(LEFT(G1639,3)="Not","Wrong code",IF(D1639="","Missing qty",IF(A1639="","Missing date",""))))))</f>
        <v/>
      </c>
      <c r="I1639" s="84" t="str">
        <f aca="false">IF(B1639=Dashboard!$D$3,ROW(),"")</f>
        <v/>
      </c>
    </row>
    <row r="1640" customFormat="false" ht="15" hidden="false" customHeight="false" outlineLevel="0" collapsed="false">
      <c r="A1640" s="80"/>
      <c r="B1640" s="71"/>
      <c r="C1640" s="71"/>
      <c r="D1640" s="81"/>
      <c r="E1640" s="71"/>
      <c r="F1640" s="71"/>
      <c r="G1640" s="82" t="str">
        <f aca="false">IF(C1640="","",IFERROR(INDEX('Kit Lists'!$D$6:$D$605,MATCH(B1640&amp;"|"&amp;C1640,'Kit Lists'!$J$6:$J$605,0)),"Not on this contract's kit list"))</f>
        <v/>
      </c>
      <c r="H1640" s="83" t="str">
        <f aca="false">IF(AND(B1640="",C1640="",D1640=""),"",IF(B1640="","Missing contract",IF(C1640="","Missing code",IF(LEFT(G1640,3)="Not","Wrong code",IF(D1640="","Missing qty",IF(A1640="","Missing date",""))))))</f>
        <v/>
      </c>
      <c r="I1640" s="84" t="str">
        <f aca="false">IF(B1640=Dashboard!$D$3,ROW(),"")</f>
        <v/>
      </c>
    </row>
    <row r="1641" customFormat="false" ht="15" hidden="false" customHeight="false" outlineLevel="0" collapsed="false">
      <c r="A1641" s="80"/>
      <c r="B1641" s="71"/>
      <c r="C1641" s="71"/>
      <c r="D1641" s="81"/>
      <c r="E1641" s="71"/>
      <c r="F1641" s="71"/>
      <c r="G1641" s="82" t="str">
        <f aca="false">IF(C1641="","",IFERROR(INDEX('Kit Lists'!$D$6:$D$605,MATCH(B1641&amp;"|"&amp;C1641,'Kit Lists'!$J$6:$J$605,0)),"Not on this contract's kit list"))</f>
        <v/>
      </c>
      <c r="H1641" s="83" t="str">
        <f aca="false">IF(AND(B1641="",C1641="",D1641=""),"",IF(B1641="","Missing contract",IF(C1641="","Missing code",IF(LEFT(G1641,3)="Not","Wrong code",IF(D1641="","Missing qty",IF(A1641="","Missing date",""))))))</f>
        <v/>
      </c>
      <c r="I1641" s="84" t="str">
        <f aca="false">IF(B1641=Dashboard!$D$3,ROW(),"")</f>
        <v/>
      </c>
    </row>
    <row r="1642" customFormat="false" ht="15" hidden="false" customHeight="false" outlineLevel="0" collapsed="false">
      <c r="A1642" s="80"/>
      <c r="B1642" s="71"/>
      <c r="C1642" s="71"/>
      <c r="D1642" s="81"/>
      <c r="E1642" s="71"/>
      <c r="F1642" s="71"/>
      <c r="G1642" s="82" t="str">
        <f aca="false">IF(C1642="","",IFERROR(INDEX('Kit Lists'!$D$6:$D$605,MATCH(B1642&amp;"|"&amp;C1642,'Kit Lists'!$J$6:$J$605,0)),"Not on this contract's kit list"))</f>
        <v/>
      </c>
      <c r="H1642" s="83" t="str">
        <f aca="false">IF(AND(B1642="",C1642="",D1642=""),"",IF(B1642="","Missing contract",IF(C1642="","Missing code",IF(LEFT(G1642,3)="Not","Wrong code",IF(D1642="","Missing qty",IF(A1642="","Missing date",""))))))</f>
        <v/>
      </c>
      <c r="I1642" s="84" t="str">
        <f aca="false">IF(B1642=Dashboard!$D$3,ROW(),"")</f>
        <v/>
      </c>
    </row>
    <row r="1643" customFormat="false" ht="15" hidden="false" customHeight="false" outlineLevel="0" collapsed="false">
      <c r="A1643" s="80"/>
      <c r="B1643" s="71"/>
      <c r="C1643" s="71"/>
      <c r="D1643" s="81"/>
      <c r="E1643" s="71"/>
      <c r="F1643" s="71"/>
      <c r="G1643" s="82" t="str">
        <f aca="false">IF(C1643="","",IFERROR(INDEX('Kit Lists'!$D$6:$D$605,MATCH(B1643&amp;"|"&amp;C1643,'Kit Lists'!$J$6:$J$605,0)),"Not on this contract's kit list"))</f>
        <v/>
      </c>
      <c r="H1643" s="83" t="str">
        <f aca="false">IF(AND(B1643="",C1643="",D1643=""),"",IF(B1643="","Missing contract",IF(C1643="","Missing code",IF(LEFT(G1643,3)="Not","Wrong code",IF(D1643="","Missing qty",IF(A1643="","Missing date",""))))))</f>
        <v/>
      </c>
      <c r="I1643" s="84" t="str">
        <f aca="false">IF(B1643=Dashboard!$D$3,ROW(),"")</f>
        <v/>
      </c>
    </row>
    <row r="1644" customFormat="false" ht="15" hidden="false" customHeight="false" outlineLevel="0" collapsed="false">
      <c r="A1644" s="80"/>
      <c r="B1644" s="71"/>
      <c r="C1644" s="71"/>
      <c r="D1644" s="81"/>
      <c r="E1644" s="71"/>
      <c r="F1644" s="71"/>
      <c r="G1644" s="82" t="str">
        <f aca="false">IF(C1644="","",IFERROR(INDEX('Kit Lists'!$D$6:$D$605,MATCH(B1644&amp;"|"&amp;C1644,'Kit Lists'!$J$6:$J$605,0)),"Not on this contract's kit list"))</f>
        <v/>
      </c>
      <c r="H1644" s="83" t="str">
        <f aca="false">IF(AND(B1644="",C1644="",D1644=""),"",IF(B1644="","Missing contract",IF(C1644="","Missing code",IF(LEFT(G1644,3)="Not","Wrong code",IF(D1644="","Missing qty",IF(A1644="","Missing date",""))))))</f>
        <v/>
      </c>
      <c r="I1644" s="84" t="str">
        <f aca="false">IF(B1644=Dashboard!$D$3,ROW(),"")</f>
        <v/>
      </c>
    </row>
    <row r="1645" customFormat="false" ht="15" hidden="false" customHeight="false" outlineLevel="0" collapsed="false">
      <c r="A1645" s="80"/>
      <c r="B1645" s="71"/>
      <c r="C1645" s="71"/>
      <c r="D1645" s="81"/>
      <c r="E1645" s="71"/>
      <c r="F1645" s="71"/>
      <c r="G1645" s="82" t="str">
        <f aca="false">IF(C1645="","",IFERROR(INDEX('Kit Lists'!$D$6:$D$605,MATCH(B1645&amp;"|"&amp;C1645,'Kit Lists'!$J$6:$J$605,0)),"Not on this contract's kit list"))</f>
        <v/>
      </c>
      <c r="H1645" s="83" t="str">
        <f aca="false">IF(AND(B1645="",C1645="",D1645=""),"",IF(B1645="","Missing contract",IF(C1645="","Missing code",IF(LEFT(G1645,3)="Not","Wrong code",IF(D1645="","Missing qty",IF(A1645="","Missing date",""))))))</f>
        <v/>
      </c>
      <c r="I1645" s="84" t="str">
        <f aca="false">IF(B1645=Dashboard!$D$3,ROW(),"")</f>
        <v/>
      </c>
    </row>
    <row r="1646" customFormat="false" ht="15" hidden="false" customHeight="false" outlineLevel="0" collapsed="false">
      <c r="A1646" s="80"/>
      <c r="B1646" s="71"/>
      <c r="C1646" s="71"/>
      <c r="D1646" s="81"/>
      <c r="E1646" s="71"/>
      <c r="F1646" s="71"/>
      <c r="G1646" s="82" t="str">
        <f aca="false">IF(C1646="","",IFERROR(INDEX('Kit Lists'!$D$6:$D$605,MATCH(B1646&amp;"|"&amp;C1646,'Kit Lists'!$J$6:$J$605,0)),"Not on this contract's kit list"))</f>
        <v/>
      </c>
      <c r="H1646" s="83" t="str">
        <f aca="false">IF(AND(B1646="",C1646="",D1646=""),"",IF(B1646="","Missing contract",IF(C1646="","Missing code",IF(LEFT(G1646,3)="Not","Wrong code",IF(D1646="","Missing qty",IF(A1646="","Missing date",""))))))</f>
        <v/>
      </c>
      <c r="I1646" s="84" t="str">
        <f aca="false">IF(B1646=Dashboard!$D$3,ROW(),"")</f>
        <v/>
      </c>
    </row>
    <row r="1647" customFormat="false" ht="15" hidden="false" customHeight="false" outlineLevel="0" collapsed="false">
      <c r="A1647" s="80"/>
      <c r="B1647" s="71"/>
      <c r="C1647" s="71"/>
      <c r="D1647" s="81"/>
      <c r="E1647" s="71"/>
      <c r="F1647" s="71"/>
      <c r="G1647" s="82" t="str">
        <f aca="false">IF(C1647="","",IFERROR(INDEX('Kit Lists'!$D$6:$D$605,MATCH(B1647&amp;"|"&amp;C1647,'Kit Lists'!$J$6:$J$605,0)),"Not on this contract's kit list"))</f>
        <v/>
      </c>
      <c r="H1647" s="83" t="str">
        <f aca="false">IF(AND(B1647="",C1647="",D1647=""),"",IF(B1647="","Missing contract",IF(C1647="","Missing code",IF(LEFT(G1647,3)="Not","Wrong code",IF(D1647="","Missing qty",IF(A1647="","Missing date",""))))))</f>
        <v/>
      </c>
      <c r="I1647" s="84" t="str">
        <f aca="false">IF(B1647=Dashboard!$D$3,ROW(),"")</f>
        <v/>
      </c>
    </row>
    <row r="1648" customFormat="false" ht="15" hidden="false" customHeight="false" outlineLevel="0" collapsed="false">
      <c r="A1648" s="80"/>
      <c r="B1648" s="71"/>
      <c r="C1648" s="71"/>
      <c r="D1648" s="81"/>
      <c r="E1648" s="71"/>
      <c r="F1648" s="71"/>
      <c r="G1648" s="82" t="str">
        <f aca="false">IF(C1648="","",IFERROR(INDEX('Kit Lists'!$D$6:$D$605,MATCH(B1648&amp;"|"&amp;C1648,'Kit Lists'!$J$6:$J$605,0)),"Not on this contract's kit list"))</f>
        <v/>
      </c>
      <c r="H1648" s="83" t="str">
        <f aca="false">IF(AND(B1648="",C1648="",D1648=""),"",IF(B1648="","Missing contract",IF(C1648="","Missing code",IF(LEFT(G1648,3)="Not","Wrong code",IF(D1648="","Missing qty",IF(A1648="","Missing date",""))))))</f>
        <v/>
      </c>
      <c r="I1648" s="84" t="str">
        <f aca="false">IF(B1648=Dashboard!$D$3,ROW(),"")</f>
        <v/>
      </c>
    </row>
    <row r="1649" customFormat="false" ht="15" hidden="false" customHeight="false" outlineLevel="0" collapsed="false">
      <c r="A1649" s="80"/>
      <c r="B1649" s="71"/>
      <c r="C1649" s="71"/>
      <c r="D1649" s="81"/>
      <c r="E1649" s="71"/>
      <c r="F1649" s="71"/>
      <c r="G1649" s="82" t="str">
        <f aca="false">IF(C1649="","",IFERROR(INDEX('Kit Lists'!$D$6:$D$605,MATCH(B1649&amp;"|"&amp;C1649,'Kit Lists'!$J$6:$J$605,0)),"Not on this contract's kit list"))</f>
        <v/>
      </c>
      <c r="H1649" s="83" t="str">
        <f aca="false">IF(AND(B1649="",C1649="",D1649=""),"",IF(B1649="","Missing contract",IF(C1649="","Missing code",IF(LEFT(G1649,3)="Not","Wrong code",IF(D1649="","Missing qty",IF(A1649="","Missing date",""))))))</f>
        <v/>
      </c>
      <c r="I1649" s="84" t="str">
        <f aca="false">IF(B1649=Dashboard!$D$3,ROW(),"")</f>
        <v/>
      </c>
    </row>
    <row r="1650" customFormat="false" ht="15" hidden="false" customHeight="false" outlineLevel="0" collapsed="false">
      <c r="A1650" s="80"/>
      <c r="B1650" s="71"/>
      <c r="C1650" s="71"/>
      <c r="D1650" s="81"/>
      <c r="E1650" s="71"/>
      <c r="F1650" s="71"/>
      <c r="G1650" s="82" t="str">
        <f aca="false">IF(C1650="","",IFERROR(INDEX('Kit Lists'!$D$6:$D$605,MATCH(B1650&amp;"|"&amp;C1650,'Kit Lists'!$J$6:$J$605,0)),"Not on this contract's kit list"))</f>
        <v/>
      </c>
      <c r="H1650" s="83" t="str">
        <f aca="false">IF(AND(B1650="",C1650="",D1650=""),"",IF(B1650="","Missing contract",IF(C1650="","Missing code",IF(LEFT(G1650,3)="Not","Wrong code",IF(D1650="","Missing qty",IF(A1650="","Missing date",""))))))</f>
        <v/>
      </c>
      <c r="I1650" s="84" t="str">
        <f aca="false">IF(B1650=Dashboard!$D$3,ROW(),"")</f>
        <v/>
      </c>
    </row>
    <row r="1651" customFormat="false" ht="15" hidden="false" customHeight="false" outlineLevel="0" collapsed="false">
      <c r="A1651" s="80"/>
      <c r="B1651" s="71"/>
      <c r="C1651" s="71"/>
      <c r="D1651" s="81"/>
      <c r="E1651" s="71"/>
      <c r="F1651" s="71"/>
      <c r="G1651" s="82" t="str">
        <f aca="false">IF(C1651="","",IFERROR(INDEX('Kit Lists'!$D$6:$D$605,MATCH(B1651&amp;"|"&amp;C1651,'Kit Lists'!$J$6:$J$605,0)),"Not on this contract's kit list"))</f>
        <v/>
      </c>
      <c r="H1651" s="83" t="str">
        <f aca="false">IF(AND(B1651="",C1651="",D1651=""),"",IF(B1651="","Missing contract",IF(C1651="","Missing code",IF(LEFT(G1651,3)="Not","Wrong code",IF(D1651="","Missing qty",IF(A1651="","Missing date",""))))))</f>
        <v/>
      </c>
      <c r="I1651" s="84" t="str">
        <f aca="false">IF(B1651=Dashboard!$D$3,ROW(),"")</f>
        <v/>
      </c>
    </row>
    <row r="1652" customFormat="false" ht="15" hidden="false" customHeight="false" outlineLevel="0" collapsed="false">
      <c r="A1652" s="80"/>
      <c r="B1652" s="71"/>
      <c r="C1652" s="71"/>
      <c r="D1652" s="81"/>
      <c r="E1652" s="71"/>
      <c r="F1652" s="71"/>
      <c r="G1652" s="82" t="str">
        <f aca="false">IF(C1652="","",IFERROR(INDEX('Kit Lists'!$D$6:$D$605,MATCH(B1652&amp;"|"&amp;C1652,'Kit Lists'!$J$6:$J$605,0)),"Not on this contract's kit list"))</f>
        <v/>
      </c>
      <c r="H1652" s="83" t="str">
        <f aca="false">IF(AND(B1652="",C1652="",D1652=""),"",IF(B1652="","Missing contract",IF(C1652="","Missing code",IF(LEFT(G1652,3)="Not","Wrong code",IF(D1652="","Missing qty",IF(A1652="","Missing date",""))))))</f>
        <v/>
      </c>
      <c r="I1652" s="84" t="str">
        <f aca="false">IF(B1652=Dashboard!$D$3,ROW(),"")</f>
        <v/>
      </c>
    </row>
    <row r="1653" customFormat="false" ht="15" hidden="false" customHeight="false" outlineLevel="0" collapsed="false">
      <c r="A1653" s="80"/>
      <c r="B1653" s="71"/>
      <c r="C1653" s="71"/>
      <c r="D1653" s="81"/>
      <c r="E1653" s="71"/>
      <c r="F1653" s="71"/>
      <c r="G1653" s="82" t="str">
        <f aca="false">IF(C1653="","",IFERROR(INDEX('Kit Lists'!$D$6:$D$605,MATCH(B1653&amp;"|"&amp;C1653,'Kit Lists'!$J$6:$J$605,0)),"Not on this contract's kit list"))</f>
        <v/>
      </c>
      <c r="H1653" s="83" t="str">
        <f aca="false">IF(AND(B1653="",C1653="",D1653=""),"",IF(B1653="","Missing contract",IF(C1653="","Missing code",IF(LEFT(G1653,3)="Not","Wrong code",IF(D1653="","Missing qty",IF(A1653="","Missing date",""))))))</f>
        <v/>
      </c>
      <c r="I1653" s="84" t="str">
        <f aca="false">IF(B1653=Dashboard!$D$3,ROW(),"")</f>
        <v/>
      </c>
    </row>
    <row r="1654" customFormat="false" ht="15" hidden="false" customHeight="false" outlineLevel="0" collapsed="false">
      <c r="A1654" s="80"/>
      <c r="B1654" s="71"/>
      <c r="C1654" s="71"/>
      <c r="D1654" s="81"/>
      <c r="E1654" s="71"/>
      <c r="F1654" s="71"/>
      <c r="G1654" s="82" t="str">
        <f aca="false">IF(C1654="","",IFERROR(INDEX('Kit Lists'!$D$6:$D$605,MATCH(B1654&amp;"|"&amp;C1654,'Kit Lists'!$J$6:$J$605,0)),"Not on this contract's kit list"))</f>
        <v/>
      </c>
      <c r="H1654" s="83" t="str">
        <f aca="false">IF(AND(B1654="",C1654="",D1654=""),"",IF(B1654="","Missing contract",IF(C1654="","Missing code",IF(LEFT(G1654,3)="Not","Wrong code",IF(D1654="","Missing qty",IF(A1654="","Missing date",""))))))</f>
        <v/>
      </c>
      <c r="I1654" s="84" t="str">
        <f aca="false">IF(B1654=Dashboard!$D$3,ROW(),"")</f>
        <v/>
      </c>
    </row>
    <row r="1655" customFormat="false" ht="15" hidden="false" customHeight="false" outlineLevel="0" collapsed="false">
      <c r="A1655" s="80"/>
      <c r="B1655" s="71"/>
      <c r="C1655" s="71"/>
      <c r="D1655" s="81"/>
      <c r="E1655" s="71"/>
      <c r="F1655" s="71"/>
      <c r="G1655" s="82" t="str">
        <f aca="false">IF(C1655="","",IFERROR(INDEX('Kit Lists'!$D$6:$D$605,MATCH(B1655&amp;"|"&amp;C1655,'Kit Lists'!$J$6:$J$605,0)),"Not on this contract's kit list"))</f>
        <v/>
      </c>
      <c r="H1655" s="83" t="str">
        <f aca="false">IF(AND(B1655="",C1655="",D1655=""),"",IF(B1655="","Missing contract",IF(C1655="","Missing code",IF(LEFT(G1655,3)="Not","Wrong code",IF(D1655="","Missing qty",IF(A1655="","Missing date",""))))))</f>
        <v/>
      </c>
      <c r="I1655" s="84" t="str">
        <f aca="false">IF(B1655=Dashboard!$D$3,ROW(),"")</f>
        <v/>
      </c>
    </row>
    <row r="1656" customFormat="false" ht="15" hidden="false" customHeight="false" outlineLevel="0" collapsed="false">
      <c r="A1656" s="80"/>
      <c r="B1656" s="71"/>
      <c r="C1656" s="71"/>
      <c r="D1656" s="81"/>
      <c r="E1656" s="71"/>
      <c r="F1656" s="71"/>
      <c r="G1656" s="82" t="str">
        <f aca="false">IF(C1656="","",IFERROR(INDEX('Kit Lists'!$D$6:$D$605,MATCH(B1656&amp;"|"&amp;C1656,'Kit Lists'!$J$6:$J$605,0)),"Not on this contract's kit list"))</f>
        <v/>
      </c>
      <c r="H1656" s="83" t="str">
        <f aca="false">IF(AND(B1656="",C1656="",D1656=""),"",IF(B1656="","Missing contract",IF(C1656="","Missing code",IF(LEFT(G1656,3)="Not","Wrong code",IF(D1656="","Missing qty",IF(A1656="","Missing date",""))))))</f>
        <v/>
      </c>
      <c r="I1656" s="84" t="str">
        <f aca="false">IF(B1656=Dashboard!$D$3,ROW(),"")</f>
        <v/>
      </c>
    </row>
    <row r="1657" customFormat="false" ht="15" hidden="false" customHeight="false" outlineLevel="0" collapsed="false">
      <c r="A1657" s="80"/>
      <c r="B1657" s="71"/>
      <c r="C1657" s="71"/>
      <c r="D1657" s="81"/>
      <c r="E1657" s="71"/>
      <c r="F1657" s="71"/>
      <c r="G1657" s="82" t="str">
        <f aca="false">IF(C1657="","",IFERROR(INDEX('Kit Lists'!$D$6:$D$605,MATCH(B1657&amp;"|"&amp;C1657,'Kit Lists'!$J$6:$J$605,0)),"Not on this contract's kit list"))</f>
        <v/>
      </c>
      <c r="H1657" s="83" t="str">
        <f aca="false">IF(AND(B1657="",C1657="",D1657=""),"",IF(B1657="","Missing contract",IF(C1657="","Missing code",IF(LEFT(G1657,3)="Not","Wrong code",IF(D1657="","Missing qty",IF(A1657="","Missing date",""))))))</f>
        <v/>
      </c>
      <c r="I1657" s="84" t="str">
        <f aca="false">IF(B1657=Dashboard!$D$3,ROW(),"")</f>
        <v/>
      </c>
    </row>
    <row r="1658" customFormat="false" ht="15" hidden="false" customHeight="false" outlineLevel="0" collapsed="false">
      <c r="A1658" s="80"/>
      <c r="B1658" s="71"/>
      <c r="C1658" s="71"/>
      <c r="D1658" s="81"/>
      <c r="E1658" s="71"/>
      <c r="F1658" s="71"/>
      <c r="G1658" s="82" t="str">
        <f aca="false">IF(C1658="","",IFERROR(INDEX('Kit Lists'!$D$6:$D$605,MATCH(B1658&amp;"|"&amp;C1658,'Kit Lists'!$J$6:$J$605,0)),"Not on this contract's kit list"))</f>
        <v/>
      </c>
      <c r="H1658" s="83" t="str">
        <f aca="false">IF(AND(B1658="",C1658="",D1658=""),"",IF(B1658="","Missing contract",IF(C1658="","Missing code",IF(LEFT(G1658,3)="Not","Wrong code",IF(D1658="","Missing qty",IF(A1658="","Missing date",""))))))</f>
        <v/>
      </c>
      <c r="I1658" s="84" t="str">
        <f aca="false">IF(B1658=Dashboard!$D$3,ROW(),"")</f>
        <v/>
      </c>
    </row>
    <row r="1659" customFormat="false" ht="15" hidden="false" customHeight="false" outlineLevel="0" collapsed="false">
      <c r="A1659" s="80"/>
      <c r="B1659" s="71"/>
      <c r="C1659" s="71"/>
      <c r="D1659" s="81"/>
      <c r="E1659" s="71"/>
      <c r="F1659" s="71"/>
      <c r="G1659" s="82" t="str">
        <f aca="false">IF(C1659="","",IFERROR(INDEX('Kit Lists'!$D$6:$D$605,MATCH(B1659&amp;"|"&amp;C1659,'Kit Lists'!$J$6:$J$605,0)),"Not on this contract's kit list"))</f>
        <v/>
      </c>
      <c r="H1659" s="83" t="str">
        <f aca="false">IF(AND(B1659="",C1659="",D1659=""),"",IF(B1659="","Missing contract",IF(C1659="","Missing code",IF(LEFT(G1659,3)="Not","Wrong code",IF(D1659="","Missing qty",IF(A1659="","Missing date",""))))))</f>
        <v/>
      </c>
      <c r="I1659" s="84" t="str">
        <f aca="false">IF(B1659=Dashboard!$D$3,ROW(),"")</f>
        <v/>
      </c>
    </row>
    <row r="1660" customFormat="false" ht="15" hidden="false" customHeight="false" outlineLevel="0" collapsed="false">
      <c r="A1660" s="80"/>
      <c r="B1660" s="71"/>
      <c r="C1660" s="71"/>
      <c r="D1660" s="81"/>
      <c r="E1660" s="71"/>
      <c r="F1660" s="71"/>
      <c r="G1660" s="82" t="str">
        <f aca="false">IF(C1660="","",IFERROR(INDEX('Kit Lists'!$D$6:$D$605,MATCH(B1660&amp;"|"&amp;C1660,'Kit Lists'!$J$6:$J$605,0)),"Not on this contract's kit list"))</f>
        <v/>
      </c>
      <c r="H1660" s="83" t="str">
        <f aca="false">IF(AND(B1660="",C1660="",D1660=""),"",IF(B1660="","Missing contract",IF(C1660="","Missing code",IF(LEFT(G1660,3)="Not","Wrong code",IF(D1660="","Missing qty",IF(A1660="","Missing date",""))))))</f>
        <v/>
      </c>
      <c r="I1660" s="84" t="str">
        <f aca="false">IF(B1660=Dashboard!$D$3,ROW(),"")</f>
        <v/>
      </c>
    </row>
    <row r="1661" customFormat="false" ht="15" hidden="false" customHeight="false" outlineLevel="0" collapsed="false">
      <c r="A1661" s="80"/>
      <c r="B1661" s="71"/>
      <c r="C1661" s="71"/>
      <c r="D1661" s="81"/>
      <c r="E1661" s="71"/>
      <c r="F1661" s="71"/>
      <c r="G1661" s="82" t="str">
        <f aca="false">IF(C1661="","",IFERROR(INDEX('Kit Lists'!$D$6:$D$605,MATCH(B1661&amp;"|"&amp;C1661,'Kit Lists'!$J$6:$J$605,0)),"Not on this contract's kit list"))</f>
        <v/>
      </c>
      <c r="H1661" s="83" t="str">
        <f aca="false">IF(AND(B1661="",C1661="",D1661=""),"",IF(B1661="","Missing contract",IF(C1661="","Missing code",IF(LEFT(G1661,3)="Not","Wrong code",IF(D1661="","Missing qty",IF(A1661="","Missing date",""))))))</f>
        <v/>
      </c>
      <c r="I1661" s="84" t="str">
        <f aca="false">IF(B1661=Dashboard!$D$3,ROW(),"")</f>
        <v/>
      </c>
    </row>
    <row r="1662" customFormat="false" ht="15" hidden="false" customHeight="false" outlineLevel="0" collapsed="false">
      <c r="A1662" s="80"/>
      <c r="B1662" s="71"/>
      <c r="C1662" s="71"/>
      <c r="D1662" s="81"/>
      <c r="E1662" s="71"/>
      <c r="F1662" s="71"/>
      <c r="G1662" s="82" t="str">
        <f aca="false">IF(C1662="","",IFERROR(INDEX('Kit Lists'!$D$6:$D$605,MATCH(B1662&amp;"|"&amp;C1662,'Kit Lists'!$J$6:$J$605,0)),"Not on this contract's kit list"))</f>
        <v/>
      </c>
      <c r="H1662" s="83" t="str">
        <f aca="false">IF(AND(B1662="",C1662="",D1662=""),"",IF(B1662="","Missing contract",IF(C1662="","Missing code",IF(LEFT(G1662,3)="Not","Wrong code",IF(D1662="","Missing qty",IF(A1662="","Missing date",""))))))</f>
        <v/>
      </c>
      <c r="I1662" s="84" t="str">
        <f aca="false">IF(B1662=Dashboard!$D$3,ROW(),"")</f>
        <v/>
      </c>
    </row>
    <row r="1663" customFormat="false" ht="15" hidden="false" customHeight="false" outlineLevel="0" collapsed="false">
      <c r="A1663" s="80"/>
      <c r="B1663" s="71"/>
      <c r="C1663" s="71"/>
      <c r="D1663" s="81"/>
      <c r="E1663" s="71"/>
      <c r="F1663" s="71"/>
      <c r="G1663" s="82" t="str">
        <f aca="false">IF(C1663="","",IFERROR(INDEX('Kit Lists'!$D$6:$D$605,MATCH(B1663&amp;"|"&amp;C1663,'Kit Lists'!$J$6:$J$605,0)),"Not on this contract's kit list"))</f>
        <v/>
      </c>
      <c r="H1663" s="83" t="str">
        <f aca="false">IF(AND(B1663="",C1663="",D1663=""),"",IF(B1663="","Missing contract",IF(C1663="","Missing code",IF(LEFT(G1663,3)="Not","Wrong code",IF(D1663="","Missing qty",IF(A1663="","Missing date",""))))))</f>
        <v/>
      </c>
      <c r="I1663" s="84" t="str">
        <f aca="false">IF(B1663=Dashboard!$D$3,ROW(),"")</f>
        <v/>
      </c>
    </row>
    <row r="1664" customFormat="false" ht="15" hidden="false" customHeight="false" outlineLevel="0" collapsed="false">
      <c r="A1664" s="80"/>
      <c r="B1664" s="71"/>
      <c r="C1664" s="71"/>
      <c r="D1664" s="81"/>
      <c r="E1664" s="71"/>
      <c r="F1664" s="71"/>
      <c r="G1664" s="82" t="str">
        <f aca="false">IF(C1664="","",IFERROR(INDEX('Kit Lists'!$D$6:$D$605,MATCH(B1664&amp;"|"&amp;C1664,'Kit Lists'!$J$6:$J$605,0)),"Not on this contract's kit list"))</f>
        <v/>
      </c>
      <c r="H1664" s="83" t="str">
        <f aca="false">IF(AND(B1664="",C1664="",D1664=""),"",IF(B1664="","Missing contract",IF(C1664="","Missing code",IF(LEFT(G1664,3)="Not","Wrong code",IF(D1664="","Missing qty",IF(A1664="","Missing date",""))))))</f>
        <v/>
      </c>
      <c r="I1664" s="84" t="str">
        <f aca="false">IF(B1664=Dashboard!$D$3,ROW(),"")</f>
        <v/>
      </c>
    </row>
    <row r="1665" customFormat="false" ht="15" hidden="false" customHeight="false" outlineLevel="0" collapsed="false">
      <c r="A1665" s="80"/>
      <c r="B1665" s="71"/>
      <c r="C1665" s="71"/>
      <c r="D1665" s="81"/>
      <c r="E1665" s="71"/>
      <c r="F1665" s="71"/>
      <c r="G1665" s="82" t="str">
        <f aca="false">IF(C1665="","",IFERROR(INDEX('Kit Lists'!$D$6:$D$605,MATCH(B1665&amp;"|"&amp;C1665,'Kit Lists'!$J$6:$J$605,0)),"Not on this contract's kit list"))</f>
        <v/>
      </c>
      <c r="H1665" s="83" t="str">
        <f aca="false">IF(AND(B1665="",C1665="",D1665=""),"",IF(B1665="","Missing contract",IF(C1665="","Missing code",IF(LEFT(G1665,3)="Not","Wrong code",IF(D1665="","Missing qty",IF(A1665="","Missing date",""))))))</f>
        <v/>
      </c>
      <c r="I1665" s="84" t="str">
        <f aca="false">IF(B1665=Dashboard!$D$3,ROW(),"")</f>
        <v/>
      </c>
    </row>
    <row r="1666" customFormat="false" ht="15" hidden="false" customHeight="false" outlineLevel="0" collapsed="false">
      <c r="A1666" s="80"/>
      <c r="B1666" s="71"/>
      <c r="C1666" s="71"/>
      <c r="D1666" s="81"/>
      <c r="E1666" s="71"/>
      <c r="F1666" s="71"/>
      <c r="G1666" s="82" t="str">
        <f aca="false">IF(C1666="","",IFERROR(INDEX('Kit Lists'!$D$6:$D$605,MATCH(B1666&amp;"|"&amp;C1666,'Kit Lists'!$J$6:$J$605,0)),"Not on this contract's kit list"))</f>
        <v/>
      </c>
      <c r="H1666" s="83" t="str">
        <f aca="false">IF(AND(B1666="",C1666="",D1666=""),"",IF(B1666="","Missing contract",IF(C1666="","Missing code",IF(LEFT(G1666,3)="Not","Wrong code",IF(D1666="","Missing qty",IF(A1666="","Missing date",""))))))</f>
        <v/>
      </c>
      <c r="I1666" s="84" t="str">
        <f aca="false">IF(B1666=Dashboard!$D$3,ROW(),"")</f>
        <v/>
      </c>
    </row>
    <row r="1667" customFormat="false" ht="15" hidden="false" customHeight="false" outlineLevel="0" collapsed="false">
      <c r="A1667" s="80"/>
      <c r="B1667" s="71"/>
      <c r="C1667" s="71"/>
      <c r="D1667" s="81"/>
      <c r="E1667" s="71"/>
      <c r="F1667" s="71"/>
      <c r="G1667" s="82" t="str">
        <f aca="false">IF(C1667="","",IFERROR(INDEX('Kit Lists'!$D$6:$D$605,MATCH(B1667&amp;"|"&amp;C1667,'Kit Lists'!$J$6:$J$605,0)),"Not on this contract's kit list"))</f>
        <v/>
      </c>
      <c r="H1667" s="83" t="str">
        <f aca="false">IF(AND(B1667="",C1667="",D1667=""),"",IF(B1667="","Missing contract",IF(C1667="","Missing code",IF(LEFT(G1667,3)="Not","Wrong code",IF(D1667="","Missing qty",IF(A1667="","Missing date",""))))))</f>
        <v/>
      </c>
      <c r="I1667" s="84" t="str">
        <f aca="false">IF(B1667=Dashboard!$D$3,ROW(),"")</f>
        <v/>
      </c>
    </row>
    <row r="1668" customFormat="false" ht="15" hidden="false" customHeight="false" outlineLevel="0" collapsed="false">
      <c r="A1668" s="80"/>
      <c r="B1668" s="71"/>
      <c r="C1668" s="71"/>
      <c r="D1668" s="81"/>
      <c r="E1668" s="71"/>
      <c r="F1668" s="71"/>
      <c r="G1668" s="82" t="str">
        <f aca="false">IF(C1668="","",IFERROR(INDEX('Kit Lists'!$D$6:$D$605,MATCH(B1668&amp;"|"&amp;C1668,'Kit Lists'!$J$6:$J$605,0)),"Not on this contract's kit list"))</f>
        <v/>
      </c>
      <c r="H1668" s="83" t="str">
        <f aca="false">IF(AND(B1668="",C1668="",D1668=""),"",IF(B1668="","Missing contract",IF(C1668="","Missing code",IF(LEFT(G1668,3)="Not","Wrong code",IF(D1668="","Missing qty",IF(A1668="","Missing date",""))))))</f>
        <v/>
      </c>
      <c r="I1668" s="84" t="str">
        <f aca="false">IF(B1668=Dashboard!$D$3,ROW(),"")</f>
        <v/>
      </c>
    </row>
    <row r="1669" customFormat="false" ht="15" hidden="false" customHeight="false" outlineLevel="0" collapsed="false">
      <c r="A1669" s="80"/>
      <c r="B1669" s="71"/>
      <c r="C1669" s="71"/>
      <c r="D1669" s="81"/>
      <c r="E1669" s="71"/>
      <c r="F1669" s="71"/>
      <c r="G1669" s="82" t="str">
        <f aca="false">IF(C1669="","",IFERROR(INDEX('Kit Lists'!$D$6:$D$605,MATCH(B1669&amp;"|"&amp;C1669,'Kit Lists'!$J$6:$J$605,0)),"Not on this contract's kit list"))</f>
        <v/>
      </c>
      <c r="H1669" s="83" t="str">
        <f aca="false">IF(AND(B1669="",C1669="",D1669=""),"",IF(B1669="","Missing contract",IF(C1669="","Missing code",IF(LEFT(G1669,3)="Not","Wrong code",IF(D1669="","Missing qty",IF(A1669="","Missing date",""))))))</f>
        <v/>
      </c>
      <c r="I1669" s="84" t="str">
        <f aca="false">IF(B1669=Dashboard!$D$3,ROW(),"")</f>
        <v/>
      </c>
    </row>
    <row r="1670" customFormat="false" ht="15" hidden="false" customHeight="false" outlineLevel="0" collapsed="false">
      <c r="A1670" s="80"/>
      <c r="B1670" s="71"/>
      <c r="C1670" s="71"/>
      <c r="D1670" s="81"/>
      <c r="E1670" s="71"/>
      <c r="F1670" s="71"/>
      <c r="G1670" s="82" t="str">
        <f aca="false">IF(C1670="","",IFERROR(INDEX('Kit Lists'!$D$6:$D$605,MATCH(B1670&amp;"|"&amp;C1670,'Kit Lists'!$J$6:$J$605,0)),"Not on this contract's kit list"))</f>
        <v/>
      </c>
      <c r="H1670" s="83" t="str">
        <f aca="false">IF(AND(B1670="",C1670="",D1670=""),"",IF(B1670="","Missing contract",IF(C1670="","Missing code",IF(LEFT(G1670,3)="Not","Wrong code",IF(D1670="","Missing qty",IF(A1670="","Missing date",""))))))</f>
        <v/>
      </c>
      <c r="I1670" s="84" t="str">
        <f aca="false">IF(B1670=Dashboard!$D$3,ROW(),"")</f>
        <v/>
      </c>
    </row>
    <row r="1671" customFormat="false" ht="15" hidden="false" customHeight="false" outlineLevel="0" collapsed="false">
      <c r="A1671" s="80"/>
      <c r="B1671" s="71"/>
      <c r="C1671" s="71"/>
      <c r="D1671" s="81"/>
      <c r="E1671" s="71"/>
      <c r="F1671" s="71"/>
      <c r="G1671" s="82" t="str">
        <f aca="false">IF(C1671="","",IFERROR(INDEX('Kit Lists'!$D$6:$D$605,MATCH(B1671&amp;"|"&amp;C1671,'Kit Lists'!$J$6:$J$605,0)),"Not on this contract's kit list"))</f>
        <v/>
      </c>
      <c r="H1671" s="83" t="str">
        <f aca="false">IF(AND(B1671="",C1671="",D1671=""),"",IF(B1671="","Missing contract",IF(C1671="","Missing code",IF(LEFT(G1671,3)="Not","Wrong code",IF(D1671="","Missing qty",IF(A1671="","Missing date",""))))))</f>
        <v/>
      </c>
      <c r="I1671" s="84" t="str">
        <f aca="false">IF(B1671=Dashboard!$D$3,ROW(),"")</f>
        <v/>
      </c>
    </row>
    <row r="1672" customFormat="false" ht="15" hidden="false" customHeight="false" outlineLevel="0" collapsed="false">
      <c r="A1672" s="80"/>
      <c r="B1672" s="71"/>
      <c r="C1672" s="71"/>
      <c r="D1672" s="81"/>
      <c r="E1672" s="71"/>
      <c r="F1672" s="71"/>
      <c r="G1672" s="82" t="str">
        <f aca="false">IF(C1672="","",IFERROR(INDEX('Kit Lists'!$D$6:$D$605,MATCH(B1672&amp;"|"&amp;C1672,'Kit Lists'!$J$6:$J$605,0)),"Not on this contract's kit list"))</f>
        <v/>
      </c>
      <c r="H1672" s="83" t="str">
        <f aca="false">IF(AND(B1672="",C1672="",D1672=""),"",IF(B1672="","Missing contract",IF(C1672="","Missing code",IF(LEFT(G1672,3)="Not","Wrong code",IF(D1672="","Missing qty",IF(A1672="","Missing date",""))))))</f>
        <v/>
      </c>
      <c r="I1672" s="84" t="str">
        <f aca="false">IF(B1672=Dashboard!$D$3,ROW(),"")</f>
        <v/>
      </c>
    </row>
    <row r="1673" customFormat="false" ht="15" hidden="false" customHeight="false" outlineLevel="0" collapsed="false">
      <c r="A1673" s="80"/>
      <c r="B1673" s="71"/>
      <c r="C1673" s="71"/>
      <c r="D1673" s="81"/>
      <c r="E1673" s="71"/>
      <c r="F1673" s="71"/>
      <c r="G1673" s="82" t="str">
        <f aca="false">IF(C1673="","",IFERROR(INDEX('Kit Lists'!$D$6:$D$605,MATCH(B1673&amp;"|"&amp;C1673,'Kit Lists'!$J$6:$J$605,0)),"Not on this contract's kit list"))</f>
        <v/>
      </c>
      <c r="H1673" s="83" t="str">
        <f aca="false">IF(AND(B1673="",C1673="",D1673=""),"",IF(B1673="","Missing contract",IF(C1673="","Missing code",IF(LEFT(G1673,3)="Not","Wrong code",IF(D1673="","Missing qty",IF(A1673="","Missing date",""))))))</f>
        <v/>
      </c>
      <c r="I1673" s="84" t="str">
        <f aca="false">IF(B1673=Dashboard!$D$3,ROW(),"")</f>
        <v/>
      </c>
    </row>
    <row r="1674" customFormat="false" ht="15" hidden="false" customHeight="false" outlineLevel="0" collapsed="false">
      <c r="A1674" s="80"/>
      <c r="B1674" s="71"/>
      <c r="C1674" s="71"/>
      <c r="D1674" s="81"/>
      <c r="E1674" s="71"/>
      <c r="F1674" s="71"/>
      <c r="G1674" s="82" t="str">
        <f aca="false">IF(C1674="","",IFERROR(INDEX('Kit Lists'!$D$6:$D$605,MATCH(B1674&amp;"|"&amp;C1674,'Kit Lists'!$J$6:$J$605,0)),"Not on this contract's kit list"))</f>
        <v/>
      </c>
      <c r="H1674" s="83" t="str">
        <f aca="false">IF(AND(B1674="",C1674="",D1674=""),"",IF(B1674="","Missing contract",IF(C1674="","Missing code",IF(LEFT(G1674,3)="Not","Wrong code",IF(D1674="","Missing qty",IF(A1674="","Missing date",""))))))</f>
        <v/>
      </c>
      <c r="I1674" s="84" t="str">
        <f aca="false">IF(B1674=Dashboard!$D$3,ROW(),"")</f>
        <v/>
      </c>
    </row>
    <row r="1675" customFormat="false" ht="15" hidden="false" customHeight="false" outlineLevel="0" collapsed="false">
      <c r="A1675" s="80"/>
      <c r="B1675" s="71"/>
      <c r="C1675" s="71"/>
      <c r="D1675" s="81"/>
      <c r="E1675" s="71"/>
      <c r="F1675" s="71"/>
      <c r="G1675" s="82" t="str">
        <f aca="false">IF(C1675="","",IFERROR(INDEX('Kit Lists'!$D$6:$D$605,MATCH(B1675&amp;"|"&amp;C1675,'Kit Lists'!$J$6:$J$605,0)),"Not on this contract's kit list"))</f>
        <v/>
      </c>
      <c r="H1675" s="83" t="str">
        <f aca="false">IF(AND(B1675="",C1675="",D1675=""),"",IF(B1675="","Missing contract",IF(C1675="","Missing code",IF(LEFT(G1675,3)="Not","Wrong code",IF(D1675="","Missing qty",IF(A1675="","Missing date",""))))))</f>
        <v/>
      </c>
      <c r="I1675" s="84" t="str">
        <f aca="false">IF(B1675=Dashboard!$D$3,ROW(),"")</f>
        <v/>
      </c>
    </row>
    <row r="1676" customFormat="false" ht="15" hidden="false" customHeight="false" outlineLevel="0" collapsed="false">
      <c r="A1676" s="80"/>
      <c r="B1676" s="71"/>
      <c r="C1676" s="71"/>
      <c r="D1676" s="81"/>
      <c r="E1676" s="71"/>
      <c r="F1676" s="71"/>
      <c r="G1676" s="82" t="str">
        <f aca="false">IF(C1676="","",IFERROR(INDEX('Kit Lists'!$D$6:$D$605,MATCH(B1676&amp;"|"&amp;C1676,'Kit Lists'!$J$6:$J$605,0)),"Not on this contract's kit list"))</f>
        <v/>
      </c>
      <c r="H1676" s="83" t="str">
        <f aca="false">IF(AND(B1676="",C1676="",D1676=""),"",IF(B1676="","Missing contract",IF(C1676="","Missing code",IF(LEFT(G1676,3)="Not","Wrong code",IF(D1676="","Missing qty",IF(A1676="","Missing date",""))))))</f>
        <v/>
      </c>
      <c r="I1676" s="84" t="str">
        <f aca="false">IF(B1676=Dashboard!$D$3,ROW(),"")</f>
        <v/>
      </c>
    </row>
    <row r="1677" customFormat="false" ht="15" hidden="false" customHeight="false" outlineLevel="0" collapsed="false">
      <c r="A1677" s="80"/>
      <c r="B1677" s="71"/>
      <c r="C1677" s="71"/>
      <c r="D1677" s="81"/>
      <c r="E1677" s="71"/>
      <c r="F1677" s="71"/>
      <c r="G1677" s="82" t="str">
        <f aca="false">IF(C1677="","",IFERROR(INDEX('Kit Lists'!$D$6:$D$605,MATCH(B1677&amp;"|"&amp;C1677,'Kit Lists'!$J$6:$J$605,0)),"Not on this contract's kit list"))</f>
        <v/>
      </c>
      <c r="H1677" s="83" t="str">
        <f aca="false">IF(AND(B1677="",C1677="",D1677=""),"",IF(B1677="","Missing contract",IF(C1677="","Missing code",IF(LEFT(G1677,3)="Not","Wrong code",IF(D1677="","Missing qty",IF(A1677="","Missing date",""))))))</f>
        <v/>
      </c>
      <c r="I1677" s="84" t="str">
        <f aca="false">IF(B1677=Dashboard!$D$3,ROW(),"")</f>
        <v/>
      </c>
    </row>
    <row r="1678" customFormat="false" ht="15" hidden="false" customHeight="false" outlineLevel="0" collapsed="false">
      <c r="A1678" s="80"/>
      <c r="B1678" s="71"/>
      <c r="C1678" s="71"/>
      <c r="D1678" s="81"/>
      <c r="E1678" s="71"/>
      <c r="F1678" s="71"/>
      <c r="G1678" s="82" t="str">
        <f aca="false">IF(C1678="","",IFERROR(INDEX('Kit Lists'!$D$6:$D$605,MATCH(B1678&amp;"|"&amp;C1678,'Kit Lists'!$J$6:$J$605,0)),"Not on this contract's kit list"))</f>
        <v/>
      </c>
      <c r="H1678" s="83" t="str">
        <f aca="false">IF(AND(B1678="",C1678="",D1678=""),"",IF(B1678="","Missing contract",IF(C1678="","Missing code",IF(LEFT(G1678,3)="Not","Wrong code",IF(D1678="","Missing qty",IF(A1678="","Missing date",""))))))</f>
        <v/>
      </c>
      <c r="I1678" s="84" t="str">
        <f aca="false">IF(B1678=Dashboard!$D$3,ROW(),"")</f>
        <v/>
      </c>
    </row>
    <row r="1679" customFormat="false" ht="15" hidden="false" customHeight="false" outlineLevel="0" collapsed="false">
      <c r="A1679" s="80"/>
      <c r="B1679" s="71"/>
      <c r="C1679" s="71"/>
      <c r="D1679" s="81"/>
      <c r="E1679" s="71"/>
      <c r="F1679" s="71"/>
      <c r="G1679" s="82" t="str">
        <f aca="false">IF(C1679="","",IFERROR(INDEX('Kit Lists'!$D$6:$D$605,MATCH(B1679&amp;"|"&amp;C1679,'Kit Lists'!$J$6:$J$605,0)),"Not on this contract's kit list"))</f>
        <v/>
      </c>
      <c r="H1679" s="83" t="str">
        <f aca="false">IF(AND(B1679="",C1679="",D1679=""),"",IF(B1679="","Missing contract",IF(C1679="","Missing code",IF(LEFT(G1679,3)="Not","Wrong code",IF(D1679="","Missing qty",IF(A1679="","Missing date",""))))))</f>
        <v/>
      </c>
      <c r="I1679" s="84" t="str">
        <f aca="false">IF(B1679=Dashboard!$D$3,ROW(),"")</f>
        <v/>
      </c>
    </row>
    <row r="1680" customFormat="false" ht="15" hidden="false" customHeight="false" outlineLevel="0" collapsed="false">
      <c r="A1680" s="80"/>
      <c r="B1680" s="71"/>
      <c r="C1680" s="71"/>
      <c r="D1680" s="81"/>
      <c r="E1680" s="71"/>
      <c r="F1680" s="71"/>
      <c r="G1680" s="82" t="str">
        <f aca="false">IF(C1680="","",IFERROR(INDEX('Kit Lists'!$D$6:$D$605,MATCH(B1680&amp;"|"&amp;C1680,'Kit Lists'!$J$6:$J$605,0)),"Not on this contract's kit list"))</f>
        <v/>
      </c>
      <c r="H1680" s="83" t="str">
        <f aca="false">IF(AND(B1680="",C1680="",D1680=""),"",IF(B1680="","Missing contract",IF(C1680="","Missing code",IF(LEFT(G1680,3)="Not","Wrong code",IF(D1680="","Missing qty",IF(A1680="","Missing date",""))))))</f>
        <v/>
      </c>
      <c r="I1680" s="84" t="str">
        <f aca="false">IF(B1680=Dashboard!$D$3,ROW(),"")</f>
        <v/>
      </c>
    </row>
    <row r="1681" customFormat="false" ht="15" hidden="false" customHeight="false" outlineLevel="0" collapsed="false">
      <c r="A1681" s="80"/>
      <c r="B1681" s="71"/>
      <c r="C1681" s="71"/>
      <c r="D1681" s="81"/>
      <c r="E1681" s="71"/>
      <c r="F1681" s="71"/>
      <c r="G1681" s="82" t="str">
        <f aca="false">IF(C1681="","",IFERROR(INDEX('Kit Lists'!$D$6:$D$605,MATCH(B1681&amp;"|"&amp;C1681,'Kit Lists'!$J$6:$J$605,0)),"Not on this contract's kit list"))</f>
        <v/>
      </c>
      <c r="H1681" s="83" t="str">
        <f aca="false">IF(AND(B1681="",C1681="",D1681=""),"",IF(B1681="","Missing contract",IF(C1681="","Missing code",IF(LEFT(G1681,3)="Not","Wrong code",IF(D1681="","Missing qty",IF(A1681="","Missing date",""))))))</f>
        <v/>
      </c>
      <c r="I1681" s="84" t="str">
        <f aca="false">IF(B1681=Dashboard!$D$3,ROW(),"")</f>
        <v/>
      </c>
    </row>
    <row r="1682" customFormat="false" ht="15" hidden="false" customHeight="false" outlineLevel="0" collapsed="false">
      <c r="A1682" s="80"/>
      <c r="B1682" s="71"/>
      <c r="C1682" s="71"/>
      <c r="D1682" s="81"/>
      <c r="E1682" s="71"/>
      <c r="F1682" s="71"/>
      <c r="G1682" s="82" t="str">
        <f aca="false">IF(C1682="","",IFERROR(INDEX('Kit Lists'!$D$6:$D$605,MATCH(B1682&amp;"|"&amp;C1682,'Kit Lists'!$J$6:$J$605,0)),"Not on this contract's kit list"))</f>
        <v/>
      </c>
      <c r="H1682" s="83" t="str">
        <f aca="false">IF(AND(B1682="",C1682="",D1682=""),"",IF(B1682="","Missing contract",IF(C1682="","Missing code",IF(LEFT(G1682,3)="Not","Wrong code",IF(D1682="","Missing qty",IF(A1682="","Missing date",""))))))</f>
        <v/>
      </c>
      <c r="I1682" s="84" t="str">
        <f aca="false">IF(B1682=Dashboard!$D$3,ROW(),"")</f>
        <v/>
      </c>
    </row>
    <row r="1683" customFormat="false" ht="15" hidden="false" customHeight="false" outlineLevel="0" collapsed="false">
      <c r="A1683" s="80"/>
      <c r="B1683" s="71"/>
      <c r="C1683" s="71"/>
      <c r="D1683" s="81"/>
      <c r="E1683" s="71"/>
      <c r="F1683" s="71"/>
      <c r="G1683" s="82" t="str">
        <f aca="false">IF(C1683="","",IFERROR(INDEX('Kit Lists'!$D$6:$D$605,MATCH(B1683&amp;"|"&amp;C1683,'Kit Lists'!$J$6:$J$605,0)),"Not on this contract's kit list"))</f>
        <v/>
      </c>
      <c r="H1683" s="83" t="str">
        <f aca="false">IF(AND(B1683="",C1683="",D1683=""),"",IF(B1683="","Missing contract",IF(C1683="","Missing code",IF(LEFT(G1683,3)="Not","Wrong code",IF(D1683="","Missing qty",IF(A1683="","Missing date",""))))))</f>
        <v/>
      </c>
      <c r="I1683" s="84" t="str">
        <f aca="false">IF(B1683=Dashboard!$D$3,ROW(),"")</f>
        <v/>
      </c>
    </row>
    <row r="1684" customFormat="false" ht="15" hidden="false" customHeight="false" outlineLevel="0" collapsed="false">
      <c r="A1684" s="80"/>
      <c r="B1684" s="71"/>
      <c r="C1684" s="71"/>
      <c r="D1684" s="81"/>
      <c r="E1684" s="71"/>
      <c r="F1684" s="71"/>
      <c r="G1684" s="82" t="str">
        <f aca="false">IF(C1684="","",IFERROR(INDEX('Kit Lists'!$D$6:$D$605,MATCH(B1684&amp;"|"&amp;C1684,'Kit Lists'!$J$6:$J$605,0)),"Not on this contract's kit list"))</f>
        <v/>
      </c>
      <c r="H1684" s="83" t="str">
        <f aca="false">IF(AND(B1684="",C1684="",D1684=""),"",IF(B1684="","Missing contract",IF(C1684="","Missing code",IF(LEFT(G1684,3)="Not","Wrong code",IF(D1684="","Missing qty",IF(A1684="","Missing date",""))))))</f>
        <v/>
      </c>
      <c r="I1684" s="84" t="str">
        <f aca="false">IF(B1684=Dashboard!$D$3,ROW(),"")</f>
        <v/>
      </c>
    </row>
    <row r="1685" customFormat="false" ht="15" hidden="false" customHeight="false" outlineLevel="0" collapsed="false">
      <c r="A1685" s="80"/>
      <c r="B1685" s="71"/>
      <c r="C1685" s="71"/>
      <c r="D1685" s="81"/>
      <c r="E1685" s="71"/>
      <c r="F1685" s="71"/>
      <c r="G1685" s="82" t="str">
        <f aca="false">IF(C1685="","",IFERROR(INDEX('Kit Lists'!$D$6:$D$605,MATCH(B1685&amp;"|"&amp;C1685,'Kit Lists'!$J$6:$J$605,0)),"Not on this contract's kit list"))</f>
        <v/>
      </c>
      <c r="H1685" s="83" t="str">
        <f aca="false">IF(AND(B1685="",C1685="",D1685=""),"",IF(B1685="","Missing contract",IF(C1685="","Missing code",IF(LEFT(G1685,3)="Not","Wrong code",IF(D1685="","Missing qty",IF(A1685="","Missing date",""))))))</f>
        <v/>
      </c>
      <c r="I1685" s="84" t="str">
        <f aca="false">IF(B1685=Dashboard!$D$3,ROW(),"")</f>
        <v/>
      </c>
    </row>
    <row r="1686" customFormat="false" ht="15" hidden="false" customHeight="false" outlineLevel="0" collapsed="false">
      <c r="A1686" s="80"/>
      <c r="B1686" s="71"/>
      <c r="C1686" s="71"/>
      <c r="D1686" s="81"/>
      <c r="E1686" s="71"/>
      <c r="F1686" s="71"/>
      <c r="G1686" s="82" t="str">
        <f aca="false">IF(C1686="","",IFERROR(INDEX('Kit Lists'!$D$6:$D$605,MATCH(B1686&amp;"|"&amp;C1686,'Kit Lists'!$J$6:$J$605,0)),"Not on this contract's kit list"))</f>
        <v/>
      </c>
      <c r="H1686" s="83" t="str">
        <f aca="false">IF(AND(B1686="",C1686="",D1686=""),"",IF(B1686="","Missing contract",IF(C1686="","Missing code",IF(LEFT(G1686,3)="Not","Wrong code",IF(D1686="","Missing qty",IF(A1686="","Missing date",""))))))</f>
        <v/>
      </c>
      <c r="I1686" s="84" t="str">
        <f aca="false">IF(B1686=Dashboard!$D$3,ROW(),"")</f>
        <v/>
      </c>
    </row>
    <row r="1687" customFormat="false" ht="15" hidden="false" customHeight="false" outlineLevel="0" collapsed="false">
      <c r="A1687" s="80"/>
      <c r="B1687" s="71"/>
      <c r="C1687" s="71"/>
      <c r="D1687" s="81"/>
      <c r="E1687" s="71"/>
      <c r="F1687" s="71"/>
      <c r="G1687" s="82" t="str">
        <f aca="false">IF(C1687="","",IFERROR(INDEX('Kit Lists'!$D$6:$D$605,MATCH(B1687&amp;"|"&amp;C1687,'Kit Lists'!$J$6:$J$605,0)),"Not on this contract's kit list"))</f>
        <v/>
      </c>
      <c r="H1687" s="83" t="str">
        <f aca="false">IF(AND(B1687="",C1687="",D1687=""),"",IF(B1687="","Missing contract",IF(C1687="","Missing code",IF(LEFT(G1687,3)="Not","Wrong code",IF(D1687="","Missing qty",IF(A1687="","Missing date",""))))))</f>
        <v/>
      </c>
      <c r="I1687" s="84" t="str">
        <f aca="false">IF(B1687=Dashboard!$D$3,ROW(),"")</f>
        <v/>
      </c>
    </row>
    <row r="1688" customFormat="false" ht="15" hidden="false" customHeight="false" outlineLevel="0" collapsed="false">
      <c r="A1688" s="80"/>
      <c r="B1688" s="71"/>
      <c r="C1688" s="71"/>
      <c r="D1688" s="81"/>
      <c r="E1688" s="71"/>
      <c r="F1688" s="71"/>
      <c r="G1688" s="82" t="str">
        <f aca="false">IF(C1688="","",IFERROR(INDEX('Kit Lists'!$D$6:$D$605,MATCH(B1688&amp;"|"&amp;C1688,'Kit Lists'!$J$6:$J$605,0)),"Not on this contract's kit list"))</f>
        <v/>
      </c>
      <c r="H1688" s="83" t="str">
        <f aca="false">IF(AND(B1688="",C1688="",D1688=""),"",IF(B1688="","Missing contract",IF(C1688="","Missing code",IF(LEFT(G1688,3)="Not","Wrong code",IF(D1688="","Missing qty",IF(A1688="","Missing date",""))))))</f>
        <v/>
      </c>
      <c r="I1688" s="84" t="str">
        <f aca="false">IF(B1688=Dashboard!$D$3,ROW(),"")</f>
        <v/>
      </c>
    </row>
    <row r="1689" customFormat="false" ht="15" hidden="false" customHeight="false" outlineLevel="0" collapsed="false">
      <c r="A1689" s="80"/>
      <c r="B1689" s="71"/>
      <c r="C1689" s="71"/>
      <c r="D1689" s="81"/>
      <c r="E1689" s="71"/>
      <c r="F1689" s="71"/>
      <c r="G1689" s="82" t="str">
        <f aca="false">IF(C1689="","",IFERROR(INDEX('Kit Lists'!$D$6:$D$605,MATCH(B1689&amp;"|"&amp;C1689,'Kit Lists'!$J$6:$J$605,0)),"Not on this contract's kit list"))</f>
        <v/>
      </c>
      <c r="H1689" s="83" t="str">
        <f aca="false">IF(AND(B1689="",C1689="",D1689=""),"",IF(B1689="","Missing contract",IF(C1689="","Missing code",IF(LEFT(G1689,3)="Not","Wrong code",IF(D1689="","Missing qty",IF(A1689="","Missing date",""))))))</f>
        <v/>
      </c>
      <c r="I1689" s="84" t="str">
        <f aca="false">IF(B1689=Dashboard!$D$3,ROW(),"")</f>
        <v/>
      </c>
    </row>
    <row r="1690" customFormat="false" ht="15" hidden="false" customHeight="false" outlineLevel="0" collapsed="false">
      <c r="A1690" s="80"/>
      <c r="B1690" s="71"/>
      <c r="C1690" s="71"/>
      <c r="D1690" s="81"/>
      <c r="E1690" s="71"/>
      <c r="F1690" s="71"/>
      <c r="G1690" s="82" t="str">
        <f aca="false">IF(C1690="","",IFERROR(INDEX('Kit Lists'!$D$6:$D$605,MATCH(B1690&amp;"|"&amp;C1690,'Kit Lists'!$J$6:$J$605,0)),"Not on this contract's kit list"))</f>
        <v/>
      </c>
      <c r="H1690" s="83" t="str">
        <f aca="false">IF(AND(B1690="",C1690="",D1690=""),"",IF(B1690="","Missing contract",IF(C1690="","Missing code",IF(LEFT(G1690,3)="Not","Wrong code",IF(D1690="","Missing qty",IF(A1690="","Missing date",""))))))</f>
        <v/>
      </c>
      <c r="I1690" s="84" t="str">
        <f aca="false">IF(B1690=Dashboard!$D$3,ROW(),"")</f>
        <v/>
      </c>
    </row>
    <row r="1691" customFormat="false" ht="15" hidden="false" customHeight="false" outlineLevel="0" collapsed="false">
      <c r="A1691" s="80"/>
      <c r="B1691" s="71"/>
      <c r="C1691" s="71"/>
      <c r="D1691" s="81"/>
      <c r="E1691" s="71"/>
      <c r="F1691" s="71"/>
      <c r="G1691" s="82" t="str">
        <f aca="false">IF(C1691="","",IFERROR(INDEX('Kit Lists'!$D$6:$D$605,MATCH(B1691&amp;"|"&amp;C1691,'Kit Lists'!$J$6:$J$605,0)),"Not on this contract's kit list"))</f>
        <v/>
      </c>
      <c r="H1691" s="83" t="str">
        <f aca="false">IF(AND(B1691="",C1691="",D1691=""),"",IF(B1691="","Missing contract",IF(C1691="","Missing code",IF(LEFT(G1691,3)="Not","Wrong code",IF(D1691="","Missing qty",IF(A1691="","Missing date",""))))))</f>
        <v/>
      </c>
      <c r="I1691" s="84" t="str">
        <f aca="false">IF(B1691=Dashboard!$D$3,ROW(),"")</f>
        <v/>
      </c>
    </row>
    <row r="1692" customFormat="false" ht="15" hidden="false" customHeight="false" outlineLevel="0" collapsed="false">
      <c r="A1692" s="80"/>
      <c r="B1692" s="71"/>
      <c r="C1692" s="71"/>
      <c r="D1692" s="81"/>
      <c r="E1692" s="71"/>
      <c r="F1692" s="71"/>
      <c r="G1692" s="82" t="str">
        <f aca="false">IF(C1692="","",IFERROR(INDEX('Kit Lists'!$D$6:$D$605,MATCH(B1692&amp;"|"&amp;C1692,'Kit Lists'!$J$6:$J$605,0)),"Not on this contract's kit list"))</f>
        <v/>
      </c>
      <c r="H1692" s="83" t="str">
        <f aca="false">IF(AND(B1692="",C1692="",D1692=""),"",IF(B1692="","Missing contract",IF(C1692="","Missing code",IF(LEFT(G1692,3)="Not","Wrong code",IF(D1692="","Missing qty",IF(A1692="","Missing date",""))))))</f>
        <v/>
      </c>
      <c r="I1692" s="84" t="str">
        <f aca="false">IF(B1692=Dashboard!$D$3,ROW(),"")</f>
        <v/>
      </c>
    </row>
    <row r="1693" customFormat="false" ht="15" hidden="false" customHeight="false" outlineLevel="0" collapsed="false">
      <c r="A1693" s="80"/>
      <c r="B1693" s="71"/>
      <c r="C1693" s="71"/>
      <c r="D1693" s="81"/>
      <c r="E1693" s="71"/>
      <c r="F1693" s="71"/>
      <c r="G1693" s="82" t="str">
        <f aca="false">IF(C1693="","",IFERROR(INDEX('Kit Lists'!$D$6:$D$605,MATCH(B1693&amp;"|"&amp;C1693,'Kit Lists'!$J$6:$J$605,0)),"Not on this contract's kit list"))</f>
        <v/>
      </c>
      <c r="H1693" s="83" t="str">
        <f aca="false">IF(AND(B1693="",C1693="",D1693=""),"",IF(B1693="","Missing contract",IF(C1693="","Missing code",IF(LEFT(G1693,3)="Not","Wrong code",IF(D1693="","Missing qty",IF(A1693="","Missing date",""))))))</f>
        <v/>
      </c>
      <c r="I1693" s="84" t="str">
        <f aca="false">IF(B1693=Dashboard!$D$3,ROW(),"")</f>
        <v/>
      </c>
    </row>
    <row r="1694" customFormat="false" ht="15" hidden="false" customHeight="false" outlineLevel="0" collapsed="false">
      <c r="A1694" s="80"/>
      <c r="B1694" s="71"/>
      <c r="C1694" s="71"/>
      <c r="D1694" s="81"/>
      <c r="E1694" s="71"/>
      <c r="F1694" s="71"/>
      <c r="G1694" s="82" t="str">
        <f aca="false">IF(C1694="","",IFERROR(INDEX('Kit Lists'!$D$6:$D$605,MATCH(B1694&amp;"|"&amp;C1694,'Kit Lists'!$J$6:$J$605,0)),"Not on this contract's kit list"))</f>
        <v/>
      </c>
      <c r="H1694" s="83" t="str">
        <f aca="false">IF(AND(B1694="",C1694="",D1694=""),"",IF(B1694="","Missing contract",IF(C1694="","Missing code",IF(LEFT(G1694,3)="Not","Wrong code",IF(D1694="","Missing qty",IF(A1694="","Missing date",""))))))</f>
        <v/>
      </c>
      <c r="I1694" s="84" t="str">
        <f aca="false">IF(B1694=Dashboard!$D$3,ROW(),"")</f>
        <v/>
      </c>
    </row>
    <row r="1695" customFormat="false" ht="15" hidden="false" customHeight="false" outlineLevel="0" collapsed="false">
      <c r="A1695" s="80"/>
      <c r="B1695" s="71"/>
      <c r="C1695" s="71"/>
      <c r="D1695" s="81"/>
      <c r="E1695" s="71"/>
      <c r="F1695" s="71"/>
      <c r="G1695" s="82" t="str">
        <f aca="false">IF(C1695="","",IFERROR(INDEX('Kit Lists'!$D$6:$D$605,MATCH(B1695&amp;"|"&amp;C1695,'Kit Lists'!$J$6:$J$605,0)),"Not on this contract's kit list"))</f>
        <v/>
      </c>
      <c r="H1695" s="83" t="str">
        <f aca="false">IF(AND(B1695="",C1695="",D1695=""),"",IF(B1695="","Missing contract",IF(C1695="","Missing code",IF(LEFT(G1695,3)="Not","Wrong code",IF(D1695="","Missing qty",IF(A1695="","Missing date",""))))))</f>
        <v/>
      </c>
      <c r="I1695" s="84" t="str">
        <f aca="false">IF(B1695=Dashboard!$D$3,ROW(),"")</f>
        <v/>
      </c>
    </row>
    <row r="1696" customFormat="false" ht="15" hidden="false" customHeight="false" outlineLevel="0" collapsed="false">
      <c r="A1696" s="80"/>
      <c r="B1696" s="71"/>
      <c r="C1696" s="71"/>
      <c r="D1696" s="81"/>
      <c r="E1696" s="71"/>
      <c r="F1696" s="71"/>
      <c r="G1696" s="82" t="str">
        <f aca="false">IF(C1696="","",IFERROR(INDEX('Kit Lists'!$D$6:$D$605,MATCH(B1696&amp;"|"&amp;C1696,'Kit Lists'!$J$6:$J$605,0)),"Not on this contract's kit list"))</f>
        <v/>
      </c>
      <c r="H1696" s="83" t="str">
        <f aca="false">IF(AND(B1696="",C1696="",D1696=""),"",IF(B1696="","Missing contract",IF(C1696="","Missing code",IF(LEFT(G1696,3)="Not","Wrong code",IF(D1696="","Missing qty",IF(A1696="","Missing date",""))))))</f>
        <v/>
      </c>
      <c r="I1696" s="84" t="str">
        <f aca="false">IF(B1696=Dashboard!$D$3,ROW(),"")</f>
        <v/>
      </c>
    </row>
    <row r="1697" customFormat="false" ht="15" hidden="false" customHeight="false" outlineLevel="0" collapsed="false">
      <c r="A1697" s="80"/>
      <c r="B1697" s="71"/>
      <c r="C1697" s="71"/>
      <c r="D1697" s="81"/>
      <c r="E1697" s="71"/>
      <c r="F1697" s="71"/>
      <c r="G1697" s="82" t="str">
        <f aca="false">IF(C1697="","",IFERROR(INDEX('Kit Lists'!$D$6:$D$605,MATCH(B1697&amp;"|"&amp;C1697,'Kit Lists'!$J$6:$J$605,0)),"Not on this contract's kit list"))</f>
        <v/>
      </c>
      <c r="H1697" s="83" t="str">
        <f aca="false">IF(AND(B1697="",C1697="",D1697=""),"",IF(B1697="","Missing contract",IF(C1697="","Missing code",IF(LEFT(G1697,3)="Not","Wrong code",IF(D1697="","Missing qty",IF(A1697="","Missing date",""))))))</f>
        <v/>
      </c>
      <c r="I1697" s="84" t="str">
        <f aca="false">IF(B1697=Dashboard!$D$3,ROW(),"")</f>
        <v/>
      </c>
    </row>
    <row r="1698" customFormat="false" ht="15" hidden="false" customHeight="false" outlineLevel="0" collapsed="false">
      <c r="A1698" s="80"/>
      <c r="B1698" s="71"/>
      <c r="C1698" s="71"/>
      <c r="D1698" s="81"/>
      <c r="E1698" s="71"/>
      <c r="F1698" s="71"/>
      <c r="G1698" s="82" t="str">
        <f aca="false">IF(C1698="","",IFERROR(INDEX('Kit Lists'!$D$6:$D$605,MATCH(B1698&amp;"|"&amp;C1698,'Kit Lists'!$J$6:$J$605,0)),"Not on this contract's kit list"))</f>
        <v/>
      </c>
      <c r="H1698" s="83" t="str">
        <f aca="false">IF(AND(B1698="",C1698="",D1698=""),"",IF(B1698="","Missing contract",IF(C1698="","Missing code",IF(LEFT(G1698,3)="Not","Wrong code",IF(D1698="","Missing qty",IF(A1698="","Missing date",""))))))</f>
        <v/>
      </c>
      <c r="I1698" s="84" t="str">
        <f aca="false">IF(B1698=Dashboard!$D$3,ROW(),"")</f>
        <v/>
      </c>
    </row>
    <row r="1699" customFormat="false" ht="15" hidden="false" customHeight="false" outlineLevel="0" collapsed="false">
      <c r="A1699" s="80"/>
      <c r="B1699" s="71"/>
      <c r="C1699" s="71"/>
      <c r="D1699" s="81"/>
      <c r="E1699" s="71"/>
      <c r="F1699" s="71"/>
      <c r="G1699" s="82" t="str">
        <f aca="false">IF(C1699="","",IFERROR(INDEX('Kit Lists'!$D$6:$D$605,MATCH(B1699&amp;"|"&amp;C1699,'Kit Lists'!$J$6:$J$605,0)),"Not on this contract's kit list"))</f>
        <v/>
      </c>
      <c r="H1699" s="83" t="str">
        <f aca="false">IF(AND(B1699="",C1699="",D1699=""),"",IF(B1699="","Missing contract",IF(C1699="","Missing code",IF(LEFT(G1699,3)="Not","Wrong code",IF(D1699="","Missing qty",IF(A1699="","Missing date",""))))))</f>
        <v/>
      </c>
      <c r="I1699" s="84" t="str">
        <f aca="false">IF(B1699=Dashboard!$D$3,ROW(),"")</f>
        <v/>
      </c>
    </row>
    <row r="1700" customFormat="false" ht="15" hidden="false" customHeight="false" outlineLevel="0" collapsed="false">
      <c r="A1700" s="80"/>
      <c r="B1700" s="71"/>
      <c r="C1700" s="71"/>
      <c r="D1700" s="81"/>
      <c r="E1700" s="71"/>
      <c r="F1700" s="71"/>
      <c r="G1700" s="82" t="str">
        <f aca="false">IF(C1700="","",IFERROR(INDEX('Kit Lists'!$D$6:$D$605,MATCH(B1700&amp;"|"&amp;C1700,'Kit Lists'!$J$6:$J$605,0)),"Not on this contract's kit list"))</f>
        <v/>
      </c>
      <c r="H1700" s="83" t="str">
        <f aca="false">IF(AND(B1700="",C1700="",D1700=""),"",IF(B1700="","Missing contract",IF(C1700="","Missing code",IF(LEFT(G1700,3)="Not","Wrong code",IF(D1700="","Missing qty",IF(A1700="","Missing date",""))))))</f>
        <v/>
      </c>
      <c r="I1700" s="84" t="str">
        <f aca="false">IF(B1700=Dashboard!$D$3,ROW(),"")</f>
        <v/>
      </c>
    </row>
    <row r="1701" customFormat="false" ht="15" hidden="false" customHeight="false" outlineLevel="0" collapsed="false">
      <c r="A1701" s="80"/>
      <c r="B1701" s="71"/>
      <c r="C1701" s="71"/>
      <c r="D1701" s="81"/>
      <c r="E1701" s="71"/>
      <c r="F1701" s="71"/>
      <c r="G1701" s="82" t="str">
        <f aca="false">IF(C1701="","",IFERROR(INDEX('Kit Lists'!$D$6:$D$605,MATCH(B1701&amp;"|"&amp;C1701,'Kit Lists'!$J$6:$J$605,0)),"Not on this contract's kit list"))</f>
        <v/>
      </c>
      <c r="H1701" s="83" t="str">
        <f aca="false">IF(AND(B1701="",C1701="",D1701=""),"",IF(B1701="","Missing contract",IF(C1701="","Missing code",IF(LEFT(G1701,3)="Not","Wrong code",IF(D1701="","Missing qty",IF(A1701="","Missing date",""))))))</f>
        <v/>
      </c>
      <c r="I1701" s="84" t="str">
        <f aca="false">IF(B1701=Dashboard!$D$3,ROW(),"")</f>
        <v/>
      </c>
    </row>
    <row r="1702" customFormat="false" ht="15" hidden="false" customHeight="false" outlineLevel="0" collapsed="false">
      <c r="A1702" s="80"/>
      <c r="B1702" s="71"/>
      <c r="C1702" s="71"/>
      <c r="D1702" s="81"/>
      <c r="E1702" s="71"/>
      <c r="F1702" s="71"/>
      <c r="G1702" s="82" t="str">
        <f aca="false">IF(C1702="","",IFERROR(INDEX('Kit Lists'!$D$6:$D$605,MATCH(B1702&amp;"|"&amp;C1702,'Kit Lists'!$J$6:$J$605,0)),"Not on this contract's kit list"))</f>
        <v/>
      </c>
      <c r="H1702" s="83" t="str">
        <f aca="false">IF(AND(B1702="",C1702="",D1702=""),"",IF(B1702="","Missing contract",IF(C1702="","Missing code",IF(LEFT(G1702,3)="Not","Wrong code",IF(D1702="","Missing qty",IF(A1702="","Missing date",""))))))</f>
        <v/>
      </c>
      <c r="I1702" s="84" t="str">
        <f aca="false">IF(B1702=Dashboard!$D$3,ROW(),"")</f>
        <v/>
      </c>
    </row>
    <row r="1703" customFormat="false" ht="15" hidden="false" customHeight="false" outlineLevel="0" collapsed="false">
      <c r="A1703" s="80"/>
      <c r="B1703" s="71"/>
      <c r="C1703" s="71"/>
      <c r="D1703" s="81"/>
      <c r="E1703" s="71"/>
      <c r="F1703" s="71"/>
      <c r="G1703" s="82" t="str">
        <f aca="false">IF(C1703="","",IFERROR(INDEX('Kit Lists'!$D$6:$D$605,MATCH(B1703&amp;"|"&amp;C1703,'Kit Lists'!$J$6:$J$605,0)),"Not on this contract's kit list"))</f>
        <v/>
      </c>
      <c r="H1703" s="83" t="str">
        <f aca="false">IF(AND(B1703="",C1703="",D1703=""),"",IF(B1703="","Missing contract",IF(C1703="","Missing code",IF(LEFT(G1703,3)="Not","Wrong code",IF(D1703="","Missing qty",IF(A1703="","Missing date",""))))))</f>
        <v/>
      </c>
      <c r="I1703" s="84" t="str">
        <f aca="false">IF(B1703=Dashboard!$D$3,ROW(),"")</f>
        <v/>
      </c>
    </row>
    <row r="1704" customFormat="false" ht="15" hidden="false" customHeight="false" outlineLevel="0" collapsed="false">
      <c r="A1704" s="80"/>
      <c r="B1704" s="71"/>
      <c r="C1704" s="71"/>
      <c r="D1704" s="81"/>
      <c r="E1704" s="71"/>
      <c r="F1704" s="71"/>
      <c r="G1704" s="82" t="str">
        <f aca="false">IF(C1704="","",IFERROR(INDEX('Kit Lists'!$D$6:$D$605,MATCH(B1704&amp;"|"&amp;C1704,'Kit Lists'!$J$6:$J$605,0)),"Not on this contract's kit list"))</f>
        <v/>
      </c>
      <c r="H1704" s="83" t="str">
        <f aca="false">IF(AND(B1704="",C1704="",D1704=""),"",IF(B1704="","Missing contract",IF(C1704="","Missing code",IF(LEFT(G1704,3)="Not","Wrong code",IF(D1704="","Missing qty",IF(A1704="","Missing date",""))))))</f>
        <v/>
      </c>
      <c r="I1704" s="84" t="str">
        <f aca="false">IF(B1704=Dashboard!$D$3,ROW(),"")</f>
        <v/>
      </c>
    </row>
    <row r="1705" customFormat="false" ht="15" hidden="false" customHeight="false" outlineLevel="0" collapsed="false">
      <c r="A1705" s="80"/>
      <c r="B1705" s="71"/>
      <c r="C1705" s="71"/>
      <c r="D1705" s="81"/>
      <c r="E1705" s="71"/>
      <c r="F1705" s="71"/>
      <c r="G1705" s="82" t="str">
        <f aca="false">IF(C1705="","",IFERROR(INDEX('Kit Lists'!$D$6:$D$605,MATCH(B1705&amp;"|"&amp;C1705,'Kit Lists'!$J$6:$J$605,0)),"Not on this contract's kit list"))</f>
        <v/>
      </c>
      <c r="H1705" s="83" t="str">
        <f aca="false">IF(AND(B1705="",C1705="",D1705=""),"",IF(B1705="","Missing contract",IF(C1705="","Missing code",IF(LEFT(G1705,3)="Not","Wrong code",IF(D1705="","Missing qty",IF(A1705="","Missing date",""))))))</f>
        <v/>
      </c>
      <c r="I1705" s="84" t="str">
        <f aca="false">IF(B1705=Dashboard!$D$3,ROW(),"")</f>
        <v/>
      </c>
    </row>
    <row r="1706" customFormat="false" ht="15" hidden="false" customHeight="false" outlineLevel="0" collapsed="false">
      <c r="A1706" s="80"/>
      <c r="B1706" s="71"/>
      <c r="C1706" s="71"/>
      <c r="D1706" s="81"/>
      <c r="E1706" s="71"/>
      <c r="F1706" s="71"/>
      <c r="G1706" s="82" t="str">
        <f aca="false">IF(C1706="","",IFERROR(INDEX('Kit Lists'!$D$6:$D$605,MATCH(B1706&amp;"|"&amp;C1706,'Kit Lists'!$J$6:$J$605,0)),"Not on this contract's kit list"))</f>
        <v/>
      </c>
      <c r="H1706" s="83" t="str">
        <f aca="false">IF(AND(B1706="",C1706="",D1706=""),"",IF(B1706="","Missing contract",IF(C1706="","Missing code",IF(LEFT(G1706,3)="Not","Wrong code",IF(D1706="","Missing qty",IF(A1706="","Missing date",""))))))</f>
        <v/>
      </c>
      <c r="I1706" s="84" t="str">
        <f aca="false">IF(B1706=Dashboard!$D$3,ROW(),"")</f>
        <v/>
      </c>
    </row>
    <row r="1707" customFormat="false" ht="15" hidden="false" customHeight="false" outlineLevel="0" collapsed="false">
      <c r="A1707" s="80"/>
      <c r="B1707" s="71"/>
      <c r="C1707" s="71"/>
      <c r="D1707" s="81"/>
      <c r="E1707" s="71"/>
      <c r="F1707" s="71"/>
      <c r="G1707" s="82" t="str">
        <f aca="false">IF(C1707="","",IFERROR(INDEX('Kit Lists'!$D$6:$D$605,MATCH(B1707&amp;"|"&amp;C1707,'Kit Lists'!$J$6:$J$605,0)),"Not on this contract's kit list"))</f>
        <v/>
      </c>
      <c r="H1707" s="83" t="str">
        <f aca="false">IF(AND(B1707="",C1707="",D1707=""),"",IF(B1707="","Missing contract",IF(C1707="","Missing code",IF(LEFT(G1707,3)="Not","Wrong code",IF(D1707="","Missing qty",IF(A1707="","Missing date",""))))))</f>
        <v/>
      </c>
      <c r="I1707" s="84" t="str">
        <f aca="false">IF(B1707=Dashboard!$D$3,ROW(),"")</f>
        <v/>
      </c>
    </row>
    <row r="1708" customFormat="false" ht="15" hidden="false" customHeight="false" outlineLevel="0" collapsed="false">
      <c r="A1708" s="80"/>
      <c r="B1708" s="71"/>
      <c r="C1708" s="71"/>
      <c r="D1708" s="81"/>
      <c r="E1708" s="71"/>
      <c r="F1708" s="71"/>
      <c r="G1708" s="82" t="str">
        <f aca="false">IF(C1708="","",IFERROR(INDEX('Kit Lists'!$D$6:$D$605,MATCH(B1708&amp;"|"&amp;C1708,'Kit Lists'!$J$6:$J$605,0)),"Not on this contract's kit list"))</f>
        <v/>
      </c>
      <c r="H1708" s="83" t="str">
        <f aca="false">IF(AND(B1708="",C1708="",D1708=""),"",IF(B1708="","Missing contract",IF(C1708="","Missing code",IF(LEFT(G1708,3)="Not","Wrong code",IF(D1708="","Missing qty",IF(A1708="","Missing date",""))))))</f>
        <v/>
      </c>
      <c r="I1708" s="84" t="str">
        <f aca="false">IF(B1708=Dashboard!$D$3,ROW(),"")</f>
        <v/>
      </c>
    </row>
    <row r="1709" customFormat="false" ht="15" hidden="false" customHeight="false" outlineLevel="0" collapsed="false">
      <c r="A1709" s="80"/>
      <c r="B1709" s="71"/>
      <c r="C1709" s="71"/>
      <c r="D1709" s="81"/>
      <c r="E1709" s="71"/>
      <c r="F1709" s="71"/>
      <c r="G1709" s="82" t="str">
        <f aca="false">IF(C1709="","",IFERROR(INDEX('Kit Lists'!$D$6:$D$605,MATCH(B1709&amp;"|"&amp;C1709,'Kit Lists'!$J$6:$J$605,0)),"Not on this contract's kit list"))</f>
        <v/>
      </c>
      <c r="H1709" s="83" t="str">
        <f aca="false">IF(AND(B1709="",C1709="",D1709=""),"",IF(B1709="","Missing contract",IF(C1709="","Missing code",IF(LEFT(G1709,3)="Not","Wrong code",IF(D1709="","Missing qty",IF(A1709="","Missing date",""))))))</f>
        <v/>
      </c>
      <c r="I1709" s="84" t="str">
        <f aca="false">IF(B1709=Dashboard!$D$3,ROW(),"")</f>
        <v/>
      </c>
    </row>
    <row r="1710" customFormat="false" ht="15" hidden="false" customHeight="false" outlineLevel="0" collapsed="false">
      <c r="A1710" s="80"/>
      <c r="B1710" s="71"/>
      <c r="C1710" s="71"/>
      <c r="D1710" s="81"/>
      <c r="E1710" s="71"/>
      <c r="F1710" s="71"/>
      <c r="G1710" s="82" t="str">
        <f aca="false">IF(C1710="","",IFERROR(INDEX('Kit Lists'!$D$6:$D$605,MATCH(B1710&amp;"|"&amp;C1710,'Kit Lists'!$J$6:$J$605,0)),"Not on this contract's kit list"))</f>
        <v/>
      </c>
      <c r="H1710" s="83" t="str">
        <f aca="false">IF(AND(B1710="",C1710="",D1710=""),"",IF(B1710="","Missing contract",IF(C1710="","Missing code",IF(LEFT(G1710,3)="Not","Wrong code",IF(D1710="","Missing qty",IF(A1710="","Missing date",""))))))</f>
        <v/>
      </c>
      <c r="I1710" s="84" t="str">
        <f aca="false">IF(B1710=Dashboard!$D$3,ROW(),"")</f>
        <v/>
      </c>
    </row>
    <row r="1711" customFormat="false" ht="15" hidden="false" customHeight="false" outlineLevel="0" collapsed="false">
      <c r="A1711" s="80"/>
      <c r="B1711" s="71"/>
      <c r="C1711" s="71"/>
      <c r="D1711" s="81"/>
      <c r="E1711" s="71"/>
      <c r="F1711" s="71"/>
      <c r="G1711" s="82" t="str">
        <f aca="false">IF(C1711="","",IFERROR(INDEX('Kit Lists'!$D$6:$D$605,MATCH(B1711&amp;"|"&amp;C1711,'Kit Lists'!$J$6:$J$605,0)),"Not on this contract's kit list"))</f>
        <v/>
      </c>
      <c r="H1711" s="83" t="str">
        <f aca="false">IF(AND(B1711="",C1711="",D1711=""),"",IF(B1711="","Missing contract",IF(C1711="","Missing code",IF(LEFT(G1711,3)="Not","Wrong code",IF(D1711="","Missing qty",IF(A1711="","Missing date",""))))))</f>
        <v/>
      </c>
      <c r="I1711" s="84" t="str">
        <f aca="false">IF(B1711=Dashboard!$D$3,ROW(),"")</f>
        <v/>
      </c>
    </row>
    <row r="1712" customFormat="false" ht="15" hidden="false" customHeight="false" outlineLevel="0" collapsed="false">
      <c r="A1712" s="80"/>
      <c r="B1712" s="71"/>
      <c r="C1712" s="71"/>
      <c r="D1712" s="81"/>
      <c r="E1712" s="71"/>
      <c r="F1712" s="71"/>
      <c r="G1712" s="82" t="str">
        <f aca="false">IF(C1712="","",IFERROR(INDEX('Kit Lists'!$D$6:$D$605,MATCH(B1712&amp;"|"&amp;C1712,'Kit Lists'!$J$6:$J$605,0)),"Not on this contract's kit list"))</f>
        <v/>
      </c>
      <c r="H1712" s="83" t="str">
        <f aca="false">IF(AND(B1712="",C1712="",D1712=""),"",IF(B1712="","Missing contract",IF(C1712="","Missing code",IF(LEFT(G1712,3)="Not","Wrong code",IF(D1712="","Missing qty",IF(A1712="","Missing date",""))))))</f>
        <v/>
      </c>
      <c r="I1712" s="84" t="str">
        <f aca="false">IF(B1712=Dashboard!$D$3,ROW(),"")</f>
        <v/>
      </c>
    </row>
    <row r="1713" customFormat="false" ht="15" hidden="false" customHeight="false" outlineLevel="0" collapsed="false">
      <c r="A1713" s="80"/>
      <c r="B1713" s="71"/>
      <c r="C1713" s="71"/>
      <c r="D1713" s="81"/>
      <c r="E1713" s="71"/>
      <c r="F1713" s="71"/>
      <c r="G1713" s="82" t="str">
        <f aca="false">IF(C1713="","",IFERROR(INDEX('Kit Lists'!$D$6:$D$605,MATCH(B1713&amp;"|"&amp;C1713,'Kit Lists'!$J$6:$J$605,0)),"Not on this contract's kit list"))</f>
        <v/>
      </c>
      <c r="H1713" s="83" t="str">
        <f aca="false">IF(AND(B1713="",C1713="",D1713=""),"",IF(B1713="","Missing contract",IF(C1713="","Missing code",IF(LEFT(G1713,3)="Not","Wrong code",IF(D1713="","Missing qty",IF(A1713="","Missing date",""))))))</f>
        <v/>
      </c>
      <c r="I1713" s="84" t="str">
        <f aca="false">IF(B1713=Dashboard!$D$3,ROW(),"")</f>
        <v/>
      </c>
    </row>
    <row r="1714" customFormat="false" ht="15" hidden="false" customHeight="false" outlineLevel="0" collapsed="false">
      <c r="A1714" s="80"/>
      <c r="B1714" s="71"/>
      <c r="C1714" s="71"/>
      <c r="D1714" s="81"/>
      <c r="E1714" s="71"/>
      <c r="F1714" s="71"/>
      <c r="G1714" s="82" t="str">
        <f aca="false">IF(C1714="","",IFERROR(INDEX('Kit Lists'!$D$6:$D$605,MATCH(B1714&amp;"|"&amp;C1714,'Kit Lists'!$J$6:$J$605,0)),"Not on this contract's kit list"))</f>
        <v/>
      </c>
      <c r="H1714" s="83" t="str">
        <f aca="false">IF(AND(B1714="",C1714="",D1714=""),"",IF(B1714="","Missing contract",IF(C1714="","Missing code",IF(LEFT(G1714,3)="Not","Wrong code",IF(D1714="","Missing qty",IF(A1714="","Missing date",""))))))</f>
        <v/>
      </c>
      <c r="I1714" s="84" t="str">
        <f aca="false">IF(B1714=Dashboard!$D$3,ROW(),"")</f>
        <v/>
      </c>
    </row>
    <row r="1715" customFormat="false" ht="15" hidden="false" customHeight="false" outlineLevel="0" collapsed="false">
      <c r="A1715" s="80"/>
      <c r="B1715" s="71"/>
      <c r="C1715" s="71"/>
      <c r="D1715" s="81"/>
      <c r="E1715" s="71"/>
      <c r="F1715" s="71"/>
      <c r="G1715" s="82" t="str">
        <f aca="false">IF(C1715="","",IFERROR(INDEX('Kit Lists'!$D$6:$D$605,MATCH(B1715&amp;"|"&amp;C1715,'Kit Lists'!$J$6:$J$605,0)),"Not on this contract's kit list"))</f>
        <v/>
      </c>
      <c r="H1715" s="83" t="str">
        <f aca="false">IF(AND(B1715="",C1715="",D1715=""),"",IF(B1715="","Missing contract",IF(C1715="","Missing code",IF(LEFT(G1715,3)="Not","Wrong code",IF(D1715="","Missing qty",IF(A1715="","Missing date",""))))))</f>
        <v/>
      </c>
      <c r="I1715" s="84" t="str">
        <f aca="false">IF(B1715=Dashboard!$D$3,ROW(),"")</f>
        <v/>
      </c>
    </row>
    <row r="1716" customFormat="false" ht="15" hidden="false" customHeight="false" outlineLevel="0" collapsed="false">
      <c r="A1716" s="80"/>
      <c r="B1716" s="71"/>
      <c r="C1716" s="71"/>
      <c r="D1716" s="81"/>
      <c r="E1716" s="71"/>
      <c r="F1716" s="71"/>
      <c r="G1716" s="82" t="str">
        <f aca="false">IF(C1716="","",IFERROR(INDEX('Kit Lists'!$D$6:$D$605,MATCH(B1716&amp;"|"&amp;C1716,'Kit Lists'!$J$6:$J$605,0)),"Not on this contract's kit list"))</f>
        <v/>
      </c>
      <c r="H1716" s="83" t="str">
        <f aca="false">IF(AND(B1716="",C1716="",D1716=""),"",IF(B1716="","Missing contract",IF(C1716="","Missing code",IF(LEFT(G1716,3)="Not","Wrong code",IF(D1716="","Missing qty",IF(A1716="","Missing date",""))))))</f>
        <v/>
      </c>
      <c r="I1716" s="84" t="str">
        <f aca="false">IF(B1716=Dashboard!$D$3,ROW(),"")</f>
        <v/>
      </c>
    </row>
    <row r="1717" customFormat="false" ht="15" hidden="false" customHeight="false" outlineLevel="0" collapsed="false">
      <c r="A1717" s="80"/>
      <c r="B1717" s="71"/>
      <c r="C1717" s="71"/>
      <c r="D1717" s="81"/>
      <c r="E1717" s="71"/>
      <c r="F1717" s="71"/>
      <c r="G1717" s="82" t="str">
        <f aca="false">IF(C1717="","",IFERROR(INDEX('Kit Lists'!$D$6:$D$605,MATCH(B1717&amp;"|"&amp;C1717,'Kit Lists'!$J$6:$J$605,0)),"Not on this contract's kit list"))</f>
        <v/>
      </c>
      <c r="H1717" s="83" t="str">
        <f aca="false">IF(AND(B1717="",C1717="",D1717=""),"",IF(B1717="","Missing contract",IF(C1717="","Missing code",IF(LEFT(G1717,3)="Not","Wrong code",IF(D1717="","Missing qty",IF(A1717="","Missing date",""))))))</f>
        <v/>
      </c>
      <c r="I1717" s="84" t="str">
        <f aca="false">IF(B1717=Dashboard!$D$3,ROW(),"")</f>
        <v/>
      </c>
    </row>
    <row r="1718" customFormat="false" ht="15" hidden="false" customHeight="false" outlineLevel="0" collapsed="false">
      <c r="A1718" s="80"/>
      <c r="B1718" s="71"/>
      <c r="C1718" s="71"/>
      <c r="D1718" s="81"/>
      <c r="E1718" s="71"/>
      <c r="F1718" s="71"/>
      <c r="G1718" s="82" t="str">
        <f aca="false">IF(C1718="","",IFERROR(INDEX('Kit Lists'!$D$6:$D$605,MATCH(B1718&amp;"|"&amp;C1718,'Kit Lists'!$J$6:$J$605,0)),"Not on this contract's kit list"))</f>
        <v/>
      </c>
      <c r="H1718" s="83" t="str">
        <f aca="false">IF(AND(B1718="",C1718="",D1718=""),"",IF(B1718="","Missing contract",IF(C1718="","Missing code",IF(LEFT(G1718,3)="Not","Wrong code",IF(D1718="","Missing qty",IF(A1718="","Missing date",""))))))</f>
        <v/>
      </c>
      <c r="I1718" s="84" t="str">
        <f aca="false">IF(B1718=Dashboard!$D$3,ROW(),"")</f>
        <v/>
      </c>
    </row>
    <row r="1719" customFormat="false" ht="15" hidden="false" customHeight="false" outlineLevel="0" collapsed="false">
      <c r="A1719" s="80"/>
      <c r="B1719" s="71"/>
      <c r="C1719" s="71"/>
      <c r="D1719" s="81"/>
      <c r="E1719" s="71"/>
      <c r="F1719" s="71"/>
      <c r="G1719" s="82" t="str">
        <f aca="false">IF(C1719="","",IFERROR(INDEX('Kit Lists'!$D$6:$D$605,MATCH(B1719&amp;"|"&amp;C1719,'Kit Lists'!$J$6:$J$605,0)),"Not on this contract's kit list"))</f>
        <v/>
      </c>
      <c r="H1719" s="83" t="str">
        <f aca="false">IF(AND(B1719="",C1719="",D1719=""),"",IF(B1719="","Missing contract",IF(C1719="","Missing code",IF(LEFT(G1719,3)="Not","Wrong code",IF(D1719="","Missing qty",IF(A1719="","Missing date",""))))))</f>
        <v/>
      </c>
      <c r="I1719" s="84" t="str">
        <f aca="false">IF(B1719=Dashboard!$D$3,ROW(),"")</f>
        <v/>
      </c>
    </row>
    <row r="1720" customFormat="false" ht="15" hidden="false" customHeight="false" outlineLevel="0" collapsed="false">
      <c r="A1720" s="80"/>
      <c r="B1720" s="71"/>
      <c r="C1720" s="71"/>
      <c r="D1720" s="81"/>
      <c r="E1720" s="71"/>
      <c r="F1720" s="71"/>
      <c r="G1720" s="82" t="str">
        <f aca="false">IF(C1720="","",IFERROR(INDEX('Kit Lists'!$D$6:$D$605,MATCH(B1720&amp;"|"&amp;C1720,'Kit Lists'!$J$6:$J$605,0)),"Not on this contract's kit list"))</f>
        <v/>
      </c>
      <c r="H1720" s="83" t="str">
        <f aca="false">IF(AND(B1720="",C1720="",D1720=""),"",IF(B1720="","Missing contract",IF(C1720="","Missing code",IF(LEFT(G1720,3)="Not","Wrong code",IF(D1720="","Missing qty",IF(A1720="","Missing date",""))))))</f>
        <v/>
      </c>
      <c r="I1720" s="84" t="str">
        <f aca="false">IF(B1720=Dashboard!$D$3,ROW(),"")</f>
        <v/>
      </c>
    </row>
    <row r="1721" customFormat="false" ht="15" hidden="false" customHeight="false" outlineLevel="0" collapsed="false">
      <c r="A1721" s="80"/>
      <c r="B1721" s="71"/>
      <c r="C1721" s="71"/>
      <c r="D1721" s="81"/>
      <c r="E1721" s="71"/>
      <c r="F1721" s="71"/>
      <c r="G1721" s="82" t="str">
        <f aca="false">IF(C1721="","",IFERROR(INDEX('Kit Lists'!$D$6:$D$605,MATCH(B1721&amp;"|"&amp;C1721,'Kit Lists'!$J$6:$J$605,0)),"Not on this contract's kit list"))</f>
        <v/>
      </c>
      <c r="H1721" s="83" t="str">
        <f aca="false">IF(AND(B1721="",C1721="",D1721=""),"",IF(B1721="","Missing contract",IF(C1721="","Missing code",IF(LEFT(G1721,3)="Not","Wrong code",IF(D1721="","Missing qty",IF(A1721="","Missing date",""))))))</f>
        <v/>
      </c>
      <c r="I1721" s="84" t="str">
        <f aca="false">IF(B1721=Dashboard!$D$3,ROW(),"")</f>
        <v/>
      </c>
    </row>
    <row r="1722" customFormat="false" ht="15" hidden="false" customHeight="false" outlineLevel="0" collapsed="false">
      <c r="A1722" s="80"/>
      <c r="B1722" s="71"/>
      <c r="C1722" s="71"/>
      <c r="D1722" s="81"/>
      <c r="E1722" s="71"/>
      <c r="F1722" s="71"/>
      <c r="G1722" s="82" t="str">
        <f aca="false">IF(C1722="","",IFERROR(INDEX('Kit Lists'!$D$6:$D$605,MATCH(B1722&amp;"|"&amp;C1722,'Kit Lists'!$J$6:$J$605,0)),"Not on this contract's kit list"))</f>
        <v/>
      </c>
      <c r="H1722" s="83" t="str">
        <f aca="false">IF(AND(B1722="",C1722="",D1722=""),"",IF(B1722="","Missing contract",IF(C1722="","Missing code",IF(LEFT(G1722,3)="Not","Wrong code",IF(D1722="","Missing qty",IF(A1722="","Missing date",""))))))</f>
        <v/>
      </c>
      <c r="I1722" s="84" t="str">
        <f aca="false">IF(B1722=Dashboard!$D$3,ROW(),"")</f>
        <v/>
      </c>
    </row>
    <row r="1723" customFormat="false" ht="15" hidden="false" customHeight="false" outlineLevel="0" collapsed="false">
      <c r="A1723" s="80"/>
      <c r="B1723" s="71"/>
      <c r="C1723" s="71"/>
      <c r="D1723" s="81"/>
      <c r="E1723" s="71"/>
      <c r="F1723" s="71"/>
      <c r="G1723" s="82" t="str">
        <f aca="false">IF(C1723="","",IFERROR(INDEX('Kit Lists'!$D$6:$D$605,MATCH(B1723&amp;"|"&amp;C1723,'Kit Lists'!$J$6:$J$605,0)),"Not on this contract's kit list"))</f>
        <v/>
      </c>
      <c r="H1723" s="83" t="str">
        <f aca="false">IF(AND(B1723="",C1723="",D1723=""),"",IF(B1723="","Missing contract",IF(C1723="","Missing code",IF(LEFT(G1723,3)="Not","Wrong code",IF(D1723="","Missing qty",IF(A1723="","Missing date",""))))))</f>
        <v/>
      </c>
      <c r="I1723" s="84" t="str">
        <f aca="false">IF(B1723=Dashboard!$D$3,ROW(),"")</f>
        <v/>
      </c>
    </row>
    <row r="1724" customFormat="false" ht="15" hidden="false" customHeight="false" outlineLevel="0" collapsed="false">
      <c r="A1724" s="80"/>
      <c r="B1724" s="71"/>
      <c r="C1724" s="71"/>
      <c r="D1724" s="81"/>
      <c r="E1724" s="71"/>
      <c r="F1724" s="71"/>
      <c r="G1724" s="82" t="str">
        <f aca="false">IF(C1724="","",IFERROR(INDEX('Kit Lists'!$D$6:$D$605,MATCH(B1724&amp;"|"&amp;C1724,'Kit Lists'!$J$6:$J$605,0)),"Not on this contract's kit list"))</f>
        <v/>
      </c>
      <c r="H1724" s="83" t="str">
        <f aca="false">IF(AND(B1724="",C1724="",D1724=""),"",IF(B1724="","Missing contract",IF(C1724="","Missing code",IF(LEFT(G1724,3)="Not","Wrong code",IF(D1724="","Missing qty",IF(A1724="","Missing date",""))))))</f>
        <v/>
      </c>
      <c r="I1724" s="84" t="str">
        <f aca="false">IF(B1724=Dashboard!$D$3,ROW(),"")</f>
        <v/>
      </c>
    </row>
    <row r="1725" customFormat="false" ht="15" hidden="false" customHeight="false" outlineLevel="0" collapsed="false">
      <c r="A1725" s="80"/>
      <c r="B1725" s="71"/>
      <c r="C1725" s="71"/>
      <c r="D1725" s="81"/>
      <c r="E1725" s="71"/>
      <c r="F1725" s="71"/>
      <c r="G1725" s="82" t="str">
        <f aca="false">IF(C1725="","",IFERROR(INDEX('Kit Lists'!$D$6:$D$605,MATCH(B1725&amp;"|"&amp;C1725,'Kit Lists'!$J$6:$J$605,0)),"Not on this contract's kit list"))</f>
        <v/>
      </c>
      <c r="H1725" s="83" t="str">
        <f aca="false">IF(AND(B1725="",C1725="",D1725=""),"",IF(B1725="","Missing contract",IF(C1725="","Missing code",IF(LEFT(G1725,3)="Not","Wrong code",IF(D1725="","Missing qty",IF(A1725="","Missing date",""))))))</f>
        <v/>
      </c>
      <c r="I1725" s="84" t="str">
        <f aca="false">IF(B1725=Dashboard!$D$3,ROW(),"")</f>
        <v/>
      </c>
    </row>
    <row r="1726" customFormat="false" ht="15" hidden="false" customHeight="false" outlineLevel="0" collapsed="false">
      <c r="A1726" s="80"/>
      <c r="B1726" s="71"/>
      <c r="C1726" s="71"/>
      <c r="D1726" s="81"/>
      <c r="E1726" s="71"/>
      <c r="F1726" s="71"/>
      <c r="G1726" s="82" t="str">
        <f aca="false">IF(C1726="","",IFERROR(INDEX('Kit Lists'!$D$6:$D$605,MATCH(B1726&amp;"|"&amp;C1726,'Kit Lists'!$J$6:$J$605,0)),"Not on this contract's kit list"))</f>
        <v/>
      </c>
      <c r="H1726" s="83" t="str">
        <f aca="false">IF(AND(B1726="",C1726="",D1726=""),"",IF(B1726="","Missing contract",IF(C1726="","Missing code",IF(LEFT(G1726,3)="Not","Wrong code",IF(D1726="","Missing qty",IF(A1726="","Missing date",""))))))</f>
        <v/>
      </c>
      <c r="I1726" s="84" t="str">
        <f aca="false">IF(B1726=Dashboard!$D$3,ROW(),"")</f>
        <v/>
      </c>
    </row>
    <row r="1727" customFormat="false" ht="15" hidden="false" customHeight="false" outlineLevel="0" collapsed="false">
      <c r="A1727" s="80"/>
      <c r="B1727" s="71"/>
      <c r="C1727" s="71"/>
      <c r="D1727" s="81"/>
      <c r="E1727" s="71"/>
      <c r="F1727" s="71"/>
      <c r="G1727" s="82" t="str">
        <f aca="false">IF(C1727="","",IFERROR(INDEX('Kit Lists'!$D$6:$D$605,MATCH(B1727&amp;"|"&amp;C1727,'Kit Lists'!$J$6:$J$605,0)),"Not on this contract's kit list"))</f>
        <v/>
      </c>
      <c r="H1727" s="83" t="str">
        <f aca="false">IF(AND(B1727="",C1727="",D1727=""),"",IF(B1727="","Missing contract",IF(C1727="","Missing code",IF(LEFT(G1727,3)="Not","Wrong code",IF(D1727="","Missing qty",IF(A1727="","Missing date",""))))))</f>
        <v/>
      </c>
      <c r="I1727" s="84" t="str">
        <f aca="false">IF(B1727=Dashboard!$D$3,ROW(),"")</f>
        <v/>
      </c>
    </row>
    <row r="1728" customFormat="false" ht="15" hidden="false" customHeight="false" outlineLevel="0" collapsed="false">
      <c r="A1728" s="80"/>
      <c r="B1728" s="71"/>
      <c r="C1728" s="71"/>
      <c r="D1728" s="81"/>
      <c r="E1728" s="71"/>
      <c r="F1728" s="71"/>
      <c r="G1728" s="82" t="str">
        <f aca="false">IF(C1728="","",IFERROR(INDEX('Kit Lists'!$D$6:$D$605,MATCH(B1728&amp;"|"&amp;C1728,'Kit Lists'!$J$6:$J$605,0)),"Not on this contract's kit list"))</f>
        <v/>
      </c>
      <c r="H1728" s="83" t="str">
        <f aca="false">IF(AND(B1728="",C1728="",D1728=""),"",IF(B1728="","Missing contract",IF(C1728="","Missing code",IF(LEFT(G1728,3)="Not","Wrong code",IF(D1728="","Missing qty",IF(A1728="","Missing date",""))))))</f>
        <v/>
      </c>
      <c r="I1728" s="84" t="str">
        <f aca="false">IF(B1728=Dashboard!$D$3,ROW(),"")</f>
        <v/>
      </c>
    </row>
    <row r="1729" customFormat="false" ht="15" hidden="false" customHeight="false" outlineLevel="0" collapsed="false">
      <c r="A1729" s="80"/>
      <c r="B1729" s="71"/>
      <c r="C1729" s="71"/>
      <c r="D1729" s="81"/>
      <c r="E1729" s="71"/>
      <c r="F1729" s="71"/>
      <c r="G1729" s="82" t="str">
        <f aca="false">IF(C1729="","",IFERROR(INDEX('Kit Lists'!$D$6:$D$605,MATCH(B1729&amp;"|"&amp;C1729,'Kit Lists'!$J$6:$J$605,0)),"Not on this contract's kit list"))</f>
        <v/>
      </c>
      <c r="H1729" s="83" t="str">
        <f aca="false">IF(AND(B1729="",C1729="",D1729=""),"",IF(B1729="","Missing contract",IF(C1729="","Missing code",IF(LEFT(G1729,3)="Not","Wrong code",IF(D1729="","Missing qty",IF(A1729="","Missing date",""))))))</f>
        <v/>
      </c>
      <c r="I1729" s="84" t="str">
        <f aca="false">IF(B1729=Dashboard!$D$3,ROW(),"")</f>
        <v/>
      </c>
    </row>
    <row r="1730" customFormat="false" ht="15" hidden="false" customHeight="false" outlineLevel="0" collapsed="false">
      <c r="A1730" s="80"/>
      <c r="B1730" s="71"/>
      <c r="C1730" s="71"/>
      <c r="D1730" s="81"/>
      <c r="E1730" s="71"/>
      <c r="F1730" s="71"/>
      <c r="G1730" s="82" t="str">
        <f aca="false">IF(C1730="","",IFERROR(INDEX('Kit Lists'!$D$6:$D$605,MATCH(B1730&amp;"|"&amp;C1730,'Kit Lists'!$J$6:$J$605,0)),"Not on this contract's kit list"))</f>
        <v/>
      </c>
      <c r="H1730" s="83" t="str">
        <f aca="false">IF(AND(B1730="",C1730="",D1730=""),"",IF(B1730="","Missing contract",IF(C1730="","Missing code",IF(LEFT(G1730,3)="Not","Wrong code",IF(D1730="","Missing qty",IF(A1730="","Missing date",""))))))</f>
        <v/>
      </c>
      <c r="I1730" s="84" t="str">
        <f aca="false">IF(B1730=Dashboard!$D$3,ROW(),"")</f>
        <v/>
      </c>
    </row>
    <row r="1731" customFormat="false" ht="15" hidden="false" customHeight="false" outlineLevel="0" collapsed="false">
      <c r="A1731" s="80"/>
      <c r="B1731" s="71"/>
      <c r="C1731" s="71"/>
      <c r="D1731" s="81"/>
      <c r="E1731" s="71"/>
      <c r="F1731" s="71"/>
      <c r="G1731" s="82" t="str">
        <f aca="false">IF(C1731="","",IFERROR(INDEX('Kit Lists'!$D$6:$D$605,MATCH(B1731&amp;"|"&amp;C1731,'Kit Lists'!$J$6:$J$605,0)),"Not on this contract's kit list"))</f>
        <v/>
      </c>
      <c r="H1731" s="83" t="str">
        <f aca="false">IF(AND(B1731="",C1731="",D1731=""),"",IF(B1731="","Missing contract",IF(C1731="","Missing code",IF(LEFT(G1731,3)="Not","Wrong code",IF(D1731="","Missing qty",IF(A1731="","Missing date",""))))))</f>
        <v/>
      </c>
      <c r="I1731" s="84" t="str">
        <f aca="false">IF(B1731=Dashboard!$D$3,ROW(),"")</f>
        <v/>
      </c>
    </row>
    <row r="1732" customFormat="false" ht="15" hidden="false" customHeight="false" outlineLevel="0" collapsed="false">
      <c r="A1732" s="80"/>
      <c r="B1732" s="71"/>
      <c r="C1732" s="71"/>
      <c r="D1732" s="81"/>
      <c r="E1732" s="71"/>
      <c r="F1732" s="71"/>
      <c r="G1732" s="82" t="str">
        <f aca="false">IF(C1732="","",IFERROR(INDEX('Kit Lists'!$D$6:$D$605,MATCH(B1732&amp;"|"&amp;C1732,'Kit Lists'!$J$6:$J$605,0)),"Not on this contract's kit list"))</f>
        <v/>
      </c>
      <c r="H1732" s="83" t="str">
        <f aca="false">IF(AND(B1732="",C1732="",D1732=""),"",IF(B1732="","Missing contract",IF(C1732="","Missing code",IF(LEFT(G1732,3)="Not","Wrong code",IF(D1732="","Missing qty",IF(A1732="","Missing date",""))))))</f>
        <v/>
      </c>
      <c r="I1732" s="84" t="str">
        <f aca="false">IF(B1732=Dashboard!$D$3,ROW(),"")</f>
        <v/>
      </c>
    </row>
    <row r="1733" customFormat="false" ht="15" hidden="false" customHeight="false" outlineLevel="0" collapsed="false">
      <c r="A1733" s="80"/>
      <c r="B1733" s="71"/>
      <c r="C1733" s="71"/>
      <c r="D1733" s="81"/>
      <c r="E1733" s="71"/>
      <c r="F1733" s="71"/>
      <c r="G1733" s="82" t="str">
        <f aca="false">IF(C1733="","",IFERROR(INDEX('Kit Lists'!$D$6:$D$605,MATCH(B1733&amp;"|"&amp;C1733,'Kit Lists'!$J$6:$J$605,0)),"Not on this contract's kit list"))</f>
        <v/>
      </c>
      <c r="H1733" s="83" t="str">
        <f aca="false">IF(AND(B1733="",C1733="",D1733=""),"",IF(B1733="","Missing contract",IF(C1733="","Missing code",IF(LEFT(G1733,3)="Not","Wrong code",IF(D1733="","Missing qty",IF(A1733="","Missing date",""))))))</f>
        <v/>
      </c>
      <c r="I1733" s="84" t="str">
        <f aca="false">IF(B1733=Dashboard!$D$3,ROW(),"")</f>
        <v/>
      </c>
    </row>
    <row r="1734" customFormat="false" ht="15" hidden="false" customHeight="false" outlineLevel="0" collapsed="false">
      <c r="A1734" s="80"/>
      <c r="B1734" s="71"/>
      <c r="C1734" s="71"/>
      <c r="D1734" s="81"/>
      <c r="E1734" s="71"/>
      <c r="F1734" s="71"/>
      <c r="G1734" s="82" t="str">
        <f aca="false">IF(C1734="","",IFERROR(INDEX('Kit Lists'!$D$6:$D$605,MATCH(B1734&amp;"|"&amp;C1734,'Kit Lists'!$J$6:$J$605,0)),"Not on this contract's kit list"))</f>
        <v/>
      </c>
      <c r="H1734" s="83" t="str">
        <f aca="false">IF(AND(B1734="",C1734="",D1734=""),"",IF(B1734="","Missing contract",IF(C1734="","Missing code",IF(LEFT(G1734,3)="Not","Wrong code",IF(D1734="","Missing qty",IF(A1734="","Missing date",""))))))</f>
        <v/>
      </c>
      <c r="I1734" s="84" t="str">
        <f aca="false">IF(B1734=Dashboard!$D$3,ROW(),"")</f>
        <v/>
      </c>
    </row>
    <row r="1735" customFormat="false" ht="15" hidden="false" customHeight="false" outlineLevel="0" collapsed="false">
      <c r="A1735" s="80"/>
      <c r="B1735" s="71"/>
      <c r="C1735" s="71"/>
      <c r="D1735" s="81"/>
      <c r="E1735" s="71"/>
      <c r="F1735" s="71"/>
      <c r="G1735" s="82" t="str">
        <f aca="false">IF(C1735="","",IFERROR(INDEX('Kit Lists'!$D$6:$D$605,MATCH(B1735&amp;"|"&amp;C1735,'Kit Lists'!$J$6:$J$605,0)),"Not on this contract's kit list"))</f>
        <v/>
      </c>
      <c r="H1735" s="83" t="str">
        <f aca="false">IF(AND(B1735="",C1735="",D1735=""),"",IF(B1735="","Missing contract",IF(C1735="","Missing code",IF(LEFT(G1735,3)="Not","Wrong code",IF(D1735="","Missing qty",IF(A1735="","Missing date",""))))))</f>
        <v/>
      </c>
      <c r="I1735" s="84" t="str">
        <f aca="false">IF(B1735=Dashboard!$D$3,ROW(),"")</f>
        <v/>
      </c>
    </row>
    <row r="1736" customFormat="false" ht="15" hidden="false" customHeight="false" outlineLevel="0" collapsed="false">
      <c r="A1736" s="80"/>
      <c r="B1736" s="71"/>
      <c r="C1736" s="71"/>
      <c r="D1736" s="81"/>
      <c r="E1736" s="71"/>
      <c r="F1736" s="71"/>
      <c r="G1736" s="82" t="str">
        <f aca="false">IF(C1736="","",IFERROR(INDEX('Kit Lists'!$D$6:$D$605,MATCH(B1736&amp;"|"&amp;C1736,'Kit Lists'!$J$6:$J$605,0)),"Not on this contract's kit list"))</f>
        <v/>
      </c>
      <c r="H1736" s="83" t="str">
        <f aca="false">IF(AND(B1736="",C1736="",D1736=""),"",IF(B1736="","Missing contract",IF(C1736="","Missing code",IF(LEFT(G1736,3)="Not","Wrong code",IF(D1736="","Missing qty",IF(A1736="","Missing date",""))))))</f>
        <v/>
      </c>
      <c r="I1736" s="84" t="str">
        <f aca="false">IF(B1736=Dashboard!$D$3,ROW(),"")</f>
        <v/>
      </c>
    </row>
    <row r="1737" customFormat="false" ht="15" hidden="false" customHeight="false" outlineLevel="0" collapsed="false">
      <c r="A1737" s="80"/>
      <c r="B1737" s="71"/>
      <c r="C1737" s="71"/>
      <c r="D1737" s="81"/>
      <c r="E1737" s="71"/>
      <c r="F1737" s="71"/>
      <c r="G1737" s="82" t="str">
        <f aca="false">IF(C1737="","",IFERROR(INDEX('Kit Lists'!$D$6:$D$605,MATCH(B1737&amp;"|"&amp;C1737,'Kit Lists'!$J$6:$J$605,0)),"Not on this contract's kit list"))</f>
        <v/>
      </c>
      <c r="H1737" s="83" t="str">
        <f aca="false">IF(AND(B1737="",C1737="",D1737=""),"",IF(B1737="","Missing contract",IF(C1737="","Missing code",IF(LEFT(G1737,3)="Not","Wrong code",IF(D1737="","Missing qty",IF(A1737="","Missing date",""))))))</f>
        <v/>
      </c>
      <c r="I1737" s="84" t="str">
        <f aca="false">IF(B1737=Dashboard!$D$3,ROW(),"")</f>
        <v/>
      </c>
    </row>
    <row r="1738" customFormat="false" ht="15" hidden="false" customHeight="false" outlineLevel="0" collapsed="false">
      <c r="A1738" s="80"/>
      <c r="B1738" s="71"/>
      <c r="C1738" s="71"/>
      <c r="D1738" s="81"/>
      <c r="E1738" s="71"/>
      <c r="F1738" s="71"/>
      <c r="G1738" s="82" t="str">
        <f aca="false">IF(C1738="","",IFERROR(INDEX('Kit Lists'!$D$6:$D$605,MATCH(B1738&amp;"|"&amp;C1738,'Kit Lists'!$J$6:$J$605,0)),"Not on this contract's kit list"))</f>
        <v/>
      </c>
      <c r="H1738" s="83" t="str">
        <f aca="false">IF(AND(B1738="",C1738="",D1738=""),"",IF(B1738="","Missing contract",IF(C1738="","Missing code",IF(LEFT(G1738,3)="Not","Wrong code",IF(D1738="","Missing qty",IF(A1738="","Missing date",""))))))</f>
        <v/>
      </c>
      <c r="I1738" s="84" t="str">
        <f aca="false">IF(B1738=Dashboard!$D$3,ROW(),"")</f>
        <v/>
      </c>
    </row>
    <row r="1739" customFormat="false" ht="15" hidden="false" customHeight="false" outlineLevel="0" collapsed="false">
      <c r="A1739" s="80"/>
      <c r="B1739" s="71"/>
      <c r="C1739" s="71"/>
      <c r="D1739" s="81"/>
      <c r="E1739" s="71"/>
      <c r="F1739" s="71"/>
      <c r="G1739" s="82" t="str">
        <f aca="false">IF(C1739="","",IFERROR(INDEX('Kit Lists'!$D$6:$D$605,MATCH(B1739&amp;"|"&amp;C1739,'Kit Lists'!$J$6:$J$605,0)),"Not on this contract's kit list"))</f>
        <v/>
      </c>
      <c r="H1739" s="83" t="str">
        <f aca="false">IF(AND(B1739="",C1739="",D1739=""),"",IF(B1739="","Missing contract",IF(C1739="","Missing code",IF(LEFT(G1739,3)="Not","Wrong code",IF(D1739="","Missing qty",IF(A1739="","Missing date",""))))))</f>
        <v/>
      </c>
      <c r="I1739" s="84" t="str">
        <f aca="false">IF(B1739=Dashboard!$D$3,ROW(),"")</f>
        <v/>
      </c>
    </row>
    <row r="1740" customFormat="false" ht="15" hidden="false" customHeight="false" outlineLevel="0" collapsed="false">
      <c r="A1740" s="80"/>
      <c r="B1740" s="71"/>
      <c r="C1740" s="71"/>
      <c r="D1740" s="81"/>
      <c r="E1740" s="71"/>
      <c r="F1740" s="71"/>
      <c r="G1740" s="82" t="str">
        <f aca="false">IF(C1740="","",IFERROR(INDEX('Kit Lists'!$D$6:$D$605,MATCH(B1740&amp;"|"&amp;C1740,'Kit Lists'!$J$6:$J$605,0)),"Not on this contract's kit list"))</f>
        <v/>
      </c>
      <c r="H1740" s="83" t="str">
        <f aca="false">IF(AND(B1740="",C1740="",D1740=""),"",IF(B1740="","Missing contract",IF(C1740="","Missing code",IF(LEFT(G1740,3)="Not","Wrong code",IF(D1740="","Missing qty",IF(A1740="","Missing date",""))))))</f>
        <v/>
      </c>
      <c r="I1740" s="84" t="str">
        <f aca="false">IF(B1740=Dashboard!$D$3,ROW(),"")</f>
        <v/>
      </c>
    </row>
    <row r="1741" customFormat="false" ht="15" hidden="false" customHeight="false" outlineLevel="0" collapsed="false">
      <c r="A1741" s="80"/>
      <c r="B1741" s="71"/>
      <c r="C1741" s="71"/>
      <c r="D1741" s="81"/>
      <c r="E1741" s="71"/>
      <c r="F1741" s="71"/>
      <c r="G1741" s="82" t="str">
        <f aca="false">IF(C1741="","",IFERROR(INDEX('Kit Lists'!$D$6:$D$605,MATCH(B1741&amp;"|"&amp;C1741,'Kit Lists'!$J$6:$J$605,0)),"Not on this contract's kit list"))</f>
        <v/>
      </c>
      <c r="H1741" s="83" t="str">
        <f aca="false">IF(AND(B1741="",C1741="",D1741=""),"",IF(B1741="","Missing contract",IF(C1741="","Missing code",IF(LEFT(G1741,3)="Not","Wrong code",IF(D1741="","Missing qty",IF(A1741="","Missing date",""))))))</f>
        <v/>
      </c>
      <c r="I1741" s="84" t="str">
        <f aca="false">IF(B1741=Dashboard!$D$3,ROW(),"")</f>
        <v/>
      </c>
    </row>
    <row r="1742" customFormat="false" ht="15" hidden="false" customHeight="false" outlineLevel="0" collapsed="false">
      <c r="A1742" s="80"/>
      <c r="B1742" s="71"/>
      <c r="C1742" s="71"/>
      <c r="D1742" s="81"/>
      <c r="E1742" s="71"/>
      <c r="F1742" s="71"/>
      <c r="G1742" s="82" t="str">
        <f aca="false">IF(C1742="","",IFERROR(INDEX('Kit Lists'!$D$6:$D$605,MATCH(B1742&amp;"|"&amp;C1742,'Kit Lists'!$J$6:$J$605,0)),"Not on this contract's kit list"))</f>
        <v/>
      </c>
      <c r="H1742" s="83" t="str">
        <f aca="false">IF(AND(B1742="",C1742="",D1742=""),"",IF(B1742="","Missing contract",IF(C1742="","Missing code",IF(LEFT(G1742,3)="Not","Wrong code",IF(D1742="","Missing qty",IF(A1742="","Missing date",""))))))</f>
        <v/>
      </c>
      <c r="I1742" s="84" t="str">
        <f aca="false">IF(B1742=Dashboard!$D$3,ROW(),"")</f>
        <v/>
      </c>
    </row>
    <row r="1743" customFormat="false" ht="15" hidden="false" customHeight="false" outlineLevel="0" collapsed="false">
      <c r="A1743" s="80"/>
      <c r="B1743" s="71"/>
      <c r="C1743" s="71"/>
      <c r="D1743" s="81"/>
      <c r="E1743" s="71"/>
      <c r="F1743" s="71"/>
      <c r="G1743" s="82" t="str">
        <f aca="false">IF(C1743="","",IFERROR(INDEX('Kit Lists'!$D$6:$D$605,MATCH(B1743&amp;"|"&amp;C1743,'Kit Lists'!$J$6:$J$605,0)),"Not on this contract's kit list"))</f>
        <v/>
      </c>
      <c r="H1743" s="83" t="str">
        <f aca="false">IF(AND(B1743="",C1743="",D1743=""),"",IF(B1743="","Missing contract",IF(C1743="","Missing code",IF(LEFT(G1743,3)="Not","Wrong code",IF(D1743="","Missing qty",IF(A1743="","Missing date",""))))))</f>
        <v/>
      </c>
      <c r="I1743" s="84" t="str">
        <f aca="false">IF(B1743=Dashboard!$D$3,ROW(),"")</f>
        <v/>
      </c>
    </row>
    <row r="1744" customFormat="false" ht="15" hidden="false" customHeight="false" outlineLevel="0" collapsed="false">
      <c r="A1744" s="80"/>
      <c r="B1744" s="71"/>
      <c r="C1744" s="71"/>
      <c r="D1744" s="81"/>
      <c r="E1744" s="71"/>
      <c r="F1744" s="71"/>
      <c r="G1744" s="82" t="str">
        <f aca="false">IF(C1744="","",IFERROR(INDEX('Kit Lists'!$D$6:$D$605,MATCH(B1744&amp;"|"&amp;C1744,'Kit Lists'!$J$6:$J$605,0)),"Not on this contract's kit list"))</f>
        <v/>
      </c>
      <c r="H1744" s="83" t="str">
        <f aca="false">IF(AND(B1744="",C1744="",D1744=""),"",IF(B1744="","Missing contract",IF(C1744="","Missing code",IF(LEFT(G1744,3)="Not","Wrong code",IF(D1744="","Missing qty",IF(A1744="","Missing date",""))))))</f>
        <v/>
      </c>
      <c r="I1744" s="84" t="str">
        <f aca="false">IF(B1744=Dashboard!$D$3,ROW(),"")</f>
        <v/>
      </c>
    </row>
    <row r="1745" customFormat="false" ht="15" hidden="false" customHeight="false" outlineLevel="0" collapsed="false">
      <c r="A1745" s="80"/>
      <c r="B1745" s="71"/>
      <c r="C1745" s="71"/>
      <c r="D1745" s="81"/>
      <c r="E1745" s="71"/>
      <c r="F1745" s="71"/>
      <c r="G1745" s="82" t="str">
        <f aca="false">IF(C1745="","",IFERROR(INDEX('Kit Lists'!$D$6:$D$605,MATCH(B1745&amp;"|"&amp;C1745,'Kit Lists'!$J$6:$J$605,0)),"Not on this contract's kit list"))</f>
        <v/>
      </c>
      <c r="H1745" s="83" t="str">
        <f aca="false">IF(AND(B1745="",C1745="",D1745=""),"",IF(B1745="","Missing contract",IF(C1745="","Missing code",IF(LEFT(G1745,3)="Not","Wrong code",IF(D1745="","Missing qty",IF(A1745="","Missing date",""))))))</f>
        <v/>
      </c>
      <c r="I1745" s="84" t="str">
        <f aca="false">IF(B1745=Dashboard!$D$3,ROW(),"")</f>
        <v/>
      </c>
    </row>
    <row r="1746" customFormat="false" ht="15" hidden="false" customHeight="false" outlineLevel="0" collapsed="false">
      <c r="A1746" s="80"/>
      <c r="B1746" s="71"/>
      <c r="C1746" s="71"/>
      <c r="D1746" s="81"/>
      <c r="E1746" s="71"/>
      <c r="F1746" s="71"/>
      <c r="G1746" s="82" t="str">
        <f aca="false">IF(C1746="","",IFERROR(INDEX('Kit Lists'!$D$6:$D$605,MATCH(B1746&amp;"|"&amp;C1746,'Kit Lists'!$J$6:$J$605,0)),"Not on this contract's kit list"))</f>
        <v/>
      </c>
      <c r="H1746" s="83" t="str">
        <f aca="false">IF(AND(B1746="",C1746="",D1746=""),"",IF(B1746="","Missing contract",IF(C1746="","Missing code",IF(LEFT(G1746,3)="Not","Wrong code",IF(D1746="","Missing qty",IF(A1746="","Missing date",""))))))</f>
        <v/>
      </c>
      <c r="I1746" s="84" t="str">
        <f aca="false">IF(B1746=Dashboard!$D$3,ROW(),"")</f>
        <v/>
      </c>
    </row>
    <row r="1747" customFormat="false" ht="15" hidden="false" customHeight="false" outlineLevel="0" collapsed="false">
      <c r="A1747" s="80"/>
      <c r="B1747" s="71"/>
      <c r="C1747" s="71"/>
      <c r="D1747" s="81"/>
      <c r="E1747" s="71"/>
      <c r="F1747" s="71"/>
      <c r="G1747" s="82" t="str">
        <f aca="false">IF(C1747="","",IFERROR(INDEX('Kit Lists'!$D$6:$D$605,MATCH(B1747&amp;"|"&amp;C1747,'Kit Lists'!$J$6:$J$605,0)),"Not on this contract's kit list"))</f>
        <v/>
      </c>
      <c r="H1747" s="83" t="str">
        <f aca="false">IF(AND(B1747="",C1747="",D1747=""),"",IF(B1747="","Missing contract",IF(C1747="","Missing code",IF(LEFT(G1747,3)="Not","Wrong code",IF(D1747="","Missing qty",IF(A1747="","Missing date",""))))))</f>
        <v/>
      </c>
      <c r="I1747" s="84" t="str">
        <f aca="false">IF(B1747=Dashboard!$D$3,ROW(),"")</f>
        <v/>
      </c>
    </row>
    <row r="1748" customFormat="false" ht="15" hidden="false" customHeight="false" outlineLevel="0" collapsed="false">
      <c r="A1748" s="80"/>
      <c r="B1748" s="71"/>
      <c r="C1748" s="71"/>
      <c r="D1748" s="81"/>
      <c r="E1748" s="71"/>
      <c r="F1748" s="71"/>
      <c r="G1748" s="82" t="str">
        <f aca="false">IF(C1748="","",IFERROR(INDEX('Kit Lists'!$D$6:$D$605,MATCH(B1748&amp;"|"&amp;C1748,'Kit Lists'!$J$6:$J$605,0)),"Not on this contract's kit list"))</f>
        <v/>
      </c>
      <c r="H1748" s="83" t="str">
        <f aca="false">IF(AND(B1748="",C1748="",D1748=""),"",IF(B1748="","Missing contract",IF(C1748="","Missing code",IF(LEFT(G1748,3)="Not","Wrong code",IF(D1748="","Missing qty",IF(A1748="","Missing date",""))))))</f>
        <v/>
      </c>
      <c r="I1748" s="84" t="str">
        <f aca="false">IF(B1748=Dashboard!$D$3,ROW(),"")</f>
        <v/>
      </c>
    </row>
    <row r="1749" customFormat="false" ht="15" hidden="false" customHeight="false" outlineLevel="0" collapsed="false">
      <c r="A1749" s="80"/>
      <c r="B1749" s="71"/>
      <c r="C1749" s="71"/>
      <c r="D1749" s="81"/>
      <c r="E1749" s="71"/>
      <c r="F1749" s="71"/>
      <c r="G1749" s="82" t="str">
        <f aca="false">IF(C1749="","",IFERROR(INDEX('Kit Lists'!$D$6:$D$605,MATCH(B1749&amp;"|"&amp;C1749,'Kit Lists'!$J$6:$J$605,0)),"Not on this contract's kit list"))</f>
        <v/>
      </c>
      <c r="H1749" s="83" t="str">
        <f aca="false">IF(AND(B1749="",C1749="",D1749=""),"",IF(B1749="","Missing contract",IF(C1749="","Missing code",IF(LEFT(G1749,3)="Not","Wrong code",IF(D1749="","Missing qty",IF(A1749="","Missing date",""))))))</f>
        <v/>
      </c>
      <c r="I1749" s="84" t="str">
        <f aca="false">IF(B1749=Dashboard!$D$3,ROW(),"")</f>
        <v/>
      </c>
    </row>
    <row r="1750" customFormat="false" ht="15" hidden="false" customHeight="false" outlineLevel="0" collapsed="false">
      <c r="A1750" s="80"/>
      <c r="B1750" s="71"/>
      <c r="C1750" s="71"/>
      <c r="D1750" s="81"/>
      <c r="E1750" s="71"/>
      <c r="F1750" s="71"/>
      <c r="G1750" s="82" t="str">
        <f aca="false">IF(C1750="","",IFERROR(INDEX('Kit Lists'!$D$6:$D$605,MATCH(B1750&amp;"|"&amp;C1750,'Kit Lists'!$J$6:$J$605,0)),"Not on this contract's kit list"))</f>
        <v/>
      </c>
      <c r="H1750" s="83" t="str">
        <f aca="false">IF(AND(B1750="",C1750="",D1750=""),"",IF(B1750="","Missing contract",IF(C1750="","Missing code",IF(LEFT(G1750,3)="Not","Wrong code",IF(D1750="","Missing qty",IF(A1750="","Missing date",""))))))</f>
        <v/>
      </c>
      <c r="I1750" s="84" t="str">
        <f aca="false">IF(B1750=Dashboard!$D$3,ROW(),"")</f>
        <v/>
      </c>
    </row>
    <row r="1751" customFormat="false" ht="15" hidden="false" customHeight="false" outlineLevel="0" collapsed="false">
      <c r="A1751" s="80"/>
      <c r="B1751" s="71"/>
      <c r="C1751" s="71"/>
      <c r="D1751" s="81"/>
      <c r="E1751" s="71"/>
      <c r="F1751" s="71"/>
      <c r="G1751" s="82" t="str">
        <f aca="false">IF(C1751="","",IFERROR(INDEX('Kit Lists'!$D$6:$D$605,MATCH(B1751&amp;"|"&amp;C1751,'Kit Lists'!$J$6:$J$605,0)),"Not on this contract's kit list"))</f>
        <v/>
      </c>
      <c r="H1751" s="83" t="str">
        <f aca="false">IF(AND(B1751="",C1751="",D1751=""),"",IF(B1751="","Missing contract",IF(C1751="","Missing code",IF(LEFT(G1751,3)="Not","Wrong code",IF(D1751="","Missing qty",IF(A1751="","Missing date",""))))))</f>
        <v/>
      </c>
      <c r="I1751" s="84" t="str">
        <f aca="false">IF(B1751=Dashboard!$D$3,ROW(),"")</f>
        <v/>
      </c>
    </row>
    <row r="1752" customFormat="false" ht="15" hidden="false" customHeight="false" outlineLevel="0" collapsed="false">
      <c r="A1752" s="80"/>
      <c r="B1752" s="71"/>
      <c r="C1752" s="71"/>
      <c r="D1752" s="81"/>
      <c r="E1752" s="71"/>
      <c r="F1752" s="71"/>
      <c r="G1752" s="82" t="str">
        <f aca="false">IF(C1752="","",IFERROR(INDEX('Kit Lists'!$D$6:$D$605,MATCH(B1752&amp;"|"&amp;C1752,'Kit Lists'!$J$6:$J$605,0)),"Not on this contract's kit list"))</f>
        <v/>
      </c>
      <c r="H1752" s="83" t="str">
        <f aca="false">IF(AND(B1752="",C1752="",D1752=""),"",IF(B1752="","Missing contract",IF(C1752="","Missing code",IF(LEFT(G1752,3)="Not","Wrong code",IF(D1752="","Missing qty",IF(A1752="","Missing date",""))))))</f>
        <v/>
      </c>
      <c r="I1752" s="84" t="str">
        <f aca="false">IF(B1752=Dashboard!$D$3,ROW(),"")</f>
        <v/>
      </c>
    </row>
    <row r="1753" customFormat="false" ht="15" hidden="false" customHeight="false" outlineLevel="0" collapsed="false">
      <c r="A1753" s="80"/>
      <c r="B1753" s="71"/>
      <c r="C1753" s="71"/>
      <c r="D1753" s="81"/>
      <c r="E1753" s="71"/>
      <c r="F1753" s="71"/>
      <c r="G1753" s="82" t="str">
        <f aca="false">IF(C1753="","",IFERROR(INDEX('Kit Lists'!$D$6:$D$605,MATCH(B1753&amp;"|"&amp;C1753,'Kit Lists'!$J$6:$J$605,0)),"Not on this contract's kit list"))</f>
        <v/>
      </c>
      <c r="H1753" s="83" t="str">
        <f aca="false">IF(AND(B1753="",C1753="",D1753=""),"",IF(B1753="","Missing contract",IF(C1753="","Missing code",IF(LEFT(G1753,3)="Not","Wrong code",IF(D1753="","Missing qty",IF(A1753="","Missing date",""))))))</f>
        <v/>
      </c>
      <c r="I1753" s="84" t="str">
        <f aca="false">IF(B1753=Dashboard!$D$3,ROW(),"")</f>
        <v/>
      </c>
    </row>
    <row r="1754" customFormat="false" ht="15" hidden="false" customHeight="false" outlineLevel="0" collapsed="false">
      <c r="A1754" s="80"/>
      <c r="B1754" s="71"/>
      <c r="C1754" s="71"/>
      <c r="D1754" s="81"/>
      <c r="E1754" s="71"/>
      <c r="F1754" s="71"/>
      <c r="G1754" s="82" t="str">
        <f aca="false">IF(C1754="","",IFERROR(INDEX('Kit Lists'!$D$6:$D$605,MATCH(B1754&amp;"|"&amp;C1754,'Kit Lists'!$J$6:$J$605,0)),"Not on this contract's kit list"))</f>
        <v/>
      </c>
      <c r="H1754" s="83" t="str">
        <f aca="false">IF(AND(B1754="",C1754="",D1754=""),"",IF(B1754="","Missing contract",IF(C1754="","Missing code",IF(LEFT(G1754,3)="Not","Wrong code",IF(D1754="","Missing qty",IF(A1754="","Missing date",""))))))</f>
        <v/>
      </c>
      <c r="I1754" s="84" t="str">
        <f aca="false">IF(B1754=Dashboard!$D$3,ROW(),"")</f>
        <v/>
      </c>
    </row>
    <row r="1755" customFormat="false" ht="15" hidden="false" customHeight="false" outlineLevel="0" collapsed="false">
      <c r="A1755" s="80"/>
      <c r="B1755" s="71"/>
      <c r="C1755" s="71"/>
      <c r="D1755" s="81"/>
      <c r="E1755" s="71"/>
      <c r="F1755" s="71"/>
      <c r="G1755" s="82" t="str">
        <f aca="false">IF(C1755="","",IFERROR(INDEX('Kit Lists'!$D$6:$D$605,MATCH(B1755&amp;"|"&amp;C1755,'Kit Lists'!$J$6:$J$605,0)),"Not on this contract's kit list"))</f>
        <v/>
      </c>
      <c r="H1755" s="83" t="str">
        <f aca="false">IF(AND(B1755="",C1755="",D1755=""),"",IF(B1755="","Missing contract",IF(C1755="","Missing code",IF(LEFT(G1755,3)="Not","Wrong code",IF(D1755="","Missing qty",IF(A1755="","Missing date",""))))))</f>
        <v/>
      </c>
      <c r="I1755" s="84" t="str">
        <f aca="false">IF(B1755=Dashboard!$D$3,ROW(),"")</f>
        <v/>
      </c>
    </row>
    <row r="1756" customFormat="false" ht="15" hidden="false" customHeight="false" outlineLevel="0" collapsed="false">
      <c r="A1756" s="80"/>
      <c r="B1756" s="71"/>
      <c r="C1756" s="71"/>
      <c r="D1756" s="81"/>
      <c r="E1756" s="71"/>
      <c r="F1756" s="71"/>
      <c r="G1756" s="82" t="str">
        <f aca="false">IF(C1756="","",IFERROR(INDEX('Kit Lists'!$D$6:$D$605,MATCH(B1756&amp;"|"&amp;C1756,'Kit Lists'!$J$6:$J$605,0)),"Not on this contract's kit list"))</f>
        <v/>
      </c>
      <c r="H1756" s="83" t="str">
        <f aca="false">IF(AND(B1756="",C1756="",D1756=""),"",IF(B1756="","Missing contract",IF(C1756="","Missing code",IF(LEFT(G1756,3)="Not","Wrong code",IF(D1756="","Missing qty",IF(A1756="","Missing date",""))))))</f>
        <v/>
      </c>
      <c r="I1756" s="84" t="str">
        <f aca="false">IF(B1756=Dashboard!$D$3,ROW(),"")</f>
        <v/>
      </c>
    </row>
    <row r="1757" customFormat="false" ht="15" hidden="false" customHeight="false" outlineLevel="0" collapsed="false">
      <c r="A1757" s="80"/>
      <c r="B1757" s="71"/>
      <c r="C1757" s="71"/>
      <c r="D1757" s="81"/>
      <c r="E1757" s="71"/>
      <c r="F1757" s="71"/>
      <c r="G1757" s="82" t="str">
        <f aca="false">IF(C1757="","",IFERROR(INDEX('Kit Lists'!$D$6:$D$605,MATCH(B1757&amp;"|"&amp;C1757,'Kit Lists'!$J$6:$J$605,0)),"Not on this contract's kit list"))</f>
        <v/>
      </c>
      <c r="H1757" s="83" t="str">
        <f aca="false">IF(AND(B1757="",C1757="",D1757=""),"",IF(B1757="","Missing contract",IF(C1757="","Missing code",IF(LEFT(G1757,3)="Not","Wrong code",IF(D1757="","Missing qty",IF(A1757="","Missing date",""))))))</f>
        <v/>
      </c>
      <c r="I1757" s="84" t="str">
        <f aca="false">IF(B1757=Dashboard!$D$3,ROW(),"")</f>
        <v/>
      </c>
    </row>
    <row r="1758" customFormat="false" ht="15" hidden="false" customHeight="false" outlineLevel="0" collapsed="false">
      <c r="A1758" s="80"/>
      <c r="B1758" s="71"/>
      <c r="C1758" s="71"/>
      <c r="D1758" s="81"/>
      <c r="E1758" s="71"/>
      <c r="F1758" s="71"/>
      <c r="G1758" s="82" t="str">
        <f aca="false">IF(C1758="","",IFERROR(INDEX('Kit Lists'!$D$6:$D$605,MATCH(B1758&amp;"|"&amp;C1758,'Kit Lists'!$J$6:$J$605,0)),"Not on this contract's kit list"))</f>
        <v/>
      </c>
      <c r="H1758" s="83" t="str">
        <f aca="false">IF(AND(B1758="",C1758="",D1758=""),"",IF(B1758="","Missing contract",IF(C1758="","Missing code",IF(LEFT(G1758,3)="Not","Wrong code",IF(D1758="","Missing qty",IF(A1758="","Missing date",""))))))</f>
        <v/>
      </c>
      <c r="I1758" s="84" t="str">
        <f aca="false">IF(B1758=Dashboard!$D$3,ROW(),"")</f>
        <v/>
      </c>
    </row>
    <row r="1759" customFormat="false" ht="15" hidden="false" customHeight="false" outlineLevel="0" collapsed="false">
      <c r="A1759" s="80"/>
      <c r="B1759" s="71"/>
      <c r="C1759" s="71"/>
      <c r="D1759" s="81"/>
      <c r="E1759" s="71"/>
      <c r="F1759" s="71"/>
      <c r="G1759" s="82" t="str">
        <f aca="false">IF(C1759="","",IFERROR(INDEX('Kit Lists'!$D$6:$D$605,MATCH(B1759&amp;"|"&amp;C1759,'Kit Lists'!$J$6:$J$605,0)),"Not on this contract's kit list"))</f>
        <v/>
      </c>
      <c r="H1759" s="83" t="str">
        <f aca="false">IF(AND(B1759="",C1759="",D1759=""),"",IF(B1759="","Missing contract",IF(C1759="","Missing code",IF(LEFT(G1759,3)="Not","Wrong code",IF(D1759="","Missing qty",IF(A1759="","Missing date",""))))))</f>
        <v/>
      </c>
      <c r="I1759" s="84" t="str">
        <f aca="false">IF(B1759=Dashboard!$D$3,ROW(),"")</f>
        <v/>
      </c>
    </row>
    <row r="1760" customFormat="false" ht="15" hidden="false" customHeight="false" outlineLevel="0" collapsed="false">
      <c r="A1760" s="80"/>
      <c r="B1760" s="71"/>
      <c r="C1760" s="71"/>
      <c r="D1760" s="81"/>
      <c r="E1760" s="71"/>
      <c r="F1760" s="71"/>
      <c r="G1760" s="82" t="str">
        <f aca="false">IF(C1760="","",IFERROR(INDEX('Kit Lists'!$D$6:$D$605,MATCH(B1760&amp;"|"&amp;C1760,'Kit Lists'!$J$6:$J$605,0)),"Not on this contract's kit list"))</f>
        <v/>
      </c>
      <c r="H1760" s="83" t="str">
        <f aca="false">IF(AND(B1760="",C1760="",D1760=""),"",IF(B1760="","Missing contract",IF(C1760="","Missing code",IF(LEFT(G1760,3)="Not","Wrong code",IF(D1760="","Missing qty",IF(A1760="","Missing date",""))))))</f>
        <v/>
      </c>
      <c r="I1760" s="84" t="str">
        <f aca="false">IF(B1760=Dashboard!$D$3,ROW(),"")</f>
        <v/>
      </c>
    </row>
    <row r="1761" customFormat="false" ht="15" hidden="false" customHeight="false" outlineLevel="0" collapsed="false">
      <c r="A1761" s="80"/>
      <c r="B1761" s="71"/>
      <c r="C1761" s="71"/>
      <c r="D1761" s="81"/>
      <c r="E1761" s="71"/>
      <c r="F1761" s="71"/>
      <c r="G1761" s="82" t="str">
        <f aca="false">IF(C1761="","",IFERROR(INDEX('Kit Lists'!$D$6:$D$605,MATCH(B1761&amp;"|"&amp;C1761,'Kit Lists'!$J$6:$J$605,0)),"Not on this contract's kit list"))</f>
        <v/>
      </c>
      <c r="H1761" s="83" t="str">
        <f aca="false">IF(AND(B1761="",C1761="",D1761=""),"",IF(B1761="","Missing contract",IF(C1761="","Missing code",IF(LEFT(G1761,3)="Not","Wrong code",IF(D1761="","Missing qty",IF(A1761="","Missing date",""))))))</f>
        <v/>
      </c>
      <c r="I1761" s="84" t="str">
        <f aca="false">IF(B1761=Dashboard!$D$3,ROW(),"")</f>
        <v/>
      </c>
    </row>
    <row r="1762" customFormat="false" ht="15" hidden="false" customHeight="false" outlineLevel="0" collapsed="false">
      <c r="A1762" s="80"/>
      <c r="B1762" s="71"/>
      <c r="C1762" s="71"/>
      <c r="D1762" s="81"/>
      <c r="E1762" s="71"/>
      <c r="F1762" s="71"/>
      <c r="G1762" s="82" t="str">
        <f aca="false">IF(C1762="","",IFERROR(INDEX('Kit Lists'!$D$6:$D$605,MATCH(B1762&amp;"|"&amp;C1762,'Kit Lists'!$J$6:$J$605,0)),"Not on this contract's kit list"))</f>
        <v/>
      </c>
      <c r="H1762" s="83" t="str">
        <f aca="false">IF(AND(B1762="",C1762="",D1762=""),"",IF(B1762="","Missing contract",IF(C1762="","Missing code",IF(LEFT(G1762,3)="Not","Wrong code",IF(D1762="","Missing qty",IF(A1762="","Missing date",""))))))</f>
        <v/>
      </c>
      <c r="I1762" s="84" t="str">
        <f aca="false">IF(B1762=Dashboard!$D$3,ROW(),"")</f>
        <v/>
      </c>
    </row>
    <row r="1763" customFormat="false" ht="15" hidden="false" customHeight="false" outlineLevel="0" collapsed="false">
      <c r="A1763" s="80"/>
      <c r="B1763" s="71"/>
      <c r="C1763" s="71"/>
      <c r="D1763" s="81"/>
      <c r="E1763" s="71"/>
      <c r="F1763" s="71"/>
      <c r="G1763" s="82" t="str">
        <f aca="false">IF(C1763="","",IFERROR(INDEX('Kit Lists'!$D$6:$D$605,MATCH(B1763&amp;"|"&amp;C1763,'Kit Lists'!$J$6:$J$605,0)),"Not on this contract's kit list"))</f>
        <v/>
      </c>
      <c r="H1763" s="83" t="str">
        <f aca="false">IF(AND(B1763="",C1763="",D1763=""),"",IF(B1763="","Missing contract",IF(C1763="","Missing code",IF(LEFT(G1763,3)="Not","Wrong code",IF(D1763="","Missing qty",IF(A1763="","Missing date",""))))))</f>
        <v/>
      </c>
      <c r="I1763" s="84" t="str">
        <f aca="false">IF(B1763=Dashboard!$D$3,ROW(),"")</f>
        <v/>
      </c>
    </row>
    <row r="1764" customFormat="false" ht="15" hidden="false" customHeight="false" outlineLevel="0" collapsed="false">
      <c r="A1764" s="80"/>
      <c r="B1764" s="71"/>
      <c r="C1764" s="71"/>
      <c r="D1764" s="81"/>
      <c r="E1764" s="71"/>
      <c r="F1764" s="71"/>
      <c r="G1764" s="82" t="str">
        <f aca="false">IF(C1764="","",IFERROR(INDEX('Kit Lists'!$D$6:$D$605,MATCH(B1764&amp;"|"&amp;C1764,'Kit Lists'!$J$6:$J$605,0)),"Not on this contract's kit list"))</f>
        <v/>
      </c>
      <c r="H1764" s="83" t="str">
        <f aca="false">IF(AND(B1764="",C1764="",D1764=""),"",IF(B1764="","Missing contract",IF(C1764="","Missing code",IF(LEFT(G1764,3)="Not","Wrong code",IF(D1764="","Missing qty",IF(A1764="","Missing date",""))))))</f>
        <v/>
      </c>
      <c r="I1764" s="84" t="str">
        <f aca="false">IF(B1764=Dashboard!$D$3,ROW(),"")</f>
        <v/>
      </c>
    </row>
    <row r="1765" customFormat="false" ht="15" hidden="false" customHeight="false" outlineLevel="0" collapsed="false">
      <c r="A1765" s="80"/>
      <c r="B1765" s="71"/>
      <c r="C1765" s="71"/>
      <c r="D1765" s="81"/>
      <c r="E1765" s="71"/>
      <c r="F1765" s="71"/>
      <c r="G1765" s="82" t="str">
        <f aca="false">IF(C1765="","",IFERROR(INDEX('Kit Lists'!$D$6:$D$605,MATCH(B1765&amp;"|"&amp;C1765,'Kit Lists'!$J$6:$J$605,0)),"Not on this contract's kit list"))</f>
        <v/>
      </c>
      <c r="H1765" s="83" t="str">
        <f aca="false">IF(AND(B1765="",C1765="",D1765=""),"",IF(B1765="","Missing contract",IF(C1765="","Missing code",IF(LEFT(G1765,3)="Not","Wrong code",IF(D1765="","Missing qty",IF(A1765="","Missing date",""))))))</f>
        <v/>
      </c>
      <c r="I1765" s="84" t="str">
        <f aca="false">IF(B1765=Dashboard!$D$3,ROW(),"")</f>
        <v/>
      </c>
    </row>
    <row r="1766" customFormat="false" ht="15" hidden="false" customHeight="false" outlineLevel="0" collapsed="false">
      <c r="A1766" s="80"/>
      <c r="B1766" s="71"/>
      <c r="C1766" s="71"/>
      <c r="D1766" s="81"/>
      <c r="E1766" s="71"/>
      <c r="F1766" s="71"/>
      <c r="G1766" s="82" t="str">
        <f aca="false">IF(C1766="","",IFERROR(INDEX('Kit Lists'!$D$6:$D$605,MATCH(B1766&amp;"|"&amp;C1766,'Kit Lists'!$J$6:$J$605,0)),"Not on this contract's kit list"))</f>
        <v/>
      </c>
      <c r="H1766" s="83" t="str">
        <f aca="false">IF(AND(B1766="",C1766="",D1766=""),"",IF(B1766="","Missing contract",IF(C1766="","Missing code",IF(LEFT(G1766,3)="Not","Wrong code",IF(D1766="","Missing qty",IF(A1766="","Missing date",""))))))</f>
        <v/>
      </c>
      <c r="I1766" s="84" t="str">
        <f aca="false">IF(B1766=Dashboard!$D$3,ROW(),"")</f>
        <v/>
      </c>
    </row>
    <row r="1767" customFormat="false" ht="15" hidden="false" customHeight="false" outlineLevel="0" collapsed="false">
      <c r="A1767" s="80"/>
      <c r="B1767" s="71"/>
      <c r="C1767" s="71"/>
      <c r="D1767" s="81"/>
      <c r="E1767" s="71"/>
      <c r="F1767" s="71"/>
      <c r="G1767" s="82" t="str">
        <f aca="false">IF(C1767="","",IFERROR(INDEX('Kit Lists'!$D$6:$D$605,MATCH(B1767&amp;"|"&amp;C1767,'Kit Lists'!$J$6:$J$605,0)),"Not on this contract's kit list"))</f>
        <v/>
      </c>
      <c r="H1767" s="83" t="str">
        <f aca="false">IF(AND(B1767="",C1767="",D1767=""),"",IF(B1767="","Missing contract",IF(C1767="","Missing code",IF(LEFT(G1767,3)="Not","Wrong code",IF(D1767="","Missing qty",IF(A1767="","Missing date",""))))))</f>
        <v/>
      </c>
      <c r="I1767" s="84" t="str">
        <f aca="false">IF(B1767=Dashboard!$D$3,ROW(),"")</f>
        <v/>
      </c>
    </row>
    <row r="1768" customFormat="false" ht="15" hidden="false" customHeight="false" outlineLevel="0" collapsed="false">
      <c r="A1768" s="80"/>
      <c r="B1768" s="71"/>
      <c r="C1768" s="71"/>
      <c r="D1768" s="81"/>
      <c r="E1768" s="71"/>
      <c r="F1768" s="71"/>
      <c r="G1768" s="82" t="str">
        <f aca="false">IF(C1768="","",IFERROR(INDEX('Kit Lists'!$D$6:$D$605,MATCH(B1768&amp;"|"&amp;C1768,'Kit Lists'!$J$6:$J$605,0)),"Not on this contract's kit list"))</f>
        <v/>
      </c>
      <c r="H1768" s="83" t="str">
        <f aca="false">IF(AND(B1768="",C1768="",D1768=""),"",IF(B1768="","Missing contract",IF(C1768="","Missing code",IF(LEFT(G1768,3)="Not","Wrong code",IF(D1768="","Missing qty",IF(A1768="","Missing date",""))))))</f>
        <v/>
      </c>
      <c r="I1768" s="84" t="str">
        <f aca="false">IF(B1768=Dashboard!$D$3,ROW(),"")</f>
        <v/>
      </c>
    </row>
    <row r="1769" customFormat="false" ht="15" hidden="false" customHeight="false" outlineLevel="0" collapsed="false">
      <c r="A1769" s="80"/>
      <c r="B1769" s="71"/>
      <c r="C1769" s="71"/>
      <c r="D1769" s="81"/>
      <c r="E1769" s="71"/>
      <c r="F1769" s="71"/>
      <c r="G1769" s="82" t="str">
        <f aca="false">IF(C1769="","",IFERROR(INDEX('Kit Lists'!$D$6:$D$605,MATCH(B1769&amp;"|"&amp;C1769,'Kit Lists'!$J$6:$J$605,0)),"Not on this contract's kit list"))</f>
        <v/>
      </c>
      <c r="H1769" s="83" t="str">
        <f aca="false">IF(AND(B1769="",C1769="",D1769=""),"",IF(B1769="","Missing contract",IF(C1769="","Missing code",IF(LEFT(G1769,3)="Not","Wrong code",IF(D1769="","Missing qty",IF(A1769="","Missing date",""))))))</f>
        <v/>
      </c>
      <c r="I1769" s="84" t="str">
        <f aca="false">IF(B1769=Dashboard!$D$3,ROW(),"")</f>
        <v/>
      </c>
    </row>
    <row r="1770" customFormat="false" ht="15" hidden="false" customHeight="false" outlineLevel="0" collapsed="false">
      <c r="A1770" s="80"/>
      <c r="B1770" s="71"/>
      <c r="C1770" s="71"/>
      <c r="D1770" s="81"/>
      <c r="E1770" s="71"/>
      <c r="F1770" s="71"/>
      <c r="G1770" s="82" t="str">
        <f aca="false">IF(C1770="","",IFERROR(INDEX('Kit Lists'!$D$6:$D$605,MATCH(B1770&amp;"|"&amp;C1770,'Kit Lists'!$J$6:$J$605,0)),"Not on this contract's kit list"))</f>
        <v/>
      </c>
      <c r="H1770" s="83" t="str">
        <f aca="false">IF(AND(B1770="",C1770="",D1770=""),"",IF(B1770="","Missing contract",IF(C1770="","Missing code",IF(LEFT(G1770,3)="Not","Wrong code",IF(D1770="","Missing qty",IF(A1770="","Missing date",""))))))</f>
        <v/>
      </c>
      <c r="I1770" s="84" t="str">
        <f aca="false">IF(B1770=Dashboard!$D$3,ROW(),"")</f>
        <v/>
      </c>
    </row>
    <row r="1771" customFormat="false" ht="15" hidden="false" customHeight="false" outlineLevel="0" collapsed="false">
      <c r="A1771" s="80"/>
      <c r="B1771" s="71"/>
      <c r="C1771" s="71"/>
      <c r="D1771" s="81"/>
      <c r="E1771" s="71"/>
      <c r="F1771" s="71"/>
      <c r="G1771" s="82" t="str">
        <f aca="false">IF(C1771="","",IFERROR(INDEX('Kit Lists'!$D$6:$D$605,MATCH(B1771&amp;"|"&amp;C1771,'Kit Lists'!$J$6:$J$605,0)),"Not on this contract's kit list"))</f>
        <v/>
      </c>
      <c r="H1771" s="83" t="str">
        <f aca="false">IF(AND(B1771="",C1771="",D1771=""),"",IF(B1771="","Missing contract",IF(C1771="","Missing code",IF(LEFT(G1771,3)="Not","Wrong code",IF(D1771="","Missing qty",IF(A1771="","Missing date",""))))))</f>
        <v/>
      </c>
      <c r="I1771" s="84" t="str">
        <f aca="false">IF(B1771=Dashboard!$D$3,ROW(),"")</f>
        <v/>
      </c>
    </row>
    <row r="1772" customFormat="false" ht="15" hidden="false" customHeight="false" outlineLevel="0" collapsed="false">
      <c r="A1772" s="80"/>
      <c r="B1772" s="71"/>
      <c r="C1772" s="71"/>
      <c r="D1772" s="81"/>
      <c r="E1772" s="71"/>
      <c r="F1772" s="71"/>
      <c r="G1772" s="82" t="str">
        <f aca="false">IF(C1772="","",IFERROR(INDEX('Kit Lists'!$D$6:$D$605,MATCH(B1772&amp;"|"&amp;C1772,'Kit Lists'!$J$6:$J$605,0)),"Not on this contract's kit list"))</f>
        <v/>
      </c>
      <c r="H1772" s="83" t="str">
        <f aca="false">IF(AND(B1772="",C1772="",D1772=""),"",IF(B1772="","Missing contract",IF(C1772="","Missing code",IF(LEFT(G1772,3)="Not","Wrong code",IF(D1772="","Missing qty",IF(A1772="","Missing date",""))))))</f>
        <v/>
      </c>
      <c r="I1772" s="84" t="str">
        <f aca="false">IF(B1772=Dashboard!$D$3,ROW(),"")</f>
        <v/>
      </c>
    </row>
    <row r="1773" customFormat="false" ht="15" hidden="false" customHeight="false" outlineLevel="0" collapsed="false">
      <c r="A1773" s="80"/>
      <c r="B1773" s="71"/>
      <c r="C1773" s="71"/>
      <c r="D1773" s="81"/>
      <c r="E1773" s="71"/>
      <c r="F1773" s="71"/>
      <c r="G1773" s="82" t="str">
        <f aca="false">IF(C1773="","",IFERROR(INDEX('Kit Lists'!$D$6:$D$605,MATCH(B1773&amp;"|"&amp;C1773,'Kit Lists'!$J$6:$J$605,0)),"Not on this contract's kit list"))</f>
        <v/>
      </c>
      <c r="H1773" s="83" t="str">
        <f aca="false">IF(AND(B1773="",C1773="",D1773=""),"",IF(B1773="","Missing contract",IF(C1773="","Missing code",IF(LEFT(G1773,3)="Not","Wrong code",IF(D1773="","Missing qty",IF(A1773="","Missing date",""))))))</f>
        <v/>
      </c>
      <c r="I1773" s="84" t="str">
        <f aca="false">IF(B1773=Dashboard!$D$3,ROW(),"")</f>
        <v/>
      </c>
    </row>
    <row r="1774" customFormat="false" ht="15" hidden="false" customHeight="false" outlineLevel="0" collapsed="false">
      <c r="A1774" s="80"/>
      <c r="B1774" s="71"/>
      <c r="C1774" s="71"/>
      <c r="D1774" s="81"/>
      <c r="E1774" s="71"/>
      <c r="F1774" s="71"/>
      <c r="G1774" s="82" t="str">
        <f aca="false">IF(C1774="","",IFERROR(INDEX('Kit Lists'!$D$6:$D$605,MATCH(B1774&amp;"|"&amp;C1774,'Kit Lists'!$J$6:$J$605,0)),"Not on this contract's kit list"))</f>
        <v/>
      </c>
      <c r="H1774" s="83" t="str">
        <f aca="false">IF(AND(B1774="",C1774="",D1774=""),"",IF(B1774="","Missing contract",IF(C1774="","Missing code",IF(LEFT(G1774,3)="Not","Wrong code",IF(D1774="","Missing qty",IF(A1774="","Missing date",""))))))</f>
        <v/>
      </c>
      <c r="I1774" s="84" t="str">
        <f aca="false">IF(B1774=Dashboard!$D$3,ROW(),"")</f>
        <v/>
      </c>
    </row>
    <row r="1775" customFormat="false" ht="15" hidden="false" customHeight="false" outlineLevel="0" collapsed="false">
      <c r="A1775" s="80"/>
      <c r="B1775" s="71"/>
      <c r="C1775" s="71"/>
      <c r="D1775" s="81"/>
      <c r="E1775" s="71"/>
      <c r="F1775" s="71"/>
      <c r="G1775" s="82" t="str">
        <f aca="false">IF(C1775="","",IFERROR(INDEX('Kit Lists'!$D$6:$D$605,MATCH(B1775&amp;"|"&amp;C1775,'Kit Lists'!$J$6:$J$605,0)),"Not on this contract's kit list"))</f>
        <v/>
      </c>
      <c r="H1775" s="83" t="str">
        <f aca="false">IF(AND(B1775="",C1775="",D1775=""),"",IF(B1775="","Missing contract",IF(C1775="","Missing code",IF(LEFT(G1775,3)="Not","Wrong code",IF(D1775="","Missing qty",IF(A1775="","Missing date",""))))))</f>
        <v/>
      </c>
      <c r="I1775" s="84" t="str">
        <f aca="false">IF(B1775=Dashboard!$D$3,ROW(),"")</f>
        <v/>
      </c>
    </row>
    <row r="1776" customFormat="false" ht="15" hidden="false" customHeight="false" outlineLevel="0" collapsed="false">
      <c r="A1776" s="80"/>
      <c r="B1776" s="71"/>
      <c r="C1776" s="71"/>
      <c r="D1776" s="81"/>
      <c r="E1776" s="71"/>
      <c r="F1776" s="71"/>
      <c r="G1776" s="82" t="str">
        <f aca="false">IF(C1776="","",IFERROR(INDEX('Kit Lists'!$D$6:$D$605,MATCH(B1776&amp;"|"&amp;C1776,'Kit Lists'!$J$6:$J$605,0)),"Not on this contract's kit list"))</f>
        <v/>
      </c>
      <c r="H1776" s="83" t="str">
        <f aca="false">IF(AND(B1776="",C1776="",D1776=""),"",IF(B1776="","Missing contract",IF(C1776="","Missing code",IF(LEFT(G1776,3)="Not","Wrong code",IF(D1776="","Missing qty",IF(A1776="","Missing date",""))))))</f>
        <v/>
      </c>
      <c r="I1776" s="84" t="str">
        <f aca="false">IF(B1776=Dashboard!$D$3,ROW(),"")</f>
        <v/>
      </c>
    </row>
    <row r="1777" customFormat="false" ht="15" hidden="false" customHeight="false" outlineLevel="0" collapsed="false">
      <c r="A1777" s="80"/>
      <c r="B1777" s="71"/>
      <c r="C1777" s="71"/>
      <c r="D1777" s="81"/>
      <c r="E1777" s="71"/>
      <c r="F1777" s="71"/>
      <c r="G1777" s="82" t="str">
        <f aca="false">IF(C1777="","",IFERROR(INDEX('Kit Lists'!$D$6:$D$605,MATCH(B1777&amp;"|"&amp;C1777,'Kit Lists'!$J$6:$J$605,0)),"Not on this contract's kit list"))</f>
        <v/>
      </c>
      <c r="H1777" s="83" t="str">
        <f aca="false">IF(AND(B1777="",C1777="",D1777=""),"",IF(B1777="","Missing contract",IF(C1777="","Missing code",IF(LEFT(G1777,3)="Not","Wrong code",IF(D1777="","Missing qty",IF(A1777="","Missing date",""))))))</f>
        <v/>
      </c>
      <c r="I1777" s="84" t="str">
        <f aca="false">IF(B1777=Dashboard!$D$3,ROW(),"")</f>
        <v/>
      </c>
    </row>
    <row r="1778" customFormat="false" ht="15" hidden="false" customHeight="false" outlineLevel="0" collapsed="false">
      <c r="A1778" s="80"/>
      <c r="B1778" s="71"/>
      <c r="C1778" s="71"/>
      <c r="D1778" s="81"/>
      <c r="E1778" s="71"/>
      <c r="F1778" s="71"/>
      <c r="G1778" s="82" t="str">
        <f aca="false">IF(C1778="","",IFERROR(INDEX('Kit Lists'!$D$6:$D$605,MATCH(B1778&amp;"|"&amp;C1778,'Kit Lists'!$J$6:$J$605,0)),"Not on this contract's kit list"))</f>
        <v/>
      </c>
      <c r="H1778" s="83" t="str">
        <f aca="false">IF(AND(B1778="",C1778="",D1778=""),"",IF(B1778="","Missing contract",IF(C1778="","Missing code",IF(LEFT(G1778,3)="Not","Wrong code",IF(D1778="","Missing qty",IF(A1778="","Missing date",""))))))</f>
        <v/>
      </c>
      <c r="I1778" s="84" t="str">
        <f aca="false">IF(B1778=Dashboard!$D$3,ROW(),"")</f>
        <v/>
      </c>
    </row>
    <row r="1779" customFormat="false" ht="15" hidden="false" customHeight="false" outlineLevel="0" collapsed="false">
      <c r="A1779" s="80"/>
      <c r="B1779" s="71"/>
      <c r="C1779" s="71"/>
      <c r="D1779" s="81"/>
      <c r="E1779" s="71"/>
      <c r="F1779" s="71"/>
      <c r="G1779" s="82" t="str">
        <f aca="false">IF(C1779="","",IFERROR(INDEX('Kit Lists'!$D$6:$D$605,MATCH(B1779&amp;"|"&amp;C1779,'Kit Lists'!$J$6:$J$605,0)),"Not on this contract's kit list"))</f>
        <v/>
      </c>
      <c r="H1779" s="83" t="str">
        <f aca="false">IF(AND(B1779="",C1779="",D1779=""),"",IF(B1779="","Missing contract",IF(C1779="","Missing code",IF(LEFT(G1779,3)="Not","Wrong code",IF(D1779="","Missing qty",IF(A1779="","Missing date",""))))))</f>
        <v/>
      </c>
      <c r="I1779" s="84" t="str">
        <f aca="false">IF(B1779=Dashboard!$D$3,ROW(),"")</f>
        <v/>
      </c>
    </row>
    <row r="1780" customFormat="false" ht="15" hidden="false" customHeight="false" outlineLevel="0" collapsed="false">
      <c r="A1780" s="80"/>
      <c r="B1780" s="71"/>
      <c r="C1780" s="71"/>
      <c r="D1780" s="81"/>
      <c r="E1780" s="71"/>
      <c r="F1780" s="71"/>
      <c r="G1780" s="82" t="str">
        <f aca="false">IF(C1780="","",IFERROR(INDEX('Kit Lists'!$D$6:$D$605,MATCH(B1780&amp;"|"&amp;C1780,'Kit Lists'!$J$6:$J$605,0)),"Not on this contract's kit list"))</f>
        <v/>
      </c>
      <c r="H1780" s="83" t="str">
        <f aca="false">IF(AND(B1780="",C1780="",D1780=""),"",IF(B1780="","Missing contract",IF(C1780="","Missing code",IF(LEFT(G1780,3)="Not","Wrong code",IF(D1780="","Missing qty",IF(A1780="","Missing date",""))))))</f>
        <v/>
      </c>
      <c r="I1780" s="84" t="str">
        <f aca="false">IF(B1780=Dashboard!$D$3,ROW(),"")</f>
        <v/>
      </c>
    </row>
    <row r="1781" customFormat="false" ht="15" hidden="false" customHeight="false" outlineLevel="0" collapsed="false">
      <c r="A1781" s="80"/>
      <c r="B1781" s="71"/>
      <c r="C1781" s="71"/>
      <c r="D1781" s="81"/>
      <c r="E1781" s="71"/>
      <c r="F1781" s="71"/>
      <c r="G1781" s="82" t="str">
        <f aca="false">IF(C1781="","",IFERROR(INDEX('Kit Lists'!$D$6:$D$605,MATCH(B1781&amp;"|"&amp;C1781,'Kit Lists'!$J$6:$J$605,0)),"Not on this contract's kit list"))</f>
        <v/>
      </c>
      <c r="H1781" s="83" t="str">
        <f aca="false">IF(AND(B1781="",C1781="",D1781=""),"",IF(B1781="","Missing contract",IF(C1781="","Missing code",IF(LEFT(G1781,3)="Not","Wrong code",IF(D1781="","Missing qty",IF(A1781="","Missing date",""))))))</f>
        <v/>
      </c>
      <c r="I1781" s="84" t="str">
        <f aca="false">IF(B1781=Dashboard!$D$3,ROW(),"")</f>
        <v/>
      </c>
    </row>
    <row r="1782" customFormat="false" ht="15" hidden="false" customHeight="false" outlineLevel="0" collapsed="false">
      <c r="A1782" s="80"/>
      <c r="B1782" s="71"/>
      <c r="C1782" s="71"/>
      <c r="D1782" s="81"/>
      <c r="E1782" s="71"/>
      <c r="F1782" s="71"/>
      <c r="G1782" s="82" t="str">
        <f aca="false">IF(C1782="","",IFERROR(INDEX('Kit Lists'!$D$6:$D$605,MATCH(B1782&amp;"|"&amp;C1782,'Kit Lists'!$J$6:$J$605,0)),"Not on this contract's kit list"))</f>
        <v/>
      </c>
      <c r="H1782" s="83" t="str">
        <f aca="false">IF(AND(B1782="",C1782="",D1782=""),"",IF(B1782="","Missing contract",IF(C1782="","Missing code",IF(LEFT(G1782,3)="Not","Wrong code",IF(D1782="","Missing qty",IF(A1782="","Missing date",""))))))</f>
        <v/>
      </c>
      <c r="I1782" s="84" t="str">
        <f aca="false">IF(B1782=Dashboard!$D$3,ROW(),"")</f>
        <v/>
      </c>
    </row>
    <row r="1783" customFormat="false" ht="15" hidden="false" customHeight="false" outlineLevel="0" collapsed="false">
      <c r="A1783" s="80"/>
      <c r="B1783" s="71"/>
      <c r="C1783" s="71"/>
      <c r="D1783" s="81"/>
      <c r="E1783" s="71"/>
      <c r="F1783" s="71"/>
      <c r="G1783" s="82" t="str">
        <f aca="false">IF(C1783="","",IFERROR(INDEX('Kit Lists'!$D$6:$D$605,MATCH(B1783&amp;"|"&amp;C1783,'Kit Lists'!$J$6:$J$605,0)),"Not on this contract's kit list"))</f>
        <v/>
      </c>
      <c r="H1783" s="83" t="str">
        <f aca="false">IF(AND(B1783="",C1783="",D1783=""),"",IF(B1783="","Missing contract",IF(C1783="","Missing code",IF(LEFT(G1783,3)="Not","Wrong code",IF(D1783="","Missing qty",IF(A1783="","Missing date",""))))))</f>
        <v/>
      </c>
      <c r="I1783" s="84" t="str">
        <f aca="false">IF(B1783=Dashboard!$D$3,ROW(),"")</f>
        <v/>
      </c>
    </row>
    <row r="1784" customFormat="false" ht="15" hidden="false" customHeight="false" outlineLevel="0" collapsed="false">
      <c r="A1784" s="80"/>
      <c r="B1784" s="71"/>
      <c r="C1784" s="71"/>
      <c r="D1784" s="81"/>
      <c r="E1784" s="71"/>
      <c r="F1784" s="71"/>
      <c r="G1784" s="82" t="str">
        <f aca="false">IF(C1784="","",IFERROR(INDEX('Kit Lists'!$D$6:$D$605,MATCH(B1784&amp;"|"&amp;C1784,'Kit Lists'!$J$6:$J$605,0)),"Not on this contract's kit list"))</f>
        <v/>
      </c>
      <c r="H1784" s="83" t="str">
        <f aca="false">IF(AND(B1784="",C1784="",D1784=""),"",IF(B1784="","Missing contract",IF(C1784="","Missing code",IF(LEFT(G1784,3)="Not","Wrong code",IF(D1784="","Missing qty",IF(A1784="","Missing date",""))))))</f>
        <v/>
      </c>
      <c r="I1784" s="84" t="str">
        <f aca="false">IF(B1784=Dashboard!$D$3,ROW(),"")</f>
        <v/>
      </c>
    </row>
    <row r="1785" customFormat="false" ht="15" hidden="false" customHeight="false" outlineLevel="0" collapsed="false">
      <c r="A1785" s="80"/>
      <c r="B1785" s="71"/>
      <c r="C1785" s="71"/>
      <c r="D1785" s="81"/>
      <c r="E1785" s="71"/>
      <c r="F1785" s="71"/>
      <c r="G1785" s="82" t="str">
        <f aca="false">IF(C1785="","",IFERROR(INDEX('Kit Lists'!$D$6:$D$605,MATCH(B1785&amp;"|"&amp;C1785,'Kit Lists'!$J$6:$J$605,0)),"Not on this contract's kit list"))</f>
        <v/>
      </c>
      <c r="H1785" s="83" t="str">
        <f aca="false">IF(AND(B1785="",C1785="",D1785=""),"",IF(B1785="","Missing contract",IF(C1785="","Missing code",IF(LEFT(G1785,3)="Not","Wrong code",IF(D1785="","Missing qty",IF(A1785="","Missing date",""))))))</f>
        <v/>
      </c>
      <c r="I1785" s="84" t="str">
        <f aca="false">IF(B1785=Dashboard!$D$3,ROW(),"")</f>
        <v/>
      </c>
    </row>
    <row r="1786" customFormat="false" ht="15" hidden="false" customHeight="false" outlineLevel="0" collapsed="false">
      <c r="A1786" s="80"/>
      <c r="B1786" s="71"/>
      <c r="C1786" s="71"/>
      <c r="D1786" s="81"/>
      <c r="E1786" s="71"/>
      <c r="F1786" s="71"/>
      <c r="G1786" s="82" t="str">
        <f aca="false">IF(C1786="","",IFERROR(INDEX('Kit Lists'!$D$6:$D$605,MATCH(B1786&amp;"|"&amp;C1786,'Kit Lists'!$J$6:$J$605,0)),"Not on this contract's kit list"))</f>
        <v/>
      </c>
      <c r="H1786" s="83" t="str">
        <f aca="false">IF(AND(B1786="",C1786="",D1786=""),"",IF(B1786="","Missing contract",IF(C1786="","Missing code",IF(LEFT(G1786,3)="Not","Wrong code",IF(D1786="","Missing qty",IF(A1786="","Missing date",""))))))</f>
        <v/>
      </c>
      <c r="I1786" s="84" t="str">
        <f aca="false">IF(B1786=Dashboard!$D$3,ROW(),"")</f>
        <v/>
      </c>
    </row>
    <row r="1787" customFormat="false" ht="15" hidden="false" customHeight="false" outlineLevel="0" collapsed="false">
      <c r="A1787" s="80"/>
      <c r="B1787" s="71"/>
      <c r="C1787" s="71"/>
      <c r="D1787" s="81"/>
      <c r="E1787" s="71"/>
      <c r="F1787" s="71"/>
      <c r="G1787" s="82" t="str">
        <f aca="false">IF(C1787="","",IFERROR(INDEX('Kit Lists'!$D$6:$D$605,MATCH(B1787&amp;"|"&amp;C1787,'Kit Lists'!$J$6:$J$605,0)),"Not on this contract's kit list"))</f>
        <v/>
      </c>
      <c r="H1787" s="83" t="str">
        <f aca="false">IF(AND(B1787="",C1787="",D1787=""),"",IF(B1787="","Missing contract",IF(C1787="","Missing code",IF(LEFT(G1787,3)="Not","Wrong code",IF(D1787="","Missing qty",IF(A1787="","Missing date",""))))))</f>
        <v/>
      </c>
      <c r="I1787" s="84" t="str">
        <f aca="false">IF(B1787=Dashboard!$D$3,ROW(),"")</f>
        <v/>
      </c>
    </row>
    <row r="1788" customFormat="false" ht="15" hidden="false" customHeight="false" outlineLevel="0" collapsed="false">
      <c r="A1788" s="80"/>
      <c r="B1788" s="71"/>
      <c r="C1788" s="71"/>
      <c r="D1788" s="81"/>
      <c r="E1788" s="71"/>
      <c r="F1788" s="71"/>
      <c r="G1788" s="82" t="str">
        <f aca="false">IF(C1788="","",IFERROR(INDEX('Kit Lists'!$D$6:$D$605,MATCH(B1788&amp;"|"&amp;C1788,'Kit Lists'!$J$6:$J$605,0)),"Not on this contract's kit list"))</f>
        <v/>
      </c>
      <c r="H1788" s="83" t="str">
        <f aca="false">IF(AND(B1788="",C1788="",D1788=""),"",IF(B1788="","Missing contract",IF(C1788="","Missing code",IF(LEFT(G1788,3)="Not","Wrong code",IF(D1788="","Missing qty",IF(A1788="","Missing date",""))))))</f>
        <v/>
      </c>
      <c r="I1788" s="84" t="str">
        <f aca="false">IF(B1788=Dashboard!$D$3,ROW(),"")</f>
        <v/>
      </c>
    </row>
    <row r="1789" customFormat="false" ht="15" hidden="false" customHeight="false" outlineLevel="0" collapsed="false">
      <c r="A1789" s="80"/>
      <c r="B1789" s="71"/>
      <c r="C1789" s="71"/>
      <c r="D1789" s="81"/>
      <c r="E1789" s="71"/>
      <c r="F1789" s="71"/>
      <c r="G1789" s="82" t="str">
        <f aca="false">IF(C1789="","",IFERROR(INDEX('Kit Lists'!$D$6:$D$605,MATCH(B1789&amp;"|"&amp;C1789,'Kit Lists'!$J$6:$J$605,0)),"Not on this contract's kit list"))</f>
        <v/>
      </c>
      <c r="H1789" s="83" t="str">
        <f aca="false">IF(AND(B1789="",C1789="",D1789=""),"",IF(B1789="","Missing contract",IF(C1789="","Missing code",IF(LEFT(G1789,3)="Not","Wrong code",IF(D1789="","Missing qty",IF(A1789="","Missing date",""))))))</f>
        <v/>
      </c>
      <c r="I1789" s="84" t="str">
        <f aca="false">IF(B1789=Dashboard!$D$3,ROW(),"")</f>
        <v/>
      </c>
    </row>
    <row r="1790" customFormat="false" ht="15" hidden="false" customHeight="false" outlineLevel="0" collapsed="false">
      <c r="A1790" s="80"/>
      <c r="B1790" s="71"/>
      <c r="C1790" s="71"/>
      <c r="D1790" s="81"/>
      <c r="E1790" s="71"/>
      <c r="F1790" s="71"/>
      <c r="G1790" s="82" t="str">
        <f aca="false">IF(C1790="","",IFERROR(INDEX('Kit Lists'!$D$6:$D$605,MATCH(B1790&amp;"|"&amp;C1790,'Kit Lists'!$J$6:$J$605,0)),"Not on this contract's kit list"))</f>
        <v/>
      </c>
      <c r="H1790" s="83" t="str">
        <f aca="false">IF(AND(B1790="",C1790="",D1790=""),"",IF(B1790="","Missing contract",IF(C1790="","Missing code",IF(LEFT(G1790,3)="Not","Wrong code",IF(D1790="","Missing qty",IF(A1790="","Missing date",""))))))</f>
        <v/>
      </c>
      <c r="I1790" s="84" t="str">
        <f aca="false">IF(B1790=Dashboard!$D$3,ROW(),"")</f>
        <v/>
      </c>
    </row>
    <row r="1791" customFormat="false" ht="15" hidden="false" customHeight="false" outlineLevel="0" collapsed="false">
      <c r="A1791" s="80"/>
      <c r="B1791" s="71"/>
      <c r="C1791" s="71"/>
      <c r="D1791" s="81"/>
      <c r="E1791" s="71"/>
      <c r="F1791" s="71"/>
      <c r="G1791" s="82" t="str">
        <f aca="false">IF(C1791="","",IFERROR(INDEX('Kit Lists'!$D$6:$D$605,MATCH(B1791&amp;"|"&amp;C1791,'Kit Lists'!$J$6:$J$605,0)),"Not on this contract's kit list"))</f>
        <v/>
      </c>
      <c r="H1791" s="83" t="str">
        <f aca="false">IF(AND(B1791="",C1791="",D1791=""),"",IF(B1791="","Missing contract",IF(C1791="","Missing code",IF(LEFT(G1791,3)="Not","Wrong code",IF(D1791="","Missing qty",IF(A1791="","Missing date",""))))))</f>
        <v/>
      </c>
      <c r="I1791" s="84" t="str">
        <f aca="false">IF(B1791=Dashboard!$D$3,ROW(),"")</f>
        <v/>
      </c>
    </row>
    <row r="1792" customFormat="false" ht="15" hidden="false" customHeight="false" outlineLevel="0" collapsed="false">
      <c r="A1792" s="80"/>
      <c r="B1792" s="71"/>
      <c r="C1792" s="71"/>
      <c r="D1792" s="81"/>
      <c r="E1792" s="71"/>
      <c r="F1792" s="71"/>
      <c r="G1792" s="82" t="str">
        <f aca="false">IF(C1792="","",IFERROR(INDEX('Kit Lists'!$D$6:$D$605,MATCH(B1792&amp;"|"&amp;C1792,'Kit Lists'!$J$6:$J$605,0)),"Not on this contract's kit list"))</f>
        <v/>
      </c>
      <c r="H1792" s="83" t="str">
        <f aca="false">IF(AND(B1792="",C1792="",D1792=""),"",IF(B1792="","Missing contract",IF(C1792="","Missing code",IF(LEFT(G1792,3)="Not","Wrong code",IF(D1792="","Missing qty",IF(A1792="","Missing date",""))))))</f>
        <v/>
      </c>
      <c r="I1792" s="84" t="str">
        <f aca="false">IF(B1792=Dashboard!$D$3,ROW(),"")</f>
        <v/>
      </c>
    </row>
    <row r="1793" customFormat="false" ht="15" hidden="false" customHeight="false" outlineLevel="0" collapsed="false">
      <c r="A1793" s="80"/>
      <c r="B1793" s="71"/>
      <c r="C1793" s="71"/>
      <c r="D1793" s="81"/>
      <c r="E1793" s="71"/>
      <c r="F1793" s="71"/>
      <c r="G1793" s="82" t="str">
        <f aca="false">IF(C1793="","",IFERROR(INDEX('Kit Lists'!$D$6:$D$605,MATCH(B1793&amp;"|"&amp;C1793,'Kit Lists'!$J$6:$J$605,0)),"Not on this contract's kit list"))</f>
        <v/>
      </c>
      <c r="H1793" s="83" t="str">
        <f aca="false">IF(AND(B1793="",C1793="",D1793=""),"",IF(B1793="","Missing contract",IF(C1793="","Missing code",IF(LEFT(G1793,3)="Not","Wrong code",IF(D1793="","Missing qty",IF(A1793="","Missing date",""))))))</f>
        <v/>
      </c>
      <c r="I1793" s="84" t="str">
        <f aca="false">IF(B1793=Dashboard!$D$3,ROW(),"")</f>
        <v/>
      </c>
    </row>
    <row r="1794" customFormat="false" ht="15" hidden="false" customHeight="false" outlineLevel="0" collapsed="false">
      <c r="A1794" s="80"/>
      <c r="B1794" s="71"/>
      <c r="C1794" s="71"/>
      <c r="D1794" s="81"/>
      <c r="E1794" s="71"/>
      <c r="F1794" s="71"/>
      <c r="G1794" s="82" t="str">
        <f aca="false">IF(C1794="","",IFERROR(INDEX('Kit Lists'!$D$6:$D$605,MATCH(B1794&amp;"|"&amp;C1794,'Kit Lists'!$J$6:$J$605,0)),"Not on this contract's kit list"))</f>
        <v/>
      </c>
      <c r="H1794" s="83" t="str">
        <f aca="false">IF(AND(B1794="",C1794="",D1794=""),"",IF(B1794="","Missing contract",IF(C1794="","Missing code",IF(LEFT(G1794,3)="Not","Wrong code",IF(D1794="","Missing qty",IF(A1794="","Missing date",""))))))</f>
        <v/>
      </c>
      <c r="I1794" s="84" t="str">
        <f aca="false">IF(B1794=Dashboard!$D$3,ROW(),"")</f>
        <v/>
      </c>
    </row>
    <row r="1795" customFormat="false" ht="15" hidden="false" customHeight="false" outlineLevel="0" collapsed="false">
      <c r="A1795" s="80"/>
      <c r="B1795" s="71"/>
      <c r="C1795" s="71"/>
      <c r="D1795" s="81"/>
      <c r="E1795" s="71"/>
      <c r="F1795" s="71"/>
      <c r="G1795" s="82" t="str">
        <f aca="false">IF(C1795="","",IFERROR(INDEX('Kit Lists'!$D$6:$D$605,MATCH(B1795&amp;"|"&amp;C1795,'Kit Lists'!$J$6:$J$605,0)),"Not on this contract's kit list"))</f>
        <v/>
      </c>
      <c r="H1795" s="83" t="str">
        <f aca="false">IF(AND(B1795="",C1795="",D1795=""),"",IF(B1795="","Missing contract",IF(C1795="","Missing code",IF(LEFT(G1795,3)="Not","Wrong code",IF(D1795="","Missing qty",IF(A1795="","Missing date",""))))))</f>
        <v/>
      </c>
      <c r="I1795" s="84" t="str">
        <f aca="false">IF(B1795=Dashboard!$D$3,ROW(),"")</f>
        <v/>
      </c>
    </row>
    <row r="1796" customFormat="false" ht="15" hidden="false" customHeight="false" outlineLevel="0" collapsed="false">
      <c r="A1796" s="80"/>
      <c r="B1796" s="71"/>
      <c r="C1796" s="71"/>
      <c r="D1796" s="81"/>
      <c r="E1796" s="71"/>
      <c r="F1796" s="71"/>
      <c r="G1796" s="82" t="str">
        <f aca="false">IF(C1796="","",IFERROR(INDEX('Kit Lists'!$D$6:$D$605,MATCH(B1796&amp;"|"&amp;C1796,'Kit Lists'!$J$6:$J$605,0)),"Not on this contract's kit list"))</f>
        <v/>
      </c>
      <c r="H1796" s="83" t="str">
        <f aca="false">IF(AND(B1796="",C1796="",D1796=""),"",IF(B1796="","Missing contract",IF(C1796="","Missing code",IF(LEFT(G1796,3)="Not","Wrong code",IF(D1796="","Missing qty",IF(A1796="","Missing date",""))))))</f>
        <v/>
      </c>
      <c r="I1796" s="84" t="str">
        <f aca="false">IF(B1796=Dashboard!$D$3,ROW(),"")</f>
        <v/>
      </c>
    </row>
    <row r="1797" customFormat="false" ht="15" hidden="false" customHeight="false" outlineLevel="0" collapsed="false">
      <c r="A1797" s="80"/>
      <c r="B1797" s="71"/>
      <c r="C1797" s="71"/>
      <c r="D1797" s="81"/>
      <c r="E1797" s="71"/>
      <c r="F1797" s="71"/>
      <c r="G1797" s="82" t="str">
        <f aca="false">IF(C1797="","",IFERROR(INDEX('Kit Lists'!$D$6:$D$605,MATCH(B1797&amp;"|"&amp;C1797,'Kit Lists'!$J$6:$J$605,0)),"Not on this contract's kit list"))</f>
        <v/>
      </c>
      <c r="H1797" s="83" t="str">
        <f aca="false">IF(AND(B1797="",C1797="",D1797=""),"",IF(B1797="","Missing contract",IF(C1797="","Missing code",IF(LEFT(G1797,3)="Not","Wrong code",IF(D1797="","Missing qty",IF(A1797="","Missing date",""))))))</f>
        <v/>
      </c>
      <c r="I1797" s="84" t="str">
        <f aca="false">IF(B1797=Dashboard!$D$3,ROW(),"")</f>
        <v/>
      </c>
    </row>
    <row r="1798" customFormat="false" ht="15" hidden="false" customHeight="false" outlineLevel="0" collapsed="false">
      <c r="A1798" s="80"/>
      <c r="B1798" s="71"/>
      <c r="C1798" s="71"/>
      <c r="D1798" s="81"/>
      <c r="E1798" s="71"/>
      <c r="F1798" s="71"/>
      <c r="G1798" s="82" t="str">
        <f aca="false">IF(C1798="","",IFERROR(INDEX('Kit Lists'!$D$6:$D$605,MATCH(B1798&amp;"|"&amp;C1798,'Kit Lists'!$J$6:$J$605,0)),"Not on this contract's kit list"))</f>
        <v/>
      </c>
      <c r="H1798" s="83" t="str">
        <f aca="false">IF(AND(B1798="",C1798="",D1798=""),"",IF(B1798="","Missing contract",IF(C1798="","Missing code",IF(LEFT(G1798,3)="Not","Wrong code",IF(D1798="","Missing qty",IF(A1798="","Missing date",""))))))</f>
        <v/>
      </c>
      <c r="I1798" s="84" t="str">
        <f aca="false">IF(B1798=Dashboard!$D$3,ROW(),"")</f>
        <v/>
      </c>
    </row>
    <row r="1799" customFormat="false" ht="15" hidden="false" customHeight="false" outlineLevel="0" collapsed="false">
      <c r="A1799" s="80"/>
      <c r="B1799" s="71"/>
      <c r="C1799" s="71"/>
      <c r="D1799" s="81"/>
      <c r="E1799" s="71"/>
      <c r="F1799" s="71"/>
      <c r="G1799" s="82" t="str">
        <f aca="false">IF(C1799="","",IFERROR(INDEX('Kit Lists'!$D$6:$D$605,MATCH(B1799&amp;"|"&amp;C1799,'Kit Lists'!$J$6:$J$605,0)),"Not on this contract's kit list"))</f>
        <v/>
      </c>
      <c r="H1799" s="83" t="str">
        <f aca="false">IF(AND(B1799="",C1799="",D1799=""),"",IF(B1799="","Missing contract",IF(C1799="","Missing code",IF(LEFT(G1799,3)="Not","Wrong code",IF(D1799="","Missing qty",IF(A1799="","Missing date",""))))))</f>
        <v/>
      </c>
      <c r="I1799" s="84" t="str">
        <f aca="false">IF(B1799=Dashboard!$D$3,ROW(),"")</f>
        <v/>
      </c>
    </row>
    <row r="1800" customFormat="false" ht="15" hidden="false" customHeight="false" outlineLevel="0" collapsed="false">
      <c r="A1800" s="80"/>
      <c r="B1800" s="71"/>
      <c r="C1800" s="71"/>
      <c r="D1800" s="81"/>
      <c r="E1800" s="71"/>
      <c r="F1800" s="71"/>
      <c r="G1800" s="82" t="str">
        <f aca="false">IF(C1800="","",IFERROR(INDEX('Kit Lists'!$D$6:$D$605,MATCH(B1800&amp;"|"&amp;C1800,'Kit Lists'!$J$6:$J$605,0)),"Not on this contract's kit list"))</f>
        <v/>
      </c>
      <c r="H1800" s="83" t="str">
        <f aca="false">IF(AND(B1800="",C1800="",D1800=""),"",IF(B1800="","Missing contract",IF(C1800="","Missing code",IF(LEFT(G1800,3)="Not","Wrong code",IF(D1800="","Missing qty",IF(A1800="","Missing date",""))))))</f>
        <v/>
      </c>
      <c r="I1800" s="84" t="str">
        <f aca="false">IF(B1800=Dashboard!$D$3,ROW(),"")</f>
        <v/>
      </c>
    </row>
    <row r="1801" customFormat="false" ht="15" hidden="false" customHeight="false" outlineLevel="0" collapsed="false">
      <c r="A1801" s="80"/>
      <c r="B1801" s="71"/>
      <c r="C1801" s="71"/>
      <c r="D1801" s="81"/>
      <c r="E1801" s="71"/>
      <c r="F1801" s="71"/>
      <c r="G1801" s="82" t="str">
        <f aca="false">IF(C1801="","",IFERROR(INDEX('Kit Lists'!$D$6:$D$605,MATCH(B1801&amp;"|"&amp;C1801,'Kit Lists'!$J$6:$J$605,0)),"Not on this contract's kit list"))</f>
        <v/>
      </c>
      <c r="H1801" s="83" t="str">
        <f aca="false">IF(AND(B1801="",C1801="",D1801=""),"",IF(B1801="","Missing contract",IF(C1801="","Missing code",IF(LEFT(G1801,3)="Not","Wrong code",IF(D1801="","Missing qty",IF(A1801="","Missing date",""))))))</f>
        <v/>
      </c>
      <c r="I1801" s="84" t="str">
        <f aca="false">IF(B1801=Dashboard!$D$3,ROW(),"")</f>
        <v/>
      </c>
    </row>
    <row r="1802" customFormat="false" ht="15" hidden="false" customHeight="false" outlineLevel="0" collapsed="false">
      <c r="A1802" s="80"/>
      <c r="B1802" s="71"/>
      <c r="C1802" s="71"/>
      <c r="D1802" s="81"/>
      <c r="E1802" s="71"/>
      <c r="F1802" s="71"/>
      <c r="G1802" s="82" t="str">
        <f aca="false">IF(C1802="","",IFERROR(INDEX('Kit Lists'!$D$6:$D$605,MATCH(B1802&amp;"|"&amp;C1802,'Kit Lists'!$J$6:$J$605,0)),"Not on this contract's kit list"))</f>
        <v/>
      </c>
      <c r="H1802" s="83" t="str">
        <f aca="false">IF(AND(B1802="",C1802="",D1802=""),"",IF(B1802="","Missing contract",IF(C1802="","Missing code",IF(LEFT(G1802,3)="Not","Wrong code",IF(D1802="","Missing qty",IF(A1802="","Missing date",""))))))</f>
        <v/>
      </c>
      <c r="I1802" s="84" t="str">
        <f aca="false">IF(B1802=Dashboard!$D$3,ROW(),"")</f>
        <v/>
      </c>
    </row>
    <row r="1803" customFormat="false" ht="15" hidden="false" customHeight="false" outlineLevel="0" collapsed="false">
      <c r="A1803" s="80"/>
      <c r="B1803" s="71"/>
      <c r="C1803" s="71"/>
      <c r="D1803" s="81"/>
      <c r="E1803" s="71"/>
      <c r="F1803" s="71"/>
      <c r="G1803" s="82" t="str">
        <f aca="false">IF(C1803="","",IFERROR(INDEX('Kit Lists'!$D$6:$D$605,MATCH(B1803&amp;"|"&amp;C1803,'Kit Lists'!$J$6:$J$605,0)),"Not on this contract's kit list"))</f>
        <v/>
      </c>
      <c r="H1803" s="83" t="str">
        <f aca="false">IF(AND(B1803="",C1803="",D1803=""),"",IF(B1803="","Missing contract",IF(C1803="","Missing code",IF(LEFT(G1803,3)="Not","Wrong code",IF(D1803="","Missing qty",IF(A1803="","Missing date",""))))))</f>
        <v/>
      </c>
      <c r="I1803" s="84" t="str">
        <f aca="false">IF(B1803=Dashboard!$D$3,ROW(),"")</f>
        <v/>
      </c>
    </row>
    <row r="1804" customFormat="false" ht="15" hidden="false" customHeight="false" outlineLevel="0" collapsed="false">
      <c r="A1804" s="80"/>
      <c r="B1804" s="71"/>
      <c r="C1804" s="71"/>
      <c r="D1804" s="81"/>
      <c r="E1804" s="71"/>
      <c r="F1804" s="71"/>
      <c r="G1804" s="82" t="str">
        <f aca="false">IF(C1804="","",IFERROR(INDEX('Kit Lists'!$D$6:$D$605,MATCH(B1804&amp;"|"&amp;C1804,'Kit Lists'!$J$6:$J$605,0)),"Not on this contract's kit list"))</f>
        <v/>
      </c>
      <c r="H1804" s="83" t="str">
        <f aca="false">IF(AND(B1804="",C1804="",D1804=""),"",IF(B1804="","Missing contract",IF(C1804="","Missing code",IF(LEFT(G1804,3)="Not","Wrong code",IF(D1804="","Missing qty",IF(A1804="","Missing date",""))))))</f>
        <v/>
      </c>
      <c r="I1804" s="84" t="str">
        <f aca="false">IF(B1804=Dashboard!$D$3,ROW(),"")</f>
        <v/>
      </c>
    </row>
    <row r="1805" customFormat="false" ht="15" hidden="false" customHeight="false" outlineLevel="0" collapsed="false">
      <c r="A1805" s="80"/>
      <c r="B1805" s="71"/>
      <c r="C1805" s="71"/>
      <c r="D1805" s="81"/>
      <c r="E1805" s="71"/>
      <c r="F1805" s="71"/>
      <c r="G1805" s="82" t="str">
        <f aca="false">IF(C1805="","",IFERROR(INDEX('Kit Lists'!$D$6:$D$605,MATCH(B1805&amp;"|"&amp;C1805,'Kit Lists'!$J$6:$J$605,0)),"Not on this contract's kit list"))</f>
        <v/>
      </c>
      <c r="H1805" s="83" t="str">
        <f aca="false">IF(AND(B1805="",C1805="",D1805=""),"",IF(B1805="","Missing contract",IF(C1805="","Missing code",IF(LEFT(G1805,3)="Not","Wrong code",IF(D1805="","Missing qty",IF(A1805="","Missing date",""))))))</f>
        <v/>
      </c>
      <c r="I1805" s="84" t="str">
        <f aca="false">IF(B1805=Dashboard!$D$3,ROW(),"")</f>
        <v/>
      </c>
    </row>
    <row r="1806" customFormat="false" ht="15" hidden="false" customHeight="false" outlineLevel="0" collapsed="false">
      <c r="A1806" s="80"/>
      <c r="B1806" s="71"/>
      <c r="C1806" s="71"/>
      <c r="D1806" s="81"/>
      <c r="E1806" s="71"/>
      <c r="F1806" s="71"/>
      <c r="G1806" s="82" t="str">
        <f aca="false">IF(C1806="","",IFERROR(INDEX('Kit Lists'!$D$6:$D$605,MATCH(B1806&amp;"|"&amp;C1806,'Kit Lists'!$J$6:$J$605,0)),"Not on this contract's kit list"))</f>
        <v/>
      </c>
      <c r="H1806" s="83" t="str">
        <f aca="false">IF(AND(B1806="",C1806="",D1806=""),"",IF(B1806="","Missing contract",IF(C1806="","Missing code",IF(LEFT(G1806,3)="Not","Wrong code",IF(D1806="","Missing qty",IF(A1806="","Missing date",""))))))</f>
        <v/>
      </c>
      <c r="I1806" s="84" t="str">
        <f aca="false">IF(B1806=Dashboard!$D$3,ROW(),"")</f>
        <v/>
      </c>
    </row>
    <row r="1807" customFormat="false" ht="15" hidden="false" customHeight="false" outlineLevel="0" collapsed="false">
      <c r="A1807" s="80"/>
      <c r="B1807" s="71"/>
      <c r="C1807" s="71"/>
      <c r="D1807" s="81"/>
      <c r="E1807" s="71"/>
      <c r="F1807" s="71"/>
      <c r="G1807" s="82" t="str">
        <f aca="false">IF(C1807="","",IFERROR(INDEX('Kit Lists'!$D$6:$D$605,MATCH(B1807&amp;"|"&amp;C1807,'Kit Lists'!$J$6:$J$605,0)),"Not on this contract's kit list"))</f>
        <v/>
      </c>
      <c r="H1807" s="83" t="str">
        <f aca="false">IF(AND(B1807="",C1807="",D1807=""),"",IF(B1807="","Missing contract",IF(C1807="","Missing code",IF(LEFT(G1807,3)="Not","Wrong code",IF(D1807="","Missing qty",IF(A1807="","Missing date",""))))))</f>
        <v/>
      </c>
      <c r="I1807" s="84" t="str">
        <f aca="false">IF(B1807=Dashboard!$D$3,ROW(),"")</f>
        <v/>
      </c>
    </row>
    <row r="1808" customFormat="false" ht="15" hidden="false" customHeight="false" outlineLevel="0" collapsed="false">
      <c r="A1808" s="80"/>
      <c r="B1808" s="71"/>
      <c r="C1808" s="71"/>
      <c r="D1808" s="81"/>
      <c r="E1808" s="71"/>
      <c r="F1808" s="71"/>
      <c r="G1808" s="82" t="str">
        <f aca="false">IF(C1808="","",IFERROR(INDEX('Kit Lists'!$D$6:$D$605,MATCH(B1808&amp;"|"&amp;C1808,'Kit Lists'!$J$6:$J$605,0)),"Not on this contract's kit list"))</f>
        <v/>
      </c>
      <c r="H1808" s="83" t="str">
        <f aca="false">IF(AND(B1808="",C1808="",D1808=""),"",IF(B1808="","Missing contract",IF(C1808="","Missing code",IF(LEFT(G1808,3)="Not","Wrong code",IF(D1808="","Missing qty",IF(A1808="","Missing date",""))))))</f>
        <v/>
      </c>
      <c r="I1808" s="84" t="str">
        <f aca="false">IF(B1808=Dashboard!$D$3,ROW(),"")</f>
        <v/>
      </c>
    </row>
    <row r="1809" customFormat="false" ht="15" hidden="false" customHeight="false" outlineLevel="0" collapsed="false">
      <c r="A1809" s="80"/>
      <c r="B1809" s="71"/>
      <c r="C1809" s="71"/>
      <c r="D1809" s="81"/>
      <c r="E1809" s="71"/>
      <c r="F1809" s="71"/>
      <c r="G1809" s="82" t="str">
        <f aca="false">IF(C1809="","",IFERROR(INDEX('Kit Lists'!$D$6:$D$605,MATCH(B1809&amp;"|"&amp;C1809,'Kit Lists'!$J$6:$J$605,0)),"Not on this contract's kit list"))</f>
        <v/>
      </c>
      <c r="H1809" s="83" t="str">
        <f aca="false">IF(AND(B1809="",C1809="",D1809=""),"",IF(B1809="","Missing contract",IF(C1809="","Missing code",IF(LEFT(G1809,3)="Not","Wrong code",IF(D1809="","Missing qty",IF(A1809="","Missing date",""))))))</f>
        <v/>
      </c>
      <c r="I1809" s="84" t="str">
        <f aca="false">IF(B1809=Dashboard!$D$3,ROW(),"")</f>
        <v/>
      </c>
    </row>
    <row r="1810" customFormat="false" ht="15" hidden="false" customHeight="false" outlineLevel="0" collapsed="false">
      <c r="A1810" s="80"/>
      <c r="B1810" s="71"/>
      <c r="C1810" s="71"/>
      <c r="D1810" s="81"/>
      <c r="E1810" s="71"/>
      <c r="F1810" s="71"/>
      <c r="G1810" s="82" t="str">
        <f aca="false">IF(C1810="","",IFERROR(INDEX('Kit Lists'!$D$6:$D$605,MATCH(B1810&amp;"|"&amp;C1810,'Kit Lists'!$J$6:$J$605,0)),"Not on this contract's kit list"))</f>
        <v/>
      </c>
      <c r="H1810" s="83" t="str">
        <f aca="false">IF(AND(B1810="",C1810="",D1810=""),"",IF(B1810="","Missing contract",IF(C1810="","Missing code",IF(LEFT(G1810,3)="Not","Wrong code",IF(D1810="","Missing qty",IF(A1810="","Missing date",""))))))</f>
        <v/>
      </c>
      <c r="I1810" s="84" t="str">
        <f aca="false">IF(B1810=Dashboard!$D$3,ROW(),"")</f>
        <v/>
      </c>
    </row>
    <row r="1811" customFormat="false" ht="15" hidden="false" customHeight="false" outlineLevel="0" collapsed="false">
      <c r="A1811" s="80"/>
      <c r="B1811" s="71"/>
      <c r="C1811" s="71"/>
      <c r="D1811" s="81"/>
      <c r="E1811" s="71"/>
      <c r="F1811" s="71"/>
      <c r="G1811" s="82" t="str">
        <f aca="false">IF(C1811="","",IFERROR(INDEX('Kit Lists'!$D$6:$D$605,MATCH(B1811&amp;"|"&amp;C1811,'Kit Lists'!$J$6:$J$605,0)),"Not on this contract's kit list"))</f>
        <v/>
      </c>
      <c r="H1811" s="83" t="str">
        <f aca="false">IF(AND(B1811="",C1811="",D1811=""),"",IF(B1811="","Missing contract",IF(C1811="","Missing code",IF(LEFT(G1811,3)="Not","Wrong code",IF(D1811="","Missing qty",IF(A1811="","Missing date",""))))))</f>
        <v/>
      </c>
      <c r="I1811" s="84" t="str">
        <f aca="false">IF(B1811=Dashboard!$D$3,ROW(),"")</f>
        <v/>
      </c>
    </row>
    <row r="1812" customFormat="false" ht="15" hidden="false" customHeight="false" outlineLevel="0" collapsed="false">
      <c r="A1812" s="80"/>
      <c r="B1812" s="71"/>
      <c r="C1812" s="71"/>
      <c r="D1812" s="81"/>
      <c r="E1812" s="71"/>
      <c r="F1812" s="71"/>
      <c r="G1812" s="82" t="str">
        <f aca="false">IF(C1812="","",IFERROR(INDEX('Kit Lists'!$D$6:$D$605,MATCH(B1812&amp;"|"&amp;C1812,'Kit Lists'!$J$6:$J$605,0)),"Not on this contract's kit list"))</f>
        <v/>
      </c>
      <c r="H1812" s="83" t="str">
        <f aca="false">IF(AND(B1812="",C1812="",D1812=""),"",IF(B1812="","Missing contract",IF(C1812="","Missing code",IF(LEFT(G1812,3)="Not","Wrong code",IF(D1812="","Missing qty",IF(A1812="","Missing date",""))))))</f>
        <v/>
      </c>
      <c r="I1812" s="84" t="str">
        <f aca="false">IF(B1812=Dashboard!$D$3,ROW(),"")</f>
        <v/>
      </c>
    </row>
    <row r="1813" customFormat="false" ht="15" hidden="false" customHeight="false" outlineLevel="0" collapsed="false">
      <c r="A1813" s="80"/>
      <c r="B1813" s="71"/>
      <c r="C1813" s="71"/>
      <c r="D1813" s="81"/>
      <c r="E1813" s="71"/>
      <c r="F1813" s="71"/>
      <c r="G1813" s="82" t="str">
        <f aca="false">IF(C1813="","",IFERROR(INDEX('Kit Lists'!$D$6:$D$605,MATCH(B1813&amp;"|"&amp;C1813,'Kit Lists'!$J$6:$J$605,0)),"Not on this contract's kit list"))</f>
        <v/>
      </c>
      <c r="H1813" s="83" t="str">
        <f aca="false">IF(AND(B1813="",C1813="",D1813=""),"",IF(B1813="","Missing contract",IF(C1813="","Missing code",IF(LEFT(G1813,3)="Not","Wrong code",IF(D1813="","Missing qty",IF(A1813="","Missing date",""))))))</f>
        <v/>
      </c>
      <c r="I1813" s="84" t="str">
        <f aca="false">IF(B1813=Dashboard!$D$3,ROW(),"")</f>
        <v/>
      </c>
    </row>
    <row r="1814" customFormat="false" ht="15" hidden="false" customHeight="false" outlineLevel="0" collapsed="false">
      <c r="A1814" s="80"/>
      <c r="B1814" s="71"/>
      <c r="C1814" s="71"/>
      <c r="D1814" s="81"/>
      <c r="E1814" s="71"/>
      <c r="F1814" s="71"/>
      <c r="G1814" s="82" t="str">
        <f aca="false">IF(C1814="","",IFERROR(INDEX('Kit Lists'!$D$6:$D$605,MATCH(B1814&amp;"|"&amp;C1814,'Kit Lists'!$J$6:$J$605,0)),"Not on this contract's kit list"))</f>
        <v/>
      </c>
      <c r="H1814" s="83" t="str">
        <f aca="false">IF(AND(B1814="",C1814="",D1814=""),"",IF(B1814="","Missing contract",IF(C1814="","Missing code",IF(LEFT(G1814,3)="Not","Wrong code",IF(D1814="","Missing qty",IF(A1814="","Missing date",""))))))</f>
        <v/>
      </c>
      <c r="I1814" s="84" t="str">
        <f aca="false">IF(B1814=Dashboard!$D$3,ROW(),"")</f>
        <v/>
      </c>
    </row>
    <row r="1815" customFormat="false" ht="15" hidden="false" customHeight="false" outlineLevel="0" collapsed="false">
      <c r="A1815" s="80"/>
      <c r="B1815" s="71"/>
      <c r="C1815" s="71"/>
      <c r="D1815" s="81"/>
      <c r="E1815" s="71"/>
      <c r="F1815" s="71"/>
      <c r="G1815" s="82" t="str">
        <f aca="false">IF(C1815="","",IFERROR(INDEX('Kit Lists'!$D$6:$D$605,MATCH(B1815&amp;"|"&amp;C1815,'Kit Lists'!$J$6:$J$605,0)),"Not on this contract's kit list"))</f>
        <v/>
      </c>
      <c r="H1815" s="83" t="str">
        <f aca="false">IF(AND(B1815="",C1815="",D1815=""),"",IF(B1815="","Missing contract",IF(C1815="","Missing code",IF(LEFT(G1815,3)="Not","Wrong code",IF(D1815="","Missing qty",IF(A1815="","Missing date",""))))))</f>
        <v/>
      </c>
      <c r="I1815" s="84" t="str">
        <f aca="false">IF(B1815=Dashboard!$D$3,ROW(),"")</f>
        <v/>
      </c>
    </row>
    <row r="1816" customFormat="false" ht="15" hidden="false" customHeight="false" outlineLevel="0" collapsed="false">
      <c r="A1816" s="80"/>
      <c r="B1816" s="71"/>
      <c r="C1816" s="71"/>
      <c r="D1816" s="81"/>
      <c r="E1816" s="71"/>
      <c r="F1816" s="71"/>
      <c r="G1816" s="82" t="str">
        <f aca="false">IF(C1816="","",IFERROR(INDEX('Kit Lists'!$D$6:$D$605,MATCH(B1816&amp;"|"&amp;C1816,'Kit Lists'!$J$6:$J$605,0)),"Not on this contract's kit list"))</f>
        <v/>
      </c>
      <c r="H1816" s="83" t="str">
        <f aca="false">IF(AND(B1816="",C1816="",D1816=""),"",IF(B1816="","Missing contract",IF(C1816="","Missing code",IF(LEFT(G1816,3)="Not","Wrong code",IF(D1816="","Missing qty",IF(A1816="","Missing date",""))))))</f>
        <v/>
      </c>
      <c r="I1816" s="84" t="str">
        <f aca="false">IF(B1816=Dashboard!$D$3,ROW(),"")</f>
        <v/>
      </c>
    </row>
    <row r="1817" customFormat="false" ht="15" hidden="false" customHeight="false" outlineLevel="0" collapsed="false">
      <c r="A1817" s="80"/>
      <c r="B1817" s="71"/>
      <c r="C1817" s="71"/>
      <c r="D1817" s="81"/>
      <c r="E1817" s="71"/>
      <c r="F1817" s="71"/>
      <c r="G1817" s="82" t="str">
        <f aca="false">IF(C1817="","",IFERROR(INDEX('Kit Lists'!$D$6:$D$605,MATCH(B1817&amp;"|"&amp;C1817,'Kit Lists'!$J$6:$J$605,0)),"Not on this contract's kit list"))</f>
        <v/>
      </c>
      <c r="H1817" s="83" t="str">
        <f aca="false">IF(AND(B1817="",C1817="",D1817=""),"",IF(B1817="","Missing contract",IF(C1817="","Missing code",IF(LEFT(G1817,3)="Not","Wrong code",IF(D1817="","Missing qty",IF(A1817="","Missing date",""))))))</f>
        <v/>
      </c>
      <c r="I1817" s="84" t="str">
        <f aca="false">IF(B1817=Dashboard!$D$3,ROW(),"")</f>
        <v/>
      </c>
    </row>
    <row r="1818" customFormat="false" ht="15" hidden="false" customHeight="false" outlineLevel="0" collapsed="false">
      <c r="A1818" s="80"/>
      <c r="B1818" s="71"/>
      <c r="C1818" s="71"/>
      <c r="D1818" s="81"/>
      <c r="E1818" s="71"/>
      <c r="F1818" s="71"/>
      <c r="G1818" s="82" t="str">
        <f aca="false">IF(C1818="","",IFERROR(INDEX('Kit Lists'!$D$6:$D$605,MATCH(B1818&amp;"|"&amp;C1818,'Kit Lists'!$J$6:$J$605,0)),"Not on this contract's kit list"))</f>
        <v/>
      </c>
      <c r="H1818" s="83" t="str">
        <f aca="false">IF(AND(B1818="",C1818="",D1818=""),"",IF(B1818="","Missing contract",IF(C1818="","Missing code",IF(LEFT(G1818,3)="Not","Wrong code",IF(D1818="","Missing qty",IF(A1818="","Missing date",""))))))</f>
        <v/>
      </c>
      <c r="I1818" s="84" t="str">
        <f aca="false">IF(B1818=Dashboard!$D$3,ROW(),"")</f>
        <v/>
      </c>
    </row>
    <row r="1819" customFormat="false" ht="15" hidden="false" customHeight="false" outlineLevel="0" collapsed="false">
      <c r="A1819" s="80"/>
      <c r="B1819" s="71"/>
      <c r="C1819" s="71"/>
      <c r="D1819" s="81"/>
      <c r="E1819" s="71"/>
      <c r="F1819" s="71"/>
      <c r="G1819" s="82" t="str">
        <f aca="false">IF(C1819="","",IFERROR(INDEX('Kit Lists'!$D$6:$D$605,MATCH(B1819&amp;"|"&amp;C1819,'Kit Lists'!$J$6:$J$605,0)),"Not on this contract's kit list"))</f>
        <v/>
      </c>
      <c r="H1819" s="83" t="str">
        <f aca="false">IF(AND(B1819="",C1819="",D1819=""),"",IF(B1819="","Missing contract",IF(C1819="","Missing code",IF(LEFT(G1819,3)="Not","Wrong code",IF(D1819="","Missing qty",IF(A1819="","Missing date",""))))))</f>
        <v/>
      </c>
      <c r="I1819" s="84" t="str">
        <f aca="false">IF(B1819=Dashboard!$D$3,ROW(),"")</f>
        <v/>
      </c>
    </row>
    <row r="1820" customFormat="false" ht="15" hidden="false" customHeight="false" outlineLevel="0" collapsed="false">
      <c r="A1820" s="80"/>
      <c r="B1820" s="71"/>
      <c r="C1820" s="71"/>
      <c r="D1820" s="81"/>
      <c r="E1820" s="71"/>
      <c r="F1820" s="71"/>
      <c r="G1820" s="82" t="str">
        <f aca="false">IF(C1820="","",IFERROR(INDEX('Kit Lists'!$D$6:$D$605,MATCH(B1820&amp;"|"&amp;C1820,'Kit Lists'!$J$6:$J$605,0)),"Not on this contract's kit list"))</f>
        <v/>
      </c>
      <c r="H1820" s="83" t="str">
        <f aca="false">IF(AND(B1820="",C1820="",D1820=""),"",IF(B1820="","Missing contract",IF(C1820="","Missing code",IF(LEFT(G1820,3)="Not","Wrong code",IF(D1820="","Missing qty",IF(A1820="","Missing date",""))))))</f>
        <v/>
      </c>
      <c r="I1820" s="84" t="str">
        <f aca="false">IF(B1820=Dashboard!$D$3,ROW(),"")</f>
        <v/>
      </c>
    </row>
    <row r="1821" customFormat="false" ht="15" hidden="false" customHeight="false" outlineLevel="0" collapsed="false">
      <c r="A1821" s="80"/>
      <c r="B1821" s="71"/>
      <c r="C1821" s="71"/>
      <c r="D1821" s="81"/>
      <c r="E1821" s="71"/>
      <c r="F1821" s="71"/>
      <c r="G1821" s="82" t="str">
        <f aca="false">IF(C1821="","",IFERROR(INDEX('Kit Lists'!$D$6:$D$605,MATCH(B1821&amp;"|"&amp;C1821,'Kit Lists'!$J$6:$J$605,0)),"Not on this contract's kit list"))</f>
        <v/>
      </c>
      <c r="H1821" s="83" t="str">
        <f aca="false">IF(AND(B1821="",C1821="",D1821=""),"",IF(B1821="","Missing contract",IF(C1821="","Missing code",IF(LEFT(G1821,3)="Not","Wrong code",IF(D1821="","Missing qty",IF(A1821="","Missing date",""))))))</f>
        <v/>
      </c>
      <c r="I1821" s="84" t="str">
        <f aca="false">IF(B1821=Dashboard!$D$3,ROW(),"")</f>
        <v/>
      </c>
    </row>
    <row r="1822" customFormat="false" ht="15" hidden="false" customHeight="false" outlineLevel="0" collapsed="false">
      <c r="A1822" s="80"/>
      <c r="B1822" s="71"/>
      <c r="C1822" s="71"/>
      <c r="D1822" s="81"/>
      <c r="E1822" s="71"/>
      <c r="F1822" s="71"/>
      <c r="G1822" s="82" t="str">
        <f aca="false">IF(C1822="","",IFERROR(INDEX('Kit Lists'!$D$6:$D$605,MATCH(B1822&amp;"|"&amp;C1822,'Kit Lists'!$J$6:$J$605,0)),"Not on this contract's kit list"))</f>
        <v/>
      </c>
      <c r="H1822" s="83" t="str">
        <f aca="false">IF(AND(B1822="",C1822="",D1822=""),"",IF(B1822="","Missing contract",IF(C1822="","Missing code",IF(LEFT(G1822,3)="Not","Wrong code",IF(D1822="","Missing qty",IF(A1822="","Missing date",""))))))</f>
        <v/>
      </c>
      <c r="I1822" s="84" t="str">
        <f aca="false">IF(B1822=Dashboard!$D$3,ROW(),"")</f>
        <v/>
      </c>
    </row>
    <row r="1823" customFormat="false" ht="15" hidden="false" customHeight="false" outlineLevel="0" collapsed="false">
      <c r="A1823" s="80"/>
      <c r="B1823" s="71"/>
      <c r="C1823" s="71"/>
      <c r="D1823" s="81"/>
      <c r="E1823" s="71"/>
      <c r="F1823" s="71"/>
      <c r="G1823" s="82" t="str">
        <f aca="false">IF(C1823="","",IFERROR(INDEX('Kit Lists'!$D$6:$D$605,MATCH(B1823&amp;"|"&amp;C1823,'Kit Lists'!$J$6:$J$605,0)),"Not on this contract's kit list"))</f>
        <v/>
      </c>
      <c r="H1823" s="83" t="str">
        <f aca="false">IF(AND(B1823="",C1823="",D1823=""),"",IF(B1823="","Missing contract",IF(C1823="","Missing code",IF(LEFT(G1823,3)="Not","Wrong code",IF(D1823="","Missing qty",IF(A1823="","Missing date",""))))))</f>
        <v/>
      </c>
      <c r="I1823" s="84" t="str">
        <f aca="false">IF(B1823=Dashboard!$D$3,ROW(),"")</f>
        <v/>
      </c>
    </row>
    <row r="1824" customFormat="false" ht="15" hidden="false" customHeight="false" outlineLevel="0" collapsed="false">
      <c r="A1824" s="80"/>
      <c r="B1824" s="71"/>
      <c r="C1824" s="71"/>
      <c r="D1824" s="81"/>
      <c r="E1824" s="71"/>
      <c r="F1824" s="71"/>
      <c r="G1824" s="82" t="str">
        <f aca="false">IF(C1824="","",IFERROR(INDEX('Kit Lists'!$D$6:$D$605,MATCH(B1824&amp;"|"&amp;C1824,'Kit Lists'!$J$6:$J$605,0)),"Not on this contract's kit list"))</f>
        <v/>
      </c>
      <c r="H1824" s="83" t="str">
        <f aca="false">IF(AND(B1824="",C1824="",D1824=""),"",IF(B1824="","Missing contract",IF(C1824="","Missing code",IF(LEFT(G1824,3)="Not","Wrong code",IF(D1824="","Missing qty",IF(A1824="","Missing date",""))))))</f>
        <v/>
      </c>
      <c r="I1824" s="84" t="str">
        <f aca="false">IF(B1824=Dashboard!$D$3,ROW(),"")</f>
        <v/>
      </c>
    </row>
    <row r="1825" customFormat="false" ht="15" hidden="false" customHeight="false" outlineLevel="0" collapsed="false">
      <c r="A1825" s="80"/>
      <c r="B1825" s="71"/>
      <c r="C1825" s="71"/>
      <c r="D1825" s="81"/>
      <c r="E1825" s="71"/>
      <c r="F1825" s="71"/>
      <c r="G1825" s="82" t="str">
        <f aca="false">IF(C1825="","",IFERROR(INDEX('Kit Lists'!$D$6:$D$605,MATCH(B1825&amp;"|"&amp;C1825,'Kit Lists'!$J$6:$J$605,0)),"Not on this contract's kit list"))</f>
        <v/>
      </c>
      <c r="H1825" s="83" t="str">
        <f aca="false">IF(AND(B1825="",C1825="",D1825=""),"",IF(B1825="","Missing contract",IF(C1825="","Missing code",IF(LEFT(G1825,3)="Not","Wrong code",IF(D1825="","Missing qty",IF(A1825="","Missing date",""))))))</f>
        <v/>
      </c>
      <c r="I1825" s="84" t="str">
        <f aca="false">IF(B1825=Dashboard!$D$3,ROW(),"")</f>
        <v/>
      </c>
    </row>
    <row r="1826" customFormat="false" ht="15" hidden="false" customHeight="false" outlineLevel="0" collapsed="false">
      <c r="A1826" s="80"/>
      <c r="B1826" s="71"/>
      <c r="C1826" s="71"/>
      <c r="D1826" s="81"/>
      <c r="E1826" s="71"/>
      <c r="F1826" s="71"/>
      <c r="G1826" s="82" t="str">
        <f aca="false">IF(C1826="","",IFERROR(INDEX('Kit Lists'!$D$6:$D$605,MATCH(B1826&amp;"|"&amp;C1826,'Kit Lists'!$J$6:$J$605,0)),"Not on this contract's kit list"))</f>
        <v/>
      </c>
      <c r="H1826" s="83" t="str">
        <f aca="false">IF(AND(B1826="",C1826="",D1826=""),"",IF(B1826="","Missing contract",IF(C1826="","Missing code",IF(LEFT(G1826,3)="Not","Wrong code",IF(D1826="","Missing qty",IF(A1826="","Missing date",""))))))</f>
        <v/>
      </c>
      <c r="I1826" s="84" t="str">
        <f aca="false">IF(B1826=Dashboard!$D$3,ROW(),"")</f>
        <v/>
      </c>
    </row>
    <row r="1827" customFormat="false" ht="15" hidden="false" customHeight="false" outlineLevel="0" collapsed="false">
      <c r="A1827" s="80"/>
      <c r="B1827" s="71"/>
      <c r="C1827" s="71"/>
      <c r="D1827" s="81"/>
      <c r="E1827" s="71"/>
      <c r="F1827" s="71"/>
      <c r="G1827" s="82" t="str">
        <f aca="false">IF(C1827="","",IFERROR(INDEX('Kit Lists'!$D$6:$D$605,MATCH(B1827&amp;"|"&amp;C1827,'Kit Lists'!$J$6:$J$605,0)),"Not on this contract's kit list"))</f>
        <v/>
      </c>
      <c r="H1827" s="83" t="str">
        <f aca="false">IF(AND(B1827="",C1827="",D1827=""),"",IF(B1827="","Missing contract",IF(C1827="","Missing code",IF(LEFT(G1827,3)="Not","Wrong code",IF(D1827="","Missing qty",IF(A1827="","Missing date",""))))))</f>
        <v/>
      </c>
      <c r="I1827" s="84" t="str">
        <f aca="false">IF(B1827=Dashboard!$D$3,ROW(),"")</f>
        <v/>
      </c>
    </row>
    <row r="1828" customFormat="false" ht="15" hidden="false" customHeight="false" outlineLevel="0" collapsed="false">
      <c r="A1828" s="80"/>
      <c r="B1828" s="71"/>
      <c r="C1828" s="71"/>
      <c r="D1828" s="81"/>
      <c r="E1828" s="71"/>
      <c r="F1828" s="71"/>
      <c r="G1828" s="82" t="str">
        <f aca="false">IF(C1828="","",IFERROR(INDEX('Kit Lists'!$D$6:$D$605,MATCH(B1828&amp;"|"&amp;C1828,'Kit Lists'!$J$6:$J$605,0)),"Not on this contract's kit list"))</f>
        <v/>
      </c>
      <c r="H1828" s="83" t="str">
        <f aca="false">IF(AND(B1828="",C1828="",D1828=""),"",IF(B1828="","Missing contract",IF(C1828="","Missing code",IF(LEFT(G1828,3)="Not","Wrong code",IF(D1828="","Missing qty",IF(A1828="","Missing date",""))))))</f>
        <v/>
      </c>
      <c r="I1828" s="84" t="str">
        <f aca="false">IF(B1828=Dashboard!$D$3,ROW(),"")</f>
        <v/>
      </c>
    </row>
    <row r="1829" customFormat="false" ht="15" hidden="false" customHeight="false" outlineLevel="0" collapsed="false">
      <c r="A1829" s="80"/>
      <c r="B1829" s="71"/>
      <c r="C1829" s="71"/>
      <c r="D1829" s="81"/>
      <c r="E1829" s="71"/>
      <c r="F1829" s="71"/>
      <c r="G1829" s="82" t="str">
        <f aca="false">IF(C1829="","",IFERROR(INDEX('Kit Lists'!$D$6:$D$605,MATCH(B1829&amp;"|"&amp;C1829,'Kit Lists'!$J$6:$J$605,0)),"Not on this contract's kit list"))</f>
        <v/>
      </c>
      <c r="H1829" s="83" t="str">
        <f aca="false">IF(AND(B1829="",C1829="",D1829=""),"",IF(B1829="","Missing contract",IF(C1829="","Missing code",IF(LEFT(G1829,3)="Not","Wrong code",IF(D1829="","Missing qty",IF(A1829="","Missing date",""))))))</f>
        <v/>
      </c>
      <c r="I1829" s="84" t="str">
        <f aca="false">IF(B1829=Dashboard!$D$3,ROW(),"")</f>
        <v/>
      </c>
    </row>
    <row r="1830" customFormat="false" ht="15" hidden="false" customHeight="false" outlineLevel="0" collapsed="false">
      <c r="A1830" s="80"/>
      <c r="B1830" s="71"/>
      <c r="C1830" s="71"/>
      <c r="D1830" s="81"/>
      <c r="E1830" s="71"/>
      <c r="F1830" s="71"/>
      <c r="G1830" s="82" t="str">
        <f aca="false">IF(C1830="","",IFERROR(INDEX('Kit Lists'!$D$6:$D$605,MATCH(B1830&amp;"|"&amp;C1830,'Kit Lists'!$J$6:$J$605,0)),"Not on this contract's kit list"))</f>
        <v/>
      </c>
      <c r="H1830" s="83" t="str">
        <f aca="false">IF(AND(B1830="",C1830="",D1830=""),"",IF(B1830="","Missing contract",IF(C1830="","Missing code",IF(LEFT(G1830,3)="Not","Wrong code",IF(D1830="","Missing qty",IF(A1830="","Missing date",""))))))</f>
        <v/>
      </c>
      <c r="I1830" s="84" t="str">
        <f aca="false">IF(B1830=Dashboard!$D$3,ROW(),"")</f>
        <v/>
      </c>
    </row>
    <row r="1831" customFormat="false" ht="15" hidden="false" customHeight="false" outlineLevel="0" collapsed="false">
      <c r="A1831" s="80"/>
      <c r="B1831" s="71"/>
      <c r="C1831" s="71"/>
      <c r="D1831" s="81"/>
      <c r="E1831" s="71"/>
      <c r="F1831" s="71"/>
      <c r="G1831" s="82" t="str">
        <f aca="false">IF(C1831="","",IFERROR(INDEX('Kit Lists'!$D$6:$D$605,MATCH(B1831&amp;"|"&amp;C1831,'Kit Lists'!$J$6:$J$605,0)),"Not on this contract's kit list"))</f>
        <v/>
      </c>
      <c r="H1831" s="83" t="str">
        <f aca="false">IF(AND(B1831="",C1831="",D1831=""),"",IF(B1831="","Missing contract",IF(C1831="","Missing code",IF(LEFT(G1831,3)="Not","Wrong code",IF(D1831="","Missing qty",IF(A1831="","Missing date",""))))))</f>
        <v/>
      </c>
      <c r="I1831" s="84" t="str">
        <f aca="false">IF(B1831=Dashboard!$D$3,ROW(),"")</f>
        <v/>
      </c>
    </row>
    <row r="1832" customFormat="false" ht="15" hidden="false" customHeight="false" outlineLevel="0" collapsed="false">
      <c r="A1832" s="80"/>
      <c r="B1832" s="71"/>
      <c r="C1832" s="71"/>
      <c r="D1832" s="81"/>
      <c r="E1832" s="71"/>
      <c r="F1832" s="71"/>
      <c r="G1832" s="82" t="str">
        <f aca="false">IF(C1832="","",IFERROR(INDEX('Kit Lists'!$D$6:$D$605,MATCH(B1832&amp;"|"&amp;C1832,'Kit Lists'!$J$6:$J$605,0)),"Not on this contract's kit list"))</f>
        <v/>
      </c>
      <c r="H1832" s="83" t="str">
        <f aca="false">IF(AND(B1832="",C1832="",D1832=""),"",IF(B1832="","Missing contract",IF(C1832="","Missing code",IF(LEFT(G1832,3)="Not","Wrong code",IF(D1832="","Missing qty",IF(A1832="","Missing date",""))))))</f>
        <v/>
      </c>
      <c r="I1832" s="84" t="str">
        <f aca="false">IF(B1832=Dashboard!$D$3,ROW(),"")</f>
        <v/>
      </c>
    </row>
    <row r="1833" customFormat="false" ht="15" hidden="false" customHeight="false" outlineLevel="0" collapsed="false">
      <c r="A1833" s="80"/>
      <c r="B1833" s="71"/>
      <c r="C1833" s="71"/>
      <c r="D1833" s="81"/>
      <c r="E1833" s="71"/>
      <c r="F1833" s="71"/>
      <c r="G1833" s="82" t="str">
        <f aca="false">IF(C1833="","",IFERROR(INDEX('Kit Lists'!$D$6:$D$605,MATCH(B1833&amp;"|"&amp;C1833,'Kit Lists'!$J$6:$J$605,0)),"Not on this contract's kit list"))</f>
        <v/>
      </c>
      <c r="H1833" s="83" t="str">
        <f aca="false">IF(AND(B1833="",C1833="",D1833=""),"",IF(B1833="","Missing contract",IF(C1833="","Missing code",IF(LEFT(G1833,3)="Not","Wrong code",IF(D1833="","Missing qty",IF(A1833="","Missing date",""))))))</f>
        <v/>
      </c>
      <c r="I1833" s="84" t="str">
        <f aca="false">IF(B1833=Dashboard!$D$3,ROW(),"")</f>
        <v/>
      </c>
    </row>
    <row r="1834" customFormat="false" ht="15" hidden="false" customHeight="false" outlineLevel="0" collapsed="false">
      <c r="A1834" s="80"/>
      <c r="B1834" s="71"/>
      <c r="C1834" s="71"/>
      <c r="D1834" s="81"/>
      <c r="E1834" s="71"/>
      <c r="F1834" s="71"/>
      <c r="G1834" s="82" t="str">
        <f aca="false">IF(C1834="","",IFERROR(INDEX('Kit Lists'!$D$6:$D$605,MATCH(B1834&amp;"|"&amp;C1834,'Kit Lists'!$J$6:$J$605,0)),"Not on this contract's kit list"))</f>
        <v/>
      </c>
      <c r="H1834" s="83" t="str">
        <f aca="false">IF(AND(B1834="",C1834="",D1834=""),"",IF(B1834="","Missing contract",IF(C1834="","Missing code",IF(LEFT(G1834,3)="Not","Wrong code",IF(D1834="","Missing qty",IF(A1834="","Missing date",""))))))</f>
        <v/>
      </c>
      <c r="I1834" s="84" t="str">
        <f aca="false">IF(B1834=Dashboard!$D$3,ROW(),"")</f>
        <v/>
      </c>
    </row>
    <row r="1835" customFormat="false" ht="15" hidden="false" customHeight="false" outlineLevel="0" collapsed="false">
      <c r="A1835" s="80"/>
      <c r="B1835" s="71"/>
      <c r="C1835" s="71"/>
      <c r="D1835" s="81"/>
      <c r="E1835" s="71"/>
      <c r="F1835" s="71"/>
      <c r="G1835" s="82" t="str">
        <f aca="false">IF(C1835="","",IFERROR(INDEX('Kit Lists'!$D$6:$D$605,MATCH(B1835&amp;"|"&amp;C1835,'Kit Lists'!$J$6:$J$605,0)),"Not on this contract's kit list"))</f>
        <v/>
      </c>
      <c r="H1835" s="83" t="str">
        <f aca="false">IF(AND(B1835="",C1835="",D1835=""),"",IF(B1835="","Missing contract",IF(C1835="","Missing code",IF(LEFT(G1835,3)="Not","Wrong code",IF(D1835="","Missing qty",IF(A1835="","Missing date",""))))))</f>
        <v/>
      </c>
      <c r="I1835" s="84" t="str">
        <f aca="false">IF(B1835=Dashboard!$D$3,ROW(),"")</f>
        <v/>
      </c>
    </row>
    <row r="1836" customFormat="false" ht="15" hidden="false" customHeight="false" outlineLevel="0" collapsed="false">
      <c r="A1836" s="80"/>
      <c r="B1836" s="71"/>
      <c r="C1836" s="71"/>
      <c r="D1836" s="81"/>
      <c r="E1836" s="71"/>
      <c r="F1836" s="71"/>
      <c r="G1836" s="82" t="str">
        <f aca="false">IF(C1836="","",IFERROR(INDEX('Kit Lists'!$D$6:$D$605,MATCH(B1836&amp;"|"&amp;C1836,'Kit Lists'!$J$6:$J$605,0)),"Not on this contract's kit list"))</f>
        <v/>
      </c>
      <c r="H1836" s="83" t="str">
        <f aca="false">IF(AND(B1836="",C1836="",D1836=""),"",IF(B1836="","Missing contract",IF(C1836="","Missing code",IF(LEFT(G1836,3)="Not","Wrong code",IF(D1836="","Missing qty",IF(A1836="","Missing date",""))))))</f>
        <v/>
      </c>
      <c r="I1836" s="84" t="str">
        <f aca="false">IF(B1836=Dashboard!$D$3,ROW(),"")</f>
        <v/>
      </c>
    </row>
    <row r="1837" customFormat="false" ht="15" hidden="false" customHeight="false" outlineLevel="0" collapsed="false">
      <c r="A1837" s="80"/>
      <c r="B1837" s="71"/>
      <c r="C1837" s="71"/>
      <c r="D1837" s="81"/>
      <c r="E1837" s="71"/>
      <c r="F1837" s="71"/>
      <c r="G1837" s="82" t="str">
        <f aca="false">IF(C1837="","",IFERROR(INDEX('Kit Lists'!$D$6:$D$605,MATCH(B1837&amp;"|"&amp;C1837,'Kit Lists'!$J$6:$J$605,0)),"Not on this contract's kit list"))</f>
        <v/>
      </c>
      <c r="H1837" s="83" t="str">
        <f aca="false">IF(AND(B1837="",C1837="",D1837=""),"",IF(B1837="","Missing contract",IF(C1837="","Missing code",IF(LEFT(G1837,3)="Not","Wrong code",IF(D1837="","Missing qty",IF(A1837="","Missing date",""))))))</f>
        <v/>
      </c>
      <c r="I1837" s="84" t="str">
        <f aca="false">IF(B1837=Dashboard!$D$3,ROW(),"")</f>
        <v/>
      </c>
    </row>
    <row r="1838" customFormat="false" ht="15" hidden="false" customHeight="false" outlineLevel="0" collapsed="false">
      <c r="A1838" s="80"/>
      <c r="B1838" s="71"/>
      <c r="C1838" s="71"/>
      <c r="D1838" s="81"/>
      <c r="E1838" s="71"/>
      <c r="F1838" s="71"/>
      <c r="G1838" s="82" t="str">
        <f aca="false">IF(C1838="","",IFERROR(INDEX('Kit Lists'!$D$6:$D$605,MATCH(B1838&amp;"|"&amp;C1838,'Kit Lists'!$J$6:$J$605,0)),"Not on this contract's kit list"))</f>
        <v/>
      </c>
      <c r="H1838" s="83" t="str">
        <f aca="false">IF(AND(B1838="",C1838="",D1838=""),"",IF(B1838="","Missing contract",IF(C1838="","Missing code",IF(LEFT(G1838,3)="Not","Wrong code",IF(D1838="","Missing qty",IF(A1838="","Missing date",""))))))</f>
        <v/>
      </c>
      <c r="I1838" s="84" t="str">
        <f aca="false">IF(B1838=Dashboard!$D$3,ROW(),"")</f>
        <v/>
      </c>
    </row>
    <row r="1839" customFormat="false" ht="15" hidden="false" customHeight="false" outlineLevel="0" collapsed="false">
      <c r="A1839" s="80"/>
      <c r="B1839" s="71"/>
      <c r="C1839" s="71"/>
      <c r="D1839" s="81"/>
      <c r="E1839" s="71"/>
      <c r="F1839" s="71"/>
      <c r="G1839" s="82" t="str">
        <f aca="false">IF(C1839="","",IFERROR(INDEX('Kit Lists'!$D$6:$D$605,MATCH(B1839&amp;"|"&amp;C1839,'Kit Lists'!$J$6:$J$605,0)),"Not on this contract's kit list"))</f>
        <v/>
      </c>
      <c r="H1839" s="83" t="str">
        <f aca="false">IF(AND(B1839="",C1839="",D1839=""),"",IF(B1839="","Missing contract",IF(C1839="","Missing code",IF(LEFT(G1839,3)="Not","Wrong code",IF(D1839="","Missing qty",IF(A1839="","Missing date",""))))))</f>
        <v/>
      </c>
      <c r="I1839" s="84" t="str">
        <f aca="false">IF(B1839=Dashboard!$D$3,ROW(),"")</f>
        <v/>
      </c>
    </row>
    <row r="1840" customFormat="false" ht="15" hidden="false" customHeight="false" outlineLevel="0" collapsed="false">
      <c r="A1840" s="80"/>
      <c r="B1840" s="71"/>
      <c r="C1840" s="71"/>
      <c r="D1840" s="81"/>
      <c r="E1840" s="71"/>
      <c r="F1840" s="71"/>
      <c r="G1840" s="82" t="str">
        <f aca="false">IF(C1840="","",IFERROR(INDEX('Kit Lists'!$D$6:$D$605,MATCH(B1840&amp;"|"&amp;C1840,'Kit Lists'!$J$6:$J$605,0)),"Not on this contract's kit list"))</f>
        <v/>
      </c>
      <c r="H1840" s="83" t="str">
        <f aca="false">IF(AND(B1840="",C1840="",D1840=""),"",IF(B1840="","Missing contract",IF(C1840="","Missing code",IF(LEFT(G1840,3)="Not","Wrong code",IF(D1840="","Missing qty",IF(A1840="","Missing date",""))))))</f>
        <v/>
      </c>
      <c r="I1840" s="84" t="str">
        <f aca="false">IF(B1840=Dashboard!$D$3,ROW(),"")</f>
        <v/>
      </c>
    </row>
    <row r="1841" customFormat="false" ht="15" hidden="false" customHeight="false" outlineLevel="0" collapsed="false">
      <c r="A1841" s="80"/>
      <c r="B1841" s="71"/>
      <c r="C1841" s="71"/>
      <c r="D1841" s="81"/>
      <c r="E1841" s="71"/>
      <c r="F1841" s="71"/>
      <c r="G1841" s="82" t="str">
        <f aca="false">IF(C1841="","",IFERROR(INDEX('Kit Lists'!$D$6:$D$605,MATCH(B1841&amp;"|"&amp;C1841,'Kit Lists'!$J$6:$J$605,0)),"Not on this contract's kit list"))</f>
        <v/>
      </c>
      <c r="H1841" s="83" t="str">
        <f aca="false">IF(AND(B1841="",C1841="",D1841=""),"",IF(B1841="","Missing contract",IF(C1841="","Missing code",IF(LEFT(G1841,3)="Not","Wrong code",IF(D1841="","Missing qty",IF(A1841="","Missing date",""))))))</f>
        <v/>
      </c>
      <c r="I1841" s="84" t="str">
        <f aca="false">IF(B1841=Dashboard!$D$3,ROW(),"")</f>
        <v/>
      </c>
    </row>
    <row r="1842" customFormat="false" ht="15" hidden="false" customHeight="false" outlineLevel="0" collapsed="false">
      <c r="A1842" s="80"/>
      <c r="B1842" s="71"/>
      <c r="C1842" s="71"/>
      <c r="D1842" s="81"/>
      <c r="E1842" s="71"/>
      <c r="F1842" s="71"/>
      <c r="G1842" s="82" t="str">
        <f aca="false">IF(C1842="","",IFERROR(INDEX('Kit Lists'!$D$6:$D$605,MATCH(B1842&amp;"|"&amp;C1842,'Kit Lists'!$J$6:$J$605,0)),"Not on this contract's kit list"))</f>
        <v/>
      </c>
      <c r="H1842" s="83" t="str">
        <f aca="false">IF(AND(B1842="",C1842="",D1842=""),"",IF(B1842="","Missing contract",IF(C1842="","Missing code",IF(LEFT(G1842,3)="Not","Wrong code",IF(D1842="","Missing qty",IF(A1842="","Missing date",""))))))</f>
        <v/>
      </c>
      <c r="I1842" s="84" t="str">
        <f aca="false">IF(B1842=Dashboard!$D$3,ROW(),"")</f>
        <v/>
      </c>
    </row>
    <row r="1843" customFormat="false" ht="15" hidden="false" customHeight="false" outlineLevel="0" collapsed="false">
      <c r="A1843" s="80"/>
      <c r="B1843" s="71"/>
      <c r="C1843" s="71"/>
      <c r="D1843" s="81"/>
      <c r="E1843" s="71"/>
      <c r="F1843" s="71"/>
      <c r="G1843" s="82" t="str">
        <f aca="false">IF(C1843="","",IFERROR(INDEX('Kit Lists'!$D$6:$D$605,MATCH(B1843&amp;"|"&amp;C1843,'Kit Lists'!$J$6:$J$605,0)),"Not on this contract's kit list"))</f>
        <v/>
      </c>
      <c r="H1843" s="83" t="str">
        <f aca="false">IF(AND(B1843="",C1843="",D1843=""),"",IF(B1843="","Missing contract",IF(C1843="","Missing code",IF(LEFT(G1843,3)="Not","Wrong code",IF(D1843="","Missing qty",IF(A1843="","Missing date",""))))))</f>
        <v/>
      </c>
      <c r="I1843" s="84" t="str">
        <f aca="false">IF(B1843=Dashboard!$D$3,ROW(),"")</f>
        <v/>
      </c>
    </row>
    <row r="1844" customFormat="false" ht="15" hidden="false" customHeight="false" outlineLevel="0" collapsed="false">
      <c r="A1844" s="80"/>
      <c r="B1844" s="71"/>
      <c r="C1844" s="71"/>
      <c r="D1844" s="81"/>
      <c r="E1844" s="71"/>
      <c r="F1844" s="71"/>
      <c r="G1844" s="82" t="str">
        <f aca="false">IF(C1844="","",IFERROR(INDEX('Kit Lists'!$D$6:$D$605,MATCH(B1844&amp;"|"&amp;C1844,'Kit Lists'!$J$6:$J$605,0)),"Not on this contract's kit list"))</f>
        <v/>
      </c>
      <c r="H1844" s="83" t="str">
        <f aca="false">IF(AND(B1844="",C1844="",D1844=""),"",IF(B1844="","Missing contract",IF(C1844="","Missing code",IF(LEFT(G1844,3)="Not","Wrong code",IF(D1844="","Missing qty",IF(A1844="","Missing date",""))))))</f>
        <v/>
      </c>
      <c r="I1844" s="84" t="str">
        <f aca="false">IF(B1844=Dashboard!$D$3,ROW(),"")</f>
        <v/>
      </c>
    </row>
    <row r="1845" customFormat="false" ht="15" hidden="false" customHeight="false" outlineLevel="0" collapsed="false">
      <c r="A1845" s="80"/>
      <c r="B1845" s="71"/>
      <c r="C1845" s="71"/>
      <c r="D1845" s="81"/>
      <c r="E1845" s="71"/>
      <c r="F1845" s="71"/>
      <c r="G1845" s="82" t="str">
        <f aca="false">IF(C1845="","",IFERROR(INDEX('Kit Lists'!$D$6:$D$605,MATCH(B1845&amp;"|"&amp;C1845,'Kit Lists'!$J$6:$J$605,0)),"Not on this contract's kit list"))</f>
        <v/>
      </c>
      <c r="H1845" s="83" t="str">
        <f aca="false">IF(AND(B1845="",C1845="",D1845=""),"",IF(B1845="","Missing contract",IF(C1845="","Missing code",IF(LEFT(G1845,3)="Not","Wrong code",IF(D1845="","Missing qty",IF(A1845="","Missing date",""))))))</f>
        <v/>
      </c>
      <c r="I1845" s="84" t="str">
        <f aca="false">IF(B1845=Dashboard!$D$3,ROW(),"")</f>
        <v/>
      </c>
    </row>
    <row r="1846" customFormat="false" ht="15" hidden="false" customHeight="false" outlineLevel="0" collapsed="false">
      <c r="A1846" s="80"/>
      <c r="B1846" s="71"/>
      <c r="C1846" s="71"/>
      <c r="D1846" s="81"/>
      <c r="E1846" s="71"/>
      <c r="F1846" s="71"/>
      <c r="G1846" s="82" t="str">
        <f aca="false">IF(C1846="","",IFERROR(INDEX('Kit Lists'!$D$6:$D$605,MATCH(B1846&amp;"|"&amp;C1846,'Kit Lists'!$J$6:$J$605,0)),"Not on this contract's kit list"))</f>
        <v/>
      </c>
      <c r="H1846" s="83" t="str">
        <f aca="false">IF(AND(B1846="",C1846="",D1846=""),"",IF(B1846="","Missing contract",IF(C1846="","Missing code",IF(LEFT(G1846,3)="Not","Wrong code",IF(D1846="","Missing qty",IF(A1846="","Missing date",""))))))</f>
        <v/>
      </c>
      <c r="I1846" s="84" t="str">
        <f aca="false">IF(B1846=Dashboard!$D$3,ROW(),"")</f>
        <v/>
      </c>
    </row>
    <row r="1847" customFormat="false" ht="15" hidden="false" customHeight="false" outlineLevel="0" collapsed="false">
      <c r="A1847" s="80"/>
      <c r="B1847" s="71"/>
      <c r="C1847" s="71"/>
      <c r="D1847" s="81"/>
      <c r="E1847" s="71"/>
      <c r="F1847" s="71"/>
      <c r="G1847" s="82" t="str">
        <f aca="false">IF(C1847="","",IFERROR(INDEX('Kit Lists'!$D$6:$D$605,MATCH(B1847&amp;"|"&amp;C1847,'Kit Lists'!$J$6:$J$605,0)),"Not on this contract's kit list"))</f>
        <v/>
      </c>
      <c r="H1847" s="83" t="str">
        <f aca="false">IF(AND(B1847="",C1847="",D1847=""),"",IF(B1847="","Missing contract",IF(C1847="","Missing code",IF(LEFT(G1847,3)="Not","Wrong code",IF(D1847="","Missing qty",IF(A1847="","Missing date",""))))))</f>
        <v/>
      </c>
      <c r="I1847" s="84" t="str">
        <f aca="false">IF(B1847=Dashboard!$D$3,ROW(),"")</f>
        <v/>
      </c>
    </row>
    <row r="1848" customFormat="false" ht="15" hidden="false" customHeight="false" outlineLevel="0" collapsed="false">
      <c r="A1848" s="80"/>
      <c r="B1848" s="71"/>
      <c r="C1848" s="71"/>
      <c r="D1848" s="81"/>
      <c r="E1848" s="71"/>
      <c r="F1848" s="71"/>
      <c r="G1848" s="82" t="str">
        <f aca="false">IF(C1848="","",IFERROR(INDEX('Kit Lists'!$D$6:$D$605,MATCH(B1848&amp;"|"&amp;C1848,'Kit Lists'!$J$6:$J$605,0)),"Not on this contract's kit list"))</f>
        <v/>
      </c>
      <c r="H1848" s="83" t="str">
        <f aca="false">IF(AND(B1848="",C1848="",D1848=""),"",IF(B1848="","Missing contract",IF(C1848="","Missing code",IF(LEFT(G1848,3)="Not","Wrong code",IF(D1848="","Missing qty",IF(A1848="","Missing date",""))))))</f>
        <v/>
      </c>
      <c r="I1848" s="84" t="str">
        <f aca="false">IF(B1848=Dashboard!$D$3,ROW(),"")</f>
        <v/>
      </c>
    </row>
    <row r="1849" customFormat="false" ht="15" hidden="false" customHeight="false" outlineLevel="0" collapsed="false">
      <c r="A1849" s="80"/>
      <c r="B1849" s="71"/>
      <c r="C1849" s="71"/>
      <c r="D1849" s="81"/>
      <c r="E1849" s="71"/>
      <c r="F1849" s="71"/>
      <c r="G1849" s="82" t="str">
        <f aca="false">IF(C1849="","",IFERROR(INDEX('Kit Lists'!$D$6:$D$605,MATCH(B1849&amp;"|"&amp;C1849,'Kit Lists'!$J$6:$J$605,0)),"Not on this contract's kit list"))</f>
        <v/>
      </c>
      <c r="H1849" s="83" t="str">
        <f aca="false">IF(AND(B1849="",C1849="",D1849=""),"",IF(B1849="","Missing contract",IF(C1849="","Missing code",IF(LEFT(G1849,3)="Not","Wrong code",IF(D1849="","Missing qty",IF(A1849="","Missing date",""))))))</f>
        <v/>
      </c>
      <c r="I1849" s="84" t="str">
        <f aca="false">IF(B1849=Dashboard!$D$3,ROW(),"")</f>
        <v/>
      </c>
    </row>
    <row r="1850" customFormat="false" ht="15" hidden="false" customHeight="false" outlineLevel="0" collapsed="false">
      <c r="A1850" s="80"/>
      <c r="B1850" s="71"/>
      <c r="C1850" s="71"/>
      <c r="D1850" s="81"/>
      <c r="E1850" s="71"/>
      <c r="F1850" s="71"/>
      <c r="G1850" s="82" t="str">
        <f aca="false">IF(C1850="","",IFERROR(INDEX('Kit Lists'!$D$6:$D$605,MATCH(B1850&amp;"|"&amp;C1850,'Kit Lists'!$J$6:$J$605,0)),"Not on this contract's kit list"))</f>
        <v/>
      </c>
      <c r="H1850" s="83" t="str">
        <f aca="false">IF(AND(B1850="",C1850="",D1850=""),"",IF(B1850="","Missing contract",IF(C1850="","Missing code",IF(LEFT(G1850,3)="Not","Wrong code",IF(D1850="","Missing qty",IF(A1850="","Missing date",""))))))</f>
        <v/>
      </c>
      <c r="I1850" s="84" t="str">
        <f aca="false">IF(B1850=Dashboard!$D$3,ROW(),"")</f>
        <v/>
      </c>
    </row>
    <row r="1851" customFormat="false" ht="15" hidden="false" customHeight="false" outlineLevel="0" collapsed="false">
      <c r="A1851" s="80"/>
      <c r="B1851" s="71"/>
      <c r="C1851" s="71"/>
      <c r="D1851" s="81"/>
      <c r="E1851" s="71"/>
      <c r="F1851" s="71"/>
      <c r="G1851" s="82" t="str">
        <f aca="false">IF(C1851="","",IFERROR(INDEX('Kit Lists'!$D$6:$D$605,MATCH(B1851&amp;"|"&amp;C1851,'Kit Lists'!$J$6:$J$605,0)),"Not on this contract's kit list"))</f>
        <v/>
      </c>
      <c r="H1851" s="83" t="str">
        <f aca="false">IF(AND(B1851="",C1851="",D1851=""),"",IF(B1851="","Missing contract",IF(C1851="","Missing code",IF(LEFT(G1851,3)="Not","Wrong code",IF(D1851="","Missing qty",IF(A1851="","Missing date",""))))))</f>
        <v/>
      </c>
      <c r="I1851" s="84" t="str">
        <f aca="false">IF(B1851=Dashboard!$D$3,ROW(),"")</f>
        <v/>
      </c>
    </row>
    <row r="1852" customFormat="false" ht="15" hidden="false" customHeight="false" outlineLevel="0" collapsed="false">
      <c r="A1852" s="80"/>
      <c r="B1852" s="71"/>
      <c r="C1852" s="71"/>
      <c r="D1852" s="81"/>
      <c r="E1852" s="71"/>
      <c r="F1852" s="71"/>
      <c r="G1852" s="82" t="str">
        <f aca="false">IF(C1852="","",IFERROR(INDEX('Kit Lists'!$D$6:$D$605,MATCH(B1852&amp;"|"&amp;C1852,'Kit Lists'!$J$6:$J$605,0)),"Not on this contract's kit list"))</f>
        <v/>
      </c>
      <c r="H1852" s="83" t="str">
        <f aca="false">IF(AND(B1852="",C1852="",D1852=""),"",IF(B1852="","Missing contract",IF(C1852="","Missing code",IF(LEFT(G1852,3)="Not","Wrong code",IF(D1852="","Missing qty",IF(A1852="","Missing date",""))))))</f>
        <v/>
      </c>
      <c r="I1852" s="84" t="str">
        <f aca="false">IF(B1852=Dashboard!$D$3,ROW(),"")</f>
        <v/>
      </c>
    </row>
    <row r="1853" customFormat="false" ht="15" hidden="false" customHeight="false" outlineLevel="0" collapsed="false">
      <c r="A1853" s="80"/>
      <c r="B1853" s="71"/>
      <c r="C1853" s="71"/>
      <c r="D1853" s="81"/>
      <c r="E1853" s="71"/>
      <c r="F1853" s="71"/>
      <c r="G1853" s="82" t="str">
        <f aca="false">IF(C1853="","",IFERROR(INDEX('Kit Lists'!$D$6:$D$605,MATCH(B1853&amp;"|"&amp;C1853,'Kit Lists'!$J$6:$J$605,0)),"Not on this contract's kit list"))</f>
        <v/>
      </c>
      <c r="H1853" s="83" t="str">
        <f aca="false">IF(AND(B1853="",C1853="",D1853=""),"",IF(B1853="","Missing contract",IF(C1853="","Missing code",IF(LEFT(G1853,3)="Not","Wrong code",IF(D1853="","Missing qty",IF(A1853="","Missing date",""))))))</f>
        <v/>
      </c>
      <c r="I1853" s="84" t="str">
        <f aca="false">IF(B1853=Dashboard!$D$3,ROW(),"")</f>
        <v/>
      </c>
    </row>
    <row r="1854" customFormat="false" ht="15" hidden="false" customHeight="false" outlineLevel="0" collapsed="false">
      <c r="A1854" s="80"/>
      <c r="B1854" s="71"/>
      <c r="C1854" s="71"/>
      <c r="D1854" s="81"/>
      <c r="E1854" s="71"/>
      <c r="F1854" s="71"/>
      <c r="G1854" s="82" t="str">
        <f aca="false">IF(C1854="","",IFERROR(INDEX('Kit Lists'!$D$6:$D$605,MATCH(B1854&amp;"|"&amp;C1854,'Kit Lists'!$J$6:$J$605,0)),"Not on this contract's kit list"))</f>
        <v/>
      </c>
      <c r="H1854" s="83" t="str">
        <f aca="false">IF(AND(B1854="",C1854="",D1854=""),"",IF(B1854="","Missing contract",IF(C1854="","Missing code",IF(LEFT(G1854,3)="Not","Wrong code",IF(D1854="","Missing qty",IF(A1854="","Missing date",""))))))</f>
        <v/>
      </c>
      <c r="I1854" s="84" t="str">
        <f aca="false">IF(B1854=Dashboard!$D$3,ROW(),"")</f>
        <v/>
      </c>
    </row>
    <row r="1855" customFormat="false" ht="15" hidden="false" customHeight="false" outlineLevel="0" collapsed="false">
      <c r="A1855" s="80"/>
      <c r="B1855" s="71"/>
      <c r="C1855" s="71"/>
      <c r="D1855" s="81"/>
      <c r="E1855" s="71"/>
      <c r="F1855" s="71"/>
      <c r="G1855" s="82" t="str">
        <f aca="false">IF(C1855="","",IFERROR(INDEX('Kit Lists'!$D$6:$D$605,MATCH(B1855&amp;"|"&amp;C1855,'Kit Lists'!$J$6:$J$605,0)),"Not on this contract's kit list"))</f>
        <v/>
      </c>
      <c r="H1855" s="83" t="str">
        <f aca="false">IF(AND(B1855="",C1855="",D1855=""),"",IF(B1855="","Missing contract",IF(C1855="","Missing code",IF(LEFT(G1855,3)="Not","Wrong code",IF(D1855="","Missing qty",IF(A1855="","Missing date",""))))))</f>
        <v/>
      </c>
      <c r="I1855" s="84" t="str">
        <f aca="false">IF(B1855=Dashboard!$D$3,ROW(),"")</f>
        <v/>
      </c>
    </row>
    <row r="1856" customFormat="false" ht="15" hidden="false" customHeight="false" outlineLevel="0" collapsed="false">
      <c r="A1856" s="80"/>
      <c r="B1856" s="71"/>
      <c r="C1856" s="71"/>
      <c r="D1856" s="81"/>
      <c r="E1856" s="71"/>
      <c r="F1856" s="71"/>
      <c r="G1856" s="82" t="str">
        <f aca="false">IF(C1856="","",IFERROR(INDEX('Kit Lists'!$D$6:$D$605,MATCH(B1856&amp;"|"&amp;C1856,'Kit Lists'!$J$6:$J$605,0)),"Not on this contract's kit list"))</f>
        <v/>
      </c>
      <c r="H1856" s="83" t="str">
        <f aca="false">IF(AND(B1856="",C1856="",D1856=""),"",IF(B1856="","Missing contract",IF(C1856="","Missing code",IF(LEFT(G1856,3)="Not","Wrong code",IF(D1856="","Missing qty",IF(A1856="","Missing date",""))))))</f>
        <v/>
      </c>
      <c r="I1856" s="84" t="str">
        <f aca="false">IF(B1856=Dashboard!$D$3,ROW(),"")</f>
        <v/>
      </c>
    </row>
    <row r="1857" customFormat="false" ht="15" hidden="false" customHeight="false" outlineLevel="0" collapsed="false">
      <c r="A1857" s="80"/>
      <c r="B1857" s="71"/>
      <c r="C1857" s="71"/>
      <c r="D1857" s="81"/>
      <c r="E1857" s="71"/>
      <c r="F1857" s="71"/>
      <c r="G1857" s="82" t="str">
        <f aca="false">IF(C1857="","",IFERROR(INDEX('Kit Lists'!$D$6:$D$605,MATCH(B1857&amp;"|"&amp;C1857,'Kit Lists'!$J$6:$J$605,0)),"Not on this contract's kit list"))</f>
        <v/>
      </c>
      <c r="H1857" s="83" t="str">
        <f aca="false">IF(AND(B1857="",C1857="",D1857=""),"",IF(B1857="","Missing contract",IF(C1857="","Missing code",IF(LEFT(G1857,3)="Not","Wrong code",IF(D1857="","Missing qty",IF(A1857="","Missing date",""))))))</f>
        <v/>
      </c>
      <c r="I1857" s="84" t="str">
        <f aca="false">IF(B1857=Dashboard!$D$3,ROW(),"")</f>
        <v/>
      </c>
    </row>
    <row r="1858" customFormat="false" ht="15" hidden="false" customHeight="false" outlineLevel="0" collapsed="false">
      <c r="A1858" s="80"/>
      <c r="B1858" s="71"/>
      <c r="C1858" s="71"/>
      <c r="D1858" s="81"/>
      <c r="E1858" s="71"/>
      <c r="F1858" s="71"/>
      <c r="G1858" s="82" t="str">
        <f aca="false">IF(C1858="","",IFERROR(INDEX('Kit Lists'!$D$6:$D$605,MATCH(B1858&amp;"|"&amp;C1858,'Kit Lists'!$J$6:$J$605,0)),"Not on this contract's kit list"))</f>
        <v/>
      </c>
      <c r="H1858" s="83" t="str">
        <f aca="false">IF(AND(B1858="",C1858="",D1858=""),"",IF(B1858="","Missing contract",IF(C1858="","Missing code",IF(LEFT(G1858,3)="Not","Wrong code",IF(D1858="","Missing qty",IF(A1858="","Missing date",""))))))</f>
        <v/>
      </c>
      <c r="I1858" s="84" t="str">
        <f aca="false">IF(B1858=Dashboard!$D$3,ROW(),"")</f>
        <v/>
      </c>
    </row>
    <row r="1859" customFormat="false" ht="15" hidden="false" customHeight="false" outlineLevel="0" collapsed="false">
      <c r="A1859" s="80"/>
      <c r="B1859" s="71"/>
      <c r="C1859" s="71"/>
      <c r="D1859" s="81"/>
      <c r="E1859" s="71"/>
      <c r="F1859" s="71"/>
      <c r="G1859" s="82" t="str">
        <f aca="false">IF(C1859="","",IFERROR(INDEX('Kit Lists'!$D$6:$D$605,MATCH(B1859&amp;"|"&amp;C1859,'Kit Lists'!$J$6:$J$605,0)),"Not on this contract's kit list"))</f>
        <v/>
      </c>
      <c r="H1859" s="83" t="str">
        <f aca="false">IF(AND(B1859="",C1859="",D1859=""),"",IF(B1859="","Missing contract",IF(C1859="","Missing code",IF(LEFT(G1859,3)="Not","Wrong code",IF(D1859="","Missing qty",IF(A1859="","Missing date",""))))))</f>
        <v/>
      </c>
      <c r="I1859" s="84" t="str">
        <f aca="false">IF(B1859=Dashboard!$D$3,ROW(),"")</f>
        <v/>
      </c>
    </row>
    <row r="1860" customFormat="false" ht="15" hidden="false" customHeight="false" outlineLevel="0" collapsed="false">
      <c r="A1860" s="80"/>
      <c r="B1860" s="71"/>
      <c r="C1860" s="71"/>
      <c r="D1860" s="81"/>
      <c r="E1860" s="71"/>
      <c r="F1860" s="71"/>
      <c r="G1860" s="82" t="str">
        <f aca="false">IF(C1860="","",IFERROR(INDEX('Kit Lists'!$D$6:$D$605,MATCH(B1860&amp;"|"&amp;C1860,'Kit Lists'!$J$6:$J$605,0)),"Not on this contract's kit list"))</f>
        <v/>
      </c>
      <c r="H1860" s="83" t="str">
        <f aca="false">IF(AND(B1860="",C1860="",D1860=""),"",IF(B1860="","Missing contract",IF(C1860="","Missing code",IF(LEFT(G1860,3)="Not","Wrong code",IF(D1860="","Missing qty",IF(A1860="","Missing date",""))))))</f>
        <v/>
      </c>
      <c r="I1860" s="84" t="str">
        <f aca="false">IF(B1860=Dashboard!$D$3,ROW(),"")</f>
        <v/>
      </c>
    </row>
    <row r="1861" customFormat="false" ht="15" hidden="false" customHeight="false" outlineLevel="0" collapsed="false">
      <c r="A1861" s="80"/>
      <c r="B1861" s="71"/>
      <c r="C1861" s="71"/>
      <c r="D1861" s="81"/>
      <c r="E1861" s="71"/>
      <c r="F1861" s="71"/>
      <c r="G1861" s="82" t="str">
        <f aca="false">IF(C1861="","",IFERROR(INDEX('Kit Lists'!$D$6:$D$605,MATCH(B1861&amp;"|"&amp;C1861,'Kit Lists'!$J$6:$J$605,0)),"Not on this contract's kit list"))</f>
        <v/>
      </c>
      <c r="H1861" s="83" t="str">
        <f aca="false">IF(AND(B1861="",C1861="",D1861=""),"",IF(B1861="","Missing contract",IF(C1861="","Missing code",IF(LEFT(G1861,3)="Not","Wrong code",IF(D1861="","Missing qty",IF(A1861="","Missing date",""))))))</f>
        <v/>
      </c>
      <c r="I1861" s="84" t="str">
        <f aca="false">IF(B1861=Dashboard!$D$3,ROW(),"")</f>
        <v/>
      </c>
    </row>
    <row r="1862" customFormat="false" ht="15" hidden="false" customHeight="false" outlineLevel="0" collapsed="false">
      <c r="A1862" s="80"/>
      <c r="B1862" s="71"/>
      <c r="C1862" s="71"/>
      <c r="D1862" s="81"/>
      <c r="E1862" s="71"/>
      <c r="F1862" s="71"/>
      <c r="G1862" s="82" t="str">
        <f aca="false">IF(C1862="","",IFERROR(INDEX('Kit Lists'!$D$6:$D$605,MATCH(B1862&amp;"|"&amp;C1862,'Kit Lists'!$J$6:$J$605,0)),"Not on this contract's kit list"))</f>
        <v/>
      </c>
      <c r="H1862" s="83" t="str">
        <f aca="false">IF(AND(B1862="",C1862="",D1862=""),"",IF(B1862="","Missing contract",IF(C1862="","Missing code",IF(LEFT(G1862,3)="Not","Wrong code",IF(D1862="","Missing qty",IF(A1862="","Missing date",""))))))</f>
        <v/>
      </c>
      <c r="I1862" s="84" t="str">
        <f aca="false">IF(B1862=Dashboard!$D$3,ROW(),"")</f>
        <v/>
      </c>
    </row>
    <row r="1863" customFormat="false" ht="15" hidden="false" customHeight="false" outlineLevel="0" collapsed="false">
      <c r="A1863" s="80"/>
      <c r="B1863" s="71"/>
      <c r="C1863" s="71"/>
      <c r="D1863" s="81"/>
      <c r="E1863" s="71"/>
      <c r="F1863" s="71"/>
      <c r="G1863" s="82" t="str">
        <f aca="false">IF(C1863="","",IFERROR(INDEX('Kit Lists'!$D$6:$D$605,MATCH(B1863&amp;"|"&amp;C1863,'Kit Lists'!$J$6:$J$605,0)),"Not on this contract's kit list"))</f>
        <v/>
      </c>
      <c r="H1863" s="83" t="str">
        <f aca="false">IF(AND(B1863="",C1863="",D1863=""),"",IF(B1863="","Missing contract",IF(C1863="","Missing code",IF(LEFT(G1863,3)="Not","Wrong code",IF(D1863="","Missing qty",IF(A1863="","Missing date",""))))))</f>
        <v/>
      </c>
      <c r="I1863" s="84" t="str">
        <f aca="false">IF(B1863=Dashboard!$D$3,ROW(),"")</f>
        <v/>
      </c>
    </row>
    <row r="1864" customFormat="false" ht="15" hidden="false" customHeight="false" outlineLevel="0" collapsed="false">
      <c r="A1864" s="80"/>
      <c r="B1864" s="71"/>
      <c r="C1864" s="71"/>
      <c r="D1864" s="81"/>
      <c r="E1864" s="71"/>
      <c r="F1864" s="71"/>
      <c r="G1864" s="82" t="str">
        <f aca="false">IF(C1864="","",IFERROR(INDEX('Kit Lists'!$D$6:$D$605,MATCH(B1864&amp;"|"&amp;C1864,'Kit Lists'!$J$6:$J$605,0)),"Not on this contract's kit list"))</f>
        <v/>
      </c>
      <c r="H1864" s="83" t="str">
        <f aca="false">IF(AND(B1864="",C1864="",D1864=""),"",IF(B1864="","Missing contract",IF(C1864="","Missing code",IF(LEFT(G1864,3)="Not","Wrong code",IF(D1864="","Missing qty",IF(A1864="","Missing date",""))))))</f>
        <v/>
      </c>
      <c r="I1864" s="84" t="str">
        <f aca="false">IF(B1864=Dashboard!$D$3,ROW(),"")</f>
        <v/>
      </c>
    </row>
    <row r="1865" customFormat="false" ht="15" hidden="false" customHeight="false" outlineLevel="0" collapsed="false">
      <c r="A1865" s="80"/>
      <c r="B1865" s="71"/>
      <c r="C1865" s="71"/>
      <c r="D1865" s="81"/>
      <c r="E1865" s="71"/>
      <c r="F1865" s="71"/>
      <c r="G1865" s="82" t="str">
        <f aca="false">IF(C1865="","",IFERROR(INDEX('Kit Lists'!$D$6:$D$605,MATCH(B1865&amp;"|"&amp;C1865,'Kit Lists'!$J$6:$J$605,0)),"Not on this contract's kit list"))</f>
        <v/>
      </c>
      <c r="H1865" s="83" t="str">
        <f aca="false">IF(AND(B1865="",C1865="",D1865=""),"",IF(B1865="","Missing contract",IF(C1865="","Missing code",IF(LEFT(G1865,3)="Not","Wrong code",IF(D1865="","Missing qty",IF(A1865="","Missing date",""))))))</f>
        <v/>
      </c>
      <c r="I1865" s="84" t="str">
        <f aca="false">IF(B1865=Dashboard!$D$3,ROW(),"")</f>
        <v/>
      </c>
    </row>
    <row r="1866" customFormat="false" ht="15" hidden="false" customHeight="false" outlineLevel="0" collapsed="false">
      <c r="A1866" s="80"/>
      <c r="B1866" s="71"/>
      <c r="C1866" s="71"/>
      <c r="D1866" s="81"/>
      <c r="E1866" s="71"/>
      <c r="F1866" s="71"/>
      <c r="G1866" s="82" t="str">
        <f aca="false">IF(C1866="","",IFERROR(INDEX('Kit Lists'!$D$6:$D$605,MATCH(B1866&amp;"|"&amp;C1866,'Kit Lists'!$J$6:$J$605,0)),"Not on this contract's kit list"))</f>
        <v/>
      </c>
      <c r="H1866" s="83" t="str">
        <f aca="false">IF(AND(B1866="",C1866="",D1866=""),"",IF(B1866="","Missing contract",IF(C1866="","Missing code",IF(LEFT(G1866,3)="Not","Wrong code",IF(D1866="","Missing qty",IF(A1866="","Missing date",""))))))</f>
        <v/>
      </c>
      <c r="I1866" s="84" t="str">
        <f aca="false">IF(B1866=Dashboard!$D$3,ROW(),"")</f>
        <v/>
      </c>
    </row>
    <row r="1867" customFormat="false" ht="15" hidden="false" customHeight="false" outlineLevel="0" collapsed="false">
      <c r="A1867" s="80"/>
      <c r="B1867" s="71"/>
      <c r="C1867" s="71"/>
      <c r="D1867" s="81"/>
      <c r="E1867" s="71"/>
      <c r="F1867" s="71"/>
      <c r="G1867" s="82" t="str">
        <f aca="false">IF(C1867="","",IFERROR(INDEX('Kit Lists'!$D$6:$D$605,MATCH(B1867&amp;"|"&amp;C1867,'Kit Lists'!$J$6:$J$605,0)),"Not on this contract's kit list"))</f>
        <v/>
      </c>
      <c r="H1867" s="83" t="str">
        <f aca="false">IF(AND(B1867="",C1867="",D1867=""),"",IF(B1867="","Missing contract",IF(C1867="","Missing code",IF(LEFT(G1867,3)="Not","Wrong code",IF(D1867="","Missing qty",IF(A1867="","Missing date",""))))))</f>
        <v/>
      </c>
      <c r="I1867" s="84" t="str">
        <f aca="false">IF(B1867=Dashboard!$D$3,ROW(),"")</f>
        <v/>
      </c>
    </row>
    <row r="1868" customFormat="false" ht="15" hidden="false" customHeight="false" outlineLevel="0" collapsed="false">
      <c r="A1868" s="80"/>
      <c r="B1868" s="71"/>
      <c r="C1868" s="71"/>
      <c r="D1868" s="81"/>
      <c r="E1868" s="71"/>
      <c r="F1868" s="71"/>
      <c r="G1868" s="82" t="str">
        <f aca="false">IF(C1868="","",IFERROR(INDEX('Kit Lists'!$D$6:$D$605,MATCH(B1868&amp;"|"&amp;C1868,'Kit Lists'!$J$6:$J$605,0)),"Not on this contract's kit list"))</f>
        <v/>
      </c>
      <c r="H1868" s="83" t="str">
        <f aca="false">IF(AND(B1868="",C1868="",D1868=""),"",IF(B1868="","Missing contract",IF(C1868="","Missing code",IF(LEFT(G1868,3)="Not","Wrong code",IF(D1868="","Missing qty",IF(A1868="","Missing date",""))))))</f>
        <v/>
      </c>
      <c r="I1868" s="84" t="str">
        <f aca="false">IF(B1868=Dashboard!$D$3,ROW(),"")</f>
        <v/>
      </c>
    </row>
    <row r="1869" customFormat="false" ht="15" hidden="false" customHeight="false" outlineLevel="0" collapsed="false">
      <c r="A1869" s="80"/>
      <c r="B1869" s="71"/>
      <c r="C1869" s="71"/>
      <c r="D1869" s="81"/>
      <c r="E1869" s="71"/>
      <c r="F1869" s="71"/>
      <c r="G1869" s="82" t="str">
        <f aca="false">IF(C1869="","",IFERROR(INDEX('Kit Lists'!$D$6:$D$605,MATCH(B1869&amp;"|"&amp;C1869,'Kit Lists'!$J$6:$J$605,0)),"Not on this contract's kit list"))</f>
        <v/>
      </c>
      <c r="H1869" s="83" t="str">
        <f aca="false">IF(AND(B1869="",C1869="",D1869=""),"",IF(B1869="","Missing contract",IF(C1869="","Missing code",IF(LEFT(G1869,3)="Not","Wrong code",IF(D1869="","Missing qty",IF(A1869="","Missing date",""))))))</f>
        <v/>
      </c>
      <c r="I1869" s="84" t="str">
        <f aca="false">IF(B1869=Dashboard!$D$3,ROW(),"")</f>
        <v/>
      </c>
    </row>
    <row r="1870" customFormat="false" ht="15" hidden="false" customHeight="false" outlineLevel="0" collapsed="false">
      <c r="A1870" s="80"/>
      <c r="B1870" s="71"/>
      <c r="C1870" s="71"/>
      <c r="D1870" s="81"/>
      <c r="E1870" s="71"/>
      <c r="F1870" s="71"/>
      <c r="G1870" s="82" t="str">
        <f aca="false">IF(C1870="","",IFERROR(INDEX('Kit Lists'!$D$6:$D$605,MATCH(B1870&amp;"|"&amp;C1870,'Kit Lists'!$J$6:$J$605,0)),"Not on this contract's kit list"))</f>
        <v/>
      </c>
      <c r="H1870" s="83" t="str">
        <f aca="false">IF(AND(B1870="",C1870="",D1870=""),"",IF(B1870="","Missing contract",IF(C1870="","Missing code",IF(LEFT(G1870,3)="Not","Wrong code",IF(D1870="","Missing qty",IF(A1870="","Missing date",""))))))</f>
        <v/>
      </c>
      <c r="I1870" s="84" t="str">
        <f aca="false">IF(B1870=Dashboard!$D$3,ROW(),"")</f>
        <v/>
      </c>
    </row>
    <row r="1871" customFormat="false" ht="15" hidden="false" customHeight="false" outlineLevel="0" collapsed="false">
      <c r="A1871" s="80"/>
      <c r="B1871" s="71"/>
      <c r="C1871" s="71"/>
      <c r="D1871" s="81"/>
      <c r="E1871" s="71"/>
      <c r="F1871" s="71"/>
      <c r="G1871" s="82" t="str">
        <f aca="false">IF(C1871="","",IFERROR(INDEX('Kit Lists'!$D$6:$D$605,MATCH(B1871&amp;"|"&amp;C1871,'Kit Lists'!$J$6:$J$605,0)),"Not on this contract's kit list"))</f>
        <v/>
      </c>
      <c r="H1871" s="83" t="str">
        <f aca="false">IF(AND(B1871="",C1871="",D1871=""),"",IF(B1871="","Missing contract",IF(C1871="","Missing code",IF(LEFT(G1871,3)="Not","Wrong code",IF(D1871="","Missing qty",IF(A1871="","Missing date",""))))))</f>
        <v/>
      </c>
      <c r="I1871" s="84" t="str">
        <f aca="false">IF(B1871=Dashboard!$D$3,ROW(),"")</f>
        <v/>
      </c>
    </row>
    <row r="1872" customFormat="false" ht="15" hidden="false" customHeight="false" outlineLevel="0" collapsed="false">
      <c r="A1872" s="80"/>
      <c r="B1872" s="71"/>
      <c r="C1872" s="71"/>
      <c r="D1872" s="81"/>
      <c r="E1872" s="71"/>
      <c r="F1872" s="71"/>
      <c r="G1872" s="82" t="str">
        <f aca="false">IF(C1872="","",IFERROR(INDEX('Kit Lists'!$D$6:$D$605,MATCH(B1872&amp;"|"&amp;C1872,'Kit Lists'!$J$6:$J$605,0)),"Not on this contract's kit list"))</f>
        <v/>
      </c>
      <c r="H1872" s="83" t="str">
        <f aca="false">IF(AND(B1872="",C1872="",D1872=""),"",IF(B1872="","Missing contract",IF(C1872="","Missing code",IF(LEFT(G1872,3)="Not","Wrong code",IF(D1872="","Missing qty",IF(A1872="","Missing date",""))))))</f>
        <v/>
      </c>
      <c r="I1872" s="84" t="str">
        <f aca="false">IF(B1872=Dashboard!$D$3,ROW(),"")</f>
        <v/>
      </c>
    </row>
    <row r="1873" customFormat="false" ht="15" hidden="false" customHeight="false" outlineLevel="0" collapsed="false">
      <c r="A1873" s="80"/>
      <c r="B1873" s="71"/>
      <c r="C1873" s="71"/>
      <c r="D1873" s="81"/>
      <c r="E1873" s="71"/>
      <c r="F1873" s="71"/>
      <c r="G1873" s="82" t="str">
        <f aca="false">IF(C1873="","",IFERROR(INDEX('Kit Lists'!$D$6:$D$605,MATCH(B1873&amp;"|"&amp;C1873,'Kit Lists'!$J$6:$J$605,0)),"Not on this contract's kit list"))</f>
        <v/>
      </c>
      <c r="H1873" s="83" t="str">
        <f aca="false">IF(AND(B1873="",C1873="",D1873=""),"",IF(B1873="","Missing contract",IF(C1873="","Missing code",IF(LEFT(G1873,3)="Not","Wrong code",IF(D1873="","Missing qty",IF(A1873="","Missing date",""))))))</f>
        <v/>
      </c>
      <c r="I1873" s="84" t="str">
        <f aca="false">IF(B1873=Dashboard!$D$3,ROW(),"")</f>
        <v/>
      </c>
    </row>
    <row r="1874" customFormat="false" ht="15" hidden="false" customHeight="false" outlineLevel="0" collapsed="false">
      <c r="A1874" s="80"/>
      <c r="B1874" s="71"/>
      <c r="C1874" s="71"/>
      <c r="D1874" s="81"/>
      <c r="E1874" s="71"/>
      <c r="F1874" s="71"/>
      <c r="G1874" s="82" t="str">
        <f aca="false">IF(C1874="","",IFERROR(INDEX('Kit Lists'!$D$6:$D$605,MATCH(B1874&amp;"|"&amp;C1874,'Kit Lists'!$J$6:$J$605,0)),"Not on this contract's kit list"))</f>
        <v/>
      </c>
      <c r="H1874" s="83" t="str">
        <f aca="false">IF(AND(B1874="",C1874="",D1874=""),"",IF(B1874="","Missing contract",IF(C1874="","Missing code",IF(LEFT(G1874,3)="Not","Wrong code",IF(D1874="","Missing qty",IF(A1874="","Missing date",""))))))</f>
        <v/>
      </c>
      <c r="I1874" s="84" t="str">
        <f aca="false">IF(B1874=Dashboard!$D$3,ROW(),"")</f>
        <v/>
      </c>
    </row>
    <row r="1875" customFormat="false" ht="15" hidden="false" customHeight="false" outlineLevel="0" collapsed="false">
      <c r="A1875" s="80"/>
      <c r="B1875" s="71"/>
      <c r="C1875" s="71"/>
      <c r="D1875" s="81"/>
      <c r="E1875" s="71"/>
      <c r="F1875" s="71"/>
      <c r="G1875" s="82" t="str">
        <f aca="false">IF(C1875="","",IFERROR(INDEX('Kit Lists'!$D$6:$D$605,MATCH(B1875&amp;"|"&amp;C1875,'Kit Lists'!$J$6:$J$605,0)),"Not on this contract's kit list"))</f>
        <v/>
      </c>
      <c r="H1875" s="83" t="str">
        <f aca="false">IF(AND(B1875="",C1875="",D1875=""),"",IF(B1875="","Missing contract",IF(C1875="","Missing code",IF(LEFT(G1875,3)="Not","Wrong code",IF(D1875="","Missing qty",IF(A1875="","Missing date",""))))))</f>
        <v/>
      </c>
      <c r="I1875" s="84" t="str">
        <f aca="false">IF(B1875=Dashboard!$D$3,ROW(),"")</f>
        <v/>
      </c>
    </row>
    <row r="1876" customFormat="false" ht="15" hidden="false" customHeight="false" outlineLevel="0" collapsed="false">
      <c r="A1876" s="80"/>
      <c r="B1876" s="71"/>
      <c r="C1876" s="71"/>
      <c r="D1876" s="81"/>
      <c r="E1876" s="71"/>
      <c r="F1876" s="71"/>
      <c r="G1876" s="82" t="str">
        <f aca="false">IF(C1876="","",IFERROR(INDEX('Kit Lists'!$D$6:$D$605,MATCH(B1876&amp;"|"&amp;C1876,'Kit Lists'!$J$6:$J$605,0)),"Not on this contract's kit list"))</f>
        <v/>
      </c>
      <c r="H1876" s="83" t="str">
        <f aca="false">IF(AND(B1876="",C1876="",D1876=""),"",IF(B1876="","Missing contract",IF(C1876="","Missing code",IF(LEFT(G1876,3)="Not","Wrong code",IF(D1876="","Missing qty",IF(A1876="","Missing date",""))))))</f>
        <v/>
      </c>
      <c r="I1876" s="84" t="str">
        <f aca="false">IF(B1876=Dashboard!$D$3,ROW(),"")</f>
        <v/>
      </c>
    </row>
    <row r="1877" customFormat="false" ht="15" hidden="false" customHeight="false" outlineLevel="0" collapsed="false">
      <c r="A1877" s="80"/>
      <c r="B1877" s="71"/>
      <c r="C1877" s="71"/>
      <c r="D1877" s="81"/>
      <c r="E1877" s="71"/>
      <c r="F1877" s="71"/>
      <c r="G1877" s="82" t="str">
        <f aca="false">IF(C1877="","",IFERROR(INDEX('Kit Lists'!$D$6:$D$605,MATCH(B1877&amp;"|"&amp;C1877,'Kit Lists'!$J$6:$J$605,0)),"Not on this contract's kit list"))</f>
        <v/>
      </c>
      <c r="H1877" s="83" t="str">
        <f aca="false">IF(AND(B1877="",C1877="",D1877=""),"",IF(B1877="","Missing contract",IF(C1877="","Missing code",IF(LEFT(G1877,3)="Not","Wrong code",IF(D1877="","Missing qty",IF(A1877="","Missing date",""))))))</f>
        <v/>
      </c>
      <c r="I1877" s="84" t="str">
        <f aca="false">IF(B1877=Dashboard!$D$3,ROW(),"")</f>
        <v/>
      </c>
    </row>
    <row r="1878" customFormat="false" ht="15" hidden="false" customHeight="false" outlineLevel="0" collapsed="false">
      <c r="A1878" s="80"/>
      <c r="B1878" s="71"/>
      <c r="C1878" s="71"/>
      <c r="D1878" s="81"/>
      <c r="E1878" s="71"/>
      <c r="F1878" s="71"/>
      <c r="G1878" s="82" t="str">
        <f aca="false">IF(C1878="","",IFERROR(INDEX('Kit Lists'!$D$6:$D$605,MATCH(B1878&amp;"|"&amp;C1878,'Kit Lists'!$J$6:$J$605,0)),"Not on this contract's kit list"))</f>
        <v/>
      </c>
      <c r="H1878" s="83" t="str">
        <f aca="false">IF(AND(B1878="",C1878="",D1878=""),"",IF(B1878="","Missing contract",IF(C1878="","Missing code",IF(LEFT(G1878,3)="Not","Wrong code",IF(D1878="","Missing qty",IF(A1878="","Missing date",""))))))</f>
        <v/>
      </c>
      <c r="I1878" s="84" t="str">
        <f aca="false">IF(B1878=Dashboard!$D$3,ROW(),"")</f>
        <v/>
      </c>
    </row>
    <row r="1879" customFormat="false" ht="15" hidden="false" customHeight="false" outlineLevel="0" collapsed="false">
      <c r="A1879" s="80"/>
      <c r="B1879" s="71"/>
      <c r="C1879" s="71"/>
      <c r="D1879" s="81"/>
      <c r="E1879" s="71"/>
      <c r="F1879" s="71"/>
      <c r="G1879" s="82" t="str">
        <f aca="false">IF(C1879="","",IFERROR(INDEX('Kit Lists'!$D$6:$D$605,MATCH(B1879&amp;"|"&amp;C1879,'Kit Lists'!$J$6:$J$605,0)),"Not on this contract's kit list"))</f>
        <v/>
      </c>
      <c r="H1879" s="83" t="str">
        <f aca="false">IF(AND(B1879="",C1879="",D1879=""),"",IF(B1879="","Missing contract",IF(C1879="","Missing code",IF(LEFT(G1879,3)="Not","Wrong code",IF(D1879="","Missing qty",IF(A1879="","Missing date",""))))))</f>
        <v/>
      </c>
      <c r="I1879" s="84" t="str">
        <f aca="false">IF(B1879=Dashboard!$D$3,ROW(),"")</f>
        <v/>
      </c>
    </row>
    <row r="1880" customFormat="false" ht="15" hidden="false" customHeight="false" outlineLevel="0" collapsed="false">
      <c r="A1880" s="80"/>
      <c r="B1880" s="71"/>
      <c r="C1880" s="71"/>
      <c r="D1880" s="81"/>
      <c r="E1880" s="71"/>
      <c r="F1880" s="71"/>
      <c r="G1880" s="82" t="str">
        <f aca="false">IF(C1880="","",IFERROR(INDEX('Kit Lists'!$D$6:$D$605,MATCH(B1880&amp;"|"&amp;C1880,'Kit Lists'!$J$6:$J$605,0)),"Not on this contract's kit list"))</f>
        <v/>
      </c>
      <c r="H1880" s="83" t="str">
        <f aca="false">IF(AND(B1880="",C1880="",D1880=""),"",IF(B1880="","Missing contract",IF(C1880="","Missing code",IF(LEFT(G1880,3)="Not","Wrong code",IF(D1880="","Missing qty",IF(A1880="","Missing date",""))))))</f>
        <v/>
      </c>
      <c r="I1880" s="84" t="str">
        <f aca="false">IF(B1880=Dashboard!$D$3,ROW(),"")</f>
        <v/>
      </c>
    </row>
    <row r="1881" customFormat="false" ht="15" hidden="false" customHeight="false" outlineLevel="0" collapsed="false">
      <c r="A1881" s="80"/>
      <c r="B1881" s="71"/>
      <c r="C1881" s="71"/>
      <c r="D1881" s="81"/>
      <c r="E1881" s="71"/>
      <c r="F1881" s="71"/>
      <c r="G1881" s="82" t="str">
        <f aca="false">IF(C1881="","",IFERROR(INDEX('Kit Lists'!$D$6:$D$605,MATCH(B1881&amp;"|"&amp;C1881,'Kit Lists'!$J$6:$J$605,0)),"Not on this contract's kit list"))</f>
        <v/>
      </c>
      <c r="H1881" s="83" t="str">
        <f aca="false">IF(AND(B1881="",C1881="",D1881=""),"",IF(B1881="","Missing contract",IF(C1881="","Missing code",IF(LEFT(G1881,3)="Not","Wrong code",IF(D1881="","Missing qty",IF(A1881="","Missing date",""))))))</f>
        <v/>
      </c>
      <c r="I1881" s="84" t="str">
        <f aca="false">IF(B1881=Dashboard!$D$3,ROW(),"")</f>
        <v/>
      </c>
    </row>
    <row r="1882" customFormat="false" ht="15" hidden="false" customHeight="false" outlineLevel="0" collapsed="false">
      <c r="A1882" s="80"/>
      <c r="B1882" s="71"/>
      <c r="C1882" s="71"/>
      <c r="D1882" s="81"/>
      <c r="E1882" s="71"/>
      <c r="F1882" s="71"/>
      <c r="G1882" s="82" t="str">
        <f aca="false">IF(C1882="","",IFERROR(INDEX('Kit Lists'!$D$6:$D$605,MATCH(B1882&amp;"|"&amp;C1882,'Kit Lists'!$J$6:$J$605,0)),"Not on this contract's kit list"))</f>
        <v/>
      </c>
      <c r="H1882" s="83" t="str">
        <f aca="false">IF(AND(B1882="",C1882="",D1882=""),"",IF(B1882="","Missing contract",IF(C1882="","Missing code",IF(LEFT(G1882,3)="Not","Wrong code",IF(D1882="","Missing qty",IF(A1882="","Missing date",""))))))</f>
        <v/>
      </c>
      <c r="I1882" s="84" t="str">
        <f aca="false">IF(B1882=Dashboard!$D$3,ROW(),"")</f>
        <v/>
      </c>
    </row>
    <row r="1883" customFormat="false" ht="15" hidden="false" customHeight="false" outlineLevel="0" collapsed="false">
      <c r="A1883" s="80"/>
      <c r="B1883" s="71"/>
      <c r="C1883" s="71"/>
      <c r="D1883" s="81"/>
      <c r="E1883" s="71"/>
      <c r="F1883" s="71"/>
      <c r="G1883" s="82" t="str">
        <f aca="false">IF(C1883="","",IFERROR(INDEX('Kit Lists'!$D$6:$D$605,MATCH(B1883&amp;"|"&amp;C1883,'Kit Lists'!$J$6:$J$605,0)),"Not on this contract's kit list"))</f>
        <v/>
      </c>
      <c r="H1883" s="83" t="str">
        <f aca="false">IF(AND(B1883="",C1883="",D1883=""),"",IF(B1883="","Missing contract",IF(C1883="","Missing code",IF(LEFT(G1883,3)="Not","Wrong code",IF(D1883="","Missing qty",IF(A1883="","Missing date",""))))))</f>
        <v/>
      </c>
      <c r="I1883" s="84" t="str">
        <f aca="false">IF(B1883=Dashboard!$D$3,ROW(),"")</f>
        <v/>
      </c>
    </row>
    <row r="1884" customFormat="false" ht="15" hidden="false" customHeight="false" outlineLevel="0" collapsed="false">
      <c r="A1884" s="80"/>
      <c r="B1884" s="71"/>
      <c r="C1884" s="71"/>
      <c r="D1884" s="81"/>
      <c r="E1884" s="71"/>
      <c r="F1884" s="71"/>
      <c r="G1884" s="82" t="str">
        <f aca="false">IF(C1884="","",IFERROR(INDEX('Kit Lists'!$D$6:$D$605,MATCH(B1884&amp;"|"&amp;C1884,'Kit Lists'!$J$6:$J$605,0)),"Not on this contract's kit list"))</f>
        <v/>
      </c>
      <c r="H1884" s="83" t="str">
        <f aca="false">IF(AND(B1884="",C1884="",D1884=""),"",IF(B1884="","Missing contract",IF(C1884="","Missing code",IF(LEFT(G1884,3)="Not","Wrong code",IF(D1884="","Missing qty",IF(A1884="","Missing date",""))))))</f>
        <v/>
      </c>
      <c r="I1884" s="84" t="str">
        <f aca="false">IF(B1884=Dashboard!$D$3,ROW(),"")</f>
        <v/>
      </c>
    </row>
    <row r="1885" customFormat="false" ht="15" hidden="false" customHeight="false" outlineLevel="0" collapsed="false">
      <c r="A1885" s="80"/>
      <c r="B1885" s="71"/>
      <c r="C1885" s="71"/>
      <c r="D1885" s="81"/>
      <c r="E1885" s="71"/>
      <c r="F1885" s="71"/>
      <c r="G1885" s="82" t="str">
        <f aca="false">IF(C1885="","",IFERROR(INDEX('Kit Lists'!$D$6:$D$605,MATCH(B1885&amp;"|"&amp;C1885,'Kit Lists'!$J$6:$J$605,0)),"Not on this contract's kit list"))</f>
        <v/>
      </c>
      <c r="H1885" s="83" t="str">
        <f aca="false">IF(AND(B1885="",C1885="",D1885=""),"",IF(B1885="","Missing contract",IF(C1885="","Missing code",IF(LEFT(G1885,3)="Not","Wrong code",IF(D1885="","Missing qty",IF(A1885="","Missing date",""))))))</f>
        <v/>
      </c>
      <c r="I1885" s="84" t="str">
        <f aca="false">IF(B1885=Dashboard!$D$3,ROW(),"")</f>
        <v/>
      </c>
    </row>
    <row r="1886" customFormat="false" ht="15" hidden="false" customHeight="false" outlineLevel="0" collapsed="false">
      <c r="A1886" s="80"/>
      <c r="B1886" s="71"/>
      <c r="C1886" s="71"/>
      <c r="D1886" s="81"/>
      <c r="E1886" s="71"/>
      <c r="F1886" s="71"/>
      <c r="G1886" s="82" t="str">
        <f aca="false">IF(C1886="","",IFERROR(INDEX('Kit Lists'!$D$6:$D$605,MATCH(B1886&amp;"|"&amp;C1886,'Kit Lists'!$J$6:$J$605,0)),"Not on this contract's kit list"))</f>
        <v/>
      </c>
      <c r="H1886" s="83" t="str">
        <f aca="false">IF(AND(B1886="",C1886="",D1886=""),"",IF(B1886="","Missing contract",IF(C1886="","Missing code",IF(LEFT(G1886,3)="Not","Wrong code",IF(D1886="","Missing qty",IF(A1886="","Missing date",""))))))</f>
        <v/>
      </c>
      <c r="I1886" s="84" t="str">
        <f aca="false">IF(B1886=Dashboard!$D$3,ROW(),"")</f>
        <v/>
      </c>
    </row>
    <row r="1887" customFormat="false" ht="15" hidden="false" customHeight="false" outlineLevel="0" collapsed="false">
      <c r="A1887" s="80"/>
      <c r="B1887" s="71"/>
      <c r="C1887" s="71"/>
      <c r="D1887" s="81"/>
      <c r="E1887" s="71"/>
      <c r="F1887" s="71"/>
      <c r="G1887" s="82" t="str">
        <f aca="false">IF(C1887="","",IFERROR(INDEX('Kit Lists'!$D$6:$D$605,MATCH(B1887&amp;"|"&amp;C1887,'Kit Lists'!$J$6:$J$605,0)),"Not on this contract's kit list"))</f>
        <v/>
      </c>
      <c r="H1887" s="83" t="str">
        <f aca="false">IF(AND(B1887="",C1887="",D1887=""),"",IF(B1887="","Missing contract",IF(C1887="","Missing code",IF(LEFT(G1887,3)="Not","Wrong code",IF(D1887="","Missing qty",IF(A1887="","Missing date",""))))))</f>
        <v/>
      </c>
      <c r="I1887" s="84" t="str">
        <f aca="false">IF(B1887=Dashboard!$D$3,ROW(),"")</f>
        <v/>
      </c>
    </row>
    <row r="1888" customFormat="false" ht="15" hidden="false" customHeight="false" outlineLevel="0" collapsed="false">
      <c r="A1888" s="80"/>
      <c r="B1888" s="71"/>
      <c r="C1888" s="71"/>
      <c r="D1888" s="81"/>
      <c r="E1888" s="71"/>
      <c r="F1888" s="71"/>
      <c r="G1888" s="82" t="str">
        <f aca="false">IF(C1888="","",IFERROR(INDEX('Kit Lists'!$D$6:$D$605,MATCH(B1888&amp;"|"&amp;C1888,'Kit Lists'!$J$6:$J$605,0)),"Not on this contract's kit list"))</f>
        <v/>
      </c>
      <c r="H1888" s="83" t="str">
        <f aca="false">IF(AND(B1888="",C1888="",D1888=""),"",IF(B1888="","Missing contract",IF(C1888="","Missing code",IF(LEFT(G1888,3)="Not","Wrong code",IF(D1888="","Missing qty",IF(A1888="","Missing date",""))))))</f>
        <v/>
      </c>
      <c r="I1888" s="84" t="str">
        <f aca="false">IF(B1888=Dashboard!$D$3,ROW(),"")</f>
        <v/>
      </c>
    </row>
    <row r="1889" customFormat="false" ht="15" hidden="false" customHeight="false" outlineLevel="0" collapsed="false">
      <c r="A1889" s="80"/>
      <c r="B1889" s="71"/>
      <c r="C1889" s="71"/>
      <c r="D1889" s="81"/>
      <c r="E1889" s="71"/>
      <c r="F1889" s="71"/>
      <c r="G1889" s="82" t="str">
        <f aca="false">IF(C1889="","",IFERROR(INDEX('Kit Lists'!$D$6:$D$605,MATCH(B1889&amp;"|"&amp;C1889,'Kit Lists'!$J$6:$J$605,0)),"Not on this contract's kit list"))</f>
        <v/>
      </c>
      <c r="H1889" s="83" t="str">
        <f aca="false">IF(AND(B1889="",C1889="",D1889=""),"",IF(B1889="","Missing contract",IF(C1889="","Missing code",IF(LEFT(G1889,3)="Not","Wrong code",IF(D1889="","Missing qty",IF(A1889="","Missing date",""))))))</f>
        <v/>
      </c>
      <c r="I1889" s="84" t="str">
        <f aca="false">IF(B1889=Dashboard!$D$3,ROW(),"")</f>
        <v/>
      </c>
    </row>
    <row r="1890" customFormat="false" ht="15" hidden="false" customHeight="false" outlineLevel="0" collapsed="false">
      <c r="A1890" s="80"/>
      <c r="B1890" s="71"/>
      <c r="C1890" s="71"/>
      <c r="D1890" s="81"/>
      <c r="E1890" s="71"/>
      <c r="F1890" s="71"/>
      <c r="G1890" s="82" t="str">
        <f aca="false">IF(C1890="","",IFERROR(INDEX('Kit Lists'!$D$6:$D$605,MATCH(B1890&amp;"|"&amp;C1890,'Kit Lists'!$J$6:$J$605,0)),"Not on this contract's kit list"))</f>
        <v/>
      </c>
      <c r="H1890" s="83" t="str">
        <f aca="false">IF(AND(B1890="",C1890="",D1890=""),"",IF(B1890="","Missing contract",IF(C1890="","Missing code",IF(LEFT(G1890,3)="Not","Wrong code",IF(D1890="","Missing qty",IF(A1890="","Missing date",""))))))</f>
        <v/>
      </c>
      <c r="I1890" s="84" t="str">
        <f aca="false">IF(B1890=Dashboard!$D$3,ROW(),"")</f>
        <v/>
      </c>
    </row>
    <row r="1891" customFormat="false" ht="15" hidden="false" customHeight="false" outlineLevel="0" collapsed="false">
      <c r="A1891" s="80"/>
      <c r="B1891" s="71"/>
      <c r="C1891" s="71"/>
      <c r="D1891" s="81"/>
      <c r="E1891" s="71"/>
      <c r="F1891" s="71"/>
      <c r="G1891" s="82" t="str">
        <f aca="false">IF(C1891="","",IFERROR(INDEX('Kit Lists'!$D$6:$D$605,MATCH(B1891&amp;"|"&amp;C1891,'Kit Lists'!$J$6:$J$605,0)),"Not on this contract's kit list"))</f>
        <v/>
      </c>
      <c r="H1891" s="83" t="str">
        <f aca="false">IF(AND(B1891="",C1891="",D1891=""),"",IF(B1891="","Missing contract",IF(C1891="","Missing code",IF(LEFT(G1891,3)="Not","Wrong code",IF(D1891="","Missing qty",IF(A1891="","Missing date",""))))))</f>
        <v/>
      </c>
      <c r="I1891" s="84" t="str">
        <f aca="false">IF(B1891=Dashboard!$D$3,ROW(),"")</f>
        <v/>
      </c>
    </row>
    <row r="1892" customFormat="false" ht="15" hidden="false" customHeight="false" outlineLevel="0" collapsed="false">
      <c r="A1892" s="80"/>
      <c r="B1892" s="71"/>
      <c r="C1892" s="71"/>
      <c r="D1892" s="81"/>
      <c r="E1892" s="71"/>
      <c r="F1892" s="71"/>
      <c r="G1892" s="82" t="str">
        <f aca="false">IF(C1892="","",IFERROR(INDEX('Kit Lists'!$D$6:$D$605,MATCH(B1892&amp;"|"&amp;C1892,'Kit Lists'!$J$6:$J$605,0)),"Not on this contract's kit list"))</f>
        <v/>
      </c>
      <c r="H1892" s="83" t="str">
        <f aca="false">IF(AND(B1892="",C1892="",D1892=""),"",IF(B1892="","Missing contract",IF(C1892="","Missing code",IF(LEFT(G1892,3)="Not","Wrong code",IF(D1892="","Missing qty",IF(A1892="","Missing date",""))))))</f>
        <v/>
      </c>
      <c r="I1892" s="84" t="str">
        <f aca="false">IF(B1892=Dashboard!$D$3,ROW(),"")</f>
        <v/>
      </c>
    </row>
    <row r="1893" customFormat="false" ht="15" hidden="false" customHeight="false" outlineLevel="0" collapsed="false">
      <c r="A1893" s="80"/>
      <c r="B1893" s="71"/>
      <c r="C1893" s="71"/>
      <c r="D1893" s="81"/>
      <c r="E1893" s="71"/>
      <c r="F1893" s="71"/>
      <c r="G1893" s="82" t="str">
        <f aca="false">IF(C1893="","",IFERROR(INDEX('Kit Lists'!$D$6:$D$605,MATCH(B1893&amp;"|"&amp;C1893,'Kit Lists'!$J$6:$J$605,0)),"Not on this contract's kit list"))</f>
        <v/>
      </c>
      <c r="H1893" s="83" t="str">
        <f aca="false">IF(AND(B1893="",C1893="",D1893=""),"",IF(B1893="","Missing contract",IF(C1893="","Missing code",IF(LEFT(G1893,3)="Not","Wrong code",IF(D1893="","Missing qty",IF(A1893="","Missing date",""))))))</f>
        <v/>
      </c>
      <c r="I1893" s="84" t="str">
        <f aca="false">IF(B1893=Dashboard!$D$3,ROW(),"")</f>
        <v/>
      </c>
    </row>
    <row r="1894" customFormat="false" ht="15" hidden="false" customHeight="false" outlineLevel="0" collapsed="false">
      <c r="A1894" s="80"/>
      <c r="B1894" s="71"/>
      <c r="C1894" s="71"/>
      <c r="D1894" s="81"/>
      <c r="E1894" s="71"/>
      <c r="F1894" s="71"/>
      <c r="G1894" s="82" t="str">
        <f aca="false">IF(C1894="","",IFERROR(INDEX('Kit Lists'!$D$6:$D$605,MATCH(B1894&amp;"|"&amp;C1894,'Kit Lists'!$J$6:$J$605,0)),"Not on this contract's kit list"))</f>
        <v/>
      </c>
      <c r="H1894" s="83" t="str">
        <f aca="false">IF(AND(B1894="",C1894="",D1894=""),"",IF(B1894="","Missing contract",IF(C1894="","Missing code",IF(LEFT(G1894,3)="Not","Wrong code",IF(D1894="","Missing qty",IF(A1894="","Missing date",""))))))</f>
        <v/>
      </c>
      <c r="I1894" s="84" t="str">
        <f aca="false">IF(B1894=Dashboard!$D$3,ROW(),"")</f>
        <v/>
      </c>
    </row>
    <row r="1895" customFormat="false" ht="15" hidden="false" customHeight="false" outlineLevel="0" collapsed="false">
      <c r="A1895" s="80"/>
      <c r="B1895" s="71"/>
      <c r="C1895" s="71"/>
      <c r="D1895" s="81"/>
      <c r="E1895" s="71"/>
      <c r="F1895" s="71"/>
      <c r="G1895" s="82" t="str">
        <f aca="false">IF(C1895="","",IFERROR(INDEX('Kit Lists'!$D$6:$D$605,MATCH(B1895&amp;"|"&amp;C1895,'Kit Lists'!$J$6:$J$605,0)),"Not on this contract's kit list"))</f>
        <v/>
      </c>
      <c r="H1895" s="83" t="str">
        <f aca="false">IF(AND(B1895="",C1895="",D1895=""),"",IF(B1895="","Missing contract",IF(C1895="","Missing code",IF(LEFT(G1895,3)="Not","Wrong code",IF(D1895="","Missing qty",IF(A1895="","Missing date",""))))))</f>
        <v/>
      </c>
      <c r="I1895" s="84" t="str">
        <f aca="false">IF(B1895=Dashboard!$D$3,ROW(),"")</f>
        <v/>
      </c>
    </row>
    <row r="1896" customFormat="false" ht="15" hidden="false" customHeight="false" outlineLevel="0" collapsed="false">
      <c r="A1896" s="80"/>
      <c r="B1896" s="71"/>
      <c r="C1896" s="71"/>
      <c r="D1896" s="81"/>
      <c r="E1896" s="71"/>
      <c r="F1896" s="71"/>
      <c r="G1896" s="82" t="str">
        <f aca="false">IF(C1896="","",IFERROR(INDEX('Kit Lists'!$D$6:$D$605,MATCH(B1896&amp;"|"&amp;C1896,'Kit Lists'!$J$6:$J$605,0)),"Not on this contract's kit list"))</f>
        <v/>
      </c>
      <c r="H1896" s="83" t="str">
        <f aca="false">IF(AND(B1896="",C1896="",D1896=""),"",IF(B1896="","Missing contract",IF(C1896="","Missing code",IF(LEFT(G1896,3)="Not","Wrong code",IF(D1896="","Missing qty",IF(A1896="","Missing date",""))))))</f>
        <v/>
      </c>
      <c r="I1896" s="84" t="str">
        <f aca="false">IF(B1896=Dashboard!$D$3,ROW(),"")</f>
        <v/>
      </c>
    </row>
    <row r="1897" customFormat="false" ht="15" hidden="false" customHeight="false" outlineLevel="0" collapsed="false">
      <c r="A1897" s="80"/>
      <c r="B1897" s="71"/>
      <c r="C1897" s="71"/>
      <c r="D1897" s="81"/>
      <c r="E1897" s="71"/>
      <c r="F1897" s="71"/>
      <c r="G1897" s="82" t="str">
        <f aca="false">IF(C1897="","",IFERROR(INDEX('Kit Lists'!$D$6:$D$605,MATCH(B1897&amp;"|"&amp;C1897,'Kit Lists'!$J$6:$J$605,0)),"Not on this contract's kit list"))</f>
        <v/>
      </c>
      <c r="H1897" s="83" t="str">
        <f aca="false">IF(AND(B1897="",C1897="",D1897=""),"",IF(B1897="","Missing contract",IF(C1897="","Missing code",IF(LEFT(G1897,3)="Not","Wrong code",IF(D1897="","Missing qty",IF(A1897="","Missing date",""))))))</f>
        <v/>
      </c>
      <c r="I1897" s="84" t="str">
        <f aca="false">IF(B1897=Dashboard!$D$3,ROW(),"")</f>
        <v/>
      </c>
    </row>
    <row r="1898" customFormat="false" ht="15" hidden="false" customHeight="false" outlineLevel="0" collapsed="false">
      <c r="A1898" s="80"/>
      <c r="B1898" s="71"/>
      <c r="C1898" s="71"/>
      <c r="D1898" s="81"/>
      <c r="E1898" s="71"/>
      <c r="F1898" s="71"/>
      <c r="G1898" s="82" t="str">
        <f aca="false">IF(C1898="","",IFERROR(INDEX('Kit Lists'!$D$6:$D$605,MATCH(B1898&amp;"|"&amp;C1898,'Kit Lists'!$J$6:$J$605,0)),"Not on this contract's kit list"))</f>
        <v/>
      </c>
      <c r="H1898" s="83" t="str">
        <f aca="false">IF(AND(B1898="",C1898="",D1898=""),"",IF(B1898="","Missing contract",IF(C1898="","Missing code",IF(LEFT(G1898,3)="Not","Wrong code",IF(D1898="","Missing qty",IF(A1898="","Missing date",""))))))</f>
        <v/>
      </c>
      <c r="I1898" s="84" t="str">
        <f aca="false">IF(B1898=Dashboard!$D$3,ROW(),"")</f>
        <v/>
      </c>
    </row>
    <row r="1899" customFormat="false" ht="15" hidden="false" customHeight="false" outlineLevel="0" collapsed="false">
      <c r="A1899" s="80"/>
      <c r="B1899" s="71"/>
      <c r="C1899" s="71"/>
      <c r="D1899" s="81"/>
      <c r="E1899" s="71"/>
      <c r="F1899" s="71"/>
      <c r="G1899" s="82" t="str">
        <f aca="false">IF(C1899="","",IFERROR(INDEX('Kit Lists'!$D$6:$D$605,MATCH(B1899&amp;"|"&amp;C1899,'Kit Lists'!$J$6:$J$605,0)),"Not on this contract's kit list"))</f>
        <v/>
      </c>
      <c r="H1899" s="83" t="str">
        <f aca="false">IF(AND(B1899="",C1899="",D1899=""),"",IF(B1899="","Missing contract",IF(C1899="","Missing code",IF(LEFT(G1899,3)="Not","Wrong code",IF(D1899="","Missing qty",IF(A1899="","Missing date",""))))))</f>
        <v/>
      </c>
      <c r="I1899" s="84" t="str">
        <f aca="false">IF(B1899=Dashboard!$D$3,ROW(),"")</f>
        <v/>
      </c>
    </row>
    <row r="1900" customFormat="false" ht="15" hidden="false" customHeight="false" outlineLevel="0" collapsed="false">
      <c r="A1900" s="80"/>
      <c r="B1900" s="71"/>
      <c r="C1900" s="71"/>
      <c r="D1900" s="81"/>
      <c r="E1900" s="71"/>
      <c r="F1900" s="71"/>
      <c r="G1900" s="82" t="str">
        <f aca="false">IF(C1900="","",IFERROR(INDEX('Kit Lists'!$D$6:$D$605,MATCH(B1900&amp;"|"&amp;C1900,'Kit Lists'!$J$6:$J$605,0)),"Not on this contract's kit list"))</f>
        <v/>
      </c>
      <c r="H1900" s="83" t="str">
        <f aca="false">IF(AND(B1900="",C1900="",D1900=""),"",IF(B1900="","Missing contract",IF(C1900="","Missing code",IF(LEFT(G1900,3)="Not","Wrong code",IF(D1900="","Missing qty",IF(A1900="","Missing date",""))))))</f>
        <v/>
      </c>
      <c r="I1900" s="84" t="str">
        <f aca="false">IF(B1900=Dashboard!$D$3,ROW(),"")</f>
        <v/>
      </c>
    </row>
    <row r="1901" customFormat="false" ht="15" hidden="false" customHeight="false" outlineLevel="0" collapsed="false">
      <c r="A1901" s="80"/>
      <c r="B1901" s="71"/>
      <c r="C1901" s="71"/>
      <c r="D1901" s="81"/>
      <c r="E1901" s="71"/>
      <c r="F1901" s="71"/>
      <c r="G1901" s="82" t="str">
        <f aca="false">IF(C1901="","",IFERROR(INDEX('Kit Lists'!$D$6:$D$605,MATCH(B1901&amp;"|"&amp;C1901,'Kit Lists'!$J$6:$J$605,0)),"Not on this contract's kit list"))</f>
        <v/>
      </c>
      <c r="H1901" s="83" t="str">
        <f aca="false">IF(AND(B1901="",C1901="",D1901=""),"",IF(B1901="","Missing contract",IF(C1901="","Missing code",IF(LEFT(G1901,3)="Not","Wrong code",IF(D1901="","Missing qty",IF(A1901="","Missing date",""))))))</f>
        <v/>
      </c>
      <c r="I1901" s="84" t="str">
        <f aca="false">IF(B1901=Dashboard!$D$3,ROW(),"")</f>
        <v/>
      </c>
    </row>
    <row r="1902" customFormat="false" ht="15" hidden="false" customHeight="false" outlineLevel="0" collapsed="false">
      <c r="A1902" s="80"/>
      <c r="B1902" s="71"/>
      <c r="C1902" s="71"/>
      <c r="D1902" s="81"/>
      <c r="E1902" s="71"/>
      <c r="F1902" s="71"/>
      <c r="G1902" s="82" t="str">
        <f aca="false">IF(C1902="","",IFERROR(INDEX('Kit Lists'!$D$6:$D$605,MATCH(B1902&amp;"|"&amp;C1902,'Kit Lists'!$J$6:$J$605,0)),"Not on this contract's kit list"))</f>
        <v/>
      </c>
      <c r="H1902" s="83" t="str">
        <f aca="false">IF(AND(B1902="",C1902="",D1902=""),"",IF(B1902="","Missing contract",IF(C1902="","Missing code",IF(LEFT(G1902,3)="Not","Wrong code",IF(D1902="","Missing qty",IF(A1902="","Missing date",""))))))</f>
        <v/>
      </c>
      <c r="I1902" s="84" t="str">
        <f aca="false">IF(B1902=Dashboard!$D$3,ROW(),"")</f>
        <v/>
      </c>
    </row>
    <row r="1903" customFormat="false" ht="15" hidden="false" customHeight="false" outlineLevel="0" collapsed="false">
      <c r="A1903" s="80"/>
      <c r="B1903" s="71"/>
      <c r="C1903" s="71"/>
      <c r="D1903" s="81"/>
      <c r="E1903" s="71"/>
      <c r="F1903" s="71"/>
      <c r="G1903" s="82" t="str">
        <f aca="false">IF(C1903="","",IFERROR(INDEX('Kit Lists'!$D$6:$D$605,MATCH(B1903&amp;"|"&amp;C1903,'Kit Lists'!$J$6:$J$605,0)),"Not on this contract's kit list"))</f>
        <v/>
      </c>
      <c r="H1903" s="83" t="str">
        <f aca="false">IF(AND(B1903="",C1903="",D1903=""),"",IF(B1903="","Missing contract",IF(C1903="","Missing code",IF(LEFT(G1903,3)="Not","Wrong code",IF(D1903="","Missing qty",IF(A1903="","Missing date",""))))))</f>
        <v/>
      </c>
      <c r="I1903" s="84" t="str">
        <f aca="false">IF(B1903=Dashboard!$D$3,ROW(),"")</f>
        <v/>
      </c>
    </row>
    <row r="1904" customFormat="false" ht="15" hidden="false" customHeight="false" outlineLevel="0" collapsed="false">
      <c r="A1904" s="80"/>
      <c r="B1904" s="71"/>
      <c r="C1904" s="71"/>
      <c r="D1904" s="81"/>
      <c r="E1904" s="71"/>
      <c r="F1904" s="71"/>
      <c r="G1904" s="82" t="str">
        <f aca="false">IF(C1904="","",IFERROR(INDEX('Kit Lists'!$D$6:$D$605,MATCH(B1904&amp;"|"&amp;C1904,'Kit Lists'!$J$6:$J$605,0)),"Not on this contract's kit list"))</f>
        <v/>
      </c>
      <c r="H1904" s="83" t="str">
        <f aca="false">IF(AND(B1904="",C1904="",D1904=""),"",IF(B1904="","Missing contract",IF(C1904="","Missing code",IF(LEFT(G1904,3)="Not","Wrong code",IF(D1904="","Missing qty",IF(A1904="","Missing date",""))))))</f>
        <v/>
      </c>
      <c r="I1904" s="84" t="str">
        <f aca="false">IF(B1904=Dashboard!$D$3,ROW(),"")</f>
        <v/>
      </c>
    </row>
    <row r="1905" customFormat="false" ht="15" hidden="false" customHeight="false" outlineLevel="0" collapsed="false">
      <c r="A1905" s="80"/>
      <c r="B1905" s="71"/>
      <c r="C1905" s="71"/>
      <c r="D1905" s="81"/>
      <c r="E1905" s="71"/>
      <c r="F1905" s="71"/>
      <c r="G1905" s="82" t="str">
        <f aca="false">IF(C1905="","",IFERROR(INDEX('Kit Lists'!$D$6:$D$605,MATCH(B1905&amp;"|"&amp;C1905,'Kit Lists'!$J$6:$J$605,0)),"Not on this contract's kit list"))</f>
        <v/>
      </c>
      <c r="H1905" s="83" t="str">
        <f aca="false">IF(AND(B1905="",C1905="",D1905=""),"",IF(B1905="","Missing contract",IF(C1905="","Missing code",IF(LEFT(G1905,3)="Not","Wrong code",IF(D1905="","Missing qty",IF(A1905="","Missing date",""))))))</f>
        <v/>
      </c>
      <c r="I1905" s="84" t="str">
        <f aca="false">IF(B1905=Dashboard!$D$3,ROW(),"")</f>
        <v/>
      </c>
    </row>
    <row r="1906" customFormat="false" ht="15" hidden="false" customHeight="false" outlineLevel="0" collapsed="false">
      <c r="A1906" s="80"/>
      <c r="B1906" s="71"/>
      <c r="C1906" s="71"/>
      <c r="D1906" s="81"/>
      <c r="E1906" s="71"/>
      <c r="F1906" s="71"/>
      <c r="G1906" s="82" t="str">
        <f aca="false">IF(C1906="","",IFERROR(INDEX('Kit Lists'!$D$6:$D$605,MATCH(B1906&amp;"|"&amp;C1906,'Kit Lists'!$J$6:$J$605,0)),"Not on this contract's kit list"))</f>
        <v/>
      </c>
      <c r="H1906" s="83" t="str">
        <f aca="false">IF(AND(B1906="",C1906="",D1906=""),"",IF(B1906="","Missing contract",IF(C1906="","Missing code",IF(LEFT(G1906,3)="Not","Wrong code",IF(D1906="","Missing qty",IF(A1906="","Missing date",""))))))</f>
        <v/>
      </c>
      <c r="I1906" s="84" t="str">
        <f aca="false">IF(B1906=Dashboard!$D$3,ROW(),"")</f>
        <v/>
      </c>
    </row>
    <row r="1907" customFormat="false" ht="15" hidden="false" customHeight="false" outlineLevel="0" collapsed="false">
      <c r="A1907" s="80"/>
      <c r="B1907" s="71"/>
      <c r="C1907" s="71"/>
      <c r="D1907" s="81"/>
      <c r="E1907" s="71"/>
      <c r="F1907" s="71"/>
      <c r="G1907" s="82" t="str">
        <f aca="false">IF(C1907="","",IFERROR(INDEX('Kit Lists'!$D$6:$D$605,MATCH(B1907&amp;"|"&amp;C1907,'Kit Lists'!$J$6:$J$605,0)),"Not on this contract's kit list"))</f>
        <v/>
      </c>
      <c r="H1907" s="83" t="str">
        <f aca="false">IF(AND(B1907="",C1907="",D1907=""),"",IF(B1907="","Missing contract",IF(C1907="","Missing code",IF(LEFT(G1907,3)="Not","Wrong code",IF(D1907="","Missing qty",IF(A1907="","Missing date",""))))))</f>
        <v/>
      </c>
      <c r="I1907" s="84" t="str">
        <f aca="false">IF(B1907=Dashboard!$D$3,ROW(),"")</f>
        <v/>
      </c>
    </row>
    <row r="1908" customFormat="false" ht="15" hidden="false" customHeight="false" outlineLevel="0" collapsed="false">
      <c r="A1908" s="80"/>
      <c r="B1908" s="71"/>
      <c r="C1908" s="71"/>
      <c r="D1908" s="81"/>
      <c r="E1908" s="71"/>
      <c r="F1908" s="71"/>
      <c r="G1908" s="82" t="str">
        <f aca="false">IF(C1908="","",IFERROR(INDEX('Kit Lists'!$D$6:$D$605,MATCH(B1908&amp;"|"&amp;C1908,'Kit Lists'!$J$6:$J$605,0)),"Not on this contract's kit list"))</f>
        <v/>
      </c>
      <c r="H1908" s="83" t="str">
        <f aca="false">IF(AND(B1908="",C1908="",D1908=""),"",IF(B1908="","Missing contract",IF(C1908="","Missing code",IF(LEFT(G1908,3)="Not","Wrong code",IF(D1908="","Missing qty",IF(A1908="","Missing date",""))))))</f>
        <v/>
      </c>
      <c r="I1908" s="84" t="str">
        <f aca="false">IF(B1908=Dashboard!$D$3,ROW(),"")</f>
        <v/>
      </c>
    </row>
    <row r="1909" customFormat="false" ht="15" hidden="false" customHeight="false" outlineLevel="0" collapsed="false">
      <c r="A1909" s="80"/>
      <c r="B1909" s="71"/>
      <c r="C1909" s="71"/>
      <c r="D1909" s="81"/>
      <c r="E1909" s="71"/>
      <c r="F1909" s="71"/>
      <c r="G1909" s="82" t="str">
        <f aca="false">IF(C1909="","",IFERROR(INDEX('Kit Lists'!$D$6:$D$605,MATCH(B1909&amp;"|"&amp;C1909,'Kit Lists'!$J$6:$J$605,0)),"Not on this contract's kit list"))</f>
        <v/>
      </c>
      <c r="H1909" s="83" t="str">
        <f aca="false">IF(AND(B1909="",C1909="",D1909=""),"",IF(B1909="","Missing contract",IF(C1909="","Missing code",IF(LEFT(G1909,3)="Not","Wrong code",IF(D1909="","Missing qty",IF(A1909="","Missing date",""))))))</f>
        <v/>
      </c>
      <c r="I1909" s="84" t="str">
        <f aca="false">IF(B1909=Dashboard!$D$3,ROW(),"")</f>
        <v/>
      </c>
    </row>
    <row r="1910" customFormat="false" ht="15" hidden="false" customHeight="false" outlineLevel="0" collapsed="false">
      <c r="A1910" s="80"/>
      <c r="B1910" s="71"/>
      <c r="C1910" s="71"/>
      <c r="D1910" s="81"/>
      <c r="E1910" s="71"/>
      <c r="F1910" s="71"/>
      <c r="G1910" s="82" t="str">
        <f aca="false">IF(C1910="","",IFERROR(INDEX('Kit Lists'!$D$6:$D$605,MATCH(B1910&amp;"|"&amp;C1910,'Kit Lists'!$J$6:$J$605,0)),"Not on this contract's kit list"))</f>
        <v/>
      </c>
      <c r="H1910" s="83" t="str">
        <f aca="false">IF(AND(B1910="",C1910="",D1910=""),"",IF(B1910="","Missing contract",IF(C1910="","Missing code",IF(LEFT(G1910,3)="Not","Wrong code",IF(D1910="","Missing qty",IF(A1910="","Missing date",""))))))</f>
        <v/>
      </c>
      <c r="I1910" s="84" t="str">
        <f aca="false">IF(B1910=Dashboard!$D$3,ROW(),"")</f>
        <v/>
      </c>
    </row>
    <row r="1911" customFormat="false" ht="15" hidden="false" customHeight="false" outlineLevel="0" collapsed="false">
      <c r="A1911" s="80"/>
      <c r="B1911" s="71"/>
      <c r="C1911" s="71"/>
      <c r="D1911" s="81"/>
      <c r="E1911" s="71"/>
      <c r="F1911" s="71"/>
      <c r="G1911" s="82" t="str">
        <f aca="false">IF(C1911="","",IFERROR(INDEX('Kit Lists'!$D$6:$D$605,MATCH(B1911&amp;"|"&amp;C1911,'Kit Lists'!$J$6:$J$605,0)),"Not on this contract's kit list"))</f>
        <v/>
      </c>
      <c r="H1911" s="83" t="str">
        <f aca="false">IF(AND(B1911="",C1911="",D1911=""),"",IF(B1911="","Missing contract",IF(C1911="","Missing code",IF(LEFT(G1911,3)="Not","Wrong code",IF(D1911="","Missing qty",IF(A1911="","Missing date",""))))))</f>
        <v/>
      </c>
      <c r="I1911" s="84" t="str">
        <f aca="false">IF(B1911=Dashboard!$D$3,ROW(),"")</f>
        <v/>
      </c>
    </row>
    <row r="1912" customFormat="false" ht="15" hidden="false" customHeight="false" outlineLevel="0" collapsed="false">
      <c r="A1912" s="80"/>
      <c r="B1912" s="71"/>
      <c r="C1912" s="71"/>
      <c r="D1912" s="81"/>
      <c r="E1912" s="71"/>
      <c r="F1912" s="71"/>
      <c r="G1912" s="82" t="str">
        <f aca="false">IF(C1912="","",IFERROR(INDEX('Kit Lists'!$D$6:$D$605,MATCH(B1912&amp;"|"&amp;C1912,'Kit Lists'!$J$6:$J$605,0)),"Not on this contract's kit list"))</f>
        <v/>
      </c>
      <c r="H1912" s="83" t="str">
        <f aca="false">IF(AND(B1912="",C1912="",D1912=""),"",IF(B1912="","Missing contract",IF(C1912="","Missing code",IF(LEFT(G1912,3)="Not","Wrong code",IF(D1912="","Missing qty",IF(A1912="","Missing date",""))))))</f>
        <v/>
      </c>
      <c r="I1912" s="84" t="str">
        <f aca="false">IF(B1912=Dashboard!$D$3,ROW(),"")</f>
        <v/>
      </c>
    </row>
    <row r="1913" customFormat="false" ht="15" hidden="false" customHeight="false" outlineLevel="0" collapsed="false">
      <c r="A1913" s="80"/>
      <c r="B1913" s="71"/>
      <c r="C1913" s="71"/>
      <c r="D1913" s="81"/>
      <c r="E1913" s="71"/>
      <c r="F1913" s="71"/>
      <c r="G1913" s="82" t="str">
        <f aca="false">IF(C1913="","",IFERROR(INDEX('Kit Lists'!$D$6:$D$605,MATCH(B1913&amp;"|"&amp;C1913,'Kit Lists'!$J$6:$J$605,0)),"Not on this contract's kit list"))</f>
        <v/>
      </c>
      <c r="H1913" s="83" t="str">
        <f aca="false">IF(AND(B1913="",C1913="",D1913=""),"",IF(B1913="","Missing contract",IF(C1913="","Missing code",IF(LEFT(G1913,3)="Not","Wrong code",IF(D1913="","Missing qty",IF(A1913="","Missing date",""))))))</f>
        <v/>
      </c>
      <c r="I1913" s="84" t="str">
        <f aca="false">IF(B1913=Dashboard!$D$3,ROW(),"")</f>
        <v/>
      </c>
    </row>
    <row r="1914" customFormat="false" ht="15" hidden="false" customHeight="false" outlineLevel="0" collapsed="false">
      <c r="A1914" s="80"/>
      <c r="B1914" s="71"/>
      <c r="C1914" s="71"/>
      <c r="D1914" s="81"/>
      <c r="E1914" s="71"/>
      <c r="F1914" s="71"/>
      <c r="G1914" s="82" t="str">
        <f aca="false">IF(C1914="","",IFERROR(INDEX('Kit Lists'!$D$6:$D$605,MATCH(B1914&amp;"|"&amp;C1914,'Kit Lists'!$J$6:$J$605,0)),"Not on this contract's kit list"))</f>
        <v/>
      </c>
      <c r="H1914" s="83" t="str">
        <f aca="false">IF(AND(B1914="",C1914="",D1914=""),"",IF(B1914="","Missing contract",IF(C1914="","Missing code",IF(LEFT(G1914,3)="Not","Wrong code",IF(D1914="","Missing qty",IF(A1914="","Missing date",""))))))</f>
        <v/>
      </c>
      <c r="I1914" s="84" t="str">
        <f aca="false">IF(B1914=Dashboard!$D$3,ROW(),"")</f>
        <v/>
      </c>
    </row>
    <row r="1915" customFormat="false" ht="15" hidden="false" customHeight="false" outlineLevel="0" collapsed="false">
      <c r="A1915" s="80"/>
      <c r="B1915" s="71"/>
      <c r="C1915" s="71"/>
      <c r="D1915" s="81"/>
      <c r="E1915" s="71"/>
      <c r="F1915" s="71"/>
      <c r="G1915" s="82" t="str">
        <f aca="false">IF(C1915="","",IFERROR(INDEX('Kit Lists'!$D$6:$D$605,MATCH(B1915&amp;"|"&amp;C1915,'Kit Lists'!$J$6:$J$605,0)),"Not on this contract's kit list"))</f>
        <v/>
      </c>
      <c r="H1915" s="83" t="str">
        <f aca="false">IF(AND(B1915="",C1915="",D1915=""),"",IF(B1915="","Missing contract",IF(C1915="","Missing code",IF(LEFT(G1915,3)="Not","Wrong code",IF(D1915="","Missing qty",IF(A1915="","Missing date",""))))))</f>
        <v/>
      </c>
      <c r="I1915" s="84" t="str">
        <f aca="false">IF(B1915=Dashboard!$D$3,ROW(),"")</f>
        <v/>
      </c>
    </row>
    <row r="1916" customFormat="false" ht="15" hidden="false" customHeight="false" outlineLevel="0" collapsed="false">
      <c r="A1916" s="80"/>
      <c r="B1916" s="71"/>
      <c r="C1916" s="71"/>
      <c r="D1916" s="81"/>
      <c r="E1916" s="71"/>
      <c r="F1916" s="71"/>
      <c r="G1916" s="82" t="str">
        <f aca="false">IF(C1916="","",IFERROR(INDEX('Kit Lists'!$D$6:$D$605,MATCH(B1916&amp;"|"&amp;C1916,'Kit Lists'!$J$6:$J$605,0)),"Not on this contract's kit list"))</f>
        <v/>
      </c>
      <c r="H1916" s="83" t="str">
        <f aca="false">IF(AND(B1916="",C1916="",D1916=""),"",IF(B1916="","Missing contract",IF(C1916="","Missing code",IF(LEFT(G1916,3)="Not","Wrong code",IF(D1916="","Missing qty",IF(A1916="","Missing date",""))))))</f>
        <v/>
      </c>
      <c r="I1916" s="84" t="str">
        <f aca="false">IF(B1916=Dashboard!$D$3,ROW(),"")</f>
        <v/>
      </c>
    </row>
    <row r="1917" customFormat="false" ht="15" hidden="false" customHeight="false" outlineLevel="0" collapsed="false">
      <c r="A1917" s="80"/>
      <c r="B1917" s="71"/>
      <c r="C1917" s="71"/>
      <c r="D1917" s="81"/>
      <c r="E1917" s="71"/>
      <c r="F1917" s="71"/>
      <c r="G1917" s="82" t="str">
        <f aca="false">IF(C1917="","",IFERROR(INDEX('Kit Lists'!$D$6:$D$605,MATCH(B1917&amp;"|"&amp;C1917,'Kit Lists'!$J$6:$J$605,0)),"Not on this contract's kit list"))</f>
        <v/>
      </c>
      <c r="H1917" s="83" t="str">
        <f aca="false">IF(AND(B1917="",C1917="",D1917=""),"",IF(B1917="","Missing contract",IF(C1917="","Missing code",IF(LEFT(G1917,3)="Not","Wrong code",IF(D1917="","Missing qty",IF(A1917="","Missing date",""))))))</f>
        <v/>
      </c>
      <c r="I1917" s="84" t="str">
        <f aca="false">IF(B1917=Dashboard!$D$3,ROW(),"")</f>
        <v/>
      </c>
    </row>
    <row r="1918" customFormat="false" ht="15" hidden="false" customHeight="false" outlineLevel="0" collapsed="false">
      <c r="A1918" s="80"/>
      <c r="B1918" s="71"/>
      <c r="C1918" s="71"/>
      <c r="D1918" s="81"/>
      <c r="E1918" s="71"/>
      <c r="F1918" s="71"/>
      <c r="G1918" s="82" t="str">
        <f aca="false">IF(C1918="","",IFERROR(INDEX('Kit Lists'!$D$6:$D$605,MATCH(B1918&amp;"|"&amp;C1918,'Kit Lists'!$J$6:$J$605,0)),"Not on this contract's kit list"))</f>
        <v/>
      </c>
      <c r="H1918" s="83" t="str">
        <f aca="false">IF(AND(B1918="",C1918="",D1918=""),"",IF(B1918="","Missing contract",IF(C1918="","Missing code",IF(LEFT(G1918,3)="Not","Wrong code",IF(D1918="","Missing qty",IF(A1918="","Missing date",""))))))</f>
        <v/>
      </c>
      <c r="I1918" s="84" t="str">
        <f aca="false">IF(B1918=Dashboard!$D$3,ROW(),"")</f>
        <v/>
      </c>
    </row>
    <row r="1919" customFormat="false" ht="15" hidden="false" customHeight="false" outlineLevel="0" collapsed="false">
      <c r="A1919" s="80"/>
      <c r="B1919" s="71"/>
      <c r="C1919" s="71"/>
      <c r="D1919" s="81"/>
      <c r="E1919" s="71"/>
      <c r="F1919" s="71"/>
      <c r="G1919" s="82" t="str">
        <f aca="false">IF(C1919="","",IFERROR(INDEX('Kit Lists'!$D$6:$D$605,MATCH(B1919&amp;"|"&amp;C1919,'Kit Lists'!$J$6:$J$605,0)),"Not on this contract's kit list"))</f>
        <v/>
      </c>
      <c r="H1919" s="83" t="str">
        <f aca="false">IF(AND(B1919="",C1919="",D1919=""),"",IF(B1919="","Missing contract",IF(C1919="","Missing code",IF(LEFT(G1919,3)="Not","Wrong code",IF(D1919="","Missing qty",IF(A1919="","Missing date",""))))))</f>
        <v/>
      </c>
      <c r="I1919" s="84" t="str">
        <f aca="false">IF(B1919=Dashboard!$D$3,ROW(),"")</f>
        <v/>
      </c>
    </row>
    <row r="1920" customFormat="false" ht="15" hidden="false" customHeight="false" outlineLevel="0" collapsed="false">
      <c r="A1920" s="80"/>
      <c r="B1920" s="71"/>
      <c r="C1920" s="71"/>
      <c r="D1920" s="81"/>
      <c r="E1920" s="71"/>
      <c r="F1920" s="71"/>
      <c r="G1920" s="82" t="str">
        <f aca="false">IF(C1920="","",IFERROR(INDEX('Kit Lists'!$D$6:$D$605,MATCH(B1920&amp;"|"&amp;C1920,'Kit Lists'!$J$6:$J$605,0)),"Not on this contract's kit list"))</f>
        <v/>
      </c>
      <c r="H1920" s="83" t="str">
        <f aca="false">IF(AND(B1920="",C1920="",D1920=""),"",IF(B1920="","Missing contract",IF(C1920="","Missing code",IF(LEFT(G1920,3)="Not","Wrong code",IF(D1920="","Missing qty",IF(A1920="","Missing date",""))))))</f>
        <v/>
      </c>
      <c r="I1920" s="84" t="str">
        <f aca="false">IF(B1920=Dashboard!$D$3,ROW(),"")</f>
        <v/>
      </c>
    </row>
    <row r="1921" customFormat="false" ht="15" hidden="false" customHeight="false" outlineLevel="0" collapsed="false">
      <c r="A1921" s="80"/>
      <c r="B1921" s="71"/>
      <c r="C1921" s="71"/>
      <c r="D1921" s="81"/>
      <c r="E1921" s="71"/>
      <c r="F1921" s="71"/>
      <c r="G1921" s="82" t="str">
        <f aca="false">IF(C1921="","",IFERROR(INDEX('Kit Lists'!$D$6:$D$605,MATCH(B1921&amp;"|"&amp;C1921,'Kit Lists'!$J$6:$J$605,0)),"Not on this contract's kit list"))</f>
        <v/>
      </c>
      <c r="H1921" s="83" t="str">
        <f aca="false">IF(AND(B1921="",C1921="",D1921=""),"",IF(B1921="","Missing contract",IF(C1921="","Missing code",IF(LEFT(G1921,3)="Not","Wrong code",IF(D1921="","Missing qty",IF(A1921="","Missing date",""))))))</f>
        <v/>
      </c>
      <c r="I1921" s="84" t="str">
        <f aca="false">IF(B1921=Dashboard!$D$3,ROW(),"")</f>
        <v/>
      </c>
    </row>
    <row r="1922" customFormat="false" ht="15" hidden="false" customHeight="false" outlineLevel="0" collapsed="false">
      <c r="A1922" s="80"/>
      <c r="B1922" s="71"/>
      <c r="C1922" s="71"/>
      <c r="D1922" s="81"/>
      <c r="E1922" s="71"/>
      <c r="F1922" s="71"/>
      <c r="G1922" s="82" t="str">
        <f aca="false">IF(C1922="","",IFERROR(INDEX('Kit Lists'!$D$6:$D$605,MATCH(B1922&amp;"|"&amp;C1922,'Kit Lists'!$J$6:$J$605,0)),"Not on this contract's kit list"))</f>
        <v/>
      </c>
      <c r="H1922" s="83" t="str">
        <f aca="false">IF(AND(B1922="",C1922="",D1922=""),"",IF(B1922="","Missing contract",IF(C1922="","Missing code",IF(LEFT(G1922,3)="Not","Wrong code",IF(D1922="","Missing qty",IF(A1922="","Missing date",""))))))</f>
        <v/>
      </c>
      <c r="I1922" s="84" t="str">
        <f aca="false">IF(B1922=Dashboard!$D$3,ROW(),"")</f>
        <v/>
      </c>
    </row>
    <row r="1923" customFormat="false" ht="15" hidden="false" customHeight="false" outlineLevel="0" collapsed="false">
      <c r="A1923" s="80"/>
      <c r="B1923" s="71"/>
      <c r="C1923" s="71"/>
      <c r="D1923" s="81"/>
      <c r="E1923" s="71"/>
      <c r="F1923" s="71"/>
      <c r="G1923" s="82" t="str">
        <f aca="false">IF(C1923="","",IFERROR(INDEX('Kit Lists'!$D$6:$D$605,MATCH(B1923&amp;"|"&amp;C1923,'Kit Lists'!$J$6:$J$605,0)),"Not on this contract's kit list"))</f>
        <v/>
      </c>
      <c r="H1923" s="83" t="str">
        <f aca="false">IF(AND(B1923="",C1923="",D1923=""),"",IF(B1923="","Missing contract",IF(C1923="","Missing code",IF(LEFT(G1923,3)="Not","Wrong code",IF(D1923="","Missing qty",IF(A1923="","Missing date",""))))))</f>
        <v/>
      </c>
      <c r="I1923" s="84" t="str">
        <f aca="false">IF(B1923=Dashboard!$D$3,ROW(),"")</f>
        <v/>
      </c>
    </row>
    <row r="1924" customFormat="false" ht="15" hidden="false" customHeight="false" outlineLevel="0" collapsed="false">
      <c r="A1924" s="80"/>
      <c r="B1924" s="71"/>
      <c r="C1924" s="71"/>
      <c r="D1924" s="81"/>
      <c r="E1924" s="71"/>
      <c r="F1924" s="71"/>
      <c r="G1924" s="82" t="str">
        <f aca="false">IF(C1924="","",IFERROR(INDEX('Kit Lists'!$D$6:$D$605,MATCH(B1924&amp;"|"&amp;C1924,'Kit Lists'!$J$6:$J$605,0)),"Not on this contract's kit list"))</f>
        <v/>
      </c>
      <c r="H1924" s="83" t="str">
        <f aca="false">IF(AND(B1924="",C1924="",D1924=""),"",IF(B1924="","Missing contract",IF(C1924="","Missing code",IF(LEFT(G1924,3)="Not","Wrong code",IF(D1924="","Missing qty",IF(A1924="","Missing date",""))))))</f>
        <v/>
      </c>
      <c r="I1924" s="84" t="str">
        <f aca="false">IF(B1924=Dashboard!$D$3,ROW(),"")</f>
        <v/>
      </c>
    </row>
    <row r="1925" customFormat="false" ht="15" hidden="false" customHeight="false" outlineLevel="0" collapsed="false">
      <c r="A1925" s="80"/>
      <c r="B1925" s="71"/>
      <c r="C1925" s="71"/>
      <c r="D1925" s="81"/>
      <c r="E1925" s="71"/>
      <c r="F1925" s="71"/>
      <c r="G1925" s="82" t="str">
        <f aca="false">IF(C1925="","",IFERROR(INDEX('Kit Lists'!$D$6:$D$605,MATCH(B1925&amp;"|"&amp;C1925,'Kit Lists'!$J$6:$J$605,0)),"Not on this contract's kit list"))</f>
        <v/>
      </c>
      <c r="H1925" s="83" t="str">
        <f aca="false">IF(AND(B1925="",C1925="",D1925=""),"",IF(B1925="","Missing contract",IF(C1925="","Missing code",IF(LEFT(G1925,3)="Not","Wrong code",IF(D1925="","Missing qty",IF(A1925="","Missing date",""))))))</f>
        <v/>
      </c>
      <c r="I1925" s="84" t="str">
        <f aca="false">IF(B1925=Dashboard!$D$3,ROW(),"")</f>
        <v/>
      </c>
    </row>
    <row r="1926" customFormat="false" ht="15" hidden="false" customHeight="false" outlineLevel="0" collapsed="false">
      <c r="A1926" s="80"/>
      <c r="B1926" s="71"/>
      <c r="C1926" s="71"/>
      <c r="D1926" s="81"/>
      <c r="E1926" s="71"/>
      <c r="F1926" s="71"/>
      <c r="G1926" s="82" t="str">
        <f aca="false">IF(C1926="","",IFERROR(INDEX('Kit Lists'!$D$6:$D$605,MATCH(B1926&amp;"|"&amp;C1926,'Kit Lists'!$J$6:$J$605,0)),"Not on this contract's kit list"))</f>
        <v/>
      </c>
      <c r="H1926" s="83" t="str">
        <f aca="false">IF(AND(B1926="",C1926="",D1926=""),"",IF(B1926="","Missing contract",IF(C1926="","Missing code",IF(LEFT(G1926,3)="Not","Wrong code",IF(D1926="","Missing qty",IF(A1926="","Missing date",""))))))</f>
        <v/>
      </c>
      <c r="I1926" s="84" t="str">
        <f aca="false">IF(B1926=Dashboard!$D$3,ROW(),"")</f>
        <v/>
      </c>
    </row>
    <row r="1927" customFormat="false" ht="15" hidden="false" customHeight="false" outlineLevel="0" collapsed="false">
      <c r="A1927" s="80"/>
      <c r="B1927" s="71"/>
      <c r="C1927" s="71"/>
      <c r="D1927" s="81"/>
      <c r="E1927" s="71"/>
      <c r="F1927" s="71"/>
      <c r="G1927" s="82" t="str">
        <f aca="false">IF(C1927="","",IFERROR(INDEX('Kit Lists'!$D$6:$D$605,MATCH(B1927&amp;"|"&amp;C1927,'Kit Lists'!$J$6:$J$605,0)),"Not on this contract's kit list"))</f>
        <v/>
      </c>
      <c r="H1927" s="83" t="str">
        <f aca="false">IF(AND(B1927="",C1927="",D1927=""),"",IF(B1927="","Missing contract",IF(C1927="","Missing code",IF(LEFT(G1927,3)="Not","Wrong code",IF(D1927="","Missing qty",IF(A1927="","Missing date",""))))))</f>
        <v/>
      </c>
      <c r="I1927" s="84" t="str">
        <f aca="false">IF(B1927=Dashboard!$D$3,ROW(),"")</f>
        <v/>
      </c>
    </row>
    <row r="1928" customFormat="false" ht="15" hidden="false" customHeight="false" outlineLevel="0" collapsed="false">
      <c r="A1928" s="80"/>
      <c r="B1928" s="71"/>
      <c r="C1928" s="71"/>
      <c r="D1928" s="81"/>
      <c r="E1928" s="71"/>
      <c r="F1928" s="71"/>
      <c r="G1928" s="82" t="str">
        <f aca="false">IF(C1928="","",IFERROR(INDEX('Kit Lists'!$D$6:$D$605,MATCH(B1928&amp;"|"&amp;C1928,'Kit Lists'!$J$6:$J$605,0)),"Not on this contract's kit list"))</f>
        <v/>
      </c>
      <c r="H1928" s="83" t="str">
        <f aca="false">IF(AND(B1928="",C1928="",D1928=""),"",IF(B1928="","Missing contract",IF(C1928="","Missing code",IF(LEFT(G1928,3)="Not","Wrong code",IF(D1928="","Missing qty",IF(A1928="","Missing date",""))))))</f>
        <v/>
      </c>
      <c r="I1928" s="84" t="str">
        <f aca="false">IF(B1928=Dashboard!$D$3,ROW(),"")</f>
        <v/>
      </c>
    </row>
    <row r="1929" customFormat="false" ht="15" hidden="false" customHeight="false" outlineLevel="0" collapsed="false">
      <c r="A1929" s="80"/>
      <c r="B1929" s="71"/>
      <c r="C1929" s="71"/>
      <c r="D1929" s="81"/>
      <c r="E1929" s="71"/>
      <c r="F1929" s="71"/>
      <c r="G1929" s="82" t="str">
        <f aca="false">IF(C1929="","",IFERROR(INDEX('Kit Lists'!$D$6:$D$605,MATCH(B1929&amp;"|"&amp;C1929,'Kit Lists'!$J$6:$J$605,0)),"Not on this contract's kit list"))</f>
        <v/>
      </c>
      <c r="H1929" s="83" t="str">
        <f aca="false">IF(AND(B1929="",C1929="",D1929=""),"",IF(B1929="","Missing contract",IF(C1929="","Missing code",IF(LEFT(G1929,3)="Not","Wrong code",IF(D1929="","Missing qty",IF(A1929="","Missing date",""))))))</f>
        <v/>
      </c>
      <c r="I1929" s="84" t="str">
        <f aca="false">IF(B1929=Dashboard!$D$3,ROW(),"")</f>
        <v/>
      </c>
    </row>
    <row r="1930" customFormat="false" ht="15" hidden="false" customHeight="false" outlineLevel="0" collapsed="false">
      <c r="A1930" s="80"/>
      <c r="B1930" s="71"/>
      <c r="C1930" s="71"/>
      <c r="D1930" s="81"/>
      <c r="E1930" s="71"/>
      <c r="F1930" s="71"/>
      <c r="G1930" s="82" t="str">
        <f aca="false">IF(C1930="","",IFERROR(INDEX('Kit Lists'!$D$6:$D$605,MATCH(B1930&amp;"|"&amp;C1930,'Kit Lists'!$J$6:$J$605,0)),"Not on this contract's kit list"))</f>
        <v/>
      </c>
      <c r="H1930" s="83" t="str">
        <f aca="false">IF(AND(B1930="",C1930="",D1930=""),"",IF(B1930="","Missing contract",IF(C1930="","Missing code",IF(LEFT(G1930,3)="Not","Wrong code",IF(D1930="","Missing qty",IF(A1930="","Missing date",""))))))</f>
        <v/>
      </c>
      <c r="I1930" s="84" t="str">
        <f aca="false">IF(B1930=Dashboard!$D$3,ROW(),"")</f>
        <v/>
      </c>
    </row>
    <row r="1931" customFormat="false" ht="15" hidden="false" customHeight="false" outlineLevel="0" collapsed="false">
      <c r="A1931" s="80"/>
      <c r="B1931" s="71"/>
      <c r="C1931" s="71"/>
      <c r="D1931" s="81"/>
      <c r="E1931" s="71"/>
      <c r="F1931" s="71"/>
      <c r="G1931" s="82" t="str">
        <f aca="false">IF(C1931="","",IFERROR(INDEX('Kit Lists'!$D$6:$D$605,MATCH(B1931&amp;"|"&amp;C1931,'Kit Lists'!$J$6:$J$605,0)),"Not on this contract's kit list"))</f>
        <v/>
      </c>
      <c r="H1931" s="83" t="str">
        <f aca="false">IF(AND(B1931="",C1931="",D1931=""),"",IF(B1931="","Missing contract",IF(C1931="","Missing code",IF(LEFT(G1931,3)="Not","Wrong code",IF(D1931="","Missing qty",IF(A1931="","Missing date",""))))))</f>
        <v/>
      </c>
      <c r="I1931" s="84" t="str">
        <f aca="false">IF(B1931=Dashboard!$D$3,ROW(),"")</f>
        <v/>
      </c>
    </row>
    <row r="1932" customFormat="false" ht="15" hidden="false" customHeight="false" outlineLevel="0" collapsed="false">
      <c r="A1932" s="80"/>
      <c r="B1932" s="71"/>
      <c r="C1932" s="71"/>
      <c r="D1932" s="81"/>
      <c r="E1932" s="71"/>
      <c r="F1932" s="71"/>
      <c r="G1932" s="82" t="str">
        <f aca="false">IF(C1932="","",IFERROR(INDEX('Kit Lists'!$D$6:$D$605,MATCH(B1932&amp;"|"&amp;C1932,'Kit Lists'!$J$6:$J$605,0)),"Not on this contract's kit list"))</f>
        <v/>
      </c>
      <c r="H1932" s="83" t="str">
        <f aca="false">IF(AND(B1932="",C1932="",D1932=""),"",IF(B1932="","Missing contract",IF(C1932="","Missing code",IF(LEFT(G1932,3)="Not","Wrong code",IF(D1932="","Missing qty",IF(A1932="","Missing date",""))))))</f>
        <v/>
      </c>
      <c r="I1932" s="84" t="str">
        <f aca="false">IF(B1932=Dashboard!$D$3,ROW(),"")</f>
        <v/>
      </c>
    </row>
    <row r="1933" customFormat="false" ht="15" hidden="false" customHeight="false" outlineLevel="0" collapsed="false">
      <c r="A1933" s="80"/>
      <c r="B1933" s="71"/>
      <c r="C1933" s="71"/>
      <c r="D1933" s="81"/>
      <c r="E1933" s="71"/>
      <c r="F1933" s="71"/>
      <c r="G1933" s="82" t="str">
        <f aca="false">IF(C1933="","",IFERROR(INDEX('Kit Lists'!$D$6:$D$605,MATCH(B1933&amp;"|"&amp;C1933,'Kit Lists'!$J$6:$J$605,0)),"Not on this contract's kit list"))</f>
        <v/>
      </c>
      <c r="H1933" s="83" t="str">
        <f aca="false">IF(AND(B1933="",C1933="",D1933=""),"",IF(B1933="","Missing contract",IF(C1933="","Missing code",IF(LEFT(G1933,3)="Not","Wrong code",IF(D1933="","Missing qty",IF(A1933="","Missing date",""))))))</f>
        <v/>
      </c>
      <c r="I1933" s="84" t="str">
        <f aca="false">IF(B1933=Dashboard!$D$3,ROW(),"")</f>
        <v/>
      </c>
    </row>
    <row r="1934" customFormat="false" ht="15" hidden="false" customHeight="false" outlineLevel="0" collapsed="false">
      <c r="A1934" s="80"/>
      <c r="B1934" s="71"/>
      <c r="C1934" s="71"/>
      <c r="D1934" s="81"/>
      <c r="E1934" s="71"/>
      <c r="F1934" s="71"/>
      <c r="G1934" s="82" t="str">
        <f aca="false">IF(C1934="","",IFERROR(INDEX('Kit Lists'!$D$6:$D$605,MATCH(B1934&amp;"|"&amp;C1934,'Kit Lists'!$J$6:$J$605,0)),"Not on this contract's kit list"))</f>
        <v/>
      </c>
      <c r="H1934" s="83" t="str">
        <f aca="false">IF(AND(B1934="",C1934="",D1934=""),"",IF(B1934="","Missing contract",IF(C1934="","Missing code",IF(LEFT(G1934,3)="Not","Wrong code",IF(D1934="","Missing qty",IF(A1934="","Missing date",""))))))</f>
        <v/>
      </c>
      <c r="I1934" s="84" t="str">
        <f aca="false">IF(B1934=Dashboard!$D$3,ROW(),"")</f>
        <v/>
      </c>
    </row>
    <row r="1935" customFormat="false" ht="15" hidden="false" customHeight="false" outlineLevel="0" collapsed="false">
      <c r="A1935" s="80"/>
      <c r="B1935" s="71"/>
      <c r="C1935" s="71"/>
      <c r="D1935" s="81"/>
      <c r="E1935" s="71"/>
      <c r="F1935" s="71"/>
      <c r="G1935" s="82" t="str">
        <f aca="false">IF(C1935="","",IFERROR(INDEX('Kit Lists'!$D$6:$D$605,MATCH(B1935&amp;"|"&amp;C1935,'Kit Lists'!$J$6:$J$605,0)),"Not on this contract's kit list"))</f>
        <v/>
      </c>
      <c r="H1935" s="83" t="str">
        <f aca="false">IF(AND(B1935="",C1935="",D1935=""),"",IF(B1935="","Missing contract",IF(C1935="","Missing code",IF(LEFT(G1935,3)="Not","Wrong code",IF(D1935="","Missing qty",IF(A1935="","Missing date",""))))))</f>
        <v/>
      </c>
      <c r="I1935" s="84" t="str">
        <f aca="false">IF(B1935=Dashboard!$D$3,ROW(),"")</f>
        <v/>
      </c>
    </row>
    <row r="1936" customFormat="false" ht="15" hidden="false" customHeight="false" outlineLevel="0" collapsed="false">
      <c r="A1936" s="80"/>
      <c r="B1936" s="71"/>
      <c r="C1936" s="71"/>
      <c r="D1936" s="81"/>
      <c r="E1936" s="71"/>
      <c r="F1936" s="71"/>
      <c r="G1936" s="82" t="str">
        <f aca="false">IF(C1936="","",IFERROR(INDEX('Kit Lists'!$D$6:$D$605,MATCH(B1936&amp;"|"&amp;C1936,'Kit Lists'!$J$6:$J$605,0)),"Not on this contract's kit list"))</f>
        <v/>
      </c>
      <c r="H1936" s="83" t="str">
        <f aca="false">IF(AND(B1936="",C1936="",D1936=""),"",IF(B1936="","Missing contract",IF(C1936="","Missing code",IF(LEFT(G1936,3)="Not","Wrong code",IF(D1936="","Missing qty",IF(A1936="","Missing date",""))))))</f>
        <v/>
      </c>
      <c r="I1936" s="84" t="str">
        <f aca="false">IF(B1936=Dashboard!$D$3,ROW(),"")</f>
        <v/>
      </c>
    </row>
    <row r="1937" customFormat="false" ht="15" hidden="false" customHeight="false" outlineLevel="0" collapsed="false">
      <c r="A1937" s="80"/>
      <c r="B1937" s="71"/>
      <c r="C1937" s="71"/>
      <c r="D1937" s="81"/>
      <c r="E1937" s="71"/>
      <c r="F1937" s="71"/>
      <c r="G1937" s="82" t="str">
        <f aca="false">IF(C1937="","",IFERROR(INDEX('Kit Lists'!$D$6:$D$605,MATCH(B1937&amp;"|"&amp;C1937,'Kit Lists'!$J$6:$J$605,0)),"Not on this contract's kit list"))</f>
        <v/>
      </c>
      <c r="H1937" s="83" t="str">
        <f aca="false">IF(AND(B1937="",C1937="",D1937=""),"",IF(B1937="","Missing contract",IF(C1937="","Missing code",IF(LEFT(G1937,3)="Not","Wrong code",IF(D1937="","Missing qty",IF(A1937="","Missing date",""))))))</f>
        <v/>
      </c>
      <c r="I1937" s="84" t="str">
        <f aca="false">IF(B1937=Dashboard!$D$3,ROW(),"")</f>
        <v/>
      </c>
    </row>
    <row r="1938" customFormat="false" ht="15" hidden="false" customHeight="false" outlineLevel="0" collapsed="false">
      <c r="A1938" s="80"/>
      <c r="B1938" s="71"/>
      <c r="C1938" s="71"/>
      <c r="D1938" s="81"/>
      <c r="E1938" s="71"/>
      <c r="F1938" s="71"/>
      <c r="G1938" s="82" t="str">
        <f aca="false">IF(C1938="","",IFERROR(INDEX('Kit Lists'!$D$6:$D$605,MATCH(B1938&amp;"|"&amp;C1938,'Kit Lists'!$J$6:$J$605,0)),"Not on this contract's kit list"))</f>
        <v/>
      </c>
      <c r="H1938" s="83" t="str">
        <f aca="false">IF(AND(B1938="",C1938="",D1938=""),"",IF(B1938="","Missing contract",IF(C1938="","Missing code",IF(LEFT(G1938,3)="Not","Wrong code",IF(D1938="","Missing qty",IF(A1938="","Missing date",""))))))</f>
        <v/>
      </c>
      <c r="I1938" s="84" t="str">
        <f aca="false">IF(B1938=Dashboard!$D$3,ROW(),"")</f>
        <v/>
      </c>
    </row>
    <row r="1939" customFormat="false" ht="15" hidden="false" customHeight="false" outlineLevel="0" collapsed="false">
      <c r="A1939" s="80"/>
      <c r="B1939" s="71"/>
      <c r="C1939" s="71"/>
      <c r="D1939" s="81"/>
      <c r="E1939" s="71"/>
      <c r="F1939" s="71"/>
      <c r="G1939" s="82" t="str">
        <f aca="false">IF(C1939="","",IFERROR(INDEX('Kit Lists'!$D$6:$D$605,MATCH(B1939&amp;"|"&amp;C1939,'Kit Lists'!$J$6:$J$605,0)),"Not on this contract's kit list"))</f>
        <v/>
      </c>
      <c r="H1939" s="83" t="str">
        <f aca="false">IF(AND(B1939="",C1939="",D1939=""),"",IF(B1939="","Missing contract",IF(C1939="","Missing code",IF(LEFT(G1939,3)="Not","Wrong code",IF(D1939="","Missing qty",IF(A1939="","Missing date",""))))))</f>
        <v/>
      </c>
      <c r="I1939" s="84" t="str">
        <f aca="false">IF(B1939=Dashboard!$D$3,ROW(),"")</f>
        <v/>
      </c>
    </row>
    <row r="1940" customFormat="false" ht="15" hidden="false" customHeight="false" outlineLevel="0" collapsed="false">
      <c r="A1940" s="80"/>
      <c r="B1940" s="71"/>
      <c r="C1940" s="71"/>
      <c r="D1940" s="81"/>
      <c r="E1940" s="71"/>
      <c r="F1940" s="71"/>
      <c r="G1940" s="82" t="str">
        <f aca="false">IF(C1940="","",IFERROR(INDEX('Kit Lists'!$D$6:$D$605,MATCH(B1940&amp;"|"&amp;C1940,'Kit Lists'!$J$6:$J$605,0)),"Not on this contract's kit list"))</f>
        <v/>
      </c>
      <c r="H1940" s="83" t="str">
        <f aca="false">IF(AND(B1940="",C1940="",D1940=""),"",IF(B1940="","Missing contract",IF(C1940="","Missing code",IF(LEFT(G1940,3)="Not","Wrong code",IF(D1940="","Missing qty",IF(A1940="","Missing date",""))))))</f>
        <v/>
      </c>
      <c r="I1940" s="84" t="str">
        <f aca="false">IF(B1940=Dashboard!$D$3,ROW(),"")</f>
        <v/>
      </c>
    </row>
    <row r="1941" customFormat="false" ht="15" hidden="false" customHeight="false" outlineLevel="0" collapsed="false">
      <c r="A1941" s="80"/>
      <c r="B1941" s="71"/>
      <c r="C1941" s="71"/>
      <c r="D1941" s="81"/>
      <c r="E1941" s="71"/>
      <c r="F1941" s="71"/>
      <c r="G1941" s="82" t="str">
        <f aca="false">IF(C1941="","",IFERROR(INDEX('Kit Lists'!$D$6:$D$605,MATCH(B1941&amp;"|"&amp;C1941,'Kit Lists'!$J$6:$J$605,0)),"Not on this contract's kit list"))</f>
        <v/>
      </c>
      <c r="H1941" s="83" t="str">
        <f aca="false">IF(AND(B1941="",C1941="",D1941=""),"",IF(B1941="","Missing contract",IF(C1941="","Missing code",IF(LEFT(G1941,3)="Not","Wrong code",IF(D1941="","Missing qty",IF(A1941="","Missing date",""))))))</f>
        <v/>
      </c>
      <c r="I1941" s="84" t="str">
        <f aca="false">IF(B1941=Dashboard!$D$3,ROW(),"")</f>
        <v/>
      </c>
    </row>
    <row r="1942" customFormat="false" ht="15" hidden="false" customHeight="false" outlineLevel="0" collapsed="false">
      <c r="A1942" s="80"/>
      <c r="B1942" s="71"/>
      <c r="C1942" s="71"/>
      <c r="D1942" s="81"/>
      <c r="E1942" s="71"/>
      <c r="F1942" s="71"/>
      <c r="G1942" s="82" t="str">
        <f aca="false">IF(C1942="","",IFERROR(INDEX('Kit Lists'!$D$6:$D$605,MATCH(B1942&amp;"|"&amp;C1942,'Kit Lists'!$J$6:$J$605,0)),"Not on this contract's kit list"))</f>
        <v/>
      </c>
      <c r="H1942" s="83" t="str">
        <f aca="false">IF(AND(B1942="",C1942="",D1942=""),"",IF(B1942="","Missing contract",IF(C1942="","Missing code",IF(LEFT(G1942,3)="Not","Wrong code",IF(D1942="","Missing qty",IF(A1942="","Missing date",""))))))</f>
        <v/>
      </c>
      <c r="I1942" s="84" t="str">
        <f aca="false">IF(B1942=Dashboard!$D$3,ROW(),"")</f>
        <v/>
      </c>
    </row>
    <row r="1943" customFormat="false" ht="15" hidden="false" customHeight="false" outlineLevel="0" collapsed="false">
      <c r="A1943" s="80"/>
      <c r="B1943" s="71"/>
      <c r="C1943" s="71"/>
      <c r="D1943" s="81"/>
      <c r="E1943" s="71"/>
      <c r="F1943" s="71"/>
      <c r="G1943" s="82" t="str">
        <f aca="false">IF(C1943="","",IFERROR(INDEX('Kit Lists'!$D$6:$D$605,MATCH(B1943&amp;"|"&amp;C1943,'Kit Lists'!$J$6:$J$605,0)),"Not on this contract's kit list"))</f>
        <v/>
      </c>
      <c r="H1943" s="83" t="str">
        <f aca="false">IF(AND(B1943="",C1943="",D1943=""),"",IF(B1943="","Missing contract",IF(C1943="","Missing code",IF(LEFT(G1943,3)="Not","Wrong code",IF(D1943="","Missing qty",IF(A1943="","Missing date",""))))))</f>
        <v/>
      </c>
      <c r="I1943" s="84" t="str">
        <f aca="false">IF(B1943=Dashboard!$D$3,ROW(),"")</f>
        <v/>
      </c>
    </row>
    <row r="1944" customFormat="false" ht="15" hidden="false" customHeight="false" outlineLevel="0" collapsed="false">
      <c r="A1944" s="80"/>
      <c r="B1944" s="71"/>
      <c r="C1944" s="71"/>
      <c r="D1944" s="81"/>
      <c r="E1944" s="71"/>
      <c r="F1944" s="71"/>
      <c r="G1944" s="82" t="str">
        <f aca="false">IF(C1944="","",IFERROR(INDEX('Kit Lists'!$D$6:$D$605,MATCH(B1944&amp;"|"&amp;C1944,'Kit Lists'!$J$6:$J$605,0)),"Not on this contract's kit list"))</f>
        <v/>
      </c>
      <c r="H1944" s="83" t="str">
        <f aca="false">IF(AND(B1944="",C1944="",D1944=""),"",IF(B1944="","Missing contract",IF(C1944="","Missing code",IF(LEFT(G1944,3)="Not","Wrong code",IF(D1944="","Missing qty",IF(A1944="","Missing date",""))))))</f>
        <v/>
      </c>
      <c r="I1944" s="84" t="str">
        <f aca="false">IF(B1944=Dashboard!$D$3,ROW(),"")</f>
        <v/>
      </c>
    </row>
    <row r="1945" customFormat="false" ht="15" hidden="false" customHeight="false" outlineLevel="0" collapsed="false">
      <c r="A1945" s="80"/>
      <c r="B1945" s="71"/>
      <c r="C1945" s="71"/>
      <c r="D1945" s="81"/>
      <c r="E1945" s="71"/>
      <c r="F1945" s="71"/>
      <c r="G1945" s="82" t="str">
        <f aca="false">IF(C1945="","",IFERROR(INDEX('Kit Lists'!$D$6:$D$605,MATCH(B1945&amp;"|"&amp;C1945,'Kit Lists'!$J$6:$J$605,0)),"Not on this contract's kit list"))</f>
        <v/>
      </c>
      <c r="H1945" s="83" t="str">
        <f aca="false">IF(AND(B1945="",C1945="",D1945=""),"",IF(B1945="","Missing contract",IF(C1945="","Missing code",IF(LEFT(G1945,3)="Not","Wrong code",IF(D1945="","Missing qty",IF(A1945="","Missing date",""))))))</f>
        <v/>
      </c>
      <c r="I1945" s="84" t="str">
        <f aca="false">IF(B1945=Dashboard!$D$3,ROW(),"")</f>
        <v/>
      </c>
    </row>
    <row r="1946" customFormat="false" ht="15" hidden="false" customHeight="false" outlineLevel="0" collapsed="false">
      <c r="A1946" s="80"/>
      <c r="B1946" s="71"/>
      <c r="C1946" s="71"/>
      <c r="D1946" s="81"/>
      <c r="E1946" s="71"/>
      <c r="F1946" s="71"/>
      <c r="G1946" s="82" t="str">
        <f aca="false">IF(C1946="","",IFERROR(INDEX('Kit Lists'!$D$6:$D$605,MATCH(B1946&amp;"|"&amp;C1946,'Kit Lists'!$J$6:$J$605,0)),"Not on this contract's kit list"))</f>
        <v/>
      </c>
      <c r="H1946" s="83" t="str">
        <f aca="false">IF(AND(B1946="",C1946="",D1946=""),"",IF(B1946="","Missing contract",IF(C1946="","Missing code",IF(LEFT(G1946,3)="Not","Wrong code",IF(D1946="","Missing qty",IF(A1946="","Missing date",""))))))</f>
        <v/>
      </c>
      <c r="I1946" s="84" t="str">
        <f aca="false">IF(B1946=Dashboard!$D$3,ROW(),"")</f>
        <v/>
      </c>
    </row>
    <row r="1947" customFormat="false" ht="15" hidden="false" customHeight="false" outlineLevel="0" collapsed="false">
      <c r="A1947" s="80"/>
      <c r="B1947" s="71"/>
      <c r="C1947" s="71"/>
      <c r="D1947" s="81"/>
      <c r="E1947" s="71"/>
      <c r="F1947" s="71"/>
      <c r="G1947" s="82" t="str">
        <f aca="false">IF(C1947="","",IFERROR(INDEX('Kit Lists'!$D$6:$D$605,MATCH(B1947&amp;"|"&amp;C1947,'Kit Lists'!$J$6:$J$605,0)),"Not on this contract's kit list"))</f>
        <v/>
      </c>
      <c r="H1947" s="83" t="str">
        <f aca="false">IF(AND(B1947="",C1947="",D1947=""),"",IF(B1947="","Missing contract",IF(C1947="","Missing code",IF(LEFT(G1947,3)="Not","Wrong code",IF(D1947="","Missing qty",IF(A1947="","Missing date",""))))))</f>
        <v/>
      </c>
      <c r="I1947" s="84" t="str">
        <f aca="false">IF(B1947=Dashboard!$D$3,ROW(),"")</f>
        <v/>
      </c>
    </row>
    <row r="1948" customFormat="false" ht="15" hidden="false" customHeight="false" outlineLevel="0" collapsed="false">
      <c r="A1948" s="80"/>
      <c r="B1948" s="71"/>
      <c r="C1948" s="71"/>
      <c r="D1948" s="81"/>
      <c r="E1948" s="71"/>
      <c r="F1948" s="71"/>
      <c r="G1948" s="82" t="str">
        <f aca="false">IF(C1948="","",IFERROR(INDEX('Kit Lists'!$D$6:$D$605,MATCH(B1948&amp;"|"&amp;C1948,'Kit Lists'!$J$6:$J$605,0)),"Not on this contract's kit list"))</f>
        <v/>
      </c>
      <c r="H1948" s="83" t="str">
        <f aca="false">IF(AND(B1948="",C1948="",D1948=""),"",IF(B1948="","Missing contract",IF(C1948="","Missing code",IF(LEFT(G1948,3)="Not","Wrong code",IF(D1948="","Missing qty",IF(A1948="","Missing date",""))))))</f>
        <v/>
      </c>
      <c r="I1948" s="84" t="str">
        <f aca="false">IF(B1948=Dashboard!$D$3,ROW(),"")</f>
        <v/>
      </c>
    </row>
    <row r="1949" customFormat="false" ht="15" hidden="false" customHeight="false" outlineLevel="0" collapsed="false">
      <c r="A1949" s="80"/>
      <c r="B1949" s="71"/>
      <c r="C1949" s="71"/>
      <c r="D1949" s="81"/>
      <c r="E1949" s="71"/>
      <c r="F1949" s="71"/>
      <c r="G1949" s="82" t="str">
        <f aca="false">IF(C1949="","",IFERROR(INDEX('Kit Lists'!$D$6:$D$605,MATCH(B1949&amp;"|"&amp;C1949,'Kit Lists'!$J$6:$J$605,0)),"Not on this contract's kit list"))</f>
        <v/>
      </c>
      <c r="H1949" s="83" t="str">
        <f aca="false">IF(AND(B1949="",C1949="",D1949=""),"",IF(B1949="","Missing contract",IF(C1949="","Missing code",IF(LEFT(G1949,3)="Not","Wrong code",IF(D1949="","Missing qty",IF(A1949="","Missing date",""))))))</f>
        <v/>
      </c>
      <c r="I1949" s="84" t="str">
        <f aca="false">IF(B1949=Dashboard!$D$3,ROW(),"")</f>
        <v/>
      </c>
    </row>
    <row r="1950" customFormat="false" ht="15" hidden="false" customHeight="false" outlineLevel="0" collapsed="false">
      <c r="A1950" s="80"/>
      <c r="B1950" s="71"/>
      <c r="C1950" s="71"/>
      <c r="D1950" s="81"/>
      <c r="E1950" s="71"/>
      <c r="F1950" s="71"/>
      <c r="G1950" s="82" t="str">
        <f aca="false">IF(C1950="","",IFERROR(INDEX('Kit Lists'!$D$6:$D$605,MATCH(B1950&amp;"|"&amp;C1950,'Kit Lists'!$J$6:$J$605,0)),"Not on this contract's kit list"))</f>
        <v/>
      </c>
      <c r="H1950" s="83" t="str">
        <f aca="false">IF(AND(B1950="",C1950="",D1950=""),"",IF(B1950="","Missing contract",IF(C1950="","Missing code",IF(LEFT(G1950,3)="Not","Wrong code",IF(D1950="","Missing qty",IF(A1950="","Missing date",""))))))</f>
        <v/>
      </c>
      <c r="I1950" s="84" t="str">
        <f aca="false">IF(B1950=Dashboard!$D$3,ROW(),"")</f>
        <v/>
      </c>
    </row>
    <row r="1951" customFormat="false" ht="15" hidden="false" customHeight="false" outlineLevel="0" collapsed="false">
      <c r="A1951" s="80"/>
      <c r="B1951" s="71"/>
      <c r="C1951" s="71"/>
      <c r="D1951" s="81"/>
      <c r="E1951" s="71"/>
      <c r="F1951" s="71"/>
      <c r="G1951" s="82" t="str">
        <f aca="false">IF(C1951="","",IFERROR(INDEX('Kit Lists'!$D$6:$D$605,MATCH(B1951&amp;"|"&amp;C1951,'Kit Lists'!$J$6:$J$605,0)),"Not on this contract's kit list"))</f>
        <v/>
      </c>
      <c r="H1951" s="83" t="str">
        <f aca="false">IF(AND(B1951="",C1951="",D1951=""),"",IF(B1951="","Missing contract",IF(C1951="","Missing code",IF(LEFT(G1951,3)="Not","Wrong code",IF(D1951="","Missing qty",IF(A1951="","Missing date",""))))))</f>
        <v/>
      </c>
      <c r="I1951" s="84" t="str">
        <f aca="false">IF(B1951=Dashboard!$D$3,ROW(),"")</f>
        <v/>
      </c>
    </row>
    <row r="1952" customFormat="false" ht="15" hidden="false" customHeight="false" outlineLevel="0" collapsed="false">
      <c r="A1952" s="80"/>
      <c r="B1952" s="71"/>
      <c r="C1952" s="71"/>
      <c r="D1952" s="81"/>
      <c r="E1952" s="71"/>
      <c r="F1952" s="71"/>
      <c r="G1952" s="82" t="str">
        <f aca="false">IF(C1952="","",IFERROR(INDEX('Kit Lists'!$D$6:$D$605,MATCH(B1952&amp;"|"&amp;C1952,'Kit Lists'!$J$6:$J$605,0)),"Not on this contract's kit list"))</f>
        <v/>
      </c>
      <c r="H1952" s="83" t="str">
        <f aca="false">IF(AND(B1952="",C1952="",D1952=""),"",IF(B1952="","Missing contract",IF(C1952="","Missing code",IF(LEFT(G1952,3)="Not","Wrong code",IF(D1952="","Missing qty",IF(A1952="","Missing date",""))))))</f>
        <v/>
      </c>
      <c r="I1952" s="84" t="str">
        <f aca="false">IF(B1952=Dashboard!$D$3,ROW(),"")</f>
        <v/>
      </c>
    </row>
    <row r="1953" customFormat="false" ht="15" hidden="false" customHeight="false" outlineLevel="0" collapsed="false">
      <c r="A1953" s="80"/>
      <c r="B1953" s="71"/>
      <c r="C1953" s="71"/>
      <c r="D1953" s="81"/>
      <c r="E1953" s="71"/>
      <c r="F1953" s="71"/>
      <c r="G1953" s="82" t="str">
        <f aca="false">IF(C1953="","",IFERROR(INDEX('Kit Lists'!$D$6:$D$605,MATCH(B1953&amp;"|"&amp;C1953,'Kit Lists'!$J$6:$J$605,0)),"Not on this contract's kit list"))</f>
        <v/>
      </c>
      <c r="H1953" s="83" t="str">
        <f aca="false">IF(AND(B1953="",C1953="",D1953=""),"",IF(B1953="","Missing contract",IF(C1953="","Missing code",IF(LEFT(G1953,3)="Not","Wrong code",IF(D1953="","Missing qty",IF(A1953="","Missing date",""))))))</f>
        <v/>
      </c>
      <c r="I1953" s="84" t="str">
        <f aca="false">IF(B1953=Dashboard!$D$3,ROW(),"")</f>
        <v/>
      </c>
    </row>
    <row r="1954" customFormat="false" ht="15" hidden="false" customHeight="false" outlineLevel="0" collapsed="false">
      <c r="A1954" s="80"/>
      <c r="B1954" s="71"/>
      <c r="C1954" s="71"/>
      <c r="D1954" s="81"/>
      <c r="E1954" s="71"/>
      <c r="F1954" s="71"/>
      <c r="G1954" s="82" t="str">
        <f aca="false">IF(C1954="","",IFERROR(INDEX('Kit Lists'!$D$6:$D$605,MATCH(B1954&amp;"|"&amp;C1954,'Kit Lists'!$J$6:$J$605,0)),"Not on this contract's kit list"))</f>
        <v/>
      </c>
      <c r="H1954" s="83" t="str">
        <f aca="false">IF(AND(B1954="",C1954="",D1954=""),"",IF(B1954="","Missing contract",IF(C1954="","Missing code",IF(LEFT(G1954,3)="Not","Wrong code",IF(D1954="","Missing qty",IF(A1954="","Missing date",""))))))</f>
        <v/>
      </c>
      <c r="I1954" s="84" t="str">
        <f aca="false">IF(B1954=Dashboard!$D$3,ROW(),"")</f>
        <v/>
      </c>
    </row>
    <row r="1955" customFormat="false" ht="15" hidden="false" customHeight="false" outlineLevel="0" collapsed="false">
      <c r="A1955" s="80"/>
      <c r="B1955" s="71"/>
      <c r="C1955" s="71"/>
      <c r="D1955" s="81"/>
      <c r="E1955" s="71"/>
      <c r="F1955" s="71"/>
      <c r="G1955" s="82" t="str">
        <f aca="false">IF(C1955="","",IFERROR(INDEX('Kit Lists'!$D$6:$D$605,MATCH(B1955&amp;"|"&amp;C1955,'Kit Lists'!$J$6:$J$605,0)),"Not on this contract's kit list"))</f>
        <v/>
      </c>
      <c r="H1955" s="83" t="str">
        <f aca="false">IF(AND(B1955="",C1955="",D1955=""),"",IF(B1955="","Missing contract",IF(C1955="","Missing code",IF(LEFT(G1955,3)="Not","Wrong code",IF(D1955="","Missing qty",IF(A1955="","Missing date",""))))))</f>
        <v/>
      </c>
      <c r="I1955" s="84" t="str">
        <f aca="false">IF(B1955=Dashboard!$D$3,ROW(),"")</f>
        <v/>
      </c>
    </row>
    <row r="1956" customFormat="false" ht="15" hidden="false" customHeight="false" outlineLevel="0" collapsed="false">
      <c r="A1956" s="80"/>
      <c r="B1956" s="71"/>
      <c r="C1956" s="71"/>
      <c r="D1956" s="81"/>
      <c r="E1956" s="71"/>
      <c r="F1956" s="71"/>
      <c r="G1956" s="82" t="str">
        <f aca="false">IF(C1956="","",IFERROR(INDEX('Kit Lists'!$D$6:$D$605,MATCH(B1956&amp;"|"&amp;C1956,'Kit Lists'!$J$6:$J$605,0)),"Not on this contract's kit list"))</f>
        <v/>
      </c>
      <c r="H1956" s="83" t="str">
        <f aca="false">IF(AND(B1956="",C1956="",D1956=""),"",IF(B1956="","Missing contract",IF(C1956="","Missing code",IF(LEFT(G1956,3)="Not","Wrong code",IF(D1956="","Missing qty",IF(A1956="","Missing date",""))))))</f>
        <v/>
      </c>
      <c r="I1956" s="84" t="str">
        <f aca="false">IF(B1956=Dashboard!$D$3,ROW(),"")</f>
        <v/>
      </c>
    </row>
    <row r="1957" customFormat="false" ht="15" hidden="false" customHeight="false" outlineLevel="0" collapsed="false">
      <c r="A1957" s="80"/>
      <c r="B1957" s="71"/>
      <c r="C1957" s="71"/>
      <c r="D1957" s="81"/>
      <c r="E1957" s="71"/>
      <c r="F1957" s="71"/>
      <c r="G1957" s="82" t="str">
        <f aca="false">IF(C1957="","",IFERROR(INDEX('Kit Lists'!$D$6:$D$605,MATCH(B1957&amp;"|"&amp;C1957,'Kit Lists'!$J$6:$J$605,0)),"Not on this contract's kit list"))</f>
        <v/>
      </c>
      <c r="H1957" s="83" t="str">
        <f aca="false">IF(AND(B1957="",C1957="",D1957=""),"",IF(B1957="","Missing contract",IF(C1957="","Missing code",IF(LEFT(G1957,3)="Not","Wrong code",IF(D1957="","Missing qty",IF(A1957="","Missing date",""))))))</f>
        <v/>
      </c>
      <c r="I1957" s="84" t="str">
        <f aca="false">IF(B1957=Dashboard!$D$3,ROW(),"")</f>
        <v/>
      </c>
    </row>
    <row r="1958" customFormat="false" ht="15" hidden="false" customHeight="false" outlineLevel="0" collapsed="false">
      <c r="A1958" s="80"/>
      <c r="B1958" s="71"/>
      <c r="C1958" s="71"/>
      <c r="D1958" s="81"/>
      <c r="E1958" s="71"/>
      <c r="F1958" s="71"/>
      <c r="G1958" s="82" t="str">
        <f aca="false">IF(C1958="","",IFERROR(INDEX('Kit Lists'!$D$6:$D$605,MATCH(B1958&amp;"|"&amp;C1958,'Kit Lists'!$J$6:$J$605,0)),"Not on this contract's kit list"))</f>
        <v/>
      </c>
      <c r="H1958" s="83" t="str">
        <f aca="false">IF(AND(B1958="",C1958="",D1958=""),"",IF(B1958="","Missing contract",IF(C1958="","Missing code",IF(LEFT(G1958,3)="Not","Wrong code",IF(D1958="","Missing qty",IF(A1958="","Missing date",""))))))</f>
        <v/>
      </c>
      <c r="I1958" s="84" t="str">
        <f aca="false">IF(B1958=Dashboard!$D$3,ROW(),"")</f>
        <v/>
      </c>
    </row>
    <row r="1959" customFormat="false" ht="15" hidden="false" customHeight="false" outlineLevel="0" collapsed="false">
      <c r="A1959" s="80"/>
      <c r="B1959" s="71"/>
      <c r="C1959" s="71"/>
      <c r="D1959" s="81"/>
      <c r="E1959" s="71"/>
      <c r="F1959" s="71"/>
      <c r="G1959" s="82" t="str">
        <f aca="false">IF(C1959="","",IFERROR(INDEX('Kit Lists'!$D$6:$D$605,MATCH(B1959&amp;"|"&amp;C1959,'Kit Lists'!$J$6:$J$605,0)),"Not on this contract's kit list"))</f>
        <v/>
      </c>
      <c r="H1959" s="83" t="str">
        <f aca="false">IF(AND(B1959="",C1959="",D1959=""),"",IF(B1959="","Missing contract",IF(C1959="","Missing code",IF(LEFT(G1959,3)="Not","Wrong code",IF(D1959="","Missing qty",IF(A1959="","Missing date",""))))))</f>
        <v/>
      </c>
      <c r="I1959" s="84" t="str">
        <f aca="false">IF(B1959=Dashboard!$D$3,ROW(),"")</f>
        <v/>
      </c>
    </row>
    <row r="1960" customFormat="false" ht="15" hidden="false" customHeight="false" outlineLevel="0" collapsed="false">
      <c r="A1960" s="80"/>
      <c r="B1960" s="71"/>
      <c r="C1960" s="71"/>
      <c r="D1960" s="81"/>
      <c r="E1960" s="71"/>
      <c r="F1960" s="71"/>
      <c r="G1960" s="82" t="str">
        <f aca="false">IF(C1960="","",IFERROR(INDEX('Kit Lists'!$D$6:$D$605,MATCH(B1960&amp;"|"&amp;C1960,'Kit Lists'!$J$6:$J$605,0)),"Not on this contract's kit list"))</f>
        <v/>
      </c>
      <c r="H1960" s="83" t="str">
        <f aca="false">IF(AND(B1960="",C1960="",D1960=""),"",IF(B1960="","Missing contract",IF(C1960="","Missing code",IF(LEFT(G1960,3)="Not","Wrong code",IF(D1960="","Missing qty",IF(A1960="","Missing date",""))))))</f>
        <v/>
      </c>
      <c r="I1960" s="84" t="str">
        <f aca="false">IF(B1960=Dashboard!$D$3,ROW(),"")</f>
        <v/>
      </c>
    </row>
    <row r="1961" customFormat="false" ht="15" hidden="false" customHeight="false" outlineLevel="0" collapsed="false">
      <c r="A1961" s="80"/>
      <c r="B1961" s="71"/>
      <c r="C1961" s="71"/>
      <c r="D1961" s="81"/>
      <c r="E1961" s="71"/>
      <c r="F1961" s="71"/>
      <c r="G1961" s="82" t="str">
        <f aca="false">IF(C1961="","",IFERROR(INDEX('Kit Lists'!$D$6:$D$605,MATCH(B1961&amp;"|"&amp;C1961,'Kit Lists'!$J$6:$J$605,0)),"Not on this contract's kit list"))</f>
        <v/>
      </c>
      <c r="H1961" s="83" t="str">
        <f aca="false">IF(AND(B1961="",C1961="",D1961=""),"",IF(B1961="","Missing contract",IF(C1961="","Missing code",IF(LEFT(G1961,3)="Not","Wrong code",IF(D1961="","Missing qty",IF(A1961="","Missing date",""))))))</f>
        <v/>
      </c>
      <c r="I1961" s="84" t="str">
        <f aca="false">IF(B1961=Dashboard!$D$3,ROW(),"")</f>
        <v/>
      </c>
    </row>
    <row r="1962" customFormat="false" ht="15" hidden="false" customHeight="false" outlineLevel="0" collapsed="false">
      <c r="A1962" s="80"/>
      <c r="B1962" s="71"/>
      <c r="C1962" s="71"/>
      <c r="D1962" s="81"/>
      <c r="E1962" s="71"/>
      <c r="F1962" s="71"/>
      <c r="G1962" s="82" t="str">
        <f aca="false">IF(C1962="","",IFERROR(INDEX('Kit Lists'!$D$6:$D$605,MATCH(B1962&amp;"|"&amp;C1962,'Kit Lists'!$J$6:$J$605,0)),"Not on this contract's kit list"))</f>
        <v/>
      </c>
      <c r="H1962" s="83" t="str">
        <f aca="false">IF(AND(B1962="",C1962="",D1962=""),"",IF(B1962="","Missing contract",IF(C1962="","Missing code",IF(LEFT(G1962,3)="Not","Wrong code",IF(D1962="","Missing qty",IF(A1962="","Missing date",""))))))</f>
        <v/>
      </c>
      <c r="I1962" s="84" t="str">
        <f aca="false">IF(B1962=Dashboard!$D$3,ROW(),"")</f>
        <v/>
      </c>
    </row>
    <row r="1963" customFormat="false" ht="15" hidden="false" customHeight="false" outlineLevel="0" collapsed="false">
      <c r="A1963" s="80"/>
      <c r="B1963" s="71"/>
      <c r="C1963" s="71"/>
      <c r="D1963" s="81"/>
      <c r="E1963" s="71"/>
      <c r="F1963" s="71"/>
      <c r="G1963" s="82" t="str">
        <f aca="false">IF(C1963="","",IFERROR(INDEX('Kit Lists'!$D$6:$D$605,MATCH(B1963&amp;"|"&amp;C1963,'Kit Lists'!$J$6:$J$605,0)),"Not on this contract's kit list"))</f>
        <v/>
      </c>
      <c r="H1963" s="83" t="str">
        <f aca="false">IF(AND(B1963="",C1963="",D1963=""),"",IF(B1963="","Missing contract",IF(C1963="","Missing code",IF(LEFT(G1963,3)="Not","Wrong code",IF(D1963="","Missing qty",IF(A1963="","Missing date",""))))))</f>
        <v/>
      </c>
      <c r="I1963" s="84" t="str">
        <f aca="false">IF(B1963=Dashboard!$D$3,ROW(),"")</f>
        <v/>
      </c>
    </row>
    <row r="1964" customFormat="false" ht="15" hidden="false" customHeight="false" outlineLevel="0" collapsed="false">
      <c r="A1964" s="80"/>
      <c r="B1964" s="71"/>
      <c r="C1964" s="71"/>
      <c r="D1964" s="81"/>
      <c r="E1964" s="71"/>
      <c r="F1964" s="71"/>
      <c r="G1964" s="82" t="str">
        <f aca="false">IF(C1964="","",IFERROR(INDEX('Kit Lists'!$D$6:$D$605,MATCH(B1964&amp;"|"&amp;C1964,'Kit Lists'!$J$6:$J$605,0)),"Not on this contract's kit list"))</f>
        <v/>
      </c>
      <c r="H1964" s="83" t="str">
        <f aca="false">IF(AND(B1964="",C1964="",D1964=""),"",IF(B1964="","Missing contract",IF(C1964="","Missing code",IF(LEFT(G1964,3)="Not","Wrong code",IF(D1964="","Missing qty",IF(A1964="","Missing date",""))))))</f>
        <v/>
      </c>
      <c r="I1964" s="84" t="str">
        <f aca="false">IF(B1964=Dashboard!$D$3,ROW(),"")</f>
        <v/>
      </c>
    </row>
    <row r="1965" customFormat="false" ht="15" hidden="false" customHeight="false" outlineLevel="0" collapsed="false">
      <c r="A1965" s="80"/>
      <c r="B1965" s="71"/>
      <c r="C1965" s="71"/>
      <c r="D1965" s="81"/>
      <c r="E1965" s="71"/>
      <c r="F1965" s="71"/>
      <c r="G1965" s="82" t="str">
        <f aca="false">IF(C1965="","",IFERROR(INDEX('Kit Lists'!$D$6:$D$605,MATCH(B1965&amp;"|"&amp;C1965,'Kit Lists'!$J$6:$J$605,0)),"Not on this contract's kit list"))</f>
        <v/>
      </c>
      <c r="H1965" s="83" t="str">
        <f aca="false">IF(AND(B1965="",C1965="",D1965=""),"",IF(B1965="","Missing contract",IF(C1965="","Missing code",IF(LEFT(G1965,3)="Not","Wrong code",IF(D1965="","Missing qty",IF(A1965="","Missing date",""))))))</f>
        <v/>
      </c>
      <c r="I1965" s="84" t="str">
        <f aca="false">IF(B1965=Dashboard!$D$3,ROW(),"")</f>
        <v/>
      </c>
    </row>
    <row r="1966" customFormat="false" ht="15" hidden="false" customHeight="false" outlineLevel="0" collapsed="false">
      <c r="A1966" s="80"/>
      <c r="B1966" s="71"/>
      <c r="C1966" s="71"/>
      <c r="D1966" s="81"/>
      <c r="E1966" s="71"/>
      <c r="F1966" s="71"/>
      <c r="G1966" s="82" t="str">
        <f aca="false">IF(C1966="","",IFERROR(INDEX('Kit Lists'!$D$6:$D$605,MATCH(B1966&amp;"|"&amp;C1966,'Kit Lists'!$J$6:$J$605,0)),"Not on this contract's kit list"))</f>
        <v/>
      </c>
      <c r="H1966" s="83" t="str">
        <f aca="false">IF(AND(B1966="",C1966="",D1966=""),"",IF(B1966="","Missing contract",IF(C1966="","Missing code",IF(LEFT(G1966,3)="Not","Wrong code",IF(D1966="","Missing qty",IF(A1966="","Missing date",""))))))</f>
        <v/>
      </c>
      <c r="I1966" s="84" t="str">
        <f aca="false">IF(B1966=Dashboard!$D$3,ROW(),"")</f>
        <v/>
      </c>
    </row>
    <row r="1967" customFormat="false" ht="15" hidden="false" customHeight="false" outlineLevel="0" collapsed="false">
      <c r="A1967" s="80"/>
      <c r="B1967" s="71"/>
      <c r="C1967" s="71"/>
      <c r="D1967" s="81"/>
      <c r="E1967" s="71"/>
      <c r="F1967" s="71"/>
      <c r="G1967" s="82" t="str">
        <f aca="false">IF(C1967="","",IFERROR(INDEX('Kit Lists'!$D$6:$D$605,MATCH(B1967&amp;"|"&amp;C1967,'Kit Lists'!$J$6:$J$605,0)),"Not on this contract's kit list"))</f>
        <v/>
      </c>
      <c r="H1967" s="83" t="str">
        <f aca="false">IF(AND(B1967="",C1967="",D1967=""),"",IF(B1967="","Missing contract",IF(C1967="","Missing code",IF(LEFT(G1967,3)="Not","Wrong code",IF(D1967="","Missing qty",IF(A1967="","Missing date",""))))))</f>
        <v/>
      </c>
      <c r="I1967" s="84" t="str">
        <f aca="false">IF(B1967=Dashboard!$D$3,ROW(),"")</f>
        <v/>
      </c>
    </row>
    <row r="1968" customFormat="false" ht="15" hidden="false" customHeight="false" outlineLevel="0" collapsed="false">
      <c r="A1968" s="80"/>
      <c r="B1968" s="71"/>
      <c r="C1968" s="71"/>
      <c r="D1968" s="81"/>
      <c r="E1968" s="71"/>
      <c r="F1968" s="71"/>
      <c r="G1968" s="82" t="str">
        <f aca="false">IF(C1968="","",IFERROR(INDEX('Kit Lists'!$D$6:$D$605,MATCH(B1968&amp;"|"&amp;C1968,'Kit Lists'!$J$6:$J$605,0)),"Not on this contract's kit list"))</f>
        <v/>
      </c>
      <c r="H1968" s="83" t="str">
        <f aca="false">IF(AND(B1968="",C1968="",D1968=""),"",IF(B1968="","Missing contract",IF(C1968="","Missing code",IF(LEFT(G1968,3)="Not","Wrong code",IF(D1968="","Missing qty",IF(A1968="","Missing date",""))))))</f>
        <v/>
      </c>
      <c r="I1968" s="84" t="str">
        <f aca="false">IF(B1968=Dashboard!$D$3,ROW(),"")</f>
        <v/>
      </c>
    </row>
    <row r="1969" customFormat="false" ht="15" hidden="false" customHeight="false" outlineLevel="0" collapsed="false">
      <c r="A1969" s="80"/>
      <c r="B1969" s="71"/>
      <c r="C1969" s="71"/>
      <c r="D1969" s="81"/>
      <c r="E1969" s="71"/>
      <c r="F1969" s="71"/>
      <c r="G1969" s="82" t="str">
        <f aca="false">IF(C1969="","",IFERROR(INDEX('Kit Lists'!$D$6:$D$605,MATCH(B1969&amp;"|"&amp;C1969,'Kit Lists'!$J$6:$J$605,0)),"Not on this contract's kit list"))</f>
        <v/>
      </c>
      <c r="H1969" s="83" t="str">
        <f aca="false">IF(AND(B1969="",C1969="",D1969=""),"",IF(B1969="","Missing contract",IF(C1969="","Missing code",IF(LEFT(G1969,3)="Not","Wrong code",IF(D1969="","Missing qty",IF(A1969="","Missing date",""))))))</f>
        <v/>
      </c>
      <c r="I1969" s="84" t="str">
        <f aca="false">IF(B1969=Dashboard!$D$3,ROW(),"")</f>
        <v/>
      </c>
    </row>
    <row r="1970" customFormat="false" ht="15" hidden="false" customHeight="false" outlineLevel="0" collapsed="false">
      <c r="A1970" s="80"/>
      <c r="B1970" s="71"/>
      <c r="C1970" s="71"/>
      <c r="D1970" s="81"/>
      <c r="E1970" s="71"/>
      <c r="F1970" s="71"/>
      <c r="G1970" s="82" t="str">
        <f aca="false">IF(C1970="","",IFERROR(INDEX('Kit Lists'!$D$6:$D$605,MATCH(B1970&amp;"|"&amp;C1970,'Kit Lists'!$J$6:$J$605,0)),"Not on this contract's kit list"))</f>
        <v/>
      </c>
      <c r="H1970" s="83" t="str">
        <f aca="false">IF(AND(B1970="",C1970="",D1970=""),"",IF(B1970="","Missing contract",IF(C1970="","Missing code",IF(LEFT(G1970,3)="Not","Wrong code",IF(D1970="","Missing qty",IF(A1970="","Missing date",""))))))</f>
        <v/>
      </c>
      <c r="I1970" s="84" t="str">
        <f aca="false">IF(B1970=Dashboard!$D$3,ROW(),"")</f>
        <v/>
      </c>
    </row>
    <row r="1971" customFormat="false" ht="15" hidden="false" customHeight="false" outlineLevel="0" collapsed="false">
      <c r="A1971" s="80"/>
      <c r="B1971" s="71"/>
      <c r="C1971" s="71"/>
      <c r="D1971" s="81"/>
      <c r="E1971" s="71"/>
      <c r="F1971" s="71"/>
      <c r="G1971" s="82" t="str">
        <f aca="false">IF(C1971="","",IFERROR(INDEX('Kit Lists'!$D$6:$D$605,MATCH(B1971&amp;"|"&amp;C1971,'Kit Lists'!$J$6:$J$605,0)),"Not on this contract's kit list"))</f>
        <v/>
      </c>
      <c r="H1971" s="83" t="str">
        <f aca="false">IF(AND(B1971="",C1971="",D1971=""),"",IF(B1971="","Missing contract",IF(C1971="","Missing code",IF(LEFT(G1971,3)="Not","Wrong code",IF(D1971="","Missing qty",IF(A1971="","Missing date",""))))))</f>
        <v/>
      </c>
      <c r="I1971" s="84" t="str">
        <f aca="false">IF(B1971=Dashboard!$D$3,ROW(),"")</f>
        <v/>
      </c>
    </row>
    <row r="1972" customFormat="false" ht="15" hidden="false" customHeight="false" outlineLevel="0" collapsed="false">
      <c r="A1972" s="80"/>
      <c r="B1972" s="71"/>
      <c r="C1972" s="71"/>
      <c r="D1972" s="81"/>
      <c r="E1972" s="71"/>
      <c r="F1972" s="71"/>
      <c r="G1972" s="82" t="str">
        <f aca="false">IF(C1972="","",IFERROR(INDEX('Kit Lists'!$D$6:$D$605,MATCH(B1972&amp;"|"&amp;C1972,'Kit Lists'!$J$6:$J$605,0)),"Not on this contract's kit list"))</f>
        <v/>
      </c>
      <c r="H1972" s="83" t="str">
        <f aca="false">IF(AND(B1972="",C1972="",D1972=""),"",IF(B1972="","Missing contract",IF(C1972="","Missing code",IF(LEFT(G1972,3)="Not","Wrong code",IF(D1972="","Missing qty",IF(A1972="","Missing date",""))))))</f>
        <v/>
      </c>
      <c r="I1972" s="84" t="str">
        <f aca="false">IF(B1972=Dashboard!$D$3,ROW(),"")</f>
        <v/>
      </c>
    </row>
    <row r="1973" customFormat="false" ht="15" hidden="false" customHeight="false" outlineLevel="0" collapsed="false">
      <c r="A1973" s="80"/>
      <c r="B1973" s="71"/>
      <c r="C1973" s="71"/>
      <c r="D1973" s="81"/>
      <c r="E1973" s="71"/>
      <c r="F1973" s="71"/>
      <c r="G1973" s="82" t="str">
        <f aca="false">IF(C1973="","",IFERROR(INDEX('Kit Lists'!$D$6:$D$605,MATCH(B1973&amp;"|"&amp;C1973,'Kit Lists'!$J$6:$J$605,0)),"Not on this contract's kit list"))</f>
        <v/>
      </c>
      <c r="H1973" s="83" t="str">
        <f aca="false">IF(AND(B1973="",C1973="",D1973=""),"",IF(B1973="","Missing contract",IF(C1973="","Missing code",IF(LEFT(G1973,3)="Not","Wrong code",IF(D1973="","Missing qty",IF(A1973="","Missing date",""))))))</f>
        <v/>
      </c>
      <c r="I1973" s="84" t="str">
        <f aca="false">IF(B1973=Dashboard!$D$3,ROW(),"")</f>
        <v/>
      </c>
    </row>
    <row r="1974" customFormat="false" ht="15" hidden="false" customHeight="false" outlineLevel="0" collapsed="false">
      <c r="A1974" s="80"/>
      <c r="B1974" s="71"/>
      <c r="C1974" s="71"/>
      <c r="D1974" s="81"/>
      <c r="E1974" s="71"/>
      <c r="F1974" s="71"/>
      <c r="G1974" s="82" t="str">
        <f aca="false">IF(C1974="","",IFERROR(INDEX('Kit Lists'!$D$6:$D$605,MATCH(B1974&amp;"|"&amp;C1974,'Kit Lists'!$J$6:$J$605,0)),"Not on this contract's kit list"))</f>
        <v/>
      </c>
      <c r="H1974" s="83" t="str">
        <f aca="false">IF(AND(B1974="",C1974="",D1974=""),"",IF(B1974="","Missing contract",IF(C1974="","Missing code",IF(LEFT(G1974,3)="Not","Wrong code",IF(D1974="","Missing qty",IF(A1974="","Missing date",""))))))</f>
        <v/>
      </c>
      <c r="I1974" s="84" t="str">
        <f aca="false">IF(B1974=Dashboard!$D$3,ROW(),"")</f>
        <v/>
      </c>
    </row>
    <row r="1975" customFormat="false" ht="15" hidden="false" customHeight="false" outlineLevel="0" collapsed="false">
      <c r="A1975" s="80"/>
      <c r="B1975" s="71"/>
      <c r="C1975" s="71"/>
      <c r="D1975" s="81"/>
      <c r="E1975" s="71"/>
      <c r="F1975" s="71"/>
      <c r="G1975" s="82" t="str">
        <f aca="false">IF(C1975="","",IFERROR(INDEX('Kit Lists'!$D$6:$D$605,MATCH(B1975&amp;"|"&amp;C1975,'Kit Lists'!$J$6:$J$605,0)),"Not on this contract's kit list"))</f>
        <v/>
      </c>
      <c r="H1975" s="83" t="str">
        <f aca="false">IF(AND(B1975="",C1975="",D1975=""),"",IF(B1975="","Missing contract",IF(C1975="","Missing code",IF(LEFT(G1975,3)="Not","Wrong code",IF(D1975="","Missing qty",IF(A1975="","Missing date",""))))))</f>
        <v/>
      </c>
      <c r="I1975" s="84" t="str">
        <f aca="false">IF(B1975=Dashboard!$D$3,ROW(),"")</f>
        <v/>
      </c>
    </row>
    <row r="1976" customFormat="false" ht="15" hidden="false" customHeight="false" outlineLevel="0" collapsed="false">
      <c r="A1976" s="80"/>
      <c r="B1976" s="71"/>
      <c r="C1976" s="71"/>
      <c r="D1976" s="81"/>
      <c r="E1976" s="71"/>
      <c r="F1976" s="71"/>
      <c r="G1976" s="82" t="str">
        <f aca="false">IF(C1976="","",IFERROR(INDEX('Kit Lists'!$D$6:$D$605,MATCH(B1976&amp;"|"&amp;C1976,'Kit Lists'!$J$6:$J$605,0)),"Not on this contract's kit list"))</f>
        <v/>
      </c>
      <c r="H1976" s="83" t="str">
        <f aca="false">IF(AND(B1976="",C1976="",D1976=""),"",IF(B1976="","Missing contract",IF(C1976="","Missing code",IF(LEFT(G1976,3)="Not","Wrong code",IF(D1976="","Missing qty",IF(A1976="","Missing date",""))))))</f>
        <v/>
      </c>
      <c r="I1976" s="84" t="str">
        <f aca="false">IF(B1976=Dashboard!$D$3,ROW(),"")</f>
        <v/>
      </c>
    </row>
    <row r="1977" customFormat="false" ht="15" hidden="false" customHeight="false" outlineLevel="0" collapsed="false">
      <c r="A1977" s="80"/>
      <c r="B1977" s="71"/>
      <c r="C1977" s="71"/>
      <c r="D1977" s="81"/>
      <c r="E1977" s="71"/>
      <c r="F1977" s="71"/>
      <c r="G1977" s="82" t="str">
        <f aca="false">IF(C1977="","",IFERROR(INDEX('Kit Lists'!$D$6:$D$605,MATCH(B1977&amp;"|"&amp;C1977,'Kit Lists'!$J$6:$J$605,0)),"Not on this contract's kit list"))</f>
        <v/>
      </c>
      <c r="H1977" s="83" t="str">
        <f aca="false">IF(AND(B1977="",C1977="",D1977=""),"",IF(B1977="","Missing contract",IF(C1977="","Missing code",IF(LEFT(G1977,3)="Not","Wrong code",IF(D1977="","Missing qty",IF(A1977="","Missing date",""))))))</f>
        <v/>
      </c>
      <c r="I1977" s="84" t="str">
        <f aca="false">IF(B1977=Dashboard!$D$3,ROW(),"")</f>
        <v/>
      </c>
    </row>
    <row r="1978" customFormat="false" ht="15" hidden="false" customHeight="false" outlineLevel="0" collapsed="false">
      <c r="A1978" s="80"/>
      <c r="B1978" s="71"/>
      <c r="C1978" s="71"/>
      <c r="D1978" s="81"/>
      <c r="E1978" s="71"/>
      <c r="F1978" s="71"/>
      <c r="G1978" s="82" t="str">
        <f aca="false">IF(C1978="","",IFERROR(INDEX('Kit Lists'!$D$6:$D$605,MATCH(B1978&amp;"|"&amp;C1978,'Kit Lists'!$J$6:$J$605,0)),"Not on this contract's kit list"))</f>
        <v/>
      </c>
      <c r="H1978" s="83" t="str">
        <f aca="false">IF(AND(B1978="",C1978="",D1978=""),"",IF(B1978="","Missing contract",IF(C1978="","Missing code",IF(LEFT(G1978,3)="Not","Wrong code",IF(D1978="","Missing qty",IF(A1978="","Missing date",""))))))</f>
        <v/>
      </c>
      <c r="I1978" s="84" t="str">
        <f aca="false">IF(B1978=Dashboard!$D$3,ROW(),"")</f>
        <v/>
      </c>
    </row>
    <row r="1979" customFormat="false" ht="15" hidden="false" customHeight="false" outlineLevel="0" collapsed="false">
      <c r="A1979" s="80"/>
      <c r="B1979" s="71"/>
      <c r="C1979" s="71"/>
      <c r="D1979" s="81"/>
      <c r="E1979" s="71"/>
      <c r="F1979" s="71"/>
      <c r="G1979" s="82" t="str">
        <f aca="false">IF(C1979="","",IFERROR(INDEX('Kit Lists'!$D$6:$D$605,MATCH(B1979&amp;"|"&amp;C1979,'Kit Lists'!$J$6:$J$605,0)),"Not on this contract's kit list"))</f>
        <v/>
      </c>
      <c r="H1979" s="83" t="str">
        <f aca="false">IF(AND(B1979="",C1979="",D1979=""),"",IF(B1979="","Missing contract",IF(C1979="","Missing code",IF(LEFT(G1979,3)="Not","Wrong code",IF(D1979="","Missing qty",IF(A1979="","Missing date",""))))))</f>
        <v/>
      </c>
      <c r="I1979" s="84" t="str">
        <f aca="false">IF(B1979=Dashboard!$D$3,ROW(),"")</f>
        <v/>
      </c>
    </row>
    <row r="1980" customFormat="false" ht="15" hidden="false" customHeight="false" outlineLevel="0" collapsed="false">
      <c r="A1980" s="80"/>
      <c r="B1980" s="71"/>
      <c r="C1980" s="71"/>
      <c r="D1980" s="81"/>
      <c r="E1980" s="71"/>
      <c r="F1980" s="71"/>
      <c r="G1980" s="82" t="str">
        <f aca="false">IF(C1980="","",IFERROR(INDEX('Kit Lists'!$D$6:$D$605,MATCH(B1980&amp;"|"&amp;C1980,'Kit Lists'!$J$6:$J$605,0)),"Not on this contract's kit list"))</f>
        <v/>
      </c>
      <c r="H1980" s="83" t="str">
        <f aca="false">IF(AND(B1980="",C1980="",D1980=""),"",IF(B1980="","Missing contract",IF(C1980="","Missing code",IF(LEFT(G1980,3)="Not","Wrong code",IF(D1980="","Missing qty",IF(A1980="","Missing date",""))))))</f>
        <v/>
      </c>
      <c r="I1980" s="84" t="str">
        <f aca="false">IF(B1980=Dashboard!$D$3,ROW(),"")</f>
        <v/>
      </c>
    </row>
    <row r="1981" customFormat="false" ht="15" hidden="false" customHeight="false" outlineLevel="0" collapsed="false">
      <c r="A1981" s="80"/>
      <c r="B1981" s="71"/>
      <c r="C1981" s="71"/>
      <c r="D1981" s="81"/>
      <c r="E1981" s="71"/>
      <c r="F1981" s="71"/>
      <c r="G1981" s="82" t="str">
        <f aca="false">IF(C1981="","",IFERROR(INDEX('Kit Lists'!$D$6:$D$605,MATCH(B1981&amp;"|"&amp;C1981,'Kit Lists'!$J$6:$J$605,0)),"Not on this contract's kit list"))</f>
        <v/>
      </c>
      <c r="H1981" s="83" t="str">
        <f aca="false">IF(AND(B1981="",C1981="",D1981=""),"",IF(B1981="","Missing contract",IF(C1981="","Missing code",IF(LEFT(G1981,3)="Not","Wrong code",IF(D1981="","Missing qty",IF(A1981="","Missing date",""))))))</f>
        <v/>
      </c>
      <c r="I1981" s="84" t="str">
        <f aca="false">IF(B1981=Dashboard!$D$3,ROW(),"")</f>
        <v/>
      </c>
    </row>
    <row r="1982" customFormat="false" ht="15" hidden="false" customHeight="false" outlineLevel="0" collapsed="false">
      <c r="A1982" s="80"/>
      <c r="B1982" s="71"/>
      <c r="C1982" s="71"/>
      <c r="D1982" s="81"/>
      <c r="E1982" s="71"/>
      <c r="F1982" s="71"/>
      <c r="G1982" s="82" t="str">
        <f aca="false">IF(C1982="","",IFERROR(INDEX('Kit Lists'!$D$6:$D$605,MATCH(B1982&amp;"|"&amp;C1982,'Kit Lists'!$J$6:$J$605,0)),"Not on this contract's kit list"))</f>
        <v/>
      </c>
      <c r="H1982" s="83" t="str">
        <f aca="false">IF(AND(B1982="",C1982="",D1982=""),"",IF(B1982="","Missing contract",IF(C1982="","Missing code",IF(LEFT(G1982,3)="Not","Wrong code",IF(D1982="","Missing qty",IF(A1982="","Missing date",""))))))</f>
        <v/>
      </c>
      <c r="I1982" s="84" t="str">
        <f aca="false">IF(B1982=Dashboard!$D$3,ROW(),"")</f>
        <v/>
      </c>
    </row>
    <row r="1983" customFormat="false" ht="15" hidden="false" customHeight="false" outlineLevel="0" collapsed="false">
      <c r="A1983" s="80"/>
      <c r="B1983" s="71"/>
      <c r="C1983" s="71"/>
      <c r="D1983" s="81"/>
      <c r="E1983" s="71"/>
      <c r="F1983" s="71"/>
      <c r="G1983" s="82" t="str">
        <f aca="false">IF(C1983="","",IFERROR(INDEX('Kit Lists'!$D$6:$D$605,MATCH(B1983&amp;"|"&amp;C1983,'Kit Lists'!$J$6:$J$605,0)),"Not on this contract's kit list"))</f>
        <v/>
      </c>
      <c r="H1983" s="83" t="str">
        <f aca="false">IF(AND(B1983="",C1983="",D1983=""),"",IF(B1983="","Missing contract",IF(C1983="","Missing code",IF(LEFT(G1983,3)="Not","Wrong code",IF(D1983="","Missing qty",IF(A1983="","Missing date",""))))))</f>
        <v/>
      </c>
      <c r="I1983" s="84" t="str">
        <f aca="false">IF(B1983=Dashboard!$D$3,ROW(),"")</f>
        <v/>
      </c>
    </row>
    <row r="1984" customFormat="false" ht="15" hidden="false" customHeight="false" outlineLevel="0" collapsed="false">
      <c r="A1984" s="80"/>
      <c r="B1984" s="71"/>
      <c r="C1984" s="71"/>
      <c r="D1984" s="81"/>
      <c r="E1984" s="71"/>
      <c r="F1984" s="71"/>
      <c r="G1984" s="82" t="str">
        <f aca="false">IF(C1984="","",IFERROR(INDEX('Kit Lists'!$D$6:$D$605,MATCH(B1984&amp;"|"&amp;C1984,'Kit Lists'!$J$6:$J$605,0)),"Not on this contract's kit list"))</f>
        <v/>
      </c>
      <c r="H1984" s="83" t="str">
        <f aca="false">IF(AND(B1984="",C1984="",D1984=""),"",IF(B1984="","Missing contract",IF(C1984="","Missing code",IF(LEFT(G1984,3)="Not","Wrong code",IF(D1984="","Missing qty",IF(A1984="","Missing date",""))))))</f>
        <v/>
      </c>
      <c r="I1984" s="84" t="str">
        <f aca="false">IF(B1984=Dashboard!$D$3,ROW(),"")</f>
        <v/>
      </c>
    </row>
    <row r="1985" customFormat="false" ht="15" hidden="false" customHeight="false" outlineLevel="0" collapsed="false">
      <c r="A1985" s="80"/>
      <c r="B1985" s="71"/>
      <c r="C1985" s="71"/>
      <c r="D1985" s="81"/>
      <c r="E1985" s="71"/>
      <c r="F1985" s="71"/>
      <c r="G1985" s="82" t="str">
        <f aca="false">IF(C1985="","",IFERROR(INDEX('Kit Lists'!$D$6:$D$605,MATCH(B1985&amp;"|"&amp;C1985,'Kit Lists'!$J$6:$J$605,0)),"Not on this contract's kit list"))</f>
        <v/>
      </c>
      <c r="H1985" s="83" t="str">
        <f aca="false">IF(AND(B1985="",C1985="",D1985=""),"",IF(B1985="","Missing contract",IF(C1985="","Missing code",IF(LEFT(G1985,3)="Not","Wrong code",IF(D1985="","Missing qty",IF(A1985="","Missing date",""))))))</f>
        <v/>
      </c>
      <c r="I1985" s="84" t="str">
        <f aca="false">IF(B1985=Dashboard!$D$3,ROW(),"")</f>
        <v/>
      </c>
    </row>
    <row r="1986" customFormat="false" ht="15" hidden="false" customHeight="false" outlineLevel="0" collapsed="false">
      <c r="A1986" s="80"/>
      <c r="B1986" s="71"/>
      <c r="C1986" s="71"/>
      <c r="D1986" s="81"/>
      <c r="E1986" s="71"/>
      <c r="F1986" s="71"/>
      <c r="G1986" s="82" t="str">
        <f aca="false">IF(C1986="","",IFERROR(INDEX('Kit Lists'!$D$6:$D$605,MATCH(B1986&amp;"|"&amp;C1986,'Kit Lists'!$J$6:$J$605,0)),"Not on this contract's kit list"))</f>
        <v/>
      </c>
      <c r="H1986" s="83" t="str">
        <f aca="false">IF(AND(B1986="",C1986="",D1986=""),"",IF(B1986="","Missing contract",IF(C1986="","Missing code",IF(LEFT(G1986,3)="Not","Wrong code",IF(D1986="","Missing qty",IF(A1986="","Missing date",""))))))</f>
        <v/>
      </c>
      <c r="I1986" s="84" t="str">
        <f aca="false">IF(B1986=Dashboard!$D$3,ROW(),"")</f>
        <v/>
      </c>
    </row>
    <row r="1987" customFormat="false" ht="15" hidden="false" customHeight="false" outlineLevel="0" collapsed="false">
      <c r="A1987" s="80"/>
      <c r="B1987" s="71"/>
      <c r="C1987" s="71"/>
      <c r="D1987" s="81"/>
      <c r="E1987" s="71"/>
      <c r="F1987" s="71"/>
      <c r="G1987" s="82" t="str">
        <f aca="false">IF(C1987="","",IFERROR(INDEX('Kit Lists'!$D$6:$D$605,MATCH(B1987&amp;"|"&amp;C1987,'Kit Lists'!$J$6:$J$605,0)),"Not on this contract's kit list"))</f>
        <v/>
      </c>
      <c r="H1987" s="83" t="str">
        <f aca="false">IF(AND(B1987="",C1987="",D1987=""),"",IF(B1987="","Missing contract",IF(C1987="","Missing code",IF(LEFT(G1987,3)="Not","Wrong code",IF(D1987="","Missing qty",IF(A1987="","Missing date",""))))))</f>
        <v/>
      </c>
      <c r="I1987" s="84" t="str">
        <f aca="false">IF(B1987=Dashboard!$D$3,ROW(),"")</f>
        <v/>
      </c>
    </row>
    <row r="1988" customFormat="false" ht="15" hidden="false" customHeight="false" outlineLevel="0" collapsed="false">
      <c r="A1988" s="80"/>
      <c r="B1988" s="71"/>
      <c r="C1988" s="71"/>
      <c r="D1988" s="81"/>
      <c r="E1988" s="71"/>
      <c r="F1988" s="71"/>
      <c r="G1988" s="82" t="str">
        <f aca="false">IF(C1988="","",IFERROR(INDEX('Kit Lists'!$D$6:$D$605,MATCH(B1988&amp;"|"&amp;C1988,'Kit Lists'!$J$6:$J$605,0)),"Not on this contract's kit list"))</f>
        <v/>
      </c>
      <c r="H1988" s="83" t="str">
        <f aca="false">IF(AND(B1988="",C1988="",D1988=""),"",IF(B1988="","Missing contract",IF(C1988="","Missing code",IF(LEFT(G1988,3)="Not","Wrong code",IF(D1988="","Missing qty",IF(A1988="","Missing date",""))))))</f>
        <v/>
      </c>
      <c r="I1988" s="84" t="str">
        <f aca="false">IF(B1988=Dashboard!$D$3,ROW(),"")</f>
        <v/>
      </c>
    </row>
    <row r="1989" customFormat="false" ht="15" hidden="false" customHeight="false" outlineLevel="0" collapsed="false">
      <c r="A1989" s="80"/>
      <c r="B1989" s="71"/>
      <c r="C1989" s="71"/>
      <c r="D1989" s="81"/>
      <c r="E1989" s="71"/>
      <c r="F1989" s="71"/>
      <c r="G1989" s="82" t="str">
        <f aca="false">IF(C1989="","",IFERROR(INDEX('Kit Lists'!$D$6:$D$605,MATCH(B1989&amp;"|"&amp;C1989,'Kit Lists'!$J$6:$J$605,0)),"Not on this contract's kit list"))</f>
        <v/>
      </c>
      <c r="H1989" s="83" t="str">
        <f aca="false">IF(AND(B1989="",C1989="",D1989=""),"",IF(B1989="","Missing contract",IF(C1989="","Missing code",IF(LEFT(G1989,3)="Not","Wrong code",IF(D1989="","Missing qty",IF(A1989="","Missing date",""))))))</f>
        <v/>
      </c>
      <c r="I1989" s="84" t="str">
        <f aca="false">IF(B1989=Dashboard!$D$3,ROW(),"")</f>
        <v/>
      </c>
    </row>
    <row r="1990" customFormat="false" ht="15" hidden="false" customHeight="false" outlineLevel="0" collapsed="false">
      <c r="A1990" s="80"/>
      <c r="B1990" s="71"/>
      <c r="C1990" s="71"/>
      <c r="D1990" s="81"/>
      <c r="E1990" s="71"/>
      <c r="F1990" s="71"/>
      <c r="G1990" s="82" t="str">
        <f aca="false">IF(C1990="","",IFERROR(INDEX('Kit Lists'!$D$6:$D$605,MATCH(B1990&amp;"|"&amp;C1990,'Kit Lists'!$J$6:$J$605,0)),"Not on this contract's kit list"))</f>
        <v/>
      </c>
      <c r="H1990" s="83" t="str">
        <f aca="false">IF(AND(B1990="",C1990="",D1990=""),"",IF(B1990="","Missing contract",IF(C1990="","Missing code",IF(LEFT(G1990,3)="Not","Wrong code",IF(D1990="","Missing qty",IF(A1990="","Missing date",""))))))</f>
        <v/>
      </c>
      <c r="I1990" s="84" t="str">
        <f aca="false">IF(B1990=Dashboard!$D$3,ROW(),"")</f>
        <v/>
      </c>
    </row>
    <row r="1991" customFormat="false" ht="15" hidden="false" customHeight="false" outlineLevel="0" collapsed="false">
      <c r="A1991" s="80"/>
      <c r="B1991" s="71"/>
      <c r="C1991" s="71"/>
      <c r="D1991" s="81"/>
      <c r="E1991" s="71"/>
      <c r="F1991" s="71"/>
      <c r="G1991" s="82" t="str">
        <f aca="false">IF(C1991="","",IFERROR(INDEX('Kit Lists'!$D$6:$D$605,MATCH(B1991&amp;"|"&amp;C1991,'Kit Lists'!$J$6:$J$605,0)),"Not on this contract's kit list"))</f>
        <v/>
      </c>
      <c r="H1991" s="83" t="str">
        <f aca="false">IF(AND(B1991="",C1991="",D1991=""),"",IF(B1991="","Missing contract",IF(C1991="","Missing code",IF(LEFT(G1991,3)="Not","Wrong code",IF(D1991="","Missing qty",IF(A1991="","Missing date",""))))))</f>
        <v/>
      </c>
      <c r="I1991" s="84" t="str">
        <f aca="false">IF(B1991=Dashboard!$D$3,ROW(),"")</f>
        <v/>
      </c>
    </row>
    <row r="1992" customFormat="false" ht="15" hidden="false" customHeight="false" outlineLevel="0" collapsed="false">
      <c r="A1992" s="80"/>
      <c r="B1992" s="71"/>
      <c r="C1992" s="71"/>
      <c r="D1992" s="81"/>
      <c r="E1992" s="71"/>
      <c r="F1992" s="71"/>
      <c r="G1992" s="82" t="str">
        <f aca="false">IF(C1992="","",IFERROR(INDEX('Kit Lists'!$D$6:$D$605,MATCH(B1992&amp;"|"&amp;C1992,'Kit Lists'!$J$6:$J$605,0)),"Not on this contract's kit list"))</f>
        <v/>
      </c>
      <c r="H1992" s="83" t="str">
        <f aca="false">IF(AND(B1992="",C1992="",D1992=""),"",IF(B1992="","Missing contract",IF(C1992="","Missing code",IF(LEFT(G1992,3)="Not","Wrong code",IF(D1992="","Missing qty",IF(A1992="","Missing date",""))))))</f>
        <v/>
      </c>
      <c r="I1992" s="84" t="str">
        <f aca="false">IF(B1992=Dashboard!$D$3,ROW(),"")</f>
        <v/>
      </c>
    </row>
    <row r="1993" customFormat="false" ht="15" hidden="false" customHeight="false" outlineLevel="0" collapsed="false">
      <c r="A1993" s="80"/>
      <c r="B1993" s="71"/>
      <c r="C1993" s="71"/>
      <c r="D1993" s="81"/>
      <c r="E1993" s="71"/>
      <c r="F1993" s="71"/>
      <c r="G1993" s="82" t="str">
        <f aca="false">IF(C1993="","",IFERROR(INDEX('Kit Lists'!$D$6:$D$605,MATCH(B1993&amp;"|"&amp;C1993,'Kit Lists'!$J$6:$J$605,0)),"Not on this contract's kit list"))</f>
        <v/>
      </c>
      <c r="H1993" s="83" t="str">
        <f aca="false">IF(AND(B1993="",C1993="",D1993=""),"",IF(B1993="","Missing contract",IF(C1993="","Missing code",IF(LEFT(G1993,3)="Not","Wrong code",IF(D1993="","Missing qty",IF(A1993="","Missing date",""))))))</f>
        <v/>
      </c>
      <c r="I1993" s="84" t="str">
        <f aca="false">IF(B1993=Dashboard!$D$3,ROW(),"")</f>
        <v/>
      </c>
    </row>
    <row r="1994" customFormat="false" ht="15" hidden="false" customHeight="false" outlineLevel="0" collapsed="false">
      <c r="A1994" s="80"/>
      <c r="B1994" s="71"/>
      <c r="C1994" s="71"/>
      <c r="D1994" s="81"/>
      <c r="E1994" s="71"/>
      <c r="F1994" s="71"/>
      <c r="G1994" s="82" t="str">
        <f aca="false">IF(C1994="","",IFERROR(INDEX('Kit Lists'!$D$6:$D$605,MATCH(B1994&amp;"|"&amp;C1994,'Kit Lists'!$J$6:$J$605,0)),"Not on this contract's kit list"))</f>
        <v/>
      </c>
      <c r="H1994" s="83" t="str">
        <f aca="false">IF(AND(B1994="",C1994="",D1994=""),"",IF(B1994="","Missing contract",IF(C1994="","Missing code",IF(LEFT(G1994,3)="Not","Wrong code",IF(D1994="","Missing qty",IF(A1994="","Missing date",""))))))</f>
        <v/>
      </c>
      <c r="I1994" s="84" t="str">
        <f aca="false">IF(B1994=Dashboard!$D$3,ROW(),"")</f>
        <v/>
      </c>
    </row>
    <row r="1995" customFormat="false" ht="15" hidden="false" customHeight="false" outlineLevel="0" collapsed="false">
      <c r="A1995" s="80"/>
      <c r="B1995" s="71"/>
      <c r="C1995" s="71"/>
      <c r="D1995" s="81"/>
      <c r="E1995" s="71"/>
      <c r="F1995" s="71"/>
      <c r="G1995" s="82" t="str">
        <f aca="false">IF(C1995="","",IFERROR(INDEX('Kit Lists'!$D$6:$D$605,MATCH(B1995&amp;"|"&amp;C1995,'Kit Lists'!$J$6:$J$605,0)),"Not on this contract's kit list"))</f>
        <v/>
      </c>
      <c r="H1995" s="83" t="str">
        <f aca="false">IF(AND(B1995="",C1995="",D1995=""),"",IF(B1995="","Missing contract",IF(C1995="","Missing code",IF(LEFT(G1995,3)="Not","Wrong code",IF(D1995="","Missing qty",IF(A1995="","Missing date",""))))))</f>
        <v/>
      </c>
      <c r="I1995" s="84" t="str">
        <f aca="false">IF(B1995=Dashboard!$D$3,ROW(),"")</f>
        <v/>
      </c>
    </row>
    <row r="1996" customFormat="false" ht="15" hidden="false" customHeight="false" outlineLevel="0" collapsed="false">
      <c r="A1996" s="80"/>
      <c r="B1996" s="71"/>
      <c r="C1996" s="71"/>
      <c r="D1996" s="81"/>
      <c r="E1996" s="71"/>
      <c r="F1996" s="71"/>
      <c r="G1996" s="82" t="str">
        <f aca="false">IF(C1996="","",IFERROR(INDEX('Kit Lists'!$D$6:$D$605,MATCH(B1996&amp;"|"&amp;C1996,'Kit Lists'!$J$6:$J$605,0)),"Not on this contract's kit list"))</f>
        <v/>
      </c>
      <c r="H1996" s="83" t="str">
        <f aca="false">IF(AND(B1996="",C1996="",D1996=""),"",IF(B1996="","Missing contract",IF(C1996="","Missing code",IF(LEFT(G1996,3)="Not","Wrong code",IF(D1996="","Missing qty",IF(A1996="","Missing date",""))))))</f>
        <v/>
      </c>
      <c r="I1996" s="84" t="str">
        <f aca="false">IF(B1996=Dashboard!$D$3,ROW(),"")</f>
        <v/>
      </c>
    </row>
    <row r="1997" customFormat="false" ht="15" hidden="false" customHeight="false" outlineLevel="0" collapsed="false">
      <c r="A1997" s="80"/>
      <c r="B1997" s="71"/>
      <c r="C1997" s="71"/>
      <c r="D1997" s="81"/>
      <c r="E1997" s="71"/>
      <c r="F1997" s="71"/>
      <c r="G1997" s="82" t="str">
        <f aca="false">IF(C1997="","",IFERROR(INDEX('Kit Lists'!$D$6:$D$605,MATCH(B1997&amp;"|"&amp;C1997,'Kit Lists'!$J$6:$J$605,0)),"Not on this contract's kit list"))</f>
        <v/>
      </c>
      <c r="H1997" s="83" t="str">
        <f aca="false">IF(AND(B1997="",C1997="",D1997=""),"",IF(B1997="","Missing contract",IF(C1997="","Missing code",IF(LEFT(G1997,3)="Not","Wrong code",IF(D1997="","Missing qty",IF(A1997="","Missing date",""))))))</f>
        <v/>
      </c>
      <c r="I1997" s="84" t="str">
        <f aca="false">IF(B1997=Dashboard!$D$3,ROW(),"")</f>
        <v/>
      </c>
    </row>
    <row r="1998" customFormat="false" ht="15" hidden="false" customHeight="false" outlineLevel="0" collapsed="false">
      <c r="A1998" s="80"/>
      <c r="B1998" s="71"/>
      <c r="C1998" s="71"/>
      <c r="D1998" s="81"/>
      <c r="E1998" s="71"/>
      <c r="F1998" s="71"/>
      <c r="G1998" s="82" t="str">
        <f aca="false">IF(C1998="","",IFERROR(INDEX('Kit Lists'!$D$6:$D$605,MATCH(B1998&amp;"|"&amp;C1998,'Kit Lists'!$J$6:$J$605,0)),"Not on this contract's kit list"))</f>
        <v/>
      </c>
      <c r="H1998" s="83" t="str">
        <f aca="false">IF(AND(B1998="",C1998="",D1998=""),"",IF(B1998="","Missing contract",IF(C1998="","Missing code",IF(LEFT(G1998,3)="Not","Wrong code",IF(D1998="","Missing qty",IF(A1998="","Missing date",""))))))</f>
        <v/>
      </c>
      <c r="I1998" s="84" t="str">
        <f aca="false">IF(B1998=Dashboard!$D$3,ROW(),"")</f>
        <v/>
      </c>
    </row>
    <row r="1999" customFormat="false" ht="15" hidden="false" customHeight="false" outlineLevel="0" collapsed="false">
      <c r="A1999" s="80"/>
      <c r="B1999" s="71"/>
      <c r="C1999" s="71"/>
      <c r="D1999" s="81"/>
      <c r="E1999" s="71"/>
      <c r="F1999" s="71"/>
      <c r="G1999" s="82" t="str">
        <f aca="false">IF(C1999="","",IFERROR(INDEX('Kit Lists'!$D$6:$D$605,MATCH(B1999&amp;"|"&amp;C1999,'Kit Lists'!$J$6:$J$605,0)),"Not on this contract's kit list"))</f>
        <v/>
      </c>
      <c r="H1999" s="83" t="str">
        <f aca="false">IF(AND(B1999="",C1999="",D1999=""),"",IF(B1999="","Missing contract",IF(C1999="","Missing code",IF(LEFT(G1999,3)="Not","Wrong code",IF(D1999="","Missing qty",IF(A1999="","Missing date",""))))))</f>
        <v/>
      </c>
      <c r="I1999" s="84" t="str">
        <f aca="false">IF(B1999=Dashboard!$D$3,ROW(),"")</f>
        <v/>
      </c>
    </row>
    <row r="2000" customFormat="false" ht="15" hidden="false" customHeight="false" outlineLevel="0" collapsed="false">
      <c r="A2000" s="80"/>
      <c r="B2000" s="71"/>
      <c r="C2000" s="71"/>
      <c r="D2000" s="81"/>
      <c r="E2000" s="71"/>
      <c r="F2000" s="71"/>
      <c r="G2000" s="82" t="str">
        <f aca="false">IF(C2000="","",IFERROR(INDEX('Kit Lists'!$D$6:$D$605,MATCH(B2000&amp;"|"&amp;C2000,'Kit Lists'!$J$6:$J$605,0)),"Not on this contract's kit list"))</f>
        <v/>
      </c>
      <c r="H2000" s="83" t="str">
        <f aca="false">IF(AND(B2000="",C2000="",D2000=""),"",IF(B2000="","Missing contract",IF(C2000="","Missing code",IF(LEFT(G2000,3)="Not","Wrong code",IF(D2000="","Missing qty",IF(A2000="","Missing date",""))))))</f>
        <v/>
      </c>
      <c r="I2000" s="84" t="str">
        <f aca="false">IF(B2000=Dashboard!$D$3,ROW(),"")</f>
        <v/>
      </c>
    </row>
    <row r="2001" customFormat="false" ht="15" hidden="false" customHeight="false" outlineLevel="0" collapsed="false">
      <c r="A2001" s="80"/>
      <c r="B2001" s="71"/>
      <c r="C2001" s="71"/>
      <c r="D2001" s="81"/>
      <c r="E2001" s="71"/>
      <c r="F2001" s="71"/>
      <c r="G2001" s="82" t="str">
        <f aca="false">IF(C2001="","",IFERROR(INDEX('Kit Lists'!$D$6:$D$605,MATCH(B2001&amp;"|"&amp;C2001,'Kit Lists'!$J$6:$J$605,0)),"Not on this contract's kit list"))</f>
        <v/>
      </c>
      <c r="H2001" s="83" t="str">
        <f aca="false">IF(AND(B2001="",C2001="",D2001=""),"",IF(B2001="","Missing contract",IF(C2001="","Missing code",IF(LEFT(G2001,3)="Not","Wrong code",IF(D2001="","Missing qty",IF(A2001="","Missing date",""))))))</f>
        <v/>
      </c>
      <c r="I2001" s="84" t="str">
        <f aca="false">IF(B2001=Dashboard!$D$3,ROW(),"")</f>
        <v/>
      </c>
    </row>
    <row r="2002" customFormat="false" ht="15" hidden="false" customHeight="false" outlineLevel="0" collapsed="false">
      <c r="A2002" s="80"/>
      <c r="B2002" s="71"/>
      <c r="C2002" s="71"/>
      <c r="D2002" s="81"/>
      <c r="E2002" s="71"/>
      <c r="F2002" s="71"/>
      <c r="G2002" s="82" t="str">
        <f aca="false">IF(C2002="","",IFERROR(INDEX('Kit Lists'!$D$6:$D$605,MATCH(B2002&amp;"|"&amp;C2002,'Kit Lists'!$J$6:$J$605,0)),"Not on this contract's kit list"))</f>
        <v/>
      </c>
      <c r="H2002" s="83" t="str">
        <f aca="false">IF(AND(B2002="",C2002="",D2002=""),"",IF(B2002="","Missing contract",IF(C2002="","Missing code",IF(LEFT(G2002,3)="Not","Wrong code",IF(D2002="","Missing qty",IF(A2002="","Missing date",""))))))</f>
        <v/>
      </c>
      <c r="I2002" s="84" t="str">
        <f aca="false">IF(B2002=Dashboard!$D$3,ROW(),"")</f>
        <v/>
      </c>
    </row>
    <row r="2003" customFormat="false" ht="15" hidden="false" customHeight="false" outlineLevel="0" collapsed="false">
      <c r="A2003" s="80"/>
      <c r="B2003" s="71"/>
      <c r="C2003" s="71"/>
      <c r="D2003" s="81"/>
      <c r="E2003" s="71"/>
      <c r="F2003" s="71"/>
      <c r="G2003" s="82" t="str">
        <f aca="false">IF(C2003="","",IFERROR(INDEX('Kit Lists'!$D$6:$D$605,MATCH(B2003&amp;"|"&amp;C2003,'Kit Lists'!$J$6:$J$605,0)),"Not on this contract's kit list"))</f>
        <v/>
      </c>
      <c r="H2003" s="83" t="str">
        <f aca="false">IF(AND(B2003="",C2003="",D2003=""),"",IF(B2003="","Missing contract",IF(C2003="","Missing code",IF(LEFT(G2003,3)="Not","Wrong code",IF(D2003="","Missing qty",IF(A2003="","Missing date",""))))))</f>
        <v/>
      </c>
      <c r="I2003" s="84" t="str">
        <f aca="false">IF(B2003=Dashboard!$D$3,ROW(),"")</f>
        <v/>
      </c>
    </row>
    <row r="2004" customFormat="false" ht="15" hidden="false" customHeight="false" outlineLevel="0" collapsed="false">
      <c r="A2004" s="80"/>
      <c r="B2004" s="71"/>
      <c r="C2004" s="71"/>
      <c r="D2004" s="81"/>
      <c r="E2004" s="71"/>
      <c r="F2004" s="71"/>
      <c r="G2004" s="82" t="str">
        <f aca="false">IF(C2004="","",IFERROR(INDEX('Kit Lists'!$D$6:$D$605,MATCH(B2004&amp;"|"&amp;C2004,'Kit Lists'!$J$6:$J$605,0)),"Not on this contract's kit list"))</f>
        <v/>
      </c>
      <c r="H2004" s="83" t="str">
        <f aca="false">IF(AND(B2004="",C2004="",D2004=""),"",IF(B2004="","Missing contract",IF(C2004="","Missing code",IF(LEFT(G2004,3)="Not","Wrong code",IF(D2004="","Missing qty",IF(A2004="","Missing date",""))))))</f>
        <v/>
      </c>
      <c r="I2004" s="84" t="str">
        <f aca="false">IF(B2004=Dashboard!$D$3,ROW(),"")</f>
        <v/>
      </c>
    </row>
    <row r="2005" customFormat="false" ht="15" hidden="false" customHeight="false" outlineLevel="0" collapsed="false">
      <c r="A2005" s="80"/>
      <c r="B2005" s="71"/>
      <c r="C2005" s="71"/>
      <c r="D2005" s="81"/>
      <c r="E2005" s="71"/>
      <c r="F2005" s="71"/>
      <c r="G2005" s="82" t="str">
        <f aca="false">IF(C2005="","",IFERROR(INDEX('Kit Lists'!$D$6:$D$605,MATCH(B2005&amp;"|"&amp;C2005,'Kit Lists'!$J$6:$J$605,0)),"Not on this contract's kit list"))</f>
        <v/>
      </c>
      <c r="H2005" s="83" t="str">
        <f aca="false">IF(AND(B2005="",C2005="",D2005=""),"",IF(B2005="","Missing contract",IF(C2005="","Missing code",IF(LEFT(G2005,3)="Not","Wrong code",IF(D2005="","Missing qty",IF(A2005="","Missing date",""))))))</f>
        <v/>
      </c>
      <c r="I2005" s="84" t="str">
        <f aca="false">IF(B2005=Dashboard!$D$3,ROW(),"")</f>
        <v/>
      </c>
    </row>
    <row r="2006" customFormat="false" ht="15" hidden="false" customHeight="false" outlineLevel="0" collapsed="false">
      <c r="A2006" s="80"/>
      <c r="B2006" s="71"/>
      <c r="C2006" s="71"/>
      <c r="D2006" s="81"/>
      <c r="E2006" s="71"/>
      <c r="F2006" s="71"/>
      <c r="G2006" s="82" t="str">
        <f aca="false">IF(C2006="","",IFERROR(INDEX('Kit Lists'!$D$6:$D$605,MATCH(B2006&amp;"|"&amp;C2006,'Kit Lists'!$J$6:$J$605,0)),"Not on this contract's kit list"))</f>
        <v/>
      </c>
      <c r="H2006" s="83" t="str">
        <f aca="false">IF(AND(B2006="",C2006="",D2006=""),"",IF(B2006="","Missing contract",IF(C2006="","Missing code",IF(LEFT(G2006,3)="Not","Wrong code",IF(D2006="","Missing qty",IF(A2006="","Missing date",""))))))</f>
        <v/>
      </c>
      <c r="I2006" s="84" t="str">
        <f aca="false">IF(B2006=Dashboard!$D$3,ROW(),"")</f>
        <v/>
      </c>
    </row>
    <row r="2007" customFormat="false" ht="15" hidden="false" customHeight="false" outlineLevel="0" collapsed="false">
      <c r="A2007" s="80"/>
      <c r="B2007" s="71"/>
      <c r="C2007" s="71"/>
      <c r="D2007" s="81"/>
      <c r="E2007" s="71"/>
      <c r="F2007" s="71"/>
      <c r="G2007" s="82" t="str">
        <f aca="false">IF(C2007="","",IFERROR(INDEX('Kit Lists'!$D$6:$D$605,MATCH(B2007&amp;"|"&amp;C2007,'Kit Lists'!$J$6:$J$605,0)),"Not on this contract's kit list"))</f>
        <v/>
      </c>
      <c r="H2007" s="83" t="str">
        <f aca="false">IF(AND(B2007="",C2007="",D2007=""),"",IF(B2007="","Missing contract",IF(C2007="","Missing code",IF(LEFT(G2007,3)="Not","Wrong code",IF(D2007="","Missing qty",IF(A2007="","Missing date",""))))))</f>
        <v/>
      </c>
      <c r="I2007" s="84" t="str">
        <f aca="false">IF(B2007=Dashboard!$D$3,ROW(),"")</f>
        <v/>
      </c>
    </row>
    <row r="2008" customFormat="false" ht="15" hidden="false" customHeight="false" outlineLevel="0" collapsed="false">
      <c r="A2008" s="80"/>
      <c r="B2008" s="71"/>
      <c r="C2008" s="71"/>
      <c r="D2008" s="81"/>
      <c r="E2008" s="71"/>
      <c r="F2008" s="71"/>
      <c r="G2008" s="82" t="str">
        <f aca="false">IF(C2008="","",IFERROR(INDEX('Kit Lists'!$D$6:$D$605,MATCH(B2008&amp;"|"&amp;C2008,'Kit Lists'!$J$6:$J$605,0)),"Not on this contract's kit list"))</f>
        <v/>
      </c>
      <c r="H2008" s="83" t="str">
        <f aca="false">IF(AND(B2008="",C2008="",D2008=""),"",IF(B2008="","Missing contract",IF(C2008="","Missing code",IF(LEFT(G2008,3)="Not","Wrong code",IF(D2008="","Missing qty",IF(A2008="","Missing date",""))))))</f>
        <v/>
      </c>
      <c r="I2008" s="84" t="str">
        <f aca="false">IF(B2008=Dashboard!$D$3,ROW(),"")</f>
        <v/>
      </c>
    </row>
    <row r="2009" customFormat="false" ht="15" hidden="false" customHeight="false" outlineLevel="0" collapsed="false">
      <c r="A2009" s="80"/>
      <c r="B2009" s="71"/>
      <c r="C2009" s="71"/>
      <c r="D2009" s="81"/>
      <c r="E2009" s="71"/>
      <c r="F2009" s="71"/>
      <c r="G2009" s="82" t="str">
        <f aca="false">IF(C2009="","",IFERROR(INDEX('Kit Lists'!$D$6:$D$605,MATCH(B2009&amp;"|"&amp;C2009,'Kit Lists'!$J$6:$J$605,0)),"Not on this contract's kit list"))</f>
        <v/>
      </c>
      <c r="H2009" s="83" t="str">
        <f aca="false">IF(AND(B2009="",C2009="",D2009=""),"",IF(B2009="","Missing contract",IF(C2009="","Missing code",IF(LEFT(G2009,3)="Not","Wrong code",IF(D2009="","Missing qty",IF(A2009="","Missing date",""))))))</f>
        <v/>
      </c>
      <c r="I2009" s="84" t="str">
        <f aca="false">IF(B2009=Dashboard!$D$3,ROW(),"")</f>
        <v/>
      </c>
    </row>
    <row r="2010" customFormat="false" ht="15" hidden="false" customHeight="false" outlineLevel="0" collapsed="false">
      <c r="A2010" s="80"/>
      <c r="B2010" s="71"/>
      <c r="C2010" s="71"/>
      <c r="D2010" s="81"/>
      <c r="E2010" s="71"/>
      <c r="F2010" s="71"/>
      <c r="G2010" s="82" t="str">
        <f aca="false">IF(C2010="","",IFERROR(INDEX('Kit Lists'!$D$6:$D$605,MATCH(B2010&amp;"|"&amp;C2010,'Kit Lists'!$J$6:$J$605,0)),"Not on this contract's kit list"))</f>
        <v/>
      </c>
      <c r="H2010" s="83" t="str">
        <f aca="false">IF(AND(B2010="",C2010="",D2010=""),"",IF(B2010="","Missing contract",IF(C2010="","Missing code",IF(LEFT(G2010,3)="Not","Wrong code",IF(D2010="","Missing qty",IF(A2010="","Missing date",""))))))</f>
        <v/>
      </c>
      <c r="I2010" s="84" t="str">
        <f aca="false">IF(B2010=Dashboard!$D$3,ROW(),"")</f>
        <v/>
      </c>
    </row>
    <row r="2011" customFormat="false" ht="15" hidden="false" customHeight="false" outlineLevel="0" collapsed="false">
      <c r="A2011" s="80"/>
      <c r="B2011" s="71"/>
      <c r="C2011" s="71"/>
      <c r="D2011" s="81"/>
      <c r="E2011" s="71"/>
      <c r="F2011" s="71"/>
      <c r="G2011" s="82" t="str">
        <f aca="false">IF(C2011="","",IFERROR(INDEX('Kit Lists'!$D$6:$D$605,MATCH(B2011&amp;"|"&amp;C2011,'Kit Lists'!$J$6:$J$605,0)),"Not on this contract's kit list"))</f>
        <v/>
      </c>
      <c r="H2011" s="83" t="str">
        <f aca="false">IF(AND(B2011="",C2011="",D2011=""),"",IF(B2011="","Missing contract",IF(C2011="","Missing code",IF(LEFT(G2011,3)="Not","Wrong code",IF(D2011="","Missing qty",IF(A2011="","Missing date",""))))))</f>
        <v/>
      </c>
      <c r="I2011" s="84" t="str">
        <f aca="false">IF(B2011=Dashboard!$D$3,ROW(),"")</f>
        <v/>
      </c>
    </row>
    <row r="2012" customFormat="false" ht="15" hidden="false" customHeight="false" outlineLevel="0" collapsed="false">
      <c r="A2012" s="80"/>
      <c r="B2012" s="71"/>
      <c r="C2012" s="71"/>
      <c r="D2012" s="81"/>
      <c r="E2012" s="71"/>
      <c r="F2012" s="71"/>
      <c r="G2012" s="82" t="str">
        <f aca="false">IF(C2012="","",IFERROR(INDEX('Kit Lists'!$D$6:$D$605,MATCH(B2012&amp;"|"&amp;C2012,'Kit Lists'!$J$6:$J$605,0)),"Not on this contract's kit list"))</f>
        <v/>
      </c>
      <c r="H2012" s="83" t="str">
        <f aca="false">IF(AND(B2012="",C2012="",D2012=""),"",IF(B2012="","Missing contract",IF(C2012="","Missing code",IF(LEFT(G2012,3)="Not","Wrong code",IF(D2012="","Missing qty",IF(A2012="","Missing date",""))))))</f>
        <v/>
      </c>
      <c r="I2012" s="84" t="str">
        <f aca="false">IF(B2012=Dashboard!$D$3,ROW(),"")</f>
        <v/>
      </c>
    </row>
    <row r="2013" customFormat="false" ht="15" hidden="false" customHeight="false" outlineLevel="0" collapsed="false">
      <c r="A2013" s="80"/>
      <c r="B2013" s="71"/>
      <c r="C2013" s="71"/>
      <c r="D2013" s="81"/>
      <c r="E2013" s="71"/>
      <c r="F2013" s="71"/>
      <c r="G2013" s="82" t="str">
        <f aca="false">IF(C2013="","",IFERROR(INDEX('Kit Lists'!$D$6:$D$605,MATCH(B2013&amp;"|"&amp;C2013,'Kit Lists'!$J$6:$J$605,0)),"Not on this contract's kit list"))</f>
        <v/>
      </c>
      <c r="H2013" s="83" t="str">
        <f aca="false">IF(AND(B2013="",C2013="",D2013=""),"",IF(B2013="","Missing contract",IF(C2013="","Missing code",IF(LEFT(G2013,3)="Not","Wrong code",IF(D2013="","Missing qty",IF(A2013="","Missing date",""))))))</f>
        <v/>
      </c>
      <c r="I2013" s="84" t="str">
        <f aca="false">IF(B2013=Dashboard!$D$3,ROW(),"")</f>
        <v/>
      </c>
    </row>
    <row r="2014" customFormat="false" ht="15" hidden="false" customHeight="false" outlineLevel="0" collapsed="false">
      <c r="A2014" s="80"/>
      <c r="B2014" s="71"/>
      <c r="C2014" s="71"/>
      <c r="D2014" s="81"/>
      <c r="E2014" s="71"/>
      <c r="F2014" s="71"/>
      <c r="G2014" s="82" t="str">
        <f aca="false">IF(C2014="","",IFERROR(INDEX('Kit Lists'!$D$6:$D$605,MATCH(B2014&amp;"|"&amp;C2014,'Kit Lists'!$J$6:$J$605,0)),"Not on this contract's kit list"))</f>
        <v/>
      </c>
      <c r="H2014" s="83" t="str">
        <f aca="false">IF(AND(B2014="",C2014="",D2014=""),"",IF(B2014="","Missing contract",IF(C2014="","Missing code",IF(LEFT(G2014,3)="Not","Wrong code",IF(D2014="","Missing qty",IF(A2014="","Missing date",""))))))</f>
        <v/>
      </c>
      <c r="I2014" s="84" t="str">
        <f aca="false">IF(B2014=Dashboard!$D$3,ROW(),"")</f>
        <v/>
      </c>
    </row>
    <row r="2015" customFormat="false" ht="15" hidden="false" customHeight="false" outlineLevel="0" collapsed="false">
      <c r="A2015" s="80"/>
      <c r="B2015" s="71"/>
      <c r="C2015" s="71"/>
      <c r="D2015" s="81"/>
      <c r="E2015" s="71"/>
      <c r="F2015" s="71"/>
      <c r="G2015" s="82" t="str">
        <f aca="false">IF(C2015="","",IFERROR(INDEX('Kit Lists'!$D$6:$D$605,MATCH(B2015&amp;"|"&amp;C2015,'Kit Lists'!$J$6:$J$605,0)),"Not on this contract's kit list"))</f>
        <v/>
      </c>
      <c r="H2015" s="83" t="str">
        <f aca="false">IF(AND(B2015="",C2015="",D2015=""),"",IF(B2015="","Missing contract",IF(C2015="","Missing code",IF(LEFT(G2015,3)="Not","Wrong code",IF(D2015="","Missing qty",IF(A2015="","Missing date",""))))))</f>
        <v/>
      </c>
      <c r="I2015" s="84" t="str">
        <f aca="false">IF(B2015=Dashboard!$D$3,ROW(),"")</f>
        <v/>
      </c>
    </row>
    <row r="2016" customFormat="false" ht="15" hidden="false" customHeight="false" outlineLevel="0" collapsed="false">
      <c r="A2016" s="80"/>
      <c r="B2016" s="71"/>
      <c r="C2016" s="71"/>
      <c r="D2016" s="81"/>
      <c r="E2016" s="71"/>
      <c r="F2016" s="71"/>
      <c r="G2016" s="82" t="str">
        <f aca="false">IF(C2016="","",IFERROR(INDEX('Kit Lists'!$D$6:$D$605,MATCH(B2016&amp;"|"&amp;C2016,'Kit Lists'!$J$6:$J$605,0)),"Not on this contract's kit list"))</f>
        <v/>
      </c>
      <c r="H2016" s="83" t="str">
        <f aca="false">IF(AND(B2016="",C2016="",D2016=""),"",IF(B2016="","Missing contract",IF(C2016="","Missing code",IF(LEFT(G2016,3)="Not","Wrong code",IF(D2016="","Missing qty",IF(A2016="","Missing date",""))))))</f>
        <v/>
      </c>
      <c r="I2016" s="84" t="str">
        <f aca="false">IF(B2016=Dashboard!$D$3,ROW(),"")</f>
        <v/>
      </c>
    </row>
    <row r="2017" customFormat="false" ht="15" hidden="false" customHeight="false" outlineLevel="0" collapsed="false">
      <c r="A2017" s="80"/>
      <c r="B2017" s="71"/>
      <c r="C2017" s="71"/>
      <c r="D2017" s="81"/>
      <c r="E2017" s="71"/>
      <c r="F2017" s="71"/>
      <c r="G2017" s="82" t="str">
        <f aca="false">IF(C2017="","",IFERROR(INDEX('Kit Lists'!$D$6:$D$605,MATCH(B2017&amp;"|"&amp;C2017,'Kit Lists'!$J$6:$J$605,0)),"Not on this contract's kit list"))</f>
        <v/>
      </c>
      <c r="H2017" s="83" t="str">
        <f aca="false">IF(AND(B2017="",C2017="",D2017=""),"",IF(B2017="","Missing contract",IF(C2017="","Missing code",IF(LEFT(G2017,3)="Not","Wrong code",IF(D2017="","Missing qty",IF(A2017="","Missing date",""))))))</f>
        <v/>
      </c>
      <c r="I2017" s="84" t="str">
        <f aca="false">IF(B2017=Dashboard!$D$3,ROW(),"")</f>
        <v/>
      </c>
    </row>
    <row r="2018" customFormat="false" ht="15" hidden="false" customHeight="false" outlineLevel="0" collapsed="false">
      <c r="A2018" s="80"/>
      <c r="B2018" s="71"/>
      <c r="C2018" s="71"/>
      <c r="D2018" s="81"/>
      <c r="E2018" s="71"/>
      <c r="F2018" s="71"/>
      <c r="G2018" s="82" t="str">
        <f aca="false">IF(C2018="","",IFERROR(INDEX('Kit Lists'!$D$6:$D$605,MATCH(B2018&amp;"|"&amp;C2018,'Kit Lists'!$J$6:$J$605,0)),"Not on this contract's kit list"))</f>
        <v/>
      </c>
      <c r="H2018" s="83" t="str">
        <f aca="false">IF(AND(B2018="",C2018="",D2018=""),"",IF(B2018="","Missing contract",IF(C2018="","Missing code",IF(LEFT(G2018,3)="Not","Wrong code",IF(D2018="","Missing qty",IF(A2018="","Missing date",""))))))</f>
        <v/>
      </c>
      <c r="I2018" s="84" t="str">
        <f aca="false">IF(B2018=Dashboard!$D$3,ROW(),"")</f>
        <v/>
      </c>
    </row>
    <row r="2019" customFormat="false" ht="15" hidden="false" customHeight="false" outlineLevel="0" collapsed="false">
      <c r="A2019" s="80"/>
      <c r="B2019" s="71"/>
      <c r="C2019" s="71"/>
      <c r="D2019" s="81"/>
      <c r="E2019" s="71"/>
      <c r="F2019" s="71"/>
      <c r="G2019" s="82" t="str">
        <f aca="false">IF(C2019="","",IFERROR(INDEX('Kit Lists'!$D$6:$D$605,MATCH(B2019&amp;"|"&amp;C2019,'Kit Lists'!$J$6:$J$605,0)),"Not on this contract's kit list"))</f>
        <v/>
      </c>
      <c r="H2019" s="83" t="str">
        <f aca="false">IF(AND(B2019="",C2019="",D2019=""),"",IF(B2019="","Missing contract",IF(C2019="","Missing code",IF(LEFT(G2019,3)="Not","Wrong code",IF(D2019="","Missing qty",IF(A2019="","Missing date",""))))))</f>
        <v/>
      </c>
      <c r="I2019" s="84" t="str">
        <f aca="false">IF(B2019=Dashboard!$D$3,ROW(),"")</f>
        <v/>
      </c>
    </row>
    <row r="2020" customFormat="false" ht="15" hidden="false" customHeight="false" outlineLevel="0" collapsed="false">
      <c r="A2020" s="80"/>
      <c r="B2020" s="71"/>
      <c r="C2020" s="71"/>
      <c r="D2020" s="81"/>
      <c r="E2020" s="71"/>
      <c r="F2020" s="71"/>
      <c r="G2020" s="82" t="str">
        <f aca="false">IF(C2020="","",IFERROR(INDEX('Kit Lists'!$D$6:$D$605,MATCH(B2020&amp;"|"&amp;C2020,'Kit Lists'!$J$6:$J$605,0)),"Not on this contract's kit list"))</f>
        <v/>
      </c>
      <c r="H2020" s="83" t="str">
        <f aca="false">IF(AND(B2020="",C2020="",D2020=""),"",IF(B2020="","Missing contract",IF(C2020="","Missing code",IF(LEFT(G2020,3)="Not","Wrong code",IF(D2020="","Missing qty",IF(A2020="","Missing date",""))))))</f>
        <v/>
      </c>
      <c r="I2020" s="84" t="str">
        <f aca="false">IF(B2020=Dashboard!$D$3,ROW(),"")</f>
        <v/>
      </c>
    </row>
    <row r="2021" customFormat="false" ht="15" hidden="false" customHeight="false" outlineLevel="0" collapsed="false">
      <c r="A2021" s="80"/>
      <c r="B2021" s="71"/>
      <c r="C2021" s="71"/>
      <c r="D2021" s="81"/>
      <c r="E2021" s="71"/>
      <c r="F2021" s="71"/>
      <c r="G2021" s="82" t="str">
        <f aca="false">IF(C2021="","",IFERROR(INDEX('Kit Lists'!$D$6:$D$605,MATCH(B2021&amp;"|"&amp;C2021,'Kit Lists'!$J$6:$J$605,0)),"Not on this contract's kit list"))</f>
        <v/>
      </c>
      <c r="H2021" s="83" t="str">
        <f aca="false">IF(AND(B2021="",C2021="",D2021=""),"",IF(B2021="","Missing contract",IF(C2021="","Missing code",IF(LEFT(G2021,3)="Not","Wrong code",IF(D2021="","Missing qty",IF(A2021="","Missing date",""))))))</f>
        <v/>
      </c>
      <c r="I2021" s="84" t="str">
        <f aca="false">IF(B2021=Dashboard!$D$3,ROW(),"")</f>
        <v/>
      </c>
    </row>
    <row r="2022" customFormat="false" ht="15" hidden="false" customHeight="false" outlineLevel="0" collapsed="false">
      <c r="A2022" s="80"/>
      <c r="B2022" s="71"/>
      <c r="C2022" s="71"/>
      <c r="D2022" s="81"/>
      <c r="E2022" s="71"/>
      <c r="F2022" s="71"/>
      <c r="G2022" s="82" t="str">
        <f aca="false">IF(C2022="","",IFERROR(INDEX('Kit Lists'!$D$6:$D$605,MATCH(B2022&amp;"|"&amp;C2022,'Kit Lists'!$J$6:$J$605,0)),"Not on this contract's kit list"))</f>
        <v/>
      </c>
      <c r="H2022" s="83" t="str">
        <f aca="false">IF(AND(B2022="",C2022="",D2022=""),"",IF(B2022="","Missing contract",IF(C2022="","Missing code",IF(LEFT(G2022,3)="Not","Wrong code",IF(D2022="","Missing qty",IF(A2022="","Missing date",""))))))</f>
        <v/>
      </c>
      <c r="I2022" s="84" t="str">
        <f aca="false">IF(B2022=Dashboard!$D$3,ROW(),"")</f>
        <v/>
      </c>
    </row>
    <row r="2023" customFormat="false" ht="15" hidden="false" customHeight="false" outlineLevel="0" collapsed="false">
      <c r="A2023" s="80"/>
      <c r="B2023" s="71"/>
      <c r="C2023" s="71"/>
      <c r="D2023" s="81"/>
      <c r="E2023" s="71"/>
      <c r="F2023" s="71"/>
      <c r="G2023" s="82" t="str">
        <f aca="false">IF(C2023="","",IFERROR(INDEX('Kit Lists'!$D$6:$D$605,MATCH(B2023&amp;"|"&amp;C2023,'Kit Lists'!$J$6:$J$605,0)),"Not on this contract's kit list"))</f>
        <v/>
      </c>
      <c r="H2023" s="83" t="str">
        <f aca="false">IF(AND(B2023="",C2023="",D2023=""),"",IF(B2023="","Missing contract",IF(C2023="","Missing code",IF(LEFT(G2023,3)="Not","Wrong code",IF(D2023="","Missing qty",IF(A2023="","Missing date",""))))))</f>
        <v/>
      </c>
      <c r="I2023" s="84" t="str">
        <f aca="false">IF(B2023=Dashboard!$D$3,ROW(),"")</f>
        <v/>
      </c>
    </row>
    <row r="2024" customFormat="false" ht="15" hidden="false" customHeight="false" outlineLevel="0" collapsed="false">
      <c r="A2024" s="80"/>
      <c r="B2024" s="71"/>
      <c r="C2024" s="71"/>
      <c r="D2024" s="81"/>
      <c r="E2024" s="71"/>
      <c r="F2024" s="71"/>
      <c r="G2024" s="82" t="str">
        <f aca="false">IF(C2024="","",IFERROR(INDEX('Kit Lists'!$D$6:$D$605,MATCH(B2024&amp;"|"&amp;C2024,'Kit Lists'!$J$6:$J$605,0)),"Not on this contract's kit list"))</f>
        <v/>
      </c>
      <c r="H2024" s="83" t="str">
        <f aca="false">IF(AND(B2024="",C2024="",D2024=""),"",IF(B2024="","Missing contract",IF(C2024="","Missing code",IF(LEFT(G2024,3)="Not","Wrong code",IF(D2024="","Missing qty",IF(A2024="","Missing date",""))))))</f>
        <v/>
      </c>
      <c r="I2024" s="84" t="str">
        <f aca="false">IF(B2024=Dashboard!$D$3,ROW(),"")</f>
        <v/>
      </c>
    </row>
    <row r="2025" customFormat="false" ht="15" hidden="false" customHeight="false" outlineLevel="0" collapsed="false">
      <c r="A2025" s="80"/>
      <c r="B2025" s="71"/>
      <c r="C2025" s="71"/>
      <c r="D2025" s="81"/>
      <c r="E2025" s="71"/>
      <c r="F2025" s="71"/>
      <c r="G2025" s="82" t="str">
        <f aca="false">IF(C2025="","",IFERROR(INDEX('Kit Lists'!$D$6:$D$605,MATCH(B2025&amp;"|"&amp;C2025,'Kit Lists'!$J$6:$J$605,0)),"Not on this contract's kit list"))</f>
        <v/>
      </c>
      <c r="H2025" s="83" t="str">
        <f aca="false">IF(AND(B2025="",C2025="",D2025=""),"",IF(B2025="","Missing contract",IF(C2025="","Missing code",IF(LEFT(G2025,3)="Not","Wrong code",IF(D2025="","Missing qty",IF(A2025="","Missing date",""))))))</f>
        <v/>
      </c>
      <c r="I2025" s="84" t="str">
        <f aca="false">IF(B2025=Dashboard!$D$3,ROW(),"")</f>
        <v/>
      </c>
    </row>
    <row r="2026" customFormat="false" ht="15" hidden="false" customHeight="false" outlineLevel="0" collapsed="false">
      <c r="A2026" s="80"/>
      <c r="B2026" s="71"/>
      <c r="C2026" s="71"/>
      <c r="D2026" s="81"/>
      <c r="E2026" s="71"/>
      <c r="F2026" s="71"/>
      <c r="G2026" s="82" t="str">
        <f aca="false">IF(C2026="","",IFERROR(INDEX('Kit Lists'!$D$6:$D$605,MATCH(B2026&amp;"|"&amp;C2026,'Kit Lists'!$J$6:$J$605,0)),"Not on this contract's kit list"))</f>
        <v/>
      </c>
      <c r="H2026" s="83" t="str">
        <f aca="false">IF(AND(B2026="",C2026="",D2026=""),"",IF(B2026="","Missing contract",IF(C2026="","Missing code",IF(LEFT(G2026,3)="Not","Wrong code",IF(D2026="","Missing qty",IF(A2026="","Missing date",""))))))</f>
        <v/>
      </c>
      <c r="I2026" s="84" t="str">
        <f aca="false">IF(B2026=Dashboard!$D$3,ROW(),"")</f>
        <v/>
      </c>
    </row>
    <row r="2027" customFormat="false" ht="15" hidden="false" customHeight="false" outlineLevel="0" collapsed="false">
      <c r="A2027" s="80"/>
      <c r="B2027" s="71"/>
      <c r="C2027" s="71"/>
      <c r="D2027" s="81"/>
      <c r="E2027" s="71"/>
      <c r="F2027" s="71"/>
      <c r="G2027" s="82" t="str">
        <f aca="false">IF(C2027="","",IFERROR(INDEX('Kit Lists'!$D$6:$D$605,MATCH(B2027&amp;"|"&amp;C2027,'Kit Lists'!$J$6:$J$605,0)),"Not on this contract's kit list"))</f>
        <v/>
      </c>
      <c r="H2027" s="83" t="str">
        <f aca="false">IF(AND(B2027="",C2027="",D2027=""),"",IF(B2027="","Missing contract",IF(C2027="","Missing code",IF(LEFT(G2027,3)="Not","Wrong code",IF(D2027="","Missing qty",IF(A2027="","Missing date",""))))))</f>
        <v/>
      </c>
      <c r="I2027" s="84" t="str">
        <f aca="false">IF(B2027=Dashboard!$D$3,ROW(),"")</f>
        <v/>
      </c>
    </row>
    <row r="2028" customFormat="false" ht="15" hidden="false" customHeight="false" outlineLevel="0" collapsed="false">
      <c r="A2028" s="80"/>
      <c r="B2028" s="71"/>
      <c r="C2028" s="71"/>
      <c r="D2028" s="81"/>
      <c r="E2028" s="71"/>
      <c r="F2028" s="71"/>
      <c r="G2028" s="82" t="str">
        <f aca="false">IF(C2028="","",IFERROR(INDEX('Kit Lists'!$D$6:$D$605,MATCH(B2028&amp;"|"&amp;C2028,'Kit Lists'!$J$6:$J$605,0)),"Not on this contract's kit list"))</f>
        <v/>
      </c>
      <c r="H2028" s="83" t="str">
        <f aca="false">IF(AND(B2028="",C2028="",D2028=""),"",IF(B2028="","Missing contract",IF(C2028="","Missing code",IF(LEFT(G2028,3)="Not","Wrong code",IF(D2028="","Missing qty",IF(A2028="","Missing date",""))))))</f>
        <v/>
      </c>
      <c r="I2028" s="84" t="str">
        <f aca="false">IF(B2028=Dashboard!$D$3,ROW(),"")</f>
        <v/>
      </c>
    </row>
    <row r="2029" customFormat="false" ht="15" hidden="false" customHeight="false" outlineLevel="0" collapsed="false">
      <c r="A2029" s="80"/>
      <c r="B2029" s="71"/>
      <c r="C2029" s="71"/>
      <c r="D2029" s="81"/>
      <c r="E2029" s="71"/>
      <c r="F2029" s="71"/>
      <c r="G2029" s="82" t="str">
        <f aca="false">IF(C2029="","",IFERROR(INDEX('Kit Lists'!$D$6:$D$605,MATCH(B2029&amp;"|"&amp;C2029,'Kit Lists'!$J$6:$J$605,0)),"Not on this contract's kit list"))</f>
        <v/>
      </c>
      <c r="H2029" s="83" t="str">
        <f aca="false">IF(AND(B2029="",C2029="",D2029=""),"",IF(B2029="","Missing contract",IF(C2029="","Missing code",IF(LEFT(G2029,3)="Not","Wrong code",IF(D2029="","Missing qty",IF(A2029="","Missing date",""))))))</f>
        <v/>
      </c>
      <c r="I2029" s="84" t="str">
        <f aca="false">IF(B2029=Dashboard!$D$3,ROW(),"")</f>
        <v/>
      </c>
    </row>
    <row r="2030" customFormat="false" ht="15" hidden="false" customHeight="false" outlineLevel="0" collapsed="false">
      <c r="A2030" s="80"/>
      <c r="B2030" s="71"/>
      <c r="C2030" s="71"/>
      <c r="D2030" s="81"/>
      <c r="E2030" s="71"/>
      <c r="F2030" s="71"/>
      <c r="G2030" s="82" t="str">
        <f aca="false">IF(C2030="","",IFERROR(INDEX('Kit Lists'!$D$6:$D$605,MATCH(B2030&amp;"|"&amp;C2030,'Kit Lists'!$J$6:$J$605,0)),"Not on this contract's kit list"))</f>
        <v/>
      </c>
      <c r="H2030" s="83" t="str">
        <f aca="false">IF(AND(B2030="",C2030="",D2030=""),"",IF(B2030="","Missing contract",IF(C2030="","Missing code",IF(LEFT(G2030,3)="Not","Wrong code",IF(D2030="","Missing qty",IF(A2030="","Missing date",""))))))</f>
        <v/>
      </c>
      <c r="I2030" s="84" t="str">
        <f aca="false">IF(B2030=Dashboard!$D$3,ROW(),"")</f>
        <v/>
      </c>
    </row>
    <row r="2031" customFormat="false" ht="15" hidden="false" customHeight="false" outlineLevel="0" collapsed="false">
      <c r="A2031" s="80"/>
      <c r="B2031" s="71"/>
      <c r="C2031" s="71"/>
      <c r="D2031" s="81"/>
      <c r="E2031" s="71"/>
      <c r="F2031" s="71"/>
      <c r="G2031" s="82" t="str">
        <f aca="false">IF(C2031="","",IFERROR(INDEX('Kit Lists'!$D$6:$D$605,MATCH(B2031&amp;"|"&amp;C2031,'Kit Lists'!$J$6:$J$605,0)),"Not on this contract's kit list"))</f>
        <v/>
      </c>
      <c r="H2031" s="83" t="str">
        <f aca="false">IF(AND(B2031="",C2031="",D2031=""),"",IF(B2031="","Missing contract",IF(C2031="","Missing code",IF(LEFT(G2031,3)="Not","Wrong code",IF(D2031="","Missing qty",IF(A2031="","Missing date",""))))))</f>
        <v/>
      </c>
      <c r="I2031" s="84" t="str">
        <f aca="false">IF(B2031=Dashboard!$D$3,ROW(),"")</f>
        <v/>
      </c>
    </row>
    <row r="2032" customFormat="false" ht="15" hidden="false" customHeight="false" outlineLevel="0" collapsed="false">
      <c r="A2032" s="80"/>
      <c r="B2032" s="71"/>
      <c r="C2032" s="71"/>
      <c r="D2032" s="81"/>
      <c r="E2032" s="71"/>
      <c r="F2032" s="71"/>
      <c r="G2032" s="82" t="str">
        <f aca="false">IF(C2032="","",IFERROR(INDEX('Kit Lists'!$D$6:$D$605,MATCH(B2032&amp;"|"&amp;C2032,'Kit Lists'!$J$6:$J$605,0)),"Not on this contract's kit list"))</f>
        <v/>
      </c>
      <c r="H2032" s="83" t="str">
        <f aca="false">IF(AND(B2032="",C2032="",D2032=""),"",IF(B2032="","Missing contract",IF(C2032="","Missing code",IF(LEFT(G2032,3)="Not","Wrong code",IF(D2032="","Missing qty",IF(A2032="","Missing date",""))))))</f>
        <v/>
      </c>
      <c r="I2032" s="84" t="str">
        <f aca="false">IF(B2032=Dashboard!$D$3,ROW(),"")</f>
        <v/>
      </c>
    </row>
    <row r="2033" customFormat="false" ht="15" hidden="false" customHeight="false" outlineLevel="0" collapsed="false">
      <c r="A2033" s="80"/>
      <c r="B2033" s="71"/>
      <c r="C2033" s="71"/>
      <c r="D2033" s="81"/>
      <c r="E2033" s="71"/>
      <c r="F2033" s="71"/>
      <c r="G2033" s="82" t="str">
        <f aca="false">IF(C2033="","",IFERROR(INDEX('Kit Lists'!$D$6:$D$605,MATCH(B2033&amp;"|"&amp;C2033,'Kit Lists'!$J$6:$J$605,0)),"Not on this contract's kit list"))</f>
        <v/>
      </c>
      <c r="H2033" s="83" t="str">
        <f aca="false">IF(AND(B2033="",C2033="",D2033=""),"",IF(B2033="","Missing contract",IF(C2033="","Missing code",IF(LEFT(G2033,3)="Not","Wrong code",IF(D2033="","Missing qty",IF(A2033="","Missing date",""))))))</f>
        <v/>
      </c>
      <c r="I2033" s="84" t="str">
        <f aca="false">IF(B2033=Dashboard!$D$3,ROW(),"")</f>
        <v/>
      </c>
    </row>
    <row r="2034" customFormat="false" ht="15" hidden="false" customHeight="false" outlineLevel="0" collapsed="false">
      <c r="A2034" s="80"/>
      <c r="B2034" s="71"/>
      <c r="C2034" s="71"/>
      <c r="D2034" s="81"/>
      <c r="E2034" s="71"/>
      <c r="F2034" s="71"/>
      <c r="G2034" s="82" t="str">
        <f aca="false">IF(C2034="","",IFERROR(INDEX('Kit Lists'!$D$6:$D$605,MATCH(B2034&amp;"|"&amp;C2034,'Kit Lists'!$J$6:$J$605,0)),"Not on this contract's kit list"))</f>
        <v/>
      </c>
      <c r="H2034" s="83" t="str">
        <f aca="false">IF(AND(B2034="",C2034="",D2034=""),"",IF(B2034="","Missing contract",IF(C2034="","Missing code",IF(LEFT(G2034,3)="Not","Wrong code",IF(D2034="","Missing qty",IF(A2034="","Missing date",""))))))</f>
        <v/>
      </c>
      <c r="I2034" s="84" t="str">
        <f aca="false">IF(B2034=Dashboard!$D$3,ROW(),"")</f>
        <v/>
      </c>
    </row>
    <row r="2035" customFormat="false" ht="15" hidden="false" customHeight="false" outlineLevel="0" collapsed="false">
      <c r="A2035" s="80"/>
      <c r="B2035" s="71"/>
      <c r="C2035" s="71"/>
      <c r="D2035" s="81"/>
      <c r="E2035" s="71"/>
      <c r="F2035" s="71"/>
      <c r="G2035" s="82" t="str">
        <f aca="false">IF(C2035="","",IFERROR(INDEX('Kit Lists'!$D$6:$D$605,MATCH(B2035&amp;"|"&amp;C2035,'Kit Lists'!$J$6:$J$605,0)),"Not on this contract's kit list"))</f>
        <v/>
      </c>
      <c r="H2035" s="83" t="str">
        <f aca="false">IF(AND(B2035="",C2035="",D2035=""),"",IF(B2035="","Missing contract",IF(C2035="","Missing code",IF(LEFT(G2035,3)="Not","Wrong code",IF(D2035="","Missing qty",IF(A2035="","Missing date",""))))))</f>
        <v/>
      </c>
      <c r="I2035" s="84" t="str">
        <f aca="false">IF(B2035=Dashboard!$D$3,ROW(),"")</f>
        <v/>
      </c>
    </row>
    <row r="2036" customFormat="false" ht="15" hidden="false" customHeight="false" outlineLevel="0" collapsed="false">
      <c r="A2036" s="80"/>
      <c r="B2036" s="71"/>
      <c r="C2036" s="71"/>
      <c r="D2036" s="81"/>
      <c r="E2036" s="71"/>
      <c r="F2036" s="71"/>
      <c r="G2036" s="82" t="str">
        <f aca="false">IF(C2036="","",IFERROR(INDEX('Kit Lists'!$D$6:$D$605,MATCH(B2036&amp;"|"&amp;C2036,'Kit Lists'!$J$6:$J$605,0)),"Not on this contract's kit list"))</f>
        <v/>
      </c>
      <c r="H2036" s="83" t="str">
        <f aca="false">IF(AND(B2036="",C2036="",D2036=""),"",IF(B2036="","Missing contract",IF(C2036="","Missing code",IF(LEFT(G2036,3)="Not","Wrong code",IF(D2036="","Missing qty",IF(A2036="","Missing date",""))))))</f>
        <v/>
      </c>
      <c r="I2036" s="84" t="str">
        <f aca="false">IF(B2036=Dashboard!$D$3,ROW(),"")</f>
        <v/>
      </c>
    </row>
    <row r="2037" customFormat="false" ht="15" hidden="false" customHeight="false" outlineLevel="0" collapsed="false">
      <c r="A2037" s="80"/>
      <c r="B2037" s="71"/>
      <c r="C2037" s="71"/>
      <c r="D2037" s="81"/>
      <c r="E2037" s="71"/>
      <c r="F2037" s="71"/>
      <c r="G2037" s="82" t="str">
        <f aca="false">IF(C2037="","",IFERROR(INDEX('Kit Lists'!$D$6:$D$605,MATCH(B2037&amp;"|"&amp;C2037,'Kit Lists'!$J$6:$J$605,0)),"Not on this contract's kit list"))</f>
        <v/>
      </c>
      <c r="H2037" s="83" t="str">
        <f aca="false">IF(AND(B2037="",C2037="",D2037=""),"",IF(B2037="","Missing contract",IF(C2037="","Missing code",IF(LEFT(G2037,3)="Not","Wrong code",IF(D2037="","Missing qty",IF(A2037="","Missing date",""))))))</f>
        <v/>
      </c>
      <c r="I2037" s="84" t="str">
        <f aca="false">IF(B2037=Dashboard!$D$3,ROW(),"")</f>
        <v/>
      </c>
    </row>
    <row r="2038" customFormat="false" ht="15" hidden="false" customHeight="false" outlineLevel="0" collapsed="false">
      <c r="A2038" s="80"/>
      <c r="B2038" s="71"/>
      <c r="C2038" s="71"/>
      <c r="D2038" s="81"/>
      <c r="E2038" s="71"/>
      <c r="F2038" s="71"/>
      <c r="G2038" s="82" t="str">
        <f aca="false">IF(C2038="","",IFERROR(INDEX('Kit Lists'!$D$6:$D$605,MATCH(B2038&amp;"|"&amp;C2038,'Kit Lists'!$J$6:$J$605,0)),"Not on this contract's kit list"))</f>
        <v/>
      </c>
      <c r="H2038" s="83" t="str">
        <f aca="false">IF(AND(B2038="",C2038="",D2038=""),"",IF(B2038="","Missing contract",IF(C2038="","Missing code",IF(LEFT(G2038,3)="Not","Wrong code",IF(D2038="","Missing qty",IF(A2038="","Missing date",""))))))</f>
        <v/>
      </c>
      <c r="I2038" s="84" t="str">
        <f aca="false">IF(B2038=Dashboard!$D$3,ROW(),"")</f>
        <v/>
      </c>
    </row>
    <row r="2039" customFormat="false" ht="15" hidden="false" customHeight="false" outlineLevel="0" collapsed="false">
      <c r="A2039" s="80"/>
      <c r="B2039" s="71"/>
      <c r="C2039" s="71"/>
      <c r="D2039" s="81"/>
      <c r="E2039" s="71"/>
      <c r="F2039" s="71"/>
      <c r="G2039" s="82" t="str">
        <f aca="false">IF(C2039="","",IFERROR(INDEX('Kit Lists'!$D$6:$D$605,MATCH(B2039&amp;"|"&amp;C2039,'Kit Lists'!$J$6:$J$605,0)),"Not on this contract's kit list"))</f>
        <v/>
      </c>
      <c r="H2039" s="83" t="str">
        <f aca="false">IF(AND(B2039="",C2039="",D2039=""),"",IF(B2039="","Missing contract",IF(C2039="","Missing code",IF(LEFT(G2039,3)="Not","Wrong code",IF(D2039="","Missing qty",IF(A2039="","Missing date",""))))))</f>
        <v/>
      </c>
      <c r="I2039" s="84" t="str">
        <f aca="false">IF(B2039=Dashboard!$D$3,ROW(),"")</f>
        <v/>
      </c>
    </row>
    <row r="2040" customFormat="false" ht="15" hidden="false" customHeight="false" outlineLevel="0" collapsed="false">
      <c r="A2040" s="80"/>
      <c r="B2040" s="71"/>
      <c r="C2040" s="71"/>
      <c r="D2040" s="81"/>
      <c r="E2040" s="71"/>
      <c r="F2040" s="71"/>
      <c r="G2040" s="82" t="str">
        <f aca="false">IF(C2040="","",IFERROR(INDEX('Kit Lists'!$D$6:$D$605,MATCH(B2040&amp;"|"&amp;C2040,'Kit Lists'!$J$6:$J$605,0)),"Not on this contract's kit list"))</f>
        <v/>
      </c>
      <c r="H2040" s="83" t="str">
        <f aca="false">IF(AND(B2040="",C2040="",D2040=""),"",IF(B2040="","Missing contract",IF(C2040="","Missing code",IF(LEFT(G2040,3)="Not","Wrong code",IF(D2040="","Missing qty",IF(A2040="","Missing date",""))))))</f>
        <v/>
      </c>
      <c r="I2040" s="84" t="str">
        <f aca="false">IF(B2040=Dashboard!$D$3,ROW(),"")</f>
        <v/>
      </c>
    </row>
    <row r="2041" customFormat="false" ht="15" hidden="false" customHeight="false" outlineLevel="0" collapsed="false">
      <c r="A2041" s="80"/>
      <c r="B2041" s="71"/>
      <c r="C2041" s="71"/>
      <c r="D2041" s="81"/>
      <c r="E2041" s="71"/>
      <c r="F2041" s="71"/>
      <c r="G2041" s="82" t="str">
        <f aca="false">IF(C2041="","",IFERROR(INDEX('Kit Lists'!$D$6:$D$605,MATCH(B2041&amp;"|"&amp;C2041,'Kit Lists'!$J$6:$J$605,0)),"Not on this contract's kit list"))</f>
        <v/>
      </c>
      <c r="H2041" s="83" t="str">
        <f aca="false">IF(AND(B2041="",C2041="",D2041=""),"",IF(B2041="","Missing contract",IF(C2041="","Missing code",IF(LEFT(G2041,3)="Not","Wrong code",IF(D2041="","Missing qty",IF(A2041="","Missing date",""))))))</f>
        <v/>
      </c>
      <c r="I2041" s="84" t="str">
        <f aca="false">IF(B2041=Dashboard!$D$3,ROW(),"")</f>
        <v/>
      </c>
    </row>
    <row r="2042" customFormat="false" ht="15" hidden="false" customHeight="false" outlineLevel="0" collapsed="false">
      <c r="A2042" s="80"/>
      <c r="B2042" s="71"/>
      <c r="C2042" s="71"/>
      <c r="D2042" s="81"/>
      <c r="E2042" s="71"/>
      <c r="F2042" s="71"/>
      <c r="G2042" s="82" t="str">
        <f aca="false">IF(C2042="","",IFERROR(INDEX('Kit Lists'!$D$6:$D$605,MATCH(B2042&amp;"|"&amp;C2042,'Kit Lists'!$J$6:$J$605,0)),"Not on this contract's kit list"))</f>
        <v/>
      </c>
      <c r="H2042" s="83" t="str">
        <f aca="false">IF(AND(B2042="",C2042="",D2042=""),"",IF(B2042="","Missing contract",IF(C2042="","Missing code",IF(LEFT(G2042,3)="Not","Wrong code",IF(D2042="","Missing qty",IF(A2042="","Missing date",""))))))</f>
        <v/>
      </c>
      <c r="I2042" s="84" t="str">
        <f aca="false">IF(B2042=Dashboard!$D$3,ROW(),"")</f>
        <v/>
      </c>
    </row>
    <row r="2043" customFormat="false" ht="15" hidden="false" customHeight="false" outlineLevel="0" collapsed="false">
      <c r="A2043" s="80"/>
      <c r="B2043" s="71"/>
      <c r="C2043" s="71"/>
      <c r="D2043" s="81"/>
      <c r="E2043" s="71"/>
      <c r="F2043" s="71"/>
      <c r="G2043" s="82" t="str">
        <f aca="false">IF(C2043="","",IFERROR(INDEX('Kit Lists'!$D$6:$D$605,MATCH(B2043&amp;"|"&amp;C2043,'Kit Lists'!$J$6:$J$605,0)),"Not on this contract's kit list"))</f>
        <v/>
      </c>
      <c r="H2043" s="83" t="str">
        <f aca="false">IF(AND(B2043="",C2043="",D2043=""),"",IF(B2043="","Missing contract",IF(C2043="","Missing code",IF(LEFT(G2043,3)="Not","Wrong code",IF(D2043="","Missing qty",IF(A2043="","Missing date",""))))))</f>
        <v/>
      </c>
      <c r="I2043" s="84" t="str">
        <f aca="false">IF(B2043=Dashboard!$D$3,ROW(),"")</f>
        <v/>
      </c>
    </row>
    <row r="2044" customFormat="false" ht="15" hidden="false" customHeight="false" outlineLevel="0" collapsed="false">
      <c r="A2044" s="80"/>
      <c r="B2044" s="71"/>
      <c r="C2044" s="71"/>
      <c r="D2044" s="81"/>
      <c r="E2044" s="71"/>
      <c r="F2044" s="71"/>
      <c r="G2044" s="82" t="str">
        <f aca="false">IF(C2044="","",IFERROR(INDEX('Kit Lists'!$D$6:$D$605,MATCH(B2044&amp;"|"&amp;C2044,'Kit Lists'!$J$6:$J$605,0)),"Not on this contract's kit list"))</f>
        <v/>
      </c>
      <c r="H2044" s="83" t="str">
        <f aca="false">IF(AND(B2044="",C2044="",D2044=""),"",IF(B2044="","Missing contract",IF(C2044="","Missing code",IF(LEFT(G2044,3)="Not","Wrong code",IF(D2044="","Missing qty",IF(A2044="","Missing date",""))))))</f>
        <v/>
      </c>
      <c r="I2044" s="84" t="str">
        <f aca="false">IF(B2044=Dashboard!$D$3,ROW(),"")</f>
        <v/>
      </c>
    </row>
    <row r="2045" customFormat="false" ht="15" hidden="false" customHeight="false" outlineLevel="0" collapsed="false">
      <c r="A2045" s="80"/>
      <c r="B2045" s="71"/>
      <c r="C2045" s="71"/>
      <c r="D2045" s="81"/>
      <c r="E2045" s="71"/>
      <c r="F2045" s="71"/>
      <c r="G2045" s="82" t="str">
        <f aca="false">IF(C2045="","",IFERROR(INDEX('Kit Lists'!$D$6:$D$605,MATCH(B2045&amp;"|"&amp;C2045,'Kit Lists'!$J$6:$J$605,0)),"Not on this contract's kit list"))</f>
        <v/>
      </c>
      <c r="H2045" s="83" t="str">
        <f aca="false">IF(AND(B2045="",C2045="",D2045=""),"",IF(B2045="","Missing contract",IF(C2045="","Missing code",IF(LEFT(G2045,3)="Not","Wrong code",IF(D2045="","Missing qty",IF(A2045="","Missing date",""))))))</f>
        <v/>
      </c>
      <c r="I2045" s="84" t="str">
        <f aca="false">IF(B2045=Dashboard!$D$3,ROW(),"")</f>
        <v/>
      </c>
    </row>
    <row r="2046" customFormat="false" ht="15" hidden="false" customHeight="false" outlineLevel="0" collapsed="false">
      <c r="A2046" s="80"/>
      <c r="B2046" s="71"/>
      <c r="C2046" s="71"/>
      <c r="D2046" s="81"/>
      <c r="E2046" s="71"/>
      <c r="F2046" s="71"/>
      <c r="G2046" s="82" t="str">
        <f aca="false">IF(C2046="","",IFERROR(INDEX('Kit Lists'!$D$6:$D$605,MATCH(B2046&amp;"|"&amp;C2046,'Kit Lists'!$J$6:$J$605,0)),"Not on this contract's kit list"))</f>
        <v/>
      </c>
      <c r="H2046" s="83" t="str">
        <f aca="false">IF(AND(B2046="",C2046="",D2046=""),"",IF(B2046="","Missing contract",IF(C2046="","Missing code",IF(LEFT(G2046,3)="Not","Wrong code",IF(D2046="","Missing qty",IF(A2046="","Missing date",""))))))</f>
        <v/>
      </c>
      <c r="I2046" s="84" t="str">
        <f aca="false">IF(B2046=Dashboard!$D$3,ROW(),"")</f>
        <v/>
      </c>
    </row>
    <row r="2047" customFormat="false" ht="15" hidden="false" customHeight="false" outlineLevel="0" collapsed="false">
      <c r="A2047" s="80"/>
      <c r="B2047" s="71"/>
      <c r="C2047" s="71"/>
      <c r="D2047" s="81"/>
      <c r="E2047" s="71"/>
      <c r="F2047" s="71"/>
      <c r="G2047" s="82" t="str">
        <f aca="false">IF(C2047="","",IFERROR(INDEX('Kit Lists'!$D$6:$D$605,MATCH(B2047&amp;"|"&amp;C2047,'Kit Lists'!$J$6:$J$605,0)),"Not on this contract's kit list"))</f>
        <v/>
      </c>
      <c r="H2047" s="83" t="str">
        <f aca="false">IF(AND(B2047="",C2047="",D2047=""),"",IF(B2047="","Missing contract",IF(C2047="","Missing code",IF(LEFT(G2047,3)="Not","Wrong code",IF(D2047="","Missing qty",IF(A2047="","Missing date",""))))))</f>
        <v/>
      </c>
      <c r="I2047" s="84" t="str">
        <f aca="false">IF(B2047=Dashboard!$D$3,ROW(),"")</f>
        <v/>
      </c>
    </row>
    <row r="2048" customFormat="false" ht="15" hidden="false" customHeight="false" outlineLevel="0" collapsed="false">
      <c r="A2048" s="80"/>
      <c r="B2048" s="71"/>
      <c r="C2048" s="71"/>
      <c r="D2048" s="81"/>
      <c r="E2048" s="71"/>
      <c r="F2048" s="71"/>
      <c r="G2048" s="82" t="str">
        <f aca="false">IF(C2048="","",IFERROR(INDEX('Kit Lists'!$D$6:$D$605,MATCH(B2048&amp;"|"&amp;C2048,'Kit Lists'!$J$6:$J$605,0)),"Not on this contract's kit list"))</f>
        <v/>
      </c>
      <c r="H2048" s="83" t="str">
        <f aca="false">IF(AND(B2048="",C2048="",D2048=""),"",IF(B2048="","Missing contract",IF(C2048="","Missing code",IF(LEFT(G2048,3)="Not","Wrong code",IF(D2048="","Missing qty",IF(A2048="","Missing date",""))))))</f>
        <v/>
      </c>
      <c r="I2048" s="84" t="str">
        <f aca="false">IF(B2048=Dashboard!$D$3,ROW(),"")</f>
        <v/>
      </c>
    </row>
    <row r="2049" customFormat="false" ht="15" hidden="false" customHeight="false" outlineLevel="0" collapsed="false">
      <c r="A2049" s="80"/>
      <c r="B2049" s="71"/>
      <c r="C2049" s="71"/>
      <c r="D2049" s="81"/>
      <c r="E2049" s="71"/>
      <c r="F2049" s="71"/>
      <c r="G2049" s="82" t="str">
        <f aca="false">IF(C2049="","",IFERROR(INDEX('Kit Lists'!$D$6:$D$605,MATCH(B2049&amp;"|"&amp;C2049,'Kit Lists'!$J$6:$J$605,0)),"Not on this contract's kit list"))</f>
        <v/>
      </c>
      <c r="H2049" s="83" t="str">
        <f aca="false">IF(AND(B2049="",C2049="",D2049=""),"",IF(B2049="","Missing contract",IF(C2049="","Missing code",IF(LEFT(G2049,3)="Not","Wrong code",IF(D2049="","Missing qty",IF(A2049="","Missing date",""))))))</f>
        <v/>
      </c>
      <c r="I2049" s="84" t="str">
        <f aca="false">IF(B2049=Dashboard!$D$3,ROW(),"")</f>
        <v/>
      </c>
    </row>
    <row r="2050" customFormat="false" ht="15" hidden="false" customHeight="false" outlineLevel="0" collapsed="false">
      <c r="A2050" s="80"/>
      <c r="B2050" s="71"/>
      <c r="C2050" s="71"/>
      <c r="D2050" s="81"/>
      <c r="E2050" s="71"/>
      <c r="F2050" s="71"/>
      <c r="G2050" s="82" t="str">
        <f aca="false">IF(C2050="","",IFERROR(INDEX('Kit Lists'!$D$6:$D$605,MATCH(B2050&amp;"|"&amp;C2050,'Kit Lists'!$J$6:$J$605,0)),"Not on this contract's kit list"))</f>
        <v/>
      </c>
      <c r="H2050" s="83" t="str">
        <f aca="false">IF(AND(B2050="",C2050="",D2050=""),"",IF(B2050="","Missing contract",IF(C2050="","Missing code",IF(LEFT(G2050,3)="Not","Wrong code",IF(D2050="","Missing qty",IF(A2050="","Missing date",""))))))</f>
        <v/>
      </c>
      <c r="I2050" s="84" t="str">
        <f aca="false">IF(B2050=Dashboard!$D$3,ROW(),"")</f>
        <v/>
      </c>
    </row>
    <row r="2051" customFormat="false" ht="15" hidden="false" customHeight="false" outlineLevel="0" collapsed="false">
      <c r="A2051" s="80"/>
      <c r="B2051" s="71"/>
      <c r="C2051" s="71"/>
      <c r="D2051" s="81"/>
      <c r="E2051" s="71"/>
      <c r="F2051" s="71"/>
      <c r="G2051" s="82" t="str">
        <f aca="false">IF(C2051="","",IFERROR(INDEX('Kit Lists'!$D$6:$D$605,MATCH(B2051&amp;"|"&amp;C2051,'Kit Lists'!$J$6:$J$605,0)),"Not on this contract's kit list"))</f>
        <v/>
      </c>
      <c r="H2051" s="83" t="str">
        <f aca="false">IF(AND(B2051="",C2051="",D2051=""),"",IF(B2051="","Missing contract",IF(C2051="","Missing code",IF(LEFT(G2051,3)="Not","Wrong code",IF(D2051="","Missing qty",IF(A2051="","Missing date",""))))))</f>
        <v/>
      </c>
      <c r="I2051" s="84" t="str">
        <f aca="false">IF(B2051=Dashboard!$D$3,ROW(),"")</f>
        <v/>
      </c>
    </row>
    <row r="2052" customFormat="false" ht="15" hidden="false" customHeight="false" outlineLevel="0" collapsed="false">
      <c r="A2052" s="80"/>
      <c r="B2052" s="71"/>
      <c r="C2052" s="71"/>
      <c r="D2052" s="81"/>
      <c r="E2052" s="71"/>
      <c r="F2052" s="71"/>
      <c r="G2052" s="82" t="str">
        <f aca="false">IF(C2052="","",IFERROR(INDEX('Kit Lists'!$D$6:$D$605,MATCH(B2052&amp;"|"&amp;C2052,'Kit Lists'!$J$6:$J$605,0)),"Not on this contract's kit list"))</f>
        <v/>
      </c>
      <c r="H2052" s="83" t="str">
        <f aca="false">IF(AND(B2052="",C2052="",D2052=""),"",IF(B2052="","Missing contract",IF(C2052="","Missing code",IF(LEFT(G2052,3)="Not","Wrong code",IF(D2052="","Missing qty",IF(A2052="","Missing date",""))))))</f>
        <v/>
      </c>
      <c r="I2052" s="84" t="str">
        <f aca="false">IF(B2052=Dashboard!$D$3,ROW(),"")</f>
        <v/>
      </c>
    </row>
    <row r="2053" customFormat="false" ht="15" hidden="false" customHeight="false" outlineLevel="0" collapsed="false">
      <c r="A2053" s="80"/>
      <c r="B2053" s="71"/>
      <c r="C2053" s="71"/>
      <c r="D2053" s="81"/>
      <c r="E2053" s="71"/>
      <c r="F2053" s="71"/>
      <c r="G2053" s="82" t="str">
        <f aca="false">IF(C2053="","",IFERROR(INDEX('Kit Lists'!$D$6:$D$605,MATCH(B2053&amp;"|"&amp;C2053,'Kit Lists'!$J$6:$J$605,0)),"Not on this contract's kit list"))</f>
        <v/>
      </c>
      <c r="H2053" s="83" t="str">
        <f aca="false">IF(AND(B2053="",C2053="",D2053=""),"",IF(B2053="","Missing contract",IF(C2053="","Missing code",IF(LEFT(G2053,3)="Not","Wrong code",IF(D2053="","Missing qty",IF(A2053="","Missing date",""))))))</f>
        <v/>
      </c>
      <c r="I2053" s="84" t="str">
        <f aca="false">IF(B2053=Dashboard!$D$3,ROW(),"")</f>
        <v/>
      </c>
    </row>
    <row r="2054" customFormat="false" ht="15" hidden="false" customHeight="false" outlineLevel="0" collapsed="false">
      <c r="A2054" s="80"/>
      <c r="B2054" s="71"/>
      <c r="C2054" s="71"/>
      <c r="D2054" s="81"/>
      <c r="E2054" s="71"/>
      <c r="F2054" s="71"/>
      <c r="G2054" s="82" t="str">
        <f aca="false">IF(C2054="","",IFERROR(INDEX('Kit Lists'!$D$6:$D$605,MATCH(B2054&amp;"|"&amp;C2054,'Kit Lists'!$J$6:$J$605,0)),"Not on this contract's kit list"))</f>
        <v/>
      </c>
      <c r="H2054" s="83" t="str">
        <f aca="false">IF(AND(B2054="",C2054="",D2054=""),"",IF(B2054="","Missing contract",IF(C2054="","Missing code",IF(LEFT(G2054,3)="Not","Wrong code",IF(D2054="","Missing qty",IF(A2054="","Missing date",""))))))</f>
        <v/>
      </c>
      <c r="I2054" s="84" t="str">
        <f aca="false">IF(B2054=Dashboard!$D$3,ROW(),"")</f>
        <v/>
      </c>
    </row>
    <row r="2055" customFormat="false" ht="15" hidden="false" customHeight="false" outlineLevel="0" collapsed="false">
      <c r="A2055" s="80"/>
      <c r="B2055" s="71"/>
      <c r="C2055" s="71"/>
      <c r="D2055" s="81"/>
      <c r="E2055" s="71"/>
      <c r="F2055" s="71"/>
      <c r="G2055" s="82" t="str">
        <f aca="false">IF(C2055="","",IFERROR(INDEX('Kit Lists'!$D$6:$D$605,MATCH(B2055&amp;"|"&amp;C2055,'Kit Lists'!$J$6:$J$605,0)),"Not on this contract's kit list"))</f>
        <v/>
      </c>
      <c r="H2055" s="83" t="str">
        <f aca="false">IF(AND(B2055="",C2055="",D2055=""),"",IF(B2055="","Missing contract",IF(C2055="","Missing code",IF(LEFT(G2055,3)="Not","Wrong code",IF(D2055="","Missing qty",IF(A2055="","Missing date",""))))))</f>
        <v/>
      </c>
      <c r="I2055" s="84" t="str">
        <f aca="false">IF(B2055=Dashboard!$D$3,ROW(),"")</f>
        <v/>
      </c>
    </row>
    <row r="2056" customFormat="false" ht="15" hidden="false" customHeight="false" outlineLevel="0" collapsed="false">
      <c r="A2056" s="80"/>
      <c r="B2056" s="71"/>
      <c r="C2056" s="71"/>
      <c r="D2056" s="81"/>
      <c r="E2056" s="71"/>
      <c r="F2056" s="71"/>
      <c r="G2056" s="82" t="str">
        <f aca="false">IF(C2056="","",IFERROR(INDEX('Kit Lists'!$D$6:$D$605,MATCH(B2056&amp;"|"&amp;C2056,'Kit Lists'!$J$6:$J$605,0)),"Not on this contract's kit list"))</f>
        <v/>
      </c>
      <c r="H2056" s="83" t="str">
        <f aca="false">IF(AND(B2056="",C2056="",D2056=""),"",IF(B2056="","Missing contract",IF(C2056="","Missing code",IF(LEFT(G2056,3)="Not","Wrong code",IF(D2056="","Missing qty",IF(A2056="","Missing date",""))))))</f>
        <v/>
      </c>
      <c r="I2056" s="84" t="str">
        <f aca="false">IF(B2056=Dashboard!$D$3,ROW(),"")</f>
        <v/>
      </c>
    </row>
    <row r="2057" customFormat="false" ht="15" hidden="false" customHeight="false" outlineLevel="0" collapsed="false">
      <c r="A2057" s="80"/>
      <c r="B2057" s="71"/>
      <c r="C2057" s="71"/>
      <c r="D2057" s="81"/>
      <c r="E2057" s="71"/>
      <c r="F2057" s="71"/>
      <c r="G2057" s="82" t="str">
        <f aca="false">IF(C2057="","",IFERROR(INDEX('Kit Lists'!$D$6:$D$605,MATCH(B2057&amp;"|"&amp;C2057,'Kit Lists'!$J$6:$J$605,0)),"Not on this contract's kit list"))</f>
        <v/>
      </c>
      <c r="H2057" s="83" t="str">
        <f aca="false">IF(AND(B2057="",C2057="",D2057=""),"",IF(B2057="","Missing contract",IF(C2057="","Missing code",IF(LEFT(G2057,3)="Not","Wrong code",IF(D2057="","Missing qty",IF(A2057="","Missing date",""))))))</f>
        <v/>
      </c>
      <c r="I2057" s="84" t="str">
        <f aca="false">IF(B2057=Dashboard!$D$3,ROW(),"")</f>
        <v/>
      </c>
    </row>
    <row r="2058" customFormat="false" ht="15" hidden="false" customHeight="false" outlineLevel="0" collapsed="false">
      <c r="A2058" s="80"/>
      <c r="B2058" s="71"/>
      <c r="C2058" s="71"/>
      <c r="D2058" s="81"/>
      <c r="E2058" s="71"/>
      <c r="F2058" s="71"/>
      <c r="G2058" s="82" t="str">
        <f aca="false">IF(C2058="","",IFERROR(INDEX('Kit Lists'!$D$6:$D$605,MATCH(B2058&amp;"|"&amp;C2058,'Kit Lists'!$J$6:$J$605,0)),"Not on this contract's kit list"))</f>
        <v/>
      </c>
      <c r="H2058" s="83" t="str">
        <f aca="false">IF(AND(B2058="",C2058="",D2058=""),"",IF(B2058="","Missing contract",IF(C2058="","Missing code",IF(LEFT(G2058,3)="Not","Wrong code",IF(D2058="","Missing qty",IF(A2058="","Missing date",""))))))</f>
        <v/>
      </c>
      <c r="I2058" s="84" t="str">
        <f aca="false">IF(B2058=Dashboard!$D$3,ROW(),"")</f>
        <v/>
      </c>
    </row>
    <row r="2059" customFormat="false" ht="15" hidden="false" customHeight="false" outlineLevel="0" collapsed="false">
      <c r="A2059" s="80"/>
      <c r="B2059" s="71"/>
      <c r="C2059" s="71"/>
      <c r="D2059" s="81"/>
      <c r="E2059" s="71"/>
      <c r="F2059" s="71"/>
      <c r="G2059" s="82" t="str">
        <f aca="false">IF(C2059="","",IFERROR(INDEX('Kit Lists'!$D$6:$D$605,MATCH(B2059&amp;"|"&amp;C2059,'Kit Lists'!$J$6:$J$605,0)),"Not on this contract's kit list"))</f>
        <v/>
      </c>
      <c r="H2059" s="83" t="str">
        <f aca="false">IF(AND(B2059="",C2059="",D2059=""),"",IF(B2059="","Missing contract",IF(C2059="","Missing code",IF(LEFT(G2059,3)="Not","Wrong code",IF(D2059="","Missing qty",IF(A2059="","Missing date",""))))))</f>
        <v/>
      </c>
      <c r="I2059" s="84" t="str">
        <f aca="false">IF(B2059=Dashboard!$D$3,ROW(),"")</f>
        <v/>
      </c>
    </row>
    <row r="2060" customFormat="false" ht="15" hidden="false" customHeight="false" outlineLevel="0" collapsed="false">
      <c r="A2060" s="80"/>
      <c r="B2060" s="71"/>
      <c r="C2060" s="71"/>
      <c r="D2060" s="81"/>
      <c r="E2060" s="71"/>
      <c r="F2060" s="71"/>
      <c r="G2060" s="82" t="str">
        <f aca="false">IF(C2060="","",IFERROR(INDEX('Kit Lists'!$D$6:$D$605,MATCH(B2060&amp;"|"&amp;C2060,'Kit Lists'!$J$6:$J$605,0)),"Not on this contract's kit list"))</f>
        <v/>
      </c>
      <c r="H2060" s="83" t="str">
        <f aca="false">IF(AND(B2060="",C2060="",D2060=""),"",IF(B2060="","Missing contract",IF(C2060="","Missing code",IF(LEFT(G2060,3)="Not","Wrong code",IF(D2060="","Missing qty",IF(A2060="","Missing date",""))))))</f>
        <v/>
      </c>
      <c r="I2060" s="84" t="str">
        <f aca="false">IF(B2060=Dashboard!$D$3,ROW(),"")</f>
        <v/>
      </c>
    </row>
    <row r="2061" customFormat="false" ht="15" hidden="false" customHeight="false" outlineLevel="0" collapsed="false">
      <c r="A2061" s="80"/>
      <c r="B2061" s="71"/>
      <c r="C2061" s="71"/>
      <c r="D2061" s="81"/>
      <c r="E2061" s="71"/>
      <c r="F2061" s="71"/>
      <c r="G2061" s="82" t="str">
        <f aca="false">IF(C2061="","",IFERROR(INDEX('Kit Lists'!$D$6:$D$605,MATCH(B2061&amp;"|"&amp;C2061,'Kit Lists'!$J$6:$J$605,0)),"Not on this contract's kit list"))</f>
        <v/>
      </c>
      <c r="H2061" s="83" t="str">
        <f aca="false">IF(AND(B2061="",C2061="",D2061=""),"",IF(B2061="","Missing contract",IF(C2061="","Missing code",IF(LEFT(G2061,3)="Not","Wrong code",IF(D2061="","Missing qty",IF(A2061="","Missing date",""))))))</f>
        <v/>
      </c>
      <c r="I2061" s="84" t="str">
        <f aca="false">IF(B2061=Dashboard!$D$3,ROW(),"")</f>
        <v/>
      </c>
    </row>
    <row r="2062" customFormat="false" ht="15" hidden="false" customHeight="false" outlineLevel="0" collapsed="false">
      <c r="A2062" s="80"/>
      <c r="B2062" s="71"/>
      <c r="C2062" s="71"/>
      <c r="D2062" s="81"/>
      <c r="E2062" s="71"/>
      <c r="F2062" s="71"/>
      <c r="G2062" s="82" t="str">
        <f aca="false">IF(C2062="","",IFERROR(INDEX('Kit Lists'!$D$6:$D$605,MATCH(B2062&amp;"|"&amp;C2062,'Kit Lists'!$J$6:$J$605,0)),"Not on this contract's kit list"))</f>
        <v/>
      </c>
      <c r="H2062" s="83" t="str">
        <f aca="false">IF(AND(B2062="",C2062="",D2062=""),"",IF(B2062="","Missing contract",IF(C2062="","Missing code",IF(LEFT(G2062,3)="Not","Wrong code",IF(D2062="","Missing qty",IF(A2062="","Missing date",""))))))</f>
        <v/>
      </c>
      <c r="I2062" s="84" t="str">
        <f aca="false">IF(B2062=Dashboard!$D$3,ROW(),"")</f>
        <v/>
      </c>
    </row>
    <row r="2063" customFormat="false" ht="15" hidden="false" customHeight="false" outlineLevel="0" collapsed="false">
      <c r="A2063" s="80"/>
      <c r="B2063" s="71"/>
      <c r="C2063" s="71"/>
      <c r="D2063" s="81"/>
      <c r="E2063" s="71"/>
      <c r="F2063" s="71"/>
      <c r="G2063" s="82" t="str">
        <f aca="false">IF(C2063="","",IFERROR(INDEX('Kit Lists'!$D$6:$D$605,MATCH(B2063&amp;"|"&amp;C2063,'Kit Lists'!$J$6:$J$605,0)),"Not on this contract's kit list"))</f>
        <v/>
      </c>
      <c r="H2063" s="83" t="str">
        <f aca="false">IF(AND(B2063="",C2063="",D2063=""),"",IF(B2063="","Missing contract",IF(C2063="","Missing code",IF(LEFT(G2063,3)="Not","Wrong code",IF(D2063="","Missing qty",IF(A2063="","Missing date",""))))))</f>
        <v/>
      </c>
      <c r="I2063" s="84" t="str">
        <f aca="false">IF(B2063=Dashboard!$D$3,ROW(),"")</f>
        <v/>
      </c>
    </row>
    <row r="2064" customFormat="false" ht="15" hidden="false" customHeight="false" outlineLevel="0" collapsed="false">
      <c r="A2064" s="80"/>
      <c r="B2064" s="71"/>
      <c r="C2064" s="71"/>
      <c r="D2064" s="81"/>
      <c r="E2064" s="71"/>
      <c r="F2064" s="71"/>
      <c r="G2064" s="82" t="str">
        <f aca="false">IF(C2064="","",IFERROR(INDEX('Kit Lists'!$D$6:$D$605,MATCH(B2064&amp;"|"&amp;C2064,'Kit Lists'!$J$6:$J$605,0)),"Not on this contract's kit list"))</f>
        <v/>
      </c>
      <c r="H2064" s="83" t="str">
        <f aca="false">IF(AND(B2064="",C2064="",D2064=""),"",IF(B2064="","Missing contract",IF(C2064="","Missing code",IF(LEFT(G2064,3)="Not","Wrong code",IF(D2064="","Missing qty",IF(A2064="","Missing date",""))))))</f>
        <v/>
      </c>
      <c r="I2064" s="84" t="str">
        <f aca="false">IF(B2064=Dashboard!$D$3,ROW(),"")</f>
        <v/>
      </c>
    </row>
    <row r="2065" customFormat="false" ht="15" hidden="false" customHeight="false" outlineLevel="0" collapsed="false">
      <c r="A2065" s="80"/>
      <c r="B2065" s="71"/>
      <c r="C2065" s="71"/>
      <c r="D2065" s="81"/>
      <c r="E2065" s="71"/>
      <c r="F2065" s="71"/>
      <c r="G2065" s="82" t="str">
        <f aca="false">IF(C2065="","",IFERROR(INDEX('Kit Lists'!$D$6:$D$605,MATCH(B2065&amp;"|"&amp;C2065,'Kit Lists'!$J$6:$J$605,0)),"Not on this contract's kit list"))</f>
        <v/>
      </c>
      <c r="H2065" s="83" t="str">
        <f aca="false">IF(AND(B2065="",C2065="",D2065=""),"",IF(B2065="","Missing contract",IF(C2065="","Missing code",IF(LEFT(G2065,3)="Not","Wrong code",IF(D2065="","Missing qty",IF(A2065="","Missing date",""))))))</f>
        <v/>
      </c>
      <c r="I2065" s="84" t="str">
        <f aca="false">IF(B2065=Dashboard!$D$3,ROW(),"")</f>
        <v/>
      </c>
    </row>
    <row r="2066" customFormat="false" ht="15" hidden="false" customHeight="false" outlineLevel="0" collapsed="false">
      <c r="A2066" s="80"/>
      <c r="B2066" s="71"/>
      <c r="C2066" s="71"/>
      <c r="D2066" s="81"/>
      <c r="E2066" s="71"/>
      <c r="F2066" s="71"/>
      <c r="G2066" s="82" t="str">
        <f aca="false">IF(C2066="","",IFERROR(INDEX('Kit Lists'!$D$6:$D$605,MATCH(B2066&amp;"|"&amp;C2066,'Kit Lists'!$J$6:$J$605,0)),"Not on this contract's kit list"))</f>
        <v/>
      </c>
      <c r="H2066" s="83" t="str">
        <f aca="false">IF(AND(B2066="",C2066="",D2066=""),"",IF(B2066="","Missing contract",IF(C2066="","Missing code",IF(LEFT(G2066,3)="Not","Wrong code",IF(D2066="","Missing qty",IF(A2066="","Missing date",""))))))</f>
        <v/>
      </c>
      <c r="I2066" s="84" t="str">
        <f aca="false">IF(B2066=Dashboard!$D$3,ROW(),"")</f>
        <v/>
      </c>
    </row>
    <row r="2067" customFormat="false" ht="15" hidden="false" customHeight="false" outlineLevel="0" collapsed="false">
      <c r="A2067" s="80"/>
      <c r="B2067" s="71"/>
      <c r="C2067" s="71"/>
      <c r="D2067" s="81"/>
      <c r="E2067" s="71"/>
      <c r="F2067" s="71"/>
      <c r="G2067" s="82" t="str">
        <f aca="false">IF(C2067="","",IFERROR(INDEX('Kit Lists'!$D$6:$D$605,MATCH(B2067&amp;"|"&amp;C2067,'Kit Lists'!$J$6:$J$605,0)),"Not on this contract's kit list"))</f>
        <v/>
      </c>
      <c r="H2067" s="83" t="str">
        <f aca="false">IF(AND(B2067="",C2067="",D2067=""),"",IF(B2067="","Missing contract",IF(C2067="","Missing code",IF(LEFT(G2067,3)="Not","Wrong code",IF(D2067="","Missing qty",IF(A2067="","Missing date",""))))))</f>
        <v/>
      </c>
      <c r="I2067" s="84" t="str">
        <f aca="false">IF(B2067=Dashboard!$D$3,ROW(),"")</f>
        <v/>
      </c>
    </row>
    <row r="2068" customFormat="false" ht="15" hidden="false" customHeight="false" outlineLevel="0" collapsed="false">
      <c r="A2068" s="80"/>
      <c r="B2068" s="71"/>
      <c r="C2068" s="71"/>
      <c r="D2068" s="81"/>
      <c r="E2068" s="71"/>
      <c r="F2068" s="71"/>
      <c r="G2068" s="82" t="str">
        <f aca="false">IF(C2068="","",IFERROR(INDEX('Kit Lists'!$D$6:$D$605,MATCH(B2068&amp;"|"&amp;C2068,'Kit Lists'!$J$6:$J$605,0)),"Not on this contract's kit list"))</f>
        <v/>
      </c>
      <c r="H2068" s="83" t="str">
        <f aca="false">IF(AND(B2068="",C2068="",D2068=""),"",IF(B2068="","Missing contract",IF(C2068="","Missing code",IF(LEFT(G2068,3)="Not","Wrong code",IF(D2068="","Missing qty",IF(A2068="","Missing date",""))))))</f>
        <v/>
      </c>
      <c r="I2068" s="84" t="str">
        <f aca="false">IF(B2068=Dashboard!$D$3,ROW(),"")</f>
        <v/>
      </c>
    </row>
    <row r="2069" customFormat="false" ht="15" hidden="false" customHeight="false" outlineLevel="0" collapsed="false">
      <c r="A2069" s="80"/>
      <c r="B2069" s="71"/>
      <c r="C2069" s="71"/>
      <c r="D2069" s="81"/>
      <c r="E2069" s="71"/>
      <c r="F2069" s="71"/>
      <c r="G2069" s="82" t="str">
        <f aca="false">IF(C2069="","",IFERROR(INDEX('Kit Lists'!$D$6:$D$605,MATCH(B2069&amp;"|"&amp;C2069,'Kit Lists'!$J$6:$J$605,0)),"Not on this contract's kit list"))</f>
        <v/>
      </c>
      <c r="H2069" s="83" t="str">
        <f aca="false">IF(AND(B2069="",C2069="",D2069=""),"",IF(B2069="","Missing contract",IF(C2069="","Missing code",IF(LEFT(G2069,3)="Not","Wrong code",IF(D2069="","Missing qty",IF(A2069="","Missing date",""))))))</f>
        <v/>
      </c>
      <c r="I2069" s="84" t="str">
        <f aca="false">IF(B2069=Dashboard!$D$3,ROW(),"")</f>
        <v/>
      </c>
    </row>
    <row r="2070" customFormat="false" ht="15" hidden="false" customHeight="false" outlineLevel="0" collapsed="false">
      <c r="A2070" s="80"/>
      <c r="B2070" s="71"/>
      <c r="C2070" s="71"/>
      <c r="D2070" s="81"/>
      <c r="E2070" s="71"/>
      <c r="F2070" s="71"/>
      <c r="G2070" s="82" t="str">
        <f aca="false">IF(C2070="","",IFERROR(INDEX('Kit Lists'!$D$6:$D$605,MATCH(B2070&amp;"|"&amp;C2070,'Kit Lists'!$J$6:$J$605,0)),"Not on this contract's kit list"))</f>
        <v/>
      </c>
      <c r="H2070" s="83" t="str">
        <f aca="false">IF(AND(B2070="",C2070="",D2070=""),"",IF(B2070="","Missing contract",IF(C2070="","Missing code",IF(LEFT(G2070,3)="Not","Wrong code",IF(D2070="","Missing qty",IF(A2070="","Missing date",""))))))</f>
        <v/>
      </c>
      <c r="I2070" s="84" t="str">
        <f aca="false">IF(B2070=Dashboard!$D$3,ROW(),"")</f>
        <v/>
      </c>
    </row>
    <row r="2071" customFormat="false" ht="15" hidden="false" customHeight="false" outlineLevel="0" collapsed="false">
      <c r="A2071" s="80"/>
      <c r="B2071" s="71"/>
      <c r="C2071" s="71"/>
      <c r="D2071" s="81"/>
      <c r="E2071" s="71"/>
      <c r="F2071" s="71"/>
      <c r="G2071" s="82" t="str">
        <f aca="false">IF(C2071="","",IFERROR(INDEX('Kit Lists'!$D$6:$D$605,MATCH(B2071&amp;"|"&amp;C2071,'Kit Lists'!$J$6:$J$605,0)),"Not on this contract's kit list"))</f>
        <v/>
      </c>
      <c r="H2071" s="83" t="str">
        <f aca="false">IF(AND(B2071="",C2071="",D2071=""),"",IF(B2071="","Missing contract",IF(C2071="","Missing code",IF(LEFT(G2071,3)="Not","Wrong code",IF(D2071="","Missing qty",IF(A2071="","Missing date",""))))))</f>
        <v/>
      </c>
      <c r="I2071" s="84" t="str">
        <f aca="false">IF(B2071=Dashboard!$D$3,ROW(),"")</f>
        <v/>
      </c>
    </row>
    <row r="2072" customFormat="false" ht="15" hidden="false" customHeight="false" outlineLevel="0" collapsed="false">
      <c r="A2072" s="80"/>
      <c r="B2072" s="71"/>
      <c r="C2072" s="71"/>
      <c r="D2072" s="81"/>
      <c r="E2072" s="71"/>
      <c r="F2072" s="71"/>
      <c r="G2072" s="82" t="str">
        <f aca="false">IF(C2072="","",IFERROR(INDEX('Kit Lists'!$D$6:$D$605,MATCH(B2072&amp;"|"&amp;C2072,'Kit Lists'!$J$6:$J$605,0)),"Not on this contract's kit list"))</f>
        <v/>
      </c>
      <c r="H2072" s="83" t="str">
        <f aca="false">IF(AND(B2072="",C2072="",D2072=""),"",IF(B2072="","Missing contract",IF(C2072="","Missing code",IF(LEFT(G2072,3)="Not","Wrong code",IF(D2072="","Missing qty",IF(A2072="","Missing date",""))))))</f>
        <v/>
      </c>
      <c r="I2072" s="84" t="str">
        <f aca="false">IF(B2072=Dashboard!$D$3,ROW(),"")</f>
        <v/>
      </c>
    </row>
    <row r="2073" customFormat="false" ht="15" hidden="false" customHeight="false" outlineLevel="0" collapsed="false">
      <c r="A2073" s="80"/>
      <c r="B2073" s="71"/>
      <c r="C2073" s="71"/>
      <c r="D2073" s="81"/>
      <c r="E2073" s="71"/>
      <c r="F2073" s="71"/>
      <c r="G2073" s="82" t="str">
        <f aca="false">IF(C2073="","",IFERROR(INDEX('Kit Lists'!$D$6:$D$605,MATCH(B2073&amp;"|"&amp;C2073,'Kit Lists'!$J$6:$J$605,0)),"Not on this contract's kit list"))</f>
        <v/>
      </c>
      <c r="H2073" s="83" t="str">
        <f aca="false">IF(AND(B2073="",C2073="",D2073=""),"",IF(B2073="","Missing contract",IF(C2073="","Missing code",IF(LEFT(G2073,3)="Not","Wrong code",IF(D2073="","Missing qty",IF(A2073="","Missing date",""))))))</f>
        <v/>
      </c>
      <c r="I2073" s="84" t="str">
        <f aca="false">IF(B2073=Dashboard!$D$3,ROW(),"")</f>
        <v/>
      </c>
    </row>
    <row r="2074" customFormat="false" ht="15" hidden="false" customHeight="false" outlineLevel="0" collapsed="false">
      <c r="A2074" s="80"/>
      <c r="B2074" s="71"/>
      <c r="C2074" s="71"/>
      <c r="D2074" s="81"/>
      <c r="E2074" s="71"/>
      <c r="F2074" s="71"/>
      <c r="G2074" s="82" t="str">
        <f aca="false">IF(C2074="","",IFERROR(INDEX('Kit Lists'!$D$6:$D$605,MATCH(B2074&amp;"|"&amp;C2074,'Kit Lists'!$J$6:$J$605,0)),"Not on this contract's kit list"))</f>
        <v/>
      </c>
      <c r="H2074" s="83" t="str">
        <f aca="false">IF(AND(B2074="",C2074="",D2074=""),"",IF(B2074="","Missing contract",IF(C2074="","Missing code",IF(LEFT(G2074,3)="Not","Wrong code",IF(D2074="","Missing qty",IF(A2074="","Missing date",""))))))</f>
        <v/>
      </c>
      <c r="I2074" s="84" t="str">
        <f aca="false">IF(B2074=Dashboard!$D$3,ROW(),"")</f>
        <v/>
      </c>
    </row>
    <row r="2075" customFormat="false" ht="15" hidden="false" customHeight="false" outlineLevel="0" collapsed="false">
      <c r="A2075" s="80"/>
      <c r="B2075" s="71"/>
      <c r="C2075" s="71"/>
      <c r="D2075" s="81"/>
      <c r="E2075" s="71"/>
      <c r="F2075" s="71"/>
      <c r="G2075" s="82" t="str">
        <f aca="false">IF(C2075="","",IFERROR(INDEX('Kit Lists'!$D$6:$D$605,MATCH(B2075&amp;"|"&amp;C2075,'Kit Lists'!$J$6:$J$605,0)),"Not on this contract's kit list"))</f>
        <v/>
      </c>
      <c r="H2075" s="83" t="str">
        <f aca="false">IF(AND(B2075="",C2075="",D2075=""),"",IF(B2075="","Missing contract",IF(C2075="","Missing code",IF(LEFT(G2075,3)="Not","Wrong code",IF(D2075="","Missing qty",IF(A2075="","Missing date",""))))))</f>
        <v/>
      </c>
      <c r="I2075" s="84" t="str">
        <f aca="false">IF(B2075=Dashboard!$D$3,ROW(),"")</f>
        <v/>
      </c>
    </row>
    <row r="2076" customFormat="false" ht="15" hidden="false" customHeight="false" outlineLevel="0" collapsed="false">
      <c r="A2076" s="80"/>
      <c r="B2076" s="71"/>
      <c r="C2076" s="71"/>
      <c r="D2076" s="81"/>
      <c r="E2076" s="71"/>
      <c r="F2076" s="71"/>
      <c r="G2076" s="82" t="str">
        <f aca="false">IF(C2076="","",IFERROR(INDEX('Kit Lists'!$D$6:$D$605,MATCH(B2076&amp;"|"&amp;C2076,'Kit Lists'!$J$6:$J$605,0)),"Not on this contract's kit list"))</f>
        <v/>
      </c>
      <c r="H2076" s="83" t="str">
        <f aca="false">IF(AND(B2076="",C2076="",D2076=""),"",IF(B2076="","Missing contract",IF(C2076="","Missing code",IF(LEFT(G2076,3)="Not","Wrong code",IF(D2076="","Missing qty",IF(A2076="","Missing date",""))))))</f>
        <v/>
      </c>
      <c r="I2076" s="84" t="str">
        <f aca="false">IF(B2076=Dashboard!$D$3,ROW(),"")</f>
        <v/>
      </c>
    </row>
    <row r="2077" customFormat="false" ht="15" hidden="false" customHeight="false" outlineLevel="0" collapsed="false">
      <c r="A2077" s="80"/>
      <c r="B2077" s="71"/>
      <c r="C2077" s="71"/>
      <c r="D2077" s="81"/>
      <c r="E2077" s="71"/>
      <c r="F2077" s="71"/>
      <c r="G2077" s="82" t="str">
        <f aca="false">IF(C2077="","",IFERROR(INDEX('Kit Lists'!$D$6:$D$605,MATCH(B2077&amp;"|"&amp;C2077,'Kit Lists'!$J$6:$J$605,0)),"Not on this contract's kit list"))</f>
        <v/>
      </c>
      <c r="H2077" s="83" t="str">
        <f aca="false">IF(AND(B2077="",C2077="",D2077=""),"",IF(B2077="","Missing contract",IF(C2077="","Missing code",IF(LEFT(G2077,3)="Not","Wrong code",IF(D2077="","Missing qty",IF(A2077="","Missing date",""))))))</f>
        <v/>
      </c>
      <c r="I2077" s="84" t="str">
        <f aca="false">IF(B2077=Dashboard!$D$3,ROW(),"")</f>
        <v/>
      </c>
    </row>
    <row r="2078" customFormat="false" ht="15" hidden="false" customHeight="false" outlineLevel="0" collapsed="false">
      <c r="A2078" s="80"/>
      <c r="B2078" s="71"/>
      <c r="C2078" s="71"/>
      <c r="D2078" s="81"/>
      <c r="E2078" s="71"/>
      <c r="F2078" s="71"/>
      <c r="G2078" s="82" t="str">
        <f aca="false">IF(C2078="","",IFERROR(INDEX('Kit Lists'!$D$6:$D$605,MATCH(B2078&amp;"|"&amp;C2078,'Kit Lists'!$J$6:$J$605,0)),"Not on this contract's kit list"))</f>
        <v/>
      </c>
      <c r="H2078" s="83" t="str">
        <f aca="false">IF(AND(B2078="",C2078="",D2078=""),"",IF(B2078="","Missing contract",IF(C2078="","Missing code",IF(LEFT(G2078,3)="Not","Wrong code",IF(D2078="","Missing qty",IF(A2078="","Missing date",""))))))</f>
        <v/>
      </c>
      <c r="I2078" s="84" t="str">
        <f aca="false">IF(B2078=Dashboard!$D$3,ROW(),"")</f>
        <v/>
      </c>
    </row>
    <row r="2079" customFormat="false" ht="15" hidden="false" customHeight="false" outlineLevel="0" collapsed="false">
      <c r="A2079" s="80"/>
      <c r="B2079" s="71"/>
      <c r="C2079" s="71"/>
      <c r="D2079" s="81"/>
      <c r="E2079" s="71"/>
      <c r="F2079" s="71"/>
      <c r="G2079" s="82" t="str">
        <f aca="false">IF(C2079="","",IFERROR(INDEX('Kit Lists'!$D$6:$D$605,MATCH(B2079&amp;"|"&amp;C2079,'Kit Lists'!$J$6:$J$605,0)),"Not on this contract's kit list"))</f>
        <v/>
      </c>
      <c r="H2079" s="83" t="str">
        <f aca="false">IF(AND(B2079="",C2079="",D2079=""),"",IF(B2079="","Missing contract",IF(C2079="","Missing code",IF(LEFT(G2079,3)="Not","Wrong code",IF(D2079="","Missing qty",IF(A2079="","Missing date",""))))))</f>
        <v/>
      </c>
      <c r="I2079" s="84" t="str">
        <f aca="false">IF(B2079=Dashboard!$D$3,ROW(),"")</f>
        <v/>
      </c>
    </row>
    <row r="2080" customFormat="false" ht="15" hidden="false" customHeight="false" outlineLevel="0" collapsed="false">
      <c r="A2080" s="80"/>
      <c r="B2080" s="71"/>
      <c r="C2080" s="71"/>
      <c r="D2080" s="81"/>
      <c r="E2080" s="71"/>
      <c r="F2080" s="71"/>
      <c r="G2080" s="82" t="str">
        <f aca="false">IF(C2080="","",IFERROR(INDEX('Kit Lists'!$D$6:$D$605,MATCH(B2080&amp;"|"&amp;C2080,'Kit Lists'!$J$6:$J$605,0)),"Not on this contract's kit list"))</f>
        <v/>
      </c>
      <c r="H2080" s="83" t="str">
        <f aca="false">IF(AND(B2080="",C2080="",D2080=""),"",IF(B2080="","Missing contract",IF(C2080="","Missing code",IF(LEFT(G2080,3)="Not","Wrong code",IF(D2080="","Missing qty",IF(A2080="","Missing date",""))))))</f>
        <v/>
      </c>
      <c r="I2080" s="84" t="str">
        <f aca="false">IF(B2080=Dashboard!$D$3,ROW(),"")</f>
        <v/>
      </c>
    </row>
    <row r="2081" customFormat="false" ht="15" hidden="false" customHeight="false" outlineLevel="0" collapsed="false">
      <c r="A2081" s="80"/>
      <c r="B2081" s="71"/>
      <c r="C2081" s="71"/>
      <c r="D2081" s="81"/>
      <c r="E2081" s="71"/>
      <c r="F2081" s="71"/>
      <c r="G2081" s="82" t="str">
        <f aca="false">IF(C2081="","",IFERROR(INDEX('Kit Lists'!$D$6:$D$605,MATCH(B2081&amp;"|"&amp;C2081,'Kit Lists'!$J$6:$J$605,0)),"Not on this contract's kit list"))</f>
        <v/>
      </c>
      <c r="H2081" s="83" t="str">
        <f aca="false">IF(AND(B2081="",C2081="",D2081=""),"",IF(B2081="","Missing contract",IF(C2081="","Missing code",IF(LEFT(G2081,3)="Not","Wrong code",IF(D2081="","Missing qty",IF(A2081="","Missing date",""))))))</f>
        <v/>
      </c>
      <c r="I2081" s="84" t="str">
        <f aca="false">IF(B2081=Dashboard!$D$3,ROW(),"")</f>
        <v/>
      </c>
    </row>
    <row r="2082" customFormat="false" ht="15" hidden="false" customHeight="false" outlineLevel="0" collapsed="false">
      <c r="A2082" s="80"/>
      <c r="B2082" s="71"/>
      <c r="C2082" s="71"/>
      <c r="D2082" s="81"/>
      <c r="E2082" s="71"/>
      <c r="F2082" s="71"/>
      <c r="G2082" s="82" t="str">
        <f aca="false">IF(C2082="","",IFERROR(INDEX('Kit Lists'!$D$6:$D$605,MATCH(B2082&amp;"|"&amp;C2082,'Kit Lists'!$J$6:$J$605,0)),"Not on this contract's kit list"))</f>
        <v/>
      </c>
      <c r="H2082" s="83" t="str">
        <f aca="false">IF(AND(B2082="",C2082="",D2082=""),"",IF(B2082="","Missing contract",IF(C2082="","Missing code",IF(LEFT(G2082,3)="Not","Wrong code",IF(D2082="","Missing qty",IF(A2082="","Missing date",""))))))</f>
        <v/>
      </c>
      <c r="I2082" s="84" t="str">
        <f aca="false">IF(B2082=Dashboard!$D$3,ROW(),"")</f>
        <v/>
      </c>
    </row>
    <row r="2083" customFormat="false" ht="15" hidden="false" customHeight="false" outlineLevel="0" collapsed="false">
      <c r="A2083" s="80"/>
      <c r="B2083" s="71"/>
      <c r="C2083" s="71"/>
      <c r="D2083" s="81"/>
      <c r="E2083" s="71"/>
      <c r="F2083" s="71"/>
      <c r="G2083" s="82" t="str">
        <f aca="false">IF(C2083="","",IFERROR(INDEX('Kit Lists'!$D$6:$D$605,MATCH(B2083&amp;"|"&amp;C2083,'Kit Lists'!$J$6:$J$605,0)),"Not on this contract's kit list"))</f>
        <v/>
      </c>
      <c r="H2083" s="83" t="str">
        <f aca="false">IF(AND(B2083="",C2083="",D2083=""),"",IF(B2083="","Missing contract",IF(C2083="","Missing code",IF(LEFT(G2083,3)="Not","Wrong code",IF(D2083="","Missing qty",IF(A2083="","Missing date",""))))))</f>
        <v/>
      </c>
      <c r="I2083" s="84" t="str">
        <f aca="false">IF(B2083=Dashboard!$D$3,ROW(),"")</f>
        <v/>
      </c>
    </row>
    <row r="2084" customFormat="false" ht="15" hidden="false" customHeight="false" outlineLevel="0" collapsed="false">
      <c r="A2084" s="80"/>
      <c r="B2084" s="71"/>
      <c r="C2084" s="71"/>
      <c r="D2084" s="81"/>
      <c r="E2084" s="71"/>
      <c r="F2084" s="71"/>
      <c r="G2084" s="82" t="str">
        <f aca="false">IF(C2084="","",IFERROR(INDEX('Kit Lists'!$D$6:$D$605,MATCH(B2084&amp;"|"&amp;C2084,'Kit Lists'!$J$6:$J$605,0)),"Not on this contract's kit list"))</f>
        <v/>
      </c>
      <c r="H2084" s="83" t="str">
        <f aca="false">IF(AND(B2084="",C2084="",D2084=""),"",IF(B2084="","Missing contract",IF(C2084="","Missing code",IF(LEFT(G2084,3)="Not","Wrong code",IF(D2084="","Missing qty",IF(A2084="","Missing date",""))))))</f>
        <v/>
      </c>
      <c r="I2084" s="84" t="str">
        <f aca="false">IF(B2084=Dashboard!$D$3,ROW(),"")</f>
        <v/>
      </c>
    </row>
    <row r="2085" customFormat="false" ht="15" hidden="false" customHeight="false" outlineLevel="0" collapsed="false">
      <c r="A2085" s="80"/>
      <c r="B2085" s="71"/>
      <c r="C2085" s="71"/>
      <c r="D2085" s="81"/>
      <c r="E2085" s="71"/>
      <c r="F2085" s="71"/>
      <c r="G2085" s="82" t="str">
        <f aca="false">IF(C2085="","",IFERROR(INDEX('Kit Lists'!$D$6:$D$605,MATCH(B2085&amp;"|"&amp;C2085,'Kit Lists'!$J$6:$J$605,0)),"Not on this contract's kit list"))</f>
        <v/>
      </c>
      <c r="H2085" s="83" t="str">
        <f aca="false">IF(AND(B2085="",C2085="",D2085=""),"",IF(B2085="","Missing contract",IF(C2085="","Missing code",IF(LEFT(G2085,3)="Not","Wrong code",IF(D2085="","Missing qty",IF(A2085="","Missing date",""))))))</f>
        <v/>
      </c>
      <c r="I2085" s="84" t="str">
        <f aca="false">IF(B2085=Dashboard!$D$3,ROW(),"")</f>
        <v/>
      </c>
    </row>
    <row r="2086" customFormat="false" ht="15" hidden="false" customHeight="false" outlineLevel="0" collapsed="false">
      <c r="A2086" s="80"/>
      <c r="B2086" s="71"/>
      <c r="C2086" s="71"/>
      <c r="D2086" s="81"/>
      <c r="E2086" s="71"/>
      <c r="F2086" s="71"/>
      <c r="G2086" s="82" t="str">
        <f aca="false">IF(C2086="","",IFERROR(INDEX('Kit Lists'!$D$6:$D$605,MATCH(B2086&amp;"|"&amp;C2086,'Kit Lists'!$J$6:$J$605,0)),"Not on this contract's kit list"))</f>
        <v/>
      </c>
      <c r="H2086" s="83" t="str">
        <f aca="false">IF(AND(B2086="",C2086="",D2086=""),"",IF(B2086="","Missing contract",IF(C2086="","Missing code",IF(LEFT(G2086,3)="Not","Wrong code",IF(D2086="","Missing qty",IF(A2086="","Missing date",""))))))</f>
        <v/>
      </c>
      <c r="I2086" s="84" t="str">
        <f aca="false">IF(B2086=Dashboard!$D$3,ROW(),"")</f>
        <v/>
      </c>
    </row>
    <row r="2087" customFormat="false" ht="15" hidden="false" customHeight="false" outlineLevel="0" collapsed="false">
      <c r="A2087" s="80"/>
      <c r="B2087" s="71"/>
      <c r="C2087" s="71"/>
      <c r="D2087" s="81"/>
      <c r="E2087" s="71"/>
      <c r="F2087" s="71"/>
      <c r="G2087" s="82" t="str">
        <f aca="false">IF(C2087="","",IFERROR(INDEX('Kit Lists'!$D$6:$D$605,MATCH(B2087&amp;"|"&amp;C2087,'Kit Lists'!$J$6:$J$605,0)),"Not on this contract's kit list"))</f>
        <v/>
      </c>
      <c r="H2087" s="83" t="str">
        <f aca="false">IF(AND(B2087="",C2087="",D2087=""),"",IF(B2087="","Missing contract",IF(C2087="","Missing code",IF(LEFT(G2087,3)="Not","Wrong code",IF(D2087="","Missing qty",IF(A2087="","Missing date",""))))))</f>
        <v/>
      </c>
      <c r="I2087" s="84" t="str">
        <f aca="false">IF(B2087=Dashboard!$D$3,ROW(),"")</f>
        <v/>
      </c>
    </row>
    <row r="2088" customFormat="false" ht="15" hidden="false" customHeight="false" outlineLevel="0" collapsed="false">
      <c r="A2088" s="80"/>
      <c r="B2088" s="71"/>
      <c r="C2088" s="71"/>
      <c r="D2088" s="81"/>
      <c r="E2088" s="71"/>
      <c r="F2088" s="71"/>
      <c r="G2088" s="82" t="str">
        <f aca="false">IF(C2088="","",IFERROR(INDEX('Kit Lists'!$D$6:$D$605,MATCH(B2088&amp;"|"&amp;C2088,'Kit Lists'!$J$6:$J$605,0)),"Not on this contract's kit list"))</f>
        <v/>
      </c>
      <c r="H2088" s="83" t="str">
        <f aca="false">IF(AND(B2088="",C2088="",D2088=""),"",IF(B2088="","Missing contract",IF(C2088="","Missing code",IF(LEFT(G2088,3)="Not","Wrong code",IF(D2088="","Missing qty",IF(A2088="","Missing date",""))))))</f>
        <v/>
      </c>
      <c r="I2088" s="84" t="str">
        <f aca="false">IF(B2088=Dashboard!$D$3,ROW(),"")</f>
        <v/>
      </c>
    </row>
    <row r="2089" customFormat="false" ht="15" hidden="false" customHeight="false" outlineLevel="0" collapsed="false">
      <c r="A2089" s="80"/>
      <c r="B2089" s="71"/>
      <c r="C2089" s="71"/>
      <c r="D2089" s="81"/>
      <c r="E2089" s="71"/>
      <c r="F2089" s="71"/>
      <c r="G2089" s="82" t="str">
        <f aca="false">IF(C2089="","",IFERROR(INDEX('Kit Lists'!$D$6:$D$605,MATCH(B2089&amp;"|"&amp;C2089,'Kit Lists'!$J$6:$J$605,0)),"Not on this contract's kit list"))</f>
        <v/>
      </c>
      <c r="H2089" s="83" t="str">
        <f aca="false">IF(AND(B2089="",C2089="",D2089=""),"",IF(B2089="","Missing contract",IF(C2089="","Missing code",IF(LEFT(G2089,3)="Not","Wrong code",IF(D2089="","Missing qty",IF(A2089="","Missing date",""))))))</f>
        <v/>
      </c>
      <c r="I2089" s="84" t="str">
        <f aca="false">IF(B2089=Dashboard!$D$3,ROW(),"")</f>
        <v/>
      </c>
    </row>
    <row r="2090" customFormat="false" ht="15" hidden="false" customHeight="false" outlineLevel="0" collapsed="false">
      <c r="A2090" s="80"/>
      <c r="B2090" s="71"/>
      <c r="C2090" s="71"/>
      <c r="D2090" s="81"/>
      <c r="E2090" s="71"/>
      <c r="F2090" s="71"/>
      <c r="G2090" s="82" t="str">
        <f aca="false">IF(C2090="","",IFERROR(INDEX('Kit Lists'!$D$6:$D$605,MATCH(B2090&amp;"|"&amp;C2090,'Kit Lists'!$J$6:$J$605,0)),"Not on this contract's kit list"))</f>
        <v/>
      </c>
      <c r="H2090" s="83" t="str">
        <f aca="false">IF(AND(B2090="",C2090="",D2090=""),"",IF(B2090="","Missing contract",IF(C2090="","Missing code",IF(LEFT(G2090,3)="Not","Wrong code",IF(D2090="","Missing qty",IF(A2090="","Missing date",""))))))</f>
        <v/>
      </c>
      <c r="I2090" s="84" t="str">
        <f aca="false">IF(B2090=Dashboard!$D$3,ROW(),"")</f>
        <v/>
      </c>
    </row>
    <row r="2091" customFormat="false" ht="15" hidden="false" customHeight="false" outlineLevel="0" collapsed="false">
      <c r="A2091" s="80"/>
      <c r="B2091" s="71"/>
      <c r="C2091" s="71"/>
      <c r="D2091" s="81"/>
      <c r="E2091" s="71"/>
      <c r="F2091" s="71"/>
      <c r="G2091" s="82" t="str">
        <f aca="false">IF(C2091="","",IFERROR(INDEX('Kit Lists'!$D$6:$D$605,MATCH(B2091&amp;"|"&amp;C2091,'Kit Lists'!$J$6:$J$605,0)),"Not on this contract's kit list"))</f>
        <v/>
      </c>
      <c r="H2091" s="83" t="str">
        <f aca="false">IF(AND(B2091="",C2091="",D2091=""),"",IF(B2091="","Missing contract",IF(C2091="","Missing code",IF(LEFT(G2091,3)="Not","Wrong code",IF(D2091="","Missing qty",IF(A2091="","Missing date",""))))))</f>
        <v/>
      </c>
      <c r="I2091" s="84" t="str">
        <f aca="false">IF(B2091=Dashboard!$D$3,ROW(),"")</f>
        <v/>
      </c>
    </row>
    <row r="2092" customFormat="false" ht="15" hidden="false" customHeight="false" outlineLevel="0" collapsed="false">
      <c r="A2092" s="80"/>
      <c r="B2092" s="71"/>
      <c r="C2092" s="71"/>
      <c r="D2092" s="81"/>
      <c r="E2092" s="71"/>
      <c r="F2092" s="71"/>
      <c r="G2092" s="82" t="str">
        <f aca="false">IF(C2092="","",IFERROR(INDEX('Kit Lists'!$D$6:$D$605,MATCH(B2092&amp;"|"&amp;C2092,'Kit Lists'!$J$6:$J$605,0)),"Not on this contract's kit list"))</f>
        <v/>
      </c>
      <c r="H2092" s="83" t="str">
        <f aca="false">IF(AND(B2092="",C2092="",D2092=""),"",IF(B2092="","Missing contract",IF(C2092="","Missing code",IF(LEFT(G2092,3)="Not","Wrong code",IF(D2092="","Missing qty",IF(A2092="","Missing date",""))))))</f>
        <v/>
      </c>
      <c r="I2092" s="84" t="str">
        <f aca="false">IF(B2092=Dashboard!$D$3,ROW(),"")</f>
        <v/>
      </c>
    </row>
    <row r="2093" customFormat="false" ht="15" hidden="false" customHeight="false" outlineLevel="0" collapsed="false">
      <c r="A2093" s="80"/>
      <c r="B2093" s="71"/>
      <c r="C2093" s="71"/>
      <c r="D2093" s="81"/>
      <c r="E2093" s="71"/>
      <c r="F2093" s="71"/>
      <c r="G2093" s="82" t="str">
        <f aca="false">IF(C2093="","",IFERROR(INDEX('Kit Lists'!$D$6:$D$605,MATCH(B2093&amp;"|"&amp;C2093,'Kit Lists'!$J$6:$J$605,0)),"Not on this contract's kit list"))</f>
        <v/>
      </c>
      <c r="H2093" s="83" t="str">
        <f aca="false">IF(AND(B2093="",C2093="",D2093=""),"",IF(B2093="","Missing contract",IF(C2093="","Missing code",IF(LEFT(G2093,3)="Not","Wrong code",IF(D2093="","Missing qty",IF(A2093="","Missing date",""))))))</f>
        <v/>
      </c>
      <c r="I2093" s="84" t="str">
        <f aca="false">IF(B2093=Dashboard!$D$3,ROW(),"")</f>
        <v/>
      </c>
    </row>
    <row r="2094" customFormat="false" ht="15" hidden="false" customHeight="false" outlineLevel="0" collapsed="false">
      <c r="A2094" s="80"/>
      <c r="B2094" s="71"/>
      <c r="C2094" s="71"/>
      <c r="D2094" s="81"/>
      <c r="E2094" s="71"/>
      <c r="F2094" s="71"/>
      <c r="G2094" s="82" t="str">
        <f aca="false">IF(C2094="","",IFERROR(INDEX('Kit Lists'!$D$6:$D$605,MATCH(B2094&amp;"|"&amp;C2094,'Kit Lists'!$J$6:$J$605,0)),"Not on this contract's kit list"))</f>
        <v/>
      </c>
      <c r="H2094" s="83" t="str">
        <f aca="false">IF(AND(B2094="",C2094="",D2094=""),"",IF(B2094="","Missing contract",IF(C2094="","Missing code",IF(LEFT(G2094,3)="Not","Wrong code",IF(D2094="","Missing qty",IF(A2094="","Missing date",""))))))</f>
        <v/>
      </c>
      <c r="I2094" s="84" t="str">
        <f aca="false">IF(B2094=Dashboard!$D$3,ROW(),"")</f>
        <v/>
      </c>
    </row>
    <row r="2095" customFormat="false" ht="15" hidden="false" customHeight="false" outlineLevel="0" collapsed="false">
      <c r="A2095" s="80"/>
      <c r="B2095" s="71"/>
      <c r="C2095" s="71"/>
      <c r="D2095" s="81"/>
      <c r="E2095" s="71"/>
      <c r="F2095" s="71"/>
      <c r="G2095" s="82" t="str">
        <f aca="false">IF(C2095="","",IFERROR(INDEX('Kit Lists'!$D$6:$D$605,MATCH(B2095&amp;"|"&amp;C2095,'Kit Lists'!$J$6:$J$605,0)),"Not on this contract's kit list"))</f>
        <v/>
      </c>
      <c r="H2095" s="83" t="str">
        <f aca="false">IF(AND(B2095="",C2095="",D2095=""),"",IF(B2095="","Missing contract",IF(C2095="","Missing code",IF(LEFT(G2095,3)="Not","Wrong code",IF(D2095="","Missing qty",IF(A2095="","Missing date",""))))))</f>
        <v/>
      </c>
      <c r="I2095" s="84" t="str">
        <f aca="false">IF(B2095=Dashboard!$D$3,ROW(),"")</f>
        <v/>
      </c>
    </row>
    <row r="2096" customFormat="false" ht="15" hidden="false" customHeight="false" outlineLevel="0" collapsed="false">
      <c r="A2096" s="80"/>
      <c r="B2096" s="71"/>
      <c r="C2096" s="71"/>
      <c r="D2096" s="81"/>
      <c r="E2096" s="71"/>
      <c r="F2096" s="71"/>
      <c r="G2096" s="82" t="str">
        <f aca="false">IF(C2096="","",IFERROR(INDEX('Kit Lists'!$D$6:$D$605,MATCH(B2096&amp;"|"&amp;C2096,'Kit Lists'!$J$6:$J$605,0)),"Not on this contract's kit list"))</f>
        <v/>
      </c>
      <c r="H2096" s="83" t="str">
        <f aca="false">IF(AND(B2096="",C2096="",D2096=""),"",IF(B2096="","Missing contract",IF(C2096="","Missing code",IF(LEFT(G2096,3)="Not","Wrong code",IF(D2096="","Missing qty",IF(A2096="","Missing date",""))))))</f>
        <v/>
      </c>
      <c r="I2096" s="84" t="str">
        <f aca="false">IF(B2096=Dashboard!$D$3,ROW(),"")</f>
        <v/>
      </c>
    </row>
    <row r="2097" customFormat="false" ht="15" hidden="false" customHeight="false" outlineLevel="0" collapsed="false">
      <c r="A2097" s="80"/>
      <c r="B2097" s="71"/>
      <c r="C2097" s="71"/>
      <c r="D2097" s="81"/>
      <c r="E2097" s="71"/>
      <c r="F2097" s="71"/>
      <c r="G2097" s="82" t="str">
        <f aca="false">IF(C2097="","",IFERROR(INDEX('Kit Lists'!$D$6:$D$605,MATCH(B2097&amp;"|"&amp;C2097,'Kit Lists'!$J$6:$J$605,0)),"Not on this contract's kit list"))</f>
        <v/>
      </c>
      <c r="H2097" s="83" t="str">
        <f aca="false">IF(AND(B2097="",C2097="",D2097=""),"",IF(B2097="","Missing contract",IF(C2097="","Missing code",IF(LEFT(G2097,3)="Not","Wrong code",IF(D2097="","Missing qty",IF(A2097="","Missing date",""))))))</f>
        <v/>
      </c>
      <c r="I2097" s="84" t="str">
        <f aca="false">IF(B2097=Dashboard!$D$3,ROW(),"")</f>
        <v/>
      </c>
    </row>
    <row r="2098" customFormat="false" ht="15" hidden="false" customHeight="false" outlineLevel="0" collapsed="false">
      <c r="A2098" s="80"/>
      <c r="B2098" s="71"/>
      <c r="C2098" s="71"/>
      <c r="D2098" s="81"/>
      <c r="E2098" s="71"/>
      <c r="F2098" s="71"/>
      <c r="G2098" s="82" t="str">
        <f aca="false">IF(C2098="","",IFERROR(INDEX('Kit Lists'!$D$6:$D$605,MATCH(B2098&amp;"|"&amp;C2098,'Kit Lists'!$J$6:$J$605,0)),"Not on this contract's kit list"))</f>
        <v/>
      </c>
      <c r="H2098" s="83" t="str">
        <f aca="false">IF(AND(B2098="",C2098="",D2098=""),"",IF(B2098="","Missing contract",IF(C2098="","Missing code",IF(LEFT(G2098,3)="Not","Wrong code",IF(D2098="","Missing qty",IF(A2098="","Missing date",""))))))</f>
        <v/>
      </c>
      <c r="I2098" s="84" t="str">
        <f aca="false">IF(B2098=Dashboard!$D$3,ROW(),"")</f>
        <v/>
      </c>
    </row>
    <row r="2099" customFormat="false" ht="15" hidden="false" customHeight="false" outlineLevel="0" collapsed="false">
      <c r="A2099" s="80"/>
      <c r="B2099" s="71"/>
      <c r="C2099" s="71"/>
      <c r="D2099" s="81"/>
      <c r="E2099" s="71"/>
      <c r="F2099" s="71"/>
      <c r="G2099" s="82" t="str">
        <f aca="false">IF(C2099="","",IFERROR(INDEX('Kit Lists'!$D$6:$D$605,MATCH(B2099&amp;"|"&amp;C2099,'Kit Lists'!$J$6:$J$605,0)),"Not on this contract's kit list"))</f>
        <v/>
      </c>
      <c r="H2099" s="83" t="str">
        <f aca="false">IF(AND(B2099="",C2099="",D2099=""),"",IF(B2099="","Missing contract",IF(C2099="","Missing code",IF(LEFT(G2099,3)="Not","Wrong code",IF(D2099="","Missing qty",IF(A2099="","Missing date",""))))))</f>
        <v/>
      </c>
      <c r="I2099" s="84" t="str">
        <f aca="false">IF(B2099=Dashboard!$D$3,ROW(),"")</f>
        <v/>
      </c>
    </row>
    <row r="2100" customFormat="false" ht="15" hidden="false" customHeight="false" outlineLevel="0" collapsed="false">
      <c r="A2100" s="80"/>
      <c r="B2100" s="71"/>
      <c r="C2100" s="71"/>
      <c r="D2100" s="81"/>
      <c r="E2100" s="71"/>
      <c r="F2100" s="71"/>
      <c r="G2100" s="82" t="str">
        <f aca="false">IF(C2100="","",IFERROR(INDEX('Kit Lists'!$D$6:$D$605,MATCH(B2100&amp;"|"&amp;C2100,'Kit Lists'!$J$6:$J$605,0)),"Not on this contract's kit list"))</f>
        <v/>
      </c>
      <c r="H2100" s="83" t="str">
        <f aca="false">IF(AND(B2100="",C2100="",D2100=""),"",IF(B2100="","Missing contract",IF(C2100="","Missing code",IF(LEFT(G2100,3)="Not","Wrong code",IF(D2100="","Missing qty",IF(A2100="","Missing date",""))))))</f>
        <v/>
      </c>
      <c r="I2100" s="84" t="str">
        <f aca="false">IF(B2100=Dashboard!$D$3,ROW(),"")</f>
        <v/>
      </c>
    </row>
    <row r="2101" customFormat="false" ht="15" hidden="false" customHeight="false" outlineLevel="0" collapsed="false">
      <c r="A2101" s="80"/>
      <c r="B2101" s="71"/>
      <c r="C2101" s="71"/>
      <c r="D2101" s="81"/>
      <c r="E2101" s="71"/>
      <c r="F2101" s="71"/>
      <c r="G2101" s="82" t="str">
        <f aca="false">IF(C2101="","",IFERROR(INDEX('Kit Lists'!$D$6:$D$605,MATCH(B2101&amp;"|"&amp;C2101,'Kit Lists'!$J$6:$J$605,0)),"Not on this contract's kit list"))</f>
        <v/>
      </c>
      <c r="H2101" s="83" t="str">
        <f aca="false">IF(AND(B2101="",C2101="",D2101=""),"",IF(B2101="","Missing contract",IF(C2101="","Missing code",IF(LEFT(G2101,3)="Not","Wrong code",IF(D2101="","Missing qty",IF(A2101="","Missing date",""))))))</f>
        <v/>
      </c>
      <c r="I2101" s="84" t="str">
        <f aca="false">IF(B2101=Dashboard!$D$3,ROW(),"")</f>
        <v/>
      </c>
    </row>
    <row r="2102" customFormat="false" ht="15" hidden="false" customHeight="false" outlineLevel="0" collapsed="false">
      <c r="A2102" s="80"/>
      <c r="B2102" s="71"/>
      <c r="C2102" s="71"/>
      <c r="D2102" s="81"/>
      <c r="E2102" s="71"/>
      <c r="F2102" s="71"/>
      <c r="G2102" s="82" t="str">
        <f aca="false">IF(C2102="","",IFERROR(INDEX('Kit Lists'!$D$6:$D$605,MATCH(B2102&amp;"|"&amp;C2102,'Kit Lists'!$J$6:$J$605,0)),"Not on this contract's kit list"))</f>
        <v/>
      </c>
      <c r="H2102" s="83" t="str">
        <f aca="false">IF(AND(B2102="",C2102="",D2102=""),"",IF(B2102="","Missing contract",IF(C2102="","Missing code",IF(LEFT(G2102,3)="Not","Wrong code",IF(D2102="","Missing qty",IF(A2102="","Missing date",""))))))</f>
        <v/>
      </c>
      <c r="I2102" s="84" t="str">
        <f aca="false">IF(B2102=Dashboard!$D$3,ROW(),"")</f>
        <v/>
      </c>
    </row>
    <row r="2103" customFormat="false" ht="15" hidden="false" customHeight="false" outlineLevel="0" collapsed="false">
      <c r="A2103" s="80"/>
      <c r="B2103" s="71"/>
      <c r="C2103" s="71"/>
      <c r="D2103" s="81"/>
      <c r="E2103" s="71"/>
      <c r="F2103" s="71"/>
      <c r="G2103" s="82" t="str">
        <f aca="false">IF(C2103="","",IFERROR(INDEX('Kit Lists'!$D$6:$D$605,MATCH(B2103&amp;"|"&amp;C2103,'Kit Lists'!$J$6:$J$605,0)),"Not on this contract's kit list"))</f>
        <v/>
      </c>
      <c r="H2103" s="83" t="str">
        <f aca="false">IF(AND(B2103="",C2103="",D2103=""),"",IF(B2103="","Missing contract",IF(C2103="","Missing code",IF(LEFT(G2103,3)="Not","Wrong code",IF(D2103="","Missing qty",IF(A2103="","Missing date",""))))))</f>
        <v/>
      </c>
      <c r="I2103" s="84" t="str">
        <f aca="false">IF(B2103=Dashboard!$D$3,ROW(),"")</f>
        <v/>
      </c>
    </row>
    <row r="2104" customFormat="false" ht="15" hidden="false" customHeight="false" outlineLevel="0" collapsed="false">
      <c r="A2104" s="80"/>
      <c r="B2104" s="71"/>
      <c r="C2104" s="71"/>
      <c r="D2104" s="81"/>
      <c r="E2104" s="71"/>
      <c r="F2104" s="71"/>
      <c r="G2104" s="82" t="str">
        <f aca="false">IF(C2104="","",IFERROR(INDEX('Kit Lists'!$D$6:$D$605,MATCH(B2104&amp;"|"&amp;C2104,'Kit Lists'!$J$6:$J$605,0)),"Not on this contract's kit list"))</f>
        <v/>
      </c>
      <c r="H2104" s="83" t="str">
        <f aca="false">IF(AND(B2104="",C2104="",D2104=""),"",IF(B2104="","Missing contract",IF(C2104="","Missing code",IF(LEFT(G2104,3)="Not","Wrong code",IF(D2104="","Missing qty",IF(A2104="","Missing date",""))))))</f>
        <v/>
      </c>
      <c r="I2104" s="84" t="str">
        <f aca="false">IF(B2104=Dashboard!$D$3,ROW(),"")</f>
        <v/>
      </c>
    </row>
    <row r="2105" customFormat="false" ht="15" hidden="false" customHeight="false" outlineLevel="0" collapsed="false">
      <c r="A2105" s="80"/>
      <c r="B2105" s="71"/>
      <c r="C2105" s="71"/>
      <c r="D2105" s="81"/>
      <c r="E2105" s="71"/>
      <c r="F2105" s="71"/>
      <c r="G2105" s="82" t="str">
        <f aca="false">IF(C2105="","",IFERROR(INDEX('Kit Lists'!$D$6:$D$605,MATCH(B2105&amp;"|"&amp;C2105,'Kit Lists'!$J$6:$J$605,0)),"Not on this contract's kit list"))</f>
        <v/>
      </c>
      <c r="H2105" s="83" t="str">
        <f aca="false">IF(AND(B2105="",C2105="",D2105=""),"",IF(B2105="","Missing contract",IF(C2105="","Missing code",IF(LEFT(G2105,3)="Not","Wrong code",IF(D2105="","Missing qty",IF(A2105="","Missing date",""))))))</f>
        <v/>
      </c>
      <c r="I2105" s="84" t="str">
        <f aca="false">IF(B2105=Dashboard!$D$3,ROW(),"")</f>
        <v/>
      </c>
    </row>
    <row r="2106" customFormat="false" ht="15" hidden="false" customHeight="false" outlineLevel="0" collapsed="false">
      <c r="A2106" s="80"/>
      <c r="B2106" s="71"/>
      <c r="C2106" s="71"/>
      <c r="D2106" s="81"/>
      <c r="E2106" s="71"/>
      <c r="F2106" s="71"/>
      <c r="G2106" s="82" t="str">
        <f aca="false">IF(C2106="","",IFERROR(INDEX('Kit Lists'!$D$6:$D$605,MATCH(B2106&amp;"|"&amp;C2106,'Kit Lists'!$J$6:$J$605,0)),"Not on this contract's kit list"))</f>
        <v/>
      </c>
      <c r="H2106" s="83" t="str">
        <f aca="false">IF(AND(B2106="",C2106="",D2106=""),"",IF(B2106="","Missing contract",IF(C2106="","Missing code",IF(LEFT(G2106,3)="Not","Wrong code",IF(D2106="","Missing qty",IF(A2106="","Missing date",""))))))</f>
        <v/>
      </c>
      <c r="I2106" s="84" t="str">
        <f aca="false">IF(B2106=Dashboard!$D$3,ROW(),"")</f>
        <v/>
      </c>
    </row>
    <row r="2107" customFormat="false" ht="15" hidden="false" customHeight="false" outlineLevel="0" collapsed="false">
      <c r="A2107" s="80"/>
      <c r="B2107" s="71"/>
      <c r="C2107" s="71"/>
      <c r="D2107" s="81"/>
      <c r="E2107" s="71"/>
      <c r="F2107" s="71"/>
      <c r="G2107" s="82" t="str">
        <f aca="false">IF(C2107="","",IFERROR(INDEX('Kit Lists'!$D$6:$D$605,MATCH(B2107&amp;"|"&amp;C2107,'Kit Lists'!$J$6:$J$605,0)),"Not on this contract's kit list"))</f>
        <v/>
      </c>
      <c r="H2107" s="83" t="str">
        <f aca="false">IF(AND(B2107="",C2107="",D2107=""),"",IF(B2107="","Missing contract",IF(C2107="","Missing code",IF(LEFT(G2107,3)="Not","Wrong code",IF(D2107="","Missing qty",IF(A2107="","Missing date",""))))))</f>
        <v/>
      </c>
      <c r="I2107" s="84" t="str">
        <f aca="false">IF(B2107=Dashboard!$D$3,ROW(),"")</f>
        <v/>
      </c>
    </row>
    <row r="2108" customFormat="false" ht="15" hidden="false" customHeight="false" outlineLevel="0" collapsed="false">
      <c r="A2108" s="80"/>
      <c r="B2108" s="71"/>
      <c r="C2108" s="71"/>
      <c r="D2108" s="81"/>
      <c r="E2108" s="71"/>
      <c r="F2108" s="71"/>
      <c r="G2108" s="82" t="str">
        <f aca="false">IF(C2108="","",IFERROR(INDEX('Kit Lists'!$D$6:$D$605,MATCH(B2108&amp;"|"&amp;C2108,'Kit Lists'!$J$6:$J$605,0)),"Not on this contract's kit list"))</f>
        <v/>
      </c>
      <c r="H2108" s="83" t="str">
        <f aca="false">IF(AND(B2108="",C2108="",D2108=""),"",IF(B2108="","Missing contract",IF(C2108="","Missing code",IF(LEFT(G2108,3)="Not","Wrong code",IF(D2108="","Missing qty",IF(A2108="","Missing date",""))))))</f>
        <v/>
      </c>
      <c r="I2108" s="84" t="str">
        <f aca="false">IF(B2108=Dashboard!$D$3,ROW(),"")</f>
        <v/>
      </c>
    </row>
    <row r="2109" customFormat="false" ht="15" hidden="false" customHeight="false" outlineLevel="0" collapsed="false">
      <c r="A2109" s="80"/>
      <c r="B2109" s="71"/>
      <c r="C2109" s="71"/>
      <c r="D2109" s="81"/>
      <c r="E2109" s="71"/>
      <c r="F2109" s="71"/>
      <c r="G2109" s="82" t="str">
        <f aca="false">IF(C2109="","",IFERROR(INDEX('Kit Lists'!$D$6:$D$605,MATCH(B2109&amp;"|"&amp;C2109,'Kit Lists'!$J$6:$J$605,0)),"Not on this contract's kit list"))</f>
        <v/>
      </c>
      <c r="H2109" s="83" t="str">
        <f aca="false">IF(AND(B2109="",C2109="",D2109=""),"",IF(B2109="","Missing contract",IF(C2109="","Missing code",IF(LEFT(G2109,3)="Not","Wrong code",IF(D2109="","Missing qty",IF(A2109="","Missing date",""))))))</f>
        <v/>
      </c>
      <c r="I2109" s="84" t="str">
        <f aca="false">IF(B2109=Dashboard!$D$3,ROW(),"")</f>
        <v/>
      </c>
    </row>
    <row r="2110" customFormat="false" ht="15" hidden="false" customHeight="false" outlineLevel="0" collapsed="false">
      <c r="A2110" s="80"/>
      <c r="B2110" s="71"/>
      <c r="C2110" s="71"/>
      <c r="D2110" s="81"/>
      <c r="E2110" s="71"/>
      <c r="F2110" s="71"/>
      <c r="G2110" s="82" t="str">
        <f aca="false">IF(C2110="","",IFERROR(INDEX('Kit Lists'!$D$6:$D$605,MATCH(B2110&amp;"|"&amp;C2110,'Kit Lists'!$J$6:$J$605,0)),"Not on this contract's kit list"))</f>
        <v/>
      </c>
      <c r="H2110" s="83" t="str">
        <f aca="false">IF(AND(B2110="",C2110="",D2110=""),"",IF(B2110="","Missing contract",IF(C2110="","Missing code",IF(LEFT(G2110,3)="Not","Wrong code",IF(D2110="","Missing qty",IF(A2110="","Missing date",""))))))</f>
        <v/>
      </c>
      <c r="I2110" s="84" t="str">
        <f aca="false">IF(B2110=Dashboard!$D$3,ROW(),"")</f>
        <v/>
      </c>
    </row>
    <row r="2111" customFormat="false" ht="15" hidden="false" customHeight="false" outlineLevel="0" collapsed="false">
      <c r="A2111" s="80"/>
      <c r="B2111" s="71"/>
      <c r="C2111" s="71"/>
      <c r="D2111" s="81"/>
      <c r="E2111" s="71"/>
      <c r="F2111" s="71"/>
      <c r="G2111" s="82" t="str">
        <f aca="false">IF(C2111="","",IFERROR(INDEX('Kit Lists'!$D$6:$D$605,MATCH(B2111&amp;"|"&amp;C2111,'Kit Lists'!$J$6:$J$605,0)),"Not on this contract's kit list"))</f>
        <v/>
      </c>
      <c r="H2111" s="83" t="str">
        <f aca="false">IF(AND(B2111="",C2111="",D2111=""),"",IF(B2111="","Missing contract",IF(C2111="","Missing code",IF(LEFT(G2111,3)="Not","Wrong code",IF(D2111="","Missing qty",IF(A2111="","Missing date",""))))))</f>
        <v/>
      </c>
      <c r="I2111" s="84" t="str">
        <f aca="false">IF(B2111=Dashboard!$D$3,ROW(),"")</f>
        <v/>
      </c>
    </row>
    <row r="2112" customFormat="false" ht="15" hidden="false" customHeight="false" outlineLevel="0" collapsed="false">
      <c r="A2112" s="80"/>
      <c r="B2112" s="71"/>
      <c r="C2112" s="71"/>
      <c r="D2112" s="81"/>
      <c r="E2112" s="71"/>
      <c r="F2112" s="71"/>
      <c r="G2112" s="82" t="str">
        <f aca="false">IF(C2112="","",IFERROR(INDEX('Kit Lists'!$D$6:$D$605,MATCH(B2112&amp;"|"&amp;C2112,'Kit Lists'!$J$6:$J$605,0)),"Not on this contract's kit list"))</f>
        <v/>
      </c>
      <c r="H2112" s="83" t="str">
        <f aca="false">IF(AND(B2112="",C2112="",D2112=""),"",IF(B2112="","Missing contract",IF(C2112="","Missing code",IF(LEFT(G2112,3)="Not","Wrong code",IF(D2112="","Missing qty",IF(A2112="","Missing date",""))))))</f>
        <v/>
      </c>
      <c r="I2112" s="84" t="str">
        <f aca="false">IF(B2112=Dashboard!$D$3,ROW(),"")</f>
        <v/>
      </c>
    </row>
    <row r="2113" customFormat="false" ht="15" hidden="false" customHeight="false" outlineLevel="0" collapsed="false">
      <c r="A2113" s="80"/>
      <c r="B2113" s="71"/>
      <c r="C2113" s="71"/>
      <c r="D2113" s="81"/>
      <c r="E2113" s="71"/>
      <c r="F2113" s="71"/>
      <c r="G2113" s="82" t="str">
        <f aca="false">IF(C2113="","",IFERROR(INDEX('Kit Lists'!$D$6:$D$605,MATCH(B2113&amp;"|"&amp;C2113,'Kit Lists'!$J$6:$J$605,0)),"Not on this contract's kit list"))</f>
        <v/>
      </c>
      <c r="H2113" s="83" t="str">
        <f aca="false">IF(AND(B2113="",C2113="",D2113=""),"",IF(B2113="","Missing contract",IF(C2113="","Missing code",IF(LEFT(G2113,3)="Not","Wrong code",IF(D2113="","Missing qty",IF(A2113="","Missing date",""))))))</f>
        <v/>
      </c>
      <c r="I2113" s="84" t="str">
        <f aca="false">IF(B2113=Dashboard!$D$3,ROW(),"")</f>
        <v/>
      </c>
    </row>
    <row r="2114" customFormat="false" ht="15" hidden="false" customHeight="false" outlineLevel="0" collapsed="false">
      <c r="A2114" s="80"/>
      <c r="B2114" s="71"/>
      <c r="C2114" s="71"/>
      <c r="D2114" s="81"/>
      <c r="E2114" s="71"/>
      <c r="F2114" s="71"/>
      <c r="G2114" s="82" t="str">
        <f aca="false">IF(C2114="","",IFERROR(INDEX('Kit Lists'!$D$6:$D$605,MATCH(B2114&amp;"|"&amp;C2114,'Kit Lists'!$J$6:$J$605,0)),"Not on this contract's kit list"))</f>
        <v/>
      </c>
      <c r="H2114" s="83" t="str">
        <f aca="false">IF(AND(B2114="",C2114="",D2114=""),"",IF(B2114="","Missing contract",IF(C2114="","Missing code",IF(LEFT(G2114,3)="Not","Wrong code",IF(D2114="","Missing qty",IF(A2114="","Missing date",""))))))</f>
        <v/>
      </c>
      <c r="I2114" s="84" t="str">
        <f aca="false">IF(B2114=Dashboard!$D$3,ROW(),"")</f>
        <v/>
      </c>
    </row>
    <row r="2115" customFormat="false" ht="15" hidden="false" customHeight="false" outlineLevel="0" collapsed="false">
      <c r="A2115" s="80"/>
      <c r="B2115" s="71"/>
      <c r="C2115" s="71"/>
      <c r="D2115" s="81"/>
      <c r="E2115" s="71"/>
      <c r="F2115" s="71"/>
      <c r="G2115" s="82" t="str">
        <f aca="false">IF(C2115="","",IFERROR(INDEX('Kit Lists'!$D$6:$D$605,MATCH(B2115&amp;"|"&amp;C2115,'Kit Lists'!$J$6:$J$605,0)),"Not on this contract's kit list"))</f>
        <v/>
      </c>
      <c r="H2115" s="83" t="str">
        <f aca="false">IF(AND(B2115="",C2115="",D2115=""),"",IF(B2115="","Missing contract",IF(C2115="","Missing code",IF(LEFT(G2115,3)="Not","Wrong code",IF(D2115="","Missing qty",IF(A2115="","Missing date",""))))))</f>
        <v/>
      </c>
      <c r="I2115" s="84" t="str">
        <f aca="false">IF(B2115=Dashboard!$D$3,ROW(),"")</f>
        <v/>
      </c>
    </row>
    <row r="2116" customFormat="false" ht="15" hidden="false" customHeight="false" outlineLevel="0" collapsed="false">
      <c r="A2116" s="80"/>
      <c r="B2116" s="71"/>
      <c r="C2116" s="71"/>
      <c r="D2116" s="81"/>
      <c r="E2116" s="71"/>
      <c r="F2116" s="71"/>
      <c r="G2116" s="82" t="str">
        <f aca="false">IF(C2116="","",IFERROR(INDEX('Kit Lists'!$D$6:$D$605,MATCH(B2116&amp;"|"&amp;C2116,'Kit Lists'!$J$6:$J$605,0)),"Not on this contract's kit list"))</f>
        <v/>
      </c>
      <c r="H2116" s="83" t="str">
        <f aca="false">IF(AND(B2116="",C2116="",D2116=""),"",IF(B2116="","Missing contract",IF(C2116="","Missing code",IF(LEFT(G2116,3)="Not","Wrong code",IF(D2116="","Missing qty",IF(A2116="","Missing date",""))))))</f>
        <v/>
      </c>
      <c r="I2116" s="84" t="str">
        <f aca="false">IF(B2116=Dashboard!$D$3,ROW(),"")</f>
        <v/>
      </c>
    </row>
    <row r="2117" customFormat="false" ht="15" hidden="false" customHeight="false" outlineLevel="0" collapsed="false">
      <c r="A2117" s="80"/>
      <c r="B2117" s="71"/>
      <c r="C2117" s="71"/>
      <c r="D2117" s="81"/>
      <c r="E2117" s="71"/>
      <c r="F2117" s="71"/>
      <c r="G2117" s="82" t="str">
        <f aca="false">IF(C2117="","",IFERROR(INDEX('Kit Lists'!$D$6:$D$605,MATCH(B2117&amp;"|"&amp;C2117,'Kit Lists'!$J$6:$J$605,0)),"Not on this contract's kit list"))</f>
        <v/>
      </c>
      <c r="H2117" s="83" t="str">
        <f aca="false">IF(AND(B2117="",C2117="",D2117=""),"",IF(B2117="","Missing contract",IF(C2117="","Missing code",IF(LEFT(G2117,3)="Not","Wrong code",IF(D2117="","Missing qty",IF(A2117="","Missing date",""))))))</f>
        <v/>
      </c>
      <c r="I2117" s="84" t="str">
        <f aca="false">IF(B2117=Dashboard!$D$3,ROW(),"")</f>
        <v/>
      </c>
    </row>
    <row r="2118" customFormat="false" ht="15" hidden="false" customHeight="false" outlineLevel="0" collapsed="false">
      <c r="A2118" s="80"/>
      <c r="B2118" s="71"/>
      <c r="C2118" s="71"/>
      <c r="D2118" s="81"/>
      <c r="E2118" s="71"/>
      <c r="F2118" s="71"/>
      <c r="G2118" s="82" t="str">
        <f aca="false">IF(C2118="","",IFERROR(INDEX('Kit Lists'!$D$6:$D$605,MATCH(B2118&amp;"|"&amp;C2118,'Kit Lists'!$J$6:$J$605,0)),"Not on this contract's kit list"))</f>
        <v/>
      </c>
      <c r="H2118" s="83" t="str">
        <f aca="false">IF(AND(B2118="",C2118="",D2118=""),"",IF(B2118="","Missing contract",IF(C2118="","Missing code",IF(LEFT(G2118,3)="Not","Wrong code",IF(D2118="","Missing qty",IF(A2118="","Missing date",""))))))</f>
        <v/>
      </c>
      <c r="I2118" s="84" t="str">
        <f aca="false">IF(B2118=Dashboard!$D$3,ROW(),"")</f>
        <v/>
      </c>
    </row>
    <row r="2119" customFormat="false" ht="15" hidden="false" customHeight="false" outlineLevel="0" collapsed="false">
      <c r="A2119" s="80"/>
      <c r="B2119" s="71"/>
      <c r="C2119" s="71"/>
      <c r="D2119" s="81"/>
      <c r="E2119" s="71"/>
      <c r="F2119" s="71"/>
      <c r="G2119" s="82" t="str">
        <f aca="false">IF(C2119="","",IFERROR(INDEX('Kit Lists'!$D$6:$D$605,MATCH(B2119&amp;"|"&amp;C2119,'Kit Lists'!$J$6:$J$605,0)),"Not on this contract's kit list"))</f>
        <v/>
      </c>
      <c r="H2119" s="83" t="str">
        <f aca="false">IF(AND(B2119="",C2119="",D2119=""),"",IF(B2119="","Missing contract",IF(C2119="","Missing code",IF(LEFT(G2119,3)="Not","Wrong code",IF(D2119="","Missing qty",IF(A2119="","Missing date",""))))))</f>
        <v/>
      </c>
      <c r="I2119" s="84" t="str">
        <f aca="false">IF(B2119=Dashboard!$D$3,ROW(),"")</f>
        <v/>
      </c>
    </row>
    <row r="2120" customFormat="false" ht="15" hidden="false" customHeight="false" outlineLevel="0" collapsed="false">
      <c r="A2120" s="80"/>
      <c r="B2120" s="71"/>
      <c r="C2120" s="71"/>
      <c r="D2120" s="81"/>
      <c r="E2120" s="71"/>
      <c r="F2120" s="71"/>
      <c r="G2120" s="82" t="str">
        <f aca="false">IF(C2120="","",IFERROR(INDEX('Kit Lists'!$D$6:$D$605,MATCH(B2120&amp;"|"&amp;C2120,'Kit Lists'!$J$6:$J$605,0)),"Not on this contract's kit list"))</f>
        <v/>
      </c>
      <c r="H2120" s="83" t="str">
        <f aca="false">IF(AND(B2120="",C2120="",D2120=""),"",IF(B2120="","Missing contract",IF(C2120="","Missing code",IF(LEFT(G2120,3)="Not","Wrong code",IF(D2120="","Missing qty",IF(A2120="","Missing date",""))))))</f>
        <v/>
      </c>
      <c r="I2120" s="84" t="str">
        <f aca="false">IF(B2120=Dashboard!$D$3,ROW(),"")</f>
        <v/>
      </c>
    </row>
    <row r="2121" customFormat="false" ht="15" hidden="false" customHeight="false" outlineLevel="0" collapsed="false">
      <c r="A2121" s="80"/>
      <c r="B2121" s="71"/>
      <c r="C2121" s="71"/>
      <c r="D2121" s="81"/>
      <c r="E2121" s="71"/>
      <c r="F2121" s="71"/>
      <c r="G2121" s="82" t="str">
        <f aca="false">IF(C2121="","",IFERROR(INDEX('Kit Lists'!$D$6:$D$605,MATCH(B2121&amp;"|"&amp;C2121,'Kit Lists'!$J$6:$J$605,0)),"Not on this contract's kit list"))</f>
        <v/>
      </c>
      <c r="H2121" s="83" t="str">
        <f aca="false">IF(AND(B2121="",C2121="",D2121=""),"",IF(B2121="","Missing contract",IF(C2121="","Missing code",IF(LEFT(G2121,3)="Not","Wrong code",IF(D2121="","Missing qty",IF(A2121="","Missing date",""))))))</f>
        <v/>
      </c>
      <c r="I2121" s="84" t="str">
        <f aca="false">IF(B2121=Dashboard!$D$3,ROW(),"")</f>
        <v/>
      </c>
    </row>
    <row r="2122" customFormat="false" ht="15" hidden="false" customHeight="false" outlineLevel="0" collapsed="false">
      <c r="A2122" s="80"/>
      <c r="B2122" s="71"/>
      <c r="C2122" s="71"/>
      <c r="D2122" s="81"/>
      <c r="E2122" s="71"/>
      <c r="F2122" s="71"/>
      <c r="G2122" s="82" t="str">
        <f aca="false">IF(C2122="","",IFERROR(INDEX('Kit Lists'!$D$6:$D$605,MATCH(B2122&amp;"|"&amp;C2122,'Kit Lists'!$J$6:$J$605,0)),"Not on this contract's kit list"))</f>
        <v/>
      </c>
      <c r="H2122" s="83" t="str">
        <f aca="false">IF(AND(B2122="",C2122="",D2122=""),"",IF(B2122="","Missing contract",IF(C2122="","Missing code",IF(LEFT(G2122,3)="Not","Wrong code",IF(D2122="","Missing qty",IF(A2122="","Missing date",""))))))</f>
        <v/>
      </c>
      <c r="I2122" s="84" t="str">
        <f aca="false">IF(B2122=Dashboard!$D$3,ROW(),"")</f>
        <v/>
      </c>
    </row>
    <row r="2123" customFormat="false" ht="15" hidden="false" customHeight="false" outlineLevel="0" collapsed="false">
      <c r="A2123" s="80"/>
      <c r="B2123" s="71"/>
      <c r="C2123" s="71"/>
      <c r="D2123" s="81"/>
      <c r="E2123" s="71"/>
      <c r="F2123" s="71"/>
      <c r="G2123" s="82" t="str">
        <f aca="false">IF(C2123="","",IFERROR(INDEX('Kit Lists'!$D$6:$D$605,MATCH(B2123&amp;"|"&amp;C2123,'Kit Lists'!$J$6:$J$605,0)),"Not on this contract's kit list"))</f>
        <v/>
      </c>
      <c r="H2123" s="83" t="str">
        <f aca="false">IF(AND(B2123="",C2123="",D2123=""),"",IF(B2123="","Missing contract",IF(C2123="","Missing code",IF(LEFT(G2123,3)="Not","Wrong code",IF(D2123="","Missing qty",IF(A2123="","Missing date",""))))))</f>
        <v/>
      </c>
      <c r="I2123" s="84" t="str">
        <f aca="false">IF(B2123=Dashboard!$D$3,ROW(),"")</f>
        <v/>
      </c>
    </row>
    <row r="2124" customFormat="false" ht="15" hidden="false" customHeight="false" outlineLevel="0" collapsed="false">
      <c r="A2124" s="80"/>
      <c r="B2124" s="71"/>
      <c r="C2124" s="71"/>
      <c r="D2124" s="81"/>
      <c r="E2124" s="71"/>
      <c r="F2124" s="71"/>
      <c r="G2124" s="82" t="str">
        <f aca="false">IF(C2124="","",IFERROR(INDEX('Kit Lists'!$D$6:$D$605,MATCH(B2124&amp;"|"&amp;C2124,'Kit Lists'!$J$6:$J$605,0)),"Not on this contract's kit list"))</f>
        <v/>
      </c>
      <c r="H2124" s="83" t="str">
        <f aca="false">IF(AND(B2124="",C2124="",D2124=""),"",IF(B2124="","Missing contract",IF(C2124="","Missing code",IF(LEFT(G2124,3)="Not","Wrong code",IF(D2124="","Missing qty",IF(A2124="","Missing date",""))))))</f>
        <v/>
      </c>
      <c r="I2124" s="84" t="str">
        <f aca="false">IF(B2124=Dashboard!$D$3,ROW(),"")</f>
        <v/>
      </c>
    </row>
    <row r="2125" customFormat="false" ht="15" hidden="false" customHeight="false" outlineLevel="0" collapsed="false">
      <c r="A2125" s="80"/>
      <c r="B2125" s="71"/>
      <c r="C2125" s="71"/>
      <c r="D2125" s="81"/>
      <c r="E2125" s="71"/>
      <c r="F2125" s="71"/>
      <c r="G2125" s="82" t="str">
        <f aca="false">IF(C2125="","",IFERROR(INDEX('Kit Lists'!$D$6:$D$605,MATCH(B2125&amp;"|"&amp;C2125,'Kit Lists'!$J$6:$J$605,0)),"Not on this contract's kit list"))</f>
        <v/>
      </c>
      <c r="H2125" s="83" t="str">
        <f aca="false">IF(AND(B2125="",C2125="",D2125=""),"",IF(B2125="","Missing contract",IF(C2125="","Missing code",IF(LEFT(G2125,3)="Not","Wrong code",IF(D2125="","Missing qty",IF(A2125="","Missing date",""))))))</f>
        <v/>
      </c>
      <c r="I2125" s="84" t="str">
        <f aca="false">IF(B2125=Dashboard!$D$3,ROW(),"")</f>
        <v/>
      </c>
    </row>
    <row r="2126" customFormat="false" ht="15" hidden="false" customHeight="false" outlineLevel="0" collapsed="false">
      <c r="A2126" s="80"/>
      <c r="B2126" s="71"/>
      <c r="C2126" s="71"/>
      <c r="D2126" s="81"/>
      <c r="E2126" s="71"/>
      <c r="F2126" s="71"/>
      <c r="G2126" s="82" t="str">
        <f aca="false">IF(C2126="","",IFERROR(INDEX('Kit Lists'!$D$6:$D$605,MATCH(B2126&amp;"|"&amp;C2126,'Kit Lists'!$J$6:$J$605,0)),"Not on this contract's kit list"))</f>
        <v/>
      </c>
      <c r="H2126" s="83" t="str">
        <f aca="false">IF(AND(B2126="",C2126="",D2126=""),"",IF(B2126="","Missing contract",IF(C2126="","Missing code",IF(LEFT(G2126,3)="Not","Wrong code",IF(D2126="","Missing qty",IF(A2126="","Missing date",""))))))</f>
        <v/>
      </c>
      <c r="I2126" s="84" t="str">
        <f aca="false">IF(B2126=Dashboard!$D$3,ROW(),"")</f>
        <v/>
      </c>
    </row>
    <row r="2127" customFormat="false" ht="15" hidden="false" customHeight="false" outlineLevel="0" collapsed="false">
      <c r="A2127" s="80"/>
      <c r="B2127" s="71"/>
      <c r="C2127" s="71"/>
      <c r="D2127" s="81"/>
      <c r="E2127" s="71"/>
      <c r="F2127" s="71"/>
      <c r="G2127" s="82" t="str">
        <f aca="false">IF(C2127="","",IFERROR(INDEX('Kit Lists'!$D$6:$D$605,MATCH(B2127&amp;"|"&amp;C2127,'Kit Lists'!$J$6:$J$605,0)),"Not on this contract's kit list"))</f>
        <v/>
      </c>
      <c r="H2127" s="83" t="str">
        <f aca="false">IF(AND(B2127="",C2127="",D2127=""),"",IF(B2127="","Missing contract",IF(C2127="","Missing code",IF(LEFT(G2127,3)="Not","Wrong code",IF(D2127="","Missing qty",IF(A2127="","Missing date",""))))))</f>
        <v/>
      </c>
      <c r="I2127" s="84" t="str">
        <f aca="false">IF(B2127=Dashboard!$D$3,ROW(),"")</f>
        <v/>
      </c>
    </row>
    <row r="2128" customFormat="false" ht="15" hidden="false" customHeight="false" outlineLevel="0" collapsed="false">
      <c r="A2128" s="80"/>
      <c r="B2128" s="71"/>
      <c r="C2128" s="71"/>
      <c r="D2128" s="81"/>
      <c r="E2128" s="71"/>
      <c r="F2128" s="71"/>
      <c r="G2128" s="82" t="str">
        <f aca="false">IF(C2128="","",IFERROR(INDEX('Kit Lists'!$D$6:$D$605,MATCH(B2128&amp;"|"&amp;C2128,'Kit Lists'!$J$6:$J$605,0)),"Not on this contract's kit list"))</f>
        <v/>
      </c>
      <c r="H2128" s="83" t="str">
        <f aca="false">IF(AND(B2128="",C2128="",D2128=""),"",IF(B2128="","Missing contract",IF(C2128="","Missing code",IF(LEFT(G2128,3)="Not","Wrong code",IF(D2128="","Missing qty",IF(A2128="","Missing date",""))))))</f>
        <v/>
      </c>
      <c r="I2128" s="84" t="str">
        <f aca="false">IF(B2128=Dashboard!$D$3,ROW(),"")</f>
        <v/>
      </c>
    </row>
    <row r="2129" customFormat="false" ht="15" hidden="false" customHeight="false" outlineLevel="0" collapsed="false">
      <c r="A2129" s="80"/>
      <c r="B2129" s="71"/>
      <c r="C2129" s="71"/>
      <c r="D2129" s="81"/>
      <c r="E2129" s="71"/>
      <c r="F2129" s="71"/>
      <c r="G2129" s="82" t="str">
        <f aca="false">IF(C2129="","",IFERROR(INDEX('Kit Lists'!$D$6:$D$605,MATCH(B2129&amp;"|"&amp;C2129,'Kit Lists'!$J$6:$J$605,0)),"Not on this contract's kit list"))</f>
        <v/>
      </c>
      <c r="H2129" s="83" t="str">
        <f aca="false">IF(AND(B2129="",C2129="",D2129=""),"",IF(B2129="","Missing contract",IF(C2129="","Missing code",IF(LEFT(G2129,3)="Not","Wrong code",IF(D2129="","Missing qty",IF(A2129="","Missing date",""))))))</f>
        <v/>
      </c>
      <c r="I2129" s="84" t="str">
        <f aca="false">IF(B2129=Dashboard!$D$3,ROW(),"")</f>
        <v/>
      </c>
    </row>
    <row r="2130" customFormat="false" ht="15" hidden="false" customHeight="false" outlineLevel="0" collapsed="false">
      <c r="A2130" s="80"/>
      <c r="B2130" s="71"/>
      <c r="C2130" s="71"/>
      <c r="D2130" s="81"/>
      <c r="E2130" s="71"/>
      <c r="F2130" s="71"/>
      <c r="G2130" s="82" t="str">
        <f aca="false">IF(C2130="","",IFERROR(INDEX('Kit Lists'!$D$6:$D$605,MATCH(B2130&amp;"|"&amp;C2130,'Kit Lists'!$J$6:$J$605,0)),"Not on this contract's kit list"))</f>
        <v/>
      </c>
      <c r="H2130" s="83" t="str">
        <f aca="false">IF(AND(B2130="",C2130="",D2130=""),"",IF(B2130="","Missing contract",IF(C2130="","Missing code",IF(LEFT(G2130,3)="Not","Wrong code",IF(D2130="","Missing qty",IF(A2130="","Missing date",""))))))</f>
        <v/>
      </c>
      <c r="I2130" s="84" t="str">
        <f aca="false">IF(B2130=Dashboard!$D$3,ROW(),"")</f>
        <v/>
      </c>
    </row>
    <row r="2131" customFormat="false" ht="15" hidden="false" customHeight="false" outlineLevel="0" collapsed="false">
      <c r="A2131" s="80"/>
      <c r="B2131" s="71"/>
      <c r="C2131" s="71"/>
      <c r="D2131" s="81"/>
      <c r="E2131" s="71"/>
      <c r="F2131" s="71"/>
      <c r="G2131" s="82" t="str">
        <f aca="false">IF(C2131="","",IFERROR(INDEX('Kit Lists'!$D$6:$D$605,MATCH(B2131&amp;"|"&amp;C2131,'Kit Lists'!$J$6:$J$605,0)),"Not on this contract's kit list"))</f>
        <v/>
      </c>
      <c r="H2131" s="83" t="str">
        <f aca="false">IF(AND(B2131="",C2131="",D2131=""),"",IF(B2131="","Missing contract",IF(C2131="","Missing code",IF(LEFT(G2131,3)="Not","Wrong code",IF(D2131="","Missing qty",IF(A2131="","Missing date",""))))))</f>
        <v/>
      </c>
      <c r="I2131" s="84" t="str">
        <f aca="false">IF(B2131=Dashboard!$D$3,ROW(),"")</f>
        <v/>
      </c>
    </row>
    <row r="2132" customFormat="false" ht="15" hidden="false" customHeight="false" outlineLevel="0" collapsed="false">
      <c r="A2132" s="80"/>
      <c r="B2132" s="71"/>
      <c r="C2132" s="71"/>
      <c r="D2132" s="81"/>
      <c r="E2132" s="71"/>
      <c r="F2132" s="71"/>
      <c r="G2132" s="82" t="str">
        <f aca="false">IF(C2132="","",IFERROR(INDEX('Kit Lists'!$D$6:$D$605,MATCH(B2132&amp;"|"&amp;C2132,'Kit Lists'!$J$6:$J$605,0)),"Not on this contract's kit list"))</f>
        <v/>
      </c>
      <c r="H2132" s="83" t="str">
        <f aca="false">IF(AND(B2132="",C2132="",D2132=""),"",IF(B2132="","Missing contract",IF(C2132="","Missing code",IF(LEFT(G2132,3)="Not","Wrong code",IF(D2132="","Missing qty",IF(A2132="","Missing date",""))))))</f>
        <v/>
      </c>
      <c r="I2132" s="84" t="str">
        <f aca="false">IF(B2132=Dashboard!$D$3,ROW(),"")</f>
        <v/>
      </c>
    </row>
    <row r="2133" customFormat="false" ht="15" hidden="false" customHeight="false" outlineLevel="0" collapsed="false">
      <c r="A2133" s="80"/>
      <c r="B2133" s="71"/>
      <c r="C2133" s="71"/>
      <c r="D2133" s="81"/>
      <c r="E2133" s="71"/>
      <c r="F2133" s="71"/>
      <c r="G2133" s="82" t="str">
        <f aca="false">IF(C2133="","",IFERROR(INDEX('Kit Lists'!$D$6:$D$605,MATCH(B2133&amp;"|"&amp;C2133,'Kit Lists'!$J$6:$J$605,0)),"Not on this contract's kit list"))</f>
        <v/>
      </c>
      <c r="H2133" s="83" t="str">
        <f aca="false">IF(AND(B2133="",C2133="",D2133=""),"",IF(B2133="","Missing contract",IF(C2133="","Missing code",IF(LEFT(G2133,3)="Not","Wrong code",IF(D2133="","Missing qty",IF(A2133="","Missing date",""))))))</f>
        <v/>
      </c>
      <c r="I2133" s="84" t="str">
        <f aca="false">IF(B2133=Dashboard!$D$3,ROW(),"")</f>
        <v/>
      </c>
    </row>
    <row r="2134" customFormat="false" ht="15" hidden="false" customHeight="false" outlineLevel="0" collapsed="false">
      <c r="A2134" s="80"/>
      <c r="B2134" s="71"/>
      <c r="C2134" s="71"/>
      <c r="D2134" s="81"/>
      <c r="E2134" s="71"/>
      <c r="F2134" s="71"/>
      <c r="G2134" s="82" t="str">
        <f aca="false">IF(C2134="","",IFERROR(INDEX('Kit Lists'!$D$6:$D$605,MATCH(B2134&amp;"|"&amp;C2134,'Kit Lists'!$J$6:$J$605,0)),"Not on this contract's kit list"))</f>
        <v/>
      </c>
      <c r="H2134" s="83" t="str">
        <f aca="false">IF(AND(B2134="",C2134="",D2134=""),"",IF(B2134="","Missing contract",IF(C2134="","Missing code",IF(LEFT(G2134,3)="Not","Wrong code",IF(D2134="","Missing qty",IF(A2134="","Missing date",""))))))</f>
        <v/>
      </c>
      <c r="I2134" s="84" t="str">
        <f aca="false">IF(B2134=Dashboard!$D$3,ROW(),"")</f>
        <v/>
      </c>
    </row>
    <row r="2135" customFormat="false" ht="15" hidden="false" customHeight="false" outlineLevel="0" collapsed="false">
      <c r="A2135" s="80"/>
      <c r="B2135" s="71"/>
      <c r="C2135" s="71"/>
      <c r="D2135" s="81"/>
      <c r="E2135" s="71"/>
      <c r="F2135" s="71"/>
      <c r="G2135" s="82" t="str">
        <f aca="false">IF(C2135="","",IFERROR(INDEX('Kit Lists'!$D$6:$D$605,MATCH(B2135&amp;"|"&amp;C2135,'Kit Lists'!$J$6:$J$605,0)),"Not on this contract's kit list"))</f>
        <v/>
      </c>
      <c r="H2135" s="83" t="str">
        <f aca="false">IF(AND(B2135="",C2135="",D2135=""),"",IF(B2135="","Missing contract",IF(C2135="","Missing code",IF(LEFT(G2135,3)="Not","Wrong code",IF(D2135="","Missing qty",IF(A2135="","Missing date",""))))))</f>
        <v/>
      </c>
      <c r="I2135" s="84" t="str">
        <f aca="false">IF(B2135=Dashboard!$D$3,ROW(),"")</f>
        <v/>
      </c>
    </row>
    <row r="2136" customFormat="false" ht="15" hidden="false" customHeight="false" outlineLevel="0" collapsed="false">
      <c r="A2136" s="80"/>
      <c r="B2136" s="71"/>
      <c r="C2136" s="71"/>
      <c r="D2136" s="81"/>
      <c r="E2136" s="71"/>
      <c r="F2136" s="71"/>
      <c r="G2136" s="82" t="str">
        <f aca="false">IF(C2136="","",IFERROR(INDEX('Kit Lists'!$D$6:$D$605,MATCH(B2136&amp;"|"&amp;C2136,'Kit Lists'!$J$6:$J$605,0)),"Not on this contract's kit list"))</f>
        <v/>
      </c>
      <c r="H2136" s="83" t="str">
        <f aca="false">IF(AND(B2136="",C2136="",D2136=""),"",IF(B2136="","Missing contract",IF(C2136="","Missing code",IF(LEFT(G2136,3)="Not","Wrong code",IF(D2136="","Missing qty",IF(A2136="","Missing date",""))))))</f>
        <v/>
      </c>
      <c r="I2136" s="84" t="str">
        <f aca="false">IF(B2136=Dashboard!$D$3,ROW(),"")</f>
        <v/>
      </c>
    </row>
    <row r="2137" customFormat="false" ht="15" hidden="false" customHeight="false" outlineLevel="0" collapsed="false">
      <c r="A2137" s="80"/>
      <c r="B2137" s="71"/>
      <c r="C2137" s="71"/>
      <c r="D2137" s="81"/>
      <c r="E2137" s="71"/>
      <c r="F2137" s="71"/>
      <c r="G2137" s="82" t="str">
        <f aca="false">IF(C2137="","",IFERROR(INDEX('Kit Lists'!$D$6:$D$605,MATCH(B2137&amp;"|"&amp;C2137,'Kit Lists'!$J$6:$J$605,0)),"Not on this contract's kit list"))</f>
        <v/>
      </c>
      <c r="H2137" s="83" t="str">
        <f aca="false">IF(AND(B2137="",C2137="",D2137=""),"",IF(B2137="","Missing contract",IF(C2137="","Missing code",IF(LEFT(G2137,3)="Not","Wrong code",IF(D2137="","Missing qty",IF(A2137="","Missing date",""))))))</f>
        <v/>
      </c>
      <c r="I2137" s="84" t="str">
        <f aca="false">IF(B2137=Dashboard!$D$3,ROW(),"")</f>
        <v/>
      </c>
    </row>
    <row r="2138" customFormat="false" ht="15" hidden="false" customHeight="false" outlineLevel="0" collapsed="false">
      <c r="A2138" s="80"/>
      <c r="B2138" s="71"/>
      <c r="C2138" s="71"/>
      <c r="D2138" s="81"/>
      <c r="E2138" s="71"/>
      <c r="F2138" s="71"/>
      <c r="G2138" s="82" t="str">
        <f aca="false">IF(C2138="","",IFERROR(INDEX('Kit Lists'!$D$6:$D$605,MATCH(B2138&amp;"|"&amp;C2138,'Kit Lists'!$J$6:$J$605,0)),"Not on this contract's kit list"))</f>
        <v/>
      </c>
      <c r="H2138" s="83" t="str">
        <f aca="false">IF(AND(B2138="",C2138="",D2138=""),"",IF(B2138="","Missing contract",IF(C2138="","Missing code",IF(LEFT(G2138,3)="Not","Wrong code",IF(D2138="","Missing qty",IF(A2138="","Missing date",""))))))</f>
        <v/>
      </c>
      <c r="I2138" s="84" t="str">
        <f aca="false">IF(B2138=Dashboard!$D$3,ROW(),"")</f>
        <v/>
      </c>
    </row>
    <row r="2139" customFormat="false" ht="15" hidden="false" customHeight="false" outlineLevel="0" collapsed="false">
      <c r="A2139" s="80"/>
      <c r="B2139" s="71"/>
      <c r="C2139" s="71"/>
      <c r="D2139" s="81"/>
      <c r="E2139" s="71"/>
      <c r="F2139" s="71"/>
      <c r="G2139" s="82" t="str">
        <f aca="false">IF(C2139="","",IFERROR(INDEX('Kit Lists'!$D$6:$D$605,MATCH(B2139&amp;"|"&amp;C2139,'Kit Lists'!$J$6:$J$605,0)),"Not on this contract's kit list"))</f>
        <v/>
      </c>
      <c r="H2139" s="83" t="str">
        <f aca="false">IF(AND(B2139="",C2139="",D2139=""),"",IF(B2139="","Missing contract",IF(C2139="","Missing code",IF(LEFT(G2139,3)="Not","Wrong code",IF(D2139="","Missing qty",IF(A2139="","Missing date",""))))))</f>
        <v/>
      </c>
      <c r="I2139" s="84" t="str">
        <f aca="false">IF(B2139=Dashboard!$D$3,ROW(),"")</f>
        <v/>
      </c>
    </row>
    <row r="2140" customFormat="false" ht="15" hidden="false" customHeight="false" outlineLevel="0" collapsed="false">
      <c r="A2140" s="80"/>
      <c r="B2140" s="71"/>
      <c r="C2140" s="71"/>
      <c r="D2140" s="81"/>
      <c r="E2140" s="71"/>
      <c r="F2140" s="71"/>
      <c r="G2140" s="82" t="str">
        <f aca="false">IF(C2140="","",IFERROR(INDEX('Kit Lists'!$D$6:$D$605,MATCH(B2140&amp;"|"&amp;C2140,'Kit Lists'!$J$6:$J$605,0)),"Not on this contract's kit list"))</f>
        <v/>
      </c>
      <c r="H2140" s="83" t="str">
        <f aca="false">IF(AND(B2140="",C2140="",D2140=""),"",IF(B2140="","Missing contract",IF(C2140="","Missing code",IF(LEFT(G2140,3)="Not","Wrong code",IF(D2140="","Missing qty",IF(A2140="","Missing date",""))))))</f>
        <v/>
      </c>
      <c r="I2140" s="84" t="str">
        <f aca="false">IF(B2140=Dashboard!$D$3,ROW(),"")</f>
        <v/>
      </c>
    </row>
    <row r="2141" customFormat="false" ht="15" hidden="false" customHeight="false" outlineLevel="0" collapsed="false">
      <c r="A2141" s="80"/>
      <c r="B2141" s="71"/>
      <c r="C2141" s="71"/>
      <c r="D2141" s="81"/>
      <c r="E2141" s="71"/>
      <c r="F2141" s="71"/>
      <c r="G2141" s="82" t="str">
        <f aca="false">IF(C2141="","",IFERROR(INDEX('Kit Lists'!$D$6:$D$605,MATCH(B2141&amp;"|"&amp;C2141,'Kit Lists'!$J$6:$J$605,0)),"Not on this contract's kit list"))</f>
        <v/>
      </c>
      <c r="H2141" s="83" t="str">
        <f aca="false">IF(AND(B2141="",C2141="",D2141=""),"",IF(B2141="","Missing contract",IF(C2141="","Missing code",IF(LEFT(G2141,3)="Not","Wrong code",IF(D2141="","Missing qty",IF(A2141="","Missing date",""))))))</f>
        <v/>
      </c>
      <c r="I2141" s="84" t="str">
        <f aca="false">IF(B2141=Dashboard!$D$3,ROW(),"")</f>
        <v/>
      </c>
    </row>
    <row r="2142" customFormat="false" ht="15" hidden="false" customHeight="false" outlineLevel="0" collapsed="false">
      <c r="A2142" s="80"/>
      <c r="B2142" s="71"/>
      <c r="C2142" s="71"/>
      <c r="D2142" s="81"/>
      <c r="E2142" s="71"/>
      <c r="F2142" s="71"/>
      <c r="G2142" s="82" t="str">
        <f aca="false">IF(C2142="","",IFERROR(INDEX('Kit Lists'!$D$6:$D$605,MATCH(B2142&amp;"|"&amp;C2142,'Kit Lists'!$J$6:$J$605,0)),"Not on this contract's kit list"))</f>
        <v/>
      </c>
      <c r="H2142" s="83" t="str">
        <f aca="false">IF(AND(B2142="",C2142="",D2142=""),"",IF(B2142="","Missing contract",IF(C2142="","Missing code",IF(LEFT(G2142,3)="Not","Wrong code",IF(D2142="","Missing qty",IF(A2142="","Missing date",""))))))</f>
        <v/>
      </c>
      <c r="I2142" s="84" t="str">
        <f aca="false">IF(B2142=Dashboard!$D$3,ROW(),"")</f>
        <v/>
      </c>
    </row>
    <row r="2143" customFormat="false" ht="15" hidden="false" customHeight="false" outlineLevel="0" collapsed="false">
      <c r="A2143" s="80"/>
      <c r="B2143" s="71"/>
      <c r="C2143" s="71"/>
      <c r="D2143" s="81"/>
      <c r="E2143" s="71"/>
      <c r="F2143" s="71"/>
      <c r="G2143" s="82" t="str">
        <f aca="false">IF(C2143="","",IFERROR(INDEX('Kit Lists'!$D$6:$D$605,MATCH(B2143&amp;"|"&amp;C2143,'Kit Lists'!$J$6:$J$605,0)),"Not on this contract's kit list"))</f>
        <v/>
      </c>
      <c r="H2143" s="83" t="str">
        <f aca="false">IF(AND(B2143="",C2143="",D2143=""),"",IF(B2143="","Missing contract",IF(C2143="","Missing code",IF(LEFT(G2143,3)="Not","Wrong code",IF(D2143="","Missing qty",IF(A2143="","Missing date",""))))))</f>
        <v/>
      </c>
      <c r="I2143" s="84" t="str">
        <f aca="false">IF(B2143=Dashboard!$D$3,ROW(),"")</f>
        <v/>
      </c>
    </row>
    <row r="2144" customFormat="false" ht="15" hidden="false" customHeight="false" outlineLevel="0" collapsed="false">
      <c r="A2144" s="80"/>
      <c r="B2144" s="71"/>
      <c r="C2144" s="71"/>
      <c r="D2144" s="81"/>
      <c r="E2144" s="71"/>
      <c r="F2144" s="71"/>
      <c r="G2144" s="82" t="str">
        <f aca="false">IF(C2144="","",IFERROR(INDEX('Kit Lists'!$D$6:$D$605,MATCH(B2144&amp;"|"&amp;C2144,'Kit Lists'!$J$6:$J$605,0)),"Not on this contract's kit list"))</f>
        <v/>
      </c>
      <c r="H2144" s="83" t="str">
        <f aca="false">IF(AND(B2144="",C2144="",D2144=""),"",IF(B2144="","Missing contract",IF(C2144="","Missing code",IF(LEFT(G2144,3)="Not","Wrong code",IF(D2144="","Missing qty",IF(A2144="","Missing date",""))))))</f>
        <v/>
      </c>
      <c r="I2144" s="84" t="str">
        <f aca="false">IF(B2144=Dashboard!$D$3,ROW(),"")</f>
        <v/>
      </c>
    </row>
    <row r="2145" customFormat="false" ht="15" hidden="false" customHeight="false" outlineLevel="0" collapsed="false">
      <c r="A2145" s="80"/>
      <c r="B2145" s="71"/>
      <c r="C2145" s="71"/>
      <c r="D2145" s="81"/>
      <c r="E2145" s="71"/>
      <c r="F2145" s="71"/>
      <c r="G2145" s="82" t="str">
        <f aca="false">IF(C2145="","",IFERROR(INDEX('Kit Lists'!$D$6:$D$605,MATCH(B2145&amp;"|"&amp;C2145,'Kit Lists'!$J$6:$J$605,0)),"Not on this contract's kit list"))</f>
        <v/>
      </c>
      <c r="H2145" s="83" t="str">
        <f aca="false">IF(AND(B2145="",C2145="",D2145=""),"",IF(B2145="","Missing contract",IF(C2145="","Missing code",IF(LEFT(G2145,3)="Not","Wrong code",IF(D2145="","Missing qty",IF(A2145="","Missing date",""))))))</f>
        <v/>
      </c>
      <c r="I2145" s="84" t="str">
        <f aca="false">IF(B2145=Dashboard!$D$3,ROW(),"")</f>
        <v/>
      </c>
    </row>
    <row r="2146" customFormat="false" ht="15" hidden="false" customHeight="false" outlineLevel="0" collapsed="false">
      <c r="A2146" s="80"/>
      <c r="B2146" s="71"/>
      <c r="C2146" s="71"/>
      <c r="D2146" s="81"/>
      <c r="E2146" s="71"/>
      <c r="F2146" s="71"/>
      <c r="G2146" s="82" t="str">
        <f aca="false">IF(C2146="","",IFERROR(INDEX('Kit Lists'!$D$6:$D$605,MATCH(B2146&amp;"|"&amp;C2146,'Kit Lists'!$J$6:$J$605,0)),"Not on this contract's kit list"))</f>
        <v/>
      </c>
      <c r="H2146" s="83" t="str">
        <f aca="false">IF(AND(B2146="",C2146="",D2146=""),"",IF(B2146="","Missing contract",IF(C2146="","Missing code",IF(LEFT(G2146,3)="Not","Wrong code",IF(D2146="","Missing qty",IF(A2146="","Missing date",""))))))</f>
        <v/>
      </c>
      <c r="I2146" s="84" t="str">
        <f aca="false">IF(B2146=Dashboard!$D$3,ROW(),"")</f>
        <v/>
      </c>
    </row>
    <row r="2147" customFormat="false" ht="15" hidden="false" customHeight="false" outlineLevel="0" collapsed="false">
      <c r="A2147" s="80"/>
      <c r="B2147" s="71"/>
      <c r="C2147" s="71"/>
      <c r="D2147" s="81"/>
      <c r="E2147" s="71"/>
      <c r="F2147" s="71"/>
      <c r="G2147" s="82" t="str">
        <f aca="false">IF(C2147="","",IFERROR(INDEX('Kit Lists'!$D$6:$D$605,MATCH(B2147&amp;"|"&amp;C2147,'Kit Lists'!$J$6:$J$605,0)),"Not on this contract's kit list"))</f>
        <v/>
      </c>
      <c r="H2147" s="83" t="str">
        <f aca="false">IF(AND(B2147="",C2147="",D2147=""),"",IF(B2147="","Missing contract",IF(C2147="","Missing code",IF(LEFT(G2147,3)="Not","Wrong code",IF(D2147="","Missing qty",IF(A2147="","Missing date",""))))))</f>
        <v/>
      </c>
      <c r="I2147" s="84" t="str">
        <f aca="false">IF(B2147=Dashboard!$D$3,ROW(),"")</f>
        <v/>
      </c>
    </row>
    <row r="2148" customFormat="false" ht="15" hidden="false" customHeight="false" outlineLevel="0" collapsed="false">
      <c r="A2148" s="80"/>
      <c r="B2148" s="71"/>
      <c r="C2148" s="71"/>
      <c r="D2148" s="81"/>
      <c r="E2148" s="71"/>
      <c r="F2148" s="71"/>
      <c r="G2148" s="82" t="str">
        <f aca="false">IF(C2148="","",IFERROR(INDEX('Kit Lists'!$D$6:$D$605,MATCH(B2148&amp;"|"&amp;C2148,'Kit Lists'!$J$6:$J$605,0)),"Not on this contract's kit list"))</f>
        <v/>
      </c>
      <c r="H2148" s="83" t="str">
        <f aca="false">IF(AND(B2148="",C2148="",D2148=""),"",IF(B2148="","Missing contract",IF(C2148="","Missing code",IF(LEFT(G2148,3)="Not","Wrong code",IF(D2148="","Missing qty",IF(A2148="","Missing date",""))))))</f>
        <v/>
      </c>
      <c r="I2148" s="84" t="str">
        <f aca="false">IF(B2148=Dashboard!$D$3,ROW(),"")</f>
        <v/>
      </c>
    </row>
    <row r="2149" customFormat="false" ht="15" hidden="false" customHeight="false" outlineLevel="0" collapsed="false">
      <c r="A2149" s="80"/>
      <c r="B2149" s="71"/>
      <c r="C2149" s="71"/>
      <c r="D2149" s="81"/>
      <c r="E2149" s="71"/>
      <c r="F2149" s="71"/>
      <c r="G2149" s="82" t="str">
        <f aca="false">IF(C2149="","",IFERROR(INDEX('Kit Lists'!$D$6:$D$605,MATCH(B2149&amp;"|"&amp;C2149,'Kit Lists'!$J$6:$J$605,0)),"Not on this contract's kit list"))</f>
        <v/>
      </c>
      <c r="H2149" s="83" t="str">
        <f aca="false">IF(AND(B2149="",C2149="",D2149=""),"",IF(B2149="","Missing contract",IF(C2149="","Missing code",IF(LEFT(G2149,3)="Not","Wrong code",IF(D2149="","Missing qty",IF(A2149="","Missing date",""))))))</f>
        <v/>
      </c>
      <c r="I2149" s="84" t="str">
        <f aca="false">IF(B2149=Dashboard!$D$3,ROW(),"")</f>
        <v/>
      </c>
    </row>
    <row r="2150" customFormat="false" ht="15" hidden="false" customHeight="false" outlineLevel="0" collapsed="false">
      <c r="A2150" s="80"/>
      <c r="B2150" s="71"/>
      <c r="C2150" s="71"/>
      <c r="D2150" s="81"/>
      <c r="E2150" s="71"/>
      <c r="F2150" s="71"/>
      <c r="G2150" s="82" t="str">
        <f aca="false">IF(C2150="","",IFERROR(INDEX('Kit Lists'!$D$6:$D$605,MATCH(B2150&amp;"|"&amp;C2150,'Kit Lists'!$J$6:$J$605,0)),"Not on this contract's kit list"))</f>
        <v/>
      </c>
      <c r="H2150" s="83" t="str">
        <f aca="false">IF(AND(B2150="",C2150="",D2150=""),"",IF(B2150="","Missing contract",IF(C2150="","Missing code",IF(LEFT(G2150,3)="Not","Wrong code",IF(D2150="","Missing qty",IF(A2150="","Missing date",""))))))</f>
        <v/>
      </c>
      <c r="I2150" s="84" t="str">
        <f aca="false">IF(B2150=Dashboard!$D$3,ROW(),"")</f>
        <v/>
      </c>
    </row>
    <row r="2151" customFormat="false" ht="15" hidden="false" customHeight="false" outlineLevel="0" collapsed="false">
      <c r="A2151" s="80"/>
      <c r="B2151" s="71"/>
      <c r="C2151" s="71"/>
      <c r="D2151" s="81"/>
      <c r="E2151" s="71"/>
      <c r="F2151" s="71"/>
      <c r="G2151" s="82" t="str">
        <f aca="false">IF(C2151="","",IFERROR(INDEX('Kit Lists'!$D$6:$D$605,MATCH(B2151&amp;"|"&amp;C2151,'Kit Lists'!$J$6:$J$605,0)),"Not on this contract's kit list"))</f>
        <v/>
      </c>
      <c r="H2151" s="83" t="str">
        <f aca="false">IF(AND(B2151="",C2151="",D2151=""),"",IF(B2151="","Missing contract",IF(C2151="","Missing code",IF(LEFT(G2151,3)="Not","Wrong code",IF(D2151="","Missing qty",IF(A2151="","Missing date",""))))))</f>
        <v/>
      </c>
      <c r="I2151" s="84" t="str">
        <f aca="false">IF(B2151=Dashboard!$D$3,ROW(),"")</f>
        <v/>
      </c>
    </row>
    <row r="2152" customFormat="false" ht="15" hidden="false" customHeight="false" outlineLevel="0" collapsed="false">
      <c r="A2152" s="80"/>
      <c r="B2152" s="71"/>
      <c r="C2152" s="71"/>
      <c r="D2152" s="81"/>
      <c r="E2152" s="71"/>
      <c r="F2152" s="71"/>
      <c r="G2152" s="82" t="str">
        <f aca="false">IF(C2152="","",IFERROR(INDEX('Kit Lists'!$D$6:$D$605,MATCH(B2152&amp;"|"&amp;C2152,'Kit Lists'!$J$6:$J$605,0)),"Not on this contract's kit list"))</f>
        <v/>
      </c>
      <c r="H2152" s="83" t="str">
        <f aca="false">IF(AND(B2152="",C2152="",D2152=""),"",IF(B2152="","Missing contract",IF(C2152="","Missing code",IF(LEFT(G2152,3)="Not","Wrong code",IF(D2152="","Missing qty",IF(A2152="","Missing date",""))))))</f>
        <v/>
      </c>
      <c r="I2152" s="84" t="str">
        <f aca="false">IF(B2152=Dashboard!$D$3,ROW(),"")</f>
        <v/>
      </c>
    </row>
    <row r="2153" customFormat="false" ht="15" hidden="false" customHeight="false" outlineLevel="0" collapsed="false">
      <c r="A2153" s="80"/>
      <c r="B2153" s="71"/>
      <c r="C2153" s="71"/>
      <c r="D2153" s="81"/>
      <c r="E2153" s="71"/>
      <c r="F2153" s="71"/>
      <c r="G2153" s="82" t="str">
        <f aca="false">IF(C2153="","",IFERROR(INDEX('Kit Lists'!$D$6:$D$605,MATCH(B2153&amp;"|"&amp;C2153,'Kit Lists'!$J$6:$J$605,0)),"Not on this contract's kit list"))</f>
        <v/>
      </c>
      <c r="H2153" s="83" t="str">
        <f aca="false">IF(AND(B2153="",C2153="",D2153=""),"",IF(B2153="","Missing contract",IF(C2153="","Missing code",IF(LEFT(G2153,3)="Not","Wrong code",IF(D2153="","Missing qty",IF(A2153="","Missing date",""))))))</f>
        <v/>
      </c>
      <c r="I2153" s="84" t="str">
        <f aca="false">IF(B2153=Dashboard!$D$3,ROW(),"")</f>
        <v/>
      </c>
    </row>
    <row r="2154" customFormat="false" ht="15" hidden="false" customHeight="false" outlineLevel="0" collapsed="false">
      <c r="A2154" s="80"/>
      <c r="B2154" s="71"/>
      <c r="C2154" s="71"/>
      <c r="D2154" s="81"/>
      <c r="E2154" s="71"/>
      <c r="F2154" s="71"/>
      <c r="G2154" s="82" t="str">
        <f aca="false">IF(C2154="","",IFERROR(INDEX('Kit Lists'!$D$6:$D$605,MATCH(B2154&amp;"|"&amp;C2154,'Kit Lists'!$J$6:$J$605,0)),"Not on this contract's kit list"))</f>
        <v/>
      </c>
      <c r="H2154" s="83" t="str">
        <f aca="false">IF(AND(B2154="",C2154="",D2154=""),"",IF(B2154="","Missing contract",IF(C2154="","Missing code",IF(LEFT(G2154,3)="Not","Wrong code",IF(D2154="","Missing qty",IF(A2154="","Missing date",""))))))</f>
        <v/>
      </c>
      <c r="I2154" s="84" t="str">
        <f aca="false">IF(B2154=Dashboard!$D$3,ROW(),"")</f>
        <v/>
      </c>
    </row>
    <row r="2155" customFormat="false" ht="15" hidden="false" customHeight="false" outlineLevel="0" collapsed="false">
      <c r="A2155" s="80"/>
      <c r="B2155" s="71"/>
      <c r="C2155" s="71"/>
      <c r="D2155" s="81"/>
      <c r="E2155" s="71"/>
      <c r="F2155" s="71"/>
      <c r="G2155" s="82" t="str">
        <f aca="false">IF(C2155="","",IFERROR(INDEX('Kit Lists'!$D$6:$D$605,MATCH(B2155&amp;"|"&amp;C2155,'Kit Lists'!$J$6:$J$605,0)),"Not on this contract's kit list"))</f>
        <v/>
      </c>
      <c r="H2155" s="83" t="str">
        <f aca="false">IF(AND(B2155="",C2155="",D2155=""),"",IF(B2155="","Missing contract",IF(C2155="","Missing code",IF(LEFT(G2155,3)="Not","Wrong code",IF(D2155="","Missing qty",IF(A2155="","Missing date",""))))))</f>
        <v/>
      </c>
      <c r="I2155" s="84" t="str">
        <f aca="false">IF(B2155=Dashboard!$D$3,ROW(),"")</f>
        <v/>
      </c>
    </row>
    <row r="2156" customFormat="false" ht="15" hidden="false" customHeight="false" outlineLevel="0" collapsed="false">
      <c r="A2156" s="80"/>
      <c r="B2156" s="71"/>
      <c r="C2156" s="71"/>
      <c r="D2156" s="81"/>
      <c r="E2156" s="71"/>
      <c r="F2156" s="71"/>
      <c r="G2156" s="82" t="str">
        <f aca="false">IF(C2156="","",IFERROR(INDEX('Kit Lists'!$D$6:$D$605,MATCH(B2156&amp;"|"&amp;C2156,'Kit Lists'!$J$6:$J$605,0)),"Not on this contract's kit list"))</f>
        <v/>
      </c>
      <c r="H2156" s="83" t="str">
        <f aca="false">IF(AND(B2156="",C2156="",D2156=""),"",IF(B2156="","Missing contract",IF(C2156="","Missing code",IF(LEFT(G2156,3)="Not","Wrong code",IF(D2156="","Missing qty",IF(A2156="","Missing date",""))))))</f>
        <v/>
      </c>
      <c r="I2156" s="84" t="str">
        <f aca="false">IF(B2156=Dashboard!$D$3,ROW(),"")</f>
        <v/>
      </c>
    </row>
    <row r="2157" customFormat="false" ht="15" hidden="false" customHeight="false" outlineLevel="0" collapsed="false">
      <c r="A2157" s="80"/>
      <c r="B2157" s="71"/>
      <c r="C2157" s="71"/>
      <c r="D2157" s="81"/>
      <c r="E2157" s="71"/>
      <c r="F2157" s="71"/>
      <c r="G2157" s="82" t="str">
        <f aca="false">IF(C2157="","",IFERROR(INDEX('Kit Lists'!$D$6:$D$605,MATCH(B2157&amp;"|"&amp;C2157,'Kit Lists'!$J$6:$J$605,0)),"Not on this contract's kit list"))</f>
        <v/>
      </c>
      <c r="H2157" s="83" t="str">
        <f aca="false">IF(AND(B2157="",C2157="",D2157=""),"",IF(B2157="","Missing contract",IF(C2157="","Missing code",IF(LEFT(G2157,3)="Not","Wrong code",IF(D2157="","Missing qty",IF(A2157="","Missing date",""))))))</f>
        <v/>
      </c>
      <c r="I2157" s="84" t="str">
        <f aca="false">IF(B2157=Dashboard!$D$3,ROW(),"")</f>
        <v/>
      </c>
    </row>
    <row r="2158" customFormat="false" ht="15" hidden="false" customHeight="false" outlineLevel="0" collapsed="false">
      <c r="A2158" s="80"/>
      <c r="B2158" s="71"/>
      <c r="C2158" s="71"/>
      <c r="D2158" s="81"/>
      <c r="E2158" s="71"/>
      <c r="F2158" s="71"/>
      <c r="G2158" s="82" t="str">
        <f aca="false">IF(C2158="","",IFERROR(INDEX('Kit Lists'!$D$6:$D$605,MATCH(B2158&amp;"|"&amp;C2158,'Kit Lists'!$J$6:$J$605,0)),"Not on this contract's kit list"))</f>
        <v/>
      </c>
      <c r="H2158" s="83" t="str">
        <f aca="false">IF(AND(B2158="",C2158="",D2158=""),"",IF(B2158="","Missing contract",IF(C2158="","Missing code",IF(LEFT(G2158,3)="Not","Wrong code",IF(D2158="","Missing qty",IF(A2158="","Missing date",""))))))</f>
        <v/>
      </c>
      <c r="I2158" s="84" t="str">
        <f aca="false">IF(B2158=Dashboard!$D$3,ROW(),"")</f>
        <v/>
      </c>
    </row>
    <row r="2159" customFormat="false" ht="15" hidden="false" customHeight="false" outlineLevel="0" collapsed="false">
      <c r="A2159" s="80"/>
      <c r="B2159" s="71"/>
      <c r="C2159" s="71"/>
      <c r="D2159" s="81"/>
      <c r="E2159" s="71"/>
      <c r="F2159" s="71"/>
      <c r="G2159" s="82" t="str">
        <f aca="false">IF(C2159="","",IFERROR(INDEX('Kit Lists'!$D$6:$D$605,MATCH(B2159&amp;"|"&amp;C2159,'Kit Lists'!$J$6:$J$605,0)),"Not on this contract's kit list"))</f>
        <v/>
      </c>
      <c r="H2159" s="83" t="str">
        <f aca="false">IF(AND(B2159="",C2159="",D2159=""),"",IF(B2159="","Missing contract",IF(C2159="","Missing code",IF(LEFT(G2159,3)="Not","Wrong code",IF(D2159="","Missing qty",IF(A2159="","Missing date",""))))))</f>
        <v/>
      </c>
      <c r="I2159" s="84" t="str">
        <f aca="false">IF(B2159=Dashboard!$D$3,ROW(),"")</f>
        <v/>
      </c>
    </row>
    <row r="2160" customFormat="false" ht="15" hidden="false" customHeight="false" outlineLevel="0" collapsed="false">
      <c r="A2160" s="80"/>
      <c r="B2160" s="71"/>
      <c r="C2160" s="71"/>
      <c r="D2160" s="81"/>
      <c r="E2160" s="71"/>
      <c r="F2160" s="71"/>
      <c r="G2160" s="82" t="str">
        <f aca="false">IF(C2160="","",IFERROR(INDEX('Kit Lists'!$D$6:$D$605,MATCH(B2160&amp;"|"&amp;C2160,'Kit Lists'!$J$6:$J$605,0)),"Not on this contract's kit list"))</f>
        <v/>
      </c>
      <c r="H2160" s="83" t="str">
        <f aca="false">IF(AND(B2160="",C2160="",D2160=""),"",IF(B2160="","Missing contract",IF(C2160="","Missing code",IF(LEFT(G2160,3)="Not","Wrong code",IF(D2160="","Missing qty",IF(A2160="","Missing date",""))))))</f>
        <v/>
      </c>
      <c r="I2160" s="84" t="str">
        <f aca="false">IF(B2160=Dashboard!$D$3,ROW(),"")</f>
        <v/>
      </c>
    </row>
    <row r="2161" customFormat="false" ht="15" hidden="false" customHeight="false" outlineLevel="0" collapsed="false">
      <c r="A2161" s="80"/>
      <c r="B2161" s="71"/>
      <c r="C2161" s="71"/>
      <c r="D2161" s="81"/>
      <c r="E2161" s="71"/>
      <c r="F2161" s="71"/>
      <c r="G2161" s="82" t="str">
        <f aca="false">IF(C2161="","",IFERROR(INDEX('Kit Lists'!$D$6:$D$605,MATCH(B2161&amp;"|"&amp;C2161,'Kit Lists'!$J$6:$J$605,0)),"Not on this contract's kit list"))</f>
        <v/>
      </c>
      <c r="H2161" s="83" t="str">
        <f aca="false">IF(AND(B2161="",C2161="",D2161=""),"",IF(B2161="","Missing contract",IF(C2161="","Missing code",IF(LEFT(G2161,3)="Not","Wrong code",IF(D2161="","Missing qty",IF(A2161="","Missing date",""))))))</f>
        <v/>
      </c>
      <c r="I2161" s="84" t="str">
        <f aca="false">IF(B2161=Dashboard!$D$3,ROW(),"")</f>
        <v/>
      </c>
    </row>
    <row r="2162" customFormat="false" ht="15" hidden="false" customHeight="false" outlineLevel="0" collapsed="false">
      <c r="A2162" s="80"/>
      <c r="B2162" s="71"/>
      <c r="C2162" s="71"/>
      <c r="D2162" s="81"/>
      <c r="E2162" s="71"/>
      <c r="F2162" s="71"/>
      <c r="G2162" s="82" t="str">
        <f aca="false">IF(C2162="","",IFERROR(INDEX('Kit Lists'!$D$6:$D$605,MATCH(B2162&amp;"|"&amp;C2162,'Kit Lists'!$J$6:$J$605,0)),"Not on this contract's kit list"))</f>
        <v/>
      </c>
      <c r="H2162" s="83" t="str">
        <f aca="false">IF(AND(B2162="",C2162="",D2162=""),"",IF(B2162="","Missing contract",IF(C2162="","Missing code",IF(LEFT(G2162,3)="Not","Wrong code",IF(D2162="","Missing qty",IF(A2162="","Missing date",""))))))</f>
        <v/>
      </c>
      <c r="I2162" s="84" t="str">
        <f aca="false">IF(B2162=Dashboard!$D$3,ROW(),"")</f>
        <v/>
      </c>
    </row>
    <row r="2163" customFormat="false" ht="15" hidden="false" customHeight="false" outlineLevel="0" collapsed="false">
      <c r="A2163" s="80"/>
      <c r="B2163" s="71"/>
      <c r="C2163" s="71"/>
      <c r="D2163" s="81"/>
      <c r="E2163" s="71"/>
      <c r="F2163" s="71"/>
      <c r="G2163" s="82" t="str">
        <f aca="false">IF(C2163="","",IFERROR(INDEX('Kit Lists'!$D$6:$D$605,MATCH(B2163&amp;"|"&amp;C2163,'Kit Lists'!$J$6:$J$605,0)),"Not on this contract's kit list"))</f>
        <v/>
      </c>
      <c r="H2163" s="83" t="str">
        <f aca="false">IF(AND(B2163="",C2163="",D2163=""),"",IF(B2163="","Missing contract",IF(C2163="","Missing code",IF(LEFT(G2163,3)="Not","Wrong code",IF(D2163="","Missing qty",IF(A2163="","Missing date",""))))))</f>
        <v/>
      </c>
      <c r="I2163" s="84" t="str">
        <f aca="false">IF(B2163=Dashboard!$D$3,ROW(),"")</f>
        <v/>
      </c>
    </row>
    <row r="2164" customFormat="false" ht="15" hidden="false" customHeight="false" outlineLevel="0" collapsed="false">
      <c r="A2164" s="80"/>
      <c r="B2164" s="71"/>
      <c r="C2164" s="71"/>
      <c r="D2164" s="81"/>
      <c r="E2164" s="71"/>
      <c r="F2164" s="71"/>
      <c r="G2164" s="82" t="str">
        <f aca="false">IF(C2164="","",IFERROR(INDEX('Kit Lists'!$D$6:$D$605,MATCH(B2164&amp;"|"&amp;C2164,'Kit Lists'!$J$6:$J$605,0)),"Not on this contract's kit list"))</f>
        <v/>
      </c>
      <c r="H2164" s="83" t="str">
        <f aca="false">IF(AND(B2164="",C2164="",D2164=""),"",IF(B2164="","Missing contract",IF(C2164="","Missing code",IF(LEFT(G2164,3)="Not","Wrong code",IF(D2164="","Missing qty",IF(A2164="","Missing date",""))))))</f>
        <v/>
      </c>
      <c r="I2164" s="84" t="str">
        <f aca="false">IF(B2164=Dashboard!$D$3,ROW(),"")</f>
        <v/>
      </c>
    </row>
    <row r="2165" customFormat="false" ht="15" hidden="false" customHeight="false" outlineLevel="0" collapsed="false">
      <c r="A2165" s="80"/>
      <c r="B2165" s="71"/>
      <c r="C2165" s="71"/>
      <c r="D2165" s="81"/>
      <c r="E2165" s="71"/>
      <c r="F2165" s="71"/>
      <c r="G2165" s="82" t="str">
        <f aca="false">IF(C2165="","",IFERROR(INDEX('Kit Lists'!$D$6:$D$605,MATCH(B2165&amp;"|"&amp;C2165,'Kit Lists'!$J$6:$J$605,0)),"Not on this contract's kit list"))</f>
        <v/>
      </c>
      <c r="H2165" s="83" t="str">
        <f aca="false">IF(AND(B2165="",C2165="",D2165=""),"",IF(B2165="","Missing contract",IF(C2165="","Missing code",IF(LEFT(G2165,3)="Not","Wrong code",IF(D2165="","Missing qty",IF(A2165="","Missing date",""))))))</f>
        <v/>
      </c>
      <c r="I2165" s="84" t="str">
        <f aca="false">IF(B2165=Dashboard!$D$3,ROW(),"")</f>
        <v/>
      </c>
    </row>
    <row r="2166" customFormat="false" ht="15" hidden="false" customHeight="false" outlineLevel="0" collapsed="false">
      <c r="A2166" s="80"/>
      <c r="B2166" s="71"/>
      <c r="C2166" s="71"/>
      <c r="D2166" s="81"/>
      <c r="E2166" s="71"/>
      <c r="F2166" s="71"/>
      <c r="G2166" s="82" t="str">
        <f aca="false">IF(C2166="","",IFERROR(INDEX('Kit Lists'!$D$6:$D$605,MATCH(B2166&amp;"|"&amp;C2166,'Kit Lists'!$J$6:$J$605,0)),"Not on this contract's kit list"))</f>
        <v/>
      </c>
      <c r="H2166" s="83" t="str">
        <f aca="false">IF(AND(B2166="",C2166="",D2166=""),"",IF(B2166="","Missing contract",IF(C2166="","Missing code",IF(LEFT(G2166,3)="Not","Wrong code",IF(D2166="","Missing qty",IF(A2166="","Missing date",""))))))</f>
        <v/>
      </c>
      <c r="I2166" s="84" t="str">
        <f aca="false">IF(B2166=Dashboard!$D$3,ROW(),"")</f>
        <v/>
      </c>
    </row>
    <row r="2167" customFormat="false" ht="15" hidden="false" customHeight="false" outlineLevel="0" collapsed="false">
      <c r="A2167" s="80"/>
      <c r="B2167" s="71"/>
      <c r="C2167" s="71"/>
      <c r="D2167" s="81"/>
      <c r="E2167" s="71"/>
      <c r="F2167" s="71"/>
      <c r="G2167" s="82" t="str">
        <f aca="false">IF(C2167="","",IFERROR(INDEX('Kit Lists'!$D$6:$D$605,MATCH(B2167&amp;"|"&amp;C2167,'Kit Lists'!$J$6:$J$605,0)),"Not on this contract's kit list"))</f>
        <v/>
      </c>
      <c r="H2167" s="83" t="str">
        <f aca="false">IF(AND(B2167="",C2167="",D2167=""),"",IF(B2167="","Missing contract",IF(C2167="","Missing code",IF(LEFT(G2167,3)="Not","Wrong code",IF(D2167="","Missing qty",IF(A2167="","Missing date",""))))))</f>
        <v/>
      </c>
      <c r="I2167" s="84" t="str">
        <f aca="false">IF(B2167=Dashboard!$D$3,ROW(),"")</f>
        <v/>
      </c>
    </row>
    <row r="2168" customFormat="false" ht="15" hidden="false" customHeight="false" outlineLevel="0" collapsed="false">
      <c r="A2168" s="80"/>
      <c r="B2168" s="71"/>
      <c r="C2168" s="71"/>
      <c r="D2168" s="81"/>
      <c r="E2168" s="71"/>
      <c r="F2168" s="71"/>
      <c r="G2168" s="82" t="str">
        <f aca="false">IF(C2168="","",IFERROR(INDEX('Kit Lists'!$D$6:$D$605,MATCH(B2168&amp;"|"&amp;C2168,'Kit Lists'!$J$6:$J$605,0)),"Not on this contract's kit list"))</f>
        <v/>
      </c>
      <c r="H2168" s="83" t="str">
        <f aca="false">IF(AND(B2168="",C2168="",D2168=""),"",IF(B2168="","Missing contract",IF(C2168="","Missing code",IF(LEFT(G2168,3)="Not","Wrong code",IF(D2168="","Missing qty",IF(A2168="","Missing date",""))))))</f>
        <v/>
      </c>
      <c r="I2168" s="84" t="str">
        <f aca="false">IF(B2168=Dashboard!$D$3,ROW(),"")</f>
        <v/>
      </c>
    </row>
    <row r="2169" customFormat="false" ht="15" hidden="false" customHeight="false" outlineLevel="0" collapsed="false">
      <c r="A2169" s="80"/>
      <c r="B2169" s="71"/>
      <c r="C2169" s="71"/>
      <c r="D2169" s="81"/>
      <c r="E2169" s="71"/>
      <c r="F2169" s="71"/>
      <c r="G2169" s="82" t="str">
        <f aca="false">IF(C2169="","",IFERROR(INDEX('Kit Lists'!$D$6:$D$605,MATCH(B2169&amp;"|"&amp;C2169,'Kit Lists'!$J$6:$J$605,0)),"Not on this contract's kit list"))</f>
        <v/>
      </c>
      <c r="H2169" s="83" t="str">
        <f aca="false">IF(AND(B2169="",C2169="",D2169=""),"",IF(B2169="","Missing contract",IF(C2169="","Missing code",IF(LEFT(G2169,3)="Not","Wrong code",IF(D2169="","Missing qty",IF(A2169="","Missing date",""))))))</f>
        <v/>
      </c>
      <c r="I2169" s="84" t="str">
        <f aca="false">IF(B2169=Dashboard!$D$3,ROW(),"")</f>
        <v/>
      </c>
    </row>
    <row r="2170" customFormat="false" ht="15" hidden="false" customHeight="false" outlineLevel="0" collapsed="false">
      <c r="A2170" s="80"/>
      <c r="B2170" s="71"/>
      <c r="C2170" s="71"/>
      <c r="D2170" s="81"/>
      <c r="E2170" s="71"/>
      <c r="F2170" s="71"/>
      <c r="G2170" s="82" t="str">
        <f aca="false">IF(C2170="","",IFERROR(INDEX('Kit Lists'!$D$6:$D$605,MATCH(B2170&amp;"|"&amp;C2170,'Kit Lists'!$J$6:$J$605,0)),"Not on this contract's kit list"))</f>
        <v/>
      </c>
      <c r="H2170" s="83" t="str">
        <f aca="false">IF(AND(B2170="",C2170="",D2170=""),"",IF(B2170="","Missing contract",IF(C2170="","Missing code",IF(LEFT(G2170,3)="Not","Wrong code",IF(D2170="","Missing qty",IF(A2170="","Missing date",""))))))</f>
        <v/>
      </c>
      <c r="I2170" s="84" t="str">
        <f aca="false">IF(B2170=Dashboard!$D$3,ROW(),"")</f>
        <v/>
      </c>
    </row>
    <row r="2171" customFormat="false" ht="15" hidden="false" customHeight="false" outlineLevel="0" collapsed="false">
      <c r="A2171" s="80"/>
      <c r="B2171" s="71"/>
      <c r="C2171" s="71"/>
      <c r="D2171" s="81"/>
      <c r="E2171" s="71"/>
      <c r="F2171" s="71"/>
      <c r="G2171" s="82" t="str">
        <f aca="false">IF(C2171="","",IFERROR(INDEX('Kit Lists'!$D$6:$D$605,MATCH(B2171&amp;"|"&amp;C2171,'Kit Lists'!$J$6:$J$605,0)),"Not on this contract's kit list"))</f>
        <v/>
      </c>
      <c r="H2171" s="83" t="str">
        <f aca="false">IF(AND(B2171="",C2171="",D2171=""),"",IF(B2171="","Missing contract",IF(C2171="","Missing code",IF(LEFT(G2171,3)="Not","Wrong code",IF(D2171="","Missing qty",IF(A2171="","Missing date",""))))))</f>
        <v/>
      </c>
      <c r="I2171" s="84" t="str">
        <f aca="false">IF(B2171=Dashboard!$D$3,ROW(),"")</f>
        <v/>
      </c>
    </row>
    <row r="2172" customFormat="false" ht="15" hidden="false" customHeight="false" outlineLevel="0" collapsed="false">
      <c r="A2172" s="80"/>
      <c r="B2172" s="71"/>
      <c r="C2172" s="71"/>
      <c r="D2172" s="81"/>
      <c r="E2172" s="71"/>
      <c r="F2172" s="71"/>
      <c r="G2172" s="82" t="str">
        <f aca="false">IF(C2172="","",IFERROR(INDEX('Kit Lists'!$D$6:$D$605,MATCH(B2172&amp;"|"&amp;C2172,'Kit Lists'!$J$6:$J$605,0)),"Not on this contract's kit list"))</f>
        <v/>
      </c>
      <c r="H2172" s="83" t="str">
        <f aca="false">IF(AND(B2172="",C2172="",D2172=""),"",IF(B2172="","Missing contract",IF(C2172="","Missing code",IF(LEFT(G2172,3)="Not","Wrong code",IF(D2172="","Missing qty",IF(A2172="","Missing date",""))))))</f>
        <v/>
      </c>
      <c r="I2172" s="84" t="str">
        <f aca="false">IF(B2172=Dashboard!$D$3,ROW(),"")</f>
        <v/>
      </c>
    </row>
    <row r="2173" customFormat="false" ht="15" hidden="false" customHeight="false" outlineLevel="0" collapsed="false">
      <c r="A2173" s="80"/>
      <c r="B2173" s="71"/>
      <c r="C2173" s="71"/>
      <c r="D2173" s="81"/>
      <c r="E2173" s="71"/>
      <c r="F2173" s="71"/>
      <c r="G2173" s="82" t="str">
        <f aca="false">IF(C2173="","",IFERROR(INDEX('Kit Lists'!$D$6:$D$605,MATCH(B2173&amp;"|"&amp;C2173,'Kit Lists'!$J$6:$J$605,0)),"Not on this contract's kit list"))</f>
        <v/>
      </c>
      <c r="H2173" s="83" t="str">
        <f aca="false">IF(AND(B2173="",C2173="",D2173=""),"",IF(B2173="","Missing contract",IF(C2173="","Missing code",IF(LEFT(G2173,3)="Not","Wrong code",IF(D2173="","Missing qty",IF(A2173="","Missing date",""))))))</f>
        <v/>
      </c>
      <c r="I2173" s="84" t="str">
        <f aca="false">IF(B2173=Dashboard!$D$3,ROW(),"")</f>
        <v/>
      </c>
    </row>
    <row r="2174" customFormat="false" ht="15" hidden="false" customHeight="false" outlineLevel="0" collapsed="false">
      <c r="A2174" s="80"/>
      <c r="B2174" s="71"/>
      <c r="C2174" s="71"/>
      <c r="D2174" s="81"/>
      <c r="E2174" s="71"/>
      <c r="F2174" s="71"/>
      <c r="G2174" s="82" t="str">
        <f aca="false">IF(C2174="","",IFERROR(INDEX('Kit Lists'!$D$6:$D$605,MATCH(B2174&amp;"|"&amp;C2174,'Kit Lists'!$J$6:$J$605,0)),"Not on this contract's kit list"))</f>
        <v/>
      </c>
      <c r="H2174" s="83" t="str">
        <f aca="false">IF(AND(B2174="",C2174="",D2174=""),"",IF(B2174="","Missing contract",IF(C2174="","Missing code",IF(LEFT(G2174,3)="Not","Wrong code",IF(D2174="","Missing qty",IF(A2174="","Missing date",""))))))</f>
        <v/>
      </c>
      <c r="I2174" s="84" t="str">
        <f aca="false">IF(B2174=Dashboard!$D$3,ROW(),"")</f>
        <v/>
      </c>
    </row>
    <row r="2175" customFormat="false" ht="15" hidden="false" customHeight="false" outlineLevel="0" collapsed="false">
      <c r="A2175" s="80"/>
      <c r="B2175" s="71"/>
      <c r="C2175" s="71"/>
      <c r="D2175" s="81"/>
      <c r="E2175" s="71"/>
      <c r="F2175" s="71"/>
      <c r="G2175" s="82" t="str">
        <f aca="false">IF(C2175="","",IFERROR(INDEX('Kit Lists'!$D$6:$D$605,MATCH(B2175&amp;"|"&amp;C2175,'Kit Lists'!$J$6:$J$605,0)),"Not on this contract's kit list"))</f>
        <v/>
      </c>
      <c r="H2175" s="83" t="str">
        <f aca="false">IF(AND(B2175="",C2175="",D2175=""),"",IF(B2175="","Missing contract",IF(C2175="","Missing code",IF(LEFT(G2175,3)="Not","Wrong code",IF(D2175="","Missing qty",IF(A2175="","Missing date",""))))))</f>
        <v/>
      </c>
      <c r="I2175" s="84" t="str">
        <f aca="false">IF(B2175=Dashboard!$D$3,ROW(),"")</f>
        <v/>
      </c>
    </row>
    <row r="2176" customFormat="false" ht="15" hidden="false" customHeight="false" outlineLevel="0" collapsed="false">
      <c r="A2176" s="80"/>
      <c r="B2176" s="71"/>
      <c r="C2176" s="71"/>
      <c r="D2176" s="81"/>
      <c r="E2176" s="71"/>
      <c r="F2176" s="71"/>
      <c r="G2176" s="82" t="str">
        <f aca="false">IF(C2176="","",IFERROR(INDEX('Kit Lists'!$D$6:$D$605,MATCH(B2176&amp;"|"&amp;C2176,'Kit Lists'!$J$6:$J$605,0)),"Not on this contract's kit list"))</f>
        <v/>
      </c>
      <c r="H2176" s="83" t="str">
        <f aca="false">IF(AND(B2176="",C2176="",D2176=""),"",IF(B2176="","Missing contract",IF(C2176="","Missing code",IF(LEFT(G2176,3)="Not","Wrong code",IF(D2176="","Missing qty",IF(A2176="","Missing date",""))))))</f>
        <v/>
      </c>
      <c r="I2176" s="84" t="str">
        <f aca="false">IF(B2176=Dashboard!$D$3,ROW(),"")</f>
        <v/>
      </c>
    </row>
    <row r="2177" customFormat="false" ht="15" hidden="false" customHeight="false" outlineLevel="0" collapsed="false">
      <c r="A2177" s="80"/>
      <c r="B2177" s="71"/>
      <c r="C2177" s="71"/>
      <c r="D2177" s="81"/>
      <c r="E2177" s="71"/>
      <c r="F2177" s="71"/>
      <c r="G2177" s="82" t="str">
        <f aca="false">IF(C2177="","",IFERROR(INDEX('Kit Lists'!$D$6:$D$605,MATCH(B2177&amp;"|"&amp;C2177,'Kit Lists'!$J$6:$J$605,0)),"Not on this contract's kit list"))</f>
        <v/>
      </c>
      <c r="H2177" s="83" t="str">
        <f aca="false">IF(AND(B2177="",C2177="",D2177=""),"",IF(B2177="","Missing contract",IF(C2177="","Missing code",IF(LEFT(G2177,3)="Not","Wrong code",IF(D2177="","Missing qty",IF(A2177="","Missing date",""))))))</f>
        <v/>
      </c>
      <c r="I2177" s="84" t="str">
        <f aca="false">IF(B2177=Dashboard!$D$3,ROW(),"")</f>
        <v/>
      </c>
    </row>
    <row r="2178" customFormat="false" ht="15" hidden="false" customHeight="false" outlineLevel="0" collapsed="false">
      <c r="A2178" s="80"/>
      <c r="B2178" s="71"/>
      <c r="C2178" s="71"/>
      <c r="D2178" s="81"/>
      <c r="E2178" s="71"/>
      <c r="F2178" s="71"/>
      <c r="G2178" s="82" t="str">
        <f aca="false">IF(C2178="","",IFERROR(INDEX('Kit Lists'!$D$6:$D$605,MATCH(B2178&amp;"|"&amp;C2178,'Kit Lists'!$J$6:$J$605,0)),"Not on this contract's kit list"))</f>
        <v/>
      </c>
      <c r="H2178" s="83" t="str">
        <f aca="false">IF(AND(B2178="",C2178="",D2178=""),"",IF(B2178="","Missing contract",IF(C2178="","Missing code",IF(LEFT(G2178,3)="Not","Wrong code",IF(D2178="","Missing qty",IF(A2178="","Missing date",""))))))</f>
        <v/>
      </c>
      <c r="I2178" s="84" t="str">
        <f aca="false">IF(B2178=Dashboard!$D$3,ROW(),"")</f>
        <v/>
      </c>
    </row>
    <row r="2179" customFormat="false" ht="15" hidden="false" customHeight="false" outlineLevel="0" collapsed="false">
      <c r="A2179" s="80"/>
      <c r="B2179" s="71"/>
      <c r="C2179" s="71"/>
      <c r="D2179" s="81"/>
      <c r="E2179" s="71"/>
      <c r="F2179" s="71"/>
      <c r="G2179" s="82" t="str">
        <f aca="false">IF(C2179="","",IFERROR(INDEX('Kit Lists'!$D$6:$D$605,MATCH(B2179&amp;"|"&amp;C2179,'Kit Lists'!$J$6:$J$605,0)),"Not on this contract's kit list"))</f>
        <v/>
      </c>
      <c r="H2179" s="83" t="str">
        <f aca="false">IF(AND(B2179="",C2179="",D2179=""),"",IF(B2179="","Missing contract",IF(C2179="","Missing code",IF(LEFT(G2179,3)="Not","Wrong code",IF(D2179="","Missing qty",IF(A2179="","Missing date",""))))))</f>
        <v/>
      </c>
      <c r="I2179" s="84" t="str">
        <f aca="false">IF(B2179=Dashboard!$D$3,ROW(),"")</f>
        <v/>
      </c>
    </row>
    <row r="2180" customFormat="false" ht="15" hidden="false" customHeight="false" outlineLevel="0" collapsed="false">
      <c r="A2180" s="80"/>
      <c r="B2180" s="71"/>
      <c r="C2180" s="71"/>
      <c r="D2180" s="81"/>
      <c r="E2180" s="71"/>
      <c r="F2180" s="71"/>
      <c r="G2180" s="82" t="str">
        <f aca="false">IF(C2180="","",IFERROR(INDEX('Kit Lists'!$D$6:$D$605,MATCH(B2180&amp;"|"&amp;C2180,'Kit Lists'!$J$6:$J$605,0)),"Not on this contract's kit list"))</f>
        <v/>
      </c>
      <c r="H2180" s="83" t="str">
        <f aca="false">IF(AND(B2180="",C2180="",D2180=""),"",IF(B2180="","Missing contract",IF(C2180="","Missing code",IF(LEFT(G2180,3)="Not","Wrong code",IF(D2180="","Missing qty",IF(A2180="","Missing date",""))))))</f>
        <v/>
      </c>
      <c r="I2180" s="84" t="str">
        <f aca="false">IF(B2180=Dashboard!$D$3,ROW(),"")</f>
        <v/>
      </c>
    </row>
    <row r="2181" customFormat="false" ht="15" hidden="false" customHeight="false" outlineLevel="0" collapsed="false">
      <c r="A2181" s="80"/>
      <c r="B2181" s="71"/>
      <c r="C2181" s="71"/>
      <c r="D2181" s="81"/>
      <c r="E2181" s="71"/>
      <c r="F2181" s="71"/>
      <c r="G2181" s="82" t="str">
        <f aca="false">IF(C2181="","",IFERROR(INDEX('Kit Lists'!$D$6:$D$605,MATCH(B2181&amp;"|"&amp;C2181,'Kit Lists'!$J$6:$J$605,0)),"Not on this contract's kit list"))</f>
        <v/>
      </c>
      <c r="H2181" s="83" t="str">
        <f aca="false">IF(AND(B2181="",C2181="",D2181=""),"",IF(B2181="","Missing contract",IF(C2181="","Missing code",IF(LEFT(G2181,3)="Not","Wrong code",IF(D2181="","Missing qty",IF(A2181="","Missing date",""))))))</f>
        <v/>
      </c>
      <c r="I2181" s="84" t="str">
        <f aca="false">IF(B2181=Dashboard!$D$3,ROW(),"")</f>
        <v/>
      </c>
    </row>
    <row r="2182" customFormat="false" ht="15" hidden="false" customHeight="false" outlineLevel="0" collapsed="false">
      <c r="A2182" s="80"/>
      <c r="B2182" s="71"/>
      <c r="C2182" s="71"/>
      <c r="D2182" s="81"/>
      <c r="E2182" s="71"/>
      <c r="F2182" s="71"/>
      <c r="G2182" s="82" t="str">
        <f aca="false">IF(C2182="","",IFERROR(INDEX('Kit Lists'!$D$6:$D$605,MATCH(B2182&amp;"|"&amp;C2182,'Kit Lists'!$J$6:$J$605,0)),"Not on this contract's kit list"))</f>
        <v/>
      </c>
      <c r="H2182" s="83" t="str">
        <f aca="false">IF(AND(B2182="",C2182="",D2182=""),"",IF(B2182="","Missing contract",IF(C2182="","Missing code",IF(LEFT(G2182,3)="Not","Wrong code",IF(D2182="","Missing qty",IF(A2182="","Missing date",""))))))</f>
        <v/>
      </c>
      <c r="I2182" s="84" t="str">
        <f aca="false">IF(B2182=Dashboard!$D$3,ROW(),"")</f>
        <v/>
      </c>
    </row>
    <row r="2183" customFormat="false" ht="15" hidden="false" customHeight="false" outlineLevel="0" collapsed="false">
      <c r="A2183" s="80"/>
      <c r="B2183" s="71"/>
      <c r="C2183" s="71"/>
      <c r="D2183" s="81"/>
      <c r="E2183" s="71"/>
      <c r="F2183" s="71"/>
      <c r="G2183" s="82" t="str">
        <f aca="false">IF(C2183="","",IFERROR(INDEX('Kit Lists'!$D$6:$D$605,MATCH(B2183&amp;"|"&amp;C2183,'Kit Lists'!$J$6:$J$605,0)),"Not on this contract's kit list"))</f>
        <v/>
      </c>
      <c r="H2183" s="83" t="str">
        <f aca="false">IF(AND(B2183="",C2183="",D2183=""),"",IF(B2183="","Missing contract",IF(C2183="","Missing code",IF(LEFT(G2183,3)="Not","Wrong code",IF(D2183="","Missing qty",IF(A2183="","Missing date",""))))))</f>
        <v/>
      </c>
      <c r="I2183" s="84" t="str">
        <f aca="false">IF(B2183=Dashboard!$D$3,ROW(),"")</f>
        <v/>
      </c>
    </row>
    <row r="2184" customFormat="false" ht="15" hidden="false" customHeight="false" outlineLevel="0" collapsed="false">
      <c r="A2184" s="80"/>
      <c r="B2184" s="71"/>
      <c r="C2184" s="71"/>
      <c r="D2184" s="81"/>
      <c r="E2184" s="71"/>
      <c r="F2184" s="71"/>
      <c r="G2184" s="82" t="str">
        <f aca="false">IF(C2184="","",IFERROR(INDEX('Kit Lists'!$D$6:$D$605,MATCH(B2184&amp;"|"&amp;C2184,'Kit Lists'!$J$6:$J$605,0)),"Not on this contract's kit list"))</f>
        <v/>
      </c>
      <c r="H2184" s="83" t="str">
        <f aca="false">IF(AND(B2184="",C2184="",D2184=""),"",IF(B2184="","Missing contract",IF(C2184="","Missing code",IF(LEFT(G2184,3)="Not","Wrong code",IF(D2184="","Missing qty",IF(A2184="","Missing date",""))))))</f>
        <v/>
      </c>
      <c r="I2184" s="84" t="str">
        <f aca="false">IF(B2184=Dashboard!$D$3,ROW(),"")</f>
        <v/>
      </c>
    </row>
    <row r="2185" customFormat="false" ht="15" hidden="false" customHeight="false" outlineLevel="0" collapsed="false">
      <c r="A2185" s="80"/>
      <c r="B2185" s="71"/>
      <c r="C2185" s="71"/>
      <c r="D2185" s="81"/>
      <c r="E2185" s="71"/>
      <c r="F2185" s="71"/>
      <c r="G2185" s="82" t="str">
        <f aca="false">IF(C2185="","",IFERROR(INDEX('Kit Lists'!$D$6:$D$605,MATCH(B2185&amp;"|"&amp;C2185,'Kit Lists'!$J$6:$J$605,0)),"Not on this contract's kit list"))</f>
        <v/>
      </c>
      <c r="H2185" s="83" t="str">
        <f aca="false">IF(AND(B2185="",C2185="",D2185=""),"",IF(B2185="","Missing contract",IF(C2185="","Missing code",IF(LEFT(G2185,3)="Not","Wrong code",IF(D2185="","Missing qty",IF(A2185="","Missing date",""))))))</f>
        <v/>
      </c>
      <c r="I2185" s="84" t="str">
        <f aca="false">IF(B2185=Dashboard!$D$3,ROW(),"")</f>
        <v/>
      </c>
    </row>
    <row r="2186" customFormat="false" ht="15" hidden="false" customHeight="false" outlineLevel="0" collapsed="false">
      <c r="A2186" s="80"/>
      <c r="B2186" s="71"/>
      <c r="C2186" s="71"/>
      <c r="D2186" s="81"/>
      <c r="E2186" s="71"/>
      <c r="F2186" s="71"/>
      <c r="G2186" s="82" t="str">
        <f aca="false">IF(C2186="","",IFERROR(INDEX('Kit Lists'!$D$6:$D$605,MATCH(B2186&amp;"|"&amp;C2186,'Kit Lists'!$J$6:$J$605,0)),"Not on this contract's kit list"))</f>
        <v/>
      </c>
      <c r="H2186" s="83" t="str">
        <f aca="false">IF(AND(B2186="",C2186="",D2186=""),"",IF(B2186="","Missing contract",IF(C2186="","Missing code",IF(LEFT(G2186,3)="Not","Wrong code",IF(D2186="","Missing qty",IF(A2186="","Missing date",""))))))</f>
        <v/>
      </c>
      <c r="I2186" s="84" t="str">
        <f aca="false">IF(B2186=Dashboard!$D$3,ROW(),"")</f>
        <v/>
      </c>
    </row>
    <row r="2187" customFormat="false" ht="15" hidden="false" customHeight="false" outlineLevel="0" collapsed="false">
      <c r="A2187" s="80"/>
      <c r="B2187" s="71"/>
      <c r="C2187" s="71"/>
      <c r="D2187" s="81"/>
      <c r="E2187" s="71"/>
      <c r="F2187" s="71"/>
      <c r="G2187" s="82" t="str">
        <f aca="false">IF(C2187="","",IFERROR(INDEX('Kit Lists'!$D$6:$D$605,MATCH(B2187&amp;"|"&amp;C2187,'Kit Lists'!$J$6:$J$605,0)),"Not on this contract's kit list"))</f>
        <v/>
      </c>
      <c r="H2187" s="83" t="str">
        <f aca="false">IF(AND(B2187="",C2187="",D2187=""),"",IF(B2187="","Missing contract",IF(C2187="","Missing code",IF(LEFT(G2187,3)="Not","Wrong code",IF(D2187="","Missing qty",IF(A2187="","Missing date",""))))))</f>
        <v/>
      </c>
      <c r="I2187" s="84" t="str">
        <f aca="false">IF(B2187=Dashboard!$D$3,ROW(),"")</f>
        <v/>
      </c>
    </row>
    <row r="2188" customFormat="false" ht="15" hidden="false" customHeight="false" outlineLevel="0" collapsed="false">
      <c r="A2188" s="80"/>
      <c r="B2188" s="71"/>
      <c r="C2188" s="71"/>
      <c r="D2188" s="81"/>
      <c r="E2188" s="71"/>
      <c r="F2188" s="71"/>
      <c r="G2188" s="82" t="str">
        <f aca="false">IF(C2188="","",IFERROR(INDEX('Kit Lists'!$D$6:$D$605,MATCH(B2188&amp;"|"&amp;C2188,'Kit Lists'!$J$6:$J$605,0)),"Not on this contract's kit list"))</f>
        <v/>
      </c>
      <c r="H2188" s="83" t="str">
        <f aca="false">IF(AND(B2188="",C2188="",D2188=""),"",IF(B2188="","Missing contract",IF(C2188="","Missing code",IF(LEFT(G2188,3)="Not","Wrong code",IF(D2188="","Missing qty",IF(A2188="","Missing date",""))))))</f>
        <v/>
      </c>
      <c r="I2188" s="84" t="str">
        <f aca="false">IF(B2188=Dashboard!$D$3,ROW(),"")</f>
        <v/>
      </c>
    </row>
    <row r="2189" customFormat="false" ht="15" hidden="false" customHeight="false" outlineLevel="0" collapsed="false">
      <c r="A2189" s="80"/>
      <c r="B2189" s="71"/>
      <c r="C2189" s="71"/>
      <c r="D2189" s="81"/>
      <c r="E2189" s="71"/>
      <c r="F2189" s="71"/>
      <c r="G2189" s="82" t="str">
        <f aca="false">IF(C2189="","",IFERROR(INDEX('Kit Lists'!$D$6:$D$605,MATCH(B2189&amp;"|"&amp;C2189,'Kit Lists'!$J$6:$J$605,0)),"Not on this contract's kit list"))</f>
        <v/>
      </c>
      <c r="H2189" s="83" t="str">
        <f aca="false">IF(AND(B2189="",C2189="",D2189=""),"",IF(B2189="","Missing contract",IF(C2189="","Missing code",IF(LEFT(G2189,3)="Not","Wrong code",IF(D2189="","Missing qty",IF(A2189="","Missing date",""))))))</f>
        <v/>
      </c>
      <c r="I2189" s="84" t="str">
        <f aca="false">IF(B2189=Dashboard!$D$3,ROW(),"")</f>
        <v/>
      </c>
    </row>
    <row r="2190" customFormat="false" ht="15" hidden="false" customHeight="false" outlineLevel="0" collapsed="false">
      <c r="A2190" s="80"/>
      <c r="B2190" s="71"/>
      <c r="C2190" s="71"/>
      <c r="D2190" s="81"/>
      <c r="E2190" s="71"/>
      <c r="F2190" s="71"/>
      <c r="G2190" s="82" t="str">
        <f aca="false">IF(C2190="","",IFERROR(INDEX('Kit Lists'!$D$6:$D$605,MATCH(B2190&amp;"|"&amp;C2190,'Kit Lists'!$J$6:$J$605,0)),"Not on this contract's kit list"))</f>
        <v/>
      </c>
      <c r="H2190" s="83" t="str">
        <f aca="false">IF(AND(B2190="",C2190="",D2190=""),"",IF(B2190="","Missing contract",IF(C2190="","Missing code",IF(LEFT(G2190,3)="Not","Wrong code",IF(D2190="","Missing qty",IF(A2190="","Missing date",""))))))</f>
        <v/>
      </c>
      <c r="I2190" s="84" t="str">
        <f aca="false">IF(B2190=Dashboard!$D$3,ROW(),"")</f>
        <v/>
      </c>
    </row>
    <row r="2191" customFormat="false" ht="15" hidden="false" customHeight="false" outlineLevel="0" collapsed="false">
      <c r="A2191" s="80"/>
      <c r="B2191" s="71"/>
      <c r="C2191" s="71"/>
      <c r="D2191" s="81"/>
      <c r="E2191" s="71"/>
      <c r="F2191" s="71"/>
      <c r="G2191" s="82" t="str">
        <f aca="false">IF(C2191="","",IFERROR(INDEX('Kit Lists'!$D$6:$D$605,MATCH(B2191&amp;"|"&amp;C2191,'Kit Lists'!$J$6:$J$605,0)),"Not on this contract's kit list"))</f>
        <v/>
      </c>
      <c r="H2191" s="83" t="str">
        <f aca="false">IF(AND(B2191="",C2191="",D2191=""),"",IF(B2191="","Missing contract",IF(C2191="","Missing code",IF(LEFT(G2191,3)="Not","Wrong code",IF(D2191="","Missing qty",IF(A2191="","Missing date",""))))))</f>
        <v/>
      </c>
      <c r="I2191" s="84" t="str">
        <f aca="false">IF(B2191=Dashboard!$D$3,ROW(),"")</f>
        <v/>
      </c>
    </row>
    <row r="2192" customFormat="false" ht="15" hidden="false" customHeight="false" outlineLevel="0" collapsed="false">
      <c r="A2192" s="80"/>
      <c r="B2192" s="71"/>
      <c r="C2192" s="71"/>
      <c r="D2192" s="81"/>
      <c r="E2192" s="71"/>
      <c r="F2192" s="71"/>
      <c r="G2192" s="82" t="str">
        <f aca="false">IF(C2192="","",IFERROR(INDEX('Kit Lists'!$D$6:$D$605,MATCH(B2192&amp;"|"&amp;C2192,'Kit Lists'!$J$6:$J$605,0)),"Not on this contract's kit list"))</f>
        <v/>
      </c>
      <c r="H2192" s="83" t="str">
        <f aca="false">IF(AND(B2192="",C2192="",D2192=""),"",IF(B2192="","Missing contract",IF(C2192="","Missing code",IF(LEFT(G2192,3)="Not","Wrong code",IF(D2192="","Missing qty",IF(A2192="","Missing date",""))))))</f>
        <v/>
      </c>
      <c r="I2192" s="84" t="str">
        <f aca="false">IF(B2192=Dashboard!$D$3,ROW(),"")</f>
        <v/>
      </c>
    </row>
    <row r="2193" customFormat="false" ht="15" hidden="false" customHeight="false" outlineLevel="0" collapsed="false">
      <c r="A2193" s="80"/>
      <c r="B2193" s="71"/>
      <c r="C2193" s="71"/>
      <c r="D2193" s="81"/>
      <c r="E2193" s="71"/>
      <c r="F2193" s="71"/>
      <c r="G2193" s="82" t="str">
        <f aca="false">IF(C2193="","",IFERROR(INDEX('Kit Lists'!$D$6:$D$605,MATCH(B2193&amp;"|"&amp;C2193,'Kit Lists'!$J$6:$J$605,0)),"Not on this contract's kit list"))</f>
        <v/>
      </c>
      <c r="H2193" s="83" t="str">
        <f aca="false">IF(AND(B2193="",C2193="",D2193=""),"",IF(B2193="","Missing contract",IF(C2193="","Missing code",IF(LEFT(G2193,3)="Not","Wrong code",IF(D2193="","Missing qty",IF(A2193="","Missing date",""))))))</f>
        <v/>
      </c>
      <c r="I2193" s="84" t="str">
        <f aca="false">IF(B2193=Dashboard!$D$3,ROW(),"")</f>
        <v/>
      </c>
    </row>
    <row r="2194" customFormat="false" ht="15" hidden="false" customHeight="false" outlineLevel="0" collapsed="false">
      <c r="A2194" s="80"/>
      <c r="B2194" s="71"/>
      <c r="C2194" s="71"/>
      <c r="D2194" s="81"/>
      <c r="E2194" s="71"/>
      <c r="F2194" s="71"/>
      <c r="G2194" s="82" t="str">
        <f aca="false">IF(C2194="","",IFERROR(INDEX('Kit Lists'!$D$6:$D$605,MATCH(B2194&amp;"|"&amp;C2194,'Kit Lists'!$J$6:$J$605,0)),"Not on this contract's kit list"))</f>
        <v/>
      </c>
      <c r="H2194" s="83" t="str">
        <f aca="false">IF(AND(B2194="",C2194="",D2194=""),"",IF(B2194="","Missing contract",IF(C2194="","Missing code",IF(LEFT(G2194,3)="Not","Wrong code",IF(D2194="","Missing qty",IF(A2194="","Missing date",""))))))</f>
        <v/>
      </c>
      <c r="I2194" s="84" t="str">
        <f aca="false">IF(B2194=Dashboard!$D$3,ROW(),"")</f>
        <v/>
      </c>
    </row>
    <row r="2195" customFormat="false" ht="15" hidden="false" customHeight="false" outlineLevel="0" collapsed="false">
      <c r="A2195" s="80"/>
      <c r="B2195" s="71"/>
      <c r="C2195" s="71"/>
      <c r="D2195" s="81"/>
      <c r="E2195" s="71"/>
      <c r="F2195" s="71"/>
      <c r="G2195" s="82" t="str">
        <f aca="false">IF(C2195="","",IFERROR(INDEX('Kit Lists'!$D$6:$D$605,MATCH(B2195&amp;"|"&amp;C2195,'Kit Lists'!$J$6:$J$605,0)),"Not on this contract's kit list"))</f>
        <v/>
      </c>
      <c r="H2195" s="83" t="str">
        <f aca="false">IF(AND(B2195="",C2195="",D2195=""),"",IF(B2195="","Missing contract",IF(C2195="","Missing code",IF(LEFT(G2195,3)="Not","Wrong code",IF(D2195="","Missing qty",IF(A2195="","Missing date",""))))))</f>
        <v/>
      </c>
      <c r="I2195" s="84" t="str">
        <f aca="false">IF(B2195=Dashboard!$D$3,ROW(),"")</f>
        <v/>
      </c>
    </row>
    <row r="2196" customFormat="false" ht="15" hidden="false" customHeight="false" outlineLevel="0" collapsed="false">
      <c r="A2196" s="80"/>
      <c r="B2196" s="71"/>
      <c r="C2196" s="71"/>
      <c r="D2196" s="81"/>
      <c r="E2196" s="71"/>
      <c r="F2196" s="71"/>
      <c r="G2196" s="82" t="str">
        <f aca="false">IF(C2196="","",IFERROR(INDEX('Kit Lists'!$D$6:$D$605,MATCH(B2196&amp;"|"&amp;C2196,'Kit Lists'!$J$6:$J$605,0)),"Not on this contract's kit list"))</f>
        <v/>
      </c>
      <c r="H2196" s="83" t="str">
        <f aca="false">IF(AND(B2196="",C2196="",D2196=""),"",IF(B2196="","Missing contract",IF(C2196="","Missing code",IF(LEFT(G2196,3)="Not","Wrong code",IF(D2196="","Missing qty",IF(A2196="","Missing date",""))))))</f>
        <v/>
      </c>
      <c r="I2196" s="84" t="str">
        <f aca="false">IF(B2196=Dashboard!$D$3,ROW(),"")</f>
        <v/>
      </c>
    </row>
    <row r="2197" customFormat="false" ht="15" hidden="false" customHeight="false" outlineLevel="0" collapsed="false">
      <c r="A2197" s="80"/>
      <c r="B2197" s="71"/>
      <c r="C2197" s="71"/>
      <c r="D2197" s="81"/>
      <c r="E2197" s="71"/>
      <c r="F2197" s="71"/>
      <c r="G2197" s="82" t="str">
        <f aca="false">IF(C2197="","",IFERROR(INDEX('Kit Lists'!$D$6:$D$605,MATCH(B2197&amp;"|"&amp;C2197,'Kit Lists'!$J$6:$J$605,0)),"Not on this contract's kit list"))</f>
        <v/>
      </c>
      <c r="H2197" s="83" t="str">
        <f aca="false">IF(AND(B2197="",C2197="",D2197=""),"",IF(B2197="","Missing contract",IF(C2197="","Missing code",IF(LEFT(G2197,3)="Not","Wrong code",IF(D2197="","Missing qty",IF(A2197="","Missing date",""))))))</f>
        <v/>
      </c>
      <c r="I2197" s="84" t="str">
        <f aca="false">IF(B2197=Dashboard!$D$3,ROW(),"")</f>
        <v/>
      </c>
    </row>
    <row r="2198" customFormat="false" ht="15" hidden="false" customHeight="false" outlineLevel="0" collapsed="false">
      <c r="A2198" s="80"/>
      <c r="B2198" s="71"/>
      <c r="C2198" s="71"/>
      <c r="D2198" s="81"/>
      <c r="E2198" s="71"/>
      <c r="F2198" s="71"/>
      <c r="G2198" s="82" t="str">
        <f aca="false">IF(C2198="","",IFERROR(INDEX('Kit Lists'!$D$6:$D$605,MATCH(B2198&amp;"|"&amp;C2198,'Kit Lists'!$J$6:$J$605,0)),"Not on this contract's kit list"))</f>
        <v/>
      </c>
      <c r="H2198" s="83" t="str">
        <f aca="false">IF(AND(B2198="",C2198="",D2198=""),"",IF(B2198="","Missing contract",IF(C2198="","Missing code",IF(LEFT(G2198,3)="Not","Wrong code",IF(D2198="","Missing qty",IF(A2198="","Missing date",""))))))</f>
        <v/>
      </c>
      <c r="I2198" s="84" t="str">
        <f aca="false">IF(B2198=Dashboard!$D$3,ROW(),"")</f>
        <v/>
      </c>
    </row>
    <row r="2199" customFormat="false" ht="15" hidden="false" customHeight="false" outlineLevel="0" collapsed="false">
      <c r="A2199" s="80"/>
      <c r="B2199" s="71"/>
      <c r="C2199" s="71"/>
      <c r="D2199" s="81"/>
      <c r="E2199" s="71"/>
      <c r="F2199" s="71"/>
      <c r="G2199" s="82" t="str">
        <f aca="false">IF(C2199="","",IFERROR(INDEX('Kit Lists'!$D$6:$D$605,MATCH(B2199&amp;"|"&amp;C2199,'Kit Lists'!$J$6:$J$605,0)),"Not on this contract's kit list"))</f>
        <v/>
      </c>
      <c r="H2199" s="83" t="str">
        <f aca="false">IF(AND(B2199="",C2199="",D2199=""),"",IF(B2199="","Missing contract",IF(C2199="","Missing code",IF(LEFT(G2199,3)="Not","Wrong code",IF(D2199="","Missing qty",IF(A2199="","Missing date",""))))))</f>
        <v/>
      </c>
      <c r="I2199" s="84" t="str">
        <f aca="false">IF(B2199=Dashboard!$D$3,ROW(),"")</f>
        <v/>
      </c>
    </row>
    <row r="2200" customFormat="false" ht="15" hidden="false" customHeight="false" outlineLevel="0" collapsed="false">
      <c r="A2200" s="80"/>
      <c r="B2200" s="71"/>
      <c r="C2200" s="71"/>
      <c r="D2200" s="81"/>
      <c r="E2200" s="71"/>
      <c r="F2200" s="71"/>
      <c r="G2200" s="82" t="str">
        <f aca="false">IF(C2200="","",IFERROR(INDEX('Kit Lists'!$D$6:$D$605,MATCH(B2200&amp;"|"&amp;C2200,'Kit Lists'!$J$6:$J$605,0)),"Not on this contract's kit list"))</f>
        <v/>
      </c>
      <c r="H2200" s="83" t="str">
        <f aca="false">IF(AND(B2200="",C2200="",D2200=""),"",IF(B2200="","Missing contract",IF(C2200="","Missing code",IF(LEFT(G2200,3)="Not","Wrong code",IF(D2200="","Missing qty",IF(A2200="","Missing date",""))))))</f>
        <v/>
      </c>
      <c r="I2200" s="84" t="str">
        <f aca="false">IF(B2200=Dashboard!$D$3,ROW(),"")</f>
        <v/>
      </c>
    </row>
    <row r="2201" customFormat="false" ht="15" hidden="false" customHeight="false" outlineLevel="0" collapsed="false">
      <c r="A2201" s="80"/>
      <c r="B2201" s="71"/>
      <c r="C2201" s="71"/>
      <c r="D2201" s="81"/>
      <c r="E2201" s="71"/>
      <c r="F2201" s="71"/>
      <c r="G2201" s="82" t="str">
        <f aca="false">IF(C2201="","",IFERROR(INDEX('Kit Lists'!$D$6:$D$605,MATCH(B2201&amp;"|"&amp;C2201,'Kit Lists'!$J$6:$J$605,0)),"Not on this contract's kit list"))</f>
        <v/>
      </c>
      <c r="H2201" s="83" t="str">
        <f aca="false">IF(AND(B2201="",C2201="",D2201=""),"",IF(B2201="","Missing contract",IF(C2201="","Missing code",IF(LEFT(G2201,3)="Not","Wrong code",IF(D2201="","Missing qty",IF(A2201="","Missing date",""))))))</f>
        <v/>
      </c>
      <c r="I2201" s="84" t="str">
        <f aca="false">IF(B2201=Dashboard!$D$3,ROW(),"")</f>
        <v/>
      </c>
    </row>
    <row r="2202" customFormat="false" ht="15" hidden="false" customHeight="false" outlineLevel="0" collapsed="false">
      <c r="A2202" s="80"/>
      <c r="B2202" s="71"/>
      <c r="C2202" s="71"/>
      <c r="D2202" s="81"/>
      <c r="E2202" s="71"/>
      <c r="F2202" s="71"/>
      <c r="G2202" s="82" t="str">
        <f aca="false">IF(C2202="","",IFERROR(INDEX('Kit Lists'!$D$6:$D$605,MATCH(B2202&amp;"|"&amp;C2202,'Kit Lists'!$J$6:$J$605,0)),"Not on this contract's kit list"))</f>
        <v/>
      </c>
      <c r="H2202" s="83" t="str">
        <f aca="false">IF(AND(B2202="",C2202="",D2202=""),"",IF(B2202="","Missing contract",IF(C2202="","Missing code",IF(LEFT(G2202,3)="Not","Wrong code",IF(D2202="","Missing qty",IF(A2202="","Missing date",""))))))</f>
        <v/>
      </c>
      <c r="I2202" s="84" t="str">
        <f aca="false">IF(B2202=Dashboard!$D$3,ROW(),"")</f>
        <v/>
      </c>
    </row>
    <row r="2203" customFormat="false" ht="15" hidden="false" customHeight="false" outlineLevel="0" collapsed="false">
      <c r="A2203" s="80"/>
      <c r="B2203" s="71"/>
      <c r="C2203" s="71"/>
      <c r="D2203" s="81"/>
      <c r="E2203" s="71"/>
      <c r="F2203" s="71"/>
      <c r="G2203" s="82" t="str">
        <f aca="false">IF(C2203="","",IFERROR(INDEX('Kit Lists'!$D$6:$D$605,MATCH(B2203&amp;"|"&amp;C2203,'Kit Lists'!$J$6:$J$605,0)),"Not on this contract's kit list"))</f>
        <v/>
      </c>
      <c r="H2203" s="83" t="str">
        <f aca="false">IF(AND(B2203="",C2203="",D2203=""),"",IF(B2203="","Missing contract",IF(C2203="","Missing code",IF(LEFT(G2203,3)="Not","Wrong code",IF(D2203="","Missing qty",IF(A2203="","Missing date",""))))))</f>
        <v/>
      </c>
      <c r="I2203" s="84" t="str">
        <f aca="false">IF(B2203=Dashboard!$D$3,ROW(),"")</f>
        <v/>
      </c>
    </row>
    <row r="2204" customFormat="false" ht="15" hidden="false" customHeight="false" outlineLevel="0" collapsed="false">
      <c r="A2204" s="80"/>
      <c r="B2204" s="71"/>
      <c r="C2204" s="71"/>
      <c r="D2204" s="81"/>
      <c r="E2204" s="71"/>
      <c r="F2204" s="71"/>
      <c r="G2204" s="82" t="str">
        <f aca="false">IF(C2204="","",IFERROR(INDEX('Kit Lists'!$D$6:$D$605,MATCH(B2204&amp;"|"&amp;C2204,'Kit Lists'!$J$6:$J$605,0)),"Not on this contract's kit list"))</f>
        <v/>
      </c>
      <c r="H2204" s="83" t="str">
        <f aca="false">IF(AND(B2204="",C2204="",D2204=""),"",IF(B2204="","Missing contract",IF(C2204="","Missing code",IF(LEFT(G2204,3)="Not","Wrong code",IF(D2204="","Missing qty",IF(A2204="","Missing date",""))))))</f>
        <v/>
      </c>
      <c r="I2204" s="84" t="str">
        <f aca="false">IF(B2204=Dashboard!$D$3,ROW(),"")</f>
        <v/>
      </c>
    </row>
    <row r="2205" customFormat="false" ht="15" hidden="false" customHeight="false" outlineLevel="0" collapsed="false">
      <c r="A2205" s="80"/>
      <c r="B2205" s="71"/>
      <c r="C2205" s="71"/>
      <c r="D2205" s="81"/>
      <c r="E2205" s="71"/>
      <c r="F2205" s="71"/>
      <c r="G2205" s="82" t="str">
        <f aca="false">IF(C2205="","",IFERROR(INDEX('Kit Lists'!$D$6:$D$605,MATCH(B2205&amp;"|"&amp;C2205,'Kit Lists'!$J$6:$J$605,0)),"Not on this contract's kit list"))</f>
        <v/>
      </c>
      <c r="H2205" s="83" t="str">
        <f aca="false">IF(AND(B2205="",C2205="",D2205=""),"",IF(B2205="","Missing contract",IF(C2205="","Missing code",IF(LEFT(G2205,3)="Not","Wrong code",IF(D2205="","Missing qty",IF(A2205="","Missing date",""))))))</f>
        <v/>
      </c>
      <c r="I2205" s="84" t="str">
        <f aca="false">IF(B2205=Dashboard!$D$3,ROW(),"")</f>
        <v/>
      </c>
    </row>
    <row r="2206" customFormat="false" ht="15" hidden="false" customHeight="false" outlineLevel="0" collapsed="false">
      <c r="A2206" s="80"/>
      <c r="B2206" s="71"/>
      <c r="C2206" s="71"/>
      <c r="D2206" s="81"/>
      <c r="E2206" s="71"/>
      <c r="F2206" s="71"/>
      <c r="G2206" s="82" t="str">
        <f aca="false">IF(C2206="","",IFERROR(INDEX('Kit Lists'!$D$6:$D$605,MATCH(B2206&amp;"|"&amp;C2206,'Kit Lists'!$J$6:$J$605,0)),"Not on this contract's kit list"))</f>
        <v/>
      </c>
      <c r="H2206" s="83" t="str">
        <f aca="false">IF(AND(B2206="",C2206="",D2206=""),"",IF(B2206="","Missing contract",IF(C2206="","Missing code",IF(LEFT(G2206,3)="Not","Wrong code",IF(D2206="","Missing qty",IF(A2206="","Missing date",""))))))</f>
        <v/>
      </c>
      <c r="I2206" s="84" t="str">
        <f aca="false">IF(B2206=Dashboard!$D$3,ROW(),"")</f>
        <v/>
      </c>
    </row>
    <row r="2207" customFormat="false" ht="15" hidden="false" customHeight="false" outlineLevel="0" collapsed="false">
      <c r="A2207" s="80"/>
      <c r="B2207" s="71"/>
      <c r="C2207" s="71"/>
      <c r="D2207" s="81"/>
      <c r="E2207" s="71"/>
      <c r="F2207" s="71"/>
      <c r="G2207" s="82" t="str">
        <f aca="false">IF(C2207="","",IFERROR(INDEX('Kit Lists'!$D$6:$D$605,MATCH(B2207&amp;"|"&amp;C2207,'Kit Lists'!$J$6:$J$605,0)),"Not on this contract's kit list"))</f>
        <v/>
      </c>
      <c r="H2207" s="83" t="str">
        <f aca="false">IF(AND(B2207="",C2207="",D2207=""),"",IF(B2207="","Missing contract",IF(C2207="","Missing code",IF(LEFT(G2207,3)="Not","Wrong code",IF(D2207="","Missing qty",IF(A2207="","Missing date",""))))))</f>
        <v/>
      </c>
      <c r="I2207" s="84" t="str">
        <f aca="false">IF(B2207=Dashboard!$D$3,ROW(),"")</f>
        <v/>
      </c>
    </row>
    <row r="2208" customFormat="false" ht="15" hidden="false" customHeight="false" outlineLevel="0" collapsed="false">
      <c r="A2208" s="80"/>
      <c r="B2208" s="71"/>
      <c r="C2208" s="71"/>
      <c r="D2208" s="81"/>
      <c r="E2208" s="71"/>
      <c r="F2208" s="71"/>
      <c r="G2208" s="82" t="str">
        <f aca="false">IF(C2208="","",IFERROR(INDEX('Kit Lists'!$D$6:$D$605,MATCH(B2208&amp;"|"&amp;C2208,'Kit Lists'!$J$6:$J$605,0)),"Not on this contract's kit list"))</f>
        <v/>
      </c>
      <c r="H2208" s="83" t="str">
        <f aca="false">IF(AND(B2208="",C2208="",D2208=""),"",IF(B2208="","Missing contract",IF(C2208="","Missing code",IF(LEFT(G2208,3)="Not","Wrong code",IF(D2208="","Missing qty",IF(A2208="","Missing date",""))))))</f>
        <v/>
      </c>
      <c r="I2208" s="84" t="str">
        <f aca="false">IF(B2208=Dashboard!$D$3,ROW(),"")</f>
        <v/>
      </c>
    </row>
    <row r="2209" customFormat="false" ht="15" hidden="false" customHeight="false" outlineLevel="0" collapsed="false">
      <c r="A2209" s="80"/>
      <c r="B2209" s="71"/>
      <c r="C2209" s="71"/>
      <c r="D2209" s="81"/>
      <c r="E2209" s="71"/>
      <c r="F2209" s="71"/>
      <c r="G2209" s="82" t="str">
        <f aca="false">IF(C2209="","",IFERROR(INDEX('Kit Lists'!$D$6:$D$605,MATCH(B2209&amp;"|"&amp;C2209,'Kit Lists'!$J$6:$J$605,0)),"Not on this contract's kit list"))</f>
        <v/>
      </c>
      <c r="H2209" s="83" t="str">
        <f aca="false">IF(AND(B2209="",C2209="",D2209=""),"",IF(B2209="","Missing contract",IF(C2209="","Missing code",IF(LEFT(G2209,3)="Not","Wrong code",IF(D2209="","Missing qty",IF(A2209="","Missing date",""))))))</f>
        <v/>
      </c>
      <c r="I2209" s="84" t="str">
        <f aca="false">IF(B2209=Dashboard!$D$3,ROW(),"")</f>
        <v/>
      </c>
    </row>
    <row r="2210" customFormat="false" ht="15" hidden="false" customHeight="false" outlineLevel="0" collapsed="false">
      <c r="A2210" s="80"/>
      <c r="B2210" s="71"/>
      <c r="C2210" s="71"/>
      <c r="D2210" s="81"/>
      <c r="E2210" s="71"/>
      <c r="F2210" s="71"/>
      <c r="G2210" s="82" t="str">
        <f aca="false">IF(C2210="","",IFERROR(INDEX('Kit Lists'!$D$6:$D$605,MATCH(B2210&amp;"|"&amp;C2210,'Kit Lists'!$J$6:$J$605,0)),"Not on this contract's kit list"))</f>
        <v/>
      </c>
      <c r="H2210" s="83" t="str">
        <f aca="false">IF(AND(B2210="",C2210="",D2210=""),"",IF(B2210="","Missing contract",IF(C2210="","Missing code",IF(LEFT(G2210,3)="Not","Wrong code",IF(D2210="","Missing qty",IF(A2210="","Missing date",""))))))</f>
        <v/>
      </c>
      <c r="I2210" s="84" t="str">
        <f aca="false">IF(B2210=Dashboard!$D$3,ROW(),"")</f>
        <v/>
      </c>
    </row>
    <row r="2211" customFormat="false" ht="15" hidden="false" customHeight="false" outlineLevel="0" collapsed="false">
      <c r="A2211" s="80"/>
      <c r="B2211" s="71"/>
      <c r="C2211" s="71"/>
      <c r="D2211" s="81"/>
      <c r="E2211" s="71"/>
      <c r="F2211" s="71"/>
      <c r="G2211" s="82" t="str">
        <f aca="false">IF(C2211="","",IFERROR(INDEX('Kit Lists'!$D$6:$D$605,MATCH(B2211&amp;"|"&amp;C2211,'Kit Lists'!$J$6:$J$605,0)),"Not on this contract's kit list"))</f>
        <v/>
      </c>
      <c r="H2211" s="83" t="str">
        <f aca="false">IF(AND(B2211="",C2211="",D2211=""),"",IF(B2211="","Missing contract",IF(C2211="","Missing code",IF(LEFT(G2211,3)="Not","Wrong code",IF(D2211="","Missing qty",IF(A2211="","Missing date",""))))))</f>
        <v/>
      </c>
      <c r="I2211" s="84" t="str">
        <f aca="false">IF(B2211=Dashboard!$D$3,ROW(),"")</f>
        <v/>
      </c>
    </row>
    <row r="2212" customFormat="false" ht="15" hidden="false" customHeight="false" outlineLevel="0" collapsed="false">
      <c r="A2212" s="80"/>
      <c r="B2212" s="71"/>
      <c r="C2212" s="71"/>
      <c r="D2212" s="81"/>
      <c r="E2212" s="71"/>
      <c r="F2212" s="71"/>
      <c r="G2212" s="82" t="str">
        <f aca="false">IF(C2212="","",IFERROR(INDEX('Kit Lists'!$D$6:$D$605,MATCH(B2212&amp;"|"&amp;C2212,'Kit Lists'!$J$6:$J$605,0)),"Not on this contract's kit list"))</f>
        <v/>
      </c>
      <c r="H2212" s="83" t="str">
        <f aca="false">IF(AND(B2212="",C2212="",D2212=""),"",IF(B2212="","Missing contract",IF(C2212="","Missing code",IF(LEFT(G2212,3)="Not","Wrong code",IF(D2212="","Missing qty",IF(A2212="","Missing date",""))))))</f>
        <v/>
      </c>
      <c r="I2212" s="84" t="str">
        <f aca="false">IF(B2212=Dashboard!$D$3,ROW(),"")</f>
        <v/>
      </c>
    </row>
    <row r="2213" customFormat="false" ht="15" hidden="false" customHeight="false" outlineLevel="0" collapsed="false">
      <c r="A2213" s="80"/>
      <c r="B2213" s="71"/>
      <c r="C2213" s="71"/>
      <c r="D2213" s="81"/>
      <c r="E2213" s="71"/>
      <c r="F2213" s="71"/>
      <c r="G2213" s="82" t="str">
        <f aca="false">IF(C2213="","",IFERROR(INDEX('Kit Lists'!$D$6:$D$605,MATCH(B2213&amp;"|"&amp;C2213,'Kit Lists'!$J$6:$J$605,0)),"Not on this contract's kit list"))</f>
        <v/>
      </c>
      <c r="H2213" s="83" t="str">
        <f aca="false">IF(AND(B2213="",C2213="",D2213=""),"",IF(B2213="","Missing contract",IF(C2213="","Missing code",IF(LEFT(G2213,3)="Not","Wrong code",IF(D2213="","Missing qty",IF(A2213="","Missing date",""))))))</f>
        <v/>
      </c>
      <c r="I2213" s="84" t="str">
        <f aca="false">IF(B2213=Dashboard!$D$3,ROW(),"")</f>
        <v/>
      </c>
    </row>
    <row r="2214" customFormat="false" ht="15" hidden="false" customHeight="false" outlineLevel="0" collapsed="false">
      <c r="A2214" s="80"/>
      <c r="B2214" s="71"/>
      <c r="C2214" s="71"/>
      <c r="D2214" s="81"/>
      <c r="E2214" s="71"/>
      <c r="F2214" s="71"/>
      <c r="G2214" s="82" t="str">
        <f aca="false">IF(C2214="","",IFERROR(INDEX('Kit Lists'!$D$6:$D$605,MATCH(B2214&amp;"|"&amp;C2214,'Kit Lists'!$J$6:$J$605,0)),"Not on this contract's kit list"))</f>
        <v/>
      </c>
      <c r="H2214" s="83" t="str">
        <f aca="false">IF(AND(B2214="",C2214="",D2214=""),"",IF(B2214="","Missing contract",IF(C2214="","Missing code",IF(LEFT(G2214,3)="Not","Wrong code",IF(D2214="","Missing qty",IF(A2214="","Missing date",""))))))</f>
        <v/>
      </c>
      <c r="I2214" s="84" t="str">
        <f aca="false">IF(B2214=Dashboard!$D$3,ROW(),"")</f>
        <v/>
      </c>
    </row>
    <row r="2215" customFormat="false" ht="15" hidden="false" customHeight="false" outlineLevel="0" collapsed="false">
      <c r="A2215" s="80"/>
      <c r="B2215" s="71"/>
      <c r="C2215" s="71"/>
      <c r="D2215" s="81"/>
      <c r="E2215" s="71"/>
      <c r="F2215" s="71"/>
      <c r="G2215" s="82" t="str">
        <f aca="false">IF(C2215="","",IFERROR(INDEX('Kit Lists'!$D$6:$D$605,MATCH(B2215&amp;"|"&amp;C2215,'Kit Lists'!$J$6:$J$605,0)),"Not on this contract's kit list"))</f>
        <v/>
      </c>
      <c r="H2215" s="83" t="str">
        <f aca="false">IF(AND(B2215="",C2215="",D2215=""),"",IF(B2215="","Missing contract",IF(C2215="","Missing code",IF(LEFT(G2215,3)="Not","Wrong code",IF(D2215="","Missing qty",IF(A2215="","Missing date",""))))))</f>
        <v/>
      </c>
      <c r="I2215" s="84" t="str">
        <f aca="false">IF(B2215=Dashboard!$D$3,ROW(),"")</f>
        <v/>
      </c>
    </row>
    <row r="2216" customFormat="false" ht="15" hidden="false" customHeight="false" outlineLevel="0" collapsed="false">
      <c r="A2216" s="80"/>
      <c r="B2216" s="71"/>
      <c r="C2216" s="71"/>
      <c r="D2216" s="81"/>
      <c r="E2216" s="71"/>
      <c r="F2216" s="71"/>
      <c r="G2216" s="82" t="str">
        <f aca="false">IF(C2216="","",IFERROR(INDEX('Kit Lists'!$D$6:$D$605,MATCH(B2216&amp;"|"&amp;C2216,'Kit Lists'!$J$6:$J$605,0)),"Not on this contract's kit list"))</f>
        <v/>
      </c>
      <c r="H2216" s="83" t="str">
        <f aca="false">IF(AND(B2216="",C2216="",D2216=""),"",IF(B2216="","Missing contract",IF(C2216="","Missing code",IF(LEFT(G2216,3)="Not","Wrong code",IF(D2216="","Missing qty",IF(A2216="","Missing date",""))))))</f>
        <v/>
      </c>
      <c r="I2216" s="84" t="str">
        <f aca="false">IF(B2216=Dashboard!$D$3,ROW(),"")</f>
        <v/>
      </c>
    </row>
    <row r="2217" customFormat="false" ht="15" hidden="false" customHeight="false" outlineLevel="0" collapsed="false">
      <c r="A2217" s="80"/>
      <c r="B2217" s="71"/>
      <c r="C2217" s="71"/>
      <c r="D2217" s="81"/>
      <c r="E2217" s="71"/>
      <c r="F2217" s="71"/>
      <c r="G2217" s="82" t="str">
        <f aca="false">IF(C2217="","",IFERROR(INDEX('Kit Lists'!$D$6:$D$605,MATCH(B2217&amp;"|"&amp;C2217,'Kit Lists'!$J$6:$J$605,0)),"Not on this contract's kit list"))</f>
        <v/>
      </c>
      <c r="H2217" s="83" t="str">
        <f aca="false">IF(AND(B2217="",C2217="",D2217=""),"",IF(B2217="","Missing contract",IF(C2217="","Missing code",IF(LEFT(G2217,3)="Not","Wrong code",IF(D2217="","Missing qty",IF(A2217="","Missing date",""))))))</f>
        <v/>
      </c>
      <c r="I2217" s="84" t="str">
        <f aca="false">IF(B2217=Dashboard!$D$3,ROW(),"")</f>
        <v/>
      </c>
    </row>
    <row r="2218" customFormat="false" ht="15" hidden="false" customHeight="false" outlineLevel="0" collapsed="false">
      <c r="A2218" s="80"/>
      <c r="B2218" s="71"/>
      <c r="C2218" s="71"/>
      <c r="D2218" s="81"/>
      <c r="E2218" s="71"/>
      <c r="F2218" s="71"/>
      <c r="G2218" s="82" t="str">
        <f aca="false">IF(C2218="","",IFERROR(INDEX('Kit Lists'!$D$6:$D$605,MATCH(B2218&amp;"|"&amp;C2218,'Kit Lists'!$J$6:$J$605,0)),"Not on this contract's kit list"))</f>
        <v/>
      </c>
      <c r="H2218" s="83" t="str">
        <f aca="false">IF(AND(B2218="",C2218="",D2218=""),"",IF(B2218="","Missing contract",IF(C2218="","Missing code",IF(LEFT(G2218,3)="Not","Wrong code",IF(D2218="","Missing qty",IF(A2218="","Missing date",""))))))</f>
        <v/>
      </c>
      <c r="I2218" s="84" t="str">
        <f aca="false">IF(B2218=Dashboard!$D$3,ROW(),"")</f>
        <v/>
      </c>
    </row>
    <row r="2219" customFormat="false" ht="15" hidden="false" customHeight="false" outlineLevel="0" collapsed="false">
      <c r="A2219" s="80"/>
      <c r="B2219" s="71"/>
      <c r="C2219" s="71"/>
      <c r="D2219" s="81"/>
      <c r="E2219" s="71"/>
      <c r="F2219" s="71"/>
      <c r="G2219" s="82" t="str">
        <f aca="false">IF(C2219="","",IFERROR(INDEX('Kit Lists'!$D$6:$D$605,MATCH(B2219&amp;"|"&amp;C2219,'Kit Lists'!$J$6:$J$605,0)),"Not on this contract's kit list"))</f>
        <v/>
      </c>
      <c r="H2219" s="83" t="str">
        <f aca="false">IF(AND(B2219="",C2219="",D2219=""),"",IF(B2219="","Missing contract",IF(C2219="","Missing code",IF(LEFT(G2219,3)="Not","Wrong code",IF(D2219="","Missing qty",IF(A2219="","Missing date",""))))))</f>
        <v/>
      </c>
      <c r="I2219" s="84" t="str">
        <f aca="false">IF(B2219=Dashboard!$D$3,ROW(),"")</f>
        <v/>
      </c>
    </row>
    <row r="2220" customFormat="false" ht="15" hidden="false" customHeight="false" outlineLevel="0" collapsed="false">
      <c r="A2220" s="80"/>
      <c r="B2220" s="71"/>
      <c r="C2220" s="71"/>
      <c r="D2220" s="81"/>
      <c r="E2220" s="71"/>
      <c r="F2220" s="71"/>
      <c r="G2220" s="82" t="str">
        <f aca="false">IF(C2220="","",IFERROR(INDEX('Kit Lists'!$D$6:$D$605,MATCH(B2220&amp;"|"&amp;C2220,'Kit Lists'!$J$6:$J$605,0)),"Not on this contract's kit list"))</f>
        <v/>
      </c>
      <c r="H2220" s="83" t="str">
        <f aca="false">IF(AND(B2220="",C2220="",D2220=""),"",IF(B2220="","Missing contract",IF(C2220="","Missing code",IF(LEFT(G2220,3)="Not","Wrong code",IF(D2220="","Missing qty",IF(A2220="","Missing date",""))))))</f>
        <v/>
      </c>
      <c r="I2220" s="84" t="str">
        <f aca="false">IF(B2220=Dashboard!$D$3,ROW(),"")</f>
        <v/>
      </c>
    </row>
    <row r="2221" customFormat="false" ht="15" hidden="false" customHeight="false" outlineLevel="0" collapsed="false">
      <c r="A2221" s="80"/>
      <c r="B2221" s="71"/>
      <c r="C2221" s="71"/>
      <c r="D2221" s="81"/>
      <c r="E2221" s="71"/>
      <c r="F2221" s="71"/>
      <c r="G2221" s="82" t="str">
        <f aca="false">IF(C2221="","",IFERROR(INDEX('Kit Lists'!$D$6:$D$605,MATCH(B2221&amp;"|"&amp;C2221,'Kit Lists'!$J$6:$J$605,0)),"Not on this contract's kit list"))</f>
        <v/>
      </c>
      <c r="H2221" s="83" t="str">
        <f aca="false">IF(AND(B2221="",C2221="",D2221=""),"",IF(B2221="","Missing contract",IF(C2221="","Missing code",IF(LEFT(G2221,3)="Not","Wrong code",IF(D2221="","Missing qty",IF(A2221="","Missing date",""))))))</f>
        <v/>
      </c>
      <c r="I2221" s="84" t="str">
        <f aca="false">IF(B2221=Dashboard!$D$3,ROW(),"")</f>
        <v/>
      </c>
    </row>
    <row r="2222" customFormat="false" ht="15" hidden="false" customHeight="false" outlineLevel="0" collapsed="false">
      <c r="A2222" s="80"/>
      <c r="B2222" s="71"/>
      <c r="C2222" s="71"/>
      <c r="D2222" s="81"/>
      <c r="E2222" s="71"/>
      <c r="F2222" s="71"/>
      <c r="G2222" s="82" t="str">
        <f aca="false">IF(C2222="","",IFERROR(INDEX('Kit Lists'!$D$6:$D$605,MATCH(B2222&amp;"|"&amp;C2222,'Kit Lists'!$J$6:$J$605,0)),"Not on this contract's kit list"))</f>
        <v/>
      </c>
      <c r="H2222" s="83" t="str">
        <f aca="false">IF(AND(B2222="",C2222="",D2222=""),"",IF(B2222="","Missing contract",IF(C2222="","Missing code",IF(LEFT(G2222,3)="Not","Wrong code",IF(D2222="","Missing qty",IF(A2222="","Missing date",""))))))</f>
        <v/>
      </c>
      <c r="I2222" s="84" t="str">
        <f aca="false">IF(B2222=Dashboard!$D$3,ROW(),"")</f>
        <v/>
      </c>
    </row>
    <row r="2223" customFormat="false" ht="15" hidden="false" customHeight="false" outlineLevel="0" collapsed="false">
      <c r="A2223" s="80"/>
      <c r="B2223" s="71"/>
      <c r="C2223" s="71"/>
      <c r="D2223" s="81"/>
      <c r="E2223" s="71"/>
      <c r="F2223" s="71"/>
      <c r="G2223" s="82" t="str">
        <f aca="false">IF(C2223="","",IFERROR(INDEX('Kit Lists'!$D$6:$D$605,MATCH(B2223&amp;"|"&amp;C2223,'Kit Lists'!$J$6:$J$605,0)),"Not on this contract's kit list"))</f>
        <v/>
      </c>
      <c r="H2223" s="83" t="str">
        <f aca="false">IF(AND(B2223="",C2223="",D2223=""),"",IF(B2223="","Missing contract",IF(C2223="","Missing code",IF(LEFT(G2223,3)="Not","Wrong code",IF(D2223="","Missing qty",IF(A2223="","Missing date",""))))))</f>
        <v/>
      </c>
      <c r="I2223" s="84" t="str">
        <f aca="false">IF(B2223=Dashboard!$D$3,ROW(),"")</f>
        <v/>
      </c>
    </row>
    <row r="2224" customFormat="false" ht="15" hidden="false" customHeight="false" outlineLevel="0" collapsed="false">
      <c r="A2224" s="80"/>
      <c r="B2224" s="71"/>
      <c r="C2224" s="71"/>
      <c r="D2224" s="81"/>
      <c r="E2224" s="71"/>
      <c r="F2224" s="71"/>
      <c r="G2224" s="82" t="str">
        <f aca="false">IF(C2224="","",IFERROR(INDEX('Kit Lists'!$D$6:$D$605,MATCH(B2224&amp;"|"&amp;C2224,'Kit Lists'!$J$6:$J$605,0)),"Not on this contract's kit list"))</f>
        <v/>
      </c>
      <c r="H2224" s="83" t="str">
        <f aca="false">IF(AND(B2224="",C2224="",D2224=""),"",IF(B2224="","Missing contract",IF(C2224="","Missing code",IF(LEFT(G2224,3)="Not","Wrong code",IF(D2224="","Missing qty",IF(A2224="","Missing date",""))))))</f>
        <v/>
      </c>
      <c r="I2224" s="84" t="str">
        <f aca="false">IF(B2224=Dashboard!$D$3,ROW(),"")</f>
        <v/>
      </c>
    </row>
    <row r="2225" customFormat="false" ht="15" hidden="false" customHeight="false" outlineLevel="0" collapsed="false">
      <c r="A2225" s="80"/>
      <c r="B2225" s="71"/>
      <c r="C2225" s="71"/>
      <c r="D2225" s="81"/>
      <c r="E2225" s="71"/>
      <c r="F2225" s="71"/>
      <c r="G2225" s="82" t="str">
        <f aca="false">IF(C2225="","",IFERROR(INDEX('Kit Lists'!$D$6:$D$605,MATCH(B2225&amp;"|"&amp;C2225,'Kit Lists'!$J$6:$J$605,0)),"Not on this contract's kit list"))</f>
        <v/>
      </c>
      <c r="H2225" s="83" t="str">
        <f aca="false">IF(AND(B2225="",C2225="",D2225=""),"",IF(B2225="","Missing contract",IF(C2225="","Missing code",IF(LEFT(G2225,3)="Not","Wrong code",IF(D2225="","Missing qty",IF(A2225="","Missing date",""))))))</f>
        <v/>
      </c>
      <c r="I2225" s="84" t="str">
        <f aca="false">IF(B2225=Dashboard!$D$3,ROW(),"")</f>
        <v/>
      </c>
    </row>
    <row r="2226" customFormat="false" ht="15" hidden="false" customHeight="false" outlineLevel="0" collapsed="false">
      <c r="A2226" s="80"/>
      <c r="B2226" s="71"/>
      <c r="C2226" s="71"/>
      <c r="D2226" s="81"/>
      <c r="E2226" s="71"/>
      <c r="F2226" s="71"/>
      <c r="G2226" s="82" t="str">
        <f aca="false">IF(C2226="","",IFERROR(INDEX('Kit Lists'!$D$6:$D$605,MATCH(B2226&amp;"|"&amp;C2226,'Kit Lists'!$J$6:$J$605,0)),"Not on this contract's kit list"))</f>
        <v/>
      </c>
      <c r="H2226" s="83" t="str">
        <f aca="false">IF(AND(B2226="",C2226="",D2226=""),"",IF(B2226="","Missing contract",IF(C2226="","Missing code",IF(LEFT(G2226,3)="Not","Wrong code",IF(D2226="","Missing qty",IF(A2226="","Missing date",""))))))</f>
        <v/>
      </c>
      <c r="I2226" s="84" t="str">
        <f aca="false">IF(B2226=Dashboard!$D$3,ROW(),"")</f>
        <v/>
      </c>
    </row>
    <row r="2227" customFormat="false" ht="15" hidden="false" customHeight="false" outlineLevel="0" collapsed="false">
      <c r="A2227" s="80"/>
      <c r="B2227" s="71"/>
      <c r="C2227" s="71"/>
      <c r="D2227" s="81"/>
      <c r="E2227" s="71"/>
      <c r="F2227" s="71"/>
      <c r="G2227" s="82" t="str">
        <f aca="false">IF(C2227="","",IFERROR(INDEX('Kit Lists'!$D$6:$D$605,MATCH(B2227&amp;"|"&amp;C2227,'Kit Lists'!$J$6:$J$605,0)),"Not on this contract's kit list"))</f>
        <v/>
      </c>
      <c r="H2227" s="83" t="str">
        <f aca="false">IF(AND(B2227="",C2227="",D2227=""),"",IF(B2227="","Missing contract",IF(C2227="","Missing code",IF(LEFT(G2227,3)="Not","Wrong code",IF(D2227="","Missing qty",IF(A2227="","Missing date",""))))))</f>
        <v/>
      </c>
      <c r="I2227" s="84" t="str">
        <f aca="false">IF(B2227=Dashboard!$D$3,ROW(),"")</f>
        <v/>
      </c>
    </row>
    <row r="2228" customFormat="false" ht="15" hidden="false" customHeight="false" outlineLevel="0" collapsed="false">
      <c r="A2228" s="80"/>
      <c r="B2228" s="71"/>
      <c r="C2228" s="71"/>
      <c r="D2228" s="81"/>
      <c r="E2228" s="71"/>
      <c r="F2228" s="71"/>
      <c r="G2228" s="82" t="str">
        <f aca="false">IF(C2228="","",IFERROR(INDEX('Kit Lists'!$D$6:$D$605,MATCH(B2228&amp;"|"&amp;C2228,'Kit Lists'!$J$6:$J$605,0)),"Not on this contract's kit list"))</f>
        <v/>
      </c>
      <c r="H2228" s="83" t="str">
        <f aca="false">IF(AND(B2228="",C2228="",D2228=""),"",IF(B2228="","Missing contract",IF(C2228="","Missing code",IF(LEFT(G2228,3)="Not","Wrong code",IF(D2228="","Missing qty",IF(A2228="","Missing date",""))))))</f>
        <v/>
      </c>
      <c r="I2228" s="84" t="str">
        <f aca="false">IF(B2228=Dashboard!$D$3,ROW(),"")</f>
        <v/>
      </c>
    </row>
    <row r="2229" customFormat="false" ht="15" hidden="false" customHeight="false" outlineLevel="0" collapsed="false">
      <c r="A2229" s="80"/>
      <c r="B2229" s="71"/>
      <c r="C2229" s="71"/>
      <c r="D2229" s="81"/>
      <c r="E2229" s="71"/>
      <c r="F2229" s="71"/>
      <c r="G2229" s="82" t="str">
        <f aca="false">IF(C2229="","",IFERROR(INDEX('Kit Lists'!$D$6:$D$605,MATCH(B2229&amp;"|"&amp;C2229,'Kit Lists'!$J$6:$J$605,0)),"Not on this contract's kit list"))</f>
        <v/>
      </c>
      <c r="H2229" s="83" t="str">
        <f aca="false">IF(AND(B2229="",C2229="",D2229=""),"",IF(B2229="","Missing contract",IF(C2229="","Missing code",IF(LEFT(G2229,3)="Not","Wrong code",IF(D2229="","Missing qty",IF(A2229="","Missing date",""))))))</f>
        <v/>
      </c>
      <c r="I2229" s="84" t="str">
        <f aca="false">IF(B2229=Dashboard!$D$3,ROW(),"")</f>
        <v/>
      </c>
    </row>
    <row r="2230" customFormat="false" ht="15" hidden="false" customHeight="false" outlineLevel="0" collapsed="false">
      <c r="A2230" s="80"/>
      <c r="B2230" s="71"/>
      <c r="C2230" s="71"/>
      <c r="D2230" s="81"/>
      <c r="E2230" s="71"/>
      <c r="F2230" s="71"/>
      <c r="G2230" s="82" t="str">
        <f aca="false">IF(C2230="","",IFERROR(INDEX('Kit Lists'!$D$6:$D$605,MATCH(B2230&amp;"|"&amp;C2230,'Kit Lists'!$J$6:$J$605,0)),"Not on this contract's kit list"))</f>
        <v/>
      </c>
      <c r="H2230" s="83" t="str">
        <f aca="false">IF(AND(B2230="",C2230="",D2230=""),"",IF(B2230="","Missing contract",IF(C2230="","Missing code",IF(LEFT(G2230,3)="Not","Wrong code",IF(D2230="","Missing qty",IF(A2230="","Missing date",""))))))</f>
        <v/>
      </c>
      <c r="I2230" s="84" t="str">
        <f aca="false">IF(B2230=Dashboard!$D$3,ROW(),"")</f>
        <v/>
      </c>
    </row>
    <row r="2231" customFormat="false" ht="15" hidden="false" customHeight="false" outlineLevel="0" collapsed="false">
      <c r="A2231" s="80"/>
      <c r="B2231" s="71"/>
      <c r="C2231" s="71"/>
      <c r="D2231" s="81"/>
      <c r="E2231" s="71"/>
      <c r="F2231" s="71"/>
      <c r="G2231" s="82" t="str">
        <f aca="false">IF(C2231="","",IFERROR(INDEX('Kit Lists'!$D$6:$D$605,MATCH(B2231&amp;"|"&amp;C2231,'Kit Lists'!$J$6:$J$605,0)),"Not on this contract's kit list"))</f>
        <v/>
      </c>
      <c r="H2231" s="83" t="str">
        <f aca="false">IF(AND(B2231="",C2231="",D2231=""),"",IF(B2231="","Missing contract",IF(C2231="","Missing code",IF(LEFT(G2231,3)="Not","Wrong code",IF(D2231="","Missing qty",IF(A2231="","Missing date",""))))))</f>
        <v/>
      </c>
      <c r="I2231" s="84" t="str">
        <f aca="false">IF(B2231=Dashboard!$D$3,ROW(),"")</f>
        <v/>
      </c>
    </row>
    <row r="2232" customFormat="false" ht="15" hidden="false" customHeight="false" outlineLevel="0" collapsed="false">
      <c r="A2232" s="80"/>
      <c r="B2232" s="71"/>
      <c r="C2232" s="71"/>
      <c r="D2232" s="81"/>
      <c r="E2232" s="71"/>
      <c r="F2232" s="71"/>
      <c r="G2232" s="82" t="str">
        <f aca="false">IF(C2232="","",IFERROR(INDEX('Kit Lists'!$D$6:$D$605,MATCH(B2232&amp;"|"&amp;C2232,'Kit Lists'!$J$6:$J$605,0)),"Not on this contract's kit list"))</f>
        <v/>
      </c>
      <c r="H2232" s="83" t="str">
        <f aca="false">IF(AND(B2232="",C2232="",D2232=""),"",IF(B2232="","Missing contract",IF(C2232="","Missing code",IF(LEFT(G2232,3)="Not","Wrong code",IF(D2232="","Missing qty",IF(A2232="","Missing date",""))))))</f>
        <v/>
      </c>
      <c r="I2232" s="84" t="str">
        <f aca="false">IF(B2232=Dashboard!$D$3,ROW(),"")</f>
        <v/>
      </c>
    </row>
    <row r="2233" customFormat="false" ht="15" hidden="false" customHeight="false" outlineLevel="0" collapsed="false">
      <c r="A2233" s="80"/>
      <c r="B2233" s="71"/>
      <c r="C2233" s="71"/>
      <c r="D2233" s="81"/>
      <c r="E2233" s="71"/>
      <c r="F2233" s="71"/>
      <c r="G2233" s="82" t="str">
        <f aca="false">IF(C2233="","",IFERROR(INDEX('Kit Lists'!$D$6:$D$605,MATCH(B2233&amp;"|"&amp;C2233,'Kit Lists'!$J$6:$J$605,0)),"Not on this contract's kit list"))</f>
        <v/>
      </c>
      <c r="H2233" s="83" t="str">
        <f aca="false">IF(AND(B2233="",C2233="",D2233=""),"",IF(B2233="","Missing contract",IF(C2233="","Missing code",IF(LEFT(G2233,3)="Not","Wrong code",IF(D2233="","Missing qty",IF(A2233="","Missing date",""))))))</f>
        <v/>
      </c>
      <c r="I2233" s="84" t="str">
        <f aca="false">IF(B2233=Dashboard!$D$3,ROW(),"")</f>
        <v/>
      </c>
    </row>
    <row r="2234" customFormat="false" ht="15" hidden="false" customHeight="false" outlineLevel="0" collapsed="false">
      <c r="A2234" s="80"/>
      <c r="B2234" s="71"/>
      <c r="C2234" s="71"/>
      <c r="D2234" s="81"/>
      <c r="E2234" s="71"/>
      <c r="F2234" s="71"/>
      <c r="G2234" s="82" t="str">
        <f aca="false">IF(C2234="","",IFERROR(INDEX('Kit Lists'!$D$6:$D$605,MATCH(B2234&amp;"|"&amp;C2234,'Kit Lists'!$J$6:$J$605,0)),"Not on this contract's kit list"))</f>
        <v/>
      </c>
      <c r="H2234" s="83" t="str">
        <f aca="false">IF(AND(B2234="",C2234="",D2234=""),"",IF(B2234="","Missing contract",IF(C2234="","Missing code",IF(LEFT(G2234,3)="Not","Wrong code",IF(D2234="","Missing qty",IF(A2234="","Missing date",""))))))</f>
        <v/>
      </c>
      <c r="I2234" s="84" t="str">
        <f aca="false">IF(B2234=Dashboard!$D$3,ROW(),"")</f>
        <v/>
      </c>
    </row>
    <row r="2235" customFormat="false" ht="15" hidden="false" customHeight="false" outlineLevel="0" collapsed="false">
      <c r="A2235" s="80"/>
      <c r="B2235" s="71"/>
      <c r="C2235" s="71"/>
      <c r="D2235" s="81"/>
      <c r="E2235" s="71"/>
      <c r="F2235" s="71"/>
      <c r="G2235" s="82" t="str">
        <f aca="false">IF(C2235="","",IFERROR(INDEX('Kit Lists'!$D$6:$D$605,MATCH(B2235&amp;"|"&amp;C2235,'Kit Lists'!$J$6:$J$605,0)),"Not on this contract's kit list"))</f>
        <v/>
      </c>
      <c r="H2235" s="83" t="str">
        <f aca="false">IF(AND(B2235="",C2235="",D2235=""),"",IF(B2235="","Missing contract",IF(C2235="","Missing code",IF(LEFT(G2235,3)="Not","Wrong code",IF(D2235="","Missing qty",IF(A2235="","Missing date",""))))))</f>
        <v/>
      </c>
      <c r="I2235" s="84" t="str">
        <f aca="false">IF(B2235=Dashboard!$D$3,ROW(),"")</f>
        <v/>
      </c>
    </row>
    <row r="2236" customFormat="false" ht="15" hidden="false" customHeight="false" outlineLevel="0" collapsed="false">
      <c r="A2236" s="80"/>
      <c r="B2236" s="71"/>
      <c r="C2236" s="71"/>
      <c r="D2236" s="81"/>
      <c r="E2236" s="71"/>
      <c r="F2236" s="71"/>
      <c r="G2236" s="82" t="str">
        <f aca="false">IF(C2236="","",IFERROR(INDEX('Kit Lists'!$D$6:$D$605,MATCH(B2236&amp;"|"&amp;C2236,'Kit Lists'!$J$6:$J$605,0)),"Not on this contract's kit list"))</f>
        <v/>
      </c>
      <c r="H2236" s="83" t="str">
        <f aca="false">IF(AND(B2236="",C2236="",D2236=""),"",IF(B2236="","Missing contract",IF(C2236="","Missing code",IF(LEFT(G2236,3)="Not","Wrong code",IF(D2236="","Missing qty",IF(A2236="","Missing date",""))))))</f>
        <v/>
      </c>
      <c r="I2236" s="84" t="str">
        <f aca="false">IF(B2236=Dashboard!$D$3,ROW(),"")</f>
        <v/>
      </c>
    </row>
    <row r="2237" customFormat="false" ht="15" hidden="false" customHeight="false" outlineLevel="0" collapsed="false">
      <c r="A2237" s="80"/>
      <c r="B2237" s="71"/>
      <c r="C2237" s="71"/>
      <c r="D2237" s="81"/>
      <c r="E2237" s="71"/>
      <c r="F2237" s="71"/>
      <c r="G2237" s="82" t="str">
        <f aca="false">IF(C2237="","",IFERROR(INDEX('Kit Lists'!$D$6:$D$605,MATCH(B2237&amp;"|"&amp;C2237,'Kit Lists'!$J$6:$J$605,0)),"Not on this contract's kit list"))</f>
        <v/>
      </c>
      <c r="H2237" s="83" t="str">
        <f aca="false">IF(AND(B2237="",C2237="",D2237=""),"",IF(B2237="","Missing contract",IF(C2237="","Missing code",IF(LEFT(G2237,3)="Not","Wrong code",IF(D2237="","Missing qty",IF(A2237="","Missing date",""))))))</f>
        <v/>
      </c>
      <c r="I2237" s="84" t="str">
        <f aca="false">IF(B2237=Dashboard!$D$3,ROW(),"")</f>
        <v/>
      </c>
    </row>
    <row r="2238" customFormat="false" ht="15" hidden="false" customHeight="false" outlineLevel="0" collapsed="false">
      <c r="A2238" s="80"/>
      <c r="B2238" s="71"/>
      <c r="C2238" s="71"/>
      <c r="D2238" s="81"/>
      <c r="E2238" s="71"/>
      <c r="F2238" s="71"/>
      <c r="G2238" s="82" t="str">
        <f aca="false">IF(C2238="","",IFERROR(INDEX('Kit Lists'!$D$6:$D$605,MATCH(B2238&amp;"|"&amp;C2238,'Kit Lists'!$J$6:$J$605,0)),"Not on this contract's kit list"))</f>
        <v/>
      </c>
      <c r="H2238" s="83" t="str">
        <f aca="false">IF(AND(B2238="",C2238="",D2238=""),"",IF(B2238="","Missing contract",IF(C2238="","Missing code",IF(LEFT(G2238,3)="Not","Wrong code",IF(D2238="","Missing qty",IF(A2238="","Missing date",""))))))</f>
        <v/>
      </c>
      <c r="I2238" s="84" t="str">
        <f aca="false">IF(B2238=Dashboard!$D$3,ROW(),"")</f>
        <v/>
      </c>
    </row>
    <row r="2239" customFormat="false" ht="15" hidden="false" customHeight="false" outlineLevel="0" collapsed="false">
      <c r="A2239" s="80"/>
      <c r="B2239" s="71"/>
      <c r="C2239" s="71"/>
      <c r="D2239" s="81"/>
      <c r="E2239" s="71"/>
      <c r="F2239" s="71"/>
      <c r="G2239" s="82" t="str">
        <f aca="false">IF(C2239="","",IFERROR(INDEX('Kit Lists'!$D$6:$D$605,MATCH(B2239&amp;"|"&amp;C2239,'Kit Lists'!$J$6:$J$605,0)),"Not on this contract's kit list"))</f>
        <v/>
      </c>
      <c r="H2239" s="83" t="str">
        <f aca="false">IF(AND(B2239="",C2239="",D2239=""),"",IF(B2239="","Missing contract",IF(C2239="","Missing code",IF(LEFT(G2239,3)="Not","Wrong code",IF(D2239="","Missing qty",IF(A2239="","Missing date",""))))))</f>
        <v/>
      </c>
      <c r="I2239" s="84" t="str">
        <f aca="false">IF(B2239=Dashboard!$D$3,ROW(),"")</f>
        <v/>
      </c>
    </row>
    <row r="2240" customFormat="false" ht="15" hidden="false" customHeight="false" outlineLevel="0" collapsed="false">
      <c r="A2240" s="80"/>
      <c r="B2240" s="71"/>
      <c r="C2240" s="71"/>
      <c r="D2240" s="81"/>
      <c r="E2240" s="71"/>
      <c r="F2240" s="71"/>
      <c r="G2240" s="82" t="str">
        <f aca="false">IF(C2240="","",IFERROR(INDEX('Kit Lists'!$D$6:$D$605,MATCH(B2240&amp;"|"&amp;C2240,'Kit Lists'!$J$6:$J$605,0)),"Not on this contract's kit list"))</f>
        <v/>
      </c>
      <c r="H2240" s="83" t="str">
        <f aca="false">IF(AND(B2240="",C2240="",D2240=""),"",IF(B2240="","Missing contract",IF(C2240="","Missing code",IF(LEFT(G2240,3)="Not","Wrong code",IF(D2240="","Missing qty",IF(A2240="","Missing date",""))))))</f>
        <v/>
      </c>
      <c r="I2240" s="84" t="str">
        <f aca="false">IF(B2240=Dashboard!$D$3,ROW(),"")</f>
        <v/>
      </c>
    </row>
    <row r="2241" customFormat="false" ht="15" hidden="false" customHeight="false" outlineLevel="0" collapsed="false">
      <c r="A2241" s="80"/>
      <c r="B2241" s="71"/>
      <c r="C2241" s="71"/>
      <c r="D2241" s="81"/>
      <c r="E2241" s="71"/>
      <c r="F2241" s="71"/>
      <c r="G2241" s="82" t="str">
        <f aca="false">IF(C2241="","",IFERROR(INDEX('Kit Lists'!$D$6:$D$605,MATCH(B2241&amp;"|"&amp;C2241,'Kit Lists'!$J$6:$J$605,0)),"Not on this contract's kit list"))</f>
        <v/>
      </c>
      <c r="H2241" s="83" t="str">
        <f aca="false">IF(AND(B2241="",C2241="",D2241=""),"",IF(B2241="","Missing contract",IF(C2241="","Missing code",IF(LEFT(G2241,3)="Not","Wrong code",IF(D2241="","Missing qty",IF(A2241="","Missing date",""))))))</f>
        <v/>
      </c>
      <c r="I2241" s="84" t="str">
        <f aca="false">IF(B2241=Dashboard!$D$3,ROW(),"")</f>
        <v/>
      </c>
    </row>
    <row r="2242" customFormat="false" ht="15" hidden="false" customHeight="false" outlineLevel="0" collapsed="false">
      <c r="A2242" s="80"/>
      <c r="B2242" s="71"/>
      <c r="C2242" s="71"/>
      <c r="D2242" s="81"/>
      <c r="E2242" s="71"/>
      <c r="F2242" s="71"/>
      <c r="G2242" s="82" t="str">
        <f aca="false">IF(C2242="","",IFERROR(INDEX('Kit Lists'!$D$6:$D$605,MATCH(B2242&amp;"|"&amp;C2242,'Kit Lists'!$J$6:$J$605,0)),"Not on this contract's kit list"))</f>
        <v/>
      </c>
      <c r="H2242" s="83" t="str">
        <f aca="false">IF(AND(B2242="",C2242="",D2242=""),"",IF(B2242="","Missing contract",IF(C2242="","Missing code",IF(LEFT(G2242,3)="Not","Wrong code",IF(D2242="","Missing qty",IF(A2242="","Missing date",""))))))</f>
        <v/>
      </c>
      <c r="I2242" s="84" t="str">
        <f aca="false">IF(B2242=Dashboard!$D$3,ROW(),"")</f>
        <v/>
      </c>
    </row>
    <row r="2243" customFormat="false" ht="15" hidden="false" customHeight="false" outlineLevel="0" collapsed="false">
      <c r="A2243" s="80"/>
      <c r="B2243" s="71"/>
      <c r="C2243" s="71"/>
      <c r="D2243" s="81"/>
      <c r="E2243" s="71"/>
      <c r="F2243" s="71"/>
      <c r="G2243" s="82" t="str">
        <f aca="false">IF(C2243="","",IFERROR(INDEX('Kit Lists'!$D$6:$D$605,MATCH(B2243&amp;"|"&amp;C2243,'Kit Lists'!$J$6:$J$605,0)),"Not on this contract's kit list"))</f>
        <v/>
      </c>
      <c r="H2243" s="83" t="str">
        <f aca="false">IF(AND(B2243="",C2243="",D2243=""),"",IF(B2243="","Missing contract",IF(C2243="","Missing code",IF(LEFT(G2243,3)="Not","Wrong code",IF(D2243="","Missing qty",IF(A2243="","Missing date",""))))))</f>
        <v/>
      </c>
      <c r="I2243" s="84" t="str">
        <f aca="false">IF(B2243=Dashboard!$D$3,ROW(),"")</f>
        <v/>
      </c>
    </row>
    <row r="2244" customFormat="false" ht="15" hidden="false" customHeight="false" outlineLevel="0" collapsed="false">
      <c r="A2244" s="80"/>
      <c r="B2244" s="71"/>
      <c r="C2244" s="71"/>
      <c r="D2244" s="81"/>
      <c r="E2244" s="71"/>
      <c r="F2244" s="71"/>
      <c r="G2244" s="82" t="str">
        <f aca="false">IF(C2244="","",IFERROR(INDEX('Kit Lists'!$D$6:$D$605,MATCH(B2244&amp;"|"&amp;C2244,'Kit Lists'!$J$6:$J$605,0)),"Not on this contract's kit list"))</f>
        <v/>
      </c>
      <c r="H2244" s="83" t="str">
        <f aca="false">IF(AND(B2244="",C2244="",D2244=""),"",IF(B2244="","Missing contract",IF(C2244="","Missing code",IF(LEFT(G2244,3)="Not","Wrong code",IF(D2244="","Missing qty",IF(A2244="","Missing date",""))))))</f>
        <v/>
      </c>
      <c r="I2244" s="84" t="str">
        <f aca="false">IF(B2244=Dashboard!$D$3,ROW(),"")</f>
        <v/>
      </c>
    </row>
    <row r="2245" customFormat="false" ht="15" hidden="false" customHeight="false" outlineLevel="0" collapsed="false">
      <c r="A2245" s="80"/>
      <c r="B2245" s="71"/>
      <c r="C2245" s="71"/>
      <c r="D2245" s="81"/>
      <c r="E2245" s="71"/>
      <c r="F2245" s="71"/>
      <c r="G2245" s="82" t="str">
        <f aca="false">IF(C2245="","",IFERROR(INDEX('Kit Lists'!$D$6:$D$605,MATCH(B2245&amp;"|"&amp;C2245,'Kit Lists'!$J$6:$J$605,0)),"Not on this contract's kit list"))</f>
        <v/>
      </c>
      <c r="H2245" s="83" t="str">
        <f aca="false">IF(AND(B2245="",C2245="",D2245=""),"",IF(B2245="","Missing contract",IF(C2245="","Missing code",IF(LEFT(G2245,3)="Not","Wrong code",IF(D2245="","Missing qty",IF(A2245="","Missing date",""))))))</f>
        <v/>
      </c>
      <c r="I2245" s="84" t="str">
        <f aca="false">IF(B2245=Dashboard!$D$3,ROW(),"")</f>
        <v/>
      </c>
    </row>
    <row r="2246" customFormat="false" ht="15" hidden="false" customHeight="false" outlineLevel="0" collapsed="false">
      <c r="A2246" s="80"/>
      <c r="B2246" s="71"/>
      <c r="C2246" s="71"/>
      <c r="D2246" s="81"/>
      <c r="E2246" s="71"/>
      <c r="F2246" s="71"/>
      <c r="G2246" s="82" t="str">
        <f aca="false">IF(C2246="","",IFERROR(INDEX('Kit Lists'!$D$6:$D$605,MATCH(B2246&amp;"|"&amp;C2246,'Kit Lists'!$J$6:$J$605,0)),"Not on this contract's kit list"))</f>
        <v/>
      </c>
      <c r="H2246" s="83" t="str">
        <f aca="false">IF(AND(B2246="",C2246="",D2246=""),"",IF(B2246="","Missing contract",IF(C2246="","Missing code",IF(LEFT(G2246,3)="Not","Wrong code",IF(D2246="","Missing qty",IF(A2246="","Missing date",""))))))</f>
        <v/>
      </c>
      <c r="I2246" s="84" t="str">
        <f aca="false">IF(B2246=Dashboard!$D$3,ROW(),"")</f>
        <v/>
      </c>
    </row>
    <row r="2247" customFormat="false" ht="15" hidden="false" customHeight="false" outlineLevel="0" collapsed="false">
      <c r="A2247" s="80"/>
      <c r="B2247" s="71"/>
      <c r="C2247" s="71"/>
      <c r="D2247" s="81"/>
      <c r="E2247" s="71"/>
      <c r="F2247" s="71"/>
      <c r="G2247" s="82" t="str">
        <f aca="false">IF(C2247="","",IFERROR(INDEX('Kit Lists'!$D$6:$D$605,MATCH(B2247&amp;"|"&amp;C2247,'Kit Lists'!$J$6:$J$605,0)),"Not on this contract's kit list"))</f>
        <v/>
      </c>
      <c r="H2247" s="83" t="str">
        <f aca="false">IF(AND(B2247="",C2247="",D2247=""),"",IF(B2247="","Missing contract",IF(C2247="","Missing code",IF(LEFT(G2247,3)="Not","Wrong code",IF(D2247="","Missing qty",IF(A2247="","Missing date",""))))))</f>
        <v/>
      </c>
      <c r="I2247" s="84" t="str">
        <f aca="false">IF(B2247=Dashboard!$D$3,ROW(),"")</f>
        <v/>
      </c>
    </row>
    <row r="2248" customFormat="false" ht="15" hidden="false" customHeight="false" outlineLevel="0" collapsed="false">
      <c r="A2248" s="80"/>
      <c r="B2248" s="71"/>
      <c r="C2248" s="71"/>
      <c r="D2248" s="81"/>
      <c r="E2248" s="71"/>
      <c r="F2248" s="71"/>
      <c r="G2248" s="82" t="str">
        <f aca="false">IF(C2248="","",IFERROR(INDEX('Kit Lists'!$D$6:$D$605,MATCH(B2248&amp;"|"&amp;C2248,'Kit Lists'!$J$6:$J$605,0)),"Not on this contract's kit list"))</f>
        <v/>
      </c>
      <c r="H2248" s="83" t="str">
        <f aca="false">IF(AND(B2248="",C2248="",D2248=""),"",IF(B2248="","Missing contract",IF(C2248="","Missing code",IF(LEFT(G2248,3)="Not","Wrong code",IF(D2248="","Missing qty",IF(A2248="","Missing date",""))))))</f>
        <v/>
      </c>
      <c r="I2248" s="84" t="str">
        <f aca="false">IF(B2248=Dashboard!$D$3,ROW(),"")</f>
        <v/>
      </c>
    </row>
    <row r="2249" customFormat="false" ht="15" hidden="false" customHeight="false" outlineLevel="0" collapsed="false">
      <c r="A2249" s="80"/>
      <c r="B2249" s="71"/>
      <c r="C2249" s="71"/>
      <c r="D2249" s="81"/>
      <c r="E2249" s="71"/>
      <c r="F2249" s="71"/>
      <c r="G2249" s="82" t="str">
        <f aca="false">IF(C2249="","",IFERROR(INDEX('Kit Lists'!$D$6:$D$605,MATCH(B2249&amp;"|"&amp;C2249,'Kit Lists'!$J$6:$J$605,0)),"Not on this contract's kit list"))</f>
        <v/>
      </c>
      <c r="H2249" s="83" t="str">
        <f aca="false">IF(AND(B2249="",C2249="",D2249=""),"",IF(B2249="","Missing contract",IF(C2249="","Missing code",IF(LEFT(G2249,3)="Not","Wrong code",IF(D2249="","Missing qty",IF(A2249="","Missing date",""))))))</f>
        <v/>
      </c>
      <c r="I2249" s="84" t="str">
        <f aca="false">IF(B2249=Dashboard!$D$3,ROW(),"")</f>
        <v/>
      </c>
    </row>
    <row r="2250" customFormat="false" ht="15" hidden="false" customHeight="false" outlineLevel="0" collapsed="false">
      <c r="A2250" s="80"/>
      <c r="B2250" s="71"/>
      <c r="C2250" s="71"/>
      <c r="D2250" s="81"/>
      <c r="E2250" s="71"/>
      <c r="F2250" s="71"/>
      <c r="G2250" s="82" t="str">
        <f aca="false">IF(C2250="","",IFERROR(INDEX('Kit Lists'!$D$6:$D$605,MATCH(B2250&amp;"|"&amp;C2250,'Kit Lists'!$J$6:$J$605,0)),"Not on this contract's kit list"))</f>
        <v/>
      </c>
      <c r="H2250" s="83" t="str">
        <f aca="false">IF(AND(B2250="",C2250="",D2250=""),"",IF(B2250="","Missing contract",IF(C2250="","Missing code",IF(LEFT(G2250,3)="Not","Wrong code",IF(D2250="","Missing qty",IF(A2250="","Missing date",""))))))</f>
        <v/>
      </c>
      <c r="I2250" s="84" t="str">
        <f aca="false">IF(B2250=Dashboard!$D$3,ROW(),"")</f>
        <v/>
      </c>
    </row>
    <row r="2251" customFormat="false" ht="15" hidden="false" customHeight="false" outlineLevel="0" collapsed="false">
      <c r="A2251" s="80"/>
      <c r="B2251" s="71"/>
      <c r="C2251" s="71"/>
      <c r="D2251" s="81"/>
      <c r="E2251" s="71"/>
      <c r="F2251" s="71"/>
      <c r="G2251" s="82" t="str">
        <f aca="false">IF(C2251="","",IFERROR(INDEX('Kit Lists'!$D$6:$D$605,MATCH(B2251&amp;"|"&amp;C2251,'Kit Lists'!$J$6:$J$605,0)),"Not on this contract's kit list"))</f>
        <v/>
      </c>
      <c r="H2251" s="83" t="str">
        <f aca="false">IF(AND(B2251="",C2251="",D2251=""),"",IF(B2251="","Missing contract",IF(C2251="","Missing code",IF(LEFT(G2251,3)="Not","Wrong code",IF(D2251="","Missing qty",IF(A2251="","Missing date",""))))))</f>
        <v/>
      </c>
      <c r="I2251" s="84" t="str">
        <f aca="false">IF(B2251=Dashboard!$D$3,ROW(),"")</f>
        <v/>
      </c>
    </row>
    <row r="2252" customFormat="false" ht="15" hidden="false" customHeight="false" outlineLevel="0" collapsed="false">
      <c r="A2252" s="80"/>
      <c r="B2252" s="71"/>
      <c r="C2252" s="71"/>
      <c r="D2252" s="81"/>
      <c r="E2252" s="71"/>
      <c r="F2252" s="71"/>
      <c r="G2252" s="82" t="str">
        <f aca="false">IF(C2252="","",IFERROR(INDEX('Kit Lists'!$D$6:$D$605,MATCH(B2252&amp;"|"&amp;C2252,'Kit Lists'!$J$6:$J$605,0)),"Not on this contract's kit list"))</f>
        <v/>
      </c>
      <c r="H2252" s="83" t="str">
        <f aca="false">IF(AND(B2252="",C2252="",D2252=""),"",IF(B2252="","Missing contract",IF(C2252="","Missing code",IF(LEFT(G2252,3)="Not","Wrong code",IF(D2252="","Missing qty",IF(A2252="","Missing date",""))))))</f>
        <v/>
      </c>
      <c r="I2252" s="84" t="str">
        <f aca="false">IF(B2252=Dashboard!$D$3,ROW(),"")</f>
        <v/>
      </c>
    </row>
    <row r="2253" customFormat="false" ht="15" hidden="false" customHeight="false" outlineLevel="0" collapsed="false">
      <c r="A2253" s="80"/>
      <c r="B2253" s="71"/>
      <c r="C2253" s="71"/>
      <c r="D2253" s="81"/>
      <c r="E2253" s="71"/>
      <c r="F2253" s="71"/>
      <c r="G2253" s="82" t="str">
        <f aca="false">IF(C2253="","",IFERROR(INDEX('Kit Lists'!$D$6:$D$605,MATCH(B2253&amp;"|"&amp;C2253,'Kit Lists'!$J$6:$J$605,0)),"Not on this contract's kit list"))</f>
        <v/>
      </c>
      <c r="H2253" s="83" t="str">
        <f aca="false">IF(AND(B2253="",C2253="",D2253=""),"",IF(B2253="","Missing contract",IF(C2253="","Missing code",IF(LEFT(G2253,3)="Not","Wrong code",IF(D2253="","Missing qty",IF(A2253="","Missing date",""))))))</f>
        <v/>
      </c>
      <c r="I2253" s="84" t="str">
        <f aca="false">IF(B2253=Dashboard!$D$3,ROW(),"")</f>
        <v/>
      </c>
    </row>
    <row r="2254" customFormat="false" ht="15" hidden="false" customHeight="false" outlineLevel="0" collapsed="false">
      <c r="A2254" s="80"/>
      <c r="B2254" s="71"/>
      <c r="C2254" s="71"/>
      <c r="D2254" s="81"/>
      <c r="E2254" s="71"/>
      <c r="F2254" s="71"/>
      <c r="G2254" s="82" t="str">
        <f aca="false">IF(C2254="","",IFERROR(INDEX('Kit Lists'!$D$6:$D$605,MATCH(B2254&amp;"|"&amp;C2254,'Kit Lists'!$J$6:$J$605,0)),"Not on this contract's kit list"))</f>
        <v/>
      </c>
      <c r="H2254" s="83" t="str">
        <f aca="false">IF(AND(B2254="",C2254="",D2254=""),"",IF(B2254="","Missing contract",IF(C2254="","Missing code",IF(LEFT(G2254,3)="Not","Wrong code",IF(D2254="","Missing qty",IF(A2254="","Missing date",""))))))</f>
        <v/>
      </c>
      <c r="I2254" s="84" t="str">
        <f aca="false">IF(B2254=Dashboard!$D$3,ROW(),"")</f>
        <v/>
      </c>
    </row>
    <row r="2255" customFormat="false" ht="15" hidden="false" customHeight="false" outlineLevel="0" collapsed="false">
      <c r="A2255" s="80"/>
      <c r="B2255" s="71"/>
      <c r="C2255" s="71"/>
      <c r="D2255" s="81"/>
      <c r="E2255" s="71"/>
      <c r="F2255" s="71"/>
      <c r="G2255" s="82" t="str">
        <f aca="false">IF(C2255="","",IFERROR(INDEX('Kit Lists'!$D$6:$D$605,MATCH(B2255&amp;"|"&amp;C2255,'Kit Lists'!$J$6:$J$605,0)),"Not on this contract's kit list"))</f>
        <v/>
      </c>
      <c r="H2255" s="83" t="str">
        <f aca="false">IF(AND(B2255="",C2255="",D2255=""),"",IF(B2255="","Missing contract",IF(C2255="","Missing code",IF(LEFT(G2255,3)="Not","Wrong code",IF(D2255="","Missing qty",IF(A2255="","Missing date",""))))))</f>
        <v/>
      </c>
      <c r="I2255" s="84" t="str">
        <f aca="false">IF(B2255=Dashboard!$D$3,ROW(),"")</f>
        <v/>
      </c>
    </row>
    <row r="2256" customFormat="false" ht="15" hidden="false" customHeight="false" outlineLevel="0" collapsed="false">
      <c r="A2256" s="80"/>
      <c r="B2256" s="71"/>
      <c r="C2256" s="71"/>
      <c r="D2256" s="81"/>
      <c r="E2256" s="71"/>
      <c r="F2256" s="71"/>
      <c r="G2256" s="82" t="str">
        <f aca="false">IF(C2256="","",IFERROR(INDEX('Kit Lists'!$D$6:$D$605,MATCH(B2256&amp;"|"&amp;C2256,'Kit Lists'!$J$6:$J$605,0)),"Not on this contract's kit list"))</f>
        <v/>
      </c>
      <c r="H2256" s="83" t="str">
        <f aca="false">IF(AND(B2256="",C2256="",D2256=""),"",IF(B2256="","Missing contract",IF(C2256="","Missing code",IF(LEFT(G2256,3)="Not","Wrong code",IF(D2256="","Missing qty",IF(A2256="","Missing date",""))))))</f>
        <v/>
      </c>
      <c r="I2256" s="84" t="str">
        <f aca="false">IF(B2256=Dashboard!$D$3,ROW(),"")</f>
        <v/>
      </c>
    </row>
    <row r="2257" customFormat="false" ht="15" hidden="false" customHeight="false" outlineLevel="0" collapsed="false">
      <c r="A2257" s="80"/>
      <c r="B2257" s="71"/>
      <c r="C2257" s="71"/>
      <c r="D2257" s="81"/>
      <c r="E2257" s="71"/>
      <c r="F2257" s="71"/>
      <c r="G2257" s="82" t="str">
        <f aca="false">IF(C2257="","",IFERROR(INDEX('Kit Lists'!$D$6:$D$605,MATCH(B2257&amp;"|"&amp;C2257,'Kit Lists'!$J$6:$J$605,0)),"Not on this contract's kit list"))</f>
        <v/>
      </c>
      <c r="H2257" s="83" t="str">
        <f aca="false">IF(AND(B2257="",C2257="",D2257=""),"",IF(B2257="","Missing contract",IF(C2257="","Missing code",IF(LEFT(G2257,3)="Not","Wrong code",IF(D2257="","Missing qty",IF(A2257="","Missing date",""))))))</f>
        <v/>
      </c>
      <c r="I2257" s="84" t="str">
        <f aca="false">IF(B2257=Dashboard!$D$3,ROW(),"")</f>
        <v/>
      </c>
    </row>
    <row r="2258" customFormat="false" ht="15" hidden="false" customHeight="false" outlineLevel="0" collapsed="false">
      <c r="A2258" s="80"/>
      <c r="B2258" s="71"/>
      <c r="C2258" s="71"/>
      <c r="D2258" s="81"/>
      <c r="E2258" s="71"/>
      <c r="F2258" s="71"/>
      <c r="G2258" s="82" t="str">
        <f aca="false">IF(C2258="","",IFERROR(INDEX('Kit Lists'!$D$6:$D$605,MATCH(B2258&amp;"|"&amp;C2258,'Kit Lists'!$J$6:$J$605,0)),"Not on this contract's kit list"))</f>
        <v/>
      </c>
      <c r="H2258" s="83" t="str">
        <f aca="false">IF(AND(B2258="",C2258="",D2258=""),"",IF(B2258="","Missing contract",IF(C2258="","Missing code",IF(LEFT(G2258,3)="Not","Wrong code",IF(D2258="","Missing qty",IF(A2258="","Missing date",""))))))</f>
        <v/>
      </c>
      <c r="I2258" s="84" t="str">
        <f aca="false">IF(B2258=Dashboard!$D$3,ROW(),"")</f>
        <v/>
      </c>
    </row>
    <row r="2259" customFormat="false" ht="15" hidden="false" customHeight="false" outlineLevel="0" collapsed="false">
      <c r="A2259" s="80"/>
      <c r="B2259" s="71"/>
      <c r="C2259" s="71"/>
      <c r="D2259" s="81"/>
      <c r="E2259" s="71"/>
      <c r="F2259" s="71"/>
      <c r="G2259" s="82" t="str">
        <f aca="false">IF(C2259="","",IFERROR(INDEX('Kit Lists'!$D$6:$D$605,MATCH(B2259&amp;"|"&amp;C2259,'Kit Lists'!$J$6:$J$605,0)),"Not on this contract's kit list"))</f>
        <v/>
      </c>
      <c r="H2259" s="83" t="str">
        <f aca="false">IF(AND(B2259="",C2259="",D2259=""),"",IF(B2259="","Missing contract",IF(C2259="","Missing code",IF(LEFT(G2259,3)="Not","Wrong code",IF(D2259="","Missing qty",IF(A2259="","Missing date",""))))))</f>
        <v/>
      </c>
      <c r="I2259" s="84" t="str">
        <f aca="false">IF(B2259=Dashboard!$D$3,ROW(),"")</f>
        <v/>
      </c>
    </row>
    <row r="2260" customFormat="false" ht="15" hidden="false" customHeight="false" outlineLevel="0" collapsed="false">
      <c r="A2260" s="80"/>
      <c r="B2260" s="71"/>
      <c r="C2260" s="71"/>
      <c r="D2260" s="81"/>
      <c r="E2260" s="71"/>
      <c r="F2260" s="71"/>
      <c r="G2260" s="82" t="str">
        <f aca="false">IF(C2260="","",IFERROR(INDEX('Kit Lists'!$D$6:$D$605,MATCH(B2260&amp;"|"&amp;C2260,'Kit Lists'!$J$6:$J$605,0)),"Not on this contract's kit list"))</f>
        <v/>
      </c>
      <c r="H2260" s="83" t="str">
        <f aca="false">IF(AND(B2260="",C2260="",D2260=""),"",IF(B2260="","Missing contract",IF(C2260="","Missing code",IF(LEFT(G2260,3)="Not","Wrong code",IF(D2260="","Missing qty",IF(A2260="","Missing date",""))))))</f>
        <v/>
      </c>
      <c r="I2260" s="84" t="str">
        <f aca="false">IF(B2260=Dashboard!$D$3,ROW(),"")</f>
        <v/>
      </c>
    </row>
    <row r="2261" customFormat="false" ht="15" hidden="false" customHeight="false" outlineLevel="0" collapsed="false">
      <c r="A2261" s="80"/>
      <c r="B2261" s="71"/>
      <c r="C2261" s="71"/>
      <c r="D2261" s="81"/>
      <c r="E2261" s="71"/>
      <c r="F2261" s="71"/>
      <c r="G2261" s="82" t="str">
        <f aca="false">IF(C2261="","",IFERROR(INDEX('Kit Lists'!$D$6:$D$605,MATCH(B2261&amp;"|"&amp;C2261,'Kit Lists'!$J$6:$J$605,0)),"Not on this contract's kit list"))</f>
        <v/>
      </c>
      <c r="H2261" s="83" t="str">
        <f aca="false">IF(AND(B2261="",C2261="",D2261=""),"",IF(B2261="","Missing contract",IF(C2261="","Missing code",IF(LEFT(G2261,3)="Not","Wrong code",IF(D2261="","Missing qty",IF(A2261="","Missing date",""))))))</f>
        <v/>
      </c>
      <c r="I2261" s="84" t="str">
        <f aca="false">IF(B2261=Dashboard!$D$3,ROW(),"")</f>
        <v/>
      </c>
    </row>
    <row r="2262" customFormat="false" ht="15" hidden="false" customHeight="false" outlineLevel="0" collapsed="false">
      <c r="A2262" s="80"/>
      <c r="B2262" s="71"/>
      <c r="C2262" s="71"/>
      <c r="D2262" s="81"/>
      <c r="E2262" s="71"/>
      <c r="F2262" s="71"/>
      <c r="G2262" s="82" t="str">
        <f aca="false">IF(C2262="","",IFERROR(INDEX('Kit Lists'!$D$6:$D$605,MATCH(B2262&amp;"|"&amp;C2262,'Kit Lists'!$J$6:$J$605,0)),"Not on this contract's kit list"))</f>
        <v/>
      </c>
      <c r="H2262" s="83" t="str">
        <f aca="false">IF(AND(B2262="",C2262="",D2262=""),"",IF(B2262="","Missing contract",IF(C2262="","Missing code",IF(LEFT(G2262,3)="Not","Wrong code",IF(D2262="","Missing qty",IF(A2262="","Missing date",""))))))</f>
        <v/>
      </c>
      <c r="I2262" s="84" t="str">
        <f aca="false">IF(B2262=Dashboard!$D$3,ROW(),"")</f>
        <v/>
      </c>
    </row>
    <row r="2263" customFormat="false" ht="15" hidden="false" customHeight="false" outlineLevel="0" collapsed="false">
      <c r="A2263" s="80"/>
      <c r="B2263" s="71"/>
      <c r="C2263" s="71"/>
      <c r="D2263" s="81"/>
      <c r="E2263" s="71"/>
      <c r="F2263" s="71"/>
      <c r="G2263" s="82" t="str">
        <f aca="false">IF(C2263="","",IFERROR(INDEX('Kit Lists'!$D$6:$D$605,MATCH(B2263&amp;"|"&amp;C2263,'Kit Lists'!$J$6:$J$605,0)),"Not on this contract's kit list"))</f>
        <v/>
      </c>
      <c r="H2263" s="83" t="str">
        <f aca="false">IF(AND(B2263="",C2263="",D2263=""),"",IF(B2263="","Missing contract",IF(C2263="","Missing code",IF(LEFT(G2263,3)="Not","Wrong code",IF(D2263="","Missing qty",IF(A2263="","Missing date",""))))))</f>
        <v/>
      </c>
      <c r="I2263" s="84" t="str">
        <f aca="false">IF(B2263=Dashboard!$D$3,ROW(),"")</f>
        <v/>
      </c>
    </row>
    <row r="2264" customFormat="false" ht="15" hidden="false" customHeight="false" outlineLevel="0" collapsed="false">
      <c r="A2264" s="80"/>
      <c r="B2264" s="71"/>
      <c r="C2264" s="71"/>
      <c r="D2264" s="81"/>
      <c r="E2264" s="71"/>
      <c r="F2264" s="71"/>
      <c r="G2264" s="82" t="str">
        <f aca="false">IF(C2264="","",IFERROR(INDEX('Kit Lists'!$D$6:$D$605,MATCH(B2264&amp;"|"&amp;C2264,'Kit Lists'!$J$6:$J$605,0)),"Not on this contract's kit list"))</f>
        <v/>
      </c>
      <c r="H2264" s="83" t="str">
        <f aca="false">IF(AND(B2264="",C2264="",D2264=""),"",IF(B2264="","Missing contract",IF(C2264="","Missing code",IF(LEFT(G2264,3)="Not","Wrong code",IF(D2264="","Missing qty",IF(A2264="","Missing date",""))))))</f>
        <v/>
      </c>
      <c r="I2264" s="84" t="str">
        <f aca="false">IF(B2264=Dashboard!$D$3,ROW(),"")</f>
        <v/>
      </c>
    </row>
    <row r="2265" customFormat="false" ht="15" hidden="false" customHeight="false" outlineLevel="0" collapsed="false">
      <c r="A2265" s="80"/>
      <c r="B2265" s="71"/>
      <c r="C2265" s="71"/>
      <c r="D2265" s="81"/>
      <c r="E2265" s="71"/>
      <c r="F2265" s="71"/>
      <c r="G2265" s="82" t="str">
        <f aca="false">IF(C2265="","",IFERROR(INDEX('Kit Lists'!$D$6:$D$605,MATCH(B2265&amp;"|"&amp;C2265,'Kit Lists'!$J$6:$J$605,0)),"Not on this contract's kit list"))</f>
        <v/>
      </c>
      <c r="H2265" s="83" t="str">
        <f aca="false">IF(AND(B2265="",C2265="",D2265=""),"",IF(B2265="","Missing contract",IF(C2265="","Missing code",IF(LEFT(G2265,3)="Not","Wrong code",IF(D2265="","Missing qty",IF(A2265="","Missing date",""))))))</f>
        <v/>
      </c>
      <c r="I2265" s="84" t="str">
        <f aca="false">IF(B2265=Dashboard!$D$3,ROW(),"")</f>
        <v/>
      </c>
    </row>
    <row r="2266" customFormat="false" ht="15" hidden="false" customHeight="false" outlineLevel="0" collapsed="false">
      <c r="A2266" s="80"/>
      <c r="B2266" s="71"/>
      <c r="C2266" s="71"/>
      <c r="D2266" s="81"/>
      <c r="E2266" s="71"/>
      <c r="F2266" s="71"/>
      <c r="G2266" s="82" t="str">
        <f aca="false">IF(C2266="","",IFERROR(INDEX('Kit Lists'!$D$6:$D$605,MATCH(B2266&amp;"|"&amp;C2266,'Kit Lists'!$J$6:$J$605,0)),"Not on this contract's kit list"))</f>
        <v/>
      </c>
      <c r="H2266" s="83" t="str">
        <f aca="false">IF(AND(B2266="",C2266="",D2266=""),"",IF(B2266="","Missing contract",IF(C2266="","Missing code",IF(LEFT(G2266,3)="Not","Wrong code",IF(D2266="","Missing qty",IF(A2266="","Missing date",""))))))</f>
        <v/>
      </c>
      <c r="I2266" s="84" t="str">
        <f aca="false">IF(B2266=Dashboard!$D$3,ROW(),"")</f>
        <v/>
      </c>
    </row>
    <row r="2267" customFormat="false" ht="15" hidden="false" customHeight="false" outlineLevel="0" collapsed="false">
      <c r="A2267" s="80"/>
      <c r="B2267" s="71"/>
      <c r="C2267" s="71"/>
      <c r="D2267" s="81"/>
      <c r="E2267" s="71"/>
      <c r="F2267" s="71"/>
      <c r="G2267" s="82" t="str">
        <f aca="false">IF(C2267="","",IFERROR(INDEX('Kit Lists'!$D$6:$D$605,MATCH(B2267&amp;"|"&amp;C2267,'Kit Lists'!$J$6:$J$605,0)),"Not on this contract's kit list"))</f>
        <v/>
      </c>
      <c r="H2267" s="83" t="str">
        <f aca="false">IF(AND(B2267="",C2267="",D2267=""),"",IF(B2267="","Missing contract",IF(C2267="","Missing code",IF(LEFT(G2267,3)="Not","Wrong code",IF(D2267="","Missing qty",IF(A2267="","Missing date",""))))))</f>
        <v/>
      </c>
      <c r="I2267" s="84" t="str">
        <f aca="false">IF(B2267=Dashboard!$D$3,ROW(),"")</f>
        <v/>
      </c>
    </row>
    <row r="2268" customFormat="false" ht="15" hidden="false" customHeight="false" outlineLevel="0" collapsed="false">
      <c r="A2268" s="80"/>
      <c r="B2268" s="71"/>
      <c r="C2268" s="71"/>
      <c r="D2268" s="81"/>
      <c r="E2268" s="71"/>
      <c r="F2268" s="71"/>
      <c r="G2268" s="82" t="str">
        <f aca="false">IF(C2268="","",IFERROR(INDEX('Kit Lists'!$D$6:$D$605,MATCH(B2268&amp;"|"&amp;C2268,'Kit Lists'!$J$6:$J$605,0)),"Not on this contract's kit list"))</f>
        <v/>
      </c>
      <c r="H2268" s="83" t="str">
        <f aca="false">IF(AND(B2268="",C2268="",D2268=""),"",IF(B2268="","Missing contract",IF(C2268="","Missing code",IF(LEFT(G2268,3)="Not","Wrong code",IF(D2268="","Missing qty",IF(A2268="","Missing date",""))))))</f>
        <v/>
      </c>
      <c r="I2268" s="84" t="str">
        <f aca="false">IF(B2268=Dashboard!$D$3,ROW(),"")</f>
        <v/>
      </c>
    </row>
    <row r="2269" customFormat="false" ht="15" hidden="false" customHeight="false" outlineLevel="0" collapsed="false">
      <c r="A2269" s="80"/>
      <c r="B2269" s="71"/>
      <c r="C2269" s="71"/>
      <c r="D2269" s="81"/>
      <c r="E2269" s="71"/>
      <c r="F2269" s="71"/>
      <c r="G2269" s="82" t="str">
        <f aca="false">IF(C2269="","",IFERROR(INDEX('Kit Lists'!$D$6:$D$605,MATCH(B2269&amp;"|"&amp;C2269,'Kit Lists'!$J$6:$J$605,0)),"Not on this contract's kit list"))</f>
        <v/>
      </c>
      <c r="H2269" s="83" t="str">
        <f aca="false">IF(AND(B2269="",C2269="",D2269=""),"",IF(B2269="","Missing contract",IF(C2269="","Missing code",IF(LEFT(G2269,3)="Not","Wrong code",IF(D2269="","Missing qty",IF(A2269="","Missing date",""))))))</f>
        <v/>
      </c>
      <c r="I2269" s="84" t="str">
        <f aca="false">IF(B2269=Dashboard!$D$3,ROW(),"")</f>
        <v/>
      </c>
    </row>
    <row r="2270" customFormat="false" ht="15" hidden="false" customHeight="false" outlineLevel="0" collapsed="false">
      <c r="A2270" s="80"/>
      <c r="B2270" s="71"/>
      <c r="C2270" s="71"/>
      <c r="D2270" s="81"/>
      <c r="E2270" s="71"/>
      <c r="F2270" s="71"/>
      <c r="G2270" s="82" t="str">
        <f aca="false">IF(C2270="","",IFERROR(INDEX('Kit Lists'!$D$6:$D$605,MATCH(B2270&amp;"|"&amp;C2270,'Kit Lists'!$J$6:$J$605,0)),"Not on this contract's kit list"))</f>
        <v/>
      </c>
      <c r="H2270" s="83" t="str">
        <f aca="false">IF(AND(B2270="",C2270="",D2270=""),"",IF(B2270="","Missing contract",IF(C2270="","Missing code",IF(LEFT(G2270,3)="Not","Wrong code",IF(D2270="","Missing qty",IF(A2270="","Missing date",""))))))</f>
        <v/>
      </c>
      <c r="I2270" s="84" t="str">
        <f aca="false">IF(B2270=Dashboard!$D$3,ROW(),"")</f>
        <v/>
      </c>
    </row>
    <row r="2271" customFormat="false" ht="15" hidden="false" customHeight="false" outlineLevel="0" collapsed="false">
      <c r="A2271" s="80"/>
      <c r="B2271" s="71"/>
      <c r="C2271" s="71"/>
      <c r="D2271" s="81"/>
      <c r="E2271" s="71"/>
      <c r="F2271" s="71"/>
      <c r="G2271" s="82" t="str">
        <f aca="false">IF(C2271="","",IFERROR(INDEX('Kit Lists'!$D$6:$D$605,MATCH(B2271&amp;"|"&amp;C2271,'Kit Lists'!$J$6:$J$605,0)),"Not on this contract's kit list"))</f>
        <v/>
      </c>
      <c r="H2271" s="83" t="str">
        <f aca="false">IF(AND(B2271="",C2271="",D2271=""),"",IF(B2271="","Missing contract",IF(C2271="","Missing code",IF(LEFT(G2271,3)="Not","Wrong code",IF(D2271="","Missing qty",IF(A2271="","Missing date",""))))))</f>
        <v/>
      </c>
      <c r="I2271" s="84" t="str">
        <f aca="false">IF(B2271=Dashboard!$D$3,ROW(),"")</f>
        <v/>
      </c>
    </row>
    <row r="2272" customFormat="false" ht="15" hidden="false" customHeight="false" outlineLevel="0" collapsed="false">
      <c r="A2272" s="80"/>
      <c r="B2272" s="71"/>
      <c r="C2272" s="71"/>
      <c r="D2272" s="81"/>
      <c r="E2272" s="71"/>
      <c r="F2272" s="71"/>
      <c r="G2272" s="82" t="str">
        <f aca="false">IF(C2272="","",IFERROR(INDEX('Kit Lists'!$D$6:$D$605,MATCH(B2272&amp;"|"&amp;C2272,'Kit Lists'!$J$6:$J$605,0)),"Not on this contract's kit list"))</f>
        <v/>
      </c>
      <c r="H2272" s="83" t="str">
        <f aca="false">IF(AND(B2272="",C2272="",D2272=""),"",IF(B2272="","Missing contract",IF(C2272="","Missing code",IF(LEFT(G2272,3)="Not","Wrong code",IF(D2272="","Missing qty",IF(A2272="","Missing date",""))))))</f>
        <v/>
      </c>
      <c r="I2272" s="84" t="str">
        <f aca="false">IF(B2272=Dashboard!$D$3,ROW(),"")</f>
        <v/>
      </c>
    </row>
    <row r="2273" customFormat="false" ht="15" hidden="false" customHeight="false" outlineLevel="0" collapsed="false">
      <c r="A2273" s="80"/>
      <c r="B2273" s="71"/>
      <c r="C2273" s="71"/>
      <c r="D2273" s="81"/>
      <c r="E2273" s="71"/>
      <c r="F2273" s="71"/>
      <c r="G2273" s="82" t="str">
        <f aca="false">IF(C2273="","",IFERROR(INDEX('Kit Lists'!$D$6:$D$605,MATCH(B2273&amp;"|"&amp;C2273,'Kit Lists'!$J$6:$J$605,0)),"Not on this contract's kit list"))</f>
        <v/>
      </c>
      <c r="H2273" s="83" t="str">
        <f aca="false">IF(AND(B2273="",C2273="",D2273=""),"",IF(B2273="","Missing contract",IF(C2273="","Missing code",IF(LEFT(G2273,3)="Not","Wrong code",IF(D2273="","Missing qty",IF(A2273="","Missing date",""))))))</f>
        <v/>
      </c>
      <c r="I2273" s="84" t="str">
        <f aca="false">IF(B2273=Dashboard!$D$3,ROW(),"")</f>
        <v/>
      </c>
    </row>
    <row r="2274" customFormat="false" ht="15" hidden="false" customHeight="false" outlineLevel="0" collapsed="false">
      <c r="A2274" s="80"/>
      <c r="B2274" s="71"/>
      <c r="C2274" s="71"/>
      <c r="D2274" s="81"/>
      <c r="E2274" s="71"/>
      <c r="F2274" s="71"/>
      <c r="G2274" s="82" t="str">
        <f aca="false">IF(C2274="","",IFERROR(INDEX('Kit Lists'!$D$6:$D$605,MATCH(B2274&amp;"|"&amp;C2274,'Kit Lists'!$J$6:$J$605,0)),"Not on this contract's kit list"))</f>
        <v/>
      </c>
      <c r="H2274" s="83" t="str">
        <f aca="false">IF(AND(B2274="",C2274="",D2274=""),"",IF(B2274="","Missing contract",IF(C2274="","Missing code",IF(LEFT(G2274,3)="Not","Wrong code",IF(D2274="","Missing qty",IF(A2274="","Missing date",""))))))</f>
        <v/>
      </c>
      <c r="I2274" s="84" t="str">
        <f aca="false">IF(B2274=Dashboard!$D$3,ROW(),"")</f>
        <v/>
      </c>
    </row>
    <row r="2275" customFormat="false" ht="15" hidden="false" customHeight="false" outlineLevel="0" collapsed="false">
      <c r="A2275" s="80"/>
      <c r="B2275" s="71"/>
      <c r="C2275" s="71"/>
      <c r="D2275" s="81"/>
      <c r="E2275" s="71"/>
      <c r="F2275" s="71"/>
      <c r="G2275" s="82" t="str">
        <f aca="false">IF(C2275="","",IFERROR(INDEX('Kit Lists'!$D$6:$D$605,MATCH(B2275&amp;"|"&amp;C2275,'Kit Lists'!$J$6:$J$605,0)),"Not on this contract's kit list"))</f>
        <v/>
      </c>
      <c r="H2275" s="83" t="str">
        <f aca="false">IF(AND(B2275="",C2275="",D2275=""),"",IF(B2275="","Missing contract",IF(C2275="","Missing code",IF(LEFT(G2275,3)="Not","Wrong code",IF(D2275="","Missing qty",IF(A2275="","Missing date",""))))))</f>
        <v/>
      </c>
      <c r="I2275" s="84" t="str">
        <f aca="false">IF(B2275=Dashboard!$D$3,ROW(),"")</f>
        <v/>
      </c>
    </row>
    <row r="2276" customFormat="false" ht="15" hidden="false" customHeight="false" outlineLevel="0" collapsed="false">
      <c r="A2276" s="80"/>
      <c r="B2276" s="71"/>
      <c r="C2276" s="71"/>
      <c r="D2276" s="81"/>
      <c r="E2276" s="71"/>
      <c r="F2276" s="71"/>
      <c r="G2276" s="82" t="str">
        <f aca="false">IF(C2276="","",IFERROR(INDEX('Kit Lists'!$D$6:$D$605,MATCH(B2276&amp;"|"&amp;C2276,'Kit Lists'!$J$6:$J$605,0)),"Not on this contract's kit list"))</f>
        <v/>
      </c>
      <c r="H2276" s="83" t="str">
        <f aca="false">IF(AND(B2276="",C2276="",D2276=""),"",IF(B2276="","Missing contract",IF(C2276="","Missing code",IF(LEFT(G2276,3)="Not","Wrong code",IF(D2276="","Missing qty",IF(A2276="","Missing date",""))))))</f>
        <v/>
      </c>
      <c r="I2276" s="84" t="str">
        <f aca="false">IF(B2276=Dashboard!$D$3,ROW(),"")</f>
        <v/>
      </c>
    </row>
    <row r="2277" customFormat="false" ht="15" hidden="false" customHeight="false" outlineLevel="0" collapsed="false">
      <c r="A2277" s="80"/>
      <c r="B2277" s="71"/>
      <c r="C2277" s="71"/>
      <c r="D2277" s="81"/>
      <c r="E2277" s="71"/>
      <c r="F2277" s="71"/>
      <c r="G2277" s="82" t="str">
        <f aca="false">IF(C2277="","",IFERROR(INDEX('Kit Lists'!$D$6:$D$605,MATCH(B2277&amp;"|"&amp;C2277,'Kit Lists'!$J$6:$J$605,0)),"Not on this contract's kit list"))</f>
        <v/>
      </c>
      <c r="H2277" s="83" t="str">
        <f aca="false">IF(AND(B2277="",C2277="",D2277=""),"",IF(B2277="","Missing contract",IF(C2277="","Missing code",IF(LEFT(G2277,3)="Not","Wrong code",IF(D2277="","Missing qty",IF(A2277="","Missing date",""))))))</f>
        <v/>
      </c>
      <c r="I2277" s="84" t="str">
        <f aca="false">IF(B2277=Dashboard!$D$3,ROW(),"")</f>
        <v/>
      </c>
    </row>
    <row r="2278" customFormat="false" ht="15" hidden="false" customHeight="false" outlineLevel="0" collapsed="false">
      <c r="A2278" s="80"/>
      <c r="B2278" s="71"/>
      <c r="C2278" s="71"/>
      <c r="D2278" s="81"/>
      <c r="E2278" s="71"/>
      <c r="F2278" s="71"/>
      <c r="G2278" s="82" t="str">
        <f aca="false">IF(C2278="","",IFERROR(INDEX('Kit Lists'!$D$6:$D$605,MATCH(B2278&amp;"|"&amp;C2278,'Kit Lists'!$J$6:$J$605,0)),"Not on this contract's kit list"))</f>
        <v/>
      </c>
      <c r="H2278" s="83" t="str">
        <f aca="false">IF(AND(B2278="",C2278="",D2278=""),"",IF(B2278="","Missing contract",IF(C2278="","Missing code",IF(LEFT(G2278,3)="Not","Wrong code",IF(D2278="","Missing qty",IF(A2278="","Missing date",""))))))</f>
        <v/>
      </c>
      <c r="I2278" s="84" t="str">
        <f aca="false">IF(B2278=Dashboard!$D$3,ROW(),"")</f>
        <v/>
      </c>
    </row>
    <row r="2279" customFormat="false" ht="15" hidden="false" customHeight="false" outlineLevel="0" collapsed="false">
      <c r="A2279" s="80"/>
      <c r="B2279" s="71"/>
      <c r="C2279" s="71"/>
      <c r="D2279" s="81"/>
      <c r="E2279" s="71"/>
      <c r="F2279" s="71"/>
      <c r="G2279" s="82" t="str">
        <f aca="false">IF(C2279="","",IFERROR(INDEX('Kit Lists'!$D$6:$D$605,MATCH(B2279&amp;"|"&amp;C2279,'Kit Lists'!$J$6:$J$605,0)),"Not on this contract's kit list"))</f>
        <v/>
      </c>
      <c r="H2279" s="83" t="str">
        <f aca="false">IF(AND(B2279="",C2279="",D2279=""),"",IF(B2279="","Missing contract",IF(C2279="","Missing code",IF(LEFT(G2279,3)="Not","Wrong code",IF(D2279="","Missing qty",IF(A2279="","Missing date",""))))))</f>
        <v/>
      </c>
      <c r="I2279" s="84" t="str">
        <f aca="false">IF(B2279=Dashboard!$D$3,ROW(),"")</f>
        <v/>
      </c>
    </row>
    <row r="2280" customFormat="false" ht="15" hidden="false" customHeight="false" outlineLevel="0" collapsed="false">
      <c r="A2280" s="80"/>
      <c r="B2280" s="71"/>
      <c r="C2280" s="71"/>
      <c r="D2280" s="81"/>
      <c r="E2280" s="71"/>
      <c r="F2280" s="71"/>
      <c r="G2280" s="82" t="str">
        <f aca="false">IF(C2280="","",IFERROR(INDEX('Kit Lists'!$D$6:$D$605,MATCH(B2280&amp;"|"&amp;C2280,'Kit Lists'!$J$6:$J$605,0)),"Not on this contract's kit list"))</f>
        <v/>
      </c>
      <c r="H2280" s="83" t="str">
        <f aca="false">IF(AND(B2280="",C2280="",D2280=""),"",IF(B2280="","Missing contract",IF(C2280="","Missing code",IF(LEFT(G2280,3)="Not","Wrong code",IF(D2280="","Missing qty",IF(A2280="","Missing date",""))))))</f>
        <v/>
      </c>
      <c r="I2280" s="84" t="str">
        <f aca="false">IF(B2280=Dashboard!$D$3,ROW(),"")</f>
        <v/>
      </c>
    </row>
    <row r="2281" customFormat="false" ht="15" hidden="false" customHeight="false" outlineLevel="0" collapsed="false">
      <c r="A2281" s="80"/>
      <c r="B2281" s="71"/>
      <c r="C2281" s="71"/>
      <c r="D2281" s="81"/>
      <c r="E2281" s="71"/>
      <c r="F2281" s="71"/>
      <c r="G2281" s="82" t="str">
        <f aca="false">IF(C2281="","",IFERROR(INDEX('Kit Lists'!$D$6:$D$605,MATCH(B2281&amp;"|"&amp;C2281,'Kit Lists'!$J$6:$J$605,0)),"Not on this contract's kit list"))</f>
        <v/>
      </c>
      <c r="H2281" s="83" t="str">
        <f aca="false">IF(AND(B2281="",C2281="",D2281=""),"",IF(B2281="","Missing contract",IF(C2281="","Missing code",IF(LEFT(G2281,3)="Not","Wrong code",IF(D2281="","Missing qty",IF(A2281="","Missing date",""))))))</f>
        <v/>
      </c>
      <c r="I2281" s="84" t="str">
        <f aca="false">IF(B2281=Dashboard!$D$3,ROW(),"")</f>
        <v/>
      </c>
    </row>
    <row r="2282" customFormat="false" ht="15" hidden="false" customHeight="false" outlineLevel="0" collapsed="false">
      <c r="A2282" s="80"/>
      <c r="B2282" s="71"/>
      <c r="C2282" s="71"/>
      <c r="D2282" s="81"/>
      <c r="E2282" s="71"/>
      <c r="F2282" s="71"/>
      <c r="G2282" s="82" t="str">
        <f aca="false">IF(C2282="","",IFERROR(INDEX('Kit Lists'!$D$6:$D$605,MATCH(B2282&amp;"|"&amp;C2282,'Kit Lists'!$J$6:$J$605,0)),"Not on this contract's kit list"))</f>
        <v/>
      </c>
      <c r="H2282" s="83" t="str">
        <f aca="false">IF(AND(B2282="",C2282="",D2282=""),"",IF(B2282="","Missing contract",IF(C2282="","Missing code",IF(LEFT(G2282,3)="Not","Wrong code",IF(D2282="","Missing qty",IF(A2282="","Missing date",""))))))</f>
        <v/>
      </c>
      <c r="I2282" s="84" t="str">
        <f aca="false">IF(B2282=Dashboard!$D$3,ROW(),"")</f>
        <v/>
      </c>
    </row>
    <row r="2283" customFormat="false" ht="15" hidden="false" customHeight="false" outlineLevel="0" collapsed="false">
      <c r="A2283" s="80"/>
      <c r="B2283" s="71"/>
      <c r="C2283" s="71"/>
      <c r="D2283" s="81"/>
      <c r="E2283" s="71"/>
      <c r="F2283" s="71"/>
      <c r="G2283" s="82" t="str">
        <f aca="false">IF(C2283="","",IFERROR(INDEX('Kit Lists'!$D$6:$D$605,MATCH(B2283&amp;"|"&amp;C2283,'Kit Lists'!$J$6:$J$605,0)),"Not on this contract's kit list"))</f>
        <v/>
      </c>
      <c r="H2283" s="83" t="str">
        <f aca="false">IF(AND(B2283="",C2283="",D2283=""),"",IF(B2283="","Missing contract",IF(C2283="","Missing code",IF(LEFT(G2283,3)="Not","Wrong code",IF(D2283="","Missing qty",IF(A2283="","Missing date",""))))))</f>
        <v/>
      </c>
      <c r="I2283" s="84" t="str">
        <f aca="false">IF(B2283=Dashboard!$D$3,ROW(),"")</f>
        <v/>
      </c>
    </row>
    <row r="2284" customFormat="false" ht="15" hidden="false" customHeight="false" outlineLevel="0" collapsed="false">
      <c r="A2284" s="80"/>
      <c r="B2284" s="71"/>
      <c r="C2284" s="71"/>
      <c r="D2284" s="81"/>
      <c r="E2284" s="71"/>
      <c r="F2284" s="71"/>
      <c r="G2284" s="82" t="str">
        <f aca="false">IF(C2284="","",IFERROR(INDEX('Kit Lists'!$D$6:$D$605,MATCH(B2284&amp;"|"&amp;C2284,'Kit Lists'!$J$6:$J$605,0)),"Not on this contract's kit list"))</f>
        <v/>
      </c>
      <c r="H2284" s="83" t="str">
        <f aca="false">IF(AND(B2284="",C2284="",D2284=""),"",IF(B2284="","Missing contract",IF(C2284="","Missing code",IF(LEFT(G2284,3)="Not","Wrong code",IF(D2284="","Missing qty",IF(A2284="","Missing date",""))))))</f>
        <v/>
      </c>
      <c r="I2284" s="84" t="str">
        <f aca="false">IF(B2284=Dashboard!$D$3,ROW(),"")</f>
        <v/>
      </c>
    </row>
    <row r="2285" customFormat="false" ht="15" hidden="false" customHeight="false" outlineLevel="0" collapsed="false">
      <c r="A2285" s="80"/>
      <c r="B2285" s="71"/>
      <c r="C2285" s="71"/>
      <c r="D2285" s="81"/>
      <c r="E2285" s="71"/>
      <c r="F2285" s="71"/>
      <c r="G2285" s="82" t="str">
        <f aca="false">IF(C2285="","",IFERROR(INDEX('Kit Lists'!$D$6:$D$605,MATCH(B2285&amp;"|"&amp;C2285,'Kit Lists'!$J$6:$J$605,0)),"Not on this contract's kit list"))</f>
        <v/>
      </c>
      <c r="H2285" s="83" t="str">
        <f aca="false">IF(AND(B2285="",C2285="",D2285=""),"",IF(B2285="","Missing contract",IF(C2285="","Missing code",IF(LEFT(G2285,3)="Not","Wrong code",IF(D2285="","Missing qty",IF(A2285="","Missing date",""))))))</f>
        <v/>
      </c>
      <c r="I2285" s="84" t="str">
        <f aca="false">IF(B2285=Dashboard!$D$3,ROW(),"")</f>
        <v/>
      </c>
    </row>
    <row r="2286" customFormat="false" ht="15" hidden="false" customHeight="false" outlineLevel="0" collapsed="false">
      <c r="A2286" s="80"/>
      <c r="B2286" s="71"/>
      <c r="C2286" s="71"/>
      <c r="D2286" s="81"/>
      <c r="E2286" s="71"/>
      <c r="F2286" s="71"/>
      <c r="G2286" s="82" t="str">
        <f aca="false">IF(C2286="","",IFERROR(INDEX('Kit Lists'!$D$6:$D$605,MATCH(B2286&amp;"|"&amp;C2286,'Kit Lists'!$J$6:$J$605,0)),"Not on this contract's kit list"))</f>
        <v/>
      </c>
      <c r="H2286" s="83" t="str">
        <f aca="false">IF(AND(B2286="",C2286="",D2286=""),"",IF(B2286="","Missing contract",IF(C2286="","Missing code",IF(LEFT(G2286,3)="Not","Wrong code",IF(D2286="","Missing qty",IF(A2286="","Missing date",""))))))</f>
        <v/>
      </c>
      <c r="I2286" s="84" t="str">
        <f aca="false">IF(B2286=Dashboard!$D$3,ROW(),"")</f>
        <v/>
      </c>
    </row>
    <row r="2287" customFormat="false" ht="15" hidden="false" customHeight="false" outlineLevel="0" collapsed="false">
      <c r="A2287" s="80"/>
      <c r="B2287" s="71"/>
      <c r="C2287" s="71"/>
      <c r="D2287" s="81"/>
      <c r="E2287" s="71"/>
      <c r="F2287" s="71"/>
      <c r="G2287" s="82" t="str">
        <f aca="false">IF(C2287="","",IFERROR(INDEX('Kit Lists'!$D$6:$D$605,MATCH(B2287&amp;"|"&amp;C2287,'Kit Lists'!$J$6:$J$605,0)),"Not on this contract's kit list"))</f>
        <v/>
      </c>
      <c r="H2287" s="83" t="str">
        <f aca="false">IF(AND(B2287="",C2287="",D2287=""),"",IF(B2287="","Missing contract",IF(C2287="","Missing code",IF(LEFT(G2287,3)="Not","Wrong code",IF(D2287="","Missing qty",IF(A2287="","Missing date",""))))))</f>
        <v/>
      </c>
      <c r="I2287" s="84" t="str">
        <f aca="false">IF(B2287=Dashboard!$D$3,ROW(),"")</f>
        <v/>
      </c>
    </row>
    <row r="2288" customFormat="false" ht="15" hidden="false" customHeight="false" outlineLevel="0" collapsed="false">
      <c r="A2288" s="80"/>
      <c r="B2288" s="71"/>
      <c r="C2288" s="71"/>
      <c r="D2288" s="81"/>
      <c r="E2288" s="71"/>
      <c r="F2288" s="71"/>
      <c r="G2288" s="82" t="str">
        <f aca="false">IF(C2288="","",IFERROR(INDEX('Kit Lists'!$D$6:$D$605,MATCH(B2288&amp;"|"&amp;C2288,'Kit Lists'!$J$6:$J$605,0)),"Not on this contract's kit list"))</f>
        <v/>
      </c>
      <c r="H2288" s="83" t="str">
        <f aca="false">IF(AND(B2288="",C2288="",D2288=""),"",IF(B2288="","Missing contract",IF(C2288="","Missing code",IF(LEFT(G2288,3)="Not","Wrong code",IF(D2288="","Missing qty",IF(A2288="","Missing date",""))))))</f>
        <v/>
      </c>
      <c r="I2288" s="84" t="str">
        <f aca="false">IF(B2288=Dashboard!$D$3,ROW(),"")</f>
        <v/>
      </c>
    </row>
    <row r="2289" customFormat="false" ht="15" hidden="false" customHeight="false" outlineLevel="0" collapsed="false">
      <c r="A2289" s="80"/>
      <c r="B2289" s="71"/>
      <c r="C2289" s="71"/>
      <c r="D2289" s="81"/>
      <c r="E2289" s="71"/>
      <c r="F2289" s="71"/>
      <c r="G2289" s="82" t="str">
        <f aca="false">IF(C2289="","",IFERROR(INDEX('Kit Lists'!$D$6:$D$605,MATCH(B2289&amp;"|"&amp;C2289,'Kit Lists'!$J$6:$J$605,0)),"Not on this contract's kit list"))</f>
        <v/>
      </c>
      <c r="H2289" s="83" t="str">
        <f aca="false">IF(AND(B2289="",C2289="",D2289=""),"",IF(B2289="","Missing contract",IF(C2289="","Missing code",IF(LEFT(G2289,3)="Not","Wrong code",IF(D2289="","Missing qty",IF(A2289="","Missing date",""))))))</f>
        <v/>
      </c>
      <c r="I2289" s="84" t="str">
        <f aca="false">IF(B2289=Dashboard!$D$3,ROW(),"")</f>
        <v/>
      </c>
    </row>
    <row r="2290" customFormat="false" ht="15" hidden="false" customHeight="false" outlineLevel="0" collapsed="false">
      <c r="A2290" s="80"/>
      <c r="B2290" s="71"/>
      <c r="C2290" s="71"/>
      <c r="D2290" s="81"/>
      <c r="E2290" s="71"/>
      <c r="F2290" s="71"/>
      <c r="G2290" s="82" t="str">
        <f aca="false">IF(C2290="","",IFERROR(INDEX('Kit Lists'!$D$6:$D$605,MATCH(B2290&amp;"|"&amp;C2290,'Kit Lists'!$J$6:$J$605,0)),"Not on this contract's kit list"))</f>
        <v/>
      </c>
      <c r="H2290" s="83" t="str">
        <f aca="false">IF(AND(B2290="",C2290="",D2290=""),"",IF(B2290="","Missing contract",IF(C2290="","Missing code",IF(LEFT(G2290,3)="Not","Wrong code",IF(D2290="","Missing qty",IF(A2290="","Missing date",""))))))</f>
        <v/>
      </c>
      <c r="I2290" s="84" t="str">
        <f aca="false">IF(B2290=Dashboard!$D$3,ROW(),"")</f>
        <v/>
      </c>
    </row>
    <row r="2291" customFormat="false" ht="15" hidden="false" customHeight="false" outlineLevel="0" collapsed="false">
      <c r="A2291" s="80"/>
      <c r="B2291" s="71"/>
      <c r="C2291" s="71"/>
      <c r="D2291" s="81"/>
      <c r="E2291" s="71"/>
      <c r="F2291" s="71"/>
      <c r="G2291" s="82" t="str">
        <f aca="false">IF(C2291="","",IFERROR(INDEX('Kit Lists'!$D$6:$D$605,MATCH(B2291&amp;"|"&amp;C2291,'Kit Lists'!$J$6:$J$605,0)),"Not on this contract's kit list"))</f>
        <v/>
      </c>
      <c r="H2291" s="83" t="str">
        <f aca="false">IF(AND(B2291="",C2291="",D2291=""),"",IF(B2291="","Missing contract",IF(C2291="","Missing code",IF(LEFT(G2291,3)="Not","Wrong code",IF(D2291="","Missing qty",IF(A2291="","Missing date",""))))))</f>
        <v/>
      </c>
      <c r="I2291" s="84" t="str">
        <f aca="false">IF(B2291=Dashboard!$D$3,ROW(),"")</f>
        <v/>
      </c>
    </row>
    <row r="2292" customFormat="false" ht="15" hidden="false" customHeight="false" outlineLevel="0" collapsed="false">
      <c r="A2292" s="80"/>
      <c r="B2292" s="71"/>
      <c r="C2292" s="71"/>
      <c r="D2292" s="81"/>
      <c r="E2292" s="71"/>
      <c r="F2292" s="71"/>
      <c r="G2292" s="82" t="str">
        <f aca="false">IF(C2292="","",IFERROR(INDEX('Kit Lists'!$D$6:$D$605,MATCH(B2292&amp;"|"&amp;C2292,'Kit Lists'!$J$6:$J$605,0)),"Not on this contract's kit list"))</f>
        <v/>
      </c>
      <c r="H2292" s="83" t="str">
        <f aca="false">IF(AND(B2292="",C2292="",D2292=""),"",IF(B2292="","Missing contract",IF(C2292="","Missing code",IF(LEFT(G2292,3)="Not","Wrong code",IF(D2292="","Missing qty",IF(A2292="","Missing date",""))))))</f>
        <v/>
      </c>
      <c r="I2292" s="84" t="str">
        <f aca="false">IF(B2292=Dashboard!$D$3,ROW(),"")</f>
        <v/>
      </c>
    </row>
    <row r="2293" customFormat="false" ht="15" hidden="false" customHeight="false" outlineLevel="0" collapsed="false">
      <c r="A2293" s="80"/>
      <c r="B2293" s="71"/>
      <c r="C2293" s="71"/>
      <c r="D2293" s="81"/>
      <c r="E2293" s="71"/>
      <c r="F2293" s="71"/>
      <c r="G2293" s="82" t="str">
        <f aca="false">IF(C2293="","",IFERROR(INDEX('Kit Lists'!$D$6:$D$605,MATCH(B2293&amp;"|"&amp;C2293,'Kit Lists'!$J$6:$J$605,0)),"Not on this contract's kit list"))</f>
        <v/>
      </c>
      <c r="H2293" s="83" t="str">
        <f aca="false">IF(AND(B2293="",C2293="",D2293=""),"",IF(B2293="","Missing contract",IF(C2293="","Missing code",IF(LEFT(G2293,3)="Not","Wrong code",IF(D2293="","Missing qty",IF(A2293="","Missing date",""))))))</f>
        <v/>
      </c>
      <c r="I2293" s="84" t="str">
        <f aca="false">IF(B2293=Dashboard!$D$3,ROW(),"")</f>
        <v/>
      </c>
    </row>
    <row r="2294" customFormat="false" ht="15" hidden="false" customHeight="false" outlineLevel="0" collapsed="false">
      <c r="A2294" s="80"/>
      <c r="B2294" s="71"/>
      <c r="C2294" s="71"/>
      <c r="D2294" s="81"/>
      <c r="E2294" s="71"/>
      <c r="F2294" s="71"/>
      <c r="G2294" s="82" t="str">
        <f aca="false">IF(C2294="","",IFERROR(INDEX('Kit Lists'!$D$6:$D$605,MATCH(B2294&amp;"|"&amp;C2294,'Kit Lists'!$J$6:$J$605,0)),"Not on this contract's kit list"))</f>
        <v/>
      </c>
      <c r="H2294" s="83" t="str">
        <f aca="false">IF(AND(B2294="",C2294="",D2294=""),"",IF(B2294="","Missing contract",IF(C2294="","Missing code",IF(LEFT(G2294,3)="Not","Wrong code",IF(D2294="","Missing qty",IF(A2294="","Missing date",""))))))</f>
        <v/>
      </c>
      <c r="I2294" s="84" t="str">
        <f aca="false">IF(B2294=Dashboard!$D$3,ROW(),"")</f>
        <v/>
      </c>
    </row>
    <row r="2295" customFormat="false" ht="15" hidden="false" customHeight="false" outlineLevel="0" collapsed="false">
      <c r="A2295" s="80"/>
      <c r="B2295" s="71"/>
      <c r="C2295" s="71"/>
      <c r="D2295" s="81"/>
      <c r="E2295" s="71"/>
      <c r="F2295" s="71"/>
      <c r="G2295" s="82" t="str">
        <f aca="false">IF(C2295="","",IFERROR(INDEX('Kit Lists'!$D$6:$D$605,MATCH(B2295&amp;"|"&amp;C2295,'Kit Lists'!$J$6:$J$605,0)),"Not on this contract's kit list"))</f>
        <v/>
      </c>
      <c r="H2295" s="83" t="str">
        <f aca="false">IF(AND(B2295="",C2295="",D2295=""),"",IF(B2295="","Missing contract",IF(C2295="","Missing code",IF(LEFT(G2295,3)="Not","Wrong code",IF(D2295="","Missing qty",IF(A2295="","Missing date",""))))))</f>
        <v/>
      </c>
      <c r="I2295" s="84" t="str">
        <f aca="false">IF(B2295=Dashboard!$D$3,ROW(),"")</f>
        <v/>
      </c>
    </row>
    <row r="2296" customFormat="false" ht="15" hidden="false" customHeight="false" outlineLevel="0" collapsed="false">
      <c r="A2296" s="80"/>
      <c r="B2296" s="71"/>
      <c r="C2296" s="71"/>
      <c r="D2296" s="81"/>
      <c r="E2296" s="71"/>
      <c r="F2296" s="71"/>
      <c r="G2296" s="82" t="str">
        <f aca="false">IF(C2296="","",IFERROR(INDEX('Kit Lists'!$D$6:$D$605,MATCH(B2296&amp;"|"&amp;C2296,'Kit Lists'!$J$6:$J$605,0)),"Not on this contract's kit list"))</f>
        <v/>
      </c>
      <c r="H2296" s="83" t="str">
        <f aca="false">IF(AND(B2296="",C2296="",D2296=""),"",IF(B2296="","Missing contract",IF(C2296="","Missing code",IF(LEFT(G2296,3)="Not","Wrong code",IF(D2296="","Missing qty",IF(A2296="","Missing date",""))))))</f>
        <v/>
      </c>
      <c r="I2296" s="84" t="str">
        <f aca="false">IF(B2296=Dashboard!$D$3,ROW(),"")</f>
        <v/>
      </c>
    </row>
    <row r="2297" customFormat="false" ht="15" hidden="false" customHeight="false" outlineLevel="0" collapsed="false">
      <c r="A2297" s="80"/>
      <c r="B2297" s="71"/>
      <c r="C2297" s="71"/>
      <c r="D2297" s="81"/>
      <c r="E2297" s="71"/>
      <c r="F2297" s="71"/>
      <c r="G2297" s="82" t="str">
        <f aca="false">IF(C2297="","",IFERROR(INDEX('Kit Lists'!$D$6:$D$605,MATCH(B2297&amp;"|"&amp;C2297,'Kit Lists'!$J$6:$J$605,0)),"Not on this contract's kit list"))</f>
        <v/>
      </c>
      <c r="H2297" s="83" t="str">
        <f aca="false">IF(AND(B2297="",C2297="",D2297=""),"",IF(B2297="","Missing contract",IF(C2297="","Missing code",IF(LEFT(G2297,3)="Not","Wrong code",IF(D2297="","Missing qty",IF(A2297="","Missing date",""))))))</f>
        <v/>
      </c>
      <c r="I2297" s="84" t="str">
        <f aca="false">IF(B2297=Dashboard!$D$3,ROW(),"")</f>
        <v/>
      </c>
    </row>
    <row r="2298" customFormat="false" ht="15" hidden="false" customHeight="false" outlineLevel="0" collapsed="false">
      <c r="A2298" s="80"/>
      <c r="B2298" s="71"/>
      <c r="C2298" s="71"/>
      <c r="D2298" s="81"/>
      <c r="E2298" s="71"/>
      <c r="F2298" s="71"/>
      <c r="G2298" s="82" t="str">
        <f aca="false">IF(C2298="","",IFERROR(INDEX('Kit Lists'!$D$6:$D$605,MATCH(B2298&amp;"|"&amp;C2298,'Kit Lists'!$J$6:$J$605,0)),"Not on this contract's kit list"))</f>
        <v/>
      </c>
      <c r="H2298" s="83" t="str">
        <f aca="false">IF(AND(B2298="",C2298="",D2298=""),"",IF(B2298="","Missing contract",IF(C2298="","Missing code",IF(LEFT(G2298,3)="Not","Wrong code",IF(D2298="","Missing qty",IF(A2298="","Missing date",""))))))</f>
        <v/>
      </c>
      <c r="I2298" s="84" t="str">
        <f aca="false">IF(B2298=Dashboard!$D$3,ROW(),"")</f>
        <v/>
      </c>
    </row>
    <row r="2299" customFormat="false" ht="15" hidden="false" customHeight="false" outlineLevel="0" collapsed="false">
      <c r="A2299" s="80"/>
      <c r="B2299" s="71"/>
      <c r="C2299" s="71"/>
      <c r="D2299" s="81"/>
      <c r="E2299" s="71"/>
      <c r="F2299" s="71"/>
      <c r="G2299" s="82" t="str">
        <f aca="false">IF(C2299="","",IFERROR(INDEX('Kit Lists'!$D$6:$D$605,MATCH(B2299&amp;"|"&amp;C2299,'Kit Lists'!$J$6:$J$605,0)),"Not on this contract's kit list"))</f>
        <v/>
      </c>
      <c r="H2299" s="83" t="str">
        <f aca="false">IF(AND(B2299="",C2299="",D2299=""),"",IF(B2299="","Missing contract",IF(C2299="","Missing code",IF(LEFT(G2299,3)="Not","Wrong code",IF(D2299="","Missing qty",IF(A2299="","Missing date",""))))))</f>
        <v/>
      </c>
      <c r="I2299" s="84" t="str">
        <f aca="false">IF(B2299=Dashboard!$D$3,ROW(),"")</f>
        <v/>
      </c>
    </row>
    <row r="2300" customFormat="false" ht="15" hidden="false" customHeight="false" outlineLevel="0" collapsed="false">
      <c r="A2300" s="80"/>
      <c r="B2300" s="71"/>
      <c r="C2300" s="71"/>
      <c r="D2300" s="81"/>
      <c r="E2300" s="71"/>
      <c r="F2300" s="71"/>
      <c r="G2300" s="82" t="str">
        <f aca="false">IF(C2300="","",IFERROR(INDEX('Kit Lists'!$D$6:$D$605,MATCH(B2300&amp;"|"&amp;C2300,'Kit Lists'!$J$6:$J$605,0)),"Not on this contract's kit list"))</f>
        <v/>
      </c>
      <c r="H2300" s="83" t="str">
        <f aca="false">IF(AND(B2300="",C2300="",D2300=""),"",IF(B2300="","Missing contract",IF(C2300="","Missing code",IF(LEFT(G2300,3)="Not","Wrong code",IF(D2300="","Missing qty",IF(A2300="","Missing date",""))))))</f>
        <v/>
      </c>
      <c r="I2300" s="84" t="str">
        <f aca="false">IF(B2300=Dashboard!$D$3,ROW(),"")</f>
        <v/>
      </c>
    </row>
    <row r="2301" customFormat="false" ht="15" hidden="false" customHeight="false" outlineLevel="0" collapsed="false">
      <c r="A2301" s="80"/>
      <c r="B2301" s="71"/>
      <c r="C2301" s="71"/>
      <c r="D2301" s="81"/>
      <c r="E2301" s="71"/>
      <c r="F2301" s="71"/>
      <c r="G2301" s="82" t="str">
        <f aca="false">IF(C2301="","",IFERROR(INDEX('Kit Lists'!$D$6:$D$605,MATCH(B2301&amp;"|"&amp;C2301,'Kit Lists'!$J$6:$J$605,0)),"Not on this contract's kit list"))</f>
        <v/>
      </c>
      <c r="H2301" s="83" t="str">
        <f aca="false">IF(AND(B2301="",C2301="",D2301=""),"",IF(B2301="","Missing contract",IF(C2301="","Missing code",IF(LEFT(G2301,3)="Not","Wrong code",IF(D2301="","Missing qty",IF(A2301="","Missing date",""))))))</f>
        <v/>
      </c>
      <c r="I2301" s="84" t="str">
        <f aca="false">IF(B2301=Dashboard!$D$3,ROW(),"")</f>
        <v/>
      </c>
    </row>
    <row r="2302" customFormat="false" ht="15" hidden="false" customHeight="false" outlineLevel="0" collapsed="false">
      <c r="A2302" s="80"/>
      <c r="B2302" s="71"/>
      <c r="C2302" s="71"/>
      <c r="D2302" s="81"/>
      <c r="E2302" s="71"/>
      <c r="F2302" s="71"/>
      <c r="G2302" s="82" t="str">
        <f aca="false">IF(C2302="","",IFERROR(INDEX('Kit Lists'!$D$6:$D$605,MATCH(B2302&amp;"|"&amp;C2302,'Kit Lists'!$J$6:$J$605,0)),"Not on this contract's kit list"))</f>
        <v/>
      </c>
      <c r="H2302" s="83" t="str">
        <f aca="false">IF(AND(B2302="",C2302="",D2302=""),"",IF(B2302="","Missing contract",IF(C2302="","Missing code",IF(LEFT(G2302,3)="Not","Wrong code",IF(D2302="","Missing qty",IF(A2302="","Missing date",""))))))</f>
        <v/>
      </c>
      <c r="I2302" s="84" t="str">
        <f aca="false">IF(B2302=Dashboard!$D$3,ROW(),"")</f>
        <v/>
      </c>
    </row>
    <row r="2303" customFormat="false" ht="15" hidden="false" customHeight="false" outlineLevel="0" collapsed="false">
      <c r="A2303" s="80"/>
      <c r="B2303" s="71"/>
      <c r="C2303" s="71"/>
      <c r="D2303" s="81"/>
      <c r="E2303" s="71"/>
      <c r="F2303" s="71"/>
      <c r="G2303" s="82" t="str">
        <f aca="false">IF(C2303="","",IFERROR(INDEX('Kit Lists'!$D$6:$D$605,MATCH(B2303&amp;"|"&amp;C2303,'Kit Lists'!$J$6:$J$605,0)),"Not on this contract's kit list"))</f>
        <v/>
      </c>
      <c r="H2303" s="83" t="str">
        <f aca="false">IF(AND(B2303="",C2303="",D2303=""),"",IF(B2303="","Missing contract",IF(C2303="","Missing code",IF(LEFT(G2303,3)="Not","Wrong code",IF(D2303="","Missing qty",IF(A2303="","Missing date",""))))))</f>
        <v/>
      </c>
      <c r="I2303" s="84" t="str">
        <f aca="false">IF(B2303=Dashboard!$D$3,ROW(),"")</f>
        <v/>
      </c>
    </row>
    <row r="2304" customFormat="false" ht="15" hidden="false" customHeight="false" outlineLevel="0" collapsed="false">
      <c r="A2304" s="80"/>
      <c r="B2304" s="71"/>
      <c r="C2304" s="71"/>
      <c r="D2304" s="81"/>
      <c r="E2304" s="71"/>
      <c r="F2304" s="71"/>
      <c r="G2304" s="82" t="str">
        <f aca="false">IF(C2304="","",IFERROR(INDEX('Kit Lists'!$D$6:$D$605,MATCH(B2304&amp;"|"&amp;C2304,'Kit Lists'!$J$6:$J$605,0)),"Not on this contract's kit list"))</f>
        <v/>
      </c>
      <c r="H2304" s="83" t="str">
        <f aca="false">IF(AND(B2304="",C2304="",D2304=""),"",IF(B2304="","Missing contract",IF(C2304="","Missing code",IF(LEFT(G2304,3)="Not","Wrong code",IF(D2304="","Missing qty",IF(A2304="","Missing date",""))))))</f>
        <v/>
      </c>
      <c r="I2304" s="84" t="str">
        <f aca="false">IF(B2304=Dashboard!$D$3,ROW(),"")</f>
        <v/>
      </c>
    </row>
    <row r="2305" customFormat="false" ht="15" hidden="false" customHeight="false" outlineLevel="0" collapsed="false">
      <c r="A2305" s="80"/>
      <c r="B2305" s="71"/>
      <c r="C2305" s="71"/>
      <c r="D2305" s="81"/>
      <c r="E2305" s="71"/>
      <c r="F2305" s="71"/>
      <c r="G2305" s="82" t="str">
        <f aca="false">IF(C2305="","",IFERROR(INDEX('Kit Lists'!$D$6:$D$605,MATCH(B2305&amp;"|"&amp;C2305,'Kit Lists'!$J$6:$J$605,0)),"Not on this contract's kit list"))</f>
        <v/>
      </c>
      <c r="H2305" s="83" t="str">
        <f aca="false">IF(AND(B2305="",C2305="",D2305=""),"",IF(B2305="","Missing contract",IF(C2305="","Missing code",IF(LEFT(G2305,3)="Not","Wrong code",IF(D2305="","Missing qty",IF(A2305="","Missing date",""))))))</f>
        <v/>
      </c>
      <c r="I2305" s="84" t="str">
        <f aca="false">IF(B2305=Dashboard!$D$3,ROW(),"")</f>
        <v/>
      </c>
    </row>
    <row r="2306" customFormat="false" ht="15" hidden="false" customHeight="false" outlineLevel="0" collapsed="false">
      <c r="A2306" s="80"/>
      <c r="B2306" s="71"/>
      <c r="C2306" s="71"/>
      <c r="D2306" s="81"/>
      <c r="E2306" s="71"/>
      <c r="F2306" s="71"/>
      <c r="G2306" s="82" t="str">
        <f aca="false">IF(C2306="","",IFERROR(INDEX('Kit Lists'!$D$6:$D$605,MATCH(B2306&amp;"|"&amp;C2306,'Kit Lists'!$J$6:$J$605,0)),"Not on this contract's kit list"))</f>
        <v/>
      </c>
      <c r="H2306" s="83" t="str">
        <f aca="false">IF(AND(B2306="",C2306="",D2306=""),"",IF(B2306="","Missing contract",IF(C2306="","Missing code",IF(LEFT(G2306,3)="Not","Wrong code",IF(D2306="","Missing qty",IF(A2306="","Missing date",""))))))</f>
        <v/>
      </c>
      <c r="I2306" s="84" t="str">
        <f aca="false">IF(B2306=Dashboard!$D$3,ROW(),"")</f>
        <v/>
      </c>
    </row>
    <row r="2307" customFormat="false" ht="15" hidden="false" customHeight="false" outlineLevel="0" collapsed="false">
      <c r="A2307" s="80"/>
      <c r="B2307" s="71"/>
      <c r="C2307" s="71"/>
      <c r="D2307" s="81"/>
      <c r="E2307" s="71"/>
      <c r="F2307" s="71"/>
      <c r="G2307" s="82" t="str">
        <f aca="false">IF(C2307="","",IFERROR(INDEX('Kit Lists'!$D$6:$D$605,MATCH(B2307&amp;"|"&amp;C2307,'Kit Lists'!$J$6:$J$605,0)),"Not on this contract's kit list"))</f>
        <v/>
      </c>
      <c r="H2307" s="83" t="str">
        <f aca="false">IF(AND(B2307="",C2307="",D2307=""),"",IF(B2307="","Missing contract",IF(C2307="","Missing code",IF(LEFT(G2307,3)="Not","Wrong code",IF(D2307="","Missing qty",IF(A2307="","Missing date",""))))))</f>
        <v/>
      </c>
      <c r="I2307" s="84" t="str">
        <f aca="false">IF(B2307=Dashboard!$D$3,ROW(),"")</f>
        <v/>
      </c>
    </row>
    <row r="2308" customFormat="false" ht="15" hidden="false" customHeight="false" outlineLevel="0" collapsed="false">
      <c r="A2308" s="80"/>
      <c r="B2308" s="71"/>
      <c r="C2308" s="71"/>
      <c r="D2308" s="81"/>
      <c r="E2308" s="71"/>
      <c r="F2308" s="71"/>
      <c r="G2308" s="82" t="str">
        <f aca="false">IF(C2308="","",IFERROR(INDEX('Kit Lists'!$D$6:$D$605,MATCH(B2308&amp;"|"&amp;C2308,'Kit Lists'!$J$6:$J$605,0)),"Not on this contract's kit list"))</f>
        <v/>
      </c>
      <c r="H2308" s="83" t="str">
        <f aca="false">IF(AND(B2308="",C2308="",D2308=""),"",IF(B2308="","Missing contract",IF(C2308="","Missing code",IF(LEFT(G2308,3)="Not","Wrong code",IF(D2308="","Missing qty",IF(A2308="","Missing date",""))))))</f>
        <v/>
      </c>
      <c r="I2308" s="84" t="str">
        <f aca="false">IF(B2308=Dashboard!$D$3,ROW(),"")</f>
        <v/>
      </c>
    </row>
    <row r="2309" customFormat="false" ht="15" hidden="false" customHeight="false" outlineLevel="0" collapsed="false">
      <c r="A2309" s="80"/>
      <c r="B2309" s="71"/>
      <c r="C2309" s="71"/>
      <c r="D2309" s="81"/>
      <c r="E2309" s="71"/>
      <c r="F2309" s="71"/>
      <c r="G2309" s="82" t="str">
        <f aca="false">IF(C2309="","",IFERROR(INDEX('Kit Lists'!$D$6:$D$605,MATCH(B2309&amp;"|"&amp;C2309,'Kit Lists'!$J$6:$J$605,0)),"Not on this contract's kit list"))</f>
        <v/>
      </c>
      <c r="H2309" s="83" t="str">
        <f aca="false">IF(AND(B2309="",C2309="",D2309=""),"",IF(B2309="","Missing contract",IF(C2309="","Missing code",IF(LEFT(G2309,3)="Not","Wrong code",IF(D2309="","Missing qty",IF(A2309="","Missing date",""))))))</f>
        <v/>
      </c>
      <c r="I2309" s="84" t="str">
        <f aca="false">IF(B2309=Dashboard!$D$3,ROW(),"")</f>
        <v/>
      </c>
    </row>
    <row r="2310" customFormat="false" ht="15" hidden="false" customHeight="false" outlineLevel="0" collapsed="false">
      <c r="A2310" s="80"/>
      <c r="B2310" s="71"/>
      <c r="C2310" s="71"/>
      <c r="D2310" s="81"/>
      <c r="E2310" s="71"/>
      <c r="F2310" s="71"/>
      <c r="G2310" s="82" t="str">
        <f aca="false">IF(C2310="","",IFERROR(INDEX('Kit Lists'!$D$6:$D$605,MATCH(B2310&amp;"|"&amp;C2310,'Kit Lists'!$J$6:$J$605,0)),"Not on this contract's kit list"))</f>
        <v/>
      </c>
      <c r="H2310" s="83" t="str">
        <f aca="false">IF(AND(B2310="",C2310="",D2310=""),"",IF(B2310="","Missing contract",IF(C2310="","Missing code",IF(LEFT(G2310,3)="Not","Wrong code",IF(D2310="","Missing qty",IF(A2310="","Missing date",""))))))</f>
        <v/>
      </c>
      <c r="I2310" s="84" t="str">
        <f aca="false">IF(B2310=Dashboard!$D$3,ROW(),"")</f>
        <v/>
      </c>
    </row>
    <row r="2311" customFormat="false" ht="15" hidden="false" customHeight="false" outlineLevel="0" collapsed="false">
      <c r="A2311" s="80"/>
      <c r="B2311" s="71"/>
      <c r="C2311" s="71"/>
      <c r="D2311" s="81"/>
      <c r="E2311" s="71"/>
      <c r="F2311" s="71"/>
      <c r="G2311" s="82" t="str">
        <f aca="false">IF(C2311="","",IFERROR(INDEX('Kit Lists'!$D$6:$D$605,MATCH(B2311&amp;"|"&amp;C2311,'Kit Lists'!$J$6:$J$605,0)),"Not on this contract's kit list"))</f>
        <v/>
      </c>
      <c r="H2311" s="83" t="str">
        <f aca="false">IF(AND(B2311="",C2311="",D2311=""),"",IF(B2311="","Missing contract",IF(C2311="","Missing code",IF(LEFT(G2311,3)="Not","Wrong code",IF(D2311="","Missing qty",IF(A2311="","Missing date",""))))))</f>
        <v/>
      </c>
      <c r="I2311" s="84" t="str">
        <f aca="false">IF(B2311=Dashboard!$D$3,ROW(),"")</f>
        <v/>
      </c>
    </row>
    <row r="2312" customFormat="false" ht="15" hidden="false" customHeight="false" outlineLevel="0" collapsed="false">
      <c r="A2312" s="80"/>
      <c r="B2312" s="71"/>
      <c r="C2312" s="71"/>
      <c r="D2312" s="81"/>
      <c r="E2312" s="71"/>
      <c r="F2312" s="71"/>
      <c r="G2312" s="82" t="str">
        <f aca="false">IF(C2312="","",IFERROR(INDEX('Kit Lists'!$D$6:$D$605,MATCH(B2312&amp;"|"&amp;C2312,'Kit Lists'!$J$6:$J$605,0)),"Not on this contract's kit list"))</f>
        <v/>
      </c>
      <c r="H2312" s="83" t="str">
        <f aca="false">IF(AND(B2312="",C2312="",D2312=""),"",IF(B2312="","Missing contract",IF(C2312="","Missing code",IF(LEFT(G2312,3)="Not","Wrong code",IF(D2312="","Missing qty",IF(A2312="","Missing date",""))))))</f>
        <v/>
      </c>
      <c r="I2312" s="84" t="str">
        <f aca="false">IF(B2312=Dashboard!$D$3,ROW(),"")</f>
        <v/>
      </c>
    </row>
    <row r="2313" customFormat="false" ht="15" hidden="false" customHeight="false" outlineLevel="0" collapsed="false">
      <c r="A2313" s="80"/>
      <c r="B2313" s="71"/>
      <c r="C2313" s="71"/>
      <c r="D2313" s="81"/>
      <c r="E2313" s="71"/>
      <c r="F2313" s="71"/>
      <c r="G2313" s="82" t="str">
        <f aca="false">IF(C2313="","",IFERROR(INDEX('Kit Lists'!$D$6:$D$605,MATCH(B2313&amp;"|"&amp;C2313,'Kit Lists'!$J$6:$J$605,0)),"Not on this contract's kit list"))</f>
        <v/>
      </c>
      <c r="H2313" s="83" t="str">
        <f aca="false">IF(AND(B2313="",C2313="",D2313=""),"",IF(B2313="","Missing contract",IF(C2313="","Missing code",IF(LEFT(G2313,3)="Not","Wrong code",IF(D2313="","Missing qty",IF(A2313="","Missing date",""))))))</f>
        <v/>
      </c>
      <c r="I2313" s="84" t="str">
        <f aca="false">IF(B2313=Dashboard!$D$3,ROW(),"")</f>
        <v/>
      </c>
    </row>
    <row r="2314" customFormat="false" ht="15" hidden="false" customHeight="false" outlineLevel="0" collapsed="false">
      <c r="A2314" s="80"/>
      <c r="B2314" s="71"/>
      <c r="C2314" s="71"/>
      <c r="D2314" s="81"/>
      <c r="E2314" s="71"/>
      <c r="F2314" s="71"/>
      <c r="G2314" s="82" t="str">
        <f aca="false">IF(C2314="","",IFERROR(INDEX('Kit Lists'!$D$6:$D$605,MATCH(B2314&amp;"|"&amp;C2314,'Kit Lists'!$J$6:$J$605,0)),"Not on this contract's kit list"))</f>
        <v/>
      </c>
      <c r="H2314" s="83" t="str">
        <f aca="false">IF(AND(B2314="",C2314="",D2314=""),"",IF(B2314="","Missing contract",IF(C2314="","Missing code",IF(LEFT(G2314,3)="Not","Wrong code",IF(D2314="","Missing qty",IF(A2314="","Missing date",""))))))</f>
        <v/>
      </c>
      <c r="I2314" s="84" t="str">
        <f aca="false">IF(B2314=Dashboard!$D$3,ROW(),"")</f>
        <v/>
      </c>
    </row>
    <row r="2315" customFormat="false" ht="15" hidden="false" customHeight="false" outlineLevel="0" collapsed="false">
      <c r="A2315" s="80"/>
      <c r="B2315" s="71"/>
      <c r="C2315" s="71"/>
      <c r="D2315" s="81"/>
      <c r="E2315" s="71"/>
      <c r="F2315" s="71"/>
      <c r="G2315" s="82" t="str">
        <f aca="false">IF(C2315="","",IFERROR(INDEX('Kit Lists'!$D$6:$D$605,MATCH(B2315&amp;"|"&amp;C2315,'Kit Lists'!$J$6:$J$605,0)),"Not on this contract's kit list"))</f>
        <v/>
      </c>
      <c r="H2315" s="83" t="str">
        <f aca="false">IF(AND(B2315="",C2315="",D2315=""),"",IF(B2315="","Missing contract",IF(C2315="","Missing code",IF(LEFT(G2315,3)="Not","Wrong code",IF(D2315="","Missing qty",IF(A2315="","Missing date",""))))))</f>
        <v/>
      </c>
      <c r="I2315" s="84" t="str">
        <f aca="false">IF(B2315=Dashboard!$D$3,ROW(),"")</f>
        <v/>
      </c>
    </row>
    <row r="2316" customFormat="false" ht="15" hidden="false" customHeight="false" outlineLevel="0" collapsed="false">
      <c r="A2316" s="80"/>
      <c r="B2316" s="71"/>
      <c r="C2316" s="71"/>
      <c r="D2316" s="81"/>
      <c r="E2316" s="71"/>
      <c r="F2316" s="71"/>
      <c r="G2316" s="82" t="str">
        <f aca="false">IF(C2316="","",IFERROR(INDEX('Kit Lists'!$D$6:$D$605,MATCH(B2316&amp;"|"&amp;C2316,'Kit Lists'!$J$6:$J$605,0)),"Not on this contract's kit list"))</f>
        <v/>
      </c>
      <c r="H2316" s="83" t="str">
        <f aca="false">IF(AND(B2316="",C2316="",D2316=""),"",IF(B2316="","Missing contract",IF(C2316="","Missing code",IF(LEFT(G2316,3)="Not","Wrong code",IF(D2316="","Missing qty",IF(A2316="","Missing date",""))))))</f>
        <v/>
      </c>
      <c r="I2316" s="84" t="str">
        <f aca="false">IF(B2316=Dashboard!$D$3,ROW(),"")</f>
        <v/>
      </c>
    </row>
    <row r="2317" customFormat="false" ht="15" hidden="false" customHeight="false" outlineLevel="0" collapsed="false">
      <c r="A2317" s="80"/>
      <c r="B2317" s="71"/>
      <c r="C2317" s="71"/>
      <c r="D2317" s="81"/>
      <c r="E2317" s="71"/>
      <c r="F2317" s="71"/>
      <c r="G2317" s="82" t="str">
        <f aca="false">IF(C2317="","",IFERROR(INDEX('Kit Lists'!$D$6:$D$605,MATCH(B2317&amp;"|"&amp;C2317,'Kit Lists'!$J$6:$J$605,0)),"Not on this contract's kit list"))</f>
        <v/>
      </c>
      <c r="H2317" s="83" t="str">
        <f aca="false">IF(AND(B2317="",C2317="",D2317=""),"",IF(B2317="","Missing contract",IF(C2317="","Missing code",IF(LEFT(G2317,3)="Not","Wrong code",IF(D2317="","Missing qty",IF(A2317="","Missing date",""))))))</f>
        <v/>
      </c>
      <c r="I2317" s="84" t="str">
        <f aca="false">IF(B2317=Dashboard!$D$3,ROW(),"")</f>
        <v/>
      </c>
    </row>
    <row r="2318" customFormat="false" ht="15" hidden="false" customHeight="false" outlineLevel="0" collapsed="false">
      <c r="A2318" s="80"/>
      <c r="B2318" s="71"/>
      <c r="C2318" s="71"/>
      <c r="D2318" s="81"/>
      <c r="E2318" s="71"/>
      <c r="F2318" s="71"/>
      <c r="G2318" s="82" t="str">
        <f aca="false">IF(C2318="","",IFERROR(INDEX('Kit Lists'!$D$6:$D$605,MATCH(B2318&amp;"|"&amp;C2318,'Kit Lists'!$J$6:$J$605,0)),"Not on this contract's kit list"))</f>
        <v/>
      </c>
      <c r="H2318" s="83" t="str">
        <f aca="false">IF(AND(B2318="",C2318="",D2318=""),"",IF(B2318="","Missing contract",IF(C2318="","Missing code",IF(LEFT(G2318,3)="Not","Wrong code",IF(D2318="","Missing qty",IF(A2318="","Missing date",""))))))</f>
        <v/>
      </c>
      <c r="I2318" s="84" t="str">
        <f aca="false">IF(B2318=Dashboard!$D$3,ROW(),"")</f>
        <v/>
      </c>
    </row>
    <row r="2319" customFormat="false" ht="15" hidden="false" customHeight="false" outlineLevel="0" collapsed="false">
      <c r="A2319" s="80"/>
      <c r="B2319" s="71"/>
      <c r="C2319" s="71"/>
      <c r="D2319" s="81"/>
      <c r="E2319" s="71"/>
      <c r="F2319" s="71"/>
      <c r="G2319" s="82" t="str">
        <f aca="false">IF(C2319="","",IFERROR(INDEX('Kit Lists'!$D$6:$D$605,MATCH(B2319&amp;"|"&amp;C2319,'Kit Lists'!$J$6:$J$605,0)),"Not on this contract's kit list"))</f>
        <v/>
      </c>
      <c r="H2319" s="83" t="str">
        <f aca="false">IF(AND(B2319="",C2319="",D2319=""),"",IF(B2319="","Missing contract",IF(C2319="","Missing code",IF(LEFT(G2319,3)="Not","Wrong code",IF(D2319="","Missing qty",IF(A2319="","Missing date",""))))))</f>
        <v/>
      </c>
      <c r="I2319" s="84" t="str">
        <f aca="false">IF(B2319=Dashboard!$D$3,ROW(),"")</f>
        <v/>
      </c>
    </row>
    <row r="2320" customFormat="false" ht="15" hidden="false" customHeight="false" outlineLevel="0" collapsed="false">
      <c r="A2320" s="80"/>
      <c r="B2320" s="71"/>
      <c r="C2320" s="71"/>
      <c r="D2320" s="81"/>
      <c r="E2320" s="71"/>
      <c r="F2320" s="71"/>
      <c r="G2320" s="82" t="str">
        <f aca="false">IF(C2320="","",IFERROR(INDEX('Kit Lists'!$D$6:$D$605,MATCH(B2320&amp;"|"&amp;C2320,'Kit Lists'!$J$6:$J$605,0)),"Not on this contract's kit list"))</f>
        <v/>
      </c>
      <c r="H2320" s="83" t="str">
        <f aca="false">IF(AND(B2320="",C2320="",D2320=""),"",IF(B2320="","Missing contract",IF(C2320="","Missing code",IF(LEFT(G2320,3)="Not","Wrong code",IF(D2320="","Missing qty",IF(A2320="","Missing date",""))))))</f>
        <v/>
      </c>
      <c r="I2320" s="84" t="str">
        <f aca="false">IF(B2320=Dashboard!$D$3,ROW(),"")</f>
        <v/>
      </c>
    </row>
    <row r="2321" customFormat="false" ht="15" hidden="false" customHeight="false" outlineLevel="0" collapsed="false">
      <c r="A2321" s="80"/>
      <c r="B2321" s="71"/>
      <c r="C2321" s="71"/>
      <c r="D2321" s="81"/>
      <c r="E2321" s="71"/>
      <c r="F2321" s="71"/>
      <c r="G2321" s="82" t="str">
        <f aca="false">IF(C2321="","",IFERROR(INDEX('Kit Lists'!$D$6:$D$605,MATCH(B2321&amp;"|"&amp;C2321,'Kit Lists'!$J$6:$J$605,0)),"Not on this contract's kit list"))</f>
        <v/>
      </c>
      <c r="H2321" s="83" t="str">
        <f aca="false">IF(AND(B2321="",C2321="",D2321=""),"",IF(B2321="","Missing contract",IF(C2321="","Missing code",IF(LEFT(G2321,3)="Not","Wrong code",IF(D2321="","Missing qty",IF(A2321="","Missing date",""))))))</f>
        <v/>
      </c>
      <c r="I2321" s="84" t="str">
        <f aca="false">IF(B2321=Dashboard!$D$3,ROW(),"")</f>
        <v/>
      </c>
    </row>
    <row r="2322" customFormat="false" ht="15" hidden="false" customHeight="false" outlineLevel="0" collapsed="false">
      <c r="A2322" s="80"/>
      <c r="B2322" s="71"/>
      <c r="C2322" s="71"/>
      <c r="D2322" s="81"/>
      <c r="E2322" s="71"/>
      <c r="F2322" s="71"/>
      <c r="G2322" s="82" t="str">
        <f aca="false">IF(C2322="","",IFERROR(INDEX('Kit Lists'!$D$6:$D$605,MATCH(B2322&amp;"|"&amp;C2322,'Kit Lists'!$J$6:$J$605,0)),"Not on this contract's kit list"))</f>
        <v/>
      </c>
      <c r="H2322" s="83" t="str">
        <f aca="false">IF(AND(B2322="",C2322="",D2322=""),"",IF(B2322="","Missing contract",IF(C2322="","Missing code",IF(LEFT(G2322,3)="Not","Wrong code",IF(D2322="","Missing qty",IF(A2322="","Missing date",""))))))</f>
        <v/>
      </c>
      <c r="I2322" s="84" t="str">
        <f aca="false">IF(B2322=Dashboard!$D$3,ROW(),"")</f>
        <v/>
      </c>
    </row>
    <row r="2323" customFormat="false" ht="15" hidden="false" customHeight="false" outlineLevel="0" collapsed="false">
      <c r="A2323" s="80"/>
      <c r="B2323" s="71"/>
      <c r="C2323" s="71"/>
      <c r="D2323" s="81"/>
      <c r="E2323" s="71"/>
      <c r="F2323" s="71"/>
      <c r="G2323" s="82" t="str">
        <f aca="false">IF(C2323="","",IFERROR(INDEX('Kit Lists'!$D$6:$D$605,MATCH(B2323&amp;"|"&amp;C2323,'Kit Lists'!$J$6:$J$605,0)),"Not on this contract's kit list"))</f>
        <v/>
      </c>
      <c r="H2323" s="83" t="str">
        <f aca="false">IF(AND(B2323="",C2323="",D2323=""),"",IF(B2323="","Missing contract",IF(C2323="","Missing code",IF(LEFT(G2323,3)="Not","Wrong code",IF(D2323="","Missing qty",IF(A2323="","Missing date",""))))))</f>
        <v/>
      </c>
      <c r="I2323" s="84" t="str">
        <f aca="false">IF(B2323=Dashboard!$D$3,ROW(),"")</f>
        <v/>
      </c>
    </row>
    <row r="2324" customFormat="false" ht="15" hidden="false" customHeight="false" outlineLevel="0" collapsed="false">
      <c r="A2324" s="80"/>
      <c r="B2324" s="71"/>
      <c r="C2324" s="71"/>
      <c r="D2324" s="81"/>
      <c r="E2324" s="71"/>
      <c r="F2324" s="71"/>
      <c r="G2324" s="82" t="str">
        <f aca="false">IF(C2324="","",IFERROR(INDEX('Kit Lists'!$D$6:$D$605,MATCH(B2324&amp;"|"&amp;C2324,'Kit Lists'!$J$6:$J$605,0)),"Not on this contract's kit list"))</f>
        <v/>
      </c>
      <c r="H2324" s="83" t="str">
        <f aca="false">IF(AND(B2324="",C2324="",D2324=""),"",IF(B2324="","Missing contract",IF(C2324="","Missing code",IF(LEFT(G2324,3)="Not","Wrong code",IF(D2324="","Missing qty",IF(A2324="","Missing date",""))))))</f>
        <v/>
      </c>
      <c r="I2324" s="84" t="str">
        <f aca="false">IF(B2324=Dashboard!$D$3,ROW(),"")</f>
        <v/>
      </c>
    </row>
    <row r="2325" customFormat="false" ht="15" hidden="false" customHeight="false" outlineLevel="0" collapsed="false">
      <c r="A2325" s="80"/>
      <c r="B2325" s="71"/>
      <c r="C2325" s="71"/>
      <c r="D2325" s="81"/>
      <c r="E2325" s="71"/>
      <c r="F2325" s="71"/>
      <c r="G2325" s="82" t="str">
        <f aca="false">IF(C2325="","",IFERROR(INDEX('Kit Lists'!$D$6:$D$605,MATCH(B2325&amp;"|"&amp;C2325,'Kit Lists'!$J$6:$J$605,0)),"Not on this contract's kit list"))</f>
        <v/>
      </c>
      <c r="H2325" s="83" t="str">
        <f aca="false">IF(AND(B2325="",C2325="",D2325=""),"",IF(B2325="","Missing contract",IF(C2325="","Missing code",IF(LEFT(G2325,3)="Not","Wrong code",IF(D2325="","Missing qty",IF(A2325="","Missing date",""))))))</f>
        <v/>
      </c>
      <c r="I2325" s="84" t="str">
        <f aca="false">IF(B2325=Dashboard!$D$3,ROW(),"")</f>
        <v/>
      </c>
    </row>
    <row r="2326" customFormat="false" ht="15" hidden="false" customHeight="false" outlineLevel="0" collapsed="false">
      <c r="A2326" s="80"/>
      <c r="B2326" s="71"/>
      <c r="C2326" s="71"/>
      <c r="D2326" s="81"/>
      <c r="E2326" s="71"/>
      <c r="F2326" s="71"/>
      <c r="G2326" s="82" t="str">
        <f aca="false">IF(C2326="","",IFERROR(INDEX('Kit Lists'!$D$6:$D$605,MATCH(B2326&amp;"|"&amp;C2326,'Kit Lists'!$J$6:$J$605,0)),"Not on this contract's kit list"))</f>
        <v/>
      </c>
      <c r="H2326" s="83" t="str">
        <f aca="false">IF(AND(B2326="",C2326="",D2326=""),"",IF(B2326="","Missing contract",IF(C2326="","Missing code",IF(LEFT(G2326,3)="Not","Wrong code",IF(D2326="","Missing qty",IF(A2326="","Missing date",""))))))</f>
        <v/>
      </c>
      <c r="I2326" s="84" t="str">
        <f aca="false">IF(B2326=Dashboard!$D$3,ROW(),"")</f>
        <v/>
      </c>
    </row>
    <row r="2327" customFormat="false" ht="15" hidden="false" customHeight="false" outlineLevel="0" collapsed="false">
      <c r="A2327" s="80"/>
      <c r="B2327" s="71"/>
      <c r="C2327" s="71"/>
      <c r="D2327" s="81"/>
      <c r="E2327" s="71"/>
      <c r="F2327" s="71"/>
      <c r="G2327" s="82" t="str">
        <f aca="false">IF(C2327="","",IFERROR(INDEX('Kit Lists'!$D$6:$D$605,MATCH(B2327&amp;"|"&amp;C2327,'Kit Lists'!$J$6:$J$605,0)),"Not on this contract's kit list"))</f>
        <v/>
      </c>
      <c r="H2327" s="83" t="str">
        <f aca="false">IF(AND(B2327="",C2327="",D2327=""),"",IF(B2327="","Missing contract",IF(C2327="","Missing code",IF(LEFT(G2327,3)="Not","Wrong code",IF(D2327="","Missing qty",IF(A2327="","Missing date",""))))))</f>
        <v/>
      </c>
      <c r="I2327" s="84" t="str">
        <f aca="false">IF(B2327=Dashboard!$D$3,ROW(),"")</f>
        <v/>
      </c>
    </row>
    <row r="2328" customFormat="false" ht="15" hidden="false" customHeight="false" outlineLevel="0" collapsed="false">
      <c r="A2328" s="80"/>
      <c r="B2328" s="71"/>
      <c r="C2328" s="71"/>
      <c r="D2328" s="81"/>
      <c r="E2328" s="71"/>
      <c r="F2328" s="71"/>
      <c r="G2328" s="82" t="str">
        <f aca="false">IF(C2328="","",IFERROR(INDEX('Kit Lists'!$D$6:$D$605,MATCH(B2328&amp;"|"&amp;C2328,'Kit Lists'!$J$6:$J$605,0)),"Not on this contract's kit list"))</f>
        <v/>
      </c>
      <c r="H2328" s="83" t="str">
        <f aca="false">IF(AND(B2328="",C2328="",D2328=""),"",IF(B2328="","Missing contract",IF(C2328="","Missing code",IF(LEFT(G2328,3)="Not","Wrong code",IF(D2328="","Missing qty",IF(A2328="","Missing date",""))))))</f>
        <v/>
      </c>
      <c r="I2328" s="84" t="str">
        <f aca="false">IF(B2328=Dashboard!$D$3,ROW(),"")</f>
        <v/>
      </c>
    </row>
    <row r="2329" customFormat="false" ht="15" hidden="false" customHeight="false" outlineLevel="0" collapsed="false">
      <c r="A2329" s="80"/>
      <c r="B2329" s="71"/>
      <c r="C2329" s="71"/>
      <c r="D2329" s="81"/>
      <c r="E2329" s="71"/>
      <c r="F2329" s="71"/>
      <c r="G2329" s="82" t="str">
        <f aca="false">IF(C2329="","",IFERROR(INDEX('Kit Lists'!$D$6:$D$605,MATCH(B2329&amp;"|"&amp;C2329,'Kit Lists'!$J$6:$J$605,0)),"Not on this contract's kit list"))</f>
        <v/>
      </c>
      <c r="H2329" s="83" t="str">
        <f aca="false">IF(AND(B2329="",C2329="",D2329=""),"",IF(B2329="","Missing contract",IF(C2329="","Missing code",IF(LEFT(G2329,3)="Not","Wrong code",IF(D2329="","Missing qty",IF(A2329="","Missing date",""))))))</f>
        <v/>
      </c>
      <c r="I2329" s="84" t="str">
        <f aca="false">IF(B2329=Dashboard!$D$3,ROW(),"")</f>
        <v/>
      </c>
    </row>
    <row r="2330" customFormat="false" ht="15" hidden="false" customHeight="false" outlineLevel="0" collapsed="false">
      <c r="A2330" s="80"/>
      <c r="B2330" s="71"/>
      <c r="C2330" s="71"/>
      <c r="D2330" s="81"/>
      <c r="E2330" s="71"/>
      <c r="F2330" s="71"/>
      <c r="G2330" s="82" t="str">
        <f aca="false">IF(C2330="","",IFERROR(INDEX('Kit Lists'!$D$6:$D$605,MATCH(B2330&amp;"|"&amp;C2330,'Kit Lists'!$J$6:$J$605,0)),"Not on this contract's kit list"))</f>
        <v/>
      </c>
      <c r="H2330" s="83" t="str">
        <f aca="false">IF(AND(B2330="",C2330="",D2330=""),"",IF(B2330="","Missing contract",IF(C2330="","Missing code",IF(LEFT(G2330,3)="Not","Wrong code",IF(D2330="","Missing qty",IF(A2330="","Missing date",""))))))</f>
        <v/>
      </c>
      <c r="I2330" s="84" t="str">
        <f aca="false">IF(B2330=Dashboard!$D$3,ROW(),"")</f>
        <v/>
      </c>
    </row>
    <row r="2331" customFormat="false" ht="15" hidden="false" customHeight="false" outlineLevel="0" collapsed="false">
      <c r="A2331" s="80"/>
      <c r="B2331" s="71"/>
      <c r="C2331" s="71"/>
      <c r="D2331" s="81"/>
      <c r="E2331" s="71"/>
      <c r="F2331" s="71"/>
      <c r="G2331" s="82" t="str">
        <f aca="false">IF(C2331="","",IFERROR(INDEX('Kit Lists'!$D$6:$D$605,MATCH(B2331&amp;"|"&amp;C2331,'Kit Lists'!$J$6:$J$605,0)),"Not on this contract's kit list"))</f>
        <v/>
      </c>
      <c r="H2331" s="83" t="str">
        <f aca="false">IF(AND(B2331="",C2331="",D2331=""),"",IF(B2331="","Missing contract",IF(C2331="","Missing code",IF(LEFT(G2331,3)="Not","Wrong code",IF(D2331="","Missing qty",IF(A2331="","Missing date",""))))))</f>
        <v/>
      </c>
      <c r="I2331" s="84" t="str">
        <f aca="false">IF(B2331=Dashboard!$D$3,ROW(),"")</f>
        <v/>
      </c>
    </row>
    <row r="2332" customFormat="false" ht="15" hidden="false" customHeight="false" outlineLevel="0" collapsed="false">
      <c r="A2332" s="80"/>
      <c r="B2332" s="71"/>
      <c r="C2332" s="71"/>
      <c r="D2332" s="81"/>
      <c r="E2332" s="71"/>
      <c r="F2332" s="71"/>
      <c r="G2332" s="82" t="str">
        <f aca="false">IF(C2332="","",IFERROR(INDEX('Kit Lists'!$D$6:$D$605,MATCH(B2332&amp;"|"&amp;C2332,'Kit Lists'!$J$6:$J$605,0)),"Not on this contract's kit list"))</f>
        <v/>
      </c>
      <c r="H2332" s="83" t="str">
        <f aca="false">IF(AND(B2332="",C2332="",D2332=""),"",IF(B2332="","Missing contract",IF(C2332="","Missing code",IF(LEFT(G2332,3)="Not","Wrong code",IF(D2332="","Missing qty",IF(A2332="","Missing date",""))))))</f>
        <v/>
      </c>
      <c r="I2332" s="84" t="str">
        <f aca="false">IF(B2332=Dashboard!$D$3,ROW(),"")</f>
        <v/>
      </c>
    </row>
    <row r="2333" customFormat="false" ht="15" hidden="false" customHeight="false" outlineLevel="0" collapsed="false">
      <c r="A2333" s="80"/>
      <c r="B2333" s="71"/>
      <c r="C2333" s="71"/>
      <c r="D2333" s="81"/>
      <c r="E2333" s="71"/>
      <c r="F2333" s="71"/>
      <c r="G2333" s="82" t="str">
        <f aca="false">IF(C2333="","",IFERROR(INDEX('Kit Lists'!$D$6:$D$605,MATCH(B2333&amp;"|"&amp;C2333,'Kit Lists'!$J$6:$J$605,0)),"Not on this contract's kit list"))</f>
        <v/>
      </c>
      <c r="H2333" s="83" t="str">
        <f aca="false">IF(AND(B2333="",C2333="",D2333=""),"",IF(B2333="","Missing contract",IF(C2333="","Missing code",IF(LEFT(G2333,3)="Not","Wrong code",IF(D2333="","Missing qty",IF(A2333="","Missing date",""))))))</f>
        <v/>
      </c>
      <c r="I2333" s="84" t="str">
        <f aca="false">IF(B2333=Dashboard!$D$3,ROW(),"")</f>
        <v/>
      </c>
    </row>
    <row r="2334" customFormat="false" ht="15" hidden="false" customHeight="false" outlineLevel="0" collapsed="false">
      <c r="A2334" s="80"/>
      <c r="B2334" s="71"/>
      <c r="C2334" s="71"/>
      <c r="D2334" s="81"/>
      <c r="E2334" s="71"/>
      <c r="F2334" s="71"/>
      <c r="G2334" s="82" t="str">
        <f aca="false">IF(C2334="","",IFERROR(INDEX('Kit Lists'!$D$6:$D$605,MATCH(B2334&amp;"|"&amp;C2334,'Kit Lists'!$J$6:$J$605,0)),"Not on this contract's kit list"))</f>
        <v/>
      </c>
      <c r="H2334" s="83" t="str">
        <f aca="false">IF(AND(B2334="",C2334="",D2334=""),"",IF(B2334="","Missing contract",IF(C2334="","Missing code",IF(LEFT(G2334,3)="Not","Wrong code",IF(D2334="","Missing qty",IF(A2334="","Missing date",""))))))</f>
        <v/>
      </c>
      <c r="I2334" s="84" t="str">
        <f aca="false">IF(B2334=Dashboard!$D$3,ROW(),"")</f>
        <v/>
      </c>
    </row>
    <row r="2335" customFormat="false" ht="15" hidden="false" customHeight="false" outlineLevel="0" collapsed="false">
      <c r="A2335" s="80"/>
      <c r="B2335" s="71"/>
      <c r="C2335" s="71"/>
      <c r="D2335" s="81"/>
      <c r="E2335" s="71"/>
      <c r="F2335" s="71"/>
      <c r="G2335" s="82" t="str">
        <f aca="false">IF(C2335="","",IFERROR(INDEX('Kit Lists'!$D$6:$D$605,MATCH(B2335&amp;"|"&amp;C2335,'Kit Lists'!$J$6:$J$605,0)),"Not on this contract's kit list"))</f>
        <v/>
      </c>
      <c r="H2335" s="83" t="str">
        <f aca="false">IF(AND(B2335="",C2335="",D2335=""),"",IF(B2335="","Missing contract",IF(C2335="","Missing code",IF(LEFT(G2335,3)="Not","Wrong code",IF(D2335="","Missing qty",IF(A2335="","Missing date",""))))))</f>
        <v/>
      </c>
      <c r="I2335" s="84" t="str">
        <f aca="false">IF(B2335=Dashboard!$D$3,ROW(),"")</f>
        <v/>
      </c>
    </row>
    <row r="2336" customFormat="false" ht="15" hidden="false" customHeight="false" outlineLevel="0" collapsed="false">
      <c r="A2336" s="80"/>
      <c r="B2336" s="71"/>
      <c r="C2336" s="71"/>
      <c r="D2336" s="81"/>
      <c r="E2336" s="71"/>
      <c r="F2336" s="71"/>
      <c r="G2336" s="82" t="str">
        <f aca="false">IF(C2336="","",IFERROR(INDEX('Kit Lists'!$D$6:$D$605,MATCH(B2336&amp;"|"&amp;C2336,'Kit Lists'!$J$6:$J$605,0)),"Not on this contract's kit list"))</f>
        <v/>
      </c>
      <c r="H2336" s="83" t="str">
        <f aca="false">IF(AND(B2336="",C2336="",D2336=""),"",IF(B2336="","Missing contract",IF(C2336="","Missing code",IF(LEFT(G2336,3)="Not","Wrong code",IF(D2336="","Missing qty",IF(A2336="","Missing date",""))))))</f>
        <v/>
      </c>
      <c r="I2336" s="84" t="str">
        <f aca="false">IF(B2336=Dashboard!$D$3,ROW(),"")</f>
        <v/>
      </c>
    </row>
    <row r="2337" customFormat="false" ht="15" hidden="false" customHeight="false" outlineLevel="0" collapsed="false">
      <c r="A2337" s="80"/>
      <c r="B2337" s="71"/>
      <c r="C2337" s="71"/>
      <c r="D2337" s="81"/>
      <c r="E2337" s="71"/>
      <c r="F2337" s="71"/>
      <c r="G2337" s="82" t="str">
        <f aca="false">IF(C2337="","",IFERROR(INDEX('Kit Lists'!$D$6:$D$605,MATCH(B2337&amp;"|"&amp;C2337,'Kit Lists'!$J$6:$J$605,0)),"Not on this contract's kit list"))</f>
        <v/>
      </c>
      <c r="H2337" s="83" t="str">
        <f aca="false">IF(AND(B2337="",C2337="",D2337=""),"",IF(B2337="","Missing contract",IF(C2337="","Missing code",IF(LEFT(G2337,3)="Not","Wrong code",IF(D2337="","Missing qty",IF(A2337="","Missing date",""))))))</f>
        <v/>
      </c>
      <c r="I2337" s="84" t="str">
        <f aca="false">IF(B2337=Dashboard!$D$3,ROW(),"")</f>
        <v/>
      </c>
    </row>
    <row r="2338" customFormat="false" ht="15" hidden="false" customHeight="false" outlineLevel="0" collapsed="false">
      <c r="A2338" s="80"/>
      <c r="B2338" s="71"/>
      <c r="C2338" s="71"/>
      <c r="D2338" s="81"/>
      <c r="E2338" s="71"/>
      <c r="F2338" s="71"/>
      <c r="G2338" s="82" t="str">
        <f aca="false">IF(C2338="","",IFERROR(INDEX('Kit Lists'!$D$6:$D$605,MATCH(B2338&amp;"|"&amp;C2338,'Kit Lists'!$J$6:$J$605,0)),"Not on this contract's kit list"))</f>
        <v/>
      </c>
      <c r="H2338" s="83" t="str">
        <f aca="false">IF(AND(B2338="",C2338="",D2338=""),"",IF(B2338="","Missing contract",IF(C2338="","Missing code",IF(LEFT(G2338,3)="Not","Wrong code",IF(D2338="","Missing qty",IF(A2338="","Missing date",""))))))</f>
        <v/>
      </c>
      <c r="I2338" s="84" t="str">
        <f aca="false">IF(B2338=Dashboard!$D$3,ROW(),"")</f>
        <v/>
      </c>
    </row>
    <row r="2339" customFormat="false" ht="15" hidden="false" customHeight="false" outlineLevel="0" collapsed="false">
      <c r="A2339" s="80"/>
      <c r="B2339" s="71"/>
      <c r="C2339" s="71"/>
      <c r="D2339" s="81"/>
      <c r="E2339" s="71"/>
      <c r="F2339" s="71"/>
      <c r="G2339" s="82" t="str">
        <f aca="false">IF(C2339="","",IFERROR(INDEX('Kit Lists'!$D$6:$D$605,MATCH(B2339&amp;"|"&amp;C2339,'Kit Lists'!$J$6:$J$605,0)),"Not on this contract's kit list"))</f>
        <v/>
      </c>
      <c r="H2339" s="83" t="str">
        <f aca="false">IF(AND(B2339="",C2339="",D2339=""),"",IF(B2339="","Missing contract",IF(C2339="","Missing code",IF(LEFT(G2339,3)="Not","Wrong code",IF(D2339="","Missing qty",IF(A2339="","Missing date",""))))))</f>
        <v/>
      </c>
      <c r="I2339" s="84" t="str">
        <f aca="false">IF(B2339=Dashboard!$D$3,ROW(),"")</f>
        <v/>
      </c>
    </row>
    <row r="2340" customFormat="false" ht="15" hidden="false" customHeight="false" outlineLevel="0" collapsed="false">
      <c r="A2340" s="80"/>
      <c r="B2340" s="71"/>
      <c r="C2340" s="71"/>
      <c r="D2340" s="81"/>
      <c r="E2340" s="71"/>
      <c r="F2340" s="71"/>
      <c r="G2340" s="82" t="str">
        <f aca="false">IF(C2340="","",IFERROR(INDEX('Kit Lists'!$D$6:$D$605,MATCH(B2340&amp;"|"&amp;C2340,'Kit Lists'!$J$6:$J$605,0)),"Not on this contract's kit list"))</f>
        <v/>
      </c>
      <c r="H2340" s="83" t="str">
        <f aca="false">IF(AND(B2340="",C2340="",D2340=""),"",IF(B2340="","Missing contract",IF(C2340="","Missing code",IF(LEFT(G2340,3)="Not","Wrong code",IF(D2340="","Missing qty",IF(A2340="","Missing date",""))))))</f>
        <v/>
      </c>
      <c r="I2340" s="84" t="str">
        <f aca="false">IF(B2340=Dashboard!$D$3,ROW(),"")</f>
        <v/>
      </c>
    </row>
    <row r="2341" customFormat="false" ht="15" hidden="false" customHeight="false" outlineLevel="0" collapsed="false">
      <c r="A2341" s="80"/>
      <c r="B2341" s="71"/>
      <c r="C2341" s="71"/>
      <c r="D2341" s="81"/>
      <c r="E2341" s="71"/>
      <c r="F2341" s="71"/>
      <c r="G2341" s="82" t="str">
        <f aca="false">IF(C2341="","",IFERROR(INDEX('Kit Lists'!$D$6:$D$605,MATCH(B2341&amp;"|"&amp;C2341,'Kit Lists'!$J$6:$J$605,0)),"Not on this contract's kit list"))</f>
        <v/>
      </c>
      <c r="H2341" s="83" t="str">
        <f aca="false">IF(AND(B2341="",C2341="",D2341=""),"",IF(B2341="","Missing contract",IF(C2341="","Missing code",IF(LEFT(G2341,3)="Not","Wrong code",IF(D2341="","Missing qty",IF(A2341="","Missing date",""))))))</f>
        <v/>
      </c>
      <c r="I2341" s="84" t="str">
        <f aca="false">IF(B2341=Dashboard!$D$3,ROW(),"")</f>
        <v/>
      </c>
    </row>
    <row r="2342" customFormat="false" ht="15" hidden="false" customHeight="false" outlineLevel="0" collapsed="false">
      <c r="A2342" s="80"/>
      <c r="B2342" s="71"/>
      <c r="C2342" s="71"/>
      <c r="D2342" s="81"/>
      <c r="E2342" s="71"/>
      <c r="F2342" s="71"/>
      <c r="G2342" s="82" t="str">
        <f aca="false">IF(C2342="","",IFERROR(INDEX('Kit Lists'!$D$6:$D$605,MATCH(B2342&amp;"|"&amp;C2342,'Kit Lists'!$J$6:$J$605,0)),"Not on this contract's kit list"))</f>
        <v/>
      </c>
      <c r="H2342" s="83" t="str">
        <f aca="false">IF(AND(B2342="",C2342="",D2342=""),"",IF(B2342="","Missing contract",IF(C2342="","Missing code",IF(LEFT(G2342,3)="Not","Wrong code",IF(D2342="","Missing qty",IF(A2342="","Missing date",""))))))</f>
        <v/>
      </c>
      <c r="I2342" s="84" t="str">
        <f aca="false">IF(B2342=Dashboard!$D$3,ROW(),"")</f>
        <v/>
      </c>
    </row>
    <row r="2343" customFormat="false" ht="15" hidden="false" customHeight="false" outlineLevel="0" collapsed="false">
      <c r="A2343" s="80"/>
      <c r="B2343" s="71"/>
      <c r="C2343" s="71"/>
      <c r="D2343" s="81"/>
      <c r="E2343" s="71"/>
      <c r="F2343" s="71"/>
      <c r="G2343" s="82" t="str">
        <f aca="false">IF(C2343="","",IFERROR(INDEX('Kit Lists'!$D$6:$D$605,MATCH(B2343&amp;"|"&amp;C2343,'Kit Lists'!$J$6:$J$605,0)),"Not on this contract's kit list"))</f>
        <v/>
      </c>
      <c r="H2343" s="83" t="str">
        <f aca="false">IF(AND(B2343="",C2343="",D2343=""),"",IF(B2343="","Missing contract",IF(C2343="","Missing code",IF(LEFT(G2343,3)="Not","Wrong code",IF(D2343="","Missing qty",IF(A2343="","Missing date",""))))))</f>
        <v/>
      </c>
      <c r="I2343" s="84" t="str">
        <f aca="false">IF(B2343=Dashboard!$D$3,ROW(),"")</f>
        <v/>
      </c>
    </row>
    <row r="2344" customFormat="false" ht="15" hidden="false" customHeight="false" outlineLevel="0" collapsed="false">
      <c r="A2344" s="80"/>
      <c r="B2344" s="71"/>
      <c r="C2344" s="71"/>
      <c r="D2344" s="81"/>
      <c r="E2344" s="71"/>
      <c r="F2344" s="71"/>
      <c r="G2344" s="82" t="str">
        <f aca="false">IF(C2344="","",IFERROR(INDEX('Kit Lists'!$D$6:$D$605,MATCH(B2344&amp;"|"&amp;C2344,'Kit Lists'!$J$6:$J$605,0)),"Not on this contract's kit list"))</f>
        <v/>
      </c>
      <c r="H2344" s="83" t="str">
        <f aca="false">IF(AND(B2344="",C2344="",D2344=""),"",IF(B2344="","Missing contract",IF(C2344="","Missing code",IF(LEFT(G2344,3)="Not","Wrong code",IF(D2344="","Missing qty",IF(A2344="","Missing date",""))))))</f>
        <v/>
      </c>
      <c r="I2344" s="84" t="str">
        <f aca="false">IF(B2344=Dashboard!$D$3,ROW(),"")</f>
        <v/>
      </c>
    </row>
    <row r="2345" customFormat="false" ht="15" hidden="false" customHeight="false" outlineLevel="0" collapsed="false">
      <c r="A2345" s="80"/>
      <c r="B2345" s="71"/>
      <c r="C2345" s="71"/>
      <c r="D2345" s="81"/>
      <c r="E2345" s="71"/>
      <c r="F2345" s="71"/>
      <c r="G2345" s="82" t="str">
        <f aca="false">IF(C2345="","",IFERROR(INDEX('Kit Lists'!$D$6:$D$605,MATCH(B2345&amp;"|"&amp;C2345,'Kit Lists'!$J$6:$J$605,0)),"Not on this contract's kit list"))</f>
        <v/>
      </c>
      <c r="H2345" s="83" t="str">
        <f aca="false">IF(AND(B2345="",C2345="",D2345=""),"",IF(B2345="","Missing contract",IF(C2345="","Missing code",IF(LEFT(G2345,3)="Not","Wrong code",IF(D2345="","Missing qty",IF(A2345="","Missing date",""))))))</f>
        <v/>
      </c>
      <c r="I2345" s="84" t="str">
        <f aca="false">IF(B2345=Dashboard!$D$3,ROW(),"")</f>
        <v/>
      </c>
    </row>
    <row r="2346" customFormat="false" ht="15" hidden="false" customHeight="false" outlineLevel="0" collapsed="false">
      <c r="A2346" s="80"/>
      <c r="B2346" s="71"/>
      <c r="C2346" s="71"/>
      <c r="D2346" s="81"/>
      <c r="E2346" s="71"/>
      <c r="F2346" s="71"/>
      <c r="G2346" s="82" t="str">
        <f aca="false">IF(C2346="","",IFERROR(INDEX('Kit Lists'!$D$6:$D$605,MATCH(B2346&amp;"|"&amp;C2346,'Kit Lists'!$J$6:$J$605,0)),"Not on this contract's kit list"))</f>
        <v/>
      </c>
      <c r="H2346" s="83" t="str">
        <f aca="false">IF(AND(B2346="",C2346="",D2346=""),"",IF(B2346="","Missing contract",IF(C2346="","Missing code",IF(LEFT(G2346,3)="Not","Wrong code",IF(D2346="","Missing qty",IF(A2346="","Missing date",""))))))</f>
        <v/>
      </c>
      <c r="I2346" s="84" t="str">
        <f aca="false">IF(B2346=Dashboard!$D$3,ROW(),"")</f>
        <v/>
      </c>
    </row>
    <row r="2347" customFormat="false" ht="15" hidden="false" customHeight="false" outlineLevel="0" collapsed="false">
      <c r="A2347" s="80"/>
      <c r="B2347" s="71"/>
      <c r="C2347" s="71"/>
      <c r="D2347" s="81"/>
      <c r="E2347" s="71"/>
      <c r="F2347" s="71"/>
      <c r="G2347" s="82" t="str">
        <f aca="false">IF(C2347="","",IFERROR(INDEX('Kit Lists'!$D$6:$D$605,MATCH(B2347&amp;"|"&amp;C2347,'Kit Lists'!$J$6:$J$605,0)),"Not on this contract's kit list"))</f>
        <v/>
      </c>
      <c r="H2347" s="83" t="str">
        <f aca="false">IF(AND(B2347="",C2347="",D2347=""),"",IF(B2347="","Missing contract",IF(C2347="","Missing code",IF(LEFT(G2347,3)="Not","Wrong code",IF(D2347="","Missing qty",IF(A2347="","Missing date",""))))))</f>
        <v/>
      </c>
      <c r="I2347" s="84" t="str">
        <f aca="false">IF(B2347=Dashboard!$D$3,ROW(),"")</f>
        <v/>
      </c>
    </row>
    <row r="2348" customFormat="false" ht="15" hidden="false" customHeight="false" outlineLevel="0" collapsed="false">
      <c r="A2348" s="80"/>
      <c r="B2348" s="71"/>
      <c r="C2348" s="71"/>
      <c r="D2348" s="81"/>
      <c r="E2348" s="71"/>
      <c r="F2348" s="71"/>
      <c r="G2348" s="82" t="str">
        <f aca="false">IF(C2348="","",IFERROR(INDEX('Kit Lists'!$D$6:$D$605,MATCH(B2348&amp;"|"&amp;C2348,'Kit Lists'!$J$6:$J$605,0)),"Not on this contract's kit list"))</f>
        <v/>
      </c>
      <c r="H2348" s="83" t="str">
        <f aca="false">IF(AND(B2348="",C2348="",D2348=""),"",IF(B2348="","Missing contract",IF(C2348="","Missing code",IF(LEFT(G2348,3)="Not","Wrong code",IF(D2348="","Missing qty",IF(A2348="","Missing date",""))))))</f>
        <v/>
      </c>
      <c r="I2348" s="84" t="str">
        <f aca="false">IF(B2348=Dashboard!$D$3,ROW(),"")</f>
        <v/>
      </c>
    </row>
    <row r="2349" customFormat="false" ht="15" hidden="false" customHeight="false" outlineLevel="0" collapsed="false">
      <c r="A2349" s="80"/>
      <c r="B2349" s="71"/>
      <c r="C2349" s="71"/>
      <c r="D2349" s="81"/>
      <c r="E2349" s="71"/>
      <c r="F2349" s="71"/>
      <c r="G2349" s="82" t="str">
        <f aca="false">IF(C2349="","",IFERROR(INDEX('Kit Lists'!$D$6:$D$605,MATCH(B2349&amp;"|"&amp;C2349,'Kit Lists'!$J$6:$J$605,0)),"Not on this contract's kit list"))</f>
        <v/>
      </c>
      <c r="H2349" s="83" t="str">
        <f aca="false">IF(AND(B2349="",C2349="",D2349=""),"",IF(B2349="","Missing contract",IF(C2349="","Missing code",IF(LEFT(G2349,3)="Not","Wrong code",IF(D2349="","Missing qty",IF(A2349="","Missing date",""))))))</f>
        <v/>
      </c>
      <c r="I2349" s="84" t="str">
        <f aca="false">IF(B2349=Dashboard!$D$3,ROW(),"")</f>
        <v/>
      </c>
    </row>
    <row r="2350" customFormat="false" ht="15" hidden="false" customHeight="false" outlineLevel="0" collapsed="false">
      <c r="A2350" s="80"/>
      <c r="B2350" s="71"/>
      <c r="C2350" s="71"/>
      <c r="D2350" s="81"/>
      <c r="E2350" s="71"/>
      <c r="F2350" s="71"/>
      <c r="G2350" s="82" t="str">
        <f aca="false">IF(C2350="","",IFERROR(INDEX('Kit Lists'!$D$6:$D$605,MATCH(B2350&amp;"|"&amp;C2350,'Kit Lists'!$J$6:$J$605,0)),"Not on this contract's kit list"))</f>
        <v/>
      </c>
      <c r="H2350" s="83" t="str">
        <f aca="false">IF(AND(B2350="",C2350="",D2350=""),"",IF(B2350="","Missing contract",IF(C2350="","Missing code",IF(LEFT(G2350,3)="Not","Wrong code",IF(D2350="","Missing qty",IF(A2350="","Missing date",""))))))</f>
        <v/>
      </c>
      <c r="I2350" s="84" t="str">
        <f aca="false">IF(B2350=Dashboard!$D$3,ROW(),"")</f>
        <v/>
      </c>
    </row>
    <row r="2351" customFormat="false" ht="15" hidden="false" customHeight="false" outlineLevel="0" collapsed="false">
      <c r="A2351" s="80"/>
      <c r="B2351" s="71"/>
      <c r="C2351" s="71"/>
      <c r="D2351" s="81"/>
      <c r="E2351" s="71"/>
      <c r="F2351" s="71"/>
      <c r="G2351" s="82" t="str">
        <f aca="false">IF(C2351="","",IFERROR(INDEX('Kit Lists'!$D$6:$D$605,MATCH(B2351&amp;"|"&amp;C2351,'Kit Lists'!$J$6:$J$605,0)),"Not on this contract's kit list"))</f>
        <v/>
      </c>
      <c r="H2351" s="83" t="str">
        <f aca="false">IF(AND(B2351="",C2351="",D2351=""),"",IF(B2351="","Missing contract",IF(C2351="","Missing code",IF(LEFT(G2351,3)="Not","Wrong code",IF(D2351="","Missing qty",IF(A2351="","Missing date",""))))))</f>
        <v/>
      </c>
      <c r="I2351" s="84" t="str">
        <f aca="false">IF(B2351=Dashboard!$D$3,ROW(),"")</f>
        <v/>
      </c>
    </row>
    <row r="2352" customFormat="false" ht="15" hidden="false" customHeight="false" outlineLevel="0" collapsed="false">
      <c r="A2352" s="80"/>
      <c r="B2352" s="71"/>
      <c r="C2352" s="71"/>
      <c r="D2352" s="81"/>
      <c r="E2352" s="71"/>
      <c r="F2352" s="71"/>
      <c r="G2352" s="82" t="str">
        <f aca="false">IF(C2352="","",IFERROR(INDEX('Kit Lists'!$D$6:$D$605,MATCH(B2352&amp;"|"&amp;C2352,'Kit Lists'!$J$6:$J$605,0)),"Not on this contract's kit list"))</f>
        <v/>
      </c>
      <c r="H2352" s="83" t="str">
        <f aca="false">IF(AND(B2352="",C2352="",D2352=""),"",IF(B2352="","Missing contract",IF(C2352="","Missing code",IF(LEFT(G2352,3)="Not","Wrong code",IF(D2352="","Missing qty",IF(A2352="","Missing date",""))))))</f>
        <v/>
      </c>
      <c r="I2352" s="84" t="str">
        <f aca="false">IF(B2352=Dashboard!$D$3,ROW(),"")</f>
        <v/>
      </c>
    </row>
    <row r="2353" customFormat="false" ht="15" hidden="false" customHeight="false" outlineLevel="0" collapsed="false">
      <c r="A2353" s="80"/>
      <c r="B2353" s="71"/>
      <c r="C2353" s="71"/>
      <c r="D2353" s="81"/>
      <c r="E2353" s="71"/>
      <c r="F2353" s="71"/>
      <c r="G2353" s="82" t="str">
        <f aca="false">IF(C2353="","",IFERROR(INDEX('Kit Lists'!$D$6:$D$605,MATCH(B2353&amp;"|"&amp;C2353,'Kit Lists'!$J$6:$J$605,0)),"Not on this contract's kit list"))</f>
        <v/>
      </c>
      <c r="H2353" s="83" t="str">
        <f aca="false">IF(AND(B2353="",C2353="",D2353=""),"",IF(B2353="","Missing contract",IF(C2353="","Missing code",IF(LEFT(G2353,3)="Not","Wrong code",IF(D2353="","Missing qty",IF(A2353="","Missing date",""))))))</f>
        <v/>
      </c>
      <c r="I2353" s="84" t="str">
        <f aca="false">IF(B2353=Dashboard!$D$3,ROW(),"")</f>
        <v/>
      </c>
    </row>
    <row r="2354" customFormat="false" ht="15" hidden="false" customHeight="false" outlineLevel="0" collapsed="false">
      <c r="A2354" s="80"/>
      <c r="B2354" s="71"/>
      <c r="C2354" s="71"/>
      <c r="D2354" s="81"/>
      <c r="E2354" s="71"/>
      <c r="F2354" s="71"/>
      <c r="G2354" s="82" t="str">
        <f aca="false">IF(C2354="","",IFERROR(INDEX('Kit Lists'!$D$6:$D$605,MATCH(B2354&amp;"|"&amp;C2354,'Kit Lists'!$J$6:$J$605,0)),"Not on this contract's kit list"))</f>
        <v/>
      </c>
      <c r="H2354" s="83" t="str">
        <f aca="false">IF(AND(B2354="",C2354="",D2354=""),"",IF(B2354="","Missing contract",IF(C2354="","Missing code",IF(LEFT(G2354,3)="Not","Wrong code",IF(D2354="","Missing qty",IF(A2354="","Missing date",""))))))</f>
        <v/>
      </c>
      <c r="I2354" s="84" t="str">
        <f aca="false">IF(B2354=Dashboard!$D$3,ROW(),"")</f>
        <v/>
      </c>
    </row>
    <row r="2355" customFormat="false" ht="15" hidden="false" customHeight="false" outlineLevel="0" collapsed="false">
      <c r="A2355" s="80"/>
      <c r="B2355" s="71"/>
      <c r="C2355" s="71"/>
      <c r="D2355" s="81"/>
      <c r="E2355" s="71"/>
      <c r="F2355" s="71"/>
      <c r="G2355" s="82" t="str">
        <f aca="false">IF(C2355="","",IFERROR(INDEX('Kit Lists'!$D$6:$D$605,MATCH(B2355&amp;"|"&amp;C2355,'Kit Lists'!$J$6:$J$605,0)),"Not on this contract's kit list"))</f>
        <v/>
      </c>
      <c r="H2355" s="83" t="str">
        <f aca="false">IF(AND(B2355="",C2355="",D2355=""),"",IF(B2355="","Missing contract",IF(C2355="","Missing code",IF(LEFT(G2355,3)="Not","Wrong code",IF(D2355="","Missing qty",IF(A2355="","Missing date",""))))))</f>
        <v/>
      </c>
      <c r="I2355" s="84" t="str">
        <f aca="false">IF(B2355=Dashboard!$D$3,ROW(),"")</f>
        <v/>
      </c>
    </row>
    <row r="2356" customFormat="false" ht="15" hidden="false" customHeight="false" outlineLevel="0" collapsed="false">
      <c r="A2356" s="80"/>
      <c r="B2356" s="71"/>
      <c r="C2356" s="71"/>
      <c r="D2356" s="81"/>
      <c r="E2356" s="71"/>
      <c r="F2356" s="71"/>
      <c r="G2356" s="82" t="str">
        <f aca="false">IF(C2356="","",IFERROR(INDEX('Kit Lists'!$D$6:$D$605,MATCH(B2356&amp;"|"&amp;C2356,'Kit Lists'!$J$6:$J$605,0)),"Not on this contract's kit list"))</f>
        <v/>
      </c>
      <c r="H2356" s="83" t="str">
        <f aca="false">IF(AND(B2356="",C2356="",D2356=""),"",IF(B2356="","Missing contract",IF(C2356="","Missing code",IF(LEFT(G2356,3)="Not","Wrong code",IF(D2356="","Missing qty",IF(A2356="","Missing date",""))))))</f>
        <v/>
      </c>
      <c r="I2356" s="84" t="str">
        <f aca="false">IF(B2356=Dashboard!$D$3,ROW(),"")</f>
        <v/>
      </c>
    </row>
    <row r="2357" customFormat="false" ht="15" hidden="false" customHeight="false" outlineLevel="0" collapsed="false">
      <c r="A2357" s="80"/>
      <c r="B2357" s="71"/>
      <c r="C2357" s="71"/>
      <c r="D2357" s="81"/>
      <c r="E2357" s="71"/>
      <c r="F2357" s="71"/>
      <c r="G2357" s="82" t="str">
        <f aca="false">IF(C2357="","",IFERROR(INDEX('Kit Lists'!$D$6:$D$605,MATCH(B2357&amp;"|"&amp;C2357,'Kit Lists'!$J$6:$J$605,0)),"Not on this contract's kit list"))</f>
        <v/>
      </c>
      <c r="H2357" s="83" t="str">
        <f aca="false">IF(AND(B2357="",C2357="",D2357=""),"",IF(B2357="","Missing contract",IF(C2357="","Missing code",IF(LEFT(G2357,3)="Not","Wrong code",IF(D2357="","Missing qty",IF(A2357="","Missing date",""))))))</f>
        <v/>
      </c>
      <c r="I2357" s="84" t="str">
        <f aca="false">IF(B2357=Dashboard!$D$3,ROW(),"")</f>
        <v/>
      </c>
    </row>
    <row r="2358" customFormat="false" ht="15" hidden="false" customHeight="false" outlineLevel="0" collapsed="false">
      <c r="A2358" s="80"/>
      <c r="B2358" s="71"/>
      <c r="C2358" s="71"/>
      <c r="D2358" s="81"/>
      <c r="E2358" s="71"/>
      <c r="F2358" s="71"/>
      <c r="G2358" s="82" t="str">
        <f aca="false">IF(C2358="","",IFERROR(INDEX('Kit Lists'!$D$6:$D$605,MATCH(B2358&amp;"|"&amp;C2358,'Kit Lists'!$J$6:$J$605,0)),"Not on this contract's kit list"))</f>
        <v/>
      </c>
      <c r="H2358" s="83" t="str">
        <f aca="false">IF(AND(B2358="",C2358="",D2358=""),"",IF(B2358="","Missing contract",IF(C2358="","Missing code",IF(LEFT(G2358,3)="Not","Wrong code",IF(D2358="","Missing qty",IF(A2358="","Missing date",""))))))</f>
        <v/>
      </c>
      <c r="I2358" s="84" t="str">
        <f aca="false">IF(B2358=Dashboard!$D$3,ROW(),"")</f>
        <v/>
      </c>
    </row>
    <row r="2359" customFormat="false" ht="15" hidden="false" customHeight="false" outlineLevel="0" collapsed="false">
      <c r="A2359" s="80"/>
      <c r="B2359" s="71"/>
      <c r="C2359" s="71"/>
      <c r="D2359" s="81"/>
      <c r="E2359" s="71"/>
      <c r="F2359" s="71"/>
      <c r="G2359" s="82" t="str">
        <f aca="false">IF(C2359="","",IFERROR(INDEX('Kit Lists'!$D$6:$D$605,MATCH(B2359&amp;"|"&amp;C2359,'Kit Lists'!$J$6:$J$605,0)),"Not on this contract's kit list"))</f>
        <v/>
      </c>
      <c r="H2359" s="83" t="str">
        <f aca="false">IF(AND(B2359="",C2359="",D2359=""),"",IF(B2359="","Missing contract",IF(C2359="","Missing code",IF(LEFT(G2359,3)="Not","Wrong code",IF(D2359="","Missing qty",IF(A2359="","Missing date",""))))))</f>
        <v/>
      </c>
      <c r="I2359" s="84" t="str">
        <f aca="false">IF(B2359=Dashboard!$D$3,ROW(),"")</f>
        <v/>
      </c>
    </row>
    <row r="2360" customFormat="false" ht="15" hidden="false" customHeight="false" outlineLevel="0" collapsed="false">
      <c r="A2360" s="80"/>
      <c r="B2360" s="71"/>
      <c r="C2360" s="71"/>
      <c r="D2360" s="81"/>
      <c r="E2360" s="71"/>
      <c r="F2360" s="71"/>
      <c r="G2360" s="82" t="str">
        <f aca="false">IF(C2360="","",IFERROR(INDEX('Kit Lists'!$D$6:$D$605,MATCH(B2360&amp;"|"&amp;C2360,'Kit Lists'!$J$6:$J$605,0)),"Not on this contract's kit list"))</f>
        <v/>
      </c>
      <c r="H2360" s="83" t="str">
        <f aca="false">IF(AND(B2360="",C2360="",D2360=""),"",IF(B2360="","Missing contract",IF(C2360="","Missing code",IF(LEFT(G2360,3)="Not","Wrong code",IF(D2360="","Missing qty",IF(A2360="","Missing date",""))))))</f>
        <v/>
      </c>
      <c r="I2360" s="84" t="str">
        <f aca="false">IF(B2360=Dashboard!$D$3,ROW(),"")</f>
        <v/>
      </c>
    </row>
    <row r="2361" customFormat="false" ht="15" hidden="false" customHeight="false" outlineLevel="0" collapsed="false">
      <c r="A2361" s="80"/>
      <c r="B2361" s="71"/>
      <c r="C2361" s="71"/>
      <c r="D2361" s="81"/>
      <c r="E2361" s="71"/>
      <c r="F2361" s="71"/>
      <c r="G2361" s="82" t="str">
        <f aca="false">IF(C2361="","",IFERROR(INDEX('Kit Lists'!$D$6:$D$605,MATCH(B2361&amp;"|"&amp;C2361,'Kit Lists'!$J$6:$J$605,0)),"Not on this contract's kit list"))</f>
        <v/>
      </c>
      <c r="H2361" s="83" t="str">
        <f aca="false">IF(AND(B2361="",C2361="",D2361=""),"",IF(B2361="","Missing contract",IF(C2361="","Missing code",IF(LEFT(G2361,3)="Not","Wrong code",IF(D2361="","Missing qty",IF(A2361="","Missing date",""))))))</f>
        <v/>
      </c>
      <c r="I2361" s="84" t="str">
        <f aca="false">IF(B2361=Dashboard!$D$3,ROW(),"")</f>
        <v/>
      </c>
    </row>
    <row r="2362" customFormat="false" ht="15" hidden="false" customHeight="false" outlineLevel="0" collapsed="false">
      <c r="A2362" s="80"/>
      <c r="B2362" s="71"/>
      <c r="C2362" s="71"/>
      <c r="D2362" s="81"/>
      <c r="E2362" s="71"/>
      <c r="F2362" s="71"/>
      <c r="G2362" s="82" t="str">
        <f aca="false">IF(C2362="","",IFERROR(INDEX('Kit Lists'!$D$6:$D$605,MATCH(B2362&amp;"|"&amp;C2362,'Kit Lists'!$J$6:$J$605,0)),"Not on this contract's kit list"))</f>
        <v/>
      </c>
      <c r="H2362" s="83" t="str">
        <f aca="false">IF(AND(B2362="",C2362="",D2362=""),"",IF(B2362="","Missing contract",IF(C2362="","Missing code",IF(LEFT(G2362,3)="Not","Wrong code",IF(D2362="","Missing qty",IF(A2362="","Missing date",""))))))</f>
        <v/>
      </c>
      <c r="I2362" s="84" t="str">
        <f aca="false">IF(B2362=Dashboard!$D$3,ROW(),"")</f>
        <v/>
      </c>
    </row>
    <row r="2363" customFormat="false" ht="15" hidden="false" customHeight="false" outlineLevel="0" collapsed="false">
      <c r="A2363" s="80"/>
      <c r="B2363" s="71"/>
      <c r="C2363" s="71"/>
      <c r="D2363" s="81"/>
      <c r="E2363" s="71"/>
      <c r="F2363" s="71"/>
      <c r="G2363" s="82" t="str">
        <f aca="false">IF(C2363="","",IFERROR(INDEX('Kit Lists'!$D$6:$D$605,MATCH(B2363&amp;"|"&amp;C2363,'Kit Lists'!$J$6:$J$605,0)),"Not on this contract's kit list"))</f>
        <v/>
      </c>
      <c r="H2363" s="83" t="str">
        <f aca="false">IF(AND(B2363="",C2363="",D2363=""),"",IF(B2363="","Missing contract",IF(C2363="","Missing code",IF(LEFT(G2363,3)="Not","Wrong code",IF(D2363="","Missing qty",IF(A2363="","Missing date",""))))))</f>
        <v/>
      </c>
      <c r="I2363" s="84" t="str">
        <f aca="false">IF(B2363=Dashboard!$D$3,ROW(),"")</f>
        <v/>
      </c>
    </row>
    <row r="2364" customFormat="false" ht="15" hidden="false" customHeight="false" outlineLevel="0" collapsed="false">
      <c r="A2364" s="80"/>
      <c r="B2364" s="71"/>
      <c r="C2364" s="71"/>
      <c r="D2364" s="81"/>
      <c r="E2364" s="71"/>
      <c r="F2364" s="71"/>
      <c r="G2364" s="82" t="str">
        <f aca="false">IF(C2364="","",IFERROR(INDEX('Kit Lists'!$D$6:$D$605,MATCH(B2364&amp;"|"&amp;C2364,'Kit Lists'!$J$6:$J$605,0)),"Not on this contract's kit list"))</f>
        <v/>
      </c>
      <c r="H2364" s="83" t="str">
        <f aca="false">IF(AND(B2364="",C2364="",D2364=""),"",IF(B2364="","Missing contract",IF(C2364="","Missing code",IF(LEFT(G2364,3)="Not","Wrong code",IF(D2364="","Missing qty",IF(A2364="","Missing date",""))))))</f>
        <v/>
      </c>
      <c r="I2364" s="84" t="str">
        <f aca="false">IF(B2364=Dashboard!$D$3,ROW(),"")</f>
        <v/>
      </c>
    </row>
    <row r="2365" customFormat="false" ht="15" hidden="false" customHeight="false" outlineLevel="0" collapsed="false">
      <c r="A2365" s="80"/>
      <c r="B2365" s="71"/>
      <c r="C2365" s="71"/>
      <c r="D2365" s="81"/>
      <c r="E2365" s="71"/>
      <c r="F2365" s="71"/>
      <c r="G2365" s="82" t="str">
        <f aca="false">IF(C2365="","",IFERROR(INDEX('Kit Lists'!$D$6:$D$605,MATCH(B2365&amp;"|"&amp;C2365,'Kit Lists'!$J$6:$J$605,0)),"Not on this contract's kit list"))</f>
        <v/>
      </c>
      <c r="H2365" s="83" t="str">
        <f aca="false">IF(AND(B2365="",C2365="",D2365=""),"",IF(B2365="","Missing contract",IF(C2365="","Missing code",IF(LEFT(G2365,3)="Not","Wrong code",IF(D2365="","Missing qty",IF(A2365="","Missing date",""))))))</f>
        <v/>
      </c>
      <c r="I2365" s="84" t="str">
        <f aca="false">IF(B2365=Dashboard!$D$3,ROW(),"")</f>
        <v/>
      </c>
    </row>
    <row r="2366" customFormat="false" ht="15" hidden="false" customHeight="false" outlineLevel="0" collapsed="false">
      <c r="A2366" s="80"/>
      <c r="B2366" s="71"/>
      <c r="C2366" s="71"/>
      <c r="D2366" s="81"/>
      <c r="E2366" s="71"/>
      <c r="F2366" s="71"/>
      <c r="G2366" s="82" t="str">
        <f aca="false">IF(C2366="","",IFERROR(INDEX('Kit Lists'!$D$6:$D$605,MATCH(B2366&amp;"|"&amp;C2366,'Kit Lists'!$J$6:$J$605,0)),"Not on this contract's kit list"))</f>
        <v/>
      </c>
      <c r="H2366" s="83" t="str">
        <f aca="false">IF(AND(B2366="",C2366="",D2366=""),"",IF(B2366="","Missing contract",IF(C2366="","Missing code",IF(LEFT(G2366,3)="Not","Wrong code",IF(D2366="","Missing qty",IF(A2366="","Missing date",""))))))</f>
        <v/>
      </c>
      <c r="I2366" s="84" t="str">
        <f aca="false">IF(B2366=Dashboard!$D$3,ROW(),"")</f>
        <v/>
      </c>
    </row>
    <row r="2367" customFormat="false" ht="15" hidden="false" customHeight="false" outlineLevel="0" collapsed="false">
      <c r="A2367" s="80"/>
      <c r="B2367" s="71"/>
      <c r="C2367" s="71"/>
      <c r="D2367" s="81"/>
      <c r="E2367" s="71"/>
      <c r="F2367" s="71"/>
      <c r="G2367" s="82" t="str">
        <f aca="false">IF(C2367="","",IFERROR(INDEX('Kit Lists'!$D$6:$D$605,MATCH(B2367&amp;"|"&amp;C2367,'Kit Lists'!$J$6:$J$605,0)),"Not on this contract's kit list"))</f>
        <v/>
      </c>
      <c r="H2367" s="83" t="str">
        <f aca="false">IF(AND(B2367="",C2367="",D2367=""),"",IF(B2367="","Missing contract",IF(C2367="","Missing code",IF(LEFT(G2367,3)="Not","Wrong code",IF(D2367="","Missing qty",IF(A2367="","Missing date",""))))))</f>
        <v/>
      </c>
      <c r="I2367" s="84" t="str">
        <f aca="false">IF(B2367=Dashboard!$D$3,ROW(),"")</f>
        <v/>
      </c>
    </row>
    <row r="2368" customFormat="false" ht="15" hidden="false" customHeight="false" outlineLevel="0" collapsed="false">
      <c r="A2368" s="80"/>
      <c r="B2368" s="71"/>
      <c r="C2368" s="71"/>
      <c r="D2368" s="81"/>
      <c r="E2368" s="71"/>
      <c r="F2368" s="71"/>
      <c r="G2368" s="82" t="str">
        <f aca="false">IF(C2368="","",IFERROR(INDEX('Kit Lists'!$D$6:$D$605,MATCH(B2368&amp;"|"&amp;C2368,'Kit Lists'!$J$6:$J$605,0)),"Not on this contract's kit list"))</f>
        <v/>
      </c>
      <c r="H2368" s="83" t="str">
        <f aca="false">IF(AND(B2368="",C2368="",D2368=""),"",IF(B2368="","Missing contract",IF(C2368="","Missing code",IF(LEFT(G2368,3)="Not","Wrong code",IF(D2368="","Missing qty",IF(A2368="","Missing date",""))))))</f>
        <v/>
      </c>
      <c r="I2368" s="84" t="str">
        <f aca="false">IF(B2368=Dashboard!$D$3,ROW(),"")</f>
        <v/>
      </c>
    </row>
    <row r="2369" customFormat="false" ht="15" hidden="false" customHeight="false" outlineLevel="0" collapsed="false">
      <c r="A2369" s="80"/>
      <c r="B2369" s="71"/>
      <c r="C2369" s="71"/>
      <c r="D2369" s="81"/>
      <c r="E2369" s="71"/>
      <c r="F2369" s="71"/>
      <c r="G2369" s="82" t="str">
        <f aca="false">IF(C2369="","",IFERROR(INDEX('Kit Lists'!$D$6:$D$605,MATCH(B2369&amp;"|"&amp;C2369,'Kit Lists'!$J$6:$J$605,0)),"Not on this contract's kit list"))</f>
        <v/>
      </c>
      <c r="H2369" s="83" t="str">
        <f aca="false">IF(AND(B2369="",C2369="",D2369=""),"",IF(B2369="","Missing contract",IF(C2369="","Missing code",IF(LEFT(G2369,3)="Not","Wrong code",IF(D2369="","Missing qty",IF(A2369="","Missing date",""))))))</f>
        <v/>
      </c>
      <c r="I2369" s="84" t="str">
        <f aca="false">IF(B2369=Dashboard!$D$3,ROW(),"")</f>
        <v/>
      </c>
    </row>
    <row r="2370" customFormat="false" ht="15" hidden="false" customHeight="false" outlineLevel="0" collapsed="false">
      <c r="A2370" s="80"/>
      <c r="B2370" s="71"/>
      <c r="C2370" s="71"/>
      <c r="D2370" s="81"/>
      <c r="E2370" s="71"/>
      <c r="F2370" s="71"/>
      <c r="G2370" s="82" t="str">
        <f aca="false">IF(C2370="","",IFERROR(INDEX('Kit Lists'!$D$6:$D$605,MATCH(B2370&amp;"|"&amp;C2370,'Kit Lists'!$J$6:$J$605,0)),"Not on this contract's kit list"))</f>
        <v/>
      </c>
      <c r="H2370" s="83" t="str">
        <f aca="false">IF(AND(B2370="",C2370="",D2370=""),"",IF(B2370="","Missing contract",IF(C2370="","Missing code",IF(LEFT(G2370,3)="Not","Wrong code",IF(D2370="","Missing qty",IF(A2370="","Missing date",""))))))</f>
        <v/>
      </c>
      <c r="I2370" s="84" t="str">
        <f aca="false">IF(B2370=Dashboard!$D$3,ROW(),"")</f>
        <v/>
      </c>
    </row>
    <row r="2371" customFormat="false" ht="15" hidden="false" customHeight="false" outlineLevel="0" collapsed="false">
      <c r="A2371" s="80"/>
      <c r="B2371" s="71"/>
      <c r="C2371" s="71"/>
      <c r="D2371" s="81"/>
      <c r="E2371" s="71"/>
      <c r="F2371" s="71"/>
      <c r="G2371" s="82" t="str">
        <f aca="false">IF(C2371="","",IFERROR(INDEX('Kit Lists'!$D$6:$D$605,MATCH(B2371&amp;"|"&amp;C2371,'Kit Lists'!$J$6:$J$605,0)),"Not on this contract's kit list"))</f>
        <v/>
      </c>
      <c r="H2371" s="83" t="str">
        <f aca="false">IF(AND(B2371="",C2371="",D2371=""),"",IF(B2371="","Missing contract",IF(C2371="","Missing code",IF(LEFT(G2371,3)="Not","Wrong code",IF(D2371="","Missing qty",IF(A2371="","Missing date",""))))))</f>
        <v/>
      </c>
      <c r="I2371" s="84" t="str">
        <f aca="false">IF(B2371=Dashboard!$D$3,ROW(),"")</f>
        <v/>
      </c>
    </row>
    <row r="2372" customFormat="false" ht="15" hidden="false" customHeight="false" outlineLevel="0" collapsed="false">
      <c r="A2372" s="80"/>
      <c r="B2372" s="71"/>
      <c r="C2372" s="71"/>
      <c r="D2372" s="81"/>
      <c r="E2372" s="71"/>
      <c r="F2372" s="71"/>
      <c r="G2372" s="82" t="str">
        <f aca="false">IF(C2372="","",IFERROR(INDEX('Kit Lists'!$D$6:$D$605,MATCH(B2372&amp;"|"&amp;C2372,'Kit Lists'!$J$6:$J$605,0)),"Not on this contract's kit list"))</f>
        <v/>
      </c>
      <c r="H2372" s="83" t="str">
        <f aca="false">IF(AND(B2372="",C2372="",D2372=""),"",IF(B2372="","Missing contract",IF(C2372="","Missing code",IF(LEFT(G2372,3)="Not","Wrong code",IF(D2372="","Missing qty",IF(A2372="","Missing date",""))))))</f>
        <v/>
      </c>
      <c r="I2372" s="84" t="str">
        <f aca="false">IF(B2372=Dashboard!$D$3,ROW(),"")</f>
        <v/>
      </c>
    </row>
    <row r="2373" customFormat="false" ht="15" hidden="false" customHeight="false" outlineLevel="0" collapsed="false">
      <c r="A2373" s="80"/>
      <c r="B2373" s="71"/>
      <c r="C2373" s="71"/>
      <c r="D2373" s="81"/>
      <c r="E2373" s="71"/>
      <c r="F2373" s="71"/>
      <c r="G2373" s="82" t="str">
        <f aca="false">IF(C2373="","",IFERROR(INDEX('Kit Lists'!$D$6:$D$605,MATCH(B2373&amp;"|"&amp;C2373,'Kit Lists'!$J$6:$J$605,0)),"Not on this contract's kit list"))</f>
        <v/>
      </c>
      <c r="H2373" s="83" t="str">
        <f aca="false">IF(AND(B2373="",C2373="",D2373=""),"",IF(B2373="","Missing contract",IF(C2373="","Missing code",IF(LEFT(G2373,3)="Not","Wrong code",IF(D2373="","Missing qty",IF(A2373="","Missing date",""))))))</f>
        <v/>
      </c>
      <c r="I2373" s="84" t="str">
        <f aca="false">IF(B2373=Dashboard!$D$3,ROW(),"")</f>
        <v/>
      </c>
    </row>
    <row r="2374" customFormat="false" ht="15" hidden="false" customHeight="false" outlineLevel="0" collapsed="false">
      <c r="A2374" s="80"/>
      <c r="B2374" s="71"/>
      <c r="C2374" s="71"/>
      <c r="D2374" s="81"/>
      <c r="E2374" s="71"/>
      <c r="F2374" s="71"/>
      <c r="G2374" s="82" t="str">
        <f aca="false">IF(C2374="","",IFERROR(INDEX('Kit Lists'!$D$6:$D$605,MATCH(B2374&amp;"|"&amp;C2374,'Kit Lists'!$J$6:$J$605,0)),"Not on this contract's kit list"))</f>
        <v/>
      </c>
      <c r="H2374" s="83" t="str">
        <f aca="false">IF(AND(B2374="",C2374="",D2374=""),"",IF(B2374="","Missing contract",IF(C2374="","Missing code",IF(LEFT(G2374,3)="Not","Wrong code",IF(D2374="","Missing qty",IF(A2374="","Missing date",""))))))</f>
        <v/>
      </c>
      <c r="I2374" s="84" t="str">
        <f aca="false">IF(B2374=Dashboard!$D$3,ROW(),"")</f>
        <v/>
      </c>
    </row>
    <row r="2375" customFormat="false" ht="15" hidden="false" customHeight="false" outlineLevel="0" collapsed="false">
      <c r="A2375" s="80"/>
      <c r="B2375" s="71"/>
      <c r="C2375" s="71"/>
      <c r="D2375" s="81"/>
      <c r="E2375" s="71"/>
      <c r="F2375" s="71"/>
      <c r="G2375" s="82" t="str">
        <f aca="false">IF(C2375="","",IFERROR(INDEX('Kit Lists'!$D$6:$D$605,MATCH(B2375&amp;"|"&amp;C2375,'Kit Lists'!$J$6:$J$605,0)),"Not on this contract's kit list"))</f>
        <v/>
      </c>
      <c r="H2375" s="83" t="str">
        <f aca="false">IF(AND(B2375="",C2375="",D2375=""),"",IF(B2375="","Missing contract",IF(C2375="","Missing code",IF(LEFT(G2375,3)="Not","Wrong code",IF(D2375="","Missing qty",IF(A2375="","Missing date",""))))))</f>
        <v/>
      </c>
      <c r="I2375" s="84" t="str">
        <f aca="false">IF(B2375=Dashboard!$D$3,ROW(),"")</f>
        <v/>
      </c>
    </row>
    <row r="2376" customFormat="false" ht="15" hidden="false" customHeight="false" outlineLevel="0" collapsed="false">
      <c r="A2376" s="80"/>
      <c r="B2376" s="71"/>
      <c r="C2376" s="71"/>
      <c r="D2376" s="81"/>
      <c r="E2376" s="71"/>
      <c r="F2376" s="71"/>
      <c r="G2376" s="82" t="str">
        <f aca="false">IF(C2376="","",IFERROR(INDEX('Kit Lists'!$D$6:$D$605,MATCH(B2376&amp;"|"&amp;C2376,'Kit Lists'!$J$6:$J$605,0)),"Not on this contract's kit list"))</f>
        <v/>
      </c>
      <c r="H2376" s="83" t="str">
        <f aca="false">IF(AND(B2376="",C2376="",D2376=""),"",IF(B2376="","Missing contract",IF(C2376="","Missing code",IF(LEFT(G2376,3)="Not","Wrong code",IF(D2376="","Missing qty",IF(A2376="","Missing date",""))))))</f>
        <v/>
      </c>
      <c r="I2376" s="84" t="str">
        <f aca="false">IF(B2376=Dashboard!$D$3,ROW(),"")</f>
        <v/>
      </c>
    </row>
    <row r="2377" customFormat="false" ht="15" hidden="false" customHeight="false" outlineLevel="0" collapsed="false">
      <c r="A2377" s="80"/>
      <c r="B2377" s="71"/>
      <c r="C2377" s="71"/>
      <c r="D2377" s="81"/>
      <c r="E2377" s="71"/>
      <c r="F2377" s="71"/>
      <c r="G2377" s="82" t="str">
        <f aca="false">IF(C2377="","",IFERROR(INDEX('Kit Lists'!$D$6:$D$605,MATCH(B2377&amp;"|"&amp;C2377,'Kit Lists'!$J$6:$J$605,0)),"Not on this contract's kit list"))</f>
        <v/>
      </c>
      <c r="H2377" s="83" t="str">
        <f aca="false">IF(AND(B2377="",C2377="",D2377=""),"",IF(B2377="","Missing contract",IF(C2377="","Missing code",IF(LEFT(G2377,3)="Not","Wrong code",IF(D2377="","Missing qty",IF(A2377="","Missing date",""))))))</f>
        <v/>
      </c>
      <c r="I2377" s="84" t="str">
        <f aca="false">IF(B2377=Dashboard!$D$3,ROW(),"")</f>
        <v/>
      </c>
    </row>
    <row r="2378" customFormat="false" ht="15" hidden="false" customHeight="false" outlineLevel="0" collapsed="false">
      <c r="A2378" s="80"/>
      <c r="B2378" s="71"/>
      <c r="C2378" s="71"/>
      <c r="D2378" s="81"/>
      <c r="E2378" s="71"/>
      <c r="F2378" s="71"/>
      <c r="G2378" s="82" t="str">
        <f aca="false">IF(C2378="","",IFERROR(INDEX('Kit Lists'!$D$6:$D$605,MATCH(B2378&amp;"|"&amp;C2378,'Kit Lists'!$J$6:$J$605,0)),"Not on this contract's kit list"))</f>
        <v/>
      </c>
      <c r="H2378" s="83" t="str">
        <f aca="false">IF(AND(B2378="",C2378="",D2378=""),"",IF(B2378="","Missing contract",IF(C2378="","Missing code",IF(LEFT(G2378,3)="Not","Wrong code",IF(D2378="","Missing qty",IF(A2378="","Missing date",""))))))</f>
        <v/>
      </c>
      <c r="I2378" s="84" t="str">
        <f aca="false">IF(B2378=Dashboard!$D$3,ROW(),"")</f>
        <v/>
      </c>
    </row>
    <row r="2379" customFormat="false" ht="15" hidden="false" customHeight="false" outlineLevel="0" collapsed="false">
      <c r="A2379" s="80"/>
      <c r="B2379" s="71"/>
      <c r="C2379" s="71"/>
      <c r="D2379" s="81"/>
      <c r="E2379" s="71"/>
      <c r="F2379" s="71"/>
      <c r="G2379" s="82" t="str">
        <f aca="false">IF(C2379="","",IFERROR(INDEX('Kit Lists'!$D$6:$D$605,MATCH(B2379&amp;"|"&amp;C2379,'Kit Lists'!$J$6:$J$605,0)),"Not on this contract's kit list"))</f>
        <v/>
      </c>
      <c r="H2379" s="83" t="str">
        <f aca="false">IF(AND(B2379="",C2379="",D2379=""),"",IF(B2379="","Missing contract",IF(C2379="","Missing code",IF(LEFT(G2379,3)="Not","Wrong code",IF(D2379="","Missing qty",IF(A2379="","Missing date",""))))))</f>
        <v/>
      </c>
      <c r="I2379" s="84" t="str">
        <f aca="false">IF(B2379=Dashboard!$D$3,ROW(),"")</f>
        <v/>
      </c>
    </row>
    <row r="2380" customFormat="false" ht="15" hidden="false" customHeight="false" outlineLevel="0" collapsed="false">
      <c r="A2380" s="80"/>
      <c r="B2380" s="71"/>
      <c r="C2380" s="71"/>
      <c r="D2380" s="81"/>
      <c r="E2380" s="71"/>
      <c r="F2380" s="71"/>
      <c r="G2380" s="82" t="str">
        <f aca="false">IF(C2380="","",IFERROR(INDEX('Kit Lists'!$D$6:$D$605,MATCH(B2380&amp;"|"&amp;C2380,'Kit Lists'!$J$6:$J$605,0)),"Not on this contract's kit list"))</f>
        <v/>
      </c>
      <c r="H2380" s="83" t="str">
        <f aca="false">IF(AND(B2380="",C2380="",D2380=""),"",IF(B2380="","Missing contract",IF(C2380="","Missing code",IF(LEFT(G2380,3)="Not","Wrong code",IF(D2380="","Missing qty",IF(A2380="","Missing date",""))))))</f>
        <v/>
      </c>
      <c r="I2380" s="84" t="str">
        <f aca="false">IF(B2380=Dashboard!$D$3,ROW(),"")</f>
        <v/>
      </c>
    </row>
    <row r="2381" customFormat="false" ht="15" hidden="false" customHeight="false" outlineLevel="0" collapsed="false">
      <c r="A2381" s="80"/>
      <c r="B2381" s="71"/>
      <c r="C2381" s="71"/>
      <c r="D2381" s="81"/>
      <c r="E2381" s="71"/>
      <c r="F2381" s="71"/>
      <c r="G2381" s="82" t="str">
        <f aca="false">IF(C2381="","",IFERROR(INDEX('Kit Lists'!$D$6:$D$605,MATCH(B2381&amp;"|"&amp;C2381,'Kit Lists'!$J$6:$J$605,0)),"Not on this contract's kit list"))</f>
        <v/>
      </c>
      <c r="H2381" s="83" t="str">
        <f aca="false">IF(AND(B2381="",C2381="",D2381=""),"",IF(B2381="","Missing contract",IF(C2381="","Missing code",IF(LEFT(G2381,3)="Not","Wrong code",IF(D2381="","Missing qty",IF(A2381="","Missing date",""))))))</f>
        <v/>
      </c>
      <c r="I2381" s="84" t="str">
        <f aca="false">IF(B2381=Dashboard!$D$3,ROW(),"")</f>
        <v/>
      </c>
    </row>
    <row r="2382" customFormat="false" ht="15" hidden="false" customHeight="false" outlineLevel="0" collapsed="false">
      <c r="A2382" s="80"/>
      <c r="B2382" s="71"/>
      <c r="C2382" s="71"/>
      <c r="D2382" s="81"/>
      <c r="E2382" s="71"/>
      <c r="F2382" s="71"/>
      <c r="G2382" s="82" t="str">
        <f aca="false">IF(C2382="","",IFERROR(INDEX('Kit Lists'!$D$6:$D$605,MATCH(B2382&amp;"|"&amp;C2382,'Kit Lists'!$J$6:$J$605,0)),"Not on this contract's kit list"))</f>
        <v/>
      </c>
      <c r="H2382" s="83" t="str">
        <f aca="false">IF(AND(B2382="",C2382="",D2382=""),"",IF(B2382="","Missing contract",IF(C2382="","Missing code",IF(LEFT(G2382,3)="Not","Wrong code",IF(D2382="","Missing qty",IF(A2382="","Missing date",""))))))</f>
        <v/>
      </c>
      <c r="I2382" s="84" t="str">
        <f aca="false">IF(B2382=Dashboard!$D$3,ROW(),"")</f>
        <v/>
      </c>
    </row>
    <row r="2383" customFormat="false" ht="15" hidden="false" customHeight="false" outlineLevel="0" collapsed="false">
      <c r="A2383" s="80"/>
      <c r="B2383" s="71"/>
      <c r="C2383" s="71"/>
      <c r="D2383" s="81"/>
      <c r="E2383" s="71"/>
      <c r="F2383" s="71"/>
      <c r="G2383" s="82" t="str">
        <f aca="false">IF(C2383="","",IFERROR(INDEX('Kit Lists'!$D$6:$D$605,MATCH(B2383&amp;"|"&amp;C2383,'Kit Lists'!$J$6:$J$605,0)),"Not on this contract's kit list"))</f>
        <v/>
      </c>
      <c r="H2383" s="83" t="str">
        <f aca="false">IF(AND(B2383="",C2383="",D2383=""),"",IF(B2383="","Missing contract",IF(C2383="","Missing code",IF(LEFT(G2383,3)="Not","Wrong code",IF(D2383="","Missing qty",IF(A2383="","Missing date",""))))))</f>
        <v/>
      </c>
      <c r="I2383" s="84" t="str">
        <f aca="false">IF(B2383=Dashboard!$D$3,ROW(),"")</f>
        <v/>
      </c>
    </row>
    <row r="2384" customFormat="false" ht="15" hidden="false" customHeight="false" outlineLevel="0" collapsed="false">
      <c r="A2384" s="80"/>
      <c r="B2384" s="71"/>
      <c r="C2384" s="71"/>
      <c r="D2384" s="81"/>
      <c r="E2384" s="71"/>
      <c r="F2384" s="71"/>
      <c r="G2384" s="82" t="str">
        <f aca="false">IF(C2384="","",IFERROR(INDEX('Kit Lists'!$D$6:$D$605,MATCH(B2384&amp;"|"&amp;C2384,'Kit Lists'!$J$6:$J$605,0)),"Not on this contract's kit list"))</f>
        <v/>
      </c>
      <c r="H2384" s="83" t="str">
        <f aca="false">IF(AND(B2384="",C2384="",D2384=""),"",IF(B2384="","Missing contract",IF(C2384="","Missing code",IF(LEFT(G2384,3)="Not","Wrong code",IF(D2384="","Missing qty",IF(A2384="","Missing date",""))))))</f>
        <v/>
      </c>
      <c r="I2384" s="84" t="str">
        <f aca="false">IF(B2384=Dashboard!$D$3,ROW(),"")</f>
        <v/>
      </c>
    </row>
    <row r="2385" customFormat="false" ht="15" hidden="false" customHeight="false" outlineLevel="0" collapsed="false">
      <c r="A2385" s="80"/>
      <c r="B2385" s="71"/>
      <c r="C2385" s="71"/>
      <c r="D2385" s="81"/>
      <c r="E2385" s="71"/>
      <c r="F2385" s="71"/>
      <c r="G2385" s="82" t="str">
        <f aca="false">IF(C2385="","",IFERROR(INDEX('Kit Lists'!$D$6:$D$605,MATCH(B2385&amp;"|"&amp;C2385,'Kit Lists'!$J$6:$J$605,0)),"Not on this contract's kit list"))</f>
        <v/>
      </c>
      <c r="H2385" s="83" t="str">
        <f aca="false">IF(AND(B2385="",C2385="",D2385=""),"",IF(B2385="","Missing contract",IF(C2385="","Missing code",IF(LEFT(G2385,3)="Not","Wrong code",IF(D2385="","Missing qty",IF(A2385="","Missing date",""))))))</f>
        <v/>
      </c>
      <c r="I2385" s="84" t="str">
        <f aca="false">IF(B2385=Dashboard!$D$3,ROW(),"")</f>
        <v/>
      </c>
    </row>
    <row r="2386" customFormat="false" ht="15" hidden="false" customHeight="false" outlineLevel="0" collapsed="false">
      <c r="A2386" s="80"/>
      <c r="B2386" s="71"/>
      <c r="C2386" s="71"/>
      <c r="D2386" s="81"/>
      <c r="E2386" s="71"/>
      <c r="F2386" s="71"/>
      <c r="G2386" s="82" t="str">
        <f aca="false">IF(C2386="","",IFERROR(INDEX('Kit Lists'!$D$6:$D$605,MATCH(B2386&amp;"|"&amp;C2386,'Kit Lists'!$J$6:$J$605,0)),"Not on this contract's kit list"))</f>
        <v/>
      </c>
      <c r="H2386" s="83" t="str">
        <f aca="false">IF(AND(B2386="",C2386="",D2386=""),"",IF(B2386="","Missing contract",IF(C2386="","Missing code",IF(LEFT(G2386,3)="Not","Wrong code",IF(D2386="","Missing qty",IF(A2386="","Missing date",""))))))</f>
        <v/>
      </c>
      <c r="I2386" s="84" t="str">
        <f aca="false">IF(B2386=Dashboard!$D$3,ROW(),"")</f>
        <v/>
      </c>
    </row>
    <row r="2387" customFormat="false" ht="15" hidden="false" customHeight="false" outlineLevel="0" collapsed="false">
      <c r="A2387" s="80"/>
      <c r="B2387" s="71"/>
      <c r="C2387" s="71"/>
      <c r="D2387" s="81"/>
      <c r="E2387" s="71"/>
      <c r="F2387" s="71"/>
      <c r="G2387" s="82" t="str">
        <f aca="false">IF(C2387="","",IFERROR(INDEX('Kit Lists'!$D$6:$D$605,MATCH(B2387&amp;"|"&amp;C2387,'Kit Lists'!$J$6:$J$605,0)),"Not on this contract's kit list"))</f>
        <v/>
      </c>
      <c r="H2387" s="83" t="str">
        <f aca="false">IF(AND(B2387="",C2387="",D2387=""),"",IF(B2387="","Missing contract",IF(C2387="","Missing code",IF(LEFT(G2387,3)="Not","Wrong code",IF(D2387="","Missing qty",IF(A2387="","Missing date",""))))))</f>
        <v/>
      </c>
      <c r="I2387" s="84" t="str">
        <f aca="false">IF(B2387=Dashboard!$D$3,ROW(),"")</f>
        <v/>
      </c>
    </row>
    <row r="2388" customFormat="false" ht="15" hidden="false" customHeight="false" outlineLevel="0" collapsed="false">
      <c r="A2388" s="80"/>
      <c r="B2388" s="71"/>
      <c r="C2388" s="71"/>
      <c r="D2388" s="81"/>
      <c r="E2388" s="71"/>
      <c r="F2388" s="71"/>
      <c r="G2388" s="82" t="str">
        <f aca="false">IF(C2388="","",IFERROR(INDEX('Kit Lists'!$D$6:$D$605,MATCH(B2388&amp;"|"&amp;C2388,'Kit Lists'!$J$6:$J$605,0)),"Not on this contract's kit list"))</f>
        <v/>
      </c>
      <c r="H2388" s="83" t="str">
        <f aca="false">IF(AND(B2388="",C2388="",D2388=""),"",IF(B2388="","Missing contract",IF(C2388="","Missing code",IF(LEFT(G2388,3)="Not","Wrong code",IF(D2388="","Missing qty",IF(A2388="","Missing date",""))))))</f>
        <v/>
      </c>
      <c r="I2388" s="84" t="str">
        <f aca="false">IF(B2388=Dashboard!$D$3,ROW(),"")</f>
        <v/>
      </c>
    </row>
    <row r="2389" customFormat="false" ht="15" hidden="false" customHeight="false" outlineLevel="0" collapsed="false">
      <c r="A2389" s="80"/>
      <c r="B2389" s="71"/>
      <c r="C2389" s="71"/>
      <c r="D2389" s="81"/>
      <c r="E2389" s="71"/>
      <c r="F2389" s="71"/>
      <c r="G2389" s="82" t="str">
        <f aca="false">IF(C2389="","",IFERROR(INDEX('Kit Lists'!$D$6:$D$605,MATCH(B2389&amp;"|"&amp;C2389,'Kit Lists'!$J$6:$J$605,0)),"Not on this contract's kit list"))</f>
        <v/>
      </c>
      <c r="H2389" s="83" t="str">
        <f aca="false">IF(AND(B2389="",C2389="",D2389=""),"",IF(B2389="","Missing contract",IF(C2389="","Missing code",IF(LEFT(G2389,3)="Not","Wrong code",IF(D2389="","Missing qty",IF(A2389="","Missing date",""))))))</f>
        <v/>
      </c>
      <c r="I2389" s="84" t="str">
        <f aca="false">IF(B2389=Dashboard!$D$3,ROW(),"")</f>
        <v/>
      </c>
    </row>
    <row r="2390" customFormat="false" ht="15" hidden="false" customHeight="false" outlineLevel="0" collapsed="false">
      <c r="A2390" s="80"/>
      <c r="B2390" s="71"/>
      <c r="C2390" s="71"/>
      <c r="D2390" s="81"/>
      <c r="E2390" s="71"/>
      <c r="F2390" s="71"/>
      <c r="G2390" s="82" t="str">
        <f aca="false">IF(C2390="","",IFERROR(INDEX('Kit Lists'!$D$6:$D$605,MATCH(B2390&amp;"|"&amp;C2390,'Kit Lists'!$J$6:$J$605,0)),"Not on this contract's kit list"))</f>
        <v/>
      </c>
      <c r="H2390" s="83" t="str">
        <f aca="false">IF(AND(B2390="",C2390="",D2390=""),"",IF(B2390="","Missing contract",IF(C2390="","Missing code",IF(LEFT(G2390,3)="Not","Wrong code",IF(D2390="","Missing qty",IF(A2390="","Missing date",""))))))</f>
        <v/>
      </c>
      <c r="I2390" s="84" t="str">
        <f aca="false">IF(B2390=Dashboard!$D$3,ROW(),"")</f>
        <v/>
      </c>
    </row>
    <row r="2391" customFormat="false" ht="15" hidden="false" customHeight="false" outlineLevel="0" collapsed="false">
      <c r="A2391" s="80"/>
      <c r="B2391" s="71"/>
      <c r="C2391" s="71"/>
      <c r="D2391" s="81"/>
      <c r="E2391" s="71"/>
      <c r="F2391" s="71"/>
      <c r="G2391" s="82" t="str">
        <f aca="false">IF(C2391="","",IFERROR(INDEX('Kit Lists'!$D$6:$D$605,MATCH(B2391&amp;"|"&amp;C2391,'Kit Lists'!$J$6:$J$605,0)),"Not on this contract's kit list"))</f>
        <v/>
      </c>
      <c r="H2391" s="83" t="str">
        <f aca="false">IF(AND(B2391="",C2391="",D2391=""),"",IF(B2391="","Missing contract",IF(C2391="","Missing code",IF(LEFT(G2391,3)="Not","Wrong code",IF(D2391="","Missing qty",IF(A2391="","Missing date",""))))))</f>
        <v/>
      </c>
      <c r="I2391" s="84" t="str">
        <f aca="false">IF(B2391=Dashboard!$D$3,ROW(),"")</f>
        <v/>
      </c>
    </row>
    <row r="2392" customFormat="false" ht="15" hidden="false" customHeight="false" outlineLevel="0" collapsed="false">
      <c r="A2392" s="80"/>
      <c r="B2392" s="71"/>
      <c r="C2392" s="71"/>
      <c r="D2392" s="81"/>
      <c r="E2392" s="71"/>
      <c r="F2392" s="71"/>
      <c r="G2392" s="82" t="str">
        <f aca="false">IF(C2392="","",IFERROR(INDEX('Kit Lists'!$D$6:$D$605,MATCH(B2392&amp;"|"&amp;C2392,'Kit Lists'!$J$6:$J$605,0)),"Not on this contract's kit list"))</f>
        <v/>
      </c>
      <c r="H2392" s="83" t="str">
        <f aca="false">IF(AND(B2392="",C2392="",D2392=""),"",IF(B2392="","Missing contract",IF(C2392="","Missing code",IF(LEFT(G2392,3)="Not","Wrong code",IF(D2392="","Missing qty",IF(A2392="","Missing date",""))))))</f>
        <v/>
      </c>
      <c r="I2392" s="84" t="str">
        <f aca="false">IF(B2392=Dashboard!$D$3,ROW(),"")</f>
        <v/>
      </c>
    </row>
    <row r="2393" customFormat="false" ht="15" hidden="false" customHeight="false" outlineLevel="0" collapsed="false">
      <c r="A2393" s="80"/>
      <c r="B2393" s="71"/>
      <c r="C2393" s="71"/>
      <c r="D2393" s="81"/>
      <c r="E2393" s="71"/>
      <c r="F2393" s="71"/>
      <c r="G2393" s="82" t="str">
        <f aca="false">IF(C2393="","",IFERROR(INDEX('Kit Lists'!$D$6:$D$605,MATCH(B2393&amp;"|"&amp;C2393,'Kit Lists'!$J$6:$J$605,0)),"Not on this contract's kit list"))</f>
        <v/>
      </c>
      <c r="H2393" s="83" t="str">
        <f aca="false">IF(AND(B2393="",C2393="",D2393=""),"",IF(B2393="","Missing contract",IF(C2393="","Missing code",IF(LEFT(G2393,3)="Not","Wrong code",IF(D2393="","Missing qty",IF(A2393="","Missing date",""))))))</f>
        <v/>
      </c>
      <c r="I2393" s="84" t="str">
        <f aca="false">IF(B2393=Dashboard!$D$3,ROW(),"")</f>
        <v/>
      </c>
    </row>
    <row r="2394" customFormat="false" ht="15" hidden="false" customHeight="false" outlineLevel="0" collapsed="false">
      <c r="A2394" s="80"/>
      <c r="B2394" s="71"/>
      <c r="C2394" s="71"/>
      <c r="D2394" s="81"/>
      <c r="E2394" s="71"/>
      <c r="F2394" s="71"/>
      <c r="G2394" s="82" t="str">
        <f aca="false">IF(C2394="","",IFERROR(INDEX('Kit Lists'!$D$6:$D$605,MATCH(B2394&amp;"|"&amp;C2394,'Kit Lists'!$J$6:$J$605,0)),"Not on this contract's kit list"))</f>
        <v/>
      </c>
      <c r="H2394" s="83" t="str">
        <f aca="false">IF(AND(B2394="",C2394="",D2394=""),"",IF(B2394="","Missing contract",IF(C2394="","Missing code",IF(LEFT(G2394,3)="Not","Wrong code",IF(D2394="","Missing qty",IF(A2394="","Missing date",""))))))</f>
        <v/>
      </c>
      <c r="I2394" s="84" t="str">
        <f aca="false">IF(B2394=Dashboard!$D$3,ROW(),"")</f>
        <v/>
      </c>
    </row>
    <row r="2395" customFormat="false" ht="15" hidden="false" customHeight="false" outlineLevel="0" collapsed="false">
      <c r="A2395" s="80"/>
      <c r="B2395" s="71"/>
      <c r="C2395" s="71"/>
      <c r="D2395" s="81"/>
      <c r="E2395" s="71"/>
      <c r="F2395" s="71"/>
      <c r="G2395" s="82" t="str">
        <f aca="false">IF(C2395="","",IFERROR(INDEX('Kit Lists'!$D$6:$D$605,MATCH(B2395&amp;"|"&amp;C2395,'Kit Lists'!$J$6:$J$605,0)),"Not on this contract's kit list"))</f>
        <v/>
      </c>
      <c r="H2395" s="83" t="str">
        <f aca="false">IF(AND(B2395="",C2395="",D2395=""),"",IF(B2395="","Missing contract",IF(C2395="","Missing code",IF(LEFT(G2395,3)="Not","Wrong code",IF(D2395="","Missing qty",IF(A2395="","Missing date",""))))))</f>
        <v/>
      </c>
      <c r="I2395" s="84" t="str">
        <f aca="false">IF(B2395=Dashboard!$D$3,ROW(),"")</f>
        <v/>
      </c>
    </row>
    <row r="2396" customFormat="false" ht="15" hidden="false" customHeight="false" outlineLevel="0" collapsed="false">
      <c r="A2396" s="80"/>
      <c r="B2396" s="71"/>
      <c r="C2396" s="71"/>
      <c r="D2396" s="81"/>
      <c r="E2396" s="71"/>
      <c r="F2396" s="71"/>
      <c r="G2396" s="82" t="str">
        <f aca="false">IF(C2396="","",IFERROR(INDEX('Kit Lists'!$D$6:$D$605,MATCH(B2396&amp;"|"&amp;C2396,'Kit Lists'!$J$6:$J$605,0)),"Not on this contract's kit list"))</f>
        <v/>
      </c>
      <c r="H2396" s="83" t="str">
        <f aca="false">IF(AND(B2396="",C2396="",D2396=""),"",IF(B2396="","Missing contract",IF(C2396="","Missing code",IF(LEFT(G2396,3)="Not","Wrong code",IF(D2396="","Missing qty",IF(A2396="","Missing date",""))))))</f>
        <v/>
      </c>
      <c r="I2396" s="84" t="str">
        <f aca="false">IF(B2396=Dashboard!$D$3,ROW(),"")</f>
        <v/>
      </c>
    </row>
    <row r="2397" customFormat="false" ht="15" hidden="false" customHeight="false" outlineLevel="0" collapsed="false">
      <c r="A2397" s="80"/>
      <c r="B2397" s="71"/>
      <c r="C2397" s="71"/>
      <c r="D2397" s="81"/>
      <c r="E2397" s="71"/>
      <c r="F2397" s="71"/>
      <c r="G2397" s="82" t="str">
        <f aca="false">IF(C2397="","",IFERROR(INDEX('Kit Lists'!$D$6:$D$605,MATCH(B2397&amp;"|"&amp;C2397,'Kit Lists'!$J$6:$J$605,0)),"Not on this contract's kit list"))</f>
        <v/>
      </c>
      <c r="H2397" s="83" t="str">
        <f aca="false">IF(AND(B2397="",C2397="",D2397=""),"",IF(B2397="","Missing contract",IF(C2397="","Missing code",IF(LEFT(G2397,3)="Not","Wrong code",IF(D2397="","Missing qty",IF(A2397="","Missing date",""))))))</f>
        <v/>
      </c>
      <c r="I2397" s="84" t="str">
        <f aca="false">IF(B2397=Dashboard!$D$3,ROW(),"")</f>
        <v/>
      </c>
    </row>
    <row r="2398" customFormat="false" ht="15" hidden="false" customHeight="false" outlineLevel="0" collapsed="false">
      <c r="A2398" s="80"/>
      <c r="B2398" s="71"/>
      <c r="C2398" s="71"/>
      <c r="D2398" s="81"/>
      <c r="E2398" s="71"/>
      <c r="F2398" s="71"/>
      <c r="G2398" s="82" t="str">
        <f aca="false">IF(C2398="","",IFERROR(INDEX('Kit Lists'!$D$6:$D$605,MATCH(B2398&amp;"|"&amp;C2398,'Kit Lists'!$J$6:$J$605,0)),"Not on this contract's kit list"))</f>
        <v/>
      </c>
      <c r="H2398" s="83" t="str">
        <f aca="false">IF(AND(B2398="",C2398="",D2398=""),"",IF(B2398="","Missing contract",IF(C2398="","Missing code",IF(LEFT(G2398,3)="Not","Wrong code",IF(D2398="","Missing qty",IF(A2398="","Missing date",""))))))</f>
        <v/>
      </c>
      <c r="I2398" s="84" t="str">
        <f aca="false">IF(B2398=Dashboard!$D$3,ROW(),"")</f>
        <v/>
      </c>
    </row>
    <row r="2399" customFormat="false" ht="15" hidden="false" customHeight="false" outlineLevel="0" collapsed="false">
      <c r="A2399" s="80"/>
      <c r="B2399" s="71"/>
      <c r="C2399" s="71"/>
      <c r="D2399" s="81"/>
      <c r="E2399" s="71"/>
      <c r="F2399" s="71"/>
      <c r="G2399" s="82" t="str">
        <f aca="false">IF(C2399="","",IFERROR(INDEX('Kit Lists'!$D$6:$D$605,MATCH(B2399&amp;"|"&amp;C2399,'Kit Lists'!$J$6:$J$605,0)),"Not on this contract's kit list"))</f>
        <v/>
      </c>
      <c r="H2399" s="83" t="str">
        <f aca="false">IF(AND(B2399="",C2399="",D2399=""),"",IF(B2399="","Missing contract",IF(C2399="","Missing code",IF(LEFT(G2399,3)="Not","Wrong code",IF(D2399="","Missing qty",IF(A2399="","Missing date",""))))))</f>
        <v/>
      </c>
      <c r="I2399" s="84" t="str">
        <f aca="false">IF(B2399=Dashboard!$D$3,ROW(),"")</f>
        <v/>
      </c>
    </row>
    <row r="2400" customFormat="false" ht="15" hidden="false" customHeight="false" outlineLevel="0" collapsed="false">
      <c r="A2400" s="80"/>
      <c r="B2400" s="71"/>
      <c r="C2400" s="71"/>
      <c r="D2400" s="81"/>
      <c r="E2400" s="71"/>
      <c r="F2400" s="71"/>
      <c r="G2400" s="82" t="str">
        <f aca="false">IF(C2400="","",IFERROR(INDEX('Kit Lists'!$D$6:$D$605,MATCH(B2400&amp;"|"&amp;C2400,'Kit Lists'!$J$6:$J$605,0)),"Not on this contract's kit list"))</f>
        <v/>
      </c>
      <c r="H2400" s="83" t="str">
        <f aca="false">IF(AND(B2400="",C2400="",D2400=""),"",IF(B2400="","Missing contract",IF(C2400="","Missing code",IF(LEFT(G2400,3)="Not","Wrong code",IF(D2400="","Missing qty",IF(A2400="","Missing date",""))))))</f>
        <v/>
      </c>
      <c r="I2400" s="84" t="str">
        <f aca="false">IF(B2400=Dashboard!$D$3,ROW(),"")</f>
        <v/>
      </c>
    </row>
    <row r="2401" customFormat="false" ht="15" hidden="false" customHeight="false" outlineLevel="0" collapsed="false">
      <c r="A2401" s="80"/>
      <c r="B2401" s="71"/>
      <c r="C2401" s="71"/>
      <c r="D2401" s="81"/>
      <c r="E2401" s="71"/>
      <c r="F2401" s="71"/>
      <c r="G2401" s="82" t="str">
        <f aca="false">IF(C2401="","",IFERROR(INDEX('Kit Lists'!$D$6:$D$605,MATCH(B2401&amp;"|"&amp;C2401,'Kit Lists'!$J$6:$J$605,0)),"Not on this contract's kit list"))</f>
        <v/>
      </c>
      <c r="H2401" s="83" t="str">
        <f aca="false">IF(AND(B2401="",C2401="",D2401=""),"",IF(B2401="","Missing contract",IF(C2401="","Missing code",IF(LEFT(G2401,3)="Not","Wrong code",IF(D2401="","Missing qty",IF(A2401="","Missing date",""))))))</f>
        <v/>
      </c>
      <c r="I2401" s="84" t="str">
        <f aca="false">IF(B2401=Dashboard!$D$3,ROW(),"")</f>
        <v/>
      </c>
    </row>
    <row r="2402" customFormat="false" ht="15" hidden="false" customHeight="false" outlineLevel="0" collapsed="false">
      <c r="A2402" s="80"/>
      <c r="B2402" s="71"/>
      <c r="C2402" s="71"/>
      <c r="D2402" s="81"/>
      <c r="E2402" s="71"/>
      <c r="F2402" s="71"/>
      <c r="G2402" s="82" t="str">
        <f aca="false">IF(C2402="","",IFERROR(INDEX('Kit Lists'!$D$6:$D$605,MATCH(B2402&amp;"|"&amp;C2402,'Kit Lists'!$J$6:$J$605,0)),"Not on this contract's kit list"))</f>
        <v/>
      </c>
      <c r="H2402" s="83" t="str">
        <f aca="false">IF(AND(B2402="",C2402="",D2402=""),"",IF(B2402="","Missing contract",IF(C2402="","Missing code",IF(LEFT(G2402,3)="Not","Wrong code",IF(D2402="","Missing qty",IF(A2402="","Missing date",""))))))</f>
        <v/>
      </c>
      <c r="I2402" s="84" t="str">
        <f aca="false">IF(B2402=Dashboard!$D$3,ROW(),"")</f>
        <v/>
      </c>
    </row>
    <row r="2403" customFormat="false" ht="15" hidden="false" customHeight="false" outlineLevel="0" collapsed="false">
      <c r="A2403" s="80"/>
      <c r="B2403" s="71"/>
      <c r="C2403" s="71"/>
      <c r="D2403" s="81"/>
      <c r="E2403" s="71"/>
      <c r="F2403" s="71"/>
      <c r="G2403" s="82" t="str">
        <f aca="false">IF(C2403="","",IFERROR(INDEX('Kit Lists'!$D$6:$D$605,MATCH(B2403&amp;"|"&amp;C2403,'Kit Lists'!$J$6:$J$605,0)),"Not on this contract's kit list"))</f>
        <v/>
      </c>
      <c r="H2403" s="83" t="str">
        <f aca="false">IF(AND(B2403="",C2403="",D2403=""),"",IF(B2403="","Missing contract",IF(C2403="","Missing code",IF(LEFT(G2403,3)="Not","Wrong code",IF(D2403="","Missing qty",IF(A2403="","Missing date",""))))))</f>
        <v/>
      </c>
      <c r="I2403" s="84" t="str">
        <f aca="false">IF(B2403=Dashboard!$D$3,ROW(),"")</f>
        <v/>
      </c>
    </row>
    <row r="2404" customFormat="false" ht="15" hidden="false" customHeight="false" outlineLevel="0" collapsed="false">
      <c r="A2404" s="80"/>
      <c r="B2404" s="71"/>
      <c r="C2404" s="71"/>
      <c r="D2404" s="81"/>
      <c r="E2404" s="71"/>
      <c r="F2404" s="71"/>
      <c r="G2404" s="82" t="str">
        <f aca="false">IF(C2404="","",IFERROR(INDEX('Kit Lists'!$D$6:$D$605,MATCH(B2404&amp;"|"&amp;C2404,'Kit Lists'!$J$6:$J$605,0)),"Not on this contract's kit list"))</f>
        <v/>
      </c>
      <c r="H2404" s="83" t="str">
        <f aca="false">IF(AND(B2404="",C2404="",D2404=""),"",IF(B2404="","Missing contract",IF(C2404="","Missing code",IF(LEFT(G2404,3)="Not","Wrong code",IF(D2404="","Missing qty",IF(A2404="","Missing date",""))))))</f>
        <v/>
      </c>
      <c r="I2404" s="84" t="str">
        <f aca="false">IF(B2404=Dashboard!$D$3,ROW(),"")</f>
        <v/>
      </c>
    </row>
    <row r="2405" customFormat="false" ht="15" hidden="false" customHeight="false" outlineLevel="0" collapsed="false">
      <c r="A2405" s="80"/>
      <c r="B2405" s="71"/>
      <c r="C2405" s="71"/>
      <c r="D2405" s="81"/>
      <c r="E2405" s="71"/>
      <c r="F2405" s="71"/>
      <c r="G2405" s="82" t="str">
        <f aca="false">IF(C2405="","",IFERROR(INDEX('Kit Lists'!$D$6:$D$605,MATCH(B2405&amp;"|"&amp;C2405,'Kit Lists'!$J$6:$J$605,0)),"Not on this contract's kit list"))</f>
        <v/>
      </c>
      <c r="H2405" s="83" t="str">
        <f aca="false">IF(AND(B2405="",C2405="",D2405=""),"",IF(B2405="","Missing contract",IF(C2405="","Missing code",IF(LEFT(G2405,3)="Not","Wrong code",IF(D2405="","Missing qty",IF(A2405="","Missing date",""))))))</f>
        <v/>
      </c>
      <c r="I2405" s="84" t="str">
        <f aca="false">IF(B2405=Dashboard!$D$3,ROW(),"")</f>
        <v/>
      </c>
    </row>
    <row r="2406" customFormat="false" ht="15" hidden="false" customHeight="false" outlineLevel="0" collapsed="false">
      <c r="A2406" s="80"/>
      <c r="B2406" s="71"/>
      <c r="C2406" s="71"/>
      <c r="D2406" s="81"/>
      <c r="E2406" s="71"/>
      <c r="F2406" s="71"/>
      <c r="G2406" s="82" t="str">
        <f aca="false">IF(C2406="","",IFERROR(INDEX('Kit Lists'!$D$6:$D$605,MATCH(B2406&amp;"|"&amp;C2406,'Kit Lists'!$J$6:$J$605,0)),"Not on this contract's kit list"))</f>
        <v/>
      </c>
      <c r="H2406" s="83" t="str">
        <f aca="false">IF(AND(B2406="",C2406="",D2406=""),"",IF(B2406="","Missing contract",IF(C2406="","Missing code",IF(LEFT(G2406,3)="Not","Wrong code",IF(D2406="","Missing qty",IF(A2406="","Missing date",""))))))</f>
        <v/>
      </c>
      <c r="I2406" s="84" t="str">
        <f aca="false">IF(B2406=Dashboard!$D$3,ROW(),"")</f>
        <v/>
      </c>
    </row>
    <row r="2407" customFormat="false" ht="15" hidden="false" customHeight="false" outlineLevel="0" collapsed="false">
      <c r="A2407" s="80"/>
      <c r="B2407" s="71"/>
      <c r="C2407" s="71"/>
      <c r="D2407" s="81"/>
      <c r="E2407" s="71"/>
      <c r="F2407" s="71"/>
      <c r="G2407" s="82" t="str">
        <f aca="false">IF(C2407="","",IFERROR(INDEX('Kit Lists'!$D$6:$D$605,MATCH(B2407&amp;"|"&amp;C2407,'Kit Lists'!$J$6:$J$605,0)),"Not on this contract's kit list"))</f>
        <v/>
      </c>
      <c r="H2407" s="83" t="str">
        <f aca="false">IF(AND(B2407="",C2407="",D2407=""),"",IF(B2407="","Missing contract",IF(C2407="","Missing code",IF(LEFT(G2407,3)="Not","Wrong code",IF(D2407="","Missing qty",IF(A2407="","Missing date",""))))))</f>
        <v/>
      </c>
      <c r="I2407" s="84" t="str">
        <f aca="false">IF(B2407=Dashboard!$D$3,ROW(),"")</f>
        <v/>
      </c>
    </row>
    <row r="2408" customFormat="false" ht="15" hidden="false" customHeight="false" outlineLevel="0" collapsed="false">
      <c r="A2408" s="80"/>
      <c r="B2408" s="71"/>
      <c r="C2408" s="71"/>
      <c r="D2408" s="81"/>
      <c r="E2408" s="71"/>
      <c r="F2408" s="71"/>
      <c r="G2408" s="82" t="str">
        <f aca="false">IF(C2408="","",IFERROR(INDEX('Kit Lists'!$D$6:$D$605,MATCH(B2408&amp;"|"&amp;C2408,'Kit Lists'!$J$6:$J$605,0)),"Not on this contract's kit list"))</f>
        <v/>
      </c>
      <c r="H2408" s="83" t="str">
        <f aca="false">IF(AND(B2408="",C2408="",D2408=""),"",IF(B2408="","Missing contract",IF(C2408="","Missing code",IF(LEFT(G2408,3)="Not","Wrong code",IF(D2408="","Missing qty",IF(A2408="","Missing date",""))))))</f>
        <v/>
      </c>
      <c r="I2408" s="84" t="str">
        <f aca="false">IF(B2408=Dashboard!$D$3,ROW(),"")</f>
        <v/>
      </c>
    </row>
    <row r="2409" customFormat="false" ht="15" hidden="false" customHeight="false" outlineLevel="0" collapsed="false">
      <c r="A2409" s="80"/>
      <c r="B2409" s="71"/>
      <c r="C2409" s="71"/>
      <c r="D2409" s="81"/>
      <c r="E2409" s="71"/>
      <c r="F2409" s="71"/>
      <c r="G2409" s="82" t="str">
        <f aca="false">IF(C2409="","",IFERROR(INDEX('Kit Lists'!$D$6:$D$605,MATCH(B2409&amp;"|"&amp;C2409,'Kit Lists'!$J$6:$J$605,0)),"Not on this contract's kit list"))</f>
        <v/>
      </c>
      <c r="H2409" s="83" t="str">
        <f aca="false">IF(AND(B2409="",C2409="",D2409=""),"",IF(B2409="","Missing contract",IF(C2409="","Missing code",IF(LEFT(G2409,3)="Not","Wrong code",IF(D2409="","Missing qty",IF(A2409="","Missing date",""))))))</f>
        <v/>
      </c>
      <c r="I2409" s="84" t="str">
        <f aca="false">IF(B2409=Dashboard!$D$3,ROW(),"")</f>
        <v/>
      </c>
    </row>
    <row r="2410" customFormat="false" ht="15" hidden="false" customHeight="false" outlineLevel="0" collapsed="false">
      <c r="A2410" s="80"/>
      <c r="B2410" s="71"/>
      <c r="C2410" s="71"/>
      <c r="D2410" s="81"/>
      <c r="E2410" s="71"/>
      <c r="F2410" s="71"/>
      <c r="G2410" s="82" t="str">
        <f aca="false">IF(C2410="","",IFERROR(INDEX('Kit Lists'!$D$6:$D$605,MATCH(B2410&amp;"|"&amp;C2410,'Kit Lists'!$J$6:$J$605,0)),"Not on this contract's kit list"))</f>
        <v/>
      </c>
      <c r="H2410" s="83" t="str">
        <f aca="false">IF(AND(B2410="",C2410="",D2410=""),"",IF(B2410="","Missing contract",IF(C2410="","Missing code",IF(LEFT(G2410,3)="Not","Wrong code",IF(D2410="","Missing qty",IF(A2410="","Missing date",""))))))</f>
        <v/>
      </c>
      <c r="I2410" s="84" t="str">
        <f aca="false">IF(B2410=Dashboard!$D$3,ROW(),"")</f>
        <v/>
      </c>
    </row>
    <row r="2411" customFormat="false" ht="15" hidden="false" customHeight="false" outlineLevel="0" collapsed="false">
      <c r="A2411" s="80"/>
      <c r="B2411" s="71"/>
      <c r="C2411" s="71"/>
      <c r="D2411" s="81"/>
      <c r="E2411" s="71"/>
      <c r="F2411" s="71"/>
      <c r="G2411" s="82" t="str">
        <f aca="false">IF(C2411="","",IFERROR(INDEX('Kit Lists'!$D$6:$D$605,MATCH(B2411&amp;"|"&amp;C2411,'Kit Lists'!$J$6:$J$605,0)),"Not on this contract's kit list"))</f>
        <v/>
      </c>
      <c r="H2411" s="83" t="str">
        <f aca="false">IF(AND(B2411="",C2411="",D2411=""),"",IF(B2411="","Missing contract",IF(C2411="","Missing code",IF(LEFT(G2411,3)="Not","Wrong code",IF(D2411="","Missing qty",IF(A2411="","Missing date",""))))))</f>
        <v/>
      </c>
      <c r="I2411" s="84" t="str">
        <f aca="false">IF(B2411=Dashboard!$D$3,ROW(),"")</f>
        <v/>
      </c>
    </row>
    <row r="2412" customFormat="false" ht="15" hidden="false" customHeight="false" outlineLevel="0" collapsed="false">
      <c r="A2412" s="80"/>
      <c r="B2412" s="71"/>
      <c r="C2412" s="71"/>
      <c r="D2412" s="81"/>
      <c r="E2412" s="71"/>
      <c r="F2412" s="71"/>
      <c r="G2412" s="82" t="str">
        <f aca="false">IF(C2412="","",IFERROR(INDEX('Kit Lists'!$D$6:$D$605,MATCH(B2412&amp;"|"&amp;C2412,'Kit Lists'!$J$6:$J$605,0)),"Not on this contract's kit list"))</f>
        <v/>
      </c>
      <c r="H2412" s="83" t="str">
        <f aca="false">IF(AND(B2412="",C2412="",D2412=""),"",IF(B2412="","Missing contract",IF(C2412="","Missing code",IF(LEFT(G2412,3)="Not","Wrong code",IF(D2412="","Missing qty",IF(A2412="","Missing date",""))))))</f>
        <v/>
      </c>
      <c r="I2412" s="84" t="str">
        <f aca="false">IF(B2412=Dashboard!$D$3,ROW(),"")</f>
        <v/>
      </c>
    </row>
    <row r="2413" customFormat="false" ht="15" hidden="false" customHeight="false" outlineLevel="0" collapsed="false">
      <c r="A2413" s="80"/>
      <c r="B2413" s="71"/>
      <c r="C2413" s="71"/>
      <c r="D2413" s="81"/>
      <c r="E2413" s="71"/>
      <c r="F2413" s="71"/>
      <c r="G2413" s="82" t="str">
        <f aca="false">IF(C2413="","",IFERROR(INDEX('Kit Lists'!$D$6:$D$605,MATCH(B2413&amp;"|"&amp;C2413,'Kit Lists'!$J$6:$J$605,0)),"Not on this contract's kit list"))</f>
        <v/>
      </c>
      <c r="H2413" s="83" t="str">
        <f aca="false">IF(AND(B2413="",C2413="",D2413=""),"",IF(B2413="","Missing contract",IF(C2413="","Missing code",IF(LEFT(G2413,3)="Not","Wrong code",IF(D2413="","Missing qty",IF(A2413="","Missing date",""))))))</f>
        <v/>
      </c>
      <c r="I2413" s="84" t="str">
        <f aca="false">IF(B2413=Dashboard!$D$3,ROW(),"")</f>
        <v/>
      </c>
    </row>
    <row r="2414" customFormat="false" ht="15" hidden="false" customHeight="false" outlineLevel="0" collapsed="false">
      <c r="A2414" s="80"/>
      <c r="B2414" s="71"/>
      <c r="C2414" s="71"/>
      <c r="D2414" s="81"/>
      <c r="E2414" s="71"/>
      <c r="F2414" s="71"/>
      <c r="G2414" s="82" t="str">
        <f aca="false">IF(C2414="","",IFERROR(INDEX('Kit Lists'!$D$6:$D$605,MATCH(B2414&amp;"|"&amp;C2414,'Kit Lists'!$J$6:$J$605,0)),"Not on this contract's kit list"))</f>
        <v/>
      </c>
      <c r="H2414" s="83" t="str">
        <f aca="false">IF(AND(B2414="",C2414="",D2414=""),"",IF(B2414="","Missing contract",IF(C2414="","Missing code",IF(LEFT(G2414,3)="Not","Wrong code",IF(D2414="","Missing qty",IF(A2414="","Missing date",""))))))</f>
        <v/>
      </c>
      <c r="I2414" s="84" t="str">
        <f aca="false">IF(B2414=Dashboard!$D$3,ROW(),"")</f>
        <v/>
      </c>
    </row>
    <row r="2415" customFormat="false" ht="15" hidden="false" customHeight="false" outlineLevel="0" collapsed="false">
      <c r="A2415" s="80"/>
      <c r="B2415" s="71"/>
      <c r="C2415" s="71"/>
      <c r="D2415" s="81"/>
      <c r="E2415" s="71"/>
      <c r="F2415" s="71"/>
      <c r="G2415" s="82" t="str">
        <f aca="false">IF(C2415="","",IFERROR(INDEX('Kit Lists'!$D$6:$D$605,MATCH(B2415&amp;"|"&amp;C2415,'Kit Lists'!$J$6:$J$605,0)),"Not on this contract's kit list"))</f>
        <v/>
      </c>
      <c r="H2415" s="83" t="str">
        <f aca="false">IF(AND(B2415="",C2415="",D2415=""),"",IF(B2415="","Missing contract",IF(C2415="","Missing code",IF(LEFT(G2415,3)="Not","Wrong code",IF(D2415="","Missing qty",IF(A2415="","Missing date",""))))))</f>
        <v/>
      </c>
      <c r="I2415" s="84" t="str">
        <f aca="false">IF(B2415=Dashboard!$D$3,ROW(),"")</f>
        <v/>
      </c>
    </row>
    <row r="2416" customFormat="false" ht="15" hidden="false" customHeight="false" outlineLevel="0" collapsed="false">
      <c r="A2416" s="80"/>
      <c r="B2416" s="71"/>
      <c r="C2416" s="71"/>
      <c r="D2416" s="81"/>
      <c r="E2416" s="71"/>
      <c r="F2416" s="71"/>
      <c r="G2416" s="82" t="str">
        <f aca="false">IF(C2416="","",IFERROR(INDEX('Kit Lists'!$D$6:$D$605,MATCH(B2416&amp;"|"&amp;C2416,'Kit Lists'!$J$6:$J$605,0)),"Not on this contract's kit list"))</f>
        <v/>
      </c>
      <c r="H2416" s="83" t="str">
        <f aca="false">IF(AND(B2416="",C2416="",D2416=""),"",IF(B2416="","Missing contract",IF(C2416="","Missing code",IF(LEFT(G2416,3)="Not","Wrong code",IF(D2416="","Missing qty",IF(A2416="","Missing date",""))))))</f>
        <v/>
      </c>
      <c r="I2416" s="84" t="str">
        <f aca="false">IF(B2416=Dashboard!$D$3,ROW(),"")</f>
        <v/>
      </c>
    </row>
    <row r="2417" customFormat="false" ht="15" hidden="false" customHeight="false" outlineLevel="0" collapsed="false">
      <c r="A2417" s="80"/>
      <c r="B2417" s="71"/>
      <c r="C2417" s="71"/>
      <c r="D2417" s="81"/>
      <c r="E2417" s="71"/>
      <c r="F2417" s="71"/>
      <c r="G2417" s="82" t="str">
        <f aca="false">IF(C2417="","",IFERROR(INDEX('Kit Lists'!$D$6:$D$605,MATCH(B2417&amp;"|"&amp;C2417,'Kit Lists'!$J$6:$J$605,0)),"Not on this contract's kit list"))</f>
        <v/>
      </c>
      <c r="H2417" s="83" t="str">
        <f aca="false">IF(AND(B2417="",C2417="",D2417=""),"",IF(B2417="","Missing contract",IF(C2417="","Missing code",IF(LEFT(G2417,3)="Not","Wrong code",IF(D2417="","Missing qty",IF(A2417="","Missing date",""))))))</f>
        <v/>
      </c>
      <c r="I2417" s="84" t="str">
        <f aca="false">IF(B2417=Dashboard!$D$3,ROW(),"")</f>
        <v/>
      </c>
    </row>
    <row r="2418" customFormat="false" ht="15" hidden="false" customHeight="false" outlineLevel="0" collapsed="false">
      <c r="A2418" s="80"/>
      <c r="B2418" s="71"/>
      <c r="C2418" s="71"/>
      <c r="D2418" s="81"/>
      <c r="E2418" s="71"/>
      <c r="F2418" s="71"/>
      <c r="G2418" s="82" t="str">
        <f aca="false">IF(C2418="","",IFERROR(INDEX('Kit Lists'!$D$6:$D$605,MATCH(B2418&amp;"|"&amp;C2418,'Kit Lists'!$J$6:$J$605,0)),"Not on this contract's kit list"))</f>
        <v/>
      </c>
      <c r="H2418" s="83" t="str">
        <f aca="false">IF(AND(B2418="",C2418="",D2418=""),"",IF(B2418="","Missing contract",IF(C2418="","Missing code",IF(LEFT(G2418,3)="Not","Wrong code",IF(D2418="","Missing qty",IF(A2418="","Missing date",""))))))</f>
        <v/>
      </c>
      <c r="I2418" s="84" t="str">
        <f aca="false">IF(B2418=Dashboard!$D$3,ROW(),"")</f>
        <v/>
      </c>
    </row>
    <row r="2419" customFormat="false" ht="15" hidden="false" customHeight="false" outlineLevel="0" collapsed="false">
      <c r="A2419" s="80"/>
      <c r="B2419" s="71"/>
      <c r="C2419" s="71"/>
      <c r="D2419" s="81"/>
      <c r="E2419" s="71"/>
      <c r="F2419" s="71"/>
      <c r="G2419" s="82" t="str">
        <f aca="false">IF(C2419="","",IFERROR(INDEX('Kit Lists'!$D$6:$D$605,MATCH(B2419&amp;"|"&amp;C2419,'Kit Lists'!$J$6:$J$605,0)),"Not on this contract's kit list"))</f>
        <v/>
      </c>
      <c r="H2419" s="83" t="str">
        <f aca="false">IF(AND(B2419="",C2419="",D2419=""),"",IF(B2419="","Missing contract",IF(C2419="","Missing code",IF(LEFT(G2419,3)="Not","Wrong code",IF(D2419="","Missing qty",IF(A2419="","Missing date",""))))))</f>
        <v/>
      </c>
      <c r="I2419" s="84" t="str">
        <f aca="false">IF(B2419=Dashboard!$D$3,ROW(),"")</f>
        <v/>
      </c>
    </row>
    <row r="2420" customFormat="false" ht="15" hidden="false" customHeight="false" outlineLevel="0" collapsed="false">
      <c r="A2420" s="80"/>
      <c r="B2420" s="71"/>
      <c r="C2420" s="71"/>
      <c r="D2420" s="81"/>
      <c r="E2420" s="71"/>
      <c r="F2420" s="71"/>
      <c r="G2420" s="82" t="str">
        <f aca="false">IF(C2420="","",IFERROR(INDEX('Kit Lists'!$D$6:$D$605,MATCH(B2420&amp;"|"&amp;C2420,'Kit Lists'!$J$6:$J$605,0)),"Not on this contract's kit list"))</f>
        <v/>
      </c>
      <c r="H2420" s="83" t="str">
        <f aca="false">IF(AND(B2420="",C2420="",D2420=""),"",IF(B2420="","Missing contract",IF(C2420="","Missing code",IF(LEFT(G2420,3)="Not","Wrong code",IF(D2420="","Missing qty",IF(A2420="","Missing date",""))))))</f>
        <v/>
      </c>
      <c r="I2420" s="84" t="str">
        <f aca="false">IF(B2420=Dashboard!$D$3,ROW(),"")</f>
        <v/>
      </c>
    </row>
    <row r="2421" customFormat="false" ht="15" hidden="false" customHeight="false" outlineLevel="0" collapsed="false">
      <c r="A2421" s="80"/>
      <c r="B2421" s="71"/>
      <c r="C2421" s="71"/>
      <c r="D2421" s="81"/>
      <c r="E2421" s="71"/>
      <c r="F2421" s="71"/>
      <c r="G2421" s="82" t="str">
        <f aca="false">IF(C2421="","",IFERROR(INDEX('Kit Lists'!$D$6:$D$605,MATCH(B2421&amp;"|"&amp;C2421,'Kit Lists'!$J$6:$J$605,0)),"Not on this contract's kit list"))</f>
        <v/>
      </c>
      <c r="H2421" s="83" t="str">
        <f aca="false">IF(AND(B2421="",C2421="",D2421=""),"",IF(B2421="","Missing contract",IF(C2421="","Missing code",IF(LEFT(G2421,3)="Not","Wrong code",IF(D2421="","Missing qty",IF(A2421="","Missing date",""))))))</f>
        <v/>
      </c>
      <c r="I2421" s="84" t="str">
        <f aca="false">IF(B2421=Dashboard!$D$3,ROW(),"")</f>
        <v/>
      </c>
    </row>
    <row r="2422" customFormat="false" ht="15" hidden="false" customHeight="false" outlineLevel="0" collapsed="false">
      <c r="A2422" s="80"/>
      <c r="B2422" s="71"/>
      <c r="C2422" s="71"/>
      <c r="D2422" s="81"/>
      <c r="E2422" s="71"/>
      <c r="F2422" s="71"/>
      <c r="G2422" s="82" t="str">
        <f aca="false">IF(C2422="","",IFERROR(INDEX('Kit Lists'!$D$6:$D$605,MATCH(B2422&amp;"|"&amp;C2422,'Kit Lists'!$J$6:$J$605,0)),"Not on this contract's kit list"))</f>
        <v/>
      </c>
      <c r="H2422" s="83" t="str">
        <f aca="false">IF(AND(B2422="",C2422="",D2422=""),"",IF(B2422="","Missing contract",IF(C2422="","Missing code",IF(LEFT(G2422,3)="Not","Wrong code",IF(D2422="","Missing qty",IF(A2422="","Missing date",""))))))</f>
        <v/>
      </c>
      <c r="I2422" s="84" t="str">
        <f aca="false">IF(B2422=Dashboard!$D$3,ROW(),"")</f>
        <v/>
      </c>
    </row>
    <row r="2423" customFormat="false" ht="15" hidden="false" customHeight="false" outlineLevel="0" collapsed="false">
      <c r="A2423" s="80"/>
      <c r="B2423" s="71"/>
      <c r="C2423" s="71"/>
      <c r="D2423" s="81"/>
      <c r="E2423" s="71"/>
      <c r="F2423" s="71"/>
      <c r="G2423" s="82" t="str">
        <f aca="false">IF(C2423="","",IFERROR(INDEX('Kit Lists'!$D$6:$D$605,MATCH(B2423&amp;"|"&amp;C2423,'Kit Lists'!$J$6:$J$605,0)),"Not on this contract's kit list"))</f>
        <v/>
      </c>
      <c r="H2423" s="83" t="str">
        <f aca="false">IF(AND(B2423="",C2423="",D2423=""),"",IF(B2423="","Missing contract",IF(C2423="","Missing code",IF(LEFT(G2423,3)="Not","Wrong code",IF(D2423="","Missing qty",IF(A2423="","Missing date",""))))))</f>
        <v/>
      </c>
      <c r="I2423" s="84" t="str">
        <f aca="false">IF(B2423=Dashboard!$D$3,ROW(),"")</f>
        <v/>
      </c>
    </row>
    <row r="2424" customFormat="false" ht="15" hidden="false" customHeight="false" outlineLevel="0" collapsed="false">
      <c r="A2424" s="80"/>
      <c r="B2424" s="71"/>
      <c r="C2424" s="71"/>
      <c r="D2424" s="81"/>
      <c r="E2424" s="71"/>
      <c r="F2424" s="71"/>
      <c r="G2424" s="82" t="str">
        <f aca="false">IF(C2424="","",IFERROR(INDEX('Kit Lists'!$D$6:$D$605,MATCH(B2424&amp;"|"&amp;C2424,'Kit Lists'!$J$6:$J$605,0)),"Not on this contract's kit list"))</f>
        <v/>
      </c>
      <c r="H2424" s="83" t="str">
        <f aca="false">IF(AND(B2424="",C2424="",D2424=""),"",IF(B2424="","Missing contract",IF(C2424="","Missing code",IF(LEFT(G2424,3)="Not","Wrong code",IF(D2424="","Missing qty",IF(A2424="","Missing date",""))))))</f>
        <v/>
      </c>
      <c r="I2424" s="84" t="str">
        <f aca="false">IF(B2424=Dashboard!$D$3,ROW(),"")</f>
        <v/>
      </c>
    </row>
    <row r="2425" customFormat="false" ht="15" hidden="false" customHeight="false" outlineLevel="0" collapsed="false">
      <c r="A2425" s="80"/>
      <c r="B2425" s="71"/>
      <c r="C2425" s="71"/>
      <c r="D2425" s="81"/>
      <c r="E2425" s="71"/>
      <c r="F2425" s="71"/>
      <c r="G2425" s="82" t="str">
        <f aca="false">IF(C2425="","",IFERROR(INDEX('Kit Lists'!$D$6:$D$605,MATCH(B2425&amp;"|"&amp;C2425,'Kit Lists'!$J$6:$J$605,0)),"Not on this contract's kit list"))</f>
        <v/>
      </c>
      <c r="H2425" s="83" t="str">
        <f aca="false">IF(AND(B2425="",C2425="",D2425=""),"",IF(B2425="","Missing contract",IF(C2425="","Missing code",IF(LEFT(G2425,3)="Not","Wrong code",IF(D2425="","Missing qty",IF(A2425="","Missing date",""))))))</f>
        <v/>
      </c>
      <c r="I2425" s="84" t="str">
        <f aca="false">IF(B2425=Dashboard!$D$3,ROW(),"")</f>
        <v/>
      </c>
    </row>
    <row r="2426" customFormat="false" ht="15" hidden="false" customHeight="false" outlineLevel="0" collapsed="false">
      <c r="A2426" s="80"/>
      <c r="B2426" s="71"/>
      <c r="C2426" s="71"/>
      <c r="D2426" s="81"/>
      <c r="E2426" s="71"/>
      <c r="F2426" s="71"/>
      <c r="G2426" s="82" t="str">
        <f aca="false">IF(C2426="","",IFERROR(INDEX('Kit Lists'!$D$6:$D$605,MATCH(B2426&amp;"|"&amp;C2426,'Kit Lists'!$J$6:$J$605,0)),"Not on this contract's kit list"))</f>
        <v/>
      </c>
      <c r="H2426" s="83" t="str">
        <f aca="false">IF(AND(B2426="",C2426="",D2426=""),"",IF(B2426="","Missing contract",IF(C2426="","Missing code",IF(LEFT(G2426,3)="Not","Wrong code",IF(D2426="","Missing qty",IF(A2426="","Missing date",""))))))</f>
        <v/>
      </c>
      <c r="I2426" s="84" t="str">
        <f aca="false">IF(B2426=Dashboard!$D$3,ROW(),"")</f>
        <v/>
      </c>
    </row>
    <row r="2427" customFormat="false" ht="15" hidden="false" customHeight="false" outlineLevel="0" collapsed="false">
      <c r="A2427" s="80"/>
      <c r="B2427" s="71"/>
      <c r="C2427" s="71"/>
      <c r="D2427" s="81"/>
      <c r="E2427" s="71"/>
      <c r="F2427" s="71"/>
      <c r="G2427" s="82" t="str">
        <f aca="false">IF(C2427="","",IFERROR(INDEX('Kit Lists'!$D$6:$D$605,MATCH(B2427&amp;"|"&amp;C2427,'Kit Lists'!$J$6:$J$605,0)),"Not on this contract's kit list"))</f>
        <v/>
      </c>
      <c r="H2427" s="83" t="str">
        <f aca="false">IF(AND(B2427="",C2427="",D2427=""),"",IF(B2427="","Missing contract",IF(C2427="","Missing code",IF(LEFT(G2427,3)="Not","Wrong code",IF(D2427="","Missing qty",IF(A2427="","Missing date",""))))))</f>
        <v/>
      </c>
      <c r="I2427" s="84" t="str">
        <f aca="false">IF(B2427=Dashboard!$D$3,ROW(),"")</f>
        <v/>
      </c>
    </row>
    <row r="2428" customFormat="false" ht="15" hidden="false" customHeight="false" outlineLevel="0" collapsed="false">
      <c r="A2428" s="80"/>
      <c r="B2428" s="71"/>
      <c r="C2428" s="71"/>
      <c r="D2428" s="81"/>
      <c r="E2428" s="71"/>
      <c r="F2428" s="71"/>
      <c r="G2428" s="82" t="str">
        <f aca="false">IF(C2428="","",IFERROR(INDEX('Kit Lists'!$D$6:$D$605,MATCH(B2428&amp;"|"&amp;C2428,'Kit Lists'!$J$6:$J$605,0)),"Not on this contract's kit list"))</f>
        <v/>
      </c>
      <c r="H2428" s="83" t="str">
        <f aca="false">IF(AND(B2428="",C2428="",D2428=""),"",IF(B2428="","Missing contract",IF(C2428="","Missing code",IF(LEFT(G2428,3)="Not","Wrong code",IF(D2428="","Missing qty",IF(A2428="","Missing date",""))))))</f>
        <v/>
      </c>
      <c r="I2428" s="84" t="str">
        <f aca="false">IF(B2428=Dashboard!$D$3,ROW(),"")</f>
        <v/>
      </c>
    </row>
    <row r="2429" customFormat="false" ht="15" hidden="false" customHeight="false" outlineLevel="0" collapsed="false">
      <c r="A2429" s="80"/>
      <c r="B2429" s="71"/>
      <c r="C2429" s="71"/>
      <c r="D2429" s="81"/>
      <c r="E2429" s="71"/>
      <c r="F2429" s="71"/>
      <c r="G2429" s="82" t="str">
        <f aca="false">IF(C2429="","",IFERROR(INDEX('Kit Lists'!$D$6:$D$605,MATCH(B2429&amp;"|"&amp;C2429,'Kit Lists'!$J$6:$J$605,0)),"Not on this contract's kit list"))</f>
        <v/>
      </c>
      <c r="H2429" s="83" t="str">
        <f aca="false">IF(AND(B2429="",C2429="",D2429=""),"",IF(B2429="","Missing contract",IF(C2429="","Missing code",IF(LEFT(G2429,3)="Not","Wrong code",IF(D2429="","Missing qty",IF(A2429="","Missing date",""))))))</f>
        <v/>
      </c>
      <c r="I2429" s="84" t="str">
        <f aca="false">IF(B2429=Dashboard!$D$3,ROW(),"")</f>
        <v/>
      </c>
    </row>
    <row r="2430" customFormat="false" ht="15" hidden="false" customHeight="false" outlineLevel="0" collapsed="false">
      <c r="A2430" s="80"/>
      <c r="B2430" s="71"/>
      <c r="C2430" s="71"/>
      <c r="D2430" s="81"/>
      <c r="E2430" s="71"/>
      <c r="F2430" s="71"/>
      <c r="G2430" s="82" t="str">
        <f aca="false">IF(C2430="","",IFERROR(INDEX('Kit Lists'!$D$6:$D$605,MATCH(B2430&amp;"|"&amp;C2430,'Kit Lists'!$J$6:$J$605,0)),"Not on this contract's kit list"))</f>
        <v/>
      </c>
      <c r="H2430" s="83" t="str">
        <f aca="false">IF(AND(B2430="",C2430="",D2430=""),"",IF(B2430="","Missing contract",IF(C2430="","Missing code",IF(LEFT(G2430,3)="Not","Wrong code",IF(D2430="","Missing qty",IF(A2430="","Missing date",""))))))</f>
        <v/>
      </c>
      <c r="I2430" s="84" t="str">
        <f aca="false">IF(B2430=Dashboard!$D$3,ROW(),"")</f>
        <v/>
      </c>
    </row>
    <row r="2431" customFormat="false" ht="15" hidden="false" customHeight="false" outlineLevel="0" collapsed="false">
      <c r="A2431" s="80"/>
      <c r="B2431" s="71"/>
      <c r="C2431" s="71"/>
      <c r="D2431" s="81"/>
      <c r="E2431" s="71"/>
      <c r="F2431" s="71"/>
      <c r="G2431" s="82" t="str">
        <f aca="false">IF(C2431="","",IFERROR(INDEX('Kit Lists'!$D$6:$D$605,MATCH(B2431&amp;"|"&amp;C2431,'Kit Lists'!$J$6:$J$605,0)),"Not on this contract's kit list"))</f>
        <v/>
      </c>
      <c r="H2431" s="83" t="str">
        <f aca="false">IF(AND(B2431="",C2431="",D2431=""),"",IF(B2431="","Missing contract",IF(C2431="","Missing code",IF(LEFT(G2431,3)="Not","Wrong code",IF(D2431="","Missing qty",IF(A2431="","Missing date",""))))))</f>
        <v/>
      </c>
      <c r="I2431" s="84" t="str">
        <f aca="false">IF(B2431=Dashboard!$D$3,ROW(),"")</f>
        <v/>
      </c>
    </row>
    <row r="2432" customFormat="false" ht="15" hidden="false" customHeight="false" outlineLevel="0" collapsed="false">
      <c r="A2432" s="80"/>
      <c r="B2432" s="71"/>
      <c r="C2432" s="71"/>
      <c r="D2432" s="81"/>
      <c r="E2432" s="71"/>
      <c r="F2432" s="71"/>
      <c r="G2432" s="82" t="str">
        <f aca="false">IF(C2432="","",IFERROR(INDEX('Kit Lists'!$D$6:$D$605,MATCH(B2432&amp;"|"&amp;C2432,'Kit Lists'!$J$6:$J$605,0)),"Not on this contract's kit list"))</f>
        <v/>
      </c>
      <c r="H2432" s="83" t="str">
        <f aca="false">IF(AND(B2432="",C2432="",D2432=""),"",IF(B2432="","Missing contract",IF(C2432="","Missing code",IF(LEFT(G2432,3)="Not","Wrong code",IF(D2432="","Missing qty",IF(A2432="","Missing date",""))))))</f>
        <v/>
      </c>
      <c r="I2432" s="84" t="str">
        <f aca="false">IF(B2432=Dashboard!$D$3,ROW(),"")</f>
        <v/>
      </c>
    </row>
    <row r="2433" customFormat="false" ht="15" hidden="false" customHeight="false" outlineLevel="0" collapsed="false">
      <c r="A2433" s="80"/>
      <c r="B2433" s="71"/>
      <c r="C2433" s="71"/>
      <c r="D2433" s="81"/>
      <c r="E2433" s="71"/>
      <c r="F2433" s="71"/>
      <c r="G2433" s="82" t="str">
        <f aca="false">IF(C2433="","",IFERROR(INDEX('Kit Lists'!$D$6:$D$605,MATCH(B2433&amp;"|"&amp;C2433,'Kit Lists'!$J$6:$J$605,0)),"Not on this contract's kit list"))</f>
        <v/>
      </c>
      <c r="H2433" s="83" t="str">
        <f aca="false">IF(AND(B2433="",C2433="",D2433=""),"",IF(B2433="","Missing contract",IF(C2433="","Missing code",IF(LEFT(G2433,3)="Not","Wrong code",IF(D2433="","Missing qty",IF(A2433="","Missing date",""))))))</f>
        <v/>
      </c>
      <c r="I2433" s="84" t="str">
        <f aca="false">IF(B2433=Dashboard!$D$3,ROW(),"")</f>
        <v/>
      </c>
    </row>
    <row r="2434" customFormat="false" ht="15" hidden="false" customHeight="false" outlineLevel="0" collapsed="false">
      <c r="A2434" s="80"/>
      <c r="B2434" s="71"/>
      <c r="C2434" s="71"/>
      <c r="D2434" s="81"/>
      <c r="E2434" s="71"/>
      <c r="F2434" s="71"/>
      <c r="G2434" s="82" t="str">
        <f aca="false">IF(C2434="","",IFERROR(INDEX('Kit Lists'!$D$6:$D$605,MATCH(B2434&amp;"|"&amp;C2434,'Kit Lists'!$J$6:$J$605,0)),"Not on this contract's kit list"))</f>
        <v/>
      </c>
      <c r="H2434" s="83" t="str">
        <f aca="false">IF(AND(B2434="",C2434="",D2434=""),"",IF(B2434="","Missing contract",IF(C2434="","Missing code",IF(LEFT(G2434,3)="Not","Wrong code",IF(D2434="","Missing qty",IF(A2434="","Missing date",""))))))</f>
        <v/>
      </c>
      <c r="I2434" s="84" t="str">
        <f aca="false">IF(B2434=Dashboard!$D$3,ROW(),"")</f>
        <v/>
      </c>
    </row>
    <row r="2435" customFormat="false" ht="15" hidden="false" customHeight="false" outlineLevel="0" collapsed="false">
      <c r="A2435" s="80"/>
      <c r="B2435" s="71"/>
      <c r="C2435" s="71"/>
      <c r="D2435" s="81"/>
      <c r="E2435" s="71"/>
      <c r="F2435" s="71"/>
      <c r="G2435" s="82" t="str">
        <f aca="false">IF(C2435="","",IFERROR(INDEX('Kit Lists'!$D$6:$D$605,MATCH(B2435&amp;"|"&amp;C2435,'Kit Lists'!$J$6:$J$605,0)),"Not on this contract's kit list"))</f>
        <v/>
      </c>
      <c r="H2435" s="83" t="str">
        <f aca="false">IF(AND(B2435="",C2435="",D2435=""),"",IF(B2435="","Missing contract",IF(C2435="","Missing code",IF(LEFT(G2435,3)="Not","Wrong code",IF(D2435="","Missing qty",IF(A2435="","Missing date",""))))))</f>
        <v/>
      </c>
      <c r="I2435" s="84" t="str">
        <f aca="false">IF(B2435=Dashboard!$D$3,ROW(),"")</f>
        <v/>
      </c>
    </row>
    <row r="2436" customFormat="false" ht="15" hidden="false" customHeight="false" outlineLevel="0" collapsed="false">
      <c r="A2436" s="80"/>
      <c r="B2436" s="71"/>
      <c r="C2436" s="71"/>
      <c r="D2436" s="81"/>
      <c r="E2436" s="71"/>
      <c r="F2436" s="71"/>
      <c r="G2436" s="82" t="str">
        <f aca="false">IF(C2436="","",IFERROR(INDEX('Kit Lists'!$D$6:$D$605,MATCH(B2436&amp;"|"&amp;C2436,'Kit Lists'!$J$6:$J$605,0)),"Not on this contract's kit list"))</f>
        <v/>
      </c>
      <c r="H2436" s="83" t="str">
        <f aca="false">IF(AND(B2436="",C2436="",D2436=""),"",IF(B2436="","Missing contract",IF(C2436="","Missing code",IF(LEFT(G2436,3)="Not","Wrong code",IF(D2436="","Missing qty",IF(A2436="","Missing date",""))))))</f>
        <v/>
      </c>
      <c r="I2436" s="84" t="str">
        <f aca="false">IF(B2436=Dashboard!$D$3,ROW(),"")</f>
        <v/>
      </c>
    </row>
    <row r="2437" customFormat="false" ht="15" hidden="false" customHeight="false" outlineLevel="0" collapsed="false">
      <c r="A2437" s="80"/>
      <c r="B2437" s="71"/>
      <c r="C2437" s="71"/>
      <c r="D2437" s="81"/>
      <c r="E2437" s="71"/>
      <c r="F2437" s="71"/>
      <c r="G2437" s="82" t="str">
        <f aca="false">IF(C2437="","",IFERROR(INDEX('Kit Lists'!$D$6:$D$605,MATCH(B2437&amp;"|"&amp;C2437,'Kit Lists'!$J$6:$J$605,0)),"Not on this contract's kit list"))</f>
        <v/>
      </c>
      <c r="H2437" s="83" t="str">
        <f aca="false">IF(AND(B2437="",C2437="",D2437=""),"",IF(B2437="","Missing contract",IF(C2437="","Missing code",IF(LEFT(G2437,3)="Not","Wrong code",IF(D2437="","Missing qty",IF(A2437="","Missing date",""))))))</f>
        <v/>
      </c>
      <c r="I2437" s="84" t="str">
        <f aca="false">IF(B2437=Dashboard!$D$3,ROW(),"")</f>
        <v/>
      </c>
    </row>
    <row r="2438" customFormat="false" ht="15" hidden="false" customHeight="false" outlineLevel="0" collapsed="false">
      <c r="A2438" s="80"/>
      <c r="B2438" s="71"/>
      <c r="C2438" s="71"/>
      <c r="D2438" s="81"/>
      <c r="E2438" s="71"/>
      <c r="F2438" s="71"/>
      <c r="G2438" s="82" t="str">
        <f aca="false">IF(C2438="","",IFERROR(INDEX('Kit Lists'!$D$6:$D$605,MATCH(B2438&amp;"|"&amp;C2438,'Kit Lists'!$J$6:$J$605,0)),"Not on this contract's kit list"))</f>
        <v/>
      </c>
      <c r="H2438" s="83" t="str">
        <f aca="false">IF(AND(B2438="",C2438="",D2438=""),"",IF(B2438="","Missing contract",IF(C2438="","Missing code",IF(LEFT(G2438,3)="Not","Wrong code",IF(D2438="","Missing qty",IF(A2438="","Missing date",""))))))</f>
        <v/>
      </c>
      <c r="I2438" s="84" t="str">
        <f aca="false">IF(B2438=Dashboard!$D$3,ROW(),"")</f>
        <v/>
      </c>
    </row>
    <row r="2439" customFormat="false" ht="15" hidden="false" customHeight="false" outlineLevel="0" collapsed="false">
      <c r="A2439" s="80"/>
      <c r="B2439" s="71"/>
      <c r="C2439" s="71"/>
      <c r="D2439" s="81"/>
      <c r="E2439" s="71"/>
      <c r="F2439" s="71"/>
      <c r="G2439" s="82" t="str">
        <f aca="false">IF(C2439="","",IFERROR(INDEX('Kit Lists'!$D$6:$D$605,MATCH(B2439&amp;"|"&amp;C2439,'Kit Lists'!$J$6:$J$605,0)),"Not on this contract's kit list"))</f>
        <v/>
      </c>
      <c r="H2439" s="83" t="str">
        <f aca="false">IF(AND(B2439="",C2439="",D2439=""),"",IF(B2439="","Missing contract",IF(C2439="","Missing code",IF(LEFT(G2439,3)="Not","Wrong code",IF(D2439="","Missing qty",IF(A2439="","Missing date",""))))))</f>
        <v/>
      </c>
      <c r="I2439" s="84" t="str">
        <f aca="false">IF(B2439=Dashboard!$D$3,ROW(),"")</f>
        <v/>
      </c>
    </row>
    <row r="2440" customFormat="false" ht="15" hidden="false" customHeight="false" outlineLevel="0" collapsed="false">
      <c r="A2440" s="80"/>
      <c r="B2440" s="71"/>
      <c r="C2440" s="71"/>
      <c r="D2440" s="81"/>
      <c r="E2440" s="71"/>
      <c r="F2440" s="71"/>
      <c r="G2440" s="82" t="str">
        <f aca="false">IF(C2440="","",IFERROR(INDEX('Kit Lists'!$D$6:$D$605,MATCH(B2440&amp;"|"&amp;C2440,'Kit Lists'!$J$6:$J$605,0)),"Not on this contract's kit list"))</f>
        <v/>
      </c>
      <c r="H2440" s="83" t="str">
        <f aca="false">IF(AND(B2440="",C2440="",D2440=""),"",IF(B2440="","Missing contract",IF(C2440="","Missing code",IF(LEFT(G2440,3)="Not","Wrong code",IF(D2440="","Missing qty",IF(A2440="","Missing date",""))))))</f>
        <v/>
      </c>
      <c r="I2440" s="84" t="str">
        <f aca="false">IF(B2440=Dashboard!$D$3,ROW(),"")</f>
        <v/>
      </c>
    </row>
    <row r="2441" customFormat="false" ht="15" hidden="false" customHeight="false" outlineLevel="0" collapsed="false">
      <c r="A2441" s="80"/>
      <c r="B2441" s="71"/>
      <c r="C2441" s="71"/>
      <c r="D2441" s="81"/>
      <c r="E2441" s="71"/>
      <c r="F2441" s="71"/>
      <c r="G2441" s="82" t="str">
        <f aca="false">IF(C2441="","",IFERROR(INDEX('Kit Lists'!$D$6:$D$605,MATCH(B2441&amp;"|"&amp;C2441,'Kit Lists'!$J$6:$J$605,0)),"Not on this contract's kit list"))</f>
        <v/>
      </c>
      <c r="H2441" s="83" t="str">
        <f aca="false">IF(AND(B2441="",C2441="",D2441=""),"",IF(B2441="","Missing contract",IF(C2441="","Missing code",IF(LEFT(G2441,3)="Not","Wrong code",IF(D2441="","Missing qty",IF(A2441="","Missing date",""))))))</f>
        <v/>
      </c>
      <c r="I2441" s="84" t="str">
        <f aca="false">IF(B2441=Dashboard!$D$3,ROW(),"")</f>
        <v/>
      </c>
    </row>
    <row r="2442" customFormat="false" ht="15" hidden="false" customHeight="false" outlineLevel="0" collapsed="false">
      <c r="A2442" s="80"/>
      <c r="B2442" s="71"/>
      <c r="C2442" s="71"/>
      <c r="D2442" s="81"/>
      <c r="E2442" s="71"/>
      <c r="F2442" s="71"/>
      <c r="G2442" s="82" t="str">
        <f aca="false">IF(C2442="","",IFERROR(INDEX('Kit Lists'!$D$6:$D$605,MATCH(B2442&amp;"|"&amp;C2442,'Kit Lists'!$J$6:$J$605,0)),"Not on this contract's kit list"))</f>
        <v/>
      </c>
      <c r="H2442" s="83" t="str">
        <f aca="false">IF(AND(B2442="",C2442="",D2442=""),"",IF(B2442="","Missing contract",IF(C2442="","Missing code",IF(LEFT(G2442,3)="Not","Wrong code",IF(D2442="","Missing qty",IF(A2442="","Missing date",""))))))</f>
        <v/>
      </c>
      <c r="I2442" s="84" t="str">
        <f aca="false">IF(B2442=Dashboard!$D$3,ROW(),"")</f>
        <v/>
      </c>
    </row>
    <row r="2443" customFormat="false" ht="15" hidden="false" customHeight="false" outlineLevel="0" collapsed="false">
      <c r="A2443" s="80"/>
      <c r="B2443" s="71"/>
      <c r="C2443" s="71"/>
      <c r="D2443" s="81"/>
      <c r="E2443" s="71"/>
      <c r="F2443" s="71"/>
      <c r="G2443" s="82" t="str">
        <f aca="false">IF(C2443="","",IFERROR(INDEX('Kit Lists'!$D$6:$D$605,MATCH(B2443&amp;"|"&amp;C2443,'Kit Lists'!$J$6:$J$605,0)),"Not on this contract's kit list"))</f>
        <v/>
      </c>
      <c r="H2443" s="83" t="str">
        <f aca="false">IF(AND(B2443="",C2443="",D2443=""),"",IF(B2443="","Missing contract",IF(C2443="","Missing code",IF(LEFT(G2443,3)="Not","Wrong code",IF(D2443="","Missing qty",IF(A2443="","Missing date",""))))))</f>
        <v/>
      </c>
      <c r="I2443" s="84" t="str">
        <f aca="false">IF(B2443=Dashboard!$D$3,ROW(),"")</f>
        <v/>
      </c>
    </row>
    <row r="2444" customFormat="false" ht="15" hidden="false" customHeight="false" outlineLevel="0" collapsed="false">
      <c r="A2444" s="80"/>
      <c r="B2444" s="71"/>
      <c r="C2444" s="71"/>
      <c r="D2444" s="81"/>
      <c r="E2444" s="71"/>
      <c r="F2444" s="71"/>
      <c r="G2444" s="82" t="str">
        <f aca="false">IF(C2444="","",IFERROR(INDEX('Kit Lists'!$D$6:$D$605,MATCH(B2444&amp;"|"&amp;C2444,'Kit Lists'!$J$6:$J$605,0)),"Not on this contract's kit list"))</f>
        <v/>
      </c>
      <c r="H2444" s="83" t="str">
        <f aca="false">IF(AND(B2444="",C2444="",D2444=""),"",IF(B2444="","Missing contract",IF(C2444="","Missing code",IF(LEFT(G2444,3)="Not","Wrong code",IF(D2444="","Missing qty",IF(A2444="","Missing date",""))))))</f>
        <v/>
      </c>
      <c r="I2444" s="84" t="str">
        <f aca="false">IF(B2444=Dashboard!$D$3,ROW(),"")</f>
        <v/>
      </c>
    </row>
    <row r="2445" customFormat="false" ht="15" hidden="false" customHeight="false" outlineLevel="0" collapsed="false">
      <c r="A2445" s="80"/>
      <c r="B2445" s="71"/>
      <c r="C2445" s="71"/>
      <c r="D2445" s="81"/>
      <c r="E2445" s="71"/>
      <c r="F2445" s="71"/>
      <c r="G2445" s="82" t="str">
        <f aca="false">IF(C2445="","",IFERROR(INDEX('Kit Lists'!$D$6:$D$605,MATCH(B2445&amp;"|"&amp;C2445,'Kit Lists'!$J$6:$J$605,0)),"Not on this contract's kit list"))</f>
        <v/>
      </c>
      <c r="H2445" s="83" t="str">
        <f aca="false">IF(AND(B2445="",C2445="",D2445=""),"",IF(B2445="","Missing contract",IF(C2445="","Missing code",IF(LEFT(G2445,3)="Not","Wrong code",IF(D2445="","Missing qty",IF(A2445="","Missing date",""))))))</f>
        <v/>
      </c>
      <c r="I2445" s="84" t="str">
        <f aca="false">IF(B2445=Dashboard!$D$3,ROW(),"")</f>
        <v/>
      </c>
    </row>
    <row r="2446" customFormat="false" ht="15" hidden="false" customHeight="false" outlineLevel="0" collapsed="false">
      <c r="A2446" s="80"/>
      <c r="B2446" s="71"/>
      <c r="C2446" s="71"/>
      <c r="D2446" s="81"/>
      <c r="E2446" s="71"/>
      <c r="F2446" s="71"/>
      <c r="G2446" s="82" t="str">
        <f aca="false">IF(C2446="","",IFERROR(INDEX('Kit Lists'!$D$6:$D$605,MATCH(B2446&amp;"|"&amp;C2446,'Kit Lists'!$J$6:$J$605,0)),"Not on this contract's kit list"))</f>
        <v/>
      </c>
      <c r="H2446" s="83" t="str">
        <f aca="false">IF(AND(B2446="",C2446="",D2446=""),"",IF(B2446="","Missing contract",IF(C2446="","Missing code",IF(LEFT(G2446,3)="Not","Wrong code",IF(D2446="","Missing qty",IF(A2446="","Missing date",""))))))</f>
        <v/>
      </c>
      <c r="I2446" s="84" t="str">
        <f aca="false">IF(B2446=Dashboard!$D$3,ROW(),"")</f>
        <v/>
      </c>
    </row>
    <row r="2447" customFormat="false" ht="15" hidden="false" customHeight="false" outlineLevel="0" collapsed="false">
      <c r="A2447" s="80"/>
      <c r="B2447" s="71"/>
      <c r="C2447" s="71"/>
      <c r="D2447" s="81"/>
      <c r="E2447" s="71"/>
      <c r="F2447" s="71"/>
      <c r="G2447" s="82" t="str">
        <f aca="false">IF(C2447="","",IFERROR(INDEX('Kit Lists'!$D$6:$D$605,MATCH(B2447&amp;"|"&amp;C2447,'Kit Lists'!$J$6:$J$605,0)),"Not on this contract's kit list"))</f>
        <v/>
      </c>
      <c r="H2447" s="83" t="str">
        <f aca="false">IF(AND(B2447="",C2447="",D2447=""),"",IF(B2447="","Missing contract",IF(C2447="","Missing code",IF(LEFT(G2447,3)="Not","Wrong code",IF(D2447="","Missing qty",IF(A2447="","Missing date",""))))))</f>
        <v/>
      </c>
      <c r="I2447" s="84" t="str">
        <f aca="false">IF(B2447=Dashboard!$D$3,ROW(),"")</f>
        <v/>
      </c>
    </row>
    <row r="2448" customFormat="false" ht="15" hidden="false" customHeight="false" outlineLevel="0" collapsed="false">
      <c r="A2448" s="80"/>
      <c r="B2448" s="71"/>
      <c r="C2448" s="71"/>
      <c r="D2448" s="81"/>
      <c r="E2448" s="71"/>
      <c r="F2448" s="71"/>
      <c r="G2448" s="82" t="str">
        <f aca="false">IF(C2448="","",IFERROR(INDEX('Kit Lists'!$D$6:$D$605,MATCH(B2448&amp;"|"&amp;C2448,'Kit Lists'!$J$6:$J$605,0)),"Not on this contract's kit list"))</f>
        <v/>
      </c>
      <c r="H2448" s="83" t="str">
        <f aca="false">IF(AND(B2448="",C2448="",D2448=""),"",IF(B2448="","Missing contract",IF(C2448="","Missing code",IF(LEFT(G2448,3)="Not","Wrong code",IF(D2448="","Missing qty",IF(A2448="","Missing date",""))))))</f>
        <v/>
      </c>
      <c r="I2448" s="84" t="str">
        <f aca="false">IF(B2448=Dashboard!$D$3,ROW(),"")</f>
        <v/>
      </c>
    </row>
    <row r="2449" customFormat="false" ht="15" hidden="false" customHeight="false" outlineLevel="0" collapsed="false">
      <c r="A2449" s="80"/>
      <c r="B2449" s="71"/>
      <c r="C2449" s="71"/>
      <c r="D2449" s="81"/>
      <c r="E2449" s="71"/>
      <c r="F2449" s="71"/>
      <c r="G2449" s="82" t="str">
        <f aca="false">IF(C2449="","",IFERROR(INDEX('Kit Lists'!$D$6:$D$605,MATCH(B2449&amp;"|"&amp;C2449,'Kit Lists'!$J$6:$J$605,0)),"Not on this contract's kit list"))</f>
        <v/>
      </c>
      <c r="H2449" s="83" t="str">
        <f aca="false">IF(AND(B2449="",C2449="",D2449=""),"",IF(B2449="","Missing contract",IF(C2449="","Missing code",IF(LEFT(G2449,3)="Not","Wrong code",IF(D2449="","Missing qty",IF(A2449="","Missing date",""))))))</f>
        <v/>
      </c>
      <c r="I2449" s="84" t="str">
        <f aca="false">IF(B2449=Dashboard!$D$3,ROW(),"")</f>
        <v/>
      </c>
    </row>
    <row r="2450" customFormat="false" ht="15" hidden="false" customHeight="false" outlineLevel="0" collapsed="false">
      <c r="A2450" s="80"/>
      <c r="B2450" s="71"/>
      <c r="C2450" s="71"/>
      <c r="D2450" s="81"/>
      <c r="E2450" s="71"/>
      <c r="F2450" s="71"/>
      <c r="G2450" s="82" t="str">
        <f aca="false">IF(C2450="","",IFERROR(INDEX('Kit Lists'!$D$6:$D$605,MATCH(B2450&amp;"|"&amp;C2450,'Kit Lists'!$J$6:$J$605,0)),"Not on this contract's kit list"))</f>
        <v/>
      </c>
      <c r="H2450" s="83" t="str">
        <f aca="false">IF(AND(B2450="",C2450="",D2450=""),"",IF(B2450="","Missing contract",IF(C2450="","Missing code",IF(LEFT(G2450,3)="Not","Wrong code",IF(D2450="","Missing qty",IF(A2450="","Missing date",""))))))</f>
        <v/>
      </c>
      <c r="I2450" s="84" t="str">
        <f aca="false">IF(B2450=Dashboard!$D$3,ROW(),"")</f>
        <v/>
      </c>
    </row>
    <row r="2451" customFormat="false" ht="15" hidden="false" customHeight="false" outlineLevel="0" collapsed="false">
      <c r="A2451" s="80"/>
      <c r="B2451" s="71"/>
      <c r="C2451" s="71"/>
      <c r="D2451" s="81"/>
      <c r="E2451" s="71"/>
      <c r="F2451" s="71"/>
      <c r="G2451" s="82" t="str">
        <f aca="false">IF(C2451="","",IFERROR(INDEX('Kit Lists'!$D$6:$D$605,MATCH(B2451&amp;"|"&amp;C2451,'Kit Lists'!$J$6:$J$605,0)),"Not on this contract's kit list"))</f>
        <v/>
      </c>
      <c r="H2451" s="83" t="str">
        <f aca="false">IF(AND(B2451="",C2451="",D2451=""),"",IF(B2451="","Missing contract",IF(C2451="","Missing code",IF(LEFT(G2451,3)="Not","Wrong code",IF(D2451="","Missing qty",IF(A2451="","Missing date",""))))))</f>
        <v/>
      </c>
      <c r="I2451" s="84" t="str">
        <f aca="false">IF(B2451=Dashboard!$D$3,ROW(),"")</f>
        <v/>
      </c>
    </row>
    <row r="2452" customFormat="false" ht="15" hidden="false" customHeight="false" outlineLevel="0" collapsed="false">
      <c r="A2452" s="80"/>
      <c r="B2452" s="71"/>
      <c r="C2452" s="71"/>
      <c r="D2452" s="81"/>
      <c r="E2452" s="71"/>
      <c r="F2452" s="71"/>
      <c r="G2452" s="82" t="str">
        <f aca="false">IF(C2452="","",IFERROR(INDEX('Kit Lists'!$D$6:$D$605,MATCH(B2452&amp;"|"&amp;C2452,'Kit Lists'!$J$6:$J$605,0)),"Not on this contract's kit list"))</f>
        <v/>
      </c>
      <c r="H2452" s="83" t="str">
        <f aca="false">IF(AND(B2452="",C2452="",D2452=""),"",IF(B2452="","Missing contract",IF(C2452="","Missing code",IF(LEFT(G2452,3)="Not","Wrong code",IF(D2452="","Missing qty",IF(A2452="","Missing date",""))))))</f>
        <v/>
      </c>
      <c r="I2452" s="84" t="str">
        <f aca="false">IF(B2452=Dashboard!$D$3,ROW(),"")</f>
        <v/>
      </c>
    </row>
    <row r="2453" customFormat="false" ht="15" hidden="false" customHeight="false" outlineLevel="0" collapsed="false">
      <c r="A2453" s="80"/>
      <c r="B2453" s="71"/>
      <c r="C2453" s="71"/>
      <c r="D2453" s="81"/>
      <c r="E2453" s="71"/>
      <c r="F2453" s="71"/>
      <c r="G2453" s="82" t="str">
        <f aca="false">IF(C2453="","",IFERROR(INDEX('Kit Lists'!$D$6:$D$605,MATCH(B2453&amp;"|"&amp;C2453,'Kit Lists'!$J$6:$J$605,0)),"Not on this contract's kit list"))</f>
        <v/>
      </c>
      <c r="H2453" s="83" t="str">
        <f aca="false">IF(AND(B2453="",C2453="",D2453=""),"",IF(B2453="","Missing contract",IF(C2453="","Missing code",IF(LEFT(G2453,3)="Not","Wrong code",IF(D2453="","Missing qty",IF(A2453="","Missing date",""))))))</f>
        <v/>
      </c>
      <c r="I2453" s="84" t="str">
        <f aca="false">IF(B2453=Dashboard!$D$3,ROW(),"")</f>
        <v/>
      </c>
    </row>
    <row r="2454" customFormat="false" ht="15" hidden="false" customHeight="false" outlineLevel="0" collapsed="false">
      <c r="A2454" s="80"/>
      <c r="B2454" s="71"/>
      <c r="C2454" s="71"/>
      <c r="D2454" s="81"/>
      <c r="E2454" s="71"/>
      <c r="F2454" s="71"/>
      <c r="G2454" s="82" t="str">
        <f aca="false">IF(C2454="","",IFERROR(INDEX('Kit Lists'!$D$6:$D$605,MATCH(B2454&amp;"|"&amp;C2454,'Kit Lists'!$J$6:$J$605,0)),"Not on this contract's kit list"))</f>
        <v/>
      </c>
      <c r="H2454" s="83" t="str">
        <f aca="false">IF(AND(B2454="",C2454="",D2454=""),"",IF(B2454="","Missing contract",IF(C2454="","Missing code",IF(LEFT(G2454,3)="Not","Wrong code",IF(D2454="","Missing qty",IF(A2454="","Missing date",""))))))</f>
        <v/>
      </c>
      <c r="I2454" s="84" t="str">
        <f aca="false">IF(B2454=Dashboard!$D$3,ROW(),"")</f>
        <v/>
      </c>
    </row>
    <row r="2455" customFormat="false" ht="15" hidden="false" customHeight="false" outlineLevel="0" collapsed="false">
      <c r="A2455" s="80"/>
      <c r="B2455" s="71"/>
      <c r="C2455" s="71"/>
      <c r="D2455" s="81"/>
      <c r="E2455" s="71"/>
      <c r="F2455" s="71"/>
      <c r="G2455" s="82" t="str">
        <f aca="false">IF(C2455="","",IFERROR(INDEX('Kit Lists'!$D$6:$D$605,MATCH(B2455&amp;"|"&amp;C2455,'Kit Lists'!$J$6:$J$605,0)),"Not on this contract's kit list"))</f>
        <v/>
      </c>
      <c r="H2455" s="83" t="str">
        <f aca="false">IF(AND(B2455="",C2455="",D2455=""),"",IF(B2455="","Missing contract",IF(C2455="","Missing code",IF(LEFT(G2455,3)="Not","Wrong code",IF(D2455="","Missing qty",IF(A2455="","Missing date",""))))))</f>
        <v/>
      </c>
      <c r="I2455" s="84" t="str">
        <f aca="false">IF(B2455=Dashboard!$D$3,ROW(),"")</f>
        <v/>
      </c>
    </row>
    <row r="2456" customFormat="false" ht="15" hidden="false" customHeight="false" outlineLevel="0" collapsed="false">
      <c r="A2456" s="80"/>
      <c r="B2456" s="71"/>
      <c r="C2456" s="71"/>
      <c r="D2456" s="81"/>
      <c r="E2456" s="71"/>
      <c r="F2456" s="71"/>
      <c r="G2456" s="82" t="str">
        <f aca="false">IF(C2456="","",IFERROR(INDEX('Kit Lists'!$D$6:$D$605,MATCH(B2456&amp;"|"&amp;C2456,'Kit Lists'!$J$6:$J$605,0)),"Not on this contract's kit list"))</f>
        <v/>
      </c>
      <c r="H2456" s="83" t="str">
        <f aca="false">IF(AND(B2456="",C2456="",D2456=""),"",IF(B2456="","Missing contract",IF(C2456="","Missing code",IF(LEFT(G2456,3)="Not","Wrong code",IF(D2456="","Missing qty",IF(A2456="","Missing date",""))))))</f>
        <v/>
      </c>
      <c r="I2456" s="84" t="str">
        <f aca="false">IF(B2456=Dashboard!$D$3,ROW(),"")</f>
        <v/>
      </c>
    </row>
    <row r="2457" customFormat="false" ht="15" hidden="false" customHeight="false" outlineLevel="0" collapsed="false">
      <c r="A2457" s="80"/>
      <c r="B2457" s="71"/>
      <c r="C2457" s="71"/>
      <c r="D2457" s="81"/>
      <c r="E2457" s="71"/>
      <c r="F2457" s="71"/>
      <c r="G2457" s="82" t="str">
        <f aca="false">IF(C2457="","",IFERROR(INDEX('Kit Lists'!$D$6:$D$605,MATCH(B2457&amp;"|"&amp;C2457,'Kit Lists'!$J$6:$J$605,0)),"Not on this contract's kit list"))</f>
        <v/>
      </c>
      <c r="H2457" s="83" t="str">
        <f aca="false">IF(AND(B2457="",C2457="",D2457=""),"",IF(B2457="","Missing contract",IF(C2457="","Missing code",IF(LEFT(G2457,3)="Not","Wrong code",IF(D2457="","Missing qty",IF(A2457="","Missing date",""))))))</f>
        <v/>
      </c>
      <c r="I2457" s="84" t="str">
        <f aca="false">IF(B2457=Dashboard!$D$3,ROW(),"")</f>
        <v/>
      </c>
    </row>
    <row r="2458" customFormat="false" ht="15" hidden="false" customHeight="false" outlineLevel="0" collapsed="false">
      <c r="A2458" s="80"/>
      <c r="B2458" s="71"/>
      <c r="C2458" s="71"/>
      <c r="D2458" s="81"/>
      <c r="E2458" s="71"/>
      <c r="F2458" s="71"/>
      <c r="G2458" s="82" t="str">
        <f aca="false">IF(C2458="","",IFERROR(INDEX('Kit Lists'!$D$6:$D$605,MATCH(B2458&amp;"|"&amp;C2458,'Kit Lists'!$J$6:$J$605,0)),"Not on this contract's kit list"))</f>
        <v/>
      </c>
      <c r="H2458" s="83" t="str">
        <f aca="false">IF(AND(B2458="",C2458="",D2458=""),"",IF(B2458="","Missing contract",IF(C2458="","Missing code",IF(LEFT(G2458,3)="Not","Wrong code",IF(D2458="","Missing qty",IF(A2458="","Missing date",""))))))</f>
        <v/>
      </c>
      <c r="I2458" s="84" t="str">
        <f aca="false">IF(B2458=Dashboard!$D$3,ROW(),"")</f>
        <v/>
      </c>
    </row>
    <row r="2459" customFormat="false" ht="15" hidden="false" customHeight="false" outlineLevel="0" collapsed="false">
      <c r="A2459" s="80"/>
      <c r="B2459" s="71"/>
      <c r="C2459" s="71"/>
      <c r="D2459" s="81"/>
      <c r="E2459" s="71"/>
      <c r="F2459" s="71"/>
      <c r="G2459" s="82" t="str">
        <f aca="false">IF(C2459="","",IFERROR(INDEX('Kit Lists'!$D$6:$D$605,MATCH(B2459&amp;"|"&amp;C2459,'Kit Lists'!$J$6:$J$605,0)),"Not on this contract's kit list"))</f>
        <v/>
      </c>
      <c r="H2459" s="83" t="str">
        <f aca="false">IF(AND(B2459="",C2459="",D2459=""),"",IF(B2459="","Missing contract",IF(C2459="","Missing code",IF(LEFT(G2459,3)="Not","Wrong code",IF(D2459="","Missing qty",IF(A2459="","Missing date",""))))))</f>
        <v/>
      </c>
      <c r="I2459" s="84" t="str">
        <f aca="false">IF(B2459=Dashboard!$D$3,ROW(),"")</f>
        <v/>
      </c>
    </row>
    <row r="2460" customFormat="false" ht="15" hidden="false" customHeight="false" outlineLevel="0" collapsed="false">
      <c r="A2460" s="80"/>
      <c r="B2460" s="71"/>
      <c r="C2460" s="71"/>
      <c r="D2460" s="81"/>
      <c r="E2460" s="71"/>
      <c r="F2460" s="71"/>
      <c r="G2460" s="82" t="str">
        <f aca="false">IF(C2460="","",IFERROR(INDEX('Kit Lists'!$D$6:$D$605,MATCH(B2460&amp;"|"&amp;C2460,'Kit Lists'!$J$6:$J$605,0)),"Not on this contract's kit list"))</f>
        <v/>
      </c>
      <c r="H2460" s="83" t="str">
        <f aca="false">IF(AND(B2460="",C2460="",D2460=""),"",IF(B2460="","Missing contract",IF(C2460="","Missing code",IF(LEFT(G2460,3)="Not","Wrong code",IF(D2460="","Missing qty",IF(A2460="","Missing date",""))))))</f>
        <v/>
      </c>
      <c r="I2460" s="84" t="str">
        <f aca="false">IF(B2460=Dashboard!$D$3,ROW(),"")</f>
        <v/>
      </c>
    </row>
    <row r="2461" customFormat="false" ht="15" hidden="false" customHeight="false" outlineLevel="0" collapsed="false">
      <c r="A2461" s="80"/>
      <c r="B2461" s="71"/>
      <c r="C2461" s="71"/>
      <c r="D2461" s="81"/>
      <c r="E2461" s="71"/>
      <c r="F2461" s="71"/>
      <c r="G2461" s="82" t="str">
        <f aca="false">IF(C2461="","",IFERROR(INDEX('Kit Lists'!$D$6:$D$605,MATCH(B2461&amp;"|"&amp;C2461,'Kit Lists'!$J$6:$J$605,0)),"Not on this contract's kit list"))</f>
        <v/>
      </c>
      <c r="H2461" s="83" t="str">
        <f aca="false">IF(AND(B2461="",C2461="",D2461=""),"",IF(B2461="","Missing contract",IF(C2461="","Missing code",IF(LEFT(G2461,3)="Not","Wrong code",IF(D2461="","Missing qty",IF(A2461="","Missing date",""))))))</f>
        <v/>
      </c>
      <c r="I2461" s="84" t="str">
        <f aca="false">IF(B2461=Dashboard!$D$3,ROW(),"")</f>
        <v/>
      </c>
    </row>
    <row r="2462" customFormat="false" ht="15" hidden="false" customHeight="false" outlineLevel="0" collapsed="false">
      <c r="A2462" s="80"/>
      <c r="B2462" s="71"/>
      <c r="C2462" s="71"/>
      <c r="D2462" s="81"/>
      <c r="E2462" s="71"/>
      <c r="F2462" s="71"/>
      <c r="G2462" s="82" t="str">
        <f aca="false">IF(C2462="","",IFERROR(INDEX('Kit Lists'!$D$6:$D$605,MATCH(B2462&amp;"|"&amp;C2462,'Kit Lists'!$J$6:$J$605,0)),"Not on this contract's kit list"))</f>
        <v/>
      </c>
      <c r="H2462" s="83" t="str">
        <f aca="false">IF(AND(B2462="",C2462="",D2462=""),"",IF(B2462="","Missing contract",IF(C2462="","Missing code",IF(LEFT(G2462,3)="Not","Wrong code",IF(D2462="","Missing qty",IF(A2462="","Missing date",""))))))</f>
        <v/>
      </c>
      <c r="I2462" s="84" t="str">
        <f aca="false">IF(B2462=Dashboard!$D$3,ROW(),"")</f>
        <v/>
      </c>
    </row>
    <row r="2463" customFormat="false" ht="15" hidden="false" customHeight="false" outlineLevel="0" collapsed="false">
      <c r="A2463" s="80"/>
      <c r="B2463" s="71"/>
      <c r="C2463" s="71"/>
      <c r="D2463" s="81"/>
      <c r="E2463" s="71"/>
      <c r="F2463" s="71"/>
      <c r="G2463" s="82" t="str">
        <f aca="false">IF(C2463="","",IFERROR(INDEX('Kit Lists'!$D$6:$D$605,MATCH(B2463&amp;"|"&amp;C2463,'Kit Lists'!$J$6:$J$605,0)),"Not on this contract's kit list"))</f>
        <v/>
      </c>
      <c r="H2463" s="83" t="str">
        <f aca="false">IF(AND(B2463="",C2463="",D2463=""),"",IF(B2463="","Missing contract",IF(C2463="","Missing code",IF(LEFT(G2463,3)="Not","Wrong code",IF(D2463="","Missing qty",IF(A2463="","Missing date",""))))))</f>
        <v/>
      </c>
      <c r="I2463" s="84" t="str">
        <f aca="false">IF(B2463=Dashboard!$D$3,ROW(),"")</f>
        <v/>
      </c>
    </row>
    <row r="2464" customFormat="false" ht="15" hidden="false" customHeight="false" outlineLevel="0" collapsed="false">
      <c r="A2464" s="80"/>
      <c r="B2464" s="71"/>
      <c r="C2464" s="71"/>
      <c r="D2464" s="81"/>
      <c r="E2464" s="71"/>
      <c r="F2464" s="71"/>
      <c r="G2464" s="82" t="str">
        <f aca="false">IF(C2464="","",IFERROR(INDEX('Kit Lists'!$D$6:$D$605,MATCH(B2464&amp;"|"&amp;C2464,'Kit Lists'!$J$6:$J$605,0)),"Not on this contract's kit list"))</f>
        <v/>
      </c>
      <c r="H2464" s="83" t="str">
        <f aca="false">IF(AND(B2464="",C2464="",D2464=""),"",IF(B2464="","Missing contract",IF(C2464="","Missing code",IF(LEFT(G2464,3)="Not","Wrong code",IF(D2464="","Missing qty",IF(A2464="","Missing date",""))))))</f>
        <v/>
      </c>
      <c r="I2464" s="84" t="str">
        <f aca="false">IF(B2464=Dashboard!$D$3,ROW(),"")</f>
        <v/>
      </c>
    </row>
    <row r="2465" customFormat="false" ht="15" hidden="false" customHeight="false" outlineLevel="0" collapsed="false">
      <c r="A2465" s="80"/>
      <c r="B2465" s="71"/>
      <c r="C2465" s="71"/>
      <c r="D2465" s="81"/>
      <c r="E2465" s="71"/>
      <c r="F2465" s="71"/>
      <c r="G2465" s="82" t="str">
        <f aca="false">IF(C2465="","",IFERROR(INDEX('Kit Lists'!$D$6:$D$605,MATCH(B2465&amp;"|"&amp;C2465,'Kit Lists'!$J$6:$J$605,0)),"Not on this contract's kit list"))</f>
        <v/>
      </c>
      <c r="H2465" s="83" t="str">
        <f aca="false">IF(AND(B2465="",C2465="",D2465=""),"",IF(B2465="","Missing contract",IF(C2465="","Missing code",IF(LEFT(G2465,3)="Not","Wrong code",IF(D2465="","Missing qty",IF(A2465="","Missing date",""))))))</f>
        <v/>
      </c>
      <c r="I2465" s="84" t="str">
        <f aca="false">IF(B2465=Dashboard!$D$3,ROW(),"")</f>
        <v/>
      </c>
    </row>
    <row r="2466" customFormat="false" ht="15" hidden="false" customHeight="false" outlineLevel="0" collapsed="false">
      <c r="A2466" s="80"/>
      <c r="B2466" s="71"/>
      <c r="C2466" s="71"/>
      <c r="D2466" s="81"/>
      <c r="E2466" s="71"/>
      <c r="F2466" s="71"/>
      <c r="G2466" s="82" t="str">
        <f aca="false">IF(C2466="","",IFERROR(INDEX('Kit Lists'!$D$6:$D$605,MATCH(B2466&amp;"|"&amp;C2466,'Kit Lists'!$J$6:$J$605,0)),"Not on this contract's kit list"))</f>
        <v/>
      </c>
      <c r="H2466" s="83" t="str">
        <f aca="false">IF(AND(B2466="",C2466="",D2466=""),"",IF(B2466="","Missing contract",IF(C2466="","Missing code",IF(LEFT(G2466,3)="Not","Wrong code",IF(D2466="","Missing qty",IF(A2466="","Missing date",""))))))</f>
        <v/>
      </c>
      <c r="I2466" s="84" t="str">
        <f aca="false">IF(B2466=Dashboard!$D$3,ROW(),"")</f>
        <v/>
      </c>
    </row>
    <row r="2467" customFormat="false" ht="15" hidden="false" customHeight="false" outlineLevel="0" collapsed="false">
      <c r="A2467" s="80"/>
      <c r="B2467" s="71"/>
      <c r="C2467" s="71"/>
      <c r="D2467" s="81"/>
      <c r="E2467" s="71"/>
      <c r="F2467" s="71"/>
      <c r="G2467" s="82" t="str">
        <f aca="false">IF(C2467="","",IFERROR(INDEX('Kit Lists'!$D$6:$D$605,MATCH(B2467&amp;"|"&amp;C2467,'Kit Lists'!$J$6:$J$605,0)),"Not on this contract's kit list"))</f>
        <v/>
      </c>
      <c r="H2467" s="83" t="str">
        <f aca="false">IF(AND(B2467="",C2467="",D2467=""),"",IF(B2467="","Missing contract",IF(C2467="","Missing code",IF(LEFT(G2467,3)="Not","Wrong code",IF(D2467="","Missing qty",IF(A2467="","Missing date",""))))))</f>
        <v/>
      </c>
      <c r="I2467" s="84" t="str">
        <f aca="false">IF(B2467=Dashboard!$D$3,ROW(),"")</f>
        <v/>
      </c>
    </row>
    <row r="2468" customFormat="false" ht="15" hidden="false" customHeight="false" outlineLevel="0" collapsed="false">
      <c r="A2468" s="80"/>
      <c r="B2468" s="71"/>
      <c r="C2468" s="71"/>
      <c r="D2468" s="81"/>
      <c r="E2468" s="71"/>
      <c r="F2468" s="71"/>
      <c r="G2468" s="82" t="str">
        <f aca="false">IF(C2468="","",IFERROR(INDEX('Kit Lists'!$D$6:$D$605,MATCH(B2468&amp;"|"&amp;C2468,'Kit Lists'!$J$6:$J$605,0)),"Not on this contract's kit list"))</f>
        <v/>
      </c>
      <c r="H2468" s="83" t="str">
        <f aca="false">IF(AND(B2468="",C2468="",D2468=""),"",IF(B2468="","Missing contract",IF(C2468="","Missing code",IF(LEFT(G2468,3)="Not","Wrong code",IF(D2468="","Missing qty",IF(A2468="","Missing date",""))))))</f>
        <v/>
      </c>
      <c r="I2468" s="84" t="str">
        <f aca="false">IF(B2468=Dashboard!$D$3,ROW(),"")</f>
        <v/>
      </c>
    </row>
    <row r="2469" customFormat="false" ht="15" hidden="false" customHeight="false" outlineLevel="0" collapsed="false">
      <c r="A2469" s="80"/>
      <c r="B2469" s="71"/>
      <c r="C2469" s="71"/>
      <c r="D2469" s="81"/>
      <c r="E2469" s="71"/>
      <c r="F2469" s="71"/>
      <c r="G2469" s="82" t="str">
        <f aca="false">IF(C2469="","",IFERROR(INDEX('Kit Lists'!$D$6:$D$605,MATCH(B2469&amp;"|"&amp;C2469,'Kit Lists'!$J$6:$J$605,0)),"Not on this contract's kit list"))</f>
        <v/>
      </c>
      <c r="H2469" s="83" t="str">
        <f aca="false">IF(AND(B2469="",C2469="",D2469=""),"",IF(B2469="","Missing contract",IF(C2469="","Missing code",IF(LEFT(G2469,3)="Not","Wrong code",IF(D2469="","Missing qty",IF(A2469="","Missing date",""))))))</f>
        <v/>
      </c>
      <c r="I2469" s="84" t="str">
        <f aca="false">IF(B2469=Dashboard!$D$3,ROW(),"")</f>
        <v/>
      </c>
    </row>
    <row r="2470" customFormat="false" ht="15" hidden="false" customHeight="false" outlineLevel="0" collapsed="false">
      <c r="A2470" s="80"/>
      <c r="B2470" s="71"/>
      <c r="C2470" s="71"/>
      <c r="D2470" s="81"/>
      <c r="E2470" s="71"/>
      <c r="F2470" s="71"/>
      <c r="G2470" s="82" t="str">
        <f aca="false">IF(C2470="","",IFERROR(INDEX('Kit Lists'!$D$6:$D$605,MATCH(B2470&amp;"|"&amp;C2470,'Kit Lists'!$J$6:$J$605,0)),"Not on this contract's kit list"))</f>
        <v/>
      </c>
      <c r="H2470" s="83" t="str">
        <f aca="false">IF(AND(B2470="",C2470="",D2470=""),"",IF(B2470="","Missing contract",IF(C2470="","Missing code",IF(LEFT(G2470,3)="Not","Wrong code",IF(D2470="","Missing qty",IF(A2470="","Missing date",""))))))</f>
        <v/>
      </c>
      <c r="I2470" s="84" t="str">
        <f aca="false">IF(B2470=Dashboard!$D$3,ROW(),"")</f>
        <v/>
      </c>
    </row>
    <row r="2471" customFormat="false" ht="15" hidden="false" customHeight="false" outlineLevel="0" collapsed="false">
      <c r="A2471" s="80"/>
      <c r="B2471" s="71"/>
      <c r="C2471" s="71"/>
      <c r="D2471" s="81"/>
      <c r="E2471" s="71"/>
      <c r="F2471" s="71"/>
      <c r="G2471" s="82" t="str">
        <f aca="false">IF(C2471="","",IFERROR(INDEX('Kit Lists'!$D$6:$D$605,MATCH(B2471&amp;"|"&amp;C2471,'Kit Lists'!$J$6:$J$605,0)),"Not on this contract's kit list"))</f>
        <v/>
      </c>
      <c r="H2471" s="83" t="str">
        <f aca="false">IF(AND(B2471="",C2471="",D2471=""),"",IF(B2471="","Missing contract",IF(C2471="","Missing code",IF(LEFT(G2471,3)="Not","Wrong code",IF(D2471="","Missing qty",IF(A2471="","Missing date",""))))))</f>
        <v/>
      </c>
      <c r="I2471" s="84" t="str">
        <f aca="false">IF(B2471=Dashboard!$D$3,ROW(),"")</f>
        <v/>
      </c>
    </row>
    <row r="2472" customFormat="false" ht="15" hidden="false" customHeight="false" outlineLevel="0" collapsed="false">
      <c r="A2472" s="80"/>
      <c r="B2472" s="71"/>
      <c r="C2472" s="71"/>
      <c r="D2472" s="81"/>
      <c r="E2472" s="71"/>
      <c r="F2472" s="71"/>
      <c r="G2472" s="82" t="str">
        <f aca="false">IF(C2472="","",IFERROR(INDEX('Kit Lists'!$D$6:$D$605,MATCH(B2472&amp;"|"&amp;C2472,'Kit Lists'!$J$6:$J$605,0)),"Not on this contract's kit list"))</f>
        <v/>
      </c>
      <c r="H2472" s="83" t="str">
        <f aca="false">IF(AND(B2472="",C2472="",D2472=""),"",IF(B2472="","Missing contract",IF(C2472="","Missing code",IF(LEFT(G2472,3)="Not","Wrong code",IF(D2472="","Missing qty",IF(A2472="","Missing date",""))))))</f>
        <v/>
      </c>
      <c r="I2472" s="84" t="str">
        <f aca="false">IF(B2472=Dashboard!$D$3,ROW(),"")</f>
        <v/>
      </c>
    </row>
    <row r="2473" customFormat="false" ht="15" hidden="false" customHeight="false" outlineLevel="0" collapsed="false">
      <c r="A2473" s="80"/>
      <c r="B2473" s="71"/>
      <c r="C2473" s="71"/>
      <c r="D2473" s="81"/>
      <c r="E2473" s="71"/>
      <c r="F2473" s="71"/>
      <c r="G2473" s="82" t="str">
        <f aca="false">IF(C2473="","",IFERROR(INDEX('Kit Lists'!$D$6:$D$605,MATCH(B2473&amp;"|"&amp;C2473,'Kit Lists'!$J$6:$J$605,0)),"Not on this contract's kit list"))</f>
        <v/>
      </c>
      <c r="H2473" s="83" t="str">
        <f aca="false">IF(AND(B2473="",C2473="",D2473=""),"",IF(B2473="","Missing contract",IF(C2473="","Missing code",IF(LEFT(G2473,3)="Not","Wrong code",IF(D2473="","Missing qty",IF(A2473="","Missing date",""))))))</f>
        <v/>
      </c>
      <c r="I2473" s="84" t="str">
        <f aca="false">IF(B2473=Dashboard!$D$3,ROW(),"")</f>
        <v/>
      </c>
    </row>
    <row r="2474" customFormat="false" ht="15" hidden="false" customHeight="false" outlineLevel="0" collapsed="false">
      <c r="A2474" s="80"/>
      <c r="B2474" s="71"/>
      <c r="C2474" s="71"/>
      <c r="D2474" s="81"/>
      <c r="E2474" s="71"/>
      <c r="F2474" s="71"/>
      <c r="G2474" s="82" t="str">
        <f aca="false">IF(C2474="","",IFERROR(INDEX('Kit Lists'!$D$6:$D$605,MATCH(B2474&amp;"|"&amp;C2474,'Kit Lists'!$J$6:$J$605,0)),"Not on this contract's kit list"))</f>
        <v/>
      </c>
      <c r="H2474" s="83" t="str">
        <f aca="false">IF(AND(B2474="",C2474="",D2474=""),"",IF(B2474="","Missing contract",IF(C2474="","Missing code",IF(LEFT(G2474,3)="Not","Wrong code",IF(D2474="","Missing qty",IF(A2474="","Missing date",""))))))</f>
        <v/>
      </c>
      <c r="I2474" s="84" t="str">
        <f aca="false">IF(B2474=Dashboard!$D$3,ROW(),"")</f>
        <v/>
      </c>
    </row>
    <row r="2475" customFormat="false" ht="15" hidden="false" customHeight="false" outlineLevel="0" collapsed="false">
      <c r="A2475" s="80"/>
      <c r="B2475" s="71"/>
      <c r="C2475" s="71"/>
      <c r="D2475" s="81"/>
      <c r="E2475" s="71"/>
      <c r="F2475" s="71"/>
      <c r="G2475" s="82" t="str">
        <f aca="false">IF(C2475="","",IFERROR(INDEX('Kit Lists'!$D$6:$D$605,MATCH(B2475&amp;"|"&amp;C2475,'Kit Lists'!$J$6:$J$605,0)),"Not on this contract's kit list"))</f>
        <v/>
      </c>
      <c r="H2475" s="83" t="str">
        <f aca="false">IF(AND(B2475="",C2475="",D2475=""),"",IF(B2475="","Missing contract",IF(C2475="","Missing code",IF(LEFT(G2475,3)="Not","Wrong code",IF(D2475="","Missing qty",IF(A2475="","Missing date",""))))))</f>
        <v/>
      </c>
      <c r="I2475" s="84" t="str">
        <f aca="false">IF(B2475=Dashboard!$D$3,ROW(),"")</f>
        <v/>
      </c>
    </row>
    <row r="2476" customFormat="false" ht="15" hidden="false" customHeight="false" outlineLevel="0" collapsed="false">
      <c r="A2476" s="80"/>
      <c r="B2476" s="71"/>
      <c r="C2476" s="71"/>
      <c r="D2476" s="81"/>
      <c r="E2476" s="71"/>
      <c r="F2476" s="71"/>
      <c r="G2476" s="82" t="str">
        <f aca="false">IF(C2476="","",IFERROR(INDEX('Kit Lists'!$D$6:$D$605,MATCH(B2476&amp;"|"&amp;C2476,'Kit Lists'!$J$6:$J$605,0)),"Not on this contract's kit list"))</f>
        <v/>
      </c>
      <c r="H2476" s="83" t="str">
        <f aca="false">IF(AND(B2476="",C2476="",D2476=""),"",IF(B2476="","Missing contract",IF(C2476="","Missing code",IF(LEFT(G2476,3)="Not","Wrong code",IF(D2476="","Missing qty",IF(A2476="","Missing date",""))))))</f>
        <v/>
      </c>
      <c r="I2476" s="84" t="str">
        <f aca="false">IF(B2476=Dashboard!$D$3,ROW(),"")</f>
        <v/>
      </c>
    </row>
    <row r="2477" customFormat="false" ht="15" hidden="false" customHeight="false" outlineLevel="0" collapsed="false">
      <c r="A2477" s="80"/>
      <c r="B2477" s="71"/>
      <c r="C2477" s="71"/>
      <c r="D2477" s="81"/>
      <c r="E2477" s="71"/>
      <c r="F2477" s="71"/>
      <c r="G2477" s="82" t="str">
        <f aca="false">IF(C2477="","",IFERROR(INDEX('Kit Lists'!$D$6:$D$605,MATCH(B2477&amp;"|"&amp;C2477,'Kit Lists'!$J$6:$J$605,0)),"Not on this contract's kit list"))</f>
        <v/>
      </c>
      <c r="H2477" s="83" t="str">
        <f aca="false">IF(AND(B2477="",C2477="",D2477=""),"",IF(B2477="","Missing contract",IF(C2477="","Missing code",IF(LEFT(G2477,3)="Not","Wrong code",IF(D2477="","Missing qty",IF(A2477="","Missing date",""))))))</f>
        <v/>
      </c>
      <c r="I2477" s="84" t="str">
        <f aca="false">IF(B2477=Dashboard!$D$3,ROW(),"")</f>
        <v/>
      </c>
    </row>
    <row r="2478" customFormat="false" ht="15" hidden="false" customHeight="false" outlineLevel="0" collapsed="false">
      <c r="A2478" s="80"/>
      <c r="B2478" s="71"/>
      <c r="C2478" s="71"/>
      <c r="D2478" s="81"/>
      <c r="E2478" s="71"/>
      <c r="F2478" s="71"/>
      <c r="G2478" s="82" t="str">
        <f aca="false">IF(C2478="","",IFERROR(INDEX('Kit Lists'!$D$6:$D$605,MATCH(B2478&amp;"|"&amp;C2478,'Kit Lists'!$J$6:$J$605,0)),"Not on this contract's kit list"))</f>
        <v/>
      </c>
      <c r="H2478" s="83" t="str">
        <f aca="false">IF(AND(B2478="",C2478="",D2478=""),"",IF(B2478="","Missing contract",IF(C2478="","Missing code",IF(LEFT(G2478,3)="Not","Wrong code",IF(D2478="","Missing qty",IF(A2478="","Missing date",""))))))</f>
        <v/>
      </c>
      <c r="I2478" s="84" t="str">
        <f aca="false">IF(B2478=Dashboard!$D$3,ROW(),"")</f>
        <v/>
      </c>
    </row>
    <row r="2479" customFormat="false" ht="15" hidden="false" customHeight="false" outlineLevel="0" collapsed="false">
      <c r="A2479" s="80"/>
      <c r="B2479" s="71"/>
      <c r="C2479" s="71"/>
      <c r="D2479" s="81"/>
      <c r="E2479" s="71"/>
      <c r="F2479" s="71"/>
      <c r="G2479" s="82" t="str">
        <f aca="false">IF(C2479="","",IFERROR(INDEX('Kit Lists'!$D$6:$D$605,MATCH(B2479&amp;"|"&amp;C2479,'Kit Lists'!$J$6:$J$605,0)),"Not on this contract's kit list"))</f>
        <v/>
      </c>
      <c r="H2479" s="83" t="str">
        <f aca="false">IF(AND(B2479="",C2479="",D2479=""),"",IF(B2479="","Missing contract",IF(C2479="","Missing code",IF(LEFT(G2479,3)="Not","Wrong code",IF(D2479="","Missing qty",IF(A2479="","Missing date",""))))))</f>
        <v/>
      </c>
      <c r="I2479" s="84" t="str">
        <f aca="false">IF(B2479=Dashboard!$D$3,ROW(),"")</f>
        <v/>
      </c>
    </row>
    <row r="2480" customFormat="false" ht="15" hidden="false" customHeight="false" outlineLevel="0" collapsed="false">
      <c r="A2480" s="80"/>
      <c r="B2480" s="71"/>
      <c r="C2480" s="71"/>
      <c r="D2480" s="81"/>
      <c r="E2480" s="71"/>
      <c r="F2480" s="71"/>
      <c r="G2480" s="82" t="str">
        <f aca="false">IF(C2480="","",IFERROR(INDEX('Kit Lists'!$D$6:$D$605,MATCH(B2480&amp;"|"&amp;C2480,'Kit Lists'!$J$6:$J$605,0)),"Not on this contract's kit list"))</f>
        <v/>
      </c>
      <c r="H2480" s="83" t="str">
        <f aca="false">IF(AND(B2480="",C2480="",D2480=""),"",IF(B2480="","Missing contract",IF(C2480="","Missing code",IF(LEFT(G2480,3)="Not","Wrong code",IF(D2480="","Missing qty",IF(A2480="","Missing date",""))))))</f>
        <v/>
      </c>
      <c r="I2480" s="84" t="str">
        <f aca="false">IF(B2480=Dashboard!$D$3,ROW(),"")</f>
        <v/>
      </c>
    </row>
    <row r="2481" customFormat="false" ht="15" hidden="false" customHeight="false" outlineLevel="0" collapsed="false">
      <c r="A2481" s="80"/>
      <c r="B2481" s="71"/>
      <c r="C2481" s="71"/>
      <c r="D2481" s="81"/>
      <c r="E2481" s="71"/>
      <c r="F2481" s="71"/>
      <c r="G2481" s="82" t="str">
        <f aca="false">IF(C2481="","",IFERROR(INDEX('Kit Lists'!$D$6:$D$605,MATCH(B2481&amp;"|"&amp;C2481,'Kit Lists'!$J$6:$J$605,0)),"Not on this contract's kit list"))</f>
        <v/>
      </c>
      <c r="H2481" s="83" t="str">
        <f aca="false">IF(AND(B2481="",C2481="",D2481=""),"",IF(B2481="","Missing contract",IF(C2481="","Missing code",IF(LEFT(G2481,3)="Not","Wrong code",IF(D2481="","Missing qty",IF(A2481="","Missing date",""))))))</f>
        <v/>
      </c>
      <c r="I2481" s="84" t="str">
        <f aca="false">IF(B2481=Dashboard!$D$3,ROW(),"")</f>
        <v/>
      </c>
    </row>
    <row r="2482" customFormat="false" ht="15" hidden="false" customHeight="false" outlineLevel="0" collapsed="false">
      <c r="A2482" s="80"/>
      <c r="B2482" s="71"/>
      <c r="C2482" s="71"/>
      <c r="D2482" s="81"/>
      <c r="E2482" s="71"/>
      <c r="F2482" s="71"/>
      <c r="G2482" s="82" t="str">
        <f aca="false">IF(C2482="","",IFERROR(INDEX('Kit Lists'!$D$6:$D$605,MATCH(B2482&amp;"|"&amp;C2482,'Kit Lists'!$J$6:$J$605,0)),"Not on this contract's kit list"))</f>
        <v/>
      </c>
      <c r="H2482" s="83" t="str">
        <f aca="false">IF(AND(B2482="",C2482="",D2482=""),"",IF(B2482="","Missing contract",IF(C2482="","Missing code",IF(LEFT(G2482,3)="Not","Wrong code",IF(D2482="","Missing qty",IF(A2482="","Missing date",""))))))</f>
        <v/>
      </c>
      <c r="I2482" s="84" t="str">
        <f aca="false">IF(B2482=Dashboard!$D$3,ROW(),"")</f>
        <v/>
      </c>
    </row>
    <row r="2483" customFormat="false" ht="15" hidden="false" customHeight="false" outlineLevel="0" collapsed="false">
      <c r="A2483" s="80"/>
      <c r="B2483" s="71"/>
      <c r="C2483" s="71"/>
      <c r="D2483" s="81"/>
      <c r="E2483" s="71"/>
      <c r="F2483" s="71"/>
      <c r="G2483" s="82" t="str">
        <f aca="false">IF(C2483="","",IFERROR(INDEX('Kit Lists'!$D$6:$D$605,MATCH(B2483&amp;"|"&amp;C2483,'Kit Lists'!$J$6:$J$605,0)),"Not on this contract's kit list"))</f>
        <v/>
      </c>
      <c r="H2483" s="83" t="str">
        <f aca="false">IF(AND(B2483="",C2483="",D2483=""),"",IF(B2483="","Missing contract",IF(C2483="","Missing code",IF(LEFT(G2483,3)="Not","Wrong code",IF(D2483="","Missing qty",IF(A2483="","Missing date",""))))))</f>
        <v/>
      </c>
      <c r="I2483" s="84" t="str">
        <f aca="false">IF(B2483=Dashboard!$D$3,ROW(),"")</f>
        <v/>
      </c>
    </row>
    <row r="2484" customFormat="false" ht="15" hidden="false" customHeight="false" outlineLevel="0" collapsed="false">
      <c r="A2484" s="80"/>
      <c r="B2484" s="71"/>
      <c r="C2484" s="71"/>
      <c r="D2484" s="81"/>
      <c r="E2484" s="71"/>
      <c r="F2484" s="71"/>
      <c r="G2484" s="82" t="str">
        <f aca="false">IF(C2484="","",IFERROR(INDEX('Kit Lists'!$D$6:$D$605,MATCH(B2484&amp;"|"&amp;C2484,'Kit Lists'!$J$6:$J$605,0)),"Not on this contract's kit list"))</f>
        <v/>
      </c>
      <c r="H2484" s="83" t="str">
        <f aca="false">IF(AND(B2484="",C2484="",D2484=""),"",IF(B2484="","Missing contract",IF(C2484="","Missing code",IF(LEFT(G2484,3)="Not","Wrong code",IF(D2484="","Missing qty",IF(A2484="","Missing date",""))))))</f>
        <v/>
      </c>
      <c r="I2484" s="84" t="str">
        <f aca="false">IF(B2484=Dashboard!$D$3,ROW(),"")</f>
        <v/>
      </c>
    </row>
    <row r="2485" customFormat="false" ht="15" hidden="false" customHeight="false" outlineLevel="0" collapsed="false">
      <c r="A2485" s="80"/>
      <c r="B2485" s="71"/>
      <c r="C2485" s="71"/>
      <c r="D2485" s="81"/>
      <c r="E2485" s="71"/>
      <c r="F2485" s="71"/>
      <c r="G2485" s="82" t="str">
        <f aca="false">IF(C2485="","",IFERROR(INDEX('Kit Lists'!$D$6:$D$605,MATCH(B2485&amp;"|"&amp;C2485,'Kit Lists'!$J$6:$J$605,0)),"Not on this contract's kit list"))</f>
        <v/>
      </c>
      <c r="H2485" s="83" t="str">
        <f aca="false">IF(AND(B2485="",C2485="",D2485=""),"",IF(B2485="","Missing contract",IF(C2485="","Missing code",IF(LEFT(G2485,3)="Not","Wrong code",IF(D2485="","Missing qty",IF(A2485="","Missing date",""))))))</f>
        <v/>
      </c>
      <c r="I2485" s="84" t="str">
        <f aca="false">IF(B2485=Dashboard!$D$3,ROW(),"")</f>
        <v/>
      </c>
    </row>
    <row r="2486" customFormat="false" ht="15" hidden="false" customHeight="false" outlineLevel="0" collapsed="false">
      <c r="A2486" s="80"/>
      <c r="B2486" s="71"/>
      <c r="C2486" s="71"/>
      <c r="D2486" s="81"/>
      <c r="E2486" s="71"/>
      <c r="F2486" s="71"/>
      <c r="G2486" s="82" t="str">
        <f aca="false">IF(C2486="","",IFERROR(INDEX('Kit Lists'!$D$6:$D$605,MATCH(B2486&amp;"|"&amp;C2486,'Kit Lists'!$J$6:$J$605,0)),"Not on this contract's kit list"))</f>
        <v/>
      </c>
      <c r="H2486" s="83" t="str">
        <f aca="false">IF(AND(B2486="",C2486="",D2486=""),"",IF(B2486="","Missing contract",IF(C2486="","Missing code",IF(LEFT(G2486,3)="Not","Wrong code",IF(D2486="","Missing qty",IF(A2486="","Missing date",""))))))</f>
        <v/>
      </c>
      <c r="I2486" s="84" t="str">
        <f aca="false">IF(B2486=Dashboard!$D$3,ROW(),"")</f>
        <v/>
      </c>
    </row>
    <row r="2487" customFormat="false" ht="15" hidden="false" customHeight="false" outlineLevel="0" collapsed="false">
      <c r="A2487" s="80"/>
      <c r="B2487" s="71"/>
      <c r="C2487" s="71"/>
      <c r="D2487" s="81"/>
      <c r="E2487" s="71"/>
      <c r="F2487" s="71"/>
      <c r="G2487" s="82" t="str">
        <f aca="false">IF(C2487="","",IFERROR(INDEX('Kit Lists'!$D$6:$D$605,MATCH(B2487&amp;"|"&amp;C2487,'Kit Lists'!$J$6:$J$605,0)),"Not on this contract's kit list"))</f>
        <v/>
      </c>
      <c r="H2487" s="83" t="str">
        <f aca="false">IF(AND(B2487="",C2487="",D2487=""),"",IF(B2487="","Missing contract",IF(C2487="","Missing code",IF(LEFT(G2487,3)="Not","Wrong code",IF(D2487="","Missing qty",IF(A2487="","Missing date",""))))))</f>
        <v/>
      </c>
      <c r="I2487" s="84" t="str">
        <f aca="false">IF(B2487=Dashboard!$D$3,ROW(),"")</f>
        <v/>
      </c>
    </row>
    <row r="2488" customFormat="false" ht="15" hidden="false" customHeight="false" outlineLevel="0" collapsed="false">
      <c r="A2488" s="80"/>
      <c r="B2488" s="71"/>
      <c r="C2488" s="71"/>
      <c r="D2488" s="81"/>
      <c r="E2488" s="71"/>
      <c r="F2488" s="71"/>
      <c r="G2488" s="82" t="str">
        <f aca="false">IF(C2488="","",IFERROR(INDEX('Kit Lists'!$D$6:$D$605,MATCH(B2488&amp;"|"&amp;C2488,'Kit Lists'!$J$6:$J$605,0)),"Not on this contract's kit list"))</f>
        <v/>
      </c>
      <c r="H2488" s="83" t="str">
        <f aca="false">IF(AND(B2488="",C2488="",D2488=""),"",IF(B2488="","Missing contract",IF(C2488="","Missing code",IF(LEFT(G2488,3)="Not","Wrong code",IF(D2488="","Missing qty",IF(A2488="","Missing date",""))))))</f>
        <v/>
      </c>
      <c r="I2488" s="84" t="str">
        <f aca="false">IF(B2488=Dashboard!$D$3,ROW(),"")</f>
        <v/>
      </c>
    </row>
    <row r="2489" customFormat="false" ht="15" hidden="false" customHeight="false" outlineLevel="0" collapsed="false">
      <c r="A2489" s="80"/>
      <c r="B2489" s="71"/>
      <c r="C2489" s="71"/>
      <c r="D2489" s="81"/>
      <c r="E2489" s="71"/>
      <c r="F2489" s="71"/>
      <c r="G2489" s="82" t="str">
        <f aca="false">IF(C2489="","",IFERROR(INDEX('Kit Lists'!$D$6:$D$605,MATCH(B2489&amp;"|"&amp;C2489,'Kit Lists'!$J$6:$J$605,0)),"Not on this contract's kit list"))</f>
        <v/>
      </c>
      <c r="H2489" s="83" t="str">
        <f aca="false">IF(AND(B2489="",C2489="",D2489=""),"",IF(B2489="","Missing contract",IF(C2489="","Missing code",IF(LEFT(G2489,3)="Not","Wrong code",IF(D2489="","Missing qty",IF(A2489="","Missing date",""))))))</f>
        <v/>
      </c>
      <c r="I2489" s="84" t="str">
        <f aca="false">IF(B2489=Dashboard!$D$3,ROW(),"")</f>
        <v/>
      </c>
    </row>
    <row r="2490" customFormat="false" ht="15" hidden="false" customHeight="false" outlineLevel="0" collapsed="false">
      <c r="A2490" s="80"/>
      <c r="B2490" s="71"/>
      <c r="C2490" s="71"/>
      <c r="D2490" s="81"/>
      <c r="E2490" s="71"/>
      <c r="F2490" s="71"/>
      <c r="G2490" s="82" t="str">
        <f aca="false">IF(C2490="","",IFERROR(INDEX('Kit Lists'!$D$6:$D$605,MATCH(B2490&amp;"|"&amp;C2490,'Kit Lists'!$J$6:$J$605,0)),"Not on this contract's kit list"))</f>
        <v/>
      </c>
      <c r="H2490" s="83" t="str">
        <f aca="false">IF(AND(B2490="",C2490="",D2490=""),"",IF(B2490="","Missing contract",IF(C2490="","Missing code",IF(LEFT(G2490,3)="Not","Wrong code",IF(D2490="","Missing qty",IF(A2490="","Missing date",""))))))</f>
        <v/>
      </c>
      <c r="I2490" s="84" t="str">
        <f aca="false">IF(B2490=Dashboard!$D$3,ROW(),"")</f>
        <v/>
      </c>
    </row>
    <row r="2491" customFormat="false" ht="15" hidden="false" customHeight="false" outlineLevel="0" collapsed="false">
      <c r="A2491" s="80"/>
      <c r="B2491" s="71"/>
      <c r="C2491" s="71"/>
      <c r="D2491" s="81"/>
      <c r="E2491" s="71"/>
      <c r="F2491" s="71"/>
      <c r="G2491" s="82" t="str">
        <f aca="false">IF(C2491="","",IFERROR(INDEX('Kit Lists'!$D$6:$D$605,MATCH(B2491&amp;"|"&amp;C2491,'Kit Lists'!$J$6:$J$605,0)),"Not on this contract's kit list"))</f>
        <v/>
      </c>
      <c r="H2491" s="83" t="str">
        <f aca="false">IF(AND(B2491="",C2491="",D2491=""),"",IF(B2491="","Missing contract",IF(C2491="","Missing code",IF(LEFT(G2491,3)="Not","Wrong code",IF(D2491="","Missing qty",IF(A2491="","Missing date",""))))))</f>
        <v/>
      </c>
      <c r="I2491" s="84" t="str">
        <f aca="false">IF(B2491=Dashboard!$D$3,ROW(),"")</f>
        <v/>
      </c>
    </row>
    <row r="2492" customFormat="false" ht="15" hidden="false" customHeight="false" outlineLevel="0" collapsed="false">
      <c r="A2492" s="80"/>
      <c r="B2492" s="71"/>
      <c r="C2492" s="71"/>
      <c r="D2492" s="81"/>
      <c r="E2492" s="71"/>
      <c r="F2492" s="71"/>
      <c r="G2492" s="82" t="str">
        <f aca="false">IF(C2492="","",IFERROR(INDEX('Kit Lists'!$D$6:$D$605,MATCH(B2492&amp;"|"&amp;C2492,'Kit Lists'!$J$6:$J$605,0)),"Not on this contract's kit list"))</f>
        <v/>
      </c>
      <c r="H2492" s="83" t="str">
        <f aca="false">IF(AND(B2492="",C2492="",D2492=""),"",IF(B2492="","Missing contract",IF(C2492="","Missing code",IF(LEFT(G2492,3)="Not","Wrong code",IF(D2492="","Missing qty",IF(A2492="","Missing date",""))))))</f>
        <v/>
      </c>
      <c r="I2492" s="84" t="str">
        <f aca="false">IF(B2492=Dashboard!$D$3,ROW(),"")</f>
        <v/>
      </c>
    </row>
    <row r="2493" customFormat="false" ht="15" hidden="false" customHeight="false" outlineLevel="0" collapsed="false">
      <c r="A2493" s="80"/>
      <c r="B2493" s="71"/>
      <c r="C2493" s="71"/>
      <c r="D2493" s="81"/>
      <c r="E2493" s="71"/>
      <c r="F2493" s="71"/>
      <c r="G2493" s="82" t="str">
        <f aca="false">IF(C2493="","",IFERROR(INDEX('Kit Lists'!$D$6:$D$605,MATCH(B2493&amp;"|"&amp;C2493,'Kit Lists'!$J$6:$J$605,0)),"Not on this contract's kit list"))</f>
        <v/>
      </c>
      <c r="H2493" s="83" t="str">
        <f aca="false">IF(AND(B2493="",C2493="",D2493=""),"",IF(B2493="","Missing contract",IF(C2493="","Missing code",IF(LEFT(G2493,3)="Not","Wrong code",IF(D2493="","Missing qty",IF(A2493="","Missing date",""))))))</f>
        <v/>
      </c>
      <c r="I2493" s="84" t="str">
        <f aca="false">IF(B2493=Dashboard!$D$3,ROW(),"")</f>
        <v/>
      </c>
    </row>
    <row r="2494" customFormat="false" ht="15" hidden="false" customHeight="false" outlineLevel="0" collapsed="false">
      <c r="A2494" s="80"/>
      <c r="B2494" s="71"/>
      <c r="C2494" s="71"/>
      <c r="D2494" s="81"/>
      <c r="E2494" s="71"/>
      <c r="F2494" s="71"/>
      <c r="G2494" s="82" t="str">
        <f aca="false">IF(C2494="","",IFERROR(INDEX('Kit Lists'!$D$6:$D$605,MATCH(B2494&amp;"|"&amp;C2494,'Kit Lists'!$J$6:$J$605,0)),"Not on this contract's kit list"))</f>
        <v/>
      </c>
      <c r="H2494" s="83" t="str">
        <f aca="false">IF(AND(B2494="",C2494="",D2494=""),"",IF(B2494="","Missing contract",IF(C2494="","Missing code",IF(LEFT(G2494,3)="Not","Wrong code",IF(D2494="","Missing qty",IF(A2494="","Missing date",""))))))</f>
        <v/>
      </c>
      <c r="I2494" s="84" t="str">
        <f aca="false">IF(B2494=Dashboard!$D$3,ROW(),"")</f>
        <v/>
      </c>
    </row>
    <row r="2495" customFormat="false" ht="15" hidden="false" customHeight="false" outlineLevel="0" collapsed="false">
      <c r="A2495" s="80"/>
      <c r="B2495" s="71"/>
      <c r="C2495" s="71"/>
      <c r="D2495" s="81"/>
      <c r="E2495" s="71"/>
      <c r="F2495" s="71"/>
      <c r="G2495" s="82" t="str">
        <f aca="false">IF(C2495="","",IFERROR(INDEX('Kit Lists'!$D$6:$D$605,MATCH(B2495&amp;"|"&amp;C2495,'Kit Lists'!$J$6:$J$605,0)),"Not on this contract's kit list"))</f>
        <v/>
      </c>
      <c r="H2495" s="83" t="str">
        <f aca="false">IF(AND(B2495="",C2495="",D2495=""),"",IF(B2495="","Missing contract",IF(C2495="","Missing code",IF(LEFT(G2495,3)="Not","Wrong code",IF(D2495="","Missing qty",IF(A2495="","Missing date",""))))))</f>
        <v/>
      </c>
      <c r="I2495" s="84" t="str">
        <f aca="false">IF(B2495=Dashboard!$D$3,ROW(),"")</f>
        <v/>
      </c>
    </row>
    <row r="2496" customFormat="false" ht="15" hidden="false" customHeight="false" outlineLevel="0" collapsed="false">
      <c r="A2496" s="80"/>
      <c r="B2496" s="71"/>
      <c r="C2496" s="71"/>
      <c r="D2496" s="81"/>
      <c r="E2496" s="71"/>
      <c r="F2496" s="71"/>
      <c r="G2496" s="82" t="str">
        <f aca="false">IF(C2496="","",IFERROR(INDEX('Kit Lists'!$D$6:$D$605,MATCH(B2496&amp;"|"&amp;C2496,'Kit Lists'!$J$6:$J$605,0)),"Not on this contract's kit list"))</f>
        <v/>
      </c>
      <c r="H2496" s="83" t="str">
        <f aca="false">IF(AND(B2496="",C2496="",D2496=""),"",IF(B2496="","Missing contract",IF(C2496="","Missing code",IF(LEFT(G2496,3)="Not","Wrong code",IF(D2496="","Missing qty",IF(A2496="","Missing date",""))))))</f>
        <v/>
      </c>
      <c r="I2496" s="84" t="str">
        <f aca="false">IF(B2496=Dashboard!$D$3,ROW(),"")</f>
        <v/>
      </c>
    </row>
    <row r="2497" customFormat="false" ht="15" hidden="false" customHeight="false" outlineLevel="0" collapsed="false">
      <c r="A2497" s="80"/>
      <c r="B2497" s="71"/>
      <c r="C2497" s="71"/>
      <c r="D2497" s="81"/>
      <c r="E2497" s="71"/>
      <c r="F2497" s="71"/>
      <c r="G2497" s="82" t="str">
        <f aca="false">IF(C2497="","",IFERROR(INDEX('Kit Lists'!$D$6:$D$605,MATCH(B2497&amp;"|"&amp;C2497,'Kit Lists'!$J$6:$J$605,0)),"Not on this contract's kit list"))</f>
        <v/>
      </c>
      <c r="H2497" s="83" t="str">
        <f aca="false">IF(AND(B2497="",C2497="",D2497=""),"",IF(B2497="","Missing contract",IF(C2497="","Missing code",IF(LEFT(G2497,3)="Not","Wrong code",IF(D2497="","Missing qty",IF(A2497="","Missing date",""))))))</f>
        <v/>
      </c>
      <c r="I2497" s="84" t="str">
        <f aca="false">IF(B2497=Dashboard!$D$3,ROW(),"")</f>
        <v/>
      </c>
    </row>
    <row r="2498" customFormat="false" ht="15" hidden="false" customHeight="false" outlineLevel="0" collapsed="false">
      <c r="A2498" s="80"/>
      <c r="B2498" s="71"/>
      <c r="C2498" s="71"/>
      <c r="D2498" s="81"/>
      <c r="E2498" s="71"/>
      <c r="F2498" s="71"/>
      <c r="G2498" s="82" t="str">
        <f aca="false">IF(C2498="","",IFERROR(INDEX('Kit Lists'!$D$6:$D$605,MATCH(B2498&amp;"|"&amp;C2498,'Kit Lists'!$J$6:$J$605,0)),"Not on this contract's kit list"))</f>
        <v/>
      </c>
      <c r="H2498" s="83" t="str">
        <f aca="false">IF(AND(B2498="",C2498="",D2498=""),"",IF(B2498="","Missing contract",IF(C2498="","Missing code",IF(LEFT(G2498,3)="Not","Wrong code",IF(D2498="","Missing qty",IF(A2498="","Missing date",""))))))</f>
        <v/>
      </c>
      <c r="I2498" s="84" t="str">
        <f aca="false">IF(B2498=Dashboard!$D$3,ROW(),"")</f>
        <v/>
      </c>
    </row>
    <row r="2499" customFormat="false" ht="15" hidden="false" customHeight="false" outlineLevel="0" collapsed="false">
      <c r="A2499" s="80"/>
      <c r="B2499" s="71"/>
      <c r="C2499" s="71"/>
      <c r="D2499" s="81"/>
      <c r="E2499" s="71"/>
      <c r="F2499" s="71"/>
      <c r="G2499" s="82" t="str">
        <f aca="false">IF(C2499="","",IFERROR(INDEX('Kit Lists'!$D$6:$D$605,MATCH(B2499&amp;"|"&amp;C2499,'Kit Lists'!$J$6:$J$605,0)),"Not on this contract's kit list"))</f>
        <v/>
      </c>
      <c r="H2499" s="83" t="str">
        <f aca="false">IF(AND(B2499="",C2499="",D2499=""),"",IF(B2499="","Missing contract",IF(C2499="","Missing code",IF(LEFT(G2499,3)="Not","Wrong code",IF(D2499="","Missing qty",IF(A2499="","Missing date",""))))))</f>
        <v/>
      </c>
      <c r="I2499" s="84" t="str">
        <f aca="false">IF(B2499=Dashboard!$D$3,ROW(),"")</f>
        <v/>
      </c>
    </row>
    <row r="2500" customFormat="false" ht="15" hidden="false" customHeight="false" outlineLevel="0" collapsed="false">
      <c r="A2500" s="80"/>
      <c r="B2500" s="71"/>
      <c r="C2500" s="71"/>
      <c r="D2500" s="81"/>
      <c r="E2500" s="71"/>
      <c r="F2500" s="71"/>
      <c r="G2500" s="82" t="str">
        <f aca="false">IF(C2500="","",IFERROR(INDEX('Kit Lists'!$D$6:$D$605,MATCH(B2500&amp;"|"&amp;C2500,'Kit Lists'!$J$6:$J$605,0)),"Not on this contract's kit list"))</f>
        <v/>
      </c>
      <c r="H2500" s="83" t="str">
        <f aca="false">IF(AND(B2500="",C2500="",D2500=""),"",IF(B2500="","Missing contract",IF(C2500="","Missing code",IF(LEFT(G2500,3)="Not","Wrong code",IF(D2500="","Missing qty",IF(A2500="","Missing date",""))))))</f>
        <v/>
      </c>
      <c r="I2500" s="84" t="str">
        <f aca="false">IF(B2500=Dashboard!$D$3,ROW(),"")</f>
        <v/>
      </c>
    </row>
    <row r="2501" customFormat="false" ht="15" hidden="false" customHeight="false" outlineLevel="0" collapsed="false">
      <c r="A2501" s="80"/>
      <c r="B2501" s="71"/>
      <c r="C2501" s="71"/>
      <c r="D2501" s="81"/>
      <c r="E2501" s="71"/>
      <c r="F2501" s="71"/>
      <c r="G2501" s="82" t="str">
        <f aca="false">IF(C2501="","",IFERROR(INDEX('Kit Lists'!$D$6:$D$605,MATCH(B2501&amp;"|"&amp;C2501,'Kit Lists'!$J$6:$J$605,0)),"Not on this contract's kit list"))</f>
        <v/>
      </c>
      <c r="H2501" s="83" t="str">
        <f aca="false">IF(AND(B2501="",C2501="",D2501=""),"",IF(B2501="","Missing contract",IF(C2501="","Missing code",IF(LEFT(G2501,3)="Not","Wrong code",IF(D2501="","Missing qty",IF(A2501="","Missing date",""))))))</f>
        <v/>
      </c>
      <c r="I2501" s="84" t="str">
        <f aca="false">IF(B2501=Dashboard!$D$3,ROW(),"")</f>
        <v/>
      </c>
    </row>
    <row r="2502" customFormat="false" ht="15" hidden="false" customHeight="false" outlineLevel="0" collapsed="false">
      <c r="A2502" s="80"/>
      <c r="B2502" s="71"/>
      <c r="C2502" s="71"/>
      <c r="D2502" s="81"/>
      <c r="E2502" s="71"/>
      <c r="F2502" s="71"/>
      <c r="G2502" s="82" t="str">
        <f aca="false">IF(C2502="","",IFERROR(INDEX('Kit Lists'!$D$6:$D$605,MATCH(B2502&amp;"|"&amp;C2502,'Kit Lists'!$J$6:$J$605,0)),"Not on this contract's kit list"))</f>
        <v/>
      </c>
      <c r="H2502" s="83" t="str">
        <f aca="false">IF(AND(B2502="",C2502="",D2502=""),"",IF(B2502="","Missing contract",IF(C2502="","Missing code",IF(LEFT(G2502,3)="Not","Wrong code",IF(D2502="","Missing qty",IF(A2502="","Missing date",""))))))</f>
        <v/>
      </c>
      <c r="I2502" s="84" t="str">
        <f aca="false">IF(B2502=Dashboard!$D$3,ROW(),"")</f>
        <v/>
      </c>
    </row>
    <row r="2503" customFormat="false" ht="15" hidden="false" customHeight="false" outlineLevel="0" collapsed="false">
      <c r="A2503" s="80"/>
      <c r="B2503" s="71"/>
      <c r="C2503" s="71"/>
      <c r="D2503" s="81"/>
      <c r="E2503" s="71"/>
      <c r="F2503" s="71"/>
      <c r="G2503" s="82" t="str">
        <f aca="false">IF(C2503="","",IFERROR(INDEX('Kit Lists'!$D$6:$D$605,MATCH(B2503&amp;"|"&amp;C2503,'Kit Lists'!$J$6:$J$605,0)),"Not on this contract's kit list"))</f>
        <v/>
      </c>
      <c r="H2503" s="83" t="str">
        <f aca="false">IF(AND(B2503="",C2503="",D2503=""),"",IF(B2503="","Missing contract",IF(C2503="","Missing code",IF(LEFT(G2503,3)="Not","Wrong code",IF(D2503="","Missing qty",IF(A2503="","Missing date",""))))))</f>
        <v/>
      </c>
      <c r="I2503" s="84" t="str">
        <f aca="false">IF(B2503=Dashboard!$D$3,ROW(),"")</f>
        <v/>
      </c>
    </row>
    <row r="2504" customFormat="false" ht="15" hidden="false" customHeight="false" outlineLevel="0" collapsed="false">
      <c r="A2504" s="80"/>
      <c r="B2504" s="71"/>
      <c r="C2504" s="71"/>
      <c r="D2504" s="81"/>
      <c r="E2504" s="71"/>
      <c r="F2504" s="71"/>
      <c r="G2504" s="82" t="str">
        <f aca="false">IF(C2504="","",IFERROR(INDEX('Kit Lists'!$D$6:$D$605,MATCH(B2504&amp;"|"&amp;C2504,'Kit Lists'!$J$6:$J$605,0)),"Not on this contract's kit list"))</f>
        <v/>
      </c>
      <c r="H2504" s="83" t="str">
        <f aca="false">IF(AND(B2504="",C2504="",D2504=""),"",IF(B2504="","Missing contract",IF(C2504="","Missing code",IF(LEFT(G2504,3)="Not","Wrong code",IF(D2504="","Missing qty",IF(A2504="","Missing date",""))))))</f>
        <v/>
      </c>
      <c r="I2504" s="84" t="str">
        <f aca="false">IF(B2504=Dashboard!$D$3,ROW(),"")</f>
        <v/>
      </c>
    </row>
    <row r="2505" customFormat="false" ht="15" hidden="false" customHeight="false" outlineLevel="0" collapsed="false">
      <c r="A2505" s="80"/>
      <c r="B2505" s="71"/>
      <c r="C2505" s="71"/>
      <c r="D2505" s="81"/>
      <c r="E2505" s="71"/>
      <c r="F2505" s="71"/>
      <c r="G2505" s="82" t="str">
        <f aca="false">IF(C2505="","",IFERROR(INDEX('Kit Lists'!$D$6:$D$605,MATCH(B2505&amp;"|"&amp;C2505,'Kit Lists'!$J$6:$J$605,0)),"Not on this contract's kit list"))</f>
        <v/>
      </c>
      <c r="H2505" s="83" t="str">
        <f aca="false">IF(AND(B2505="",C2505="",D2505=""),"",IF(B2505="","Missing contract",IF(C2505="","Missing code",IF(LEFT(G2505,3)="Not","Wrong code",IF(D2505="","Missing qty",IF(A2505="","Missing date",""))))))</f>
        <v/>
      </c>
      <c r="I2505" s="84" t="str">
        <f aca="false">IF(B2505=Dashboard!$D$3,ROW(),"")</f>
        <v/>
      </c>
    </row>
    <row r="2506" customFormat="false" ht="15" hidden="false" customHeight="false" outlineLevel="0" collapsed="false">
      <c r="A2506" s="80"/>
      <c r="B2506" s="71"/>
      <c r="C2506" s="71"/>
      <c r="D2506" s="81"/>
      <c r="E2506" s="71"/>
      <c r="F2506" s="71"/>
      <c r="G2506" s="82" t="str">
        <f aca="false">IF(C2506="","",IFERROR(INDEX('Kit Lists'!$D$6:$D$605,MATCH(B2506&amp;"|"&amp;C2506,'Kit Lists'!$J$6:$J$605,0)),"Not on this contract's kit list"))</f>
        <v/>
      </c>
      <c r="H2506" s="83" t="str">
        <f aca="false">IF(AND(B2506="",C2506="",D2506=""),"",IF(B2506="","Missing contract",IF(C2506="","Missing code",IF(LEFT(G2506,3)="Not","Wrong code",IF(D2506="","Missing qty",IF(A2506="","Missing date",""))))))</f>
        <v/>
      </c>
      <c r="I2506" s="84" t="str">
        <f aca="false">IF(B2506=Dashboard!$D$3,ROW(),"")</f>
        <v/>
      </c>
    </row>
    <row r="2507" customFormat="false" ht="15" hidden="false" customHeight="false" outlineLevel="0" collapsed="false">
      <c r="A2507" s="80"/>
      <c r="B2507" s="71"/>
      <c r="C2507" s="71"/>
      <c r="D2507" s="81"/>
      <c r="E2507" s="71"/>
      <c r="F2507" s="71"/>
      <c r="G2507" s="82" t="str">
        <f aca="false">IF(C2507="","",IFERROR(INDEX('Kit Lists'!$D$6:$D$605,MATCH(B2507&amp;"|"&amp;C2507,'Kit Lists'!$J$6:$J$605,0)),"Not on this contract's kit list"))</f>
        <v/>
      </c>
      <c r="H2507" s="83" t="str">
        <f aca="false">IF(AND(B2507="",C2507="",D2507=""),"",IF(B2507="","Missing contract",IF(C2507="","Missing code",IF(LEFT(G2507,3)="Not","Wrong code",IF(D2507="","Missing qty",IF(A2507="","Missing date",""))))))</f>
        <v/>
      </c>
      <c r="I2507" s="84" t="str">
        <f aca="false">IF(B2507=Dashboard!$D$3,ROW(),"")</f>
        <v/>
      </c>
    </row>
    <row r="2508" customFormat="false" ht="15" hidden="false" customHeight="false" outlineLevel="0" collapsed="false">
      <c r="A2508" s="80"/>
      <c r="B2508" s="71"/>
      <c r="C2508" s="71"/>
      <c r="D2508" s="81"/>
      <c r="E2508" s="71"/>
      <c r="F2508" s="71"/>
      <c r="G2508" s="82" t="str">
        <f aca="false">IF(C2508="","",IFERROR(INDEX('Kit Lists'!$D$6:$D$605,MATCH(B2508&amp;"|"&amp;C2508,'Kit Lists'!$J$6:$J$605,0)),"Not on this contract's kit list"))</f>
        <v/>
      </c>
      <c r="H2508" s="83" t="str">
        <f aca="false">IF(AND(B2508="",C2508="",D2508=""),"",IF(B2508="","Missing contract",IF(C2508="","Missing code",IF(LEFT(G2508,3)="Not","Wrong code",IF(D2508="","Missing qty",IF(A2508="","Missing date",""))))))</f>
        <v/>
      </c>
      <c r="I2508" s="84" t="str">
        <f aca="false">IF(B2508=Dashboard!$D$3,ROW(),"")</f>
        <v/>
      </c>
    </row>
    <row r="2509" customFormat="false" ht="15" hidden="false" customHeight="false" outlineLevel="0" collapsed="false">
      <c r="A2509" s="80"/>
      <c r="B2509" s="71"/>
      <c r="C2509" s="71"/>
      <c r="D2509" s="81"/>
      <c r="E2509" s="71"/>
      <c r="F2509" s="71"/>
      <c r="G2509" s="82" t="str">
        <f aca="false">IF(C2509="","",IFERROR(INDEX('Kit Lists'!$D$6:$D$605,MATCH(B2509&amp;"|"&amp;C2509,'Kit Lists'!$J$6:$J$605,0)),"Not on this contract's kit list"))</f>
        <v/>
      </c>
      <c r="H2509" s="83" t="str">
        <f aca="false">IF(AND(B2509="",C2509="",D2509=""),"",IF(B2509="","Missing contract",IF(C2509="","Missing code",IF(LEFT(G2509,3)="Not","Wrong code",IF(D2509="","Missing qty",IF(A2509="","Missing date",""))))))</f>
        <v/>
      </c>
      <c r="I2509" s="84" t="str">
        <f aca="false">IF(B2509=Dashboard!$D$3,ROW(),"")</f>
        <v/>
      </c>
    </row>
    <row r="2510" customFormat="false" ht="15" hidden="false" customHeight="false" outlineLevel="0" collapsed="false">
      <c r="A2510" s="80"/>
      <c r="B2510" s="71"/>
      <c r="C2510" s="71"/>
      <c r="D2510" s="81"/>
      <c r="E2510" s="71"/>
      <c r="F2510" s="71"/>
      <c r="G2510" s="82" t="str">
        <f aca="false">IF(C2510="","",IFERROR(INDEX('Kit Lists'!$D$6:$D$605,MATCH(B2510&amp;"|"&amp;C2510,'Kit Lists'!$J$6:$J$605,0)),"Not on this contract's kit list"))</f>
        <v/>
      </c>
      <c r="H2510" s="83" t="str">
        <f aca="false">IF(AND(B2510="",C2510="",D2510=""),"",IF(B2510="","Missing contract",IF(C2510="","Missing code",IF(LEFT(G2510,3)="Not","Wrong code",IF(D2510="","Missing qty",IF(A2510="","Missing date",""))))))</f>
        <v/>
      </c>
      <c r="I2510" s="84" t="str">
        <f aca="false">IF(B2510=Dashboard!$D$3,ROW(),"")</f>
        <v/>
      </c>
    </row>
    <row r="2511" customFormat="false" ht="15" hidden="false" customHeight="false" outlineLevel="0" collapsed="false">
      <c r="A2511" s="80"/>
      <c r="B2511" s="71"/>
      <c r="C2511" s="71"/>
      <c r="D2511" s="81"/>
      <c r="E2511" s="71"/>
      <c r="F2511" s="71"/>
      <c r="G2511" s="82" t="str">
        <f aca="false">IF(C2511="","",IFERROR(INDEX('Kit Lists'!$D$6:$D$605,MATCH(B2511&amp;"|"&amp;C2511,'Kit Lists'!$J$6:$J$605,0)),"Not on this contract's kit list"))</f>
        <v/>
      </c>
      <c r="H2511" s="83" t="str">
        <f aca="false">IF(AND(B2511="",C2511="",D2511=""),"",IF(B2511="","Missing contract",IF(C2511="","Missing code",IF(LEFT(G2511,3)="Not","Wrong code",IF(D2511="","Missing qty",IF(A2511="","Missing date",""))))))</f>
        <v/>
      </c>
      <c r="I2511" s="84" t="str">
        <f aca="false">IF(B2511=Dashboard!$D$3,ROW(),"")</f>
        <v/>
      </c>
    </row>
    <row r="2512" customFormat="false" ht="15" hidden="false" customHeight="false" outlineLevel="0" collapsed="false">
      <c r="A2512" s="80"/>
      <c r="B2512" s="71"/>
      <c r="C2512" s="71"/>
      <c r="D2512" s="81"/>
      <c r="E2512" s="71"/>
      <c r="F2512" s="71"/>
      <c r="G2512" s="82" t="str">
        <f aca="false">IF(C2512="","",IFERROR(INDEX('Kit Lists'!$D$6:$D$605,MATCH(B2512&amp;"|"&amp;C2512,'Kit Lists'!$J$6:$J$605,0)),"Not on this contract's kit list"))</f>
        <v/>
      </c>
      <c r="H2512" s="83" t="str">
        <f aca="false">IF(AND(B2512="",C2512="",D2512=""),"",IF(B2512="","Missing contract",IF(C2512="","Missing code",IF(LEFT(G2512,3)="Not","Wrong code",IF(D2512="","Missing qty",IF(A2512="","Missing date",""))))))</f>
        <v/>
      </c>
      <c r="I2512" s="84" t="str">
        <f aca="false">IF(B2512=Dashboard!$D$3,ROW(),"")</f>
        <v/>
      </c>
    </row>
    <row r="2513" customFormat="false" ht="15" hidden="false" customHeight="false" outlineLevel="0" collapsed="false">
      <c r="A2513" s="80"/>
      <c r="B2513" s="71"/>
      <c r="C2513" s="71"/>
      <c r="D2513" s="81"/>
      <c r="E2513" s="71"/>
      <c r="F2513" s="71"/>
      <c r="G2513" s="82" t="str">
        <f aca="false">IF(C2513="","",IFERROR(INDEX('Kit Lists'!$D$6:$D$605,MATCH(B2513&amp;"|"&amp;C2513,'Kit Lists'!$J$6:$J$605,0)),"Not on this contract's kit list"))</f>
        <v/>
      </c>
      <c r="H2513" s="83" t="str">
        <f aca="false">IF(AND(B2513="",C2513="",D2513=""),"",IF(B2513="","Missing contract",IF(C2513="","Missing code",IF(LEFT(G2513,3)="Not","Wrong code",IF(D2513="","Missing qty",IF(A2513="","Missing date",""))))))</f>
        <v/>
      </c>
      <c r="I2513" s="84" t="str">
        <f aca="false">IF(B2513=Dashboard!$D$3,ROW(),"")</f>
        <v/>
      </c>
    </row>
    <row r="2514" customFormat="false" ht="15" hidden="false" customHeight="false" outlineLevel="0" collapsed="false">
      <c r="A2514" s="80"/>
      <c r="B2514" s="71"/>
      <c r="C2514" s="71"/>
      <c r="D2514" s="81"/>
      <c r="E2514" s="71"/>
      <c r="F2514" s="71"/>
      <c r="G2514" s="82" t="str">
        <f aca="false">IF(C2514="","",IFERROR(INDEX('Kit Lists'!$D$6:$D$605,MATCH(B2514&amp;"|"&amp;C2514,'Kit Lists'!$J$6:$J$605,0)),"Not on this contract's kit list"))</f>
        <v/>
      </c>
      <c r="H2514" s="83" t="str">
        <f aca="false">IF(AND(B2514="",C2514="",D2514=""),"",IF(B2514="","Missing contract",IF(C2514="","Missing code",IF(LEFT(G2514,3)="Not","Wrong code",IF(D2514="","Missing qty",IF(A2514="","Missing date",""))))))</f>
        <v/>
      </c>
      <c r="I2514" s="84" t="str">
        <f aca="false">IF(B2514=Dashboard!$D$3,ROW(),"")</f>
        <v/>
      </c>
    </row>
    <row r="2515" customFormat="false" ht="15" hidden="false" customHeight="false" outlineLevel="0" collapsed="false">
      <c r="A2515" s="80"/>
      <c r="B2515" s="71"/>
      <c r="C2515" s="71"/>
      <c r="D2515" s="81"/>
      <c r="E2515" s="71"/>
      <c r="F2515" s="71"/>
      <c r="G2515" s="82" t="str">
        <f aca="false">IF(C2515="","",IFERROR(INDEX('Kit Lists'!$D$6:$D$605,MATCH(B2515&amp;"|"&amp;C2515,'Kit Lists'!$J$6:$J$605,0)),"Not on this contract's kit list"))</f>
        <v/>
      </c>
      <c r="H2515" s="83" t="str">
        <f aca="false">IF(AND(B2515="",C2515="",D2515=""),"",IF(B2515="","Missing contract",IF(C2515="","Missing code",IF(LEFT(G2515,3)="Not","Wrong code",IF(D2515="","Missing qty",IF(A2515="","Missing date",""))))))</f>
        <v/>
      </c>
      <c r="I2515" s="84" t="str">
        <f aca="false">IF(B2515=Dashboard!$D$3,ROW(),"")</f>
        <v/>
      </c>
    </row>
    <row r="2516" customFormat="false" ht="15" hidden="false" customHeight="false" outlineLevel="0" collapsed="false">
      <c r="A2516" s="80"/>
      <c r="B2516" s="71"/>
      <c r="C2516" s="71"/>
      <c r="D2516" s="81"/>
      <c r="E2516" s="71"/>
      <c r="F2516" s="71"/>
      <c r="G2516" s="82" t="str">
        <f aca="false">IF(C2516="","",IFERROR(INDEX('Kit Lists'!$D$6:$D$605,MATCH(B2516&amp;"|"&amp;C2516,'Kit Lists'!$J$6:$J$605,0)),"Not on this contract's kit list"))</f>
        <v/>
      </c>
      <c r="H2516" s="83" t="str">
        <f aca="false">IF(AND(B2516="",C2516="",D2516=""),"",IF(B2516="","Missing contract",IF(C2516="","Missing code",IF(LEFT(G2516,3)="Not","Wrong code",IF(D2516="","Missing qty",IF(A2516="","Missing date",""))))))</f>
        <v/>
      </c>
      <c r="I2516" s="84" t="str">
        <f aca="false">IF(B2516=Dashboard!$D$3,ROW(),"")</f>
        <v/>
      </c>
    </row>
    <row r="2517" customFormat="false" ht="15" hidden="false" customHeight="false" outlineLevel="0" collapsed="false">
      <c r="A2517" s="80"/>
      <c r="B2517" s="71"/>
      <c r="C2517" s="71"/>
      <c r="D2517" s="81"/>
      <c r="E2517" s="71"/>
      <c r="F2517" s="71"/>
      <c r="G2517" s="82" t="str">
        <f aca="false">IF(C2517="","",IFERROR(INDEX('Kit Lists'!$D$6:$D$605,MATCH(B2517&amp;"|"&amp;C2517,'Kit Lists'!$J$6:$J$605,0)),"Not on this contract's kit list"))</f>
        <v/>
      </c>
      <c r="H2517" s="83" t="str">
        <f aca="false">IF(AND(B2517="",C2517="",D2517=""),"",IF(B2517="","Missing contract",IF(C2517="","Missing code",IF(LEFT(G2517,3)="Not","Wrong code",IF(D2517="","Missing qty",IF(A2517="","Missing date",""))))))</f>
        <v/>
      </c>
      <c r="I2517" s="84" t="str">
        <f aca="false">IF(B2517=Dashboard!$D$3,ROW(),"")</f>
        <v/>
      </c>
    </row>
    <row r="2518" customFormat="false" ht="15" hidden="false" customHeight="false" outlineLevel="0" collapsed="false">
      <c r="A2518" s="80"/>
      <c r="B2518" s="71"/>
      <c r="C2518" s="71"/>
      <c r="D2518" s="81"/>
      <c r="E2518" s="71"/>
      <c r="F2518" s="71"/>
      <c r="G2518" s="82" t="str">
        <f aca="false">IF(C2518="","",IFERROR(INDEX('Kit Lists'!$D$6:$D$605,MATCH(B2518&amp;"|"&amp;C2518,'Kit Lists'!$J$6:$J$605,0)),"Not on this contract's kit list"))</f>
        <v/>
      </c>
      <c r="H2518" s="83" t="str">
        <f aca="false">IF(AND(B2518="",C2518="",D2518=""),"",IF(B2518="","Missing contract",IF(C2518="","Missing code",IF(LEFT(G2518,3)="Not","Wrong code",IF(D2518="","Missing qty",IF(A2518="","Missing date",""))))))</f>
        <v/>
      </c>
      <c r="I2518" s="84" t="str">
        <f aca="false">IF(B2518=Dashboard!$D$3,ROW(),"")</f>
        <v/>
      </c>
    </row>
    <row r="2519" customFormat="false" ht="15" hidden="false" customHeight="false" outlineLevel="0" collapsed="false">
      <c r="A2519" s="80"/>
      <c r="B2519" s="71"/>
      <c r="C2519" s="71"/>
      <c r="D2519" s="81"/>
      <c r="E2519" s="71"/>
      <c r="F2519" s="71"/>
      <c r="G2519" s="82" t="str">
        <f aca="false">IF(C2519="","",IFERROR(INDEX('Kit Lists'!$D$6:$D$605,MATCH(B2519&amp;"|"&amp;C2519,'Kit Lists'!$J$6:$J$605,0)),"Not on this contract's kit list"))</f>
        <v/>
      </c>
      <c r="H2519" s="83" t="str">
        <f aca="false">IF(AND(B2519="",C2519="",D2519=""),"",IF(B2519="","Missing contract",IF(C2519="","Missing code",IF(LEFT(G2519,3)="Not","Wrong code",IF(D2519="","Missing qty",IF(A2519="","Missing date",""))))))</f>
        <v/>
      </c>
      <c r="I2519" s="84" t="str">
        <f aca="false">IF(B2519=Dashboard!$D$3,ROW(),"")</f>
        <v/>
      </c>
    </row>
    <row r="2520" customFormat="false" ht="15" hidden="false" customHeight="false" outlineLevel="0" collapsed="false">
      <c r="A2520" s="80"/>
      <c r="B2520" s="71"/>
      <c r="C2520" s="71"/>
      <c r="D2520" s="81"/>
      <c r="E2520" s="71"/>
      <c r="F2520" s="71"/>
      <c r="G2520" s="82" t="str">
        <f aca="false">IF(C2520="","",IFERROR(INDEX('Kit Lists'!$D$6:$D$605,MATCH(B2520&amp;"|"&amp;C2520,'Kit Lists'!$J$6:$J$605,0)),"Not on this contract's kit list"))</f>
        <v/>
      </c>
      <c r="H2520" s="83" t="str">
        <f aca="false">IF(AND(B2520="",C2520="",D2520=""),"",IF(B2520="","Missing contract",IF(C2520="","Missing code",IF(LEFT(G2520,3)="Not","Wrong code",IF(D2520="","Missing qty",IF(A2520="","Missing date",""))))))</f>
        <v/>
      </c>
      <c r="I2520" s="84" t="str">
        <f aca="false">IF(B2520=Dashboard!$D$3,ROW(),"")</f>
        <v/>
      </c>
    </row>
    <row r="2521" customFormat="false" ht="15" hidden="false" customHeight="false" outlineLevel="0" collapsed="false">
      <c r="A2521" s="80"/>
      <c r="B2521" s="71"/>
      <c r="C2521" s="71"/>
      <c r="D2521" s="81"/>
      <c r="E2521" s="71"/>
      <c r="F2521" s="71"/>
      <c r="G2521" s="82" t="str">
        <f aca="false">IF(C2521="","",IFERROR(INDEX('Kit Lists'!$D$6:$D$605,MATCH(B2521&amp;"|"&amp;C2521,'Kit Lists'!$J$6:$J$605,0)),"Not on this contract's kit list"))</f>
        <v/>
      </c>
      <c r="H2521" s="83" t="str">
        <f aca="false">IF(AND(B2521="",C2521="",D2521=""),"",IF(B2521="","Missing contract",IF(C2521="","Missing code",IF(LEFT(G2521,3)="Not","Wrong code",IF(D2521="","Missing qty",IF(A2521="","Missing date",""))))))</f>
        <v/>
      </c>
      <c r="I2521" s="84" t="str">
        <f aca="false">IF(B2521=Dashboard!$D$3,ROW(),"")</f>
        <v/>
      </c>
    </row>
    <row r="2522" customFormat="false" ht="15" hidden="false" customHeight="false" outlineLevel="0" collapsed="false">
      <c r="A2522" s="80"/>
      <c r="B2522" s="71"/>
      <c r="C2522" s="71"/>
      <c r="D2522" s="81"/>
      <c r="E2522" s="71"/>
      <c r="F2522" s="71"/>
      <c r="G2522" s="82" t="str">
        <f aca="false">IF(C2522="","",IFERROR(INDEX('Kit Lists'!$D$6:$D$605,MATCH(B2522&amp;"|"&amp;C2522,'Kit Lists'!$J$6:$J$605,0)),"Not on this contract's kit list"))</f>
        <v/>
      </c>
      <c r="H2522" s="83" t="str">
        <f aca="false">IF(AND(B2522="",C2522="",D2522=""),"",IF(B2522="","Missing contract",IF(C2522="","Missing code",IF(LEFT(G2522,3)="Not","Wrong code",IF(D2522="","Missing qty",IF(A2522="","Missing date",""))))))</f>
        <v/>
      </c>
      <c r="I2522" s="84" t="str">
        <f aca="false">IF(B2522=Dashboard!$D$3,ROW(),"")</f>
        <v/>
      </c>
    </row>
    <row r="2523" customFormat="false" ht="15" hidden="false" customHeight="false" outlineLevel="0" collapsed="false">
      <c r="A2523" s="80"/>
      <c r="B2523" s="71"/>
      <c r="C2523" s="71"/>
      <c r="D2523" s="81"/>
      <c r="E2523" s="71"/>
      <c r="F2523" s="71"/>
      <c r="G2523" s="82" t="str">
        <f aca="false">IF(C2523="","",IFERROR(INDEX('Kit Lists'!$D$6:$D$605,MATCH(B2523&amp;"|"&amp;C2523,'Kit Lists'!$J$6:$J$605,0)),"Not on this contract's kit list"))</f>
        <v/>
      </c>
      <c r="H2523" s="83" t="str">
        <f aca="false">IF(AND(B2523="",C2523="",D2523=""),"",IF(B2523="","Missing contract",IF(C2523="","Missing code",IF(LEFT(G2523,3)="Not","Wrong code",IF(D2523="","Missing qty",IF(A2523="","Missing date",""))))))</f>
        <v/>
      </c>
      <c r="I2523" s="84" t="str">
        <f aca="false">IF(B2523=Dashboard!$D$3,ROW(),"")</f>
        <v/>
      </c>
    </row>
    <row r="2524" customFormat="false" ht="15" hidden="false" customHeight="false" outlineLevel="0" collapsed="false">
      <c r="A2524" s="80"/>
      <c r="B2524" s="71"/>
      <c r="C2524" s="71"/>
      <c r="D2524" s="81"/>
      <c r="E2524" s="71"/>
      <c r="F2524" s="71"/>
      <c r="G2524" s="82" t="str">
        <f aca="false">IF(C2524="","",IFERROR(INDEX('Kit Lists'!$D$6:$D$605,MATCH(B2524&amp;"|"&amp;C2524,'Kit Lists'!$J$6:$J$605,0)),"Not on this contract's kit list"))</f>
        <v/>
      </c>
      <c r="H2524" s="83" t="str">
        <f aca="false">IF(AND(B2524="",C2524="",D2524=""),"",IF(B2524="","Missing contract",IF(C2524="","Missing code",IF(LEFT(G2524,3)="Not","Wrong code",IF(D2524="","Missing qty",IF(A2524="","Missing date",""))))))</f>
        <v/>
      </c>
      <c r="I2524" s="84" t="str">
        <f aca="false">IF(B2524=Dashboard!$D$3,ROW(),"")</f>
        <v/>
      </c>
    </row>
    <row r="2525" customFormat="false" ht="15" hidden="false" customHeight="false" outlineLevel="0" collapsed="false">
      <c r="A2525" s="80"/>
      <c r="B2525" s="71"/>
      <c r="C2525" s="71"/>
      <c r="D2525" s="81"/>
      <c r="E2525" s="71"/>
      <c r="F2525" s="71"/>
      <c r="G2525" s="82" t="str">
        <f aca="false">IF(C2525="","",IFERROR(INDEX('Kit Lists'!$D$6:$D$605,MATCH(B2525&amp;"|"&amp;C2525,'Kit Lists'!$J$6:$J$605,0)),"Not on this contract's kit list"))</f>
        <v/>
      </c>
      <c r="H2525" s="83" t="str">
        <f aca="false">IF(AND(B2525="",C2525="",D2525=""),"",IF(B2525="","Missing contract",IF(C2525="","Missing code",IF(LEFT(G2525,3)="Not","Wrong code",IF(D2525="","Missing qty",IF(A2525="","Missing date",""))))))</f>
        <v/>
      </c>
      <c r="I2525" s="84" t="str">
        <f aca="false">IF(B2525=Dashboard!$D$3,ROW(),"")</f>
        <v/>
      </c>
    </row>
    <row r="2526" customFormat="false" ht="15" hidden="false" customHeight="false" outlineLevel="0" collapsed="false">
      <c r="A2526" s="80"/>
      <c r="B2526" s="71"/>
      <c r="C2526" s="71"/>
      <c r="D2526" s="81"/>
      <c r="E2526" s="71"/>
      <c r="F2526" s="71"/>
      <c r="G2526" s="82" t="str">
        <f aca="false">IF(C2526="","",IFERROR(INDEX('Kit Lists'!$D$6:$D$605,MATCH(B2526&amp;"|"&amp;C2526,'Kit Lists'!$J$6:$J$605,0)),"Not on this contract's kit list"))</f>
        <v/>
      </c>
      <c r="H2526" s="83" t="str">
        <f aca="false">IF(AND(B2526="",C2526="",D2526=""),"",IF(B2526="","Missing contract",IF(C2526="","Missing code",IF(LEFT(G2526,3)="Not","Wrong code",IF(D2526="","Missing qty",IF(A2526="","Missing date",""))))))</f>
        <v/>
      </c>
      <c r="I2526" s="84" t="str">
        <f aca="false">IF(B2526=Dashboard!$D$3,ROW(),"")</f>
        <v/>
      </c>
    </row>
    <row r="2527" customFormat="false" ht="15" hidden="false" customHeight="false" outlineLevel="0" collapsed="false">
      <c r="A2527" s="80"/>
      <c r="B2527" s="71"/>
      <c r="C2527" s="71"/>
      <c r="D2527" s="81"/>
      <c r="E2527" s="71"/>
      <c r="F2527" s="71"/>
      <c r="G2527" s="82" t="str">
        <f aca="false">IF(C2527="","",IFERROR(INDEX('Kit Lists'!$D$6:$D$605,MATCH(B2527&amp;"|"&amp;C2527,'Kit Lists'!$J$6:$J$605,0)),"Not on this contract's kit list"))</f>
        <v/>
      </c>
      <c r="H2527" s="83" t="str">
        <f aca="false">IF(AND(B2527="",C2527="",D2527=""),"",IF(B2527="","Missing contract",IF(C2527="","Missing code",IF(LEFT(G2527,3)="Not","Wrong code",IF(D2527="","Missing qty",IF(A2527="","Missing date",""))))))</f>
        <v/>
      </c>
      <c r="I2527" s="84" t="str">
        <f aca="false">IF(B2527=Dashboard!$D$3,ROW(),"")</f>
        <v/>
      </c>
    </row>
    <row r="2528" customFormat="false" ht="15" hidden="false" customHeight="false" outlineLevel="0" collapsed="false">
      <c r="A2528" s="80"/>
      <c r="B2528" s="71"/>
      <c r="C2528" s="71"/>
      <c r="D2528" s="81"/>
      <c r="E2528" s="71"/>
      <c r="F2528" s="71"/>
      <c r="G2528" s="82" t="str">
        <f aca="false">IF(C2528="","",IFERROR(INDEX('Kit Lists'!$D$6:$D$605,MATCH(B2528&amp;"|"&amp;C2528,'Kit Lists'!$J$6:$J$605,0)),"Not on this contract's kit list"))</f>
        <v/>
      </c>
      <c r="H2528" s="83" t="str">
        <f aca="false">IF(AND(B2528="",C2528="",D2528=""),"",IF(B2528="","Missing contract",IF(C2528="","Missing code",IF(LEFT(G2528,3)="Not","Wrong code",IF(D2528="","Missing qty",IF(A2528="","Missing date",""))))))</f>
        <v/>
      </c>
      <c r="I2528" s="84" t="str">
        <f aca="false">IF(B2528=Dashboard!$D$3,ROW(),"")</f>
        <v/>
      </c>
    </row>
    <row r="2529" customFormat="false" ht="15" hidden="false" customHeight="false" outlineLevel="0" collapsed="false">
      <c r="A2529" s="80"/>
      <c r="B2529" s="71"/>
      <c r="C2529" s="71"/>
      <c r="D2529" s="81"/>
      <c r="E2529" s="71"/>
      <c r="F2529" s="71"/>
      <c r="G2529" s="82" t="str">
        <f aca="false">IF(C2529="","",IFERROR(INDEX('Kit Lists'!$D$6:$D$605,MATCH(B2529&amp;"|"&amp;C2529,'Kit Lists'!$J$6:$J$605,0)),"Not on this contract's kit list"))</f>
        <v/>
      </c>
      <c r="H2529" s="83" t="str">
        <f aca="false">IF(AND(B2529="",C2529="",D2529=""),"",IF(B2529="","Missing contract",IF(C2529="","Missing code",IF(LEFT(G2529,3)="Not","Wrong code",IF(D2529="","Missing qty",IF(A2529="","Missing date",""))))))</f>
        <v/>
      </c>
      <c r="I2529" s="84" t="str">
        <f aca="false">IF(B2529=Dashboard!$D$3,ROW(),"")</f>
        <v/>
      </c>
    </row>
    <row r="2530" customFormat="false" ht="15" hidden="false" customHeight="false" outlineLevel="0" collapsed="false">
      <c r="A2530" s="80"/>
      <c r="B2530" s="71"/>
      <c r="C2530" s="71"/>
      <c r="D2530" s="81"/>
      <c r="E2530" s="71"/>
      <c r="F2530" s="71"/>
      <c r="G2530" s="82" t="str">
        <f aca="false">IF(C2530="","",IFERROR(INDEX('Kit Lists'!$D$6:$D$605,MATCH(B2530&amp;"|"&amp;C2530,'Kit Lists'!$J$6:$J$605,0)),"Not on this contract's kit list"))</f>
        <v/>
      </c>
      <c r="H2530" s="83" t="str">
        <f aca="false">IF(AND(B2530="",C2530="",D2530=""),"",IF(B2530="","Missing contract",IF(C2530="","Missing code",IF(LEFT(G2530,3)="Not","Wrong code",IF(D2530="","Missing qty",IF(A2530="","Missing date",""))))))</f>
        <v/>
      </c>
      <c r="I2530" s="84" t="str">
        <f aca="false">IF(B2530=Dashboard!$D$3,ROW(),"")</f>
        <v/>
      </c>
    </row>
    <row r="2531" customFormat="false" ht="15" hidden="false" customHeight="false" outlineLevel="0" collapsed="false">
      <c r="A2531" s="80"/>
      <c r="B2531" s="71"/>
      <c r="C2531" s="71"/>
      <c r="D2531" s="81"/>
      <c r="E2531" s="71"/>
      <c r="F2531" s="71"/>
      <c r="G2531" s="82" t="str">
        <f aca="false">IF(C2531="","",IFERROR(INDEX('Kit Lists'!$D$6:$D$605,MATCH(B2531&amp;"|"&amp;C2531,'Kit Lists'!$J$6:$J$605,0)),"Not on this contract's kit list"))</f>
        <v/>
      </c>
      <c r="H2531" s="83" t="str">
        <f aca="false">IF(AND(B2531="",C2531="",D2531=""),"",IF(B2531="","Missing contract",IF(C2531="","Missing code",IF(LEFT(G2531,3)="Not","Wrong code",IF(D2531="","Missing qty",IF(A2531="","Missing date",""))))))</f>
        <v/>
      </c>
      <c r="I2531" s="84" t="str">
        <f aca="false">IF(B2531=Dashboard!$D$3,ROW(),"")</f>
        <v/>
      </c>
    </row>
    <row r="2532" customFormat="false" ht="15" hidden="false" customHeight="false" outlineLevel="0" collapsed="false">
      <c r="A2532" s="80"/>
      <c r="B2532" s="71"/>
      <c r="C2532" s="71"/>
      <c r="D2532" s="81"/>
      <c r="E2532" s="71"/>
      <c r="F2532" s="71"/>
      <c r="G2532" s="82" t="str">
        <f aca="false">IF(C2532="","",IFERROR(INDEX('Kit Lists'!$D$6:$D$605,MATCH(B2532&amp;"|"&amp;C2532,'Kit Lists'!$J$6:$J$605,0)),"Not on this contract's kit list"))</f>
        <v/>
      </c>
      <c r="H2532" s="83" t="str">
        <f aca="false">IF(AND(B2532="",C2532="",D2532=""),"",IF(B2532="","Missing contract",IF(C2532="","Missing code",IF(LEFT(G2532,3)="Not","Wrong code",IF(D2532="","Missing qty",IF(A2532="","Missing date",""))))))</f>
        <v/>
      </c>
      <c r="I2532" s="84" t="str">
        <f aca="false">IF(B2532=Dashboard!$D$3,ROW(),"")</f>
        <v/>
      </c>
    </row>
    <row r="2533" customFormat="false" ht="15" hidden="false" customHeight="false" outlineLevel="0" collapsed="false">
      <c r="A2533" s="80"/>
      <c r="B2533" s="71"/>
      <c r="C2533" s="71"/>
      <c r="D2533" s="81"/>
      <c r="E2533" s="71"/>
      <c r="F2533" s="71"/>
      <c r="G2533" s="82" t="str">
        <f aca="false">IF(C2533="","",IFERROR(INDEX('Kit Lists'!$D$6:$D$605,MATCH(B2533&amp;"|"&amp;C2533,'Kit Lists'!$J$6:$J$605,0)),"Not on this contract's kit list"))</f>
        <v/>
      </c>
      <c r="H2533" s="83" t="str">
        <f aca="false">IF(AND(B2533="",C2533="",D2533=""),"",IF(B2533="","Missing contract",IF(C2533="","Missing code",IF(LEFT(G2533,3)="Not","Wrong code",IF(D2533="","Missing qty",IF(A2533="","Missing date",""))))))</f>
        <v/>
      </c>
      <c r="I2533" s="84" t="str">
        <f aca="false">IF(B2533=Dashboard!$D$3,ROW(),"")</f>
        <v/>
      </c>
    </row>
    <row r="2534" customFormat="false" ht="15" hidden="false" customHeight="false" outlineLevel="0" collapsed="false">
      <c r="A2534" s="80"/>
      <c r="B2534" s="71"/>
      <c r="C2534" s="71"/>
      <c r="D2534" s="81"/>
      <c r="E2534" s="71"/>
      <c r="F2534" s="71"/>
      <c r="G2534" s="82" t="str">
        <f aca="false">IF(C2534="","",IFERROR(INDEX('Kit Lists'!$D$6:$D$605,MATCH(B2534&amp;"|"&amp;C2534,'Kit Lists'!$J$6:$J$605,0)),"Not on this contract's kit list"))</f>
        <v/>
      </c>
      <c r="H2534" s="83" t="str">
        <f aca="false">IF(AND(B2534="",C2534="",D2534=""),"",IF(B2534="","Missing contract",IF(C2534="","Missing code",IF(LEFT(G2534,3)="Not","Wrong code",IF(D2534="","Missing qty",IF(A2534="","Missing date",""))))))</f>
        <v/>
      </c>
      <c r="I2534" s="84" t="str">
        <f aca="false">IF(B2534=Dashboard!$D$3,ROW(),"")</f>
        <v/>
      </c>
    </row>
    <row r="2535" customFormat="false" ht="15" hidden="false" customHeight="false" outlineLevel="0" collapsed="false">
      <c r="A2535" s="80"/>
      <c r="B2535" s="71"/>
      <c r="C2535" s="71"/>
      <c r="D2535" s="81"/>
      <c r="E2535" s="71"/>
      <c r="F2535" s="71"/>
      <c r="G2535" s="82" t="str">
        <f aca="false">IF(C2535="","",IFERROR(INDEX('Kit Lists'!$D$6:$D$605,MATCH(B2535&amp;"|"&amp;C2535,'Kit Lists'!$J$6:$J$605,0)),"Not on this contract's kit list"))</f>
        <v/>
      </c>
      <c r="H2535" s="83" t="str">
        <f aca="false">IF(AND(B2535="",C2535="",D2535=""),"",IF(B2535="","Missing contract",IF(C2535="","Missing code",IF(LEFT(G2535,3)="Not","Wrong code",IF(D2535="","Missing qty",IF(A2535="","Missing date",""))))))</f>
        <v/>
      </c>
      <c r="I2535" s="84" t="str">
        <f aca="false">IF(B2535=Dashboard!$D$3,ROW(),"")</f>
        <v/>
      </c>
    </row>
    <row r="2536" customFormat="false" ht="15" hidden="false" customHeight="false" outlineLevel="0" collapsed="false">
      <c r="A2536" s="80"/>
      <c r="B2536" s="71"/>
      <c r="C2536" s="71"/>
      <c r="D2536" s="81"/>
      <c r="E2536" s="71"/>
      <c r="F2536" s="71"/>
      <c r="G2536" s="82" t="str">
        <f aca="false">IF(C2536="","",IFERROR(INDEX('Kit Lists'!$D$6:$D$605,MATCH(B2536&amp;"|"&amp;C2536,'Kit Lists'!$J$6:$J$605,0)),"Not on this contract's kit list"))</f>
        <v/>
      </c>
      <c r="H2536" s="83" t="str">
        <f aca="false">IF(AND(B2536="",C2536="",D2536=""),"",IF(B2536="","Missing contract",IF(C2536="","Missing code",IF(LEFT(G2536,3)="Not","Wrong code",IF(D2536="","Missing qty",IF(A2536="","Missing date",""))))))</f>
        <v/>
      </c>
      <c r="I2536" s="84" t="str">
        <f aca="false">IF(B2536=Dashboard!$D$3,ROW(),"")</f>
        <v/>
      </c>
    </row>
    <row r="2537" customFormat="false" ht="15" hidden="false" customHeight="false" outlineLevel="0" collapsed="false">
      <c r="A2537" s="80"/>
      <c r="B2537" s="71"/>
      <c r="C2537" s="71"/>
      <c r="D2537" s="81"/>
      <c r="E2537" s="71"/>
      <c r="F2537" s="71"/>
      <c r="G2537" s="82" t="str">
        <f aca="false">IF(C2537="","",IFERROR(INDEX('Kit Lists'!$D$6:$D$605,MATCH(B2537&amp;"|"&amp;C2537,'Kit Lists'!$J$6:$J$605,0)),"Not on this contract's kit list"))</f>
        <v/>
      </c>
      <c r="H2537" s="83" t="str">
        <f aca="false">IF(AND(B2537="",C2537="",D2537=""),"",IF(B2537="","Missing contract",IF(C2537="","Missing code",IF(LEFT(G2537,3)="Not","Wrong code",IF(D2537="","Missing qty",IF(A2537="","Missing date",""))))))</f>
        <v/>
      </c>
      <c r="I2537" s="84" t="str">
        <f aca="false">IF(B2537=Dashboard!$D$3,ROW(),"")</f>
        <v/>
      </c>
    </row>
    <row r="2538" customFormat="false" ht="15" hidden="false" customHeight="false" outlineLevel="0" collapsed="false">
      <c r="A2538" s="80"/>
      <c r="B2538" s="71"/>
      <c r="C2538" s="71"/>
      <c r="D2538" s="81"/>
      <c r="E2538" s="71"/>
      <c r="F2538" s="71"/>
      <c r="G2538" s="82" t="str">
        <f aca="false">IF(C2538="","",IFERROR(INDEX('Kit Lists'!$D$6:$D$605,MATCH(B2538&amp;"|"&amp;C2538,'Kit Lists'!$J$6:$J$605,0)),"Not on this contract's kit list"))</f>
        <v/>
      </c>
      <c r="H2538" s="83" t="str">
        <f aca="false">IF(AND(B2538="",C2538="",D2538=""),"",IF(B2538="","Missing contract",IF(C2538="","Missing code",IF(LEFT(G2538,3)="Not","Wrong code",IF(D2538="","Missing qty",IF(A2538="","Missing date",""))))))</f>
        <v/>
      </c>
      <c r="I2538" s="84" t="str">
        <f aca="false">IF(B2538=Dashboard!$D$3,ROW(),"")</f>
        <v/>
      </c>
    </row>
    <row r="2539" customFormat="false" ht="15" hidden="false" customHeight="false" outlineLevel="0" collapsed="false">
      <c r="A2539" s="80"/>
      <c r="B2539" s="71"/>
      <c r="C2539" s="71"/>
      <c r="D2539" s="81"/>
      <c r="E2539" s="71"/>
      <c r="F2539" s="71"/>
      <c r="G2539" s="82" t="str">
        <f aca="false">IF(C2539="","",IFERROR(INDEX('Kit Lists'!$D$6:$D$605,MATCH(B2539&amp;"|"&amp;C2539,'Kit Lists'!$J$6:$J$605,0)),"Not on this contract's kit list"))</f>
        <v/>
      </c>
      <c r="H2539" s="83" t="str">
        <f aca="false">IF(AND(B2539="",C2539="",D2539=""),"",IF(B2539="","Missing contract",IF(C2539="","Missing code",IF(LEFT(G2539,3)="Not","Wrong code",IF(D2539="","Missing qty",IF(A2539="","Missing date",""))))))</f>
        <v/>
      </c>
      <c r="I2539" s="84" t="str">
        <f aca="false">IF(B2539=Dashboard!$D$3,ROW(),"")</f>
        <v/>
      </c>
    </row>
    <row r="2540" customFormat="false" ht="15" hidden="false" customHeight="false" outlineLevel="0" collapsed="false">
      <c r="A2540" s="80"/>
      <c r="B2540" s="71"/>
      <c r="C2540" s="71"/>
      <c r="D2540" s="81"/>
      <c r="E2540" s="71"/>
      <c r="F2540" s="71"/>
      <c r="G2540" s="82" t="str">
        <f aca="false">IF(C2540="","",IFERROR(INDEX('Kit Lists'!$D$6:$D$605,MATCH(B2540&amp;"|"&amp;C2540,'Kit Lists'!$J$6:$J$605,0)),"Not on this contract's kit list"))</f>
        <v/>
      </c>
      <c r="H2540" s="83" t="str">
        <f aca="false">IF(AND(B2540="",C2540="",D2540=""),"",IF(B2540="","Missing contract",IF(C2540="","Missing code",IF(LEFT(G2540,3)="Not","Wrong code",IF(D2540="","Missing qty",IF(A2540="","Missing date",""))))))</f>
        <v/>
      </c>
      <c r="I2540" s="84" t="str">
        <f aca="false">IF(B2540=Dashboard!$D$3,ROW(),"")</f>
        <v/>
      </c>
    </row>
    <row r="2541" customFormat="false" ht="15" hidden="false" customHeight="false" outlineLevel="0" collapsed="false">
      <c r="A2541" s="80"/>
      <c r="B2541" s="71"/>
      <c r="C2541" s="71"/>
      <c r="D2541" s="81"/>
      <c r="E2541" s="71"/>
      <c r="F2541" s="71"/>
      <c r="G2541" s="82" t="str">
        <f aca="false">IF(C2541="","",IFERROR(INDEX('Kit Lists'!$D$6:$D$605,MATCH(B2541&amp;"|"&amp;C2541,'Kit Lists'!$J$6:$J$605,0)),"Not on this contract's kit list"))</f>
        <v/>
      </c>
      <c r="H2541" s="83" t="str">
        <f aca="false">IF(AND(B2541="",C2541="",D2541=""),"",IF(B2541="","Missing contract",IF(C2541="","Missing code",IF(LEFT(G2541,3)="Not","Wrong code",IF(D2541="","Missing qty",IF(A2541="","Missing date",""))))))</f>
        <v/>
      </c>
      <c r="I2541" s="84" t="str">
        <f aca="false">IF(B2541=Dashboard!$D$3,ROW(),"")</f>
        <v/>
      </c>
    </row>
    <row r="2542" customFormat="false" ht="15" hidden="false" customHeight="false" outlineLevel="0" collapsed="false">
      <c r="A2542" s="80"/>
      <c r="B2542" s="71"/>
      <c r="C2542" s="71"/>
      <c r="D2542" s="81"/>
      <c r="E2542" s="71"/>
      <c r="F2542" s="71"/>
      <c r="G2542" s="82" t="str">
        <f aca="false">IF(C2542="","",IFERROR(INDEX('Kit Lists'!$D$6:$D$605,MATCH(B2542&amp;"|"&amp;C2542,'Kit Lists'!$J$6:$J$605,0)),"Not on this contract's kit list"))</f>
        <v/>
      </c>
      <c r="H2542" s="83" t="str">
        <f aca="false">IF(AND(B2542="",C2542="",D2542=""),"",IF(B2542="","Missing contract",IF(C2542="","Missing code",IF(LEFT(G2542,3)="Not","Wrong code",IF(D2542="","Missing qty",IF(A2542="","Missing date",""))))))</f>
        <v/>
      </c>
      <c r="I2542" s="84" t="str">
        <f aca="false">IF(B2542=Dashboard!$D$3,ROW(),"")</f>
        <v/>
      </c>
    </row>
    <row r="2543" customFormat="false" ht="15" hidden="false" customHeight="false" outlineLevel="0" collapsed="false">
      <c r="A2543" s="80"/>
      <c r="B2543" s="71"/>
      <c r="C2543" s="71"/>
      <c r="D2543" s="81"/>
      <c r="E2543" s="71"/>
      <c r="F2543" s="71"/>
      <c r="G2543" s="82" t="str">
        <f aca="false">IF(C2543="","",IFERROR(INDEX('Kit Lists'!$D$6:$D$605,MATCH(B2543&amp;"|"&amp;C2543,'Kit Lists'!$J$6:$J$605,0)),"Not on this contract's kit list"))</f>
        <v/>
      </c>
      <c r="H2543" s="83" t="str">
        <f aca="false">IF(AND(B2543="",C2543="",D2543=""),"",IF(B2543="","Missing contract",IF(C2543="","Missing code",IF(LEFT(G2543,3)="Not","Wrong code",IF(D2543="","Missing qty",IF(A2543="","Missing date",""))))))</f>
        <v/>
      </c>
      <c r="I2543" s="84" t="str">
        <f aca="false">IF(B2543=Dashboard!$D$3,ROW(),"")</f>
        <v/>
      </c>
    </row>
    <row r="2544" customFormat="false" ht="15" hidden="false" customHeight="false" outlineLevel="0" collapsed="false">
      <c r="A2544" s="80"/>
      <c r="B2544" s="71"/>
      <c r="C2544" s="71"/>
      <c r="D2544" s="81"/>
      <c r="E2544" s="71"/>
      <c r="F2544" s="71"/>
      <c r="G2544" s="82" t="str">
        <f aca="false">IF(C2544="","",IFERROR(INDEX('Kit Lists'!$D$6:$D$605,MATCH(B2544&amp;"|"&amp;C2544,'Kit Lists'!$J$6:$J$605,0)),"Not on this contract's kit list"))</f>
        <v/>
      </c>
      <c r="H2544" s="83" t="str">
        <f aca="false">IF(AND(B2544="",C2544="",D2544=""),"",IF(B2544="","Missing contract",IF(C2544="","Missing code",IF(LEFT(G2544,3)="Not","Wrong code",IF(D2544="","Missing qty",IF(A2544="","Missing date",""))))))</f>
        <v/>
      </c>
      <c r="I2544" s="84" t="str">
        <f aca="false">IF(B2544=Dashboard!$D$3,ROW(),"")</f>
        <v/>
      </c>
    </row>
    <row r="2545" customFormat="false" ht="15" hidden="false" customHeight="false" outlineLevel="0" collapsed="false">
      <c r="A2545" s="80"/>
      <c r="B2545" s="71"/>
      <c r="C2545" s="71"/>
      <c r="D2545" s="81"/>
      <c r="E2545" s="71"/>
      <c r="F2545" s="71"/>
      <c r="G2545" s="82" t="str">
        <f aca="false">IF(C2545="","",IFERROR(INDEX('Kit Lists'!$D$6:$D$605,MATCH(B2545&amp;"|"&amp;C2545,'Kit Lists'!$J$6:$J$605,0)),"Not on this contract's kit list"))</f>
        <v/>
      </c>
      <c r="H2545" s="83" t="str">
        <f aca="false">IF(AND(B2545="",C2545="",D2545=""),"",IF(B2545="","Missing contract",IF(C2545="","Missing code",IF(LEFT(G2545,3)="Not","Wrong code",IF(D2545="","Missing qty",IF(A2545="","Missing date",""))))))</f>
        <v/>
      </c>
      <c r="I2545" s="84" t="str">
        <f aca="false">IF(B2545=Dashboard!$D$3,ROW(),"")</f>
        <v/>
      </c>
    </row>
    <row r="2546" customFormat="false" ht="15" hidden="false" customHeight="false" outlineLevel="0" collapsed="false">
      <c r="A2546" s="80"/>
      <c r="B2546" s="71"/>
      <c r="C2546" s="71"/>
      <c r="D2546" s="81"/>
      <c r="E2546" s="71"/>
      <c r="F2546" s="71"/>
      <c r="G2546" s="82" t="str">
        <f aca="false">IF(C2546="","",IFERROR(INDEX('Kit Lists'!$D$6:$D$605,MATCH(B2546&amp;"|"&amp;C2546,'Kit Lists'!$J$6:$J$605,0)),"Not on this contract's kit list"))</f>
        <v/>
      </c>
      <c r="H2546" s="83" t="str">
        <f aca="false">IF(AND(B2546="",C2546="",D2546=""),"",IF(B2546="","Missing contract",IF(C2546="","Missing code",IF(LEFT(G2546,3)="Not","Wrong code",IF(D2546="","Missing qty",IF(A2546="","Missing date",""))))))</f>
        <v/>
      </c>
      <c r="I2546" s="84" t="str">
        <f aca="false">IF(B2546=Dashboard!$D$3,ROW(),"")</f>
        <v/>
      </c>
    </row>
    <row r="2547" customFormat="false" ht="15" hidden="false" customHeight="false" outlineLevel="0" collapsed="false">
      <c r="A2547" s="80"/>
      <c r="B2547" s="71"/>
      <c r="C2547" s="71"/>
      <c r="D2547" s="81"/>
      <c r="E2547" s="71"/>
      <c r="F2547" s="71"/>
      <c r="G2547" s="82" t="str">
        <f aca="false">IF(C2547="","",IFERROR(INDEX('Kit Lists'!$D$6:$D$605,MATCH(B2547&amp;"|"&amp;C2547,'Kit Lists'!$J$6:$J$605,0)),"Not on this contract's kit list"))</f>
        <v/>
      </c>
      <c r="H2547" s="83" t="str">
        <f aca="false">IF(AND(B2547="",C2547="",D2547=""),"",IF(B2547="","Missing contract",IF(C2547="","Missing code",IF(LEFT(G2547,3)="Not","Wrong code",IF(D2547="","Missing qty",IF(A2547="","Missing date",""))))))</f>
        <v/>
      </c>
      <c r="I2547" s="84" t="str">
        <f aca="false">IF(B2547=Dashboard!$D$3,ROW(),"")</f>
        <v/>
      </c>
    </row>
    <row r="2548" customFormat="false" ht="15" hidden="false" customHeight="false" outlineLevel="0" collapsed="false">
      <c r="A2548" s="80"/>
      <c r="B2548" s="71"/>
      <c r="C2548" s="71"/>
      <c r="D2548" s="81"/>
      <c r="E2548" s="71"/>
      <c r="F2548" s="71"/>
      <c r="G2548" s="82" t="str">
        <f aca="false">IF(C2548="","",IFERROR(INDEX('Kit Lists'!$D$6:$D$605,MATCH(B2548&amp;"|"&amp;C2548,'Kit Lists'!$J$6:$J$605,0)),"Not on this contract's kit list"))</f>
        <v/>
      </c>
      <c r="H2548" s="83" t="str">
        <f aca="false">IF(AND(B2548="",C2548="",D2548=""),"",IF(B2548="","Missing contract",IF(C2548="","Missing code",IF(LEFT(G2548,3)="Not","Wrong code",IF(D2548="","Missing qty",IF(A2548="","Missing date",""))))))</f>
        <v/>
      </c>
      <c r="I2548" s="84" t="str">
        <f aca="false">IF(B2548=Dashboard!$D$3,ROW(),"")</f>
        <v/>
      </c>
    </row>
    <row r="2549" customFormat="false" ht="15" hidden="false" customHeight="false" outlineLevel="0" collapsed="false">
      <c r="A2549" s="80"/>
      <c r="B2549" s="71"/>
      <c r="C2549" s="71"/>
      <c r="D2549" s="81"/>
      <c r="E2549" s="71"/>
      <c r="F2549" s="71"/>
      <c r="G2549" s="82" t="str">
        <f aca="false">IF(C2549="","",IFERROR(INDEX('Kit Lists'!$D$6:$D$605,MATCH(B2549&amp;"|"&amp;C2549,'Kit Lists'!$J$6:$J$605,0)),"Not on this contract's kit list"))</f>
        <v/>
      </c>
      <c r="H2549" s="83" t="str">
        <f aca="false">IF(AND(B2549="",C2549="",D2549=""),"",IF(B2549="","Missing contract",IF(C2549="","Missing code",IF(LEFT(G2549,3)="Not","Wrong code",IF(D2549="","Missing qty",IF(A2549="","Missing date",""))))))</f>
        <v/>
      </c>
      <c r="I2549" s="84" t="str">
        <f aca="false">IF(B2549=Dashboard!$D$3,ROW(),"")</f>
        <v/>
      </c>
    </row>
    <row r="2550" customFormat="false" ht="15" hidden="false" customHeight="false" outlineLevel="0" collapsed="false">
      <c r="A2550" s="80"/>
      <c r="B2550" s="71"/>
      <c r="C2550" s="71"/>
      <c r="D2550" s="81"/>
      <c r="E2550" s="71"/>
      <c r="F2550" s="71"/>
      <c r="G2550" s="82" t="str">
        <f aca="false">IF(C2550="","",IFERROR(INDEX('Kit Lists'!$D$6:$D$605,MATCH(B2550&amp;"|"&amp;C2550,'Kit Lists'!$J$6:$J$605,0)),"Not on this contract's kit list"))</f>
        <v/>
      </c>
      <c r="H2550" s="83" t="str">
        <f aca="false">IF(AND(B2550="",C2550="",D2550=""),"",IF(B2550="","Missing contract",IF(C2550="","Missing code",IF(LEFT(G2550,3)="Not","Wrong code",IF(D2550="","Missing qty",IF(A2550="","Missing date",""))))))</f>
        <v/>
      </c>
      <c r="I2550" s="84" t="str">
        <f aca="false">IF(B2550=Dashboard!$D$3,ROW(),"")</f>
        <v/>
      </c>
    </row>
    <row r="2551" customFormat="false" ht="15" hidden="false" customHeight="false" outlineLevel="0" collapsed="false">
      <c r="A2551" s="80"/>
      <c r="B2551" s="71"/>
      <c r="C2551" s="71"/>
      <c r="D2551" s="81"/>
      <c r="E2551" s="71"/>
      <c r="F2551" s="71"/>
      <c r="G2551" s="82" t="str">
        <f aca="false">IF(C2551="","",IFERROR(INDEX('Kit Lists'!$D$6:$D$605,MATCH(B2551&amp;"|"&amp;C2551,'Kit Lists'!$J$6:$J$605,0)),"Not on this contract's kit list"))</f>
        <v/>
      </c>
      <c r="H2551" s="83" t="str">
        <f aca="false">IF(AND(B2551="",C2551="",D2551=""),"",IF(B2551="","Missing contract",IF(C2551="","Missing code",IF(LEFT(G2551,3)="Not","Wrong code",IF(D2551="","Missing qty",IF(A2551="","Missing date",""))))))</f>
        <v/>
      </c>
      <c r="I2551" s="84" t="str">
        <f aca="false">IF(B2551=Dashboard!$D$3,ROW(),"")</f>
        <v/>
      </c>
    </row>
    <row r="2552" customFormat="false" ht="15" hidden="false" customHeight="false" outlineLevel="0" collapsed="false">
      <c r="A2552" s="80"/>
      <c r="B2552" s="71"/>
      <c r="C2552" s="71"/>
      <c r="D2552" s="81"/>
      <c r="E2552" s="71"/>
      <c r="F2552" s="71"/>
      <c r="G2552" s="82" t="str">
        <f aca="false">IF(C2552="","",IFERROR(INDEX('Kit Lists'!$D$6:$D$605,MATCH(B2552&amp;"|"&amp;C2552,'Kit Lists'!$J$6:$J$605,0)),"Not on this contract's kit list"))</f>
        <v/>
      </c>
      <c r="H2552" s="83" t="str">
        <f aca="false">IF(AND(B2552="",C2552="",D2552=""),"",IF(B2552="","Missing contract",IF(C2552="","Missing code",IF(LEFT(G2552,3)="Not","Wrong code",IF(D2552="","Missing qty",IF(A2552="","Missing date",""))))))</f>
        <v/>
      </c>
      <c r="I2552" s="84" t="str">
        <f aca="false">IF(B2552=Dashboard!$D$3,ROW(),"")</f>
        <v/>
      </c>
    </row>
    <row r="2553" customFormat="false" ht="15" hidden="false" customHeight="false" outlineLevel="0" collapsed="false">
      <c r="A2553" s="80"/>
      <c r="B2553" s="71"/>
      <c r="C2553" s="71"/>
      <c r="D2553" s="81"/>
      <c r="E2553" s="71"/>
      <c r="F2553" s="71"/>
      <c r="G2553" s="82" t="str">
        <f aca="false">IF(C2553="","",IFERROR(INDEX('Kit Lists'!$D$6:$D$605,MATCH(B2553&amp;"|"&amp;C2553,'Kit Lists'!$J$6:$J$605,0)),"Not on this contract's kit list"))</f>
        <v/>
      </c>
      <c r="H2553" s="83" t="str">
        <f aca="false">IF(AND(B2553="",C2553="",D2553=""),"",IF(B2553="","Missing contract",IF(C2553="","Missing code",IF(LEFT(G2553,3)="Not","Wrong code",IF(D2553="","Missing qty",IF(A2553="","Missing date",""))))))</f>
        <v/>
      </c>
      <c r="I2553" s="84" t="str">
        <f aca="false">IF(B2553=Dashboard!$D$3,ROW(),"")</f>
        <v/>
      </c>
    </row>
    <row r="2554" customFormat="false" ht="15" hidden="false" customHeight="false" outlineLevel="0" collapsed="false">
      <c r="A2554" s="80"/>
      <c r="B2554" s="71"/>
      <c r="C2554" s="71"/>
      <c r="D2554" s="81"/>
      <c r="E2554" s="71"/>
      <c r="F2554" s="71"/>
      <c r="G2554" s="82" t="str">
        <f aca="false">IF(C2554="","",IFERROR(INDEX('Kit Lists'!$D$6:$D$605,MATCH(B2554&amp;"|"&amp;C2554,'Kit Lists'!$J$6:$J$605,0)),"Not on this contract's kit list"))</f>
        <v/>
      </c>
      <c r="H2554" s="83" t="str">
        <f aca="false">IF(AND(B2554="",C2554="",D2554=""),"",IF(B2554="","Missing contract",IF(C2554="","Missing code",IF(LEFT(G2554,3)="Not","Wrong code",IF(D2554="","Missing qty",IF(A2554="","Missing date",""))))))</f>
        <v/>
      </c>
      <c r="I2554" s="84" t="str">
        <f aca="false">IF(B2554=Dashboard!$D$3,ROW(),"")</f>
        <v/>
      </c>
    </row>
    <row r="2555" customFormat="false" ht="15" hidden="false" customHeight="false" outlineLevel="0" collapsed="false">
      <c r="A2555" s="80"/>
      <c r="B2555" s="71"/>
      <c r="C2555" s="71"/>
      <c r="D2555" s="81"/>
      <c r="E2555" s="71"/>
      <c r="F2555" s="71"/>
      <c r="G2555" s="82" t="str">
        <f aca="false">IF(C2555="","",IFERROR(INDEX('Kit Lists'!$D$6:$D$605,MATCH(B2555&amp;"|"&amp;C2555,'Kit Lists'!$J$6:$J$605,0)),"Not on this contract's kit list"))</f>
        <v/>
      </c>
      <c r="H2555" s="83" t="str">
        <f aca="false">IF(AND(B2555="",C2555="",D2555=""),"",IF(B2555="","Missing contract",IF(C2555="","Missing code",IF(LEFT(G2555,3)="Not","Wrong code",IF(D2555="","Missing qty",IF(A2555="","Missing date",""))))))</f>
        <v/>
      </c>
      <c r="I2555" s="84" t="str">
        <f aca="false">IF(B2555=Dashboard!$D$3,ROW(),"")</f>
        <v/>
      </c>
    </row>
    <row r="2556" customFormat="false" ht="15" hidden="false" customHeight="false" outlineLevel="0" collapsed="false">
      <c r="A2556" s="80"/>
      <c r="B2556" s="71"/>
      <c r="C2556" s="71"/>
      <c r="D2556" s="81"/>
      <c r="E2556" s="71"/>
      <c r="F2556" s="71"/>
      <c r="G2556" s="82" t="str">
        <f aca="false">IF(C2556="","",IFERROR(INDEX('Kit Lists'!$D$6:$D$605,MATCH(B2556&amp;"|"&amp;C2556,'Kit Lists'!$J$6:$J$605,0)),"Not on this contract's kit list"))</f>
        <v/>
      </c>
      <c r="H2556" s="83" t="str">
        <f aca="false">IF(AND(B2556="",C2556="",D2556=""),"",IF(B2556="","Missing contract",IF(C2556="","Missing code",IF(LEFT(G2556,3)="Not","Wrong code",IF(D2556="","Missing qty",IF(A2556="","Missing date",""))))))</f>
        <v/>
      </c>
      <c r="I2556" s="84" t="str">
        <f aca="false">IF(B2556=Dashboard!$D$3,ROW(),"")</f>
        <v/>
      </c>
    </row>
    <row r="2557" customFormat="false" ht="15" hidden="false" customHeight="false" outlineLevel="0" collapsed="false">
      <c r="A2557" s="80"/>
      <c r="B2557" s="71"/>
      <c r="C2557" s="71"/>
      <c r="D2557" s="81"/>
      <c r="E2557" s="71"/>
      <c r="F2557" s="71"/>
      <c r="G2557" s="82" t="str">
        <f aca="false">IF(C2557="","",IFERROR(INDEX('Kit Lists'!$D$6:$D$605,MATCH(B2557&amp;"|"&amp;C2557,'Kit Lists'!$J$6:$J$605,0)),"Not on this contract's kit list"))</f>
        <v/>
      </c>
      <c r="H2557" s="83" t="str">
        <f aca="false">IF(AND(B2557="",C2557="",D2557=""),"",IF(B2557="","Missing contract",IF(C2557="","Missing code",IF(LEFT(G2557,3)="Not","Wrong code",IF(D2557="","Missing qty",IF(A2557="","Missing date",""))))))</f>
        <v/>
      </c>
      <c r="I2557" s="84" t="str">
        <f aca="false">IF(B2557=Dashboard!$D$3,ROW(),"")</f>
        <v/>
      </c>
    </row>
    <row r="2558" customFormat="false" ht="15" hidden="false" customHeight="false" outlineLevel="0" collapsed="false">
      <c r="A2558" s="80"/>
      <c r="B2558" s="71"/>
      <c r="C2558" s="71"/>
      <c r="D2558" s="81"/>
      <c r="E2558" s="71"/>
      <c r="F2558" s="71"/>
      <c r="G2558" s="82" t="str">
        <f aca="false">IF(C2558="","",IFERROR(INDEX('Kit Lists'!$D$6:$D$605,MATCH(B2558&amp;"|"&amp;C2558,'Kit Lists'!$J$6:$J$605,0)),"Not on this contract's kit list"))</f>
        <v/>
      </c>
      <c r="H2558" s="83" t="str">
        <f aca="false">IF(AND(B2558="",C2558="",D2558=""),"",IF(B2558="","Missing contract",IF(C2558="","Missing code",IF(LEFT(G2558,3)="Not","Wrong code",IF(D2558="","Missing qty",IF(A2558="","Missing date",""))))))</f>
        <v/>
      </c>
      <c r="I2558" s="84" t="str">
        <f aca="false">IF(B2558=Dashboard!$D$3,ROW(),"")</f>
        <v/>
      </c>
    </row>
    <row r="2559" customFormat="false" ht="15" hidden="false" customHeight="false" outlineLevel="0" collapsed="false">
      <c r="A2559" s="80"/>
      <c r="B2559" s="71"/>
      <c r="C2559" s="71"/>
      <c r="D2559" s="81"/>
      <c r="E2559" s="71"/>
      <c r="F2559" s="71"/>
      <c r="G2559" s="82" t="str">
        <f aca="false">IF(C2559="","",IFERROR(INDEX('Kit Lists'!$D$6:$D$605,MATCH(B2559&amp;"|"&amp;C2559,'Kit Lists'!$J$6:$J$605,0)),"Not on this contract's kit list"))</f>
        <v/>
      </c>
      <c r="H2559" s="83" t="str">
        <f aca="false">IF(AND(B2559="",C2559="",D2559=""),"",IF(B2559="","Missing contract",IF(C2559="","Missing code",IF(LEFT(G2559,3)="Not","Wrong code",IF(D2559="","Missing qty",IF(A2559="","Missing date",""))))))</f>
        <v/>
      </c>
      <c r="I2559" s="84" t="str">
        <f aca="false">IF(B2559=Dashboard!$D$3,ROW(),"")</f>
        <v/>
      </c>
    </row>
    <row r="2560" customFormat="false" ht="15" hidden="false" customHeight="false" outlineLevel="0" collapsed="false">
      <c r="A2560" s="80"/>
      <c r="B2560" s="71"/>
      <c r="C2560" s="71"/>
      <c r="D2560" s="81"/>
      <c r="E2560" s="71"/>
      <c r="F2560" s="71"/>
      <c r="G2560" s="82" t="str">
        <f aca="false">IF(C2560="","",IFERROR(INDEX('Kit Lists'!$D$6:$D$605,MATCH(B2560&amp;"|"&amp;C2560,'Kit Lists'!$J$6:$J$605,0)),"Not on this contract's kit list"))</f>
        <v/>
      </c>
      <c r="H2560" s="83" t="str">
        <f aca="false">IF(AND(B2560="",C2560="",D2560=""),"",IF(B2560="","Missing contract",IF(C2560="","Missing code",IF(LEFT(G2560,3)="Not","Wrong code",IF(D2560="","Missing qty",IF(A2560="","Missing date",""))))))</f>
        <v/>
      </c>
      <c r="I2560" s="84" t="str">
        <f aca="false">IF(B2560=Dashboard!$D$3,ROW(),"")</f>
        <v/>
      </c>
    </row>
    <row r="2561" customFormat="false" ht="15" hidden="false" customHeight="false" outlineLevel="0" collapsed="false">
      <c r="A2561" s="80"/>
      <c r="B2561" s="71"/>
      <c r="C2561" s="71"/>
      <c r="D2561" s="81"/>
      <c r="E2561" s="71"/>
      <c r="F2561" s="71"/>
      <c r="G2561" s="82" t="str">
        <f aca="false">IF(C2561="","",IFERROR(INDEX('Kit Lists'!$D$6:$D$605,MATCH(B2561&amp;"|"&amp;C2561,'Kit Lists'!$J$6:$J$605,0)),"Not on this contract's kit list"))</f>
        <v/>
      </c>
      <c r="H2561" s="83" t="str">
        <f aca="false">IF(AND(B2561="",C2561="",D2561=""),"",IF(B2561="","Missing contract",IF(C2561="","Missing code",IF(LEFT(G2561,3)="Not","Wrong code",IF(D2561="","Missing qty",IF(A2561="","Missing date",""))))))</f>
        <v/>
      </c>
      <c r="I2561" s="84" t="str">
        <f aca="false">IF(B2561=Dashboard!$D$3,ROW(),"")</f>
        <v/>
      </c>
    </row>
    <row r="2562" customFormat="false" ht="15" hidden="false" customHeight="false" outlineLevel="0" collapsed="false">
      <c r="A2562" s="80"/>
      <c r="B2562" s="71"/>
      <c r="C2562" s="71"/>
      <c r="D2562" s="81"/>
      <c r="E2562" s="71"/>
      <c r="F2562" s="71"/>
      <c r="G2562" s="82" t="str">
        <f aca="false">IF(C2562="","",IFERROR(INDEX('Kit Lists'!$D$6:$D$605,MATCH(B2562&amp;"|"&amp;C2562,'Kit Lists'!$J$6:$J$605,0)),"Not on this contract's kit list"))</f>
        <v/>
      </c>
      <c r="H2562" s="83" t="str">
        <f aca="false">IF(AND(B2562="",C2562="",D2562=""),"",IF(B2562="","Missing contract",IF(C2562="","Missing code",IF(LEFT(G2562,3)="Not","Wrong code",IF(D2562="","Missing qty",IF(A2562="","Missing date",""))))))</f>
        <v/>
      </c>
      <c r="I2562" s="84" t="str">
        <f aca="false">IF(B2562=Dashboard!$D$3,ROW(),"")</f>
        <v/>
      </c>
    </row>
    <row r="2563" customFormat="false" ht="15" hidden="false" customHeight="false" outlineLevel="0" collapsed="false">
      <c r="A2563" s="80"/>
      <c r="B2563" s="71"/>
      <c r="C2563" s="71"/>
      <c r="D2563" s="81"/>
      <c r="E2563" s="71"/>
      <c r="F2563" s="71"/>
      <c r="G2563" s="82" t="str">
        <f aca="false">IF(C2563="","",IFERROR(INDEX('Kit Lists'!$D$6:$D$605,MATCH(B2563&amp;"|"&amp;C2563,'Kit Lists'!$J$6:$J$605,0)),"Not on this contract's kit list"))</f>
        <v/>
      </c>
      <c r="H2563" s="83" t="str">
        <f aca="false">IF(AND(B2563="",C2563="",D2563=""),"",IF(B2563="","Missing contract",IF(C2563="","Missing code",IF(LEFT(G2563,3)="Not","Wrong code",IF(D2563="","Missing qty",IF(A2563="","Missing date",""))))))</f>
        <v/>
      </c>
      <c r="I2563" s="84" t="str">
        <f aca="false">IF(B2563=Dashboard!$D$3,ROW(),"")</f>
        <v/>
      </c>
    </row>
    <row r="2564" customFormat="false" ht="15" hidden="false" customHeight="false" outlineLevel="0" collapsed="false">
      <c r="A2564" s="80"/>
      <c r="B2564" s="71"/>
      <c r="C2564" s="71"/>
      <c r="D2564" s="81"/>
      <c r="E2564" s="71"/>
      <c r="F2564" s="71"/>
      <c r="G2564" s="82" t="str">
        <f aca="false">IF(C2564="","",IFERROR(INDEX('Kit Lists'!$D$6:$D$605,MATCH(B2564&amp;"|"&amp;C2564,'Kit Lists'!$J$6:$J$605,0)),"Not on this contract's kit list"))</f>
        <v/>
      </c>
      <c r="H2564" s="83" t="str">
        <f aca="false">IF(AND(B2564="",C2564="",D2564=""),"",IF(B2564="","Missing contract",IF(C2564="","Missing code",IF(LEFT(G2564,3)="Not","Wrong code",IF(D2564="","Missing qty",IF(A2564="","Missing date",""))))))</f>
        <v/>
      </c>
      <c r="I2564" s="84" t="str">
        <f aca="false">IF(B2564=Dashboard!$D$3,ROW(),"")</f>
        <v/>
      </c>
    </row>
    <row r="2565" customFormat="false" ht="15" hidden="false" customHeight="false" outlineLevel="0" collapsed="false">
      <c r="A2565" s="80"/>
      <c r="B2565" s="71"/>
      <c r="C2565" s="71"/>
      <c r="D2565" s="81"/>
      <c r="E2565" s="71"/>
      <c r="F2565" s="71"/>
      <c r="G2565" s="82" t="str">
        <f aca="false">IF(C2565="","",IFERROR(INDEX('Kit Lists'!$D$6:$D$605,MATCH(B2565&amp;"|"&amp;C2565,'Kit Lists'!$J$6:$J$605,0)),"Not on this contract's kit list"))</f>
        <v/>
      </c>
      <c r="H2565" s="83" t="str">
        <f aca="false">IF(AND(B2565="",C2565="",D2565=""),"",IF(B2565="","Missing contract",IF(C2565="","Missing code",IF(LEFT(G2565,3)="Not","Wrong code",IF(D2565="","Missing qty",IF(A2565="","Missing date",""))))))</f>
        <v/>
      </c>
      <c r="I2565" s="84" t="str">
        <f aca="false">IF(B2565=Dashboard!$D$3,ROW(),"")</f>
        <v/>
      </c>
    </row>
    <row r="2566" customFormat="false" ht="15" hidden="false" customHeight="false" outlineLevel="0" collapsed="false">
      <c r="A2566" s="80"/>
      <c r="B2566" s="71"/>
      <c r="C2566" s="71"/>
      <c r="D2566" s="81"/>
      <c r="E2566" s="71"/>
      <c r="F2566" s="71"/>
      <c r="G2566" s="82" t="str">
        <f aca="false">IF(C2566="","",IFERROR(INDEX('Kit Lists'!$D$6:$D$605,MATCH(B2566&amp;"|"&amp;C2566,'Kit Lists'!$J$6:$J$605,0)),"Not on this contract's kit list"))</f>
        <v/>
      </c>
      <c r="H2566" s="83" t="str">
        <f aca="false">IF(AND(B2566="",C2566="",D2566=""),"",IF(B2566="","Missing contract",IF(C2566="","Missing code",IF(LEFT(G2566,3)="Not","Wrong code",IF(D2566="","Missing qty",IF(A2566="","Missing date",""))))))</f>
        <v/>
      </c>
      <c r="I2566" s="84" t="str">
        <f aca="false">IF(B2566=Dashboard!$D$3,ROW(),"")</f>
        <v/>
      </c>
    </row>
    <row r="2567" customFormat="false" ht="15" hidden="false" customHeight="false" outlineLevel="0" collapsed="false">
      <c r="A2567" s="80"/>
      <c r="B2567" s="71"/>
      <c r="C2567" s="71"/>
      <c r="D2567" s="81"/>
      <c r="E2567" s="71"/>
      <c r="F2567" s="71"/>
      <c r="G2567" s="82" t="str">
        <f aca="false">IF(C2567="","",IFERROR(INDEX('Kit Lists'!$D$6:$D$605,MATCH(B2567&amp;"|"&amp;C2567,'Kit Lists'!$J$6:$J$605,0)),"Not on this contract's kit list"))</f>
        <v/>
      </c>
      <c r="H2567" s="83" t="str">
        <f aca="false">IF(AND(B2567="",C2567="",D2567=""),"",IF(B2567="","Missing contract",IF(C2567="","Missing code",IF(LEFT(G2567,3)="Not","Wrong code",IF(D2567="","Missing qty",IF(A2567="","Missing date",""))))))</f>
        <v/>
      </c>
      <c r="I2567" s="84" t="str">
        <f aca="false">IF(B2567=Dashboard!$D$3,ROW(),"")</f>
        <v/>
      </c>
    </row>
    <row r="2568" customFormat="false" ht="15" hidden="false" customHeight="false" outlineLevel="0" collapsed="false">
      <c r="A2568" s="80"/>
      <c r="B2568" s="71"/>
      <c r="C2568" s="71"/>
      <c r="D2568" s="81"/>
      <c r="E2568" s="71"/>
      <c r="F2568" s="71"/>
      <c r="G2568" s="82" t="str">
        <f aca="false">IF(C2568="","",IFERROR(INDEX('Kit Lists'!$D$6:$D$605,MATCH(B2568&amp;"|"&amp;C2568,'Kit Lists'!$J$6:$J$605,0)),"Not on this contract's kit list"))</f>
        <v/>
      </c>
      <c r="H2568" s="83" t="str">
        <f aca="false">IF(AND(B2568="",C2568="",D2568=""),"",IF(B2568="","Missing contract",IF(C2568="","Missing code",IF(LEFT(G2568,3)="Not","Wrong code",IF(D2568="","Missing qty",IF(A2568="","Missing date",""))))))</f>
        <v/>
      </c>
      <c r="I2568" s="84" t="str">
        <f aca="false">IF(B2568=Dashboard!$D$3,ROW(),"")</f>
        <v/>
      </c>
    </row>
    <row r="2569" customFormat="false" ht="15" hidden="false" customHeight="false" outlineLevel="0" collapsed="false">
      <c r="A2569" s="80"/>
      <c r="B2569" s="71"/>
      <c r="C2569" s="71"/>
      <c r="D2569" s="81"/>
      <c r="E2569" s="71"/>
      <c r="F2569" s="71"/>
      <c r="G2569" s="82" t="str">
        <f aca="false">IF(C2569="","",IFERROR(INDEX('Kit Lists'!$D$6:$D$605,MATCH(B2569&amp;"|"&amp;C2569,'Kit Lists'!$J$6:$J$605,0)),"Not on this contract's kit list"))</f>
        <v/>
      </c>
      <c r="H2569" s="83" t="str">
        <f aca="false">IF(AND(B2569="",C2569="",D2569=""),"",IF(B2569="","Missing contract",IF(C2569="","Missing code",IF(LEFT(G2569,3)="Not","Wrong code",IF(D2569="","Missing qty",IF(A2569="","Missing date",""))))))</f>
        <v/>
      </c>
      <c r="I2569" s="84" t="str">
        <f aca="false">IF(B2569=Dashboard!$D$3,ROW(),"")</f>
        <v/>
      </c>
    </row>
    <row r="2570" customFormat="false" ht="15" hidden="false" customHeight="false" outlineLevel="0" collapsed="false">
      <c r="A2570" s="80"/>
      <c r="B2570" s="71"/>
      <c r="C2570" s="71"/>
      <c r="D2570" s="81"/>
      <c r="E2570" s="71"/>
      <c r="F2570" s="71"/>
      <c r="G2570" s="82" t="str">
        <f aca="false">IF(C2570="","",IFERROR(INDEX('Kit Lists'!$D$6:$D$605,MATCH(B2570&amp;"|"&amp;C2570,'Kit Lists'!$J$6:$J$605,0)),"Not on this contract's kit list"))</f>
        <v/>
      </c>
      <c r="H2570" s="83" t="str">
        <f aca="false">IF(AND(B2570="",C2570="",D2570=""),"",IF(B2570="","Missing contract",IF(C2570="","Missing code",IF(LEFT(G2570,3)="Not","Wrong code",IF(D2570="","Missing qty",IF(A2570="","Missing date",""))))))</f>
        <v/>
      </c>
      <c r="I2570" s="84" t="str">
        <f aca="false">IF(B2570=Dashboard!$D$3,ROW(),"")</f>
        <v/>
      </c>
    </row>
    <row r="2571" customFormat="false" ht="15" hidden="false" customHeight="false" outlineLevel="0" collapsed="false">
      <c r="A2571" s="80"/>
      <c r="B2571" s="71"/>
      <c r="C2571" s="71"/>
      <c r="D2571" s="81"/>
      <c r="E2571" s="71"/>
      <c r="F2571" s="71"/>
      <c r="G2571" s="82" t="str">
        <f aca="false">IF(C2571="","",IFERROR(INDEX('Kit Lists'!$D$6:$D$605,MATCH(B2571&amp;"|"&amp;C2571,'Kit Lists'!$J$6:$J$605,0)),"Not on this contract's kit list"))</f>
        <v/>
      </c>
      <c r="H2571" s="83" t="str">
        <f aca="false">IF(AND(B2571="",C2571="",D2571=""),"",IF(B2571="","Missing contract",IF(C2571="","Missing code",IF(LEFT(G2571,3)="Not","Wrong code",IF(D2571="","Missing qty",IF(A2571="","Missing date",""))))))</f>
        <v/>
      </c>
      <c r="I2571" s="84" t="str">
        <f aca="false">IF(B2571=Dashboard!$D$3,ROW(),"")</f>
        <v/>
      </c>
    </row>
    <row r="2572" customFormat="false" ht="15" hidden="false" customHeight="false" outlineLevel="0" collapsed="false">
      <c r="A2572" s="80"/>
      <c r="B2572" s="71"/>
      <c r="C2572" s="71"/>
      <c r="D2572" s="81"/>
      <c r="E2572" s="71"/>
      <c r="F2572" s="71"/>
      <c r="G2572" s="82" t="str">
        <f aca="false">IF(C2572="","",IFERROR(INDEX('Kit Lists'!$D$6:$D$605,MATCH(B2572&amp;"|"&amp;C2572,'Kit Lists'!$J$6:$J$605,0)),"Not on this contract's kit list"))</f>
        <v/>
      </c>
      <c r="H2572" s="83" t="str">
        <f aca="false">IF(AND(B2572="",C2572="",D2572=""),"",IF(B2572="","Missing contract",IF(C2572="","Missing code",IF(LEFT(G2572,3)="Not","Wrong code",IF(D2572="","Missing qty",IF(A2572="","Missing date",""))))))</f>
        <v/>
      </c>
      <c r="I2572" s="84" t="str">
        <f aca="false">IF(B2572=Dashboard!$D$3,ROW(),"")</f>
        <v/>
      </c>
    </row>
    <row r="2573" customFormat="false" ht="15" hidden="false" customHeight="false" outlineLevel="0" collapsed="false">
      <c r="A2573" s="80"/>
      <c r="B2573" s="71"/>
      <c r="C2573" s="71"/>
      <c r="D2573" s="81"/>
      <c r="E2573" s="71"/>
      <c r="F2573" s="71"/>
      <c r="G2573" s="82" t="str">
        <f aca="false">IF(C2573="","",IFERROR(INDEX('Kit Lists'!$D$6:$D$605,MATCH(B2573&amp;"|"&amp;C2573,'Kit Lists'!$J$6:$J$605,0)),"Not on this contract's kit list"))</f>
        <v/>
      </c>
      <c r="H2573" s="83" t="str">
        <f aca="false">IF(AND(B2573="",C2573="",D2573=""),"",IF(B2573="","Missing contract",IF(C2573="","Missing code",IF(LEFT(G2573,3)="Not","Wrong code",IF(D2573="","Missing qty",IF(A2573="","Missing date",""))))))</f>
        <v/>
      </c>
      <c r="I2573" s="84" t="str">
        <f aca="false">IF(B2573=Dashboard!$D$3,ROW(),"")</f>
        <v/>
      </c>
    </row>
    <row r="2574" customFormat="false" ht="15" hidden="false" customHeight="false" outlineLevel="0" collapsed="false">
      <c r="A2574" s="80"/>
      <c r="B2574" s="71"/>
      <c r="C2574" s="71"/>
      <c r="D2574" s="81"/>
      <c r="E2574" s="71"/>
      <c r="F2574" s="71"/>
      <c r="G2574" s="82" t="str">
        <f aca="false">IF(C2574="","",IFERROR(INDEX('Kit Lists'!$D$6:$D$605,MATCH(B2574&amp;"|"&amp;C2574,'Kit Lists'!$J$6:$J$605,0)),"Not on this contract's kit list"))</f>
        <v/>
      </c>
      <c r="H2574" s="83" t="str">
        <f aca="false">IF(AND(B2574="",C2574="",D2574=""),"",IF(B2574="","Missing contract",IF(C2574="","Missing code",IF(LEFT(G2574,3)="Not","Wrong code",IF(D2574="","Missing qty",IF(A2574="","Missing date",""))))))</f>
        <v/>
      </c>
      <c r="I2574" s="84" t="str">
        <f aca="false">IF(B2574=Dashboard!$D$3,ROW(),"")</f>
        <v/>
      </c>
    </row>
    <row r="2575" customFormat="false" ht="15" hidden="false" customHeight="false" outlineLevel="0" collapsed="false">
      <c r="A2575" s="80"/>
      <c r="B2575" s="71"/>
      <c r="C2575" s="71"/>
      <c r="D2575" s="81"/>
      <c r="E2575" s="71"/>
      <c r="F2575" s="71"/>
      <c r="G2575" s="82" t="str">
        <f aca="false">IF(C2575="","",IFERROR(INDEX('Kit Lists'!$D$6:$D$605,MATCH(B2575&amp;"|"&amp;C2575,'Kit Lists'!$J$6:$J$605,0)),"Not on this contract's kit list"))</f>
        <v/>
      </c>
      <c r="H2575" s="83" t="str">
        <f aca="false">IF(AND(B2575="",C2575="",D2575=""),"",IF(B2575="","Missing contract",IF(C2575="","Missing code",IF(LEFT(G2575,3)="Not","Wrong code",IF(D2575="","Missing qty",IF(A2575="","Missing date",""))))))</f>
        <v/>
      </c>
      <c r="I2575" s="84" t="str">
        <f aca="false">IF(B2575=Dashboard!$D$3,ROW(),"")</f>
        <v/>
      </c>
    </row>
    <row r="2576" customFormat="false" ht="15" hidden="false" customHeight="false" outlineLevel="0" collapsed="false">
      <c r="A2576" s="80"/>
      <c r="B2576" s="71"/>
      <c r="C2576" s="71"/>
      <c r="D2576" s="81"/>
      <c r="E2576" s="71"/>
      <c r="F2576" s="71"/>
      <c r="G2576" s="82" t="str">
        <f aca="false">IF(C2576="","",IFERROR(INDEX('Kit Lists'!$D$6:$D$605,MATCH(B2576&amp;"|"&amp;C2576,'Kit Lists'!$J$6:$J$605,0)),"Not on this contract's kit list"))</f>
        <v/>
      </c>
      <c r="H2576" s="83" t="str">
        <f aca="false">IF(AND(B2576="",C2576="",D2576=""),"",IF(B2576="","Missing contract",IF(C2576="","Missing code",IF(LEFT(G2576,3)="Not","Wrong code",IF(D2576="","Missing qty",IF(A2576="","Missing date",""))))))</f>
        <v/>
      </c>
      <c r="I2576" s="84" t="str">
        <f aca="false">IF(B2576=Dashboard!$D$3,ROW(),"")</f>
        <v/>
      </c>
    </row>
    <row r="2577" customFormat="false" ht="15" hidden="false" customHeight="false" outlineLevel="0" collapsed="false">
      <c r="A2577" s="80"/>
      <c r="B2577" s="71"/>
      <c r="C2577" s="71"/>
      <c r="D2577" s="81"/>
      <c r="E2577" s="71"/>
      <c r="F2577" s="71"/>
      <c r="G2577" s="82" t="str">
        <f aca="false">IF(C2577="","",IFERROR(INDEX('Kit Lists'!$D$6:$D$605,MATCH(B2577&amp;"|"&amp;C2577,'Kit Lists'!$J$6:$J$605,0)),"Not on this contract's kit list"))</f>
        <v/>
      </c>
      <c r="H2577" s="83" t="str">
        <f aca="false">IF(AND(B2577="",C2577="",D2577=""),"",IF(B2577="","Missing contract",IF(C2577="","Missing code",IF(LEFT(G2577,3)="Not","Wrong code",IF(D2577="","Missing qty",IF(A2577="","Missing date",""))))))</f>
        <v/>
      </c>
      <c r="I2577" s="84" t="str">
        <f aca="false">IF(B2577=Dashboard!$D$3,ROW(),"")</f>
        <v/>
      </c>
    </row>
    <row r="2578" customFormat="false" ht="15" hidden="false" customHeight="false" outlineLevel="0" collapsed="false">
      <c r="A2578" s="80"/>
      <c r="B2578" s="71"/>
      <c r="C2578" s="71"/>
      <c r="D2578" s="81"/>
      <c r="E2578" s="71"/>
      <c r="F2578" s="71"/>
      <c r="G2578" s="82" t="str">
        <f aca="false">IF(C2578="","",IFERROR(INDEX('Kit Lists'!$D$6:$D$605,MATCH(B2578&amp;"|"&amp;C2578,'Kit Lists'!$J$6:$J$605,0)),"Not on this contract's kit list"))</f>
        <v/>
      </c>
      <c r="H2578" s="83" t="str">
        <f aca="false">IF(AND(B2578="",C2578="",D2578=""),"",IF(B2578="","Missing contract",IF(C2578="","Missing code",IF(LEFT(G2578,3)="Not","Wrong code",IF(D2578="","Missing qty",IF(A2578="","Missing date",""))))))</f>
        <v/>
      </c>
      <c r="I2578" s="84" t="str">
        <f aca="false">IF(B2578=Dashboard!$D$3,ROW(),"")</f>
        <v/>
      </c>
    </row>
    <row r="2579" customFormat="false" ht="15" hidden="false" customHeight="false" outlineLevel="0" collapsed="false">
      <c r="A2579" s="80"/>
      <c r="B2579" s="71"/>
      <c r="C2579" s="71"/>
      <c r="D2579" s="81"/>
      <c r="E2579" s="71"/>
      <c r="F2579" s="71"/>
      <c r="G2579" s="82" t="str">
        <f aca="false">IF(C2579="","",IFERROR(INDEX('Kit Lists'!$D$6:$D$605,MATCH(B2579&amp;"|"&amp;C2579,'Kit Lists'!$J$6:$J$605,0)),"Not on this contract's kit list"))</f>
        <v/>
      </c>
      <c r="H2579" s="83" t="str">
        <f aca="false">IF(AND(B2579="",C2579="",D2579=""),"",IF(B2579="","Missing contract",IF(C2579="","Missing code",IF(LEFT(G2579,3)="Not","Wrong code",IF(D2579="","Missing qty",IF(A2579="","Missing date",""))))))</f>
        <v/>
      </c>
      <c r="I2579" s="84" t="str">
        <f aca="false">IF(B2579=Dashboard!$D$3,ROW(),"")</f>
        <v/>
      </c>
    </row>
    <row r="2580" customFormat="false" ht="15" hidden="false" customHeight="false" outlineLevel="0" collapsed="false">
      <c r="A2580" s="80"/>
      <c r="B2580" s="71"/>
      <c r="C2580" s="71"/>
      <c r="D2580" s="81"/>
      <c r="E2580" s="71"/>
      <c r="F2580" s="71"/>
      <c r="G2580" s="82" t="str">
        <f aca="false">IF(C2580="","",IFERROR(INDEX('Kit Lists'!$D$6:$D$605,MATCH(B2580&amp;"|"&amp;C2580,'Kit Lists'!$J$6:$J$605,0)),"Not on this contract's kit list"))</f>
        <v/>
      </c>
      <c r="H2580" s="83" t="str">
        <f aca="false">IF(AND(B2580="",C2580="",D2580=""),"",IF(B2580="","Missing contract",IF(C2580="","Missing code",IF(LEFT(G2580,3)="Not","Wrong code",IF(D2580="","Missing qty",IF(A2580="","Missing date",""))))))</f>
        <v/>
      </c>
      <c r="I2580" s="84" t="str">
        <f aca="false">IF(B2580=Dashboard!$D$3,ROW(),"")</f>
        <v/>
      </c>
    </row>
    <row r="2581" customFormat="false" ht="15" hidden="false" customHeight="false" outlineLevel="0" collapsed="false">
      <c r="A2581" s="80"/>
      <c r="B2581" s="71"/>
      <c r="C2581" s="71"/>
      <c r="D2581" s="81"/>
      <c r="E2581" s="71"/>
      <c r="F2581" s="71"/>
      <c r="G2581" s="82" t="str">
        <f aca="false">IF(C2581="","",IFERROR(INDEX('Kit Lists'!$D$6:$D$605,MATCH(B2581&amp;"|"&amp;C2581,'Kit Lists'!$J$6:$J$605,0)),"Not on this contract's kit list"))</f>
        <v/>
      </c>
      <c r="H2581" s="83" t="str">
        <f aca="false">IF(AND(B2581="",C2581="",D2581=""),"",IF(B2581="","Missing contract",IF(C2581="","Missing code",IF(LEFT(G2581,3)="Not","Wrong code",IF(D2581="","Missing qty",IF(A2581="","Missing date",""))))))</f>
        <v/>
      </c>
      <c r="I2581" s="84" t="str">
        <f aca="false">IF(B2581=Dashboard!$D$3,ROW(),"")</f>
        <v/>
      </c>
    </row>
    <row r="2582" customFormat="false" ht="15" hidden="false" customHeight="false" outlineLevel="0" collapsed="false">
      <c r="A2582" s="80"/>
      <c r="B2582" s="71"/>
      <c r="C2582" s="71"/>
      <c r="D2582" s="81"/>
      <c r="E2582" s="71"/>
      <c r="F2582" s="71"/>
      <c r="G2582" s="82" t="str">
        <f aca="false">IF(C2582="","",IFERROR(INDEX('Kit Lists'!$D$6:$D$605,MATCH(B2582&amp;"|"&amp;C2582,'Kit Lists'!$J$6:$J$605,0)),"Not on this contract's kit list"))</f>
        <v/>
      </c>
      <c r="H2582" s="83" t="str">
        <f aca="false">IF(AND(B2582="",C2582="",D2582=""),"",IF(B2582="","Missing contract",IF(C2582="","Missing code",IF(LEFT(G2582,3)="Not","Wrong code",IF(D2582="","Missing qty",IF(A2582="","Missing date",""))))))</f>
        <v/>
      </c>
      <c r="I2582" s="84" t="str">
        <f aca="false">IF(B2582=Dashboard!$D$3,ROW(),"")</f>
        <v/>
      </c>
    </row>
    <row r="2583" customFormat="false" ht="15" hidden="false" customHeight="false" outlineLevel="0" collapsed="false">
      <c r="A2583" s="80"/>
      <c r="B2583" s="71"/>
      <c r="C2583" s="71"/>
      <c r="D2583" s="81"/>
      <c r="E2583" s="71"/>
      <c r="F2583" s="71"/>
      <c r="G2583" s="82" t="str">
        <f aca="false">IF(C2583="","",IFERROR(INDEX('Kit Lists'!$D$6:$D$605,MATCH(B2583&amp;"|"&amp;C2583,'Kit Lists'!$J$6:$J$605,0)),"Not on this contract's kit list"))</f>
        <v/>
      </c>
      <c r="H2583" s="83" t="str">
        <f aca="false">IF(AND(B2583="",C2583="",D2583=""),"",IF(B2583="","Missing contract",IF(C2583="","Missing code",IF(LEFT(G2583,3)="Not","Wrong code",IF(D2583="","Missing qty",IF(A2583="","Missing date",""))))))</f>
        <v/>
      </c>
      <c r="I2583" s="84" t="str">
        <f aca="false">IF(B2583=Dashboard!$D$3,ROW(),"")</f>
        <v/>
      </c>
    </row>
    <row r="2584" customFormat="false" ht="15" hidden="false" customHeight="false" outlineLevel="0" collapsed="false">
      <c r="A2584" s="80"/>
      <c r="B2584" s="71"/>
      <c r="C2584" s="71"/>
      <c r="D2584" s="81"/>
      <c r="E2584" s="71"/>
      <c r="F2584" s="71"/>
      <c r="G2584" s="82" t="str">
        <f aca="false">IF(C2584="","",IFERROR(INDEX('Kit Lists'!$D$6:$D$605,MATCH(B2584&amp;"|"&amp;C2584,'Kit Lists'!$J$6:$J$605,0)),"Not on this contract's kit list"))</f>
        <v/>
      </c>
      <c r="H2584" s="83" t="str">
        <f aca="false">IF(AND(B2584="",C2584="",D2584=""),"",IF(B2584="","Missing contract",IF(C2584="","Missing code",IF(LEFT(G2584,3)="Not","Wrong code",IF(D2584="","Missing qty",IF(A2584="","Missing date",""))))))</f>
        <v/>
      </c>
      <c r="I2584" s="84" t="str">
        <f aca="false">IF(B2584=Dashboard!$D$3,ROW(),"")</f>
        <v/>
      </c>
    </row>
    <row r="2585" customFormat="false" ht="15" hidden="false" customHeight="false" outlineLevel="0" collapsed="false">
      <c r="A2585" s="80"/>
      <c r="B2585" s="71"/>
      <c r="C2585" s="71"/>
      <c r="D2585" s="81"/>
      <c r="E2585" s="71"/>
      <c r="F2585" s="71"/>
      <c r="G2585" s="82" t="str">
        <f aca="false">IF(C2585="","",IFERROR(INDEX('Kit Lists'!$D$6:$D$605,MATCH(B2585&amp;"|"&amp;C2585,'Kit Lists'!$J$6:$J$605,0)),"Not on this contract's kit list"))</f>
        <v/>
      </c>
      <c r="H2585" s="83" t="str">
        <f aca="false">IF(AND(B2585="",C2585="",D2585=""),"",IF(B2585="","Missing contract",IF(C2585="","Missing code",IF(LEFT(G2585,3)="Not","Wrong code",IF(D2585="","Missing qty",IF(A2585="","Missing date",""))))))</f>
        <v/>
      </c>
      <c r="I2585" s="84" t="str">
        <f aca="false">IF(B2585=Dashboard!$D$3,ROW(),"")</f>
        <v/>
      </c>
    </row>
    <row r="2586" customFormat="false" ht="15" hidden="false" customHeight="false" outlineLevel="0" collapsed="false">
      <c r="A2586" s="80"/>
      <c r="B2586" s="71"/>
      <c r="C2586" s="71"/>
      <c r="D2586" s="81"/>
      <c r="E2586" s="71"/>
      <c r="F2586" s="71"/>
      <c r="G2586" s="82" t="str">
        <f aca="false">IF(C2586="","",IFERROR(INDEX('Kit Lists'!$D$6:$D$605,MATCH(B2586&amp;"|"&amp;C2586,'Kit Lists'!$J$6:$J$605,0)),"Not on this contract's kit list"))</f>
        <v/>
      </c>
      <c r="H2586" s="83" t="str">
        <f aca="false">IF(AND(B2586="",C2586="",D2586=""),"",IF(B2586="","Missing contract",IF(C2586="","Missing code",IF(LEFT(G2586,3)="Not","Wrong code",IF(D2586="","Missing qty",IF(A2586="","Missing date",""))))))</f>
        <v/>
      </c>
      <c r="I2586" s="84" t="str">
        <f aca="false">IF(B2586=Dashboard!$D$3,ROW(),"")</f>
        <v/>
      </c>
    </row>
    <row r="2587" customFormat="false" ht="15" hidden="false" customHeight="false" outlineLevel="0" collapsed="false">
      <c r="A2587" s="80"/>
      <c r="B2587" s="71"/>
      <c r="C2587" s="71"/>
      <c r="D2587" s="81"/>
      <c r="E2587" s="71"/>
      <c r="F2587" s="71"/>
      <c r="G2587" s="82" t="str">
        <f aca="false">IF(C2587="","",IFERROR(INDEX('Kit Lists'!$D$6:$D$605,MATCH(B2587&amp;"|"&amp;C2587,'Kit Lists'!$J$6:$J$605,0)),"Not on this contract's kit list"))</f>
        <v/>
      </c>
      <c r="H2587" s="83" t="str">
        <f aca="false">IF(AND(B2587="",C2587="",D2587=""),"",IF(B2587="","Missing contract",IF(C2587="","Missing code",IF(LEFT(G2587,3)="Not","Wrong code",IF(D2587="","Missing qty",IF(A2587="","Missing date",""))))))</f>
        <v/>
      </c>
      <c r="I2587" s="84" t="str">
        <f aca="false">IF(B2587=Dashboard!$D$3,ROW(),"")</f>
        <v/>
      </c>
    </row>
    <row r="2588" customFormat="false" ht="15" hidden="false" customHeight="false" outlineLevel="0" collapsed="false">
      <c r="A2588" s="80"/>
      <c r="B2588" s="71"/>
      <c r="C2588" s="71"/>
      <c r="D2588" s="81"/>
      <c r="E2588" s="71"/>
      <c r="F2588" s="71"/>
      <c r="G2588" s="82" t="str">
        <f aca="false">IF(C2588="","",IFERROR(INDEX('Kit Lists'!$D$6:$D$605,MATCH(B2588&amp;"|"&amp;C2588,'Kit Lists'!$J$6:$J$605,0)),"Not on this contract's kit list"))</f>
        <v/>
      </c>
      <c r="H2588" s="83" t="str">
        <f aca="false">IF(AND(B2588="",C2588="",D2588=""),"",IF(B2588="","Missing contract",IF(C2588="","Missing code",IF(LEFT(G2588,3)="Not","Wrong code",IF(D2588="","Missing qty",IF(A2588="","Missing date",""))))))</f>
        <v/>
      </c>
      <c r="I2588" s="84" t="str">
        <f aca="false">IF(B2588=Dashboard!$D$3,ROW(),"")</f>
        <v/>
      </c>
    </row>
    <row r="2589" customFormat="false" ht="15" hidden="false" customHeight="false" outlineLevel="0" collapsed="false">
      <c r="A2589" s="80"/>
      <c r="B2589" s="71"/>
      <c r="C2589" s="71"/>
      <c r="D2589" s="81"/>
      <c r="E2589" s="71"/>
      <c r="F2589" s="71"/>
      <c r="G2589" s="82" t="str">
        <f aca="false">IF(C2589="","",IFERROR(INDEX('Kit Lists'!$D$6:$D$605,MATCH(B2589&amp;"|"&amp;C2589,'Kit Lists'!$J$6:$J$605,0)),"Not on this contract's kit list"))</f>
        <v/>
      </c>
      <c r="H2589" s="83" t="str">
        <f aca="false">IF(AND(B2589="",C2589="",D2589=""),"",IF(B2589="","Missing contract",IF(C2589="","Missing code",IF(LEFT(G2589,3)="Not","Wrong code",IF(D2589="","Missing qty",IF(A2589="","Missing date",""))))))</f>
        <v/>
      </c>
      <c r="I2589" s="84" t="str">
        <f aca="false">IF(B2589=Dashboard!$D$3,ROW(),"")</f>
        <v/>
      </c>
    </row>
    <row r="2590" customFormat="false" ht="15" hidden="false" customHeight="false" outlineLevel="0" collapsed="false">
      <c r="A2590" s="80"/>
      <c r="B2590" s="71"/>
      <c r="C2590" s="71"/>
      <c r="D2590" s="81"/>
      <c r="E2590" s="71"/>
      <c r="F2590" s="71"/>
      <c r="G2590" s="82" t="str">
        <f aca="false">IF(C2590="","",IFERROR(INDEX('Kit Lists'!$D$6:$D$605,MATCH(B2590&amp;"|"&amp;C2590,'Kit Lists'!$J$6:$J$605,0)),"Not on this contract's kit list"))</f>
        <v/>
      </c>
      <c r="H2590" s="83" t="str">
        <f aca="false">IF(AND(B2590="",C2590="",D2590=""),"",IF(B2590="","Missing contract",IF(C2590="","Missing code",IF(LEFT(G2590,3)="Not","Wrong code",IF(D2590="","Missing qty",IF(A2590="","Missing date",""))))))</f>
        <v/>
      </c>
      <c r="I2590" s="84" t="str">
        <f aca="false">IF(B2590=Dashboard!$D$3,ROW(),"")</f>
        <v/>
      </c>
    </row>
    <row r="2591" customFormat="false" ht="15" hidden="false" customHeight="false" outlineLevel="0" collapsed="false">
      <c r="A2591" s="80"/>
      <c r="B2591" s="71"/>
      <c r="C2591" s="71"/>
      <c r="D2591" s="81"/>
      <c r="E2591" s="71"/>
      <c r="F2591" s="71"/>
      <c r="G2591" s="82" t="str">
        <f aca="false">IF(C2591="","",IFERROR(INDEX('Kit Lists'!$D$6:$D$605,MATCH(B2591&amp;"|"&amp;C2591,'Kit Lists'!$J$6:$J$605,0)),"Not on this contract's kit list"))</f>
        <v/>
      </c>
      <c r="H2591" s="83" t="str">
        <f aca="false">IF(AND(B2591="",C2591="",D2591=""),"",IF(B2591="","Missing contract",IF(C2591="","Missing code",IF(LEFT(G2591,3)="Not","Wrong code",IF(D2591="","Missing qty",IF(A2591="","Missing date",""))))))</f>
        <v/>
      </c>
      <c r="I2591" s="84" t="str">
        <f aca="false">IF(B2591=Dashboard!$D$3,ROW(),"")</f>
        <v/>
      </c>
    </row>
    <row r="2592" customFormat="false" ht="15" hidden="false" customHeight="false" outlineLevel="0" collapsed="false">
      <c r="A2592" s="80"/>
      <c r="B2592" s="71"/>
      <c r="C2592" s="71"/>
      <c r="D2592" s="81"/>
      <c r="E2592" s="71"/>
      <c r="F2592" s="71"/>
      <c r="G2592" s="82" t="str">
        <f aca="false">IF(C2592="","",IFERROR(INDEX('Kit Lists'!$D$6:$D$605,MATCH(B2592&amp;"|"&amp;C2592,'Kit Lists'!$J$6:$J$605,0)),"Not on this contract's kit list"))</f>
        <v/>
      </c>
      <c r="H2592" s="83" t="str">
        <f aca="false">IF(AND(B2592="",C2592="",D2592=""),"",IF(B2592="","Missing contract",IF(C2592="","Missing code",IF(LEFT(G2592,3)="Not","Wrong code",IF(D2592="","Missing qty",IF(A2592="","Missing date",""))))))</f>
        <v/>
      </c>
      <c r="I2592" s="84" t="str">
        <f aca="false">IF(B2592=Dashboard!$D$3,ROW(),"")</f>
        <v/>
      </c>
    </row>
    <row r="2593" customFormat="false" ht="15" hidden="false" customHeight="false" outlineLevel="0" collapsed="false">
      <c r="A2593" s="80"/>
      <c r="B2593" s="71"/>
      <c r="C2593" s="71"/>
      <c r="D2593" s="81"/>
      <c r="E2593" s="71"/>
      <c r="F2593" s="71"/>
      <c r="G2593" s="82" t="str">
        <f aca="false">IF(C2593="","",IFERROR(INDEX('Kit Lists'!$D$6:$D$605,MATCH(B2593&amp;"|"&amp;C2593,'Kit Lists'!$J$6:$J$605,0)),"Not on this contract's kit list"))</f>
        <v/>
      </c>
      <c r="H2593" s="83" t="str">
        <f aca="false">IF(AND(B2593="",C2593="",D2593=""),"",IF(B2593="","Missing contract",IF(C2593="","Missing code",IF(LEFT(G2593,3)="Not","Wrong code",IF(D2593="","Missing qty",IF(A2593="","Missing date",""))))))</f>
        <v/>
      </c>
      <c r="I2593" s="84" t="str">
        <f aca="false">IF(B2593=Dashboard!$D$3,ROW(),"")</f>
        <v/>
      </c>
    </row>
    <row r="2594" customFormat="false" ht="15" hidden="false" customHeight="false" outlineLevel="0" collapsed="false">
      <c r="A2594" s="80"/>
      <c r="B2594" s="71"/>
      <c r="C2594" s="71"/>
      <c r="D2594" s="81"/>
      <c r="E2594" s="71"/>
      <c r="F2594" s="71"/>
      <c r="G2594" s="82" t="str">
        <f aca="false">IF(C2594="","",IFERROR(INDEX('Kit Lists'!$D$6:$D$605,MATCH(B2594&amp;"|"&amp;C2594,'Kit Lists'!$J$6:$J$605,0)),"Not on this contract's kit list"))</f>
        <v/>
      </c>
      <c r="H2594" s="83" t="str">
        <f aca="false">IF(AND(B2594="",C2594="",D2594=""),"",IF(B2594="","Missing contract",IF(C2594="","Missing code",IF(LEFT(G2594,3)="Not","Wrong code",IF(D2594="","Missing qty",IF(A2594="","Missing date",""))))))</f>
        <v/>
      </c>
      <c r="I2594" s="84" t="str">
        <f aca="false">IF(B2594=Dashboard!$D$3,ROW(),"")</f>
        <v/>
      </c>
    </row>
    <row r="2595" customFormat="false" ht="15" hidden="false" customHeight="false" outlineLevel="0" collapsed="false">
      <c r="A2595" s="80"/>
      <c r="B2595" s="71"/>
      <c r="C2595" s="71"/>
      <c r="D2595" s="81"/>
      <c r="E2595" s="71"/>
      <c r="F2595" s="71"/>
      <c r="G2595" s="82" t="str">
        <f aca="false">IF(C2595="","",IFERROR(INDEX('Kit Lists'!$D$6:$D$605,MATCH(B2595&amp;"|"&amp;C2595,'Kit Lists'!$J$6:$J$605,0)),"Not on this contract's kit list"))</f>
        <v/>
      </c>
      <c r="H2595" s="83" t="str">
        <f aca="false">IF(AND(B2595="",C2595="",D2595=""),"",IF(B2595="","Missing contract",IF(C2595="","Missing code",IF(LEFT(G2595,3)="Not","Wrong code",IF(D2595="","Missing qty",IF(A2595="","Missing date",""))))))</f>
        <v/>
      </c>
      <c r="I2595" s="84" t="str">
        <f aca="false">IF(B2595=Dashboard!$D$3,ROW(),"")</f>
        <v/>
      </c>
    </row>
    <row r="2596" customFormat="false" ht="15" hidden="false" customHeight="false" outlineLevel="0" collapsed="false">
      <c r="A2596" s="80"/>
      <c r="B2596" s="71"/>
      <c r="C2596" s="71"/>
      <c r="D2596" s="81"/>
      <c r="E2596" s="71"/>
      <c r="F2596" s="71"/>
      <c r="G2596" s="82" t="str">
        <f aca="false">IF(C2596="","",IFERROR(INDEX('Kit Lists'!$D$6:$D$605,MATCH(B2596&amp;"|"&amp;C2596,'Kit Lists'!$J$6:$J$605,0)),"Not on this contract's kit list"))</f>
        <v/>
      </c>
      <c r="H2596" s="83" t="str">
        <f aca="false">IF(AND(B2596="",C2596="",D2596=""),"",IF(B2596="","Missing contract",IF(C2596="","Missing code",IF(LEFT(G2596,3)="Not","Wrong code",IF(D2596="","Missing qty",IF(A2596="","Missing date",""))))))</f>
        <v/>
      </c>
      <c r="I2596" s="84" t="str">
        <f aca="false">IF(B2596=Dashboard!$D$3,ROW(),"")</f>
        <v/>
      </c>
    </row>
    <row r="2597" customFormat="false" ht="15" hidden="false" customHeight="false" outlineLevel="0" collapsed="false">
      <c r="A2597" s="80"/>
      <c r="B2597" s="71"/>
      <c r="C2597" s="71"/>
      <c r="D2597" s="81"/>
      <c r="E2597" s="71"/>
      <c r="F2597" s="71"/>
      <c r="G2597" s="82" t="str">
        <f aca="false">IF(C2597="","",IFERROR(INDEX('Kit Lists'!$D$6:$D$605,MATCH(B2597&amp;"|"&amp;C2597,'Kit Lists'!$J$6:$J$605,0)),"Not on this contract's kit list"))</f>
        <v/>
      </c>
      <c r="H2597" s="83" t="str">
        <f aca="false">IF(AND(B2597="",C2597="",D2597=""),"",IF(B2597="","Missing contract",IF(C2597="","Missing code",IF(LEFT(G2597,3)="Not","Wrong code",IF(D2597="","Missing qty",IF(A2597="","Missing date",""))))))</f>
        <v/>
      </c>
      <c r="I2597" s="84" t="str">
        <f aca="false">IF(B2597=Dashboard!$D$3,ROW(),"")</f>
        <v/>
      </c>
    </row>
    <row r="2598" customFormat="false" ht="15" hidden="false" customHeight="false" outlineLevel="0" collapsed="false">
      <c r="A2598" s="80"/>
      <c r="B2598" s="71"/>
      <c r="C2598" s="71"/>
      <c r="D2598" s="81"/>
      <c r="E2598" s="71"/>
      <c r="F2598" s="71"/>
      <c r="G2598" s="82" t="str">
        <f aca="false">IF(C2598="","",IFERROR(INDEX('Kit Lists'!$D$6:$D$605,MATCH(B2598&amp;"|"&amp;C2598,'Kit Lists'!$J$6:$J$605,0)),"Not on this contract's kit list"))</f>
        <v/>
      </c>
      <c r="H2598" s="83" t="str">
        <f aca="false">IF(AND(B2598="",C2598="",D2598=""),"",IF(B2598="","Missing contract",IF(C2598="","Missing code",IF(LEFT(G2598,3)="Not","Wrong code",IF(D2598="","Missing qty",IF(A2598="","Missing date",""))))))</f>
        <v/>
      </c>
      <c r="I2598" s="84" t="str">
        <f aca="false">IF(B2598=Dashboard!$D$3,ROW(),"")</f>
        <v/>
      </c>
    </row>
    <row r="2599" customFormat="false" ht="15" hidden="false" customHeight="false" outlineLevel="0" collapsed="false">
      <c r="A2599" s="80"/>
      <c r="B2599" s="71"/>
      <c r="C2599" s="71"/>
      <c r="D2599" s="81"/>
      <c r="E2599" s="71"/>
      <c r="F2599" s="71"/>
      <c r="G2599" s="82" t="str">
        <f aca="false">IF(C2599="","",IFERROR(INDEX('Kit Lists'!$D$6:$D$605,MATCH(B2599&amp;"|"&amp;C2599,'Kit Lists'!$J$6:$J$605,0)),"Not on this contract's kit list"))</f>
        <v/>
      </c>
      <c r="H2599" s="83" t="str">
        <f aca="false">IF(AND(B2599="",C2599="",D2599=""),"",IF(B2599="","Missing contract",IF(C2599="","Missing code",IF(LEFT(G2599,3)="Not","Wrong code",IF(D2599="","Missing qty",IF(A2599="","Missing date",""))))))</f>
        <v/>
      </c>
      <c r="I2599" s="84" t="str">
        <f aca="false">IF(B2599=Dashboard!$D$3,ROW(),"")</f>
        <v/>
      </c>
    </row>
    <row r="2600" customFormat="false" ht="15" hidden="false" customHeight="false" outlineLevel="0" collapsed="false">
      <c r="A2600" s="80"/>
      <c r="B2600" s="71"/>
      <c r="C2600" s="71"/>
      <c r="D2600" s="81"/>
      <c r="E2600" s="71"/>
      <c r="F2600" s="71"/>
      <c r="G2600" s="82" t="str">
        <f aca="false">IF(C2600="","",IFERROR(INDEX('Kit Lists'!$D$6:$D$605,MATCH(B2600&amp;"|"&amp;C2600,'Kit Lists'!$J$6:$J$605,0)),"Not on this contract's kit list"))</f>
        <v/>
      </c>
      <c r="H2600" s="83" t="str">
        <f aca="false">IF(AND(B2600="",C2600="",D2600=""),"",IF(B2600="","Missing contract",IF(C2600="","Missing code",IF(LEFT(G2600,3)="Not","Wrong code",IF(D2600="","Missing qty",IF(A2600="","Missing date",""))))))</f>
        <v/>
      </c>
      <c r="I2600" s="84" t="str">
        <f aca="false">IF(B2600=Dashboard!$D$3,ROW(),"")</f>
        <v/>
      </c>
    </row>
    <row r="2601" customFormat="false" ht="15" hidden="false" customHeight="false" outlineLevel="0" collapsed="false">
      <c r="A2601" s="80"/>
      <c r="B2601" s="71"/>
      <c r="C2601" s="71"/>
      <c r="D2601" s="81"/>
      <c r="E2601" s="71"/>
      <c r="F2601" s="71"/>
      <c r="G2601" s="82" t="str">
        <f aca="false">IF(C2601="","",IFERROR(INDEX('Kit Lists'!$D$6:$D$605,MATCH(B2601&amp;"|"&amp;C2601,'Kit Lists'!$J$6:$J$605,0)),"Not on this contract's kit list"))</f>
        <v/>
      </c>
      <c r="H2601" s="83" t="str">
        <f aca="false">IF(AND(B2601="",C2601="",D2601=""),"",IF(B2601="","Missing contract",IF(C2601="","Missing code",IF(LEFT(G2601,3)="Not","Wrong code",IF(D2601="","Missing qty",IF(A2601="","Missing date",""))))))</f>
        <v/>
      </c>
      <c r="I2601" s="84" t="str">
        <f aca="false">IF(B2601=Dashboard!$D$3,ROW(),"")</f>
        <v/>
      </c>
    </row>
    <row r="2602" customFormat="false" ht="15" hidden="false" customHeight="false" outlineLevel="0" collapsed="false">
      <c r="A2602" s="80"/>
      <c r="B2602" s="71"/>
      <c r="C2602" s="71"/>
      <c r="D2602" s="81"/>
      <c r="E2602" s="71"/>
      <c r="F2602" s="71"/>
      <c r="G2602" s="82" t="str">
        <f aca="false">IF(C2602="","",IFERROR(INDEX('Kit Lists'!$D$6:$D$605,MATCH(B2602&amp;"|"&amp;C2602,'Kit Lists'!$J$6:$J$605,0)),"Not on this contract's kit list"))</f>
        <v/>
      </c>
      <c r="H2602" s="83" t="str">
        <f aca="false">IF(AND(B2602="",C2602="",D2602=""),"",IF(B2602="","Missing contract",IF(C2602="","Missing code",IF(LEFT(G2602,3)="Not","Wrong code",IF(D2602="","Missing qty",IF(A2602="","Missing date",""))))))</f>
        <v/>
      </c>
      <c r="I2602" s="84" t="str">
        <f aca="false">IF(B2602=Dashboard!$D$3,ROW(),"")</f>
        <v/>
      </c>
    </row>
    <row r="2603" customFormat="false" ht="15" hidden="false" customHeight="false" outlineLevel="0" collapsed="false">
      <c r="A2603" s="80"/>
      <c r="B2603" s="71"/>
      <c r="C2603" s="71"/>
      <c r="D2603" s="81"/>
      <c r="E2603" s="71"/>
      <c r="F2603" s="71"/>
      <c r="G2603" s="82" t="str">
        <f aca="false">IF(C2603="","",IFERROR(INDEX('Kit Lists'!$D$6:$D$605,MATCH(B2603&amp;"|"&amp;C2603,'Kit Lists'!$J$6:$J$605,0)),"Not on this contract's kit list"))</f>
        <v/>
      </c>
      <c r="H2603" s="83" t="str">
        <f aca="false">IF(AND(B2603="",C2603="",D2603=""),"",IF(B2603="","Missing contract",IF(C2603="","Missing code",IF(LEFT(G2603,3)="Not","Wrong code",IF(D2603="","Missing qty",IF(A2603="","Missing date",""))))))</f>
        <v/>
      </c>
      <c r="I2603" s="84" t="str">
        <f aca="false">IF(B2603=Dashboard!$D$3,ROW(),"")</f>
        <v/>
      </c>
    </row>
    <row r="2604" customFormat="false" ht="15" hidden="false" customHeight="false" outlineLevel="0" collapsed="false">
      <c r="A2604" s="80"/>
      <c r="B2604" s="71"/>
      <c r="C2604" s="71"/>
      <c r="D2604" s="81"/>
      <c r="E2604" s="71"/>
      <c r="F2604" s="71"/>
      <c r="G2604" s="82" t="str">
        <f aca="false">IF(C2604="","",IFERROR(INDEX('Kit Lists'!$D$6:$D$605,MATCH(B2604&amp;"|"&amp;C2604,'Kit Lists'!$J$6:$J$605,0)),"Not on this contract's kit list"))</f>
        <v/>
      </c>
      <c r="H2604" s="83" t="str">
        <f aca="false">IF(AND(B2604="",C2604="",D2604=""),"",IF(B2604="","Missing contract",IF(C2604="","Missing code",IF(LEFT(G2604,3)="Not","Wrong code",IF(D2604="","Missing qty",IF(A2604="","Missing date",""))))))</f>
        <v/>
      </c>
      <c r="I2604" s="84" t="str">
        <f aca="false">IF(B2604=Dashboard!$D$3,ROW(),"")</f>
        <v/>
      </c>
    </row>
    <row r="2605" customFormat="false" ht="15" hidden="false" customHeight="false" outlineLevel="0" collapsed="false">
      <c r="A2605" s="80"/>
      <c r="B2605" s="71"/>
      <c r="C2605" s="71"/>
      <c r="D2605" s="81"/>
      <c r="E2605" s="71"/>
      <c r="F2605" s="71"/>
      <c r="G2605" s="82" t="str">
        <f aca="false">IF(C2605="","",IFERROR(INDEX('Kit Lists'!$D$6:$D$605,MATCH(B2605&amp;"|"&amp;C2605,'Kit Lists'!$J$6:$J$605,0)),"Not on this contract's kit list"))</f>
        <v/>
      </c>
      <c r="H2605" s="83" t="str">
        <f aca="false">IF(AND(B2605="",C2605="",D2605=""),"",IF(B2605="","Missing contract",IF(C2605="","Missing code",IF(LEFT(G2605,3)="Not","Wrong code",IF(D2605="","Missing qty",IF(A2605="","Missing date",""))))))</f>
        <v/>
      </c>
      <c r="I2605" s="84" t="str">
        <f aca="false">IF(B2605=Dashboard!$D$3,ROW(),"")</f>
        <v/>
      </c>
    </row>
    <row r="2606" customFormat="false" ht="15" hidden="false" customHeight="false" outlineLevel="0" collapsed="false">
      <c r="A2606" s="80"/>
      <c r="B2606" s="71"/>
      <c r="C2606" s="71"/>
      <c r="D2606" s="81"/>
      <c r="E2606" s="71"/>
      <c r="F2606" s="71"/>
      <c r="G2606" s="82" t="str">
        <f aca="false">IF(C2606="","",IFERROR(INDEX('Kit Lists'!$D$6:$D$605,MATCH(B2606&amp;"|"&amp;C2606,'Kit Lists'!$J$6:$J$605,0)),"Not on this contract's kit list"))</f>
        <v/>
      </c>
      <c r="H2606" s="83" t="str">
        <f aca="false">IF(AND(B2606="",C2606="",D2606=""),"",IF(B2606="","Missing contract",IF(C2606="","Missing code",IF(LEFT(G2606,3)="Not","Wrong code",IF(D2606="","Missing qty",IF(A2606="","Missing date",""))))))</f>
        <v/>
      </c>
      <c r="I2606" s="84" t="str">
        <f aca="false">IF(B2606=Dashboard!$D$3,ROW(),"")</f>
        <v/>
      </c>
    </row>
    <row r="2607" customFormat="false" ht="15" hidden="false" customHeight="false" outlineLevel="0" collapsed="false">
      <c r="A2607" s="80"/>
      <c r="B2607" s="71"/>
      <c r="C2607" s="71"/>
      <c r="D2607" s="81"/>
      <c r="E2607" s="71"/>
      <c r="F2607" s="71"/>
      <c r="G2607" s="82" t="str">
        <f aca="false">IF(C2607="","",IFERROR(INDEX('Kit Lists'!$D$6:$D$605,MATCH(B2607&amp;"|"&amp;C2607,'Kit Lists'!$J$6:$J$605,0)),"Not on this contract's kit list"))</f>
        <v/>
      </c>
      <c r="H2607" s="83" t="str">
        <f aca="false">IF(AND(B2607="",C2607="",D2607=""),"",IF(B2607="","Missing contract",IF(C2607="","Missing code",IF(LEFT(G2607,3)="Not","Wrong code",IF(D2607="","Missing qty",IF(A2607="","Missing date",""))))))</f>
        <v/>
      </c>
      <c r="I2607" s="84" t="str">
        <f aca="false">IF(B2607=Dashboard!$D$3,ROW(),"")</f>
        <v/>
      </c>
    </row>
    <row r="2608" customFormat="false" ht="15" hidden="false" customHeight="false" outlineLevel="0" collapsed="false">
      <c r="A2608" s="80"/>
      <c r="B2608" s="71"/>
      <c r="C2608" s="71"/>
      <c r="D2608" s="81"/>
      <c r="E2608" s="71"/>
      <c r="F2608" s="71"/>
      <c r="G2608" s="82" t="str">
        <f aca="false">IF(C2608="","",IFERROR(INDEX('Kit Lists'!$D$6:$D$605,MATCH(B2608&amp;"|"&amp;C2608,'Kit Lists'!$J$6:$J$605,0)),"Not on this contract's kit list"))</f>
        <v/>
      </c>
      <c r="H2608" s="83" t="str">
        <f aca="false">IF(AND(B2608="",C2608="",D2608=""),"",IF(B2608="","Missing contract",IF(C2608="","Missing code",IF(LEFT(G2608,3)="Not","Wrong code",IF(D2608="","Missing qty",IF(A2608="","Missing date",""))))))</f>
        <v/>
      </c>
      <c r="I2608" s="84" t="str">
        <f aca="false">IF(B2608=Dashboard!$D$3,ROW(),"")</f>
        <v/>
      </c>
    </row>
    <row r="2609" customFormat="false" ht="15" hidden="false" customHeight="false" outlineLevel="0" collapsed="false">
      <c r="A2609" s="80"/>
      <c r="B2609" s="71"/>
      <c r="C2609" s="71"/>
      <c r="D2609" s="81"/>
      <c r="E2609" s="71"/>
      <c r="F2609" s="71"/>
      <c r="G2609" s="82" t="str">
        <f aca="false">IF(C2609="","",IFERROR(INDEX('Kit Lists'!$D$6:$D$605,MATCH(B2609&amp;"|"&amp;C2609,'Kit Lists'!$J$6:$J$605,0)),"Not on this contract's kit list"))</f>
        <v/>
      </c>
      <c r="H2609" s="83" t="str">
        <f aca="false">IF(AND(B2609="",C2609="",D2609=""),"",IF(B2609="","Missing contract",IF(C2609="","Missing code",IF(LEFT(G2609,3)="Not","Wrong code",IF(D2609="","Missing qty",IF(A2609="","Missing date",""))))))</f>
        <v/>
      </c>
      <c r="I2609" s="84" t="str">
        <f aca="false">IF(B2609=Dashboard!$D$3,ROW(),"")</f>
        <v/>
      </c>
    </row>
    <row r="2610" customFormat="false" ht="15" hidden="false" customHeight="false" outlineLevel="0" collapsed="false">
      <c r="A2610" s="80"/>
      <c r="B2610" s="71"/>
      <c r="C2610" s="71"/>
      <c r="D2610" s="81"/>
      <c r="E2610" s="71"/>
      <c r="F2610" s="71"/>
      <c r="G2610" s="82" t="str">
        <f aca="false">IF(C2610="","",IFERROR(INDEX('Kit Lists'!$D$6:$D$605,MATCH(B2610&amp;"|"&amp;C2610,'Kit Lists'!$J$6:$J$605,0)),"Not on this contract's kit list"))</f>
        <v/>
      </c>
      <c r="H2610" s="83" t="str">
        <f aca="false">IF(AND(B2610="",C2610="",D2610=""),"",IF(B2610="","Missing contract",IF(C2610="","Missing code",IF(LEFT(G2610,3)="Not","Wrong code",IF(D2610="","Missing qty",IF(A2610="","Missing date",""))))))</f>
        <v/>
      </c>
      <c r="I2610" s="84" t="str">
        <f aca="false">IF(B2610=Dashboard!$D$3,ROW(),"")</f>
        <v/>
      </c>
    </row>
    <row r="2611" customFormat="false" ht="15" hidden="false" customHeight="false" outlineLevel="0" collapsed="false">
      <c r="A2611" s="80"/>
      <c r="B2611" s="71"/>
      <c r="C2611" s="71"/>
      <c r="D2611" s="81"/>
      <c r="E2611" s="71"/>
      <c r="F2611" s="71"/>
      <c r="G2611" s="82" t="str">
        <f aca="false">IF(C2611="","",IFERROR(INDEX('Kit Lists'!$D$6:$D$605,MATCH(B2611&amp;"|"&amp;C2611,'Kit Lists'!$J$6:$J$605,0)),"Not on this contract's kit list"))</f>
        <v/>
      </c>
      <c r="H2611" s="83" t="str">
        <f aca="false">IF(AND(B2611="",C2611="",D2611=""),"",IF(B2611="","Missing contract",IF(C2611="","Missing code",IF(LEFT(G2611,3)="Not","Wrong code",IF(D2611="","Missing qty",IF(A2611="","Missing date",""))))))</f>
        <v/>
      </c>
      <c r="I2611" s="84" t="str">
        <f aca="false">IF(B2611=Dashboard!$D$3,ROW(),"")</f>
        <v/>
      </c>
    </row>
    <row r="2612" customFormat="false" ht="15" hidden="false" customHeight="false" outlineLevel="0" collapsed="false">
      <c r="A2612" s="80"/>
      <c r="B2612" s="71"/>
      <c r="C2612" s="71"/>
      <c r="D2612" s="81"/>
      <c r="E2612" s="71"/>
      <c r="F2612" s="71"/>
      <c r="G2612" s="82" t="str">
        <f aca="false">IF(C2612="","",IFERROR(INDEX('Kit Lists'!$D$6:$D$605,MATCH(B2612&amp;"|"&amp;C2612,'Kit Lists'!$J$6:$J$605,0)),"Not on this contract's kit list"))</f>
        <v/>
      </c>
      <c r="H2612" s="83" t="str">
        <f aca="false">IF(AND(B2612="",C2612="",D2612=""),"",IF(B2612="","Missing contract",IF(C2612="","Missing code",IF(LEFT(G2612,3)="Not","Wrong code",IF(D2612="","Missing qty",IF(A2612="","Missing date",""))))))</f>
        <v/>
      </c>
      <c r="I2612" s="84" t="str">
        <f aca="false">IF(B2612=Dashboard!$D$3,ROW(),"")</f>
        <v/>
      </c>
    </row>
    <row r="2613" customFormat="false" ht="15" hidden="false" customHeight="false" outlineLevel="0" collapsed="false">
      <c r="A2613" s="80"/>
      <c r="B2613" s="71"/>
      <c r="C2613" s="71"/>
      <c r="D2613" s="81"/>
      <c r="E2613" s="71"/>
      <c r="F2613" s="71"/>
      <c r="G2613" s="82" t="str">
        <f aca="false">IF(C2613="","",IFERROR(INDEX('Kit Lists'!$D$6:$D$605,MATCH(B2613&amp;"|"&amp;C2613,'Kit Lists'!$J$6:$J$605,0)),"Not on this contract's kit list"))</f>
        <v/>
      </c>
      <c r="H2613" s="83" t="str">
        <f aca="false">IF(AND(B2613="",C2613="",D2613=""),"",IF(B2613="","Missing contract",IF(C2613="","Missing code",IF(LEFT(G2613,3)="Not","Wrong code",IF(D2613="","Missing qty",IF(A2613="","Missing date",""))))))</f>
        <v/>
      </c>
      <c r="I2613" s="84" t="str">
        <f aca="false">IF(B2613=Dashboard!$D$3,ROW(),"")</f>
        <v/>
      </c>
    </row>
    <row r="2614" customFormat="false" ht="15" hidden="false" customHeight="false" outlineLevel="0" collapsed="false">
      <c r="A2614" s="80"/>
      <c r="B2614" s="71"/>
      <c r="C2614" s="71"/>
      <c r="D2614" s="81"/>
      <c r="E2614" s="71"/>
      <c r="F2614" s="71"/>
      <c r="G2614" s="82" t="str">
        <f aca="false">IF(C2614="","",IFERROR(INDEX('Kit Lists'!$D$6:$D$605,MATCH(B2614&amp;"|"&amp;C2614,'Kit Lists'!$J$6:$J$605,0)),"Not on this contract's kit list"))</f>
        <v/>
      </c>
      <c r="H2614" s="83" t="str">
        <f aca="false">IF(AND(B2614="",C2614="",D2614=""),"",IF(B2614="","Missing contract",IF(C2614="","Missing code",IF(LEFT(G2614,3)="Not","Wrong code",IF(D2614="","Missing qty",IF(A2614="","Missing date",""))))))</f>
        <v/>
      </c>
      <c r="I2614" s="84" t="str">
        <f aca="false">IF(B2614=Dashboard!$D$3,ROW(),"")</f>
        <v/>
      </c>
    </row>
    <row r="2615" customFormat="false" ht="15" hidden="false" customHeight="false" outlineLevel="0" collapsed="false">
      <c r="A2615" s="80"/>
      <c r="B2615" s="71"/>
      <c r="C2615" s="71"/>
      <c r="D2615" s="81"/>
      <c r="E2615" s="71"/>
      <c r="F2615" s="71"/>
      <c r="G2615" s="82" t="str">
        <f aca="false">IF(C2615="","",IFERROR(INDEX('Kit Lists'!$D$6:$D$605,MATCH(B2615&amp;"|"&amp;C2615,'Kit Lists'!$J$6:$J$605,0)),"Not on this contract's kit list"))</f>
        <v/>
      </c>
      <c r="H2615" s="83" t="str">
        <f aca="false">IF(AND(B2615="",C2615="",D2615=""),"",IF(B2615="","Missing contract",IF(C2615="","Missing code",IF(LEFT(G2615,3)="Not","Wrong code",IF(D2615="","Missing qty",IF(A2615="","Missing date",""))))))</f>
        <v/>
      </c>
      <c r="I2615" s="84" t="str">
        <f aca="false">IF(B2615=Dashboard!$D$3,ROW(),"")</f>
        <v/>
      </c>
    </row>
    <row r="2616" customFormat="false" ht="15" hidden="false" customHeight="false" outlineLevel="0" collapsed="false">
      <c r="A2616" s="80"/>
      <c r="B2616" s="71"/>
      <c r="C2616" s="71"/>
      <c r="D2616" s="81"/>
      <c r="E2616" s="71"/>
      <c r="F2616" s="71"/>
      <c r="G2616" s="82" t="str">
        <f aca="false">IF(C2616="","",IFERROR(INDEX('Kit Lists'!$D$6:$D$605,MATCH(B2616&amp;"|"&amp;C2616,'Kit Lists'!$J$6:$J$605,0)),"Not on this contract's kit list"))</f>
        <v/>
      </c>
      <c r="H2616" s="83" t="str">
        <f aca="false">IF(AND(B2616="",C2616="",D2616=""),"",IF(B2616="","Missing contract",IF(C2616="","Missing code",IF(LEFT(G2616,3)="Not","Wrong code",IF(D2616="","Missing qty",IF(A2616="","Missing date",""))))))</f>
        <v/>
      </c>
      <c r="I2616" s="84" t="str">
        <f aca="false">IF(B2616=Dashboard!$D$3,ROW(),"")</f>
        <v/>
      </c>
    </row>
    <row r="2617" customFormat="false" ht="15" hidden="false" customHeight="false" outlineLevel="0" collapsed="false">
      <c r="A2617" s="80"/>
      <c r="B2617" s="71"/>
      <c r="C2617" s="71"/>
      <c r="D2617" s="81"/>
      <c r="E2617" s="71"/>
      <c r="F2617" s="71"/>
      <c r="G2617" s="82" t="str">
        <f aca="false">IF(C2617="","",IFERROR(INDEX('Kit Lists'!$D$6:$D$605,MATCH(B2617&amp;"|"&amp;C2617,'Kit Lists'!$J$6:$J$605,0)),"Not on this contract's kit list"))</f>
        <v/>
      </c>
      <c r="H2617" s="83" t="str">
        <f aca="false">IF(AND(B2617="",C2617="",D2617=""),"",IF(B2617="","Missing contract",IF(C2617="","Missing code",IF(LEFT(G2617,3)="Not","Wrong code",IF(D2617="","Missing qty",IF(A2617="","Missing date",""))))))</f>
        <v/>
      </c>
      <c r="I2617" s="84" t="str">
        <f aca="false">IF(B2617=Dashboard!$D$3,ROW(),"")</f>
        <v/>
      </c>
    </row>
    <row r="2618" customFormat="false" ht="15" hidden="false" customHeight="false" outlineLevel="0" collapsed="false">
      <c r="A2618" s="80"/>
      <c r="B2618" s="71"/>
      <c r="C2618" s="71"/>
      <c r="D2618" s="81"/>
      <c r="E2618" s="71"/>
      <c r="F2618" s="71"/>
      <c r="G2618" s="82" t="str">
        <f aca="false">IF(C2618="","",IFERROR(INDEX('Kit Lists'!$D$6:$D$605,MATCH(B2618&amp;"|"&amp;C2618,'Kit Lists'!$J$6:$J$605,0)),"Not on this contract's kit list"))</f>
        <v/>
      </c>
      <c r="H2618" s="83" t="str">
        <f aca="false">IF(AND(B2618="",C2618="",D2618=""),"",IF(B2618="","Missing contract",IF(C2618="","Missing code",IF(LEFT(G2618,3)="Not","Wrong code",IF(D2618="","Missing qty",IF(A2618="","Missing date",""))))))</f>
        <v/>
      </c>
      <c r="I2618" s="84" t="str">
        <f aca="false">IF(B2618=Dashboard!$D$3,ROW(),"")</f>
        <v/>
      </c>
    </row>
    <row r="2619" customFormat="false" ht="15" hidden="false" customHeight="false" outlineLevel="0" collapsed="false">
      <c r="A2619" s="80"/>
      <c r="B2619" s="71"/>
      <c r="C2619" s="71"/>
      <c r="D2619" s="81"/>
      <c r="E2619" s="71"/>
      <c r="F2619" s="71"/>
      <c r="G2619" s="82" t="str">
        <f aca="false">IF(C2619="","",IFERROR(INDEX('Kit Lists'!$D$6:$D$605,MATCH(B2619&amp;"|"&amp;C2619,'Kit Lists'!$J$6:$J$605,0)),"Not on this contract's kit list"))</f>
        <v/>
      </c>
      <c r="H2619" s="83" t="str">
        <f aca="false">IF(AND(B2619="",C2619="",D2619=""),"",IF(B2619="","Missing contract",IF(C2619="","Missing code",IF(LEFT(G2619,3)="Not","Wrong code",IF(D2619="","Missing qty",IF(A2619="","Missing date",""))))))</f>
        <v/>
      </c>
      <c r="I2619" s="84" t="str">
        <f aca="false">IF(B2619=Dashboard!$D$3,ROW(),"")</f>
        <v/>
      </c>
    </row>
    <row r="2620" customFormat="false" ht="15" hidden="false" customHeight="false" outlineLevel="0" collapsed="false">
      <c r="A2620" s="80"/>
      <c r="B2620" s="71"/>
      <c r="C2620" s="71"/>
      <c r="D2620" s="81"/>
      <c r="E2620" s="71"/>
      <c r="F2620" s="71"/>
      <c r="G2620" s="82" t="str">
        <f aca="false">IF(C2620="","",IFERROR(INDEX('Kit Lists'!$D$6:$D$605,MATCH(B2620&amp;"|"&amp;C2620,'Kit Lists'!$J$6:$J$605,0)),"Not on this contract's kit list"))</f>
        <v/>
      </c>
      <c r="H2620" s="83" t="str">
        <f aca="false">IF(AND(B2620="",C2620="",D2620=""),"",IF(B2620="","Missing contract",IF(C2620="","Missing code",IF(LEFT(G2620,3)="Not","Wrong code",IF(D2620="","Missing qty",IF(A2620="","Missing date",""))))))</f>
        <v/>
      </c>
      <c r="I2620" s="84" t="str">
        <f aca="false">IF(B2620=Dashboard!$D$3,ROW(),"")</f>
        <v/>
      </c>
    </row>
    <row r="2621" customFormat="false" ht="15" hidden="false" customHeight="false" outlineLevel="0" collapsed="false">
      <c r="A2621" s="80"/>
      <c r="B2621" s="71"/>
      <c r="C2621" s="71"/>
      <c r="D2621" s="81"/>
      <c r="E2621" s="71"/>
      <c r="F2621" s="71"/>
      <c r="G2621" s="82" t="str">
        <f aca="false">IF(C2621="","",IFERROR(INDEX('Kit Lists'!$D$6:$D$605,MATCH(B2621&amp;"|"&amp;C2621,'Kit Lists'!$J$6:$J$605,0)),"Not on this contract's kit list"))</f>
        <v/>
      </c>
      <c r="H2621" s="83" t="str">
        <f aca="false">IF(AND(B2621="",C2621="",D2621=""),"",IF(B2621="","Missing contract",IF(C2621="","Missing code",IF(LEFT(G2621,3)="Not","Wrong code",IF(D2621="","Missing qty",IF(A2621="","Missing date",""))))))</f>
        <v/>
      </c>
      <c r="I2621" s="84" t="str">
        <f aca="false">IF(B2621=Dashboard!$D$3,ROW(),"")</f>
        <v/>
      </c>
    </row>
    <row r="2622" customFormat="false" ht="15" hidden="false" customHeight="false" outlineLevel="0" collapsed="false">
      <c r="A2622" s="80"/>
      <c r="B2622" s="71"/>
      <c r="C2622" s="71"/>
      <c r="D2622" s="81"/>
      <c r="E2622" s="71"/>
      <c r="F2622" s="71"/>
      <c r="G2622" s="82" t="str">
        <f aca="false">IF(C2622="","",IFERROR(INDEX('Kit Lists'!$D$6:$D$605,MATCH(B2622&amp;"|"&amp;C2622,'Kit Lists'!$J$6:$J$605,0)),"Not on this contract's kit list"))</f>
        <v/>
      </c>
      <c r="H2622" s="83" t="str">
        <f aca="false">IF(AND(B2622="",C2622="",D2622=""),"",IF(B2622="","Missing contract",IF(C2622="","Missing code",IF(LEFT(G2622,3)="Not","Wrong code",IF(D2622="","Missing qty",IF(A2622="","Missing date",""))))))</f>
        <v/>
      </c>
      <c r="I2622" s="84" t="str">
        <f aca="false">IF(B2622=Dashboard!$D$3,ROW(),"")</f>
        <v/>
      </c>
    </row>
    <row r="2623" customFormat="false" ht="15" hidden="false" customHeight="false" outlineLevel="0" collapsed="false">
      <c r="A2623" s="80"/>
      <c r="B2623" s="71"/>
      <c r="C2623" s="71"/>
      <c r="D2623" s="81"/>
      <c r="E2623" s="71"/>
      <c r="F2623" s="71"/>
      <c r="G2623" s="82" t="str">
        <f aca="false">IF(C2623="","",IFERROR(INDEX('Kit Lists'!$D$6:$D$605,MATCH(B2623&amp;"|"&amp;C2623,'Kit Lists'!$J$6:$J$605,0)),"Not on this contract's kit list"))</f>
        <v/>
      </c>
      <c r="H2623" s="83" t="str">
        <f aca="false">IF(AND(B2623="",C2623="",D2623=""),"",IF(B2623="","Missing contract",IF(C2623="","Missing code",IF(LEFT(G2623,3)="Not","Wrong code",IF(D2623="","Missing qty",IF(A2623="","Missing date",""))))))</f>
        <v/>
      </c>
      <c r="I2623" s="84" t="str">
        <f aca="false">IF(B2623=Dashboard!$D$3,ROW(),"")</f>
        <v/>
      </c>
    </row>
    <row r="2624" customFormat="false" ht="15" hidden="false" customHeight="false" outlineLevel="0" collapsed="false">
      <c r="A2624" s="80"/>
      <c r="B2624" s="71"/>
      <c r="C2624" s="71"/>
      <c r="D2624" s="81"/>
      <c r="E2624" s="71"/>
      <c r="F2624" s="71"/>
      <c r="G2624" s="82" t="str">
        <f aca="false">IF(C2624="","",IFERROR(INDEX('Kit Lists'!$D$6:$D$605,MATCH(B2624&amp;"|"&amp;C2624,'Kit Lists'!$J$6:$J$605,0)),"Not on this contract's kit list"))</f>
        <v/>
      </c>
      <c r="H2624" s="83" t="str">
        <f aca="false">IF(AND(B2624="",C2624="",D2624=""),"",IF(B2624="","Missing contract",IF(C2624="","Missing code",IF(LEFT(G2624,3)="Not","Wrong code",IF(D2624="","Missing qty",IF(A2624="","Missing date",""))))))</f>
        <v/>
      </c>
      <c r="I2624" s="84" t="str">
        <f aca="false">IF(B2624=Dashboard!$D$3,ROW(),"")</f>
        <v/>
      </c>
    </row>
    <row r="2625" customFormat="false" ht="15" hidden="false" customHeight="false" outlineLevel="0" collapsed="false">
      <c r="A2625" s="80"/>
      <c r="B2625" s="71"/>
      <c r="C2625" s="71"/>
      <c r="D2625" s="81"/>
      <c r="E2625" s="71"/>
      <c r="F2625" s="71"/>
      <c r="G2625" s="82" t="str">
        <f aca="false">IF(C2625="","",IFERROR(INDEX('Kit Lists'!$D$6:$D$605,MATCH(B2625&amp;"|"&amp;C2625,'Kit Lists'!$J$6:$J$605,0)),"Not on this contract's kit list"))</f>
        <v/>
      </c>
      <c r="H2625" s="83" t="str">
        <f aca="false">IF(AND(B2625="",C2625="",D2625=""),"",IF(B2625="","Missing contract",IF(C2625="","Missing code",IF(LEFT(G2625,3)="Not","Wrong code",IF(D2625="","Missing qty",IF(A2625="","Missing date",""))))))</f>
        <v/>
      </c>
      <c r="I2625" s="84" t="str">
        <f aca="false">IF(B2625=Dashboard!$D$3,ROW(),"")</f>
        <v/>
      </c>
    </row>
    <row r="2626" customFormat="false" ht="15" hidden="false" customHeight="false" outlineLevel="0" collapsed="false">
      <c r="A2626" s="80"/>
      <c r="B2626" s="71"/>
      <c r="C2626" s="71"/>
      <c r="D2626" s="81"/>
      <c r="E2626" s="71"/>
      <c r="F2626" s="71"/>
      <c r="G2626" s="82" t="str">
        <f aca="false">IF(C2626="","",IFERROR(INDEX('Kit Lists'!$D$6:$D$605,MATCH(B2626&amp;"|"&amp;C2626,'Kit Lists'!$J$6:$J$605,0)),"Not on this contract's kit list"))</f>
        <v/>
      </c>
      <c r="H2626" s="83" t="str">
        <f aca="false">IF(AND(B2626="",C2626="",D2626=""),"",IF(B2626="","Missing contract",IF(C2626="","Missing code",IF(LEFT(G2626,3)="Not","Wrong code",IF(D2626="","Missing qty",IF(A2626="","Missing date",""))))))</f>
        <v/>
      </c>
      <c r="I2626" s="84" t="str">
        <f aca="false">IF(B2626=Dashboard!$D$3,ROW(),"")</f>
        <v/>
      </c>
    </row>
    <row r="2627" customFormat="false" ht="15" hidden="false" customHeight="false" outlineLevel="0" collapsed="false">
      <c r="A2627" s="80"/>
      <c r="B2627" s="71"/>
      <c r="C2627" s="71"/>
      <c r="D2627" s="81"/>
      <c r="E2627" s="71"/>
      <c r="F2627" s="71"/>
      <c r="G2627" s="82" t="str">
        <f aca="false">IF(C2627="","",IFERROR(INDEX('Kit Lists'!$D$6:$D$605,MATCH(B2627&amp;"|"&amp;C2627,'Kit Lists'!$J$6:$J$605,0)),"Not on this contract's kit list"))</f>
        <v/>
      </c>
      <c r="H2627" s="83" t="str">
        <f aca="false">IF(AND(B2627="",C2627="",D2627=""),"",IF(B2627="","Missing contract",IF(C2627="","Missing code",IF(LEFT(G2627,3)="Not","Wrong code",IF(D2627="","Missing qty",IF(A2627="","Missing date",""))))))</f>
        <v/>
      </c>
      <c r="I2627" s="84" t="str">
        <f aca="false">IF(B2627=Dashboard!$D$3,ROW(),"")</f>
        <v/>
      </c>
    </row>
    <row r="2628" customFormat="false" ht="15" hidden="false" customHeight="false" outlineLevel="0" collapsed="false">
      <c r="A2628" s="80"/>
      <c r="B2628" s="71"/>
      <c r="C2628" s="71"/>
      <c r="D2628" s="81"/>
      <c r="E2628" s="71"/>
      <c r="F2628" s="71"/>
      <c r="G2628" s="82" t="str">
        <f aca="false">IF(C2628="","",IFERROR(INDEX('Kit Lists'!$D$6:$D$605,MATCH(B2628&amp;"|"&amp;C2628,'Kit Lists'!$J$6:$J$605,0)),"Not on this contract's kit list"))</f>
        <v/>
      </c>
      <c r="H2628" s="83" t="str">
        <f aca="false">IF(AND(B2628="",C2628="",D2628=""),"",IF(B2628="","Missing contract",IF(C2628="","Missing code",IF(LEFT(G2628,3)="Not","Wrong code",IF(D2628="","Missing qty",IF(A2628="","Missing date",""))))))</f>
        <v/>
      </c>
      <c r="I2628" s="84" t="str">
        <f aca="false">IF(B2628=Dashboard!$D$3,ROW(),"")</f>
        <v/>
      </c>
    </row>
    <row r="2629" customFormat="false" ht="15" hidden="false" customHeight="false" outlineLevel="0" collapsed="false">
      <c r="A2629" s="80"/>
      <c r="B2629" s="71"/>
      <c r="C2629" s="71"/>
      <c r="D2629" s="81"/>
      <c r="E2629" s="71"/>
      <c r="F2629" s="71"/>
      <c r="G2629" s="82" t="str">
        <f aca="false">IF(C2629="","",IFERROR(INDEX('Kit Lists'!$D$6:$D$605,MATCH(B2629&amp;"|"&amp;C2629,'Kit Lists'!$J$6:$J$605,0)),"Not on this contract's kit list"))</f>
        <v/>
      </c>
      <c r="H2629" s="83" t="str">
        <f aca="false">IF(AND(B2629="",C2629="",D2629=""),"",IF(B2629="","Missing contract",IF(C2629="","Missing code",IF(LEFT(G2629,3)="Not","Wrong code",IF(D2629="","Missing qty",IF(A2629="","Missing date",""))))))</f>
        <v/>
      </c>
      <c r="I2629" s="84" t="str">
        <f aca="false">IF(B2629=Dashboard!$D$3,ROW(),"")</f>
        <v/>
      </c>
    </row>
    <row r="2630" customFormat="false" ht="15" hidden="false" customHeight="false" outlineLevel="0" collapsed="false">
      <c r="A2630" s="80"/>
      <c r="B2630" s="71"/>
      <c r="C2630" s="71"/>
      <c r="D2630" s="81"/>
      <c r="E2630" s="71"/>
      <c r="F2630" s="71"/>
      <c r="G2630" s="82" t="str">
        <f aca="false">IF(C2630="","",IFERROR(INDEX('Kit Lists'!$D$6:$D$605,MATCH(B2630&amp;"|"&amp;C2630,'Kit Lists'!$J$6:$J$605,0)),"Not on this contract's kit list"))</f>
        <v/>
      </c>
      <c r="H2630" s="83" t="str">
        <f aca="false">IF(AND(B2630="",C2630="",D2630=""),"",IF(B2630="","Missing contract",IF(C2630="","Missing code",IF(LEFT(G2630,3)="Not","Wrong code",IF(D2630="","Missing qty",IF(A2630="","Missing date",""))))))</f>
        <v/>
      </c>
      <c r="I2630" s="84" t="str">
        <f aca="false">IF(B2630=Dashboard!$D$3,ROW(),"")</f>
        <v/>
      </c>
    </row>
    <row r="2631" customFormat="false" ht="15" hidden="false" customHeight="false" outlineLevel="0" collapsed="false">
      <c r="A2631" s="80"/>
      <c r="B2631" s="71"/>
      <c r="C2631" s="71"/>
      <c r="D2631" s="81"/>
      <c r="E2631" s="71"/>
      <c r="F2631" s="71"/>
      <c r="G2631" s="82" t="str">
        <f aca="false">IF(C2631="","",IFERROR(INDEX('Kit Lists'!$D$6:$D$605,MATCH(B2631&amp;"|"&amp;C2631,'Kit Lists'!$J$6:$J$605,0)),"Not on this contract's kit list"))</f>
        <v/>
      </c>
      <c r="H2631" s="83" t="str">
        <f aca="false">IF(AND(B2631="",C2631="",D2631=""),"",IF(B2631="","Missing contract",IF(C2631="","Missing code",IF(LEFT(G2631,3)="Not","Wrong code",IF(D2631="","Missing qty",IF(A2631="","Missing date",""))))))</f>
        <v/>
      </c>
      <c r="I2631" s="84" t="str">
        <f aca="false">IF(B2631=Dashboard!$D$3,ROW(),"")</f>
        <v/>
      </c>
    </row>
    <row r="2632" customFormat="false" ht="15" hidden="false" customHeight="false" outlineLevel="0" collapsed="false">
      <c r="A2632" s="80"/>
      <c r="B2632" s="71"/>
      <c r="C2632" s="71"/>
      <c r="D2632" s="81"/>
      <c r="E2632" s="71"/>
      <c r="F2632" s="71"/>
      <c r="G2632" s="82" t="str">
        <f aca="false">IF(C2632="","",IFERROR(INDEX('Kit Lists'!$D$6:$D$605,MATCH(B2632&amp;"|"&amp;C2632,'Kit Lists'!$J$6:$J$605,0)),"Not on this contract's kit list"))</f>
        <v/>
      </c>
      <c r="H2632" s="83" t="str">
        <f aca="false">IF(AND(B2632="",C2632="",D2632=""),"",IF(B2632="","Missing contract",IF(C2632="","Missing code",IF(LEFT(G2632,3)="Not","Wrong code",IF(D2632="","Missing qty",IF(A2632="","Missing date",""))))))</f>
        <v/>
      </c>
      <c r="I2632" s="84" t="str">
        <f aca="false">IF(B2632=Dashboard!$D$3,ROW(),"")</f>
        <v/>
      </c>
    </row>
    <row r="2633" customFormat="false" ht="15" hidden="false" customHeight="false" outlineLevel="0" collapsed="false">
      <c r="A2633" s="80"/>
      <c r="B2633" s="71"/>
      <c r="C2633" s="71"/>
      <c r="D2633" s="81"/>
      <c r="E2633" s="71"/>
      <c r="F2633" s="71"/>
      <c r="G2633" s="82" t="str">
        <f aca="false">IF(C2633="","",IFERROR(INDEX('Kit Lists'!$D$6:$D$605,MATCH(B2633&amp;"|"&amp;C2633,'Kit Lists'!$J$6:$J$605,0)),"Not on this contract's kit list"))</f>
        <v/>
      </c>
      <c r="H2633" s="83" t="str">
        <f aca="false">IF(AND(B2633="",C2633="",D2633=""),"",IF(B2633="","Missing contract",IF(C2633="","Missing code",IF(LEFT(G2633,3)="Not","Wrong code",IF(D2633="","Missing qty",IF(A2633="","Missing date",""))))))</f>
        <v/>
      </c>
      <c r="I2633" s="84" t="str">
        <f aca="false">IF(B2633=Dashboard!$D$3,ROW(),"")</f>
        <v/>
      </c>
    </row>
    <row r="2634" customFormat="false" ht="15" hidden="false" customHeight="false" outlineLevel="0" collapsed="false">
      <c r="A2634" s="80"/>
      <c r="B2634" s="71"/>
      <c r="C2634" s="71"/>
      <c r="D2634" s="81"/>
      <c r="E2634" s="71"/>
      <c r="F2634" s="71"/>
      <c r="G2634" s="82" t="str">
        <f aca="false">IF(C2634="","",IFERROR(INDEX('Kit Lists'!$D$6:$D$605,MATCH(B2634&amp;"|"&amp;C2634,'Kit Lists'!$J$6:$J$605,0)),"Not on this contract's kit list"))</f>
        <v/>
      </c>
      <c r="H2634" s="83" t="str">
        <f aca="false">IF(AND(B2634="",C2634="",D2634=""),"",IF(B2634="","Missing contract",IF(C2634="","Missing code",IF(LEFT(G2634,3)="Not","Wrong code",IF(D2634="","Missing qty",IF(A2634="","Missing date",""))))))</f>
        <v/>
      </c>
      <c r="I2634" s="84" t="str">
        <f aca="false">IF(B2634=Dashboard!$D$3,ROW(),"")</f>
        <v/>
      </c>
    </row>
    <row r="2635" customFormat="false" ht="15" hidden="false" customHeight="false" outlineLevel="0" collapsed="false">
      <c r="A2635" s="80"/>
      <c r="B2635" s="71"/>
      <c r="C2635" s="71"/>
      <c r="D2635" s="81"/>
      <c r="E2635" s="71"/>
      <c r="F2635" s="71"/>
      <c r="G2635" s="82" t="str">
        <f aca="false">IF(C2635="","",IFERROR(INDEX('Kit Lists'!$D$6:$D$605,MATCH(B2635&amp;"|"&amp;C2635,'Kit Lists'!$J$6:$J$605,0)),"Not on this contract's kit list"))</f>
        <v/>
      </c>
      <c r="H2635" s="83" t="str">
        <f aca="false">IF(AND(B2635="",C2635="",D2635=""),"",IF(B2635="","Missing contract",IF(C2635="","Missing code",IF(LEFT(G2635,3)="Not","Wrong code",IF(D2635="","Missing qty",IF(A2635="","Missing date",""))))))</f>
        <v/>
      </c>
      <c r="I2635" s="84" t="str">
        <f aca="false">IF(B2635=Dashboard!$D$3,ROW(),"")</f>
        <v/>
      </c>
    </row>
    <row r="2636" customFormat="false" ht="15" hidden="false" customHeight="false" outlineLevel="0" collapsed="false">
      <c r="A2636" s="80"/>
      <c r="B2636" s="71"/>
      <c r="C2636" s="71"/>
      <c r="D2636" s="81"/>
      <c r="E2636" s="71"/>
      <c r="F2636" s="71"/>
      <c r="G2636" s="82" t="str">
        <f aca="false">IF(C2636="","",IFERROR(INDEX('Kit Lists'!$D$6:$D$605,MATCH(B2636&amp;"|"&amp;C2636,'Kit Lists'!$J$6:$J$605,0)),"Not on this contract's kit list"))</f>
        <v/>
      </c>
      <c r="H2636" s="83" t="str">
        <f aca="false">IF(AND(B2636="",C2636="",D2636=""),"",IF(B2636="","Missing contract",IF(C2636="","Missing code",IF(LEFT(G2636,3)="Not","Wrong code",IF(D2636="","Missing qty",IF(A2636="","Missing date",""))))))</f>
        <v/>
      </c>
      <c r="I2636" s="84" t="str">
        <f aca="false">IF(B2636=Dashboard!$D$3,ROW(),"")</f>
        <v/>
      </c>
    </row>
    <row r="2637" customFormat="false" ht="15" hidden="false" customHeight="false" outlineLevel="0" collapsed="false">
      <c r="A2637" s="80"/>
      <c r="B2637" s="71"/>
      <c r="C2637" s="71"/>
      <c r="D2637" s="81"/>
      <c r="E2637" s="71"/>
      <c r="F2637" s="71"/>
      <c r="G2637" s="82" t="str">
        <f aca="false">IF(C2637="","",IFERROR(INDEX('Kit Lists'!$D$6:$D$605,MATCH(B2637&amp;"|"&amp;C2637,'Kit Lists'!$J$6:$J$605,0)),"Not on this contract's kit list"))</f>
        <v/>
      </c>
      <c r="H2637" s="83" t="str">
        <f aca="false">IF(AND(B2637="",C2637="",D2637=""),"",IF(B2637="","Missing contract",IF(C2637="","Missing code",IF(LEFT(G2637,3)="Not","Wrong code",IF(D2637="","Missing qty",IF(A2637="","Missing date",""))))))</f>
        <v/>
      </c>
      <c r="I2637" s="84" t="str">
        <f aca="false">IF(B2637=Dashboard!$D$3,ROW(),"")</f>
        <v/>
      </c>
    </row>
    <row r="2638" customFormat="false" ht="15" hidden="false" customHeight="false" outlineLevel="0" collapsed="false">
      <c r="A2638" s="80"/>
      <c r="B2638" s="71"/>
      <c r="C2638" s="71"/>
      <c r="D2638" s="81"/>
      <c r="E2638" s="71"/>
      <c r="F2638" s="71"/>
      <c r="G2638" s="82" t="str">
        <f aca="false">IF(C2638="","",IFERROR(INDEX('Kit Lists'!$D$6:$D$605,MATCH(B2638&amp;"|"&amp;C2638,'Kit Lists'!$J$6:$J$605,0)),"Not on this contract's kit list"))</f>
        <v/>
      </c>
      <c r="H2638" s="83" t="str">
        <f aca="false">IF(AND(B2638="",C2638="",D2638=""),"",IF(B2638="","Missing contract",IF(C2638="","Missing code",IF(LEFT(G2638,3)="Not","Wrong code",IF(D2638="","Missing qty",IF(A2638="","Missing date",""))))))</f>
        <v/>
      </c>
      <c r="I2638" s="84" t="str">
        <f aca="false">IF(B2638=Dashboard!$D$3,ROW(),"")</f>
        <v/>
      </c>
    </row>
    <row r="2639" customFormat="false" ht="15" hidden="false" customHeight="false" outlineLevel="0" collapsed="false">
      <c r="A2639" s="80"/>
      <c r="B2639" s="71"/>
      <c r="C2639" s="71"/>
      <c r="D2639" s="81"/>
      <c r="E2639" s="71"/>
      <c r="F2639" s="71"/>
      <c r="G2639" s="82" t="str">
        <f aca="false">IF(C2639="","",IFERROR(INDEX('Kit Lists'!$D$6:$D$605,MATCH(B2639&amp;"|"&amp;C2639,'Kit Lists'!$J$6:$J$605,0)),"Not on this contract's kit list"))</f>
        <v/>
      </c>
      <c r="H2639" s="83" t="str">
        <f aca="false">IF(AND(B2639="",C2639="",D2639=""),"",IF(B2639="","Missing contract",IF(C2639="","Missing code",IF(LEFT(G2639,3)="Not","Wrong code",IF(D2639="","Missing qty",IF(A2639="","Missing date",""))))))</f>
        <v/>
      </c>
      <c r="I2639" s="84" t="str">
        <f aca="false">IF(B2639=Dashboard!$D$3,ROW(),"")</f>
        <v/>
      </c>
    </row>
    <row r="2640" customFormat="false" ht="15" hidden="false" customHeight="false" outlineLevel="0" collapsed="false">
      <c r="A2640" s="80"/>
      <c r="B2640" s="71"/>
      <c r="C2640" s="71"/>
      <c r="D2640" s="81"/>
      <c r="E2640" s="71"/>
      <c r="F2640" s="71"/>
      <c r="G2640" s="82" t="str">
        <f aca="false">IF(C2640="","",IFERROR(INDEX('Kit Lists'!$D$6:$D$605,MATCH(B2640&amp;"|"&amp;C2640,'Kit Lists'!$J$6:$J$605,0)),"Not on this contract's kit list"))</f>
        <v/>
      </c>
      <c r="H2640" s="83" t="str">
        <f aca="false">IF(AND(B2640="",C2640="",D2640=""),"",IF(B2640="","Missing contract",IF(C2640="","Missing code",IF(LEFT(G2640,3)="Not","Wrong code",IF(D2640="","Missing qty",IF(A2640="","Missing date",""))))))</f>
        <v/>
      </c>
      <c r="I2640" s="84" t="str">
        <f aca="false">IF(B2640=Dashboard!$D$3,ROW(),"")</f>
        <v/>
      </c>
    </row>
    <row r="2641" customFormat="false" ht="15" hidden="false" customHeight="false" outlineLevel="0" collapsed="false">
      <c r="A2641" s="80"/>
      <c r="B2641" s="71"/>
      <c r="C2641" s="71"/>
      <c r="D2641" s="81"/>
      <c r="E2641" s="71"/>
      <c r="F2641" s="71"/>
      <c r="G2641" s="82" t="str">
        <f aca="false">IF(C2641="","",IFERROR(INDEX('Kit Lists'!$D$6:$D$605,MATCH(B2641&amp;"|"&amp;C2641,'Kit Lists'!$J$6:$J$605,0)),"Not on this contract's kit list"))</f>
        <v/>
      </c>
      <c r="H2641" s="83" t="str">
        <f aca="false">IF(AND(B2641="",C2641="",D2641=""),"",IF(B2641="","Missing contract",IF(C2641="","Missing code",IF(LEFT(G2641,3)="Not","Wrong code",IF(D2641="","Missing qty",IF(A2641="","Missing date",""))))))</f>
        <v/>
      </c>
      <c r="I2641" s="84" t="str">
        <f aca="false">IF(B2641=Dashboard!$D$3,ROW(),"")</f>
        <v/>
      </c>
    </row>
    <row r="2642" customFormat="false" ht="15" hidden="false" customHeight="false" outlineLevel="0" collapsed="false">
      <c r="A2642" s="80"/>
      <c r="B2642" s="71"/>
      <c r="C2642" s="71"/>
      <c r="D2642" s="81"/>
      <c r="E2642" s="71"/>
      <c r="F2642" s="71"/>
      <c r="G2642" s="82" t="str">
        <f aca="false">IF(C2642="","",IFERROR(INDEX('Kit Lists'!$D$6:$D$605,MATCH(B2642&amp;"|"&amp;C2642,'Kit Lists'!$J$6:$J$605,0)),"Not on this contract's kit list"))</f>
        <v/>
      </c>
      <c r="H2642" s="83" t="str">
        <f aca="false">IF(AND(B2642="",C2642="",D2642=""),"",IF(B2642="","Missing contract",IF(C2642="","Missing code",IF(LEFT(G2642,3)="Not","Wrong code",IF(D2642="","Missing qty",IF(A2642="","Missing date",""))))))</f>
        <v/>
      </c>
      <c r="I2642" s="84" t="str">
        <f aca="false">IF(B2642=Dashboard!$D$3,ROW(),"")</f>
        <v/>
      </c>
    </row>
    <row r="2643" customFormat="false" ht="15" hidden="false" customHeight="false" outlineLevel="0" collapsed="false">
      <c r="A2643" s="80"/>
      <c r="B2643" s="71"/>
      <c r="C2643" s="71"/>
      <c r="D2643" s="81"/>
      <c r="E2643" s="71"/>
      <c r="F2643" s="71"/>
      <c r="G2643" s="82" t="str">
        <f aca="false">IF(C2643="","",IFERROR(INDEX('Kit Lists'!$D$6:$D$605,MATCH(B2643&amp;"|"&amp;C2643,'Kit Lists'!$J$6:$J$605,0)),"Not on this contract's kit list"))</f>
        <v/>
      </c>
      <c r="H2643" s="83" t="str">
        <f aca="false">IF(AND(B2643="",C2643="",D2643=""),"",IF(B2643="","Missing contract",IF(C2643="","Missing code",IF(LEFT(G2643,3)="Not","Wrong code",IF(D2643="","Missing qty",IF(A2643="","Missing date",""))))))</f>
        <v/>
      </c>
      <c r="I2643" s="84" t="str">
        <f aca="false">IF(B2643=Dashboard!$D$3,ROW(),"")</f>
        <v/>
      </c>
    </row>
    <row r="2644" customFormat="false" ht="15" hidden="false" customHeight="false" outlineLevel="0" collapsed="false">
      <c r="A2644" s="80"/>
      <c r="B2644" s="71"/>
      <c r="C2644" s="71"/>
      <c r="D2644" s="81"/>
      <c r="E2644" s="71"/>
      <c r="F2644" s="71"/>
      <c r="G2644" s="82" t="str">
        <f aca="false">IF(C2644="","",IFERROR(INDEX('Kit Lists'!$D$6:$D$605,MATCH(B2644&amp;"|"&amp;C2644,'Kit Lists'!$J$6:$J$605,0)),"Not on this contract's kit list"))</f>
        <v/>
      </c>
      <c r="H2644" s="83" t="str">
        <f aca="false">IF(AND(B2644="",C2644="",D2644=""),"",IF(B2644="","Missing contract",IF(C2644="","Missing code",IF(LEFT(G2644,3)="Not","Wrong code",IF(D2644="","Missing qty",IF(A2644="","Missing date",""))))))</f>
        <v/>
      </c>
      <c r="I2644" s="84" t="str">
        <f aca="false">IF(B2644=Dashboard!$D$3,ROW(),"")</f>
        <v/>
      </c>
    </row>
    <row r="2645" customFormat="false" ht="15" hidden="false" customHeight="false" outlineLevel="0" collapsed="false">
      <c r="A2645" s="80"/>
      <c r="B2645" s="71"/>
      <c r="C2645" s="71"/>
      <c r="D2645" s="81"/>
      <c r="E2645" s="71"/>
      <c r="F2645" s="71"/>
      <c r="G2645" s="82" t="str">
        <f aca="false">IF(C2645="","",IFERROR(INDEX('Kit Lists'!$D$6:$D$605,MATCH(B2645&amp;"|"&amp;C2645,'Kit Lists'!$J$6:$J$605,0)),"Not on this contract's kit list"))</f>
        <v/>
      </c>
      <c r="H2645" s="83" t="str">
        <f aca="false">IF(AND(B2645="",C2645="",D2645=""),"",IF(B2645="","Missing contract",IF(C2645="","Missing code",IF(LEFT(G2645,3)="Not","Wrong code",IF(D2645="","Missing qty",IF(A2645="","Missing date",""))))))</f>
        <v/>
      </c>
      <c r="I2645" s="84" t="str">
        <f aca="false">IF(B2645=Dashboard!$D$3,ROW(),"")</f>
        <v/>
      </c>
    </row>
    <row r="2646" customFormat="false" ht="15" hidden="false" customHeight="false" outlineLevel="0" collapsed="false">
      <c r="A2646" s="80"/>
      <c r="B2646" s="71"/>
      <c r="C2646" s="71"/>
      <c r="D2646" s="81"/>
      <c r="E2646" s="71"/>
      <c r="F2646" s="71"/>
      <c r="G2646" s="82" t="str">
        <f aca="false">IF(C2646="","",IFERROR(INDEX('Kit Lists'!$D$6:$D$605,MATCH(B2646&amp;"|"&amp;C2646,'Kit Lists'!$J$6:$J$605,0)),"Not on this contract's kit list"))</f>
        <v/>
      </c>
      <c r="H2646" s="83" t="str">
        <f aca="false">IF(AND(B2646="",C2646="",D2646=""),"",IF(B2646="","Missing contract",IF(C2646="","Missing code",IF(LEFT(G2646,3)="Not","Wrong code",IF(D2646="","Missing qty",IF(A2646="","Missing date",""))))))</f>
        <v/>
      </c>
      <c r="I2646" s="84" t="str">
        <f aca="false">IF(B2646=Dashboard!$D$3,ROW(),"")</f>
        <v/>
      </c>
    </row>
    <row r="2647" customFormat="false" ht="15" hidden="false" customHeight="false" outlineLevel="0" collapsed="false">
      <c r="A2647" s="80"/>
      <c r="B2647" s="71"/>
      <c r="C2647" s="71"/>
      <c r="D2647" s="81"/>
      <c r="E2647" s="71"/>
      <c r="F2647" s="71"/>
      <c r="G2647" s="82" t="str">
        <f aca="false">IF(C2647="","",IFERROR(INDEX('Kit Lists'!$D$6:$D$605,MATCH(B2647&amp;"|"&amp;C2647,'Kit Lists'!$J$6:$J$605,0)),"Not on this contract's kit list"))</f>
        <v/>
      </c>
      <c r="H2647" s="83" t="str">
        <f aca="false">IF(AND(B2647="",C2647="",D2647=""),"",IF(B2647="","Missing contract",IF(C2647="","Missing code",IF(LEFT(G2647,3)="Not","Wrong code",IF(D2647="","Missing qty",IF(A2647="","Missing date",""))))))</f>
        <v/>
      </c>
      <c r="I2647" s="84" t="str">
        <f aca="false">IF(B2647=Dashboard!$D$3,ROW(),"")</f>
        <v/>
      </c>
    </row>
    <row r="2648" customFormat="false" ht="15" hidden="false" customHeight="false" outlineLevel="0" collapsed="false">
      <c r="A2648" s="80"/>
      <c r="B2648" s="71"/>
      <c r="C2648" s="71"/>
      <c r="D2648" s="81"/>
      <c r="E2648" s="71"/>
      <c r="F2648" s="71"/>
      <c r="G2648" s="82" t="str">
        <f aca="false">IF(C2648="","",IFERROR(INDEX('Kit Lists'!$D$6:$D$605,MATCH(B2648&amp;"|"&amp;C2648,'Kit Lists'!$J$6:$J$605,0)),"Not on this contract's kit list"))</f>
        <v/>
      </c>
      <c r="H2648" s="83" t="str">
        <f aca="false">IF(AND(B2648="",C2648="",D2648=""),"",IF(B2648="","Missing contract",IF(C2648="","Missing code",IF(LEFT(G2648,3)="Not","Wrong code",IF(D2648="","Missing qty",IF(A2648="","Missing date",""))))))</f>
        <v/>
      </c>
      <c r="I2648" s="84" t="str">
        <f aca="false">IF(B2648=Dashboard!$D$3,ROW(),"")</f>
        <v/>
      </c>
    </row>
    <row r="2649" customFormat="false" ht="15" hidden="false" customHeight="false" outlineLevel="0" collapsed="false">
      <c r="A2649" s="80"/>
      <c r="B2649" s="71"/>
      <c r="C2649" s="71"/>
      <c r="D2649" s="81"/>
      <c r="E2649" s="71"/>
      <c r="F2649" s="71"/>
      <c r="G2649" s="82" t="str">
        <f aca="false">IF(C2649="","",IFERROR(INDEX('Kit Lists'!$D$6:$D$605,MATCH(B2649&amp;"|"&amp;C2649,'Kit Lists'!$J$6:$J$605,0)),"Not on this contract's kit list"))</f>
        <v/>
      </c>
      <c r="H2649" s="83" t="str">
        <f aca="false">IF(AND(B2649="",C2649="",D2649=""),"",IF(B2649="","Missing contract",IF(C2649="","Missing code",IF(LEFT(G2649,3)="Not","Wrong code",IF(D2649="","Missing qty",IF(A2649="","Missing date",""))))))</f>
        <v/>
      </c>
      <c r="I2649" s="84" t="str">
        <f aca="false">IF(B2649=Dashboard!$D$3,ROW(),"")</f>
        <v/>
      </c>
    </row>
    <row r="2650" customFormat="false" ht="15" hidden="false" customHeight="false" outlineLevel="0" collapsed="false">
      <c r="A2650" s="80"/>
      <c r="B2650" s="71"/>
      <c r="C2650" s="71"/>
      <c r="D2650" s="81"/>
      <c r="E2650" s="71"/>
      <c r="F2650" s="71"/>
      <c r="G2650" s="82" t="str">
        <f aca="false">IF(C2650="","",IFERROR(INDEX('Kit Lists'!$D$6:$D$605,MATCH(B2650&amp;"|"&amp;C2650,'Kit Lists'!$J$6:$J$605,0)),"Not on this contract's kit list"))</f>
        <v/>
      </c>
      <c r="H2650" s="83" t="str">
        <f aca="false">IF(AND(B2650="",C2650="",D2650=""),"",IF(B2650="","Missing contract",IF(C2650="","Missing code",IF(LEFT(G2650,3)="Not","Wrong code",IF(D2650="","Missing qty",IF(A2650="","Missing date",""))))))</f>
        <v/>
      </c>
      <c r="I2650" s="84" t="str">
        <f aca="false">IF(B2650=Dashboard!$D$3,ROW(),"")</f>
        <v/>
      </c>
    </row>
    <row r="2651" customFormat="false" ht="15" hidden="false" customHeight="false" outlineLevel="0" collapsed="false">
      <c r="A2651" s="80"/>
      <c r="B2651" s="71"/>
      <c r="C2651" s="71"/>
      <c r="D2651" s="81"/>
      <c r="E2651" s="71"/>
      <c r="F2651" s="71"/>
      <c r="G2651" s="82" t="str">
        <f aca="false">IF(C2651="","",IFERROR(INDEX('Kit Lists'!$D$6:$D$605,MATCH(B2651&amp;"|"&amp;C2651,'Kit Lists'!$J$6:$J$605,0)),"Not on this contract's kit list"))</f>
        <v/>
      </c>
      <c r="H2651" s="83" t="str">
        <f aca="false">IF(AND(B2651="",C2651="",D2651=""),"",IF(B2651="","Missing contract",IF(C2651="","Missing code",IF(LEFT(G2651,3)="Not","Wrong code",IF(D2651="","Missing qty",IF(A2651="","Missing date",""))))))</f>
        <v/>
      </c>
      <c r="I2651" s="84" t="str">
        <f aca="false">IF(B2651=Dashboard!$D$3,ROW(),"")</f>
        <v/>
      </c>
    </row>
    <row r="2652" customFormat="false" ht="15" hidden="false" customHeight="false" outlineLevel="0" collapsed="false">
      <c r="A2652" s="80"/>
      <c r="B2652" s="71"/>
      <c r="C2652" s="71"/>
      <c r="D2652" s="81"/>
      <c r="E2652" s="71"/>
      <c r="F2652" s="71"/>
      <c r="G2652" s="82" t="str">
        <f aca="false">IF(C2652="","",IFERROR(INDEX('Kit Lists'!$D$6:$D$605,MATCH(B2652&amp;"|"&amp;C2652,'Kit Lists'!$J$6:$J$605,0)),"Not on this contract's kit list"))</f>
        <v/>
      </c>
      <c r="H2652" s="83" t="str">
        <f aca="false">IF(AND(B2652="",C2652="",D2652=""),"",IF(B2652="","Missing contract",IF(C2652="","Missing code",IF(LEFT(G2652,3)="Not","Wrong code",IF(D2652="","Missing qty",IF(A2652="","Missing date",""))))))</f>
        <v/>
      </c>
      <c r="I2652" s="84" t="str">
        <f aca="false">IF(B2652=Dashboard!$D$3,ROW(),"")</f>
        <v/>
      </c>
    </row>
    <row r="2653" customFormat="false" ht="15" hidden="false" customHeight="false" outlineLevel="0" collapsed="false">
      <c r="A2653" s="80"/>
      <c r="B2653" s="71"/>
      <c r="C2653" s="71"/>
      <c r="D2653" s="81"/>
      <c r="E2653" s="71"/>
      <c r="F2653" s="71"/>
      <c r="G2653" s="82" t="str">
        <f aca="false">IF(C2653="","",IFERROR(INDEX('Kit Lists'!$D$6:$D$605,MATCH(B2653&amp;"|"&amp;C2653,'Kit Lists'!$J$6:$J$605,0)),"Not on this contract's kit list"))</f>
        <v/>
      </c>
      <c r="H2653" s="83" t="str">
        <f aca="false">IF(AND(B2653="",C2653="",D2653=""),"",IF(B2653="","Missing contract",IF(C2653="","Missing code",IF(LEFT(G2653,3)="Not","Wrong code",IF(D2653="","Missing qty",IF(A2653="","Missing date",""))))))</f>
        <v/>
      </c>
      <c r="I2653" s="84" t="str">
        <f aca="false">IF(B2653=Dashboard!$D$3,ROW(),"")</f>
        <v/>
      </c>
    </row>
    <row r="2654" customFormat="false" ht="15" hidden="false" customHeight="false" outlineLevel="0" collapsed="false">
      <c r="A2654" s="80"/>
      <c r="B2654" s="71"/>
      <c r="C2654" s="71"/>
      <c r="D2654" s="81"/>
      <c r="E2654" s="71"/>
      <c r="F2654" s="71"/>
      <c r="G2654" s="82" t="str">
        <f aca="false">IF(C2654="","",IFERROR(INDEX('Kit Lists'!$D$6:$D$605,MATCH(B2654&amp;"|"&amp;C2654,'Kit Lists'!$J$6:$J$605,0)),"Not on this contract's kit list"))</f>
        <v/>
      </c>
      <c r="H2654" s="83" t="str">
        <f aca="false">IF(AND(B2654="",C2654="",D2654=""),"",IF(B2654="","Missing contract",IF(C2654="","Missing code",IF(LEFT(G2654,3)="Not","Wrong code",IF(D2654="","Missing qty",IF(A2654="","Missing date",""))))))</f>
        <v/>
      </c>
      <c r="I2654" s="84" t="str">
        <f aca="false">IF(B2654=Dashboard!$D$3,ROW(),"")</f>
        <v/>
      </c>
    </row>
    <row r="2655" customFormat="false" ht="15" hidden="false" customHeight="false" outlineLevel="0" collapsed="false">
      <c r="A2655" s="80"/>
      <c r="B2655" s="71"/>
      <c r="C2655" s="71"/>
      <c r="D2655" s="81"/>
      <c r="E2655" s="71"/>
      <c r="F2655" s="71"/>
      <c r="G2655" s="82" t="str">
        <f aca="false">IF(C2655="","",IFERROR(INDEX('Kit Lists'!$D$6:$D$605,MATCH(B2655&amp;"|"&amp;C2655,'Kit Lists'!$J$6:$J$605,0)),"Not on this contract's kit list"))</f>
        <v/>
      </c>
      <c r="H2655" s="83" t="str">
        <f aca="false">IF(AND(B2655="",C2655="",D2655=""),"",IF(B2655="","Missing contract",IF(C2655="","Missing code",IF(LEFT(G2655,3)="Not","Wrong code",IF(D2655="","Missing qty",IF(A2655="","Missing date",""))))))</f>
        <v/>
      </c>
      <c r="I2655" s="84" t="str">
        <f aca="false">IF(B2655=Dashboard!$D$3,ROW(),"")</f>
        <v/>
      </c>
    </row>
    <row r="2656" customFormat="false" ht="15" hidden="false" customHeight="false" outlineLevel="0" collapsed="false">
      <c r="A2656" s="80"/>
      <c r="B2656" s="71"/>
      <c r="C2656" s="71"/>
      <c r="D2656" s="81"/>
      <c r="E2656" s="71"/>
      <c r="F2656" s="71"/>
      <c r="G2656" s="82" t="str">
        <f aca="false">IF(C2656="","",IFERROR(INDEX('Kit Lists'!$D$6:$D$605,MATCH(B2656&amp;"|"&amp;C2656,'Kit Lists'!$J$6:$J$605,0)),"Not on this contract's kit list"))</f>
        <v/>
      </c>
      <c r="H2656" s="83" t="str">
        <f aca="false">IF(AND(B2656="",C2656="",D2656=""),"",IF(B2656="","Missing contract",IF(C2656="","Missing code",IF(LEFT(G2656,3)="Not","Wrong code",IF(D2656="","Missing qty",IF(A2656="","Missing date",""))))))</f>
        <v/>
      </c>
      <c r="I2656" s="84" t="str">
        <f aca="false">IF(B2656=Dashboard!$D$3,ROW(),"")</f>
        <v/>
      </c>
    </row>
    <row r="2657" customFormat="false" ht="15" hidden="false" customHeight="false" outlineLevel="0" collapsed="false">
      <c r="A2657" s="80"/>
      <c r="B2657" s="71"/>
      <c r="C2657" s="71"/>
      <c r="D2657" s="81"/>
      <c r="E2657" s="71"/>
      <c r="F2657" s="71"/>
      <c r="G2657" s="82" t="str">
        <f aca="false">IF(C2657="","",IFERROR(INDEX('Kit Lists'!$D$6:$D$605,MATCH(B2657&amp;"|"&amp;C2657,'Kit Lists'!$J$6:$J$605,0)),"Not on this contract's kit list"))</f>
        <v/>
      </c>
      <c r="H2657" s="83" t="str">
        <f aca="false">IF(AND(B2657="",C2657="",D2657=""),"",IF(B2657="","Missing contract",IF(C2657="","Missing code",IF(LEFT(G2657,3)="Not","Wrong code",IF(D2657="","Missing qty",IF(A2657="","Missing date",""))))))</f>
        <v/>
      </c>
      <c r="I2657" s="84" t="str">
        <f aca="false">IF(B2657=Dashboard!$D$3,ROW(),"")</f>
        <v/>
      </c>
    </row>
    <row r="2658" customFormat="false" ht="15" hidden="false" customHeight="false" outlineLevel="0" collapsed="false">
      <c r="A2658" s="80"/>
      <c r="B2658" s="71"/>
      <c r="C2658" s="71"/>
      <c r="D2658" s="81"/>
      <c r="E2658" s="71"/>
      <c r="F2658" s="71"/>
      <c r="G2658" s="82" t="str">
        <f aca="false">IF(C2658="","",IFERROR(INDEX('Kit Lists'!$D$6:$D$605,MATCH(B2658&amp;"|"&amp;C2658,'Kit Lists'!$J$6:$J$605,0)),"Not on this contract's kit list"))</f>
        <v/>
      </c>
      <c r="H2658" s="83" t="str">
        <f aca="false">IF(AND(B2658="",C2658="",D2658=""),"",IF(B2658="","Missing contract",IF(C2658="","Missing code",IF(LEFT(G2658,3)="Not","Wrong code",IF(D2658="","Missing qty",IF(A2658="","Missing date",""))))))</f>
        <v/>
      </c>
      <c r="I2658" s="84" t="str">
        <f aca="false">IF(B2658=Dashboard!$D$3,ROW(),"")</f>
        <v/>
      </c>
    </row>
    <row r="2659" customFormat="false" ht="15" hidden="false" customHeight="false" outlineLevel="0" collapsed="false">
      <c r="A2659" s="80"/>
      <c r="B2659" s="71"/>
      <c r="C2659" s="71"/>
      <c r="D2659" s="81"/>
      <c r="E2659" s="71"/>
      <c r="F2659" s="71"/>
      <c r="G2659" s="82" t="str">
        <f aca="false">IF(C2659="","",IFERROR(INDEX('Kit Lists'!$D$6:$D$605,MATCH(B2659&amp;"|"&amp;C2659,'Kit Lists'!$J$6:$J$605,0)),"Not on this contract's kit list"))</f>
        <v/>
      </c>
      <c r="H2659" s="83" t="str">
        <f aca="false">IF(AND(B2659="",C2659="",D2659=""),"",IF(B2659="","Missing contract",IF(C2659="","Missing code",IF(LEFT(G2659,3)="Not","Wrong code",IF(D2659="","Missing qty",IF(A2659="","Missing date",""))))))</f>
        <v/>
      </c>
      <c r="I2659" s="84" t="str">
        <f aca="false">IF(B2659=Dashboard!$D$3,ROW(),"")</f>
        <v/>
      </c>
    </row>
    <row r="2660" customFormat="false" ht="15" hidden="false" customHeight="false" outlineLevel="0" collapsed="false">
      <c r="A2660" s="80"/>
      <c r="B2660" s="71"/>
      <c r="C2660" s="71"/>
      <c r="D2660" s="81"/>
      <c r="E2660" s="71"/>
      <c r="F2660" s="71"/>
      <c r="G2660" s="82" t="str">
        <f aca="false">IF(C2660="","",IFERROR(INDEX('Kit Lists'!$D$6:$D$605,MATCH(B2660&amp;"|"&amp;C2660,'Kit Lists'!$J$6:$J$605,0)),"Not on this contract's kit list"))</f>
        <v/>
      </c>
      <c r="H2660" s="83" t="str">
        <f aca="false">IF(AND(B2660="",C2660="",D2660=""),"",IF(B2660="","Missing contract",IF(C2660="","Missing code",IF(LEFT(G2660,3)="Not","Wrong code",IF(D2660="","Missing qty",IF(A2660="","Missing date",""))))))</f>
        <v/>
      </c>
      <c r="I2660" s="84" t="str">
        <f aca="false">IF(B2660=Dashboard!$D$3,ROW(),"")</f>
        <v/>
      </c>
    </row>
    <row r="2661" customFormat="false" ht="15" hidden="false" customHeight="false" outlineLevel="0" collapsed="false">
      <c r="A2661" s="80"/>
      <c r="B2661" s="71"/>
      <c r="C2661" s="71"/>
      <c r="D2661" s="81"/>
      <c r="E2661" s="71"/>
      <c r="F2661" s="71"/>
      <c r="G2661" s="82" t="str">
        <f aca="false">IF(C2661="","",IFERROR(INDEX('Kit Lists'!$D$6:$D$605,MATCH(B2661&amp;"|"&amp;C2661,'Kit Lists'!$J$6:$J$605,0)),"Not on this contract's kit list"))</f>
        <v/>
      </c>
      <c r="H2661" s="83" t="str">
        <f aca="false">IF(AND(B2661="",C2661="",D2661=""),"",IF(B2661="","Missing contract",IF(C2661="","Missing code",IF(LEFT(G2661,3)="Not","Wrong code",IF(D2661="","Missing qty",IF(A2661="","Missing date",""))))))</f>
        <v/>
      </c>
      <c r="I2661" s="84" t="str">
        <f aca="false">IF(B2661=Dashboard!$D$3,ROW(),"")</f>
        <v/>
      </c>
    </row>
    <row r="2662" customFormat="false" ht="15" hidden="false" customHeight="false" outlineLevel="0" collapsed="false">
      <c r="A2662" s="80"/>
      <c r="B2662" s="71"/>
      <c r="C2662" s="71"/>
      <c r="D2662" s="81"/>
      <c r="E2662" s="71"/>
      <c r="F2662" s="71"/>
      <c r="G2662" s="82" t="str">
        <f aca="false">IF(C2662="","",IFERROR(INDEX('Kit Lists'!$D$6:$D$605,MATCH(B2662&amp;"|"&amp;C2662,'Kit Lists'!$J$6:$J$605,0)),"Not on this contract's kit list"))</f>
        <v/>
      </c>
      <c r="H2662" s="83" t="str">
        <f aca="false">IF(AND(B2662="",C2662="",D2662=""),"",IF(B2662="","Missing contract",IF(C2662="","Missing code",IF(LEFT(G2662,3)="Not","Wrong code",IF(D2662="","Missing qty",IF(A2662="","Missing date",""))))))</f>
        <v/>
      </c>
      <c r="I2662" s="84" t="str">
        <f aca="false">IF(B2662=Dashboard!$D$3,ROW(),"")</f>
        <v/>
      </c>
    </row>
    <row r="2663" customFormat="false" ht="15" hidden="false" customHeight="false" outlineLevel="0" collapsed="false">
      <c r="A2663" s="80"/>
      <c r="B2663" s="71"/>
      <c r="C2663" s="71"/>
      <c r="D2663" s="81"/>
      <c r="E2663" s="71"/>
      <c r="F2663" s="71"/>
      <c r="G2663" s="82" t="str">
        <f aca="false">IF(C2663="","",IFERROR(INDEX('Kit Lists'!$D$6:$D$605,MATCH(B2663&amp;"|"&amp;C2663,'Kit Lists'!$J$6:$J$605,0)),"Not on this contract's kit list"))</f>
        <v/>
      </c>
      <c r="H2663" s="83" t="str">
        <f aca="false">IF(AND(B2663="",C2663="",D2663=""),"",IF(B2663="","Missing contract",IF(C2663="","Missing code",IF(LEFT(G2663,3)="Not","Wrong code",IF(D2663="","Missing qty",IF(A2663="","Missing date",""))))))</f>
        <v/>
      </c>
      <c r="I2663" s="84" t="str">
        <f aca="false">IF(B2663=Dashboard!$D$3,ROW(),"")</f>
        <v/>
      </c>
    </row>
    <row r="2664" customFormat="false" ht="15" hidden="false" customHeight="false" outlineLevel="0" collapsed="false">
      <c r="A2664" s="80"/>
      <c r="B2664" s="71"/>
      <c r="C2664" s="71"/>
      <c r="D2664" s="81"/>
      <c r="E2664" s="71"/>
      <c r="F2664" s="71"/>
      <c r="G2664" s="82" t="str">
        <f aca="false">IF(C2664="","",IFERROR(INDEX('Kit Lists'!$D$6:$D$605,MATCH(B2664&amp;"|"&amp;C2664,'Kit Lists'!$J$6:$J$605,0)),"Not on this contract's kit list"))</f>
        <v/>
      </c>
      <c r="H2664" s="83" t="str">
        <f aca="false">IF(AND(B2664="",C2664="",D2664=""),"",IF(B2664="","Missing contract",IF(C2664="","Missing code",IF(LEFT(G2664,3)="Not","Wrong code",IF(D2664="","Missing qty",IF(A2664="","Missing date",""))))))</f>
        <v/>
      </c>
      <c r="I2664" s="84" t="str">
        <f aca="false">IF(B2664=Dashboard!$D$3,ROW(),"")</f>
        <v/>
      </c>
    </row>
    <row r="2665" customFormat="false" ht="15" hidden="false" customHeight="false" outlineLevel="0" collapsed="false">
      <c r="A2665" s="80"/>
      <c r="B2665" s="71"/>
      <c r="C2665" s="71"/>
      <c r="D2665" s="81"/>
      <c r="E2665" s="71"/>
      <c r="F2665" s="71"/>
      <c r="G2665" s="82" t="str">
        <f aca="false">IF(C2665="","",IFERROR(INDEX('Kit Lists'!$D$6:$D$605,MATCH(B2665&amp;"|"&amp;C2665,'Kit Lists'!$J$6:$J$605,0)),"Not on this contract's kit list"))</f>
        <v/>
      </c>
      <c r="H2665" s="83" t="str">
        <f aca="false">IF(AND(B2665="",C2665="",D2665=""),"",IF(B2665="","Missing contract",IF(C2665="","Missing code",IF(LEFT(G2665,3)="Not","Wrong code",IF(D2665="","Missing qty",IF(A2665="","Missing date",""))))))</f>
        <v/>
      </c>
      <c r="I2665" s="84" t="str">
        <f aca="false">IF(B2665=Dashboard!$D$3,ROW(),"")</f>
        <v/>
      </c>
    </row>
    <row r="2666" customFormat="false" ht="15" hidden="false" customHeight="false" outlineLevel="0" collapsed="false">
      <c r="A2666" s="80"/>
      <c r="B2666" s="71"/>
      <c r="C2666" s="71"/>
      <c r="D2666" s="81"/>
      <c r="E2666" s="71"/>
      <c r="F2666" s="71"/>
      <c r="G2666" s="82" t="str">
        <f aca="false">IF(C2666="","",IFERROR(INDEX('Kit Lists'!$D$6:$D$605,MATCH(B2666&amp;"|"&amp;C2666,'Kit Lists'!$J$6:$J$605,0)),"Not on this contract's kit list"))</f>
        <v/>
      </c>
      <c r="H2666" s="83" t="str">
        <f aca="false">IF(AND(B2666="",C2666="",D2666=""),"",IF(B2666="","Missing contract",IF(C2666="","Missing code",IF(LEFT(G2666,3)="Not","Wrong code",IF(D2666="","Missing qty",IF(A2666="","Missing date",""))))))</f>
        <v/>
      </c>
      <c r="I2666" s="84" t="str">
        <f aca="false">IF(B2666=Dashboard!$D$3,ROW(),"")</f>
        <v/>
      </c>
    </row>
    <row r="2667" customFormat="false" ht="15" hidden="false" customHeight="false" outlineLevel="0" collapsed="false">
      <c r="A2667" s="80"/>
      <c r="B2667" s="71"/>
      <c r="C2667" s="71"/>
      <c r="D2667" s="81"/>
      <c r="E2667" s="71"/>
      <c r="F2667" s="71"/>
      <c r="G2667" s="82" t="str">
        <f aca="false">IF(C2667="","",IFERROR(INDEX('Kit Lists'!$D$6:$D$605,MATCH(B2667&amp;"|"&amp;C2667,'Kit Lists'!$J$6:$J$605,0)),"Not on this contract's kit list"))</f>
        <v/>
      </c>
      <c r="H2667" s="83" t="str">
        <f aca="false">IF(AND(B2667="",C2667="",D2667=""),"",IF(B2667="","Missing contract",IF(C2667="","Missing code",IF(LEFT(G2667,3)="Not","Wrong code",IF(D2667="","Missing qty",IF(A2667="","Missing date",""))))))</f>
        <v/>
      </c>
      <c r="I2667" s="84" t="str">
        <f aca="false">IF(B2667=Dashboard!$D$3,ROW(),"")</f>
        <v/>
      </c>
    </row>
    <row r="2668" customFormat="false" ht="15" hidden="false" customHeight="false" outlineLevel="0" collapsed="false">
      <c r="A2668" s="80"/>
      <c r="B2668" s="71"/>
      <c r="C2668" s="71"/>
      <c r="D2668" s="81"/>
      <c r="E2668" s="71"/>
      <c r="F2668" s="71"/>
      <c r="G2668" s="82" t="str">
        <f aca="false">IF(C2668="","",IFERROR(INDEX('Kit Lists'!$D$6:$D$605,MATCH(B2668&amp;"|"&amp;C2668,'Kit Lists'!$J$6:$J$605,0)),"Not on this contract's kit list"))</f>
        <v/>
      </c>
      <c r="H2668" s="83" t="str">
        <f aca="false">IF(AND(B2668="",C2668="",D2668=""),"",IF(B2668="","Missing contract",IF(C2668="","Missing code",IF(LEFT(G2668,3)="Not","Wrong code",IF(D2668="","Missing qty",IF(A2668="","Missing date",""))))))</f>
        <v/>
      </c>
      <c r="I2668" s="84" t="str">
        <f aca="false">IF(B2668=Dashboard!$D$3,ROW(),"")</f>
        <v/>
      </c>
    </row>
    <row r="2669" customFormat="false" ht="15" hidden="false" customHeight="false" outlineLevel="0" collapsed="false">
      <c r="A2669" s="80"/>
      <c r="B2669" s="71"/>
      <c r="C2669" s="71"/>
      <c r="D2669" s="81"/>
      <c r="E2669" s="71"/>
      <c r="F2669" s="71"/>
      <c r="G2669" s="82" t="str">
        <f aca="false">IF(C2669="","",IFERROR(INDEX('Kit Lists'!$D$6:$D$605,MATCH(B2669&amp;"|"&amp;C2669,'Kit Lists'!$J$6:$J$605,0)),"Not on this contract's kit list"))</f>
        <v/>
      </c>
      <c r="H2669" s="83" t="str">
        <f aca="false">IF(AND(B2669="",C2669="",D2669=""),"",IF(B2669="","Missing contract",IF(C2669="","Missing code",IF(LEFT(G2669,3)="Not","Wrong code",IF(D2669="","Missing qty",IF(A2669="","Missing date",""))))))</f>
        <v/>
      </c>
      <c r="I2669" s="84" t="str">
        <f aca="false">IF(B2669=Dashboard!$D$3,ROW(),"")</f>
        <v/>
      </c>
    </row>
    <row r="2670" customFormat="false" ht="15" hidden="false" customHeight="false" outlineLevel="0" collapsed="false">
      <c r="A2670" s="80"/>
      <c r="B2670" s="71"/>
      <c r="C2670" s="71"/>
      <c r="D2670" s="81"/>
      <c r="E2670" s="71"/>
      <c r="F2670" s="71"/>
      <c r="G2670" s="82" t="str">
        <f aca="false">IF(C2670="","",IFERROR(INDEX('Kit Lists'!$D$6:$D$605,MATCH(B2670&amp;"|"&amp;C2670,'Kit Lists'!$J$6:$J$605,0)),"Not on this contract's kit list"))</f>
        <v/>
      </c>
      <c r="H2670" s="83" t="str">
        <f aca="false">IF(AND(B2670="",C2670="",D2670=""),"",IF(B2670="","Missing contract",IF(C2670="","Missing code",IF(LEFT(G2670,3)="Not","Wrong code",IF(D2670="","Missing qty",IF(A2670="","Missing date",""))))))</f>
        <v/>
      </c>
      <c r="I2670" s="84" t="str">
        <f aca="false">IF(B2670=Dashboard!$D$3,ROW(),"")</f>
        <v/>
      </c>
    </row>
    <row r="2671" customFormat="false" ht="15" hidden="false" customHeight="false" outlineLevel="0" collapsed="false">
      <c r="A2671" s="80"/>
      <c r="B2671" s="71"/>
      <c r="C2671" s="71"/>
      <c r="D2671" s="81"/>
      <c r="E2671" s="71"/>
      <c r="F2671" s="71"/>
      <c r="G2671" s="82" t="str">
        <f aca="false">IF(C2671="","",IFERROR(INDEX('Kit Lists'!$D$6:$D$605,MATCH(B2671&amp;"|"&amp;C2671,'Kit Lists'!$J$6:$J$605,0)),"Not on this contract's kit list"))</f>
        <v/>
      </c>
      <c r="H2671" s="83" t="str">
        <f aca="false">IF(AND(B2671="",C2671="",D2671=""),"",IF(B2671="","Missing contract",IF(C2671="","Missing code",IF(LEFT(G2671,3)="Not","Wrong code",IF(D2671="","Missing qty",IF(A2671="","Missing date",""))))))</f>
        <v/>
      </c>
      <c r="I2671" s="84" t="str">
        <f aca="false">IF(B2671=Dashboard!$D$3,ROW(),"")</f>
        <v/>
      </c>
    </row>
    <row r="2672" customFormat="false" ht="15" hidden="false" customHeight="false" outlineLevel="0" collapsed="false">
      <c r="A2672" s="80"/>
      <c r="B2672" s="71"/>
      <c r="C2672" s="71"/>
      <c r="D2672" s="81"/>
      <c r="E2672" s="71"/>
      <c r="F2672" s="71"/>
      <c r="G2672" s="82" t="str">
        <f aca="false">IF(C2672="","",IFERROR(INDEX('Kit Lists'!$D$6:$D$605,MATCH(B2672&amp;"|"&amp;C2672,'Kit Lists'!$J$6:$J$605,0)),"Not on this contract's kit list"))</f>
        <v/>
      </c>
      <c r="H2672" s="83" t="str">
        <f aca="false">IF(AND(B2672="",C2672="",D2672=""),"",IF(B2672="","Missing contract",IF(C2672="","Missing code",IF(LEFT(G2672,3)="Not","Wrong code",IF(D2672="","Missing qty",IF(A2672="","Missing date",""))))))</f>
        <v/>
      </c>
      <c r="I2672" s="84" t="str">
        <f aca="false">IF(B2672=Dashboard!$D$3,ROW(),"")</f>
        <v/>
      </c>
    </row>
    <row r="2673" customFormat="false" ht="15" hidden="false" customHeight="false" outlineLevel="0" collapsed="false">
      <c r="A2673" s="80"/>
      <c r="B2673" s="71"/>
      <c r="C2673" s="71"/>
      <c r="D2673" s="81"/>
      <c r="E2673" s="71"/>
      <c r="F2673" s="71"/>
      <c r="G2673" s="82" t="str">
        <f aca="false">IF(C2673="","",IFERROR(INDEX('Kit Lists'!$D$6:$D$605,MATCH(B2673&amp;"|"&amp;C2673,'Kit Lists'!$J$6:$J$605,0)),"Not on this contract's kit list"))</f>
        <v/>
      </c>
      <c r="H2673" s="83" t="str">
        <f aca="false">IF(AND(B2673="",C2673="",D2673=""),"",IF(B2673="","Missing contract",IF(C2673="","Missing code",IF(LEFT(G2673,3)="Not","Wrong code",IF(D2673="","Missing qty",IF(A2673="","Missing date",""))))))</f>
        <v/>
      </c>
      <c r="I2673" s="84" t="str">
        <f aca="false">IF(B2673=Dashboard!$D$3,ROW(),"")</f>
        <v/>
      </c>
    </row>
    <row r="2674" customFormat="false" ht="15" hidden="false" customHeight="false" outlineLevel="0" collapsed="false">
      <c r="A2674" s="80"/>
      <c r="B2674" s="71"/>
      <c r="C2674" s="71"/>
      <c r="D2674" s="81"/>
      <c r="E2674" s="71"/>
      <c r="F2674" s="71"/>
      <c r="G2674" s="82" t="str">
        <f aca="false">IF(C2674="","",IFERROR(INDEX('Kit Lists'!$D$6:$D$605,MATCH(B2674&amp;"|"&amp;C2674,'Kit Lists'!$J$6:$J$605,0)),"Not on this contract's kit list"))</f>
        <v/>
      </c>
      <c r="H2674" s="83" t="str">
        <f aca="false">IF(AND(B2674="",C2674="",D2674=""),"",IF(B2674="","Missing contract",IF(C2674="","Missing code",IF(LEFT(G2674,3)="Not","Wrong code",IF(D2674="","Missing qty",IF(A2674="","Missing date",""))))))</f>
        <v/>
      </c>
      <c r="I2674" s="84" t="str">
        <f aca="false">IF(B2674=Dashboard!$D$3,ROW(),"")</f>
        <v/>
      </c>
    </row>
    <row r="2675" customFormat="false" ht="15" hidden="false" customHeight="false" outlineLevel="0" collapsed="false">
      <c r="A2675" s="80"/>
      <c r="B2675" s="71"/>
      <c r="C2675" s="71"/>
      <c r="D2675" s="81"/>
      <c r="E2675" s="71"/>
      <c r="F2675" s="71"/>
      <c r="G2675" s="82" t="str">
        <f aca="false">IF(C2675="","",IFERROR(INDEX('Kit Lists'!$D$6:$D$605,MATCH(B2675&amp;"|"&amp;C2675,'Kit Lists'!$J$6:$J$605,0)),"Not on this contract's kit list"))</f>
        <v/>
      </c>
      <c r="H2675" s="83" t="str">
        <f aca="false">IF(AND(B2675="",C2675="",D2675=""),"",IF(B2675="","Missing contract",IF(C2675="","Missing code",IF(LEFT(G2675,3)="Not","Wrong code",IF(D2675="","Missing qty",IF(A2675="","Missing date",""))))))</f>
        <v/>
      </c>
      <c r="I2675" s="84" t="str">
        <f aca="false">IF(B2675=Dashboard!$D$3,ROW(),"")</f>
        <v/>
      </c>
    </row>
    <row r="2676" customFormat="false" ht="15" hidden="false" customHeight="false" outlineLevel="0" collapsed="false">
      <c r="A2676" s="80"/>
      <c r="B2676" s="71"/>
      <c r="C2676" s="71"/>
      <c r="D2676" s="81"/>
      <c r="E2676" s="71"/>
      <c r="F2676" s="71"/>
      <c r="G2676" s="82" t="str">
        <f aca="false">IF(C2676="","",IFERROR(INDEX('Kit Lists'!$D$6:$D$605,MATCH(B2676&amp;"|"&amp;C2676,'Kit Lists'!$J$6:$J$605,0)),"Not on this contract's kit list"))</f>
        <v/>
      </c>
      <c r="H2676" s="83" t="str">
        <f aca="false">IF(AND(B2676="",C2676="",D2676=""),"",IF(B2676="","Missing contract",IF(C2676="","Missing code",IF(LEFT(G2676,3)="Not","Wrong code",IF(D2676="","Missing qty",IF(A2676="","Missing date",""))))))</f>
        <v/>
      </c>
      <c r="I2676" s="84" t="str">
        <f aca="false">IF(B2676=Dashboard!$D$3,ROW(),"")</f>
        <v/>
      </c>
    </row>
    <row r="2677" customFormat="false" ht="15" hidden="false" customHeight="false" outlineLevel="0" collapsed="false">
      <c r="A2677" s="80"/>
      <c r="B2677" s="71"/>
      <c r="C2677" s="71"/>
      <c r="D2677" s="81"/>
      <c r="E2677" s="71"/>
      <c r="F2677" s="71"/>
      <c r="G2677" s="82" t="str">
        <f aca="false">IF(C2677="","",IFERROR(INDEX('Kit Lists'!$D$6:$D$605,MATCH(B2677&amp;"|"&amp;C2677,'Kit Lists'!$J$6:$J$605,0)),"Not on this contract's kit list"))</f>
        <v/>
      </c>
      <c r="H2677" s="83" t="str">
        <f aca="false">IF(AND(B2677="",C2677="",D2677=""),"",IF(B2677="","Missing contract",IF(C2677="","Missing code",IF(LEFT(G2677,3)="Not","Wrong code",IF(D2677="","Missing qty",IF(A2677="","Missing date",""))))))</f>
        <v/>
      </c>
      <c r="I2677" s="84" t="str">
        <f aca="false">IF(B2677=Dashboard!$D$3,ROW(),"")</f>
        <v/>
      </c>
    </row>
    <row r="2678" customFormat="false" ht="15" hidden="false" customHeight="false" outlineLevel="0" collapsed="false">
      <c r="A2678" s="80"/>
      <c r="B2678" s="71"/>
      <c r="C2678" s="71"/>
      <c r="D2678" s="81"/>
      <c r="E2678" s="71"/>
      <c r="F2678" s="71"/>
      <c r="G2678" s="82" t="str">
        <f aca="false">IF(C2678="","",IFERROR(INDEX('Kit Lists'!$D$6:$D$605,MATCH(B2678&amp;"|"&amp;C2678,'Kit Lists'!$J$6:$J$605,0)),"Not on this contract's kit list"))</f>
        <v/>
      </c>
      <c r="H2678" s="83" t="str">
        <f aca="false">IF(AND(B2678="",C2678="",D2678=""),"",IF(B2678="","Missing contract",IF(C2678="","Missing code",IF(LEFT(G2678,3)="Not","Wrong code",IF(D2678="","Missing qty",IF(A2678="","Missing date",""))))))</f>
        <v/>
      </c>
      <c r="I2678" s="84" t="str">
        <f aca="false">IF(B2678=Dashboard!$D$3,ROW(),"")</f>
        <v/>
      </c>
    </row>
    <row r="2679" customFormat="false" ht="15" hidden="false" customHeight="false" outlineLevel="0" collapsed="false">
      <c r="A2679" s="80"/>
      <c r="B2679" s="71"/>
      <c r="C2679" s="71"/>
      <c r="D2679" s="81"/>
      <c r="E2679" s="71"/>
      <c r="F2679" s="71"/>
      <c r="G2679" s="82" t="str">
        <f aca="false">IF(C2679="","",IFERROR(INDEX('Kit Lists'!$D$6:$D$605,MATCH(B2679&amp;"|"&amp;C2679,'Kit Lists'!$J$6:$J$605,0)),"Not on this contract's kit list"))</f>
        <v/>
      </c>
      <c r="H2679" s="83" t="str">
        <f aca="false">IF(AND(B2679="",C2679="",D2679=""),"",IF(B2679="","Missing contract",IF(C2679="","Missing code",IF(LEFT(G2679,3)="Not","Wrong code",IF(D2679="","Missing qty",IF(A2679="","Missing date",""))))))</f>
        <v/>
      </c>
      <c r="I2679" s="84" t="str">
        <f aca="false">IF(B2679=Dashboard!$D$3,ROW(),"")</f>
        <v/>
      </c>
    </row>
    <row r="2680" customFormat="false" ht="15" hidden="false" customHeight="false" outlineLevel="0" collapsed="false">
      <c r="A2680" s="80"/>
      <c r="B2680" s="71"/>
      <c r="C2680" s="71"/>
      <c r="D2680" s="81"/>
      <c r="E2680" s="71"/>
      <c r="F2680" s="71"/>
      <c r="G2680" s="82" t="str">
        <f aca="false">IF(C2680="","",IFERROR(INDEX('Kit Lists'!$D$6:$D$605,MATCH(B2680&amp;"|"&amp;C2680,'Kit Lists'!$J$6:$J$605,0)),"Not on this contract's kit list"))</f>
        <v/>
      </c>
      <c r="H2680" s="83" t="str">
        <f aca="false">IF(AND(B2680="",C2680="",D2680=""),"",IF(B2680="","Missing contract",IF(C2680="","Missing code",IF(LEFT(G2680,3)="Not","Wrong code",IF(D2680="","Missing qty",IF(A2680="","Missing date",""))))))</f>
        <v/>
      </c>
      <c r="I2680" s="84" t="str">
        <f aca="false">IF(B2680=Dashboard!$D$3,ROW(),"")</f>
        <v/>
      </c>
    </row>
    <row r="2681" customFormat="false" ht="15" hidden="false" customHeight="false" outlineLevel="0" collapsed="false">
      <c r="A2681" s="80"/>
      <c r="B2681" s="71"/>
      <c r="C2681" s="71"/>
      <c r="D2681" s="81"/>
      <c r="E2681" s="71"/>
      <c r="F2681" s="71"/>
      <c r="G2681" s="82" t="str">
        <f aca="false">IF(C2681="","",IFERROR(INDEX('Kit Lists'!$D$6:$D$605,MATCH(B2681&amp;"|"&amp;C2681,'Kit Lists'!$J$6:$J$605,0)),"Not on this contract's kit list"))</f>
        <v/>
      </c>
      <c r="H2681" s="83" t="str">
        <f aca="false">IF(AND(B2681="",C2681="",D2681=""),"",IF(B2681="","Missing contract",IF(C2681="","Missing code",IF(LEFT(G2681,3)="Not","Wrong code",IF(D2681="","Missing qty",IF(A2681="","Missing date",""))))))</f>
        <v/>
      </c>
      <c r="I2681" s="84" t="str">
        <f aca="false">IF(B2681=Dashboard!$D$3,ROW(),"")</f>
        <v/>
      </c>
    </row>
    <row r="2682" customFormat="false" ht="15" hidden="false" customHeight="false" outlineLevel="0" collapsed="false">
      <c r="A2682" s="80"/>
      <c r="B2682" s="71"/>
      <c r="C2682" s="71"/>
      <c r="D2682" s="81"/>
      <c r="E2682" s="71"/>
      <c r="F2682" s="71"/>
      <c r="G2682" s="82" t="str">
        <f aca="false">IF(C2682="","",IFERROR(INDEX('Kit Lists'!$D$6:$D$605,MATCH(B2682&amp;"|"&amp;C2682,'Kit Lists'!$J$6:$J$605,0)),"Not on this contract's kit list"))</f>
        <v/>
      </c>
      <c r="H2682" s="83" t="str">
        <f aca="false">IF(AND(B2682="",C2682="",D2682=""),"",IF(B2682="","Missing contract",IF(C2682="","Missing code",IF(LEFT(G2682,3)="Not","Wrong code",IF(D2682="","Missing qty",IF(A2682="","Missing date",""))))))</f>
        <v/>
      </c>
      <c r="I2682" s="84" t="str">
        <f aca="false">IF(B2682=Dashboard!$D$3,ROW(),"")</f>
        <v/>
      </c>
    </row>
    <row r="2683" customFormat="false" ht="15" hidden="false" customHeight="false" outlineLevel="0" collapsed="false">
      <c r="A2683" s="80"/>
      <c r="B2683" s="71"/>
      <c r="C2683" s="71"/>
      <c r="D2683" s="81"/>
      <c r="E2683" s="71"/>
      <c r="F2683" s="71"/>
      <c r="G2683" s="82" t="str">
        <f aca="false">IF(C2683="","",IFERROR(INDEX('Kit Lists'!$D$6:$D$605,MATCH(B2683&amp;"|"&amp;C2683,'Kit Lists'!$J$6:$J$605,0)),"Not on this contract's kit list"))</f>
        <v/>
      </c>
      <c r="H2683" s="83" t="str">
        <f aca="false">IF(AND(B2683="",C2683="",D2683=""),"",IF(B2683="","Missing contract",IF(C2683="","Missing code",IF(LEFT(G2683,3)="Not","Wrong code",IF(D2683="","Missing qty",IF(A2683="","Missing date",""))))))</f>
        <v/>
      </c>
      <c r="I2683" s="84" t="str">
        <f aca="false">IF(B2683=Dashboard!$D$3,ROW(),"")</f>
        <v/>
      </c>
    </row>
    <row r="2684" customFormat="false" ht="15" hidden="false" customHeight="false" outlineLevel="0" collapsed="false">
      <c r="A2684" s="80"/>
      <c r="B2684" s="71"/>
      <c r="C2684" s="71"/>
      <c r="D2684" s="81"/>
      <c r="E2684" s="71"/>
      <c r="F2684" s="71"/>
      <c r="G2684" s="82" t="str">
        <f aca="false">IF(C2684="","",IFERROR(INDEX('Kit Lists'!$D$6:$D$605,MATCH(B2684&amp;"|"&amp;C2684,'Kit Lists'!$J$6:$J$605,0)),"Not on this contract's kit list"))</f>
        <v/>
      </c>
      <c r="H2684" s="83" t="str">
        <f aca="false">IF(AND(B2684="",C2684="",D2684=""),"",IF(B2684="","Missing contract",IF(C2684="","Missing code",IF(LEFT(G2684,3)="Not","Wrong code",IF(D2684="","Missing qty",IF(A2684="","Missing date",""))))))</f>
        <v/>
      </c>
      <c r="I2684" s="84" t="str">
        <f aca="false">IF(B2684=Dashboard!$D$3,ROW(),"")</f>
        <v/>
      </c>
    </row>
    <row r="2685" customFormat="false" ht="15" hidden="false" customHeight="false" outlineLevel="0" collapsed="false">
      <c r="A2685" s="80"/>
      <c r="B2685" s="71"/>
      <c r="C2685" s="71"/>
      <c r="D2685" s="81"/>
      <c r="E2685" s="71"/>
      <c r="F2685" s="71"/>
      <c r="G2685" s="82" t="str">
        <f aca="false">IF(C2685="","",IFERROR(INDEX('Kit Lists'!$D$6:$D$605,MATCH(B2685&amp;"|"&amp;C2685,'Kit Lists'!$J$6:$J$605,0)),"Not on this contract's kit list"))</f>
        <v/>
      </c>
      <c r="H2685" s="83" t="str">
        <f aca="false">IF(AND(B2685="",C2685="",D2685=""),"",IF(B2685="","Missing contract",IF(C2685="","Missing code",IF(LEFT(G2685,3)="Not","Wrong code",IF(D2685="","Missing qty",IF(A2685="","Missing date",""))))))</f>
        <v/>
      </c>
      <c r="I2685" s="84" t="str">
        <f aca="false">IF(B2685=Dashboard!$D$3,ROW(),"")</f>
        <v/>
      </c>
    </row>
    <row r="2686" customFormat="false" ht="15" hidden="false" customHeight="false" outlineLevel="0" collapsed="false">
      <c r="A2686" s="80"/>
      <c r="B2686" s="71"/>
      <c r="C2686" s="71"/>
      <c r="D2686" s="81"/>
      <c r="E2686" s="71"/>
      <c r="F2686" s="71"/>
      <c r="G2686" s="82" t="str">
        <f aca="false">IF(C2686="","",IFERROR(INDEX('Kit Lists'!$D$6:$D$605,MATCH(B2686&amp;"|"&amp;C2686,'Kit Lists'!$J$6:$J$605,0)),"Not on this contract's kit list"))</f>
        <v/>
      </c>
      <c r="H2686" s="83" t="str">
        <f aca="false">IF(AND(B2686="",C2686="",D2686=""),"",IF(B2686="","Missing contract",IF(C2686="","Missing code",IF(LEFT(G2686,3)="Not","Wrong code",IF(D2686="","Missing qty",IF(A2686="","Missing date",""))))))</f>
        <v/>
      </c>
      <c r="I2686" s="84" t="str">
        <f aca="false">IF(B2686=Dashboard!$D$3,ROW(),"")</f>
        <v/>
      </c>
    </row>
    <row r="2687" customFormat="false" ht="15" hidden="false" customHeight="false" outlineLevel="0" collapsed="false">
      <c r="A2687" s="80"/>
      <c r="B2687" s="71"/>
      <c r="C2687" s="71"/>
      <c r="D2687" s="81"/>
      <c r="E2687" s="71"/>
      <c r="F2687" s="71"/>
      <c r="G2687" s="82" t="str">
        <f aca="false">IF(C2687="","",IFERROR(INDEX('Kit Lists'!$D$6:$D$605,MATCH(B2687&amp;"|"&amp;C2687,'Kit Lists'!$J$6:$J$605,0)),"Not on this contract's kit list"))</f>
        <v/>
      </c>
      <c r="H2687" s="83" t="str">
        <f aca="false">IF(AND(B2687="",C2687="",D2687=""),"",IF(B2687="","Missing contract",IF(C2687="","Missing code",IF(LEFT(G2687,3)="Not","Wrong code",IF(D2687="","Missing qty",IF(A2687="","Missing date",""))))))</f>
        <v/>
      </c>
      <c r="I2687" s="84" t="str">
        <f aca="false">IF(B2687=Dashboard!$D$3,ROW(),"")</f>
        <v/>
      </c>
    </row>
    <row r="2688" customFormat="false" ht="15" hidden="false" customHeight="false" outlineLevel="0" collapsed="false">
      <c r="A2688" s="80"/>
      <c r="B2688" s="71"/>
      <c r="C2688" s="71"/>
      <c r="D2688" s="81"/>
      <c r="E2688" s="71"/>
      <c r="F2688" s="71"/>
      <c r="G2688" s="82" t="str">
        <f aca="false">IF(C2688="","",IFERROR(INDEX('Kit Lists'!$D$6:$D$605,MATCH(B2688&amp;"|"&amp;C2688,'Kit Lists'!$J$6:$J$605,0)),"Not on this contract's kit list"))</f>
        <v/>
      </c>
      <c r="H2688" s="83" t="str">
        <f aca="false">IF(AND(B2688="",C2688="",D2688=""),"",IF(B2688="","Missing contract",IF(C2688="","Missing code",IF(LEFT(G2688,3)="Not","Wrong code",IF(D2688="","Missing qty",IF(A2688="","Missing date",""))))))</f>
        <v/>
      </c>
      <c r="I2688" s="84" t="str">
        <f aca="false">IF(B2688=Dashboard!$D$3,ROW(),"")</f>
        <v/>
      </c>
    </row>
    <row r="2689" customFormat="false" ht="15" hidden="false" customHeight="false" outlineLevel="0" collapsed="false">
      <c r="A2689" s="80"/>
      <c r="B2689" s="71"/>
      <c r="C2689" s="71"/>
      <c r="D2689" s="81"/>
      <c r="E2689" s="71"/>
      <c r="F2689" s="71"/>
      <c r="G2689" s="82" t="str">
        <f aca="false">IF(C2689="","",IFERROR(INDEX('Kit Lists'!$D$6:$D$605,MATCH(B2689&amp;"|"&amp;C2689,'Kit Lists'!$J$6:$J$605,0)),"Not on this contract's kit list"))</f>
        <v/>
      </c>
      <c r="H2689" s="83" t="str">
        <f aca="false">IF(AND(B2689="",C2689="",D2689=""),"",IF(B2689="","Missing contract",IF(C2689="","Missing code",IF(LEFT(G2689,3)="Not","Wrong code",IF(D2689="","Missing qty",IF(A2689="","Missing date",""))))))</f>
        <v/>
      </c>
      <c r="I2689" s="84" t="str">
        <f aca="false">IF(B2689=Dashboard!$D$3,ROW(),"")</f>
        <v/>
      </c>
    </row>
    <row r="2690" customFormat="false" ht="15" hidden="false" customHeight="false" outlineLevel="0" collapsed="false">
      <c r="A2690" s="80"/>
      <c r="B2690" s="71"/>
      <c r="C2690" s="71"/>
      <c r="D2690" s="81"/>
      <c r="E2690" s="71"/>
      <c r="F2690" s="71"/>
      <c r="G2690" s="82" t="str">
        <f aca="false">IF(C2690="","",IFERROR(INDEX('Kit Lists'!$D$6:$D$605,MATCH(B2690&amp;"|"&amp;C2690,'Kit Lists'!$J$6:$J$605,0)),"Not on this contract's kit list"))</f>
        <v/>
      </c>
      <c r="H2690" s="83" t="str">
        <f aca="false">IF(AND(B2690="",C2690="",D2690=""),"",IF(B2690="","Missing contract",IF(C2690="","Missing code",IF(LEFT(G2690,3)="Not","Wrong code",IF(D2690="","Missing qty",IF(A2690="","Missing date",""))))))</f>
        <v/>
      </c>
      <c r="I2690" s="84" t="str">
        <f aca="false">IF(B2690=Dashboard!$D$3,ROW(),"")</f>
        <v/>
      </c>
    </row>
    <row r="2691" customFormat="false" ht="15" hidden="false" customHeight="false" outlineLevel="0" collapsed="false">
      <c r="A2691" s="80"/>
      <c r="B2691" s="71"/>
      <c r="C2691" s="71"/>
      <c r="D2691" s="81"/>
      <c r="E2691" s="71"/>
      <c r="F2691" s="71"/>
      <c r="G2691" s="82" t="str">
        <f aca="false">IF(C2691="","",IFERROR(INDEX('Kit Lists'!$D$6:$D$605,MATCH(B2691&amp;"|"&amp;C2691,'Kit Lists'!$J$6:$J$605,0)),"Not on this contract's kit list"))</f>
        <v/>
      </c>
      <c r="H2691" s="83" t="str">
        <f aca="false">IF(AND(B2691="",C2691="",D2691=""),"",IF(B2691="","Missing contract",IF(C2691="","Missing code",IF(LEFT(G2691,3)="Not","Wrong code",IF(D2691="","Missing qty",IF(A2691="","Missing date",""))))))</f>
        <v/>
      </c>
      <c r="I2691" s="84" t="str">
        <f aca="false">IF(B2691=Dashboard!$D$3,ROW(),"")</f>
        <v/>
      </c>
    </row>
    <row r="2692" customFormat="false" ht="15" hidden="false" customHeight="false" outlineLevel="0" collapsed="false">
      <c r="A2692" s="80"/>
      <c r="B2692" s="71"/>
      <c r="C2692" s="71"/>
      <c r="D2692" s="81"/>
      <c r="E2692" s="71"/>
      <c r="F2692" s="71"/>
      <c r="G2692" s="82" t="str">
        <f aca="false">IF(C2692="","",IFERROR(INDEX('Kit Lists'!$D$6:$D$605,MATCH(B2692&amp;"|"&amp;C2692,'Kit Lists'!$J$6:$J$605,0)),"Not on this contract's kit list"))</f>
        <v/>
      </c>
      <c r="H2692" s="83" t="str">
        <f aca="false">IF(AND(B2692="",C2692="",D2692=""),"",IF(B2692="","Missing contract",IF(C2692="","Missing code",IF(LEFT(G2692,3)="Not","Wrong code",IF(D2692="","Missing qty",IF(A2692="","Missing date",""))))))</f>
        <v/>
      </c>
      <c r="I2692" s="84" t="str">
        <f aca="false">IF(B2692=Dashboard!$D$3,ROW(),"")</f>
        <v/>
      </c>
    </row>
    <row r="2693" customFormat="false" ht="15" hidden="false" customHeight="false" outlineLevel="0" collapsed="false">
      <c r="A2693" s="80"/>
      <c r="B2693" s="71"/>
      <c r="C2693" s="71"/>
      <c r="D2693" s="81"/>
      <c r="E2693" s="71"/>
      <c r="F2693" s="71"/>
      <c r="G2693" s="82" t="str">
        <f aca="false">IF(C2693="","",IFERROR(INDEX('Kit Lists'!$D$6:$D$605,MATCH(B2693&amp;"|"&amp;C2693,'Kit Lists'!$J$6:$J$605,0)),"Not on this contract's kit list"))</f>
        <v/>
      </c>
      <c r="H2693" s="83" t="str">
        <f aca="false">IF(AND(B2693="",C2693="",D2693=""),"",IF(B2693="","Missing contract",IF(C2693="","Missing code",IF(LEFT(G2693,3)="Not","Wrong code",IF(D2693="","Missing qty",IF(A2693="","Missing date",""))))))</f>
        <v/>
      </c>
      <c r="I2693" s="84" t="str">
        <f aca="false">IF(B2693=Dashboard!$D$3,ROW(),"")</f>
        <v/>
      </c>
    </row>
    <row r="2694" customFormat="false" ht="15" hidden="false" customHeight="false" outlineLevel="0" collapsed="false">
      <c r="A2694" s="80"/>
      <c r="B2694" s="71"/>
      <c r="C2694" s="71"/>
      <c r="D2694" s="81"/>
      <c r="E2694" s="71"/>
      <c r="F2694" s="71"/>
      <c r="G2694" s="82" t="str">
        <f aca="false">IF(C2694="","",IFERROR(INDEX('Kit Lists'!$D$6:$D$605,MATCH(B2694&amp;"|"&amp;C2694,'Kit Lists'!$J$6:$J$605,0)),"Not on this contract's kit list"))</f>
        <v/>
      </c>
      <c r="H2694" s="83" t="str">
        <f aca="false">IF(AND(B2694="",C2694="",D2694=""),"",IF(B2694="","Missing contract",IF(C2694="","Missing code",IF(LEFT(G2694,3)="Not","Wrong code",IF(D2694="","Missing qty",IF(A2694="","Missing date",""))))))</f>
        <v/>
      </c>
      <c r="I2694" s="84" t="str">
        <f aca="false">IF(B2694=Dashboard!$D$3,ROW(),"")</f>
        <v/>
      </c>
    </row>
    <row r="2695" customFormat="false" ht="15" hidden="false" customHeight="false" outlineLevel="0" collapsed="false">
      <c r="A2695" s="80"/>
      <c r="B2695" s="71"/>
      <c r="C2695" s="71"/>
      <c r="D2695" s="81"/>
      <c r="E2695" s="71"/>
      <c r="F2695" s="71"/>
      <c r="G2695" s="82" t="str">
        <f aca="false">IF(C2695="","",IFERROR(INDEX('Kit Lists'!$D$6:$D$605,MATCH(B2695&amp;"|"&amp;C2695,'Kit Lists'!$J$6:$J$605,0)),"Not on this contract's kit list"))</f>
        <v/>
      </c>
      <c r="H2695" s="83" t="str">
        <f aca="false">IF(AND(B2695="",C2695="",D2695=""),"",IF(B2695="","Missing contract",IF(C2695="","Missing code",IF(LEFT(G2695,3)="Not","Wrong code",IF(D2695="","Missing qty",IF(A2695="","Missing date",""))))))</f>
        <v/>
      </c>
      <c r="I2695" s="84" t="str">
        <f aca="false">IF(B2695=Dashboard!$D$3,ROW(),"")</f>
        <v/>
      </c>
    </row>
    <row r="2696" customFormat="false" ht="15" hidden="false" customHeight="false" outlineLevel="0" collapsed="false">
      <c r="A2696" s="80"/>
      <c r="B2696" s="71"/>
      <c r="C2696" s="71"/>
      <c r="D2696" s="81"/>
      <c r="E2696" s="71"/>
      <c r="F2696" s="71"/>
      <c r="G2696" s="82" t="str">
        <f aca="false">IF(C2696="","",IFERROR(INDEX('Kit Lists'!$D$6:$D$605,MATCH(B2696&amp;"|"&amp;C2696,'Kit Lists'!$J$6:$J$605,0)),"Not on this contract's kit list"))</f>
        <v/>
      </c>
      <c r="H2696" s="83" t="str">
        <f aca="false">IF(AND(B2696="",C2696="",D2696=""),"",IF(B2696="","Missing contract",IF(C2696="","Missing code",IF(LEFT(G2696,3)="Not","Wrong code",IF(D2696="","Missing qty",IF(A2696="","Missing date",""))))))</f>
        <v/>
      </c>
      <c r="I2696" s="84" t="str">
        <f aca="false">IF(B2696=Dashboard!$D$3,ROW(),"")</f>
        <v/>
      </c>
    </row>
    <row r="2697" customFormat="false" ht="15" hidden="false" customHeight="false" outlineLevel="0" collapsed="false">
      <c r="A2697" s="80"/>
      <c r="B2697" s="71"/>
      <c r="C2697" s="71"/>
      <c r="D2697" s="81"/>
      <c r="E2697" s="71"/>
      <c r="F2697" s="71"/>
      <c r="G2697" s="82" t="str">
        <f aca="false">IF(C2697="","",IFERROR(INDEX('Kit Lists'!$D$6:$D$605,MATCH(B2697&amp;"|"&amp;C2697,'Kit Lists'!$J$6:$J$605,0)),"Not on this contract's kit list"))</f>
        <v/>
      </c>
      <c r="H2697" s="83" t="str">
        <f aca="false">IF(AND(B2697="",C2697="",D2697=""),"",IF(B2697="","Missing contract",IF(C2697="","Missing code",IF(LEFT(G2697,3)="Not","Wrong code",IF(D2697="","Missing qty",IF(A2697="","Missing date",""))))))</f>
        <v/>
      </c>
      <c r="I2697" s="84" t="str">
        <f aca="false">IF(B2697=Dashboard!$D$3,ROW(),"")</f>
        <v/>
      </c>
    </row>
    <row r="2698" customFormat="false" ht="15" hidden="false" customHeight="false" outlineLevel="0" collapsed="false">
      <c r="A2698" s="80"/>
      <c r="B2698" s="71"/>
      <c r="C2698" s="71"/>
      <c r="D2698" s="81"/>
      <c r="E2698" s="71"/>
      <c r="F2698" s="71"/>
      <c r="G2698" s="82" t="str">
        <f aca="false">IF(C2698="","",IFERROR(INDEX('Kit Lists'!$D$6:$D$605,MATCH(B2698&amp;"|"&amp;C2698,'Kit Lists'!$J$6:$J$605,0)),"Not on this contract's kit list"))</f>
        <v/>
      </c>
      <c r="H2698" s="83" t="str">
        <f aca="false">IF(AND(B2698="",C2698="",D2698=""),"",IF(B2698="","Missing contract",IF(C2698="","Missing code",IF(LEFT(G2698,3)="Not","Wrong code",IF(D2698="","Missing qty",IF(A2698="","Missing date",""))))))</f>
        <v/>
      </c>
      <c r="I2698" s="84" t="str">
        <f aca="false">IF(B2698=Dashboard!$D$3,ROW(),"")</f>
        <v/>
      </c>
    </row>
    <row r="2699" customFormat="false" ht="15" hidden="false" customHeight="false" outlineLevel="0" collapsed="false">
      <c r="A2699" s="80"/>
      <c r="B2699" s="71"/>
      <c r="C2699" s="71"/>
      <c r="D2699" s="81"/>
      <c r="E2699" s="71"/>
      <c r="F2699" s="71"/>
      <c r="G2699" s="82" t="str">
        <f aca="false">IF(C2699="","",IFERROR(INDEX('Kit Lists'!$D$6:$D$605,MATCH(B2699&amp;"|"&amp;C2699,'Kit Lists'!$J$6:$J$605,0)),"Not on this contract's kit list"))</f>
        <v/>
      </c>
      <c r="H2699" s="83" t="str">
        <f aca="false">IF(AND(B2699="",C2699="",D2699=""),"",IF(B2699="","Missing contract",IF(C2699="","Missing code",IF(LEFT(G2699,3)="Not","Wrong code",IF(D2699="","Missing qty",IF(A2699="","Missing date",""))))))</f>
        <v/>
      </c>
      <c r="I2699" s="84" t="str">
        <f aca="false">IF(B2699=Dashboard!$D$3,ROW(),"")</f>
        <v/>
      </c>
    </row>
    <row r="2700" customFormat="false" ht="15" hidden="false" customHeight="false" outlineLevel="0" collapsed="false">
      <c r="A2700" s="80"/>
      <c r="B2700" s="71"/>
      <c r="C2700" s="71"/>
      <c r="D2700" s="81"/>
      <c r="E2700" s="71"/>
      <c r="F2700" s="71"/>
      <c r="G2700" s="82" t="str">
        <f aca="false">IF(C2700="","",IFERROR(INDEX('Kit Lists'!$D$6:$D$605,MATCH(B2700&amp;"|"&amp;C2700,'Kit Lists'!$J$6:$J$605,0)),"Not on this contract's kit list"))</f>
        <v/>
      </c>
      <c r="H2700" s="83" t="str">
        <f aca="false">IF(AND(B2700="",C2700="",D2700=""),"",IF(B2700="","Missing contract",IF(C2700="","Missing code",IF(LEFT(G2700,3)="Not","Wrong code",IF(D2700="","Missing qty",IF(A2700="","Missing date",""))))))</f>
        <v/>
      </c>
      <c r="I2700" s="84" t="str">
        <f aca="false">IF(B2700=Dashboard!$D$3,ROW(),"")</f>
        <v/>
      </c>
    </row>
    <row r="2701" customFormat="false" ht="15" hidden="false" customHeight="false" outlineLevel="0" collapsed="false">
      <c r="A2701" s="80"/>
      <c r="B2701" s="71"/>
      <c r="C2701" s="71"/>
      <c r="D2701" s="81"/>
      <c r="E2701" s="71"/>
      <c r="F2701" s="71"/>
      <c r="G2701" s="82" t="str">
        <f aca="false">IF(C2701="","",IFERROR(INDEX('Kit Lists'!$D$6:$D$605,MATCH(B2701&amp;"|"&amp;C2701,'Kit Lists'!$J$6:$J$605,0)),"Not on this contract's kit list"))</f>
        <v/>
      </c>
      <c r="H2701" s="83" t="str">
        <f aca="false">IF(AND(B2701="",C2701="",D2701=""),"",IF(B2701="","Missing contract",IF(C2701="","Missing code",IF(LEFT(G2701,3)="Not","Wrong code",IF(D2701="","Missing qty",IF(A2701="","Missing date",""))))))</f>
        <v/>
      </c>
      <c r="I2701" s="84" t="str">
        <f aca="false">IF(B2701=Dashboard!$D$3,ROW(),"")</f>
        <v/>
      </c>
    </row>
    <row r="2702" customFormat="false" ht="15" hidden="false" customHeight="false" outlineLevel="0" collapsed="false">
      <c r="A2702" s="80"/>
      <c r="B2702" s="71"/>
      <c r="C2702" s="71"/>
      <c r="D2702" s="81"/>
      <c r="E2702" s="71"/>
      <c r="F2702" s="71"/>
      <c r="G2702" s="82" t="str">
        <f aca="false">IF(C2702="","",IFERROR(INDEX('Kit Lists'!$D$6:$D$605,MATCH(B2702&amp;"|"&amp;C2702,'Kit Lists'!$J$6:$J$605,0)),"Not on this contract's kit list"))</f>
        <v/>
      </c>
      <c r="H2702" s="83" t="str">
        <f aca="false">IF(AND(B2702="",C2702="",D2702=""),"",IF(B2702="","Missing contract",IF(C2702="","Missing code",IF(LEFT(G2702,3)="Not","Wrong code",IF(D2702="","Missing qty",IF(A2702="","Missing date",""))))))</f>
        <v/>
      </c>
      <c r="I2702" s="84" t="str">
        <f aca="false">IF(B2702=Dashboard!$D$3,ROW(),"")</f>
        <v/>
      </c>
    </row>
    <row r="2703" customFormat="false" ht="15" hidden="false" customHeight="false" outlineLevel="0" collapsed="false">
      <c r="A2703" s="80"/>
      <c r="B2703" s="71"/>
      <c r="C2703" s="71"/>
      <c r="D2703" s="81"/>
      <c r="E2703" s="71"/>
      <c r="F2703" s="71"/>
      <c r="G2703" s="82" t="str">
        <f aca="false">IF(C2703="","",IFERROR(INDEX('Kit Lists'!$D$6:$D$605,MATCH(B2703&amp;"|"&amp;C2703,'Kit Lists'!$J$6:$J$605,0)),"Not on this contract's kit list"))</f>
        <v/>
      </c>
      <c r="H2703" s="83" t="str">
        <f aca="false">IF(AND(B2703="",C2703="",D2703=""),"",IF(B2703="","Missing contract",IF(C2703="","Missing code",IF(LEFT(G2703,3)="Not","Wrong code",IF(D2703="","Missing qty",IF(A2703="","Missing date",""))))))</f>
        <v/>
      </c>
      <c r="I2703" s="84" t="str">
        <f aca="false">IF(B2703=Dashboard!$D$3,ROW(),"")</f>
        <v/>
      </c>
    </row>
    <row r="2704" customFormat="false" ht="15" hidden="false" customHeight="false" outlineLevel="0" collapsed="false">
      <c r="A2704" s="80"/>
      <c r="B2704" s="71"/>
      <c r="C2704" s="71"/>
      <c r="D2704" s="81"/>
      <c r="E2704" s="71"/>
      <c r="F2704" s="71"/>
      <c r="G2704" s="82" t="str">
        <f aca="false">IF(C2704="","",IFERROR(INDEX('Kit Lists'!$D$6:$D$605,MATCH(B2704&amp;"|"&amp;C2704,'Kit Lists'!$J$6:$J$605,0)),"Not on this contract's kit list"))</f>
        <v/>
      </c>
      <c r="H2704" s="83" t="str">
        <f aca="false">IF(AND(B2704="",C2704="",D2704=""),"",IF(B2704="","Missing contract",IF(C2704="","Missing code",IF(LEFT(G2704,3)="Not","Wrong code",IF(D2704="","Missing qty",IF(A2704="","Missing date",""))))))</f>
        <v/>
      </c>
      <c r="I2704" s="84" t="str">
        <f aca="false">IF(B2704=Dashboard!$D$3,ROW(),"")</f>
        <v/>
      </c>
    </row>
    <row r="2705" customFormat="false" ht="15" hidden="false" customHeight="false" outlineLevel="0" collapsed="false">
      <c r="A2705" s="80"/>
      <c r="B2705" s="71"/>
      <c r="C2705" s="71"/>
      <c r="D2705" s="81"/>
      <c r="E2705" s="71"/>
      <c r="F2705" s="71"/>
      <c r="G2705" s="82" t="str">
        <f aca="false">IF(C2705="","",IFERROR(INDEX('Kit Lists'!$D$6:$D$605,MATCH(B2705&amp;"|"&amp;C2705,'Kit Lists'!$J$6:$J$605,0)),"Not on this contract's kit list"))</f>
        <v/>
      </c>
      <c r="H2705" s="83" t="str">
        <f aca="false">IF(AND(B2705="",C2705="",D2705=""),"",IF(B2705="","Missing contract",IF(C2705="","Missing code",IF(LEFT(G2705,3)="Not","Wrong code",IF(D2705="","Missing qty",IF(A2705="","Missing date",""))))))</f>
        <v/>
      </c>
      <c r="I2705" s="84" t="str">
        <f aca="false">IF(B2705=Dashboard!$D$3,ROW(),"")</f>
        <v/>
      </c>
    </row>
    <row r="2706" customFormat="false" ht="15" hidden="false" customHeight="false" outlineLevel="0" collapsed="false">
      <c r="A2706" s="80"/>
      <c r="B2706" s="71"/>
      <c r="C2706" s="71"/>
      <c r="D2706" s="81"/>
      <c r="E2706" s="71"/>
      <c r="F2706" s="71"/>
      <c r="G2706" s="82" t="str">
        <f aca="false">IF(C2706="","",IFERROR(INDEX('Kit Lists'!$D$6:$D$605,MATCH(B2706&amp;"|"&amp;C2706,'Kit Lists'!$J$6:$J$605,0)),"Not on this contract's kit list"))</f>
        <v/>
      </c>
      <c r="H2706" s="83" t="str">
        <f aca="false">IF(AND(B2706="",C2706="",D2706=""),"",IF(B2706="","Missing contract",IF(C2706="","Missing code",IF(LEFT(G2706,3)="Not","Wrong code",IF(D2706="","Missing qty",IF(A2706="","Missing date",""))))))</f>
        <v/>
      </c>
      <c r="I2706" s="84" t="str">
        <f aca="false">IF(B2706=Dashboard!$D$3,ROW(),"")</f>
        <v/>
      </c>
    </row>
    <row r="2707" customFormat="false" ht="15" hidden="false" customHeight="false" outlineLevel="0" collapsed="false">
      <c r="A2707" s="80"/>
      <c r="B2707" s="71"/>
      <c r="C2707" s="71"/>
      <c r="D2707" s="81"/>
      <c r="E2707" s="71"/>
      <c r="F2707" s="71"/>
      <c r="G2707" s="82" t="str">
        <f aca="false">IF(C2707="","",IFERROR(INDEX('Kit Lists'!$D$6:$D$605,MATCH(B2707&amp;"|"&amp;C2707,'Kit Lists'!$J$6:$J$605,0)),"Not on this contract's kit list"))</f>
        <v/>
      </c>
      <c r="H2707" s="83" t="str">
        <f aca="false">IF(AND(B2707="",C2707="",D2707=""),"",IF(B2707="","Missing contract",IF(C2707="","Missing code",IF(LEFT(G2707,3)="Not","Wrong code",IF(D2707="","Missing qty",IF(A2707="","Missing date",""))))))</f>
        <v/>
      </c>
      <c r="I2707" s="84" t="str">
        <f aca="false">IF(B2707=Dashboard!$D$3,ROW(),"")</f>
        <v/>
      </c>
    </row>
    <row r="2708" customFormat="false" ht="15" hidden="false" customHeight="false" outlineLevel="0" collapsed="false">
      <c r="A2708" s="80"/>
      <c r="B2708" s="71"/>
      <c r="C2708" s="71"/>
      <c r="D2708" s="81"/>
      <c r="E2708" s="71"/>
      <c r="F2708" s="71"/>
      <c r="G2708" s="82" t="str">
        <f aca="false">IF(C2708="","",IFERROR(INDEX('Kit Lists'!$D$6:$D$605,MATCH(B2708&amp;"|"&amp;C2708,'Kit Lists'!$J$6:$J$605,0)),"Not on this contract's kit list"))</f>
        <v/>
      </c>
      <c r="H2708" s="83" t="str">
        <f aca="false">IF(AND(B2708="",C2708="",D2708=""),"",IF(B2708="","Missing contract",IF(C2708="","Missing code",IF(LEFT(G2708,3)="Not","Wrong code",IF(D2708="","Missing qty",IF(A2708="","Missing date",""))))))</f>
        <v/>
      </c>
      <c r="I2708" s="84" t="str">
        <f aca="false">IF(B2708=Dashboard!$D$3,ROW(),"")</f>
        <v/>
      </c>
    </row>
    <row r="2709" customFormat="false" ht="15" hidden="false" customHeight="false" outlineLevel="0" collapsed="false">
      <c r="A2709" s="80"/>
      <c r="B2709" s="71"/>
      <c r="C2709" s="71"/>
      <c r="D2709" s="81"/>
      <c r="E2709" s="71"/>
      <c r="F2709" s="71"/>
      <c r="G2709" s="82" t="str">
        <f aca="false">IF(C2709="","",IFERROR(INDEX('Kit Lists'!$D$6:$D$605,MATCH(B2709&amp;"|"&amp;C2709,'Kit Lists'!$J$6:$J$605,0)),"Not on this contract's kit list"))</f>
        <v/>
      </c>
      <c r="H2709" s="83" t="str">
        <f aca="false">IF(AND(B2709="",C2709="",D2709=""),"",IF(B2709="","Missing contract",IF(C2709="","Missing code",IF(LEFT(G2709,3)="Not","Wrong code",IF(D2709="","Missing qty",IF(A2709="","Missing date",""))))))</f>
        <v/>
      </c>
      <c r="I2709" s="84" t="str">
        <f aca="false">IF(B2709=Dashboard!$D$3,ROW(),"")</f>
        <v/>
      </c>
    </row>
    <row r="2710" customFormat="false" ht="15" hidden="false" customHeight="false" outlineLevel="0" collapsed="false">
      <c r="A2710" s="80"/>
      <c r="B2710" s="71"/>
      <c r="C2710" s="71"/>
      <c r="D2710" s="81"/>
      <c r="E2710" s="71"/>
      <c r="F2710" s="71"/>
      <c r="G2710" s="82" t="str">
        <f aca="false">IF(C2710="","",IFERROR(INDEX('Kit Lists'!$D$6:$D$605,MATCH(B2710&amp;"|"&amp;C2710,'Kit Lists'!$J$6:$J$605,0)),"Not on this contract's kit list"))</f>
        <v/>
      </c>
      <c r="H2710" s="83" t="str">
        <f aca="false">IF(AND(B2710="",C2710="",D2710=""),"",IF(B2710="","Missing contract",IF(C2710="","Missing code",IF(LEFT(G2710,3)="Not","Wrong code",IF(D2710="","Missing qty",IF(A2710="","Missing date",""))))))</f>
        <v/>
      </c>
      <c r="I2710" s="84" t="str">
        <f aca="false">IF(B2710=Dashboard!$D$3,ROW(),"")</f>
        <v/>
      </c>
    </row>
    <row r="2711" customFormat="false" ht="15" hidden="false" customHeight="false" outlineLevel="0" collapsed="false">
      <c r="A2711" s="80"/>
      <c r="B2711" s="71"/>
      <c r="C2711" s="71"/>
      <c r="D2711" s="81"/>
      <c r="E2711" s="71"/>
      <c r="F2711" s="71"/>
      <c r="G2711" s="82" t="str">
        <f aca="false">IF(C2711="","",IFERROR(INDEX('Kit Lists'!$D$6:$D$605,MATCH(B2711&amp;"|"&amp;C2711,'Kit Lists'!$J$6:$J$605,0)),"Not on this contract's kit list"))</f>
        <v/>
      </c>
      <c r="H2711" s="83" t="str">
        <f aca="false">IF(AND(B2711="",C2711="",D2711=""),"",IF(B2711="","Missing contract",IF(C2711="","Missing code",IF(LEFT(G2711,3)="Not","Wrong code",IF(D2711="","Missing qty",IF(A2711="","Missing date",""))))))</f>
        <v/>
      </c>
      <c r="I2711" s="84" t="str">
        <f aca="false">IF(B2711=Dashboard!$D$3,ROW(),"")</f>
        <v/>
      </c>
    </row>
    <row r="2712" customFormat="false" ht="15" hidden="false" customHeight="false" outlineLevel="0" collapsed="false">
      <c r="A2712" s="80"/>
      <c r="B2712" s="71"/>
      <c r="C2712" s="71"/>
      <c r="D2712" s="81"/>
      <c r="E2712" s="71"/>
      <c r="F2712" s="71"/>
      <c r="G2712" s="82" t="str">
        <f aca="false">IF(C2712="","",IFERROR(INDEX('Kit Lists'!$D$6:$D$605,MATCH(B2712&amp;"|"&amp;C2712,'Kit Lists'!$J$6:$J$605,0)),"Not on this contract's kit list"))</f>
        <v/>
      </c>
      <c r="H2712" s="83" t="str">
        <f aca="false">IF(AND(B2712="",C2712="",D2712=""),"",IF(B2712="","Missing contract",IF(C2712="","Missing code",IF(LEFT(G2712,3)="Not","Wrong code",IF(D2712="","Missing qty",IF(A2712="","Missing date",""))))))</f>
        <v/>
      </c>
      <c r="I2712" s="84" t="str">
        <f aca="false">IF(B2712=Dashboard!$D$3,ROW(),"")</f>
        <v/>
      </c>
    </row>
    <row r="2713" customFormat="false" ht="15" hidden="false" customHeight="false" outlineLevel="0" collapsed="false">
      <c r="A2713" s="80"/>
      <c r="B2713" s="71"/>
      <c r="C2713" s="71"/>
      <c r="D2713" s="81"/>
      <c r="E2713" s="71"/>
      <c r="F2713" s="71"/>
      <c r="G2713" s="82" t="str">
        <f aca="false">IF(C2713="","",IFERROR(INDEX('Kit Lists'!$D$6:$D$605,MATCH(B2713&amp;"|"&amp;C2713,'Kit Lists'!$J$6:$J$605,0)),"Not on this contract's kit list"))</f>
        <v/>
      </c>
      <c r="H2713" s="83" t="str">
        <f aca="false">IF(AND(B2713="",C2713="",D2713=""),"",IF(B2713="","Missing contract",IF(C2713="","Missing code",IF(LEFT(G2713,3)="Not","Wrong code",IF(D2713="","Missing qty",IF(A2713="","Missing date",""))))))</f>
        <v/>
      </c>
      <c r="I2713" s="84" t="str">
        <f aca="false">IF(B2713=Dashboard!$D$3,ROW(),"")</f>
        <v/>
      </c>
    </row>
    <row r="2714" customFormat="false" ht="15" hidden="false" customHeight="false" outlineLevel="0" collapsed="false">
      <c r="A2714" s="80"/>
      <c r="B2714" s="71"/>
      <c r="C2714" s="71"/>
      <c r="D2714" s="81"/>
      <c r="E2714" s="71"/>
      <c r="F2714" s="71"/>
      <c r="G2714" s="82" t="str">
        <f aca="false">IF(C2714="","",IFERROR(INDEX('Kit Lists'!$D$6:$D$605,MATCH(B2714&amp;"|"&amp;C2714,'Kit Lists'!$J$6:$J$605,0)),"Not on this contract's kit list"))</f>
        <v/>
      </c>
      <c r="H2714" s="83" t="str">
        <f aca="false">IF(AND(B2714="",C2714="",D2714=""),"",IF(B2714="","Missing contract",IF(C2714="","Missing code",IF(LEFT(G2714,3)="Not","Wrong code",IF(D2714="","Missing qty",IF(A2714="","Missing date",""))))))</f>
        <v/>
      </c>
      <c r="I2714" s="84" t="str">
        <f aca="false">IF(B2714=Dashboard!$D$3,ROW(),"")</f>
        <v/>
      </c>
    </row>
    <row r="2715" customFormat="false" ht="15" hidden="false" customHeight="false" outlineLevel="0" collapsed="false">
      <c r="A2715" s="80"/>
      <c r="B2715" s="71"/>
      <c r="C2715" s="71"/>
      <c r="D2715" s="81"/>
      <c r="E2715" s="71"/>
      <c r="F2715" s="71"/>
      <c r="G2715" s="82" t="str">
        <f aca="false">IF(C2715="","",IFERROR(INDEX('Kit Lists'!$D$6:$D$605,MATCH(B2715&amp;"|"&amp;C2715,'Kit Lists'!$J$6:$J$605,0)),"Not on this contract's kit list"))</f>
        <v/>
      </c>
      <c r="H2715" s="83" t="str">
        <f aca="false">IF(AND(B2715="",C2715="",D2715=""),"",IF(B2715="","Missing contract",IF(C2715="","Missing code",IF(LEFT(G2715,3)="Not","Wrong code",IF(D2715="","Missing qty",IF(A2715="","Missing date",""))))))</f>
        <v/>
      </c>
      <c r="I2715" s="84" t="str">
        <f aca="false">IF(B2715=Dashboard!$D$3,ROW(),"")</f>
        <v/>
      </c>
    </row>
    <row r="2716" customFormat="false" ht="15" hidden="false" customHeight="false" outlineLevel="0" collapsed="false">
      <c r="A2716" s="80"/>
      <c r="B2716" s="71"/>
      <c r="C2716" s="71"/>
      <c r="D2716" s="81"/>
      <c r="E2716" s="71"/>
      <c r="F2716" s="71"/>
      <c r="G2716" s="82" t="str">
        <f aca="false">IF(C2716="","",IFERROR(INDEX('Kit Lists'!$D$6:$D$605,MATCH(B2716&amp;"|"&amp;C2716,'Kit Lists'!$J$6:$J$605,0)),"Not on this contract's kit list"))</f>
        <v/>
      </c>
      <c r="H2716" s="83" t="str">
        <f aca="false">IF(AND(B2716="",C2716="",D2716=""),"",IF(B2716="","Missing contract",IF(C2716="","Missing code",IF(LEFT(G2716,3)="Not","Wrong code",IF(D2716="","Missing qty",IF(A2716="","Missing date",""))))))</f>
        <v/>
      </c>
      <c r="I2716" s="84" t="str">
        <f aca="false">IF(B2716=Dashboard!$D$3,ROW(),"")</f>
        <v/>
      </c>
    </row>
    <row r="2717" customFormat="false" ht="15" hidden="false" customHeight="false" outlineLevel="0" collapsed="false">
      <c r="A2717" s="80"/>
      <c r="B2717" s="71"/>
      <c r="C2717" s="71"/>
      <c r="D2717" s="81"/>
      <c r="E2717" s="71"/>
      <c r="F2717" s="71"/>
      <c r="G2717" s="82" t="str">
        <f aca="false">IF(C2717="","",IFERROR(INDEX('Kit Lists'!$D$6:$D$605,MATCH(B2717&amp;"|"&amp;C2717,'Kit Lists'!$J$6:$J$605,0)),"Not on this contract's kit list"))</f>
        <v/>
      </c>
      <c r="H2717" s="83" t="str">
        <f aca="false">IF(AND(B2717="",C2717="",D2717=""),"",IF(B2717="","Missing contract",IF(C2717="","Missing code",IF(LEFT(G2717,3)="Not","Wrong code",IF(D2717="","Missing qty",IF(A2717="","Missing date",""))))))</f>
        <v/>
      </c>
      <c r="I2717" s="84" t="str">
        <f aca="false">IF(B2717=Dashboard!$D$3,ROW(),"")</f>
        <v/>
      </c>
    </row>
    <row r="2718" customFormat="false" ht="15" hidden="false" customHeight="false" outlineLevel="0" collapsed="false">
      <c r="A2718" s="80"/>
      <c r="B2718" s="71"/>
      <c r="C2718" s="71"/>
      <c r="D2718" s="81"/>
      <c r="E2718" s="71"/>
      <c r="F2718" s="71"/>
      <c r="G2718" s="82" t="str">
        <f aca="false">IF(C2718="","",IFERROR(INDEX('Kit Lists'!$D$6:$D$605,MATCH(B2718&amp;"|"&amp;C2718,'Kit Lists'!$J$6:$J$605,0)),"Not on this contract's kit list"))</f>
        <v/>
      </c>
      <c r="H2718" s="83" t="str">
        <f aca="false">IF(AND(B2718="",C2718="",D2718=""),"",IF(B2718="","Missing contract",IF(C2718="","Missing code",IF(LEFT(G2718,3)="Not","Wrong code",IF(D2718="","Missing qty",IF(A2718="","Missing date",""))))))</f>
        <v/>
      </c>
      <c r="I2718" s="84" t="str">
        <f aca="false">IF(B2718=Dashboard!$D$3,ROW(),"")</f>
        <v/>
      </c>
    </row>
    <row r="2719" customFormat="false" ht="15" hidden="false" customHeight="false" outlineLevel="0" collapsed="false">
      <c r="A2719" s="80"/>
      <c r="B2719" s="71"/>
      <c r="C2719" s="71"/>
      <c r="D2719" s="81"/>
      <c r="E2719" s="71"/>
      <c r="F2719" s="71"/>
      <c r="G2719" s="82" t="str">
        <f aca="false">IF(C2719="","",IFERROR(INDEX('Kit Lists'!$D$6:$D$605,MATCH(B2719&amp;"|"&amp;C2719,'Kit Lists'!$J$6:$J$605,0)),"Not on this contract's kit list"))</f>
        <v/>
      </c>
      <c r="H2719" s="83" t="str">
        <f aca="false">IF(AND(B2719="",C2719="",D2719=""),"",IF(B2719="","Missing contract",IF(C2719="","Missing code",IF(LEFT(G2719,3)="Not","Wrong code",IF(D2719="","Missing qty",IF(A2719="","Missing date",""))))))</f>
        <v/>
      </c>
      <c r="I2719" s="84" t="str">
        <f aca="false">IF(B2719=Dashboard!$D$3,ROW(),"")</f>
        <v/>
      </c>
    </row>
    <row r="2720" customFormat="false" ht="15" hidden="false" customHeight="false" outlineLevel="0" collapsed="false">
      <c r="A2720" s="80"/>
      <c r="B2720" s="71"/>
      <c r="C2720" s="71"/>
      <c r="D2720" s="81"/>
      <c r="E2720" s="71"/>
      <c r="F2720" s="71"/>
      <c r="G2720" s="82" t="str">
        <f aca="false">IF(C2720="","",IFERROR(INDEX('Kit Lists'!$D$6:$D$605,MATCH(B2720&amp;"|"&amp;C2720,'Kit Lists'!$J$6:$J$605,0)),"Not on this contract's kit list"))</f>
        <v/>
      </c>
      <c r="H2720" s="83" t="str">
        <f aca="false">IF(AND(B2720="",C2720="",D2720=""),"",IF(B2720="","Missing contract",IF(C2720="","Missing code",IF(LEFT(G2720,3)="Not","Wrong code",IF(D2720="","Missing qty",IF(A2720="","Missing date",""))))))</f>
        <v/>
      </c>
      <c r="I2720" s="84" t="str">
        <f aca="false">IF(B2720=Dashboard!$D$3,ROW(),"")</f>
        <v/>
      </c>
    </row>
    <row r="2721" customFormat="false" ht="15" hidden="false" customHeight="false" outlineLevel="0" collapsed="false">
      <c r="A2721" s="80"/>
      <c r="B2721" s="71"/>
      <c r="C2721" s="71"/>
      <c r="D2721" s="81"/>
      <c r="E2721" s="71"/>
      <c r="F2721" s="71"/>
      <c r="G2721" s="82" t="str">
        <f aca="false">IF(C2721="","",IFERROR(INDEX('Kit Lists'!$D$6:$D$605,MATCH(B2721&amp;"|"&amp;C2721,'Kit Lists'!$J$6:$J$605,0)),"Not on this contract's kit list"))</f>
        <v/>
      </c>
      <c r="H2721" s="83" t="str">
        <f aca="false">IF(AND(B2721="",C2721="",D2721=""),"",IF(B2721="","Missing contract",IF(C2721="","Missing code",IF(LEFT(G2721,3)="Not","Wrong code",IF(D2721="","Missing qty",IF(A2721="","Missing date",""))))))</f>
        <v/>
      </c>
      <c r="I2721" s="84" t="str">
        <f aca="false">IF(B2721=Dashboard!$D$3,ROW(),"")</f>
        <v/>
      </c>
    </row>
    <row r="2722" customFormat="false" ht="15" hidden="false" customHeight="false" outlineLevel="0" collapsed="false">
      <c r="A2722" s="80"/>
      <c r="B2722" s="71"/>
      <c r="C2722" s="71"/>
      <c r="D2722" s="81"/>
      <c r="E2722" s="71"/>
      <c r="F2722" s="71"/>
      <c r="G2722" s="82" t="str">
        <f aca="false">IF(C2722="","",IFERROR(INDEX('Kit Lists'!$D$6:$D$605,MATCH(B2722&amp;"|"&amp;C2722,'Kit Lists'!$J$6:$J$605,0)),"Not on this contract's kit list"))</f>
        <v/>
      </c>
      <c r="H2722" s="83" t="str">
        <f aca="false">IF(AND(B2722="",C2722="",D2722=""),"",IF(B2722="","Missing contract",IF(C2722="","Missing code",IF(LEFT(G2722,3)="Not","Wrong code",IF(D2722="","Missing qty",IF(A2722="","Missing date",""))))))</f>
        <v/>
      </c>
      <c r="I2722" s="84" t="str">
        <f aca="false">IF(B2722=Dashboard!$D$3,ROW(),"")</f>
        <v/>
      </c>
    </row>
    <row r="2723" customFormat="false" ht="15" hidden="false" customHeight="false" outlineLevel="0" collapsed="false">
      <c r="A2723" s="80"/>
      <c r="B2723" s="71"/>
      <c r="C2723" s="71"/>
      <c r="D2723" s="81"/>
      <c r="E2723" s="71"/>
      <c r="F2723" s="71"/>
      <c r="G2723" s="82" t="str">
        <f aca="false">IF(C2723="","",IFERROR(INDEX('Kit Lists'!$D$6:$D$605,MATCH(B2723&amp;"|"&amp;C2723,'Kit Lists'!$J$6:$J$605,0)),"Not on this contract's kit list"))</f>
        <v/>
      </c>
      <c r="H2723" s="83" t="str">
        <f aca="false">IF(AND(B2723="",C2723="",D2723=""),"",IF(B2723="","Missing contract",IF(C2723="","Missing code",IF(LEFT(G2723,3)="Not","Wrong code",IF(D2723="","Missing qty",IF(A2723="","Missing date",""))))))</f>
        <v/>
      </c>
      <c r="I2723" s="84" t="str">
        <f aca="false">IF(B2723=Dashboard!$D$3,ROW(),"")</f>
        <v/>
      </c>
    </row>
    <row r="2724" customFormat="false" ht="15" hidden="false" customHeight="false" outlineLevel="0" collapsed="false">
      <c r="A2724" s="80"/>
      <c r="B2724" s="71"/>
      <c r="C2724" s="71"/>
      <c r="D2724" s="81"/>
      <c r="E2724" s="71"/>
      <c r="F2724" s="71"/>
      <c r="G2724" s="82" t="str">
        <f aca="false">IF(C2724="","",IFERROR(INDEX('Kit Lists'!$D$6:$D$605,MATCH(B2724&amp;"|"&amp;C2724,'Kit Lists'!$J$6:$J$605,0)),"Not on this contract's kit list"))</f>
        <v/>
      </c>
      <c r="H2724" s="83" t="str">
        <f aca="false">IF(AND(B2724="",C2724="",D2724=""),"",IF(B2724="","Missing contract",IF(C2724="","Missing code",IF(LEFT(G2724,3)="Not","Wrong code",IF(D2724="","Missing qty",IF(A2724="","Missing date",""))))))</f>
        <v/>
      </c>
      <c r="I2724" s="84" t="str">
        <f aca="false">IF(B2724=Dashboard!$D$3,ROW(),"")</f>
        <v/>
      </c>
    </row>
    <row r="2725" customFormat="false" ht="15" hidden="false" customHeight="false" outlineLevel="0" collapsed="false">
      <c r="A2725" s="80"/>
      <c r="B2725" s="71"/>
      <c r="C2725" s="71"/>
      <c r="D2725" s="81"/>
      <c r="E2725" s="71"/>
      <c r="F2725" s="71"/>
      <c r="G2725" s="82" t="str">
        <f aca="false">IF(C2725="","",IFERROR(INDEX('Kit Lists'!$D$6:$D$605,MATCH(B2725&amp;"|"&amp;C2725,'Kit Lists'!$J$6:$J$605,0)),"Not on this contract's kit list"))</f>
        <v/>
      </c>
      <c r="H2725" s="83" t="str">
        <f aca="false">IF(AND(B2725="",C2725="",D2725=""),"",IF(B2725="","Missing contract",IF(C2725="","Missing code",IF(LEFT(G2725,3)="Not","Wrong code",IF(D2725="","Missing qty",IF(A2725="","Missing date",""))))))</f>
        <v/>
      </c>
      <c r="I2725" s="84" t="str">
        <f aca="false">IF(B2725=Dashboard!$D$3,ROW(),"")</f>
        <v/>
      </c>
    </row>
    <row r="2726" customFormat="false" ht="15" hidden="false" customHeight="false" outlineLevel="0" collapsed="false">
      <c r="A2726" s="80"/>
      <c r="B2726" s="71"/>
      <c r="C2726" s="71"/>
      <c r="D2726" s="81"/>
      <c r="E2726" s="71"/>
      <c r="F2726" s="71"/>
      <c r="G2726" s="82" t="str">
        <f aca="false">IF(C2726="","",IFERROR(INDEX('Kit Lists'!$D$6:$D$605,MATCH(B2726&amp;"|"&amp;C2726,'Kit Lists'!$J$6:$J$605,0)),"Not on this contract's kit list"))</f>
        <v/>
      </c>
      <c r="H2726" s="83" t="str">
        <f aca="false">IF(AND(B2726="",C2726="",D2726=""),"",IF(B2726="","Missing contract",IF(C2726="","Missing code",IF(LEFT(G2726,3)="Not","Wrong code",IF(D2726="","Missing qty",IF(A2726="","Missing date",""))))))</f>
        <v/>
      </c>
      <c r="I2726" s="84" t="str">
        <f aca="false">IF(B2726=Dashboard!$D$3,ROW(),"")</f>
        <v/>
      </c>
    </row>
    <row r="2727" customFormat="false" ht="15" hidden="false" customHeight="false" outlineLevel="0" collapsed="false">
      <c r="A2727" s="80"/>
      <c r="B2727" s="71"/>
      <c r="C2727" s="71"/>
      <c r="D2727" s="81"/>
      <c r="E2727" s="71"/>
      <c r="F2727" s="71"/>
      <c r="G2727" s="82" t="str">
        <f aca="false">IF(C2727="","",IFERROR(INDEX('Kit Lists'!$D$6:$D$605,MATCH(B2727&amp;"|"&amp;C2727,'Kit Lists'!$J$6:$J$605,0)),"Not on this contract's kit list"))</f>
        <v/>
      </c>
      <c r="H2727" s="83" t="str">
        <f aca="false">IF(AND(B2727="",C2727="",D2727=""),"",IF(B2727="","Missing contract",IF(C2727="","Missing code",IF(LEFT(G2727,3)="Not","Wrong code",IF(D2727="","Missing qty",IF(A2727="","Missing date",""))))))</f>
        <v/>
      </c>
      <c r="I2727" s="84" t="str">
        <f aca="false">IF(B2727=Dashboard!$D$3,ROW(),"")</f>
        <v/>
      </c>
    </row>
    <row r="2728" customFormat="false" ht="15" hidden="false" customHeight="false" outlineLevel="0" collapsed="false">
      <c r="A2728" s="80"/>
      <c r="B2728" s="71"/>
      <c r="C2728" s="71"/>
      <c r="D2728" s="81"/>
      <c r="E2728" s="71"/>
      <c r="F2728" s="71"/>
      <c r="G2728" s="82" t="str">
        <f aca="false">IF(C2728="","",IFERROR(INDEX('Kit Lists'!$D$6:$D$605,MATCH(B2728&amp;"|"&amp;C2728,'Kit Lists'!$J$6:$J$605,0)),"Not on this contract's kit list"))</f>
        <v/>
      </c>
      <c r="H2728" s="83" t="str">
        <f aca="false">IF(AND(B2728="",C2728="",D2728=""),"",IF(B2728="","Missing contract",IF(C2728="","Missing code",IF(LEFT(G2728,3)="Not","Wrong code",IF(D2728="","Missing qty",IF(A2728="","Missing date",""))))))</f>
        <v/>
      </c>
      <c r="I2728" s="84" t="str">
        <f aca="false">IF(B2728=Dashboard!$D$3,ROW(),"")</f>
        <v/>
      </c>
    </row>
    <row r="2729" customFormat="false" ht="15" hidden="false" customHeight="false" outlineLevel="0" collapsed="false">
      <c r="A2729" s="80"/>
      <c r="B2729" s="71"/>
      <c r="C2729" s="71"/>
      <c r="D2729" s="81"/>
      <c r="E2729" s="71"/>
      <c r="F2729" s="71"/>
      <c r="G2729" s="82" t="str">
        <f aca="false">IF(C2729="","",IFERROR(INDEX('Kit Lists'!$D$6:$D$605,MATCH(B2729&amp;"|"&amp;C2729,'Kit Lists'!$J$6:$J$605,0)),"Not on this contract's kit list"))</f>
        <v/>
      </c>
      <c r="H2729" s="83" t="str">
        <f aca="false">IF(AND(B2729="",C2729="",D2729=""),"",IF(B2729="","Missing contract",IF(C2729="","Missing code",IF(LEFT(G2729,3)="Not","Wrong code",IF(D2729="","Missing qty",IF(A2729="","Missing date",""))))))</f>
        <v/>
      </c>
      <c r="I2729" s="84" t="str">
        <f aca="false">IF(B2729=Dashboard!$D$3,ROW(),"")</f>
        <v/>
      </c>
    </row>
    <row r="2730" customFormat="false" ht="15" hidden="false" customHeight="false" outlineLevel="0" collapsed="false">
      <c r="A2730" s="80"/>
      <c r="B2730" s="71"/>
      <c r="C2730" s="71"/>
      <c r="D2730" s="81"/>
      <c r="E2730" s="71"/>
      <c r="F2730" s="71"/>
      <c r="G2730" s="82" t="str">
        <f aca="false">IF(C2730="","",IFERROR(INDEX('Kit Lists'!$D$6:$D$605,MATCH(B2730&amp;"|"&amp;C2730,'Kit Lists'!$J$6:$J$605,0)),"Not on this contract's kit list"))</f>
        <v/>
      </c>
      <c r="H2730" s="83" t="str">
        <f aca="false">IF(AND(B2730="",C2730="",D2730=""),"",IF(B2730="","Missing contract",IF(C2730="","Missing code",IF(LEFT(G2730,3)="Not","Wrong code",IF(D2730="","Missing qty",IF(A2730="","Missing date",""))))))</f>
        <v/>
      </c>
      <c r="I2730" s="84" t="str">
        <f aca="false">IF(B2730=Dashboard!$D$3,ROW(),"")</f>
        <v/>
      </c>
    </row>
    <row r="2731" customFormat="false" ht="15" hidden="false" customHeight="false" outlineLevel="0" collapsed="false">
      <c r="A2731" s="80"/>
      <c r="B2731" s="71"/>
      <c r="C2731" s="71"/>
      <c r="D2731" s="81"/>
      <c r="E2731" s="71"/>
      <c r="F2731" s="71"/>
      <c r="G2731" s="82" t="str">
        <f aca="false">IF(C2731="","",IFERROR(INDEX('Kit Lists'!$D$6:$D$605,MATCH(B2731&amp;"|"&amp;C2731,'Kit Lists'!$J$6:$J$605,0)),"Not on this contract's kit list"))</f>
        <v/>
      </c>
      <c r="H2731" s="83" t="str">
        <f aca="false">IF(AND(B2731="",C2731="",D2731=""),"",IF(B2731="","Missing contract",IF(C2731="","Missing code",IF(LEFT(G2731,3)="Not","Wrong code",IF(D2731="","Missing qty",IF(A2731="","Missing date",""))))))</f>
        <v/>
      </c>
      <c r="I2731" s="84" t="str">
        <f aca="false">IF(B2731=Dashboard!$D$3,ROW(),"")</f>
        <v/>
      </c>
    </row>
    <row r="2732" customFormat="false" ht="15" hidden="false" customHeight="false" outlineLevel="0" collapsed="false">
      <c r="A2732" s="80"/>
      <c r="B2732" s="71"/>
      <c r="C2732" s="71"/>
      <c r="D2732" s="81"/>
      <c r="E2732" s="71"/>
      <c r="F2732" s="71"/>
      <c r="G2732" s="82" t="str">
        <f aca="false">IF(C2732="","",IFERROR(INDEX('Kit Lists'!$D$6:$D$605,MATCH(B2732&amp;"|"&amp;C2732,'Kit Lists'!$J$6:$J$605,0)),"Not on this contract's kit list"))</f>
        <v/>
      </c>
      <c r="H2732" s="83" t="str">
        <f aca="false">IF(AND(B2732="",C2732="",D2732=""),"",IF(B2732="","Missing contract",IF(C2732="","Missing code",IF(LEFT(G2732,3)="Not","Wrong code",IF(D2732="","Missing qty",IF(A2732="","Missing date",""))))))</f>
        <v/>
      </c>
      <c r="I2732" s="84" t="str">
        <f aca="false">IF(B2732=Dashboard!$D$3,ROW(),"")</f>
        <v/>
      </c>
    </row>
    <row r="2733" customFormat="false" ht="15" hidden="false" customHeight="false" outlineLevel="0" collapsed="false">
      <c r="A2733" s="80"/>
      <c r="B2733" s="71"/>
      <c r="C2733" s="71"/>
      <c r="D2733" s="81"/>
      <c r="E2733" s="71"/>
      <c r="F2733" s="71"/>
      <c r="G2733" s="82" t="str">
        <f aca="false">IF(C2733="","",IFERROR(INDEX('Kit Lists'!$D$6:$D$605,MATCH(B2733&amp;"|"&amp;C2733,'Kit Lists'!$J$6:$J$605,0)),"Not on this contract's kit list"))</f>
        <v/>
      </c>
      <c r="H2733" s="83" t="str">
        <f aca="false">IF(AND(B2733="",C2733="",D2733=""),"",IF(B2733="","Missing contract",IF(C2733="","Missing code",IF(LEFT(G2733,3)="Not","Wrong code",IF(D2733="","Missing qty",IF(A2733="","Missing date",""))))))</f>
        <v/>
      </c>
      <c r="I2733" s="84" t="str">
        <f aca="false">IF(B2733=Dashboard!$D$3,ROW(),"")</f>
        <v/>
      </c>
    </row>
    <row r="2734" customFormat="false" ht="15" hidden="false" customHeight="false" outlineLevel="0" collapsed="false">
      <c r="A2734" s="80"/>
      <c r="B2734" s="71"/>
      <c r="C2734" s="71"/>
      <c r="D2734" s="81"/>
      <c r="E2734" s="71"/>
      <c r="F2734" s="71"/>
      <c r="G2734" s="82" t="str">
        <f aca="false">IF(C2734="","",IFERROR(INDEX('Kit Lists'!$D$6:$D$605,MATCH(B2734&amp;"|"&amp;C2734,'Kit Lists'!$J$6:$J$605,0)),"Not on this contract's kit list"))</f>
        <v/>
      </c>
      <c r="H2734" s="83" t="str">
        <f aca="false">IF(AND(B2734="",C2734="",D2734=""),"",IF(B2734="","Missing contract",IF(C2734="","Missing code",IF(LEFT(G2734,3)="Not","Wrong code",IF(D2734="","Missing qty",IF(A2734="","Missing date",""))))))</f>
        <v/>
      </c>
      <c r="I2734" s="84" t="str">
        <f aca="false">IF(B2734=Dashboard!$D$3,ROW(),"")</f>
        <v/>
      </c>
    </row>
    <row r="2735" customFormat="false" ht="15" hidden="false" customHeight="false" outlineLevel="0" collapsed="false">
      <c r="A2735" s="80"/>
      <c r="B2735" s="71"/>
      <c r="C2735" s="71"/>
      <c r="D2735" s="81"/>
      <c r="E2735" s="71"/>
      <c r="F2735" s="71"/>
      <c r="G2735" s="82" t="str">
        <f aca="false">IF(C2735="","",IFERROR(INDEX('Kit Lists'!$D$6:$D$605,MATCH(B2735&amp;"|"&amp;C2735,'Kit Lists'!$J$6:$J$605,0)),"Not on this contract's kit list"))</f>
        <v/>
      </c>
      <c r="H2735" s="83" t="str">
        <f aca="false">IF(AND(B2735="",C2735="",D2735=""),"",IF(B2735="","Missing contract",IF(C2735="","Missing code",IF(LEFT(G2735,3)="Not","Wrong code",IF(D2735="","Missing qty",IF(A2735="","Missing date",""))))))</f>
        <v/>
      </c>
      <c r="I2735" s="84" t="str">
        <f aca="false">IF(B2735=Dashboard!$D$3,ROW(),"")</f>
        <v/>
      </c>
    </row>
    <row r="2736" customFormat="false" ht="15" hidden="false" customHeight="false" outlineLevel="0" collapsed="false">
      <c r="A2736" s="80"/>
      <c r="B2736" s="71"/>
      <c r="C2736" s="71"/>
      <c r="D2736" s="81"/>
      <c r="E2736" s="71"/>
      <c r="F2736" s="71"/>
      <c r="G2736" s="82" t="str">
        <f aca="false">IF(C2736="","",IFERROR(INDEX('Kit Lists'!$D$6:$D$605,MATCH(B2736&amp;"|"&amp;C2736,'Kit Lists'!$J$6:$J$605,0)),"Not on this contract's kit list"))</f>
        <v/>
      </c>
      <c r="H2736" s="83" t="str">
        <f aca="false">IF(AND(B2736="",C2736="",D2736=""),"",IF(B2736="","Missing contract",IF(C2736="","Missing code",IF(LEFT(G2736,3)="Not","Wrong code",IF(D2736="","Missing qty",IF(A2736="","Missing date",""))))))</f>
        <v/>
      </c>
      <c r="I2736" s="84" t="str">
        <f aca="false">IF(B2736=Dashboard!$D$3,ROW(),"")</f>
        <v/>
      </c>
    </row>
    <row r="2737" customFormat="false" ht="15" hidden="false" customHeight="false" outlineLevel="0" collapsed="false">
      <c r="A2737" s="80"/>
      <c r="B2737" s="71"/>
      <c r="C2737" s="71"/>
      <c r="D2737" s="81"/>
      <c r="E2737" s="71"/>
      <c r="F2737" s="71"/>
      <c r="G2737" s="82" t="str">
        <f aca="false">IF(C2737="","",IFERROR(INDEX('Kit Lists'!$D$6:$D$605,MATCH(B2737&amp;"|"&amp;C2737,'Kit Lists'!$J$6:$J$605,0)),"Not on this contract's kit list"))</f>
        <v/>
      </c>
      <c r="H2737" s="83" t="str">
        <f aca="false">IF(AND(B2737="",C2737="",D2737=""),"",IF(B2737="","Missing contract",IF(C2737="","Missing code",IF(LEFT(G2737,3)="Not","Wrong code",IF(D2737="","Missing qty",IF(A2737="","Missing date",""))))))</f>
        <v/>
      </c>
      <c r="I2737" s="84" t="str">
        <f aca="false">IF(B2737=Dashboard!$D$3,ROW(),"")</f>
        <v/>
      </c>
    </row>
    <row r="2738" customFormat="false" ht="15" hidden="false" customHeight="false" outlineLevel="0" collapsed="false">
      <c r="A2738" s="80"/>
      <c r="B2738" s="71"/>
      <c r="C2738" s="71"/>
      <c r="D2738" s="81"/>
      <c r="E2738" s="71"/>
      <c r="F2738" s="71"/>
      <c r="G2738" s="82" t="str">
        <f aca="false">IF(C2738="","",IFERROR(INDEX('Kit Lists'!$D$6:$D$605,MATCH(B2738&amp;"|"&amp;C2738,'Kit Lists'!$J$6:$J$605,0)),"Not on this contract's kit list"))</f>
        <v/>
      </c>
      <c r="H2738" s="83" t="str">
        <f aca="false">IF(AND(B2738="",C2738="",D2738=""),"",IF(B2738="","Missing contract",IF(C2738="","Missing code",IF(LEFT(G2738,3)="Not","Wrong code",IF(D2738="","Missing qty",IF(A2738="","Missing date",""))))))</f>
        <v/>
      </c>
      <c r="I2738" s="84" t="str">
        <f aca="false">IF(B2738=Dashboard!$D$3,ROW(),"")</f>
        <v/>
      </c>
    </row>
    <row r="2739" customFormat="false" ht="15" hidden="false" customHeight="false" outlineLevel="0" collapsed="false">
      <c r="A2739" s="80"/>
      <c r="B2739" s="71"/>
      <c r="C2739" s="71"/>
      <c r="D2739" s="81"/>
      <c r="E2739" s="71"/>
      <c r="F2739" s="71"/>
      <c r="G2739" s="82" t="str">
        <f aca="false">IF(C2739="","",IFERROR(INDEX('Kit Lists'!$D$6:$D$605,MATCH(B2739&amp;"|"&amp;C2739,'Kit Lists'!$J$6:$J$605,0)),"Not on this contract's kit list"))</f>
        <v/>
      </c>
      <c r="H2739" s="83" t="str">
        <f aca="false">IF(AND(B2739="",C2739="",D2739=""),"",IF(B2739="","Missing contract",IF(C2739="","Missing code",IF(LEFT(G2739,3)="Not","Wrong code",IF(D2739="","Missing qty",IF(A2739="","Missing date",""))))))</f>
        <v/>
      </c>
      <c r="I2739" s="84" t="str">
        <f aca="false">IF(B2739=Dashboard!$D$3,ROW(),"")</f>
        <v/>
      </c>
    </row>
    <row r="2740" customFormat="false" ht="15" hidden="false" customHeight="false" outlineLevel="0" collapsed="false">
      <c r="A2740" s="80"/>
      <c r="B2740" s="71"/>
      <c r="C2740" s="71"/>
      <c r="D2740" s="81"/>
      <c r="E2740" s="71"/>
      <c r="F2740" s="71"/>
      <c r="G2740" s="82" t="str">
        <f aca="false">IF(C2740="","",IFERROR(INDEX('Kit Lists'!$D$6:$D$605,MATCH(B2740&amp;"|"&amp;C2740,'Kit Lists'!$J$6:$J$605,0)),"Not on this contract's kit list"))</f>
        <v/>
      </c>
      <c r="H2740" s="83" t="str">
        <f aca="false">IF(AND(B2740="",C2740="",D2740=""),"",IF(B2740="","Missing contract",IF(C2740="","Missing code",IF(LEFT(G2740,3)="Not","Wrong code",IF(D2740="","Missing qty",IF(A2740="","Missing date",""))))))</f>
        <v/>
      </c>
      <c r="I2740" s="84" t="str">
        <f aca="false">IF(B2740=Dashboard!$D$3,ROW(),"")</f>
        <v/>
      </c>
    </row>
    <row r="2741" customFormat="false" ht="15" hidden="false" customHeight="false" outlineLevel="0" collapsed="false">
      <c r="A2741" s="80"/>
      <c r="B2741" s="71"/>
      <c r="C2741" s="71"/>
      <c r="D2741" s="81"/>
      <c r="E2741" s="71"/>
      <c r="F2741" s="71"/>
      <c r="G2741" s="82" t="str">
        <f aca="false">IF(C2741="","",IFERROR(INDEX('Kit Lists'!$D$6:$D$605,MATCH(B2741&amp;"|"&amp;C2741,'Kit Lists'!$J$6:$J$605,0)),"Not on this contract's kit list"))</f>
        <v/>
      </c>
      <c r="H2741" s="83" t="str">
        <f aca="false">IF(AND(B2741="",C2741="",D2741=""),"",IF(B2741="","Missing contract",IF(C2741="","Missing code",IF(LEFT(G2741,3)="Not","Wrong code",IF(D2741="","Missing qty",IF(A2741="","Missing date",""))))))</f>
        <v/>
      </c>
      <c r="I2741" s="84" t="str">
        <f aca="false">IF(B2741=Dashboard!$D$3,ROW(),"")</f>
        <v/>
      </c>
    </row>
    <row r="2742" customFormat="false" ht="15" hidden="false" customHeight="false" outlineLevel="0" collapsed="false">
      <c r="A2742" s="80"/>
      <c r="B2742" s="71"/>
      <c r="C2742" s="71"/>
      <c r="D2742" s="81"/>
      <c r="E2742" s="71"/>
      <c r="F2742" s="71"/>
      <c r="G2742" s="82" t="str">
        <f aca="false">IF(C2742="","",IFERROR(INDEX('Kit Lists'!$D$6:$D$605,MATCH(B2742&amp;"|"&amp;C2742,'Kit Lists'!$J$6:$J$605,0)),"Not on this contract's kit list"))</f>
        <v/>
      </c>
      <c r="H2742" s="83" t="str">
        <f aca="false">IF(AND(B2742="",C2742="",D2742=""),"",IF(B2742="","Missing contract",IF(C2742="","Missing code",IF(LEFT(G2742,3)="Not","Wrong code",IF(D2742="","Missing qty",IF(A2742="","Missing date",""))))))</f>
        <v/>
      </c>
      <c r="I2742" s="84" t="str">
        <f aca="false">IF(B2742=Dashboard!$D$3,ROW(),"")</f>
        <v/>
      </c>
    </row>
    <row r="2743" customFormat="false" ht="15" hidden="false" customHeight="false" outlineLevel="0" collapsed="false">
      <c r="A2743" s="80"/>
      <c r="B2743" s="71"/>
      <c r="C2743" s="71"/>
      <c r="D2743" s="81"/>
      <c r="E2743" s="71"/>
      <c r="F2743" s="71"/>
      <c r="G2743" s="82" t="str">
        <f aca="false">IF(C2743="","",IFERROR(INDEX('Kit Lists'!$D$6:$D$605,MATCH(B2743&amp;"|"&amp;C2743,'Kit Lists'!$J$6:$J$605,0)),"Not on this contract's kit list"))</f>
        <v/>
      </c>
      <c r="H2743" s="83" t="str">
        <f aca="false">IF(AND(B2743="",C2743="",D2743=""),"",IF(B2743="","Missing contract",IF(C2743="","Missing code",IF(LEFT(G2743,3)="Not","Wrong code",IF(D2743="","Missing qty",IF(A2743="","Missing date",""))))))</f>
        <v/>
      </c>
      <c r="I2743" s="84" t="str">
        <f aca="false">IF(B2743=Dashboard!$D$3,ROW(),"")</f>
        <v/>
      </c>
    </row>
    <row r="2744" customFormat="false" ht="15" hidden="false" customHeight="false" outlineLevel="0" collapsed="false">
      <c r="A2744" s="80"/>
      <c r="B2744" s="71"/>
      <c r="C2744" s="71"/>
      <c r="D2744" s="81"/>
      <c r="E2744" s="71"/>
      <c r="F2744" s="71"/>
      <c r="G2744" s="82" t="str">
        <f aca="false">IF(C2744="","",IFERROR(INDEX('Kit Lists'!$D$6:$D$605,MATCH(B2744&amp;"|"&amp;C2744,'Kit Lists'!$J$6:$J$605,0)),"Not on this contract's kit list"))</f>
        <v/>
      </c>
      <c r="H2744" s="83" t="str">
        <f aca="false">IF(AND(B2744="",C2744="",D2744=""),"",IF(B2744="","Missing contract",IF(C2744="","Missing code",IF(LEFT(G2744,3)="Not","Wrong code",IF(D2744="","Missing qty",IF(A2744="","Missing date",""))))))</f>
        <v/>
      </c>
      <c r="I2744" s="84" t="str">
        <f aca="false">IF(B2744=Dashboard!$D$3,ROW(),"")</f>
        <v/>
      </c>
    </row>
    <row r="2745" customFormat="false" ht="15" hidden="false" customHeight="false" outlineLevel="0" collapsed="false">
      <c r="A2745" s="80"/>
      <c r="B2745" s="71"/>
      <c r="C2745" s="71"/>
      <c r="D2745" s="81"/>
      <c r="E2745" s="71"/>
      <c r="F2745" s="71"/>
      <c r="G2745" s="82" t="str">
        <f aca="false">IF(C2745="","",IFERROR(INDEX('Kit Lists'!$D$6:$D$605,MATCH(B2745&amp;"|"&amp;C2745,'Kit Lists'!$J$6:$J$605,0)),"Not on this contract's kit list"))</f>
        <v/>
      </c>
      <c r="H2745" s="83" t="str">
        <f aca="false">IF(AND(B2745="",C2745="",D2745=""),"",IF(B2745="","Missing contract",IF(C2745="","Missing code",IF(LEFT(G2745,3)="Not","Wrong code",IF(D2745="","Missing qty",IF(A2745="","Missing date",""))))))</f>
        <v/>
      </c>
      <c r="I2745" s="84" t="str">
        <f aca="false">IF(B2745=Dashboard!$D$3,ROW(),"")</f>
        <v/>
      </c>
    </row>
    <row r="2746" customFormat="false" ht="15" hidden="false" customHeight="false" outlineLevel="0" collapsed="false">
      <c r="A2746" s="80"/>
      <c r="B2746" s="71"/>
      <c r="C2746" s="71"/>
      <c r="D2746" s="81"/>
      <c r="E2746" s="71"/>
      <c r="F2746" s="71"/>
      <c r="G2746" s="82" t="str">
        <f aca="false">IF(C2746="","",IFERROR(INDEX('Kit Lists'!$D$6:$D$605,MATCH(B2746&amp;"|"&amp;C2746,'Kit Lists'!$J$6:$J$605,0)),"Not on this contract's kit list"))</f>
        <v/>
      </c>
      <c r="H2746" s="83" t="str">
        <f aca="false">IF(AND(B2746="",C2746="",D2746=""),"",IF(B2746="","Missing contract",IF(C2746="","Missing code",IF(LEFT(G2746,3)="Not","Wrong code",IF(D2746="","Missing qty",IF(A2746="","Missing date",""))))))</f>
        <v/>
      </c>
      <c r="I2746" s="84" t="str">
        <f aca="false">IF(B2746=Dashboard!$D$3,ROW(),"")</f>
        <v/>
      </c>
    </row>
    <row r="2747" customFormat="false" ht="15" hidden="false" customHeight="false" outlineLevel="0" collapsed="false">
      <c r="A2747" s="80"/>
      <c r="B2747" s="71"/>
      <c r="C2747" s="71"/>
      <c r="D2747" s="81"/>
      <c r="E2747" s="71"/>
      <c r="F2747" s="71"/>
      <c r="G2747" s="82" t="str">
        <f aca="false">IF(C2747="","",IFERROR(INDEX('Kit Lists'!$D$6:$D$605,MATCH(B2747&amp;"|"&amp;C2747,'Kit Lists'!$J$6:$J$605,0)),"Not on this contract's kit list"))</f>
        <v/>
      </c>
      <c r="H2747" s="83" t="str">
        <f aca="false">IF(AND(B2747="",C2747="",D2747=""),"",IF(B2747="","Missing contract",IF(C2747="","Missing code",IF(LEFT(G2747,3)="Not","Wrong code",IF(D2747="","Missing qty",IF(A2747="","Missing date",""))))))</f>
        <v/>
      </c>
      <c r="I2747" s="84" t="str">
        <f aca="false">IF(B2747=Dashboard!$D$3,ROW(),"")</f>
        <v/>
      </c>
    </row>
    <row r="2748" customFormat="false" ht="15" hidden="false" customHeight="false" outlineLevel="0" collapsed="false">
      <c r="A2748" s="80"/>
      <c r="B2748" s="71"/>
      <c r="C2748" s="71"/>
      <c r="D2748" s="81"/>
      <c r="E2748" s="71"/>
      <c r="F2748" s="71"/>
      <c r="G2748" s="82" t="str">
        <f aca="false">IF(C2748="","",IFERROR(INDEX('Kit Lists'!$D$6:$D$605,MATCH(B2748&amp;"|"&amp;C2748,'Kit Lists'!$J$6:$J$605,0)),"Not on this contract's kit list"))</f>
        <v/>
      </c>
      <c r="H2748" s="83" t="str">
        <f aca="false">IF(AND(B2748="",C2748="",D2748=""),"",IF(B2748="","Missing contract",IF(C2748="","Missing code",IF(LEFT(G2748,3)="Not","Wrong code",IF(D2748="","Missing qty",IF(A2748="","Missing date",""))))))</f>
        <v/>
      </c>
      <c r="I2748" s="84" t="str">
        <f aca="false">IF(B2748=Dashboard!$D$3,ROW(),"")</f>
        <v/>
      </c>
    </row>
    <row r="2749" customFormat="false" ht="15" hidden="false" customHeight="false" outlineLevel="0" collapsed="false">
      <c r="A2749" s="80"/>
      <c r="B2749" s="71"/>
      <c r="C2749" s="71"/>
      <c r="D2749" s="81"/>
      <c r="E2749" s="71"/>
      <c r="F2749" s="71"/>
      <c r="G2749" s="82" t="str">
        <f aca="false">IF(C2749="","",IFERROR(INDEX('Kit Lists'!$D$6:$D$605,MATCH(B2749&amp;"|"&amp;C2749,'Kit Lists'!$J$6:$J$605,0)),"Not on this contract's kit list"))</f>
        <v/>
      </c>
      <c r="H2749" s="83" t="str">
        <f aca="false">IF(AND(B2749="",C2749="",D2749=""),"",IF(B2749="","Missing contract",IF(C2749="","Missing code",IF(LEFT(G2749,3)="Not","Wrong code",IF(D2749="","Missing qty",IF(A2749="","Missing date",""))))))</f>
        <v/>
      </c>
      <c r="I2749" s="84" t="str">
        <f aca="false">IF(B2749=Dashboard!$D$3,ROW(),"")</f>
        <v/>
      </c>
    </row>
    <row r="2750" customFormat="false" ht="15" hidden="false" customHeight="false" outlineLevel="0" collapsed="false">
      <c r="A2750" s="80"/>
      <c r="B2750" s="71"/>
      <c r="C2750" s="71"/>
      <c r="D2750" s="81"/>
      <c r="E2750" s="71"/>
      <c r="F2750" s="71"/>
      <c r="G2750" s="82" t="str">
        <f aca="false">IF(C2750="","",IFERROR(INDEX('Kit Lists'!$D$6:$D$605,MATCH(B2750&amp;"|"&amp;C2750,'Kit Lists'!$J$6:$J$605,0)),"Not on this contract's kit list"))</f>
        <v/>
      </c>
      <c r="H2750" s="83" t="str">
        <f aca="false">IF(AND(B2750="",C2750="",D2750=""),"",IF(B2750="","Missing contract",IF(C2750="","Missing code",IF(LEFT(G2750,3)="Not","Wrong code",IF(D2750="","Missing qty",IF(A2750="","Missing date",""))))))</f>
        <v/>
      </c>
      <c r="I2750" s="84" t="str">
        <f aca="false">IF(B2750=Dashboard!$D$3,ROW(),"")</f>
        <v/>
      </c>
    </row>
    <row r="2751" customFormat="false" ht="15" hidden="false" customHeight="false" outlineLevel="0" collapsed="false">
      <c r="A2751" s="80"/>
      <c r="B2751" s="71"/>
      <c r="C2751" s="71"/>
      <c r="D2751" s="81"/>
      <c r="E2751" s="71"/>
      <c r="F2751" s="71"/>
      <c r="G2751" s="82" t="str">
        <f aca="false">IF(C2751="","",IFERROR(INDEX('Kit Lists'!$D$6:$D$605,MATCH(B2751&amp;"|"&amp;C2751,'Kit Lists'!$J$6:$J$605,0)),"Not on this contract's kit list"))</f>
        <v/>
      </c>
      <c r="H2751" s="83" t="str">
        <f aca="false">IF(AND(B2751="",C2751="",D2751=""),"",IF(B2751="","Missing contract",IF(C2751="","Missing code",IF(LEFT(G2751,3)="Not","Wrong code",IF(D2751="","Missing qty",IF(A2751="","Missing date",""))))))</f>
        <v/>
      </c>
      <c r="I2751" s="84" t="str">
        <f aca="false">IF(B2751=Dashboard!$D$3,ROW(),"")</f>
        <v/>
      </c>
    </row>
    <row r="2752" customFormat="false" ht="15" hidden="false" customHeight="false" outlineLevel="0" collapsed="false">
      <c r="A2752" s="80"/>
      <c r="B2752" s="71"/>
      <c r="C2752" s="71"/>
      <c r="D2752" s="81"/>
      <c r="E2752" s="71"/>
      <c r="F2752" s="71"/>
      <c r="G2752" s="82" t="str">
        <f aca="false">IF(C2752="","",IFERROR(INDEX('Kit Lists'!$D$6:$D$605,MATCH(B2752&amp;"|"&amp;C2752,'Kit Lists'!$J$6:$J$605,0)),"Not on this contract's kit list"))</f>
        <v/>
      </c>
      <c r="H2752" s="83" t="str">
        <f aca="false">IF(AND(B2752="",C2752="",D2752=""),"",IF(B2752="","Missing contract",IF(C2752="","Missing code",IF(LEFT(G2752,3)="Not","Wrong code",IF(D2752="","Missing qty",IF(A2752="","Missing date",""))))))</f>
        <v/>
      </c>
      <c r="I2752" s="84" t="str">
        <f aca="false">IF(B2752=Dashboard!$D$3,ROW(),"")</f>
        <v/>
      </c>
    </row>
    <row r="2753" customFormat="false" ht="15" hidden="false" customHeight="false" outlineLevel="0" collapsed="false">
      <c r="A2753" s="80"/>
      <c r="B2753" s="71"/>
      <c r="C2753" s="71"/>
      <c r="D2753" s="81"/>
      <c r="E2753" s="71"/>
      <c r="F2753" s="71"/>
      <c r="G2753" s="82" t="str">
        <f aca="false">IF(C2753="","",IFERROR(INDEX('Kit Lists'!$D$6:$D$605,MATCH(B2753&amp;"|"&amp;C2753,'Kit Lists'!$J$6:$J$605,0)),"Not on this contract's kit list"))</f>
        <v/>
      </c>
      <c r="H2753" s="83" t="str">
        <f aca="false">IF(AND(B2753="",C2753="",D2753=""),"",IF(B2753="","Missing contract",IF(C2753="","Missing code",IF(LEFT(G2753,3)="Not","Wrong code",IF(D2753="","Missing qty",IF(A2753="","Missing date",""))))))</f>
        <v/>
      </c>
      <c r="I2753" s="84" t="str">
        <f aca="false">IF(B2753=Dashboard!$D$3,ROW(),"")</f>
        <v/>
      </c>
    </row>
    <row r="2754" customFormat="false" ht="15" hidden="false" customHeight="false" outlineLevel="0" collapsed="false">
      <c r="A2754" s="80"/>
      <c r="B2754" s="71"/>
      <c r="C2754" s="71"/>
      <c r="D2754" s="81"/>
      <c r="E2754" s="71"/>
      <c r="F2754" s="71"/>
      <c r="G2754" s="82" t="str">
        <f aca="false">IF(C2754="","",IFERROR(INDEX('Kit Lists'!$D$6:$D$605,MATCH(B2754&amp;"|"&amp;C2754,'Kit Lists'!$J$6:$J$605,0)),"Not on this contract's kit list"))</f>
        <v/>
      </c>
      <c r="H2754" s="83" t="str">
        <f aca="false">IF(AND(B2754="",C2754="",D2754=""),"",IF(B2754="","Missing contract",IF(C2754="","Missing code",IF(LEFT(G2754,3)="Not","Wrong code",IF(D2754="","Missing qty",IF(A2754="","Missing date",""))))))</f>
        <v/>
      </c>
      <c r="I2754" s="84" t="str">
        <f aca="false">IF(B2754=Dashboard!$D$3,ROW(),"")</f>
        <v/>
      </c>
    </row>
    <row r="2755" customFormat="false" ht="15" hidden="false" customHeight="false" outlineLevel="0" collapsed="false">
      <c r="A2755" s="80"/>
      <c r="B2755" s="71"/>
      <c r="C2755" s="71"/>
      <c r="D2755" s="81"/>
      <c r="E2755" s="71"/>
      <c r="F2755" s="71"/>
      <c r="G2755" s="82" t="str">
        <f aca="false">IF(C2755="","",IFERROR(INDEX('Kit Lists'!$D$6:$D$605,MATCH(B2755&amp;"|"&amp;C2755,'Kit Lists'!$J$6:$J$605,0)),"Not on this contract's kit list"))</f>
        <v/>
      </c>
      <c r="H2755" s="83" t="str">
        <f aca="false">IF(AND(B2755="",C2755="",D2755=""),"",IF(B2755="","Missing contract",IF(C2755="","Missing code",IF(LEFT(G2755,3)="Not","Wrong code",IF(D2755="","Missing qty",IF(A2755="","Missing date",""))))))</f>
        <v/>
      </c>
      <c r="I2755" s="84" t="str">
        <f aca="false">IF(B2755=Dashboard!$D$3,ROW(),"")</f>
        <v/>
      </c>
    </row>
    <row r="2756" customFormat="false" ht="15" hidden="false" customHeight="false" outlineLevel="0" collapsed="false">
      <c r="A2756" s="80"/>
      <c r="B2756" s="71"/>
      <c r="C2756" s="71"/>
      <c r="D2756" s="81"/>
      <c r="E2756" s="71"/>
      <c r="F2756" s="71"/>
      <c r="G2756" s="82" t="str">
        <f aca="false">IF(C2756="","",IFERROR(INDEX('Kit Lists'!$D$6:$D$605,MATCH(B2756&amp;"|"&amp;C2756,'Kit Lists'!$J$6:$J$605,0)),"Not on this contract's kit list"))</f>
        <v/>
      </c>
      <c r="H2756" s="83" t="str">
        <f aca="false">IF(AND(B2756="",C2756="",D2756=""),"",IF(B2756="","Missing contract",IF(C2756="","Missing code",IF(LEFT(G2756,3)="Not","Wrong code",IF(D2756="","Missing qty",IF(A2756="","Missing date",""))))))</f>
        <v/>
      </c>
      <c r="I2756" s="84" t="str">
        <f aca="false">IF(B2756=Dashboard!$D$3,ROW(),"")</f>
        <v/>
      </c>
    </row>
    <row r="2757" customFormat="false" ht="15" hidden="false" customHeight="false" outlineLevel="0" collapsed="false">
      <c r="A2757" s="80"/>
      <c r="B2757" s="71"/>
      <c r="C2757" s="71"/>
      <c r="D2757" s="81"/>
      <c r="E2757" s="71"/>
      <c r="F2757" s="71"/>
      <c r="G2757" s="82" t="str">
        <f aca="false">IF(C2757="","",IFERROR(INDEX('Kit Lists'!$D$6:$D$605,MATCH(B2757&amp;"|"&amp;C2757,'Kit Lists'!$J$6:$J$605,0)),"Not on this contract's kit list"))</f>
        <v/>
      </c>
      <c r="H2757" s="83" t="str">
        <f aca="false">IF(AND(B2757="",C2757="",D2757=""),"",IF(B2757="","Missing contract",IF(C2757="","Missing code",IF(LEFT(G2757,3)="Not","Wrong code",IF(D2757="","Missing qty",IF(A2757="","Missing date",""))))))</f>
        <v/>
      </c>
      <c r="I2757" s="84" t="str">
        <f aca="false">IF(B2757=Dashboard!$D$3,ROW(),"")</f>
        <v/>
      </c>
    </row>
    <row r="2758" customFormat="false" ht="15" hidden="false" customHeight="false" outlineLevel="0" collapsed="false">
      <c r="A2758" s="80"/>
      <c r="B2758" s="71"/>
      <c r="C2758" s="71"/>
      <c r="D2758" s="81"/>
      <c r="E2758" s="71"/>
      <c r="F2758" s="71"/>
      <c r="G2758" s="82" t="str">
        <f aca="false">IF(C2758="","",IFERROR(INDEX('Kit Lists'!$D$6:$D$605,MATCH(B2758&amp;"|"&amp;C2758,'Kit Lists'!$J$6:$J$605,0)),"Not on this contract's kit list"))</f>
        <v/>
      </c>
      <c r="H2758" s="83" t="str">
        <f aca="false">IF(AND(B2758="",C2758="",D2758=""),"",IF(B2758="","Missing contract",IF(C2758="","Missing code",IF(LEFT(G2758,3)="Not","Wrong code",IF(D2758="","Missing qty",IF(A2758="","Missing date",""))))))</f>
        <v/>
      </c>
      <c r="I2758" s="84" t="str">
        <f aca="false">IF(B2758=Dashboard!$D$3,ROW(),"")</f>
        <v/>
      </c>
    </row>
    <row r="2759" customFormat="false" ht="15" hidden="false" customHeight="false" outlineLevel="0" collapsed="false">
      <c r="A2759" s="80"/>
      <c r="B2759" s="71"/>
      <c r="C2759" s="71"/>
      <c r="D2759" s="81"/>
      <c r="E2759" s="71"/>
      <c r="F2759" s="71"/>
      <c r="G2759" s="82" t="str">
        <f aca="false">IF(C2759="","",IFERROR(INDEX('Kit Lists'!$D$6:$D$605,MATCH(B2759&amp;"|"&amp;C2759,'Kit Lists'!$J$6:$J$605,0)),"Not on this contract's kit list"))</f>
        <v/>
      </c>
      <c r="H2759" s="83" t="str">
        <f aca="false">IF(AND(B2759="",C2759="",D2759=""),"",IF(B2759="","Missing contract",IF(C2759="","Missing code",IF(LEFT(G2759,3)="Not","Wrong code",IF(D2759="","Missing qty",IF(A2759="","Missing date",""))))))</f>
        <v/>
      </c>
      <c r="I2759" s="84" t="str">
        <f aca="false">IF(B2759=Dashboard!$D$3,ROW(),"")</f>
        <v/>
      </c>
    </row>
    <row r="2760" customFormat="false" ht="15" hidden="false" customHeight="false" outlineLevel="0" collapsed="false">
      <c r="A2760" s="80"/>
      <c r="B2760" s="71"/>
      <c r="C2760" s="71"/>
      <c r="D2760" s="81"/>
      <c r="E2760" s="71"/>
      <c r="F2760" s="71"/>
      <c r="G2760" s="82" t="str">
        <f aca="false">IF(C2760="","",IFERROR(INDEX('Kit Lists'!$D$6:$D$605,MATCH(B2760&amp;"|"&amp;C2760,'Kit Lists'!$J$6:$J$605,0)),"Not on this contract's kit list"))</f>
        <v/>
      </c>
      <c r="H2760" s="83" t="str">
        <f aca="false">IF(AND(B2760="",C2760="",D2760=""),"",IF(B2760="","Missing contract",IF(C2760="","Missing code",IF(LEFT(G2760,3)="Not","Wrong code",IF(D2760="","Missing qty",IF(A2760="","Missing date",""))))))</f>
        <v/>
      </c>
      <c r="I2760" s="84" t="str">
        <f aca="false">IF(B2760=Dashboard!$D$3,ROW(),"")</f>
        <v/>
      </c>
    </row>
    <row r="2761" customFormat="false" ht="15" hidden="false" customHeight="false" outlineLevel="0" collapsed="false">
      <c r="A2761" s="80"/>
      <c r="B2761" s="71"/>
      <c r="C2761" s="71"/>
      <c r="D2761" s="81"/>
      <c r="E2761" s="71"/>
      <c r="F2761" s="71"/>
      <c r="G2761" s="82" t="str">
        <f aca="false">IF(C2761="","",IFERROR(INDEX('Kit Lists'!$D$6:$D$605,MATCH(B2761&amp;"|"&amp;C2761,'Kit Lists'!$J$6:$J$605,0)),"Not on this contract's kit list"))</f>
        <v/>
      </c>
      <c r="H2761" s="83" t="str">
        <f aca="false">IF(AND(B2761="",C2761="",D2761=""),"",IF(B2761="","Missing contract",IF(C2761="","Missing code",IF(LEFT(G2761,3)="Not","Wrong code",IF(D2761="","Missing qty",IF(A2761="","Missing date",""))))))</f>
        <v/>
      </c>
      <c r="I2761" s="84" t="str">
        <f aca="false">IF(B2761=Dashboard!$D$3,ROW(),"")</f>
        <v/>
      </c>
    </row>
    <row r="2762" customFormat="false" ht="15" hidden="false" customHeight="false" outlineLevel="0" collapsed="false">
      <c r="A2762" s="80"/>
      <c r="B2762" s="71"/>
      <c r="C2762" s="71"/>
      <c r="D2762" s="81"/>
      <c r="E2762" s="71"/>
      <c r="F2762" s="71"/>
      <c r="G2762" s="82" t="str">
        <f aca="false">IF(C2762="","",IFERROR(INDEX('Kit Lists'!$D$6:$D$605,MATCH(B2762&amp;"|"&amp;C2762,'Kit Lists'!$J$6:$J$605,0)),"Not on this contract's kit list"))</f>
        <v/>
      </c>
      <c r="H2762" s="83" t="str">
        <f aca="false">IF(AND(B2762="",C2762="",D2762=""),"",IF(B2762="","Missing contract",IF(C2762="","Missing code",IF(LEFT(G2762,3)="Not","Wrong code",IF(D2762="","Missing qty",IF(A2762="","Missing date",""))))))</f>
        <v/>
      </c>
      <c r="I2762" s="84" t="str">
        <f aca="false">IF(B2762=Dashboard!$D$3,ROW(),"")</f>
        <v/>
      </c>
    </row>
    <row r="2763" customFormat="false" ht="15" hidden="false" customHeight="false" outlineLevel="0" collapsed="false">
      <c r="A2763" s="80"/>
      <c r="B2763" s="71"/>
      <c r="C2763" s="71"/>
      <c r="D2763" s="81"/>
      <c r="E2763" s="71"/>
      <c r="F2763" s="71"/>
      <c r="G2763" s="82" t="str">
        <f aca="false">IF(C2763="","",IFERROR(INDEX('Kit Lists'!$D$6:$D$605,MATCH(B2763&amp;"|"&amp;C2763,'Kit Lists'!$J$6:$J$605,0)),"Not on this contract's kit list"))</f>
        <v/>
      </c>
      <c r="H2763" s="83" t="str">
        <f aca="false">IF(AND(B2763="",C2763="",D2763=""),"",IF(B2763="","Missing contract",IF(C2763="","Missing code",IF(LEFT(G2763,3)="Not","Wrong code",IF(D2763="","Missing qty",IF(A2763="","Missing date",""))))))</f>
        <v/>
      </c>
      <c r="I2763" s="84" t="str">
        <f aca="false">IF(B2763=Dashboard!$D$3,ROW(),"")</f>
        <v/>
      </c>
    </row>
    <row r="2764" customFormat="false" ht="15" hidden="false" customHeight="false" outlineLevel="0" collapsed="false">
      <c r="A2764" s="80"/>
      <c r="B2764" s="71"/>
      <c r="C2764" s="71"/>
      <c r="D2764" s="81"/>
      <c r="E2764" s="71"/>
      <c r="F2764" s="71"/>
      <c r="G2764" s="82" t="str">
        <f aca="false">IF(C2764="","",IFERROR(INDEX('Kit Lists'!$D$6:$D$605,MATCH(B2764&amp;"|"&amp;C2764,'Kit Lists'!$J$6:$J$605,0)),"Not on this contract's kit list"))</f>
        <v/>
      </c>
      <c r="H2764" s="83" t="str">
        <f aca="false">IF(AND(B2764="",C2764="",D2764=""),"",IF(B2764="","Missing contract",IF(C2764="","Missing code",IF(LEFT(G2764,3)="Not","Wrong code",IF(D2764="","Missing qty",IF(A2764="","Missing date",""))))))</f>
        <v/>
      </c>
      <c r="I2764" s="84" t="str">
        <f aca="false">IF(B2764=Dashboard!$D$3,ROW(),"")</f>
        <v/>
      </c>
    </row>
    <row r="2765" customFormat="false" ht="15" hidden="false" customHeight="false" outlineLevel="0" collapsed="false">
      <c r="A2765" s="80"/>
      <c r="B2765" s="71"/>
      <c r="C2765" s="71"/>
      <c r="D2765" s="81"/>
      <c r="E2765" s="71"/>
      <c r="F2765" s="71"/>
      <c r="G2765" s="82" t="str">
        <f aca="false">IF(C2765="","",IFERROR(INDEX('Kit Lists'!$D$6:$D$605,MATCH(B2765&amp;"|"&amp;C2765,'Kit Lists'!$J$6:$J$605,0)),"Not on this contract's kit list"))</f>
        <v/>
      </c>
      <c r="H2765" s="83" t="str">
        <f aca="false">IF(AND(B2765="",C2765="",D2765=""),"",IF(B2765="","Missing contract",IF(C2765="","Missing code",IF(LEFT(G2765,3)="Not","Wrong code",IF(D2765="","Missing qty",IF(A2765="","Missing date",""))))))</f>
        <v/>
      </c>
      <c r="I2765" s="84" t="str">
        <f aca="false">IF(B2765=Dashboard!$D$3,ROW(),"")</f>
        <v/>
      </c>
    </row>
    <row r="2766" customFormat="false" ht="15" hidden="false" customHeight="false" outlineLevel="0" collapsed="false">
      <c r="A2766" s="80"/>
      <c r="B2766" s="71"/>
      <c r="C2766" s="71"/>
      <c r="D2766" s="81"/>
      <c r="E2766" s="71"/>
      <c r="F2766" s="71"/>
      <c r="G2766" s="82" t="str">
        <f aca="false">IF(C2766="","",IFERROR(INDEX('Kit Lists'!$D$6:$D$605,MATCH(B2766&amp;"|"&amp;C2766,'Kit Lists'!$J$6:$J$605,0)),"Not on this contract's kit list"))</f>
        <v/>
      </c>
      <c r="H2766" s="83" t="str">
        <f aca="false">IF(AND(B2766="",C2766="",D2766=""),"",IF(B2766="","Missing contract",IF(C2766="","Missing code",IF(LEFT(G2766,3)="Not","Wrong code",IF(D2766="","Missing qty",IF(A2766="","Missing date",""))))))</f>
        <v/>
      </c>
      <c r="I2766" s="84" t="str">
        <f aca="false">IF(B2766=Dashboard!$D$3,ROW(),"")</f>
        <v/>
      </c>
    </row>
    <row r="2767" customFormat="false" ht="15" hidden="false" customHeight="false" outlineLevel="0" collapsed="false">
      <c r="A2767" s="80"/>
      <c r="B2767" s="71"/>
      <c r="C2767" s="71"/>
      <c r="D2767" s="81"/>
      <c r="E2767" s="71"/>
      <c r="F2767" s="71"/>
      <c r="G2767" s="82" t="str">
        <f aca="false">IF(C2767="","",IFERROR(INDEX('Kit Lists'!$D$6:$D$605,MATCH(B2767&amp;"|"&amp;C2767,'Kit Lists'!$J$6:$J$605,0)),"Not on this contract's kit list"))</f>
        <v/>
      </c>
      <c r="H2767" s="83" t="str">
        <f aca="false">IF(AND(B2767="",C2767="",D2767=""),"",IF(B2767="","Missing contract",IF(C2767="","Missing code",IF(LEFT(G2767,3)="Not","Wrong code",IF(D2767="","Missing qty",IF(A2767="","Missing date",""))))))</f>
        <v/>
      </c>
      <c r="I2767" s="84" t="str">
        <f aca="false">IF(B2767=Dashboard!$D$3,ROW(),"")</f>
        <v/>
      </c>
    </row>
    <row r="2768" customFormat="false" ht="15" hidden="false" customHeight="false" outlineLevel="0" collapsed="false">
      <c r="A2768" s="80"/>
      <c r="B2768" s="71"/>
      <c r="C2768" s="71"/>
      <c r="D2768" s="81"/>
      <c r="E2768" s="71"/>
      <c r="F2768" s="71"/>
      <c r="G2768" s="82" t="str">
        <f aca="false">IF(C2768="","",IFERROR(INDEX('Kit Lists'!$D$6:$D$605,MATCH(B2768&amp;"|"&amp;C2768,'Kit Lists'!$J$6:$J$605,0)),"Not on this contract's kit list"))</f>
        <v/>
      </c>
      <c r="H2768" s="83" t="str">
        <f aca="false">IF(AND(B2768="",C2768="",D2768=""),"",IF(B2768="","Missing contract",IF(C2768="","Missing code",IF(LEFT(G2768,3)="Not","Wrong code",IF(D2768="","Missing qty",IF(A2768="","Missing date",""))))))</f>
        <v/>
      </c>
      <c r="I2768" s="84" t="str">
        <f aca="false">IF(B2768=Dashboard!$D$3,ROW(),"")</f>
        <v/>
      </c>
    </row>
    <row r="2769" customFormat="false" ht="15" hidden="false" customHeight="false" outlineLevel="0" collapsed="false">
      <c r="A2769" s="80"/>
      <c r="B2769" s="71"/>
      <c r="C2769" s="71"/>
      <c r="D2769" s="81"/>
      <c r="E2769" s="71"/>
      <c r="F2769" s="71"/>
      <c r="G2769" s="82" t="str">
        <f aca="false">IF(C2769="","",IFERROR(INDEX('Kit Lists'!$D$6:$D$605,MATCH(B2769&amp;"|"&amp;C2769,'Kit Lists'!$J$6:$J$605,0)),"Not on this contract's kit list"))</f>
        <v/>
      </c>
      <c r="H2769" s="83" t="str">
        <f aca="false">IF(AND(B2769="",C2769="",D2769=""),"",IF(B2769="","Missing contract",IF(C2769="","Missing code",IF(LEFT(G2769,3)="Not","Wrong code",IF(D2769="","Missing qty",IF(A2769="","Missing date",""))))))</f>
        <v/>
      </c>
      <c r="I2769" s="84" t="str">
        <f aca="false">IF(B2769=Dashboard!$D$3,ROW(),"")</f>
        <v/>
      </c>
    </row>
    <row r="2770" customFormat="false" ht="15" hidden="false" customHeight="false" outlineLevel="0" collapsed="false">
      <c r="A2770" s="80"/>
      <c r="B2770" s="71"/>
      <c r="C2770" s="71"/>
      <c r="D2770" s="81"/>
      <c r="E2770" s="71"/>
      <c r="F2770" s="71"/>
      <c r="G2770" s="82" t="str">
        <f aca="false">IF(C2770="","",IFERROR(INDEX('Kit Lists'!$D$6:$D$605,MATCH(B2770&amp;"|"&amp;C2770,'Kit Lists'!$J$6:$J$605,0)),"Not on this contract's kit list"))</f>
        <v/>
      </c>
      <c r="H2770" s="83" t="str">
        <f aca="false">IF(AND(B2770="",C2770="",D2770=""),"",IF(B2770="","Missing contract",IF(C2770="","Missing code",IF(LEFT(G2770,3)="Not","Wrong code",IF(D2770="","Missing qty",IF(A2770="","Missing date",""))))))</f>
        <v/>
      </c>
      <c r="I2770" s="84" t="str">
        <f aca="false">IF(B2770=Dashboard!$D$3,ROW(),"")</f>
        <v/>
      </c>
    </row>
    <row r="2771" customFormat="false" ht="15" hidden="false" customHeight="false" outlineLevel="0" collapsed="false">
      <c r="A2771" s="80"/>
      <c r="B2771" s="71"/>
      <c r="C2771" s="71"/>
      <c r="D2771" s="81"/>
      <c r="E2771" s="71"/>
      <c r="F2771" s="71"/>
      <c r="G2771" s="82" t="str">
        <f aca="false">IF(C2771="","",IFERROR(INDEX('Kit Lists'!$D$6:$D$605,MATCH(B2771&amp;"|"&amp;C2771,'Kit Lists'!$J$6:$J$605,0)),"Not on this contract's kit list"))</f>
        <v/>
      </c>
      <c r="H2771" s="83" t="str">
        <f aca="false">IF(AND(B2771="",C2771="",D2771=""),"",IF(B2771="","Missing contract",IF(C2771="","Missing code",IF(LEFT(G2771,3)="Not","Wrong code",IF(D2771="","Missing qty",IF(A2771="","Missing date",""))))))</f>
        <v/>
      </c>
      <c r="I2771" s="84" t="str">
        <f aca="false">IF(B2771=Dashboard!$D$3,ROW(),"")</f>
        <v/>
      </c>
    </row>
    <row r="2772" customFormat="false" ht="15" hidden="false" customHeight="false" outlineLevel="0" collapsed="false">
      <c r="A2772" s="80"/>
      <c r="B2772" s="71"/>
      <c r="C2772" s="71"/>
      <c r="D2772" s="81"/>
      <c r="E2772" s="71"/>
      <c r="F2772" s="71"/>
      <c r="G2772" s="82" t="str">
        <f aca="false">IF(C2772="","",IFERROR(INDEX('Kit Lists'!$D$6:$D$605,MATCH(B2772&amp;"|"&amp;C2772,'Kit Lists'!$J$6:$J$605,0)),"Not on this contract's kit list"))</f>
        <v/>
      </c>
      <c r="H2772" s="83" t="str">
        <f aca="false">IF(AND(B2772="",C2772="",D2772=""),"",IF(B2772="","Missing contract",IF(C2772="","Missing code",IF(LEFT(G2772,3)="Not","Wrong code",IF(D2772="","Missing qty",IF(A2772="","Missing date",""))))))</f>
        <v/>
      </c>
      <c r="I2772" s="84" t="str">
        <f aca="false">IF(B2772=Dashboard!$D$3,ROW(),"")</f>
        <v/>
      </c>
    </row>
    <row r="2773" customFormat="false" ht="15" hidden="false" customHeight="false" outlineLevel="0" collapsed="false">
      <c r="A2773" s="80"/>
      <c r="B2773" s="71"/>
      <c r="C2773" s="71"/>
      <c r="D2773" s="81"/>
      <c r="E2773" s="71"/>
      <c r="F2773" s="71"/>
      <c r="G2773" s="82" t="str">
        <f aca="false">IF(C2773="","",IFERROR(INDEX('Kit Lists'!$D$6:$D$605,MATCH(B2773&amp;"|"&amp;C2773,'Kit Lists'!$J$6:$J$605,0)),"Not on this contract's kit list"))</f>
        <v/>
      </c>
      <c r="H2773" s="83" t="str">
        <f aca="false">IF(AND(B2773="",C2773="",D2773=""),"",IF(B2773="","Missing contract",IF(C2773="","Missing code",IF(LEFT(G2773,3)="Not","Wrong code",IF(D2773="","Missing qty",IF(A2773="","Missing date",""))))))</f>
        <v/>
      </c>
      <c r="I2773" s="84" t="str">
        <f aca="false">IF(B2773=Dashboard!$D$3,ROW(),"")</f>
        <v/>
      </c>
    </row>
    <row r="2774" customFormat="false" ht="15" hidden="false" customHeight="false" outlineLevel="0" collapsed="false">
      <c r="A2774" s="80"/>
      <c r="B2774" s="71"/>
      <c r="C2774" s="71"/>
      <c r="D2774" s="81"/>
      <c r="E2774" s="71"/>
      <c r="F2774" s="71"/>
      <c r="G2774" s="82" t="str">
        <f aca="false">IF(C2774="","",IFERROR(INDEX('Kit Lists'!$D$6:$D$605,MATCH(B2774&amp;"|"&amp;C2774,'Kit Lists'!$J$6:$J$605,0)),"Not on this contract's kit list"))</f>
        <v/>
      </c>
      <c r="H2774" s="83" t="str">
        <f aca="false">IF(AND(B2774="",C2774="",D2774=""),"",IF(B2774="","Missing contract",IF(C2774="","Missing code",IF(LEFT(G2774,3)="Not","Wrong code",IF(D2774="","Missing qty",IF(A2774="","Missing date",""))))))</f>
        <v/>
      </c>
      <c r="I2774" s="84" t="str">
        <f aca="false">IF(B2774=Dashboard!$D$3,ROW(),"")</f>
        <v/>
      </c>
    </row>
    <row r="2775" customFormat="false" ht="15" hidden="false" customHeight="false" outlineLevel="0" collapsed="false">
      <c r="A2775" s="80"/>
      <c r="B2775" s="71"/>
      <c r="C2775" s="71"/>
      <c r="D2775" s="81"/>
      <c r="E2775" s="71"/>
      <c r="F2775" s="71"/>
      <c r="G2775" s="82" t="str">
        <f aca="false">IF(C2775="","",IFERROR(INDEX('Kit Lists'!$D$6:$D$605,MATCH(B2775&amp;"|"&amp;C2775,'Kit Lists'!$J$6:$J$605,0)),"Not on this contract's kit list"))</f>
        <v/>
      </c>
      <c r="H2775" s="83" t="str">
        <f aca="false">IF(AND(B2775="",C2775="",D2775=""),"",IF(B2775="","Missing contract",IF(C2775="","Missing code",IF(LEFT(G2775,3)="Not","Wrong code",IF(D2775="","Missing qty",IF(A2775="","Missing date",""))))))</f>
        <v/>
      </c>
      <c r="I2775" s="84" t="str">
        <f aca="false">IF(B2775=Dashboard!$D$3,ROW(),"")</f>
        <v/>
      </c>
    </row>
    <row r="2776" customFormat="false" ht="15" hidden="false" customHeight="false" outlineLevel="0" collapsed="false">
      <c r="A2776" s="80"/>
      <c r="B2776" s="71"/>
      <c r="C2776" s="71"/>
      <c r="D2776" s="81"/>
      <c r="E2776" s="71"/>
      <c r="F2776" s="71"/>
      <c r="G2776" s="82" t="str">
        <f aca="false">IF(C2776="","",IFERROR(INDEX('Kit Lists'!$D$6:$D$605,MATCH(B2776&amp;"|"&amp;C2776,'Kit Lists'!$J$6:$J$605,0)),"Not on this contract's kit list"))</f>
        <v/>
      </c>
      <c r="H2776" s="83" t="str">
        <f aca="false">IF(AND(B2776="",C2776="",D2776=""),"",IF(B2776="","Missing contract",IF(C2776="","Missing code",IF(LEFT(G2776,3)="Not","Wrong code",IF(D2776="","Missing qty",IF(A2776="","Missing date",""))))))</f>
        <v/>
      </c>
      <c r="I2776" s="84" t="str">
        <f aca="false">IF(B2776=Dashboard!$D$3,ROW(),"")</f>
        <v/>
      </c>
    </row>
    <row r="2777" customFormat="false" ht="15" hidden="false" customHeight="false" outlineLevel="0" collapsed="false">
      <c r="A2777" s="80"/>
      <c r="B2777" s="71"/>
      <c r="C2777" s="71"/>
      <c r="D2777" s="81"/>
      <c r="E2777" s="71"/>
      <c r="F2777" s="71"/>
      <c r="G2777" s="82" t="str">
        <f aca="false">IF(C2777="","",IFERROR(INDEX('Kit Lists'!$D$6:$D$605,MATCH(B2777&amp;"|"&amp;C2777,'Kit Lists'!$J$6:$J$605,0)),"Not on this contract's kit list"))</f>
        <v/>
      </c>
      <c r="H2777" s="83" t="str">
        <f aca="false">IF(AND(B2777="",C2777="",D2777=""),"",IF(B2777="","Missing contract",IF(C2777="","Missing code",IF(LEFT(G2777,3)="Not","Wrong code",IF(D2777="","Missing qty",IF(A2777="","Missing date",""))))))</f>
        <v/>
      </c>
      <c r="I2777" s="84" t="str">
        <f aca="false">IF(B2777=Dashboard!$D$3,ROW(),"")</f>
        <v/>
      </c>
    </row>
    <row r="2778" customFormat="false" ht="15" hidden="false" customHeight="false" outlineLevel="0" collapsed="false">
      <c r="A2778" s="80"/>
      <c r="B2778" s="71"/>
      <c r="C2778" s="71"/>
      <c r="D2778" s="81"/>
      <c r="E2778" s="71"/>
      <c r="F2778" s="71"/>
      <c r="G2778" s="82" t="str">
        <f aca="false">IF(C2778="","",IFERROR(INDEX('Kit Lists'!$D$6:$D$605,MATCH(B2778&amp;"|"&amp;C2778,'Kit Lists'!$J$6:$J$605,0)),"Not on this contract's kit list"))</f>
        <v/>
      </c>
      <c r="H2778" s="83" t="str">
        <f aca="false">IF(AND(B2778="",C2778="",D2778=""),"",IF(B2778="","Missing contract",IF(C2778="","Missing code",IF(LEFT(G2778,3)="Not","Wrong code",IF(D2778="","Missing qty",IF(A2778="","Missing date",""))))))</f>
        <v/>
      </c>
      <c r="I2778" s="84" t="str">
        <f aca="false">IF(B2778=Dashboard!$D$3,ROW(),"")</f>
        <v/>
      </c>
    </row>
    <row r="2779" customFormat="false" ht="15" hidden="false" customHeight="false" outlineLevel="0" collapsed="false">
      <c r="A2779" s="80"/>
      <c r="B2779" s="71"/>
      <c r="C2779" s="71"/>
      <c r="D2779" s="81"/>
      <c r="E2779" s="71"/>
      <c r="F2779" s="71"/>
      <c r="G2779" s="82" t="str">
        <f aca="false">IF(C2779="","",IFERROR(INDEX('Kit Lists'!$D$6:$D$605,MATCH(B2779&amp;"|"&amp;C2779,'Kit Lists'!$J$6:$J$605,0)),"Not on this contract's kit list"))</f>
        <v/>
      </c>
      <c r="H2779" s="83" t="str">
        <f aca="false">IF(AND(B2779="",C2779="",D2779=""),"",IF(B2779="","Missing contract",IF(C2779="","Missing code",IF(LEFT(G2779,3)="Not","Wrong code",IF(D2779="","Missing qty",IF(A2779="","Missing date",""))))))</f>
        <v/>
      </c>
      <c r="I2779" s="84" t="str">
        <f aca="false">IF(B2779=Dashboard!$D$3,ROW(),"")</f>
        <v/>
      </c>
    </row>
    <row r="2780" customFormat="false" ht="15" hidden="false" customHeight="false" outlineLevel="0" collapsed="false">
      <c r="A2780" s="80"/>
      <c r="B2780" s="71"/>
      <c r="C2780" s="71"/>
      <c r="D2780" s="81"/>
      <c r="E2780" s="71"/>
      <c r="F2780" s="71"/>
      <c r="G2780" s="82" t="str">
        <f aca="false">IF(C2780="","",IFERROR(INDEX('Kit Lists'!$D$6:$D$605,MATCH(B2780&amp;"|"&amp;C2780,'Kit Lists'!$J$6:$J$605,0)),"Not on this contract's kit list"))</f>
        <v/>
      </c>
      <c r="H2780" s="83" t="str">
        <f aca="false">IF(AND(B2780="",C2780="",D2780=""),"",IF(B2780="","Missing contract",IF(C2780="","Missing code",IF(LEFT(G2780,3)="Not","Wrong code",IF(D2780="","Missing qty",IF(A2780="","Missing date",""))))))</f>
        <v/>
      </c>
      <c r="I2780" s="84" t="str">
        <f aca="false">IF(B2780=Dashboard!$D$3,ROW(),"")</f>
        <v/>
      </c>
    </row>
    <row r="2781" customFormat="false" ht="15" hidden="false" customHeight="false" outlineLevel="0" collapsed="false">
      <c r="A2781" s="80"/>
      <c r="B2781" s="71"/>
      <c r="C2781" s="71"/>
      <c r="D2781" s="81"/>
      <c r="E2781" s="71"/>
      <c r="F2781" s="71"/>
      <c r="G2781" s="82" t="str">
        <f aca="false">IF(C2781="","",IFERROR(INDEX('Kit Lists'!$D$6:$D$605,MATCH(B2781&amp;"|"&amp;C2781,'Kit Lists'!$J$6:$J$605,0)),"Not on this contract's kit list"))</f>
        <v/>
      </c>
      <c r="H2781" s="83" t="str">
        <f aca="false">IF(AND(B2781="",C2781="",D2781=""),"",IF(B2781="","Missing contract",IF(C2781="","Missing code",IF(LEFT(G2781,3)="Not","Wrong code",IF(D2781="","Missing qty",IF(A2781="","Missing date",""))))))</f>
        <v/>
      </c>
      <c r="I2781" s="84" t="str">
        <f aca="false">IF(B2781=Dashboard!$D$3,ROW(),"")</f>
        <v/>
      </c>
    </row>
    <row r="2782" customFormat="false" ht="15" hidden="false" customHeight="false" outlineLevel="0" collapsed="false">
      <c r="A2782" s="80"/>
      <c r="B2782" s="71"/>
      <c r="C2782" s="71"/>
      <c r="D2782" s="81"/>
      <c r="E2782" s="71"/>
      <c r="F2782" s="71"/>
      <c r="G2782" s="82" t="str">
        <f aca="false">IF(C2782="","",IFERROR(INDEX('Kit Lists'!$D$6:$D$605,MATCH(B2782&amp;"|"&amp;C2782,'Kit Lists'!$J$6:$J$605,0)),"Not on this contract's kit list"))</f>
        <v/>
      </c>
      <c r="H2782" s="83" t="str">
        <f aca="false">IF(AND(B2782="",C2782="",D2782=""),"",IF(B2782="","Missing contract",IF(C2782="","Missing code",IF(LEFT(G2782,3)="Not","Wrong code",IF(D2782="","Missing qty",IF(A2782="","Missing date",""))))))</f>
        <v/>
      </c>
      <c r="I2782" s="84" t="str">
        <f aca="false">IF(B2782=Dashboard!$D$3,ROW(),"")</f>
        <v/>
      </c>
    </row>
    <row r="2783" customFormat="false" ht="15" hidden="false" customHeight="false" outlineLevel="0" collapsed="false">
      <c r="A2783" s="80"/>
      <c r="B2783" s="71"/>
      <c r="C2783" s="71"/>
      <c r="D2783" s="81"/>
      <c r="E2783" s="71"/>
      <c r="F2783" s="71"/>
      <c r="G2783" s="82" t="str">
        <f aca="false">IF(C2783="","",IFERROR(INDEX('Kit Lists'!$D$6:$D$605,MATCH(B2783&amp;"|"&amp;C2783,'Kit Lists'!$J$6:$J$605,0)),"Not on this contract's kit list"))</f>
        <v/>
      </c>
      <c r="H2783" s="83" t="str">
        <f aca="false">IF(AND(B2783="",C2783="",D2783=""),"",IF(B2783="","Missing contract",IF(C2783="","Missing code",IF(LEFT(G2783,3)="Not","Wrong code",IF(D2783="","Missing qty",IF(A2783="","Missing date",""))))))</f>
        <v/>
      </c>
      <c r="I2783" s="84" t="str">
        <f aca="false">IF(B2783=Dashboard!$D$3,ROW(),"")</f>
        <v/>
      </c>
    </row>
    <row r="2784" customFormat="false" ht="15" hidden="false" customHeight="false" outlineLevel="0" collapsed="false">
      <c r="A2784" s="80"/>
      <c r="B2784" s="71"/>
      <c r="C2784" s="71"/>
      <c r="D2784" s="81"/>
      <c r="E2784" s="71"/>
      <c r="F2784" s="71"/>
      <c r="G2784" s="82" t="str">
        <f aca="false">IF(C2784="","",IFERROR(INDEX('Kit Lists'!$D$6:$D$605,MATCH(B2784&amp;"|"&amp;C2784,'Kit Lists'!$J$6:$J$605,0)),"Not on this contract's kit list"))</f>
        <v/>
      </c>
      <c r="H2784" s="83" t="str">
        <f aca="false">IF(AND(B2784="",C2784="",D2784=""),"",IF(B2784="","Missing contract",IF(C2784="","Missing code",IF(LEFT(G2784,3)="Not","Wrong code",IF(D2784="","Missing qty",IF(A2784="","Missing date",""))))))</f>
        <v/>
      </c>
      <c r="I2784" s="84" t="str">
        <f aca="false">IF(B2784=Dashboard!$D$3,ROW(),"")</f>
        <v/>
      </c>
    </row>
    <row r="2785" customFormat="false" ht="15" hidden="false" customHeight="false" outlineLevel="0" collapsed="false">
      <c r="A2785" s="80"/>
      <c r="B2785" s="71"/>
      <c r="C2785" s="71"/>
      <c r="D2785" s="81"/>
      <c r="E2785" s="71"/>
      <c r="F2785" s="71"/>
      <c r="G2785" s="82" t="str">
        <f aca="false">IF(C2785="","",IFERROR(INDEX('Kit Lists'!$D$6:$D$605,MATCH(B2785&amp;"|"&amp;C2785,'Kit Lists'!$J$6:$J$605,0)),"Not on this contract's kit list"))</f>
        <v/>
      </c>
      <c r="H2785" s="83" t="str">
        <f aca="false">IF(AND(B2785="",C2785="",D2785=""),"",IF(B2785="","Missing contract",IF(C2785="","Missing code",IF(LEFT(G2785,3)="Not","Wrong code",IF(D2785="","Missing qty",IF(A2785="","Missing date",""))))))</f>
        <v/>
      </c>
      <c r="I2785" s="84" t="str">
        <f aca="false">IF(B2785=Dashboard!$D$3,ROW(),"")</f>
        <v/>
      </c>
    </row>
    <row r="2786" customFormat="false" ht="15" hidden="false" customHeight="false" outlineLevel="0" collapsed="false">
      <c r="A2786" s="80"/>
      <c r="B2786" s="71"/>
      <c r="C2786" s="71"/>
      <c r="D2786" s="81"/>
      <c r="E2786" s="71"/>
      <c r="F2786" s="71"/>
      <c r="G2786" s="82" t="str">
        <f aca="false">IF(C2786="","",IFERROR(INDEX('Kit Lists'!$D$6:$D$605,MATCH(B2786&amp;"|"&amp;C2786,'Kit Lists'!$J$6:$J$605,0)),"Not on this contract's kit list"))</f>
        <v/>
      </c>
      <c r="H2786" s="83" t="str">
        <f aca="false">IF(AND(B2786="",C2786="",D2786=""),"",IF(B2786="","Missing contract",IF(C2786="","Missing code",IF(LEFT(G2786,3)="Not","Wrong code",IF(D2786="","Missing qty",IF(A2786="","Missing date",""))))))</f>
        <v/>
      </c>
      <c r="I2786" s="84" t="str">
        <f aca="false">IF(B2786=Dashboard!$D$3,ROW(),"")</f>
        <v/>
      </c>
    </row>
    <row r="2787" customFormat="false" ht="15" hidden="false" customHeight="false" outlineLevel="0" collapsed="false">
      <c r="A2787" s="80"/>
      <c r="B2787" s="71"/>
      <c r="C2787" s="71"/>
      <c r="D2787" s="81"/>
      <c r="E2787" s="71"/>
      <c r="F2787" s="71"/>
      <c r="G2787" s="82" t="str">
        <f aca="false">IF(C2787="","",IFERROR(INDEX('Kit Lists'!$D$6:$D$605,MATCH(B2787&amp;"|"&amp;C2787,'Kit Lists'!$J$6:$J$605,0)),"Not on this contract's kit list"))</f>
        <v/>
      </c>
      <c r="H2787" s="83" t="str">
        <f aca="false">IF(AND(B2787="",C2787="",D2787=""),"",IF(B2787="","Missing contract",IF(C2787="","Missing code",IF(LEFT(G2787,3)="Not","Wrong code",IF(D2787="","Missing qty",IF(A2787="","Missing date",""))))))</f>
        <v/>
      </c>
      <c r="I2787" s="84" t="str">
        <f aca="false">IF(B2787=Dashboard!$D$3,ROW(),"")</f>
        <v/>
      </c>
    </row>
    <row r="2788" customFormat="false" ht="15" hidden="false" customHeight="false" outlineLevel="0" collapsed="false">
      <c r="A2788" s="80"/>
      <c r="B2788" s="71"/>
      <c r="C2788" s="71"/>
      <c r="D2788" s="81"/>
      <c r="E2788" s="71"/>
      <c r="F2788" s="71"/>
      <c r="G2788" s="82" t="str">
        <f aca="false">IF(C2788="","",IFERROR(INDEX('Kit Lists'!$D$6:$D$605,MATCH(B2788&amp;"|"&amp;C2788,'Kit Lists'!$J$6:$J$605,0)),"Not on this contract's kit list"))</f>
        <v/>
      </c>
      <c r="H2788" s="83" t="str">
        <f aca="false">IF(AND(B2788="",C2788="",D2788=""),"",IF(B2788="","Missing contract",IF(C2788="","Missing code",IF(LEFT(G2788,3)="Not","Wrong code",IF(D2788="","Missing qty",IF(A2788="","Missing date",""))))))</f>
        <v/>
      </c>
      <c r="I2788" s="84" t="str">
        <f aca="false">IF(B2788=Dashboard!$D$3,ROW(),"")</f>
        <v/>
      </c>
    </row>
    <row r="2789" customFormat="false" ht="15" hidden="false" customHeight="false" outlineLevel="0" collapsed="false">
      <c r="A2789" s="80"/>
      <c r="B2789" s="71"/>
      <c r="C2789" s="71"/>
      <c r="D2789" s="81"/>
      <c r="E2789" s="71"/>
      <c r="F2789" s="71"/>
      <c r="G2789" s="82" t="str">
        <f aca="false">IF(C2789="","",IFERROR(INDEX('Kit Lists'!$D$6:$D$605,MATCH(B2789&amp;"|"&amp;C2789,'Kit Lists'!$J$6:$J$605,0)),"Not on this contract's kit list"))</f>
        <v/>
      </c>
      <c r="H2789" s="83" t="str">
        <f aca="false">IF(AND(B2789="",C2789="",D2789=""),"",IF(B2789="","Missing contract",IF(C2789="","Missing code",IF(LEFT(G2789,3)="Not","Wrong code",IF(D2789="","Missing qty",IF(A2789="","Missing date",""))))))</f>
        <v/>
      </c>
      <c r="I2789" s="84" t="str">
        <f aca="false">IF(B2789=Dashboard!$D$3,ROW(),"")</f>
        <v/>
      </c>
    </row>
    <row r="2790" customFormat="false" ht="15" hidden="false" customHeight="false" outlineLevel="0" collapsed="false">
      <c r="A2790" s="80"/>
      <c r="B2790" s="71"/>
      <c r="C2790" s="71"/>
      <c r="D2790" s="81"/>
      <c r="E2790" s="71"/>
      <c r="F2790" s="71"/>
      <c r="G2790" s="82" t="str">
        <f aca="false">IF(C2790="","",IFERROR(INDEX('Kit Lists'!$D$6:$D$605,MATCH(B2790&amp;"|"&amp;C2790,'Kit Lists'!$J$6:$J$605,0)),"Not on this contract's kit list"))</f>
        <v/>
      </c>
      <c r="H2790" s="83" t="str">
        <f aca="false">IF(AND(B2790="",C2790="",D2790=""),"",IF(B2790="","Missing contract",IF(C2790="","Missing code",IF(LEFT(G2790,3)="Not","Wrong code",IF(D2790="","Missing qty",IF(A2790="","Missing date",""))))))</f>
        <v/>
      </c>
      <c r="I2790" s="84" t="str">
        <f aca="false">IF(B2790=Dashboard!$D$3,ROW(),"")</f>
        <v/>
      </c>
    </row>
    <row r="2791" customFormat="false" ht="15" hidden="false" customHeight="false" outlineLevel="0" collapsed="false">
      <c r="A2791" s="80"/>
      <c r="B2791" s="71"/>
      <c r="C2791" s="71"/>
      <c r="D2791" s="81"/>
      <c r="E2791" s="71"/>
      <c r="F2791" s="71"/>
      <c r="G2791" s="82" t="str">
        <f aca="false">IF(C2791="","",IFERROR(INDEX('Kit Lists'!$D$6:$D$605,MATCH(B2791&amp;"|"&amp;C2791,'Kit Lists'!$J$6:$J$605,0)),"Not on this contract's kit list"))</f>
        <v/>
      </c>
      <c r="H2791" s="83" t="str">
        <f aca="false">IF(AND(B2791="",C2791="",D2791=""),"",IF(B2791="","Missing contract",IF(C2791="","Missing code",IF(LEFT(G2791,3)="Not","Wrong code",IF(D2791="","Missing qty",IF(A2791="","Missing date",""))))))</f>
        <v/>
      </c>
      <c r="I2791" s="84" t="str">
        <f aca="false">IF(B2791=Dashboard!$D$3,ROW(),"")</f>
        <v/>
      </c>
    </row>
    <row r="2792" customFormat="false" ht="15" hidden="false" customHeight="false" outlineLevel="0" collapsed="false">
      <c r="A2792" s="80"/>
      <c r="B2792" s="71"/>
      <c r="C2792" s="71"/>
      <c r="D2792" s="81"/>
      <c r="E2792" s="71"/>
      <c r="F2792" s="71"/>
      <c r="G2792" s="82" t="str">
        <f aca="false">IF(C2792="","",IFERROR(INDEX('Kit Lists'!$D$6:$D$605,MATCH(B2792&amp;"|"&amp;C2792,'Kit Lists'!$J$6:$J$605,0)),"Not on this contract's kit list"))</f>
        <v/>
      </c>
      <c r="H2792" s="83" t="str">
        <f aca="false">IF(AND(B2792="",C2792="",D2792=""),"",IF(B2792="","Missing contract",IF(C2792="","Missing code",IF(LEFT(G2792,3)="Not","Wrong code",IF(D2792="","Missing qty",IF(A2792="","Missing date",""))))))</f>
        <v/>
      </c>
      <c r="I2792" s="84" t="str">
        <f aca="false">IF(B2792=Dashboard!$D$3,ROW(),"")</f>
        <v/>
      </c>
    </row>
    <row r="2793" customFormat="false" ht="15" hidden="false" customHeight="false" outlineLevel="0" collapsed="false">
      <c r="A2793" s="80"/>
      <c r="B2793" s="71"/>
      <c r="C2793" s="71"/>
      <c r="D2793" s="81"/>
      <c r="E2793" s="71"/>
      <c r="F2793" s="71"/>
      <c r="G2793" s="82" t="str">
        <f aca="false">IF(C2793="","",IFERROR(INDEX('Kit Lists'!$D$6:$D$605,MATCH(B2793&amp;"|"&amp;C2793,'Kit Lists'!$J$6:$J$605,0)),"Not on this contract's kit list"))</f>
        <v/>
      </c>
      <c r="H2793" s="83" t="str">
        <f aca="false">IF(AND(B2793="",C2793="",D2793=""),"",IF(B2793="","Missing contract",IF(C2793="","Missing code",IF(LEFT(G2793,3)="Not","Wrong code",IF(D2793="","Missing qty",IF(A2793="","Missing date",""))))))</f>
        <v/>
      </c>
      <c r="I2793" s="84" t="str">
        <f aca="false">IF(B2793=Dashboard!$D$3,ROW(),"")</f>
        <v/>
      </c>
    </row>
    <row r="2794" customFormat="false" ht="15" hidden="false" customHeight="false" outlineLevel="0" collapsed="false">
      <c r="A2794" s="80"/>
      <c r="B2794" s="71"/>
      <c r="C2794" s="71"/>
      <c r="D2794" s="81"/>
      <c r="E2794" s="71"/>
      <c r="F2794" s="71"/>
      <c r="G2794" s="82" t="str">
        <f aca="false">IF(C2794="","",IFERROR(INDEX('Kit Lists'!$D$6:$D$605,MATCH(B2794&amp;"|"&amp;C2794,'Kit Lists'!$J$6:$J$605,0)),"Not on this contract's kit list"))</f>
        <v/>
      </c>
      <c r="H2794" s="83" t="str">
        <f aca="false">IF(AND(B2794="",C2794="",D2794=""),"",IF(B2794="","Missing contract",IF(C2794="","Missing code",IF(LEFT(G2794,3)="Not","Wrong code",IF(D2794="","Missing qty",IF(A2794="","Missing date",""))))))</f>
        <v/>
      </c>
      <c r="I2794" s="84" t="str">
        <f aca="false">IF(B2794=Dashboard!$D$3,ROW(),"")</f>
        <v/>
      </c>
    </row>
    <row r="2795" customFormat="false" ht="15" hidden="false" customHeight="false" outlineLevel="0" collapsed="false">
      <c r="A2795" s="80"/>
      <c r="B2795" s="71"/>
      <c r="C2795" s="71"/>
      <c r="D2795" s="81"/>
      <c r="E2795" s="71"/>
      <c r="F2795" s="71"/>
      <c r="G2795" s="82" t="str">
        <f aca="false">IF(C2795="","",IFERROR(INDEX('Kit Lists'!$D$6:$D$605,MATCH(B2795&amp;"|"&amp;C2795,'Kit Lists'!$J$6:$J$605,0)),"Not on this contract's kit list"))</f>
        <v/>
      </c>
      <c r="H2795" s="83" t="str">
        <f aca="false">IF(AND(B2795="",C2795="",D2795=""),"",IF(B2795="","Missing contract",IF(C2795="","Missing code",IF(LEFT(G2795,3)="Not","Wrong code",IF(D2795="","Missing qty",IF(A2795="","Missing date",""))))))</f>
        <v/>
      </c>
      <c r="I2795" s="84" t="str">
        <f aca="false">IF(B2795=Dashboard!$D$3,ROW(),"")</f>
        <v/>
      </c>
    </row>
    <row r="2796" customFormat="false" ht="15" hidden="false" customHeight="false" outlineLevel="0" collapsed="false">
      <c r="A2796" s="80"/>
      <c r="B2796" s="71"/>
      <c r="C2796" s="71"/>
      <c r="D2796" s="81"/>
      <c r="E2796" s="71"/>
      <c r="F2796" s="71"/>
      <c r="G2796" s="82" t="str">
        <f aca="false">IF(C2796="","",IFERROR(INDEX('Kit Lists'!$D$6:$D$605,MATCH(B2796&amp;"|"&amp;C2796,'Kit Lists'!$J$6:$J$605,0)),"Not on this contract's kit list"))</f>
        <v/>
      </c>
      <c r="H2796" s="83" t="str">
        <f aca="false">IF(AND(B2796="",C2796="",D2796=""),"",IF(B2796="","Missing contract",IF(C2796="","Missing code",IF(LEFT(G2796,3)="Not","Wrong code",IF(D2796="","Missing qty",IF(A2796="","Missing date",""))))))</f>
        <v/>
      </c>
      <c r="I2796" s="84" t="str">
        <f aca="false">IF(B2796=Dashboard!$D$3,ROW(),"")</f>
        <v/>
      </c>
    </row>
    <row r="2797" customFormat="false" ht="15" hidden="false" customHeight="false" outlineLevel="0" collapsed="false">
      <c r="A2797" s="80"/>
      <c r="B2797" s="71"/>
      <c r="C2797" s="71"/>
      <c r="D2797" s="81"/>
      <c r="E2797" s="71"/>
      <c r="F2797" s="71"/>
      <c r="G2797" s="82" t="str">
        <f aca="false">IF(C2797="","",IFERROR(INDEX('Kit Lists'!$D$6:$D$605,MATCH(B2797&amp;"|"&amp;C2797,'Kit Lists'!$J$6:$J$605,0)),"Not on this contract's kit list"))</f>
        <v/>
      </c>
      <c r="H2797" s="83" t="str">
        <f aca="false">IF(AND(B2797="",C2797="",D2797=""),"",IF(B2797="","Missing contract",IF(C2797="","Missing code",IF(LEFT(G2797,3)="Not","Wrong code",IF(D2797="","Missing qty",IF(A2797="","Missing date",""))))))</f>
        <v/>
      </c>
      <c r="I2797" s="84" t="str">
        <f aca="false">IF(B2797=Dashboard!$D$3,ROW(),"")</f>
        <v/>
      </c>
    </row>
    <row r="2798" customFormat="false" ht="15" hidden="false" customHeight="false" outlineLevel="0" collapsed="false">
      <c r="A2798" s="80"/>
      <c r="B2798" s="71"/>
      <c r="C2798" s="71"/>
      <c r="D2798" s="81"/>
      <c r="E2798" s="71"/>
      <c r="F2798" s="71"/>
      <c r="G2798" s="82" t="str">
        <f aca="false">IF(C2798="","",IFERROR(INDEX('Kit Lists'!$D$6:$D$605,MATCH(B2798&amp;"|"&amp;C2798,'Kit Lists'!$J$6:$J$605,0)),"Not on this contract's kit list"))</f>
        <v/>
      </c>
      <c r="H2798" s="83" t="str">
        <f aca="false">IF(AND(B2798="",C2798="",D2798=""),"",IF(B2798="","Missing contract",IF(C2798="","Missing code",IF(LEFT(G2798,3)="Not","Wrong code",IF(D2798="","Missing qty",IF(A2798="","Missing date",""))))))</f>
        <v/>
      </c>
      <c r="I2798" s="84" t="str">
        <f aca="false">IF(B2798=Dashboard!$D$3,ROW(),"")</f>
        <v/>
      </c>
    </row>
    <row r="2799" customFormat="false" ht="15" hidden="false" customHeight="false" outlineLevel="0" collapsed="false">
      <c r="A2799" s="80"/>
      <c r="B2799" s="71"/>
      <c r="C2799" s="71"/>
      <c r="D2799" s="81"/>
      <c r="E2799" s="71"/>
      <c r="F2799" s="71"/>
      <c r="G2799" s="82" t="str">
        <f aca="false">IF(C2799="","",IFERROR(INDEX('Kit Lists'!$D$6:$D$605,MATCH(B2799&amp;"|"&amp;C2799,'Kit Lists'!$J$6:$J$605,0)),"Not on this contract's kit list"))</f>
        <v/>
      </c>
      <c r="H2799" s="83" t="str">
        <f aca="false">IF(AND(B2799="",C2799="",D2799=""),"",IF(B2799="","Missing contract",IF(C2799="","Missing code",IF(LEFT(G2799,3)="Not","Wrong code",IF(D2799="","Missing qty",IF(A2799="","Missing date",""))))))</f>
        <v/>
      </c>
      <c r="I2799" s="84" t="str">
        <f aca="false">IF(B2799=Dashboard!$D$3,ROW(),"")</f>
        <v/>
      </c>
    </row>
    <row r="2800" customFormat="false" ht="15" hidden="false" customHeight="false" outlineLevel="0" collapsed="false">
      <c r="A2800" s="80"/>
      <c r="B2800" s="71"/>
      <c r="C2800" s="71"/>
      <c r="D2800" s="81"/>
      <c r="E2800" s="71"/>
      <c r="F2800" s="71"/>
      <c r="G2800" s="82" t="str">
        <f aca="false">IF(C2800="","",IFERROR(INDEX('Kit Lists'!$D$6:$D$605,MATCH(B2800&amp;"|"&amp;C2800,'Kit Lists'!$J$6:$J$605,0)),"Not on this contract's kit list"))</f>
        <v/>
      </c>
      <c r="H2800" s="83" t="str">
        <f aca="false">IF(AND(B2800="",C2800="",D2800=""),"",IF(B2800="","Missing contract",IF(C2800="","Missing code",IF(LEFT(G2800,3)="Not","Wrong code",IF(D2800="","Missing qty",IF(A2800="","Missing date",""))))))</f>
        <v/>
      </c>
      <c r="I2800" s="84" t="str">
        <f aca="false">IF(B2800=Dashboard!$D$3,ROW(),"")</f>
        <v/>
      </c>
    </row>
    <row r="2801" customFormat="false" ht="15" hidden="false" customHeight="false" outlineLevel="0" collapsed="false">
      <c r="A2801" s="80"/>
      <c r="B2801" s="71"/>
      <c r="C2801" s="71"/>
      <c r="D2801" s="81"/>
      <c r="E2801" s="71"/>
      <c r="F2801" s="71"/>
      <c r="G2801" s="82" t="str">
        <f aca="false">IF(C2801="","",IFERROR(INDEX('Kit Lists'!$D$6:$D$605,MATCH(B2801&amp;"|"&amp;C2801,'Kit Lists'!$J$6:$J$605,0)),"Not on this contract's kit list"))</f>
        <v/>
      </c>
      <c r="H2801" s="83" t="str">
        <f aca="false">IF(AND(B2801="",C2801="",D2801=""),"",IF(B2801="","Missing contract",IF(C2801="","Missing code",IF(LEFT(G2801,3)="Not","Wrong code",IF(D2801="","Missing qty",IF(A2801="","Missing date",""))))))</f>
        <v/>
      </c>
      <c r="I2801" s="84" t="str">
        <f aca="false">IF(B2801=Dashboard!$D$3,ROW(),"")</f>
        <v/>
      </c>
    </row>
    <row r="2802" customFormat="false" ht="15" hidden="false" customHeight="false" outlineLevel="0" collapsed="false">
      <c r="A2802" s="80"/>
      <c r="B2802" s="71"/>
      <c r="C2802" s="71"/>
      <c r="D2802" s="81"/>
      <c r="E2802" s="71"/>
      <c r="F2802" s="71"/>
      <c r="G2802" s="82" t="str">
        <f aca="false">IF(C2802="","",IFERROR(INDEX('Kit Lists'!$D$6:$D$605,MATCH(B2802&amp;"|"&amp;C2802,'Kit Lists'!$J$6:$J$605,0)),"Not on this contract's kit list"))</f>
        <v/>
      </c>
      <c r="H2802" s="83" t="str">
        <f aca="false">IF(AND(B2802="",C2802="",D2802=""),"",IF(B2802="","Missing contract",IF(C2802="","Missing code",IF(LEFT(G2802,3)="Not","Wrong code",IF(D2802="","Missing qty",IF(A2802="","Missing date",""))))))</f>
        <v/>
      </c>
      <c r="I2802" s="84" t="str">
        <f aca="false">IF(B2802=Dashboard!$D$3,ROW(),"")</f>
        <v/>
      </c>
    </row>
    <row r="2803" customFormat="false" ht="15" hidden="false" customHeight="false" outlineLevel="0" collapsed="false">
      <c r="A2803" s="80"/>
      <c r="B2803" s="71"/>
      <c r="C2803" s="71"/>
      <c r="D2803" s="81"/>
      <c r="E2803" s="71"/>
      <c r="F2803" s="71"/>
      <c r="G2803" s="82" t="str">
        <f aca="false">IF(C2803="","",IFERROR(INDEX('Kit Lists'!$D$6:$D$605,MATCH(B2803&amp;"|"&amp;C2803,'Kit Lists'!$J$6:$J$605,0)),"Not on this contract's kit list"))</f>
        <v/>
      </c>
      <c r="H2803" s="83" t="str">
        <f aca="false">IF(AND(B2803="",C2803="",D2803=""),"",IF(B2803="","Missing contract",IF(C2803="","Missing code",IF(LEFT(G2803,3)="Not","Wrong code",IF(D2803="","Missing qty",IF(A2803="","Missing date",""))))))</f>
        <v/>
      </c>
      <c r="I2803" s="84" t="str">
        <f aca="false">IF(B2803=Dashboard!$D$3,ROW(),"")</f>
        <v/>
      </c>
    </row>
    <row r="2804" customFormat="false" ht="15" hidden="false" customHeight="false" outlineLevel="0" collapsed="false">
      <c r="A2804" s="80"/>
      <c r="B2804" s="71"/>
      <c r="C2804" s="71"/>
      <c r="D2804" s="81"/>
      <c r="E2804" s="71"/>
      <c r="F2804" s="71"/>
      <c r="G2804" s="82" t="str">
        <f aca="false">IF(C2804="","",IFERROR(INDEX('Kit Lists'!$D$6:$D$605,MATCH(B2804&amp;"|"&amp;C2804,'Kit Lists'!$J$6:$J$605,0)),"Not on this contract's kit list"))</f>
        <v/>
      </c>
      <c r="H2804" s="83" t="str">
        <f aca="false">IF(AND(B2804="",C2804="",D2804=""),"",IF(B2804="","Missing contract",IF(C2804="","Missing code",IF(LEFT(G2804,3)="Not","Wrong code",IF(D2804="","Missing qty",IF(A2804="","Missing date",""))))))</f>
        <v/>
      </c>
      <c r="I2804" s="84" t="str">
        <f aca="false">IF(B2804=Dashboard!$D$3,ROW(),"")</f>
        <v/>
      </c>
    </row>
    <row r="2805" customFormat="false" ht="15" hidden="false" customHeight="false" outlineLevel="0" collapsed="false">
      <c r="A2805" s="80"/>
      <c r="B2805" s="71"/>
      <c r="C2805" s="71"/>
      <c r="D2805" s="81"/>
      <c r="E2805" s="71"/>
      <c r="F2805" s="71"/>
      <c r="G2805" s="82" t="str">
        <f aca="false">IF(C2805="","",IFERROR(INDEX('Kit Lists'!$D$6:$D$605,MATCH(B2805&amp;"|"&amp;C2805,'Kit Lists'!$J$6:$J$605,0)),"Not on this contract's kit list"))</f>
        <v/>
      </c>
      <c r="H2805" s="83" t="str">
        <f aca="false">IF(AND(B2805="",C2805="",D2805=""),"",IF(B2805="","Missing contract",IF(C2805="","Missing code",IF(LEFT(G2805,3)="Not","Wrong code",IF(D2805="","Missing qty",IF(A2805="","Missing date",""))))))</f>
        <v/>
      </c>
      <c r="I2805" s="84" t="str">
        <f aca="false">IF(B2805=Dashboard!$D$3,ROW(),"")</f>
        <v/>
      </c>
    </row>
    <row r="2806" customFormat="false" ht="15" hidden="false" customHeight="false" outlineLevel="0" collapsed="false">
      <c r="A2806" s="80"/>
      <c r="B2806" s="71"/>
      <c r="C2806" s="71"/>
      <c r="D2806" s="81"/>
      <c r="E2806" s="71"/>
      <c r="F2806" s="71"/>
      <c r="G2806" s="82" t="str">
        <f aca="false">IF(C2806="","",IFERROR(INDEX('Kit Lists'!$D$6:$D$605,MATCH(B2806&amp;"|"&amp;C2806,'Kit Lists'!$J$6:$J$605,0)),"Not on this contract's kit list"))</f>
        <v/>
      </c>
      <c r="H2806" s="83" t="str">
        <f aca="false">IF(AND(B2806="",C2806="",D2806=""),"",IF(B2806="","Missing contract",IF(C2806="","Missing code",IF(LEFT(G2806,3)="Not","Wrong code",IF(D2806="","Missing qty",IF(A2806="","Missing date",""))))))</f>
        <v/>
      </c>
      <c r="I2806" s="84" t="str">
        <f aca="false">IF(B2806=Dashboard!$D$3,ROW(),"")</f>
        <v/>
      </c>
    </row>
    <row r="2807" customFormat="false" ht="15" hidden="false" customHeight="false" outlineLevel="0" collapsed="false">
      <c r="A2807" s="80"/>
      <c r="B2807" s="71"/>
      <c r="C2807" s="71"/>
      <c r="D2807" s="81"/>
      <c r="E2807" s="71"/>
      <c r="F2807" s="71"/>
      <c r="G2807" s="82" t="str">
        <f aca="false">IF(C2807="","",IFERROR(INDEX('Kit Lists'!$D$6:$D$605,MATCH(B2807&amp;"|"&amp;C2807,'Kit Lists'!$J$6:$J$605,0)),"Not on this contract's kit list"))</f>
        <v/>
      </c>
      <c r="H2807" s="83" t="str">
        <f aca="false">IF(AND(B2807="",C2807="",D2807=""),"",IF(B2807="","Missing contract",IF(C2807="","Missing code",IF(LEFT(G2807,3)="Not","Wrong code",IF(D2807="","Missing qty",IF(A2807="","Missing date",""))))))</f>
        <v/>
      </c>
      <c r="I2807" s="84" t="str">
        <f aca="false">IF(B2807=Dashboard!$D$3,ROW(),"")</f>
        <v/>
      </c>
    </row>
    <row r="2808" customFormat="false" ht="15" hidden="false" customHeight="false" outlineLevel="0" collapsed="false">
      <c r="A2808" s="80"/>
      <c r="B2808" s="71"/>
      <c r="C2808" s="71"/>
      <c r="D2808" s="81"/>
      <c r="E2808" s="71"/>
      <c r="F2808" s="71"/>
      <c r="G2808" s="82" t="str">
        <f aca="false">IF(C2808="","",IFERROR(INDEX('Kit Lists'!$D$6:$D$605,MATCH(B2808&amp;"|"&amp;C2808,'Kit Lists'!$J$6:$J$605,0)),"Not on this contract's kit list"))</f>
        <v/>
      </c>
      <c r="H2808" s="83" t="str">
        <f aca="false">IF(AND(B2808="",C2808="",D2808=""),"",IF(B2808="","Missing contract",IF(C2808="","Missing code",IF(LEFT(G2808,3)="Not","Wrong code",IF(D2808="","Missing qty",IF(A2808="","Missing date",""))))))</f>
        <v/>
      </c>
      <c r="I2808" s="84" t="str">
        <f aca="false">IF(B2808=Dashboard!$D$3,ROW(),"")</f>
        <v/>
      </c>
    </row>
    <row r="2809" customFormat="false" ht="15" hidden="false" customHeight="false" outlineLevel="0" collapsed="false">
      <c r="A2809" s="80"/>
      <c r="B2809" s="71"/>
      <c r="C2809" s="71"/>
      <c r="D2809" s="81"/>
      <c r="E2809" s="71"/>
      <c r="F2809" s="71"/>
      <c r="G2809" s="82" t="str">
        <f aca="false">IF(C2809="","",IFERROR(INDEX('Kit Lists'!$D$6:$D$605,MATCH(B2809&amp;"|"&amp;C2809,'Kit Lists'!$J$6:$J$605,0)),"Not on this contract's kit list"))</f>
        <v/>
      </c>
      <c r="H2809" s="83" t="str">
        <f aca="false">IF(AND(B2809="",C2809="",D2809=""),"",IF(B2809="","Missing contract",IF(C2809="","Missing code",IF(LEFT(G2809,3)="Not","Wrong code",IF(D2809="","Missing qty",IF(A2809="","Missing date",""))))))</f>
        <v/>
      </c>
      <c r="I2809" s="84" t="str">
        <f aca="false">IF(B2809=Dashboard!$D$3,ROW(),"")</f>
        <v/>
      </c>
    </row>
    <row r="2810" customFormat="false" ht="15" hidden="false" customHeight="false" outlineLevel="0" collapsed="false">
      <c r="A2810" s="80"/>
      <c r="B2810" s="71"/>
      <c r="C2810" s="71"/>
      <c r="D2810" s="81"/>
      <c r="E2810" s="71"/>
      <c r="F2810" s="71"/>
      <c r="G2810" s="82" t="str">
        <f aca="false">IF(C2810="","",IFERROR(INDEX('Kit Lists'!$D$6:$D$605,MATCH(B2810&amp;"|"&amp;C2810,'Kit Lists'!$J$6:$J$605,0)),"Not on this contract's kit list"))</f>
        <v/>
      </c>
      <c r="H2810" s="83" t="str">
        <f aca="false">IF(AND(B2810="",C2810="",D2810=""),"",IF(B2810="","Missing contract",IF(C2810="","Missing code",IF(LEFT(G2810,3)="Not","Wrong code",IF(D2810="","Missing qty",IF(A2810="","Missing date",""))))))</f>
        <v/>
      </c>
      <c r="I2810" s="84" t="str">
        <f aca="false">IF(B2810=Dashboard!$D$3,ROW(),"")</f>
        <v/>
      </c>
    </row>
    <row r="2811" customFormat="false" ht="15" hidden="false" customHeight="false" outlineLevel="0" collapsed="false">
      <c r="A2811" s="80"/>
      <c r="B2811" s="71"/>
      <c r="C2811" s="71"/>
      <c r="D2811" s="81"/>
      <c r="E2811" s="71"/>
      <c r="F2811" s="71"/>
      <c r="G2811" s="82" t="str">
        <f aca="false">IF(C2811="","",IFERROR(INDEX('Kit Lists'!$D$6:$D$605,MATCH(B2811&amp;"|"&amp;C2811,'Kit Lists'!$J$6:$J$605,0)),"Not on this contract's kit list"))</f>
        <v/>
      </c>
      <c r="H2811" s="83" t="str">
        <f aca="false">IF(AND(B2811="",C2811="",D2811=""),"",IF(B2811="","Missing contract",IF(C2811="","Missing code",IF(LEFT(G2811,3)="Not","Wrong code",IF(D2811="","Missing qty",IF(A2811="","Missing date",""))))))</f>
        <v/>
      </c>
      <c r="I2811" s="84" t="str">
        <f aca="false">IF(B2811=Dashboard!$D$3,ROW(),"")</f>
        <v/>
      </c>
    </row>
    <row r="2812" customFormat="false" ht="15" hidden="false" customHeight="false" outlineLevel="0" collapsed="false">
      <c r="A2812" s="80"/>
      <c r="B2812" s="71"/>
      <c r="C2812" s="71"/>
      <c r="D2812" s="81"/>
      <c r="E2812" s="71"/>
      <c r="F2812" s="71"/>
      <c r="G2812" s="82" t="str">
        <f aca="false">IF(C2812="","",IFERROR(INDEX('Kit Lists'!$D$6:$D$605,MATCH(B2812&amp;"|"&amp;C2812,'Kit Lists'!$J$6:$J$605,0)),"Not on this contract's kit list"))</f>
        <v/>
      </c>
      <c r="H2812" s="83" t="str">
        <f aca="false">IF(AND(B2812="",C2812="",D2812=""),"",IF(B2812="","Missing contract",IF(C2812="","Missing code",IF(LEFT(G2812,3)="Not","Wrong code",IF(D2812="","Missing qty",IF(A2812="","Missing date",""))))))</f>
        <v/>
      </c>
      <c r="I2812" s="84" t="str">
        <f aca="false">IF(B2812=Dashboard!$D$3,ROW(),"")</f>
        <v/>
      </c>
    </row>
    <row r="2813" customFormat="false" ht="15" hidden="false" customHeight="false" outlineLevel="0" collapsed="false">
      <c r="A2813" s="80"/>
      <c r="B2813" s="71"/>
      <c r="C2813" s="71"/>
      <c r="D2813" s="81"/>
      <c r="E2813" s="71"/>
      <c r="F2813" s="71"/>
      <c r="G2813" s="82" t="str">
        <f aca="false">IF(C2813="","",IFERROR(INDEX('Kit Lists'!$D$6:$D$605,MATCH(B2813&amp;"|"&amp;C2813,'Kit Lists'!$J$6:$J$605,0)),"Not on this contract's kit list"))</f>
        <v/>
      </c>
      <c r="H2813" s="83" t="str">
        <f aca="false">IF(AND(B2813="",C2813="",D2813=""),"",IF(B2813="","Missing contract",IF(C2813="","Missing code",IF(LEFT(G2813,3)="Not","Wrong code",IF(D2813="","Missing qty",IF(A2813="","Missing date",""))))))</f>
        <v/>
      </c>
      <c r="I2813" s="84" t="str">
        <f aca="false">IF(B2813=Dashboard!$D$3,ROW(),"")</f>
        <v/>
      </c>
    </row>
    <row r="2814" customFormat="false" ht="15" hidden="false" customHeight="false" outlineLevel="0" collapsed="false">
      <c r="A2814" s="80"/>
      <c r="B2814" s="71"/>
      <c r="C2814" s="71"/>
      <c r="D2814" s="81"/>
      <c r="E2814" s="71"/>
      <c r="F2814" s="71"/>
      <c r="G2814" s="82" t="str">
        <f aca="false">IF(C2814="","",IFERROR(INDEX('Kit Lists'!$D$6:$D$605,MATCH(B2814&amp;"|"&amp;C2814,'Kit Lists'!$J$6:$J$605,0)),"Not on this contract's kit list"))</f>
        <v/>
      </c>
      <c r="H2814" s="83" t="str">
        <f aca="false">IF(AND(B2814="",C2814="",D2814=""),"",IF(B2814="","Missing contract",IF(C2814="","Missing code",IF(LEFT(G2814,3)="Not","Wrong code",IF(D2814="","Missing qty",IF(A2814="","Missing date",""))))))</f>
        <v/>
      </c>
      <c r="I2814" s="84" t="str">
        <f aca="false">IF(B2814=Dashboard!$D$3,ROW(),"")</f>
        <v/>
      </c>
    </row>
    <row r="2815" customFormat="false" ht="15" hidden="false" customHeight="false" outlineLevel="0" collapsed="false">
      <c r="A2815" s="80"/>
      <c r="B2815" s="71"/>
      <c r="C2815" s="71"/>
      <c r="D2815" s="81"/>
      <c r="E2815" s="71"/>
      <c r="F2815" s="71"/>
      <c r="G2815" s="82" t="str">
        <f aca="false">IF(C2815="","",IFERROR(INDEX('Kit Lists'!$D$6:$D$605,MATCH(B2815&amp;"|"&amp;C2815,'Kit Lists'!$J$6:$J$605,0)),"Not on this contract's kit list"))</f>
        <v/>
      </c>
      <c r="H2815" s="83" t="str">
        <f aca="false">IF(AND(B2815="",C2815="",D2815=""),"",IF(B2815="","Missing contract",IF(C2815="","Missing code",IF(LEFT(G2815,3)="Not","Wrong code",IF(D2815="","Missing qty",IF(A2815="","Missing date",""))))))</f>
        <v/>
      </c>
      <c r="I2815" s="84" t="str">
        <f aca="false">IF(B2815=Dashboard!$D$3,ROW(),"")</f>
        <v/>
      </c>
    </row>
    <row r="2816" customFormat="false" ht="15" hidden="false" customHeight="false" outlineLevel="0" collapsed="false">
      <c r="A2816" s="80"/>
      <c r="B2816" s="71"/>
      <c r="C2816" s="71"/>
      <c r="D2816" s="81"/>
      <c r="E2816" s="71"/>
      <c r="F2816" s="71"/>
      <c r="G2816" s="82" t="str">
        <f aca="false">IF(C2816="","",IFERROR(INDEX('Kit Lists'!$D$6:$D$605,MATCH(B2816&amp;"|"&amp;C2816,'Kit Lists'!$J$6:$J$605,0)),"Not on this contract's kit list"))</f>
        <v/>
      </c>
      <c r="H2816" s="83" t="str">
        <f aca="false">IF(AND(B2816="",C2816="",D2816=""),"",IF(B2816="","Missing contract",IF(C2816="","Missing code",IF(LEFT(G2816,3)="Not","Wrong code",IF(D2816="","Missing qty",IF(A2816="","Missing date",""))))))</f>
        <v/>
      </c>
      <c r="I2816" s="84" t="str">
        <f aca="false">IF(B2816=Dashboard!$D$3,ROW(),"")</f>
        <v/>
      </c>
    </row>
    <row r="2817" customFormat="false" ht="15" hidden="false" customHeight="false" outlineLevel="0" collapsed="false">
      <c r="A2817" s="80"/>
      <c r="B2817" s="71"/>
      <c r="C2817" s="71"/>
      <c r="D2817" s="81"/>
      <c r="E2817" s="71"/>
      <c r="F2817" s="71"/>
      <c r="G2817" s="82" t="str">
        <f aca="false">IF(C2817="","",IFERROR(INDEX('Kit Lists'!$D$6:$D$605,MATCH(B2817&amp;"|"&amp;C2817,'Kit Lists'!$J$6:$J$605,0)),"Not on this contract's kit list"))</f>
        <v/>
      </c>
      <c r="H2817" s="83" t="str">
        <f aca="false">IF(AND(B2817="",C2817="",D2817=""),"",IF(B2817="","Missing contract",IF(C2817="","Missing code",IF(LEFT(G2817,3)="Not","Wrong code",IF(D2817="","Missing qty",IF(A2817="","Missing date",""))))))</f>
        <v/>
      </c>
      <c r="I2817" s="84" t="str">
        <f aca="false">IF(B2817=Dashboard!$D$3,ROW(),"")</f>
        <v/>
      </c>
    </row>
    <row r="2818" customFormat="false" ht="15" hidden="false" customHeight="false" outlineLevel="0" collapsed="false">
      <c r="A2818" s="80"/>
      <c r="B2818" s="71"/>
      <c r="C2818" s="71"/>
      <c r="D2818" s="81"/>
      <c r="E2818" s="71"/>
      <c r="F2818" s="71"/>
      <c r="G2818" s="82" t="str">
        <f aca="false">IF(C2818="","",IFERROR(INDEX('Kit Lists'!$D$6:$D$605,MATCH(B2818&amp;"|"&amp;C2818,'Kit Lists'!$J$6:$J$605,0)),"Not on this contract's kit list"))</f>
        <v/>
      </c>
      <c r="H2818" s="83" t="str">
        <f aca="false">IF(AND(B2818="",C2818="",D2818=""),"",IF(B2818="","Missing contract",IF(C2818="","Missing code",IF(LEFT(G2818,3)="Not","Wrong code",IF(D2818="","Missing qty",IF(A2818="","Missing date",""))))))</f>
        <v/>
      </c>
      <c r="I2818" s="84" t="str">
        <f aca="false">IF(B2818=Dashboard!$D$3,ROW(),"")</f>
        <v/>
      </c>
    </row>
    <row r="2819" customFormat="false" ht="15" hidden="false" customHeight="false" outlineLevel="0" collapsed="false">
      <c r="A2819" s="80"/>
      <c r="B2819" s="71"/>
      <c r="C2819" s="71"/>
      <c r="D2819" s="81"/>
      <c r="E2819" s="71"/>
      <c r="F2819" s="71"/>
      <c r="G2819" s="82" t="str">
        <f aca="false">IF(C2819="","",IFERROR(INDEX('Kit Lists'!$D$6:$D$605,MATCH(B2819&amp;"|"&amp;C2819,'Kit Lists'!$J$6:$J$605,0)),"Not on this contract's kit list"))</f>
        <v/>
      </c>
      <c r="H2819" s="83" t="str">
        <f aca="false">IF(AND(B2819="",C2819="",D2819=""),"",IF(B2819="","Missing contract",IF(C2819="","Missing code",IF(LEFT(G2819,3)="Not","Wrong code",IF(D2819="","Missing qty",IF(A2819="","Missing date",""))))))</f>
        <v/>
      </c>
      <c r="I2819" s="84" t="str">
        <f aca="false">IF(B2819=Dashboard!$D$3,ROW(),"")</f>
        <v/>
      </c>
    </row>
    <row r="2820" customFormat="false" ht="15" hidden="false" customHeight="false" outlineLevel="0" collapsed="false">
      <c r="A2820" s="80"/>
      <c r="B2820" s="71"/>
      <c r="C2820" s="71"/>
      <c r="D2820" s="81"/>
      <c r="E2820" s="71"/>
      <c r="F2820" s="71"/>
      <c r="G2820" s="82" t="str">
        <f aca="false">IF(C2820="","",IFERROR(INDEX('Kit Lists'!$D$6:$D$605,MATCH(B2820&amp;"|"&amp;C2820,'Kit Lists'!$J$6:$J$605,0)),"Not on this contract's kit list"))</f>
        <v/>
      </c>
      <c r="H2820" s="83" t="str">
        <f aca="false">IF(AND(B2820="",C2820="",D2820=""),"",IF(B2820="","Missing contract",IF(C2820="","Missing code",IF(LEFT(G2820,3)="Not","Wrong code",IF(D2820="","Missing qty",IF(A2820="","Missing date",""))))))</f>
        <v/>
      </c>
      <c r="I2820" s="84" t="str">
        <f aca="false">IF(B2820=Dashboard!$D$3,ROW(),"")</f>
        <v/>
      </c>
    </row>
    <row r="2821" customFormat="false" ht="15" hidden="false" customHeight="false" outlineLevel="0" collapsed="false">
      <c r="A2821" s="80"/>
      <c r="B2821" s="71"/>
      <c r="C2821" s="71"/>
      <c r="D2821" s="81"/>
      <c r="E2821" s="71"/>
      <c r="F2821" s="71"/>
      <c r="G2821" s="82" t="str">
        <f aca="false">IF(C2821="","",IFERROR(INDEX('Kit Lists'!$D$6:$D$605,MATCH(B2821&amp;"|"&amp;C2821,'Kit Lists'!$J$6:$J$605,0)),"Not on this contract's kit list"))</f>
        <v/>
      </c>
      <c r="H2821" s="83" t="str">
        <f aca="false">IF(AND(B2821="",C2821="",D2821=""),"",IF(B2821="","Missing contract",IF(C2821="","Missing code",IF(LEFT(G2821,3)="Not","Wrong code",IF(D2821="","Missing qty",IF(A2821="","Missing date",""))))))</f>
        <v/>
      </c>
      <c r="I2821" s="84" t="str">
        <f aca="false">IF(B2821=Dashboard!$D$3,ROW(),"")</f>
        <v/>
      </c>
    </row>
    <row r="2822" customFormat="false" ht="15" hidden="false" customHeight="false" outlineLevel="0" collapsed="false">
      <c r="A2822" s="80"/>
      <c r="B2822" s="71"/>
      <c r="C2822" s="71"/>
      <c r="D2822" s="81"/>
      <c r="E2822" s="71"/>
      <c r="F2822" s="71"/>
      <c r="G2822" s="82" t="str">
        <f aca="false">IF(C2822="","",IFERROR(INDEX('Kit Lists'!$D$6:$D$605,MATCH(B2822&amp;"|"&amp;C2822,'Kit Lists'!$J$6:$J$605,0)),"Not on this contract's kit list"))</f>
        <v/>
      </c>
      <c r="H2822" s="83" t="str">
        <f aca="false">IF(AND(B2822="",C2822="",D2822=""),"",IF(B2822="","Missing contract",IF(C2822="","Missing code",IF(LEFT(G2822,3)="Not","Wrong code",IF(D2822="","Missing qty",IF(A2822="","Missing date",""))))))</f>
        <v/>
      </c>
      <c r="I2822" s="84" t="str">
        <f aca="false">IF(B2822=Dashboard!$D$3,ROW(),"")</f>
        <v/>
      </c>
    </row>
    <row r="2823" customFormat="false" ht="15" hidden="false" customHeight="false" outlineLevel="0" collapsed="false">
      <c r="A2823" s="80"/>
      <c r="B2823" s="71"/>
      <c r="C2823" s="71"/>
      <c r="D2823" s="81"/>
      <c r="E2823" s="71"/>
      <c r="F2823" s="71"/>
      <c r="G2823" s="82" t="str">
        <f aca="false">IF(C2823="","",IFERROR(INDEX('Kit Lists'!$D$6:$D$605,MATCH(B2823&amp;"|"&amp;C2823,'Kit Lists'!$J$6:$J$605,0)),"Not on this contract's kit list"))</f>
        <v/>
      </c>
      <c r="H2823" s="83" t="str">
        <f aca="false">IF(AND(B2823="",C2823="",D2823=""),"",IF(B2823="","Missing contract",IF(C2823="","Missing code",IF(LEFT(G2823,3)="Not","Wrong code",IF(D2823="","Missing qty",IF(A2823="","Missing date",""))))))</f>
        <v/>
      </c>
      <c r="I2823" s="84" t="str">
        <f aca="false">IF(B2823=Dashboard!$D$3,ROW(),"")</f>
        <v/>
      </c>
    </row>
    <row r="2824" customFormat="false" ht="15" hidden="false" customHeight="false" outlineLevel="0" collapsed="false">
      <c r="A2824" s="80"/>
      <c r="B2824" s="71"/>
      <c r="C2824" s="71"/>
      <c r="D2824" s="81"/>
      <c r="E2824" s="71"/>
      <c r="F2824" s="71"/>
      <c r="G2824" s="82" t="str">
        <f aca="false">IF(C2824="","",IFERROR(INDEX('Kit Lists'!$D$6:$D$605,MATCH(B2824&amp;"|"&amp;C2824,'Kit Lists'!$J$6:$J$605,0)),"Not on this contract's kit list"))</f>
        <v/>
      </c>
      <c r="H2824" s="83" t="str">
        <f aca="false">IF(AND(B2824="",C2824="",D2824=""),"",IF(B2824="","Missing contract",IF(C2824="","Missing code",IF(LEFT(G2824,3)="Not","Wrong code",IF(D2824="","Missing qty",IF(A2824="","Missing date",""))))))</f>
        <v/>
      </c>
      <c r="I2824" s="84" t="str">
        <f aca="false">IF(B2824=Dashboard!$D$3,ROW(),"")</f>
        <v/>
      </c>
    </row>
    <row r="2825" customFormat="false" ht="15" hidden="false" customHeight="false" outlineLevel="0" collapsed="false">
      <c r="A2825" s="80"/>
      <c r="B2825" s="71"/>
      <c r="C2825" s="71"/>
      <c r="D2825" s="81"/>
      <c r="E2825" s="71"/>
      <c r="F2825" s="71"/>
      <c r="G2825" s="82" t="str">
        <f aca="false">IF(C2825="","",IFERROR(INDEX('Kit Lists'!$D$6:$D$605,MATCH(B2825&amp;"|"&amp;C2825,'Kit Lists'!$J$6:$J$605,0)),"Not on this contract's kit list"))</f>
        <v/>
      </c>
      <c r="H2825" s="83" t="str">
        <f aca="false">IF(AND(B2825="",C2825="",D2825=""),"",IF(B2825="","Missing contract",IF(C2825="","Missing code",IF(LEFT(G2825,3)="Not","Wrong code",IF(D2825="","Missing qty",IF(A2825="","Missing date",""))))))</f>
        <v/>
      </c>
      <c r="I2825" s="84" t="str">
        <f aca="false">IF(B2825=Dashboard!$D$3,ROW(),"")</f>
        <v/>
      </c>
    </row>
    <row r="2826" customFormat="false" ht="15" hidden="false" customHeight="false" outlineLevel="0" collapsed="false">
      <c r="A2826" s="80"/>
      <c r="B2826" s="71"/>
      <c r="C2826" s="71"/>
      <c r="D2826" s="81"/>
      <c r="E2826" s="71"/>
      <c r="F2826" s="71"/>
      <c r="G2826" s="82" t="str">
        <f aca="false">IF(C2826="","",IFERROR(INDEX('Kit Lists'!$D$6:$D$605,MATCH(B2826&amp;"|"&amp;C2826,'Kit Lists'!$J$6:$J$605,0)),"Not on this contract's kit list"))</f>
        <v/>
      </c>
      <c r="H2826" s="83" t="str">
        <f aca="false">IF(AND(B2826="",C2826="",D2826=""),"",IF(B2826="","Missing contract",IF(C2826="","Missing code",IF(LEFT(G2826,3)="Not","Wrong code",IF(D2826="","Missing qty",IF(A2826="","Missing date",""))))))</f>
        <v/>
      </c>
      <c r="I2826" s="84" t="str">
        <f aca="false">IF(B2826=Dashboard!$D$3,ROW(),"")</f>
        <v/>
      </c>
    </row>
    <row r="2827" customFormat="false" ht="15" hidden="false" customHeight="false" outlineLevel="0" collapsed="false">
      <c r="A2827" s="80"/>
      <c r="B2827" s="71"/>
      <c r="C2827" s="71"/>
      <c r="D2827" s="81"/>
      <c r="E2827" s="71"/>
      <c r="F2827" s="71"/>
      <c r="G2827" s="82" t="str">
        <f aca="false">IF(C2827="","",IFERROR(INDEX('Kit Lists'!$D$6:$D$605,MATCH(B2827&amp;"|"&amp;C2827,'Kit Lists'!$J$6:$J$605,0)),"Not on this contract's kit list"))</f>
        <v/>
      </c>
      <c r="H2827" s="83" t="str">
        <f aca="false">IF(AND(B2827="",C2827="",D2827=""),"",IF(B2827="","Missing contract",IF(C2827="","Missing code",IF(LEFT(G2827,3)="Not","Wrong code",IF(D2827="","Missing qty",IF(A2827="","Missing date",""))))))</f>
        <v/>
      </c>
      <c r="I2827" s="84" t="str">
        <f aca="false">IF(B2827=Dashboard!$D$3,ROW(),"")</f>
        <v/>
      </c>
    </row>
    <row r="2828" customFormat="false" ht="15" hidden="false" customHeight="false" outlineLevel="0" collapsed="false">
      <c r="A2828" s="80"/>
      <c r="B2828" s="71"/>
      <c r="C2828" s="71"/>
      <c r="D2828" s="81"/>
      <c r="E2828" s="71"/>
      <c r="F2828" s="71"/>
      <c r="G2828" s="82" t="str">
        <f aca="false">IF(C2828="","",IFERROR(INDEX('Kit Lists'!$D$6:$D$605,MATCH(B2828&amp;"|"&amp;C2828,'Kit Lists'!$J$6:$J$605,0)),"Not on this contract's kit list"))</f>
        <v/>
      </c>
      <c r="H2828" s="83" t="str">
        <f aca="false">IF(AND(B2828="",C2828="",D2828=""),"",IF(B2828="","Missing contract",IF(C2828="","Missing code",IF(LEFT(G2828,3)="Not","Wrong code",IF(D2828="","Missing qty",IF(A2828="","Missing date",""))))))</f>
        <v/>
      </c>
      <c r="I2828" s="84" t="str">
        <f aca="false">IF(B2828=Dashboard!$D$3,ROW(),"")</f>
        <v/>
      </c>
    </row>
    <row r="2829" customFormat="false" ht="15" hidden="false" customHeight="false" outlineLevel="0" collapsed="false">
      <c r="A2829" s="80"/>
      <c r="B2829" s="71"/>
      <c r="C2829" s="71"/>
      <c r="D2829" s="81"/>
      <c r="E2829" s="71"/>
      <c r="F2829" s="71"/>
      <c r="G2829" s="82" t="str">
        <f aca="false">IF(C2829="","",IFERROR(INDEX('Kit Lists'!$D$6:$D$605,MATCH(B2829&amp;"|"&amp;C2829,'Kit Lists'!$J$6:$J$605,0)),"Not on this contract's kit list"))</f>
        <v/>
      </c>
      <c r="H2829" s="83" t="str">
        <f aca="false">IF(AND(B2829="",C2829="",D2829=""),"",IF(B2829="","Missing contract",IF(C2829="","Missing code",IF(LEFT(G2829,3)="Not","Wrong code",IF(D2829="","Missing qty",IF(A2829="","Missing date",""))))))</f>
        <v/>
      </c>
      <c r="I2829" s="84" t="str">
        <f aca="false">IF(B2829=Dashboard!$D$3,ROW(),"")</f>
        <v/>
      </c>
    </row>
    <row r="2830" customFormat="false" ht="15" hidden="false" customHeight="false" outlineLevel="0" collapsed="false">
      <c r="A2830" s="80"/>
      <c r="B2830" s="71"/>
      <c r="C2830" s="71"/>
      <c r="D2830" s="81"/>
      <c r="E2830" s="71"/>
      <c r="F2830" s="71"/>
      <c r="G2830" s="82" t="str">
        <f aca="false">IF(C2830="","",IFERROR(INDEX('Kit Lists'!$D$6:$D$605,MATCH(B2830&amp;"|"&amp;C2830,'Kit Lists'!$J$6:$J$605,0)),"Not on this contract's kit list"))</f>
        <v/>
      </c>
      <c r="H2830" s="83" t="str">
        <f aca="false">IF(AND(B2830="",C2830="",D2830=""),"",IF(B2830="","Missing contract",IF(C2830="","Missing code",IF(LEFT(G2830,3)="Not","Wrong code",IF(D2830="","Missing qty",IF(A2830="","Missing date",""))))))</f>
        <v/>
      </c>
      <c r="I2830" s="84" t="str">
        <f aca="false">IF(B2830=Dashboard!$D$3,ROW(),"")</f>
        <v/>
      </c>
    </row>
    <row r="2831" customFormat="false" ht="15" hidden="false" customHeight="false" outlineLevel="0" collapsed="false">
      <c r="A2831" s="80"/>
      <c r="B2831" s="71"/>
      <c r="C2831" s="71"/>
      <c r="D2831" s="81"/>
      <c r="E2831" s="71"/>
      <c r="F2831" s="71"/>
      <c r="G2831" s="82" t="str">
        <f aca="false">IF(C2831="","",IFERROR(INDEX('Kit Lists'!$D$6:$D$605,MATCH(B2831&amp;"|"&amp;C2831,'Kit Lists'!$J$6:$J$605,0)),"Not on this contract's kit list"))</f>
        <v/>
      </c>
      <c r="H2831" s="83" t="str">
        <f aca="false">IF(AND(B2831="",C2831="",D2831=""),"",IF(B2831="","Missing contract",IF(C2831="","Missing code",IF(LEFT(G2831,3)="Not","Wrong code",IF(D2831="","Missing qty",IF(A2831="","Missing date",""))))))</f>
        <v/>
      </c>
      <c r="I2831" s="84" t="str">
        <f aca="false">IF(B2831=Dashboard!$D$3,ROW(),"")</f>
        <v/>
      </c>
    </row>
    <row r="2832" customFormat="false" ht="15" hidden="false" customHeight="false" outlineLevel="0" collapsed="false">
      <c r="A2832" s="80"/>
      <c r="B2832" s="71"/>
      <c r="C2832" s="71"/>
      <c r="D2832" s="81"/>
      <c r="E2832" s="71"/>
      <c r="F2832" s="71"/>
      <c r="G2832" s="82" t="str">
        <f aca="false">IF(C2832="","",IFERROR(INDEX('Kit Lists'!$D$6:$D$605,MATCH(B2832&amp;"|"&amp;C2832,'Kit Lists'!$J$6:$J$605,0)),"Not on this contract's kit list"))</f>
        <v/>
      </c>
      <c r="H2832" s="83" t="str">
        <f aca="false">IF(AND(B2832="",C2832="",D2832=""),"",IF(B2832="","Missing contract",IF(C2832="","Missing code",IF(LEFT(G2832,3)="Not","Wrong code",IF(D2832="","Missing qty",IF(A2832="","Missing date",""))))))</f>
        <v/>
      </c>
      <c r="I2832" s="84" t="str">
        <f aca="false">IF(B2832=Dashboard!$D$3,ROW(),"")</f>
        <v/>
      </c>
    </row>
    <row r="2833" customFormat="false" ht="15" hidden="false" customHeight="false" outlineLevel="0" collapsed="false">
      <c r="A2833" s="80"/>
      <c r="B2833" s="71"/>
      <c r="C2833" s="71"/>
      <c r="D2833" s="81"/>
      <c r="E2833" s="71"/>
      <c r="F2833" s="71"/>
      <c r="G2833" s="82" t="str">
        <f aca="false">IF(C2833="","",IFERROR(INDEX('Kit Lists'!$D$6:$D$605,MATCH(B2833&amp;"|"&amp;C2833,'Kit Lists'!$J$6:$J$605,0)),"Not on this contract's kit list"))</f>
        <v/>
      </c>
      <c r="H2833" s="83" t="str">
        <f aca="false">IF(AND(B2833="",C2833="",D2833=""),"",IF(B2833="","Missing contract",IF(C2833="","Missing code",IF(LEFT(G2833,3)="Not","Wrong code",IF(D2833="","Missing qty",IF(A2833="","Missing date",""))))))</f>
        <v/>
      </c>
      <c r="I2833" s="84" t="str">
        <f aca="false">IF(B2833=Dashboard!$D$3,ROW(),"")</f>
        <v/>
      </c>
    </row>
    <row r="2834" customFormat="false" ht="15" hidden="false" customHeight="false" outlineLevel="0" collapsed="false">
      <c r="A2834" s="80"/>
      <c r="B2834" s="71"/>
      <c r="C2834" s="71"/>
      <c r="D2834" s="81"/>
      <c r="E2834" s="71"/>
      <c r="F2834" s="71"/>
      <c r="G2834" s="82" t="str">
        <f aca="false">IF(C2834="","",IFERROR(INDEX('Kit Lists'!$D$6:$D$605,MATCH(B2834&amp;"|"&amp;C2834,'Kit Lists'!$J$6:$J$605,0)),"Not on this contract's kit list"))</f>
        <v/>
      </c>
      <c r="H2834" s="83" t="str">
        <f aca="false">IF(AND(B2834="",C2834="",D2834=""),"",IF(B2834="","Missing contract",IF(C2834="","Missing code",IF(LEFT(G2834,3)="Not","Wrong code",IF(D2834="","Missing qty",IF(A2834="","Missing date",""))))))</f>
        <v/>
      </c>
      <c r="I2834" s="84" t="str">
        <f aca="false">IF(B2834=Dashboard!$D$3,ROW(),"")</f>
        <v/>
      </c>
    </row>
    <row r="2835" customFormat="false" ht="15" hidden="false" customHeight="false" outlineLevel="0" collapsed="false">
      <c r="A2835" s="80"/>
      <c r="B2835" s="71"/>
      <c r="C2835" s="71"/>
      <c r="D2835" s="81"/>
      <c r="E2835" s="71"/>
      <c r="F2835" s="71"/>
      <c r="G2835" s="82" t="str">
        <f aca="false">IF(C2835="","",IFERROR(INDEX('Kit Lists'!$D$6:$D$605,MATCH(B2835&amp;"|"&amp;C2835,'Kit Lists'!$J$6:$J$605,0)),"Not on this contract's kit list"))</f>
        <v/>
      </c>
      <c r="H2835" s="83" t="str">
        <f aca="false">IF(AND(B2835="",C2835="",D2835=""),"",IF(B2835="","Missing contract",IF(C2835="","Missing code",IF(LEFT(G2835,3)="Not","Wrong code",IF(D2835="","Missing qty",IF(A2835="","Missing date",""))))))</f>
        <v/>
      </c>
      <c r="I2835" s="84" t="str">
        <f aca="false">IF(B2835=Dashboard!$D$3,ROW(),"")</f>
        <v/>
      </c>
    </row>
    <row r="2836" customFormat="false" ht="15" hidden="false" customHeight="false" outlineLevel="0" collapsed="false">
      <c r="A2836" s="80"/>
      <c r="B2836" s="71"/>
      <c r="C2836" s="71"/>
      <c r="D2836" s="81"/>
      <c r="E2836" s="71"/>
      <c r="F2836" s="71"/>
      <c r="G2836" s="82" t="str">
        <f aca="false">IF(C2836="","",IFERROR(INDEX('Kit Lists'!$D$6:$D$605,MATCH(B2836&amp;"|"&amp;C2836,'Kit Lists'!$J$6:$J$605,0)),"Not on this contract's kit list"))</f>
        <v/>
      </c>
      <c r="H2836" s="83" t="str">
        <f aca="false">IF(AND(B2836="",C2836="",D2836=""),"",IF(B2836="","Missing contract",IF(C2836="","Missing code",IF(LEFT(G2836,3)="Not","Wrong code",IF(D2836="","Missing qty",IF(A2836="","Missing date",""))))))</f>
        <v/>
      </c>
      <c r="I2836" s="84" t="str">
        <f aca="false">IF(B2836=Dashboard!$D$3,ROW(),"")</f>
        <v/>
      </c>
    </row>
    <row r="2837" customFormat="false" ht="15" hidden="false" customHeight="false" outlineLevel="0" collapsed="false">
      <c r="A2837" s="80"/>
      <c r="B2837" s="71"/>
      <c r="C2837" s="71"/>
      <c r="D2837" s="81"/>
      <c r="E2837" s="71"/>
      <c r="F2837" s="71"/>
      <c r="G2837" s="82" t="str">
        <f aca="false">IF(C2837="","",IFERROR(INDEX('Kit Lists'!$D$6:$D$605,MATCH(B2837&amp;"|"&amp;C2837,'Kit Lists'!$J$6:$J$605,0)),"Not on this contract's kit list"))</f>
        <v/>
      </c>
      <c r="H2837" s="83" t="str">
        <f aca="false">IF(AND(B2837="",C2837="",D2837=""),"",IF(B2837="","Missing contract",IF(C2837="","Missing code",IF(LEFT(G2837,3)="Not","Wrong code",IF(D2837="","Missing qty",IF(A2837="","Missing date",""))))))</f>
        <v/>
      </c>
      <c r="I2837" s="84" t="str">
        <f aca="false">IF(B2837=Dashboard!$D$3,ROW(),"")</f>
        <v/>
      </c>
    </row>
    <row r="2838" customFormat="false" ht="15" hidden="false" customHeight="false" outlineLevel="0" collapsed="false">
      <c r="A2838" s="80"/>
      <c r="B2838" s="71"/>
      <c r="C2838" s="71"/>
      <c r="D2838" s="81"/>
      <c r="E2838" s="71"/>
      <c r="F2838" s="71"/>
      <c r="G2838" s="82" t="str">
        <f aca="false">IF(C2838="","",IFERROR(INDEX('Kit Lists'!$D$6:$D$605,MATCH(B2838&amp;"|"&amp;C2838,'Kit Lists'!$J$6:$J$605,0)),"Not on this contract's kit list"))</f>
        <v/>
      </c>
      <c r="H2838" s="83" t="str">
        <f aca="false">IF(AND(B2838="",C2838="",D2838=""),"",IF(B2838="","Missing contract",IF(C2838="","Missing code",IF(LEFT(G2838,3)="Not","Wrong code",IF(D2838="","Missing qty",IF(A2838="","Missing date",""))))))</f>
        <v/>
      </c>
      <c r="I2838" s="84" t="str">
        <f aca="false">IF(B2838=Dashboard!$D$3,ROW(),"")</f>
        <v/>
      </c>
    </row>
    <row r="2839" customFormat="false" ht="15" hidden="false" customHeight="false" outlineLevel="0" collapsed="false">
      <c r="A2839" s="80"/>
      <c r="B2839" s="71"/>
      <c r="C2839" s="71"/>
      <c r="D2839" s="81"/>
      <c r="E2839" s="71"/>
      <c r="F2839" s="71"/>
      <c r="G2839" s="82" t="str">
        <f aca="false">IF(C2839="","",IFERROR(INDEX('Kit Lists'!$D$6:$D$605,MATCH(B2839&amp;"|"&amp;C2839,'Kit Lists'!$J$6:$J$605,0)),"Not on this contract's kit list"))</f>
        <v/>
      </c>
      <c r="H2839" s="83" t="str">
        <f aca="false">IF(AND(B2839="",C2839="",D2839=""),"",IF(B2839="","Missing contract",IF(C2839="","Missing code",IF(LEFT(G2839,3)="Not","Wrong code",IF(D2839="","Missing qty",IF(A2839="","Missing date",""))))))</f>
        <v/>
      </c>
      <c r="I2839" s="84" t="str">
        <f aca="false">IF(B2839=Dashboard!$D$3,ROW(),"")</f>
        <v/>
      </c>
    </row>
    <row r="2840" customFormat="false" ht="15" hidden="false" customHeight="false" outlineLevel="0" collapsed="false">
      <c r="A2840" s="80"/>
      <c r="B2840" s="71"/>
      <c r="C2840" s="71"/>
      <c r="D2840" s="81"/>
      <c r="E2840" s="71"/>
      <c r="F2840" s="71"/>
      <c r="G2840" s="82" t="str">
        <f aca="false">IF(C2840="","",IFERROR(INDEX('Kit Lists'!$D$6:$D$605,MATCH(B2840&amp;"|"&amp;C2840,'Kit Lists'!$J$6:$J$605,0)),"Not on this contract's kit list"))</f>
        <v/>
      </c>
      <c r="H2840" s="83" t="str">
        <f aca="false">IF(AND(B2840="",C2840="",D2840=""),"",IF(B2840="","Missing contract",IF(C2840="","Missing code",IF(LEFT(G2840,3)="Not","Wrong code",IF(D2840="","Missing qty",IF(A2840="","Missing date",""))))))</f>
        <v/>
      </c>
      <c r="I2840" s="84" t="str">
        <f aca="false">IF(B2840=Dashboard!$D$3,ROW(),"")</f>
        <v/>
      </c>
    </row>
    <row r="2841" customFormat="false" ht="15" hidden="false" customHeight="false" outlineLevel="0" collapsed="false">
      <c r="A2841" s="80"/>
      <c r="B2841" s="71"/>
      <c r="C2841" s="71"/>
      <c r="D2841" s="81"/>
      <c r="E2841" s="71"/>
      <c r="F2841" s="71"/>
      <c r="G2841" s="82" t="str">
        <f aca="false">IF(C2841="","",IFERROR(INDEX('Kit Lists'!$D$6:$D$605,MATCH(B2841&amp;"|"&amp;C2841,'Kit Lists'!$J$6:$J$605,0)),"Not on this contract's kit list"))</f>
        <v/>
      </c>
      <c r="H2841" s="83" t="str">
        <f aca="false">IF(AND(B2841="",C2841="",D2841=""),"",IF(B2841="","Missing contract",IF(C2841="","Missing code",IF(LEFT(G2841,3)="Not","Wrong code",IF(D2841="","Missing qty",IF(A2841="","Missing date",""))))))</f>
        <v/>
      </c>
      <c r="I2841" s="84" t="str">
        <f aca="false">IF(B2841=Dashboard!$D$3,ROW(),"")</f>
        <v/>
      </c>
    </row>
    <row r="2842" customFormat="false" ht="15" hidden="false" customHeight="false" outlineLevel="0" collapsed="false">
      <c r="A2842" s="80"/>
      <c r="B2842" s="71"/>
      <c r="C2842" s="71"/>
      <c r="D2842" s="81"/>
      <c r="E2842" s="71"/>
      <c r="F2842" s="71"/>
      <c r="G2842" s="82" t="str">
        <f aca="false">IF(C2842="","",IFERROR(INDEX('Kit Lists'!$D$6:$D$605,MATCH(B2842&amp;"|"&amp;C2842,'Kit Lists'!$J$6:$J$605,0)),"Not on this contract's kit list"))</f>
        <v/>
      </c>
      <c r="H2842" s="83" t="str">
        <f aca="false">IF(AND(B2842="",C2842="",D2842=""),"",IF(B2842="","Missing contract",IF(C2842="","Missing code",IF(LEFT(G2842,3)="Not","Wrong code",IF(D2842="","Missing qty",IF(A2842="","Missing date",""))))))</f>
        <v/>
      </c>
      <c r="I2842" s="84" t="str">
        <f aca="false">IF(B2842=Dashboard!$D$3,ROW(),"")</f>
        <v/>
      </c>
    </row>
    <row r="2843" customFormat="false" ht="15" hidden="false" customHeight="false" outlineLevel="0" collapsed="false">
      <c r="A2843" s="80"/>
      <c r="B2843" s="71"/>
      <c r="C2843" s="71"/>
      <c r="D2843" s="81"/>
      <c r="E2843" s="71"/>
      <c r="F2843" s="71"/>
      <c r="G2843" s="82" t="str">
        <f aca="false">IF(C2843="","",IFERROR(INDEX('Kit Lists'!$D$6:$D$605,MATCH(B2843&amp;"|"&amp;C2843,'Kit Lists'!$J$6:$J$605,0)),"Not on this contract's kit list"))</f>
        <v/>
      </c>
      <c r="H2843" s="83" t="str">
        <f aca="false">IF(AND(B2843="",C2843="",D2843=""),"",IF(B2843="","Missing contract",IF(C2843="","Missing code",IF(LEFT(G2843,3)="Not","Wrong code",IF(D2843="","Missing qty",IF(A2843="","Missing date",""))))))</f>
        <v/>
      </c>
      <c r="I2843" s="84" t="str">
        <f aca="false">IF(B2843=Dashboard!$D$3,ROW(),"")</f>
        <v/>
      </c>
    </row>
    <row r="2844" customFormat="false" ht="15" hidden="false" customHeight="false" outlineLevel="0" collapsed="false">
      <c r="A2844" s="80"/>
      <c r="B2844" s="71"/>
      <c r="C2844" s="71"/>
      <c r="D2844" s="81"/>
      <c r="E2844" s="71"/>
      <c r="F2844" s="71"/>
      <c r="G2844" s="82" t="str">
        <f aca="false">IF(C2844="","",IFERROR(INDEX('Kit Lists'!$D$6:$D$605,MATCH(B2844&amp;"|"&amp;C2844,'Kit Lists'!$J$6:$J$605,0)),"Not on this contract's kit list"))</f>
        <v/>
      </c>
      <c r="H2844" s="83" t="str">
        <f aca="false">IF(AND(B2844="",C2844="",D2844=""),"",IF(B2844="","Missing contract",IF(C2844="","Missing code",IF(LEFT(G2844,3)="Not","Wrong code",IF(D2844="","Missing qty",IF(A2844="","Missing date",""))))))</f>
        <v/>
      </c>
      <c r="I2844" s="84" t="str">
        <f aca="false">IF(B2844=Dashboard!$D$3,ROW(),"")</f>
        <v/>
      </c>
    </row>
    <row r="2845" customFormat="false" ht="15" hidden="false" customHeight="false" outlineLevel="0" collapsed="false">
      <c r="A2845" s="80"/>
      <c r="B2845" s="71"/>
      <c r="C2845" s="71"/>
      <c r="D2845" s="81"/>
      <c r="E2845" s="71"/>
      <c r="F2845" s="71"/>
      <c r="G2845" s="82" t="str">
        <f aca="false">IF(C2845="","",IFERROR(INDEX('Kit Lists'!$D$6:$D$605,MATCH(B2845&amp;"|"&amp;C2845,'Kit Lists'!$J$6:$J$605,0)),"Not on this contract's kit list"))</f>
        <v/>
      </c>
      <c r="H2845" s="83" t="str">
        <f aca="false">IF(AND(B2845="",C2845="",D2845=""),"",IF(B2845="","Missing contract",IF(C2845="","Missing code",IF(LEFT(G2845,3)="Not","Wrong code",IF(D2845="","Missing qty",IF(A2845="","Missing date",""))))))</f>
        <v/>
      </c>
      <c r="I2845" s="84" t="str">
        <f aca="false">IF(B2845=Dashboard!$D$3,ROW(),"")</f>
        <v/>
      </c>
    </row>
    <row r="2846" customFormat="false" ht="15" hidden="false" customHeight="false" outlineLevel="0" collapsed="false">
      <c r="A2846" s="80"/>
      <c r="B2846" s="71"/>
      <c r="C2846" s="71"/>
      <c r="D2846" s="81"/>
      <c r="E2846" s="71"/>
      <c r="F2846" s="71"/>
      <c r="G2846" s="82" t="str">
        <f aca="false">IF(C2846="","",IFERROR(INDEX('Kit Lists'!$D$6:$D$605,MATCH(B2846&amp;"|"&amp;C2846,'Kit Lists'!$J$6:$J$605,0)),"Not on this contract's kit list"))</f>
        <v/>
      </c>
      <c r="H2846" s="83" t="str">
        <f aca="false">IF(AND(B2846="",C2846="",D2846=""),"",IF(B2846="","Missing contract",IF(C2846="","Missing code",IF(LEFT(G2846,3)="Not","Wrong code",IF(D2846="","Missing qty",IF(A2846="","Missing date",""))))))</f>
        <v/>
      </c>
      <c r="I2846" s="84" t="str">
        <f aca="false">IF(B2846=Dashboard!$D$3,ROW(),"")</f>
        <v/>
      </c>
    </row>
    <row r="2847" customFormat="false" ht="15" hidden="false" customHeight="false" outlineLevel="0" collapsed="false">
      <c r="A2847" s="80"/>
      <c r="B2847" s="71"/>
      <c r="C2847" s="71"/>
      <c r="D2847" s="81"/>
      <c r="E2847" s="71"/>
      <c r="F2847" s="71"/>
      <c r="G2847" s="82" t="str">
        <f aca="false">IF(C2847="","",IFERROR(INDEX('Kit Lists'!$D$6:$D$605,MATCH(B2847&amp;"|"&amp;C2847,'Kit Lists'!$J$6:$J$605,0)),"Not on this contract's kit list"))</f>
        <v/>
      </c>
      <c r="H2847" s="83" t="str">
        <f aca="false">IF(AND(B2847="",C2847="",D2847=""),"",IF(B2847="","Missing contract",IF(C2847="","Missing code",IF(LEFT(G2847,3)="Not","Wrong code",IF(D2847="","Missing qty",IF(A2847="","Missing date",""))))))</f>
        <v/>
      </c>
      <c r="I2847" s="84" t="str">
        <f aca="false">IF(B2847=Dashboard!$D$3,ROW(),"")</f>
        <v/>
      </c>
    </row>
    <row r="2848" customFormat="false" ht="15" hidden="false" customHeight="false" outlineLevel="0" collapsed="false">
      <c r="A2848" s="80"/>
      <c r="B2848" s="71"/>
      <c r="C2848" s="71"/>
      <c r="D2848" s="81"/>
      <c r="E2848" s="71"/>
      <c r="F2848" s="71"/>
      <c r="G2848" s="82" t="str">
        <f aca="false">IF(C2848="","",IFERROR(INDEX('Kit Lists'!$D$6:$D$605,MATCH(B2848&amp;"|"&amp;C2848,'Kit Lists'!$J$6:$J$605,0)),"Not on this contract's kit list"))</f>
        <v/>
      </c>
      <c r="H2848" s="83" t="str">
        <f aca="false">IF(AND(B2848="",C2848="",D2848=""),"",IF(B2848="","Missing contract",IF(C2848="","Missing code",IF(LEFT(G2848,3)="Not","Wrong code",IF(D2848="","Missing qty",IF(A2848="","Missing date",""))))))</f>
        <v/>
      </c>
      <c r="I2848" s="84" t="str">
        <f aca="false">IF(B2848=Dashboard!$D$3,ROW(),"")</f>
        <v/>
      </c>
    </row>
    <row r="2849" customFormat="false" ht="15" hidden="false" customHeight="false" outlineLevel="0" collapsed="false">
      <c r="A2849" s="80"/>
      <c r="B2849" s="71"/>
      <c r="C2849" s="71"/>
      <c r="D2849" s="81"/>
      <c r="E2849" s="71"/>
      <c r="F2849" s="71"/>
      <c r="G2849" s="82" t="str">
        <f aca="false">IF(C2849="","",IFERROR(INDEX('Kit Lists'!$D$6:$D$605,MATCH(B2849&amp;"|"&amp;C2849,'Kit Lists'!$J$6:$J$605,0)),"Not on this contract's kit list"))</f>
        <v/>
      </c>
      <c r="H2849" s="83" t="str">
        <f aca="false">IF(AND(B2849="",C2849="",D2849=""),"",IF(B2849="","Missing contract",IF(C2849="","Missing code",IF(LEFT(G2849,3)="Not","Wrong code",IF(D2849="","Missing qty",IF(A2849="","Missing date",""))))))</f>
        <v/>
      </c>
      <c r="I2849" s="84" t="str">
        <f aca="false">IF(B2849=Dashboard!$D$3,ROW(),"")</f>
        <v/>
      </c>
    </row>
    <row r="2850" customFormat="false" ht="15" hidden="false" customHeight="false" outlineLevel="0" collapsed="false">
      <c r="A2850" s="80"/>
      <c r="B2850" s="71"/>
      <c r="C2850" s="71"/>
      <c r="D2850" s="81"/>
      <c r="E2850" s="71"/>
      <c r="F2850" s="71"/>
      <c r="G2850" s="82" t="str">
        <f aca="false">IF(C2850="","",IFERROR(INDEX('Kit Lists'!$D$6:$D$605,MATCH(B2850&amp;"|"&amp;C2850,'Kit Lists'!$J$6:$J$605,0)),"Not on this contract's kit list"))</f>
        <v/>
      </c>
      <c r="H2850" s="83" t="str">
        <f aca="false">IF(AND(B2850="",C2850="",D2850=""),"",IF(B2850="","Missing contract",IF(C2850="","Missing code",IF(LEFT(G2850,3)="Not","Wrong code",IF(D2850="","Missing qty",IF(A2850="","Missing date",""))))))</f>
        <v/>
      </c>
      <c r="I2850" s="84" t="str">
        <f aca="false">IF(B2850=Dashboard!$D$3,ROW(),"")</f>
        <v/>
      </c>
    </row>
    <row r="2851" customFormat="false" ht="15" hidden="false" customHeight="false" outlineLevel="0" collapsed="false">
      <c r="A2851" s="80"/>
      <c r="B2851" s="71"/>
      <c r="C2851" s="71"/>
      <c r="D2851" s="81"/>
      <c r="E2851" s="71"/>
      <c r="F2851" s="71"/>
      <c r="G2851" s="82" t="str">
        <f aca="false">IF(C2851="","",IFERROR(INDEX('Kit Lists'!$D$6:$D$605,MATCH(B2851&amp;"|"&amp;C2851,'Kit Lists'!$J$6:$J$605,0)),"Not on this contract's kit list"))</f>
        <v/>
      </c>
      <c r="H2851" s="83" t="str">
        <f aca="false">IF(AND(B2851="",C2851="",D2851=""),"",IF(B2851="","Missing contract",IF(C2851="","Missing code",IF(LEFT(G2851,3)="Not","Wrong code",IF(D2851="","Missing qty",IF(A2851="","Missing date",""))))))</f>
        <v/>
      </c>
      <c r="I2851" s="84" t="str">
        <f aca="false">IF(B2851=Dashboard!$D$3,ROW(),"")</f>
        <v/>
      </c>
    </row>
    <row r="2852" customFormat="false" ht="15" hidden="false" customHeight="false" outlineLevel="0" collapsed="false">
      <c r="A2852" s="80"/>
      <c r="B2852" s="71"/>
      <c r="C2852" s="71"/>
      <c r="D2852" s="81"/>
      <c r="E2852" s="71"/>
      <c r="F2852" s="71"/>
      <c r="G2852" s="82" t="str">
        <f aca="false">IF(C2852="","",IFERROR(INDEX('Kit Lists'!$D$6:$D$605,MATCH(B2852&amp;"|"&amp;C2852,'Kit Lists'!$J$6:$J$605,0)),"Not on this contract's kit list"))</f>
        <v/>
      </c>
      <c r="H2852" s="83" t="str">
        <f aca="false">IF(AND(B2852="",C2852="",D2852=""),"",IF(B2852="","Missing contract",IF(C2852="","Missing code",IF(LEFT(G2852,3)="Not","Wrong code",IF(D2852="","Missing qty",IF(A2852="","Missing date",""))))))</f>
        <v/>
      </c>
      <c r="I2852" s="84" t="str">
        <f aca="false">IF(B2852=Dashboard!$D$3,ROW(),"")</f>
        <v/>
      </c>
    </row>
    <row r="2853" customFormat="false" ht="15" hidden="false" customHeight="false" outlineLevel="0" collapsed="false">
      <c r="A2853" s="80"/>
      <c r="B2853" s="71"/>
      <c r="C2853" s="71"/>
      <c r="D2853" s="81"/>
      <c r="E2853" s="71"/>
      <c r="F2853" s="71"/>
      <c r="G2853" s="82" t="str">
        <f aca="false">IF(C2853="","",IFERROR(INDEX('Kit Lists'!$D$6:$D$605,MATCH(B2853&amp;"|"&amp;C2853,'Kit Lists'!$J$6:$J$605,0)),"Not on this contract's kit list"))</f>
        <v/>
      </c>
      <c r="H2853" s="83" t="str">
        <f aca="false">IF(AND(B2853="",C2853="",D2853=""),"",IF(B2853="","Missing contract",IF(C2853="","Missing code",IF(LEFT(G2853,3)="Not","Wrong code",IF(D2853="","Missing qty",IF(A2853="","Missing date",""))))))</f>
        <v/>
      </c>
      <c r="I2853" s="84" t="str">
        <f aca="false">IF(B2853=Dashboard!$D$3,ROW(),"")</f>
        <v/>
      </c>
    </row>
    <row r="2854" customFormat="false" ht="15" hidden="false" customHeight="false" outlineLevel="0" collapsed="false">
      <c r="A2854" s="80"/>
      <c r="B2854" s="71"/>
      <c r="C2854" s="71"/>
      <c r="D2854" s="81"/>
      <c r="E2854" s="71"/>
      <c r="F2854" s="71"/>
      <c r="G2854" s="82" t="str">
        <f aca="false">IF(C2854="","",IFERROR(INDEX('Kit Lists'!$D$6:$D$605,MATCH(B2854&amp;"|"&amp;C2854,'Kit Lists'!$J$6:$J$605,0)),"Not on this contract's kit list"))</f>
        <v/>
      </c>
      <c r="H2854" s="83" t="str">
        <f aca="false">IF(AND(B2854="",C2854="",D2854=""),"",IF(B2854="","Missing contract",IF(C2854="","Missing code",IF(LEFT(G2854,3)="Not","Wrong code",IF(D2854="","Missing qty",IF(A2854="","Missing date",""))))))</f>
        <v/>
      </c>
      <c r="I2854" s="84" t="str">
        <f aca="false">IF(B2854=Dashboard!$D$3,ROW(),"")</f>
        <v/>
      </c>
    </row>
    <row r="2855" customFormat="false" ht="15" hidden="false" customHeight="false" outlineLevel="0" collapsed="false">
      <c r="A2855" s="80"/>
      <c r="B2855" s="71"/>
      <c r="C2855" s="71"/>
      <c r="D2855" s="81"/>
      <c r="E2855" s="71"/>
      <c r="F2855" s="71"/>
      <c r="G2855" s="82" t="str">
        <f aca="false">IF(C2855="","",IFERROR(INDEX('Kit Lists'!$D$6:$D$605,MATCH(B2855&amp;"|"&amp;C2855,'Kit Lists'!$J$6:$J$605,0)),"Not on this contract's kit list"))</f>
        <v/>
      </c>
      <c r="H2855" s="83" t="str">
        <f aca="false">IF(AND(B2855="",C2855="",D2855=""),"",IF(B2855="","Missing contract",IF(C2855="","Missing code",IF(LEFT(G2855,3)="Not","Wrong code",IF(D2855="","Missing qty",IF(A2855="","Missing date",""))))))</f>
        <v/>
      </c>
      <c r="I2855" s="84" t="str">
        <f aca="false">IF(B2855=Dashboard!$D$3,ROW(),"")</f>
        <v/>
      </c>
    </row>
    <row r="2856" customFormat="false" ht="15" hidden="false" customHeight="false" outlineLevel="0" collapsed="false">
      <c r="A2856" s="80"/>
      <c r="B2856" s="71"/>
      <c r="C2856" s="71"/>
      <c r="D2856" s="81"/>
      <c r="E2856" s="71"/>
      <c r="F2856" s="71"/>
      <c r="G2856" s="82" t="str">
        <f aca="false">IF(C2856="","",IFERROR(INDEX('Kit Lists'!$D$6:$D$605,MATCH(B2856&amp;"|"&amp;C2856,'Kit Lists'!$J$6:$J$605,0)),"Not on this contract's kit list"))</f>
        <v/>
      </c>
      <c r="H2856" s="83" t="str">
        <f aca="false">IF(AND(B2856="",C2856="",D2856=""),"",IF(B2856="","Missing contract",IF(C2856="","Missing code",IF(LEFT(G2856,3)="Not","Wrong code",IF(D2856="","Missing qty",IF(A2856="","Missing date",""))))))</f>
        <v/>
      </c>
      <c r="I2856" s="84" t="str">
        <f aca="false">IF(B2856=Dashboard!$D$3,ROW(),"")</f>
        <v/>
      </c>
    </row>
    <row r="2857" customFormat="false" ht="15" hidden="false" customHeight="false" outlineLevel="0" collapsed="false">
      <c r="A2857" s="80"/>
      <c r="B2857" s="71"/>
      <c r="C2857" s="71"/>
      <c r="D2857" s="81"/>
      <c r="E2857" s="71"/>
      <c r="F2857" s="71"/>
      <c r="G2857" s="82" t="str">
        <f aca="false">IF(C2857="","",IFERROR(INDEX('Kit Lists'!$D$6:$D$605,MATCH(B2857&amp;"|"&amp;C2857,'Kit Lists'!$J$6:$J$605,0)),"Not on this contract's kit list"))</f>
        <v/>
      </c>
      <c r="H2857" s="83" t="str">
        <f aca="false">IF(AND(B2857="",C2857="",D2857=""),"",IF(B2857="","Missing contract",IF(C2857="","Missing code",IF(LEFT(G2857,3)="Not","Wrong code",IF(D2857="","Missing qty",IF(A2857="","Missing date",""))))))</f>
        <v/>
      </c>
      <c r="I2857" s="84" t="str">
        <f aca="false">IF(B2857=Dashboard!$D$3,ROW(),"")</f>
        <v/>
      </c>
    </row>
    <row r="2858" customFormat="false" ht="15" hidden="false" customHeight="false" outlineLevel="0" collapsed="false">
      <c r="A2858" s="80"/>
      <c r="B2858" s="71"/>
      <c r="C2858" s="71"/>
      <c r="D2858" s="81"/>
      <c r="E2858" s="71"/>
      <c r="F2858" s="71"/>
      <c r="G2858" s="82" t="str">
        <f aca="false">IF(C2858="","",IFERROR(INDEX('Kit Lists'!$D$6:$D$605,MATCH(B2858&amp;"|"&amp;C2858,'Kit Lists'!$J$6:$J$605,0)),"Not on this contract's kit list"))</f>
        <v/>
      </c>
      <c r="H2858" s="83" t="str">
        <f aca="false">IF(AND(B2858="",C2858="",D2858=""),"",IF(B2858="","Missing contract",IF(C2858="","Missing code",IF(LEFT(G2858,3)="Not","Wrong code",IF(D2858="","Missing qty",IF(A2858="","Missing date",""))))))</f>
        <v/>
      </c>
      <c r="I2858" s="84" t="str">
        <f aca="false">IF(B2858=Dashboard!$D$3,ROW(),"")</f>
        <v/>
      </c>
    </row>
    <row r="2859" customFormat="false" ht="15" hidden="false" customHeight="false" outlineLevel="0" collapsed="false">
      <c r="A2859" s="80"/>
      <c r="B2859" s="71"/>
      <c r="C2859" s="71"/>
      <c r="D2859" s="81"/>
      <c r="E2859" s="71"/>
      <c r="F2859" s="71"/>
      <c r="G2859" s="82" t="str">
        <f aca="false">IF(C2859="","",IFERROR(INDEX('Kit Lists'!$D$6:$D$605,MATCH(B2859&amp;"|"&amp;C2859,'Kit Lists'!$J$6:$J$605,0)),"Not on this contract's kit list"))</f>
        <v/>
      </c>
      <c r="H2859" s="83" t="str">
        <f aca="false">IF(AND(B2859="",C2859="",D2859=""),"",IF(B2859="","Missing contract",IF(C2859="","Missing code",IF(LEFT(G2859,3)="Not","Wrong code",IF(D2859="","Missing qty",IF(A2859="","Missing date",""))))))</f>
        <v/>
      </c>
      <c r="I2859" s="84" t="str">
        <f aca="false">IF(B2859=Dashboard!$D$3,ROW(),"")</f>
        <v/>
      </c>
    </row>
    <row r="2860" customFormat="false" ht="15" hidden="false" customHeight="false" outlineLevel="0" collapsed="false">
      <c r="A2860" s="80"/>
      <c r="B2860" s="71"/>
      <c r="C2860" s="71"/>
      <c r="D2860" s="81"/>
      <c r="E2860" s="71"/>
      <c r="F2860" s="71"/>
      <c r="G2860" s="82" t="str">
        <f aca="false">IF(C2860="","",IFERROR(INDEX('Kit Lists'!$D$6:$D$605,MATCH(B2860&amp;"|"&amp;C2860,'Kit Lists'!$J$6:$J$605,0)),"Not on this contract's kit list"))</f>
        <v/>
      </c>
      <c r="H2860" s="83" t="str">
        <f aca="false">IF(AND(B2860="",C2860="",D2860=""),"",IF(B2860="","Missing contract",IF(C2860="","Missing code",IF(LEFT(G2860,3)="Not","Wrong code",IF(D2860="","Missing qty",IF(A2860="","Missing date",""))))))</f>
        <v/>
      </c>
      <c r="I2860" s="84" t="str">
        <f aca="false">IF(B2860=Dashboard!$D$3,ROW(),"")</f>
        <v/>
      </c>
    </row>
    <row r="2861" customFormat="false" ht="15" hidden="false" customHeight="false" outlineLevel="0" collapsed="false">
      <c r="A2861" s="80"/>
      <c r="B2861" s="71"/>
      <c r="C2861" s="71"/>
      <c r="D2861" s="81"/>
      <c r="E2861" s="71"/>
      <c r="F2861" s="71"/>
      <c r="G2861" s="82" t="str">
        <f aca="false">IF(C2861="","",IFERROR(INDEX('Kit Lists'!$D$6:$D$605,MATCH(B2861&amp;"|"&amp;C2861,'Kit Lists'!$J$6:$J$605,0)),"Not on this contract's kit list"))</f>
        <v/>
      </c>
      <c r="H2861" s="83" t="str">
        <f aca="false">IF(AND(B2861="",C2861="",D2861=""),"",IF(B2861="","Missing contract",IF(C2861="","Missing code",IF(LEFT(G2861,3)="Not","Wrong code",IF(D2861="","Missing qty",IF(A2861="","Missing date",""))))))</f>
        <v/>
      </c>
      <c r="I2861" s="84" t="str">
        <f aca="false">IF(B2861=Dashboard!$D$3,ROW(),"")</f>
        <v/>
      </c>
    </row>
    <row r="2862" customFormat="false" ht="15" hidden="false" customHeight="false" outlineLevel="0" collapsed="false">
      <c r="A2862" s="80"/>
      <c r="B2862" s="71"/>
      <c r="C2862" s="71"/>
      <c r="D2862" s="81"/>
      <c r="E2862" s="71"/>
      <c r="F2862" s="71"/>
      <c r="G2862" s="82" t="str">
        <f aca="false">IF(C2862="","",IFERROR(INDEX('Kit Lists'!$D$6:$D$605,MATCH(B2862&amp;"|"&amp;C2862,'Kit Lists'!$J$6:$J$605,0)),"Not on this contract's kit list"))</f>
        <v/>
      </c>
      <c r="H2862" s="83" t="str">
        <f aca="false">IF(AND(B2862="",C2862="",D2862=""),"",IF(B2862="","Missing contract",IF(C2862="","Missing code",IF(LEFT(G2862,3)="Not","Wrong code",IF(D2862="","Missing qty",IF(A2862="","Missing date",""))))))</f>
        <v/>
      </c>
      <c r="I2862" s="84" t="str">
        <f aca="false">IF(B2862=Dashboard!$D$3,ROW(),"")</f>
        <v/>
      </c>
    </row>
    <row r="2863" customFormat="false" ht="15" hidden="false" customHeight="false" outlineLevel="0" collapsed="false">
      <c r="A2863" s="80"/>
      <c r="B2863" s="71"/>
      <c r="C2863" s="71"/>
      <c r="D2863" s="81"/>
      <c r="E2863" s="71"/>
      <c r="F2863" s="71"/>
      <c r="G2863" s="82" t="str">
        <f aca="false">IF(C2863="","",IFERROR(INDEX('Kit Lists'!$D$6:$D$605,MATCH(B2863&amp;"|"&amp;C2863,'Kit Lists'!$J$6:$J$605,0)),"Not on this contract's kit list"))</f>
        <v/>
      </c>
      <c r="H2863" s="83" t="str">
        <f aca="false">IF(AND(B2863="",C2863="",D2863=""),"",IF(B2863="","Missing contract",IF(C2863="","Missing code",IF(LEFT(G2863,3)="Not","Wrong code",IF(D2863="","Missing qty",IF(A2863="","Missing date",""))))))</f>
        <v/>
      </c>
      <c r="I2863" s="84" t="str">
        <f aca="false">IF(B2863=Dashboard!$D$3,ROW(),"")</f>
        <v/>
      </c>
    </row>
    <row r="2864" customFormat="false" ht="15" hidden="false" customHeight="false" outlineLevel="0" collapsed="false">
      <c r="A2864" s="80"/>
      <c r="B2864" s="71"/>
      <c r="C2864" s="71"/>
      <c r="D2864" s="81"/>
      <c r="E2864" s="71"/>
      <c r="F2864" s="71"/>
      <c r="G2864" s="82" t="str">
        <f aca="false">IF(C2864="","",IFERROR(INDEX('Kit Lists'!$D$6:$D$605,MATCH(B2864&amp;"|"&amp;C2864,'Kit Lists'!$J$6:$J$605,0)),"Not on this contract's kit list"))</f>
        <v/>
      </c>
      <c r="H2864" s="83" t="str">
        <f aca="false">IF(AND(B2864="",C2864="",D2864=""),"",IF(B2864="","Missing contract",IF(C2864="","Missing code",IF(LEFT(G2864,3)="Not","Wrong code",IF(D2864="","Missing qty",IF(A2864="","Missing date",""))))))</f>
        <v/>
      </c>
      <c r="I2864" s="84" t="str">
        <f aca="false">IF(B2864=Dashboard!$D$3,ROW(),"")</f>
        <v/>
      </c>
    </row>
    <row r="2865" customFormat="false" ht="15" hidden="false" customHeight="false" outlineLevel="0" collapsed="false">
      <c r="A2865" s="80"/>
      <c r="B2865" s="71"/>
      <c r="C2865" s="71"/>
      <c r="D2865" s="81"/>
      <c r="E2865" s="71"/>
      <c r="F2865" s="71"/>
      <c r="G2865" s="82" t="str">
        <f aca="false">IF(C2865="","",IFERROR(INDEX('Kit Lists'!$D$6:$D$605,MATCH(B2865&amp;"|"&amp;C2865,'Kit Lists'!$J$6:$J$605,0)),"Not on this contract's kit list"))</f>
        <v/>
      </c>
      <c r="H2865" s="83" t="str">
        <f aca="false">IF(AND(B2865="",C2865="",D2865=""),"",IF(B2865="","Missing contract",IF(C2865="","Missing code",IF(LEFT(G2865,3)="Not","Wrong code",IF(D2865="","Missing qty",IF(A2865="","Missing date",""))))))</f>
        <v/>
      </c>
      <c r="I2865" s="84" t="str">
        <f aca="false">IF(B2865=Dashboard!$D$3,ROW(),"")</f>
        <v/>
      </c>
    </row>
    <row r="2866" customFormat="false" ht="15" hidden="false" customHeight="false" outlineLevel="0" collapsed="false">
      <c r="A2866" s="80"/>
      <c r="B2866" s="71"/>
      <c r="C2866" s="71"/>
      <c r="D2866" s="81"/>
      <c r="E2866" s="71"/>
      <c r="F2866" s="71"/>
      <c r="G2866" s="82" t="str">
        <f aca="false">IF(C2866="","",IFERROR(INDEX('Kit Lists'!$D$6:$D$605,MATCH(B2866&amp;"|"&amp;C2866,'Kit Lists'!$J$6:$J$605,0)),"Not on this contract's kit list"))</f>
        <v/>
      </c>
      <c r="H2866" s="83" t="str">
        <f aca="false">IF(AND(B2866="",C2866="",D2866=""),"",IF(B2866="","Missing contract",IF(C2866="","Missing code",IF(LEFT(G2866,3)="Not","Wrong code",IF(D2866="","Missing qty",IF(A2866="","Missing date",""))))))</f>
        <v/>
      </c>
      <c r="I2866" s="84" t="str">
        <f aca="false">IF(B2866=Dashboard!$D$3,ROW(),"")</f>
        <v/>
      </c>
    </row>
    <row r="2867" customFormat="false" ht="15" hidden="false" customHeight="false" outlineLevel="0" collapsed="false">
      <c r="A2867" s="80"/>
      <c r="B2867" s="71"/>
      <c r="C2867" s="71"/>
      <c r="D2867" s="81"/>
      <c r="E2867" s="71"/>
      <c r="F2867" s="71"/>
      <c r="G2867" s="82" t="str">
        <f aca="false">IF(C2867="","",IFERROR(INDEX('Kit Lists'!$D$6:$D$605,MATCH(B2867&amp;"|"&amp;C2867,'Kit Lists'!$J$6:$J$605,0)),"Not on this contract's kit list"))</f>
        <v/>
      </c>
      <c r="H2867" s="83" t="str">
        <f aca="false">IF(AND(B2867="",C2867="",D2867=""),"",IF(B2867="","Missing contract",IF(C2867="","Missing code",IF(LEFT(G2867,3)="Not","Wrong code",IF(D2867="","Missing qty",IF(A2867="","Missing date",""))))))</f>
        <v/>
      </c>
      <c r="I2867" s="84" t="str">
        <f aca="false">IF(B2867=Dashboard!$D$3,ROW(),"")</f>
        <v/>
      </c>
    </row>
    <row r="2868" customFormat="false" ht="15" hidden="false" customHeight="false" outlineLevel="0" collapsed="false">
      <c r="A2868" s="80"/>
      <c r="B2868" s="71"/>
      <c r="C2868" s="71"/>
      <c r="D2868" s="81"/>
      <c r="E2868" s="71"/>
      <c r="F2868" s="71"/>
      <c r="G2868" s="82" t="str">
        <f aca="false">IF(C2868="","",IFERROR(INDEX('Kit Lists'!$D$6:$D$605,MATCH(B2868&amp;"|"&amp;C2868,'Kit Lists'!$J$6:$J$605,0)),"Not on this contract's kit list"))</f>
        <v/>
      </c>
      <c r="H2868" s="83" t="str">
        <f aca="false">IF(AND(B2868="",C2868="",D2868=""),"",IF(B2868="","Missing contract",IF(C2868="","Missing code",IF(LEFT(G2868,3)="Not","Wrong code",IF(D2868="","Missing qty",IF(A2868="","Missing date",""))))))</f>
        <v/>
      </c>
      <c r="I2868" s="84" t="str">
        <f aca="false">IF(B2868=Dashboard!$D$3,ROW(),"")</f>
        <v/>
      </c>
    </row>
    <row r="2869" customFormat="false" ht="15" hidden="false" customHeight="false" outlineLevel="0" collapsed="false">
      <c r="A2869" s="80"/>
      <c r="B2869" s="71"/>
      <c r="C2869" s="71"/>
      <c r="D2869" s="81"/>
      <c r="E2869" s="71"/>
      <c r="F2869" s="71"/>
      <c r="G2869" s="82" t="str">
        <f aca="false">IF(C2869="","",IFERROR(INDEX('Kit Lists'!$D$6:$D$605,MATCH(B2869&amp;"|"&amp;C2869,'Kit Lists'!$J$6:$J$605,0)),"Not on this contract's kit list"))</f>
        <v/>
      </c>
      <c r="H2869" s="83" t="str">
        <f aca="false">IF(AND(B2869="",C2869="",D2869=""),"",IF(B2869="","Missing contract",IF(C2869="","Missing code",IF(LEFT(G2869,3)="Not","Wrong code",IF(D2869="","Missing qty",IF(A2869="","Missing date",""))))))</f>
        <v/>
      </c>
      <c r="I2869" s="84" t="str">
        <f aca="false">IF(B2869=Dashboard!$D$3,ROW(),"")</f>
        <v/>
      </c>
    </row>
    <row r="2870" customFormat="false" ht="15" hidden="false" customHeight="false" outlineLevel="0" collapsed="false">
      <c r="A2870" s="80"/>
      <c r="B2870" s="71"/>
      <c r="C2870" s="71"/>
      <c r="D2870" s="81"/>
      <c r="E2870" s="71"/>
      <c r="F2870" s="71"/>
      <c r="G2870" s="82" t="str">
        <f aca="false">IF(C2870="","",IFERROR(INDEX('Kit Lists'!$D$6:$D$605,MATCH(B2870&amp;"|"&amp;C2870,'Kit Lists'!$J$6:$J$605,0)),"Not on this contract's kit list"))</f>
        <v/>
      </c>
      <c r="H2870" s="83" t="str">
        <f aca="false">IF(AND(B2870="",C2870="",D2870=""),"",IF(B2870="","Missing contract",IF(C2870="","Missing code",IF(LEFT(G2870,3)="Not","Wrong code",IF(D2870="","Missing qty",IF(A2870="","Missing date",""))))))</f>
        <v/>
      </c>
      <c r="I2870" s="84" t="str">
        <f aca="false">IF(B2870=Dashboard!$D$3,ROW(),"")</f>
        <v/>
      </c>
    </row>
    <row r="2871" customFormat="false" ht="15" hidden="false" customHeight="false" outlineLevel="0" collapsed="false">
      <c r="A2871" s="80"/>
      <c r="B2871" s="71"/>
      <c r="C2871" s="71"/>
      <c r="D2871" s="81"/>
      <c r="E2871" s="71"/>
      <c r="F2871" s="71"/>
      <c r="G2871" s="82" t="str">
        <f aca="false">IF(C2871="","",IFERROR(INDEX('Kit Lists'!$D$6:$D$605,MATCH(B2871&amp;"|"&amp;C2871,'Kit Lists'!$J$6:$J$605,0)),"Not on this contract's kit list"))</f>
        <v/>
      </c>
      <c r="H2871" s="83" t="str">
        <f aca="false">IF(AND(B2871="",C2871="",D2871=""),"",IF(B2871="","Missing contract",IF(C2871="","Missing code",IF(LEFT(G2871,3)="Not","Wrong code",IF(D2871="","Missing qty",IF(A2871="","Missing date",""))))))</f>
        <v/>
      </c>
      <c r="I2871" s="84" t="str">
        <f aca="false">IF(B2871=Dashboard!$D$3,ROW(),"")</f>
        <v/>
      </c>
    </row>
    <row r="2872" customFormat="false" ht="15" hidden="false" customHeight="false" outlineLevel="0" collapsed="false">
      <c r="A2872" s="80"/>
      <c r="B2872" s="71"/>
      <c r="C2872" s="71"/>
      <c r="D2872" s="81"/>
      <c r="E2872" s="71"/>
      <c r="F2872" s="71"/>
      <c r="G2872" s="82" t="str">
        <f aca="false">IF(C2872="","",IFERROR(INDEX('Kit Lists'!$D$6:$D$605,MATCH(B2872&amp;"|"&amp;C2872,'Kit Lists'!$J$6:$J$605,0)),"Not on this contract's kit list"))</f>
        <v/>
      </c>
      <c r="H2872" s="83" t="str">
        <f aca="false">IF(AND(B2872="",C2872="",D2872=""),"",IF(B2872="","Missing contract",IF(C2872="","Missing code",IF(LEFT(G2872,3)="Not","Wrong code",IF(D2872="","Missing qty",IF(A2872="","Missing date",""))))))</f>
        <v/>
      </c>
      <c r="I2872" s="84" t="str">
        <f aca="false">IF(B2872=Dashboard!$D$3,ROW(),"")</f>
        <v/>
      </c>
    </row>
    <row r="2873" customFormat="false" ht="15" hidden="false" customHeight="false" outlineLevel="0" collapsed="false">
      <c r="A2873" s="80"/>
      <c r="B2873" s="71"/>
      <c r="C2873" s="71"/>
      <c r="D2873" s="81"/>
      <c r="E2873" s="71"/>
      <c r="F2873" s="71"/>
      <c r="G2873" s="82" t="str">
        <f aca="false">IF(C2873="","",IFERROR(INDEX('Kit Lists'!$D$6:$D$605,MATCH(B2873&amp;"|"&amp;C2873,'Kit Lists'!$J$6:$J$605,0)),"Not on this contract's kit list"))</f>
        <v/>
      </c>
      <c r="H2873" s="83" t="str">
        <f aca="false">IF(AND(B2873="",C2873="",D2873=""),"",IF(B2873="","Missing contract",IF(C2873="","Missing code",IF(LEFT(G2873,3)="Not","Wrong code",IF(D2873="","Missing qty",IF(A2873="","Missing date",""))))))</f>
        <v/>
      </c>
      <c r="I2873" s="84" t="str">
        <f aca="false">IF(B2873=Dashboard!$D$3,ROW(),"")</f>
        <v/>
      </c>
    </row>
    <row r="2874" customFormat="false" ht="15" hidden="false" customHeight="false" outlineLevel="0" collapsed="false">
      <c r="A2874" s="80"/>
      <c r="B2874" s="71"/>
      <c r="C2874" s="71"/>
      <c r="D2874" s="81"/>
      <c r="E2874" s="71"/>
      <c r="F2874" s="71"/>
      <c r="G2874" s="82" t="str">
        <f aca="false">IF(C2874="","",IFERROR(INDEX('Kit Lists'!$D$6:$D$605,MATCH(B2874&amp;"|"&amp;C2874,'Kit Lists'!$J$6:$J$605,0)),"Not on this contract's kit list"))</f>
        <v/>
      </c>
      <c r="H2874" s="83" t="str">
        <f aca="false">IF(AND(B2874="",C2874="",D2874=""),"",IF(B2874="","Missing contract",IF(C2874="","Missing code",IF(LEFT(G2874,3)="Not","Wrong code",IF(D2874="","Missing qty",IF(A2874="","Missing date",""))))))</f>
        <v/>
      </c>
      <c r="I2874" s="84" t="str">
        <f aca="false">IF(B2874=Dashboard!$D$3,ROW(),"")</f>
        <v/>
      </c>
    </row>
    <row r="2875" customFormat="false" ht="15" hidden="false" customHeight="false" outlineLevel="0" collapsed="false">
      <c r="A2875" s="80"/>
      <c r="B2875" s="71"/>
      <c r="C2875" s="71"/>
      <c r="D2875" s="81"/>
      <c r="E2875" s="71"/>
      <c r="F2875" s="71"/>
      <c r="G2875" s="82" t="str">
        <f aca="false">IF(C2875="","",IFERROR(INDEX('Kit Lists'!$D$6:$D$605,MATCH(B2875&amp;"|"&amp;C2875,'Kit Lists'!$J$6:$J$605,0)),"Not on this contract's kit list"))</f>
        <v/>
      </c>
      <c r="H2875" s="83" t="str">
        <f aca="false">IF(AND(B2875="",C2875="",D2875=""),"",IF(B2875="","Missing contract",IF(C2875="","Missing code",IF(LEFT(G2875,3)="Not","Wrong code",IF(D2875="","Missing qty",IF(A2875="","Missing date",""))))))</f>
        <v/>
      </c>
      <c r="I2875" s="84" t="str">
        <f aca="false">IF(B2875=Dashboard!$D$3,ROW(),"")</f>
        <v/>
      </c>
    </row>
    <row r="2876" customFormat="false" ht="15" hidden="false" customHeight="false" outlineLevel="0" collapsed="false">
      <c r="A2876" s="80"/>
      <c r="B2876" s="71"/>
      <c r="C2876" s="71"/>
      <c r="D2876" s="81"/>
      <c r="E2876" s="71"/>
      <c r="F2876" s="71"/>
      <c r="G2876" s="82" t="str">
        <f aca="false">IF(C2876="","",IFERROR(INDEX('Kit Lists'!$D$6:$D$605,MATCH(B2876&amp;"|"&amp;C2876,'Kit Lists'!$J$6:$J$605,0)),"Not on this contract's kit list"))</f>
        <v/>
      </c>
      <c r="H2876" s="83" t="str">
        <f aca="false">IF(AND(B2876="",C2876="",D2876=""),"",IF(B2876="","Missing contract",IF(C2876="","Missing code",IF(LEFT(G2876,3)="Not","Wrong code",IF(D2876="","Missing qty",IF(A2876="","Missing date",""))))))</f>
        <v/>
      </c>
      <c r="I2876" s="84" t="str">
        <f aca="false">IF(B2876=Dashboard!$D$3,ROW(),"")</f>
        <v/>
      </c>
    </row>
    <row r="2877" customFormat="false" ht="15" hidden="false" customHeight="false" outlineLevel="0" collapsed="false">
      <c r="A2877" s="80"/>
      <c r="B2877" s="71"/>
      <c r="C2877" s="71"/>
      <c r="D2877" s="81"/>
      <c r="E2877" s="71"/>
      <c r="F2877" s="71"/>
      <c r="G2877" s="82" t="str">
        <f aca="false">IF(C2877="","",IFERROR(INDEX('Kit Lists'!$D$6:$D$605,MATCH(B2877&amp;"|"&amp;C2877,'Kit Lists'!$J$6:$J$605,0)),"Not on this contract's kit list"))</f>
        <v/>
      </c>
      <c r="H2877" s="83" t="str">
        <f aca="false">IF(AND(B2877="",C2877="",D2877=""),"",IF(B2877="","Missing contract",IF(C2877="","Missing code",IF(LEFT(G2877,3)="Not","Wrong code",IF(D2877="","Missing qty",IF(A2877="","Missing date",""))))))</f>
        <v/>
      </c>
      <c r="I2877" s="84" t="str">
        <f aca="false">IF(B2877=Dashboard!$D$3,ROW(),"")</f>
        <v/>
      </c>
    </row>
    <row r="2878" customFormat="false" ht="15" hidden="false" customHeight="false" outlineLevel="0" collapsed="false">
      <c r="A2878" s="80"/>
      <c r="B2878" s="71"/>
      <c r="C2878" s="71"/>
      <c r="D2878" s="81"/>
      <c r="E2878" s="71"/>
      <c r="F2878" s="71"/>
      <c r="G2878" s="82" t="str">
        <f aca="false">IF(C2878="","",IFERROR(INDEX('Kit Lists'!$D$6:$D$605,MATCH(B2878&amp;"|"&amp;C2878,'Kit Lists'!$J$6:$J$605,0)),"Not on this contract's kit list"))</f>
        <v/>
      </c>
      <c r="H2878" s="83" t="str">
        <f aca="false">IF(AND(B2878="",C2878="",D2878=""),"",IF(B2878="","Missing contract",IF(C2878="","Missing code",IF(LEFT(G2878,3)="Not","Wrong code",IF(D2878="","Missing qty",IF(A2878="","Missing date",""))))))</f>
        <v/>
      </c>
      <c r="I2878" s="84" t="str">
        <f aca="false">IF(B2878=Dashboard!$D$3,ROW(),"")</f>
        <v/>
      </c>
    </row>
    <row r="2879" customFormat="false" ht="15" hidden="false" customHeight="false" outlineLevel="0" collapsed="false">
      <c r="A2879" s="80"/>
      <c r="B2879" s="71"/>
      <c r="C2879" s="71"/>
      <c r="D2879" s="81"/>
      <c r="E2879" s="71"/>
      <c r="F2879" s="71"/>
      <c r="G2879" s="82" t="str">
        <f aca="false">IF(C2879="","",IFERROR(INDEX('Kit Lists'!$D$6:$D$605,MATCH(B2879&amp;"|"&amp;C2879,'Kit Lists'!$J$6:$J$605,0)),"Not on this contract's kit list"))</f>
        <v/>
      </c>
      <c r="H2879" s="83" t="str">
        <f aca="false">IF(AND(B2879="",C2879="",D2879=""),"",IF(B2879="","Missing contract",IF(C2879="","Missing code",IF(LEFT(G2879,3)="Not","Wrong code",IF(D2879="","Missing qty",IF(A2879="","Missing date",""))))))</f>
        <v/>
      </c>
      <c r="I2879" s="84" t="str">
        <f aca="false">IF(B2879=Dashboard!$D$3,ROW(),"")</f>
        <v/>
      </c>
    </row>
    <row r="2880" customFormat="false" ht="15" hidden="false" customHeight="false" outlineLevel="0" collapsed="false">
      <c r="A2880" s="80"/>
      <c r="B2880" s="71"/>
      <c r="C2880" s="71"/>
      <c r="D2880" s="81"/>
      <c r="E2880" s="71"/>
      <c r="F2880" s="71"/>
      <c r="G2880" s="82" t="str">
        <f aca="false">IF(C2880="","",IFERROR(INDEX('Kit Lists'!$D$6:$D$605,MATCH(B2880&amp;"|"&amp;C2880,'Kit Lists'!$J$6:$J$605,0)),"Not on this contract's kit list"))</f>
        <v/>
      </c>
      <c r="H2880" s="83" t="str">
        <f aca="false">IF(AND(B2880="",C2880="",D2880=""),"",IF(B2880="","Missing contract",IF(C2880="","Missing code",IF(LEFT(G2880,3)="Not","Wrong code",IF(D2880="","Missing qty",IF(A2880="","Missing date",""))))))</f>
        <v/>
      </c>
      <c r="I2880" s="84" t="str">
        <f aca="false">IF(B2880=Dashboard!$D$3,ROW(),"")</f>
        <v/>
      </c>
    </row>
    <row r="2881" customFormat="false" ht="15" hidden="false" customHeight="false" outlineLevel="0" collapsed="false">
      <c r="A2881" s="80"/>
      <c r="B2881" s="71"/>
      <c r="C2881" s="71"/>
      <c r="D2881" s="81"/>
      <c r="E2881" s="71"/>
      <c r="F2881" s="71"/>
      <c r="G2881" s="82" t="str">
        <f aca="false">IF(C2881="","",IFERROR(INDEX('Kit Lists'!$D$6:$D$605,MATCH(B2881&amp;"|"&amp;C2881,'Kit Lists'!$J$6:$J$605,0)),"Not on this contract's kit list"))</f>
        <v/>
      </c>
      <c r="H2881" s="83" t="str">
        <f aca="false">IF(AND(B2881="",C2881="",D2881=""),"",IF(B2881="","Missing contract",IF(C2881="","Missing code",IF(LEFT(G2881,3)="Not","Wrong code",IF(D2881="","Missing qty",IF(A2881="","Missing date",""))))))</f>
        <v/>
      </c>
      <c r="I2881" s="84" t="str">
        <f aca="false">IF(B2881=Dashboard!$D$3,ROW(),"")</f>
        <v/>
      </c>
    </row>
    <row r="2882" customFormat="false" ht="15" hidden="false" customHeight="false" outlineLevel="0" collapsed="false">
      <c r="A2882" s="80"/>
      <c r="B2882" s="71"/>
      <c r="C2882" s="71"/>
      <c r="D2882" s="81"/>
      <c r="E2882" s="71"/>
      <c r="F2882" s="71"/>
      <c r="G2882" s="82" t="str">
        <f aca="false">IF(C2882="","",IFERROR(INDEX('Kit Lists'!$D$6:$D$605,MATCH(B2882&amp;"|"&amp;C2882,'Kit Lists'!$J$6:$J$605,0)),"Not on this contract's kit list"))</f>
        <v/>
      </c>
      <c r="H2882" s="83" t="str">
        <f aca="false">IF(AND(B2882="",C2882="",D2882=""),"",IF(B2882="","Missing contract",IF(C2882="","Missing code",IF(LEFT(G2882,3)="Not","Wrong code",IF(D2882="","Missing qty",IF(A2882="","Missing date",""))))))</f>
        <v/>
      </c>
      <c r="I2882" s="84" t="str">
        <f aca="false">IF(B2882=Dashboard!$D$3,ROW(),"")</f>
        <v/>
      </c>
    </row>
    <row r="2883" customFormat="false" ht="15" hidden="false" customHeight="false" outlineLevel="0" collapsed="false">
      <c r="A2883" s="80"/>
      <c r="B2883" s="71"/>
      <c r="C2883" s="71"/>
      <c r="D2883" s="81"/>
      <c r="E2883" s="71"/>
      <c r="F2883" s="71"/>
      <c r="G2883" s="82" t="str">
        <f aca="false">IF(C2883="","",IFERROR(INDEX('Kit Lists'!$D$6:$D$605,MATCH(B2883&amp;"|"&amp;C2883,'Kit Lists'!$J$6:$J$605,0)),"Not on this contract's kit list"))</f>
        <v/>
      </c>
      <c r="H2883" s="83" t="str">
        <f aca="false">IF(AND(B2883="",C2883="",D2883=""),"",IF(B2883="","Missing contract",IF(C2883="","Missing code",IF(LEFT(G2883,3)="Not","Wrong code",IF(D2883="","Missing qty",IF(A2883="","Missing date",""))))))</f>
        <v/>
      </c>
      <c r="I2883" s="84" t="str">
        <f aca="false">IF(B2883=Dashboard!$D$3,ROW(),"")</f>
        <v/>
      </c>
    </row>
    <row r="2884" customFormat="false" ht="15" hidden="false" customHeight="false" outlineLevel="0" collapsed="false">
      <c r="A2884" s="80"/>
      <c r="B2884" s="71"/>
      <c r="C2884" s="71"/>
      <c r="D2884" s="81"/>
      <c r="E2884" s="71"/>
      <c r="F2884" s="71"/>
      <c r="G2884" s="82" t="str">
        <f aca="false">IF(C2884="","",IFERROR(INDEX('Kit Lists'!$D$6:$D$605,MATCH(B2884&amp;"|"&amp;C2884,'Kit Lists'!$J$6:$J$605,0)),"Not on this contract's kit list"))</f>
        <v/>
      </c>
      <c r="H2884" s="83" t="str">
        <f aca="false">IF(AND(B2884="",C2884="",D2884=""),"",IF(B2884="","Missing contract",IF(C2884="","Missing code",IF(LEFT(G2884,3)="Not","Wrong code",IF(D2884="","Missing qty",IF(A2884="","Missing date",""))))))</f>
        <v/>
      </c>
      <c r="I2884" s="84" t="str">
        <f aca="false">IF(B2884=Dashboard!$D$3,ROW(),"")</f>
        <v/>
      </c>
    </row>
    <row r="2885" customFormat="false" ht="15" hidden="false" customHeight="false" outlineLevel="0" collapsed="false">
      <c r="A2885" s="80"/>
      <c r="B2885" s="71"/>
      <c r="C2885" s="71"/>
      <c r="D2885" s="81"/>
      <c r="E2885" s="71"/>
      <c r="F2885" s="71"/>
      <c r="G2885" s="82" t="str">
        <f aca="false">IF(C2885="","",IFERROR(INDEX('Kit Lists'!$D$6:$D$605,MATCH(B2885&amp;"|"&amp;C2885,'Kit Lists'!$J$6:$J$605,0)),"Not on this contract's kit list"))</f>
        <v/>
      </c>
      <c r="H2885" s="83" t="str">
        <f aca="false">IF(AND(B2885="",C2885="",D2885=""),"",IF(B2885="","Missing contract",IF(C2885="","Missing code",IF(LEFT(G2885,3)="Not","Wrong code",IF(D2885="","Missing qty",IF(A2885="","Missing date",""))))))</f>
        <v/>
      </c>
      <c r="I2885" s="84" t="str">
        <f aca="false">IF(B2885=Dashboard!$D$3,ROW(),"")</f>
        <v/>
      </c>
    </row>
    <row r="2886" customFormat="false" ht="15" hidden="false" customHeight="false" outlineLevel="0" collapsed="false">
      <c r="A2886" s="80"/>
      <c r="B2886" s="71"/>
      <c r="C2886" s="71"/>
      <c r="D2886" s="81"/>
      <c r="E2886" s="71"/>
      <c r="F2886" s="71"/>
      <c r="G2886" s="82" t="str">
        <f aca="false">IF(C2886="","",IFERROR(INDEX('Kit Lists'!$D$6:$D$605,MATCH(B2886&amp;"|"&amp;C2886,'Kit Lists'!$J$6:$J$605,0)),"Not on this contract's kit list"))</f>
        <v/>
      </c>
      <c r="H2886" s="83" t="str">
        <f aca="false">IF(AND(B2886="",C2886="",D2886=""),"",IF(B2886="","Missing contract",IF(C2886="","Missing code",IF(LEFT(G2886,3)="Not","Wrong code",IF(D2886="","Missing qty",IF(A2886="","Missing date",""))))))</f>
        <v/>
      </c>
      <c r="I2886" s="84" t="str">
        <f aca="false">IF(B2886=Dashboard!$D$3,ROW(),"")</f>
        <v/>
      </c>
    </row>
    <row r="2887" customFormat="false" ht="15" hidden="false" customHeight="false" outlineLevel="0" collapsed="false">
      <c r="A2887" s="80"/>
      <c r="B2887" s="71"/>
      <c r="C2887" s="71"/>
      <c r="D2887" s="81"/>
      <c r="E2887" s="71"/>
      <c r="F2887" s="71"/>
      <c r="G2887" s="82" t="str">
        <f aca="false">IF(C2887="","",IFERROR(INDEX('Kit Lists'!$D$6:$D$605,MATCH(B2887&amp;"|"&amp;C2887,'Kit Lists'!$J$6:$J$605,0)),"Not on this contract's kit list"))</f>
        <v/>
      </c>
      <c r="H2887" s="83" t="str">
        <f aca="false">IF(AND(B2887="",C2887="",D2887=""),"",IF(B2887="","Missing contract",IF(C2887="","Missing code",IF(LEFT(G2887,3)="Not","Wrong code",IF(D2887="","Missing qty",IF(A2887="","Missing date",""))))))</f>
        <v/>
      </c>
      <c r="I2887" s="84" t="str">
        <f aca="false">IF(B2887=Dashboard!$D$3,ROW(),"")</f>
        <v/>
      </c>
    </row>
    <row r="2888" customFormat="false" ht="15" hidden="false" customHeight="false" outlineLevel="0" collapsed="false">
      <c r="A2888" s="80"/>
      <c r="B2888" s="71"/>
      <c r="C2888" s="71"/>
      <c r="D2888" s="81"/>
      <c r="E2888" s="71"/>
      <c r="F2888" s="71"/>
      <c r="G2888" s="82" t="str">
        <f aca="false">IF(C2888="","",IFERROR(INDEX('Kit Lists'!$D$6:$D$605,MATCH(B2888&amp;"|"&amp;C2888,'Kit Lists'!$J$6:$J$605,0)),"Not on this contract's kit list"))</f>
        <v/>
      </c>
      <c r="H2888" s="83" t="str">
        <f aca="false">IF(AND(B2888="",C2888="",D2888=""),"",IF(B2888="","Missing contract",IF(C2888="","Missing code",IF(LEFT(G2888,3)="Not","Wrong code",IF(D2888="","Missing qty",IF(A2888="","Missing date",""))))))</f>
        <v/>
      </c>
      <c r="I2888" s="84" t="str">
        <f aca="false">IF(B2888=Dashboard!$D$3,ROW(),"")</f>
        <v/>
      </c>
    </row>
    <row r="2889" customFormat="false" ht="15" hidden="false" customHeight="false" outlineLevel="0" collapsed="false">
      <c r="A2889" s="80"/>
      <c r="B2889" s="71"/>
      <c r="C2889" s="71"/>
      <c r="D2889" s="81"/>
      <c r="E2889" s="71"/>
      <c r="F2889" s="71"/>
      <c r="G2889" s="82" t="str">
        <f aca="false">IF(C2889="","",IFERROR(INDEX('Kit Lists'!$D$6:$D$605,MATCH(B2889&amp;"|"&amp;C2889,'Kit Lists'!$J$6:$J$605,0)),"Not on this contract's kit list"))</f>
        <v/>
      </c>
      <c r="H2889" s="83" t="str">
        <f aca="false">IF(AND(B2889="",C2889="",D2889=""),"",IF(B2889="","Missing contract",IF(C2889="","Missing code",IF(LEFT(G2889,3)="Not","Wrong code",IF(D2889="","Missing qty",IF(A2889="","Missing date",""))))))</f>
        <v/>
      </c>
      <c r="I2889" s="84" t="str">
        <f aca="false">IF(B2889=Dashboard!$D$3,ROW(),"")</f>
        <v/>
      </c>
    </row>
    <row r="2890" customFormat="false" ht="15" hidden="false" customHeight="false" outlineLevel="0" collapsed="false">
      <c r="A2890" s="80"/>
      <c r="B2890" s="71"/>
      <c r="C2890" s="71"/>
      <c r="D2890" s="81"/>
      <c r="E2890" s="71"/>
      <c r="F2890" s="71"/>
      <c r="G2890" s="82" t="str">
        <f aca="false">IF(C2890="","",IFERROR(INDEX('Kit Lists'!$D$6:$D$605,MATCH(B2890&amp;"|"&amp;C2890,'Kit Lists'!$J$6:$J$605,0)),"Not on this contract's kit list"))</f>
        <v/>
      </c>
      <c r="H2890" s="83" t="str">
        <f aca="false">IF(AND(B2890="",C2890="",D2890=""),"",IF(B2890="","Missing contract",IF(C2890="","Missing code",IF(LEFT(G2890,3)="Not","Wrong code",IF(D2890="","Missing qty",IF(A2890="","Missing date",""))))))</f>
        <v/>
      </c>
      <c r="I2890" s="84" t="str">
        <f aca="false">IF(B2890=Dashboard!$D$3,ROW(),"")</f>
        <v/>
      </c>
    </row>
    <row r="2891" customFormat="false" ht="15" hidden="false" customHeight="false" outlineLevel="0" collapsed="false">
      <c r="A2891" s="80"/>
      <c r="B2891" s="71"/>
      <c r="C2891" s="71"/>
      <c r="D2891" s="81"/>
      <c r="E2891" s="71"/>
      <c r="F2891" s="71"/>
      <c r="G2891" s="82" t="str">
        <f aca="false">IF(C2891="","",IFERROR(INDEX('Kit Lists'!$D$6:$D$605,MATCH(B2891&amp;"|"&amp;C2891,'Kit Lists'!$J$6:$J$605,0)),"Not on this contract's kit list"))</f>
        <v/>
      </c>
      <c r="H2891" s="83" t="str">
        <f aca="false">IF(AND(B2891="",C2891="",D2891=""),"",IF(B2891="","Missing contract",IF(C2891="","Missing code",IF(LEFT(G2891,3)="Not","Wrong code",IF(D2891="","Missing qty",IF(A2891="","Missing date",""))))))</f>
        <v/>
      </c>
      <c r="I2891" s="84" t="str">
        <f aca="false">IF(B2891=Dashboard!$D$3,ROW(),"")</f>
        <v/>
      </c>
    </row>
    <row r="2892" customFormat="false" ht="15" hidden="false" customHeight="false" outlineLevel="0" collapsed="false">
      <c r="A2892" s="80"/>
      <c r="B2892" s="71"/>
      <c r="C2892" s="71"/>
      <c r="D2892" s="81"/>
      <c r="E2892" s="71"/>
      <c r="F2892" s="71"/>
      <c r="G2892" s="82" t="str">
        <f aca="false">IF(C2892="","",IFERROR(INDEX('Kit Lists'!$D$6:$D$605,MATCH(B2892&amp;"|"&amp;C2892,'Kit Lists'!$J$6:$J$605,0)),"Not on this contract's kit list"))</f>
        <v/>
      </c>
      <c r="H2892" s="83" t="str">
        <f aca="false">IF(AND(B2892="",C2892="",D2892=""),"",IF(B2892="","Missing contract",IF(C2892="","Missing code",IF(LEFT(G2892,3)="Not","Wrong code",IF(D2892="","Missing qty",IF(A2892="","Missing date",""))))))</f>
        <v/>
      </c>
      <c r="I2892" s="84" t="str">
        <f aca="false">IF(B2892=Dashboard!$D$3,ROW(),"")</f>
        <v/>
      </c>
    </row>
    <row r="2893" customFormat="false" ht="15" hidden="false" customHeight="false" outlineLevel="0" collapsed="false">
      <c r="A2893" s="80"/>
      <c r="B2893" s="71"/>
      <c r="C2893" s="71"/>
      <c r="D2893" s="81"/>
      <c r="E2893" s="71"/>
      <c r="F2893" s="71"/>
      <c r="G2893" s="82" t="str">
        <f aca="false">IF(C2893="","",IFERROR(INDEX('Kit Lists'!$D$6:$D$605,MATCH(B2893&amp;"|"&amp;C2893,'Kit Lists'!$J$6:$J$605,0)),"Not on this contract's kit list"))</f>
        <v/>
      </c>
      <c r="H2893" s="83" t="str">
        <f aca="false">IF(AND(B2893="",C2893="",D2893=""),"",IF(B2893="","Missing contract",IF(C2893="","Missing code",IF(LEFT(G2893,3)="Not","Wrong code",IF(D2893="","Missing qty",IF(A2893="","Missing date",""))))))</f>
        <v/>
      </c>
      <c r="I2893" s="84" t="str">
        <f aca="false">IF(B2893=Dashboard!$D$3,ROW(),"")</f>
        <v/>
      </c>
    </row>
    <row r="2894" customFormat="false" ht="15" hidden="false" customHeight="false" outlineLevel="0" collapsed="false">
      <c r="A2894" s="80"/>
      <c r="B2894" s="71"/>
      <c r="C2894" s="71"/>
      <c r="D2894" s="81"/>
      <c r="E2894" s="71"/>
      <c r="F2894" s="71"/>
      <c r="G2894" s="82" t="str">
        <f aca="false">IF(C2894="","",IFERROR(INDEX('Kit Lists'!$D$6:$D$605,MATCH(B2894&amp;"|"&amp;C2894,'Kit Lists'!$J$6:$J$605,0)),"Not on this contract's kit list"))</f>
        <v/>
      </c>
      <c r="H2894" s="83" t="str">
        <f aca="false">IF(AND(B2894="",C2894="",D2894=""),"",IF(B2894="","Missing contract",IF(C2894="","Missing code",IF(LEFT(G2894,3)="Not","Wrong code",IF(D2894="","Missing qty",IF(A2894="","Missing date",""))))))</f>
        <v/>
      </c>
      <c r="I2894" s="84" t="str">
        <f aca="false">IF(B2894=Dashboard!$D$3,ROW(),"")</f>
        <v/>
      </c>
    </row>
    <row r="2895" customFormat="false" ht="15" hidden="false" customHeight="false" outlineLevel="0" collapsed="false">
      <c r="A2895" s="80"/>
      <c r="B2895" s="71"/>
      <c r="C2895" s="71"/>
      <c r="D2895" s="81"/>
      <c r="E2895" s="71"/>
      <c r="F2895" s="71"/>
      <c r="G2895" s="82" t="str">
        <f aca="false">IF(C2895="","",IFERROR(INDEX('Kit Lists'!$D$6:$D$605,MATCH(B2895&amp;"|"&amp;C2895,'Kit Lists'!$J$6:$J$605,0)),"Not on this contract's kit list"))</f>
        <v/>
      </c>
      <c r="H2895" s="83" t="str">
        <f aca="false">IF(AND(B2895="",C2895="",D2895=""),"",IF(B2895="","Missing contract",IF(C2895="","Missing code",IF(LEFT(G2895,3)="Not","Wrong code",IF(D2895="","Missing qty",IF(A2895="","Missing date",""))))))</f>
        <v/>
      </c>
      <c r="I2895" s="84" t="str">
        <f aca="false">IF(B2895=Dashboard!$D$3,ROW(),"")</f>
        <v/>
      </c>
    </row>
    <row r="2896" customFormat="false" ht="15" hidden="false" customHeight="false" outlineLevel="0" collapsed="false">
      <c r="A2896" s="80"/>
      <c r="B2896" s="71"/>
      <c r="C2896" s="71"/>
      <c r="D2896" s="81"/>
      <c r="E2896" s="71"/>
      <c r="F2896" s="71"/>
      <c r="G2896" s="82" t="str">
        <f aca="false">IF(C2896="","",IFERROR(INDEX('Kit Lists'!$D$6:$D$605,MATCH(B2896&amp;"|"&amp;C2896,'Kit Lists'!$J$6:$J$605,0)),"Not on this contract's kit list"))</f>
        <v/>
      </c>
      <c r="H2896" s="83" t="str">
        <f aca="false">IF(AND(B2896="",C2896="",D2896=""),"",IF(B2896="","Missing contract",IF(C2896="","Missing code",IF(LEFT(G2896,3)="Not","Wrong code",IF(D2896="","Missing qty",IF(A2896="","Missing date",""))))))</f>
        <v/>
      </c>
      <c r="I2896" s="84" t="str">
        <f aca="false">IF(B2896=Dashboard!$D$3,ROW(),"")</f>
        <v/>
      </c>
    </row>
    <row r="2897" customFormat="false" ht="15" hidden="false" customHeight="false" outlineLevel="0" collapsed="false">
      <c r="A2897" s="80"/>
      <c r="B2897" s="71"/>
      <c r="C2897" s="71"/>
      <c r="D2897" s="81"/>
      <c r="E2897" s="71"/>
      <c r="F2897" s="71"/>
      <c r="G2897" s="82" t="str">
        <f aca="false">IF(C2897="","",IFERROR(INDEX('Kit Lists'!$D$6:$D$605,MATCH(B2897&amp;"|"&amp;C2897,'Kit Lists'!$J$6:$J$605,0)),"Not on this contract's kit list"))</f>
        <v/>
      </c>
      <c r="H2897" s="83" t="str">
        <f aca="false">IF(AND(B2897="",C2897="",D2897=""),"",IF(B2897="","Missing contract",IF(C2897="","Missing code",IF(LEFT(G2897,3)="Not","Wrong code",IF(D2897="","Missing qty",IF(A2897="","Missing date",""))))))</f>
        <v/>
      </c>
      <c r="I2897" s="84" t="str">
        <f aca="false">IF(B2897=Dashboard!$D$3,ROW(),"")</f>
        <v/>
      </c>
    </row>
    <row r="2898" customFormat="false" ht="15" hidden="false" customHeight="false" outlineLevel="0" collapsed="false">
      <c r="A2898" s="80"/>
      <c r="B2898" s="71"/>
      <c r="C2898" s="71"/>
      <c r="D2898" s="81"/>
      <c r="E2898" s="71"/>
      <c r="F2898" s="71"/>
      <c r="G2898" s="82" t="str">
        <f aca="false">IF(C2898="","",IFERROR(INDEX('Kit Lists'!$D$6:$D$605,MATCH(B2898&amp;"|"&amp;C2898,'Kit Lists'!$J$6:$J$605,0)),"Not on this contract's kit list"))</f>
        <v/>
      </c>
      <c r="H2898" s="83" t="str">
        <f aca="false">IF(AND(B2898="",C2898="",D2898=""),"",IF(B2898="","Missing contract",IF(C2898="","Missing code",IF(LEFT(G2898,3)="Not","Wrong code",IF(D2898="","Missing qty",IF(A2898="","Missing date",""))))))</f>
        <v/>
      </c>
      <c r="I2898" s="84" t="str">
        <f aca="false">IF(B2898=Dashboard!$D$3,ROW(),"")</f>
        <v/>
      </c>
    </row>
    <row r="2899" customFormat="false" ht="15" hidden="false" customHeight="false" outlineLevel="0" collapsed="false">
      <c r="A2899" s="80"/>
      <c r="B2899" s="71"/>
      <c r="C2899" s="71"/>
      <c r="D2899" s="81"/>
      <c r="E2899" s="71"/>
      <c r="F2899" s="71"/>
      <c r="G2899" s="82" t="str">
        <f aca="false">IF(C2899="","",IFERROR(INDEX('Kit Lists'!$D$6:$D$605,MATCH(B2899&amp;"|"&amp;C2899,'Kit Lists'!$J$6:$J$605,0)),"Not on this contract's kit list"))</f>
        <v/>
      </c>
      <c r="H2899" s="83" t="str">
        <f aca="false">IF(AND(B2899="",C2899="",D2899=""),"",IF(B2899="","Missing contract",IF(C2899="","Missing code",IF(LEFT(G2899,3)="Not","Wrong code",IF(D2899="","Missing qty",IF(A2899="","Missing date",""))))))</f>
        <v/>
      </c>
      <c r="I2899" s="84" t="str">
        <f aca="false">IF(B2899=Dashboard!$D$3,ROW(),"")</f>
        <v/>
      </c>
    </row>
    <row r="2900" customFormat="false" ht="15" hidden="false" customHeight="false" outlineLevel="0" collapsed="false">
      <c r="A2900" s="80"/>
      <c r="B2900" s="71"/>
      <c r="C2900" s="71"/>
      <c r="D2900" s="81"/>
      <c r="E2900" s="71"/>
      <c r="F2900" s="71"/>
      <c r="G2900" s="82" t="str">
        <f aca="false">IF(C2900="","",IFERROR(INDEX('Kit Lists'!$D$6:$D$605,MATCH(B2900&amp;"|"&amp;C2900,'Kit Lists'!$J$6:$J$605,0)),"Not on this contract's kit list"))</f>
        <v/>
      </c>
      <c r="H2900" s="83" t="str">
        <f aca="false">IF(AND(B2900="",C2900="",D2900=""),"",IF(B2900="","Missing contract",IF(C2900="","Missing code",IF(LEFT(G2900,3)="Not","Wrong code",IF(D2900="","Missing qty",IF(A2900="","Missing date",""))))))</f>
        <v/>
      </c>
      <c r="I2900" s="84" t="str">
        <f aca="false">IF(B2900=Dashboard!$D$3,ROW(),"")</f>
        <v/>
      </c>
    </row>
    <row r="2901" customFormat="false" ht="15" hidden="false" customHeight="false" outlineLevel="0" collapsed="false">
      <c r="A2901" s="80"/>
      <c r="B2901" s="71"/>
      <c r="C2901" s="71"/>
      <c r="D2901" s="81"/>
      <c r="E2901" s="71"/>
      <c r="F2901" s="71"/>
      <c r="G2901" s="82" t="str">
        <f aca="false">IF(C2901="","",IFERROR(INDEX('Kit Lists'!$D$6:$D$605,MATCH(B2901&amp;"|"&amp;C2901,'Kit Lists'!$J$6:$J$605,0)),"Not on this contract's kit list"))</f>
        <v/>
      </c>
      <c r="H2901" s="83" t="str">
        <f aca="false">IF(AND(B2901="",C2901="",D2901=""),"",IF(B2901="","Missing contract",IF(C2901="","Missing code",IF(LEFT(G2901,3)="Not","Wrong code",IF(D2901="","Missing qty",IF(A2901="","Missing date",""))))))</f>
        <v/>
      </c>
      <c r="I2901" s="84" t="str">
        <f aca="false">IF(B2901=Dashboard!$D$3,ROW(),"")</f>
        <v/>
      </c>
    </row>
    <row r="2902" customFormat="false" ht="15" hidden="false" customHeight="false" outlineLevel="0" collapsed="false">
      <c r="A2902" s="80"/>
      <c r="B2902" s="71"/>
      <c r="C2902" s="71"/>
      <c r="D2902" s="81"/>
      <c r="E2902" s="71"/>
      <c r="F2902" s="71"/>
      <c r="G2902" s="82" t="str">
        <f aca="false">IF(C2902="","",IFERROR(INDEX('Kit Lists'!$D$6:$D$605,MATCH(B2902&amp;"|"&amp;C2902,'Kit Lists'!$J$6:$J$605,0)),"Not on this contract's kit list"))</f>
        <v/>
      </c>
      <c r="H2902" s="83" t="str">
        <f aca="false">IF(AND(B2902="",C2902="",D2902=""),"",IF(B2902="","Missing contract",IF(C2902="","Missing code",IF(LEFT(G2902,3)="Not","Wrong code",IF(D2902="","Missing qty",IF(A2902="","Missing date",""))))))</f>
        <v/>
      </c>
      <c r="I2902" s="84" t="str">
        <f aca="false">IF(B2902=Dashboard!$D$3,ROW(),"")</f>
        <v/>
      </c>
    </row>
    <row r="2903" customFormat="false" ht="15" hidden="false" customHeight="false" outlineLevel="0" collapsed="false">
      <c r="A2903" s="80"/>
      <c r="B2903" s="71"/>
      <c r="C2903" s="71"/>
      <c r="D2903" s="81"/>
      <c r="E2903" s="71"/>
      <c r="F2903" s="71"/>
      <c r="G2903" s="82" t="str">
        <f aca="false">IF(C2903="","",IFERROR(INDEX('Kit Lists'!$D$6:$D$605,MATCH(B2903&amp;"|"&amp;C2903,'Kit Lists'!$J$6:$J$605,0)),"Not on this contract's kit list"))</f>
        <v/>
      </c>
      <c r="H2903" s="83" t="str">
        <f aca="false">IF(AND(B2903="",C2903="",D2903=""),"",IF(B2903="","Missing contract",IF(C2903="","Missing code",IF(LEFT(G2903,3)="Not","Wrong code",IF(D2903="","Missing qty",IF(A2903="","Missing date",""))))))</f>
        <v/>
      </c>
      <c r="I2903" s="84" t="str">
        <f aca="false">IF(B2903=Dashboard!$D$3,ROW(),"")</f>
        <v/>
      </c>
    </row>
    <row r="2904" customFormat="false" ht="15" hidden="false" customHeight="false" outlineLevel="0" collapsed="false">
      <c r="A2904" s="80"/>
      <c r="B2904" s="71"/>
      <c r="C2904" s="71"/>
      <c r="D2904" s="81"/>
      <c r="E2904" s="71"/>
      <c r="F2904" s="71"/>
      <c r="G2904" s="82" t="str">
        <f aca="false">IF(C2904="","",IFERROR(INDEX('Kit Lists'!$D$6:$D$605,MATCH(B2904&amp;"|"&amp;C2904,'Kit Lists'!$J$6:$J$605,0)),"Not on this contract's kit list"))</f>
        <v/>
      </c>
      <c r="H2904" s="83" t="str">
        <f aca="false">IF(AND(B2904="",C2904="",D2904=""),"",IF(B2904="","Missing contract",IF(C2904="","Missing code",IF(LEFT(G2904,3)="Not","Wrong code",IF(D2904="","Missing qty",IF(A2904="","Missing date",""))))))</f>
        <v/>
      </c>
      <c r="I2904" s="84" t="str">
        <f aca="false">IF(B2904=Dashboard!$D$3,ROW(),"")</f>
        <v/>
      </c>
    </row>
    <row r="2905" customFormat="false" ht="15" hidden="false" customHeight="false" outlineLevel="0" collapsed="false">
      <c r="A2905" s="80"/>
      <c r="B2905" s="71"/>
      <c r="C2905" s="71"/>
      <c r="D2905" s="81"/>
      <c r="E2905" s="71"/>
      <c r="F2905" s="71"/>
      <c r="G2905" s="82" t="str">
        <f aca="false">IF(C2905="","",IFERROR(INDEX('Kit Lists'!$D$6:$D$605,MATCH(B2905&amp;"|"&amp;C2905,'Kit Lists'!$J$6:$J$605,0)),"Not on this contract's kit list"))</f>
        <v/>
      </c>
      <c r="H2905" s="83" t="str">
        <f aca="false">IF(AND(B2905="",C2905="",D2905=""),"",IF(B2905="","Missing contract",IF(C2905="","Missing code",IF(LEFT(G2905,3)="Not","Wrong code",IF(D2905="","Missing qty",IF(A2905="","Missing date",""))))))</f>
        <v/>
      </c>
      <c r="I2905" s="84" t="str">
        <f aca="false">IF(B2905=Dashboard!$D$3,ROW(),"")</f>
        <v/>
      </c>
    </row>
    <row r="2906" customFormat="false" ht="15" hidden="false" customHeight="false" outlineLevel="0" collapsed="false">
      <c r="A2906" s="80"/>
      <c r="B2906" s="71"/>
      <c r="C2906" s="71"/>
      <c r="D2906" s="81"/>
      <c r="E2906" s="71"/>
      <c r="F2906" s="71"/>
      <c r="G2906" s="82" t="str">
        <f aca="false">IF(C2906="","",IFERROR(INDEX('Kit Lists'!$D$6:$D$605,MATCH(B2906&amp;"|"&amp;C2906,'Kit Lists'!$J$6:$J$605,0)),"Not on this contract's kit list"))</f>
        <v/>
      </c>
      <c r="H2906" s="83" t="str">
        <f aca="false">IF(AND(B2906="",C2906="",D2906=""),"",IF(B2906="","Missing contract",IF(C2906="","Missing code",IF(LEFT(G2906,3)="Not","Wrong code",IF(D2906="","Missing qty",IF(A2906="","Missing date",""))))))</f>
        <v/>
      </c>
      <c r="I2906" s="84" t="str">
        <f aca="false">IF(B2906=Dashboard!$D$3,ROW(),"")</f>
        <v/>
      </c>
    </row>
    <row r="2907" customFormat="false" ht="15" hidden="false" customHeight="false" outlineLevel="0" collapsed="false">
      <c r="A2907" s="80"/>
      <c r="B2907" s="71"/>
      <c r="C2907" s="71"/>
      <c r="D2907" s="81"/>
      <c r="E2907" s="71"/>
      <c r="F2907" s="71"/>
      <c r="G2907" s="82" t="str">
        <f aca="false">IF(C2907="","",IFERROR(INDEX('Kit Lists'!$D$6:$D$605,MATCH(B2907&amp;"|"&amp;C2907,'Kit Lists'!$J$6:$J$605,0)),"Not on this contract's kit list"))</f>
        <v/>
      </c>
      <c r="H2907" s="83" t="str">
        <f aca="false">IF(AND(B2907="",C2907="",D2907=""),"",IF(B2907="","Missing contract",IF(C2907="","Missing code",IF(LEFT(G2907,3)="Not","Wrong code",IF(D2907="","Missing qty",IF(A2907="","Missing date",""))))))</f>
        <v/>
      </c>
      <c r="I2907" s="84" t="str">
        <f aca="false">IF(B2907=Dashboard!$D$3,ROW(),"")</f>
        <v/>
      </c>
    </row>
    <row r="2908" customFormat="false" ht="15" hidden="false" customHeight="false" outlineLevel="0" collapsed="false">
      <c r="A2908" s="80"/>
      <c r="B2908" s="71"/>
      <c r="C2908" s="71"/>
      <c r="D2908" s="81"/>
      <c r="E2908" s="71"/>
      <c r="F2908" s="71"/>
      <c r="G2908" s="82" t="str">
        <f aca="false">IF(C2908="","",IFERROR(INDEX('Kit Lists'!$D$6:$D$605,MATCH(B2908&amp;"|"&amp;C2908,'Kit Lists'!$J$6:$J$605,0)),"Not on this contract's kit list"))</f>
        <v/>
      </c>
      <c r="H2908" s="83" t="str">
        <f aca="false">IF(AND(B2908="",C2908="",D2908=""),"",IF(B2908="","Missing contract",IF(C2908="","Missing code",IF(LEFT(G2908,3)="Not","Wrong code",IF(D2908="","Missing qty",IF(A2908="","Missing date",""))))))</f>
        <v/>
      </c>
      <c r="I2908" s="84" t="str">
        <f aca="false">IF(B2908=Dashboard!$D$3,ROW(),"")</f>
        <v/>
      </c>
    </row>
    <row r="2909" customFormat="false" ht="15" hidden="false" customHeight="false" outlineLevel="0" collapsed="false">
      <c r="A2909" s="80"/>
      <c r="B2909" s="71"/>
      <c r="C2909" s="71"/>
      <c r="D2909" s="81"/>
      <c r="E2909" s="71"/>
      <c r="F2909" s="71"/>
      <c r="G2909" s="82" t="str">
        <f aca="false">IF(C2909="","",IFERROR(INDEX('Kit Lists'!$D$6:$D$605,MATCH(B2909&amp;"|"&amp;C2909,'Kit Lists'!$J$6:$J$605,0)),"Not on this contract's kit list"))</f>
        <v/>
      </c>
      <c r="H2909" s="83" t="str">
        <f aca="false">IF(AND(B2909="",C2909="",D2909=""),"",IF(B2909="","Missing contract",IF(C2909="","Missing code",IF(LEFT(G2909,3)="Not","Wrong code",IF(D2909="","Missing qty",IF(A2909="","Missing date",""))))))</f>
        <v/>
      </c>
      <c r="I2909" s="84" t="str">
        <f aca="false">IF(B2909=Dashboard!$D$3,ROW(),"")</f>
        <v/>
      </c>
    </row>
    <row r="2910" customFormat="false" ht="15" hidden="false" customHeight="false" outlineLevel="0" collapsed="false">
      <c r="A2910" s="80"/>
      <c r="B2910" s="71"/>
      <c r="C2910" s="71"/>
      <c r="D2910" s="81"/>
      <c r="E2910" s="71"/>
      <c r="F2910" s="71"/>
      <c r="G2910" s="82" t="str">
        <f aca="false">IF(C2910="","",IFERROR(INDEX('Kit Lists'!$D$6:$D$605,MATCH(B2910&amp;"|"&amp;C2910,'Kit Lists'!$J$6:$J$605,0)),"Not on this contract's kit list"))</f>
        <v/>
      </c>
      <c r="H2910" s="83" t="str">
        <f aca="false">IF(AND(B2910="",C2910="",D2910=""),"",IF(B2910="","Missing contract",IF(C2910="","Missing code",IF(LEFT(G2910,3)="Not","Wrong code",IF(D2910="","Missing qty",IF(A2910="","Missing date",""))))))</f>
        <v/>
      </c>
      <c r="I2910" s="84" t="str">
        <f aca="false">IF(B2910=Dashboard!$D$3,ROW(),"")</f>
        <v/>
      </c>
    </row>
    <row r="2911" customFormat="false" ht="15" hidden="false" customHeight="false" outlineLevel="0" collapsed="false">
      <c r="A2911" s="80"/>
      <c r="B2911" s="71"/>
      <c r="C2911" s="71"/>
      <c r="D2911" s="81"/>
      <c r="E2911" s="71"/>
      <c r="F2911" s="71"/>
      <c r="G2911" s="82" t="str">
        <f aca="false">IF(C2911="","",IFERROR(INDEX('Kit Lists'!$D$6:$D$605,MATCH(B2911&amp;"|"&amp;C2911,'Kit Lists'!$J$6:$J$605,0)),"Not on this contract's kit list"))</f>
        <v/>
      </c>
      <c r="H2911" s="83" t="str">
        <f aca="false">IF(AND(B2911="",C2911="",D2911=""),"",IF(B2911="","Missing contract",IF(C2911="","Missing code",IF(LEFT(G2911,3)="Not","Wrong code",IF(D2911="","Missing qty",IF(A2911="","Missing date",""))))))</f>
        <v/>
      </c>
      <c r="I2911" s="84" t="str">
        <f aca="false">IF(B2911=Dashboard!$D$3,ROW(),"")</f>
        <v/>
      </c>
    </row>
    <row r="2912" customFormat="false" ht="15" hidden="false" customHeight="false" outlineLevel="0" collapsed="false">
      <c r="A2912" s="80"/>
      <c r="B2912" s="71"/>
      <c r="C2912" s="71"/>
      <c r="D2912" s="81"/>
      <c r="E2912" s="71"/>
      <c r="F2912" s="71"/>
      <c r="G2912" s="82" t="str">
        <f aca="false">IF(C2912="","",IFERROR(INDEX('Kit Lists'!$D$6:$D$605,MATCH(B2912&amp;"|"&amp;C2912,'Kit Lists'!$J$6:$J$605,0)),"Not on this contract's kit list"))</f>
        <v/>
      </c>
      <c r="H2912" s="83" t="str">
        <f aca="false">IF(AND(B2912="",C2912="",D2912=""),"",IF(B2912="","Missing contract",IF(C2912="","Missing code",IF(LEFT(G2912,3)="Not","Wrong code",IF(D2912="","Missing qty",IF(A2912="","Missing date",""))))))</f>
        <v/>
      </c>
      <c r="I2912" s="84" t="str">
        <f aca="false">IF(B2912=Dashboard!$D$3,ROW(),"")</f>
        <v/>
      </c>
    </row>
    <row r="2913" customFormat="false" ht="15" hidden="false" customHeight="false" outlineLevel="0" collapsed="false">
      <c r="A2913" s="80"/>
      <c r="B2913" s="71"/>
      <c r="C2913" s="71"/>
      <c r="D2913" s="81"/>
      <c r="E2913" s="71"/>
      <c r="F2913" s="71"/>
      <c r="G2913" s="82" t="str">
        <f aca="false">IF(C2913="","",IFERROR(INDEX('Kit Lists'!$D$6:$D$605,MATCH(B2913&amp;"|"&amp;C2913,'Kit Lists'!$J$6:$J$605,0)),"Not on this contract's kit list"))</f>
        <v/>
      </c>
      <c r="H2913" s="83" t="str">
        <f aca="false">IF(AND(B2913="",C2913="",D2913=""),"",IF(B2913="","Missing contract",IF(C2913="","Missing code",IF(LEFT(G2913,3)="Not","Wrong code",IF(D2913="","Missing qty",IF(A2913="","Missing date",""))))))</f>
        <v/>
      </c>
      <c r="I2913" s="84" t="str">
        <f aca="false">IF(B2913=Dashboard!$D$3,ROW(),"")</f>
        <v/>
      </c>
    </row>
    <row r="2914" customFormat="false" ht="15" hidden="false" customHeight="false" outlineLevel="0" collapsed="false">
      <c r="A2914" s="80"/>
      <c r="B2914" s="71"/>
      <c r="C2914" s="71"/>
      <c r="D2914" s="81"/>
      <c r="E2914" s="71"/>
      <c r="F2914" s="71"/>
      <c r="G2914" s="82" t="str">
        <f aca="false">IF(C2914="","",IFERROR(INDEX('Kit Lists'!$D$6:$D$605,MATCH(B2914&amp;"|"&amp;C2914,'Kit Lists'!$J$6:$J$605,0)),"Not on this contract's kit list"))</f>
        <v/>
      </c>
      <c r="H2914" s="83" t="str">
        <f aca="false">IF(AND(B2914="",C2914="",D2914=""),"",IF(B2914="","Missing contract",IF(C2914="","Missing code",IF(LEFT(G2914,3)="Not","Wrong code",IF(D2914="","Missing qty",IF(A2914="","Missing date",""))))))</f>
        <v/>
      </c>
      <c r="I2914" s="84" t="str">
        <f aca="false">IF(B2914=Dashboard!$D$3,ROW(),"")</f>
        <v/>
      </c>
    </row>
    <row r="2915" customFormat="false" ht="15" hidden="false" customHeight="false" outlineLevel="0" collapsed="false">
      <c r="A2915" s="80"/>
      <c r="B2915" s="71"/>
      <c r="C2915" s="71"/>
      <c r="D2915" s="81"/>
      <c r="E2915" s="71"/>
      <c r="F2915" s="71"/>
      <c r="G2915" s="82" t="str">
        <f aca="false">IF(C2915="","",IFERROR(INDEX('Kit Lists'!$D$6:$D$605,MATCH(B2915&amp;"|"&amp;C2915,'Kit Lists'!$J$6:$J$605,0)),"Not on this contract's kit list"))</f>
        <v/>
      </c>
      <c r="H2915" s="83" t="str">
        <f aca="false">IF(AND(B2915="",C2915="",D2915=""),"",IF(B2915="","Missing contract",IF(C2915="","Missing code",IF(LEFT(G2915,3)="Not","Wrong code",IF(D2915="","Missing qty",IF(A2915="","Missing date",""))))))</f>
        <v/>
      </c>
      <c r="I2915" s="84" t="str">
        <f aca="false">IF(B2915=Dashboard!$D$3,ROW(),"")</f>
        <v/>
      </c>
    </row>
    <row r="2916" customFormat="false" ht="15" hidden="false" customHeight="false" outlineLevel="0" collapsed="false">
      <c r="A2916" s="80"/>
      <c r="B2916" s="71"/>
      <c r="C2916" s="71"/>
      <c r="D2916" s="81"/>
      <c r="E2916" s="71"/>
      <c r="F2916" s="71"/>
      <c r="G2916" s="82" t="str">
        <f aca="false">IF(C2916="","",IFERROR(INDEX('Kit Lists'!$D$6:$D$605,MATCH(B2916&amp;"|"&amp;C2916,'Kit Lists'!$J$6:$J$605,0)),"Not on this contract's kit list"))</f>
        <v/>
      </c>
      <c r="H2916" s="83" t="str">
        <f aca="false">IF(AND(B2916="",C2916="",D2916=""),"",IF(B2916="","Missing contract",IF(C2916="","Missing code",IF(LEFT(G2916,3)="Not","Wrong code",IF(D2916="","Missing qty",IF(A2916="","Missing date",""))))))</f>
        <v/>
      </c>
      <c r="I2916" s="84" t="str">
        <f aca="false">IF(B2916=Dashboard!$D$3,ROW(),"")</f>
        <v/>
      </c>
    </row>
    <row r="2917" customFormat="false" ht="15" hidden="false" customHeight="false" outlineLevel="0" collapsed="false">
      <c r="A2917" s="80"/>
      <c r="B2917" s="71"/>
      <c r="C2917" s="71"/>
      <c r="D2917" s="81"/>
      <c r="E2917" s="71"/>
      <c r="F2917" s="71"/>
      <c r="G2917" s="82" t="str">
        <f aca="false">IF(C2917="","",IFERROR(INDEX('Kit Lists'!$D$6:$D$605,MATCH(B2917&amp;"|"&amp;C2917,'Kit Lists'!$J$6:$J$605,0)),"Not on this contract's kit list"))</f>
        <v/>
      </c>
      <c r="H2917" s="83" t="str">
        <f aca="false">IF(AND(B2917="",C2917="",D2917=""),"",IF(B2917="","Missing contract",IF(C2917="","Missing code",IF(LEFT(G2917,3)="Not","Wrong code",IF(D2917="","Missing qty",IF(A2917="","Missing date",""))))))</f>
        <v/>
      </c>
      <c r="I2917" s="84" t="str">
        <f aca="false">IF(B2917=Dashboard!$D$3,ROW(),"")</f>
        <v/>
      </c>
    </row>
    <row r="2918" customFormat="false" ht="15" hidden="false" customHeight="false" outlineLevel="0" collapsed="false">
      <c r="A2918" s="80"/>
      <c r="B2918" s="71"/>
      <c r="C2918" s="71"/>
      <c r="D2918" s="81"/>
      <c r="E2918" s="71"/>
      <c r="F2918" s="71"/>
      <c r="G2918" s="82" t="str">
        <f aca="false">IF(C2918="","",IFERROR(INDEX('Kit Lists'!$D$6:$D$605,MATCH(B2918&amp;"|"&amp;C2918,'Kit Lists'!$J$6:$J$605,0)),"Not on this contract's kit list"))</f>
        <v/>
      </c>
      <c r="H2918" s="83" t="str">
        <f aca="false">IF(AND(B2918="",C2918="",D2918=""),"",IF(B2918="","Missing contract",IF(C2918="","Missing code",IF(LEFT(G2918,3)="Not","Wrong code",IF(D2918="","Missing qty",IF(A2918="","Missing date",""))))))</f>
        <v/>
      </c>
      <c r="I2918" s="84" t="str">
        <f aca="false">IF(B2918=Dashboard!$D$3,ROW(),"")</f>
        <v/>
      </c>
    </row>
    <row r="2919" customFormat="false" ht="15" hidden="false" customHeight="false" outlineLevel="0" collapsed="false">
      <c r="A2919" s="80"/>
      <c r="B2919" s="71"/>
      <c r="C2919" s="71"/>
      <c r="D2919" s="81"/>
      <c r="E2919" s="71"/>
      <c r="F2919" s="71"/>
      <c r="G2919" s="82" t="str">
        <f aca="false">IF(C2919="","",IFERROR(INDEX('Kit Lists'!$D$6:$D$605,MATCH(B2919&amp;"|"&amp;C2919,'Kit Lists'!$J$6:$J$605,0)),"Not on this contract's kit list"))</f>
        <v/>
      </c>
      <c r="H2919" s="83" t="str">
        <f aca="false">IF(AND(B2919="",C2919="",D2919=""),"",IF(B2919="","Missing contract",IF(C2919="","Missing code",IF(LEFT(G2919,3)="Not","Wrong code",IF(D2919="","Missing qty",IF(A2919="","Missing date",""))))))</f>
        <v/>
      </c>
      <c r="I2919" s="84" t="str">
        <f aca="false">IF(B2919=Dashboard!$D$3,ROW(),"")</f>
        <v/>
      </c>
    </row>
    <row r="2920" customFormat="false" ht="15" hidden="false" customHeight="false" outlineLevel="0" collapsed="false">
      <c r="A2920" s="80"/>
      <c r="B2920" s="71"/>
      <c r="C2920" s="71"/>
      <c r="D2920" s="81"/>
      <c r="E2920" s="71"/>
      <c r="F2920" s="71"/>
      <c r="G2920" s="82" t="str">
        <f aca="false">IF(C2920="","",IFERROR(INDEX('Kit Lists'!$D$6:$D$605,MATCH(B2920&amp;"|"&amp;C2920,'Kit Lists'!$J$6:$J$605,0)),"Not on this contract's kit list"))</f>
        <v/>
      </c>
      <c r="H2920" s="83" t="str">
        <f aca="false">IF(AND(B2920="",C2920="",D2920=""),"",IF(B2920="","Missing contract",IF(C2920="","Missing code",IF(LEFT(G2920,3)="Not","Wrong code",IF(D2920="","Missing qty",IF(A2920="","Missing date",""))))))</f>
        <v/>
      </c>
      <c r="I2920" s="84" t="str">
        <f aca="false">IF(B2920=Dashboard!$D$3,ROW(),"")</f>
        <v/>
      </c>
    </row>
    <row r="2921" customFormat="false" ht="15" hidden="false" customHeight="false" outlineLevel="0" collapsed="false">
      <c r="A2921" s="80"/>
      <c r="B2921" s="71"/>
      <c r="C2921" s="71"/>
      <c r="D2921" s="81"/>
      <c r="E2921" s="71"/>
      <c r="F2921" s="71"/>
      <c r="G2921" s="82" t="str">
        <f aca="false">IF(C2921="","",IFERROR(INDEX('Kit Lists'!$D$6:$D$605,MATCH(B2921&amp;"|"&amp;C2921,'Kit Lists'!$J$6:$J$605,0)),"Not on this contract's kit list"))</f>
        <v/>
      </c>
      <c r="H2921" s="83" t="str">
        <f aca="false">IF(AND(B2921="",C2921="",D2921=""),"",IF(B2921="","Missing contract",IF(C2921="","Missing code",IF(LEFT(G2921,3)="Not","Wrong code",IF(D2921="","Missing qty",IF(A2921="","Missing date",""))))))</f>
        <v/>
      </c>
      <c r="I2921" s="84" t="str">
        <f aca="false">IF(B2921=Dashboard!$D$3,ROW(),"")</f>
        <v/>
      </c>
    </row>
    <row r="2922" customFormat="false" ht="15" hidden="false" customHeight="false" outlineLevel="0" collapsed="false">
      <c r="A2922" s="80"/>
      <c r="B2922" s="71"/>
      <c r="C2922" s="71"/>
      <c r="D2922" s="81"/>
      <c r="E2922" s="71"/>
      <c r="F2922" s="71"/>
      <c r="G2922" s="82" t="str">
        <f aca="false">IF(C2922="","",IFERROR(INDEX('Kit Lists'!$D$6:$D$605,MATCH(B2922&amp;"|"&amp;C2922,'Kit Lists'!$J$6:$J$605,0)),"Not on this contract's kit list"))</f>
        <v/>
      </c>
      <c r="H2922" s="83" t="str">
        <f aca="false">IF(AND(B2922="",C2922="",D2922=""),"",IF(B2922="","Missing contract",IF(C2922="","Missing code",IF(LEFT(G2922,3)="Not","Wrong code",IF(D2922="","Missing qty",IF(A2922="","Missing date",""))))))</f>
        <v/>
      </c>
      <c r="I2922" s="84" t="str">
        <f aca="false">IF(B2922=Dashboard!$D$3,ROW(),"")</f>
        <v/>
      </c>
    </row>
    <row r="2923" customFormat="false" ht="15" hidden="false" customHeight="false" outlineLevel="0" collapsed="false">
      <c r="A2923" s="80"/>
      <c r="B2923" s="71"/>
      <c r="C2923" s="71"/>
      <c r="D2923" s="81"/>
      <c r="E2923" s="71"/>
      <c r="F2923" s="71"/>
      <c r="G2923" s="82" t="str">
        <f aca="false">IF(C2923="","",IFERROR(INDEX('Kit Lists'!$D$6:$D$605,MATCH(B2923&amp;"|"&amp;C2923,'Kit Lists'!$J$6:$J$605,0)),"Not on this contract's kit list"))</f>
        <v/>
      </c>
      <c r="H2923" s="83" t="str">
        <f aca="false">IF(AND(B2923="",C2923="",D2923=""),"",IF(B2923="","Missing contract",IF(C2923="","Missing code",IF(LEFT(G2923,3)="Not","Wrong code",IF(D2923="","Missing qty",IF(A2923="","Missing date",""))))))</f>
        <v/>
      </c>
      <c r="I2923" s="84" t="str">
        <f aca="false">IF(B2923=Dashboard!$D$3,ROW(),"")</f>
        <v/>
      </c>
    </row>
    <row r="2924" customFormat="false" ht="15" hidden="false" customHeight="false" outlineLevel="0" collapsed="false">
      <c r="A2924" s="80"/>
      <c r="B2924" s="71"/>
      <c r="C2924" s="71"/>
      <c r="D2924" s="81"/>
      <c r="E2924" s="71"/>
      <c r="F2924" s="71"/>
      <c r="G2924" s="82" t="str">
        <f aca="false">IF(C2924="","",IFERROR(INDEX('Kit Lists'!$D$6:$D$605,MATCH(B2924&amp;"|"&amp;C2924,'Kit Lists'!$J$6:$J$605,0)),"Not on this contract's kit list"))</f>
        <v/>
      </c>
      <c r="H2924" s="83" t="str">
        <f aca="false">IF(AND(B2924="",C2924="",D2924=""),"",IF(B2924="","Missing contract",IF(C2924="","Missing code",IF(LEFT(G2924,3)="Not","Wrong code",IF(D2924="","Missing qty",IF(A2924="","Missing date",""))))))</f>
        <v/>
      </c>
      <c r="I2924" s="84" t="str">
        <f aca="false">IF(B2924=Dashboard!$D$3,ROW(),"")</f>
        <v/>
      </c>
    </row>
    <row r="2925" customFormat="false" ht="15" hidden="false" customHeight="false" outlineLevel="0" collapsed="false">
      <c r="A2925" s="80"/>
      <c r="B2925" s="71"/>
      <c r="C2925" s="71"/>
      <c r="D2925" s="81"/>
      <c r="E2925" s="71"/>
      <c r="F2925" s="71"/>
      <c r="G2925" s="82" t="str">
        <f aca="false">IF(C2925="","",IFERROR(INDEX('Kit Lists'!$D$6:$D$605,MATCH(B2925&amp;"|"&amp;C2925,'Kit Lists'!$J$6:$J$605,0)),"Not on this contract's kit list"))</f>
        <v/>
      </c>
      <c r="H2925" s="83" t="str">
        <f aca="false">IF(AND(B2925="",C2925="",D2925=""),"",IF(B2925="","Missing contract",IF(C2925="","Missing code",IF(LEFT(G2925,3)="Not","Wrong code",IF(D2925="","Missing qty",IF(A2925="","Missing date",""))))))</f>
        <v/>
      </c>
      <c r="I2925" s="84" t="str">
        <f aca="false">IF(B2925=Dashboard!$D$3,ROW(),"")</f>
        <v/>
      </c>
    </row>
    <row r="2926" customFormat="false" ht="15" hidden="false" customHeight="false" outlineLevel="0" collapsed="false">
      <c r="A2926" s="80"/>
      <c r="B2926" s="71"/>
      <c r="C2926" s="71"/>
      <c r="D2926" s="81"/>
      <c r="E2926" s="71"/>
      <c r="F2926" s="71"/>
      <c r="G2926" s="82" t="str">
        <f aca="false">IF(C2926="","",IFERROR(INDEX('Kit Lists'!$D$6:$D$605,MATCH(B2926&amp;"|"&amp;C2926,'Kit Lists'!$J$6:$J$605,0)),"Not on this contract's kit list"))</f>
        <v/>
      </c>
      <c r="H2926" s="83" t="str">
        <f aca="false">IF(AND(B2926="",C2926="",D2926=""),"",IF(B2926="","Missing contract",IF(C2926="","Missing code",IF(LEFT(G2926,3)="Not","Wrong code",IF(D2926="","Missing qty",IF(A2926="","Missing date",""))))))</f>
        <v/>
      </c>
      <c r="I2926" s="84" t="str">
        <f aca="false">IF(B2926=Dashboard!$D$3,ROW(),"")</f>
        <v/>
      </c>
    </row>
    <row r="2927" customFormat="false" ht="15" hidden="false" customHeight="false" outlineLevel="0" collapsed="false">
      <c r="A2927" s="80"/>
      <c r="B2927" s="71"/>
      <c r="C2927" s="71"/>
      <c r="D2927" s="81"/>
      <c r="E2927" s="71"/>
      <c r="F2927" s="71"/>
      <c r="G2927" s="82" t="str">
        <f aca="false">IF(C2927="","",IFERROR(INDEX('Kit Lists'!$D$6:$D$605,MATCH(B2927&amp;"|"&amp;C2927,'Kit Lists'!$J$6:$J$605,0)),"Not on this contract's kit list"))</f>
        <v/>
      </c>
      <c r="H2927" s="83" t="str">
        <f aca="false">IF(AND(B2927="",C2927="",D2927=""),"",IF(B2927="","Missing contract",IF(C2927="","Missing code",IF(LEFT(G2927,3)="Not","Wrong code",IF(D2927="","Missing qty",IF(A2927="","Missing date",""))))))</f>
        <v/>
      </c>
      <c r="I2927" s="84" t="str">
        <f aca="false">IF(B2927=Dashboard!$D$3,ROW(),"")</f>
        <v/>
      </c>
    </row>
    <row r="2928" customFormat="false" ht="15" hidden="false" customHeight="false" outlineLevel="0" collapsed="false">
      <c r="A2928" s="80"/>
      <c r="B2928" s="71"/>
      <c r="C2928" s="71"/>
      <c r="D2928" s="81"/>
      <c r="E2928" s="71"/>
      <c r="F2928" s="71"/>
      <c r="G2928" s="82" t="str">
        <f aca="false">IF(C2928="","",IFERROR(INDEX('Kit Lists'!$D$6:$D$605,MATCH(B2928&amp;"|"&amp;C2928,'Kit Lists'!$J$6:$J$605,0)),"Not on this contract's kit list"))</f>
        <v/>
      </c>
      <c r="H2928" s="83" t="str">
        <f aca="false">IF(AND(B2928="",C2928="",D2928=""),"",IF(B2928="","Missing contract",IF(C2928="","Missing code",IF(LEFT(G2928,3)="Not","Wrong code",IF(D2928="","Missing qty",IF(A2928="","Missing date",""))))))</f>
        <v/>
      </c>
      <c r="I2928" s="84" t="str">
        <f aca="false">IF(B2928=Dashboard!$D$3,ROW(),"")</f>
        <v/>
      </c>
    </row>
    <row r="2929" customFormat="false" ht="15" hidden="false" customHeight="false" outlineLevel="0" collapsed="false">
      <c r="A2929" s="80"/>
      <c r="B2929" s="71"/>
      <c r="C2929" s="71"/>
      <c r="D2929" s="81"/>
      <c r="E2929" s="71"/>
      <c r="F2929" s="71"/>
      <c r="G2929" s="82" t="str">
        <f aca="false">IF(C2929="","",IFERROR(INDEX('Kit Lists'!$D$6:$D$605,MATCH(B2929&amp;"|"&amp;C2929,'Kit Lists'!$J$6:$J$605,0)),"Not on this contract's kit list"))</f>
        <v/>
      </c>
      <c r="H2929" s="83" t="str">
        <f aca="false">IF(AND(B2929="",C2929="",D2929=""),"",IF(B2929="","Missing contract",IF(C2929="","Missing code",IF(LEFT(G2929,3)="Not","Wrong code",IF(D2929="","Missing qty",IF(A2929="","Missing date",""))))))</f>
        <v/>
      </c>
      <c r="I2929" s="84" t="str">
        <f aca="false">IF(B2929=Dashboard!$D$3,ROW(),"")</f>
        <v/>
      </c>
    </row>
    <row r="2930" customFormat="false" ht="15" hidden="false" customHeight="false" outlineLevel="0" collapsed="false">
      <c r="A2930" s="80"/>
      <c r="B2930" s="71"/>
      <c r="C2930" s="71"/>
      <c r="D2930" s="81"/>
      <c r="E2930" s="71"/>
      <c r="F2930" s="71"/>
      <c r="G2930" s="82" t="str">
        <f aca="false">IF(C2930="","",IFERROR(INDEX('Kit Lists'!$D$6:$D$605,MATCH(B2930&amp;"|"&amp;C2930,'Kit Lists'!$J$6:$J$605,0)),"Not on this contract's kit list"))</f>
        <v/>
      </c>
      <c r="H2930" s="83" t="str">
        <f aca="false">IF(AND(B2930="",C2930="",D2930=""),"",IF(B2930="","Missing contract",IF(C2930="","Missing code",IF(LEFT(G2930,3)="Not","Wrong code",IF(D2930="","Missing qty",IF(A2930="","Missing date",""))))))</f>
        <v/>
      </c>
      <c r="I2930" s="84" t="str">
        <f aca="false">IF(B2930=Dashboard!$D$3,ROW(),"")</f>
        <v/>
      </c>
    </row>
    <row r="2931" customFormat="false" ht="15" hidden="false" customHeight="false" outlineLevel="0" collapsed="false">
      <c r="A2931" s="80"/>
      <c r="B2931" s="71"/>
      <c r="C2931" s="71"/>
      <c r="D2931" s="81"/>
      <c r="E2931" s="71"/>
      <c r="F2931" s="71"/>
      <c r="G2931" s="82" t="str">
        <f aca="false">IF(C2931="","",IFERROR(INDEX('Kit Lists'!$D$6:$D$605,MATCH(B2931&amp;"|"&amp;C2931,'Kit Lists'!$J$6:$J$605,0)),"Not on this contract's kit list"))</f>
        <v/>
      </c>
      <c r="H2931" s="83" t="str">
        <f aca="false">IF(AND(B2931="",C2931="",D2931=""),"",IF(B2931="","Missing contract",IF(C2931="","Missing code",IF(LEFT(G2931,3)="Not","Wrong code",IF(D2931="","Missing qty",IF(A2931="","Missing date",""))))))</f>
        <v/>
      </c>
      <c r="I2931" s="84" t="str">
        <f aca="false">IF(B2931=Dashboard!$D$3,ROW(),"")</f>
        <v/>
      </c>
    </row>
    <row r="2932" customFormat="false" ht="15" hidden="false" customHeight="false" outlineLevel="0" collapsed="false">
      <c r="A2932" s="80"/>
      <c r="B2932" s="71"/>
      <c r="C2932" s="71"/>
      <c r="D2932" s="81"/>
      <c r="E2932" s="71"/>
      <c r="F2932" s="71"/>
      <c r="G2932" s="82" t="str">
        <f aca="false">IF(C2932="","",IFERROR(INDEX('Kit Lists'!$D$6:$D$605,MATCH(B2932&amp;"|"&amp;C2932,'Kit Lists'!$J$6:$J$605,0)),"Not on this contract's kit list"))</f>
        <v/>
      </c>
      <c r="H2932" s="83" t="str">
        <f aca="false">IF(AND(B2932="",C2932="",D2932=""),"",IF(B2932="","Missing contract",IF(C2932="","Missing code",IF(LEFT(G2932,3)="Not","Wrong code",IF(D2932="","Missing qty",IF(A2932="","Missing date",""))))))</f>
        <v/>
      </c>
      <c r="I2932" s="84" t="str">
        <f aca="false">IF(B2932=Dashboard!$D$3,ROW(),"")</f>
        <v/>
      </c>
    </row>
    <row r="2933" customFormat="false" ht="15" hidden="false" customHeight="false" outlineLevel="0" collapsed="false">
      <c r="A2933" s="80"/>
      <c r="B2933" s="71"/>
      <c r="C2933" s="71"/>
      <c r="D2933" s="81"/>
      <c r="E2933" s="71"/>
      <c r="F2933" s="71"/>
      <c r="G2933" s="82" t="str">
        <f aca="false">IF(C2933="","",IFERROR(INDEX('Kit Lists'!$D$6:$D$605,MATCH(B2933&amp;"|"&amp;C2933,'Kit Lists'!$J$6:$J$605,0)),"Not on this contract's kit list"))</f>
        <v/>
      </c>
      <c r="H2933" s="83" t="str">
        <f aca="false">IF(AND(B2933="",C2933="",D2933=""),"",IF(B2933="","Missing contract",IF(C2933="","Missing code",IF(LEFT(G2933,3)="Not","Wrong code",IF(D2933="","Missing qty",IF(A2933="","Missing date",""))))))</f>
        <v/>
      </c>
      <c r="I2933" s="84" t="str">
        <f aca="false">IF(B2933=Dashboard!$D$3,ROW(),"")</f>
        <v/>
      </c>
    </row>
    <row r="2934" customFormat="false" ht="15" hidden="false" customHeight="false" outlineLevel="0" collapsed="false">
      <c r="A2934" s="80"/>
      <c r="B2934" s="71"/>
      <c r="C2934" s="71"/>
      <c r="D2934" s="81"/>
      <c r="E2934" s="71"/>
      <c r="F2934" s="71"/>
      <c r="G2934" s="82" t="str">
        <f aca="false">IF(C2934="","",IFERROR(INDEX('Kit Lists'!$D$6:$D$605,MATCH(B2934&amp;"|"&amp;C2934,'Kit Lists'!$J$6:$J$605,0)),"Not on this contract's kit list"))</f>
        <v/>
      </c>
      <c r="H2934" s="83" t="str">
        <f aca="false">IF(AND(B2934="",C2934="",D2934=""),"",IF(B2934="","Missing contract",IF(C2934="","Missing code",IF(LEFT(G2934,3)="Not","Wrong code",IF(D2934="","Missing qty",IF(A2934="","Missing date",""))))))</f>
        <v/>
      </c>
      <c r="I2934" s="84" t="str">
        <f aca="false">IF(B2934=Dashboard!$D$3,ROW(),"")</f>
        <v/>
      </c>
    </row>
    <row r="2935" customFormat="false" ht="15" hidden="false" customHeight="false" outlineLevel="0" collapsed="false">
      <c r="A2935" s="80"/>
      <c r="B2935" s="71"/>
      <c r="C2935" s="71"/>
      <c r="D2935" s="81"/>
      <c r="E2935" s="71"/>
      <c r="F2935" s="71"/>
      <c r="G2935" s="82" t="str">
        <f aca="false">IF(C2935="","",IFERROR(INDEX('Kit Lists'!$D$6:$D$605,MATCH(B2935&amp;"|"&amp;C2935,'Kit Lists'!$J$6:$J$605,0)),"Not on this contract's kit list"))</f>
        <v/>
      </c>
      <c r="H2935" s="83" t="str">
        <f aca="false">IF(AND(B2935="",C2935="",D2935=""),"",IF(B2935="","Missing contract",IF(C2935="","Missing code",IF(LEFT(G2935,3)="Not","Wrong code",IF(D2935="","Missing qty",IF(A2935="","Missing date",""))))))</f>
        <v/>
      </c>
      <c r="I2935" s="84" t="str">
        <f aca="false">IF(B2935=Dashboard!$D$3,ROW(),"")</f>
        <v/>
      </c>
    </row>
    <row r="2936" customFormat="false" ht="15" hidden="false" customHeight="false" outlineLevel="0" collapsed="false">
      <c r="A2936" s="80"/>
      <c r="B2936" s="71"/>
      <c r="C2936" s="71"/>
      <c r="D2936" s="81"/>
      <c r="E2936" s="71"/>
      <c r="F2936" s="71"/>
      <c r="G2936" s="82" t="str">
        <f aca="false">IF(C2936="","",IFERROR(INDEX('Kit Lists'!$D$6:$D$605,MATCH(B2936&amp;"|"&amp;C2936,'Kit Lists'!$J$6:$J$605,0)),"Not on this contract's kit list"))</f>
        <v/>
      </c>
      <c r="H2936" s="83" t="str">
        <f aca="false">IF(AND(B2936="",C2936="",D2936=""),"",IF(B2936="","Missing contract",IF(C2936="","Missing code",IF(LEFT(G2936,3)="Not","Wrong code",IF(D2936="","Missing qty",IF(A2936="","Missing date",""))))))</f>
        <v/>
      </c>
      <c r="I2936" s="84" t="str">
        <f aca="false">IF(B2936=Dashboard!$D$3,ROW(),"")</f>
        <v/>
      </c>
    </row>
    <row r="2937" customFormat="false" ht="15" hidden="false" customHeight="false" outlineLevel="0" collapsed="false">
      <c r="A2937" s="80"/>
      <c r="B2937" s="71"/>
      <c r="C2937" s="71"/>
      <c r="D2937" s="81"/>
      <c r="E2937" s="71"/>
      <c r="F2937" s="71"/>
      <c r="G2937" s="82" t="str">
        <f aca="false">IF(C2937="","",IFERROR(INDEX('Kit Lists'!$D$6:$D$605,MATCH(B2937&amp;"|"&amp;C2937,'Kit Lists'!$J$6:$J$605,0)),"Not on this contract's kit list"))</f>
        <v/>
      </c>
      <c r="H2937" s="83" t="str">
        <f aca="false">IF(AND(B2937="",C2937="",D2937=""),"",IF(B2937="","Missing contract",IF(C2937="","Missing code",IF(LEFT(G2937,3)="Not","Wrong code",IF(D2937="","Missing qty",IF(A2937="","Missing date",""))))))</f>
        <v/>
      </c>
      <c r="I2937" s="84" t="str">
        <f aca="false">IF(B2937=Dashboard!$D$3,ROW(),"")</f>
        <v/>
      </c>
    </row>
    <row r="2938" customFormat="false" ht="15" hidden="false" customHeight="false" outlineLevel="0" collapsed="false">
      <c r="A2938" s="80"/>
      <c r="B2938" s="71"/>
      <c r="C2938" s="71"/>
      <c r="D2938" s="81"/>
      <c r="E2938" s="71"/>
      <c r="F2938" s="71"/>
      <c r="G2938" s="82" t="str">
        <f aca="false">IF(C2938="","",IFERROR(INDEX('Kit Lists'!$D$6:$D$605,MATCH(B2938&amp;"|"&amp;C2938,'Kit Lists'!$J$6:$J$605,0)),"Not on this contract's kit list"))</f>
        <v/>
      </c>
      <c r="H2938" s="83" t="str">
        <f aca="false">IF(AND(B2938="",C2938="",D2938=""),"",IF(B2938="","Missing contract",IF(C2938="","Missing code",IF(LEFT(G2938,3)="Not","Wrong code",IF(D2938="","Missing qty",IF(A2938="","Missing date",""))))))</f>
        <v/>
      </c>
      <c r="I2938" s="84" t="str">
        <f aca="false">IF(B2938=Dashboard!$D$3,ROW(),"")</f>
        <v/>
      </c>
    </row>
    <row r="2939" customFormat="false" ht="15" hidden="false" customHeight="false" outlineLevel="0" collapsed="false">
      <c r="A2939" s="80"/>
      <c r="B2939" s="71"/>
      <c r="C2939" s="71"/>
      <c r="D2939" s="81"/>
      <c r="E2939" s="71"/>
      <c r="F2939" s="71"/>
      <c r="G2939" s="82" t="str">
        <f aca="false">IF(C2939="","",IFERROR(INDEX('Kit Lists'!$D$6:$D$605,MATCH(B2939&amp;"|"&amp;C2939,'Kit Lists'!$J$6:$J$605,0)),"Not on this contract's kit list"))</f>
        <v/>
      </c>
      <c r="H2939" s="83" t="str">
        <f aca="false">IF(AND(B2939="",C2939="",D2939=""),"",IF(B2939="","Missing contract",IF(C2939="","Missing code",IF(LEFT(G2939,3)="Not","Wrong code",IF(D2939="","Missing qty",IF(A2939="","Missing date",""))))))</f>
        <v/>
      </c>
      <c r="I2939" s="84" t="str">
        <f aca="false">IF(B2939=Dashboard!$D$3,ROW(),"")</f>
        <v/>
      </c>
    </row>
    <row r="2940" customFormat="false" ht="15" hidden="false" customHeight="false" outlineLevel="0" collapsed="false">
      <c r="A2940" s="80"/>
      <c r="B2940" s="71"/>
      <c r="C2940" s="71"/>
      <c r="D2940" s="81"/>
      <c r="E2940" s="71"/>
      <c r="F2940" s="71"/>
      <c r="G2940" s="82" t="str">
        <f aca="false">IF(C2940="","",IFERROR(INDEX('Kit Lists'!$D$6:$D$605,MATCH(B2940&amp;"|"&amp;C2940,'Kit Lists'!$J$6:$J$605,0)),"Not on this contract's kit list"))</f>
        <v/>
      </c>
      <c r="H2940" s="83" t="str">
        <f aca="false">IF(AND(B2940="",C2940="",D2940=""),"",IF(B2940="","Missing contract",IF(C2940="","Missing code",IF(LEFT(G2940,3)="Not","Wrong code",IF(D2940="","Missing qty",IF(A2940="","Missing date",""))))))</f>
        <v/>
      </c>
      <c r="I2940" s="84" t="str">
        <f aca="false">IF(B2940=Dashboard!$D$3,ROW(),"")</f>
        <v/>
      </c>
    </row>
    <row r="2941" customFormat="false" ht="15" hidden="false" customHeight="false" outlineLevel="0" collapsed="false">
      <c r="A2941" s="80"/>
      <c r="B2941" s="71"/>
      <c r="C2941" s="71"/>
      <c r="D2941" s="81"/>
      <c r="E2941" s="71"/>
      <c r="F2941" s="71"/>
      <c r="G2941" s="82" t="str">
        <f aca="false">IF(C2941="","",IFERROR(INDEX('Kit Lists'!$D$6:$D$605,MATCH(B2941&amp;"|"&amp;C2941,'Kit Lists'!$J$6:$J$605,0)),"Not on this contract's kit list"))</f>
        <v/>
      </c>
      <c r="H2941" s="83" t="str">
        <f aca="false">IF(AND(B2941="",C2941="",D2941=""),"",IF(B2941="","Missing contract",IF(C2941="","Missing code",IF(LEFT(G2941,3)="Not","Wrong code",IF(D2941="","Missing qty",IF(A2941="","Missing date",""))))))</f>
        <v/>
      </c>
      <c r="I2941" s="84" t="str">
        <f aca="false">IF(B2941=Dashboard!$D$3,ROW(),"")</f>
        <v/>
      </c>
    </row>
    <row r="2942" customFormat="false" ht="15" hidden="false" customHeight="false" outlineLevel="0" collapsed="false">
      <c r="A2942" s="80"/>
      <c r="B2942" s="71"/>
      <c r="C2942" s="71"/>
      <c r="D2942" s="81"/>
      <c r="E2942" s="71"/>
      <c r="F2942" s="71"/>
      <c r="G2942" s="82" t="str">
        <f aca="false">IF(C2942="","",IFERROR(INDEX('Kit Lists'!$D$6:$D$605,MATCH(B2942&amp;"|"&amp;C2942,'Kit Lists'!$J$6:$J$605,0)),"Not on this contract's kit list"))</f>
        <v/>
      </c>
      <c r="H2942" s="83" t="str">
        <f aca="false">IF(AND(B2942="",C2942="",D2942=""),"",IF(B2942="","Missing contract",IF(C2942="","Missing code",IF(LEFT(G2942,3)="Not","Wrong code",IF(D2942="","Missing qty",IF(A2942="","Missing date",""))))))</f>
        <v/>
      </c>
      <c r="I2942" s="84" t="str">
        <f aca="false">IF(B2942=Dashboard!$D$3,ROW(),"")</f>
        <v/>
      </c>
    </row>
    <row r="2943" customFormat="false" ht="15" hidden="false" customHeight="false" outlineLevel="0" collapsed="false">
      <c r="A2943" s="80"/>
      <c r="B2943" s="71"/>
      <c r="C2943" s="71"/>
      <c r="D2943" s="81"/>
      <c r="E2943" s="71"/>
      <c r="F2943" s="71"/>
      <c r="G2943" s="82" t="str">
        <f aca="false">IF(C2943="","",IFERROR(INDEX('Kit Lists'!$D$6:$D$605,MATCH(B2943&amp;"|"&amp;C2943,'Kit Lists'!$J$6:$J$605,0)),"Not on this contract's kit list"))</f>
        <v/>
      </c>
      <c r="H2943" s="83" t="str">
        <f aca="false">IF(AND(B2943="",C2943="",D2943=""),"",IF(B2943="","Missing contract",IF(C2943="","Missing code",IF(LEFT(G2943,3)="Not","Wrong code",IF(D2943="","Missing qty",IF(A2943="","Missing date",""))))))</f>
        <v/>
      </c>
      <c r="I2943" s="84" t="str">
        <f aca="false">IF(B2943=Dashboard!$D$3,ROW(),"")</f>
        <v/>
      </c>
    </row>
    <row r="2944" customFormat="false" ht="15" hidden="false" customHeight="false" outlineLevel="0" collapsed="false">
      <c r="A2944" s="80"/>
      <c r="B2944" s="71"/>
      <c r="C2944" s="71"/>
      <c r="D2944" s="81"/>
      <c r="E2944" s="71"/>
      <c r="F2944" s="71"/>
      <c r="G2944" s="82" t="str">
        <f aca="false">IF(C2944="","",IFERROR(INDEX('Kit Lists'!$D$6:$D$605,MATCH(B2944&amp;"|"&amp;C2944,'Kit Lists'!$J$6:$J$605,0)),"Not on this contract's kit list"))</f>
        <v/>
      </c>
      <c r="H2944" s="83" t="str">
        <f aca="false">IF(AND(B2944="",C2944="",D2944=""),"",IF(B2944="","Missing contract",IF(C2944="","Missing code",IF(LEFT(G2944,3)="Not","Wrong code",IF(D2944="","Missing qty",IF(A2944="","Missing date",""))))))</f>
        <v/>
      </c>
      <c r="I2944" s="84" t="str">
        <f aca="false">IF(B2944=Dashboard!$D$3,ROW(),"")</f>
        <v/>
      </c>
    </row>
    <row r="2945" customFormat="false" ht="15" hidden="false" customHeight="false" outlineLevel="0" collapsed="false">
      <c r="A2945" s="80"/>
      <c r="B2945" s="71"/>
      <c r="C2945" s="71"/>
      <c r="D2945" s="81"/>
      <c r="E2945" s="71"/>
      <c r="F2945" s="71"/>
      <c r="G2945" s="82" t="str">
        <f aca="false">IF(C2945="","",IFERROR(INDEX('Kit Lists'!$D$6:$D$605,MATCH(B2945&amp;"|"&amp;C2945,'Kit Lists'!$J$6:$J$605,0)),"Not on this contract's kit list"))</f>
        <v/>
      </c>
      <c r="H2945" s="83" t="str">
        <f aca="false">IF(AND(B2945="",C2945="",D2945=""),"",IF(B2945="","Missing contract",IF(C2945="","Missing code",IF(LEFT(G2945,3)="Not","Wrong code",IF(D2945="","Missing qty",IF(A2945="","Missing date",""))))))</f>
        <v/>
      </c>
      <c r="I2945" s="84" t="str">
        <f aca="false">IF(B2945=Dashboard!$D$3,ROW(),"")</f>
        <v/>
      </c>
    </row>
    <row r="2946" customFormat="false" ht="15" hidden="false" customHeight="false" outlineLevel="0" collapsed="false">
      <c r="A2946" s="80"/>
      <c r="B2946" s="71"/>
      <c r="C2946" s="71"/>
      <c r="D2946" s="81"/>
      <c r="E2946" s="71"/>
      <c r="F2946" s="71"/>
      <c r="G2946" s="82" t="str">
        <f aca="false">IF(C2946="","",IFERROR(INDEX('Kit Lists'!$D$6:$D$605,MATCH(B2946&amp;"|"&amp;C2946,'Kit Lists'!$J$6:$J$605,0)),"Not on this contract's kit list"))</f>
        <v/>
      </c>
      <c r="H2946" s="83" t="str">
        <f aca="false">IF(AND(B2946="",C2946="",D2946=""),"",IF(B2946="","Missing contract",IF(C2946="","Missing code",IF(LEFT(G2946,3)="Not","Wrong code",IF(D2946="","Missing qty",IF(A2946="","Missing date",""))))))</f>
        <v/>
      </c>
      <c r="I2946" s="84" t="str">
        <f aca="false">IF(B2946=Dashboard!$D$3,ROW(),"")</f>
        <v/>
      </c>
    </row>
    <row r="2947" customFormat="false" ht="15" hidden="false" customHeight="false" outlineLevel="0" collapsed="false">
      <c r="A2947" s="80"/>
      <c r="B2947" s="71"/>
      <c r="C2947" s="71"/>
      <c r="D2947" s="81"/>
      <c r="E2947" s="71"/>
      <c r="F2947" s="71"/>
      <c r="G2947" s="82" t="str">
        <f aca="false">IF(C2947="","",IFERROR(INDEX('Kit Lists'!$D$6:$D$605,MATCH(B2947&amp;"|"&amp;C2947,'Kit Lists'!$J$6:$J$605,0)),"Not on this contract's kit list"))</f>
        <v/>
      </c>
      <c r="H2947" s="83" t="str">
        <f aca="false">IF(AND(B2947="",C2947="",D2947=""),"",IF(B2947="","Missing contract",IF(C2947="","Missing code",IF(LEFT(G2947,3)="Not","Wrong code",IF(D2947="","Missing qty",IF(A2947="","Missing date",""))))))</f>
        <v/>
      </c>
      <c r="I2947" s="84" t="str">
        <f aca="false">IF(B2947=Dashboard!$D$3,ROW(),"")</f>
        <v/>
      </c>
    </row>
    <row r="2948" customFormat="false" ht="15" hidden="false" customHeight="false" outlineLevel="0" collapsed="false">
      <c r="A2948" s="80"/>
      <c r="B2948" s="71"/>
      <c r="C2948" s="71"/>
      <c r="D2948" s="81"/>
      <c r="E2948" s="71"/>
      <c r="F2948" s="71"/>
      <c r="G2948" s="82" t="str">
        <f aca="false">IF(C2948="","",IFERROR(INDEX('Kit Lists'!$D$6:$D$605,MATCH(B2948&amp;"|"&amp;C2948,'Kit Lists'!$J$6:$J$605,0)),"Not on this contract's kit list"))</f>
        <v/>
      </c>
      <c r="H2948" s="83" t="str">
        <f aca="false">IF(AND(B2948="",C2948="",D2948=""),"",IF(B2948="","Missing contract",IF(C2948="","Missing code",IF(LEFT(G2948,3)="Not","Wrong code",IF(D2948="","Missing qty",IF(A2948="","Missing date",""))))))</f>
        <v/>
      </c>
      <c r="I2948" s="84" t="str">
        <f aca="false">IF(B2948=Dashboard!$D$3,ROW(),"")</f>
        <v/>
      </c>
    </row>
    <row r="2949" customFormat="false" ht="15" hidden="false" customHeight="false" outlineLevel="0" collapsed="false">
      <c r="A2949" s="80"/>
      <c r="B2949" s="71"/>
      <c r="C2949" s="71"/>
      <c r="D2949" s="81"/>
      <c r="E2949" s="71"/>
      <c r="F2949" s="71"/>
      <c r="G2949" s="82" t="str">
        <f aca="false">IF(C2949="","",IFERROR(INDEX('Kit Lists'!$D$6:$D$605,MATCH(B2949&amp;"|"&amp;C2949,'Kit Lists'!$J$6:$J$605,0)),"Not on this contract's kit list"))</f>
        <v/>
      </c>
      <c r="H2949" s="83" t="str">
        <f aca="false">IF(AND(B2949="",C2949="",D2949=""),"",IF(B2949="","Missing contract",IF(C2949="","Missing code",IF(LEFT(G2949,3)="Not","Wrong code",IF(D2949="","Missing qty",IF(A2949="","Missing date",""))))))</f>
        <v/>
      </c>
      <c r="I2949" s="84" t="str">
        <f aca="false">IF(B2949=Dashboard!$D$3,ROW(),"")</f>
        <v/>
      </c>
    </row>
    <row r="2950" customFormat="false" ht="15" hidden="false" customHeight="false" outlineLevel="0" collapsed="false">
      <c r="A2950" s="80"/>
      <c r="B2950" s="71"/>
      <c r="C2950" s="71"/>
      <c r="D2950" s="81"/>
      <c r="E2950" s="71"/>
      <c r="F2950" s="71"/>
      <c r="G2950" s="82" t="str">
        <f aca="false">IF(C2950="","",IFERROR(INDEX('Kit Lists'!$D$6:$D$605,MATCH(B2950&amp;"|"&amp;C2950,'Kit Lists'!$J$6:$J$605,0)),"Not on this contract's kit list"))</f>
        <v/>
      </c>
      <c r="H2950" s="83" t="str">
        <f aca="false">IF(AND(B2950="",C2950="",D2950=""),"",IF(B2950="","Missing contract",IF(C2950="","Missing code",IF(LEFT(G2950,3)="Not","Wrong code",IF(D2950="","Missing qty",IF(A2950="","Missing date",""))))))</f>
        <v/>
      </c>
      <c r="I2950" s="84" t="str">
        <f aca="false">IF(B2950=Dashboard!$D$3,ROW(),"")</f>
        <v/>
      </c>
    </row>
    <row r="2951" customFormat="false" ht="15" hidden="false" customHeight="false" outlineLevel="0" collapsed="false">
      <c r="A2951" s="80"/>
      <c r="B2951" s="71"/>
      <c r="C2951" s="71"/>
      <c r="D2951" s="81"/>
      <c r="E2951" s="71"/>
      <c r="F2951" s="71"/>
      <c r="G2951" s="82" t="str">
        <f aca="false">IF(C2951="","",IFERROR(INDEX('Kit Lists'!$D$6:$D$605,MATCH(B2951&amp;"|"&amp;C2951,'Kit Lists'!$J$6:$J$605,0)),"Not on this contract's kit list"))</f>
        <v/>
      </c>
      <c r="H2951" s="83" t="str">
        <f aca="false">IF(AND(B2951="",C2951="",D2951=""),"",IF(B2951="","Missing contract",IF(C2951="","Missing code",IF(LEFT(G2951,3)="Not","Wrong code",IF(D2951="","Missing qty",IF(A2951="","Missing date",""))))))</f>
        <v/>
      </c>
      <c r="I2951" s="84" t="str">
        <f aca="false">IF(B2951=Dashboard!$D$3,ROW(),"")</f>
        <v/>
      </c>
    </row>
    <row r="2952" customFormat="false" ht="15" hidden="false" customHeight="false" outlineLevel="0" collapsed="false">
      <c r="A2952" s="80"/>
      <c r="B2952" s="71"/>
      <c r="C2952" s="71"/>
      <c r="D2952" s="81"/>
      <c r="E2952" s="71"/>
      <c r="F2952" s="71"/>
      <c r="G2952" s="82" t="str">
        <f aca="false">IF(C2952="","",IFERROR(INDEX('Kit Lists'!$D$6:$D$605,MATCH(B2952&amp;"|"&amp;C2952,'Kit Lists'!$J$6:$J$605,0)),"Not on this contract's kit list"))</f>
        <v/>
      </c>
      <c r="H2952" s="83" t="str">
        <f aca="false">IF(AND(B2952="",C2952="",D2952=""),"",IF(B2952="","Missing contract",IF(C2952="","Missing code",IF(LEFT(G2952,3)="Not","Wrong code",IF(D2952="","Missing qty",IF(A2952="","Missing date",""))))))</f>
        <v/>
      </c>
      <c r="I2952" s="84" t="str">
        <f aca="false">IF(B2952=Dashboard!$D$3,ROW(),"")</f>
        <v/>
      </c>
    </row>
    <row r="2953" customFormat="false" ht="15" hidden="false" customHeight="false" outlineLevel="0" collapsed="false">
      <c r="A2953" s="80"/>
      <c r="B2953" s="71"/>
      <c r="C2953" s="71"/>
      <c r="D2953" s="81"/>
      <c r="E2953" s="71"/>
      <c r="F2953" s="71"/>
      <c r="G2953" s="82" t="str">
        <f aca="false">IF(C2953="","",IFERROR(INDEX('Kit Lists'!$D$6:$D$605,MATCH(B2953&amp;"|"&amp;C2953,'Kit Lists'!$J$6:$J$605,0)),"Not on this contract's kit list"))</f>
        <v/>
      </c>
      <c r="H2953" s="83" t="str">
        <f aca="false">IF(AND(B2953="",C2953="",D2953=""),"",IF(B2953="","Missing contract",IF(C2953="","Missing code",IF(LEFT(G2953,3)="Not","Wrong code",IF(D2953="","Missing qty",IF(A2953="","Missing date",""))))))</f>
        <v/>
      </c>
      <c r="I2953" s="84" t="str">
        <f aca="false">IF(B2953=Dashboard!$D$3,ROW(),"")</f>
        <v/>
      </c>
    </row>
    <row r="2954" customFormat="false" ht="15" hidden="false" customHeight="false" outlineLevel="0" collapsed="false">
      <c r="A2954" s="80"/>
      <c r="B2954" s="71"/>
      <c r="C2954" s="71"/>
      <c r="D2954" s="81"/>
      <c r="E2954" s="71"/>
      <c r="F2954" s="71"/>
      <c r="G2954" s="82" t="str">
        <f aca="false">IF(C2954="","",IFERROR(INDEX('Kit Lists'!$D$6:$D$605,MATCH(B2954&amp;"|"&amp;C2954,'Kit Lists'!$J$6:$J$605,0)),"Not on this contract's kit list"))</f>
        <v/>
      </c>
      <c r="H2954" s="83" t="str">
        <f aca="false">IF(AND(B2954="",C2954="",D2954=""),"",IF(B2954="","Missing contract",IF(C2954="","Missing code",IF(LEFT(G2954,3)="Not","Wrong code",IF(D2954="","Missing qty",IF(A2954="","Missing date",""))))))</f>
        <v/>
      </c>
      <c r="I2954" s="84" t="str">
        <f aca="false">IF(B2954=Dashboard!$D$3,ROW(),"")</f>
        <v/>
      </c>
    </row>
    <row r="2955" customFormat="false" ht="15" hidden="false" customHeight="false" outlineLevel="0" collapsed="false">
      <c r="A2955" s="80"/>
      <c r="B2955" s="71"/>
      <c r="C2955" s="71"/>
      <c r="D2955" s="81"/>
      <c r="E2955" s="71"/>
      <c r="F2955" s="71"/>
      <c r="G2955" s="82" t="str">
        <f aca="false">IF(C2955="","",IFERROR(INDEX('Kit Lists'!$D$6:$D$605,MATCH(B2955&amp;"|"&amp;C2955,'Kit Lists'!$J$6:$J$605,0)),"Not on this contract's kit list"))</f>
        <v/>
      </c>
      <c r="H2955" s="83" t="str">
        <f aca="false">IF(AND(B2955="",C2955="",D2955=""),"",IF(B2955="","Missing contract",IF(C2955="","Missing code",IF(LEFT(G2955,3)="Not","Wrong code",IF(D2955="","Missing qty",IF(A2955="","Missing date",""))))))</f>
        <v/>
      </c>
      <c r="I2955" s="84" t="str">
        <f aca="false">IF(B2955=Dashboard!$D$3,ROW(),"")</f>
        <v/>
      </c>
    </row>
    <row r="2956" customFormat="false" ht="15" hidden="false" customHeight="false" outlineLevel="0" collapsed="false">
      <c r="A2956" s="80"/>
      <c r="B2956" s="71"/>
      <c r="C2956" s="71"/>
      <c r="D2956" s="81"/>
      <c r="E2956" s="71"/>
      <c r="F2956" s="71"/>
      <c r="G2956" s="82" t="str">
        <f aca="false">IF(C2956="","",IFERROR(INDEX('Kit Lists'!$D$6:$D$605,MATCH(B2956&amp;"|"&amp;C2956,'Kit Lists'!$J$6:$J$605,0)),"Not on this contract's kit list"))</f>
        <v/>
      </c>
      <c r="H2956" s="83" t="str">
        <f aca="false">IF(AND(B2956="",C2956="",D2956=""),"",IF(B2956="","Missing contract",IF(C2956="","Missing code",IF(LEFT(G2956,3)="Not","Wrong code",IF(D2956="","Missing qty",IF(A2956="","Missing date",""))))))</f>
        <v/>
      </c>
      <c r="I2956" s="84" t="str">
        <f aca="false">IF(B2956=Dashboard!$D$3,ROW(),"")</f>
        <v/>
      </c>
    </row>
    <row r="2957" customFormat="false" ht="15" hidden="false" customHeight="false" outlineLevel="0" collapsed="false">
      <c r="A2957" s="80"/>
      <c r="B2957" s="71"/>
      <c r="C2957" s="71"/>
      <c r="D2957" s="81"/>
      <c r="E2957" s="71"/>
      <c r="F2957" s="71"/>
      <c r="G2957" s="82" t="str">
        <f aca="false">IF(C2957="","",IFERROR(INDEX('Kit Lists'!$D$6:$D$605,MATCH(B2957&amp;"|"&amp;C2957,'Kit Lists'!$J$6:$J$605,0)),"Not on this contract's kit list"))</f>
        <v/>
      </c>
      <c r="H2957" s="83" t="str">
        <f aca="false">IF(AND(B2957="",C2957="",D2957=""),"",IF(B2957="","Missing contract",IF(C2957="","Missing code",IF(LEFT(G2957,3)="Not","Wrong code",IF(D2957="","Missing qty",IF(A2957="","Missing date",""))))))</f>
        <v/>
      </c>
      <c r="I2957" s="84" t="str">
        <f aca="false">IF(B2957=Dashboard!$D$3,ROW(),"")</f>
        <v/>
      </c>
    </row>
    <row r="2958" customFormat="false" ht="15" hidden="false" customHeight="false" outlineLevel="0" collapsed="false">
      <c r="A2958" s="80"/>
      <c r="B2958" s="71"/>
      <c r="C2958" s="71"/>
      <c r="D2958" s="81"/>
      <c r="E2958" s="71"/>
      <c r="F2958" s="71"/>
      <c r="G2958" s="82" t="str">
        <f aca="false">IF(C2958="","",IFERROR(INDEX('Kit Lists'!$D$6:$D$605,MATCH(B2958&amp;"|"&amp;C2958,'Kit Lists'!$J$6:$J$605,0)),"Not on this contract's kit list"))</f>
        <v/>
      </c>
      <c r="H2958" s="83" t="str">
        <f aca="false">IF(AND(B2958="",C2958="",D2958=""),"",IF(B2958="","Missing contract",IF(C2958="","Missing code",IF(LEFT(G2958,3)="Not","Wrong code",IF(D2958="","Missing qty",IF(A2958="","Missing date",""))))))</f>
        <v/>
      </c>
      <c r="I2958" s="84" t="str">
        <f aca="false">IF(B2958=Dashboard!$D$3,ROW(),"")</f>
        <v/>
      </c>
    </row>
    <row r="2959" customFormat="false" ht="15" hidden="false" customHeight="false" outlineLevel="0" collapsed="false">
      <c r="A2959" s="80"/>
      <c r="B2959" s="71"/>
      <c r="C2959" s="71"/>
      <c r="D2959" s="81"/>
      <c r="E2959" s="71"/>
      <c r="F2959" s="71"/>
      <c r="G2959" s="82" t="str">
        <f aca="false">IF(C2959="","",IFERROR(INDEX('Kit Lists'!$D$6:$D$605,MATCH(B2959&amp;"|"&amp;C2959,'Kit Lists'!$J$6:$J$605,0)),"Not on this contract's kit list"))</f>
        <v/>
      </c>
      <c r="H2959" s="83" t="str">
        <f aca="false">IF(AND(B2959="",C2959="",D2959=""),"",IF(B2959="","Missing contract",IF(C2959="","Missing code",IF(LEFT(G2959,3)="Not","Wrong code",IF(D2959="","Missing qty",IF(A2959="","Missing date",""))))))</f>
        <v/>
      </c>
      <c r="I2959" s="84" t="str">
        <f aca="false">IF(B2959=Dashboard!$D$3,ROW(),"")</f>
        <v/>
      </c>
    </row>
    <row r="2960" customFormat="false" ht="15" hidden="false" customHeight="false" outlineLevel="0" collapsed="false">
      <c r="A2960" s="80"/>
      <c r="B2960" s="71"/>
      <c r="C2960" s="71"/>
      <c r="D2960" s="81"/>
      <c r="E2960" s="71"/>
      <c r="F2960" s="71"/>
      <c r="G2960" s="82" t="str">
        <f aca="false">IF(C2960="","",IFERROR(INDEX('Kit Lists'!$D$6:$D$605,MATCH(B2960&amp;"|"&amp;C2960,'Kit Lists'!$J$6:$J$605,0)),"Not on this contract's kit list"))</f>
        <v/>
      </c>
      <c r="H2960" s="83" t="str">
        <f aca="false">IF(AND(B2960="",C2960="",D2960=""),"",IF(B2960="","Missing contract",IF(C2960="","Missing code",IF(LEFT(G2960,3)="Not","Wrong code",IF(D2960="","Missing qty",IF(A2960="","Missing date",""))))))</f>
        <v/>
      </c>
      <c r="I2960" s="84" t="str">
        <f aca="false">IF(B2960=Dashboard!$D$3,ROW(),"")</f>
        <v/>
      </c>
    </row>
    <row r="2961" customFormat="false" ht="15" hidden="false" customHeight="false" outlineLevel="0" collapsed="false">
      <c r="A2961" s="80"/>
      <c r="B2961" s="71"/>
      <c r="C2961" s="71"/>
      <c r="D2961" s="81"/>
      <c r="E2961" s="71"/>
      <c r="F2961" s="71"/>
      <c r="G2961" s="82" t="str">
        <f aca="false">IF(C2961="","",IFERROR(INDEX('Kit Lists'!$D$6:$D$605,MATCH(B2961&amp;"|"&amp;C2961,'Kit Lists'!$J$6:$J$605,0)),"Not on this contract's kit list"))</f>
        <v/>
      </c>
      <c r="H2961" s="83" t="str">
        <f aca="false">IF(AND(B2961="",C2961="",D2961=""),"",IF(B2961="","Missing contract",IF(C2961="","Missing code",IF(LEFT(G2961,3)="Not","Wrong code",IF(D2961="","Missing qty",IF(A2961="","Missing date",""))))))</f>
        <v/>
      </c>
      <c r="I2961" s="84" t="str">
        <f aca="false">IF(B2961=Dashboard!$D$3,ROW(),"")</f>
        <v/>
      </c>
    </row>
    <row r="2962" customFormat="false" ht="15" hidden="false" customHeight="false" outlineLevel="0" collapsed="false">
      <c r="A2962" s="80"/>
      <c r="B2962" s="71"/>
      <c r="C2962" s="71"/>
      <c r="D2962" s="81"/>
      <c r="E2962" s="71"/>
      <c r="F2962" s="71"/>
      <c r="G2962" s="82" t="str">
        <f aca="false">IF(C2962="","",IFERROR(INDEX('Kit Lists'!$D$6:$D$605,MATCH(B2962&amp;"|"&amp;C2962,'Kit Lists'!$J$6:$J$605,0)),"Not on this contract's kit list"))</f>
        <v/>
      </c>
      <c r="H2962" s="83" t="str">
        <f aca="false">IF(AND(B2962="",C2962="",D2962=""),"",IF(B2962="","Missing contract",IF(C2962="","Missing code",IF(LEFT(G2962,3)="Not","Wrong code",IF(D2962="","Missing qty",IF(A2962="","Missing date",""))))))</f>
        <v/>
      </c>
      <c r="I2962" s="84" t="str">
        <f aca="false">IF(B2962=Dashboard!$D$3,ROW(),"")</f>
        <v/>
      </c>
    </row>
    <row r="2963" customFormat="false" ht="15" hidden="false" customHeight="false" outlineLevel="0" collapsed="false">
      <c r="A2963" s="80"/>
      <c r="B2963" s="71"/>
      <c r="C2963" s="71"/>
      <c r="D2963" s="81"/>
      <c r="E2963" s="71"/>
      <c r="F2963" s="71"/>
      <c r="G2963" s="82" t="str">
        <f aca="false">IF(C2963="","",IFERROR(INDEX('Kit Lists'!$D$6:$D$605,MATCH(B2963&amp;"|"&amp;C2963,'Kit Lists'!$J$6:$J$605,0)),"Not on this contract's kit list"))</f>
        <v/>
      </c>
      <c r="H2963" s="83" t="str">
        <f aca="false">IF(AND(B2963="",C2963="",D2963=""),"",IF(B2963="","Missing contract",IF(C2963="","Missing code",IF(LEFT(G2963,3)="Not","Wrong code",IF(D2963="","Missing qty",IF(A2963="","Missing date",""))))))</f>
        <v/>
      </c>
      <c r="I2963" s="84" t="str">
        <f aca="false">IF(B2963=Dashboard!$D$3,ROW(),"")</f>
        <v/>
      </c>
    </row>
    <row r="2964" customFormat="false" ht="15" hidden="false" customHeight="false" outlineLevel="0" collapsed="false">
      <c r="A2964" s="80"/>
      <c r="B2964" s="71"/>
      <c r="C2964" s="71"/>
      <c r="D2964" s="81"/>
      <c r="E2964" s="71"/>
      <c r="F2964" s="71"/>
      <c r="G2964" s="82" t="str">
        <f aca="false">IF(C2964="","",IFERROR(INDEX('Kit Lists'!$D$6:$D$605,MATCH(B2964&amp;"|"&amp;C2964,'Kit Lists'!$J$6:$J$605,0)),"Not on this contract's kit list"))</f>
        <v/>
      </c>
      <c r="H2964" s="83" t="str">
        <f aca="false">IF(AND(B2964="",C2964="",D2964=""),"",IF(B2964="","Missing contract",IF(C2964="","Missing code",IF(LEFT(G2964,3)="Not","Wrong code",IF(D2964="","Missing qty",IF(A2964="","Missing date",""))))))</f>
        <v/>
      </c>
      <c r="I2964" s="84" t="str">
        <f aca="false">IF(B2964=Dashboard!$D$3,ROW(),"")</f>
        <v/>
      </c>
    </row>
    <row r="2965" customFormat="false" ht="15" hidden="false" customHeight="false" outlineLevel="0" collapsed="false">
      <c r="A2965" s="80"/>
      <c r="B2965" s="71"/>
      <c r="C2965" s="71"/>
      <c r="D2965" s="81"/>
      <c r="E2965" s="71"/>
      <c r="F2965" s="71"/>
      <c r="G2965" s="82" t="str">
        <f aca="false">IF(C2965="","",IFERROR(INDEX('Kit Lists'!$D$6:$D$605,MATCH(B2965&amp;"|"&amp;C2965,'Kit Lists'!$J$6:$J$605,0)),"Not on this contract's kit list"))</f>
        <v/>
      </c>
      <c r="H2965" s="83" t="str">
        <f aca="false">IF(AND(B2965="",C2965="",D2965=""),"",IF(B2965="","Missing contract",IF(C2965="","Missing code",IF(LEFT(G2965,3)="Not","Wrong code",IF(D2965="","Missing qty",IF(A2965="","Missing date",""))))))</f>
        <v/>
      </c>
      <c r="I2965" s="84" t="str">
        <f aca="false">IF(B2965=Dashboard!$D$3,ROW(),"")</f>
        <v/>
      </c>
    </row>
    <row r="2966" customFormat="false" ht="15" hidden="false" customHeight="false" outlineLevel="0" collapsed="false">
      <c r="A2966" s="80"/>
      <c r="B2966" s="71"/>
      <c r="C2966" s="71"/>
      <c r="D2966" s="81"/>
      <c r="E2966" s="71"/>
      <c r="F2966" s="71"/>
      <c r="G2966" s="82" t="str">
        <f aca="false">IF(C2966="","",IFERROR(INDEX('Kit Lists'!$D$6:$D$605,MATCH(B2966&amp;"|"&amp;C2966,'Kit Lists'!$J$6:$J$605,0)),"Not on this contract's kit list"))</f>
        <v/>
      </c>
      <c r="H2966" s="83" t="str">
        <f aca="false">IF(AND(B2966="",C2966="",D2966=""),"",IF(B2966="","Missing contract",IF(C2966="","Missing code",IF(LEFT(G2966,3)="Not","Wrong code",IF(D2966="","Missing qty",IF(A2966="","Missing date",""))))))</f>
        <v/>
      </c>
      <c r="I2966" s="84" t="str">
        <f aca="false">IF(B2966=Dashboard!$D$3,ROW(),"")</f>
        <v/>
      </c>
    </row>
    <row r="2967" customFormat="false" ht="15" hidden="false" customHeight="false" outlineLevel="0" collapsed="false">
      <c r="A2967" s="80"/>
      <c r="B2967" s="71"/>
      <c r="C2967" s="71"/>
      <c r="D2967" s="81"/>
      <c r="E2967" s="71"/>
      <c r="F2967" s="71"/>
      <c r="G2967" s="82" t="str">
        <f aca="false">IF(C2967="","",IFERROR(INDEX('Kit Lists'!$D$6:$D$605,MATCH(B2967&amp;"|"&amp;C2967,'Kit Lists'!$J$6:$J$605,0)),"Not on this contract's kit list"))</f>
        <v/>
      </c>
      <c r="H2967" s="83" t="str">
        <f aca="false">IF(AND(B2967="",C2967="",D2967=""),"",IF(B2967="","Missing contract",IF(C2967="","Missing code",IF(LEFT(G2967,3)="Not","Wrong code",IF(D2967="","Missing qty",IF(A2967="","Missing date",""))))))</f>
        <v/>
      </c>
      <c r="I2967" s="84" t="str">
        <f aca="false">IF(B2967=Dashboard!$D$3,ROW(),"")</f>
        <v/>
      </c>
    </row>
    <row r="2968" customFormat="false" ht="15" hidden="false" customHeight="false" outlineLevel="0" collapsed="false">
      <c r="A2968" s="80"/>
      <c r="B2968" s="71"/>
      <c r="C2968" s="71"/>
      <c r="D2968" s="81"/>
      <c r="E2968" s="71"/>
      <c r="F2968" s="71"/>
      <c r="G2968" s="82" t="str">
        <f aca="false">IF(C2968="","",IFERROR(INDEX('Kit Lists'!$D$6:$D$605,MATCH(B2968&amp;"|"&amp;C2968,'Kit Lists'!$J$6:$J$605,0)),"Not on this contract's kit list"))</f>
        <v/>
      </c>
      <c r="H2968" s="83" t="str">
        <f aca="false">IF(AND(B2968="",C2968="",D2968=""),"",IF(B2968="","Missing contract",IF(C2968="","Missing code",IF(LEFT(G2968,3)="Not","Wrong code",IF(D2968="","Missing qty",IF(A2968="","Missing date",""))))))</f>
        <v/>
      </c>
      <c r="I2968" s="84" t="str">
        <f aca="false">IF(B2968=Dashboard!$D$3,ROW(),"")</f>
        <v/>
      </c>
    </row>
    <row r="2969" customFormat="false" ht="15" hidden="false" customHeight="false" outlineLevel="0" collapsed="false">
      <c r="A2969" s="80"/>
      <c r="B2969" s="71"/>
      <c r="C2969" s="71"/>
      <c r="D2969" s="81"/>
      <c r="E2969" s="71"/>
      <c r="F2969" s="71"/>
      <c r="G2969" s="82" t="str">
        <f aca="false">IF(C2969="","",IFERROR(INDEX('Kit Lists'!$D$6:$D$605,MATCH(B2969&amp;"|"&amp;C2969,'Kit Lists'!$J$6:$J$605,0)),"Not on this contract's kit list"))</f>
        <v/>
      </c>
      <c r="H2969" s="83" t="str">
        <f aca="false">IF(AND(B2969="",C2969="",D2969=""),"",IF(B2969="","Missing contract",IF(C2969="","Missing code",IF(LEFT(G2969,3)="Not","Wrong code",IF(D2969="","Missing qty",IF(A2969="","Missing date",""))))))</f>
        <v/>
      </c>
      <c r="I2969" s="84" t="str">
        <f aca="false">IF(B2969=Dashboard!$D$3,ROW(),"")</f>
        <v/>
      </c>
    </row>
    <row r="2970" customFormat="false" ht="15" hidden="false" customHeight="false" outlineLevel="0" collapsed="false">
      <c r="A2970" s="80"/>
      <c r="B2970" s="71"/>
      <c r="C2970" s="71"/>
      <c r="D2970" s="81"/>
      <c r="E2970" s="71"/>
      <c r="F2970" s="71"/>
      <c r="G2970" s="82" t="str">
        <f aca="false">IF(C2970="","",IFERROR(INDEX('Kit Lists'!$D$6:$D$605,MATCH(B2970&amp;"|"&amp;C2970,'Kit Lists'!$J$6:$J$605,0)),"Not on this contract's kit list"))</f>
        <v/>
      </c>
      <c r="H2970" s="83" t="str">
        <f aca="false">IF(AND(B2970="",C2970="",D2970=""),"",IF(B2970="","Missing contract",IF(C2970="","Missing code",IF(LEFT(G2970,3)="Not","Wrong code",IF(D2970="","Missing qty",IF(A2970="","Missing date",""))))))</f>
        <v/>
      </c>
      <c r="I2970" s="84" t="str">
        <f aca="false">IF(B2970=Dashboard!$D$3,ROW(),"")</f>
        <v/>
      </c>
    </row>
    <row r="2971" customFormat="false" ht="15" hidden="false" customHeight="false" outlineLevel="0" collapsed="false">
      <c r="A2971" s="80"/>
      <c r="B2971" s="71"/>
      <c r="C2971" s="71"/>
      <c r="D2971" s="81"/>
      <c r="E2971" s="71"/>
      <c r="F2971" s="71"/>
      <c r="G2971" s="82" t="str">
        <f aca="false">IF(C2971="","",IFERROR(INDEX('Kit Lists'!$D$6:$D$605,MATCH(B2971&amp;"|"&amp;C2971,'Kit Lists'!$J$6:$J$605,0)),"Not on this contract's kit list"))</f>
        <v/>
      </c>
      <c r="H2971" s="83" t="str">
        <f aca="false">IF(AND(B2971="",C2971="",D2971=""),"",IF(B2971="","Missing contract",IF(C2971="","Missing code",IF(LEFT(G2971,3)="Not","Wrong code",IF(D2971="","Missing qty",IF(A2971="","Missing date",""))))))</f>
        <v/>
      </c>
      <c r="I2971" s="84" t="str">
        <f aca="false">IF(B2971=Dashboard!$D$3,ROW(),"")</f>
        <v/>
      </c>
    </row>
    <row r="2972" customFormat="false" ht="15" hidden="false" customHeight="false" outlineLevel="0" collapsed="false">
      <c r="A2972" s="80"/>
      <c r="B2972" s="71"/>
      <c r="C2972" s="71"/>
      <c r="D2972" s="81"/>
      <c r="E2972" s="71"/>
      <c r="F2972" s="71"/>
      <c r="G2972" s="82" t="str">
        <f aca="false">IF(C2972="","",IFERROR(INDEX('Kit Lists'!$D$6:$D$605,MATCH(B2972&amp;"|"&amp;C2972,'Kit Lists'!$J$6:$J$605,0)),"Not on this contract's kit list"))</f>
        <v/>
      </c>
      <c r="H2972" s="83" t="str">
        <f aca="false">IF(AND(B2972="",C2972="",D2972=""),"",IF(B2972="","Missing contract",IF(C2972="","Missing code",IF(LEFT(G2972,3)="Not","Wrong code",IF(D2972="","Missing qty",IF(A2972="","Missing date",""))))))</f>
        <v/>
      </c>
      <c r="I2972" s="84" t="str">
        <f aca="false">IF(B2972=Dashboard!$D$3,ROW(),"")</f>
        <v/>
      </c>
    </row>
    <row r="2973" customFormat="false" ht="15" hidden="false" customHeight="false" outlineLevel="0" collapsed="false">
      <c r="A2973" s="80"/>
      <c r="B2973" s="71"/>
      <c r="C2973" s="71"/>
      <c r="D2973" s="81"/>
      <c r="E2973" s="71"/>
      <c r="F2973" s="71"/>
      <c r="G2973" s="82" t="str">
        <f aca="false">IF(C2973="","",IFERROR(INDEX('Kit Lists'!$D$6:$D$605,MATCH(B2973&amp;"|"&amp;C2973,'Kit Lists'!$J$6:$J$605,0)),"Not on this contract's kit list"))</f>
        <v/>
      </c>
      <c r="H2973" s="83" t="str">
        <f aca="false">IF(AND(B2973="",C2973="",D2973=""),"",IF(B2973="","Missing contract",IF(C2973="","Missing code",IF(LEFT(G2973,3)="Not","Wrong code",IF(D2973="","Missing qty",IF(A2973="","Missing date",""))))))</f>
        <v/>
      </c>
      <c r="I2973" s="84" t="str">
        <f aca="false">IF(B2973=Dashboard!$D$3,ROW(),"")</f>
        <v/>
      </c>
    </row>
    <row r="2974" customFormat="false" ht="15" hidden="false" customHeight="false" outlineLevel="0" collapsed="false">
      <c r="A2974" s="80"/>
      <c r="B2974" s="71"/>
      <c r="C2974" s="71"/>
      <c r="D2974" s="81"/>
      <c r="E2974" s="71"/>
      <c r="F2974" s="71"/>
      <c r="G2974" s="82" t="str">
        <f aca="false">IF(C2974="","",IFERROR(INDEX('Kit Lists'!$D$6:$D$605,MATCH(B2974&amp;"|"&amp;C2974,'Kit Lists'!$J$6:$J$605,0)),"Not on this contract's kit list"))</f>
        <v/>
      </c>
      <c r="H2974" s="83" t="str">
        <f aca="false">IF(AND(B2974="",C2974="",D2974=""),"",IF(B2974="","Missing contract",IF(C2974="","Missing code",IF(LEFT(G2974,3)="Not","Wrong code",IF(D2974="","Missing qty",IF(A2974="","Missing date",""))))))</f>
        <v/>
      </c>
      <c r="I2974" s="84" t="str">
        <f aca="false">IF(B2974=Dashboard!$D$3,ROW(),"")</f>
        <v/>
      </c>
    </row>
    <row r="2975" customFormat="false" ht="15" hidden="false" customHeight="false" outlineLevel="0" collapsed="false">
      <c r="A2975" s="80"/>
      <c r="B2975" s="71"/>
      <c r="C2975" s="71"/>
      <c r="D2975" s="81"/>
      <c r="E2975" s="71"/>
      <c r="F2975" s="71"/>
      <c r="G2975" s="82" t="str">
        <f aca="false">IF(C2975="","",IFERROR(INDEX('Kit Lists'!$D$6:$D$605,MATCH(B2975&amp;"|"&amp;C2975,'Kit Lists'!$J$6:$J$605,0)),"Not on this contract's kit list"))</f>
        <v/>
      </c>
      <c r="H2975" s="83" t="str">
        <f aca="false">IF(AND(B2975="",C2975="",D2975=""),"",IF(B2975="","Missing contract",IF(C2975="","Missing code",IF(LEFT(G2975,3)="Not","Wrong code",IF(D2975="","Missing qty",IF(A2975="","Missing date",""))))))</f>
        <v/>
      </c>
      <c r="I2975" s="84" t="str">
        <f aca="false">IF(B2975=Dashboard!$D$3,ROW(),"")</f>
        <v/>
      </c>
    </row>
    <row r="2976" customFormat="false" ht="15" hidden="false" customHeight="false" outlineLevel="0" collapsed="false">
      <c r="A2976" s="80"/>
      <c r="B2976" s="71"/>
      <c r="C2976" s="71"/>
      <c r="D2976" s="81"/>
      <c r="E2976" s="71"/>
      <c r="F2976" s="71"/>
      <c r="G2976" s="82" t="str">
        <f aca="false">IF(C2976="","",IFERROR(INDEX('Kit Lists'!$D$6:$D$605,MATCH(B2976&amp;"|"&amp;C2976,'Kit Lists'!$J$6:$J$605,0)),"Not on this contract's kit list"))</f>
        <v/>
      </c>
      <c r="H2976" s="83" t="str">
        <f aca="false">IF(AND(B2976="",C2976="",D2976=""),"",IF(B2976="","Missing contract",IF(C2976="","Missing code",IF(LEFT(G2976,3)="Not","Wrong code",IF(D2976="","Missing qty",IF(A2976="","Missing date",""))))))</f>
        <v/>
      </c>
      <c r="I2976" s="84" t="str">
        <f aca="false">IF(B2976=Dashboard!$D$3,ROW(),"")</f>
        <v/>
      </c>
    </row>
    <row r="2977" customFormat="false" ht="15" hidden="false" customHeight="false" outlineLevel="0" collapsed="false">
      <c r="A2977" s="80"/>
      <c r="B2977" s="71"/>
      <c r="C2977" s="71"/>
      <c r="D2977" s="81"/>
      <c r="E2977" s="71"/>
      <c r="F2977" s="71"/>
      <c r="G2977" s="82" t="str">
        <f aca="false">IF(C2977="","",IFERROR(INDEX('Kit Lists'!$D$6:$D$605,MATCH(B2977&amp;"|"&amp;C2977,'Kit Lists'!$J$6:$J$605,0)),"Not on this contract's kit list"))</f>
        <v/>
      </c>
      <c r="H2977" s="83" t="str">
        <f aca="false">IF(AND(B2977="",C2977="",D2977=""),"",IF(B2977="","Missing contract",IF(C2977="","Missing code",IF(LEFT(G2977,3)="Not","Wrong code",IF(D2977="","Missing qty",IF(A2977="","Missing date",""))))))</f>
        <v/>
      </c>
      <c r="I2977" s="84" t="str">
        <f aca="false">IF(B2977=Dashboard!$D$3,ROW(),"")</f>
        <v/>
      </c>
    </row>
    <row r="2978" customFormat="false" ht="15" hidden="false" customHeight="false" outlineLevel="0" collapsed="false">
      <c r="A2978" s="80"/>
      <c r="B2978" s="71"/>
      <c r="C2978" s="71"/>
      <c r="D2978" s="81"/>
      <c r="E2978" s="71"/>
      <c r="F2978" s="71"/>
      <c r="G2978" s="82" t="str">
        <f aca="false">IF(C2978="","",IFERROR(INDEX('Kit Lists'!$D$6:$D$605,MATCH(B2978&amp;"|"&amp;C2978,'Kit Lists'!$J$6:$J$605,0)),"Not on this contract's kit list"))</f>
        <v/>
      </c>
      <c r="H2978" s="83" t="str">
        <f aca="false">IF(AND(B2978="",C2978="",D2978=""),"",IF(B2978="","Missing contract",IF(C2978="","Missing code",IF(LEFT(G2978,3)="Not","Wrong code",IF(D2978="","Missing qty",IF(A2978="","Missing date",""))))))</f>
        <v/>
      </c>
      <c r="I2978" s="84" t="str">
        <f aca="false">IF(B2978=Dashboard!$D$3,ROW(),"")</f>
        <v/>
      </c>
    </row>
    <row r="2979" customFormat="false" ht="15" hidden="false" customHeight="false" outlineLevel="0" collapsed="false">
      <c r="A2979" s="80"/>
      <c r="B2979" s="71"/>
      <c r="C2979" s="71"/>
      <c r="D2979" s="81"/>
      <c r="E2979" s="71"/>
      <c r="F2979" s="71"/>
      <c r="G2979" s="82" t="str">
        <f aca="false">IF(C2979="","",IFERROR(INDEX('Kit Lists'!$D$6:$D$605,MATCH(B2979&amp;"|"&amp;C2979,'Kit Lists'!$J$6:$J$605,0)),"Not on this contract's kit list"))</f>
        <v/>
      </c>
      <c r="H2979" s="83" t="str">
        <f aca="false">IF(AND(B2979="",C2979="",D2979=""),"",IF(B2979="","Missing contract",IF(C2979="","Missing code",IF(LEFT(G2979,3)="Not","Wrong code",IF(D2979="","Missing qty",IF(A2979="","Missing date",""))))))</f>
        <v/>
      </c>
      <c r="I2979" s="84" t="str">
        <f aca="false">IF(B2979=Dashboard!$D$3,ROW(),"")</f>
        <v/>
      </c>
    </row>
    <row r="2980" customFormat="false" ht="15" hidden="false" customHeight="false" outlineLevel="0" collapsed="false">
      <c r="A2980" s="80"/>
      <c r="B2980" s="71"/>
      <c r="C2980" s="71"/>
      <c r="D2980" s="81"/>
      <c r="E2980" s="71"/>
      <c r="F2980" s="71"/>
      <c r="G2980" s="82" t="str">
        <f aca="false">IF(C2980="","",IFERROR(INDEX('Kit Lists'!$D$6:$D$605,MATCH(B2980&amp;"|"&amp;C2980,'Kit Lists'!$J$6:$J$605,0)),"Not on this contract's kit list"))</f>
        <v/>
      </c>
      <c r="H2980" s="83" t="str">
        <f aca="false">IF(AND(B2980="",C2980="",D2980=""),"",IF(B2980="","Missing contract",IF(C2980="","Missing code",IF(LEFT(G2980,3)="Not","Wrong code",IF(D2980="","Missing qty",IF(A2980="","Missing date",""))))))</f>
        <v/>
      </c>
      <c r="I2980" s="84" t="str">
        <f aca="false">IF(B2980=Dashboard!$D$3,ROW(),"")</f>
        <v/>
      </c>
    </row>
    <row r="2981" customFormat="false" ht="15" hidden="false" customHeight="false" outlineLevel="0" collapsed="false">
      <c r="A2981" s="80"/>
      <c r="B2981" s="71"/>
      <c r="C2981" s="71"/>
      <c r="D2981" s="81"/>
      <c r="E2981" s="71"/>
      <c r="F2981" s="71"/>
      <c r="G2981" s="82" t="str">
        <f aca="false">IF(C2981="","",IFERROR(INDEX('Kit Lists'!$D$6:$D$605,MATCH(B2981&amp;"|"&amp;C2981,'Kit Lists'!$J$6:$J$605,0)),"Not on this contract's kit list"))</f>
        <v/>
      </c>
      <c r="H2981" s="83" t="str">
        <f aca="false">IF(AND(B2981="",C2981="",D2981=""),"",IF(B2981="","Missing contract",IF(C2981="","Missing code",IF(LEFT(G2981,3)="Not","Wrong code",IF(D2981="","Missing qty",IF(A2981="","Missing date",""))))))</f>
        <v/>
      </c>
      <c r="I2981" s="84" t="str">
        <f aca="false">IF(B2981=Dashboard!$D$3,ROW(),"")</f>
        <v/>
      </c>
    </row>
    <row r="2982" customFormat="false" ht="15" hidden="false" customHeight="false" outlineLevel="0" collapsed="false">
      <c r="A2982" s="80"/>
      <c r="B2982" s="71"/>
      <c r="C2982" s="71"/>
      <c r="D2982" s="81"/>
      <c r="E2982" s="71"/>
      <c r="F2982" s="71"/>
      <c r="G2982" s="82" t="str">
        <f aca="false">IF(C2982="","",IFERROR(INDEX('Kit Lists'!$D$6:$D$605,MATCH(B2982&amp;"|"&amp;C2982,'Kit Lists'!$J$6:$J$605,0)),"Not on this contract's kit list"))</f>
        <v/>
      </c>
      <c r="H2982" s="83" t="str">
        <f aca="false">IF(AND(B2982="",C2982="",D2982=""),"",IF(B2982="","Missing contract",IF(C2982="","Missing code",IF(LEFT(G2982,3)="Not","Wrong code",IF(D2982="","Missing qty",IF(A2982="","Missing date",""))))))</f>
        <v/>
      </c>
      <c r="I2982" s="84" t="str">
        <f aca="false">IF(B2982=Dashboard!$D$3,ROW(),"")</f>
        <v/>
      </c>
    </row>
    <row r="2983" customFormat="false" ht="15" hidden="false" customHeight="false" outlineLevel="0" collapsed="false">
      <c r="A2983" s="80"/>
      <c r="B2983" s="71"/>
      <c r="C2983" s="71"/>
      <c r="D2983" s="81"/>
      <c r="E2983" s="71"/>
      <c r="F2983" s="71"/>
      <c r="G2983" s="82" t="str">
        <f aca="false">IF(C2983="","",IFERROR(INDEX('Kit Lists'!$D$6:$D$605,MATCH(B2983&amp;"|"&amp;C2983,'Kit Lists'!$J$6:$J$605,0)),"Not on this contract's kit list"))</f>
        <v/>
      </c>
      <c r="H2983" s="83" t="str">
        <f aca="false">IF(AND(B2983="",C2983="",D2983=""),"",IF(B2983="","Missing contract",IF(C2983="","Missing code",IF(LEFT(G2983,3)="Not","Wrong code",IF(D2983="","Missing qty",IF(A2983="","Missing date",""))))))</f>
        <v/>
      </c>
      <c r="I2983" s="84" t="str">
        <f aca="false">IF(B2983=Dashboard!$D$3,ROW(),"")</f>
        <v/>
      </c>
    </row>
    <row r="2984" customFormat="false" ht="15" hidden="false" customHeight="false" outlineLevel="0" collapsed="false">
      <c r="A2984" s="80"/>
      <c r="B2984" s="71"/>
      <c r="C2984" s="71"/>
      <c r="D2984" s="81"/>
      <c r="E2984" s="71"/>
      <c r="F2984" s="71"/>
      <c r="G2984" s="82" t="str">
        <f aca="false">IF(C2984="","",IFERROR(INDEX('Kit Lists'!$D$6:$D$605,MATCH(B2984&amp;"|"&amp;C2984,'Kit Lists'!$J$6:$J$605,0)),"Not on this contract's kit list"))</f>
        <v/>
      </c>
      <c r="H2984" s="83" t="str">
        <f aca="false">IF(AND(B2984="",C2984="",D2984=""),"",IF(B2984="","Missing contract",IF(C2984="","Missing code",IF(LEFT(G2984,3)="Not","Wrong code",IF(D2984="","Missing qty",IF(A2984="","Missing date",""))))))</f>
        <v/>
      </c>
      <c r="I2984" s="84" t="str">
        <f aca="false">IF(B2984=Dashboard!$D$3,ROW(),"")</f>
        <v/>
      </c>
    </row>
    <row r="2985" customFormat="false" ht="15" hidden="false" customHeight="false" outlineLevel="0" collapsed="false">
      <c r="A2985" s="80"/>
      <c r="B2985" s="71"/>
      <c r="C2985" s="71"/>
      <c r="D2985" s="81"/>
      <c r="E2985" s="71"/>
      <c r="F2985" s="71"/>
      <c r="G2985" s="82" t="str">
        <f aca="false">IF(C2985="","",IFERROR(INDEX('Kit Lists'!$D$6:$D$605,MATCH(B2985&amp;"|"&amp;C2985,'Kit Lists'!$J$6:$J$605,0)),"Not on this contract's kit list"))</f>
        <v/>
      </c>
      <c r="H2985" s="83" t="str">
        <f aca="false">IF(AND(B2985="",C2985="",D2985=""),"",IF(B2985="","Missing contract",IF(C2985="","Missing code",IF(LEFT(G2985,3)="Not","Wrong code",IF(D2985="","Missing qty",IF(A2985="","Missing date",""))))))</f>
        <v/>
      </c>
      <c r="I2985" s="84" t="str">
        <f aca="false">IF(B2985=Dashboard!$D$3,ROW(),"")</f>
        <v/>
      </c>
    </row>
    <row r="2986" customFormat="false" ht="15" hidden="false" customHeight="false" outlineLevel="0" collapsed="false">
      <c r="A2986" s="80"/>
      <c r="B2986" s="71"/>
      <c r="C2986" s="71"/>
      <c r="D2986" s="81"/>
      <c r="E2986" s="71"/>
      <c r="F2986" s="71"/>
      <c r="G2986" s="82" t="str">
        <f aca="false">IF(C2986="","",IFERROR(INDEX('Kit Lists'!$D$6:$D$605,MATCH(B2986&amp;"|"&amp;C2986,'Kit Lists'!$J$6:$J$605,0)),"Not on this contract's kit list"))</f>
        <v/>
      </c>
      <c r="H2986" s="83" t="str">
        <f aca="false">IF(AND(B2986="",C2986="",D2986=""),"",IF(B2986="","Missing contract",IF(C2986="","Missing code",IF(LEFT(G2986,3)="Not","Wrong code",IF(D2986="","Missing qty",IF(A2986="","Missing date",""))))))</f>
        <v/>
      </c>
      <c r="I2986" s="84" t="str">
        <f aca="false">IF(B2986=Dashboard!$D$3,ROW(),"")</f>
        <v/>
      </c>
    </row>
    <row r="2987" customFormat="false" ht="15" hidden="false" customHeight="false" outlineLevel="0" collapsed="false">
      <c r="A2987" s="80"/>
      <c r="B2987" s="71"/>
      <c r="C2987" s="71"/>
      <c r="D2987" s="81"/>
      <c r="E2987" s="71"/>
      <c r="F2987" s="71"/>
      <c r="G2987" s="82" t="str">
        <f aca="false">IF(C2987="","",IFERROR(INDEX('Kit Lists'!$D$6:$D$605,MATCH(B2987&amp;"|"&amp;C2987,'Kit Lists'!$J$6:$J$605,0)),"Not on this contract's kit list"))</f>
        <v/>
      </c>
      <c r="H2987" s="83" t="str">
        <f aca="false">IF(AND(B2987="",C2987="",D2987=""),"",IF(B2987="","Missing contract",IF(C2987="","Missing code",IF(LEFT(G2987,3)="Not","Wrong code",IF(D2987="","Missing qty",IF(A2987="","Missing date",""))))))</f>
        <v/>
      </c>
      <c r="I2987" s="84" t="str">
        <f aca="false">IF(B2987=Dashboard!$D$3,ROW(),"")</f>
        <v/>
      </c>
    </row>
    <row r="2988" customFormat="false" ht="15" hidden="false" customHeight="false" outlineLevel="0" collapsed="false">
      <c r="A2988" s="80"/>
      <c r="B2988" s="71"/>
      <c r="C2988" s="71"/>
      <c r="D2988" s="81"/>
      <c r="E2988" s="71"/>
      <c r="F2988" s="71"/>
      <c r="G2988" s="82" t="str">
        <f aca="false">IF(C2988="","",IFERROR(INDEX('Kit Lists'!$D$6:$D$605,MATCH(B2988&amp;"|"&amp;C2988,'Kit Lists'!$J$6:$J$605,0)),"Not on this contract's kit list"))</f>
        <v/>
      </c>
      <c r="H2988" s="83" t="str">
        <f aca="false">IF(AND(B2988="",C2988="",D2988=""),"",IF(B2988="","Missing contract",IF(C2988="","Missing code",IF(LEFT(G2988,3)="Not","Wrong code",IF(D2988="","Missing qty",IF(A2988="","Missing date",""))))))</f>
        <v/>
      </c>
      <c r="I2988" s="84" t="str">
        <f aca="false">IF(B2988=Dashboard!$D$3,ROW(),"")</f>
        <v/>
      </c>
    </row>
    <row r="2989" customFormat="false" ht="15" hidden="false" customHeight="false" outlineLevel="0" collapsed="false">
      <c r="A2989" s="80"/>
      <c r="B2989" s="71"/>
      <c r="C2989" s="71"/>
      <c r="D2989" s="81"/>
      <c r="E2989" s="71"/>
      <c r="F2989" s="71"/>
      <c r="G2989" s="82" t="str">
        <f aca="false">IF(C2989="","",IFERROR(INDEX('Kit Lists'!$D$6:$D$605,MATCH(B2989&amp;"|"&amp;C2989,'Kit Lists'!$J$6:$J$605,0)),"Not on this contract's kit list"))</f>
        <v/>
      </c>
      <c r="H2989" s="83" t="str">
        <f aca="false">IF(AND(B2989="",C2989="",D2989=""),"",IF(B2989="","Missing contract",IF(C2989="","Missing code",IF(LEFT(G2989,3)="Not","Wrong code",IF(D2989="","Missing qty",IF(A2989="","Missing date",""))))))</f>
        <v/>
      </c>
      <c r="I2989" s="84" t="str">
        <f aca="false">IF(B2989=Dashboard!$D$3,ROW(),"")</f>
        <v/>
      </c>
    </row>
    <row r="2990" customFormat="false" ht="15" hidden="false" customHeight="false" outlineLevel="0" collapsed="false">
      <c r="A2990" s="80"/>
      <c r="B2990" s="71"/>
      <c r="C2990" s="71"/>
      <c r="D2990" s="81"/>
      <c r="E2990" s="71"/>
      <c r="F2990" s="71"/>
      <c r="G2990" s="82" t="str">
        <f aca="false">IF(C2990="","",IFERROR(INDEX('Kit Lists'!$D$6:$D$605,MATCH(B2990&amp;"|"&amp;C2990,'Kit Lists'!$J$6:$J$605,0)),"Not on this contract's kit list"))</f>
        <v/>
      </c>
      <c r="H2990" s="83" t="str">
        <f aca="false">IF(AND(B2990="",C2990="",D2990=""),"",IF(B2990="","Missing contract",IF(C2990="","Missing code",IF(LEFT(G2990,3)="Not","Wrong code",IF(D2990="","Missing qty",IF(A2990="","Missing date",""))))))</f>
        <v/>
      </c>
      <c r="I2990" s="84" t="str">
        <f aca="false">IF(B2990=Dashboard!$D$3,ROW(),"")</f>
        <v/>
      </c>
    </row>
    <row r="2991" customFormat="false" ht="15" hidden="false" customHeight="false" outlineLevel="0" collapsed="false">
      <c r="A2991" s="80"/>
      <c r="B2991" s="71"/>
      <c r="C2991" s="71"/>
      <c r="D2991" s="81"/>
      <c r="E2991" s="71"/>
      <c r="F2991" s="71"/>
      <c r="G2991" s="82" t="str">
        <f aca="false">IF(C2991="","",IFERROR(INDEX('Kit Lists'!$D$6:$D$605,MATCH(B2991&amp;"|"&amp;C2991,'Kit Lists'!$J$6:$J$605,0)),"Not on this contract's kit list"))</f>
        <v/>
      </c>
      <c r="H2991" s="83" t="str">
        <f aca="false">IF(AND(B2991="",C2991="",D2991=""),"",IF(B2991="","Missing contract",IF(C2991="","Missing code",IF(LEFT(G2991,3)="Not","Wrong code",IF(D2991="","Missing qty",IF(A2991="","Missing date",""))))))</f>
        <v/>
      </c>
      <c r="I2991" s="84" t="str">
        <f aca="false">IF(B2991=Dashboard!$D$3,ROW(),"")</f>
        <v/>
      </c>
    </row>
    <row r="2992" customFormat="false" ht="15" hidden="false" customHeight="false" outlineLevel="0" collapsed="false">
      <c r="A2992" s="80"/>
      <c r="B2992" s="71"/>
      <c r="C2992" s="71"/>
      <c r="D2992" s="81"/>
      <c r="E2992" s="71"/>
      <c r="F2992" s="71"/>
      <c r="G2992" s="82" t="str">
        <f aca="false">IF(C2992="","",IFERROR(INDEX('Kit Lists'!$D$6:$D$605,MATCH(B2992&amp;"|"&amp;C2992,'Kit Lists'!$J$6:$J$605,0)),"Not on this contract's kit list"))</f>
        <v/>
      </c>
      <c r="H2992" s="83" t="str">
        <f aca="false">IF(AND(B2992="",C2992="",D2992=""),"",IF(B2992="","Missing contract",IF(C2992="","Missing code",IF(LEFT(G2992,3)="Not","Wrong code",IF(D2992="","Missing qty",IF(A2992="","Missing date",""))))))</f>
        <v/>
      </c>
      <c r="I2992" s="84" t="str">
        <f aca="false">IF(B2992=Dashboard!$D$3,ROW(),"")</f>
        <v/>
      </c>
    </row>
    <row r="2993" customFormat="false" ht="15" hidden="false" customHeight="false" outlineLevel="0" collapsed="false">
      <c r="A2993" s="80"/>
      <c r="B2993" s="71"/>
      <c r="C2993" s="71"/>
      <c r="D2993" s="81"/>
      <c r="E2993" s="71"/>
      <c r="F2993" s="71"/>
      <c r="G2993" s="82" t="str">
        <f aca="false">IF(C2993="","",IFERROR(INDEX('Kit Lists'!$D$6:$D$605,MATCH(B2993&amp;"|"&amp;C2993,'Kit Lists'!$J$6:$J$605,0)),"Not on this contract's kit list"))</f>
        <v/>
      </c>
      <c r="H2993" s="83" t="str">
        <f aca="false">IF(AND(B2993="",C2993="",D2993=""),"",IF(B2993="","Missing contract",IF(C2993="","Missing code",IF(LEFT(G2993,3)="Not","Wrong code",IF(D2993="","Missing qty",IF(A2993="","Missing date",""))))))</f>
        <v/>
      </c>
      <c r="I2993" s="84" t="str">
        <f aca="false">IF(B2993=Dashboard!$D$3,ROW(),"")</f>
        <v/>
      </c>
    </row>
    <row r="2994" customFormat="false" ht="15" hidden="false" customHeight="false" outlineLevel="0" collapsed="false">
      <c r="A2994" s="80"/>
      <c r="B2994" s="71"/>
      <c r="C2994" s="71"/>
      <c r="D2994" s="81"/>
      <c r="E2994" s="71"/>
      <c r="F2994" s="71"/>
      <c r="G2994" s="82" t="str">
        <f aca="false">IF(C2994="","",IFERROR(INDEX('Kit Lists'!$D$6:$D$605,MATCH(B2994&amp;"|"&amp;C2994,'Kit Lists'!$J$6:$J$605,0)),"Not on this contract's kit list"))</f>
        <v/>
      </c>
      <c r="H2994" s="83" t="str">
        <f aca="false">IF(AND(B2994="",C2994="",D2994=""),"",IF(B2994="","Missing contract",IF(C2994="","Missing code",IF(LEFT(G2994,3)="Not","Wrong code",IF(D2994="","Missing qty",IF(A2994="","Missing date",""))))))</f>
        <v/>
      </c>
      <c r="I2994" s="84" t="str">
        <f aca="false">IF(B2994=Dashboard!$D$3,ROW(),"")</f>
        <v/>
      </c>
    </row>
    <row r="2995" customFormat="false" ht="15" hidden="false" customHeight="false" outlineLevel="0" collapsed="false">
      <c r="A2995" s="80"/>
      <c r="B2995" s="71"/>
      <c r="C2995" s="71"/>
      <c r="D2995" s="81"/>
      <c r="E2995" s="71"/>
      <c r="F2995" s="71"/>
      <c r="G2995" s="82" t="str">
        <f aca="false">IF(C2995="","",IFERROR(INDEX('Kit Lists'!$D$6:$D$605,MATCH(B2995&amp;"|"&amp;C2995,'Kit Lists'!$J$6:$J$605,0)),"Not on this contract's kit list"))</f>
        <v/>
      </c>
      <c r="H2995" s="83" t="str">
        <f aca="false">IF(AND(B2995="",C2995="",D2995=""),"",IF(B2995="","Missing contract",IF(C2995="","Missing code",IF(LEFT(G2995,3)="Not","Wrong code",IF(D2995="","Missing qty",IF(A2995="","Missing date",""))))))</f>
        <v/>
      </c>
      <c r="I2995" s="84" t="str">
        <f aca="false">IF(B2995=Dashboard!$D$3,ROW(),"")</f>
        <v/>
      </c>
    </row>
    <row r="2996" customFormat="false" ht="15" hidden="false" customHeight="false" outlineLevel="0" collapsed="false">
      <c r="A2996" s="80"/>
      <c r="B2996" s="71"/>
      <c r="C2996" s="71"/>
      <c r="D2996" s="81"/>
      <c r="E2996" s="71"/>
      <c r="F2996" s="71"/>
      <c r="G2996" s="82" t="str">
        <f aca="false">IF(C2996="","",IFERROR(INDEX('Kit Lists'!$D$6:$D$605,MATCH(B2996&amp;"|"&amp;C2996,'Kit Lists'!$J$6:$J$605,0)),"Not on this contract's kit list"))</f>
        <v/>
      </c>
      <c r="H2996" s="83" t="str">
        <f aca="false">IF(AND(B2996="",C2996="",D2996=""),"",IF(B2996="","Missing contract",IF(C2996="","Missing code",IF(LEFT(G2996,3)="Not","Wrong code",IF(D2996="","Missing qty",IF(A2996="","Missing date",""))))))</f>
        <v/>
      </c>
      <c r="I2996" s="84" t="str">
        <f aca="false">IF(B2996=Dashboard!$D$3,ROW(),"")</f>
        <v/>
      </c>
    </row>
    <row r="2997" customFormat="false" ht="15" hidden="false" customHeight="false" outlineLevel="0" collapsed="false">
      <c r="A2997" s="80"/>
      <c r="B2997" s="71"/>
      <c r="C2997" s="71"/>
      <c r="D2997" s="81"/>
      <c r="E2997" s="71"/>
      <c r="F2997" s="71"/>
      <c r="G2997" s="82" t="str">
        <f aca="false">IF(C2997="","",IFERROR(INDEX('Kit Lists'!$D$6:$D$605,MATCH(B2997&amp;"|"&amp;C2997,'Kit Lists'!$J$6:$J$605,0)),"Not on this contract's kit list"))</f>
        <v/>
      </c>
      <c r="H2997" s="83" t="str">
        <f aca="false">IF(AND(B2997="",C2997="",D2997=""),"",IF(B2997="","Missing contract",IF(C2997="","Missing code",IF(LEFT(G2997,3)="Not","Wrong code",IF(D2997="","Missing qty",IF(A2997="","Missing date",""))))))</f>
        <v/>
      </c>
      <c r="I2997" s="84" t="str">
        <f aca="false">IF(B2997=Dashboard!$D$3,ROW(),"")</f>
        <v/>
      </c>
    </row>
    <row r="2998" customFormat="false" ht="15" hidden="false" customHeight="false" outlineLevel="0" collapsed="false">
      <c r="A2998" s="80"/>
      <c r="B2998" s="71"/>
      <c r="C2998" s="71"/>
      <c r="D2998" s="81"/>
      <c r="E2998" s="71"/>
      <c r="F2998" s="71"/>
      <c r="G2998" s="82" t="str">
        <f aca="false">IF(C2998="","",IFERROR(INDEX('Kit Lists'!$D$6:$D$605,MATCH(B2998&amp;"|"&amp;C2998,'Kit Lists'!$J$6:$J$605,0)),"Not on this contract's kit list"))</f>
        <v/>
      </c>
      <c r="H2998" s="83" t="str">
        <f aca="false">IF(AND(B2998="",C2998="",D2998=""),"",IF(B2998="","Missing contract",IF(C2998="","Missing code",IF(LEFT(G2998,3)="Not","Wrong code",IF(D2998="","Missing qty",IF(A2998="","Missing date",""))))))</f>
        <v/>
      </c>
      <c r="I2998" s="84" t="str">
        <f aca="false">IF(B2998=Dashboard!$D$3,ROW(),"")</f>
        <v/>
      </c>
    </row>
    <row r="2999" customFormat="false" ht="15" hidden="false" customHeight="false" outlineLevel="0" collapsed="false">
      <c r="A2999" s="80"/>
      <c r="B2999" s="71"/>
      <c r="C2999" s="71"/>
      <c r="D2999" s="81"/>
      <c r="E2999" s="71"/>
      <c r="F2999" s="71"/>
      <c r="G2999" s="82" t="str">
        <f aca="false">IF(C2999="","",IFERROR(INDEX('Kit Lists'!$D$6:$D$605,MATCH(B2999&amp;"|"&amp;C2999,'Kit Lists'!$J$6:$J$605,0)),"Not on this contract's kit list"))</f>
        <v/>
      </c>
      <c r="H2999" s="83" t="str">
        <f aca="false">IF(AND(B2999="",C2999="",D2999=""),"",IF(B2999="","Missing contract",IF(C2999="","Missing code",IF(LEFT(G2999,3)="Not","Wrong code",IF(D2999="","Missing qty",IF(A2999="","Missing date",""))))))</f>
        <v/>
      </c>
      <c r="I2999" s="84" t="str">
        <f aca="false">IF(B2999=Dashboard!$D$3,ROW(),"")</f>
        <v/>
      </c>
    </row>
    <row r="3000" customFormat="false" ht="15" hidden="false" customHeight="false" outlineLevel="0" collapsed="false">
      <c r="A3000" s="80"/>
      <c r="B3000" s="71"/>
      <c r="C3000" s="71"/>
      <c r="D3000" s="81"/>
      <c r="E3000" s="71"/>
      <c r="F3000" s="71"/>
      <c r="G3000" s="82" t="str">
        <f aca="false">IF(C3000="","",IFERROR(INDEX('Kit Lists'!$D$6:$D$605,MATCH(B3000&amp;"|"&amp;C3000,'Kit Lists'!$J$6:$J$605,0)),"Not on this contract's kit list"))</f>
        <v/>
      </c>
      <c r="H3000" s="83" t="str">
        <f aca="false">IF(AND(B3000="",C3000="",D3000=""),"",IF(B3000="","Missing contract",IF(C3000="","Missing code",IF(LEFT(G3000,3)="Not","Wrong code",IF(D3000="","Missing qty",IF(A3000="","Missing date",""))))))</f>
        <v/>
      </c>
      <c r="I3000" s="84" t="str">
        <f aca="false">IF(B3000=Dashboard!$D$3,ROW(),"")</f>
        <v/>
      </c>
    </row>
    <row r="3001" customFormat="false" ht="15" hidden="false" customHeight="false" outlineLevel="0" collapsed="false">
      <c r="A3001" s="80"/>
      <c r="B3001" s="71"/>
      <c r="C3001" s="71"/>
      <c r="D3001" s="81"/>
      <c r="E3001" s="71"/>
      <c r="F3001" s="71"/>
      <c r="G3001" s="82" t="str">
        <f aca="false">IF(C3001="","",IFERROR(INDEX('Kit Lists'!$D$6:$D$605,MATCH(B3001&amp;"|"&amp;C3001,'Kit Lists'!$J$6:$J$605,0)),"Not on this contract's kit list"))</f>
        <v/>
      </c>
      <c r="H3001" s="83" t="str">
        <f aca="false">IF(AND(B3001="",C3001="",D3001=""),"",IF(B3001="","Missing contract",IF(C3001="","Missing code",IF(LEFT(G3001,3)="Not","Wrong code",IF(D3001="","Missing qty",IF(A3001="","Missing date",""))))))</f>
        <v/>
      </c>
      <c r="I3001" s="84" t="str">
        <f aca="false">IF(B3001=Dashboard!$D$3,ROW(),"")</f>
        <v/>
      </c>
    </row>
    <row r="3002" customFormat="false" ht="15" hidden="false" customHeight="false" outlineLevel="0" collapsed="false">
      <c r="A3002" s="80"/>
      <c r="B3002" s="71"/>
      <c r="C3002" s="71"/>
      <c r="D3002" s="81"/>
      <c r="E3002" s="71"/>
      <c r="F3002" s="71"/>
      <c r="G3002" s="82" t="str">
        <f aca="false">IF(C3002="","",IFERROR(INDEX('Kit Lists'!$D$6:$D$605,MATCH(B3002&amp;"|"&amp;C3002,'Kit Lists'!$J$6:$J$605,0)),"Not on this contract's kit list"))</f>
        <v/>
      </c>
      <c r="H3002" s="83" t="str">
        <f aca="false">IF(AND(B3002="",C3002="",D3002=""),"",IF(B3002="","Missing contract",IF(C3002="","Missing code",IF(LEFT(G3002,3)="Not","Wrong code",IF(D3002="","Missing qty",IF(A3002="","Missing date",""))))))</f>
        <v/>
      </c>
      <c r="I3002" s="84" t="str">
        <f aca="false">IF(B3002=Dashboard!$D$3,ROW(),"")</f>
        <v/>
      </c>
    </row>
    <row r="3003" customFormat="false" ht="15" hidden="false" customHeight="false" outlineLevel="0" collapsed="false">
      <c r="A3003" s="80"/>
      <c r="B3003" s="71"/>
      <c r="C3003" s="71"/>
      <c r="D3003" s="81"/>
      <c r="E3003" s="71"/>
      <c r="F3003" s="71"/>
      <c r="G3003" s="82" t="str">
        <f aca="false">IF(C3003="","",IFERROR(INDEX('Kit Lists'!$D$6:$D$605,MATCH(B3003&amp;"|"&amp;C3003,'Kit Lists'!$J$6:$J$605,0)),"Not on this contract's kit list"))</f>
        <v/>
      </c>
      <c r="H3003" s="83" t="str">
        <f aca="false">IF(AND(B3003="",C3003="",D3003=""),"",IF(B3003="","Missing contract",IF(C3003="","Missing code",IF(LEFT(G3003,3)="Not","Wrong code",IF(D3003="","Missing qty",IF(A3003="","Missing date",""))))))</f>
        <v/>
      </c>
      <c r="I3003" s="84" t="str">
        <f aca="false">IF(B3003=Dashboard!$D$3,ROW(),"")</f>
        <v/>
      </c>
    </row>
    <row r="3004" customFormat="false" ht="15" hidden="false" customHeight="false" outlineLevel="0" collapsed="false">
      <c r="A3004" s="80"/>
      <c r="B3004" s="71"/>
      <c r="C3004" s="71"/>
      <c r="D3004" s="81"/>
      <c r="E3004" s="71"/>
      <c r="F3004" s="71"/>
      <c r="G3004" s="82" t="str">
        <f aca="false">IF(C3004="","",IFERROR(INDEX('Kit Lists'!$D$6:$D$605,MATCH(B3004&amp;"|"&amp;C3004,'Kit Lists'!$J$6:$J$605,0)),"Not on this contract's kit list"))</f>
        <v/>
      </c>
      <c r="H3004" s="83" t="str">
        <f aca="false">IF(AND(B3004="",C3004="",D3004=""),"",IF(B3004="","Missing contract",IF(C3004="","Missing code",IF(LEFT(G3004,3)="Not","Wrong code",IF(D3004="","Missing qty",IF(A3004="","Missing date",""))))))</f>
        <v/>
      </c>
      <c r="I3004" s="84" t="str">
        <f aca="false">IF(B3004=Dashboard!$D$3,ROW(),"")</f>
        <v/>
      </c>
    </row>
    <row r="3005" customFormat="false" ht="15" hidden="false" customHeight="false" outlineLevel="0" collapsed="false">
      <c r="A3005" s="80"/>
      <c r="B3005" s="71"/>
      <c r="C3005" s="71"/>
      <c r="D3005" s="81"/>
      <c r="E3005" s="71"/>
      <c r="F3005" s="71"/>
      <c r="G3005" s="82" t="str">
        <f aca="false">IF(C3005="","",IFERROR(INDEX('Kit Lists'!$D$6:$D$605,MATCH(B3005&amp;"|"&amp;C3005,'Kit Lists'!$J$6:$J$605,0)),"Not on this contract's kit list"))</f>
        <v/>
      </c>
      <c r="H3005" s="83" t="str">
        <f aca="false">IF(AND(B3005="",C3005="",D3005=""),"",IF(B3005="","Missing contract",IF(C3005="","Missing code",IF(LEFT(G3005,3)="Not","Wrong code",IF(D3005="","Missing qty",IF(A3005="","Missing date",""))))))</f>
        <v/>
      </c>
      <c r="I3005" s="84" t="str">
        <f aca="false">IF(B3005=Dashboard!$D$3,ROW(),"")</f>
        <v/>
      </c>
    </row>
    <row r="3006" customFormat="false" ht="15" hidden="false" customHeight="false" outlineLevel="0" collapsed="false">
      <c r="A3006" s="80"/>
      <c r="B3006" s="71"/>
      <c r="C3006" s="71"/>
      <c r="D3006" s="81"/>
      <c r="E3006" s="71"/>
      <c r="F3006" s="71"/>
      <c r="G3006" s="82" t="str">
        <f aca="false">IF(C3006="","",IFERROR(INDEX('Kit Lists'!$D$6:$D$605,MATCH(B3006&amp;"|"&amp;C3006,'Kit Lists'!$J$6:$J$605,0)),"Not on this contract's kit list"))</f>
        <v/>
      </c>
      <c r="H3006" s="83" t="str">
        <f aca="false">IF(AND(B3006="",C3006="",D3006=""),"",IF(B3006="","Missing contract",IF(C3006="","Missing code",IF(LEFT(G3006,3)="Not","Wrong code",IF(D3006="","Missing qty",IF(A3006="","Missing date",""))))))</f>
        <v/>
      </c>
      <c r="I3006" s="84" t="str">
        <f aca="false">IF(B3006=Dashboard!$D$3,ROW(),"")</f>
        <v/>
      </c>
    </row>
    <row r="3007" customFormat="false" ht="15" hidden="false" customHeight="false" outlineLevel="0" collapsed="false">
      <c r="A3007" s="80"/>
      <c r="B3007" s="71"/>
      <c r="C3007" s="71"/>
      <c r="D3007" s="81"/>
      <c r="E3007" s="71"/>
      <c r="F3007" s="71"/>
      <c r="G3007" s="82" t="str">
        <f aca="false">IF(C3007="","",IFERROR(INDEX('Kit Lists'!$D$6:$D$605,MATCH(B3007&amp;"|"&amp;C3007,'Kit Lists'!$J$6:$J$605,0)),"Not on this contract's kit list"))</f>
        <v/>
      </c>
      <c r="H3007" s="83" t="str">
        <f aca="false">IF(AND(B3007="",C3007="",D3007=""),"",IF(B3007="","Missing contract",IF(C3007="","Missing code",IF(LEFT(G3007,3)="Not","Wrong code",IF(D3007="","Missing qty",IF(A3007="","Missing date",""))))))</f>
        <v/>
      </c>
      <c r="I3007" s="84" t="str">
        <f aca="false">IF(B3007=Dashboard!$D$3,ROW(),"")</f>
        <v/>
      </c>
    </row>
    <row r="3008" customFormat="false" ht="15" hidden="false" customHeight="false" outlineLevel="0" collapsed="false">
      <c r="A3008" s="80"/>
      <c r="B3008" s="71"/>
      <c r="C3008" s="71"/>
      <c r="D3008" s="81"/>
      <c r="E3008" s="71"/>
      <c r="F3008" s="71"/>
      <c r="G3008" s="82" t="str">
        <f aca="false">IF(C3008="","",IFERROR(INDEX('Kit Lists'!$D$6:$D$605,MATCH(B3008&amp;"|"&amp;C3008,'Kit Lists'!$J$6:$J$605,0)),"Not on this contract's kit list"))</f>
        <v/>
      </c>
      <c r="H3008" s="83" t="str">
        <f aca="false">IF(AND(B3008="",C3008="",D3008=""),"",IF(B3008="","Missing contract",IF(C3008="","Missing code",IF(LEFT(G3008,3)="Not","Wrong code",IF(D3008="","Missing qty",IF(A3008="","Missing date",""))))))</f>
        <v/>
      </c>
      <c r="I3008" s="84" t="str">
        <f aca="false">IF(B3008=Dashboard!$D$3,ROW(),"")</f>
        <v/>
      </c>
    </row>
    <row r="3009" customFormat="false" ht="15" hidden="false" customHeight="false" outlineLevel="0" collapsed="false">
      <c r="A3009" s="80"/>
      <c r="B3009" s="71"/>
      <c r="C3009" s="71"/>
      <c r="D3009" s="81"/>
      <c r="E3009" s="71"/>
      <c r="F3009" s="71"/>
      <c r="G3009" s="82" t="str">
        <f aca="false">IF(C3009="","",IFERROR(INDEX('Kit Lists'!$D$6:$D$605,MATCH(B3009&amp;"|"&amp;C3009,'Kit Lists'!$J$6:$J$605,0)),"Not on this contract's kit list"))</f>
        <v/>
      </c>
      <c r="H3009" s="83" t="str">
        <f aca="false">IF(AND(B3009="",C3009="",D3009=""),"",IF(B3009="","Missing contract",IF(C3009="","Missing code",IF(LEFT(G3009,3)="Not","Wrong code",IF(D3009="","Missing qty",IF(A3009="","Missing date",""))))))</f>
        <v/>
      </c>
      <c r="I3009" s="84" t="str">
        <f aca="false">IF(B3009=Dashboard!$D$3,ROW(),"")</f>
        <v/>
      </c>
    </row>
    <row r="3010" customFormat="false" ht="15" hidden="false" customHeight="false" outlineLevel="0" collapsed="false">
      <c r="A3010" s="80"/>
      <c r="B3010" s="71"/>
      <c r="C3010" s="71"/>
      <c r="D3010" s="81"/>
      <c r="E3010" s="71"/>
      <c r="F3010" s="71"/>
      <c r="G3010" s="82" t="str">
        <f aca="false">IF(C3010="","",IFERROR(INDEX('Kit Lists'!$D$6:$D$605,MATCH(B3010&amp;"|"&amp;C3010,'Kit Lists'!$J$6:$J$605,0)),"Not on this contract's kit list"))</f>
        <v/>
      </c>
      <c r="H3010" s="83" t="str">
        <f aca="false">IF(AND(B3010="",C3010="",D3010=""),"",IF(B3010="","Missing contract",IF(C3010="","Missing code",IF(LEFT(G3010,3)="Not","Wrong code",IF(D3010="","Missing qty",IF(A3010="","Missing date",""))))))</f>
        <v/>
      </c>
      <c r="I3010" s="84" t="str">
        <f aca="false">IF(B3010=Dashboard!$D$3,ROW(),"")</f>
        <v/>
      </c>
    </row>
    <row r="3011" customFormat="false" ht="15" hidden="false" customHeight="false" outlineLevel="0" collapsed="false">
      <c r="A3011" s="80"/>
      <c r="B3011" s="71"/>
      <c r="C3011" s="71"/>
      <c r="D3011" s="81"/>
      <c r="E3011" s="71"/>
      <c r="F3011" s="71"/>
      <c r="G3011" s="82" t="str">
        <f aca="false">IF(C3011="","",IFERROR(INDEX('Kit Lists'!$D$6:$D$605,MATCH(B3011&amp;"|"&amp;C3011,'Kit Lists'!$J$6:$J$605,0)),"Not on this contract's kit list"))</f>
        <v/>
      </c>
      <c r="H3011" s="83" t="str">
        <f aca="false">IF(AND(B3011="",C3011="",D3011=""),"",IF(B3011="","Missing contract",IF(C3011="","Missing code",IF(LEFT(G3011,3)="Not","Wrong code",IF(D3011="","Missing qty",IF(A3011="","Missing date",""))))))</f>
        <v/>
      </c>
      <c r="I3011" s="84" t="str">
        <f aca="false">IF(B3011=Dashboard!$D$3,ROW(),"")</f>
        <v/>
      </c>
    </row>
    <row r="3012" customFormat="false" ht="15" hidden="false" customHeight="false" outlineLevel="0" collapsed="false">
      <c r="A3012" s="80"/>
      <c r="B3012" s="71"/>
      <c r="C3012" s="71"/>
      <c r="D3012" s="81"/>
      <c r="E3012" s="71"/>
      <c r="F3012" s="71"/>
      <c r="G3012" s="82" t="str">
        <f aca="false">IF(C3012="","",IFERROR(INDEX('Kit Lists'!$D$6:$D$605,MATCH(B3012&amp;"|"&amp;C3012,'Kit Lists'!$J$6:$J$605,0)),"Not on this contract's kit list"))</f>
        <v/>
      </c>
      <c r="H3012" s="83" t="str">
        <f aca="false">IF(AND(B3012="",C3012="",D3012=""),"",IF(B3012="","Missing contract",IF(C3012="","Missing code",IF(LEFT(G3012,3)="Not","Wrong code",IF(D3012="","Missing qty",IF(A3012="","Missing date",""))))))</f>
        <v/>
      </c>
      <c r="I3012" s="84" t="str">
        <f aca="false">IF(B3012=Dashboard!$D$3,ROW(),"")</f>
        <v/>
      </c>
    </row>
    <row r="3013" customFormat="false" ht="15" hidden="false" customHeight="false" outlineLevel="0" collapsed="false">
      <c r="A3013" s="80"/>
      <c r="B3013" s="71"/>
      <c r="C3013" s="71"/>
      <c r="D3013" s="81"/>
      <c r="E3013" s="71"/>
      <c r="F3013" s="71"/>
      <c r="G3013" s="82" t="str">
        <f aca="false">IF(C3013="","",IFERROR(INDEX('Kit Lists'!$D$6:$D$605,MATCH(B3013&amp;"|"&amp;C3013,'Kit Lists'!$J$6:$J$605,0)),"Not on this contract's kit list"))</f>
        <v/>
      </c>
      <c r="H3013" s="83" t="str">
        <f aca="false">IF(AND(B3013="",C3013="",D3013=""),"",IF(B3013="","Missing contract",IF(C3013="","Missing code",IF(LEFT(G3013,3)="Not","Wrong code",IF(D3013="","Missing qty",IF(A3013="","Missing date",""))))))</f>
        <v/>
      </c>
      <c r="I3013" s="84" t="str">
        <f aca="false">IF(B3013=Dashboard!$D$3,ROW(),"")</f>
        <v/>
      </c>
    </row>
    <row r="3014" customFormat="false" ht="15" hidden="false" customHeight="false" outlineLevel="0" collapsed="false">
      <c r="A3014" s="80"/>
      <c r="B3014" s="71"/>
      <c r="C3014" s="71"/>
      <c r="D3014" s="81"/>
      <c r="E3014" s="71"/>
      <c r="F3014" s="71"/>
      <c r="G3014" s="82" t="str">
        <f aca="false">IF(C3014="","",IFERROR(INDEX('Kit Lists'!$D$6:$D$605,MATCH(B3014&amp;"|"&amp;C3014,'Kit Lists'!$J$6:$J$605,0)),"Not on this contract's kit list"))</f>
        <v/>
      </c>
      <c r="H3014" s="83" t="str">
        <f aca="false">IF(AND(B3014="",C3014="",D3014=""),"",IF(B3014="","Missing contract",IF(C3014="","Missing code",IF(LEFT(G3014,3)="Not","Wrong code",IF(D3014="","Missing qty",IF(A3014="","Missing date",""))))))</f>
        <v/>
      </c>
      <c r="I3014" s="84" t="str">
        <f aca="false">IF(B3014=Dashboard!$D$3,ROW(),"")</f>
        <v/>
      </c>
    </row>
    <row r="3015" customFormat="false" ht="15" hidden="false" customHeight="false" outlineLevel="0" collapsed="false">
      <c r="A3015" s="80"/>
      <c r="B3015" s="71"/>
      <c r="C3015" s="71"/>
      <c r="D3015" s="81"/>
      <c r="E3015" s="71"/>
      <c r="F3015" s="71"/>
      <c r="G3015" s="82" t="str">
        <f aca="false">IF(C3015="","",IFERROR(INDEX('Kit Lists'!$D$6:$D$605,MATCH(B3015&amp;"|"&amp;C3015,'Kit Lists'!$J$6:$J$605,0)),"Not on this contract's kit list"))</f>
        <v/>
      </c>
      <c r="H3015" s="83" t="str">
        <f aca="false">IF(AND(B3015="",C3015="",D3015=""),"",IF(B3015="","Missing contract",IF(C3015="","Missing code",IF(LEFT(G3015,3)="Not","Wrong code",IF(D3015="","Missing qty",IF(A3015="","Missing date",""))))))</f>
        <v/>
      </c>
      <c r="I3015" s="84" t="str">
        <f aca="false">IF(B3015=Dashboard!$D$3,ROW(),"")</f>
        <v/>
      </c>
    </row>
    <row r="3016" customFormat="false" ht="15" hidden="false" customHeight="false" outlineLevel="0" collapsed="false">
      <c r="A3016" s="80"/>
      <c r="B3016" s="71"/>
      <c r="C3016" s="71"/>
      <c r="D3016" s="81"/>
      <c r="E3016" s="71"/>
      <c r="F3016" s="71"/>
      <c r="G3016" s="82" t="str">
        <f aca="false">IF(C3016="","",IFERROR(INDEX('Kit Lists'!$D$6:$D$605,MATCH(B3016&amp;"|"&amp;C3016,'Kit Lists'!$J$6:$J$605,0)),"Not on this contract's kit list"))</f>
        <v/>
      </c>
      <c r="H3016" s="83" t="str">
        <f aca="false">IF(AND(B3016="",C3016="",D3016=""),"",IF(B3016="","Missing contract",IF(C3016="","Missing code",IF(LEFT(G3016,3)="Not","Wrong code",IF(D3016="","Missing qty",IF(A3016="","Missing date",""))))))</f>
        <v/>
      </c>
      <c r="I3016" s="84" t="str">
        <f aca="false">IF(B3016=Dashboard!$D$3,ROW(),"")</f>
        <v/>
      </c>
    </row>
    <row r="3017" customFormat="false" ht="15" hidden="false" customHeight="false" outlineLevel="0" collapsed="false">
      <c r="A3017" s="80"/>
      <c r="B3017" s="71"/>
      <c r="C3017" s="71"/>
      <c r="D3017" s="81"/>
      <c r="E3017" s="71"/>
      <c r="F3017" s="71"/>
      <c r="G3017" s="82" t="str">
        <f aca="false">IF(C3017="","",IFERROR(INDEX('Kit Lists'!$D$6:$D$605,MATCH(B3017&amp;"|"&amp;C3017,'Kit Lists'!$J$6:$J$605,0)),"Not on this contract's kit list"))</f>
        <v/>
      </c>
      <c r="H3017" s="83" t="str">
        <f aca="false">IF(AND(B3017="",C3017="",D3017=""),"",IF(B3017="","Missing contract",IF(C3017="","Missing code",IF(LEFT(G3017,3)="Not","Wrong code",IF(D3017="","Missing qty",IF(A3017="","Missing date",""))))))</f>
        <v/>
      </c>
      <c r="I3017" s="84" t="str">
        <f aca="false">IF(B3017=Dashboard!$D$3,ROW(),"")</f>
        <v/>
      </c>
    </row>
    <row r="3018" customFormat="false" ht="15" hidden="false" customHeight="false" outlineLevel="0" collapsed="false">
      <c r="A3018" s="80"/>
      <c r="B3018" s="71"/>
      <c r="C3018" s="71"/>
      <c r="D3018" s="81"/>
      <c r="E3018" s="71"/>
      <c r="F3018" s="71"/>
      <c r="G3018" s="82" t="str">
        <f aca="false">IF(C3018="","",IFERROR(INDEX('Kit Lists'!$D$6:$D$605,MATCH(B3018&amp;"|"&amp;C3018,'Kit Lists'!$J$6:$J$605,0)),"Not on this contract's kit list"))</f>
        <v/>
      </c>
      <c r="H3018" s="83" t="str">
        <f aca="false">IF(AND(B3018="",C3018="",D3018=""),"",IF(B3018="","Missing contract",IF(C3018="","Missing code",IF(LEFT(G3018,3)="Not","Wrong code",IF(D3018="","Missing qty",IF(A3018="","Missing date",""))))))</f>
        <v/>
      </c>
      <c r="I3018" s="84" t="str">
        <f aca="false">IF(B3018=Dashboard!$D$3,ROW(),"")</f>
        <v/>
      </c>
    </row>
    <row r="3019" customFormat="false" ht="15" hidden="false" customHeight="false" outlineLevel="0" collapsed="false">
      <c r="A3019" s="80"/>
      <c r="B3019" s="71"/>
      <c r="C3019" s="71"/>
      <c r="D3019" s="81"/>
      <c r="E3019" s="71"/>
      <c r="F3019" s="71"/>
      <c r="G3019" s="82" t="str">
        <f aca="false">IF(C3019="","",IFERROR(INDEX('Kit Lists'!$D$6:$D$605,MATCH(B3019&amp;"|"&amp;C3019,'Kit Lists'!$J$6:$J$605,0)),"Not on this contract's kit list"))</f>
        <v/>
      </c>
      <c r="H3019" s="83" t="str">
        <f aca="false">IF(AND(B3019="",C3019="",D3019=""),"",IF(B3019="","Missing contract",IF(C3019="","Missing code",IF(LEFT(G3019,3)="Not","Wrong code",IF(D3019="","Missing qty",IF(A3019="","Missing date",""))))))</f>
        <v/>
      </c>
      <c r="I3019" s="84" t="str">
        <f aca="false">IF(B3019=Dashboard!$D$3,ROW(),"")</f>
        <v/>
      </c>
    </row>
    <row r="3020" customFormat="false" ht="15" hidden="false" customHeight="false" outlineLevel="0" collapsed="false">
      <c r="A3020" s="80"/>
      <c r="B3020" s="71"/>
      <c r="C3020" s="71"/>
      <c r="D3020" s="81"/>
      <c r="E3020" s="71"/>
      <c r="F3020" s="71"/>
      <c r="G3020" s="82" t="str">
        <f aca="false">IF(C3020="","",IFERROR(INDEX('Kit Lists'!$D$6:$D$605,MATCH(B3020&amp;"|"&amp;C3020,'Kit Lists'!$J$6:$J$605,0)),"Not on this contract's kit list"))</f>
        <v/>
      </c>
      <c r="H3020" s="83" t="str">
        <f aca="false">IF(AND(B3020="",C3020="",D3020=""),"",IF(B3020="","Missing contract",IF(C3020="","Missing code",IF(LEFT(G3020,3)="Not","Wrong code",IF(D3020="","Missing qty",IF(A3020="","Missing date",""))))))</f>
        <v/>
      </c>
      <c r="I3020" s="84" t="str">
        <f aca="false">IF(B3020=Dashboard!$D$3,ROW(),"")</f>
        <v/>
      </c>
    </row>
    <row r="3021" customFormat="false" ht="15" hidden="false" customHeight="false" outlineLevel="0" collapsed="false">
      <c r="A3021" s="80"/>
      <c r="B3021" s="71"/>
      <c r="C3021" s="71"/>
      <c r="D3021" s="81"/>
      <c r="E3021" s="71"/>
      <c r="F3021" s="71"/>
      <c r="G3021" s="82" t="str">
        <f aca="false">IF(C3021="","",IFERROR(INDEX('Kit Lists'!$D$6:$D$605,MATCH(B3021&amp;"|"&amp;C3021,'Kit Lists'!$J$6:$J$605,0)),"Not on this contract's kit list"))</f>
        <v/>
      </c>
      <c r="H3021" s="83" t="str">
        <f aca="false">IF(AND(B3021="",C3021="",D3021=""),"",IF(B3021="","Missing contract",IF(C3021="","Missing code",IF(LEFT(G3021,3)="Not","Wrong code",IF(D3021="","Missing qty",IF(A3021="","Missing date",""))))))</f>
        <v/>
      </c>
      <c r="I3021" s="84" t="str">
        <f aca="false">IF(B3021=Dashboard!$D$3,ROW(),"")</f>
        <v/>
      </c>
    </row>
    <row r="3022" customFormat="false" ht="15" hidden="false" customHeight="false" outlineLevel="0" collapsed="false">
      <c r="A3022" s="80"/>
      <c r="B3022" s="71"/>
      <c r="C3022" s="71"/>
      <c r="D3022" s="81"/>
      <c r="E3022" s="71"/>
      <c r="F3022" s="71"/>
      <c r="G3022" s="82" t="str">
        <f aca="false">IF(C3022="","",IFERROR(INDEX('Kit Lists'!$D$6:$D$605,MATCH(B3022&amp;"|"&amp;C3022,'Kit Lists'!$J$6:$J$605,0)),"Not on this contract's kit list"))</f>
        <v/>
      </c>
      <c r="H3022" s="83" t="str">
        <f aca="false">IF(AND(B3022="",C3022="",D3022=""),"",IF(B3022="","Missing contract",IF(C3022="","Missing code",IF(LEFT(G3022,3)="Not","Wrong code",IF(D3022="","Missing qty",IF(A3022="","Missing date",""))))))</f>
        <v/>
      </c>
      <c r="I3022" s="84" t="str">
        <f aca="false">IF(B3022=Dashboard!$D$3,ROW(),"")</f>
        <v/>
      </c>
    </row>
    <row r="3023" customFormat="false" ht="15" hidden="false" customHeight="false" outlineLevel="0" collapsed="false">
      <c r="A3023" s="80"/>
      <c r="B3023" s="71"/>
      <c r="C3023" s="71"/>
      <c r="D3023" s="81"/>
      <c r="E3023" s="71"/>
      <c r="F3023" s="71"/>
      <c r="G3023" s="82" t="str">
        <f aca="false">IF(C3023="","",IFERROR(INDEX('Kit Lists'!$D$6:$D$605,MATCH(B3023&amp;"|"&amp;C3023,'Kit Lists'!$J$6:$J$605,0)),"Not on this contract's kit list"))</f>
        <v/>
      </c>
      <c r="H3023" s="83" t="str">
        <f aca="false">IF(AND(B3023="",C3023="",D3023=""),"",IF(B3023="","Missing contract",IF(C3023="","Missing code",IF(LEFT(G3023,3)="Not","Wrong code",IF(D3023="","Missing qty",IF(A3023="","Missing date",""))))))</f>
        <v/>
      </c>
      <c r="I3023" s="84" t="str">
        <f aca="false">IF(B3023=Dashboard!$D$3,ROW(),"")</f>
        <v/>
      </c>
    </row>
    <row r="3024" customFormat="false" ht="15" hidden="false" customHeight="false" outlineLevel="0" collapsed="false">
      <c r="A3024" s="80"/>
      <c r="B3024" s="71"/>
      <c r="C3024" s="71"/>
      <c r="D3024" s="81"/>
      <c r="E3024" s="71"/>
      <c r="F3024" s="71"/>
      <c r="G3024" s="82" t="str">
        <f aca="false">IF(C3024="","",IFERROR(INDEX('Kit Lists'!$D$6:$D$605,MATCH(B3024&amp;"|"&amp;C3024,'Kit Lists'!$J$6:$J$605,0)),"Not on this contract's kit list"))</f>
        <v/>
      </c>
      <c r="H3024" s="83" t="str">
        <f aca="false">IF(AND(B3024="",C3024="",D3024=""),"",IF(B3024="","Missing contract",IF(C3024="","Missing code",IF(LEFT(G3024,3)="Not","Wrong code",IF(D3024="","Missing qty",IF(A3024="","Missing date",""))))))</f>
        <v/>
      </c>
      <c r="I3024" s="84" t="str">
        <f aca="false">IF(B3024=Dashboard!$D$3,ROW(),"")</f>
        <v/>
      </c>
    </row>
    <row r="3025" customFormat="false" ht="15" hidden="false" customHeight="false" outlineLevel="0" collapsed="false">
      <c r="A3025" s="80"/>
      <c r="B3025" s="71"/>
      <c r="C3025" s="71"/>
      <c r="D3025" s="81"/>
      <c r="E3025" s="71"/>
      <c r="F3025" s="71"/>
      <c r="G3025" s="82" t="str">
        <f aca="false">IF(C3025="","",IFERROR(INDEX('Kit Lists'!$D$6:$D$605,MATCH(B3025&amp;"|"&amp;C3025,'Kit Lists'!$J$6:$J$605,0)),"Not on this contract's kit list"))</f>
        <v/>
      </c>
      <c r="H3025" s="83" t="str">
        <f aca="false">IF(AND(B3025="",C3025="",D3025=""),"",IF(B3025="","Missing contract",IF(C3025="","Missing code",IF(LEFT(G3025,3)="Not","Wrong code",IF(D3025="","Missing qty",IF(A3025="","Missing date",""))))))</f>
        <v/>
      </c>
      <c r="I3025" s="84" t="str">
        <f aca="false">IF(B3025=Dashboard!$D$3,ROW(),"")</f>
        <v/>
      </c>
    </row>
    <row r="3026" customFormat="false" ht="15" hidden="false" customHeight="false" outlineLevel="0" collapsed="false">
      <c r="A3026" s="80"/>
      <c r="B3026" s="71"/>
      <c r="C3026" s="71"/>
      <c r="D3026" s="81"/>
      <c r="E3026" s="71"/>
      <c r="F3026" s="71"/>
      <c r="G3026" s="82" t="str">
        <f aca="false">IF(C3026="","",IFERROR(INDEX('Kit Lists'!$D$6:$D$605,MATCH(B3026&amp;"|"&amp;C3026,'Kit Lists'!$J$6:$J$605,0)),"Not on this contract's kit list"))</f>
        <v/>
      </c>
      <c r="H3026" s="83" t="str">
        <f aca="false">IF(AND(B3026="",C3026="",D3026=""),"",IF(B3026="","Missing contract",IF(C3026="","Missing code",IF(LEFT(G3026,3)="Not","Wrong code",IF(D3026="","Missing qty",IF(A3026="","Missing date",""))))))</f>
        <v/>
      </c>
      <c r="I3026" s="84" t="str">
        <f aca="false">IF(B3026=Dashboard!$D$3,ROW(),"")</f>
        <v/>
      </c>
    </row>
    <row r="3027" customFormat="false" ht="15" hidden="false" customHeight="false" outlineLevel="0" collapsed="false">
      <c r="A3027" s="80"/>
      <c r="B3027" s="71"/>
      <c r="C3027" s="71"/>
      <c r="D3027" s="81"/>
      <c r="E3027" s="71"/>
      <c r="F3027" s="71"/>
      <c r="G3027" s="82" t="str">
        <f aca="false">IF(C3027="","",IFERROR(INDEX('Kit Lists'!$D$6:$D$605,MATCH(B3027&amp;"|"&amp;C3027,'Kit Lists'!$J$6:$J$605,0)),"Not on this contract's kit list"))</f>
        <v/>
      </c>
      <c r="H3027" s="83" t="str">
        <f aca="false">IF(AND(B3027="",C3027="",D3027=""),"",IF(B3027="","Missing contract",IF(C3027="","Missing code",IF(LEFT(G3027,3)="Not","Wrong code",IF(D3027="","Missing qty",IF(A3027="","Missing date",""))))))</f>
        <v/>
      </c>
      <c r="I3027" s="84" t="str">
        <f aca="false">IF(B3027=Dashboard!$D$3,ROW(),"")</f>
        <v/>
      </c>
    </row>
    <row r="3028" customFormat="false" ht="15" hidden="false" customHeight="false" outlineLevel="0" collapsed="false">
      <c r="A3028" s="80"/>
      <c r="B3028" s="71"/>
      <c r="C3028" s="71"/>
      <c r="D3028" s="81"/>
      <c r="E3028" s="71"/>
      <c r="F3028" s="71"/>
      <c r="G3028" s="82" t="str">
        <f aca="false">IF(C3028="","",IFERROR(INDEX('Kit Lists'!$D$6:$D$605,MATCH(B3028&amp;"|"&amp;C3028,'Kit Lists'!$J$6:$J$605,0)),"Not on this contract's kit list"))</f>
        <v/>
      </c>
      <c r="H3028" s="83" t="str">
        <f aca="false">IF(AND(B3028="",C3028="",D3028=""),"",IF(B3028="","Missing contract",IF(C3028="","Missing code",IF(LEFT(G3028,3)="Not","Wrong code",IF(D3028="","Missing qty",IF(A3028="","Missing date",""))))))</f>
        <v/>
      </c>
      <c r="I3028" s="84" t="str">
        <f aca="false">IF(B3028=Dashboard!$D$3,ROW(),"")</f>
        <v/>
      </c>
    </row>
    <row r="3029" customFormat="false" ht="15" hidden="false" customHeight="false" outlineLevel="0" collapsed="false">
      <c r="A3029" s="80"/>
      <c r="B3029" s="71"/>
      <c r="C3029" s="71"/>
      <c r="D3029" s="81"/>
      <c r="E3029" s="71"/>
      <c r="F3029" s="71"/>
      <c r="G3029" s="82" t="str">
        <f aca="false">IF(C3029="","",IFERROR(INDEX('Kit Lists'!$D$6:$D$605,MATCH(B3029&amp;"|"&amp;C3029,'Kit Lists'!$J$6:$J$605,0)),"Not on this contract's kit list"))</f>
        <v/>
      </c>
      <c r="H3029" s="83" t="str">
        <f aca="false">IF(AND(B3029="",C3029="",D3029=""),"",IF(B3029="","Missing contract",IF(C3029="","Missing code",IF(LEFT(G3029,3)="Not","Wrong code",IF(D3029="","Missing qty",IF(A3029="","Missing date",""))))))</f>
        <v/>
      </c>
      <c r="I3029" s="84" t="str">
        <f aca="false">IF(B3029=Dashboard!$D$3,ROW(),"")</f>
        <v/>
      </c>
    </row>
    <row r="3030" customFormat="false" ht="15" hidden="false" customHeight="false" outlineLevel="0" collapsed="false">
      <c r="A3030" s="80"/>
      <c r="B3030" s="71"/>
      <c r="C3030" s="71"/>
      <c r="D3030" s="81"/>
      <c r="E3030" s="71"/>
      <c r="F3030" s="71"/>
      <c r="G3030" s="82" t="str">
        <f aca="false">IF(C3030="","",IFERROR(INDEX('Kit Lists'!$D$6:$D$605,MATCH(B3030&amp;"|"&amp;C3030,'Kit Lists'!$J$6:$J$605,0)),"Not on this contract's kit list"))</f>
        <v/>
      </c>
      <c r="H3030" s="83" t="str">
        <f aca="false">IF(AND(B3030="",C3030="",D3030=""),"",IF(B3030="","Missing contract",IF(C3030="","Missing code",IF(LEFT(G3030,3)="Not","Wrong code",IF(D3030="","Missing qty",IF(A3030="","Missing date",""))))))</f>
        <v/>
      </c>
      <c r="I3030" s="84" t="str">
        <f aca="false">IF(B3030=Dashboard!$D$3,ROW(),"")</f>
        <v/>
      </c>
    </row>
    <row r="3031" customFormat="false" ht="15" hidden="false" customHeight="false" outlineLevel="0" collapsed="false">
      <c r="A3031" s="80"/>
      <c r="B3031" s="71"/>
      <c r="C3031" s="71"/>
      <c r="D3031" s="81"/>
      <c r="E3031" s="71"/>
      <c r="F3031" s="71"/>
      <c r="G3031" s="82" t="str">
        <f aca="false">IF(C3031="","",IFERROR(INDEX('Kit Lists'!$D$6:$D$605,MATCH(B3031&amp;"|"&amp;C3031,'Kit Lists'!$J$6:$J$605,0)),"Not on this contract's kit list"))</f>
        <v/>
      </c>
      <c r="H3031" s="83" t="str">
        <f aca="false">IF(AND(B3031="",C3031="",D3031=""),"",IF(B3031="","Missing contract",IF(C3031="","Missing code",IF(LEFT(G3031,3)="Not","Wrong code",IF(D3031="","Missing qty",IF(A3031="","Missing date",""))))))</f>
        <v/>
      </c>
      <c r="I3031" s="84" t="str">
        <f aca="false">IF(B3031=Dashboard!$D$3,ROW(),"")</f>
        <v/>
      </c>
    </row>
    <row r="3032" customFormat="false" ht="15" hidden="false" customHeight="false" outlineLevel="0" collapsed="false">
      <c r="A3032" s="80"/>
      <c r="B3032" s="71"/>
      <c r="C3032" s="71"/>
      <c r="D3032" s="81"/>
      <c r="E3032" s="71"/>
      <c r="F3032" s="71"/>
      <c r="G3032" s="82" t="str">
        <f aca="false">IF(C3032="","",IFERROR(INDEX('Kit Lists'!$D$6:$D$605,MATCH(B3032&amp;"|"&amp;C3032,'Kit Lists'!$J$6:$J$605,0)),"Not on this contract's kit list"))</f>
        <v/>
      </c>
      <c r="H3032" s="83" t="str">
        <f aca="false">IF(AND(B3032="",C3032="",D3032=""),"",IF(B3032="","Missing contract",IF(C3032="","Missing code",IF(LEFT(G3032,3)="Not","Wrong code",IF(D3032="","Missing qty",IF(A3032="","Missing date",""))))))</f>
        <v/>
      </c>
      <c r="I3032" s="84" t="str">
        <f aca="false">IF(B3032=Dashboard!$D$3,ROW(),"")</f>
        <v/>
      </c>
    </row>
    <row r="3033" customFormat="false" ht="15" hidden="false" customHeight="false" outlineLevel="0" collapsed="false">
      <c r="A3033" s="80"/>
      <c r="B3033" s="71"/>
      <c r="C3033" s="71"/>
      <c r="D3033" s="81"/>
      <c r="E3033" s="71"/>
      <c r="F3033" s="71"/>
      <c r="G3033" s="82" t="str">
        <f aca="false">IF(C3033="","",IFERROR(INDEX('Kit Lists'!$D$6:$D$605,MATCH(B3033&amp;"|"&amp;C3033,'Kit Lists'!$J$6:$J$605,0)),"Not on this contract's kit list"))</f>
        <v/>
      </c>
      <c r="H3033" s="83" t="str">
        <f aca="false">IF(AND(B3033="",C3033="",D3033=""),"",IF(B3033="","Missing contract",IF(C3033="","Missing code",IF(LEFT(G3033,3)="Not","Wrong code",IF(D3033="","Missing qty",IF(A3033="","Missing date",""))))))</f>
        <v/>
      </c>
      <c r="I3033" s="84" t="str">
        <f aca="false">IF(B3033=Dashboard!$D$3,ROW(),"")</f>
        <v/>
      </c>
    </row>
    <row r="3034" customFormat="false" ht="15" hidden="false" customHeight="false" outlineLevel="0" collapsed="false">
      <c r="A3034" s="80"/>
      <c r="B3034" s="71"/>
      <c r="C3034" s="71"/>
      <c r="D3034" s="81"/>
      <c r="E3034" s="71"/>
      <c r="F3034" s="71"/>
      <c r="G3034" s="82" t="str">
        <f aca="false">IF(C3034="","",IFERROR(INDEX('Kit Lists'!$D$6:$D$605,MATCH(B3034&amp;"|"&amp;C3034,'Kit Lists'!$J$6:$J$605,0)),"Not on this contract's kit list"))</f>
        <v/>
      </c>
      <c r="H3034" s="83" t="str">
        <f aca="false">IF(AND(B3034="",C3034="",D3034=""),"",IF(B3034="","Missing contract",IF(C3034="","Missing code",IF(LEFT(G3034,3)="Not","Wrong code",IF(D3034="","Missing qty",IF(A3034="","Missing date",""))))))</f>
        <v/>
      </c>
      <c r="I3034" s="84" t="str">
        <f aca="false">IF(B3034=Dashboard!$D$3,ROW(),"")</f>
        <v/>
      </c>
    </row>
    <row r="3035" customFormat="false" ht="15" hidden="false" customHeight="false" outlineLevel="0" collapsed="false">
      <c r="A3035" s="80"/>
      <c r="B3035" s="71"/>
      <c r="C3035" s="71"/>
      <c r="D3035" s="81"/>
      <c r="E3035" s="71"/>
      <c r="F3035" s="71"/>
      <c r="G3035" s="82" t="str">
        <f aca="false">IF(C3035="","",IFERROR(INDEX('Kit Lists'!$D$6:$D$605,MATCH(B3035&amp;"|"&amp;C3035,'Kit Lists'!$J$6:$J$605,0)),"Not on this contract's kit list"))</f>
        <v/>
      </c>
      <c r="H3035" s="83" t="str">
        <f aca="false">IF(AND(B3035="",C3035="",D3035=""),"",IF(B3035="","Missing contract",IF(C3035="","Missing code",IF(LEFT(G3035,3)="Not","Wrong code",IF(D3035="","Missing qty",IF(A3035="","Missing date",""))))))</f>
        <v/>
      </c>
      <c r="I3035" s="84" t="str">
        <f aca="false">IF(B3035=Dashboard!$D$3,ROW(),"")</f>
        <v/>
      </c>
    </row>
    <row r="3036" customFormat="false" ht="15" hidden="false" customHeight="false" outlineLevel="0" collapsed="false">
      <c r="A3036" s="80"/>
      <c r="B3036" s="71"/>
      <c r="C3036" s="71"/>
      <c r="D3036" s="81"/>
      <c r="E3036" s="71"/>
      <c r="F3036" s="71"/>
      <c r="G3036" s="82" t="str">
        <f aca="false">IF(C3036="","",IFERROR(INDEX('Kit Lists'!$D$6:$D$605,MATCH(B3036&amp;"|"&amp;C3036,'Kit Lists'!$J$6:$J$605,0)),"Not on this contract's kit list"))</f>
        <v/>
      </c>
      <c r="H3036" s="83" t="str">
        <f aca="false">IF(AND(B3036="",C3036="",D3036=""),"",IF(B3036="","Missing contract",IF(C3036="","Missing code",IF(LEFT(G3036,3)="Not","Wrong code",IF(D3036="","Missing qty",IF(A3036="","Missing date",""))))))</f>
        <v/>
      </c>
      <c r="I3036" s="84" t="str">
        <f aca="false">IF(B3036=Dashboard!$D$3,ROW(),"")</f>
        <v/>
      </c>
    </row>
    <row r="3037" customFormat="false" ht="15" hidden="false" customHeight="false" outlineLevel="0" collapsed="false">
      <c r="A3037" s="80"/>
      <c r="B3037" s="71"/>
      <c r="C3037" s="71"/>
      <c r="D3037" s="81"/>
      <c r="E3037" s="71"/>
      <c r="F3037" s="71"/>
      <c r="G3037" s="82" t="str">
        <f aca="false">IF(C3037="","",IFERROR(INDEX('Kit Lists'!$D$6:$D$605,MATCH(B3037&amp;"|"&amp;C3037,'Kit Lists'!$J$6:$J$605,0)),"Not on this contract's kit list"))</f>
        <v/>
      </c>
      <c r="H3037" s="83" t="str">
        <f aca="false">IF(AND(B3037="",C3037="",D3037=""),"",IF(B3037="","Missing contract",IF(C3037="","Missing code",IF(LEFT(G3037,3)="Not","Wrong code",IF(D3037="","Missing qty",IF(A3037="","Missing date",""))))))</f>
        <v/>
      </c>
      <c r="I3037" s="84" t="str">
        <f aca="false">IF(B3037=Dashboard!$D$3,ROW(),"")</f>
        <v/>
      </c>
    </row>
    <row r="3038" customFormat="false" ht="15" hidden="false" customHeight="false" outlineLevel="0" collapsed="false">
      <c r="A3038" s="80"/>
      <c r="B3038" s="71"/>
      <c r="C3038" s="71"/>
      <c r="D3038" s="81"/>
      <c r="E3038" s="71"/>
      <c r="F3038" s="71"/>
      <c r="G3038" s="82" t="str">
        <f aca="false">IF(C3038="","",IFERROR(INDEX('Kit Lists'!$D$6:$D$605,MATCH(B3038&amp;"|"&amp;C3038,'Kit Lists'!$J$6:$J$605,0)),"Not on this contract's kit list"))</f>
        <v/>
      </c>
      <c r="H3038" s="83" t="str">
        <f aca="false">IF(AND(B3038="",C3038="",D3038=""),"",IF(B3038="","Missing contract",IF(C3038="","Missing code",IF(LEFT(G3038,3)="Not","Wrong code",IF(D3038="","Missing qty",IF(A3038="","Missing date",""))))))</f>
        <v/>
      </c>
      <c r="I3038" s="84" t="str">
        <f aca="false">IF(B3038=Dashboard!$D$3,ROW(),"")</f>
        <v/>
      </c>
    </row>
    <row r="3039" customFormat="false" ht="15" hidden="false" customHeight="false" outlineLevel="0" collapsed="false">
      <c r="A3039" s="80"/>
      <c r="B3039" s="71"/>
      <c r="C3039" s="71"/>
      <c r="D3039" s="81"/>
      <c r="E3039" s="71"/>
      <c r="F3039" s="71"/>
      <c r="G3039" s="82" t="str">
        <f aca="false">IF(C3039="","",IFERROR(INDEX('Kit Lists'!$D$6:$D$605,MATCH(B3039&amp;"|"&amp;C3039,'Kit Lists'!$J$6:$J$605,0)),"Not on this contract's kit list"))</f>
        <v/>
      </c>
      <c r="H3039" s="83" t="str">
        <f aca="false">IF(AND(B3039="",C3039="",D3039=""),"",IF(B3039="","Missing contract",IF(C3039="","Missing code",IF(LEFT(G3039,3)="Not","Wrong code",IF(D3039="","Missing qty",IF(A3039="","Missing date",""))))))</f>
        <v/>
      </c>
      <c r="I3039" s="84" t="str">
        <f aca="false">IF(B3039=Dashboard!$D$3,ROW(),"")</f>
        <v/>
      </c>
    </row>
    <row r="3040" customFormat="false" ht="15" hidden="false" customHeight="false" outlineLevel="0" collapsed="false">
      <c r="A3040" s="80"/>
      <c r="B3040" s="71"/>
      <c r="C3040" s="71"/>
      <c r="D3040" s="81"/>
      <c r="E3040" s="71"/>
      <c r="F3040" s="71"/>
      <c r="G3040" s="82" t="str">
        <f aca="false">IF(C3040="","",IFERROR(INDEX('Kit Lists'!$D$6:$D$605,MATCH(B3040&amp;"|"&amp;C3040,'Kit Lists'!$J$6:$J$605,0)),"Not on this contract's kit list"))</f>
        <v/>
      </c>
      <c r="H3040" s="83" t="str">
        <f aca="false">IF(AND(B3040="",C3040="",D3040=""),"",IF(B3040="","Missing contract",IF(C3040="","Missing code",IF(LEFT(G3040,3)="Not","Wrong code",IF(D3040="","Missing qty",IF(A3040="","Missing date",""))))))</f>
        <v/>
      </c>
      <c r="I3040" s="84" t="str">
        <f aca="false">IF(B3040=Dashboard!$D$3,ROW(),"")</f>
        <v/>
      </c>
    </row>
    <row r="3041" customFormat="false" ht="15" hidden="false" customHeight="false" outlineLevel="0" collapsed="false">
      <c r="A3041" s="80"/>
      <c r="B3041" s="71"/>
      <c r="C3041" s="71"/>
      <c r="D3041" s="81"/>
      <c r="E3041" s="71"/>
      <c r="F3041" s="71"/>
      <c r="G3041" s="82" t="str">
        <f aca="false">IF(C3041="","",IFERROR(INDEX('Kit Lists'!$D$6:$D$605,MATCH(B3041&amp;"|"&amp;C3041,'Kit Lists'!$J$6:$J$605,0)),"Not on this contract's kit list"))</f>
        <v/>
      </c>
      <c r="H3041" s="83" t="str">
        <f aca="false">IF(AND(B3041="",C3041="",D3041=""),"",IF(B3041="","Missing contract",IF(C3041="","Missing code",IF(LEFT(G3041,3)="Not","Wrong code",IF(D3041="","Missing qty",IF(A3041="","Missing date",""))))))</f>
        <v/>
      </c>
      <c r="I3041" s="84" t="str">
        <f aca="false">IF(B3041=Dashboard!$D$3,ROW(),"")</f>
        <v/>
      </c>
    </row>
    <row r="3042" customFormat="false" ht="15" hidden="false" customHeight="false" outlineLevel="0" collapsed="false">
      <c r="A3042" s="80"/>
      <c r="B3042" s="71"/>
      <c r="C3042" s="71"/>
      <c r="D3042" s="81"/>
      <c r="E3042" s="71"/>
      <c r="F3042" s="71"/>
      <c r="G3042" s="82" t="str">
        <f aca="false">IF(C3042="","",IFERROR(INDEX('Kit Lists'!$D$6:$D$605,MATCH(B3042&amp;"|"&amp;C3042,'Kit Lists'!$J$6:$J$605,0)),"Not on this contract's kit list"))</f>
        <v/>
      </c>
      <c r="H3042" s="83" t="str">
        <f aca="false">IF(AND(B3042="",C3042="",D3042=""),"",IF(B3042="","Missing contract",IF(C3042="","Missing code",IF(LEFT(G3042,3)="Not","Wrong code",IF(D3042="","Missing qty",IF(A3042="","Missing date",""))))))</f>
        <v/>
      </c>
      <c r="I3042" s="84" t="str">
        <f aca="false">IF(B3042=Dashboard!$D$3,ROW(),"")</f>
        <v/>
      </c>
    </row>
    <row r="3043" customFormat="false" ht="15" hidden="false" customHeight="false" outlineLevel="0" collapsed="false">
      <c r="A3043" s="80"/>
      <c r="B3043" s="71"/>
      <c r="C3043" s="71"/>
      <c r="D3043" s="81"/>
      <c r="E3043" s="71"/>
      <c r="F3043" s="71"/>
      <c r="G3043" s="82" t="str">
        <f aca="false">IF(C3043="","",IFERROR(INDEX('Kit Lists'!$D$6:$D$605,MATCH(B3043&amp;"|"&amp;C3043,'Kit Lists'!$J$6:$J$605,0)),"Not on this contract's kit list"))</f>
        <v/>
      </c>
      <c r="H3043" s="83" t="str">
        <f aca="false">IF(AND(B3043="",C3043="",D3043=""),"",IF(B3043="","Missing contract",IF(C3043="","Missing code",IF(LEFT(G3043,3)="Not","Wrong code",IF(D3043="","Missing qty",IF(A3043="","Missing date",""))))))</f>
        <v/>
      </c>
      <c r="I3043" s="84" t="str">
        <f aca="false">IF(B3043=Dashboard!$D$3,ROW(),"")</f>
        <v/>
      </c>
    </row>
    <row r="3044" customFormat="false" ht="15" hidden="false" customHeight="false" outlineLevel="0" collapsed="false">
      <c r="A3044" s="80"/>
      <c r="B3044" s="71"/>
      <c r="C3044" s="71"/>
      <c r="D3044" s="81"/>
      <c r="E3044" s="71"/>
      <c r="F3044" s="71"/>
      <c r="G3044" s="82" t="str">
        <f aca="false">IF(C3044="","",IFERROR(INDEX('Kit Lists'!$D$6:$D$605,MATCH(B3044&amp;"|"&amp;C3044,'Kit Lists'!$J$6:$J$605,0)),"Not on this contract's kit list"))</f>
        <v/>
      </c>
      <c r="H3044" s="83" t="str">
        <f aca="false">IF(AND(B3044="",C3044="",D3044=""),"",IF(B3044="","Missing contract",IF(C3044="","Missing code",IF(LEFT(G3044,3)="Not","Wrong code",IF(D3044="","Missing qty",IF(A3044="","Missing date",""))))))</f>
        <v/>
      </c>
      <c r="I3044" s="84" t="str">
        <f aca="false">IF(B3044=Dashboard!$D$3,ROW(),"")</f>
        <v/>
      </c>
    </row>
    <row r="3045" customFormat="false" ht="15" hidden="false" customHeight="false" outlineLevel="0" collapsed="false">
      <c r="A3045" s="80"/>
      <c r="B3045" s="71"/>
      <c r="C3045" s="71"/>
      <c r="D3045" s="81"/>
      <c r="E3045" s="71"/>
      <c r="F3045" s="71"/>
      <c r="G3045" s="82" t="str">
        <f aca="false">IF(C3045="","",IFERROR(INDEX('Kit Lists'!$D$6:$D$605,MATCH(B3045&amp;"|"&amp;C3045,'Kit Lists'!$J$6:$J$605,0)),"Not on this contract's kit list"))</f>
        <v/>
      </c>
      <c r="H3045" s="83" t="str">
        <f aca="false">IF(AND(B3045="",C3045="",D3045=""),"",IF(B3045="","Missing contract",IF(C3045="","Missing code",IF(LEFT(G3045,3)="Not","Wrong code",IF(D3045="","Missing qty",IF(A3045="","Missing date",""))))))</f>
        <v/>
      </c>
      <c r="I3045" s="84" t="str">
        <f aca="false">IF(B3045=Dashboard!$D$3,ROW(),"")</f>
        <v/>
      </c>
    </row>
    <row r="3046" customFormat="false" ht="15" hidden="false" customHeight="false" outlineLevel="0" collapsed="false">
      <c r="A3046" s="80"/>
      <c r="B3046" s="71"/>
      <c r="C3046" s="71"/>
      <c r="D3046" s="81"/>
      <c r="E3046" s="71"/>
      <c r="F3046" s="71"/>
      <c r="G3046" s="82" t="str">
        <f aca="false">IF(C3046="","",IFERROR(INDEX('Kit Lists'!$D$6:$D$605,MATCH(B3046&amp;"|"&amp;C3046,'Kit Lists'!$J$6:$J$605,0)),"Not on this contract's kit list"))</f>
        <v/>
      </c>
      <c r="H3046" s="83" t="str">
        <f aca="false">IF(AND(B3046="",C3046="",D3046=""),"",IF(B3046="","Missing contract",IF(C3046="","Missing code",IF(LEFT(G3046,3)="Not","Wrong code",IF(D3046="","Missing qty",IF(A3046="","Missing date",""))))))</f>
        <v/>
      </c>
      <c r="I3046" s="84" t="str">
        <f aca="false">IF(B3046=Dashboard!$D$3,ROW(),"")</f>
        <v/>
      </c>
    </row>
    <row r="3047" customFormat="false" ht="15" hidden="false" customHeight="false" outlineLevel="0" collapsed="false">
      <c r="A3047" s="80"/>
      <c r="B3047" s="71"/>
      <c r="C3047" s="71"/>
      <c r="D3047" s="81"/>
      <c r="E3047" s="71"/>
      <c r="F3047" s="71"/>
      <c r="G3047" s="82" t="str">
        <f aca="false">IF(C3047="","",IFERROR(INDEX('Kit Lists'!$D$6:$D$605,MATCH(B3047&amp;"|"&amp;C3047,'Kit Lists'!$J$6:$J$605,0)),"Not on this contract's kit list"))</f>
        <v/>
      </c>
      <c r="H3047" s="83" t="str">
        <f aca="false">IF(AND(B3047="",C3047="",D3047=""),"",IF(B3047="","Missing contract",IF(C3047="","Missing code",IF(LEFT(G3047,3)="Not","Wrong code",IF(D3047="","Missing qty",IF(A3047="","Missing date",""))))))</f>
        <v/>
      </c>
      <c r="I3047" s="84" t="str">
        <f aca="false">IF(B3047=Dashboard!$D$3,ROW(),"")</f>
        <v/>
      </c>
    </row>
    <row r="3048" customFormat="false" ht="15" hidden="false" customHeight="false" outlineLevel="0" collapsed="false">
      <c r="A3048" s="80"/>
      <c r="B3048" s="71"/>
      <c r="C3048" s="71"/>
      <c r="D3048" s="81"/>
      <c r="E3048" s="71"/>
      <c r="F3048" s="71"/>
      <c r="G3048" s="82" t="str">
        <f aca="false">IF(C3048="","",IFERROR(INDEX('Kit Lists'!$D$6:$D$605,MATCH(B3048&amp;"|"&amp;C3048,'Kit Lists'!$J$6:$J$605,0)),"Not on this contract's kit list"))</f>
        <v/>
      </c>
      <c r="H3048" s="83" t="str">
        <f aca="false">IF(AND(B3048="",C3048="",D3048=""),"",IF(B3048="","Missing contract",IF(C3048="","Missing code",IF(LEFT(G3048,3)="Not","Wrong code",IF(D3048="","Missing qty",IF(A3048="","Missing date",""))))))</f>
        <v/>
      </c>
      <c r="I3048" s="84" t="str">
        <f aca="false">IF(B3048=Dashboard!$D$3,ROW(),"")</f>
        <v/>
      </c>
    </row>
    <row r="3049" customFormat="false" ht="15" hidden="false" customHeight="false" outlineLevel="0" collapsed="false">
      <c r="A3049" s="80"/>
      <c r="B3049" s="71"/>
      <c r="C3049" s="71"/>
      <c r="D3049" s="81"/>
      <c r="E3049" s="71"/>
      <c r="F3049" s="71"/>
      <c r="G3049" s="82" t="str">
        <f aca="false">IF(C3049="","",IFERROR(INDEX('Kit Lists'!$D$6:$D$605,MATCH(B3049&amp;"|"&amp;C3049,'Kit Lists'!$J$6:$J$605,0)),"Not on this contract's kit list"))</f>
        <v/>
      </c>
      <c r="H3049" s="83" t="str">
        <f aca="false">IF(AND(B3049="",C3049="",D3049=""),"",IF(B3049="","Missing contract",IF(C3049="","Missing code",IF(LEFT(G3049,3)="Not","Wrong code",IF(D3049="","Missing qty",IF(A3049="","Missing date",""))))))</f>
        <v/>
      </c>
      <c r="I3049" s="84" t="str">
        <f aca="false">IF(B3049=Dashboard!$D$3,ROW(),"")</f>
        <v/>
      </c>
    </row>
    <row r="3050" customFormat="false" ht="15" hidden="false" customHeight="false" outlineLevel="0" collapsed="false">
      <c r="A3050" s="80"/>
      <c r="B3050" s="71"/>
      <c r="C3050" s="71"/>
      <c r="D3050" s="81"/>
      <c r="E3050" s="71"/>
      <c r="F3050" s="71"/>
      <c r="G3050" s="82" t="str">
        <f aca="false">IF(C3050="","",IFERROR(INDEX('Kit Lists'!$D$6:$D$605,MATCH(B3050&amp;"|"&amp;C3050,'Kit Lists'!$J$6:$J$605,0)),"Not on this contract's kit list"))</f>
        <v/>
      </c>
      <c r="H3050" s="83" t="str">
        <f aca="false">IF(AND(B3050="",C3050="",D3050=""),"",IF(B3050="","Missing contract",IF(C3050="","Missing code",IF(LEFT(G3050,3)="Not","Wrong code",IF(D3050="","Missing qty",IF(A3050="","Missing date",""))))))</f>
        <v/>
      </c>
      <c r="I3050" s="84" t="str">
        <f aca="false">IF(B3050=Dashboard!$D$3,ROW(),"")</f>
        <v/>
      </c>
    </row>
    <row r="3051" customFormat="false" ht="15" hidden="false" customHeight="false" outlineLevel="0" collapsed="false">
      <c r="A3051" s="80"/>
      <c r="B3051" s="71"/>
      <c r="C3051" s="71"/>
      <c r="D3051" s="81"/>
      <c r="E3051" s="71"/>
      <c r="F3051" s="71"/>
      <c r="G3051" s="82" t="str">
        <f aca="false">IF(C3051="","",IFERROR(INDEX('Kit Lists'!$D$6:$D$605,MATCH(B3051&amp;"|"&amp;C3051,'Kit Lists'!$J$6:$J$605,0)),"Not on this contract's kit list"))</f>
        <v/>
      </c>
      <c r="H3051" s="83" t="str">
        <f aca="false">IF(AND(B3051="",C3051="",D3051=""),"",IF(B3051="","Missing contract",IF(C3051="","Missing code",IF(LEFT(G3051,3)="Not","Wrong code",IF(D3051="","Missing qty",IF(A3051="","Missing date",""))))))</f>
        <v/>
      </c>
      <c r="I3051" s="84" t="str">
        <f aca="false">IF(B3051=Dashboard!$D$3,ROW(),"")</f>
        <v/>
      </c>
    </row>
    <row r="3052" customFormat="false" ht="15" hidden="false" customHeight="false" outlineLevel="0" collapsed="false">
      <c r="A3052" s="80"/>
      <c r="B3052" s="71"/>
      <c r="C3052" s="71"/>
      <c r="D3052" s="81"/>
      <c r="E3052" s="71"/>
      <c r="F3052" s="71"/>
      <c r="G3052" s="82" t="str">
        <f aca="false">IF(C3052="","",IFERROR(INDEX('Kit Lists'!$D$6:$D$605,MATCH(B3052&amp;"|"&amp;C3052,'Kit Lists'!$J$6:$J$605,0)),"Not on this contract's kit list"))</f>
        <v/>
      </c>
      <c r="H3052" s="83" t="str">
        <f aca="false">IF(AND(B3052="",C3052="",D3052=""),"",IF(B3052="","Missing contract",IF(C3052="","Missing code",IF(LEFT(G3052,3)="Not","Wrong code",IF(D3052="","Missing qty",IF(A3052="","Missing date",""))))))</f>
        <v/>
      </c>
      <c r="I3052" s="84" t="str">
        <f aca="false">IF(B3052=Dashboard!$D$3,ROW(),"")</f>
        <v/>
      </c>
    </row>
    <row r="3053" customFormat="false" ht="15" hidden="false" customHeight="false" outlineLevel="0" collapsed="false">
      <c r="A3053" s="80"/>
      <c r="B3053" s="71"/>
      <c r="C3053" s="71"/>
      <c r="D3053" s="81"/>
      <c r="E3053" s="71"/>
      <c r="F3053" s="71"/>
      <c r="G3053" s="82" t="str">
        <f aca="false">IF(C3053="","",IFERROR(INDEX('Kit Lists'!$D$6:$D$605,MATCH(B3053&amp;"|"&amp;C3053,'Kit Lists'!$J$6:$J$605,0)),"Not on this contract's kit list"))</f>
        <v/>
      </c>
      <c r="H3053" s="83" t="str">
        <f aca="false">IF(AND(B3053="",C3053="",D3053=""),"",IF(B3053="","Missing contract",IF(C3053="","Missing code",IF(LEFT(G3053,3)="Not","Wrong code",IF(D3053="","Missing qty",IF(A3053="","Missing date",""))))))</f>
        <v/>
      </c>
      <c r="I3053" s="84" t="str">
        <f aca="false">IF(B3053=Dashboard!$D$3,ROW(),"")</f>
        <v/>
      </c>
    </row>
    <row r="3054" customFormat="false" ht="15" hidden="false" customHeight="false" outlineLevel="0" collapsed="false">
      <c r="A3054" s="80"/>
      <c r="B3054" s="71"/>
      <c r="C3054" s="71"/>
      <c r="D3054" s="81"/>
      <c r="E3054" s="71"/>
      <c r="F3054" s="71"/>
      <c r="G3054" s="82" t="str">
        <f aca="false">IF(C3054="","",IFERROR(INDEX('Kit Lists'!$D$6:$D$605,MATCH(B3054&amp;"|"&amp;C3054,'Kit Lists'!$J$6:$J$605,0)),"Not on this contract's kit list"))</f>
        <v/>
      </c>
      <c r="H3054" s="83" t="str">
        <f aca="false">IF(AND(B3054="",C3054="",D3054=""),"",IF(B3054="","Missing contract",IF(C3054="","Missing code",IF(LEFT(G3054,3)="Not","Wrong code",IF(D3054="","Missing qty",IF(A3054="","Missing date",""))))))</f>
        <v/>
      </c>
      <c r="I3054" s="84" t="str">
        <f aca="false">IF(B3054=Dashboard!$D$3,ROW(),"")</f>
        <v/>
      </c>
    </row>
    <row r="3055" customFormat="false" ht="15" hidden="false" customHeight="false" outlineLevel="0" collapsed="false">
      <c r="A3055" s="80"/>
      <c r="B3055" s="71"/>
      <c r="C3055" s="71"/>
      <c r="D3055" s="81"/>
      <c r="E3055" s="71"/>
      <c r="F3055" s="71"/>
      <c r="G3055" s="82" t="str">
        <f aca="false">IF(C3055="","",IFERROR(INDEX('Kit Lists'!$D$6:$D$605,MATCH(B3055&amp;"|"&amp;C3055,'Kit Lists'!$J$6:$J$605,0)),"Not on this contract's kit list"))</f>
        <v/>
      </c>
      <c r="H3055" s="83" t="str">
        <f aca="false">IF(AND(B3055="",C3055="",D3055=""),"",IF(B3055="","Missing contract",IF(C3055="","Missing code",IF(LEFT(G3055,3)="Not","Wrong code",IF(D3055="","Missing qty",IF(A3055="","Missing date",""))))))</f>
        <v/>
      </c>
      <c r="I3055" s="84" t="str">
        <f aca="false">IF(B3055=Dashboard!$D$3,ROW(),"")</f>
        <v/>
      </c>
    </row>
    <row r="3056" customFormat="false" ht="15" hidden="false" customHeight="false" outlineLevel="0" collapsed="false">
      <c r="A3056" s="80"/>
      <c r="B3056" s="71"/>
      <c r="C3056" s="71"/>
      <c r="D3056" s="81"/>
      <c r="E3056" s="71"/>
      <c r="F3056" s="71"/>
      <c r="G3056" s="82" t="str">
        <f aca="false">IF(C3056="","",IFERROR(INDEX('Kit Lists'!$D$6:$D$605,MATCH(B3056&amp;"|"&amp;C3056,'Kit Lists'!$J$6:$J$605,0)),"Not on this contract's kit list"))</f>
        <v/>
      </c>
      <c r="H3056" s="83" t="str">
        <f aca="false">IF(AND(B3056="",C3056="",D3056=""),"",IF(B3056="","Missing contract",IF(C3056="","Missing code",IF(LEFT(G3056,3)="Not","Wrong code",IF(D3056="","Missing qty",IF(A3056="","Missing date",""))))))</f>
        <v/>
      </c>
      <c r="I3056" s="84" t="str">
        <f aca="false">IF(B3056=Dashboard!$D$3,ROW(),"")</f>
        <v/>
      </c>
    </row>
    <row r="3057" customFormat="false" ht="15" hidden="false" customHeight="false" outlineLevel="0" collapsed="false">
      <c r="A3057" s="80"/>
      <c r="B3057" s="71"/>
      <c r="C3057" s="71"/>
      <c r="D3057" s="81"/>
      <c r="E3057" s="71"/>
      <c r="F3057" s="71"/>
      <c r="G3057" s="82" t="str">
        <f aca="false">IF(C3057="","",IFERROR(INDEX('Kit Lists'!$D$6:$D$605,MATCH(B3057&amp;"|"&amp;C3057,'Kit Lists'!$J$6:$J$605,0)),"Not on this contract's kit list"))</f>
        <v/>
      </c>
      <c r="H3057" s="83" t="str">
        <f aca="false">IF(AND(B3057="",C3057="",D3057=""),"",IF(B3057="","Missing contract",IF(C3057="","Missing code",IF(LEFT(G3057,3)="Not","Wrong code",IF(D3057="","Missing qty",IF(A3057="","Missing date",""))))))</f>
        <v/>
      </c>
      <c r="I3057" s="84" t="str">
        <f aca="false">IF(B3057=Dashboard!$D$3,ROW(),"")</f>
        <v/>
      </c>
    </row>
    <row r="3058" customFormat="false" ht="15" hidden="false" customHeight="false" outlineLevel="0" collapsed="false">
      <c r="A3058" s="80"/>
      <c r="B3058" s="71"/>
      <c r="C3058" s="71"/>
      <c r="D3058" s="81"/>
      <c r="E3058" s="71"/>
      <c r="F3058" s="71"/>
      <c r="G3058" s="82" t="str">
        <f aca="false">IF(C3058="","",IFERROR(INDEX('Kit Lists'!$D$6:$D$605,MATCH(B3058&amp;"|"&amp;C3058,'Kit Lists'!$J$6:$J$605,0)),"Not on this contract's kit list"))</f>
        <v/>
      </c>
      <c r="H3058" s="83" t="str">
        <f aca="false">IF(AND(B3058="",C3058="",D3058=""),"",IF(B3058="","Missing contract",IF(C3058="","Missing code",IF(LEFT(G3058,3)="Not","Wrong code",IF(D3058="","Missing qty",IF(A3058="","Missing date",""))))))</f>
        <v/>
      </c>
      <c r="I3058" s="84" t="str">
        <f aca="false">IF(B3058=Dashboard!$D$3,ROW(),"")</f>
        <v/>
      </c>
    </row>
    <row r="3059" customFormat="false" ht="15" hidden="false" customHeight="false" outlineLevel="0" collapsed="false">
      <c r="A3059" s="80"/>
      <c r="B3059" s="71"/>
      <c r="C3059" s="71"/>
      <c r="D3059" s="81"/>
      <c r="E3059" s="71"/>
      <c r="F3059" s="71"/>
      <c r="G3059" s="82" t="str">
        <f aca="false">IF(C3059="","",IFERROR(INDEX('Kit Lists'!$D$6:$D$605,MATCH(B3059&amp;"|"&amp;C3059,'Kit Lists'!$J$6:$J$605,0)),"Not on this contract's kit list"))</f>
        <v/>
      </c>
      <c r="H3059" s="83" t="str">
        <f aca="false">IF(AND(B3059="",C3059="",D3059=""),"",IF(B3059="","Missing contract",IF(C3059="","Missing code",IF(LEFT(G3059,3)="Not","Wrong code",IF(D3059="","Missing qty",IF(A3059="","Missing date",""))))))</f>
        <v/>
      </c>
      <c r="I3059" s="84" t="str">
        <f aca="false">IF(B3059=Dashboard!$D$3,ROW(),"")</f>
        <v/>
      </c>
    </row>
    <row r="3060" customFormat="false" ht="15" hidden="false" customHeight="false" outlineLevel="0" collapsed="false">
      <c r="A3060" s="80"/>
      <c r="B3060" s="71"/>
      <c r="C3060" s="71"/>
      <c r="D3060" s="81"/>
      <c r="E3060" s="71"/>
      <c r="F3060" s="71"/>
      <c r="G3060" s="82" t="str">
        <f aca="false">IF(C3060="","",IFERROR(INDEX('Kit Lists'!$D$6:$D$605,MATCH(B3060&amp;"|"&amp;C3060,'Kit Lists'!$J$6:$J$605,0)),"Not on this contract's kit list"))</f>
        <v/>
      </c>
      <c r="H3060" s="83" t="str">
        <f aca="false">IF(AND(B3060="",C3060="",D3060=""),"",IF(B3060="","Missing contract",IF(C3060="","Missing code",IF(LEFT(G3060,3)="Not","Wrong code",IF(D3060="","Missing qty",IF(A3060="","Missing date",""))))))</f>
        <v/>
      </c>
      <c r="I3060" s="84" t="str">
        <f aca="false">IF(B3060=Dashboard!$D$3,ROW(),"")</f>
        <v/>
      </c>
    </row>
    <row r="3061" customFormat="false" ht="15" hidden="false" customHeight="false" outlineLevel="0" collapsed="false">
      <c r="A3061" s="80"/>
      <c r="B3061" s="71"/>
      <c r="C3061" s="71"/>
      <c r="D3061" s="81"/>
      <c r="E3061" s="71"/>
      <c r="F3061" s="71"/>
      <c r="G3061" s="82" t="str">
        <f aca="false">IF(C3061="","",IFERROR(INDEX('Kit Lists'!$D$6:$D$605,MATCH(B3061&amp;"|"&amp;C3061,'Kit Lists'!$J$6:$J$605,0)),"Not on this contract's kit list"))</f>
        <v/>
      </c>
      <c r="H3061" s="83" t="str">
        <f aca="false">IF(AND(B3061="",C3061="",D3061=""),"",IF(B3061="","Missing contract",IF(C3061="","Missing code",IF(LEFT(G3061,3)="Not","Wrong code",IF(D3061="","Missing qty",IF(A3061="","Missing date",""))))))</f>
        <v/>
      </c>
      <c r="I3061" s="84" t="str">
        <f aca="false">IF(B3061=Dashboard!$D$3,ROW(),"")</f>
        <v/>
      </c>
    </row>
    <row r="3062" customFormat="false" ht="15" hidden="false" customHeight="false" outlineLevel="0" collapsed="false">
      <c r="A3062" s="80"/>
      <c r="B3062" s="71"/>
      <c r="C3062" s="71"/>
      <c r="D3062" s="81"/>
      <c r="E3062" s="71"/>
      <c r="F3062" s="71"/>
      <c r="G3062" s="82" t="str">
        <f aca="false">IF(C3062="","",IFERROR(INDEX('Kit Lists'!$D$6:$D$605,MATCH(B3062&amp;"|"&amp;C3062,'Kit Lists'!$J$6:$J$605,0)),"Not on this contract's kit list"))</f>
        <v/>
      </c>
      <c r="H3062" s="83" t="str">
        <f aca="false">IF(AND(B3062="",C3062="",D3062=""),"",IF(B3062="","Missing contract",IF(C3062="","Missing code",IF(LEFT(G3062,3)="Not","Wrong code",IF(D3062="","Missing qty",IF(A3062="","Missing date",""))))))</f>
        <v/>
      </c>
      <c r="I3062" s="84" t="str">
        <f aca="false">IF(B3062=Dashboard!$D$3,ROW(),"")</f>
        <v/>
      </c>
    </row>
    <row r="3063" customFormat="false" ht="15" hidden="false" customHeight="false" outlineLevel="0" collapsed="false">
      <c r="A3063" s="80"/>
      <c r="B3063" s="71"/>
      <c r="C3063" s="71"/>
      <c r="D3063" s="81"/>
      <c r="E3063" s="71"/>
      <c r="F3063" s="71"/>
      <c r="G3063" s="82" t="str">
        <f aca="false">IF(C3063="","",IFERROR(INDEX('Kit Lists'!$D$6:$D$605,MATCH(B3063&amp;"|"&amp;C3063,'Kit Lists'!$J$6:$J$605,0)),"Not on this contract's kit list"))</f>
        <v/>
      </c>
      <c r="H3063" s="83" t="str">
        <f aca="false">IF(AND(B3063="",C3063="",D3063=""),"",IF(B3063="","Missing contract",IF(C3063="","Missing code",IF(LEFT(G3063,3)="Not","Wrong code",IF(D3063="","Missing qty",IF(A3063="","Missing date",""))))))</f>
        <v/>
      </c>
      <c r="I3063" s="84" t="str">
        <f aca="false">IF(B3063=Dashboard!$D$3,ROW(),"")</f>
        <v/>
      </c>
    </row>
    <row r="3064" customFormat="false" ht="15" hidden="false" customHeight="false" outlineLevel="0" collapsed="false">
      <c r="A3064" s="80"/>
      <c r="B3064" s="71"/>
      <c r="C3064" s="71"/>
      <c r="D3064" s="81"/>
      <c r="E3064" s="71"/>
      <c r="F3064" s="71"/>
      <c r="G3064" s="82" t="str">
        <f aca="false">IF(C3064="","",IFERROR(INDEX('Kit Lists'!$D$6:$D$605,MATCH(B3064&amp;"|"&amp;C3064,'Kit Lists'!$J$6:$J$605,0)),"Not on this contract's kit list"))</f>
        <v/>
      </c>
      <c r="H3064" s="83" t="str">
        <f aca="false">IF(AND(B3064="",C3064="",D3064=""),"",IF(B3064="","Missing contract",IF(C3064="","Missing code",IF(LEFT(G3064,3)="Not","Wrong code",IF(D3064="","Missing qty",IF(A3064="","Missing date",""))))))</f>
        <v/>
      </c>
      <c r="I3064" s="84" t="str">
        <f aca="false">IF(B3064=Dashboard!$D$3,ROW(),"")</f>
        <v/>
      </c>
    </row>
    <row r="3065" customFormat="false" ht="15" hidden="false" customHeight="false" outlineLevel="0" collapsed="false">
      <c r="A3065" s="80"/>
      <c r="B3065" s="71"/>
      <c r="C3065" s="71"/>
      <c r="D3065" s="81"/>
      <c r="E3065" s="71"/>
      <c r="F3065" s="71"/>
      <c r="G3065" s="82" t="str">
        <f aca="false">IF(C3065="","",IFERROR(INDEX('Kit Lists'!$D$6:$D$605,MATCH(B3065&amp;"|"&amp;C3065,'Kit Lists'!$J$6:$J$605,0)),"Not on this contract's kit list"))</f>
        <v/>
      </c>
      <c r="H3065" s="83" t="str">
        <f aca="false">IF(AND(B3065="",C3065="",D3065=""),"",IF(B3065="","Missing contract",IF(C3065="","Missing code",IF(LEFT(G3065,3)="Not","Wrong code",IF(D3065="","Missing qty",IF(A3065="","Missing date",""))))))</f>
        <v/>
      </c>
      <c r="I3065" s="84" t="str">
        <f aca="false">IF(B3065=Dashboard!$D$3,ROW(),"")</f>
        <v/>
      </c>
    </row>
    <row r="3066" customFormat="false" ht="15" hidden="false" customHeight="false" outlineLevel="0" collapsed="false">
      <c r="A3066" s="80"/>
      <c r="B3066" s="71"/>
      <c r="C3066" s="71"/>
      <c r="D3066" s="81"/>
      <c r="E3066" s="71"/>
      <c r="F3066" s="71"/>
      <c r="G3066" s="82" t="str">
        <f aca="false">IF(C3066="","",IFERROR(INDEX('Kit Lists'!$D$6:$D$605,MATCH(B3066&amp;"|"&amp;C3066,'Kit Lists'!$J$6:$J$605,0)),"Not on this contract's kit list"))</f>
        <v/>
      </c>
      <c r="H3066" s="83" t="str">
        <f aca="false">IF(AND(B3066="",C3066="",D3066=""),"",IF(B3066="","Missing contract",IF(C3066="","Missing code",IF(LEFT(G3066,3)="Not","Wrong code",IF(D3066="","Missing qty",IF(A3066="","Missing date",""))))))</f>
        <v/>
      </c>
      <c r="I3066" s="84" t="str">
        <f aca="false">IF(B3066=Dashboard!$D$3,ROW(),"")</f>
        <v/>
      </c>
    </row>
    <row r="3067" customFormat="false" ht="15" hidden="false" customHeight="false" outlineLevel="0" collapsed="false">
      <c r="A3067" s="80"/>
      <c r="B3067" s="71"/>
      <c r="C3067" s="71"/>
      <c r="D3067" s="81"/>
      <c r="E3067" s="71"/>
      <c r="F3067" s="71"/>
      <c r="G3067" s="82" t="str">
        <f aca="false">IF(C3067="","",IFERROR(INDEX('Kit Lists'!$D$6:$D$605,MATCH(B3067&amp;"|"&amp;C3067,'Kit Lists'!$J$6:$J$605,0)),"Not on this contract's kit list"))</f>
        <v/>
      </c>
      <c r="H3067" s="83" t="str">
        <f aca="false">IF(AND(B3067="",C3067="",D3067=""),"",IF(B3067="","Missing contract",IF(C3067="","Missing code",IF(LEFT(G3067,3)="Not","Wrong code",IF(D3067="","Missing qty",IF(A3067="","Missing date",""))))))</f>
        <v/>
      </c>
      <c r="I3067" s="84" t="str">
        <f aca="false">IF(B3067=Dashboard!$D$3,ROW(),"")</f>
        <v/>
      </c>
    </row>
    <row r="3068" customFormat="false" ht="15" hidden="false" customHeight="false" outlineLevel="0" collapsed="false">
      <c r="A3068" s="80"/>
      <c r="B3068" s="71"/>
      <c r="C3068" s="71"/>
      <c r="D3068" s="81"/>
      <c r="E3068" s="71"/>
      <c r="F3068" s="71"/>
      <c r="G3068" s="82" t="str">
        <f aca="false">IF(C3068="","",IFERROR(INDEX('Kit Lists'!$D$6:$D$605,MATCH(B3068&amp;"|"&amp;C3068,'Kit Lists'!$J$6:$J$605,0)),"Not on this contract's kit list"))</f>
        <v/>
      </c>
      <c r="H3068" s="83" t="str">
        <f aca="false">IF(AND(B3068="",C3068="",D3068=""),"",IF(B3068="","Missing contract",IF(C3068="","Missing code",IF(LEFT(G3068,3)="Not","Wrong code",IF(D3068="","Missing qty",IF(A3068="","Missing date",""))))))</f>
        <v/>
      </c>
      <c r="I3068" s="84" t="str">
        <f aca="false">IF(B3068=Dashboard!$D$3,ROW(),"")</f>
        <v/>
      </c>
    </row>
    <row r="3069" customFormat="false" ht="15" hidden="false" customHeight="false" outlineLevel="0" collapsed="false">
      <c r="A3069" s="80"/>
      <c r="B3069" s="71"/>
      <c r="C3069" s="71"/>
      <c r="D3069" s="81"/>
      <c r="E3069" s="71"/>
      <c r="F3069" s="71"/>
      <c r="G3069" s="82" t="str">
        <f aca="false">IF(C3069="","",IFERROR(INDEX('Kit Lists'!$D$6:$D$605,MATCH(B3069&amp;"|"&amp;C3069,'Kit Lists'!$J$6:$J$605,0)),"Not on this contract's kit list"))</f>
        <v/>
      </c>
      <c r="H3069" s="83" t="str">
        <f aca="false">IF(AND(B3069="",C3069="",D3069=""),"",IF(B3069="","Missing contract",IF(C3069="","Missing code",IF(LEFT(G3069,3)="Not","Wrong code",IF(D3069="","Missing qty",IF(A3069="","Missing date",""))))))</f>
        <v/>
      </c>
      <c r="I3069" s="84" t="str">
        <f aca="false">IF(B3069=Dashboard!$D$3,ROW(),"")</f>
        <v/>
      </c>
    </row>
    <row r="3070" customFormat="false" ht="15" hidden="false" customHeight="false" outlineLevel="0" collapsed="false">
      <c r="A3070" s="80"/>
      <c r="B3070" s="71"/>
      <c r="C3070" s="71"/>
      <c r="D3070" s="81"/>
      <c r="E3070" s="71"/>
      <c r="F3070" s="71"/>
      <c r="G3070" s="82" t="str">
        <f aca="false">IF(C3070="","",IFERROR(INDEX('Kit Lists'!$D$6:$D$605,MATCH(B3070&amp;"|"&amp;C3070,'Kit Lists'!$J$6:$J$605,0)),"Not on this contract's kit list"))</f>
        <v/>
      </c>
      <c r="H3070" s="83" t="str">
        <f aca="false">IF(AND(B3070="",C3070="",D3070=""),"",IF(B3070="","Missing contract",IF(C3070="","Missing code",IF(LEFT(G3070,3)="Not","Wrong code",IF(D3070="","Missing qty",IF(A3070="","Missing date",""))))))</f>
        <v/>
      </c>
      <c r="I3070" s="84" t="str">
        <f aca="false">IF(B3070=Dashboard!$D$3,ROW(),"")</f>
        <v/>
      </c>
    </row>
    <row r="3071" customFormat="false" ht="15" hidden="false" customHeight="false" outlineLevel="0" collapsed="false">
      <c r="A3071" s="80"/>
      <c r="B3071" s="71"/>
      <c r="C3071" s="71"/>
      <c r="D3071" s="81"/>
      <c r="E3071" s="71"/>
      <c r="F3071" s="71"/>
      <c r="G3071" s="82" t="str">
        <f aca="false">IF(C3071="","",IFERROR(INDEX('Kit Lists'!$D$6:$D$605,MATCH(B3071&amp;"|"&amp;C3071,'Kit Lists'!$J$6:$J$605,0)),"Not on this contract's kit list"))</f>
        <v/>
      </c>
      <c r="H3071" s="83" t="str">
        <f aca="false">IF(AND(B3071="",C3071="",D3071=""),"",IF(B3071="","Missing contract",IF(C3071="","Missing code",IF(LEFT(G3071,3)="Not","Wrong code",IF(D3071="","Missing qty",IF(A3071="","Missing date",""))))))</f>
        <v/>
      </c>
      <c r="I3071" s="84" t="str">
        <f aca="false">IF(B3071=Dashboard!$D$3,ROW(),"")</f>
        <v/>
      </c>
    </row>
    <row r="3072" customFormat="false" ht="15" hidden="false" customHeight="false" outlineLevel="0" collapsed="false">
      <c r="A3072" s="80"/>
      <c r="B3072" s="71"/>
      <c r="C3072" s="71"/>
      <c r="D3072" s="81"/>
      <c r="E3072" s="71"/>
      <c r="F3072" s="71"/>
      <c r="G3072" s="82" t="str">
        <f aca="false">IF(C3072="","",IFERROR(INDEX('Kit Lists'!$D$6:$D$605,MATCH(B3072&amp;"|"&amp;C3072,'Kit Lists'!$J$6:$J$605,0)),"Not on this contract's kit list"))</f>
        <v/>
      </c>
      <c r="H3072" s="83" t="str">
        <f aca="false">IF(AND(B3072="",C3072="",D3072=""),"",IF(B3072="","Missing contract",IF(C3072="","Missing code",IF(LEFT(G3072,3)="Not","Wrong code",IF(D3072="","Missing qty",IF(A3072="","Missing date",""))))))</f>
        <v/>
      </c>
      <c r="I3072" s="84" t="str">
        <f aca="false">IF(B3072=Dashboard!$D$3,ROW(),"")</f>
        <v/>
      </c>
    </row>
    <row r="3073" customFormat="false" ht="15" hidden="false" customHeight="false" outlineLevel="0" collapsed="false">
      <c r="A3073" s="80"/>
      <c r="B3073" s="71"/>
      <c r="C3073" s="71"/>
      <c r="D3073" s="81"/>
      <c r="E3073" s="71"/>
      <c r="F3073" s="71"/>
      <c r="G3073" s="82" t="str">
        <f aca="false">IF(C3073="","",IFERROR(INDEX('Kit Lists'!$D$6:$D$605,MATCH(B3073&amp;"|"&amp;C3073,'Kit Lists'!$J$6:$J$605,0)),"Not on this contract's kit list"))</f>
        <v/>
      </c>
      <c r="H3073" s="83" t="str">
        <f aca="false">IF(AND(B3073="",C3073="",D3073=""),"",IF(B3073="","Missing contract",IF(C3073="","Missing code",IF(LEFT(G3073,3)="Not","Wrong code",IF(D3073="","Missing qty",IF(A3073="","Missing date",""))))))</f>
        <v/>
      </c>
      <c r="I3073" s="84" t="str">
        <f aca="false">IF(B3073=Dashboard!$D$3,ROW(),"")</f>
        <v/>
      </c>
    </row>
    <row r="3074" customFormat="false" ht="15" hidden="false" customHeight="false" outlineLevel="0" collapsed="false">
      <c r="A3074" s="80"/>
      <c r="B3074" s="71"/>
      <c r="C3074" s="71"/>
      <c r="D3074" s="81"/>
      <c r="E3074" s="71"/>
      <c r="F3074" s="71"/>
      <c r="G3074" s="82" t="str">
        <f aca="false">IF(C3074="","",IFERROR(INDEX('Kit Lists'!$D$6:$D$605,MATCH(B3074&amp;"|"&amp;C3074,'Kit Lists'!$J$6:$J$605,0)),"Not on this contract's kit list"))</f>
        <v/>
      </c>
      <c r="H3074" s="83" t="str">
        <f aca="false">IF(AND(B3074="",C3074="",D3074=""),"",IF(B3074="","Missing contract",IF(C3074="","Missing code",IF(LEFT(G3074,3)="Not","Wrong code",IF(D3074="","Missing qty",IF(A3074="","Missing date",""))))))</f>
        <v/>
      </c>
      <c r="I3074" s="84" t="str">
        <f aca="false">IF(B3074=Dashboard!$D$3,ROW(),"")</f>
        <v/>
      </c>
    </row>
    <row r="3075" customFormat="false" ht="15" hidden="false" customHeight="false" outlineLevel="0" collapsed="false">
      <c r="A3075" s="80"/>
      <c r="B3075" s="71"/>
      <c r="C3075" s="71"/>
      <c r="D3075" s="81"/>
      <c r="E3075" s="71"/>
      <c r="F3075" s="71"/>
      <c r="G3075" s="82" t="str">
        <f aca="false">IF(C3075="","",IFERROR(INDEX('Kit Lists'!$D$6:$D$605,MATCH(B3075&amp;"|"&amp;C3075,'Kit Lists'!$J$6:$J$605,0)),"Not on this contract's kit list"))</f>
        <v/>
      </c>
      <c r="H3075" s="83" t="str">
        <f aca="false">IF(AND(B3075="",C3075="",D3075=""),"",IF(B3075="","Missing contract",IF(C3075="","Missing code",IF(LEFT(G3075,3)="Not","Wrong code",IF(D3075="","Missing qty",IF(A3075="","Missing date",""))))))</f>
        <v/>
      </c>
      <c r="I3075" s="84" t="str">
        <f aca="false">IF(B3075=Dashboard!$D$3,ROW(),"")</f>
        <v/>
      </c>
    </row>
    <row r="3076" customFormat="false" ht="15" hidden="false" customHeight="false" outlineLevel="0" collapsed="false">
      <c r="A3076" s="80"/>
      <c r="B3076" s="71"/>
      <c r="C3076" s="71"/>
      <c r="D3076" s="81"/>
      <c r="E3076" s="71"/>
      <c r="F3076" s="71"/>
      <c r="G3076" s="82" t="str">
        <f aca="false">IF(C3076="","",IFERROR(INDEX('Kit Lists'!$D$6:$D$605,MATCH(B3076&amp;"|"&amp;C3076,'Kit Lists'!$J$6:$J$605,0)),"Not on this contract's kit list"))</f>
        <v/>
      </c>
      <c r="H3076" s="83" t="str">
        <f aca="false">IF(AND(B3076="",C3076="",D3076=""),"",IF(B3076="","Missing contract",IF(C3076="","Missing code",IF(LEFT(G3076,3)="Not","Wrong code",IF(D3076="","Missing qty",IF(A3076="","Missing date",""))))))</f>
        <v/>
      </c>
      <c r="I3076" s="84" t="str">
        <f aca="false">IF(B3076=Dashboard!$D$3,ROW(),"")</f>
        <v/>
      </c>
    </row>
    <row r="3077" customFormat="false" ht="15" hidden="false" customHeight="false" outlineLevel="0" collapsed="false">
      <c r="A3077" s="80"/>
      <c r="B3077" s="71"/>
      <c r="C3077" s="71"/>
      <c r="D3077" s="81"/>
      <c r="E3077" s="71"/>
      <c r="F3077" s="71"/>
      <c r="G3077" s="82" t="str">
        <f aca="false">IF(C3077="","",IFERROR(INDEX('Kit Lists'!$D$6:$D$605,MATCH(B3077&amp;"|"&amp;C3077,'Kit Lists'!$J$6:$J$605,0)),"Not on this contract's kit list"))</f>
        <v/>
      </c>
      <c r="H3077" s="83" t="str">
        <f aca="false">IF(AND(B3077="",C3077="",D3077=""),"",IF(B3077="","Missing contract",IF(C3077="","Missing code",IF(LEFT(G3077,3)="Not","Wrong code",IF(D3077="","Missing qty",IF(A3077="","Missing date",""))))))</f>
        <v/>
      </c>
      <c r="I3077" s="84" t="str">
        <f aca="false">IF(B3077=Dashboard!$D$3,ROW(),"")</f>
        <v/>
      </c>
    </row>
    <row r="3078" customFormat="false" ht="15" hidden="false" customHeight="false" outlineLevel="0" collapsed="false">
      <c r="A3078" s="80"/>
      <c r="B3078" s="71"/>
      <c r="C3078" s="71"/>
      <c r="D3078" s="81"/>
      <c r="E3078" s="71"/>
      <c r="F3078" s="71"/>
      <c r="G3078" s="82" t="str">
        <f aca="false">IF(C3078="","",IFERROR(INDEX('Kit Lists'!$D$6:$D$605,MATCH(B3078&amp;"|"&amp;C3078,'Kit Lists'!$J$6:$J$605,0)),"Not on this contract's kit list"))</f>
        <v/>
      </c>
      <c r="H3078" s="83" t="str">
        <f aca="false">IF(AND(B3078="",C3078="",D3078=""),"",IF(B3078="","Missing contract",IF(C3078="","Missing code",IF(LEFT(G3078,3)="Not","Wrong code",IF(D3078="","Missing qty",IF(A3078="","Missing date",""))))))</f>
        <v/>
      </c>
      <c r="I3078" s="84" t="str">
        <f aca="false">IF(B3078=Dashboard!$D$3,ROW(),"")</f>
        <v/>
      </c>
    </row>
    <row r="3079" customFormat="false" ht="15" hidden="false" customHeight="false" outlineLevel="0" collapsed="false">
      <c r="A3079" s="80"/>
      <c r="B3079" s="71"/>
      <c r="C3079" s="71"/>
      <c r="D3079" s="81"/>
      <c r="E3079" s="71"/>
      <c r="F3079" s="71"/>
      <c r="G3079" s="82" t="str">
        <f aca="false">IF(C3079="","",IFERROR(INDEX('Kit Lists'!$D$6:$D$605,MATCH(B3079&amp;"|"&amp;C3079,'Kit Lists'!$J$6:$J$605,0)),"Not on this contract's kit list"))</f>
        <v/>
      </c>
      <c r="H3079" s="83" t="str">
        <f aca="false">IF(AND(B3079="",C3079="",D3079=""),"",IF(B3079="","Missing contract",IF(C3079="","Missing code",IF(LEFT(G3079,3)="Not","Wrong code",IF(D3079="","Missing qty",IF(A3079="","Missing date",""))))))</f>
        <v/>
      </c>
      <c r="I3079" s="84" t="str">
        <f aca="false">IF(B3079=Dashboard!$D$3,ROW(),"")</f>
        <v/>
      </c>
    </row>
    <row r="3080" customFormat="false" ht="15" hidden="false" customHeight="false" outlineLevel="0" collapsed="false">
      <c r="A3080" s="80"/>
      <c r="B3080" s="71"/>
      <c r="C3080" s="71"/>
      <c r="D3080" s="81"/>
      <c r="E3080" s="71"/>
      <c r="F3080" s="71"/>
      <c r="G3080" s="82" t="str">
        <f aca="false">IF(C3080="","",IFERROR(INDEX('Kit Lists'!$D$6:$D$605,MATCH(B3080&amp;"|"&amp;C3080,'Kit Lists'!$J$6:$J$605,0)),"Not on this contract's kit list"))</f>
        <v/>
      </c>
      <c r="H3080" s="83" t="str">
        <f aca="false">IF(AND(B3080="",C3080="",D3080=""),"",IF(B3080="","Missing contract",IF(C3080="","Missing code",IF(LEFT(G3080,3)="Not","Wrong code",IF(D3080="","Missing qty",IF(A3080="","Missing date",""))))))</f>
        <v/>
      </c>
      <c r="I3080" s="84" t="str">
        <f aca="false">IF(B3080=Dashboard!$D$3,ROW(),"")</f>
        <v/>
      </c>
    </row>
    <row r="3081" customFormat="false" ht="15" hidden="false" customHeight="false" outlineLevel="0" collapsed="false">
      <c r="A3081" s="80"/>
      <c r="B3081" s="71"/>
      <c r="C3081" s="71"/>
      <c r="D3081" s="81"/>
      <c r="E3081" s="71"/>
      <c r="F3081" s="71"/>
      <c r="G3081" s="82" t="str">
        <f aca="false">IF(C3081="","",IFERROR(INDEX('Kit Lists'!$D$6:$D$605,MATCH(B3081&amp;"|"&amp;C3081,'Kit Lists'!$J$6:$J$605,0)),"Not on this contract's kit list"))</f>
        <v/>
      </c>
      <c r="H3081" s="83" t="str">
        <f aca="false">IF(AND(B3081="",C3081="",D3081=""),"",IF(B3081="","Missing contract",IF(C3081="","Missing code",IF(LEFT(G3081,3)="Not","Wrong code",IF(D3081="","Missing qty",IF(A3081="","Missing date",""))))))</f>
        <v/>
      </c>
      <c r="I3081" s="84" t="str">
        <f aca="false">IF(B3081=Dashboard!$D$3,ROW(),"")</f>
        <v/>
      </c>
    </row>
    <row r="3082" customFormat="false" ht="15" hidden="false" customHeight="false" outlineLevel="0" collapsed="false">
      <c r="A3082" s="80"/>
      <c r="B3082" s="71"/>
      <c r="C3082" s="71"/>
      <c r="D3082" s="81"/>
      <c r="E3082" s="71"/>
      <c r="F3082" s="71"/>
      <c r="G3082" s="82" t="str">
        <f aca="false">IF(C3082="","",IFERROR(INDEX('Kit Lists'!$D$6:$D$605,MATCH(B3082&amp;"|"&amp;C3082,'Kit Lists'!$J$6:$J$605,0)),"Not on this contract's kit list"))</f>
        <v/>
      </c>
      <c r="H3082" s="83" t="str">
        <f aca="false">IF(AND(B3082="",C3082="",D3082=""),"",IF(B3082="","Missing contract",IF(C3082="","Missing code",IF(LEFT(G3082,3)="Not","Wrong code",IF(D3082="","Missing qty",IF(A3082="","Missing date",""))))))</f>
        <v/>
      </c>
      <c r="I3082" s="84" t="str">
        <f aca="false">IF(B3082=Dashboard!$D$3,ROW(),"")</f>
        <v/>
      </c>
    </row>
    <row r="3083" customFormat="false" ht="15" hidden="false" customHeight="false" outlineLevel="0" collapsed="false">
      <c r="A3083" s="80"/>
      <c r="B3083" s="71"/>
      <c r="C3083" s="71"/>
      <c r="D3083" s="81"/>
      <c r="E3083" s="71"/>
      <c r="F3083" s="71"/>
      <c r="G3083" s="82" t="str">
        <f aca="false">IF(C3083="","",IFERROR(INDEX('Kit Lists'!$D$6:$D$605,MATCH(B3083&amp;"|"&amp;C3083,'Kit Lists'!$J$6:$J$605,0)),"Not on this contract's kit list"))</f>
        <v/>
      </c>
      <c r="H3083" s="83" t="str">
        <f aca="false">IF(AND(B3083="",C3083="",D3083=""),"",IF(B3083="","Missing contract",IF(C3083="","Missing code",IF(LEFT(G3083,3)="Not","Wrong code",IF(D3083="","Missing qty",IF(A3083="","Missing date",""))))))</f>
        <v/>
      </c>
      <c r="I3083" s="84" t="str">
        <f aca="false">IF(B3083=Dashboard!$D$3,ROW(),"")</f>
        <v/>
      </c>
    </row>
    <row r="3084" customFormat="false" ht="15" hidden="false" customHeight="false" outlineLevel="0" collapsed="false">
      <c r="A3084" s="80"/>
      <c r="B3084" s="71"/>
      <c r="C3084" s="71"/>
      <c r="D3084" s="81"/>
      <c r="E3084" s="71"/>
      <c r="F3084" s="71"/>
      <c r="G3084" s="82" t="str">
        <f aca="false">IF(C3084="","",IFERROR(INDEX('Kit Lists'!$D$6:$D$605,MATCH(B3084&amp;"|"&amp;C3084,'Kit Lists'!$J$6:$J$605,0)),"Not on this contract's kit list"))</f>
        <v/>
      </c>
      <c r="H3084" s="83" t="str">
        <f aca="false">IF(AND(B3084="",C3084="",D3084=""),"",IF(B3084="","Missing contract",IF(C3084="","Missing code",IF(LEFT(G3084,3)="Not","Wrong code",IF(D3084="","Missing qty",IF(A3084="","Missing date",""))))))</f>
        <v/>
      </c>
      <c r="I3084" s="84" t="str">
        <f aca="false">IF(B3084=Dashboard!$D$3,ROW(),"")</f>
        <v/>
      </c>
    </row>
    <row r="3085" customFormat="false" ht="15" hidden="false" customHeight="false" outlineLevel="0" collapsed="false">
      <c r="A3085" s="80"/>
      <c r="B3085" s="71"/>
      <c r="C3085" s="71"/>
      <c r="D3085" s="81"/>
      <c r="E3085" s="71"/>
      <c r="F3085" s="71"/>
      <c r="G3085" s="82" t="str">
        <f aca="false">IF(C3085="","",IFERROR(INDEX('Kit Lists'!$D$6:$D$605,MATCH(B3085&amp;"|"&amp;C3085,'Kit Lists'!$J$6:$J$605,0)),"Not on this contract's kit list"))</f>
        <v/>
      </c>
      <c r="H3085" s="83" t="str">
        <f aca="false">IF(AND(B3085="",C3085="",D3085=""),"",IF(B3085="","Missing contract",IF(C3085="","Missing code",IF(LEFT(G3085,3)="Not","Wrong code",IF(D3085="","Missing qty",IF(A3085="","Missing date",""))))))</f>
        <v/>
      </c>
      <c r="I3085" s="84" t="str">
        <f aca="false">IF(B3085=Dashboard!$D$3,ROW(),"")</f>
        <v/>
      </c>
    </row>
    <row r="3086" customFormat="false" ht="15" hidden="false" customHeight="false" outlineLevel="0" collapsed="false">
      <c r="A3086" s="80"/>
      <c r="B3086" s="71"/>
      <c r="C3086" s="71"/>
      <c r="D3086" s="81"/>
      <c r="E3086" s="71"/>
      <c r="F3086" s="71"/>
      <c r="G3086" s="82" t="str">
        <f aca="false">IF(C3086="","",IFERROR(INDEX('Kit Lists'!$D$6:$D$605,MATCH(B3086&amp;"|"&amp;C3086,'Kit Lists'!$J$6:$J$605,0)),"Not on this contract's kit list"))</f>
        <v/>
      </c>
      <c r="H3086" s="83" t="str">
        <f aca="false">IF(AND(B3086="",C3086="",D3086=""),"",IF(B3086="","Missing contract",IF(C3086="","Missing code",IF(LEFT(G3086,3)="Not","Wrong code",IF(D3086="","Missing qty",IF(A3086="","Missing date",""))))))</f>
        <v/>
      </c>
      <c r="I3086" s="84" t="str">
        <f aca="false">IF(B3086=Dashboard!$D$3,ROW(),"")</f>
        <v/>
      </c>
    </row>
    <row r="3087" customFormat="false" ht="15" hidden="false" customHeight="false" outlineLevel="0" collapsed="false">
      <c r="A3087" s="80"/>
      <c r="B3087" s="71"/>
      <c r="C3087" s="71"/>
      <c r="D3087" s="81"/>
      <c r="E3087" s="71"/>
      <c r="F3087" s="71"/>
      <c r="G3087" s="82" t="str">
        <f aca="false">IF(C3087="","",IFERROR(INDEX('Kit Lists'!$D$6:$D$605,MATCH(B3087&amp;"|"&amp;C3087,'Kit Lists'!$J$6:$J$605,0)),"Not on this contract's kit list"))</f>
        <v/>
      </c>
      <c r="H3087" s="83" t="str">
        <f aca="false">IF(AND(B3087="",C3087="",D3087=""),"",IF(B3087="","Missing contract",IF(C3087="","Missing code",IF(LEFT(G3087,3)="Not","Wrong code",IF(D3087="","Missing qty",IF(A3087="","Missing date",""))))))</f>
        <v/>
      </c>
      <c r="I3087" s="84" t="str">
        <f aca="false">IF(B3087=Dashboard!$D$3,ROW(),"")</f>
        <v/>
      </c>
    </row>
    <row r="3088" customFormat="false" ht="15" hidden="false" customHeight="false" outlineLevel="0" collapsed="false">
      <c r="A3088" s="80"/>
      <c r="B3088" s="71"/>
      <c r="C3088" s="71"/>
      <c r="D3088" s="81"/>
      <c r="E3088" s="71"/>
      <c r="F3088" s="71"/>
      <c r="G3088" s="82" t="str">
        <f aca="false">IF(C3088="","",IFERROR(INDEX('Kit Lists'!$D$6:$D$605,MATCH(B3088&amp;"|"&amp;C3088,'Kit Lists'!$J$6:$J$605,0)),"Not on this contract's kit list"))</f>
        <v/>
      </c>
      <c r="H3088" s="83" t="str">
        <f aca="false">IF(AND(B3088="",C3088="",D3088=""),"",IF(B3088="","Missing contract",IF(C3088="","Missing code",IF(LEFT(G3088,3)="Not","Wrong code",IF(D3088="","Missing qty",IF(A3088="","Missing date",""))))))</f>
        <v/>
      </c>
      <c r="I3088" s="84" t="str">
        <f aca="false">IF(B3088=Dashboard!$D$3,ROW(),"")</f>
        <v/>
      </c>
    </row>
    <row r="3089" customFormat="false" ht="15" hidden="false" customHeight="false" outlineLevel="0" collapsed="false">
      <c r="A3089" s="80"/>
      <c r="B3089" s="71"/>
      <c r="C3089" s="71"/>
      <c r="D3089" s="81"/>
      <c r="E3089" s="71"/>
      <c r="F3089" s="71"/>
      <c r="G3089" s="82" t="str">
        <f aca="false">IF(C3089="","",IFERROR(INDEX('Kit Lists'!$D$6:$D$605,MATCH(B3089&amp;"|"&amp;C3089,'Kit Lists'!$J$6:$J$605,0)),"Not on this contract's kit list"))</f>
        <v/>
      </c>
      <c r="H3089" s="83" t="str">
        <f aca="false">IF(AND(B3089="",C3089="",D3089=""),"",IF(B3089="","Missing contract",IF(C3089="","Missing code",IF(LEFT(G3089,3)="Not","Wrong code",IF(D3089="","Missing qty",IF(A3089="","Missing date",""))))))</f>
        <v/>
      </c>
      <c r="I3089" s="84" t="str">
        <f aca="false">IF(B3089=Dashboard!$D$3,ROW(),"")</f>
        <v/>
      </c>
    </row>
    <row r="3090" customFormat="false" ht="15" hidden="false" customHeight="false" outlineLevel="0" collapsed="false">
      <c r="A3090" s="80"/>
      <c r="B3090" s="71"/>
      <c r="C3090" s="71"/>
      <c r="D3090" s="81"/>
      <c r="E3090" s="71"/>
      <c r="F3090" s="71"/>
      <c r="G3090" s="82" t="str">
        <f aca="false">IF(C3090="","",IFERROR(INDEX('Kit Lists'!$D$6:$D$605,MATCH(B3090&amp;"|"&amp;C3090,'Kit Lists'!$J$6:$J$605,0)),"Not on this contract's kit list"))</f>
        <v/>
      </c>
      <c r="H3090" s="83" t="str">
        <f aca="false">IF(AND(B3090="",C3090="",D3090=""),"",IF(B3090="","Missing contract",IF(C3090="","Missing code",IF(LEFT(G3090,3)="Not","Wrong code",IF(D3090="","Missing qty",IF(A3090="","Missing date",""))))))</f>
        <v/>
      </c>
      <c r="I3090" s="84" t="str">
        <f aca="false">IF(B3090=Dashboard!$D$3,ROW(),"")</f>
        <v/>
      </c>
    </row>
    <row r="3091" customFormat="false" ht="15" hidden="false" customHeight="false" outlineLevel="0" collapsed="false">
      <c r="A3091" s="80"/>
      <c r="B3091" s="71"/>
      <c r="C3091" s="71"/>
      <c r="D3091" s="81"/>
      <c r="E3091" s="71"/>
      <c r="F3091" s="71"/>
      <c r="G3091" s="82" t="str">
        <f aca="false">IF(C3091="","",IFERROR(INDEX('Kit Lists'!$D$6:$D$605,MATCH(B3091&amp;"|"&amp;C3091,'Kit Lists'!$J$6:$J$605,0)),"Not on this contract's kit list"))</f>
        <v/>
      </c>
      <c r="H3091" s="83" t="str">
        <f aca="false">IF(AND(B3091="",C3091="",D3091=""),"",IF(B3091="","Missing contract",IF(C3091="","Missing code",IF(LEFT(G3091,3)="Not","Wrong code",IF(D3091="","Missing qty",IF(A3091="","Missing date",""))))))</f>
        <v/>
      </c>
      <c r="I3091" s="84" t="str">
        <f aca="false">IF(B3091=Dashboard!$D$3,ROW(),"")</f>
        <v/>
      </c>
    </row>
    <row r="3092" customFormat="false" ht="15" hidden="false" customHeight="false" outlineLevel="0" collapsed="false">
      <c r="A3092" s="80"/>
      <c r="B3092" s="71"/>
      <c r="C3092" s="71"/>
      <c r="D3092" s="81"/>
      <c r="E3092" s="71"/>
      <c r="F3092" s="71"/>
      <c r="G3092" s="82" t="str">
        <f aca="false">IF(C3092="","",IFERROR(INDEX('Kit Lists'!$D$6:$D$605,MATCH(B3092&amp;"|"&amp;C3092,'Kit Lists'!$J$6:$J$605,0)),"Not on this contract's kit list"))</f>
        <v/>
      </c>
      <c r="H3092" s="83" t="str">
        <f aca="false">IF(AND(B3092="",C3092="",D3092=""),"",IF(B3092="","Missing contract",IF(C3092="","Missing code",IF(LEFT(G3092,3)="Not","Wrong code",IF(D3092="","Missing qty",IF(A3092="","Missing date",""))))))</f>
        <v/>
      </c>
      <c r="I3092" s="84" t="str">
        <f aca="false">IF(B3092=Dashboard!$D$3,ROW(),"")</f>
        <v/>
      </c>
    </row>
    <row r="3093" customFormat="false" ht="15" hidden="false" customHeight="false" outlineLevel="0" collapsed="false">
      <c r="A3093" s="80"/>
      <c r="B3093" s="71"/>
      <c r="C3093" s="71"/>
      <c r="D3093" s="81"/>
      <c r="E3093" s="71"/>
      <c r="F3093" s="71"/>
      <c r="G3093" s="82" t="str">
        <f aca="false">IF(C3093="","",IFERROR(INDEX('Kit Lists'!$D$6:$D$605,MATCH(B3093&amp;"|"&amp;C3093,'Kit Lists'!$J$6:$J$605,0)),"Not on this contract's kit list"))</f>
        <v/>
      </c>
      <c r="H3093" s="83" t="str">
        <f aca="false">IF(AND(B3093="",C3093="",D3093=""),"",IF(B3093="","Missing contract",IF(C3093="","Missing code",IF(LEFT(G3093,3)="Not","Wrong code",IF(D3093="","Missing qty",IF(A3093="","Missing date",""))))))</f>
        <v/>
      </c>
      <c r="I3093" s="84" t="str">
        <f aca="false">IF(B3093=Dashboard!$D$3,ROW(),"")</f>
        <v/>
      </c>
    </row>
    <row r="3094" customFormat="false" ht="15" hidden="false" customHeight="false" outlineLevel="0" collapsed="false">
      <c r="A3094" s="80"/>
      <c r="B3094" s="71"/>
      <c r="C3094" s="71"/>
      <c r="D3094" s="81"/>
      <c r="E3094" s="71"/>
      <c r="F3094" s="71"/>
      <c r="G3094" s="82" t="str">
        <f aca="false">IF(C3094="","",IFERROR(INDEX('Kit Lists'!$D$6:$D$605,MATCH(B3094&amp;"|"&amp;C3094,'Kit Lists'!$J$6:$J$605,0)),"Not on this contract's kit list"))</f>
        <v/>
      </c>
      <c r="H3094" s="83" t="str">
        <f aca="false">IF(AND(B3094="",C3094="",D3094=""),"",IF(B3094="","Missing contract",IF(C3094="","Missing code",IF(LEFT(G3094,3)="Not","Wrong code",IF(D3094="","Missing qty",IF(A3094="","Missing date",""))))))</f>
        <v/>
      </c>
      <c r="I3094" s="84" t="str">
        <f aca="false">IF(B3094=Dashboard!$D$3,ROW(),"")</f>
        <v/>
      </c>
    </row>
    <row r="3095" customFormat="false" ht="15" hidden="false" customHeight="false" outlineLevel="0" collapsed="false">
      <c r="A3095" s="80"/>
      <c r="B3095" s="71"/>
      <c r="C3095" s="71"/>
      <c r="D3095" s="81"/>
      <c r="E3095" s="71"/>
      <c r="F3095" s="71"/>
      <c r="G3095" s="82" t="str">
        <f aca="false">IF(C3095="","",IFERROR(INDEX('Kit Lists'!$D$6:$D$605,MATCH(B3095&amp;"|"&amp;C3095,'Kit Lists'!$J$6:$J$605,0)),"Not on this contract's kit list"))</f>
        <v/>
      </c>
      <c r="H3095" s="83" t="str">
        <f aca="false">IF(AND(B3095="",C3095="",D3095=""),"",IF(B3095="","Missing contract",IF(C3095="","Missing code",IF(LEFT(G3095,3)="Not","Wrong code",IF(D3095="","Missing qty",IF(A3095="","Missing date",""))))))</f>
        <v/>
      </c>
      <c r="I3095" s="84" t="str">
        <f aca="false">IF(B3095=Dashboard!$D$3,ROW(),"")</f>
        <v/>
      </c>
    </row>
    <row r="3096" customFormat="false" ht="15" hidden="false" customHeight="false" outlineLevel="0" collapsed="false">
      <c r="A3096" s="80"/>
      <c r="B3096" s="71"/>
      <c r="C3096" s="71"/>
      <c r="D3096" s="81"/>
      <c r="E3096" s="71"/>
      <c r="F3096" s="71"/>
      <c r="G3096" s="82" t="str">
        <f aca="false">IF(C3096="","",IFERROR(INDEX('Kit Lists'!$D$6:$D$605,MATCH(B3096&amp;"|"&amp;C3096,'Kit Lists'!$J$6:$J$605,0)),"Not on this contract's kit list"))</f>
        <v/>
      </c>
      <c r="H3096" s="83" t="str">
        <f aca="false">IF(AND(B3096="",C3096="",D3096=""),"",IF(B3096="","Missing contract",IF(C3096="","Missing code",IF(LEFT(G3096,3)="Not","Wrong code",IF(D3096="","Missing qty",IF(A3096="","Missing date",""))))))</f>
        <v/>
      </c>
      <c r="I3096" s="84" t="str">
        <f aca="false">IF(B3096=Dashboard!$D$3,ROW(),"")</f>
        <v/>
      </c>
    </row>
    <row r="3097" customFormat="false" ht="15" hidden="false" customHeight="false" outlineLevel="0" collapsed="false">
      <c r="A3097" s="80"/>
      <c r="B3097" s="71"/>
      <c r="C3097" s="71"/>
      <c r="D3097" s="81"/>
      <c r="E3097" s="71"/>
      <c r="F3097" s="71"/>
      <c r="G3097" s="82" t="str">
        <f aca="false">IF(C3097="","",IFERROR(INDEX('Kit Lists'!$D$6:$D$605,MATCH(B3097&amp;"|"&amp;C3097,'Kit Lists'!$J$6:$J$605,0)),"Not on this contract's kit list"))</f>
        <v/>
      </c>
      <c r="H3097" s="83" t="str">
        <f aca="false">IF(AND(B3097="",C3097="",D3097=""),"",IF(B3097="","Missing contract",IF(C3097="","Missing code",IF(LEFT(G3097,3)="Not","Wrong code",IF(D3097="","Missing qty",IF(A3097="","Missing date",""))))))</f>
        <v/>
      </c>
      <c r="I3097" s="84" t="str">
        <f aca="false">IF(B3097=Dashboard!$D$3,ROW(),"")</f>
        <v/>
      </c>
    </row>
    <row r="3098" customFormat="false" ht="15" hidden="false" customHeight="false" outlineLevel="0" collapsed="false">
      <c r="A3098" s="80"/>
      <c r="B3098" s="71"/>
      <c r="C3098" s="71"/>
      <c r="D3098" s="81"/>
      <c r="E3098" s="71"/>
      <c r="F3098" s="71"/>
      <c r="G3098" s="82" t="str">
        <f aca="false">IF(C3098="","",IFERROR(INDEX('Kit Lists'!$D$6:$D$605,MATCH(B3098&amp;"|"&amp;C3098,'Kit Lists'!$J$6:$J$605,0)),"Not on this contract's kit list"))</f>
        <v/>
      </c>
      <c r="H3098" s="83" t="str">
        <f aca="false">IF(AND(B3098="",C3098="",D3098=""),"",IF(B3098="","Missing contract",IF(C3098="","Missing code",IF(LEFT(G3098,3)="Not","Wrong code",IF(D3098="","Missing qty",IF(A3098="","Missing date",""))))))</f>
        <v/>
      </c>
      <c r="I3098" s="84" t="str">
        <f aca="false">IF(B3098=Dashboard!$D$3,ROW(),"")</f>
        <v/>
      </c>
    </row>
    <row r="3099" customFormat="false" ht="15" hidden="false" customHeight="false" outlineLevel="0" collapsed="false">
      <c r="A3099" s="80"/>
      <c r="B3099" s="71"/>
      <c r="C3099" s="71"/>
      <c r="D3099" s="81"/>
      <c r="E3099" s="71"/>
      <c r="F3099" s="71"/>
      <c r="G3099" s="82" t="str">
        <f aca="false">IF(C3099="","",IFERROR(INDEX('Kit Lists'!$D$6:$D$605,MATCH(B3099&amp;"|"&amp;C3099,'Kit Lists'!$J$6:$J$605,0)),"Not on this contract's kit list"))</f>
        <v/>
      </c>
      <c r="H3099" s="83" t="str">
        <f aca="false">IF(AND(B3099="",C3099="",D3099=""),"",IF(B3099="","Missing contract",IF(C3099="","Missing code",IF(LEFT(G3099,3)="Not","Wrong code",IF(D3099="","Missing qty",IF(A3099="","Missing date",""))))))</f>
        <v/>
      </c>
      <c r="I3099" s="84" t="str">
        <f aca="false">IF(B3099=Dashboard!$D$3,ROW(),"")</f>
        <v/>
      </c>
    </row>
    <row r="3100" customFormat="false" ht="15" hidden="false" customHeight="false" outlineLevel="0" collapsed="false">
      <c r="A3100" s="80"/>
      <c r="B3100" s="71"/>
      <c r="C3100" s="71"/>
      <c r="D3100" s="81"/>
      <c r="E3100" s="71"/>
      <c r="F3100" s="71"/>
      <c r="G3100" s="82" t="str">
        <f aca="false">IF(C3100="","",IFERROR(INDEX('Kit Lists'!$D$6:$D$605,MATCH(B3100&amp;"|"&amp;C3100,'Kit Lists'!$J$6:$J$605,0)),"Not on this contract's kit list"))</f>
        <v/>
      </c>
      <c r="H3100" s="83" t="str">
        <f aca="false">IF(AND(B3100="",C3100="",D3100=""),"",IF(B3100="","Missing contract",IF(C3100="","Missing code",IF(LEFT(G3100,3)="Not","Wrong code",IF(D3100="","Missing qty",IF(A3100="","Missing date",""))))))</f>
        <v/>
      </c>
      <c r="I3100" s="84" t="str">
        <f aca="false">IF(B3100=Dashboard!$D$3,ROW(),"")</f>
        <v/>
      </c>
    </row>
    <row r="3101" customFormat="false" ht="15" hidden="false" customHeight="false" outlineLevel="0" collapsed="false">
      <c r="A3101" s="80"/>
      <c r="B3101" s="71"/>
      <c r="C3101" s="71"/>
      <c r="D3101" s="81"/>
      <c r="E3101" s="71"/>
      <c r="F3101" s="71"/>
      <c r="G3101" s="82" t="str">
        <f aca="false">IF(C3101="","",IFERROR(INDEX('Kit Lists'!$D$6:$D$605,MATCH(B3101&amp;"|"&amp;C3101,'Kit Lists'!$J$6:$J$605,0)),"Not on this contract's kit list"))</f>
        <v/>
      </c>
      <c r="H3101" s="83" t="str">
        <f aca="false">IF(AND(B3101="",C3101="",D3101=""),"",IF(B3101="","Missing contract",IF(C3101="","Missing code",IF(LEFT(G3101,3)="Not","Wrong code",IF(D3101="","Missing qty",IF(A3101="","Missing date",""))))))</f>
        <v/>
      </c>
      <c r="I3101" s="84" t="str">
        <f aca="false">IF(B3101=Dashboard!$D$3,ROW(),"")</f>
        <v/>
      </c>
    </row>
    <row r="3102" customFormat="false" ht="15" hidden="false" customHeight="false" outlineLevel="0" collapsed="false">
      <c r="A3102" s="80"/>
      <c r="B3102" s="71"/>
      <c r="C3102" s="71"/>
      <c r="D3102" s="81"/>
      <c r="E3102" s="71"/>
      <c r="F3102" s="71"/>
      <c r="G3102" s="82" t="str">
        <f aca="false">IF(C3102="","",IFERROR(INDEX('Kit Lists'!$D$6:$D$605,MATCH(B3102&amp;"|"&amp;C3102,'Kit Lists'!$J$6:$J$605,0)),"Not on this contract's kit list"))</f>
        <v/>
      </c>
      <c r="H3102" s="83" t="str">
        <f aca="false">IF(AND(B3102="",C3102="",D3102=""),"",IF(B3102="","Missing contract",IF(C3102="","Missing code",IF(LEFT(G3102,3)="Not","Wrong code",IF(D3102="","Missing qty",IF(A3102="","Missing date",""))))))</f>
        <v/>
      </c>
      <c r="I3102" s="84" t="str">
        <f aca="false">IF(B3102=Dashboard!$D$3,ROW(),"")</f>
        <v/>
      </c>
    </row>
    <row r="3103" customFormat="false" ht="15" hidden="false" customHeight="false" outlineLevel="0" collapsed="false">
      <c r="A3103" s="80"/>
      <c r="B3103" s="71"/>
      <c r="C3103" s="71"/>
      <c r="D3103" s="81"/>
      <c r="E3103" s="71"/>
      <c r="F3103" s="71"/>
      <c r="G3103" s="82" t="str">
        <f aca="false">IF(C3103="","",IFERROR(INDEX('Kit Lists'!$D$6:$D$605,MATCH(B3103&amp;"|"&amp;C3103,'Kit Lists'!$J$6:$J$605,0)),"Not on this contract's kit list"))</f>
        <v/>
      </c>
      <c r="H3103" s="83" t="str">
        <f aca="false">IF(AND(B3103="",C3103="",D3103=""),"",IF(B3103="","Missing contract",IF(C3103="","Missing code",IF(LEFT(G3103,3)="Not","Wrong code",IF(D3103="","Missing qty",IF(A3103="","Missing date",""))))))</f>
        <v/>
      </c>
      <c r="I3103" s="84" t="str">
        <f aca="false">IF(B3103=Dashboard!$D$3,ROW(),"")</f>
        <v/>
      </c>
    </row>
    <row r="3104" customFormat="false" ht="15" hidden="false" customHeight="false" outlineLevel="0" collapsed="false">
      <c r="A3104" s="80"/>
      <c r="B3104" s="71"/>
      <c r="C3104" s="71"/>
      <c r="D3104" s="81"/>
      <c r="E3104" s="71"/>
      <c r="F3104" s="71"/>
      <c r="G3104" s="82" t="str">
        <f aca="false">IF(C3104="","",IFERROR(INDEX('Kit Lists'!$D$6:$D$605,MATCH(B3104&amp;"|"&amp;C3104,'Kit Lists'!$J$6:$J$605,0)),"Not on this contract's kit list"))</f>
        <v/>
      </c>
      <c r="H3104" s="83" t="str">
        <f aca="false">IF(AND(B3104="",C3104="",D3104=""),"",IF(B3104="","Missing contract",IF(C3104="","Missing code",IF(LEFT(G3104,3)="Not","Wrong code",IF(D3104="","Missing qty",IF(A3104="","Missing date",""))))))</f>
        <v/>
      </c>
      <c r="I3104" s="84" t="str">
        <f aca="false">IF(B3104=Dashboard!$D$3,ROW(),"")</f>
        <v/>
      </c>
    </row>
    <row r="3105" customFormat="false" ht="15" hidden="false" customHeight="false" outlineLevel="0" collapsed="false">
      <c r="A3105" s="80"/>
      <c r="B3105" s="71"/>
      <c r="C3105" s="71"/>
      <c r="D3105" s="81"/>
      <c r="E3105" s="71"/>
      <c r="F3105" s="71"/>
      <c r="G3105" s="82" t="str">
        <f aca="false">IF(C3105="","",IFERROR(INDEX('Kit Lists'!$D$6:$D$605,MATCH(B3105&amp;"|"&amp;C3105,'Kit Lists'!$J$6:$J$605,0)),"Not on this contract's kit list"))</f>
        <v/>
      </c>
      <c r="H3105" s="83" t="str">
        <f aca="false">IF(AND(B3105="",C3105="",D3105=""),"",IF(B3105="","Missing contract",IF(C3105="","Missing code",IF(LEFT(G3105,3)="Not","Wrong code",IF(D3105="","Missing qty",IF(A3105="","Missing date",""))))))</f>
        <v/>
      </c>
      <c r="I3105" s="84" t="str">
        <f aca="false">IF(B3105=Dashboard!$D$3,ROW(),"")</f>
        <v/>
      </c>
    </row>
    <row r="3106" customFormat="false" ht="15" hidden="false" customHeight="false" outlineLevel="0" collapsed="false">
      <c r="A3106" s="80"/>
      <c r="B3106" s="71"/>
      <c r="C3106" s="71"/>
      <c r="D3106" s="81"/>
      <c r="E3106" s="71"/>
      <c r="F3106" s="71"/>
      <c r="G3106" s="82" t="str">
        <f aca="false">IF(C3106="","",IFERROR(INDEX('Kit Lists'!$D$6:$D$605,MATCH(B3106&amp;"|"&amp;C3106,'Kit Lists'!$J$6:$J$605,0)),"Not on this contract's kit list"))</f>
        <v/>
      </c>
      <c r="H3106" s="83" t="str">
        <f aca="false">IF(AND(B3106="",C3106="",D3106=""),"",IF(B3106="","Missing contract",IF(C3106="","Missing code",IF(LEFT(G3106,3)="Not","Wrong code",IF(D3106="","Missing qty",IF(A3106="","Missing date",""))))))</f>
        <v/>
      </c>
      <c r="I3106" s="84" t="str">
        <f aca="false">IF(B3106=Dashboard!$D$3,ROW(),"")</f>
        <v/>
      </c>
    </row>
    <row r="3107" customFormat="false" ht="15" hidden="false" customHeight="false" outlineLevel="0" collapsed="false">
      <c r="A3107" s="80"/>
      <c r="B3107" s="71"/>
      <c r="C3107" s="71"/>
      <c r="D3107" s="81"/>
      <c r="E3107" s="71"/>
      <c r="F3107" s="71"/>
      <c r="G3107" s="82" t="str">
        <f aca="false">IF(C3107="","",IFERROR(INDEX('Kit Lists'!$D$6:$D$605,MATCH(B3107&amp;"|"&amp;C3107,'Kit Lists'!$J$6:$J$605,0)),"Not on this contract's kit list"))</f>
        <v/>
      </c>
      <c r="H3107" s="83" t="str">
        <f aca="false">IF(AND(B3107="",C3107="",D3107=""),"",IF(B3107="","Missing contract",IF(C3107="","Missing code",IF(LEFT(G3107,3)="Not","Wrong code",IF(D3107="","Missing qty",IF(A3107="","Missing date",""))))))</f>
        <v/>
      </c>
      <c r="I3107" s="84" t="str">
        <f aca="false">IF(B3107=Dashboard!$D$3,ROW(),"")</f>
        <v/>
      </c>
    </row>
    <row r="3108" customFormat="false" ht="15" hidden="false" customHeight="false" outlineLevel="0" collapsed="false">
      <c r="A3108" s="80"/>
      <c r="B3108" s="71"/>
      <c r="C3108" s="71"/>
      <c r="D3108" s="81"/>
      <c r="E3108" s="71"/>
      <c r="F3108" s="71"/>
      <c r="G3108" s="82" t="str">
        <f aca="false">IF(C3108="","",IFERROR(INDEX('Kit Lists'!$D$6:$D$605,MATCH(B3108&amp;"|"&amp;C3108,'Kit Lists'!$J$6:$J$605,0)),"Not on this contract's kit list"))</f>
        <v/>
      </c>
      <c r="H3108" s="83" t="str">
        <f aca="false">IF(AND(B3108="",C3108="",D3108=""),"",IF(B3108="","Missing contract",IF(C3108="","Missing code",IF(LEFT(G3108,3)="Not","Wrong code",IF(D3108="","Missing qty",IF(A3108="","Missing date",""))))))</f>
        <v/>
      </c>
      <c r="I3108" s="84" t="str">
        <f aca="false">IF(B3108=Dashboard!$D$3,ROW(),"")</f>
        <v/>
      </c>
    </row>
    <row r="3109" customFormat="false" ht="15" hidden="false" customHeight="false" outlineLevel="0" collapsed="false">
      <c r="A3109" s="80"/>
      <c r="B3109" s="71"/>
      <c r="C3109" s="71"/>
      <c r="D3109" s="81"/>
      <c r="E3109" s="71"/>
      <c r="F3109" s="71"/>
      <c r="G3109" s="82" t="str">
        <f aca="false">IF(C3109="","",IFERROR(INDEX('Kit Lists'!$D$6:$D$605,MATCH(B3109&amp;"|"&amp;C3109,'Kit Lists'!$J$6:$J$605,0)),"Not on this contract's kit list"))</f>
        <v/>
      </c>
      <c r="H3109" s="83" t="str">
        <f aca="false">IF(AND(B3109="",C3109="",D3109=""),"",IF(B3109="","Missing contract",IF(C3109="","Missing code",IF(LEFT(G3109,3)="Not","Wrong code",IF(D3109="","Missing qty",IF(A3109="","Missing date",""))))))</f>
        <v/>
      </c>
      <c r="I3109" s="84" t="str">
        <f aca="false">IF(B3109=Dashboard!$D$3,ROW(),"")</f>
        <v/>
      </c>
    </row>
    <row r="3110" customFormat="false" ht="15" hidden="false" customHeight="false" outlineLevel="0" collapsed="false">
      <c r="A3110" s="80"/>
      <c r="B3110" s="71"/>
      <c r="C3110" s="71"/>
      <c r="D3110" s="81"/>
      <c r="E3110" s="71"/>
      <c r="F3110" s="71"/>
      <c r="G3110" s="82" t="str">
        <f aca="false">IF(C3110="","",IFERROR(INDEX('Kit Lists'!$D$6:$D$605,MATCH(B3110&amp;"|"&amp;C3110,'Kit Lists'!$J$6:$J$605,0)),"Not on this contract's kit list"))</f>
        <v/>
      </c>
      <c r="H3110" s="83" t="str">
        <f aca="false">IF(AND(B3110="",C3110="",D3110=""),"",IF(B3110="","Missing contract",IF(C3110="","Missing code",IF(LEFT(G3110,3)="Not","Wrong code",IF(D3110="","Missing qty",IF(A3110="","Missing date",""))))))</f>
        <v/>
      </c>
      <c r="I3110" s="84" t="str">
        <f aca="false">IF(B3110=Dashboard!$D$3,ROW(),"")</f>
        <v/>
      </c>
    </row>
    <row r="3111" customFormat="false" ht="15" hidden="false" customHeight="false" outlineLevel="0" collapsed="false">
      <c r="A3111" s="80"/>
      <c r="B3111" s="71"/>
      <c r="C3111" s="71"/>
      <c r="D3111" s="81"/>
      <c r="E3111" s="71"/>
      <c r="F3111" s="71"/>
      <c r="G3111" s="82" t="str">
        <f aca="false">IF(C3111="","",IFERROR(INDEX('Kit Lists'!$D$6:$D$605,MATCH(B3111&amp;"|"&amp;C3111,'Kit Lists'!$J$6:$J$605,0)),"Not on this contract's kit list"))</f>
        <v/>
      </c>
      <c r="H3111" s="83" t="str">
        <f aca="false">IF(AND(B3111="",C3111="",D3111=""),"",IF(B3111="","Missing contract",IF(C3111="","Missing code",IF(LEFT(G3111,3)="Not","Wrong code",IF(D3111="","Missing qty",IF(A3111="","Missing date",""))))))</f>
        <v/>
      </c>
      <c r="I3111" s="84" t="str">
        <f aca="false">IF(B3111=Dashboard!$D$3,ROW(),"")</f>
        <v/>
      </c>
    </row>
    <row r="3112" customFormat="false" ht="15" hidden="false" customHeight="false" outlineLevel="0" collapsed="false">
      <c r="A3112" s="80"/>
      <c r="B3112" s="71"/>
      <c r="C3112" s="71"/>
      <c r="D3112" s="81"/>
      <c r="E3112" s="71"/>
      <c r="F3112" s="71"/>
      <c r="G3112" s="82" t="str">
        <f aca="false">IF(C3112="","",IFERROR(INDEX('Kit Lists'!$D$6:$D$605,MATCH(B3112&amp;"|"&amp;C3112,'Kit Lists'!$J$6:$J$605,0)),"Not on this contract's kit list"))</f>
        <v/>
      </c>
      <c r="H3112" s="83" t="str">
        <f aca="false">IF(AND(B3112="",C3112="",D3112=""),"",IF(B3112="","Missing contract",IF(C3112="","Missing code",IF(LEFT(G3112,3)="Not","Wrong code",IF(D3112="","Missing qty",IF(A3112="","Missing date",""))))))</f>
        <v/>
      </c>
      <c r="I3112" s="84" t="str">
        <f aca="false">IF(B3112=Dashboard!$D$3,ROW(),"")</f>
        <v/>
      </c>
    </row>
    <row r="3113" customFormat="false" ht="15" hidden="false" customHeight="false" outlineLevel="0" collapsed="false">
      <c r="A3113" s="80"/>
      <c r="B3113" s="71"/>
      <c r="C3113" s="71"/>
      <c r="D3113" s="81"/>
      <c r="E3113" s="71"/>
      <c r="F3113" s="71"/>
      <c r="G3113" s="82" t="str">
        <f aca="false">IF(C3113="","",IFERROR(INDEX('Kit Lists'!$D$6:$D$605,MATCH(B3113&amp;"|"&amp;C3113,'Kit Lists'!$J$6:$J$605,0)),"Not on this contract's kit list"))</f>
        <v/>
      </c>
      <c r="H3113" s="83" t="str">
        <f aca="false">IF(AND(B3113="",C3113="",D3113=""),"",IF(B3113="","Missing contract",IF(C3113="","Missing code",IF(LEFT(G3113,3)="Not","Wrong code",IF(D3113="","Missing qty",IF(A3113="","Missing date",""))))))</f>
        <v/>
      </c>
      <c r="I3113" s="84" t="str">
        <f aca="false">IF(B3113=Dashboard!$D$3,ROW(),"")</f>
        <v/>
      </c>
    </row>
    <row r="3114" customFormat="false" ht="15" hidden="false" customHeight="false" outlineLevel="0" collapsed="false">
      <c r="A3114" s="80"/>
      <c r="B3114" s="71"/>
      <c r="C3114" s="71"/>
      <c r="D3114" s="81"/>
      <c r="E3114" s="71"/>
      <c r="F3114" s="71"/>
      <c r="G3114" s="82" t="str">
        <f aca="false">IF(C3114="","",IFERROR(INDEX('Kit Lists'!$D$6:$D$605,MATCH(B3114&amp;"|"&amp;C3114,'Kit Lists'!$J$6:$J$605,0)),"Not on this contract's kit list"))</f>
        <v/>
      </c>
      <c r="H3114" s="83" t="str">
        <f aca="false">IF(AND(B3114="",C3114="",D3114=""),"",IF(B3114="","Missing contract",IF(C3114="","Missing code",IF(LEFT(G3114,3)="Not","Wrong code",IF(D3114="","Missing qty",IF(A3114="","Missing date",""))))))</f>
        <v/>
      </c>
      <c r="I3114" s="84" t="str">
        <f aca="false">IF(B3114=Dashboard!$D$3,ROW(),"")</f>
        <v/>
      </c>
    </row>
    <row r="3115" customFormat="false" ht="15" hidden="false" customHeight="false" outlineLevel="0" collapsed="false">
      <c r="A3115" s="80"/>
      <c r="B3115" s="71"/>
      <c r="C3115" s="71"/>
      <c r="D3115" s="81"/>
      <c r="E3115" s="71"/>
      <c r="F3115" s="71"/>
      <c r="G3115" s="82" t="str">
        <f aca="false">IF(C3115="","",IFERROR(INDEX('Kit Lists'!$D$6:$D$605,MATCH(B3115&amp;"|"&amp;C3115,'Kit Lists'!$J$6:$J$605,0)),"Not on this contract's kit list"))</f>
        <v/>
      </c>
      <c r="H3115" s="83" t="str">
        <f aca="false">IF(AND(B3115="",C3115="",D3115=""),"",IF(B3115="","Missing contract",IF(C3115="","Missing code",IF(LEFT(G3115,3)="Not","Wrong code",IF(D3115="","Missing qty",IF(A3115="","Missing date",""))))))</f>
        <v/>
      </c>
      <c r="I3115" s="84" t="str">
        <f aca="false">IF(B3115=Dashboard!$D$3,ROW(),"")</f>
        <v/>
      </c>
    </row>
    <row r="3116" customFormat="false" ht="15" hidden="false" customHeight="false" outlineLevel="0" collapsed="false">
      <c r="A3116" s="80"/>
      <c r="B3116" s="71"/>
      <c r="C3116" s="71"/>
      <c r="D3116" s="81"/>
      <c r="E3116" s="71"/>
      <c r="F3116" s="71"/>
      <c r="G3116" s="82" t="str">
        <f aca="false">IF(C3116="","",IFERROR(INDEX('Kit Lists'!$D$6:$D$605,MATCH(B3116&amp;"|"&amp;C3116,'Kit Lists'!$J$6:$J$605,0)),"Not on this contract's kit list"))</f>
        <v/>
      </c>
      <c r="H3116" s="83" t="str">
        <f aca="false">IF(AND(B3116="",C3116="",D3116=""),"",IF(B3116="","Missing contract",IF(C3116="","Missing code",IF(LEFT(G3116,3)="Not","Wrong code",IF(D3116="","Missing qty",IF(A3116="","Missing date",""))))))</f>
        <v/>
      </c>
      <c r="I3116" s="84" t="str">
        <f aca="false">IF(B3116=Dashboard!$D$3,ROW(),"")</f>
        <v/>
      </c>
    </row>
    <row r="3117" customFormat="false" ht="15" hidden="false" customHeight="false" outlineLevel="0" collapsed="false">
      <c r="A3117" s="80"/>
      <c r="B3117" s="71"/>
      <c r="C3117" s="71"/>
      <c r="D3117" s="81"/>
      <c r="E3117" s="71"/>
      <c r="F3117" s="71"/>
      <c r="G3117" s="82" t="str">
        <f aca="false">IF(C3117="","",IFERROR(INDEX('Kit Lists'!$D$6:$D$605,MATCH(B3117&amp;"|"&amp;C3117,'Kit Lists'!$J$6:$J$605,0)),"Not on this contract's kit list"))</f>
        <v/>
      </c>
      <c r="H3117" s="83" t="str">
        <f aca="false">IF(AND(B3117="",C3117="",D3117=""),"",IF(B3117="","Missing contract",IF(C3117="","Missing code",IF(LEFT(G3117,3)="Not","Wrong code",IF(D3117="","Missing qty",IF(A3117="","Missing date",""))))))</f>
        <v/>
      </c>
      <c r="I3117" s="84" t="str">
        <f aca="false">IF(B3117=Dashboard!$D$3,ROW(),"")</f>
        <v/>
      </c>
    </row>
    <row r="3118" customFormat="false" ht="15" hidden="false" customHeight="false" outlineLevel="0" collapsed="false">
      <c r="A3118" s="80"/>
      <c r="B3118" s="71"/>
      <c r="C3118" s="71"/>
      <c r="D3118" s="81"/>
      <c r="E3118" s="71"/>
      <c r="F3118" s="71"/>
      <c r="G3118" s="82" t="str">
        <f aca="false">IF(C3118="","",IFERROR(INDEX('Kit Lists'!$D$6:$D$605,MATCH(B3118&amp;"|"&amp;C3118,'Kit Lists'!$J$6:$J$605,0)),"Not on this contract's kit list"))</f>
        <v/>
      </c>
      <c r="H3118" s="83" t="str">
        <f aca="false">IF(AND(B3118="",C3118="",D3118=""),"",IF(B3118="","Missing contract",IF(C3118="","Missing code",IF(LEFT(G3118,3)="Not","Wrong code",IF(D3118="","Missing qty",IF(A3118="","Missing date",""))))))</f>
        <v/>
      </c>
      <c r="I3118" s="84" t="str">
        <f aca="false">IF(B3118=Dashboard!$D$3,ROW(),"")</f>
        <v/>
      </c>
    </row>
    <row r="3119" customFormat="false" ht="15" hidden="false" customHeight="false" outlineLevel="0" collapsed="false">
      <c r="A3119" s="80"/>
      <c r="B3119" s="71"/>
      <c r="C3119" s="71"/>
      <c r="D3119" s="81"/>
      <c r="E3119" s="71"/>
      <c r="F3119" s="71"/>
      <c r="G3119" s="82" t="str">
        <f aca="false">IF(C3119="","",IFERROR(INDEX('Kit Lists'!$D$6:$D$605,MATCH(B3119&amp;"|"&amp;C3119,'Kit Lists'!$J$6:$J$605,0)),"Not on this contract's kit list"))</f>
        <v/>
      </c>
      <c r="H3119" s="83" t="str">
        <f aca="false">IF(AND(B3119="",C3119="",D3119=""),"",IF(B3119="","Missing contract",IF(C3119="","Missing code",IF(LEFT(G3119,3)="Not","Wrong code",IF(D3119="","Missing qty",IF(A3119="","Missing date",""))))))</f>
        <v/>
      </c>
      <c r="I3119" s="84" t="str">
        <f aca="false">IF(B3119=Dashboard!$D$3,ROW(),"")</f>
        <v/>
      </c>
    </row>
    <row r="3120" customFormat="false" ht="15" hidden="false" customHeight="false" outlineLevel="0" collapsed="false">
      <c r="A3120" s="80"/>
      <c r="B3120" s="71"/>
      <c r="C3120" s="71"/>
      <c r="D3120" s="81"/>
      <c r="E3120" s="71"/>
      <c r="F3120" s="71"/>
      <c r="G3120" s="82" t="str">
        <f aca="false">IF(C3120="","",IFERROR(INDEX('Kit Lists'!$D$6:$D$605,MATCH(B3120&amp;"|"&amp;C3120,'Kit Lists'!$J$6:$J$605,0)),"Not on this contract's kit list"))</f>
        <v/>
      </c>
      <c r="H3120" s="83" t="str">
        <f aca="false">IF(AND(B3120="",C3120="",D3120=""),"",IF(B3120="","Missing contract",IF(C3120="","Missing code",IF(LEFT(G3120,3)="Not","Wrong code",IF(D3120="","Missing qty",IF(A3120="","Missing date",""))))))</f>
        <v/>
      </c>
      <c r="I3120" s="84" t="str">
        <f aca="false">IF(B3120=Dashboard!$D$3,ROW(),"")</f>
        <v/>
      </c>
    </row>
    <row r="3121" customFormat="false" ht="15" hidden="false" customHeight="false" outlineLevel="0" collapsed="false">
      <c r="A3121" s="80"/>
      <c r="B3121" s="71"/>
      <c r="C3121" s="71"/>
      <c r="D3121" s="81"/>
      <c r="E3121" s="71"/>
      <c r="F3121" s="71"/>
      <c r="G3121" s="82" t="str">
        <f aca="false">IF(C3121="","",IFERROR(INDEX('Kit Lists'!$D$6:$D$605,MATCH(B3121&amp;"|"&amp;C3121,'Kit Lists'!$J$6:$J$605,0)),"Not on this contract's kit list"))</f>
        <v/>
      </c>
      <c r="H3121" s="83" t="str">
        <f aca="false">IF(AND(B3121="",C3121="",D3121=""),"",IF(B3121="","Missing contract",IF(C3121="","Missing code",IF(LEFT(G3121,3)="Not","Wrong code",IF(D3121="","Missing qty",IF(A3121="","Missing date",""))))))</f>
        <v/>
      </c>
      <c r="I3121" s="84" t="str">
        <f aca="false">IF(B3121=Dashboard!$D$3,ROW(),"")</f>
        <v/>
      </c>
    </row>
    <row r="3122" customFormat="false" ht="15" hidden="false" customHeight="false" outlineLevel="0" collapsed="false">
      <c r="A3122" s="80"/>
      <c r="B3122" s="71"/>
      <c r="C3122" s="71"/>
      <c r="D3122" s="81"/>
      <c r="E3122" s="71"/>
      <c r="F3122" s="71"/>
      <c r="G3122" s="82" t="str">
        <f aca="false">IF(C3122="","",IFERROR(INDEX('Kit Lists'!$D$6:$D$605,MATCH(B3122&amp;"|"&amp;C3122,'Kit Lists'!$J$6:$J$605,0)),"Not on this contract's kit list"))</f>
        <v/>
      </c>
      <c r="H3122" s="83" t="str">
        <f aca="false">IF(AND(B3122="",C3122="",D3122=""),"",IF(B3122="","Missing contract",IF(C3122="","Missing code",IF(LEFT(G3122,3)="Not","Wrong code",IF(D3122="","Missing qty",IF(A3122="","Missing date",""))))))</f>
        <v/>
      </c>
      <c r="I3122" s="84" t="str">
        <f aca="false">IF(B3122=Dashboard!$D$3,ROW(),"")</f>
        <v/>
      </c>
    </row>
    <row r="3123" customFormat="false" ht="15" hidden="false" customHeight="false" outlineLevel="0" collapsed="false">
      <c r="A3123" s="80"/>
      <c r="B3123" s="71"/>
      <c r="C3123" s="71"/>
      <c r="D3123" s="81"/>
      <c r="E3123" s="71"/>
      <c r="F3123" s="71"/>
      <c r="G3123" s="82" t="str">
        <f aca="false">IF(C3123="","",IFERROR(INDEX('Kit Lists'!$D$6:$D$605,MATCH(B3123&amp;"|"&amp;C3123,'Kit Lists'!$J$6:$J$605,0)),"Not on this contract's kit list"))</f>
        <v/>
      </c>
      <c r="H3123" s="83" t="str">
        <f aca="false">IF(AND(B3123="",C3123="",D3123=""),"",IF(B3123="","Missing contract",IF(C3123="","Missing code",IF(LEFT(G3123,3)="Not","Wrong code",IF(D3123="","Missing qty",IF(A3123="","Missing date",""))))))</f>
        <v/>
      </c>
      <c r="I3123" s="84" t="str">
        <f aca="false">IF(B3123=Dashboard!$D$3,ROW(),"")</f>
        <v/>
      </c>
    </row>
    <row r="3124" customFormat="false" ht="15" hidden="false" customHeight="false" outlineLevel="0" collapsed="false">
      <c r="A3124" s="80"/>
      <c r="B3124" s="71"/>
      <c r="C3124" s="71"/>
      <c r="D3124" s="81"/>
      <c r="E3124" s="71"/>
      <c r="F3124" s="71"/>
      <c r="G3124" s="82" t="str">
        <f aca="false">IF(C3124="","",IFERROR(INDEX('Kit Lists'!$D$6:$D$605,MATCH(B3124&amp;"|"&amp;C3124,'Kit Lists'!$J$6:$J$605,0)),"Not on this contract's kit list"))</f>
        <v/>
      </c>
      <c r="H3124" s="83" t="str">
        <f aca="false">IF(AND(B3124="",C3124="",D3124=""),"",IF(B3124="","Missing contract",IF(C3124="","Missing code",IF(LEFT(G3124,3)="Not","Wrong code",IF(D3124="","Missing qty",IF(A3124="","Missing date",""))))))</f>
        <v/>
      </c>
      <c r="I3124" s="84" t="str">
        <f aca="false">IF(B3124=Dashboard!$D$3,ROW(),"")</f>
        <v/>
      </c>
    </row>
    <row r="3125" customFormat="false" ht="15" hidden="false" customHeight="false" outlineLevel="0" collapsed="false">
      <c r="A3125" s="80"/>
      <c r="B3125" s="71"/>
      <c r="C3125" s="71"/>
      <c r="D3125" s="81"/>
      <c r="E3125" s="71"/>
      <c r="F3125" s="71"/>
      <c r="G3125" s="82" t="str">
        <f aca="false">IF(C3125="","",IFERROR(INDEX('Kit Lists'!$D$6:$D$605,MATCH(B3125&amp;"|"&amp;C3125,'Kit Lists'!$J$6:$J$605,0)),"Not on this contract's kit list"))</f>
        <v/>
      </c>
      <c r="H3125" s="83" t="str">
        <f aca="false">IF(AND(B3125="",C3125="",D3125=""),"",IF(B3125="","Missing contract",IF(C3125="","Missing code",IF(LEFT(G3125,3)="Not","Wrong code",IF(D3125="","Missing qty",IF(A3125="","Missing date",""))))))</f>
        <v/>
      </c>
      <c r="I3125" s="84" t="str">
        <f aca="false">IF(B3125=Dashboard!$D$3,ROW(),"")</f>
        <v/>
      </c>
    </row>
    <row r="3126" customFormat="false" ht="15" hidden="false" customHeight="false" outlineLevel="0" collapsed="false">
      <c r="A3126" s="80"/>
      <c r="B3126" s="71"/>
      <c r="C3126" s="71"/>
      <c r="D3126" s="81"/>
      <c r="E3126" s="71"/>
      <c r="F3126" s="71"/>
      <c r="G3126" s="82" t="str">
        <f aca="false">IF(C3126="","",IFERROR(INDEX('Kit Lists'!$D$6:$D$605,MATCH(B3126&amp;"|"&amp;C3126,'Kit Lists'!$J$6:$J$605,0)),"Not on this contract's kit list"))</f>
        <v/>
      </c>
      <c r="H3126" s="83" t="str">
        <f aca="false">IF(AND(B3126="",C3126="",D3126=""),"",IF(B3126="","Missing contract",IF(C3126="","Missing code",IF(LEFT(G3126,3)="Not","Wrong code",IF(D3126="","Missing qty",IF(A3126="","Missing date",""))))))</f>
        <v/>
      </c>
      <c r="I3126" s="84" t="str">
        <f aca="false">IF(B3126=Dashboard!$D$3,ROW(),"")</f>
        <v/>
      </c>
    </row>
    <row r="3127" customFormat="false" ht="15" hidden="false" customHeight="false" outlineLevel="0" collapsed="false">
      <c r="A3127" s="80"/>
      <c r="B3127" s="71"/>
      <c r="C3127" s="71"/>
      <c r="D3127" s="81"/>
      <c r="E3127" s="71"/>
      <c r="F3127" s="71"/>
      <c r="G3127" s="82" t="str">
        <f aca="false">IF(C3127="","",IFERROR(INDEX('Kit Lists'!$D$6:$D$605,MATCH(B3127&amp;"|"&amp;C3127,'Kit Lists'!$J$6:$J$605,0)),"Not on this contract's kit list"))</f>
        <v/>
      </c>
      <c r="H3127" s="83" t="str">
        <f aca="false">IF(AND(B3127="",C3127="",D3127=""),"",IF(B3127="","Missing contract",IF(C3127="","Missing code",IF(LEFT(G3127,3)="Not","Wrong code",IF(D3127="","Missing qty",IF(A3127="","Missing date",""))))))</f>
        <v/>
      </c>
      <c r="I3127" s="84" t="str">
        <f aca="false">IF(B3127=Dashboard!$D$3,ROW(),"")</f>
        <v/>
      </c>
    </row>
    <row r="3128" customFormat="false" ht="15" hidden="false" customHeight="false" outlineLevel="0" collapsed="false">
      <c r="A3128" s="80"/>
      <c r="B3128" s="71"/>
      <c r="C3128" s="71"/>
      <c r="D3128" s="81"/>
      <c r="E3128" s="71"/>
      <c r="F3128" s="71"/>
      <c r="G3128" s="82" t="str">
        <f aca="false">IF(C3128="","",IFERROR(INDEX('Kit Lists'!$D$6:$D$605,MATCH(B3128&amp;"|"&amp;C3128,'Kit Lists'!$J$6:$J$605,0)),"Not on this contract's kit list"))</f>
        <v/>
      </c>
      <c r="H3128" s="83" t="str">
        <f aca="false">IF(AND(B3128="",C3128="",D3128=""),"",IF(B3128="","Missing contract",IF(C3128="","Missing code",IF(LEFT(G3128,3)="Not","Wrong code",IF(D3128="","Missing qty",IF(A3128="","Missing date",""))))))</f>
        <v/>
      </c>
      <c r="I3128" s="84" t="str">
        <f aca="false">IF(B3128=Dashboard!$D$3,ROW(),"")</f>
        <v/>
      </c>
    </row>
    <row r="3129" customFormat="false" ht="15" hidden="false" customHeight="false" outlineLevel="0" collapsed="false">
      <c r="A3129" s="80"/>
      <c r="B3129" s="71"/>
      <c r="C3129" s="71"/>
      <c r="D3129" s="81"/>
      <c r="E3129" s="71"/>
      <c r="F3129" s="71"/>
      <c r="G3129" s="82" t="str">
        <f aca="false">IF(C3129="","",IFERROR(INDEX('Kit Lists'!$D$6:$D$605,MATCH(B3129&amp;"|"&amp;C3129,'Kit Lists'!$J$6:$J$605,0)),"Not on this contract's kit list"))</f>
        <v/>
      </c>
      <c r="H3129" s="83" t="str">
        <f aca="false">IF(AND(B3129="",C3129="",D3129=""),"",IF(B3129="","Missing contract",IF(C3129="","Missing code",IF(LEFT(G3129,3)="Not","Wrong code",IF(D3129="","Missing qty",IF(A3129="","Missing date",""))))))</f>
        <v/>
      </c>
      <c r="I3129" s="84" t="str">
        <f aca="false">IF(B3129=Dashboard!$D$3,ROW(),"")</f>
        <v/>
      </c>
    </row>
    <row r="3130" customFormat="false" ht="15" hidden="false" customHeight="false" outlineLevel="0" collapsed="false">
      <c r="A3130" s="80"/>
      <c r="B3130" s="71"/>
      <c r="C3130" s="71"/>
      <c r="D3130" s="81"/>
      <c r="E3130" s="71"/>
      <c r="F3130" s="71"/>
      <c r="G3130" s="82" t="str">
        <f aca="false">IF(C3130="","",IFERROR(INDEX('Kit Lists'!$D$6:$D$605,MATCH(B3130&amp;"|"&amp;C3130,'Kit Lists'!$J$6:$J$605,0)),"Not on this contract's kit list"))</f>
        <v/>
      </c>
      <c r="H3130" s="83" t="str">
        <f aca="false">IF(AND(B3130="",C3130="",D3130=""),"",IF(B3130="","Missing contract",IF(C3130="","Missing code",IF(LEFT(G3130,3)="Not","Wrong code",IF(D3130="","Missing qty",IF(A3130="","Missing date",""))))))</f>
        <v/>
      </c>
      <c r="I3130" s="84" t="str">
        <f aca="false">IF(B3130=Dashboard!$D$3,ROW(),"")</f>
        <v/>
      </c>
    </row>
    <row r="3131" customFormat="false" ht="15" hidden="false" customHeight="false" outlineLevel="0" collapsed="false">
      <c r="A3131" s="80"/>
      <c r="B3131" s="71"/>
      <c r="C3131" s="71"/>
      <c r="D3131" s="81"/>
      <c r="E3131" s="71"/>
      <c r="F3131" s="71"/>
      <c r="G3131" s="82" t="str">
        <f aca="false">IF(C3131="","",IFERROR(INDEX('Kit Lists'!$D$6:$D$605,MATCH(B3131&amp;"|"&amp;C3131,'Kit Lists'!$J$6:$J$605,0)),"Not on this contract's kit list"))</f>
        <v/>
      </c>
      <c r="H3131" s="83" t="str">
        <f aca="false">IF(AND(B3131="",C3131="",D3131=""),"",IF(B3131="","Missing contract",IF(C3131="","Missing code",IF(LEFT(G3131,3)="Not","Wrong code",IF(D3131="","Missing qty",IF(A3131="","Missing date",""))))))</f>
        <v/>
      </c>
      <c r="I3131" s="84" t="str">
        <f aca="false">IF(B3131=Dashboard!$D$3,ROW(),"")</f>
        <v/>
      </c>
    </row>
    <row r="3132" customFormat="false" ht="15" hidden="false" customHeight="false" outlineLevel="0" collapsed="false">
      <c r="A3132" s="80"/>
      <c r="B3132" s="71"/>
      <c r="C3132" s="71"/>
      <c r="D3132" s="81"/>
      <c r="E3132" s="71"/>
      <c r="F3132" s="71"/>
      <c r="G3132" s="82" t="str">
        <f aca="false">IF(C3132="","",IFERROR(INDEX('Kit Lists'!$D$6:$D$605,MATCH(B3132&amp;"|"&amp;C3132,'Kit Lists'!$J$6:$J$605,0)),"Not on this contract's kit list"))</f>
        <v/>
      </c>
      <c r="H3132" s="83" t="str">
        <f aca="false">IF(AND(B3132="",C3132="",D3132=""),"",IF(B3132="","Missing contract",IF(C3132="","Missing code",IF(LEFT(G3132,3)="Not","Wrong code",IF(D3132="","Missing qty",IF(A3132="","Missing date",""))))))</f>
        <v/>
      </c>
      <c r="I3132" s="84" t="str">
        <f aca="false">IF(B3132=Dashboard!$D$3,ROW(),"")</f>
        <v/>
      </c>
    </row>
    <row r="3133" customFormat="false" ht="15" hidden="false" customHeight="false" outlineLevel="0" collapsed="false">
      <c r="A3133" s="80"/>
      <c r="B3133" s="71"/>
      <c r="C3133" s="71"/>
      <c r="D3133" s="81"/>
      <c r="E3133" s="71"/>
      <c r="F3133" s="71"/>
      <c r="G3133" s="82" t="str">
        <f aca="false">IF(C3133="","",IFERROR(INDEX('Kit Lists'!$D$6:$D$605,MATCH(B3133&amp;"|"&amp;C3133,'Kit Lists'!$J$6:$J$605,0)),"Not on this contract's kit list"))</f>
        <v/>
      </c>
      <c r="H3133" s="83" t="str">
        <f aca="false">IF(AND(B3133="",C3133="",D3133=""),"",IF(B3133="","Missing contract",IF(C3133="","Missing code",IF(LEFT(G3133,3)="Not","Wrong code",IF(D3133="","Missing qty",IF(A3133="","Missing date",""))))))</f>
        <v/>
      </c>
      <c r="I3133" s="84" t="str">
        <f aca="false">IF(B3133=Dashboard!$D$3,ROW(),"")</f>
        <v/>
      </c>
    </row>
    <row r="3134" customFormat="false" ht="15" hidden="false" customHeight="false" outlineLevel="0" collapsed="false">
      <c r="A3134" s="80"/>
      <c r="B3134" s="71"/>
      <c r="C3134" s="71"/>
      <c r="D3134" s="81"/>
      <c r="E3134" s="71"/>
      <c r="F3134" s="71"/>
      <c r="G3134" s="82" t="str">
        <f aca="false">IF(C3134="","",IFERROR(INDEX('Kit Lists'!$D$6:$D$605,MATCH(B3134&amp;"|"&amp;C3134,'Kit Lists'!$J$6:$J$605,0)),"Not on this contract's kit list"))</f>
        <v/>
      </c>
      <c r="H3134" s="83" t="str">
        <f aca="false">IF(AND(B3134="",C3134="",D3134=""),"",IF(B3134="","Missing contract",IF(C3134="","Missing code",IF(LEFT(G3134,3)="Not","Wrong code",IF(D3134="","Missing qty",IF(A3134="","Missing date",""))))))</f>
        <v/>
      </c>
      <c r="I3134" s="84" t="str">
        <f aca="false">IF(B3134=Dashboard!$D$3,ROW(),"")</f>
        <v/>
      </c>
    </row>
    <row r="3135" customFormat="false" ht="15" hidden="false" customHeight="false" outlineLevel="0" collapsed="false">
      <c r="A3135" s="80"/>
      <c r="B3135" s="71"/>
      <c r="C3135" s="71"/>
      <c r="D3135" s="81"/>
      <c r="E3135" s="71"/>
      <c r="F3135" s="71"/>
      <c r="G3135" s="82" t="str">
        <f aca="false">IF(C3135="","",IFERROR(INDEX('Kit Lists'!$D$6:$D$605,MATCH(B3135&amp;"|"&amp;C3135,'Kit Lists'!$J$6:$J$605,0)),"Not on this contract's kit list"))</f>
        <v/>
      </c>
      <c r="H3135" s="83" t="str">
        <f aca="false">IF(AND(B3135="",C3135="",D3135=""),"",IF(B3135="","Missing contract",IF(C3135="","Missing code",IF(LEFT(G3135,3)="Not","Wrong code",IF(D3135="","Missing qty",IF(A3135="","Missing date",""))))))</f>
        <v/>
      </c>
      <c r="I3135" s="84" t="str">
        <f aca="false">IF(B3135=Dashboard!$D$3,ROW(),"")</f>
        <v/>
      </c>
    </row>
    <row r="3136" customFormat="false" ht="15" hidden="false" customHeight="false" outlineLevel="0" collapsed="false">
      <c r="A3136" s="80"/>
      <c r="B3136" s="71"/>
      <c r="C3136" s="71"/>
      <c r="D3136" s="81"/>
      <c r="E3136" s="71"/>
      <c r="F3136" s="71"/>
      <c r="G3136" s="82" t="str">
        <f aca="false">IF(C3136="","",IFERROR(INDEX('Kit Lists'!$D$6:$D$605,MATCH(B3136&amp;"|"&amp;C3136,'Kit Lists'!$J$6:$J$605,0)),"Not on this contract's kit list"))</f>
        <v/>
      </c>
      <c r="H3136" s="83" t="str">
        <f aca="false">IF(AND(B3136="",C3136="",D3136=""),"",IF(B3136="","Missing contract",IF(C3136="","Missing code",IF(LEFT(G3136,3)="Not","Wrong code",IF(D3136="","Missing qty",IF(A3136="","Missing date",""))))))</f>
        <v/>
      </c>
      <c r="I3136" s="84" t="str">
        <f aca="false">IF(B3136=Dashboard!$D$3,ROW(),"")</f>
        <v/>
      </c>
    </row>
    <row r="3137" customFormat="false" ht="15" hidden="false" customHeight="false" outlineLevel="0" collapsed="false">
      <c r="A3137" s="80"/>
      <c r="B3137" s="71"/>
      <c r="C3137" s="71"/>
      <c r="D3137" s="81"/>
      <c r="E3137" s="71"/>
      <c r="F3137" s="71"/>
      <c r="G3137" s="82" t="str">
        <f aca="false">IF(C3137="","",IFERROR(INDEX('Kit Lists'!$D$6:$D$605,MATCH(B3137&amp;"|"&amp;C3137,'Kit Lists'!$J$6:$J$605,0)),"Not on this contract's kit list"))</f>
        <v/>
      </c>
      <c r="H3137" s="83" t="str">
        <f aca="false">IF(AND(B3137="",C3137="",D3137=""),"",IF(B3137="","Missing contract",IF(C3137="","Missing code",IF(LEFT(G3137,3)="Not","Wrong code",IF(D3137="","Missing qty",IF(A3137="","Missing date",""))))))</f>
        <v/>
      </c>
      <c r="I3137" s="84" t="str">
        <f aca="false">IF(B3137=Dashboard!$D$3,ROW(),"")</f>
        <v/>
      </c>
    </row>
    <row r="3138" customFormat="false" ht="15" hidden="false" customHeight="false" outlineLevel="0" collapsed="false">
      <c r="A3138" s="80"/>
      <c r="B3138" s="71"/>
      <c r="C3138" s="71"/>
      <c r="D3138" s="81"/>
      <c r="E3138" s="71"/>
      <c r="F3138" s="71"/>
      <c r="G3138" s="82" t="str">
        <f aca="false">IF(C3138="","",IFERROR(INDEX('Kit Lists'!$D$6:$D$605,MATCH(B3138&amp;"|"&amp;C3138,'Kit Lists'!$J$6:$J$605,0)),"Not on this contract's kit list"))</f>
        <v/>
      </c>
      <c r="H3138" s="83" t="str">
        <f aca="false">IF(AND(B3138="",C3138="",D3138=""),"",IF(B3138="","Missing contract",IF(C3138="","Missing code",IF(LEFT(G3138,3)="Not","Wrong code",IF(D3138="","Missing qty",IF(A3138="","Missing date",""))))))</f>
        <v/>
      </c>
      <c r="I3138" s="84" t="str">
        <f aca="false">IF(B3138=Dashboard!$D$3,ROW(),"")</f>
        <v/>
      </c>
    </row>
    <row r="3139" customFormat="false" ht="15" hidden="false" customHeight="false" outlineLevel="0" collapsed="false">
      <c r="A3139" s="80"/>
      <c r="B3139" s="71"/>
      <c r="C3139" s="71"/>
      <c r="D3139" s="81"/>
      <c r="E3139" s="71"/>
      <c r="F3139" s="71"/>
      <c r="G3139" s="82" t="str">
        <f aca="false">IF(C3139="","",IFERROR(INDEX('Kit Lists'!$D$6:$D$605,MATCH(B3139&amp;"|"&amp;C3139,'Kit Lists'!$J$6:$J$605,0)),"Not on this contract's kit list"))</f>
        <v/>
      </c>
      <c r="H3139" s="83" t="str">
        <f aca="false">IF(AND(B3139="",C3139="",D3139=""),"",IF(B3139="","Missing contract",IF(C3139="","Missing code",IF(LEFT(G3139,3)="Not","Wrong code",IF(D3139="","Missing qty",IF(A3139="","Missing date",""))))))</f>
        <v/>
      </c>
      <c r="I3139" s="84" t="str">
        <f aca="false">IF(B3139=Dashboard!$D$3,ROW(),"")</f>
        <v/>
      </c>
    </row>
    <row r="3140" customFormat="false" ht="15" hidden="false" customHeight="false" outlineLevel="0" collapsed="false">
      <c r="A3140" s="80"/>
      <c r="B3140" s="71"/>
      <c r="C3140" s="71"/>
      <c r="D3140" s="81"/>
      <c r="E3140" s="71"/>
      <c r="F3140" s="71"/>
      <c r="G3140" s="82" t="str">
        <f aca="false">IF(C3140="","",IFERROR(INDEX('Kit Lists'!$D$6:$D$605,MATCH(B3140&amp;"|"&amp;C3140,'Kit Lists'!$J$6:$J$605,0)),"Not on this contract's kit list"))</f>
        <v/>
      </c>
      <c r="H3140" s="83" t="str">
        <f aca="false">IF(AND(B3140="",C3140="",D3140=""),"",IF(B3140="","Missing contract",IF(C3140="","Missing code",IF(LEFT(G3140,3)="Not","Wrong code",IF(D3140="","Missing qty",IF(A3140="","Missing date",""))))))</f>
        <v/>
      </c>
      <c r="I3140" s="84" t="str">
        <f aca="false">IF(B3140=Dashboard!$D$3,ROW(),"")</f>
        <v/>
      </c>
    </row>
    <row r="3141" customFormat="false" ht="15" hidden="false" customHeight="false" outlineLevel="0" collapsed="false">
      <c r="A3141" s="80"/>
      <c r="B3141" s="71"/>
      <c r="C3141" s="71"/>
      <c r="D3141" s="81"/>
      <c r="E3141" s="71"/>
      <c r="F3141" s="71"/>
      <c r="G3141" s="82" t="str">
        <f aca="false">IF(C3141="","",IFERROR(INDEX('Kit Lists'!$D$6:$D$605,MATCH(B3141&amp;"|"&amp;C3141,'Kit Lists'!$J$6:$J$605,0)),"Not on this contract's kit list"))</f>
        <v/>
      </c>
      <c r="H3141" s="83" t="str">
        <f aca="false">IF(AND(B3141="",C3141="",D3141=""),"",IF(B3141="","Missing contract",IF(C3141="","Missing code",IF(LEFT(G3141,3)="Not","Wrong code",IF(D3141="","Missing qty",IF(A3141="","Missing date",""))))))</f>
        <v/>
      </c>
      <c r="I3141" s="84" t="str">
        <f aca="false">IF(B3141=Dashboard!$D$3,ROW(),"")</f>
        <v/>
      </c>
    </row>
    <row r="3142" customFormat="false" ht="15" hidden="false" customHeight="false" outlineLevel="0" collapsed="false">
      <c r="A3142" s="80"/>
      <c r="B3142" s="71"/>
      <c r="C3142" s="71"/>
      <c r="D3142" s="81"/>
      <c r="E3142" s="71"/>
      <c r="F3142" s="71"/>
      <c r="G3142" s="82" t="str">
        <f aca="false">IF(C3142="","",IFERROR(INDEX('Kit Lists'!$D$6:$D$605,MATCH(B3142&amp;"|"&amp;C3142,'Kit Lists'!$J$6:$J$605,0)),"Not on this contract's kit list"))</f>
        <v/>
      </c>
      <c r="H3142" s="83" t="str">
        <f aca="false">IF(AND(B3142="",C3142="",D3142=""),"",IF(B3142="","Missing contract",IF(C3142="","Missing code",IF(LEFT(G3142,3)="Not","Wrong code",IF(D3142="","Missing qty",IF(A3142="","Missing date",""))))))</f>
        <v/>
      </c>
      <c r="I3142" s="84" t="str">
        <f aca="false">IF(B3142=Dashboard!$D$3,ROW(),"")</f>
        <v/>
      </c>
    </row>
    <row r="3143" customFormat="false" ht="15" hidden="false" customHeight="false" outlineLevel="0" collapsed="false">
      <c r="A3143" s="80"/>
      <c r="B3143" s="71"/>
      <c r="C3143" s="71"/>
      <c r="D3143" s="81"/>
      <c r="E3143" s="71"/>
      <c r="F3143" s="71"/>
      <c r="G3143" s="82" t="str">
        <f aca="false">IF(C3143="","",IFERROR(INDEX('Kit Lists'!$D$6:$D$605,MATCH(B3143&amp;"|"&amp;C3143,'Kit Lists'!$J$6:$J$605,0)),"Not on this contract's kit list"))</f>
        <v/>
      </c>
      <c r="H3143" s="83" t="str">
        <f aca="false">IF(AND(B3143="",C3143="",D3143=""),"",IF(B3143="","Missing contract",IF(C3143="","Missing code",IF(LEFT(G3143,3)="Not","Wrong code",IF(D3143="","Missing qty",IF(A3143="","Missing date",""))))))</f>
        <v/>
      </c>
      <c r="I3143" s="84" t="str">
        <f aca="false">IF(B3143=Dashboard!$D$3,ROW(),"")</f>
        <v/>
      </c>
    </row>
    <row r="3144" customFormat="false" ht="15" hidden="false" customHeight="false" outlineLevel="0" collapsed="false">
      <c r="A3144" s="80"/>
      <c r="B3144" s="71"/>
      <c r="C3144" s="71"/>
      <c r="D3144" s="81"/>
      <c r="E3144" s="71"/>
      <c r="F3144" s="71"/>
      <c r="G3144" s="82" t="str">
        <f aca="false">IF(C3144="","",IFERROR(INDEX('Kit Lists'!$D$6:$D$605,MATCH(B3144&amp;"|"&amp;C3144,'Kit Lists'!$J$6:$J$605,0)),"Not on this contract's kit list"))</f>
        <v/>
      </c>
      <c r="H3144" s="83" t="str">
        <f aca="false">IF(AND(B3144="",C3144="",D3144=""),"",IF(B3144="","Missing contract",IF(C3144="","Missing code",IF(LEFT(G3144,3)="Not","Wrong code",IF(D3144="","Missing qty",IF(A3144="","Missing date",""))))))</f>
        <v/>
      </c>
      <c r="I3144" s="84" t="str">
        <f aca="false">IF(B3144=Dashboard!$D$3,ROW(),"")</f>
        <v/>
      </c>
    </row>
    <row r="3145" customFormat="false" ht="15" hidden="false" customHeight="false" outlineLevel="0" collapsed="false">
      <c r="A3145" s="80"/>
      <c r="B3145" s="71"/>
      <c r="C3145" s="71"/>
      <c r="D3145" s="81"/>
      <c r="E3145" s="71"/>
      <c r="F3145" s="71"/>
      <c r="G3145" s="82" t="str">
        <f aca="false">IF(C3145="","",IFERROR(INDEX('Kit Lists'!$D$6:$D$605,MATCH(B3145&amp;"|"&amp;C3145,'Kit Lists'!$J$6:$J$605,0)),"Not on this contract's kit list"))</f>
        <v/>
      </c>
      <c r="H3145" s="83" t="str">
        <f aca="false">IF(AND(B3145="",C3145="",D3145=""),"",IF(B3145="","Missing contract",IF(C3145="","Missing code",IF(LEFT(G3145,3)="Not","Wrong code",IF(D3145="","Missing qty",IF(A3145="","Missing date",""))))))</f>
        <v/>
      </c>
      <c r="I3145" s="84" t="str">
        <f aca="false">IF(B3145=Dashboard!$D$3,ROW(),"")</f>
        <v/>
      </c>
    </row>
    <row r="3146" customFormat="false" ht="15" hidden="false" customHeight="false" outlineLevel="0" collapsed="false">
      <c r="A3146" s="80"/>
      <c r="B3146" s="71"/>
      <c r="C3146" s="71"/>
      <c r="D3146" s="81"/>
      <c r="E3146" s="71"/>
      <c r="F3146" s="71"/>
      <c r="G3146" s="82" t="str">
        <f aca="false">IF(C3146="","",IFERROR(INDEX('Kit Lists'!$D$6:$D$605,MATCH(B3146&amp;"|"&amp;C3146,'Kit Lists'!$J$6:$J$605,0)),"Not on this contract's kit list"))</f>
        <v/>
      </c>
      <c r="H3146" s="83" t="str">
        <f aca="false">IF(AND(B3146="",C3146="",D3146=""),"",IF(B3146="","Missing contract",IF(C3146="","Missing code",IF(LEFT(G3146,3)="Not","Wrong code",IF(D3146="","Missing qty",IF(A3146="","Missing date",""))))))</f>
        <v/>
      </c>
      <c r="I3146" s="84" t="str">
        <f aca="false">IF(B3146=Dashboard!$D$3,ROW(),"")</f>
        <v/>
      </c>
    </row>
    <row r="3147" customFormat="false" ht="15" hidden="false" customHeight="false" outlineLevel="0" collapsed="false">
      <c r="A3147" s="80"/>
      <c r="B3147" s="71"/>
      <c r="C3147" s="71"/>
      <c r="D3147" s="81"/>
      <c r="E3147" s="71"/>
      <c r="F3147" s="71"/>
      <c r="G3147" s="82" t="str">
        <f aca="false">IF(C3147="","",IFERROR(INDEX('Kit Lists'!$D$6:$D$605,MATCH(B3147&amp;"|"&amp;C3147,'Kit Lists'!$J$6:$J$605,0)),"Not on this contract's kit list"))</f>
        <v/>
      </c>
      <c r="H3147" s="83" t="str">
        <f aca="false">IF(AND(B3147="",C3147="",D3147=""),"",IF(B3147="","Missing contract",IF(C3147="","Missing code",IF(LEFT(G3147,3)="Not","Wrong code",IF(D3147="","Missing qty",IF(A3147="","Missing date",""))))))</f>
        <v/>
      </c>
      <c r="I3147" s="84" t="str">
        <f aca="false">IF(B3147=Dashboard!$D$3,ROW(),"")</f>
        <v/>
      </c>
    </row>
    <row r="3148" customFormat="false" ht="15" hidden="false" customHeight="false" outlineLevel="0" collapsed="false">
      <c r="A3148" s="80"/>
      <c r="B3148" s="71"/>
      <c r="C3148" s="71"/>
      <c r="D3148" s="81"/>
      <c r="E3148" s="71"/>
      <c r="F3148" s="71"/>
      <c r="G3148" s="82" t="str">
        <f aca="false">IF(C3148="","",IFERROR(INDEX('Kit Lists'!$D$6:$D$605,MATCH(B3148&amp;"|"&amp;C3148,'Kit Lists'!$J$6:$J$605,0)),"Not on this contract's kit list"))</f>
        <v/>
      </c>
      <c r="H3148" s="83" t="str">
        <f aca="false">IF(AND(B3148="",C3148="",D3148=""),"",IF(B3148="","Missing contract",IF(C3148="","Missing code",IF(LEFT(G3148,3)="Not","Wrong code",IF(D3148="","Missing qty",IF(A3148="","Missing date",""))))))</f>
        <v/>
      </c>
      <c r="I3148" s="84" t="str">
        <f aca="false">IF(B3148=Dashboard!$D$3,ROW(),"")</f>
        <v/>
      </c>
    </row>
    <row r="3149" customFormat="false" ht="15" hidden="false" customHeight="false" outlineLevel="0" collapsed="false">
      <c r="A3149" s="80"/>
      <c r="B3149" s="71"/>
      <c r="C3149" s="71"/>
      <c r="D3149" s="81"/>
      <c r="E3149" s="71"/>
      <c r="F3149" s="71"/>
      <c r="G3149" s="82" t="str">
        <f aca="false">IF(C3149="","",IFERROR(INDEX('Kit Lists'!$D$6:$D$605,MATCH(B3149&amp;"|"&amp;C3149,'Kit Lists'!$J$6:$J$605,0)),"Not on this contract's kit list"))</f>
        <v/>
      </c>
      <c r="H3149" s="83" t="str">
        <f aca="false">IF(AND(B3149="",C3149="",D3149=""),"",IF(B3149="","Missing contract",IF(C3149="","Missing code",IF(LEFT(G3149,3)="Not","Wrong code",IF(D3149="","Missing qty",IF(A3149="","Missing date",""))))))</f>
        <v/>
      </c>
      <c r="I3149" s="84" t="str">
        <f aca="false">IF(B3149=Dashboard!$D$3,ROW(),"")</f>
        <v/>
      </c>
    </row>
    <row r="3150" customFormat="false" ht="15" hidden="false" customHeight="false" outlineLevel="0" collapsed="false">
      <c r="A3150" s="80"/>
      <c r="B3150" s="71"/>
      <c r="C3150" s="71"/>
      <c r="D3150" s="81"/>
      <c r="E3150" s="71"/>
      <c r="F3150" s="71"/>
      <c r="G3150" s="82" t="str">
        <f aca="false">IF(C3150="","",IFERROR(INDEX('Kit Lists'!$D$6:$D$605,MATCH(B3150&amp;"|"&amp;C3150,'Kit Lists'!$J$6:$J$605,0)),"Not on this contract's kit list"))</f>
        <v/>
      </c>
      <c r="H3150" s="83" t="str">
        <f aca="false">IF(AND(B3150="",C3150="",D3150=""),"",IF(B3150="","Missing contract",IF(C3150="","Missing code",IF(LEFT(G3150,3)="Not","Wrong code",IF(D3150="","Missing qty",IF(A3150="","Missing date",""))))))</f>
        <v/>
      </c>
      <c r="I3150" s="84" t="str">
        <f aca="false">IF(B3150=Dashboard!$D$3,ROW(),"")</f>
        <v/>
      </c>
    </row>
    <row r="3151" customFormat="false" ht="15" hidden="false" customHeight="false" outlineLevel="0" collapsed="false">
      <c r="A3151" s="80"/>
      <c r="B3151" s="71"/>
      <c r="C3151" s="71"/>
      <c r="D3151" s="81"/>
      <c r="E3151" s="71"/>
      <c r="F3151" s="71"/>
      <c r="G3151" s="82" t="str">
        <f aca="false">IF(C3151="","",IFERROR(INDEX('Kit Lists'!$D$6:$D$605,MATCH(B3151&amp;"|"&amp;C3151,'Kit Lists'!$J$6:$J$605,0)),"Not on this contract's kit list"))</f>
        <v/>
      </c>
      <c r="H3151" s="83" t="str">
        <f aca="false">IF(AND(B3151="",C3151="",D3151=""),"",IF(B3151="","Missing contract",IF(C3151="","Missing code",IF(LEFT(G3151,3)="Not","Wrong code",IF(D3151="","Missing qty",IF(A3151="","Missing date",""))))))</f>
        <v/>
      </c>
      <c r="I3151" s="84" t="str">
        <f aca="false">IF(B3151=Dashboard!$D$3,ROW(),"")</f>
        <v/>
      </c>
    </row>
    <row r="3152" customFormat="false" ht="15" hidden="false" customHeight="false" outlineLevel="0" collapsed="false">
      <c r="A3152" s="80"/>
      <c r="B3152" s="71"/>
      <c r="C3152" s="71"/>
      <c r="D3152" s="81"/>
      <c r="E3152" s="71"/>
      <c r="F3152" s="71"/>
      <c r="G3152" s="82" t="str">
        <f aca="false">IF(C3152="","",IFERROR(INDEX('Kit Lists'!$D$6:$D$605,MATCH(B3152&amp;"|"&amp;C3152,'Kit Lists'!$J$6:$J$605,0)),"Not on this contract's kit list"))</f>
        <v/>
      </c>
      <c r="H3152" s="83" t="str">
        <f aca="false">IF(AND(B3152="",C3152="",D3152=""),"",IF(B3152="","Missing contract",IF(C3152="","Missing code",IF(LEFT(G3152,3)="Not","Wrong code",IF(D3152="","Missing qty",IF(A3152="","Missing date",""))))))</f>
        <v/>
      </c>
      <c r="I3152" s="84" t="str">
        <f aca="false">IF(B3152=Dashboard!$D$3,ROW(),"")</f>
        <v/>
      </c>
    </row>
    <row r="3153" customFormat="false" ht="15" hidden="false" customHeight="false" outlineLevel="0" collapsed="false">
      <c r="A3153" s="80"/>
      <c r="B3153" s="71"/>
      <c r="C3153" s="71"/>
      <c r="D3153" s="81"/>
      <c r="E3153" s="71"/>
      <c r="F3153" s="71"/>
      <c r="G3153" s="82" t="str">
        <f aca="false">IF(C3153="","",IFERROR(INDEX('Kit Lists'!$D$6:$D$605,MATCH(B3153&amp;"|"&amp;C3153,'Kit Lists'!$J$6:$J$605,0)),"Not on this contract's kit list"))</f>
        <v/>
      </c>
      <c r="H3153" s="83" t="str">
        <f aca="false">IF(AND(B3153="",C3153="",D3153=""),"",IF(B3153="","Missing contract",IF(C3153="","Missing code",IF(LEFT(G3153,3)="Not","Wrong code",IF(D3153="","Missing qty",IF(A3153="","Missing date",""))))))</f>
        <v/>
      </c>
      <c r="I3153" s="84" t="str">
        <f aca="false">IF(B3153=Dashboard!$D$3,ROW(),"")</f>
        <v/>
      </c>
    </row>
    <row r="3154" customFormat="false" ht="15" hidden="false" customHeight="false" outlineLevel="0" collapsed="false">
      <c r="A3154" s="80"/>
      <c r="B3154" s="71"/>
      <c r="C3154" s="71"/>
      <c r="D3154" s="81"/>
      <c r="E3154" s="71"/>
      <c r="F3154" s="71"/>
      <c r="G3154" s="82" t="str">
        <f aca="false">IF(C3154="","",IFERROR(INDEX('Kit Lists'!$D$6:$D$605,MATCH(B3154&amp;"|"&amp;C3154,'Kit Lists'!$J$6:$J$605,0)),"Not on this contract's kit list"))</f>
        <v/>
      </c>
      <c r="H3154" s="83" t="str">
        <f aca="false">IF(AND(B3154="",C3154="",D3154=""),"",IF(B3154="","Missing contract",IF(C3154="","Missing code",IF(LEFT(G3154,3)="Not","Wrong code",IF(D3154="","Missing qty",IF(A3154="","Missing date",""))))))</f>
        <v/>
      </c>
      <c r="I3154" s="84" t="str">
        <f aca="false">IF(B3154=Dashboard!$D$3,ROW(),"")</f>
        <v/>
      </c>
    </row>
    <row r="3155" customFormat="false" ht="15" hidden="false" customHeight="false" outlineLevel="0" collapsed="false">
      <c r="A3155" s="80"/>
      <c r="B3155" s="71"/>
      <c r="C3155" s="71"/>
      <c r="D3155" s="81"/>
      <c r="E3155" s="71"/>
      <c r="F3155" s="71"/>
      <c r="G3155" s="82" t="str">
        <f aca="false">IF(C3155="","",IFERROR(INDEX('Kit Lists'!$D$6:$D$605,MATCH(B3155&amp;"|"&amp;C3155,'Kit Lists'!$J$6:$J$605,0)),"Not on this contract's kit list"))</f>
        <v/>
      </c>
      <c r="H3155" s="83" t="str">
        <f aca="false">IF(AND(B3155="",C3155="",D3155=""),"",IF(B3155="","Missing contract",IF(C3155="","Missing code",IF(LEFT(G3155,3)="Not","Wrong code",IF(D3155="","Missing qty",IF(A3155="","Missing date",""))))))</f>
        <v/>
      </c>
      <c r="I3155" s="84" t="str">
        <f aca="false">IF(B3155=Dashboard!$D$3,ROW(),"")</f>
        <v/>
      </c>
    </row>
    <row r="3156" customFormat="false" ht="15" hidden="false" customHeight="false" outlineLevel="0" collapsed="false">
      <c r="A3156" s="80"/>
      <c r="B3156" s="71"/>
      <c r="C3156" s="71"/>
      <c r="D3156" s="81"/>
      <c r="E3156" s="71"/>
      <c r="F3156" s="71"/>
      <c r="G3156" s="82" t="str">
        <f aca="false">IF(C3156="","",IFERROR(INDEX('Kit Lists'!$D$6:$D$605,MATCH(B3156&amp;"|"&amp;C3156,'Kit Lists'!$J$6:$J$605,0)),"Not on this contract's kit list"))</f>
        <v/>
      </c>
      <c r="H3156" s="83" t="str">
        <f aca="false">IF(AND(B3156="",C3156="",D3156=""),"",IF(B3156="","Missing contract",IF(C3156="","Missing code",IF(LEFT(G3156,3)="Not","Wrong code",IF(D3156="","Missing qty",IF(A3156="","Missing date",""))))))</f>
        <v/>
      </c>
      <c r="I3156" s="84" t="str">
        <f aca="false">IF(B3156=Dashboard!$D$3,ROW(),"")</f>
        <v/>
      </c>
    </row>
    <row r="3157" customFormat="false" ht="15" hidden="false" customHeight="false" outlineLevel="0" collapsed="false">
      <c r="A3157" s="80"/>
      <c r="B3157" s="71"/>
      <c r="C3157" s="71"/>
      <c r="D3157" s="81"/>
      <c r="E3157" s="71"/>
      <c r="F3157" s="71"/>
      <c r="G3157" s="82" t="str">
        <f aca="false">IF(C3157="","",IFERROR(INDEX('Kit Lists'!$D$6:$D$605,MATCH(B3157&amp;"|"&amp;C3157,'Kit Lists'!$J$6:$J$605,0)),"Not on this contract's kit list"))</f>
        <v/>
      </c>
      <c r="H3157" s="83" t="str">
        <f aca="false">IF(AND(B3157="",C3157="",D3157=""),"",IF(B3157="","Missing contract",IF(C3157="","Missing code",IF(LEFT(G3157,3)="Not","Wrong code",IF(D3157="","Missing qty",IF(A3157="","Missing date",""))))))</f>
        <v/>
      </c>
      <c r="I3157" s="84" t="str">
        <f aca="false">IF(B3157=Dashboard!$D$3,ROW(),"")</f>
        <v/>
      </c>
    </row>
    <row r="3158" customFormat="false" ht="15" hidden="false" customHeight="false" outlineLevel="0" collapsed="false">
      <c r="A3158" s="80"/>
      <c r="B3158" s="71"/>
      <c r="C3158" s="71"/>
      <c r="D3158" s="81"/>
      <c r="E3158" s="71"/>
      <c r="F3158" s="71"/>
      <c r="G3158" s="82" t="str">
        <f aca="false">IF(C3158="","",IFERROR(INDEX('Kit Lists'!$D$6:$D$605,MATCH(B3158&amp;"|"&amp;C3158,'Kit Lists'!$J$6:$J$605,0)),"Not on this contract's kit list"))</f>
        <v/>
      </c>
      <c r="H3158" s="83" t="str">
        <f aca="false">IF(AND(B3158="",C3158="",D3158=""),"",IF(B3158="","Missing contract",IF(C3158="","Missing code",IF(LEFT(G3158,3)="Not","Wrong code",IF(D3158="","Missing qty",IF(A3158="","Missing date",""))))))</f>
        <v/>
      </c>
      <c r="I3158" s="84" t="str">
        <f aca="false">IF(B3158=Dashboard!$D$3,ROW(),"")</f>
        <v/>
      </c>
    </row>
    <row r="3159" customFormat="false" ht="15" hidden="false" customHeight="false" outlineLevel="0" collapsed="false">
      <c r="A3159" s="80"/>
      <c r="B3159" s="71"/>
      <c r="C3159" s="71"/>
      <c r="D3159" s="81"/>
      <c r="E3159" s="71"/>
      <c r="F3159" s="71"/>
      <c r="G3159" s="82" t="str">
        <f aca="false">IF(C3159="","",IFERROR(INDEX('Kit Lists'!$D$6:$D$605,MATCH(B3159&amp;"|"&amp;C3159,'Kit Lists'!$J$6:$J$605,0)),"Not on this contract's kit list"))</f>
        <v/>
      </c>
      <c r="H3159" s="83" t="str">
        <f aca="false">IF(AND(B3159="",C3159="",D3159=""),"",IF(B3159="","Missing contract",IF(C3159="","Missing code",IF(LEFT(G3159,3)="Not","Wrong code",IF(D3159="","Missing qty",IF(A3159="","Missing date",""))))))</f>
        <v/>
      </c>
      <c r="I3159" s="84" t="str">
        <f aca="false">IF(B3159=Dashboard!$D$3,ROW(),"")</f>
        <v/>
      </c>
    </row>
    <row r="3160" customFormat="false" ht="15" hidden="false" customHeight="false" outlineLevel="0" collapsed="false">
      <c r="A3160" s="80"/>
      <c r="B3160" s="71"/>
      <c r="C3160" s="71"/>
      <c r="D3160" s="81"/>
      <c r="E3160" s="71"/>
      <c r="F3160" s="71"/>
      <c r="G3160" s="82" t="str">
        <f aca="false">IF(C3160="","",IFERROR(INDEX('Kit Lists'!$D$6:$D$605,MATCH(B3160&amp;"|"&amp;C3160,'Kit Lists'!$J$6:$J$605,0)),"Not on this contract's kit list"))</f>
        <v/>
      </c>
      <c r="H3160" s="83" t="str">
        <f aca="false">IF(AND(B3160="",C3160="",D3160=""),"",IF(B3160="","Missing contract",IF(C3160="","Missing code",IF(LEFT(G3160,3)="Not","Wrong code",IF(D3160="","Missing qty",IF(A3160="","Missing date",""))))))</f>
        <v/>
      </c>
      <c r="I3160" s="84" t="str">
        <f aca="false">IF(B3160=Dashboard!$D$3,ROW(),"")</f>
        <v/>
      </c>
    </row>
    <row r="3161" customFormat="false" ht="15" hidden="false" customHeight="false" outlineLevel="0" collapsed="false">
      <c r="A3161" s="80"/>
      <c r="B3161" s="71"/>
      <c r="C3161" s="71"/>
      <c r="D3161" s="81"/>
      <c r="E3161" s="71"/>
      <c r="F3161" s="71"/>
      <c r="G3161" s="82" t="str">
        <f aca="false">IF(C3161="","",IFERROR(INDEX('Kit Lists'!$D$6:$D$605,MATCH(B3161&amp;"|"&amp;C3161,'Kit Lists'!$J$6:$J$605,0)),"Not on this contract's kit list"))</f>
        <v/>
      </c>
      <c r="H3161" s="83" t="str">
        <f aca="false">IF(AND(B3161="",C3161="",D3161=""),"",IF(B3161="","Missing contract",IF(C3161="","Missing code",IF(LEFT(G3161,3)="Not","Wrong code",IF(D3161="","Missing qty",IF(A3161="","Missing date",""))))))</f>
        <v/>
      </c>
      <c r="I3161" s="84" t="str">
        <f aca="false">IF(B3161=Dashboard!$D$3,ROW(),"")</f>
        <v/>
      </c>
    </row>
    <row r="3162" customFormat="false" ht="15" hidden="false" customHeight="false" outlineLevel="0" collapsed="false">
      <c r="A3162" s="80"/>
      <c r="B3162" s="71"/>
      <c r="C3162" s="71"/>
      <c r="D3162" s="81"/>
      <c r="E3162" s="71"/>
      <c r="F3162" s="71"/>
      <c r="G3162" s="82" t="str">
        <f aca="false">IF(C3162="","",IFERROR(INDEX('Kit Lists'!$D$6:$D$605,MATCH(B3162&amp;"|"&amp;C3162,'Kit Lists'!$J$6:$J$605,0)),"Not on this contract's kit list"))</f>
        <v/>
      </c>
      <c r="H3162" s="83" t="str">
        <f aca="false">IF(AND(B3162="",C3162="",D3162=""),"",IF(B3162="","Missing contract",IF(C3162="","Missing code",IF(LEFT(G3162,3)="Not","Wrong code",IF(D3162="","Missing qty",IF(A3162="","Missing date",""))))))</f>
        <v/>
      </c>
      <c r="I3162" s="84" t="str">
        <f aca="false">IF(B3162=Dashboard!$D$3,ROW(),"")</f>
        <v/>
      </c>
    </row>
    <row r="3163" customFormat="false" ht="15" hidden="false" customHeight="false" outlineLevel="0" collapsed="false">
      <c r="A3163" s="80"/>
      <c r="B3163" s="71"/>
      <c r="C3163" s="71"/>
      <c r="D3163" s="81"/>
      <c r="E3163" s="71"/>
      <c r="F3163" s="71"/>
      <c r="G3163" s="82" t="str">
        <f aca="false">IF(C3163="","",IFERROR(INDEX('Kit Lists'!$D$6:$D$605,MATCH(B3163&amp;"|"&amp;C3163,'Kit Lists'!$J$6:$J$605,0)),"Not on this contract's kit list"))</f>
        <v/>
      </c>
      <c r="H3163" s="83" t="str">
        <f aca="false">IF(AND(B3163="",C3163="",D3163=""),"",IF(B3163="","Missing contract",IF(C3163="","Missing code",IF(LEFT(G3163,3)="Not","Wrong code",IF(D3163="","Missing qty",IF(A3163="","Missing date",""))))))</f>
        <v/>
      </c>
      <c r="I3163" s="84" t="str">
        <f aca="false">IF(B3163=Dashboard!$D$3,ROW(),"")</f>
        <v/>
      </c>
    </row>
    <row r="3164" customFormat="false" ht="15" hidden="false" customHeight="false" outlineLevel="0" collapsed="false">
      <c r="A3164" s="80"/>
      <c r="B3164" s="71"/>
      <c r="C3164" s="71"/>
      <c r="D3164" s="81"/>
      <c r="E3164" s="71"/>
      <c r="F3164" s="71"/>
      <c r="G3164" s="82" t="str">
        <f aca="false">IF(C3164="","",IFERROR(INDEX('Kit Lists'!$D$6:$D$605,MATCH(B3164&amp;"|"&amp;C3164,'Kit Lists'!$J$6:$J$605,0)),"Not on this contract's kit list"))</f>
        <v/>
      </c>
      <c r="H3164" s="83" t="str">
        <f aca="false">IF(AND(B3164="",C3164="",D3164=""),"",IF(B3164="","Missing contract",IF(C3164="","Missing code",IF(LEFT(G3164,3)="Not","Wrong code",IF(D3164="","Missing qty",IF(A3164="","Missing date",""))))))</f>
        <v/>
      </c>
      <c r="I3164" s="84" t="str">
        <f aca="false">IF(B3164=Dashboard!$D$3,ROW(),"")</f>
        <v/>
      </c>
    </row>
    <row r="3165" customFormat="false" ht="15" hidden="false" customHeight="false" outlineLevel="0" collapsed="false">
      <c r="A3165" s="80"/>
      <c r="B3165" s="71"/>
      <c r="C3165" s="71"/>
      <c r="D3165" s="81"/>
      <c r="E3165" s="71"/>
      <c r="F3165" s="71"/>
      <c r="G3165" s="82" t="str">
        <f aca="false">IF(C3165="","",IFERROR(INDEX('Kit Lists'!$D$6:$D$605,MATCH(B3165&amp;"|"&amp;C3165,'Kit Lists'!$J$6:$J$605,0)),"Not on this contract's kit list"))</f>
        <v/>
      </c>
      <c r="H3165" s="83" t="str">
        <f aca="false">IF(AND(B3165="",C3165="",D3165=""),"",IF(B3165="","Missing contract",IF(C3165="","Missing code",IF(LEFT(G3165,3)="Not","Wrong code",IF(D3165="","Missing qty",IF(A3165="","Missing date",""))))))</f>
        <v/>
      </c>
      <c r="I3165" s="84" t="str">
        <f aca="false">IF(B3165=Dashboard!$D$3,ROW(),"")</f>
        <v/>
      </c>
    </row>
    <row r="3166" customFormat="false" ht="15" hidden="false" customHeight="false" outlineLevel="0" collapsed="false">
      <c r="A3166" s="80"/>
      <c r="B3166" s="71"/>
      <c r="C3166" s="71"/>
      <c r="D3166" s="81"/>
      <c r="E3166" s="71"/>
      <c r="F3166" s="71"/>
      <c r="G3166" s="82" t="str">
        <f aca="false">IF(C3166="","",IFERROR(INDEX('Kit Lists'!$D$6:$D$605,MATCH(B3166&amp;"|"&amp;C3166,'Kit Lists'!$J$6:$J$605,0)),"Not on this contract's kit list"))</f>
        <v/>
      </c>
      <c r="H3166" s="83" t="str">
        <f aca="false">IF(AND(B3166="",C3166="",D3166=""),"",IF(B3166="","Missing contract",IF(C3166="","Missing code",IF(LEFT(G3166,3)="Not","Wrong code",IF(D3166="","Missing qty",IF(A3166="","Missing date",""))))))</f>
        <v/>
      </c>
      <c r="I3166" s="84" t="str">
        <f aca="false">IF(B3166=Dashboard!$D$3,ROW(),"")</f>
        <v/>
      </c>
    </row>
    <row r="3167" customFormat="false" ht="15" hidden="false" customHeight="false" outlineLevel="0" collapsed="false">
      <c r="A3167" s="80"/>
      <c r="B3167" s="71"/>
      <c r="C3167" s="71"/>
      <c r="D3167" s="81"/>
      <c r="E3167" s="71"/>
      <c r="F3167" s="71"/>
      <c r="G3167" s="82" t="str">
        <f aca="false">IF(C3167="","",IFERROR(INDEX('Kit Lists'!$D$6:$D$605,MATCH(B3167&amp;"|"&amp;C3167,'Kit Lists'!$J$6:$J$605,0)),"Not on this contract's kit list"))</f>
        <v/>
      </c>
      <c r="H3167" s="83" t="str">
        <f aca="false">IF(AND(B3167="",C3167="",D3167=""),"",IF(B3167="","Missing contract",IF(C3167="","Missing code",IF(LEFT(G3167,3)="Not","Wrong code",IF(D3167="","Missing qty",IF(A3167="","Missing date",""))))))</f>
        <v/>
      </c>
      <c r="I3167" s="84" t="str">
        <f aca="false">IF(B3167=Dashboard!$D$3,ROW(),"")</f>
        <v/>
      </c>
    </row>
    <row r="3168" customFormat="false" ht="15" hidden="false" customHeight="false" outlineLevel="0" collapsed="false">
      <c r="A3168" s="80"/>
      <c r="B3168" s="71"/>
      <c r="C3168" s="71"/>
      <c r="D3168" s="81"/>
      <c r="E3168" s="71"/>
      <c r="F3168" s="71"/>
      <c r="G3168" s="82" t="str">
        <f aca="false">IF(C3168="","",IFERROR(INDEX('Kit Lists'!$D$6:$D$605,MATCH(B3168&amp;"|"&amp;C3168,'Kit Lists'!$J$6:$J$605,0)),"Not on this contract's kit list"))</f>
        <v/>
      </c>
      <c r="H3168" s="83" t="str">
        <f aca="false">IF(AND(B3168="",C3168="",D3168=""),"",IF(B3168="","Missing contract",IF(C3168="","Missing code",IF(LEFT(G3168,3)="Not","Wrong code",IF(D3168="","Missing qty",IF(A3168="","Missing date",""))))))</f>
        <v/>
      </c>
      <c r="I3168" s="84" t="str">
        <f aca="false">IF(B3168=Dashboard!$D$3,ROW(),"")</f>
        <v/>
      </c>
    </row>
    <row r="3169" customFormat="false" ht="15" hidden="false" customHeight="false" outlineLevel="0" collapsed="false">
      <c r="A3169" s="80"/>
      <c r="B3169" s="71"/>
      <c r="C3169" s="71"/>
      <c r="D3169" s="81"/>
      <c r="E3169" s="71"/>
      <c r="F3169" s="71"/>
      <c r="G3169" s="82" t="str">
        <f aca="false">IF(C3169="","",IFERROR(INDEX('Kit Lists'!$D$6:$D$605,MATCH(B3169&amp;"|"&amp;C3169,'Kit Lists'!$J$6:$J$605,0)),"Not on this contract's kit list"))</f>
        <v/>
      </c>
      <c r="H3169" s="83" t="str">
        <f aca="false">IF(AND(B3169="",C3169="",D3169=""),"",IF(B3169="","Missing contract",IF(C3169="","Missing code",IF(LEFT(G3169,3)="Not","Wrong code",IF(D3169="","Missing qty",IF(A3169="","Missing date",""))))))</f>
        <v/>
      </c>
      <c r="I3169" s="84" t="str">
        <f aca="false">IF(B3169=Dashboard!$D$3,ROW(),"")</f>
        <v/>
      </c>
    </row>
    <row r="3170" customFormat="false" ht="15" hidden="false" customHeight="false" outlineLevel="0" collapsed="false">
      <c r="A3170" s="80"/>
      <c r="B3170" s="71"/>
      <c r="C3170" s="71"/>
      <c r="D3170" s="81"/>
      <c r="E3170" s="71"/>
      <c r="F3170" s="71"/>
      <c r="G3170" s="82" t="str">
        <f aca="false">IF(C3170="","",IFERROR(INDEX('Kit Lists'!$D$6:$D$605,MATCH(B3170&amp;"|"&amp;C3170,'Kit Lists'!$J$6:$J$605,0)),"Not on this contract's kit list"))</f>
        <v/>
      </c>
      <c r="H3170" s="83" t="str">
        <f aca="false">IF(AND(B3170="",C3170="",D3170=""),"",IF(B3170="","Missing contract",IF(C3170="","Missing code",IF(LEFT(G3170,3)="Not","Wrong code",IF(D3170="","Missing qty",IF(A3170="","Missing date",""))))))</f>
        <v/>
      </c>
      <c r="I3170" s="84" t="str">
        <f aca="false">IF(B3170=Dashboard!$D$3,ROW(),"")</f>
        <v/>
      </c>
    </row>
    <row r="3171" customFormat="false" ht="15" hidden="false" customHeight="false" outlineLevel="0" collapsed="false">
      <c r="A3171" s="80"/>
      <c r="B3171" s="71"/>
      <c r="C3171" s="71"/>
      <c r="D3171" s="81"/>
      <c r="E3171" s="71"/>
      <c r="F3171" s="71"/>
      <c r="G3171" s="82" t="str">
        <f aca="false">IF(C3171="","",IFERROR(INDEX('Kit Lists'!$D$6:$D$605,MATCH(B3171&amp;"|"&amp;C3171,'Kit Lists'!$J$6:$J$605,0)),"Not on this contract's kit list"))</f>
        <v/>
      </c>
      <c r="H3171" s="83" t="str">
        <f aca="false">IF(AND(B3171="",C3171="",D3171=""),"",IF(B3171="","Missing contract",IF(C3171="","Missing code",IF(LEFT(G3171,3)="Not","Wrong code",IF(D3171="","Missing qty",IF(A3171="","Missing date",""))))))</f>
        <v/>
      </c>
      <c r="I3171" s="84" t="str">
        <f aca="false">IF(B3171=Dashboard!$D$3,ROW(),"")</f>
        <v/>
      </c>
    </row>
    <row r="3172" customFormat="false" ht="15" hidden="false" customHeight="false" outlineLevel="0" collapsed="false">
      <c r="A3172" s="80"/>
      <c r="B3172" s="71"/>
      <c r="C3172" s="71"/>
      <c r="D3172" s="81"/>
      <c r="E3172" s="71"/>
      <c r="F3172" s="71"/>
      <c r="G3172" s="82" t="str">
        <f aca="false">IF(C3172="","",IFERROR(INDEX('Kit Lists'!$D$6:$D$605,MATCH(B3172&amp;"|"&amp;C3172,'Kit Lists'!$J$6:$J$605,0)),"Not on this contract's kit list"))</f>
        <v/>
      </c>
      <c r="H3172" s="83" t="str">
        <f aca="false">IF(AND(B3172="",C3172="",D3172=""),"",IF(B3172="","Missing contract",IF(C3172="","Missing code",IF(LEFT(G3172,3)="Not","Wrong code",IF(D3172="","Missing qty",IF(A3172="","Missing date",""))))))</f>
        <v/>
      </c>
      <c r="I3172" s="84" t="str">
        <f aca="false">IF(B3172=Dashboard!$D$3,ROW(),"")</f>
        <v/>
      </c>
    </row>
    <row r="3173" customFormat="false" ht="15" hidden="false" customHeight="false" outlineLevel="0" collapsed="false">
      <c r="A3173" s="80"/>
      <c r="B3173" s="71"/>
      <c r="C3173" s="71"/>
      <c r="D3173" s="81"/>
      <c r="E3173" s="71"/>
      <c r="F3173" s="71"/>
      <c r="G3173" s="82" t="str">
        <f aca="false">IF(C3173="","",IFERROR(INDEX('Kit Lists'!$D$6:$D$605,MATCH(B3173&amp;"|"&amp;C3173,'Kit Lists'!$J$6:$J$605,0)),"Not on this contract's kit list"))</f>
        <v/>
      </c>
      <c r="H3173" s="83" t="str">
        <f aca="false">IF(AND(B3173="",C3173="",D3173=""),"",IF(B3173="","Missing contract",IF(C3173="","Missing code",IF(LEFT(G3173,3)="Not","Wrong code",IF(D3173="","Missing qty",IF(A3173="","Missing date",""))))))</f>
        <v/>
      </c>
      <c r="I3173" s="84" t="str">
        <f aca="false">IF(B3173=Dashboard!$D$3,ROW(),"")</f>
        <v/>
      </c>
    </row>
    <row r="3174" customFormat="false" ht="15" hidden="false" customHeight="false" outlineLevel="0" collapsed="false">
      <c r="A3174" s="80"/>
      <c r="B3174" s="71"/>
      <c r="C3174" s="71"/>
      <c r="D3174" s="81"/>
      <c r="E3174" s="71"/>
      <c r="F3174" s="71"/>
      <c r="G3174" s="82" t="str">
        <f aca="false">IF(C3174="","",IFERROR(INDEX('Kit Lists'!$D$6:$D$605,MATCH(B3174&amp;"|"&amp;C3174,'Kit Lists'!$J$6:$J$605,0)),"Not on this contract's kit list"))</f>
        <v/>
      </c>
      <c r="H3174" s="83" t="str">
        <f aca="false">IF(AND(B3174="",C3174="",D3174=""),"",IF(B3174="","Missing contract",IF(C3174="","Missing code",IF(LEFT(G3174,3)="Not","Wrong code",IF(D3174="","Missing qty",IF(A3174="","Missing date",""))))))</f>
        <v/>
      </c>
      <c r="I3174" s="84" t="str">
        <f aca="false">IF(B3174=Dashboard!$D$3,ROW(),"")</f>
        <v/>
      </c>
    </row>
    <row r="3175" customFormat="false" ht="15" hidden="false" customHeight="false" outlineLevel="0" collapsed="false">
      <c r="A3175" s="80"/>
      <c r="B3175" s="71"/>
      <c r="C3175" s="71"/>
      <c r="D3175" s="81"/>
      <c r="E3175" s="71"/>
      <c r="F3175" s="71"/>
      <c r="G3175" s="82" t="str">
        <f aca="false">IF(C3175="","",IFERROR(INDEX('Kit Lists'!$D$6:$D$605,MATCH(B3175&amp;"|"&amp;C3175,'Kit Lists'!$J$6:$J$605,0)),"Not on this contract's kit list"))</f>
        <v/>
      </c>
      <c r="H3175" s="83" t="str">
        <f aca="false">IF(AND(B3175="",C3175="",D3175=""),"",IF(B3175="","Missing contract",IF(C3175="","Missing code",IF(LEFT(G3175,3)="Not","Wrong code",IF(D3175="","Missing qty",IF(A3175="","Missing date",""))))))</f>
        <v/>
      </c>
      <c r="I3175" s="84" t="str">
        <f aca="false">IF(B3175=Dashboard!$D$3,ROW(),"")</f>
        <v/>
      </c>
    </row>
    <row r="3176" customFormat="false" ht="15" hidden="false" customHeight="false" outlineLevel="0" collapsed="false">
      <c r="A3176" s="80"/>
      <c r="B3176" s="71"/>
      <c r="C3176" s="71"/>
      <c r="D3176" s="81"/>
      <c r="E3176" s="71"/>
      <c r="F3176" s="71"/>
      <c r="G3176" s="82" t="str">
        <f aca="false">IF(C3176="","",IFERROR(INDEX('Kit Lists'!$D$6:$D$605,MATCH(B3176&amp;"|"&amp;C3176,'Kit Lists'!$J$6:$J$605,0)),"Not on this contract's kit list"))</f>
        <v/>
      </c>
      <c r="H3176" s="83" t="str">
        <f aca="false">IF(AND(B3176="",C3176="",D3176=""),"",IF(B3176="","Missing contract",IF(C3176="","Missing code",IF(LEFT(G3176,3)="Not","Wrong code",IF(D3176="","Missing qty",IF(A3176="","Missing date",""))))))</f>
        <v/>
      </c>
      <c r="I3176" s="84" t="str">
        <f aca="false">IF(B3176=Dashboard!$D$3,ROW(),"")</f>
        <v/>
      </c>
    </row>
    <row r="3177" customFormat="false" ht="15" hidden="false" customHeight="false" outlineLevel="0" collapsed="false">
      <c r="A3177" s="80"/>
      <c r="B3177" s="71"/>
      <c r="C3177" s="71"/>
      <c r="D3177" s="81"/>
      <c r="E3177" s="71"/>
      <c r="F3177" s="71"/>
      <c r="G3177" s="82" t="str">
        <f aca="false">IF(C3177="","",IFERROR(INDEX('Kit Lists'!$D$6:$D$605,MATCH(B3177&amp;"|"&amp;C3177,'Kit Lists'!$J$6:$J$605,0)),"Not on this contract's kit list"))</f>
        <v/>
      </c>
      <c r="H3177" s="83" t="str">
        <f aca="false">IF(AND(B3177="",C3177="",D3177=""),"",IF(B3177="","Missing contract",IF(C3177="","Missing code",IF(LEFT(G3177,3)="Not","Wrong code",IF(D3177="","Missing qty",IF(A3177="","Missing date",""))))))</f>
        <v/>
      </c>
      <c r="I3177" s="84" t="str">
        <f aca="false">IF(B3177=Dashboard!$D$3,ROW(),"")</f>
        <v/>
      </c>
    </row>
    <row r="3178" customFormat="false" ht="15" hidden="false" customHeight="false" outlineLevel="0" collapsed="false">
      <c r="A3178" s="80"/>
      <c r="B3178" s="71"/>
      <c r="C3178" s="71"/>
      <c r="D3178" s="81"/>
      <c r="E3178" s="71"/>
      <c r="F3178" s="71"/>
      <c r="G3178" s="82" t="str">
        <f aca="false">IF(C3178="","",IFERROR(INDEX('Kit Lists'!$D$6:$D$605,MATCH(B3178&amp;"|"&amp;C3178,'Kit Lists'!$J$6:$J$605,0)),"Not on this contract's kit list"))</f>
        <v/>
      </c>
      <c r="H3178" s="83" t="str">
        <f aca="false">IF(AND(B3178="",C3178="",D3178=""),"",IF(B3178="","Missing contract",IF(C3178="","Missing code",IF(LEFT(G3178,3)="Not","Wrong code",IF(D3178="","Missing qty",IF(A3178="","Missing date",""))))))</f>
        <v/>
      </c>
      <c r="I3178" s="84" t="str">
        <f aca="false">IF(B3178=Dashboard!$D$3,ROW(),"")</f>
        <v/>
      </c>
    </row>
    <row r="3179" customFormat="false" ht="15" hidden="false" customHeight="false" outlineLevel="0" collapsed="false">
      <c r="A3179" s="80"/>
      <c r="B3179" s="71"/>
      <c r="C3179" s="71"/>
      <c r="D3179" s="81"/>
      <c r="E3179" s="71"/>
      <c r="F3179" s="71"/>
      <c r="G3179" s="82" t="str">
        <f aca="false">IF(C3179="","",IFERROR(INDEX('Kit Lists'!$D$6:$D$605,MATCH(B3179&amp;"|"&amp;C3179,'Kit Lists'!$J$6:$J$605,0)),"Not on this contract's kit list"))</f>
        <v/>
      </c>
      <c r="H3179" s="83" t="str">
        <f aca="false">IF(AND(B3179="",C3179="",D3179=""),"",IF(B3179="","Missing contract",IF(C3179="","Missing code",IF(LEFT(G3179,3)="Not","Wrong code",IF(D3179="","Missing qty",IF(A3179="","Missing date",""))))))</f>
        <v/>
      </c>
      <c r="I3179" s="84" t="str">
        <f aca="false">IF(B3179=Dashboard!$D$3,ROW(),"")</f>
        <v/>
      </c>
    </row>
    <row r="3180" customFormat="false" ht="15" hidden="false" customHeight="false" outlineLevel="0" collapsed="false">
      <c r="A3180" s="80"/>
      <c r="B3180" s="71"/>
      <c r="C3180" s="71"/>
      <c r="D3180" s="81"/>
      <c r="E3180" s="71"/>
      <c r="F3180" s="71"/>
      <c r="G3180" s="82" t="str">
        <f aca="false">IF(C3180="","",IFERROR(INDEX('Kit Lists'!$D$6:$D$605,MATCH(B3180&amp;"|"&amp;C3180,'Kit Lists'!$J$6:$J$605,0)),"Not on this contract's kit list"))</f>
        <v/>
      </c>
      <c r="H3180" s="83" t="str">
        <f aca="false">IF(AND(B3180="",C3180="",D3180=""),"",IF(B3180="","Missing contract",IF(C3180="","Missing code",IF(LEFT(G3180,3)="Not","Wrong code",IF(D3180="","Missing qty",IF(A3180="","Missing date",""))))))</f>
        <v/>
      </c>
      <c r="I3180" s="84" t="str">
        <f aca="false">IF(B3180=Dashboard!$D$3,ROW(),"")</f>
        <v/>
      </c>
    </row>
    <row r="3181" customFormat="false" ht="15" hidden="false" customHeight="false" outlineLevel="0" collapsed="false">
      <c r="A3181" s="80"/>
      <c r="B3181" s="71"/>
      <c r="C3181" s="71"/>
      <c r="D3181" s="81"/>
      <c r="E3181" s="71"/>
      <c r="F3181" s="71"/>
      <c r="G3181" s="82" t="str">
        <f aca="false">IF(C3181="","",IFERROR(INDEX('Kit Lists'!$D$6:$D$605,MATCH(B3181&amp;"|"&amp;C3181,'Kit Lists'!$J$6:$J$605,0)),"Not on this contract's kit list"))</f>
        <v/>
      </c>
      <c r="H3181" s="83" t="str">
        <f aca="false">IF(AND(B3181="",C3181="",D3181=""),"",IF(B3181="","Missing contract",IF(C3181="","Missing code",IF(LEFT(G3181,3)="Not","Wrong code",IF(D3181="","Missing qty",IF(A3181="","Missing date",""))))))</f>
        <v/>
      </c>
      <c r="I3181" s="84" t="str">
        <f aca="false">IF(B3181=Dashboard!$D$3,ROW(),"")</f>
        <v/>
      </c>
    </row>
    <row r="3182" customFormat="false" ht="15" hidden="false" customHeight="false" outlineLevel="0" collapsed="false">
      <c r="A3182" s="80"/>
      <c r="B3182" s="71"/>
      <c r="C3182" s="71"/>
      <c r="D3182" s="81"/>
      <c r="E3182" s="71"/>
      <c r="F3182" s="71"/>
      <c r="G3182" s="82" t="str">
        <f aca="false">IF(C3182="","",IFERROR(INDEX('Kit Lists'!$D$6:$D$605,MATCH(B3182&amp;"|"&amp;C3182,'Kit Lists'!$J$6:$J$605,0)),"Not on this contract's kit list"))</f>
        <v/>
      </c>
      <c r="H3182" s="83" t="str">
        <f aca="false">IF(AND(B3182="",C3182="",D3182=""),"",IF(B3182="","Missing contract",IF(C3182="","Missing code",IF(LEFT(G3182,3)="Not","Wrong code",IF(D3182="","Missing qty",IF(A3182="","Missing date",""))))))</f>
        <v/>
      </c>
      <c r="I3182" s="84" t="str">
        <f aca="false">IF(B3182=Dashboard!$D$3,ROW(),"")</f>
        <v/>
      </c>
    </row>
    <row r="3183" customFormat="false" ht="15" hidden="false" customHeight="false" outlineLevel="0" collapsed="false">
      <c r="A3183" s="80"/>
      <c r="B3183" s="71"/>
      <c r="C3183" s="71"/>
      <c r="D3183" s="81"/>
      <c r="E3183" s="71"/>
      <c r="F3183" s="71"/>
      <c r="G3183" s="82" t="str">
        <f aca="false">IF(C3183="","",IFERROR(INDEX('Kit Lists'!$D$6:$D$605,MATCH(B3183&amp;"|"&amp;C3183,'Kit Lists'!$J$6:$J$605,0)),"Not on this contract's kit list"))</f>
        <v/>
      </c>
      <c r="H3183" s="83" t="str">
        <f aca="false">IF(AND(B3183="",C3183="",D3183=""),"",IF(B3183="","Missing contract",IF(C3183="","Missing code",IF(LEFT(G3183,3)="Not","Wrong code",IF(D3183="","Missing qty",IF(A3183="","Missing date",""))))))</f>
        <v/>
      </c>
      <c r="I3183" s="84" t="str">
        <f aca="false">IF(B3183=Dashboard!$D$3,ROW(),"")</f>
        <v/>
      </c>
    </row>
    <row r="3184" customFormat="false" ht="15" hidden="false" customHeight="false" outlineLevel="0" collapsed="false">
      <c r="A3184" s="80"/>
      <c r="B3184" s="71"/>
      <c r="C3184" s="71"/>
      <c r="D3184" s="81"/>
      <c r="E3184" s="71"/>
      <c r="F3184" s="71"/>
      <c r="G3184" s="82" t="str">
        <f aca="false">IF(C3184="","",IFERROR(INDEX('Kit Lists'!$D$6:$D$605,MATCH(B3184&amp;"|"&amp;C3184,'Kit Lists'!$J$6:$J$605,0)),"Not on this contract's kit list"))</f>
        <v/>
      </c>
      <c r="H3184" s="83" t="str">
        <f aca="false">IF(AND(B3184="",C3184="",D3184=""),"",IF(B3184="","Missing contract",IF(C3184="","Missing code",IF(LEFT(G3184,3)="Not","Wrong code",IF(D3184="","Missing qty",IF(A3184="","Missing date",""))))))</f>
        <v/>
      </c>
      <c r="I3184" s="84" t="str">
        <f aca="false">IF(B3184=Dashboard!$D$3,ROW(),"")</f>
        <v/>
      </c>
    </row>
    <row r="3185" customFormat="false" ht="15" hidden="false" customHeight="false" outlineLevel="0" collapsed="false">
      <c r="A3185" s="80"/>
      <c r="B3185" s="71"/>
      <c r="C3185" s="71"/>
      <c r="D3185" s="81"/>
      <c r="E3185" s="71"/>
      <c r="F3185" s="71"/>
      <c r="G3185" s="82" t="str">
        <f aca="false">IF(C3185="","",IFERROR(INDEX('Kit Lists'!$D$6:$D$605,MATCH(B3185&amp;"|"&amp;C3185,'Kit Lists'!$J$6:$J$605,0)),"Not on this contract's kit list"))</f>
        <v/>
      </c>
      <c r="H3185" s="83" t="str">
        <f aca="false">IF(AND(B3185="",C3185="",D3185=""),"",IF(B3185="","Missing contract",IF(C3185="","Missing code",IF(LEFT(G3185,3)="Not","Wrong code",IF(D3185="","Missing qty",IF(A3185="","Missing date",""))))))</f>
        <v/>
      </c>
      <c r="I3185" s="84" t="str">
        <f aca="false">IF(B3185=Dashboard!$D$3,ROW(),"")</f>
        <v/>
      </c>
    </row>
    <row r="3186" customFormat="false" ht="15" hidden="false" customHeight="false" outlineLevel="0" collapsed="false">
      <c r="A3186" s="80"/>
      <c r="B3186" s="71"/>
      <c r="C3186" s="71"/>
      <c r="D3186" s="81"/>
      <c r="E3186" s="71"/>
      <c r="F3186" s="71"/>
      <c r="G3186" s="82" t="str">
        <f aca="false">IF(C3186="","",IFERROR(INDEX('Kit Lists'!$D$6:$D$605,MATCH(B3186&amp;"|"&amp;C3186,'Kit Lists'!$J$6:$J$605,0)),"Not on this contract's kit list"))</f>
        <v/>
      </c>
      <c r="H3186" s="83" t="str">
        <f aca="false">IF(AND(B3186="",C3186="",D3186=""),"",IF(B3186="","Missing contract",IF(C3186="","Missing code",IF(LEFT(G3186,3)="Not","Wrong code",IF(D3186="","Missing qty",IF(A3186="","Missing date",""))))))</f>
        <v/>
      </c>
      <c r="I3186" s="84" t="str">
        <f aca="false">IF(B3186=Dashboard!$D$3,ROW(),"")</f>
        <v/>
      </c>
    </row>
    <row r="3187" customFormat="false" ht="15" hidden="false" customHeight="false" outlineLevel="0" collapsed="false">
      <c r="A3187" s="80"/>
      <c r="B3187" s="71"/>
      <c r="C3187" s="71"/>
      <c r="D3187" s="81"/>
      <c r="E3187" s="71"/>
      <c r="F3187" s="71"/>
      <c r="G3187" s="82" t="str">
        <f aca="false">IF(C3187="","",IFERROR(INDEX('Kit Lists'!$D$6:$D$605,MATCH(B3187&amp;"|"&amp;C3187,'Kit Lists'!$J$6:$J$605,0)),"Not on this contract's kit list"))</f>
        <v/>
      </c>
      <c r="H3187" s="83" t="str">
        <f aca="false">IF(AND(B3187="",C3187="",D3187=""),"",IF(B3187="","Missing contract",IF(C3187="","Missing code",IF(LEFT(G3187,3)="Not","Wrong code",IF(D3187="","Missing qty",IF(A3187="","Missing date",""))))))</f>
        <v/>
      </c>
      <c r="I3187" s="84" t="str">
        <f aca="false">IF(B3187=Dashboard!$D$3,ROW(),"")</f>
        <v/>
      </c>
    </row>
    <row r="3188" customFormat="false" ht="15" hidden="false" customHeight="false" outlineLevel="0" collapsed="false">
      <c r="A3188" s="80"/>
      <c r="B3188" s="71"/>
      <c r="C3188" s="71"/>
      <c r="D3188" s="81"/>
      <c r="E3188" s="71"/>
      <c r="F3188" s="71"/>
      <c r="G3188" s="82" t="str">
        <f aca="false">IF(C3188="","",IFERROR(INDEX('Kit Lists'!$D$6:$D$605,MATCH(B3188&amp;"|"&amp;C3188,'Kit Lists'!$J$6:$J$605,0)),"Not on this contract's kit list"))</f>
        <v/>
      </c>
      <c r="H3188" s="83" t="str">
        <f aca="false">IF(AND(B3188="",C3188="",D3188=""),"",IF(B3188="","Missing contract",IF(C3188="","Missing code",IF(LEFT(G3188,3)="Not","Wrong code",IF(D3188="","Missing qty",IF(A3188="","Missing date",""))))))</f>
        <v/>
      </c>
      <c r="I3188" s="84" t="str">
        <f aca="false">IF(B3188=Dashboard!$D$3,ROW(),"")</f>
        <v/>
      </c>
    </row>
    <row r="3189" customFormat="false" ht="15" hidden="false" customHeight="false" outlineLevel="0" collapsed="false">
      <c r="A3189" s="80"/>
      <c r="B3189" s="71"/>
      <c r="C3189" s="71"/>
      <c r="D3189" s="81"/>
      <c r="E3189" s="71"/>
      <c r="F3189" s="71"/>
      <c r="G3189" s="82" t="str">
        <f aca="false">IF(C3189="","",IFERROR(INDEX('Kit Lists'!$D$6:$D$605,MATCH(B3189&amp;"|"&amp;C3189,'Kit Lists'!$J$6:$J$605,0)),"Not on this contract's kit list"))</f>
        <v/>
      </c>
      <c r="H3189" s="83" t="str">
        <f aca="false">IF(AND(B3189="",C3189="",D3189=""),"",IF(B3189="","Missing contract",IF(C3189="","Missing code",IF(LEFT(G3189,3)="Not","Wrong code",IF(D3189="","Missing qty",IF(A3189="","Missing date",""))))))</f>
        <v/>
      </c>
      <c r="I3189" s="84" t="str">
        <f aca="false">IF(B3189=Dashboard!$D$3,ROW(),"")</f>
        <v/>
      </c>
    </row>
    <row r="3190" customFormat="false" ht="15" hidden="false" customHeight="false" outlineLevel="0" collapsed="false">
      <c r="A3190" s="80"/>
      <c r="B3190" s="71"/>
      <c r="C3190" s="71"/>
      <c r="D3190" s="81"/>
      <c r="E3190" s="71"/>
      <c r="F3190" s="71"/>
      <c r="G3190" s="82" t="str">
        <f aca="false">IF(C3190="","",IFERROR(INDEX('Kit Lists'!$D$6:$D$605,MATCH(B3190&amp;"|"&amp;C3190,'Kit Lists'!$J$6:$J$605,0)),"Not on this contract's kit list"))</f>
        <v/>
      </c>
      <c r="H3190" s="83" t="str">
        <f aca="false">IF(AND(B3190="",C3190="",D3190=""),"",IF(B3190="","Missing contract",IF(C3190="","Missing code",IF(LEFT(G3190,3)="Not","Wrong code",IF(D3190="","Missing qty",IF(A3190="","Missing date",""))))))</f>
        <v/>
      </c>
      <c r="I3190" s="84" t="str">
        <f aca="false">IF(B3190=Dashboard!$D$3,ROW(),"")</f>
        <v/>
      </c>
    </row>
    <row r="3191" customFormat="false" ht="15" hidden="false" customHeight="false" outlineLevel="0" collapsed="false">
      <c r="A3191" s="80"/>
      <c r="B3191" s="71"/>
      <c r="C3191" s="71"/>
      <c r="D3191" s="81"/>
      <c r="E3191" s="71"/>
      <c r="F3191" s="71"/>
      <c r="G3191" s="82" t="str">
        <f aca="false">IF(C3191="","",IFERROR(INDEX('Kit Lists'!$D$6:$D$605,MATCH(B3191&amp;"|"&amp;C3191,'Kit Lists'!$J$6:$J$605,0)),"Not on this contract's kit list"))</f>
        <v/>
      </c>
      <c r="H3191" s="83" t="str">
        <f aca="false">IF(AND(B3191="",C3191="",D3191=""),"",IF(B3191="","Missing contract",IF(C3191="","Missing code",IF(LEFT(G3191,3)="Not","Wrong code",IF(D3191="","Missing qty",IF(A3191="","Missing date",""))))))</f>
        <v/>
      </c>
      <c r="I3191" s="84" t="str">
        <f aca="false">IF(B3191=Dashboard!$D$3,ROW(),"")</f>
        <v/>
      </c>
    </row>
    <row r="3192" customFormat="false" ht="15" hidden="false" customHeight="false" outlineLevel="0" collapsed="false">
      <c r="A3192" s="80"/>
      <c r="B3192" s="71"/>
      <c r="C3192" s="71"/>
      <c r="D3192" s="81"/>
      <c r="E3192" s="71"/>
      <c r="F3192" s="71"/>
      <c r="G3192" s="82" t="str">
        <f aca="false">IF(C3192="","",IFERROR(INDEX('Kit Lists'!$D$6:$D$605,MATCH(B3192&amp;"|"&amp;C3192,'Kit Lists'!$J$6:$J$605,0)),"Not on this contract's kit list"))</f>
        <v/>
      </c>
      <c r="H3192" s="83" t="str">
        <f aca="false">IF(AND(B3192="",C3192="",D3192=""),"",IF(B3192="","Missing contract",IF(C3192="","Missing code",IF(LEFT(G3192,3)="Not","Wrong code",IF(D3192="","Missing qty",IF(A3192="","Missing date",""))))))</f>
        <v/>
      </c>
      <c r="I3192" s="84" t="str">
        <f aca="false">IF(B3192=Dashboard!$D$3,ROW(),"")</f>
        <v/>
      </c>
    </row>
    <row r="3193" customFormat="false" ht="15" hidden="false" customHeight="false" outlineLevel="0" collapsed="false">
      <c r="A3193" s="80"/>
      <c r="B3193" s="71"/>
      <c r="C3193" s="71"/>
      <c r="D3193" s="81"/>
      <c r="E3193" s="71"/>
      <c r="F3193" s="71"/>
      <c r="G3193" s="82" t="str">
        <f aca="false">IF(C3193="","",IFERROR(INDEX('Kit Lists'!$D$6:$D$605,MATCH(B3193&amp;"|"&amp;C3193,'Kit Lists'!$J$6:$J$605,0)),"Not on this contract's kit list"))</f>
        <v/>
      </c>
      <c r="H3193" s="83" t="str">
        <f aca="false">IF(AND(B3193="",C3193="",D3193=""),"",IF(B3193="","Missing contract",IF(C3193="","Missing code",IF(LEFT(G3193,3)="Not","Wrong code",IF(D3193="","Missing qty",IF(A3193="","Missing date",""))))))</f>
        <v/>
      </c>
      <c r="I3193" s="84" t="str">
        <f aca="false">IF(B3193=Dashboard!$D$3,ROW(),"")</f>
        <v/>
      </c>
    </row>
    <row r="3194" customFormat="false" ht="15" hidden="false" customHeight="false" outlineLevel="0" collapsed="false">
      <c r="A3194" s="80"/>
      <c r="B3194" s="71"/>
      <c r="C3194" s="71"/>
      <c r="D3194" s="81"/>
      <c r="E3194" s="71"/>
      <c r="F3194" s="71"/>
      <c r="G3194" s="82" t="str">
        <f aca="false">IF(C3194="","",IFERROR(INDEX('Kit Lists'!$D$6:$D$605,MATCH(B3194&amp;"|"&amp;C3194,'Kit Lists'!$J$6:$J$605,0)),"Not on this contract's kit list"))</f>
        <v/>
      </c>
      <c r="H3194" s="83" t="str">
        <f aca="false">IF(AND(B3194="",C3194="",D3194=""),"",IF(B3194="","Missing contract",IF(C3194="","Missing code",IF(LEFT(G3194,3)="Not","Wrong code",IF(D3194="","Missing qty",IF(A3194="","Missing date",""))))))</f>
        <v/>
      </c>
      <c r="I3194" s="84" t="str">
        <f aca="false">IF(B3194=Dashboard!$D$3,ROW(),"")</f>
        <v/>
      </c>
    </row>
    <row r="3195" customFormat="false" ht="15" hidden="false" customHeight="false" outlineLevel="0" collapsed="false">
      <c r="A3195" s="80"/>
      <c r="B3195" s="71"/>
      <c r="C3195" s="71"/>
      <c r="D3195" s="81"/>
      <c r="E3195" s="71"/>
      <c r="F3195" s="71"/>
      <c r="G3195" s="82" t="str">
        <f aca="false">IF(C3195="","",IFERROR(INDEX('Kit Lists'!$D$6:$D$605,MATCH(B3195&amp;"|"&amp;C3195,'Kit Lists'!$J$6:$J$605,0)),"Not on this contract's kit list"))</f>
        <v/>
      </c>
      <c r="H3195" s="83" t="str">
        <f aca="false">IF(AND(B3195="",C3195="",D3195=""),"",IF(B3195="","Missing contract",IF(C3195="","Missing code",IF(LEFT(G3195,3)="Not","Wrong code",IF(D3195="","Missing qty",IF(A3195="","Missing date",""))))))</f>
        <v/>
      </c>
      <c r="I3195" s="84" t="str">
        <f aca="false">IF(B3195=Dashboard!$D$3,ROW(),"")</f>
        <v/>
      </c>
    </row>
    <row r="3196" customFormat="false" ht="15" hidden="false" customHeight="false" outlineLevel="0" collapsed="false">
      <c r="A3196" s="80"/>
      <c r="B3196" s="71"/>
      <c r="C3196" s="71"/>
      <c r="D3196" s="81"/>
      <c r="E3196" s="71"/>
      <c r="F3196" s="71"/>
      <c r="G3196" s="82" t="str">
        <f aca="false">IF(C3196="","",IFERROR(INDEX('Kit Lists'!$D$6:$D$605,MATCH(B3196&amp;"|"&amp;C3196,'Kit Lists'!$J$6:$J$605,0)),"Not on this contract's kit list"))</f>
        <v/>
      </c>
      <c r="H3196" s="83" t="str">
        <f aca="false">IF(AND(B3196="",C3196="",D3196=""),"",IF(B3196="","Missing contract",IF(C3196="","Missing code",IF(LEFT(G3196,3)="Not","Wrong code",IF(D3196="","Missing qty",IF(A3196="","Missing date",""))))))</f>
        <v/>
      </c>
      <c r="I3196" s="84" t="str">
        <f aca="false">IF(B3196=Dashboard!$D$3,ROW(),"")</f>
        <v/>
      </c>
    </row>
    <row r="3197" customFormat="false" ht="15" hidden="false" customHeight="false" outlineLevel="0" collapsed="false">
      <c r="A3197" s="80"/>
      <c r="B3197" s="71"/>
      <c r="C3197" s="71"/>
      <c r="D3197" s="81"/>
      <c r="E3197" s="71"/>
      <c r="F3197" s="71"/>
      <c r="G3197" s="82" t="str">
        <f aca="false">IF(C3197="","",IFERROR(INDEX('Kit Lists'!$D$6:$D$605,MATCH(B3197&amp;"|"&amp;C3197,'Kit Lists'!$J$6:$J$605,0)),"Not on this contract's kit list"))</f>
        <v/>
      </c>
      <c r="H3197" s="83" t="str">
        <f aca="false">IF(AND(B3197="",C3197="",D3197=""),"",IF(B3197="","Missing contract",IF(C3197="","Missing code",IF(LEFT(G3197,3)="Not","Wrong code",IF(D3197="","Missing qty",IF(A3197="","Missing date",""))))))</f>
        <v/>
      </c>
      <c r="I3197" s="84" t="str">
        <f aca="false">IF(B3197=Dashboard!$D$3,ROW(),"")</f>
        <v/>
      </c>
    </row>
    <row r="3198" customFormat="false" ht="15" hidden="false" customHeight="false" outlineLevel="0" collapsed="false">
      <c r="A3198" s="80"/>
      <c r="B3198" s="71"/>
      <c r="C3198" s="71"/>
      <c r="D3198" s="81"/>
      <c r="E3198" s="71"/>
      <c r="F3198" s="71"/>
      <c r="G3198" s="82" t="str">
        <f aca="false">IF(C3198="","",IFERROR(INDEX('Kit Lists'!$D$6:$D$605,MATCH(B3198&amp;"|"&amp;C3198,'Kit Lists'!$J$6:$J$605,0)),"Not on this contract's kit list"))</f>
        <v/>
      </c>
      <c r="H3198" s="83" t="str">
        <f aca="false">IF(AND(B3198="",C3198="",D3198=""),"",IF(B3198="","Missing contract",IF(C3198="","Missing code",IF(LEFT(G3198,3)="Not","Wrong code",IF(D3198="","Missing qty",IF(A3198="","Missing date",""))))))</f>
        <v/>
      </c>
      <c r="I3198" s="84" t="str">
        <f aca="false">IF(B3198=Dashboard!$D$3,ROW(),"")</f>
        <v/>
      </c>
    </row>
    <row r="3199" customFormat="false" ht="15" hidden="false" customHeight="false" outlineLevel="0" collapsed="false">
      <c r="A3199" s="80"/>
      <c r="B3199" s="71"/>
      <c r="C3199" s="71"/>
      <c r="D3199" s="81"/>
      <c r="E3199" s="71"/>
      <c r="F3199" s="71"/>
      <c r="G3199" s="82" t="str">
        <f aca="false">IF(C3199="","",IFERROR(INDEX('Kit Lists'!$D$6:$D$605,MATCH(B3199&amp;"|"&amp;C3199,'Kit Lists'!$J$6:$J$605,0)),"Not on this contract's kit list"))</f>
        <v/>
      </c>
      <c r="H3199" s="83" t="str">
        <f aca="false">IF(AND(B3199="",C3199="",D3199=""),"",IF(B3199="","Missing contract",IF(C3199="","Missing code",IF(LEFT(G3199,3)="Not","Wrong code",IF(D3199="","Missing qty",IF(A3199="","Missing date",""))))))</f>
        <v/>
      </c>
      <c r="I3199" s="84" t="str">
        <f aca="false">IF(B3199=Dashboard!$D$3,ROW(),"")</f>
        <v/>
      </c>
    </row>
    <row r="3200" customFormat="false" ht="15" hidden="false" customHeight="false" outlineLevel="0" collapsed="false">
      <c r="A3200" s="80"/>
      <c r="B3200" s="71"/>
      <c r="C3200" s="71"/>
      <c r="D3200" s="81"/>
      <c r="E3200" s="71"/>
      <c r="F3200" s="71"/>
      <c r="G3200" s="82" t="str">
        <f aca="false">IF(C3200="","",IFERROR(INDEX('Kit Lists'!$D$6:$D$605,MATCH(B3200&amp;"|"&amp;C3200,'Kit Lists'!$J$6:$J$605,0)),"Not on this contract's kit list"))</f>
        <v/>
      </c>
      <c r="H3200" s="83" t="str">
        <f aca="false">IF(AND(B3200="",C3200="",D3200=""),"",IF(B3200="","Missing contract",IF(C3200="","Missing code",IF(LEFT(G3200,3)="Not","Wrong code",IF(D3200="","Missing qty",IF(A3200="","Missing date",""))))))</f>
        <v/>
      </c>
      <c r="I3200" s="84" t="str">
        <f aca="false">IF(B3200=Dashboard!$D$3,ROW(),"")</f>
        <v/>
      </c>
    </row>
    <row r="3201" customFormat="false" ht="15" hidden="false" customHeight="false" outlineLevel="0" collapsed="false">
      <c r="A3201" s="80"/>
      <c r="B3201" s="71"/>
      <c r="C3201" s="71"/>
      <c r="D3201" s="81"/>
      <c r="E3201" s="71"/>
      <c r="F3201" s="71"/>
      <c r="G3201" s="82" t="str">
        <f aca="false">IF(C3201="","",IFERROR(INDEX('Kit Lists'!$D$6:$D$605,MATCH(B3201&amp;"|"&amp;C3201,'Kit Lists'!$J$6:$J$605,0)),"Not on this contract's kit list"))</f>
        <v/>
      </c>
      <c r="H3201" s="83" t="str">
        <f aca="false">IF(AND(B3201="",C3201="",D3201=""),"",IF(B3201="","Missing contract",IF(C3201="","Missing code",IF(LEFT(G3201,3)="Not","Wrong code",IF(D3201="","Missing qty",IF(A3201="","Missing date",""))))))</f>
        <v/>
      </c>
      <c r="I3201" s="84" t="str">
        <f aca="false">IF(B3201=Dashboard!$D$3,ROW(),"")</f>
        <v/>
      </c>
    </row>
    <row r="3202" customFormat="false" ht="15" hidden="false" customHeight="false" outlineLevel="0" collapsed="false">
      <c r="A3202" s="80"/>
      <c r="B3202" s="71"/>
      <c r="C3202" s="71"/>
      <c r="D3202" s="81"/>
      <c r="E3202" s="71"/>
      <c r="F3202" s="71"/>
      <c r="G3202" s="82" t="str">
        <f aca="false">IF(C3202="","",IFERROR(INDEX('Kit Lists'!$D$6:$D$605,MATCH(B3202&amp;"|"&amp;C3202,'Kit Lists'!$J$6:$J$605,0)),"Not on this contract's kit list"))</f>
        <v/>
      </c>
      <c r="H3202" s="83" t="str">
        <f aca="false">IF(AND(B3202="",C3202="",D3202=""),"",IF(B3202="","Missing contract",IF(C3202="","Missing code",IF(LEFT(G3202,3)="Not","Wrong code",IF(D3202="","Missing qty",IF(A3202="","Missing date",""))))))</f>
        <v/>
      </c>
      <c r="I3202" s="84" t="str">
        <f aca="false">IF(B3202=Dashboard!$D$3,ROW(),"")</f>
        <v/>
      </c>
    </row>
    <row r="3203" customFormat="false" ht="15" hidden="false" customHeight="false" outlineLevel="0" collapsed="false">
      <c r="A3203" s="80"/>
      <c r="B3203" s="71"/>
      <c r="C3203" s="71"/>
      <c r="D3203" s="81"/>
      <c r="E3203" s="71"/>
      <c r="F3203" s="71"/>
      <c r="G3203" s="82" t="str">
        <f aca="false">IF(C3203="","",IFERROR(INDEX('Kit Lists'!$D$6:$D$605,MATCH(B3203&amp;"|"&amp;C3203,'Kit Lists'!$J$6:$J$605,0)),"Not on this contract's kit list"))</f>
        <v/>
      </c>
      <c r="H3203" s="83" t="str">
        <f aca="false">IF(AND(B3203="",C3203="",D3203=""),"",IF(B3203="","Missing contract",IF(C3203="","Missing code",IF(LEFT(G3203,3)="Not","Wrong code",IF(D3203="","Missing qty",IF(A3203="","Missing date",""))))))</f>
        <v/>
      </c>
      <c r="I3203" s="84" t="str">
        <f aca="false">IF(B3203=Dashboard!$D$3,ROW(),"")</f>
        <v/>
      </c>
    </row>
    <row r="3204" customFormat="false" ht="15" hidden="false" customHeight="false" outlineLevel="0" collapsed="false">
      <c r="A3204" s="80"/>
      <c r="B3204" s="71"/>
      <c r="C3204" s="71"/>
      <c r="D3204" s="81"/>
      <c r="E3204" s="71"/>
      <c r="F3204" s="71"/>
      <c r="G3204" s="82" t="str">
        <f aca="false">IF(C3204="","",IFERROR(INDEX('Kit Lists'!$D$6:$D$605,MATCH(B3204&amp;"|"&amp;C3204,'Kit Lists'!$J$6:$J$605,0)),"Not on this contract's kit list"))</f>
        <v/>
      </c>
      <c r="H3204" s="83" t="str">
        <f aca="false">IF(AND(B3204="",C3204="",D3204=""),"",IF(B3204="","Missing contract",IF(C3204="","Missing code",IF(LEFT(G3204,3)="Not","Wrong code",IF(D3204="","Missing qty",IF(A3204="","Missing date",""))))))</f>
        <v/>
      </c>
      <c r="I3204" s="84" t="str">
        <f aca="false">IF(B3204=Dashboard!$D$3,ROW(),"")</f>
        <v/>
      </c>
    </row>
    <row r="3205" customFormat="false" ht="15" hidden="false" customHeight="false" outlineLevel="0" collapsed="false">
      <c r="A3205" s="80"/>
      <c r="B3205" s="71"/>
      <c r="C3205" s="71"/>
      <c r="D3205" s="81"/>
      <c r="E3205" s="71"/>
      <c r="F3205" s="71"/>
      <c r="G3205" s="82" t="str">
        <f aca="false">IF(C3205="","",IFERROR(INDEX('Kit Lists'!$D$6:$D$605,MATCH(B3205&amp;"|"&amp;C3205,'Kit Lists'!$J$6:$J$605,0)),"Not on this contract's kit list"))</f>
        <v/>
      </c>
      <c r="H3205" s="83" t="str">
        <f aca="false">IF(AND(B3205="",C3205="",D3205=""),"",IF(B3205="","Missing contract",IF(C3205="","Missing code",IF(LEFT(G3205,3)="Not","Wrong code",IF(D3205="","Missing qty",IF(A3205="","Missing date",""))))))</f>
        <v/>
      </c>
      <c r="I3205" s="84" t="str">
        <f aca="false">IF(B3205=Dashboard!$D$3,ROW(),"")</f>
        <v/>
      </c>
    </row>
    <row r="3206" customFormat="false" ht="15" hidden="false" customHeight="false" outlineLevel="0" collapsed="false">
      <c r="A3206" s="80"/>
      <c r="B3206" s="71"/>
      <c r="C3206" s="71"/>
      <c r="D3206" s="81"/>
      <c r="E3206" s="71"/>
      <c r="F3206" s="71"/>
      <c r="G3206" s="82" t="str">
        <f aca="false">IF(C3206="","",IFERROR(INDEX('Kit Lists'!$D$6:$D$605,MATCH(B3206&amp;"|"&amp;C3206,'Kit Lists'!$J$6:$J$605,0)),"Not on this contract's kit list"))</f>
        <v/>
      </c>
      <c r="H3206" s="83" t="str">
        <f aca="false">IF(AND(B3206="",C3206="",D3206=""),"",IF(B3206="","Missing contract",IF(C3206="","Missing code",IF(LEFT(G3206,3)="Not","Wrong code",IF(D3206="","Missing qty",IF(A3206="","Missing date",""))))))</f>
        <v/>
      </c>
      <c r="I3206" s="84" t="str">
        <f aca="false">IF(B3206=Dashboard!$D$3,ROW(),"")</f>
        <v/>
      </c>
    </row>
    <row r="3207" customFormat="false" ht="15" hidden="false" customHeight="false" outlineLevel="0" collapsed="false">
      <c r="A3207" s="80"/>
      <c r="B3207" s="71"/>
      <c r="C3207" s="71"/>
      <c r="D3207" s="81"/>
      <c r="E3207" s="71"/>
      <c r="F3207" s="71"/>
      <c r="G3207" s="82" t="str">
        <f aca="false">IF(C3207="","",IFERROR(INDEX('Kit Lists'!$D$6:$D$605,MATCH(B3207&amp;"|"&amp;C3207,'Kit Lists'!$J$6:$J$605,0)),"Not on this contract's kit list"))</f>
        <v/>
      </c>
      <c r="H3207" s="83" t="str">
        <f aca="false">IF(AND(B3207="",C3207="",D3207=""),"",IF(B3207="","Missing contract",IF(C3207="","Missing code",IF(LEFT(G3207,3)="Not","Wrong code",IF(D3207="","Missing qty",IF(A3207="","Missing date",""))))))</f>
        <v/>
      </c>
      <c r="I3207" s="84" t="str">
        <f aca="false">IF(B3207=Dashboard!$D$3,ROW(),"")</f>
        <v/>
      </c>
    </row>
    <row r="3208" customFormat="false" ht="15" hidden="false" customHeight="false" outlineLevel="0" collapsed="false">
      <c r="A3208" s="80"/>
      <c r="B3208" s="71"/>
      <c r="C3208" s="71"/>
      <c r="D3208" s="81"/>
      <c r="E3208" s="71"/>
      <c r="F3208" s="71"/>
      <c r="G3208" s="82" t="str">
        <f aca="false">IF(C3208="","",IFERROR(INDEX('Kit Lists'!$D$6:$D$605,MATCH(B3208&amp;"|"&amp;C3208,'Kit Lists'!$J$6:$J$605,0)),"Not on this contract's kit list"))</f>
        <v/>
      </c>
      <c r="H3208" s="83" t="str">
        <f aca="false">IF(AND(B3208="",C3208="",D3208=""),"",IF(B3208="","Missing contract",IF(C3208="","Missing code",IF(LEFT(G3208,3)="Not","Wrong code",IF(D3208="","Missing qty",IF(A3208="","Missing date",""))))))</f>
        <v/>
      </c>
      <c r="I3208" s="84" t="str">
        <f aca="false">IF(B3208=Dashboard!$D$3,ROW(),"")</f>
        <v/>
      </c>
    </row>
    <row r="3209" customFormat="false" ht="15" hidden="false" customHeight="false" outlineLevel="0" collapsed="false">
      <c r="A3209" s="80"/>
      <c r="B3209" s="71"/>
      <c r="C3209" s="71"/>
      <c r="D3209" s="81"/>
      <c r="E3209" s="71"/>
      <c r="F3209" s="71"/>
      <c r="G3209" s="82" t="str">
        <f aca="false">IF(C3209="","",IFERROR(INDEX('Kit Lists'!$D$6:$D$605,MATCH(B3209&amp;"|"&amp;C3209,'Kit Lists'!$J$6:$J$605,0)),"Not on this contract's kit list"))</f>
        <v/>
      </c>
      <c r="H3209" s="83" t="str">
        <f aca="false">IF(AND(B3209="",C3209="",D3209=""),"",IF(B3209="","Missing contract",IF(C3209="","Missing code",IF(LEFT(G3209,3)="Not","Wrong code",IF(D3209="","Missing qty",IF(A3209="","Missing date",""))))))</f>
        <v/>
      </c>
      <c r="I3209" s="84" t="str">
        <f aca="false">IF(B3209=Dashboard!$D$3,ROW(),"")</f>
        <v/>
      </c>
    </row>
    <row r="3210" customFormat="false" ht="15" hidden="false" customHeight="false" outlineLevel="0" collapsed="false">
      <c r="A3210" s="80"/>
      <c r="B3210" s="71"/>
      <c r="C3210" s="71"/>
      <c r="D3210" s="81"/>
      <c r="E3210" s="71"/>
      <c r="F3210" s="71"/>
      <c r="G3210" s="82" t="str">
        <f aca="false">IF(C3210="","",IFERROR(INDEX('Kit Lists'!$D$6:$D$605,MATCH(B3210&amp;"|"&amp;C3210,'Kit Lists'!$J$6:$J$605,0)),"Not on this contract's kit list"))</f>
        <v/>
      </c>
      <c r="H3210" s="83" t="str">
        <f aca="false">IF(AND(B3210="",C3210="",D3210=""),"",IF(B3210="","Missing contract",IF(C3210="","Missing code",IF(LEFT(G3210,3)="Not","Wrong code",IF(D3210="","Missing qty",IF(A3210="","Missing date",""))))))</f>
        <v/>
      </c>
      <c r="I3210" s="84" t="str">
        <f aca="false">IF(B3210=Dashboard!$D$3,ROW(),"")</f>
        <v/>
      </c>
    </row>
    <row r="3211" customFormat="false" ht="15" hidden="false" customHeight="false" outlineLevel="0" collapsed="false">
      <c r="A3211" s="80"/>
      <c r="B3211" s="71"/>
      <c r="C3211" s="71"/>
      <c r="D3211" s="81"/>
      <c r="E3211" s="71"/>
      <c r="F3211" s="71"/>
      <c r="G3211" s="82" t="str">
        <f aca="false">IF(C3211="","",IFERROR(INDEX('Kit Lists'!$D$6:$D$605,MATCH(B3211&amp;"|"&amp;C3211,'Kit Lists'!$J$6:$J$605,0)),"Not on this contract's kit list"))</f>
        <v/>
      </c>
      <c r="H3211" s="83" t="str">
        <f aca="false">IF(AND(B3211="",C3211="",D3211=""),"",IF(B3211="","Missing contract",IF(C3211="","Missing code",IF(LEFT(G3211,3)="Not","Wrong code",IF(D3211="","Missing qty",IF(A3211="","Missing date",""))))))</f>
        <v/>
      </c>
      <c r="I3211" s="84" t="str">
        <f aca="false">IF(B3211=Dashboard!$D$3,ROW(),"")</f>
        <v/>
      </c>
    </row>
    <row r="3212" customFormat="false" ht="15" hidden="false" customHeight="false" outlineLevel="0" collapsed="false">
      <c r="A3212" s="80"/>
      <c r="B3212" s="71"/>
      <c r="C3212" s="71"/>
      <c r="D3212" s="81"/>
      <c r="E3212" s="71"/>
      <c r="F3212" s="71"/>
      <c r="G3212" s="82" t="str">
        <f aca="false">IF(C3212="","",IFERROR(INDEX('Kit Lists'!$D$6:$D$605,MATCH(B3212&amp;"|"&amp;C3212,'Kit Lists'!$J$6:$J$605,0)),"Not on this contract's kit list"))</f>
        <v/>
      </c>
      <c r="H3212" s="83" t="str">
        <f aca="false">IF(AND(B3212="",C3212="",D3212=""),"",IF(B3212="","Missing contract",IF(C3212="","Missing code",IF(LEFT(G3212,3)="Not","Wrong code",IF(D3212="","Missing qty",IF(A3212="","Missing date",""))))))</f>
        <v/>
      </c>
      <c r="I3212" s="84" t="str">
        <f aca="false">IF(B3212=Dashboard!$D$3,ROW(),"")</f>
        <v/>
      </c>
    </row>
    <row r="3213" customFormat="false" ht="15" hidden="false" customHeight="false" outlineLevel="0" collapsed="false">
      <c r="A3213" s="80"/>
      <c r="B3213" s="71"/>
      <c r="C3213" s="71"/>
      <c r="D3213" s="81"/>
      <c r="E3213" s="71"/>
      <c r="F3213" s="71"/>
      <c r="G3213" s="82" t="str">
        <f aca="false">IF(C3213="","",IFERROR(INDEX('Kit Lists'!$D$6:$D$605,MATCH(B3213&amp;"|"&amp;C3213,'Kit Lists'!$J$6:$J$605,0)),"Not on this contract's kit list"))</f>
        <v/>
      </c>
      <c r="H3213" s="83" t="str">
        <f aca="false">IF(AND(B3213="",C3213="",D3213=""),"",IF(B3213="","Missing contract",IF(C3213="","Missing code",IF(LEFT(G3213,3)="Not","Wrong code",IF(D3213="","Missing qty",IF(A3213="","Missing date",""))))))</f>
        <v/>
      </c>
      <c r="I3213" s="84" t="str">
        <f aca="false">IF(B3213=Dashboard!$D$3,ROW(),"")</f>
        <v/>
      </c>
    </row>
    <row r="3214" customFormat="false" ht="15" hidden="false" customHeight="false" outlineLevel="0" collapsed="false">
      <c r="A3214" s="80"/>
      <c r="B3214" s="71"/>
      <c r="C3214" s="71"/>
      <c r="D3214" s="81"/>
      <c r="E3214" s="71"/>
      <c r="F3214" s="71"/>
      <c r="G3214" s="82" t="str">
        <f aca="false">IF(C3214="","",IFERROR(INDEX('Kit Lists'!$D$6:$D$605,MATCH(B3214&amp;"|"&amp;C3214,'Kit Lists'!$J$6:$J$605,0)),"Not on this contract's kit list"))</f>
        <v/>
      </c>
      <c r="H3214" s="83" t="str">
        <f aca="false">IF(AND(B3214="",C3214="",D3214=""),"",IF(B3214="","Missing contract",IF(C3214="","Missing code",IF(LEFT(G3214,3)="Not","Wrong code",IF(D3214="","Missing qty",IF(A3214="","Missing date",""))))))</f>
        <v/>
      </c>
      <c r="I3214" s="84" t="str">
        <f aca="false">IF(B3214=Dashboard!$D$3,ROW(),"")</f>
        <v/>
      </c>
    </row>
    <row r="3215" customFormat="false" ht="15" hidden="false" customHeight="false" outlineLevel="0" collapsed="false">
      <c r="A3215" s="80"/>
      <c r="B3215" s="71"/>
      <c r="C3215" s="71"/>
      <c r="D3215" s="81"/>
      <c r="E3215" s="71"/>
      <c r="F3215" s="71"/>
      <c r="G3215" s="82" t="str">
        <f aca="false">IF(C3215="","",IFERROR(INDEX('Kit Lists'!$D$6:$D$605,MATCH(B3215&amp;"|"&amp;C3215,'Kit Lists'!$J$6:$J$605,0)),"Not on this contract's kit list"))</f>
        <v/>
      </c>
      <c r="H3215" s="83" t="str">
        <f aca="false">IF(AND(B3215="",C3215="",D3215=""),"",IF(B3215="","Missing contract",IF(C3215="","Missing code",IF(LEFT(G3215,3)="Not","Wrong code",IF(D3215="","Missing qty",IF(A3215="","Missing date",""))))))</f>
        <v/>
      </c>
      <c r="I3215" s="84" t="str">
        <f aca="false">IF(B3215=Dashboard!$D$3,ROW(),"")</f>
        <v/>
      </c>
    </row>
    <row r="3216" customFormat="false" ht="15" hidden="false" customHeight="false" outlineLevel="0" collapsed="false">
      <c r="A3216" s="80"/>
      <c r="B3216" s="71"/>
      <c r="C3216" s="71"/>
      <c r="D3216" s="81"/>
      <c r="E3216" s="71"/>
      <c r="F3216" s="71"/>
      <c r="G3216" s="82" t="str">
        <f aca="false">IF(C3216="","",IFERROR(INDEX('Kit Lists'!$D$6:$D$605,MATCH(B3216&amp;"|"&amp;C3216,'Kit Lists'!$J$6:$J$605,0)),"Not on this contract's kit list"))</f>
        <v/>
      </c>
      <c r="H3216" s="83" t="str">
        <f aca="false">IF(AND(B3216="",C3216="",D3216=""),"",IF(B3216="","Missing contract",IF(C3216="","Missing code",IF(LEFT(G3216,3)="Not","Wrong code",IF(D3216="","Missing qty",IF(A3216="","Missing date",""))))))</f>
        <v/>
      </c>
      <c r="I3216" s="84" t="str">
        <f aca="false">IF(B3216=Dashboard!$D$3,ROW(),"")</f>
        <v/>
      </c>
    </row>
    <row r="3217" customFormat="false" ht="15" hidden="false" customHeight="false" outlineLevel="0" collapsed="false">
      <c r="A3217" s="80"/>
      <c r="B3217" s="71"/>
      <c r="C3217" s="71"/>
      <c r="D3217" s="81"/>
      <c r="E3217" s="71"/>
      <c r="F3217" s="71"/>
      <c r="G3217" s="82" t="str">
        <f aca="false">IF(C3217="","",IFERROR(INDEX('Kit Lists'!$D$6:$D$605,MATCH(B3217&amp;"|"&amp;C3217,'Kit Lists'!$J$6:$J$605,0)),"Not on this contract's kit list"))</f>
        <v/>
      </c>
      <c r="H3217" s="83" t="str">
        <f aca="false">IF(AND(B3217="",C3217="",D3217=""),"",IF(B3217="","Missing contract",IF(C3217="","Missing code",IF(LEFT(G3217,3)="Not","Wrong code",IF(D3217="","Missing qty",IF(A3217="","Missing date",""))))))</f>
        <v/>
      </c>
      <c r="I3217" s="84" t="str">
        <f aca="false">IF(B3217=Dashboard!$D$3,ROW(),"")</f>
        <v/>
      </c>
    </row>
    <row r="3218" customFormat="false" ht="15" hidden="false" customHeight="false" outlineLevel="0" collapsed="false">
      <c r="A3218" s="80"/>
      <c r="B3218" s="71"/>
      <c r="C3218" s="71"/>
      <c r="D3218" s="81"/>
      <c r="E3218" s="71"/>
      <c r="F3218" s="71"/>
      <c r="G3218" s="82" t="str">
        <f aca="false">IF(C3218="","",IFERROR(INDEX('Kit Lists'!$D$6:$D$605,MATCH(B3218&amp;"|"&amp;C3218,'Kit Lists'!$J$6:$J$605,0)),"Not on this contract's kit list"))</f>
        <v/>
      </c>
      <c r="H3218" s="83" t="str">
        <f aca="false">IF(AND(B3218="",C3218="",D3218=""),"",IF(B3218="","Missing contract",IF(C3218="","Missing code",IF(LEFT(G3218,3)="Not","Wrong code",IF(D3218="","Missing qty",IF(A3218="","Missing date",""))))))</f>
        <v/>
      </c>
      <c r="I3218" s="84" t="str">
        <f aca="false">IF(B3218=Dashboard!$D$3,ROW(),"")</f>
        <v/>
      </c>
    </row>
    <row r="3219" customFormat="false" ht="15" hidden="false" customHeight="false" outlineLevel="0" collapsed="false">
      <c r="A3219" s="80"/>
      <c r="B3219" s="71"/>
      <c r="C3219" s="71"/>
      <c r="D3219" s="81"/>
      <c r="E3219" s="71"/>
      <c r="F3219" s="71"/>
      <c r="G3219" s="82" t="str">
        <f aca="false">IF(C3219="","",IFERROR(INDEX('Kit Lists'!$D$6:$D$605,MATCH(B3219&amp;"|"&amp;C3219,'Kit Lists'!$J$6:$J$605,0)),"Not on this contract's kit list"))</f>
        <v/>
      </c>
      <c r="H3219" s="83" t="str">
        <f aca="false">IF(AND(B3219="",C3219="",D3219=""),"",IF(B3219="","Missing contract",IF(C3219="","Missing code",IF(LEFT(G3219,3)="Not","Wrong code",IF(D3219="","Missing qty",IF(A3219="","Missing date",""))))))</f>
        <v/>
      </c>
      <c r="I3219" s="84" t="str">
        <f aca="false">IF(B3219=Dashboard!$D$3,ROW(),"")</f>
        <v/>
      </c>
    </row>
    <row r="3220" customFormat="false" ht="15" hidden="false" customHeight="false" outlineLevel="0" collapsed="false">
      <c r="A3220" s="80"/>
      <c r="B3220" s="71"/>
      <c r="C3220" s="71"/>
      <c r="D3220" s="81"/>
      <c r="E3220" s="71"/>
      <c r="F3220" s="71"/>
      <c r="G3220" s="82" t="str">
        <f aca="false">IF(C3220="","",IFERROR(INDEX('Kit Lists'!$D$6:$D$605,MATCH(B3220&amp;"|"&amp;C3220,'Kit Lists'!$J$6:$J$605,0)),"Not on this contract's kit list"))</f>
        <v/>
      </c>
      <c r="H3220" s="83" t="str">
        <f aca="false">IF(AND(B3220="",C3220="",D3220=""),"",IF(B3220="","Missing contract",IF(C3220="","Missing code",IF(LEFT(G3220,3)="Not","Wrong code",IF(D3220="","Missing qty",IF(A3220="","Missing date",""))))))</f>
        <v/>
      </c>
      <c r="I3220" s="84" t="str">
        <f aca="false">IF(B3220=Dashboard!$D$3,ROW(),"")</f>
        <v/>
      </c>
    </row>
    <row r="3221" customFormat="false" ht="15" hidden="false" customHeight="false" outlineLevel="0" collapsed="false">
      <c r="A3221" s="80"/>
      <c r="B3221" s="71"/>
      <c r="C3221" s="71"/>
      <c r="D3221" s="81"/>
      <c r="E3221" s="71"/>
      <c r="F3221" s="71"/>
      <c r="G3221" s="82" t="str">
        <f aca="false">IF(C3221="","",IFERROR(INDEX('Kit Lists'!$D$6:$D$605,MATCH(B3221&amp;"|"&amp;C3221,'Kit Lists'!$J$6:$J$605,0)),"Not on this contract's kit list"))</f>
        <v/>
      </c>
      <c r="H3221" s="83" t="str">
        <f aca="false">IF(AND(B3221="",C3221="",D3221=""),"",IF(B3221="","Missing contract",IF(C3221="","Missing code",IF(LEFT(G3221,3)="Not","Wrong code",IF(D3221="","Missing qty",IF(A3221="","Missing date",""))))))</f>
        <v/>
      </c>
      <c r="I3221" s="84" t="str">
        <f aca="false">IF(B3221=Dashboard!$D$3,ROW(),"")</f>
        <v/>
      </c>
    </row>
    <row r="3222" customFormat="false" ht="15" hidden="false" customHeight="false" outlineLevel="0" collapsed="false">
      <c r="A3222" s="80"/>
      <c r="B3222" s="71"/>
      <c r="C3222" s="71"/>
      <c r="D3222" s="81"/>
      <c r="E3222" s="71"/>
      <c r="F3222" s="71"/>
      <c r="G3222" s="82" t="str">
        <f aca="false">IF(C3222="","",IFERROR(INDEX('Kit Lists'!$D$6:$D$605,MATCH(B3222&amp;"|"&amp;C3222,'Kit Lists'!$J$6:$J$605,0)),"Not on this contract's kit list"))</f>
        <v/>
      </c>
      <c r="H3222" s="83" t="str">
        <f aca="false">IF(AND(B3222="",C3222="",D3222=""),"",IF(B3222="","Missing contract",IF(C3222="","Missing code",IF(LEFT(G3222,3)="Not","Wrong code",IF(D3222="","Missing qty",IF(A3222="","Missing date",""))))))</f>
        <v/>
      </c>
      <c r="I3222" s="84" t="str">
        <f aca="false">IF(B3222=Dashboard!$D$3,ROW(),"")</f>
        <v/>
      </c>
    </row>
    <row r="3223" customFormat="false" ht="15" hidden="false" customHeight="false" outlineLevel="0" collapsed="false">
      <c r="A3223" s="80"/>
      <c r="B3223" s="71"/>
      <c r="C3223" s="71"/>
      <c r="D3223" s="81"/>
      <c r="E3223" s="71"/>
      <c r="F3223" s="71"/>
      <c r="G3223" s="82" t="str">
        <f aca="false">IF(C3223="","",IFERROR(INDEX('Kit Lists'!$D$6:$D$605,MATCH(B3223&amp;"|"&amp;C3223,'Kit Lists'!$J$6:$J$605,0)),"Not on this contract's kit list"))</f>
        <v/>
      </c>
      <c r="H3223" s="83" t="str">
        <f aca="false">IF(AND(B3223="",C3223="",D3223=""),"",IF(B3223="","Missing contract",IF(C3223="","Missing code",IF(LEFT(G3223,3)="Not","Wrong code",IF(D3223="","Missing qty",IF(A3223="","Missing date",""))))))</f>
        <v/>
      </c>
      <c r="I3223" s="84" t="str">
        <f aca="false">IF(B3223=Dashboard!$D$3,ROW(),"")</f>
        <v/>
      </c>
    </row>
    <row r="3224" customFormat="false" ht="15" hidden="false" customHeight="false" outlineLevel="0" collapsed="false">
      <c r="A3224" s="80"/>
      <c r="B3224" s="71"/>
      <c r="C3224" s="71"/>
      <c r="D3224" s="81"/>
      <c r="E3224" s="71"/>
      <c r="F3224" s="71"/>
      <c r="G3224" s="82" t="str">
        <f aca="false">IF(C3224="","",IFERROR(INDEX('Kit Lists'!$D$6:$D$605,MATCH(B3224&amp;"|"&amp;C3224,'Kit Lists'!$J$6:$J$605,0)),"Not on this contract's kit list"))</f>
        <v/>
      </c>
      <c r="H3224" s="83" t="str">
        <f aca="false">IF(AND(B3224="",C3224="",D3224=""),"",IF(B3224="","Missing contract",IF(C3224="","Missing code",IF(LEFT(G3224,3)="Not","Wrong code",IF(D3224="","Missing qty",IF(A3224="","Missing date",""))))))</f>
        <v/>
      </c>
      <c r="I3224" s="84" t="str">
        <f aca="false">IF(B3224=Dashboard!$D$3,ROW(),"")</f>
        <v/>
      </c>
    </row>
    <row r="3225" customFormat="false" ht="15" hidden="false" customHeight="false" outlineLevel="0" collapsed="false">
      <c r="A3225" s="80"/>
      <c r="B3225" s="71"/>
      <c r="C3225" s="71"/>
      <c r="D3225" s="81"/>
      <c r="E3225" s="71"/>
      <c r="F3225" s="71"/>
      <c r="G3225" s="82" t="str">
        <f aca="false">IF(C3225="","",IFERROR(INDEX('Kit Lists'!$D$6:$D$605,MATCH(B3225&amp;"|"&amp;C3225,'Kit Lists'!$J$6:$J$605,0)),"Not on this contract's kit list"))</f>
        <v/>
      </c>
      <c r="H3225" s="83" t="str">
        <f aca="false">IF(AND(B3225="",C3225="",D3225=""),"",IF(B3225="","Missing contract",IF(C3225="","Missing code",IF(LEFT(G3225,3)="Not","Wrong code",IF(D3225="","Missing qty",IF(A3225="","Missing date",""))))))</f>
        <v/>
      </c>
      <c r="I3225" s="84" t="str">
        <f aca="false">IF(B3225=Dashboard!$D$3,ROW(),"")</f>
        <v/>
      </c>
    </row>
    <row r="3226" customFormat="false" ht="15" hidden="false" customHeight="false" outlineLevel="0" collapsed="false">
      <c r="A3226" s="80"/>
      <c r="B3226" s="71"/>
      <c r="C3226" s="71"/>
      <c r="D3226" s="81"/>
      <c r="E3226" s="71"/>
      <c r="F3226" s="71"/>
      <c r="G3226" s="82" t="str">
        <f aca="false">IF(C3226="","",IFERROR(INDEX('Kit Lists'!$D$6:$D$605,MATCH(B3226&amp;"|"&amp;C3226,'Kit Lists'!$J$6:$J$605,0)),"Not on this contract's kit list"))</f>
        <v/>
      </c>
      <c r="H3226" s="83" t="str">
        <f aca="false">IF(AND(B3226="",C3226="",D3226=""),"",IF(B3226="","Missing contract",IF(C3226="","Missing code",IF(LEFT(G3226,3)="Not","Wrong code",IF(D3226="","Missing qty",IF(A3226="","Missing date",""))))))</f>
        <v/>
      </c>
      <c r="I3226" s="84" t="str">
        <f aca="false">IF(B3226=Dashboard!$D$3,ROW(),"")</f>
        <v/>
      </c>
    </row>
    <row r="3227" customFormat="false" ht="15" hidden="false" customHeight="false" outlineLevel="0" collapsed="false">
      <c r="A3227" s="80"/>
      <c r="B3227" s="71"/>
      <c r="C3227" s="71"/>
      <c r="D3227" s="81"/>
      <c r="E3227" s="71"/>
      <c r="F3227" s="71"/>
      <c r="G3227" s="82" t="str">
        <f aca="false">IF(C3227="","",IFERROR(INDEX('Kit Lists'!$D$6:$D$605,MATCH(B3227&amp;"|"&amp;C3227,'Kit Lists'!$J$6:$J$605,0)),"Not on this contract's kit list"))</f>
        <v/>
      </c>
      <c r="H3227" s="83" t="str">
        <f aca="false">IF(AND(B3227="",C3227="",D3227=""),"",IF(B3227="","Missing contract",IF(C3227="","Missing code",IF(LEFT(G3227,3)="Not","Wrong code",IF(D3227="","Missing qty",IF(A3227="","Missing date",""))))))</f>
        <v/>
      </c>
      <c r="I3227" s="84" t="str">
        <f aca="false">IF(B3227=Dashboard!$D$3,ROW(),"")</f>
        <v/>
      </c>
    </row>
    <row r="3228" customFormat="false" ht="15" hidden="false" customHeight="false" outlineLevel="0" collapsed="false">
      <c r="A3228" s="80"/>
      <c r="B3228" s="71"/>
      <c r="C3228" s="71"/>
      <c r="D3228" s="81"/>
      <c r="E3228" s="71"/>
      <c r="F3228" s="71"/>
      <c r="G3228" s="82" t="str">
        <f aca="false">IF(C3228="","",IFERROR(INDEX('Kit Lists'!$D$6:$D$605,MATCH(B3228&amp;"|"&amp;C3228,'Kit Lists'!$J$6:$J$605,0)),"Not on this contract's kit list"))</f>
        <v/>
      </c>
      <c r="H3228" s="83" t="str">
        <f aca="false">IF(AND(B3228="",C3228="",D3228=""),"",IF(B3228="","Missing contract",IF(C3228="","Missing code",IF(LEFT(G3228,3)="Not","Wrong code",IF(D3228="","Missing qty",IF(A3228="","Missing date",""))))))</f>
        <v/>
      </c>
      <c r="I3228" s="84" t="str">
        <f aca="false">IF(B3228=Dashboard!$D$3,ROW(),"")</f>
        <v/>
      </c>
    </row>
    <row r="3229" customFormat="false" ht="15" hidden="false" customHeight="false" outlineLevel="0" collapsed="false">
      <c r="A3229" s="80"/>
      <c r="B3229" s="71"/>
      <c r="C3229" s="71"/>
      <c r="D3229" s="81"/>
      <c r="E3229" s="71"/>
      <c r="F3229" s="71"/>
      <c r="G3229" s="82" t="str">
        <f aca="false">IF(C3229="","",IFERROR(INDEX('Kit Lists'!$D$6:$D$605,MATCH(B3229&amp;"|"&amp;C3229,'Kit Lists'!$J$6:$J$605,0)),"Not on this contract's kit list"))</f>
        <v/>
      </c>
      <c r="H3229" s="83" t="str">
        <f aca="false">IF(AND(B3229="",C3229="",D3229=""),"",IF(B3229="","Missing contract",IF(C3229="","Missing code",IF(LEFT(G3229,3)="Not","Wrong code",IF(D3229="","Missing qty",IF(A3229="","Missing date",""))))))</f>
        <v/>
      </c>
      <c r="I3229" s="84" t="str">
        <f aca="false">IF(B3229=Dashboard!$D$3,ROW(),"")</f>
        <v/>
      </c>
    </row>
    <row r="3230" customFormat="false" ht="15" hidden="false" customHeight="false" outlineLevel="0" collapsed="false">
      <c r="A3230" s="80"/>
      <c r="B3230" s="71"/>
      <c r="C3230" s="71"/>
      <c r="D3230" s="81"/>
      <c r="E3230" s="71"/>
      <c r="F3230" s="71"/>
      <c r="G3230" s="82" t="str">
        <f aca="false">IF(C3230="","",IFERROR(INDEX('Kit Lists'!$D$6:$D$605,MATCH(B3230&amp;"|"&amp;C3230,'Kit Lists'!$J$6:$J$605,0)),"Not on this contract's kit list"))</f>
        <v/>
      </c>
      <c r="H3230" s="83" t="str">
        <f aca="false">IF(AND(B3230="",C3230="",D3230=""),"",IF(B3230="","Missing contract",IF(C3230="","Missing code",IF(LEFT(G3230,3)="Not","Wrong code",IF(D3230="","Missing qty",IF(A3230="","Missing date",""))))))</f>
        <v/>
      </c>
      <c r="I3230" s="84" t="str">
        <f aca="false">IF(B3230=Dashboard!$D$3,ROW(),"")</f>
        <v/>
      </c>
    </row>
    <row r="3231" customFormat="false" ht="15" hidden="false" customHeight="false" outlineLevel="0" collapsed="false">
      <c r="A3231" s="80"/>
      <c r="B3231" s="71"/>
      <c r="C3231" s="71"/>
      <c r="D3231" s="81"/>
      <c r="E3231" s="71"/>
      <c r="F3231" s="71"/>
      <c r="G3231" s="82" t="str">
        <f aca="false">IF(C3231="","",IFERROR(INDEX('Kit Lists'!$D$6:$D$605,MATCH(B3231&amp;"|"&amp;C3231,'Kit Lists'!$J$6:$J$605,0)),"Not on this contract's kit list"))</f>
        <v/>
      </c>
      <c r="H3231" s="83" t="str">
        <f aca="false">IF(AND(B3231="",C3231="",D3231=""),"",IF(B3231="","Missing contract",IF(C3231="","Missing code",IF(LEFT(G3231,3)="Not","Wrong code",IF(D3231="","Missing qty",IF(A3231="","Missing date",""))))))</f>
        <v/>
      </c>
      <c r="I3231" s="84" t="str">
        <f aca="false">IF(B3231=Dashboard!$D$3,ROW(),"")</f>
        <v/>
      </c>
    </row>
    <row r="3232" customFormat="false" ht="15" hidden="false" customHeight="false" outlineLevel="0" collapsed="false">
      <c r="A3232" s="80"/>
      <c r="B3232" s="71"/>
      <c r="C3232" s="71"/>
      <c r="D3232" s="81"/>
      <c r="E3232" s="71"/>
      <c r="F3232" s="71"/>
      <c r="G3232" s="82" t="str">
        <f aca="false">IF(C3232="","",IFERROR(INDEX('Kit Lists'!$D$6:$D$605,MATCH(B3232&amp;"|"&amp;C3232,'Kit Lists'!$J$6:$J$605,0)),"Not on this contract's kit list"))</f>
        <v/>
      </c>
      <c r="H3232" s="83" t="str">
        <f aca="false">IF(AND(B3232="",C3232="",D3232=""),"",IF(B3232="","Missing contract",IF(C3232="","Missing code",IF(LEFT(G3232,3)="Not","Wrong code",IF(D3232="","Missing qty",IF(A3232="","Missing date",""))))))</f>
        <v/>
      </c>
      <c r="I3232" s="84" t="str">
        <f aca="false">IF(B3232=Dashboard!$D$3,ROW(),"")</f>
        <v/>
      </c>
    </row>
    <row r="3233" customFormat="false" ht="15" hidden="false" customHeight="false" outlineLevel="0" collapsed="false">
      <c r="A3233" s="80"/>
      <c r="B3233" s="71"/>
      <c r="C3233" s="71"/>
      <c r="D3233" s="81"/>
      <c r="E3233" s="71"/>
      <c r="F3233" s="71"/>
      <c r="G3233" s="82" t="str">
        <f aca="false">IF(C3233="","",IFERROR(INDEX('Kit Lists'!$D$6:$D$605,MATCH(B3233&amp;"|"&amp;C3233,'Kit Lists'!$J$6:$J$605,0)),"Not on this contract's kit list"))</f>
        <v/>
      </c>
      <c r="H3233" s="83" t="str">
        <f aca="false">IF(AND(B3233="",C3233="",D3233=""),"",IF(B3233="","Missing contract",IF(C3233="","Missing code",IF(LEFT(G3233,3)="Not","Wrong code",IF(D3233="","Missing qty",IF(A3233="","Missing date",""))))))</f>
        <v/>
      </c>
      <c r="I3233" s="84" t="str">
        <f aca="false">IF(B3233=Dashboard!$D$3,ROW(),"")</f>
        <v/>
      </c>
    </row>
    <row r="3234" customFormat="false" ht="15" hidden="false" customHeight="false" outlineLevel="0" collapsed="false">
      <c r="A3234" s="80"/>
      <c r="B3234" s="71"/>
      <c r="C3234" s="71"/>
      <c r="D3234" s="81"/>
      <c r="E3234" s="71"/>
      <c r="F3234" s="71"/>
      <c r="G3234" s="82" t="str">
        <f aca="false">IF(C3234="","",IFERROR(INDEX('Kit Lists'!$D$6:$D$605,MATCH(B3234&amp;"|"&amp;C3234,'Kit Lists'!$J$6:$J$605,0)),"Not on this contract's kit list"))</f>
        <v/>
      </c>
      <c r="H3234" s="83" t="str">
        <f aca="false">IF(AND(B3234="",C3234="",D3234=""),"",IF(B3234="","Missing contract",IF(C3234="","Missing code",IF(LEFT(G3234,3)="Not","Wrong code",IF(D3234="","Missing qty",IF(A3234="","Missing date",""))))))</f>
        <v/>
      </c>
      <c r="I3234" s="84" t="str">
        <f aca="false">IF(B3234=Dashboard!$D$3,ROW(),"")</f>
        <v/>
      </c>
    </row>
    <row r="3235" customFormat="false" ht="15" hidden="false" customHeight="false" outlineLevel="0" collapsed="false">
      <c r="A3235" s="80"/>
      <c r="B3235" s="71"/>
      <c r="C3235" s="71"/>
      <c r="D3235" s="81"/>
      <c r="E3235" s="71"/>
      <c r="F3235" s="71"/>
      <c r="G3235" s="82" t="str">
        <f aca="false">IF(C3235="","",IFERROR(INDEX('Kit Lists'!$D$6:$D$605,MATCH(B3235&amp;"|"&amp;C3235,'Kit Lists'!$J$6:$J$605,0)),"Not on this contract's kit list"))</f>
        <v/>
      </c>
      <c r="H3235" s="83" t="str">
        <f aca="false">IF(AND(B3235="",C3235="",D3235=""),"",IF(B3235="","Missing contract",IF(C3235="","Missing code",IF(LEFT(G3235,3)="Not","Wrong code",IF(D3235="","Missing qty",IF(A3235="","Missing date",""))))))</f>
        <v/>
      </c>
      <c r="I3235" s="84" t="str">
        <f aca="false">IF(B3235=Dashboard!$D$3,ROW(),"")</f>
        <v/>
      </c>
    </row>
    <row r="3236" customFormat="false" ht="15" hidden="false" customHeight="false" outlineLevel="0" collapsed="false">
      <c r="A3236" s="80"/>
      <c r="B3236" s="71"/>
      <c r="C3236" s="71"/>
      <c r="D3236" s="81"/>
      <c r="E3236" s="71"/>
      <c r="F3236" s="71"/>
      <c r="G3236" s="82" t="str">
        <f aca="false">IF(C3236="","",IFERROR(INDEX('Kit Lists'!$D$6:$D$605,MATCH(B3236&amp;"|"&amp;C3236,'Kit Lists'!$J$6:$J$605,0)),"Not on this contract's kit list"))</f>
        <v/>
      </c>
      <c r="H3236" s="83" t="str">
        <f aca="false">IF(AND(B3236="",C3236="",D3236=""),"",IF(B3236="","Missing contract",IF(C3236="","Missing code",IF(LEFT(G3236,3)="Not","Wrong code",IF(D3236="","Missing qty",IF(A3236="","Missing date",""))))))</f>
        <v/>
      </c>
      <c r="I3236" s="84" t="str">
        <f aca="false">IF(B3236=Dashboard!$D$3,ROW(),"")</f>
        <v/>
      </c>
    </row>
    <row r="3237" customFormat="false" ht="15" hidden="false" customHeight="false" outlineLevel="0" collapsed="false">
      <c r="A3237" s="80"/>
      <c r="B3237" s="71"/>
      <c r="C3237" s="71"/>
      <c r="D3237" s="81"/>
      <c r="E3237" s="71"/>
      <c r="F3237" s="71"/>
      <c r="G3237" s="82" t="str">
        <f aca="false">IF(C3237="","",IFERROR(INDEX('Kit Lists'!$D$6:$D$605,MATCH(B3237&amp;"|"&amp;C3237,'Kit Lists'!$J$6:$J$605,0)),"Not on this contract's kit list"))</f>
        <v/>
      </c>
      <c r="H3237" s="83" t="str">
        <f aca="false">IF(AND(B3237="",C3237="",D3237=""),"",IF(B3237="","Missing contract",IF(C3237="","Missing code",IF(LEFT(G3237,3)="Not","Wrong code",IF(D3237="","Missing qty",IF(A3237="","Missing date",""))))))</f>
        <v/>
      </c>
      <c r="I3237" s="84" t="str">
        <f aca="false">IF(B3237=Dashboard!$D$3,ROW(),"")</f>
        <v/>
      </c>
    </row>
    <row r="3238" customFormat="false" ht="15" hidden="false" customHeight="false" outlineLevel="0" collapsed="false">
      <c r="A3238" s="80"/>
      <c r="B3238" s="71"/>
      <c r="C3238" s="71"/>
      <c r="D3238" s="81"/>
      <c r="E3238" s="71"/>
      <c r="F3238" s="71"/>
      <c r="G3238" s="82" t="str">
        <f aca="false">IF(C3238="","",IFERROR(INDEX('Kit Lists'!$D$6:$D$605,MATCH(B3238&amp;"|"&amp;C3238,'Kit Lists'!$J$6:$J$605,0)),"Not on this contract's kit list"))</f>
        <v/>
      </c>
      <c r="H3238" s="83" t="str">
        <f aca="false">IF(AND(B3238="",C3238="",D3238=""),"",IF(B3238="","Missing contract",IF(C3238="","Missing code",IF(LEFT(G3238,3)="Not","Wrong code",IF(D3238="","Missing qty",IF(A3238="","Missing date",""))))))</f>
        <v/>
      </c>
      <c r="I3238" s="84" t="str">
        <f aca="false">IF(B3238=Dashboard!$D$3,ROW(),"")</f>
        <v/>
      </c>
    </row>
    <row r="3239" customFormat="false" ht="15" hidden="false" customHeight="false" outlineLevel="0" collapsed="false">
      <c r="A3239" s="80"/>
      <c r="B3239" s="71"/>
      <c r="C3239" s="71"/>
      <c r="D3239" s="81"/>
      <c r="E3239" s="71"/>
      <c r="F3239" s="71"/>
      <c r="G3239" s="82" t="str">
        <f aca="false">IF(C3239="","",IFERROR(INDEX('Kit Lists'!$D$6:$D$605,MATCH(B3239&amp;"|"&amp;C3239,'Kit Lists'!$J$6:$J$605,0)),"Not on this contract's kit list"))</f>
        <v/>
      </c>
      <c r="H3239" s="83" t="str">
        <f aca="false">IF(AND(B3239="",C3239="",D3239=""),"",IF(B3239="","Missing contract",IF(C3239="","Missing code",IF(LEFT(G3239,3)="Not","Wrong code",IF(D3239="","Missing qty",IF(A3239="","Missing date",""))))))</f>
        <v/>
      </c>
      <c r="I3239" s="84" t="str">
        <f aca="false">IF(B3239=Dashboard!$D$3,ROW(),"")</f>
        <v/>
      </c>
    </row>
    <row r="3240" customFormat="false" ht="15" hidden="false" customHeight="false" outlineLevel="0" collapsed="false">
      <c r="A3240" s="80"/>
      <c r="B3240" s="71"/>
      <c r="C3240" s="71"/>
      <c r="D3240" s="81"/>
      <c r="E3240" s="71"/>
      <c r="F3240" s="71"/>
      <c r="G3240" s="82" t="str">
        <f aca="false">IF(C3240="","",IFERROR(INDEX('Kit Lists'!$D$6:$D$605,MATCH(B3240&amp;"|"&amp;C3240,'Kit Lists'!$J$6:$J$605,0)),"Not on this contract's kit list"))</f>
        <v/>
      </c>
      <c r="H3240" s="83" t="str">
        <f aca="false">IF(AND(B3240="",C3240="",D3240=""),"",IF(B3240="","Missing contract",IF(C3240="","Missing code",IF(LEFT(G3240,3)="Not","Wrong code",IF(D3240="","Missing qty",IF(A3240="","Missing date",""))))))</f>
        <v/>
      </c>
      <c r="I3240" s="84" t="str">
        <f aca="false">IF(B3240=Dashboard!$D$3,ROW(),"")</f>
        <v/>
      </c>
    </row>
    <row r="3241" customFormat="false" ht="15" hidden="false" customHeight="false" outlineLevel="0" collapsed="false">
      <c r="A3241" s="80"/>
      <c r="B3241" s="71"/>
      <c r="C3241" s="71"/>
      <c r="D3241" s="81"/>
      <c r="E3241" s="71"/>
      <c r="F3241" s="71"/>
      <c r="G3241" s="82" t="str">
        <f aca="false">IF(C3241="","",IFERROR(INDEX('Kit Lists'!$D$6:$D$605,MATCH(B3241&amp;"|"&amp;C3241,'Kit Lists'!$J$6:$J$605,0)),"Not on this contract's kit list"))</f>
        <v/>
      </c>
      <c r="H3241" s="83" t="str">
        <f aca="false">IF(AND(B3241="",C3241="",D3241=""),"",IF(B3241="","Missing contract",IF(C3241="","Missing code",IF(LEFT(G3241,3)="Not","Wrong code",IF(D3241="","Missing qty",IF(A3241="","Missing date",""))))))</f>
        <v/>
      </c>
      <c r="I3241" s="84" t="str">
        <f aca="false">IF(B3241=Dashboard!$D$3,ROW(),"")</f>
        <v/>
      </c>
    </row>
    <row r="3242" customFormat="false" ht="15" hidden="false" customHeight="false" outlineLevel="0" collapsed="false">
      <c r="A3242" s="80"/>
      <c r="B3242" s="71"/>
      <c r="C3242" s="71"/>
      <c r="D3242" s="81"/>
      <c r="E3242" s="71"/>
      <c r="F3242" s="71"/>
      <c r="G3242" s="82" t="str">
        <f aca="false">IF(C3242="","",IFERROR(INDEX('Kit Lists'!$D$6:$D$605,MATCH(B3242&amp;"|"&amp;C3242,'Kit Lists'!$J$6:$J$605,0)),"Not on this contract's kit list"))</f>
        <v/>
      </c>
      <c r="H3242" s="83" t="str">
        <f aca="false">IF(AND(B3242="",C3242="",D3242=""),"",IF(B3242="","Missing contract",IF(C3242="","Missing code",IF(LEFT(G3242,3)="Not","Wrong code",IF(D3242="","Missing qty",IF(A3242="","Missing date",""))))))</f>
        <v/>
      </c>
      <c r="I3242" s="84" t="str">
        <f aca="false">IF(B3242=Dashboard!$D$3,ROW(),"")</f>
        <v/>
      </c>
    </row>
    <row r="3243" customFormat="false" ht="15" hidden="false" customHeight="false" outlineLevel="0" collapsed="false">
      <c r="A3243" s="80"/>
      <c r="B3243" s="71"/>
      <c r="C3243" s="71"/>
      <c r="D3243" s="81"/>
      <c r="E3243" s="71"/>
      <c r="F3243" s="71"/>
      <c r="G3243" s="82" t="str">
        <f aca="false">IF(C3243="","",IFERROR(INDEX('Kit Lists'!$D$6:$D$605,MATCH(B3243&amp;"|"&amp;C3243,'Kit Lists'!$J$6:$J$605,0)),"Not on this contract's kit list"))</f>
        <v/>
      </c>
      <c r="H3243" s="83" t="str">
        <f aca="false">IF(AND(B3243="",C3243="",D3243=""),"",IF(B3243="","Missing contract",IF(C3243="","Missing code",IF(LEFT(G3243,3)="Not","Wrong code",IF(D3243="","Missing qty",IF(A3243="","Missing date",""))))))</f>
        <v/>
      </c>
      <c r="I3243" s="84" t="str">
        <f aca="false">IF(B3243=Dashboard!$D$3,ROW(),"")</f>
        <v/>
      </c>
    </row>
    <row r="3244" customFormat="false" ht="15" hidden="false" customHeight="false" outlineLevel="0" collapsed="false">
      <c r="A3244" s="80"/>
      <c r="B3244" s="71"/>
      <c r="C3244" s="71"/>
      <c r="D3244" s="81"/>
      <c r="E3244" s="71"/>
      <c r="F3244" s="71"/>
      <c r="G3244" s="82" t="str">
        <f aca="false">IF(C3244="","",IFERROR(INDEX('Kit Lists'!$D$6:$D$605,MATCH(B3244&amp;"|"&amp;C3244,'Kit Lists'!$J$6:$J$605,0)),"Not on this contract's kit list"))</f>
        <v/>
      </c>
      <c r="H3244" s="83" t="str">
        <f aca="false">IF(AND(B3244="",C3244="",D3244=""),"",IF(B3244="","Missing contract",IF(C3244="","Missing code",IF(LEFT(G3244,3)="Not","Wrong code",IF(D3244="","Missing qty",IF(A3244="","Missing date",""))))))</f>
        <v/>
      </c>
      <c r="I3244" s="84" t="str">
        <f aca="false">IF(B3244=Dashboard!$D$3,ROW(),"")</f>
        <v/>
      </c>
    </row>
    <row r="3245" customFormat="false" ht="15" hidden="false" customHeight="false" outlineLevel="0" collapsed="false">
      <c r="A3245" s="80"/>
      <c r="B3245" s="71"/>
      <c r="C3245" s="71"/>
      <c r="D3245" s="81"/>
      <c r="E3245" s="71"/>
      <c r="F3245" s="71"/>
      <c r="G3245" s="82" t="str">
        <f aca="false">IF(C3245="","",IFERROR(INDEX('Kit Lists'!$D$6:$D$605,MATCH(B3245&amp;"|"&amp;C3245,'Kit Lists'!$J$6:$J$605,0)),"Not on this contract's kit list"))</f>
        <v/>
      </c>
      <c r="H3245" s="83" t="str">
        <f aca="false">IF(AND(B3245="",C3245="",D3245=""),"",IF(B3245="","Missing contract",IF(C3245="","Missing code",IF(LEFT(G3245,3)="Not","Wrong code",IF(D3245="","Missing qty",IF(A3245="","Missing date",""))))))</f>
        <v/>
      </c>
      <c r="I3245" s="84" t="str">
        <f aca="false">IF(B3245=Dashboard!$D$3,ROW(),"")</f>
        <v/>
      </c>
    </row>
    <row r="3246" customFormat="false" ht="15" hidden="false" customHeight="false" outlineLevel="0" collapsed="false">
      <c r="A3246" s="80"/>
      <c r="B3246" s="71"/>
      <c r="C3246" s="71"/>
      <c r="D3246" s="81"/>
      <c r="E3246" s="71"/>
      <c r="F3246" s="71"/>
      <c r="G3246" s="82" t="str">
        <f aca="false">IF(C3246="","",IFERROR(INDEX('Kit Lists'!$D$6:$D$605,MATCH(B3246&amp;"|"&amp;C3246,'Kit Lists'!$J$6:$J$605,0)),"Not on this contract's kit list"))</f>
        <v/>
      </c>
      <c r="H3246" s="83" t="str">
        <f aca="false">IF(AND(B3246="",C3246="",D3246=""),"",IF(B3246="","Missing contract",IF(C3246="","Missing code",IF(LEFT(G3246,3)="Not","Wrong code",IF(D3246="","Missing qty",IF(A3246="","Missing date",""))))))</f>
        <v/>
      </c>
      <c r="I3246" s="84" t="str">
        <f aca="false">IF(B3246=Dashboard!$D$3,ROW(),"")</f>
        <v/>
      </c>
    </row>
    <row r="3247" customFormat="false" ht="15" hidden="false" customHeight="false" outlineLevel="0" collapsed="false">
      <c r="A3247" s="80"/>
      <c r="B3247" s="71"/>
      <c r="C3247" s="71"/>
      <c r="D3247" s="81"/>
      <c r="E3247" s="71"/>
      <c r="F3247" s="71"/>
      <c r="G3247" s="82" t="str">
        <f aca="false">IF(C3247="","",IFERROR(INDEX('Kit Lists'!$D$6:$D$605,MATCH(B3247&amp;"|"&amp;C3247,'Kit Lists'!$J$6:$J$605,0)),"Not on this contract's kit list"))</f>
        <v/>
      </c>
      <c r="H3247" s="83" t="str">
        <f aca="false">IF(AND(B3247="",C3247="",D3247=""),"",IF(B3247="","Missing contract",IF(C3247="","Missing code",IF(LEFT(G3247,3)="Not","Wrong code",IF(D3247="","Missing qty",IF(A3247="","Missing date",""))))))</f>
        <v/>
      </c>
      <c r="I3247" s="84" t="str">
        <f aca="false">IF(B3247=Dashboard!$D$3,ROW(),"")</f>
        <v/>
      </c>
    </row>
    <row r="3248" customFormat="false" ht="15" hidden="false" customHeight="false" outlineLevel="0" collapsed="false">
      <c r="A3248" s="80"/>
      <c r="B3248" s="71"/>
      <c r="C3248" s="71"/>
      <c r="D3248" s="81"/>
      <c r="E3248" s="71"/>
      <c r="F3248" s="71"/>
      <c r="G3248" s="82" t="str">
        <f aca="false">IF(C3248="","",IFERROR(INDEX('Kit Lists'!$D$6:$D$605,MATCH(B3248&amp;"|"&amp;C3248,'Kit Lists'!$J$6:$J$605,0)),"Not on this contract's kit list"))</f>
        <v/>
      </c>
      <c r="H3248" s="83" t="str">
        <f aca="false">IF(AND(B3248="",C3248="",D3248=""),"",IF(B3248="","Missing contract",IF(C3248="","Missing code",IF(LEFT(G3248,3)="Not","Wrong code",IF(D3248="","Missing qty",IF(A3248="","Missing date",""))))))</f>
        <v/>
      </c>
      <c r="I3248" s="84" t="str">
        <f aca="false">IF(B3248=Dashboard!$D$3,ROW(),"")</f>
        <v/>
      </c>
    </row>
    <row r="3249" customFormat="false" ht="15" hidden="false" customHeight="false" outlineLevel="0" collapsed="false">
      <c r="A3249" s="80"/>
      <c r="B3249" s="71"/>
      <c r="C3249" s="71"/>
      <c r="D3249" s="81"/>
      <c r="E3249" s="71"/>
      <c r="F3249" s="71"/>
      <c r="G3249" s="82" t="str">
        <f aca="false">IF(C3249="","",IFERROR(INDEX('Kit Lists'!$D$6:$D$605,MATCH(B3249&amp;"|"&amp;C3249,'Kit Lists'!$J$6:$J$605,0)),"Not on this contract's kit list"))</f>
        <v/>
      </c>
      <c r="H3249" s="83" t="str">
        <f aca="false">IF(AND(B3249="",C3249="",D3249=""),"",IF(B3249="","Missing contract",IF(C3249="","Missing code",IF(LEFT(G3249,3)="Not","Wrong code",IF(D3249="","Missing qty",IF(A3249="","Missing date",""))))))</f>
        <v/>
      </c>
      <c r="I3249" s="84" t="str">
        <f aca="false">IF(B3249=Dashboard!$D$3,ROW(),"")</f>
        <v/>
      </c>
    </row>
    <row r="3250" customFormat="false" ht="15" hidden="false" customHeight="false" outlineLevel="0" collapsed="false">
      <c r="A3250" s="80"/>
      <c r="B3250" s="71"/>
      <c r="C3250" s="71"/>
      <c r="D3250" s="81"/>
      <c r="E3250" s="71"/>
      <c r="F3250" s="71"/>
      <c r="G3250" s="82" t="str">
        <f aca="false">IF(C3250="","",IFERROR(INDEX('Kit Lists'!$D$6:$D$605,MATCH(B3250&amp;"|"&amp;C3250,'Kit Lists'!$J$6:$J$605,0)),"Not on this contract's kit list"))</f>
        <v/>
      </c>
      <c r="H3250" s="83" t="str">
        <f aca="false">IF(AND(B3250="",C3250="",D3250=""),"",IF(B3250="","Missing contract",IF(C3250="","Missing code",IF(LEFT(G3250,3)="Not","Wrong code",IF(D3250="","Missing qty",IF(A3250="","Missing date",""))))))</f>
        <v/>
      </c>
      <c r="I3250" s="84" t="str">
        <f aca="false">IF(B3250=Dashboard!$D$3,ROW(),"")</f>
        <v/>
      </c>
    </row>
    <row r="3251" customFormat="false" ht="15" hidden="false" customHeight="false" outlineLevel="0" collapsed="false">
      <c r="A3251" s="80"/>
      <c r="B3251" s="71"/>
      <c r="C3251" s="71"/>
      <c r="D3251" s="81"/>
      <c r="E3251" s="71"/>
      <c r="F3251" s="71"/>
      <c r="G3251" s="82" t="str">
        <f aca="false">IF(C3251="","",IFERROR(INDEX('Kit Lists'!$D$6:$D$605,MATCH(B3251&amp;"|"&amp;C3251,'Kit Lists'!$J$6:$J$605,0)),"Not on this contract's kit list"))</f>
        <v/>
      </c>
      <c r="H3251" s="83" t="str">
        <f aca="false">IF(AND(B3251="",C3251="",D3251=""),"",IF(B3251="","Missing contract",IF(C3251="","Missing code",IF(LEFT(G3251,3)="Not","Wrong code",IF(D3251="","Missing qty",IF(A3251="","Missing date",""))))))</f>
        <v/>
      </c>
      <c r="I3251" s="84" t="str">
        <f aca="false">IF(B3251=Dashboard!$D$3,ROW(),"")</f>
        <v/>
      </c>
    </row>
    <row r="3252" customFormat="false" ht="15" hidden="false" customHeight="false" outlineLevel="0" collapsed="false">
      <c r="A3252" s="80"/>
      <c r="B3252" s="71"/>
      <c r="C3252" s="71"/>
      <c r="D3252" s="81"/>
      <c r="E3252" s="71"/>
      <c r="F3252" s="71"/>
      <c r="G3252" s="82" t="str">
        <f aca="false">IF(C3252="","",IFERROR(INDEX('Kit Lists'!$D$6:$D$605,MATCH(B3252&amp;"|"&amp;C3252,'Kit Lists'!$J$6:$J$605,0)),"Not on this contract's kit list"))</f>
        <v/>
      </c>
      <c r="H3252" s="83" t="str">
        <f aca="false">IF(AND(B3252="",C3252="",D3252=""),"",IF(B3252="","Missing contract",IF(C3252="","Missing code",IF(LEFT(G3252,3)="Not","Wrong code",IF(D3252="","Missing qty",IF(A3252="","Missing date",""))))))</f>
        <v/>
      </c>
      <c r="I3252" s="84" t="str">
        <f aca="false">IF(B3252=Dashboard!$D$3,ROW(),"")</f>
        <v/>
      </c>
    </row>
    <row r="3253" customFormat="false" ht="15" hidden="false" customHeight="false" outlineLevel="0" collapsed="false">
      <c r="A3253" s="80"/>
      <c r="B3253" s="71"/>
      <c r="C3253" s="71"/>
      <c r="D3253" s="81"/>
      <c r="E3253" s="71"/>
      <c r="F3253" s="71"/>
      <c r="G3253" s="82" t="str">
        <f aca="false">IF(C3253="","",IFERROR(INDEX('Kit Lists'!$D$6:$D$605,MATCH(B3253&amp;"|"&amp;C3253,'Kit Lists'!$J$6:$J$605,0)),"Not on this contract's kit list"))</f>
        <v/>
      </c>
      <c r="H3253" s="83" t="str">
        <f aca="false">IF(AND(B3253="",C3253="",D3253=""),"",IF(B3253="","Missing contract",IF(C3253="","Missing code",IF(LEFT(G3253,3)="Not","Wrong code",IF(D3253="","Missing qty",IF(A3253="","Missing date",""))))))</f>
        <v/>
      </c>
      <c r="I3253" s="84" t="str">
        <f aca="false">IF(B3253=Dashboard!$D$3,ROW(),"")</f>
        <v/>
      </c>
    </row>
    <row r="3254" customFormat="false" ht="15" hidden="false" customHeight="false" outlineLevel="0" collapsed="false">
      <c r="A3254" s="80"/>
      <c r="B3254" s="71"/>
      <c r="C3254" s="71"/>
      <c r="D3254" s="81"/>
      <c r="E3254" s="71"/>
      <c r="F3254" s="71"/>
      <c r="G3254" s="82" t="str">
        <f aca="false">IF(C3254="","",IFERROR(INDEX('Kit Lists'!$D$6:$D$605,MATCH(B3254&amp;"|"&amp;C3254,'Kit Lists'!$J$6:$J$605,0)),"Not on this contract's kit list"))</f>
        <v/>
      </c>
      <c r="H3254" s="83" t="str">
        <f aca="false">IF(AND(B3254="",C3254="",D3254=""),"",IF(B3254="","Missing contract",IF(C3254="","Missing code",IF(LEFT(G3254,3)="Not","Wrong code",IF(D3254="","Missing qty",IF(A3254="","Missing date",""))))))</f>
        <v/>
      </c>
      <c r="I3254" s="84" t="str">
        <f aca="false">IF(B3254=Dashboard!$D$3,ROW(),"")</f>
        <v/>
      </c>
    </row>
    <row r="3255" customFormat="false" ht="15" hidden="false" customHeight="false" outlineLevel="0" collapsed="false">
      <c r="A3255" s="80"/>
      <c r="B3255" s="71"/>
      <c r="C3255" s="71"/>
      <c r="D3255" s="81"/>
      <c r="E3255" s="71"/>
      <c r="F3255" s="71"/>
      <c r="G3255" s="82" t="str">
        <f aca="false">IF(C3255="","",IFERROR(INDEX('Kit Lists'!$D$6:$D$605,MATCH(B3255&amp;"|"&amp;C3255,'Kit Lists'!$J$6:$J$605,0)),"Not on this contract's kit list"))</f>
        <v/>
      </c>
      <c r="H3255" s="83" t="str">
        <f aca="false">IF(AND(B3255="",C3255="",D3255=""),"",IF(B3255="","Missing contract",IF(C3255="","Missing code",IF(LEFT(G3255,3)="Not","Wrong code",IF(D3255="","Missing qty",IF(A3255="","Missing date",""))))))</f>
        <v/>
      </c>
      <c r="I3255" s="84" t="str">
        <f aca="false">IF(B3255=Dashboard!$D$3,ROW(),"")</f>
        <v/>
      </c>
    </row>
    <row r="3256" customFormat="false" ht="15" hidden="false" customHeight="false" outlineLevel="0" collapsed="false">
      <c r="A3256" s="80"/>
      <c r="B3256" s="71"/>
      <c r="C3256" s="71"/>
      <c r="D3256" s="81"/>
      <c r="E3256" s="71"/>
      <c r="F3256" s="71"/>
      <c r="G3256" s="82" t="str">
        <f aca="false">IF(C3256="","",IFERROR(INDEX('Kit Lists'!$D$6:$D$605,MATCH(B3256&amp;"|"&amp;C3256,'Kit Lists'!$J$6:$J$605,0)),"Not on this contract's kit list"))</f>
        <v/>
      </c>
      <c r="H3256" s="83" t="str">
        <f aca="false">IF(AND(B3256="",C3256="",D3256=""),"",IF(B3256="","Missing contract",IF(C3256="","Missing code",IF(LEFT(G3256,3)="Not","Wrong code",IF(D3256="","Missing qty",IF(A3256="","Missing date",""))))))</f>
        <v/>
      </c>
      <c r="I3256" s="84" t="str">
        <f aca="false">IF(B3256=Dashboard!$D$3,ROW(),"")</f>
        <v/>
      </c>
    </row>
    <row r="3257" customFormat="false" ht="15" hidden="false" customHeight="false" outlineLevel="0" collapsed="false">
      <c r="A3257" s="80"/>
      <c r="B3257" s="71"/>
      <c r="C3257" s="71"/>
      <c r="D3257" s="81"/>
      <c r="E3257" s="71"/>
      <c r="F3257" s="71"/>
      <c r="G3257" s="82" t="str">
        <f aca="false">IF(C3257="","",IFERROR(INDEX('Kit Lists'!$D$6:$D$605,MATCH(B3257&amp;"|"&amp;C3257,'Kit Lists'!$J$6:$J$605,0)),"Not on this contract's kit list"))</f>
        <v/>
      </c>
      <c r="H3257" s="83" t="str">
        <f aca="false">IF(AND(B3257="",C3257="",D3257=""),"",IF(B3257="","Missing contract",IF(C3257="","Missing code",IF(LEFT(G3257,3)="Not","Wrong code",IF(D3257="","Missing qty",IF(A3257="","Missing date",""))))))</f>
        <v/>
      </c>
      <c r="I3257" s="84" t="str">
        <f aca="false">IF(B3257=Dashboard!$D$3,ROW(),"")</f>
        <v/>
      </c>
    </row>
    <row r="3258" customFormat="false" ht="15" hidden="false" customHeight="false" outlineLevel="0" collapsed="false">
      <c r="A3258" s="80"/>
      <c r="B3258" s="71"/>
      <c r="C3258" s="71"/>
      <c r="D3258" s="81"/>
      <c r="E3258" s="71"/>
      <c r="F3258" s="71"/>
      <c r="G3258" s="82" t="str">
        <f aca="false">IF(C3258="","",IFERROR(INDEX('Kit Lists'!$D$6:$D$605,MATCH(B3258&amp;"|"&amp;C3258,'Kit Lists'!$J$6:$J$605,0)),"Not on this contract's kit list"))</f>
        <v/>
      </c>
      <c r="H3258" s="83" t="str">
        <f aca="false">IF(AND(B3258="",C3258="",D3258=""),"",IF(B3258="","Missing contract",IF(C3258="","Missing code",IF(LEFT(G3258,3)="Not","Wrong code",IF(D3258="","Missing qty",IF(A3258="","Missing date",""))))))</f>
        <v/>
      </c>
      <c r="I3258" s="84" t="str">
        <f aca="false">IF(B3258=Dashboard!$D$3,ROW(),"")</f>
        <v/>
      </c>
    </row>
    <row r="3259" customFormat="false" ht="15" hidden="false" customHeight="false" outlineLevel="0" collapsed="false">
      <c r="A3259" s="80"/>
      <c r="B3259" s="71"/>
      <c r="C3259" s="71"/>
      <c r="D3259" s="81"/>
      <c r="E3259" s="71"/>
      <c r="F3259" s="71"/>
      <c r="G3259" s="82" t="str">
        <f aca="false">IF(C3259="","",IFERROR(INDEX('Kit Lists'!$D$6:$D$605,MATCH(B3259&amp;"|"&amp;C3259,'Kit Lists'!$J$6:$J$605,0)),"Not on this contract's kit list"))</f>
        <v/>
      </c>
      <c r="H3259" s="83" t="str">
        <f aca="false">IF(AND(B3259="",C3259="",D3259=""),"",IF(B3259="","Missing contract",IF(C3259="","Missing code",IF(LEFT(G3259,3)="Not","Wrong code",IF(D3259="","Missing qty",IF(A3259="","Missing date",""))))))</f>
        <v/>
      </c>
      <c r="I3259" s="84" t="str">
        <f aca="false">IF(B3259=Dashboard!$D$3,ROW(),"")</f>
        <v/>
      </c>
    </row>
    <row r="3260" customFormat="false" ht="15" hidden="false" customHeight="false" outlineLevel="0" collapsed="false">
      <c r="A3260" s="80"/>
      <c r="B3260" s="71"/>
      <c r="C3260" s="71"/>
      <c r="D3260" s="81"/>
      <c r="E3260" s="71"/>
      <c r="F3260" s="71"/>
      <c r="G3260" s="82" t="str">
        <f aca="false">IF(C3260="","",IFERROR(INDEX('Kit Lists'!$D$6:$D$605,MATCH(B3260&amp;"|"&amp;C3260,'Kit Lists'!$J$6:$J$605,0)),"Not on this contract's kit list"))</f>
        <v/>
      </c>
      <c r="H3260" s="83" t="str">
        <f aca="false">IF(AND(B3260="",C3260="",D3260=""),"",IF(B3260="","Missing contract",IF(C3260="","Missing code",IF(LEFT(G3260,3)="Not","Wrong code",IF(D3260="","Missing qty",IF(A3260="","Missing date",""))))))</f>
        <v/>
      </c>
      <c r="I3260" s="84" t="str">
        <f aca="false">IF(B3260=Dashboard!$D$3,ROW(),"")</f>
        <v/>
      </c>
    </row>
    <row r="3261" customFormat="false" ht="15" hidden="false" customHeight="false" outlineLevel="0" collapsed="false">
      <c r="A3261" s="80"/>
      <c r="B3261" s="71"/>
      <c r="C3261" s="71"/>
      <c r="D3261" s="81"/>
      <c r="E3261" s="71"/>
      <c r="F3261" s="71"/>
      <c r="G3261" s="82" t="str">
        <f aca="false">IF(C3261="","",IFERROR(INDEX('Kit Lists'!$D$6:$D$605,MATCH(B3261&amp;"|"&amp;C3261,'Kit Lists'!$J$6:$J$605,0)),"Not on this contract's kit list"))</f>
        <v/>
      </c>
      <c r="H3261" s="83" t="str">
        <f aca="false">IF(AND(B3261="",C3261="",D3261=""),"",IF(B3261="","Missing contract",IF(C3261="","Missing code",IF(LEFT(G3261,3)="Not","Wrong code",IF(D3261="","Missing qty",IF(A3261="","Missing date",""))))))</f>
        <v/>
      </c>
      <c r="I3261" s="84" t="str">
        <f aca="false">IF(B3261=Dashboard!$D$3,ROW(),"")</f>
        <v/>
      </c>
    </row>
    <row r="3262" customFormat="false" ht="15" hidden="false" customHeight="false" outlineLevel="0" collapsed="false">
      <c r="A3262" s="80"/>
      <c r="B3262" s="71"/>
      <c r="C3262" s="71"/>
      <c r="D3262" s="81"/>
      <c r="E3262" s="71"/>
      <c r="F3262" s="71"/>
      <c r="G3262" s="82" t="str">
        <f aca="false">IF(C3262="","",IFERROR(INDEX('Kit Lists'!$D$6:$D$605,MATCH(B3262&amp;"|"&amp;C3262,'Kit Lists'!$J$6:$J$605,0)),"Not on this contract's kit list"))</f>
        <v/>
      </c>
      <c r="H3262" s="83" t="str">
        <f aca="false">IF(AND(B3262="",C3262="",D3262=""),"",IF(B3262="","Missing contract",IF(C3262="","Missing code",IF(LEFT(G3262,3)="Not","Wrong code",IF(D3262="","Missing qty",IF(A3262="","Missing date",""))))))</f>
        <v/>
      </c>
      <c r="I3262" s="84" t="str">
        <f aca="false">IF(B3262=Dashboard!$D$3,ROW(),"")</f>
        <v/>
      </c>
    </row>
    <row r="3263" customFormat="false" ht="15" hidden="false" customHeight="false" outlineLevel="0" collapsed="false">
      <c r="A3263" s="80"/>
      <c r="B3263" s="71"/>
      <c r="C3263" s="71"/>
      <c r="D3263" s="81"/>
      <c r="E3263" s="71"/>
      <c r="F3263" s="71"/>
      <c r="G3263" s="82" t="str">
        <f aca="false">IF(C3263="","",IFERROR(INDEX('Kit Lists'!$D$6:$D$605,MATCH(B3263&amp;"|"&amp;C3263,'Kit Lists'!$J$6:$J$605,0)),"Not on this contract's kit list"))</f>
        <v/>
      </c>
      <c r="H3263" s="83" t="str">
        <f aca="false">IF(AND(B3263="",C3263="",D3263=""),"",IF(B3263="","Missing contract",IF(C3263="","Missing code",IF(LEFT(G3263,3)="Not","Wrong code",IF(D3263="","Missing qty",IF(A3263="","Missing date",""))))))</f>
        <v/>
      </c>
      <c r="I3263" s="84" t="str">
        <f aca="false">IF(B3263=Dashboard!$D$3,ROW(),"")</f>
        <v/>
      </c>
    </row>
    <row r="3264" customFormat="false" ht="15" hidden="false" customHeight="false" outlineLevel="0" collapsed="false">
      <c r="A3264" s="80"/>
      <c r="B3264" s="71"/>
      <c r="C3264" s="71"/>
      <c r="D3264" s="81"/>
      <c r="E3264" s="71"/>
      <c r="F3264" s="71"/>
      <c r="G3264" s="82" t="str">
        <f aca="false">IF(C3264="","",IFERROR(INDEX('Kit Lists'!$D$6:$D$605,MATCH(B3264&amp;"|"&amp;C3264,'Kit Lists'!$J$6:$J$605,0)),"Not on this contract's kit list"))</f>
        <v/>
      </c>
      <c r="H3264" s="83" t="str">
        <f aca="false">IF(AND(B3264="",C3264="",D3264=""),"",IF(B3264="","Missing contract",IF(C3264="","Missing code",IF(LEFT(G3264,3)="Not","Wrong code",IF(D3264="","Missing qty",IF(A3264="","Missing date",""))))))</f>
        <v/>
      </c>
      <c r="I3264" s="84" t="str">
        <f aca="false">IF(B3264=Dashboard!$D$3,ROW(),"")</f>
        <v/>
      </c>
    </row>
    <row r="3265" customFormat="false" ht="15" hidden="false" customHeight="false" outlineLevel="0" collapsed="false">
      <c r="A3265" s="80"/>
      <c r="B3265" s="71"/>
      <c r="C3265" s="71"/>
      <c r="D3265" s="81"/>
      <c r="E3265" s="71"/>
      <c r="F3265" s="71"/>
      <c r="G3265" s="82" t="str">
        <f aca="false">IF(C3265="","",IFERROR(INDEX('Kit Lists'!$D$6:$D$605,MATCH(B3265&amp;"|"&amp;C3265,'Kit Lists'!$J$6:$J$605,0)),"Not on this contract's kit list"))</f>
        <v/>
      </c>
      <c r="H3265" s="83" t="str">
        <f aca="false">IF(AND(B3265="",C3265="",D3265=""),"",IF(B3265="","Missing contract",IF(C3265="","Missing code",IF(LEFT(G3265,3)="Not","Wrong code",IF(D3265="","Missing qty",IF(A3265="","Missing date",""))))))</f>
        <v/>
      </c>
      <c r="I3265" s="84" t="str">
        <f aca="false">IF(B3265=Dashboard!$D$3,ROW(),"")</f>
        <v/>
      </c>
    </row>
    <row r="3266" customFormat="false" ht="15" hidden="false" customHeight="false" outlineLevel="0" collapsed="false">
      <c r="A3266" s="80"/>
      <c r="B3266" s="71"/>
      <c r="C3266" s="71"/>
      <c r="D3266" s="81"/>
      <c r="E3266" s="71"/>
      <c r="F3266" s="71"/>
      <c r="G3266" s="82" t="str">
        <f aca="false">IF(C3266="","",IFERROR(INDEX('Kit Lists'!$D$6:$D$605,MATCH(B3266&amp;"|"&amp;C3266,'Kit Lists'!$J$6:$J$605,0)),"Not on this contract's kit list"))</f>
        <v/>
      </c>
      <c r="H3266" s="83" t="str">
        <f aca="false">IF(AND(B3266="",C3266="",D3266=""),"",IF(B3266="","Missing contract",IF(C3266="","Missing code",IF(LEFT(G3266,3)="Not","Wrong code",IF(D3266="","Missing qty",IF(A3266="","Missing date",""))))))</f>
        <v/>
      </c>
      <c r="I3266" s="84" t="str">
        <f aca="false">IF(B3266=Dashboard!$D$3,ROW(),"")</f>
        <v/>
      </c>
    </row>
    <row r="3267" customFormat="false" ht="15" hidden="false" customHeight="false" outlineLevel="0" collapsed="false">
      <c r="A3267" s="80"/>
      <c r="B3267" s="71"/>
      <c r="C3267" s="71"/>
      <c r="D3267" s="81"/>
      <c r="E3267" s="71"/>
      <c r="F3267" s="71"/>
      <c r="G3267" s="82" t="str">
        <f aca="false">IF(C3267="","",IFERROR(INDEX('Kit Lists'!$D$6:$D$605,MATCH(B3267&amp;"|"&amp;C3267,'Kit Lists'!$J$6:$J$605,0)),"Not on this contract's kit list"))</f>
        <v/>
      </c>
      <c r="H3267" s="83" t="str">
        <f aca="false">IF(AND(B3267="",C3267="",D3267=""),"",IF(B3267="","Missing contract",IF(C3267="","Missing code",IF(LEFT(G3267,3)="Not","Wrong code",IF(D3267="","Missing qty",IF(A3267="","Missing date",""))))))</f>
        <v/>
      </c>
      <c r="I3267" s="84" t="str">
        <f aca="false">IF(B3267=Dashboard!$D$3,ROW(),"")</f>
        <v/>
      </c>
    </row>
    <row r="3268" customFormat="false" ht="15" hidden="false" customHeight="false" outlineLevel="0" collapsed="false">
      <c r="A3268" s="80"/>
      <c r="B3268" s="71"/>
      <c r="C3268" s="71"/>
      <c r="D3268" s="81"/>
      <c r="E3268" s="71"/>
      <c r="F3268" s="71"/>
      <c r="G3268" s="82" t="str">
        <f aca="false">IF(C3268="","",IFERROR(INDEX('Kit Lists'!$D$6:$D$605,MATCH(B3268&amp;"|"&amp;C3268,'Kit Lists'!$J$6:$J$605,0)),"Not on this contract's kit list"))</f>
        <v/>
      </c>
      <c r="H3268" s="83" t="str">
        <f aca="false">IF(AND(B3268="",C3268="",D3268=""),"",IF(B3268="","Missing contract",IF(C3268="","Missing code",IF(LEFT(G3268,3)="Not","Wrong code",IF(D3268="","Missing qty",IF(A3268="","Missing date",""))))))</f>
        <v/>
      </c>
      <c r="I3268" s="84" t="str">
        <f aca="false">IF(B3268=Dashboard!$D$3,ROW(),"")</f>
        <v/>
      </c>
    </row>
    <row r="3269" customFormat="false" ht="15" hidden="false" customHeight="false" outlineLevel="0" collapsed="false">
      <c r="A3269" s="80"/>
      <c r="B3269" s="71"/>
      <c r="C3269" s="71"/>
      <c r="D3269" s="81"/>
      <c r="E3269" s="71"/>
      <c r="F3269" s="71"/>
      <c r="G3269" s="82" t="str">
        <f aca="false">IF(C3269="","",IFERROR(INDEX('Kit Lists'!$D$6:$D$605,MATCH(B3269&amp;"|"&amp;C3269,'Kit Lists'!$J$6:$J$605,0)),"Not on this contract's kit list"))</f>
        <v/>
      </c>
      <c r="H3269" s="83" t="str">
        <f aca="false">IF(AND(B3269="",C3269="",D3269=""),"",IF(B3269="","Missing contract",IF(C3269="","Missing code",IF(LEFT(G3269,3)="Not","Wrong code",IF(D3269="","Missing qty",IF(A3269="","Missing date",""))))))</f>
        <v/>
      </c>
      <c r="I3269" s="84" t="str">
        <f aca="false">IF(B3269=Dashboard!$D$3,ROW(),"")</f>
        <v/>
      </c>
    </row>
    <row r="3270" customFormat="false" ht="15" hidden="false" customHeight="false" outlineLevel="0" collapsed="false">
      <c r="A3270" s="80"/>
      <c r="B3270" s="71"/>
      <c r="C3270" s="71"/>
      <c r="D3270" s="81"/>
      <c r="E3270" s="71"/>
      <c r="F3270" s="71"/>
      <c r="G3270" s="82" t="str">
        <f aca="false">IF(C3270="","",IFERROR(INDEX('Kit Lists'!$D$6:$D$605,MATCH(B3270&amp;"|"&amp;C3270,'Kit Lists'!$J$6:$J$605,0)),"Not on this contract's kit list"))</f>
        <v/>
      </c>
      <c r="H3270" s="83" t="str">
        <f aca="false">IF(AND(B3270="",C3270="",D3270=""),"",IF(B3270="","Missing contract",IF(C3270="","Missing code",IF(LEFT(G3270,3)="Not","Wrong code",IF(D3270="","Missing qty",IF(A3270="","Missing date",""))))))</f>
        <v/>
      </c>
      <c r="I3270" s="84" t="str">
        <f aca="false">IF(B3270=Dashboard!$D$3,ROW(),"")</f>
        <v/>
      </c>
    </row>
    <row r="3271" customFormat="false" ht="15" hidden="false" customHeight="false" outlineLevel="0" collapsed="false">
      <c r="A3271" s="80"/>
      <c r="B3271" s="71"/>
      <c r="C3271" s="71"/>
      <c r="D3271" s="81"/>
      <c r="E3271" s="71"/>
      <c r="F3271" s="71"/>
      <c r="G3271" s="82" t="str">
        <f aca="false">IF(C3271="","",IFERROR(INDEX('Kit Lists'!$D$6:$D$605,MATCH(B3271&amp;"|"&amp;C3271,'Kit Lists'!$J$6:$J$605,0)),"Not on this contract's kit list"))</f>
        <v/>
      </c>
      <c r="H3271" s="83" t="str">
        <f aca="false">IF(AND(B3271="",C3271="",D3271=""),"",IF(B3271="","Missing contract",IF(C3271="","Missing code",IF(LEFT(G3271,3)="Not","Wrong code",IF(D3271="","Missing qty",IF(A3271="","Missing date",""))))))</f>
        <v/>
      </c>
      <c r="I3271" s="84" t="str">
        <f aca="false">IF(B3271=Dashboard!$D$3,ROW(),"")</f>
        <v/>
      </c>
    </row>
    <row r="3272" customFormat="false" ht="15" hidden="false" customHeight="false" outlineLevel="0" collapsed="false">
      <c r="A3272" s="80"/>
      <c r="B3272" s="71"/>
      <c r="C3272" s="71"/>
      <c r="D3272" s="81"/>
      <c r="E3272" s="71"/>
      <c r="F3272" s="71"/>
      <c r="G3272" s="82" t="str">
        <f aca="false">IF(C3272="","",IFERROR(INDEX('Kit Lists'!$D$6:$D$605,MATCH(B3272&amp;"|"&amp;C3272,'Kit Lists'!$J$6:$J$605,0)),"Not on this contract's kit list"))</f>
        <v/>
      </c>
      <c r="H3272" s="83" t="str">
        <f aca="false">IF(AND(B3272="",C3272="",D3272=""),"",IF(B3272="","Missing contract",IF(C3272="","Missing code",IF(LEFT(G3272,3)="Not","Wrong code",IF(D3272="","Missing qty",IF(A3272="","Missing date",""))))))</f>
        <v/>
      </c>
      <c r="I3272" s="84" t="str">
        <f aca="false">IF(B3272=Dashboard!$D$3,ROW(),"")</f>
        <v/>
      </c>
    </row>
    <row r="3273" customFormat="false" ht="15" hidden="false" customHeight="false" outlineLevel="0" collapsed="false">
      <c r="A3273" s="80"/>
      <c r="B3273" s="71"/>
      <c r="C3273" s="71"/>
      <c r="D3273" s="81"/>
      <c r="E3273" s="71"/>
      <c r="F3273" s="71"/>
      <c r="G3273" s="82" t="str">
        <f aca="false">IF(C3273="","",IFERROR(INDEX('Kit Lists'!$D$6:$D$605,MATCH(B3273&amp;"|"&amp;C3273,'Kit Lists'!$J$6:$J$605,0)),"Not on this contract's kit list"))</f>
        <v/>
      </c>
      <c r="H3273" s="83" t="str">
        <f aca="false">IF(AND(B3273="",C3273="",D3273=""),"",IF(B3273="","Missing contract",IF(C3273="","Missing code",IF(LEFT(G3273,3)="Not","Wrong code",IF(D3273="","Missing qty",IF(A3273="","Missing date",""))))))</f>
        <v/>
      </c>
      <c r="I3273" s="84" t="str">
        <f aca="false">IF(B3273=Dashboard!$D$3,ROW(),"")</f>
        <v/>
      </c>
    </row>
    <row r="3274" customFormat="false" ht="15" hidden="false" customHeight="false" outlineLevel="0" collapsed="false">
      <c r="A3274" s="80"/>
      <c r="B3274" s="71"/>
      <c r="C3274" s="71"/>
      <c r="D3274" s="81"/>
      <c r="E3274" s="71"/>
      <c r="F3274" s="71"/>
      <c r="G3274" s="82" t="str">
        <f aca="false">IF(C3274="","",IFERROR(INDEX('Kit Lists'!$D$6:$D$605,MATCH(B3274&amp;"|"&amp;C3274,'Kit Lists'!$J$6:$J$605,0)),"Not on this contract's kit list"))</f>
        <v/>
      </c>
      <c r="H3274" s="83" t="str">
        <f aca="false">IF(AND(B3274="",C3274="",D3274=""),"",IF(B3274="","Missing contract",IF(C3274="","Missing code",IF(LEFT(G3274,3)="Not","Wrong code",IF(D3274="","Missing qty",IF(A3274="","Missing date",""))))))</f>
        <v/>
      </c>
      <c r="I3274" s="84" t="str">
        <f aca="false">IF(B3274=Dashboard!$D$3,ROW(),"")</f>
        <v/>
      </c>
    </row>
    <row r="3275" customFormat="false" ht="15" hidden="false" customHeight="false" outlineLevel="0" collapsed="false">
      <c r="A3275" s="80"/>
      <c r="B3275" s="71"/>
      <c r="C3275" s="71"/>
      <c r="D3275" s="81"/>
      <c r="E3275" s="71"/>
      <c r="F3275" s="71"/>
      <c r="G3275" s="82" t="str">
        <f aca="false">IF(C3275="","",IFERROR(INDEX('Kit Lists'!$D$6:$D$605,MATCH(B3275&amp;"|"&amp;C3275,'Kit Lists'!$J$6:$J$605,0)),"Not on this contract's kit list"))</f>
        <v/>
      </c>
      <c r="H3275" s="83" t="str">
        <f aca="false">IF(AND(B3275="",C3275="",D3275=""),"",IF(B3275="","Missing contract",IF(C3275="","Missing code",IF(LEFT(G3275,3)="Not","Wrong code",IF(D3275="","Missing qty",IF(A3275="","Missing date",""))))))</f>
        <v/>
      </c>
      <c r="I3275" s="84" t="str">
        <f aca="false">IF(B3275=Dashboard!$D$3,ROW(),"")</f>
        <v/>
      </c>
    </row>
    <row r="3276" customFormat="false" ht="15" hidden="false" customHeight="false" outlineLevel="0" collapsed="false">
      <c r="A3276" s="80"/>
      <c r="B3276" s="71"/>
      <c r="C3276" s="71"/>
      <c r="D3276" s="81"/>
      <c r="E3276" s="71"/>
      <c r="F3276" s="71"/>
      <c r="G3276" s="82" t="str">
        <f aca="false">IF(C3276="","",IFERROR(INDEX('Kit Lists'!$D$6:$D$605,MATCH(B3276&amp;"|"&amp;C3276,'Kit Lists'!$J$6:$J$605,0)),"Not on this contract's kit list"))</f>
        <v/>
      </c>
      <c r="H3276" s="83" t="str">
        <f aca="false">IF(AND(B3276="",C3276="",D3276=""),"",IF(B3276="","Missing contract",IF(C3276="","Missing code",IF(LEFT(G3276,3)="Not","Wrong code",IF(D3276="","Missing qty",IF(A3276="","Missing date",""))))))</f>
        <v/>
      </c>
      <c r="I3276" s="84" t="str">
        <f aca="false">IF(B3276=Dashboard!$D$3,ROW(),"")</f>
        <v/>
      </c>
    </row>
    <row r="3277" customFormat="false" ht="15" hidden="false" customHeight="false" outlineLevel="0" collapsed="false">
      <c r="A3277" s="80"/>
      <c r="B3277" s="71"/>
      <c r="C3277" s="71"/>
      <c r="D3277" s="81"/>
      <c r="E3277" s="71"/>
      <c r="F3277" s="71"/>
      <c r="G3277" s="82" t="str">
        <f aca="false">IF(C3277="","",IFERROR(INDEX('Kit Lists'!$D$6:$D$605,MATCH(B3277&amp;"|"&amp;C3277,'Kit Lists'!$J$6:$J$605,0)),"Not on this contract's kit list"))</f>
        <v/>
      </c>
      <c r="H3277" s="83" t="str">
        <f aca="false">IF(AND(B3277="",C3277="",D3277=""),"",IF(B3277="","Missing contract",IF(C3277="","Missing code",IF(LEFT(G3277,3)="Not","Wrong code",IF(D3277="","Missing qty",IF(A3277="","Missing date",""))))))</f>
        <v/>
      </c>
      <c r="I3277" s="84" t="str">
        <f aca="false">IF(B3277=Dashboard!$D$3,ROW(),"")</f>
        <v/>
      </c>
    </row>
    <row r="3278" customFormat="false" ht="15" hidden="false" customHeight="false" outlineLevel="0" collapsed="false">
      <c r="A3278" s="80"/>
      <c r="B3278" s="71"/>
      <c r="C3278" s="71"/>
      <c r="D3278" s="81"/>
      <c r="E3278" s="71"/>
      <c r="F3278" s="71"/>
      <c r="G3278" s="82" t="str">
        <f aca="false">IF(C3278="","",IFERROR(INDEX('Kit Lists'!$D$6:$D$605,MATCH(B3278&amp;"|"&amp;C3278,'Kit Lists'!$J$6:$J$605,0)),"Not on this contract's kit list"))</f>
        <v/>
      </c>
      <c r="H3278" s="83" t="str">
        <f aca="false">IF(AND(B3278="",C3278="",D3278=""),"",IF(B3278="","Missing contract",IF(C3278="","Missing code",IF(LEFT(G3278,3)="Not","Wrong code",IF(D3278="","Missing qty",IF(A3278="","Missing date",""))))))</f>
        <v/>
      </c>
      <c r="I3278" s="84" t="str">
        <f aca="false">IF(B3278=Dashboard!$D$3,ROW(),"")</f>
        <v/>
      </c>
    </row>
    <row r="3279" customFormat="false" ht="15" hidden="false" customHeight="false" outlineLevel="0" collapsed="false">
      <c r="A3279" s="80"/>
      <c r="B3279" s="71"/>
      <c r="C3279" s="71"/>
      <c r="D3279" s="81"/>
      <c r="E3279" s="71"/>
      <c r="F3279" s="71"/>
      <c r="G3279" s="82" t="str">
        <f aca="false">IF(C3279="","",IFERROR(INDEX('Kit Lists'!$D$6:$D$605,MATCH(B3279&amp;"|"&amp;C3279,'Kit Lists'!$J$6:$J$605,0)),"Not on this contract's kit list"))</f>
        <v/>
      </c>
      <c r="H3279" s="83" t="str">
        <f aca="false">IF(AND(B3279="",C3279="",D3279=""),"",IF(B3279="","Missing contract",IF(C3279="","Missing code",IF(LEFT(G3279,3)="Not","Wrong code",IF(D3279="","Missing qty",IF(A3279="","Missing date",""))))))</f>
        <v/>
      </c>
      <c r="I3279" s="84" t="str">
        <f aca="false">IF(B3279=Dashboard!$D$3,ROW(),"")</f>
        <v/>
      </c>
    </row>
    <row r="3280" customFormat="false" ht="15" hidden="false" customHeight="false" outlineLevel="0" collapsed="false">
      <c r="A3280" s="80"/>
      <c r="B3280" s="71"/>
      <c r="C3280" s="71"/>
      <c r="D3280" s="81"/>
      <c r="E3280" s="71"/>
      <c r="F3280" s="71"/>
      <c r="G3280" s="82" t="str">
        <f aca="false">IF(C3280="","",IFERROR(INDEX('Kit Lists'!$D$6:$D$605,MATCH(B3280&amp;"|"&amp;C3280,'Kit Lists'!$J$6:$J$605,0)),"Not on this contract's kit list"))</f>
        <v/>
      </c>
      <c r="H3280" s="83" t="str">
        <f aca="false">IF(AND(B3280="",C3280="",D3280=""),"",IF(B3280="","Missing contract",IF(C3280="","Missing code",IF(LEFT(G3280,3)="Not","Wrong code",IF(D3280="","Missing qty",IF(A3280="","Missing date",""))))))</f>
        <v/>
      </c>
      <c r="I3280" s="84" t="str">
        <f aca="false">IF(B3280=Dashboard!$D$3,ROW(),"")</f>
        <v/>
      </c>
    </row>
    <row r="3281" customFormat="false" ht="15" hidden="false" customHeight="false" outlineLevel="0" collapsed="false">
      <c r="A3281" s="80"/>
      <c r="B3281" s="71"/>
      <c r="C3281" s="71"/>
      <c r="D3281" s="81"/>
      <c r="E3281" s="71"/>
      <c r="F3281" s="71"/>
      <c r="G3281" s="82" t="str">
        <f aca="false">IF(C3281="","",IFERROR(INDEX('Kit Lists'!$D$6:$D$605,MATCH(B3281&amp;"|"&amp;C3281,'Kit Lists'!$J$6:$J$605,0)),"Not on this contract's kit list"))</f>
        <v/>
      </c>
      <c r="H3281" s="83" t="str">
        <f aca="false">IF(AND(B3281="",C3281="",D3281=""),"",IF(B3281="","Missing contract",IF(C3281="","Missing code",IF(LEFT(G3281,3)="Not","Wrong code",IF(D3281="","Missing qty",IF(A3281="","Missing date",""))))))</f>
        <v/>
      </c>
      <c r="I3281" s="84" t="str">
        <f aca="false">IF(B3281=Dashboard!$D$3,ROW(),"")</f>
        <v/>
      </c>
    </row>
    <row r="3282" customFormat="false" ht="15" hidden="false" customHeight="false" outlineLevel="0" collapsed="false">
      <c r="A3282" s="80"/>
      <c r="B3282" s="71"/>
      <c r="C3282" s="71"/>
      <c r="D3282" s="81"/>
      <c r="E3282" s="71"/>
      <c r="F3282" s="71"/>
      <c r="G3282" s="82" t="str">
        <f aca="false">IF(C3282="","",IFERROR(INDEX('Kit Lists'!$D$6:$D$605,MATCH(B3282&amp;"|"&amp;C3282,'Kit Lists'!$J$6:$J$605,0)),"Not on this contract's kit list"))</f>
        <v/>
      </c>
      <c r="H3282" s="83" t="str">
        <f aca="false">IF(AND(B3282="",C3282="",D3282=""),"",IF(B3282="","Missing contract",IF(C3282="","Missing code",IF(LEFT(G3282,3)="Not","Wrong code",IF(D3282="","Missing qty",IF(A3282="","Missing date",""))))))</f>
        <v/>
      </c>
      <c r="I3282" s="84" t="str">
        <f aca="false">IF(B3282=Dashboard!$D$3,ROW(),"")</f>
        <v/>
      </c>
    </row>
    <row r="3283" customFormat="false" ht="15" hidden="false" customHeight="false" outlineLevel="0" collapsed="false">
      <c r="A3283" s="80"/>
      <c r="B3283" s="71"/>
      <c r="C3283" s="71"/>
      <c r="D3283" s="81"/>
      <c r="E3283" s="71"/>
      <c r="F3283" s="71"/>
      <c r="G3283" s="82" t="str">
        <f aca="false">IF(C3283="","",IFERROR(INDEX('Kit Lists'!$D$6:$D$605,MATCH(B3283&amp;"|"&amp;C3283,'Kit Lists'!$J$6:$J$605,0)),"Not on this contract's kit list"))</f>
        <v/>
      </c>
      <c r="H3283" s="83" t="str">
        <f aca="false">IF(AND(B3283="",C3283="",D3283=""),"",IF(B3283="","Missing contract",IF(C3283="","Missing code",IF(LEFT(G3283,3)="Not","Wrong code",IF(D3283="","Missing qty",IF(A3283="","Missing date",""))))))</f>
        <v/>
      </c>
      <c r="I3283" s="84" t="str">
        <f aca="false">IF(B3283=Dashboard!$D$3,ROW(),"")</f>
        <v/>
      </c>
    </row>
    <row r="3284" customFormat="false" ht="15" hidden="false" customHeight="false" outlineLevel="0" collapsed="false">
      <c r="A3284" s="80"/>
      <c r="B3284" s="71"/>
      <c r="C3284" s="71"/>
      <c r="D3284" s="81"/>
      <c r="E3284" s="71"/>
      <c r="F3284" s="71"/>
      <c r="G3284" s="82" t="str">
        <f aca="false">IF(C3284="","",IFERROR(INDEX('Kit Lists'!$D$6:$D$605,MATCH(B3284&amp;"|"&amp;C3284,'Kit Lists'!$J$6:$J$605,0)),"Not on this contract's kit list"))</f>
        <v/>
      </c>
      <c r="H3284" s="83" t="str">
        <f aca="false">IF(AND(B3284="",C3284="",D3284=""),"",IF(B3284="","Missing contract",IF(C3284="","Missing code",IF(LEFT(G3284,3)="Not","Wrong code",IF(D3284="","Missing qty",IF(A3284="","Missing date",""))))))</f>
        <v/>
      </c>
      <c r="I3284" s="84" t="str">
        <f aca="false">IF(B3284=Dashboard!$D$3,ROW(),"")</f>
        <v/>
      </c>
    </row>
    <row r="3285" customFormat="false" ht="15" hidden="false" customHeight="false" outlineLevel="0" collapsed="false">
      <c r="A3285" s="80"/>
      <c r="B3285" s="71"/>
      <c r="C3285" s="71"/>
      <c r="D3285" s="81"/>
      <c r="E3285" s="71"/>
      <c r="F3285" s="71"/>
      <c r="G3285" s="82" t="str">
        <f aca="false">IF(C3285="","",IFERROR(INDEX('Kit Lists'!$D$6:$D$605,MATCH(B3285&amp;"|"&amp;C3285,'Kit Lists'!$J$6:$J$605,0)),"Not on this contract's kit list"))</f>
        <v/>
      </c>
      <c r="H3285" s="83" t="str">
        <f aca="false">IF(AND(B3285="",C3285="",D3285=""),"",IF(B3285="","Missing contract",IF(C3285="","Missing code",IF(LEFT(G3285,3)="Not","Wrong code",IF(D3285="","Missing qty",IF(A3285="","Missing date",""))))))</f>
        <v/>
      </c>
      <c r="I3285" s="84" t="str">
        <f aca="false">IF(B3285=Dashboard!$D$3,ROW(),"")</f>
        <v/>
      </c>
    </row>
    <row r="3286" customFormat="false" ht="15" hidden="false" customHeight="false" outlineLevel="0" collapsed="false">
      <c r="A3286" s="80"/>
      <c r="B3286" s="71"/>
      <c r="C3286" s="71"/>
      <c r="D3286" s="81"/>
      <c r="E3286" s="71"/>
      <c r="F3286" s="71"/>
      <c r="G3286" s="82" t="str">
        <f aca="false">IF(C3286="","",IFERROR(INDEX('Kit Lists'!$D$6:$D$605,MATCH(B3286&amp;"|"&amp;C3286,'Kit Lists'!$J$6:$J$605,0)),"Not on this contract's kit list"))</f>
        <v/>
      </c>
      <c r="H3286" s="83" t="str">
        <f aca="false">IF(AND(B3286="",C3286="",D3286=""),"",IF(B3286="","Missing contract",IF(C3286="","Missing code",IF(LEFT(G3286,3)="Not","Wrong code",IF(D3286="","Missing qty",IF(A3286="","Missing date",""))))))</f>
        <v/>
      </c>
      <c r="I3286" s="84" t="str">
        <f aca="false">IF(B3286=Dashboard!$D$3,ROW(),"")</f>
        <v/>
      </c>
    </row>
    <row r="3287" customFormat="false" ht="15" hidden="false" customHeight="false" outlineLevel="0" collapsed="false">
      <c r="A3287" s="80"/>
      <c r="B3287" s="71"/>
      <c r="C3287" s="71"/>
      <c r="D3287" s="81"/>
      <c r="E3287" s="71"/>
      <c r="F3287" s="71"/>
      <c r="G3287" s="82" t="str">
        <f aca="false">IF(C3287="","",IFERROR(INDEX('Kit Lists'!$D$6:$D$605,MATCH(B3287&amp;"|"&amp;C3287,'Kit Lists'!$J$6:$J$605,0)),"Not on this contract's kit list"))</f>
        <v/>
      </c>
      <c r="H3287" s="83" t="str">
        <f aca="false">IF(AND(B3287="",C3287="",D3287=""),"",IF(B3287="","Missing contract",IF(C3287="","Missing code",IF(LEFT(G3287,3)="Not","Wrong code",IF(D3287="","Missing qty",IF(A3287="","Missing date",""))))))</f>
        <v/>
      </c>
      <c r="I3287" s="84" t="str">
        <f aca="false">IF(B3287=Dashboard!$D$3,ROW(),"")</f>
        <v/>
      </c>
    </row>
    <row r="3288" customFormat="false" ht="15" hidden="false" customHeight="false" outlineLevel="0" collapsed="false">
      <c r="A3288" s="80"/>
      <c r="B3288" s="71"/>
      <c r="C3288" s="71"/>
      <c r="D3288" s="81"/>
      <c r="E3288" s="71"/>
      <c r="F3288" s="71"/>
      <c r="G3288" s="82" t="str">
        <f aca="false">IF(C3288="","",IFERROR(INDEX('Kit Lists'!$D$6:$D$605,MATCH(B3288&amp;"|"&amp;C3288,'Kit Lists'!$J$6:$J$605,0)),"Not on this contract's kit list"))</f>
        <v/>
      </c>
      <c r="H3288" s="83" t="str">
        <f aca="false">IF(AND(B3288="",C3288="",D3288=""),"",IF(B3288="","Missing contract",IF(C3288="","Missing code",IF(LEFT(G3288,3)="Not","Wrong code",IF(D3288="","Missing qty",IF(A3288="","Missing date",""))))))</f>
        <v/>
      </c>
      <c r="I3288" s="84" t="str">
        <f aca="false">IF(B3288=Dashboard!$D$3,ROW(),"")</f>
        <v/>
      </c>
    </row>
    <row r="3289" customFormat="false" ht="15" hidden="false" customHeight="false" outlineLevel="0" collapsed="false">
      <c r="A3289" s="80"/>
      <c r="B3289" s="71"/>
      <c r="C3289" s="71"/>
      <c r="D3289" s="81"/>
      <c r="E3289" s="71"/>
      <c r="F3289" s="71"/>
      <c r="G3289" s="82" t="str">
        <f aca="false">IF(C3289="","",IFERROR(INDEX('Kit Lists'!$D$6:$D$605,MATCH(B3289&amp;"|"&amp;C3289,'Kit Lists'!$J$6:$J$605,0)),"Not on this contract's kit list"))</f>
        <v/>
      </c>
      <c r="H3289" s="83" t="str">
        <f aca="false">IF(AND(B3289="",C3289="",D3289=""),"",IF(B3289="","Missing contract",IF(C3289="","Missing code",IF(LEFT(G3289,3)="Not","Wrong code",IF(D3289="","Missing qty",IF(A3289="","Missing date",""))))))</f>
        <v/>
      </c>
      <c r="I3289" s="84" t="str">
        <f aca="false">IF(B3289=Dashboard!$D$3,ROW(),"")</f>
        <v/>
      </c>
    </row>
    <row r="3290" customFormat="false" ht="15" hidden="false" customHeight="false" outlineLevel="0" collapsed="false">
      <c r="A3290" s="80"/>
      <c r="B3290" s="71"/>
      <c r="C3290" s="71"/>
      <c r="D3290" s="81"/>
      <c r="E3290" s="71"/>
      <c r="F3290" s="71"/>
      <c r="G3290" s="82" t="str">
        <f aca="false">IF(C3290="","",IFERROR(INDEX('Kit Lists'!$D$6:$D$605,MATCH(B3290&amp;"|"&amp;C3290,'Kit Lists'!$J$6:$J$605,0)),"Not on this contract's kit list"))</f>
        <v/>
      </c>
      <c r="H3290" s="83" t="str">
        <f aca="false">IF(AND(B3290="",C3290="",D3290=""),"",IF(B3290="","Missing contract",IF(C3290="","Missing code",IF(LEFT(G3290,3)="Not","Wrong code",IF(D3290="","Missing qty",IF(A3290="","Missing date",""))))))</f>
        <v/>
      </c>
      <c r="I3290" s="84" t="str">
        <f aca="false">IF(B3290=Dashboard!$D$3,ROW(),"")</f>
        <v/>
      </c>
    </row>
    <row r="3291" customFormat="false" ht="15" hidden="false" customHeight="false" outlineLevel="0" collapsed="false">
      <c r="A3291" s="80"/>
      <c r="B3291" s="71"/>
      <c r="C3291" s="71"/>
      <c r="D3291" s="81"/>
      <c r="E3291" s="71"/>
      <c r="F3291" s="71"/>
      <c r="G3291" s="82" t="str">
        <f aca="false">IF(C3291="","",IFERROR(INDEX('Kit Lists'!$D$6:$D$605,MATCH(B3291&amp;"|"&amp;C3291,'Kit Lists'!$J$6:$J$605,0)),"Not on this contract's kit list"))</f>
        <v/>
      </c>
      <c r="H3291" s="83" t="str">
        <f aca="false">IF(AND(B3291="",C3291="",D3291=""),"",IF(B3291="","Missing contract",IF(C3291="","Missing code",IF(LEFT(G3291,3)="Not","Wrong code",IF(D3291="","Missing qty",IF(A3291="","Missing date",""))))))</f>
        <v/>
      </c>
      <c r="I3291" s="84" t="str">
        <f aca="false">IF(B3291=Dashboard!$D$3,ROW(),"")</f>
        <v/>
      </c>
    </row>
    <row r="3292" customFormat="false" ht="15" hidden="false" customHeight="false" outlineLevel="0" collapsed="false">
      <c r="A3292" s="80"/>
      <c r="B3292" s="71"/>
      <c r="C3292" s="71"/>
      <c r="D3292" s="81"/>
      <c r="E3292" s="71"/>
      <c r="F3292" s="71"/>
      <c r="G3292" s="82" t="str">
        <f aca="false">IF(C3292="","",IFERROR(INDEX('Kit Lists'!$D$6:$D$605,MATCH(B3292&amp;"|"&amp;C3292,'Kit Lists'!$J$6:$J$605,0)),"Not on this contract's kit list"))</f>
        <v/>
      </c>
      <c r="H3292" s="83" t="str">
        <f aca="false">IF(AND(B3292="",C3292="",D3292=""),"",IF(B3292="","Missing contract",IF(C3292="","Missing code",IF(LEFT(G3292,3)="Not","Wrong code",IF(D3292="","Missing qty",IF(A3292="","Missing date",""))))))</f>
        <v/>
      </c>
      <c r="I3292" s="84" t="str">
        <f aca="false">IF(B3292=Dashboard!$D$3,ROW(),"")</f>
        <v/>
      </c>
    </row>
    <row r="3293" customFormat="false" ht="15" hidden="false" customHeight="false" outlineLevel="0" collapsed="false">
      <c r="A3293" s="80"/>
      <c r="B3293" s="71"/>
      <c r="C3293" s="71"/>
      <c r="D3293" s="81"/>
      <c r="E3293" s="71"/>
      <c r="F3293" s="71"/>
      <c r="G3293" s="82" t="str">
        <f aca="false">IF(C3293="","",IFERROR(INDEX('Kit Lists'!$D$6:$D$605,MATCH(B3293&amp;"|"&amp;C3293,'Kit Lists'!$J$6:$J$605,0)),"Not on this contract's kit list"))</f>
        <v/>
      </c>
      <c r="H3293" s="83" t="str">
        <f aca="false">IF(AND(B3293="",C3293="",D3293=""),"",IF(B3293="","Missing contract",IF(C3293="","Missing code",IF(LEFT(G3293,3)="Not","Wrong code",IF(D3293="","Missing qty",IF(A3293="","Missing date",""))))))</f>
        <v/>
      </c>
      <c r="I3293" s="84" t="str">
        <f aca="false">IF(B3293=Dashboard!$D$3,ROW(),"")</f>
        <v/>
      </c>
    </row>
    <row r="3294" customFormat="false" ht="15" hidden="false" customHeight="false" outlineLevel="0" collapsed="false">
      <c r="A3294" s="80"/>
      <c r="B3294" s="71"/>
      <c r="C3294" s="71"/>
      <c r="D3294" s="81"/>
      <c r="E3294" s="71"/>
      <c r="F3294" s="71"/>
      <c r="G3294" s="82" t="str">
        <f aca="false">IF(C3294="","",IFERROR(INDEX('Kit Lists'!$D$6:$D$605,MATCH(B3294&amp;"|"&amp;C3294,'Kit Lists'!$J$6:$J$605,0)),"Not on this contract's kit list"))</f>
        <v/>
      </c>
      <c r="H3294" s="83" t="str">
        <f aca="false">IF(AND(B3294="",C3294="",D3294=""),"",IF(B3294="","Missing contract",IF(C3294="","Missing code",IF(LEFT(G3294,3)="Not","Wrong code",IF(D3294="","Missing qty",IF(A3294="","Missing date",""))))))</f>
        <v/>
      </c>
      <c r="I3294" s="84" t="str">
        <f aca="false">IF(B3294=Dashboard!$D$3,ROW(),"")</f>
        <v/>
      </c>
    </row>
    <row r="3295" customFormat="false" ht="15" hidden="false" customHeight="false" outlineLevel="0" collapsed="false">
      <c r="A3295" s="80"/>
      <c r="B3295" s="71"/>
      <c r="C3295" s="71"/>
      <c r="D3295" s="81"/>
      <c r="E3295" s="71"/>
      <c r="F3295" s="71"/>
      <c r="G3295" s="82" t="str">
        <f aca="false">IF(C3295="","",IFERROR(INDEX('Kit Lists'!$D$6:$D$605,MATCH(B3295&amp;"|"&amp;C3295,'Kit Lists'!$J$6:$J$605,0)),"Not on this contract's kit list"))</f>
        <v/>
      </c>
      <c r="H3295" s="83" t="str">
        <f aca="false">IF(AND(B3295="",C3295="",D3295=""),"",IF(B3295="","Missing contract",IF(C3295="","Missing code",IF(LEFT(G3295,3)="Not","Wrong code",IF(D3295="","Missing qty",IF(A3295="","Missing date",""))))))</f>
        <v/>
      </c>
      <c r="I3295" s="84" t="str">
        <f aca="false">IF(B3295=Dashboard!$D$3,ROW(),"")</f>
        <v/>
      </c>
    </row>
    <row r="3296" customFormat="false" ht="15" hidden="false" customHeight="false" outlineLevel="0" collapsed="false">
      <c r="A3296" s="80"/>
      <c r="B3296" s="71"/>
      <c r="C3296" s="71"/>
      <c r="D3296" s="81"/>
      <c r="E3296" s="71"/>
      <c r="F3296" s="71"/>
      <c r="G3296" s="82" t="str">
        <f aca="false">IF(C3296="","",IFERROR(INDEX('Kit Lists'!$D$6:$D$605,MATCH(B3296&amp;"|"&amp;C3296,'Kit Lists'!$J$6:$J$605,0)),"Not on this contract's kit list"))</f>
        <v/>
      </c>
      <c r="H3296" s="83" t="str">
        <f aca="false">IF(AND(B3296="",C3296="",D3296=""),"",IF(B3296="","Missing contract",IF(C3296="","Missing code",IF(LEFT(G3296,3)="Not","Wrong code",IF(D3296="","Missing qty",IF(A3296="","Missing date",""))))))</f>
        <v/>
      </c>
      <c r="I3296" s="84" t="str">
        <f aca="false">IF(B3296=Dashboard!$D$3,ROW(),"")</f>
        <v/>
      </c>
    </row>
    <row r="3297" customFormat="false" ht="15" hidden="false" customHeight="false" outlineLevel="0" collapsed="false">
      <c r="A3297" s="80"/>
      <c r="B3297" s="71"/>
      <c r="C3297" s="71"/>
      <c r="D3297" s="81"/>
      <c r="E3297" s="71"/>
      <c r="F3297" s="71"/>
      <c r="G3297" s="82" t="str">
        <f aca="false">IF(C3297="","",IFERROR(INDEX('Kit Lists'!$D$6:$D$605,MATCH(B3297&amp;"|"&amp;C3297,'Kit Lists'!$J$6:$J$605,0)),"Not on this contract's kit list"))</f>
        <v/>
      </c>
      <c r="H3297" s="83" t="str">
        <f aca="false">IF(AND(B3297="",C3297="",D3297=""),"",IF(B3297="","Missing contract",IF(C3297="","Missing code",IF(LEFT(G3297,3)="Not","Wrong code",IF(D3297="","Missing qty",IF(A3297="","Missing date",""))))))</f>
        <v/>
      </c>
      <c r="I3297" s="84" t="str">
        <f aca="false">IF(B3297=Dashboard!$D$3,ROW(),"")</f>
        <v/>
      </c>
    </row>
    <row r="3298" customFormat="false" ht="15" hidden="false" customHeight="false" outlineLevel="0" collapsed="false">
      <c r="A3298" s="80"/>
      <c r="B3298" s="71"/>
      <c r="C3298" s="71"/>
      <c r="D3298" s="81"/>
      <c r="E3298" s="71"/>
      <c r="F3298" s="71"/>
      <c r="G3298" s="82" t="str">
        <f aca="false">IF(C3298="","",IFERROR(INDEX('Kit Lists'!$D$6:$D$605,MATCH(B3298&amp;"|"&amp;C3298,'Kit Lists'!$J$6:$J$605,0)),"Not on this contract's kit list"))</f>
        <v/>
      </c>
      <c r="H3298" s="83" t="str">
        <f aca="false">IF(AND(B3298="",C3298="",D3298=""),"",IF(B3298="","Missing contract",IF(C3298="","Missing code",IF(LEFT(G3298,3)="Not","Wrong code",IF(D3298="","Missing qty",IF(A3298="","Missing date",""))))))</f>
        <v/>
      </c>
      <c r="I3298" s="84" t="str">
        <f aca="false">IF(B3298=Dashboard!$D$3,ROW(),"")</f>
        <v/>
      </c>
    </row>
    <row r="3299" customFormat="false" ht="15" hidden="false" customHeight="false" outlineLevel="0" collapsed="false">
      <c r="A3299" s="80"/>
      <c r="B3299" s="71"/>
      <c r="C3299" s="71"/>
      <c r="D3299" s="81"/>
      <c r="E3299" s="71"/>
      <c r="F3299" s="71"/>
      <c r="G3299" s="82" t="str">
        <f aca="false">IF(C3299="","",IFERROR(INDEX('Kit Lists'!$D$6:$D$605,MATCH(B3299&amp;"|"&amp;C3299,'Kit Lists'!$J$6:$J$605,0)),"Not on this contract's kit list"))</f>
        <v/>
      </c>
      <c r="H3299" s="83" t="str">
        <f aca="false">IF(AND(B3299="",C3299="",D3299=""),"",IF(B3299="","Missing contract",IF(C3299="","Missing code",IF(LEFT(G3299,3)="Not","Wrong code",IF(D3299="","Missing qty",IF(A3299="","Missing date",""))))))</f>
        <v/>
      </c>
      <c r="I3299" s="84" t="str">
        <f aca="false">IF(B3299=Dashboard!$D$3,ROW(),"")</f>
        <v/>
      </c>
    </row>
    <row r="3300" customFormat="false" ht="15" hidden="false" customHeight="false" outlineLevel="0" collapsed="false">
      <c r="A3300" s="80"/>
      <c r="B3300" s="71"/>
      <c r="C3300" s="71"/>
      <c r="D3300" s="81"/>
      <c r="E3300" s="71"/>
      <c r="F3300" s="71"/>
      <c r="G3300" s="82" t="str">
        <f aca="false">IF(C3300="","",IFERROR(INDEX('Kit Lists'!$D$6:$D$605,MATCH(B3300&amp;"|"&amp;C3300,'Kit Lists'!$J$6:$J$605,0)),"Not on this contract's kit list"))</f>
        <v/>
      </c>
      <c r="H3300" s="83" t="str">
        <f aca="false">IF(AND(B3300="",C3300="",D3300=""),"",IF(B3300="","Missing contract",IF(C3300="","Missing code",IF(LEFT(G3300,3)="Not","Wrong code",IF(D3300="","Missing qty",IF(A3300="","Missing date",""))))))</f>
        <v/>
      </c>
      <c r="I3300" s="84" t="str">
        <f aca="false">IF(B3300=Dashboard!$D$3,ROW(),"")</f>
        <v/>
      </c>
    </row>
    <row r="3301" customFormat="false" ht="15" hidden="false" customHeight="false" outlineLevel="0" collapsed="false">
      <c r="A3301" s="80"/>
      <c r="B3301" s="71"/>
      <c r="C3301" s="71"/>
      <c r="D3301" s="81"/>
      <c r="E3301" s="71"/>
      <c r="F3301" s="71"/>
      <c r="G3301" s="82" t="str">
        <f aca="false">IF(C3301="","",IFERROR(INDEX('Kit Lists'!$D$6:$D$605,MATCH(B3301&amp;"|"&amp;C3301,'Kit Lists'!$J$6:$J$605,0)),"Not on this contract's kit list"))</f>
        <v/>
      </c>
      <c r="H3301" s="83" t="str">
        <f aca="false">IF(AND(B3301="",C3301="",D3301=""),"",IF(B3301="","Missing contract",IF(C3301="","Missing code",IF(LEFT(G3301,3)="Not","Wrong code",IF(D3301="","Missing qty",IF(A3301="","Missing date",""))))))</f>
        <v/>
      </c>
      <c r="I3301" s="84" t="str">
        <f aca="false">IF(B3301=Dashboard!$D$3,ROW(),"")</f>
        <v/>
      </c>
    </row>
    <row r="3302" customFormat="false" ht="15" hidden="false" customHeight="false" outlineLevel="0" collapsed="false">
      <c r="A3302" s="80"/>
      <c r="B3302" s="71"/>
      <c r="C3302" s="71"/>
      <c r="D3302" s="81"/>
      <c r="E3302" s="71"/>
      <c r="F3302" s="71"/>
      <c r="G3302" s="82" t="str">
        <f aca="false">IF(C3302="","",IFERROR(INDEX('Kit Lists'!$D$6:$D$605,MATCH(B3302&amp;"|"&amp;C3302,'Kit Lists'!$J$6:$J$605,0)),"Not on this contract's kit list"))</f>
        <v/>
      </c>
      <c r="H3302" s="83" t="str">
        <f aca="false">IF(AND(B3302="",C3302="",D3302=""),"",IF(B3302="","Missing contract",IF(C3302="","Missing code",IF(LEFT(G3302,3)="Not","Wrong code",IF(D3302="","Missing qty",IF(A3302="","Missing date",""))))))</f>
        <v/>
      </c>
      <c r="I3302" s="84" t="str">
        <f aca="false">IF(B3302=Dashboard!$D$3,ROW(),"")</f>
        <v/>
      </c>
    </row>
    <row r="3303" customFormat="false" ht="15" hidden="false" customHeight="false" outlineLevel="0" collapsed="false">
      <c r="A3303" s="80"/>
      <c r="B3303" s="71"/>
      <c r="C3303" s="71"/>
      <c r="D3303" s="81"/>
      <c r="E3303" s="71"/>
      <c r="F3303" s="71"/>
      <c r="G3303" s="82" t="str">
        <f aca="false">IF(C3303="","",IFERROR(INDEX('Kit Lists'!$D$6:$D$605,MATCH(B3303&amp;"|"&amp;C3303,'Kit Lists'!$J$6:$J$605,0)),"Not on this contract's kit list"))</f>
        <v/>
      </c>
      <c r="H3303" s="83" t="str">
        <f aca="false">IF(AND(B3303="",C3303="",D3303=""),"",IF(B3303="","Missing contract",IF(C3303="","Missing code",IF(LEFT(G3303,3)="Not","Wrong code",IF(D3303="","Missing qty",IF(A3303="","Missing date",""))))))</f>
        <v/>
      </c>
      <c r="I3303" s="84" t="str">
        <f aca="false">IF(B3303=Dashboard!$D$3,ROW(),"")</f>
        <v/>
      </c>
    </row>
    <row r="3304" customFormat="false" ht="15" hidden="false" customHeight="false" outlineLevel="0" collapsed="false">
      <c r="A3304" s="80"/>
      <c r="B3304" s="71"/>
      <c r="C3304" s="71"/>
      <c r="D3304" s="81"/>
      <c r="E3304" s="71"/>
      <c r="F3304" s="71"/>
      <c r="G3304" s="82" t="str">
        <f aca="false">IF(C3304="","",IFERROR(INDEX('Kit Lists'!$D$6:$D$605,MATCH(B3304&amp;"|"&amp;C3304,'Kit Lists'!$J$6:$J$605,0)),"Not on this contract's kit list"))</f>
        <v/>
      </c>
      <c r="H3304" s="83" t="str">
        <f aca="false">IF(AND(B3304="",C3304="",D3304=""),"",IF(B3304="","Missing contract",IF(C3304="","Missing code",IF(LEFT(G3304,3)="Not","Wrong code",IF(D3304="","Missing qty",IF(A3304="","Missing date",""))))))</f>
        <v/>
      </c>
      <c r="I3304" s="84" t="str">
        <f aca="false">IF(B3304=Dashboard!$D$3,ROW(),"")</f>
        <v/>
      </c>
    </row>
    <row r="3305" customFormat="false" ht="15" hidden="false" customHeight="false" outlineLevel="0" collapsed="false">
      <c r="A3305" s="80"/>
      <c r="B3305" s="71"/>
      <c r="C3305" s="71"/>
      <c r="D3305" s="81"/>
      <c r="E3305" s="71"/>
      <c r="F3305" s="71"/>
      <c r="G3305" s="82" t="str">
        <f aca="false">IF(C3305="","",IFERROR(INDEX('Kit Lists'!$D$6:$D$605,MATCH(B3305&amp;"|"&amp;C3305,'Kit Lists'!$J$6:$J$605,0)),"Not on this contract's kit list"))</f>
        <v/>
      </c>
      <c r="H3305" s="83" t="str">
        <f aca="false">IF(AND(B3305="",C3305="",D3305=""),"",IF(B3305="","Missing contract",IF(C3305="","Missing code",IF(LEFT(G3305,3)="Not","Wrong code",IF(D3305="","Missing qty",IF(A3305="","Missing date",""))))))</f>
        <v/>
      </c>
      <c r="I3305" s="84" t="str">
        <f aca="false">IF(B3305=Dashboard!$D$3,ROW(),"")</f>
        <v/>
      </c>
    </row>
    <row r="3306" customFormat="false" ht="15" hidden="false" customHeight="false" outlineLevel="0" collapsed="false">
      <c r="A3306" s="80"/>
      <c r="B3306" s="71"/>
      <c r="C3306" s="71"/>
      <c r="D3306" s="81"/>
      <c r="E3306" s="71"/>
      <c r="F3306" s="71"/>
      <c r="G3306" s="82" t="str">
        <f aca="false">IF(C3306="","",IFERROR(INDEX('Kit Lists'!$D$6:$D$605,MATCH(B3306&amp;"|"&amp;C3306,'Kit Lists'!$J$6:$J$605,0)),"Not on this contract's kit list"))</f>
        <v/>
      </c>
      <c r="H3306" s="83" t="str">
        <f aca="false">IF(AND(B3306="",C3306="",D3306=""),"",IF(B3306="","Missing contract",IF(C3306="","Missing code",IF(LEFT(G3306,3)="Not","Wrong code",IF(D3306="","Missing qty",IF(A3306="","Missing date",""))))))</f>
        <v/>
      </c>
      <c r="I3306" s="84" t="str">
        <f aca="false">IF(B3306=Dashboard!$D$3,ROW(),"")</f>
        <v/>
      </c>
    </row>
    <row r="3307" customFormat="false" ht="15" hidden="false" customHeight="false" outlineLevel="0" collapsed="false">
      <c r="A3307" s="80"/>
      <c r="B3307" s="71"/>
      <c r="C3307" s="71"/>
      <c r="D3307" s="81"/>
      <c r="E3307" s="71"/>
      <c r="F3307" s="71"/>
      <c r="G3307" s="82" t="str">
        <f aca="false">IF(C3307="","",IFERROR(INDEX('Kit Lists'!$D$6:$D$605,MATCH(B3307&amp;"|"&amp;C3307,'Kit Lists'!$J$6:$J$605,0)),"Not on this contract's kit list"))</f>
        <v/>
      </c>
      <c r="H3307" s="83" t="str">
        <f aca="false">IF(AND(B3307="",C3307="",D3307=""),"",IF(B3307="","Missing contract",IF(C3307="","Missing code",IF(LEFT(G3307,3)="Not","Wrong code",IF(D3307="","Missing qty",IF(A3307="","Missing date",""))))))</f>
        <v/>
      </c>
      <c r="I3307" s="84" t="str">
        <f aca="false">IF(B3307=Dashboard!$D$3,ROW(),"")</f>
        <v/>
      </c>
    </row>
    <row r="3308" customFormat="false" ht="15" hidden="false" customHeight="false" outlineLevel="0" collapsed="false">
      <c r="A3308" s="80"/>
      <c r="B3308" s="71"/>
      <c r="C3308" s="71"/>
      <c r="D3308" s="81"/>
      <c r="E3308" s="71"/>
      <c r="F3308" s="71"/>
      <c r="G3308" s="82" t="str">
        <f aca="false">IF(C3308="","",IFERROR(INDEX('Kit Lists'!$D$6:$D$605,MATCH(B3308&amp;"|"&amp;C3308,'Kit Lists'!$J$6:$J$605,0)),"Not on this contract's kit list"))</f>
        <v/>
      </c>
      <c r="H3308" s="83" t="str">
        <f aca="false">IF(AND(B3308="",C3308="",D3308=""),"",IF(B3308="","Missing contract",IF(C3308="","Missing code",IF(LEFT(G3308,3)="Not","Wrong code",IF(D3308="","Missing qty",IF(A3308="","Missing date",""))))))</f>
        <v/>
      </c>
      <c r="I3308" s="84" t="str">
        <f aca="false">IF(B3308=Dashboard!$D$3,ROW(),"")</f>
        <v/>
      </c>
    </row>
    <row r="3309" customFormat="false" ht="15" hidden="false" customHeight="false" outlineLevel="0" collapsed="false">
      <c r="A3309" s="80"/>
      <c r="B3309" s="71"/>
      <c r="C3309" s="71"/>
      <c r="D3309" s="81"/>
      <c r="E3309" s="71"/>
      <c r="F3309" s="71"/>
      <c r="G3309" s="82" t="str">
        <f aca="false">IF(C3309="","",IFERROR(INDEX('Kit Lists'!$D$6:$D$605,MATCH(B3309&amp;"|"&amp;C3309,'Kit Lists'!$J$6:$J$605,0)),"Not on this contract's kit list"))</f>
        <v/>
      </c>
      <c r="H3309" s="83" t="str">
        <f aca="false">IF(AND(B3309="",C3309="",D3309=""),"",IF(B3309="","Missing contract",IF(C3309="","Missing code",IF(LEFT(G3309,3)="Not","Wrong code",IF(D3309="","Missing qty",IF(A3309="","Missing date",""))))))</f>
        <v/>
      </c>
      <c r="I3309" s="84" t="str">
        <f aca="false">IF(B3309=Dashboard!$D$3,ROW(),"")</f>
        <v/>
      </c>
    </row>
    <row r="3310" customFormat="false" ht="15" hidden="false" customHeight="false" outlineLevel="0" collapsed="false">
      <c r="A3310" s="80"/>
      <c r="B3310" s="71"/>
      <c r="C3310" s="71"/>
      <c r="D3310" s="81"/>
      <c r="E3310" s="71"/>
      <c r="F3310" s="71"/>
      <c r="G3310" s="82" t="str">
        <f aca="false">IF(C3310="","",IFERROR(INDEX('Kit Lists'!$D$6:$D$605,MATCH(B3310&amp;"|"&amp;C3310,'Kit Lists'!$J$6:$J$605,0)),"Not on this contract's kit list"))</f>
        <v/>
      </c>
      <c r="H3310" s="83" t="str">
        <f aca="false">IF(AND(B3310="",C3310="",D3310=""),"",IF(B3310="","Missing contract",IF(C3310="","Missing code",IF(LEFT(G3310,3)="Not","Wrong code",IF(D3310="","Missing qty",IF(A3310="","Missing date",""))))))</f>
        <v/>
      </c>
      <c r="I3310" s="84" t="str">
        <f aca="false">IF(B3310=Dashboard!$D$3,ROW(),"")</f>
        <v/>
      </c>
    </row>
    <row r="3311" customFormat="false" ht="15" hidden="false" customHeight="false" outlineLevel="0" collapsed="false">
      <c r="A3311" s="80"/>
      <c r="B3311" s="71"/>
      <c r="C3311" s="71"/>
      <c r="D3311" s="81"/>
      <c r="E3311" s="71"/>
      <c r="F3311" s="71"/>
      <c r="G3311" s="82" t="str">
        <f aca="false">IF(C3311="","",IFERROR(INDEX('Kit Lists'!$D$6:$D$605,MATCH(B3311&amp;"|"&amp;C3311,'Kit Lists'!$J$6:$J$605,0)),"Not on this contract's kit list"))</f>
        <v/>
      </c>
      <c r="H3311" s="83" t="str">
        <f aca="false">IF(AND(B3311="",C3311="",D3311=""),"",IF(B3311="","Missing contract",IF(C3311="","Missing code",IF(LEFT(G3311,3)="Not","Wrong code",IF(D3311="","Missing qty",IF(A3311="","Missing date",""))))))</f>
        <v/>
      </c>
      <c r="I3311" s="84" t="str">
        <f aca="false">IF(B3311=Dashboard!$D$3,ROW(),"")</f>
        <v/>
      </c>
    </row>
    <row r="3312" customFormat="false" ht="15" hidden="false" customHeight="false" outlineLevel="0" collapsed="false">
      <c r="A3312" s="80"/>
      <c r="B3312" s="71"/>
      <c r="C3312" s="71"/>
      <c r="D3312" s="81"/>
      <c r="E3312" s="71"/>
      <c r="F3312" s="71"/>
      <c r="G3312" s="82" t="str">
        <f aca="false">IF(C3312="","",IFERROR(INDEX('Kit Lists'!$D$6:$D$605,MATCH(B3312&amp;"|"&amp;C3312,'Kit Lists'!$J$6:$J$605,0)),"Not on this contract's kit list"))</f>
        <v/>
      </c>
      <c r="H3312" s="83" t="str">
        <f aca="false">IF(AND(B3312="",C3312="",D3312=""),"",IF(B3312="","Missing contract",IF(C3312="","Missing code",IF(LEFT(G3312,3)="Not","Wrong code",IF(D3312="","Missing qty",IF(A3312="","Missing date",""))))))</f>
        <v/>
      </c>
      <c r="I3312" s="84" t="str">
        <f aca="false">IF(B3312=Dashboard!$D$3,ROW(),"")</f>
        <v/>
      </c>
    </row>
    <row r="3313" customFormat="false" ht="15" hidden="false" customHeight="false" outlineLevel="0" collapsed="false">
      <c r="A3313" s="80"/>
      <c r="B3313" s="71"/>
      <c r="C3313" s="71"/>
      <c r="D3313" s="81"/>
      <c r="E3313" s="71"/>
      <c r="F3313" s="71"/>
      <c r="G3313" s="82" t="str">
        <f aca="false">IF(C3313="","",IFERROR(INDEX('Kit Lists'!$D$6:$D$605,MATCH(B3313&amp;"|"&amp;C3313,'Kit Lists'!$J$6:$J$605,0)),"Not on this contract's kit list"))</f>
        <v/>
      </c>
      <c r="H3313" s="83" t="str">
        <f aca="false">IF(AND(B3313="",C3313="",D3313=""),"",IF(B3313="","Missing contract",IF(C3313="","Missing code",IF(LEFT(G3313,3)="Not","Wrong code",IF(D3313="","Missing qty",IF(A3313="","Missing date",""))))))</f>
        <v/>
      </c>
      <c r="I3313" s="84" t="str">
        <f aca="false">IF(B3313=Dashboard!$D$3,ROW(),"")</f>
        <v/>
      </c>
    </row>
    <row r="3314" customFormat="false" ht="15" hidden="false" customHeight="false" outlineLevel="0" collapsed="false">
      <c r="A3314" s="80"/>
      <c r="B3314" s="71"/>
      <c r="C3314" s="71"/>
      <c r="D3314" s="81"/>
      <c r="E3314" s="71"/>
      <c r="F3314" s="71"/>
      <c r="G3314" s="82" t="str">
        <f aca="false">IF(C3314="","",IFERROR(INDEX('Kit Lists'!$D$6:$D$605,MATCH(B3314&amp;"|"&amp;C3314,'Kit Lists'!$J$6:$J$605,0)),"Not on this contract's kit list"))</f>
        <v/>
      </c>
      <c r="H3314" s="83" t="str">
        <f aca="false">IF(AND(B3314="",C3314="",D3314=""),"",IF(B3314="","Missing contract",IF(C3314="","Missing code",IF(LEFT(G3314,3)="Not","Wrong code",IF(D3314="","Missing qty",IF(A3314="","Missing date",""))))))</f>
        <v/>
      </c>
      <c r="I3314" s="84" t="str">
        <f aca="false">IF(B3314=Dashboard!$D$3,ROW(),"")</f>
        <v/>
      </c>
    </row>
    <row r="3315" customFormat="false" ht="15" hidden="false" customHeight="false" outlineLevel="0" collapsed="false">
      <c r="A3315" s="80"/>
      <c r="B3315" s="71"/>
      <c r="C3315" s="71"/>
      <c r="D3315" s="81"/>
      <c r="E3315" s="71"/>
      <c r="F3315" s="71"/>
      <c r="G3315" s="82" t="str">
        <f aca="false">IF(C3315="","",IFERROR(INDEX('Kit Lists'!$D$6:$D$605,MATCH(B3315&amp;"|"&amp;C3315,'Kit Lists'!$J$6:$J$605,0)),"Not on this contract's kit list"))</f>
        <v/>
      </c>
      <c r="H3315" s="83" t="str">
        <f aca="false">IF(AND(B3315="",C3315="",D3315=""),"",IF(B3315="","Missing contract",IF(C3315="","Missing code",IF(LEFT(G3315,3)="Not","Wrong code",IF(D3315="","Missing qty",IF(A3315="","Missing date",""))))))</f>
        <v/>
      </c>
      <c r="I3315" s="84" t="str">
        <f aca="false">IF(B3315=Dashboard!$D$3,ROW(),"")</f>
        <v/>
      </c>
    </row>
    <row r="3316" customFormat="false" ht="15" hidden="false" customHeight="false" outlineLevel="0" collapsed="false">
      <c r="A3316" s="80"/>
      <c r="B3316" s="71"/>
      <c r="C3316" s="71"/>
      <c r="D3316" s="81"/>
      <c r="E3316" s="71"/>
      <c r="F3316" s="71"/>
      <c r="G3316" s="82" t="str">
        <f aca="false">IF(C3316="","",IFERROR(INDEX('Kit Lists'!$D$6:$D$605,MATCH(B3316&amp;"|"&amp;C3316,'Kit Lists'!$J$6:$J$605,0)),"Not on this contract's kit list"))</f>
        <v/>
      </c>
      <c r="H3316" s="83" t="str">
        <f aca="false">IF(AND(B3316="",C3316="",D3316=""),"",IF(B3316="","Missing contract",IF(C3316="","Missing code",IF(LEFT(G3316,3)="Not","Wrong code",IF(D3316="","Missing qty",IF(A3316="","Missing date",""))))))</f>
        <v/>
      </c>
      <c r="I3316" s="84" t="str">
        <f aca="false">IF(B3316=Dashboard!$D$3,ROW(),"")</f>
        <v/>
      </c>
    </row>
    <row r="3317" customFormat="false" ht="15" hidden="false" customHeight="false" outlineLevel="0" collapsed="false">
      <c r="A3317" s="80"/>
      <c r="B3317" s="71"/>
      <c r="C3317" s="71"/>
      <c r="D3317" s="81"/>
      <c r="E3317" s="71"/>
      <c r="F3317" s="71"/>
      <c r="G3317" s="82" t="str">
        <f aca="false">IF(C3317="","",IFERROR(INDEX('Kit Lists'!$D$6:$D$605,MATCH(B3317&amp;"|"&amp;C3317,'Kit Lists'!$J$6:$J$605,0)),"Not on this contract's kit list"))</f>
        <v/>
      </c>
      <c r="H3317" s="83" t="str">
        <f aca="false">IF(AND(B3317="",C3317="",D3317=""),"",IF(B3317="","Missing contract",IF(C3317="","Missing code",IF(LEFT(G3317,3)="Not","Wrong code",IF(D3317="","Missing qty",IF(A3317="","Missing date",""))))))</f>
        <v/>
      </c>
      <c r="I3317" s="84" t="str">
        <f aca="false">IF(B3317=Dashboard!$D$3,ROW(),"")</f>
        <v/>
      </c>
    </row>
    <row r="3318" customFormat="false" ht="15" hidden="false" customHeight="false" outlineLevel="0" collapsed="false">
      <c r="A3318" s="80"/>
      <c r="B3318" s="71"/>
      <c r="C3318" s="71"/>
      <c r="D3318" s="81"/>
      <c r="E3318" s="71"/>
      <c r="F3318" s="71"/>
      <c r="G3318" s="82" t="str">
        <f aca="false">IF(C3318="","",IFERROR(INDEX('Kit Lists'!$D$6:$D$605,MATCH(B3318&amp;"|"&amp;C3318,'Kit Lists'!$J$6:$J$605,0)),"Not on this contract's kit list"))</f>
        <v/>
      </c>
      <c r="H3318" s="83" t="str">
        <f aca="false">IF(AND(B3318="",C3318="",D3318=""),"",IF(B3318="","Missing contract",IF(C3318="","Missing code",IF(LEFT(G3318,3)="Not","Wrong code",IF(D3318="","Missing qty",IF(A3318="","Missing date",""))))))</f>
        <v/>
      </c>
      <c r="I3318" s="84" t="str">
        <f aca="false">IF(B3318=Dashboard!$D$3,ROW(),"")</f>
        <v/>
      </c>
    </row>
    <row r="3319" customFormat="false" ht="15" hidden="false" customHeight="false" outlineLevel="0" collapsed="false">
      <c r="A3319" s="80"/>
      <c r="B3319" s="71"/>
      <c r="C3319" s="71"/>
      <c r="D3319" s="81"/>
      <c r="E3319" s="71"/>
      <c r="F3319" s="71"/>
      <c r="G3319" s="82" t="str">
        <f aca="false">IF(C3319="","",IFERROR(INDEX('Kit Lists'!$D$6:$D$605,MATCH(B3319&amp;"|"&amp;C3319,'Kit Lists'!$J$6:$J$605,0)),"Not on this contract's kit list"))</f>
        <v/>
      </c>
      <c r="H3319" s="83" t="str">
        <f aca="false">IF(AND(B3319="",C3319="",D3319=""),"",IF(B3319="","Missing contract",IF(C3319="","Missing code",IF(LEFT(G3319,3)="Not","Wrong code",IF(D3319="","Missing qty",IF(A3319="","Missing date",""))))))</f>
        <v/>
      </c>
      <c r="I3319" s="84" t="str">
        <f aca="false">IF(B3319=Dashboard!$D$3,ROW(),"")</f>
        <v/>
      </c>
    </row>
    <row r="3320" customFormat="false" ht="15" hidden="false" customHeight="false" outlineLevel="0" collapsed="false">
      <c r="A3320" s="80"/>
      <c r="B3320" s="71"/>
      <c r="C3320" s="71"/>
      <c r="D3320" s="81"/>
      <c r="E3320" s="71"/>
      <c r="F3320" s="71"/>
      <c r="G3320" s="82" t="str">
        <f aca="false">IF(C3320="","",IFERROR(INDEX('Kit Lists'!$D$6:$D$605,MATCH(B3320&amp;"|"&amp;C3320,'Kit Lists'!$J$6:$J$605,0)),"Not on this contract's kit list"))</f>
        <v/>
      </c>
      <c r="H3320" s="83" t="str">
        <f aca="false">IF(AND(B3320="",C3320="",D3320=""),"",IF(B3320="","Missing contract",IF(C3320="","Missing code",IF(LEFT(G3320,3)="Not","Wrong code",IF(D3320="","Missing qty",IF(A3320="","Missing date",""))))))</f>
        <v/>
      </c>
      <c r="I3320" s="84" t="str">
        <f aca="false">IF(B3320=Dashboard!$D$3,ROW(),"")</f>
        <v/>
      </c>
    </row>
    <row r="3321" customFormat="false" ht="15" hidden="false" customHeight="false" outlineLevel="0" collapsed="false">
      <c r="A3321" s="80"/>
      <c r="B3321" s="71"/>
      <c r="C3321" s="71"/>
      <c r="D3321" s="81"/>
      <c r="E3321" s="71"/>
      <c r="F3321" s="71"/>
      <c r="G3321" s="82" t="str">
        <f aca="false">IF(C3321="","",IFERROR(INDEX('Kit Lists'!$D$6:$D$605,MATCH(B3321&amp;"|"&amp;C3321,'Kit Lists'!$J$6:$J$605,0)),"Not on this contract's kit list"))</f>
        <v/>
      </c>
      <c r="H3321" s="83" t="str">
        <f aca="false">IF(AND(B3321="",C3321="",D3321=""),"",IF(B3321="","Missing contract",IF(C3321="","Missing code",IF(LEFT(G3321,3)="Not","Wrong code",IF(D3321="","Missing qty",IF(A3321="","Missing date",""))))))</f>
        <v/>
      </c>
      <c r="I3321" s="84" t="str">
        <f aca="false">IF(B3321=Dashboard!$D$3,ROW(),"")</f>
        <v/>
      </c>
    </row>
    <row r="3322" customFormat="false" ht="15" hidden="false" customHeight="false" outlineLevel="0" collapsed="false">
      <c r="A3322" s="80"/>
      <c r="B3322" s="71"/>
      <c r="C3322" s="71"/>
      <c r="D3322" s="81"/>
      <c r="E3322" s="71"/>
      <c r="F3322" s="71"/>
      <c r="G3322" s="82" t="str">
        <f aca="false">IF(C3322="","",IFERROR(INDEX('Kit Lists'!$D$6:$D$605,MATCH(B3322&amp;"|"&amp;C3322,'Kit Lists'!$J$6:$J$605,0)),"Not on this contract's kit list"))</f>
        <v/>
      </c>
      <c r="H3322" s="83" t="str">
        <f aca="false">IF(AND(B3322="",C3322="",D3322=""),"",IF(B3322="","Missing contract",IF(C3322="","Missing code",IF(LEFT(G3322,3)="Not","Wrong code",IF(D3322="","Missing qty",IF(A3322="","Missing date",""))))))</f>
        <v/>
      </c>
      <c r="I3322" s="84" t="str">
        <f aca="false">IF(B3322=Dashboard!$D$3,ROW(),"")</f>
        <v/>
      </c>
    </row>
    <row r="3323" customFormat="false" ht="15" hidden="false" customHeight="false" outlineLevel="0" collapsed="false">
      <c r="A3323" s="80"/>
      <c r="B3323" s="71"/>
      <c r="C3323" s="71"/>
      <c r="D3323" s="81"/>
      <c r="E3323" s="71"/>
      <c r="F3323" s="71"/>
      <c r="G3323" s="82" t="str">
        <f aca="false">IF(C3323="","",IFERROR(INDEX('Kit Lists'!$D$6:$D$605,MATCH(B3323&amp;"|"&amp;C3323,'Kit Lists'!$J$6:$J$605,0)),"Not on this contract's kit list"))</f>
        <v/>
      </c>
      <c r="H3323" s="83" t="str">
        <f aca="false">IF(AND(B3323="",C3323="",D3323=""),"",IF(B3323="","Missing contract",IF(C3323="","Missing code",IF(LEFT(G3323,3)="Not","Wrong code",IF(D3323="","Missing qty",IF(A3323="","Missing date",""))))))</f>
        <v/>
      </c>
      <c r="I3323" s="84" t="str">
        <f aca="false">IF(B3323=Dashboard!$D$3,ROW(),"")</f>
        <v/>
      </c>
    </row>
    <row r="3324" customFormat="false" ht="15" hidden="false" customHeight="false" outlineLevel="0" collapsed="false">
      <c r="A3324" s="80"/>
      <c r="B3324" s="71"/>
      <c r="C3324" s="71"/>
      <c r="D3324" s="81"/>
      <c r="E3324" s="71"/>
      <c r="F3324" s="71"/>
      <c r="G3324" s="82" t="str">
        <f aca="false">IF(C3324="","",IFERROR(INDEX('Kit Lists'!$D$6:$D$605,MATCH(B3324&amp;"|"&amp;C3324,'Kit Lists'!$J$6:$J$605,0)),"Not on this contract's kit list"))</f>
        <v/>
      </c>
      <c r="H3324" s="83" t="str">
        <f aca="false">IF(AND(B3324="",C3324="",D3324=""),"",IF(B3324="","Missing contract",IF(C3324="","Missing code",IF(LEFT(G3324,3)="Not","Wrong code",IF(D3324="","Missing qty",IF(A3324="","Missing date",""))))))</f>
        <v/>
      </c>
      <c r="I3324" s="84" t="str">
        <f aca="false">IF(B3324=Dashboard!$D$3,ROW(),"")</f>
        <v/>
      </c>
    </row>
    <row r="3325" customFormat="false" ht="15" hidden="false" customHeight="false" outlineLevel="0" collapsed="false">
      <c r="A3325" s="80"/>
      <c r="B3325" s="71"/>
      <c r="C3325" s="71"/>
      <c r="D3325" s="81"/>
      <c r="E3325" s="71"/>
      <c r="F3325" s="71"/>
      <c r="G3325" s="82" t="str">
        <f aca="false">IF(C3325="","",IFERROR(INDEX('Kit Lists'!$D$6:$D$605,MATCH(B3325&amp;"|"&amp;C3325,'Kit Lists'!$J$6:$J$605,0)),"Not on this contract's kit list"))</f>
        <v/>
      </c>
      <c r="H3325" s="83" t="str">
        <f aca="false">IF(AND(B3325="",C3325="",D3325=""),"",IF(B3325="","Missing contract",IF(C3325="","Missing code",IF(LEFT(G3325,3)="Not","Wrong code",IF(D3325="","Missing qty",IF(A3325="","Missing date",""))))))</f>
        <v/>
      </c>
      <c r="I3325" s="84" t="str">
        <f aca="false">IF(B3325=Dashboard!$D$3,ROW(),"")</f>
        <v/>
      </c>
    </row>
    <row r="3326" customFormat="false" ht="15" hidden="false" customHeight="false" outlineLevel="0" collapsed="false">
      <c r="A3326" s="80"/>
      <c r="B3326" s="71"/>
      <c r="C3326" s="71"/>
      <c r="D3326" s="81"/>
      <c r="E3326" s="71"/>
      <c r="F3326" s="71"/>
      <c r="G3326" s="82" t="str">
        <f aca="false">IF(C3326="","",IFERROR(INDEX('Kit Lists'!$D$6:$D$605,MATCH(B3326&amp;"|"&amp;C3326,'Kit Lists'!$J$6:$J$605,0)),"Not on this contract's kit list"))</f>
        <v/>
      </c>
      <c r="H3326" s="83" t="str">
        <f aca="false">IF(AND(B3326="",C3326="",D3326=""),"",IF(B3326="","Missing contract",IF(C3326="","Missing code",IF(LEFT(G3326,3)="Not","Wrong code",IF(D3326="","Missing qty",IF(A3326="","Missing date",""))))))</f>
        <v/>
      </c>
      <c r="I3326" s="84" t="str">
        <f aca="false">IF(B3326=Dashboard!$D$3,ROW(),"")</f>
        <v/>
      </c>
    </row>
    <row r="3327" customFormat="false" ht="15" hidden="false" customHeight="false" outlineLevel="0" collapsed="false">
      <c r="A3327" s="80"/>
      <c r="B3327" s="71"/>
      <c r="C3327" s="71"/>
      <c r="D3327" s="81"/>
      <c r="E3327" s="71"/>
      <c r="F3327" s="71"/>
      <c r="G3327" s="82" t="str">
        <f aca="false">IF(C3327="","",IFERROR(INDEX('Kit Lists'!$D$6:$D$605,MATCH(B3327&amp;"|"&amp;C3327,'Kit Lists'!$J$6:$J$605,0)),"Not on this contract's kit list"))</f>
        <v/>
      </c>
      <c r="H3327" s="83" t="str">
        <f aca="false">IF(AND(B3327="",C3327="",D3327=""),"",IF(B3327="","Missing contract",IF(C3327="","Missing code",IF(LEFT(G3327,3)="Not","Wrong code",IF(D3327="","Missing qty",IF(A3327="","Missing date",""))))))</f>
        <v/>
      </c>
      <c r="I3327" s="84" t="str">
        <f aca="false">IF(B3327=Dashboard!$D$3,ROW(),"")</f>
        <v/>
      </c>
    </row>
    <row r="3328" customFormat="false" ht="15" hidden="false" customHeight="false" outlineLevel="0" collapsed="false">
      <c r="A3328" s="80"/>
      <c r="B3328" s="71"/>
      <c r="C3328" s="71"/>
      <c r="D3328" s="81"/>
      <c r="E3328" s="71"/>
      <c r="F3328" s="71"/>
      <c r="G3328" s="82" t="str">
        <f aca="false">IF(C3328="","",IFERROR(INDEX('Kit Lists'!$D$6:$D$605,MATCH(B3328&amp;"|"&amp;C3328,'Kit Lists'!$J$6:$J$605,0)),"Not on this contract's kit list"))</f>
        <v/>
      </c>
      <c r="H3328" s="83" t="str">
        <f aca="false">IF(AND(B3328="",C3328="",D3328=""),"",IF(B3328="","Missing contract",IF(C3328="","Missing code",IF(LEFT(G3328,3)="Not","Wrong code",IF(D3328="","Missing qty",IF(A3328="","Missing date",""))))))</f>
        <v/>
      </c>
      <c r="I3328" s="84" t="str">
        <f aca="false">IF(B3328=Dashboard!$D$3,ROW(),"")</f>
        <v/>
      </c>
    </row>
    <row r="3329" customFormat="false" ht="15" hidden="false" customHeight="false" outlineLevel="0" collapsed="false">
      <c r="A3329" s="80"/>
      <c r="B3329" s="71"/>
      <c r="C3329" s="71"/>
      <c r="D3329" s="81"/>
      <c r="E3329" s="71"/>
      <c r="F3329" s="71"/>
      <c r="G3329" s="82" t="str">
        <f aca="false">IF(C3329="","",IFERROR(INDEX('Kit Lists'!$D$6:$D$605,MATCH(B3329&amp;"|"&amp;C3329,'Kit Lists'!$J$6:$J$605,0)),"Not on this contract's kit list"))</f>
        <v/>
      </c>
      <c r="H3329" s="83" t="str">
        <f aca="false">IF(AND(B3329="",C3329="",D3329=""),"",IF(B3329="","Missing contract",IF(C3329="","Missing code",IF(LEFT(G3329,3)="Not","Wrong code",IF(D3329="","Missing qty",IF(A3329="","Missing date",""))))))</f>
        <v/>
      </c>
      <c r="I3329" s="84" t="str">
        <f aca="false">IF(B3329=Dashboard!$D$3,ROW(),"")</f>
        <v/>
      </c>
    </row>
    <row r="3330" customFormat="false" ht="15" hidden="false" customHeight="false" outlineLevel="0" collapsed="false">
      <c r="A3330" s="80"/>
      <c r="B3330" s="71"/>
      <c r="C3330" s="71"/>
      <c r="D3330" s="81"/>
      <c r="E3330" s="71"/>
      <c r="F3330" s="71"/>
      <c r="G3330" s="82" t="str">
        <f aca="false">IF(C3330="","",IFERROR(INDEX('Kit Lists'!$D$6:$D$605,MATCH(B3330&amp;"|"&amp;C3330,'Kit Lists'!$J$6:$J$605,0)),"Not on this contract's kit list"))</f>
        <v/>
      </c>
      <c r="H3330" s="83" t="str">
        <f aca="false">IF(AND(B3330="",C3330="",D3330=""),"",IF(B3330="","Missing contract",IF(C3330="","Missing code",IF(LEFT(G3330,3)="Not","Wrong code",IF(D3330="","Missing qty",IF(A3330="","Missing date",""))))))</f>
        <v/>
      </c>
      <c r="I3330" s="84" t="str">
        <f aca="false">IF(B3330=Dashboard!$D$3,ROW(),"")</f>
        <v/>
      </c>
    </row>
    <row r="3331" customFormat="false" ht="15" hidden="false" customHeight="false" outlineLevel="0" collapsed="false">
      <c r="A3331" s="80"/>
      <c r="B3331" s="71"/>
      <c r="C3331" s="71"/>
      <c r="D3331" s="81"/>
      <c r="E3331" s="71"/>
      <c r="F3331" s="71"/>
      <c r="G3331" s="82" t="str">
        <f aca="false">IF(C3331="","",IFERROR(INDEX('Kit Lists'!$D$6:$D$605,MATCH(B3331&amp;"|"&amp;C3331,'Kit Lists'!$J$6:$J$605,0)),"Not on this contract's kit list"))</f>
        <v/>
      </c>
      <c r="H3331" s="83" t="str">
        <f aca="false">IF(AND(B3331="",C3331="",D3331=""),"",IF(B3331="","Missing contract",IF(C3331="","Missing code",IF(LEFT(G3331,3)="Not","Wrong code",IF(D3331="","Missing qty",IF(A3331="","Missing date",""))))))</f>
        <v/>
      </c>
      <c r="I3331" s="84" t="str">
        <f aca="false">IF(B3331=Dashboard!$D$3,ROW(),"")</f>
        <v/>
      </c>
    </row>
    <row r="3332" customFormat="false" ht="15" hidden="false" customHeight="false" outlineLevel="0" collapsed="false">
      <c r="A3332" s="80"/>
      <c r="B3332" s="71"/>
      <c r="C3332" s="71"/>
      <c r="D3332" s="81"/>
      <c r="E3332" s="71"/>
      <c r="F3332" s="71"/>
      <c r="G3332" s="82" t="str">
        <f aca="false">IF(C3332="","",IFERROR(INDEX('Kit Lists'!$D$6:$D$605,MATCH(B3332&amp;"|"&amp;C3332,'Kit Lists'!$J$6:$J$605,0)),"Not on this contract's kit list"))</f>
        <v/>
      </c>
      <c r="H3332" s="83" t="str">
        <f aca="false">IF(AND(B3332="",C3332="",D3332=""),"",IF(B3332="","Missing contract",IF(C3332="","Missing code",IF(LEFT(G3332,3)="Not","Wrong code",IF(D3332="","Missing qty",IF(A3332="","Missing date",""))))))</f>
        <v/>
      </c>
      <c r="I3332" s="84" t="str">
        <f aca="false">IF(B3332=Dashboard!$D$3,ROW(),"")</f>
        <v/>
      </c>
    </row>
    <row r="3333" customFormat="false" ht="15" hidden="false" customHeight="false" outlineLevel="0" collapsed="false">
      <c r="A3333" s="80"/>
      <c r="B3333" s="71"/>
      <c r="C3333" s="71"/>
      <c r="D3333" s="81"/>
      <c r="E3333" s="71"/>
      <c r="F3333" s="71"/>
      <c r="G3333" s="82" t="str">
        <f aca="false">IF(C3333="","",IFERROR(INDEX('Kit Lists'!$D$6:$D$605,MATCH(B3333&amp;"|"&amp;C3333,'Kit Lists'!$J$6:$J$605,0)),"Not on this contract's kit list"))</f>
        <v/>
      </c>
      <c r="H3333" s="83" t="str">
        <f aca="false">IF(AND(B3333="",C3333="",D3333=""),"",IF(B3333="","Missing contract",IF(C3333="","Missing code",IF(LEFT(G3333,3)="Not","Wrong code",IF(D3333="","Missing qty",IF(A3333="","Missing date",""))))))</f>
        <v/>
      </c>
      <c r="I3333" s="84" t="str">
        <f aca="false">IF(B3333=Dashboard!$D$3,ROW(),"")</f>
        <v/>
      </c>
    </row>
    <row r="3334" customFormat="false" ht="15" hidden="false" customHeight="false" outlineLevel="0" collapsed="false">
      <c r="A3334" s="80"/>
      <c r="B3334" s="71"/>
      <c r="C3334" s="71"/>
      <c r="D3334" s="81"/>
      <c r="E3334" s="71"/>
      <c r="F3334" s="71"/>
      <c r="G3334" s="82" t="str">
        <f aca="false">IF(C3334="","",IFERROR(INDEX('Kit Lists'!$D$6:$D$605,MATCH(B3334&amp;"|"&amp;C3334,'Kit Lists'!$J$6:$J$605,0)),"Not on this contract's kit list"))</f>
        <v/>
      </c>
      <c r="H3334" s="83" t="str">
        <f aca="false">IF(AND(B3334="",C3334="",D3334=""),"",IF(B3334="","Missing contract",IF(C3334="","Missing code",IF(LEFT(G3334,3)="Not","Wrong code",IF(D3334="","Missing qty",IF(A3334="","Missing date",""))))))</f>
        <v/>
      </c>
      <c r="I3334" s="84" t="str">
        <f aca="false">IF(B3334=Dashboard!$D$3,ROW(),"")</f>
        <v/>
      </c>
    </row>
    <row r="3335" customFormat="false" ht="15" hidden="false" customHeight="false" outlineLevel="0" collapsed="false">
      <c r="A3335" s="80"/>
      <c r="B3335" s="71"/>
      <c r="C3335" s="71"/>
      <c r="D3335" s="81"/>
      <c r="E3335" s="71"/>
      <c r="F3335" s="71"/>
      <c r="G3335" s="82" t="str">
        <f aca="false">IF(C3335="","",IFERROR(INDEX('Kit Lists'!$D$6:$D$605,MATCH(B3335&amp;"|"&amp;C3335,'Kit Lists'!$J$6:$J$605,0)),"Not on this contract's kit list"))</f>
        <v/>
      </c>
      <c r="H3335" s="83" t="str">
        <f aca="false">IF(AND(B3335="",C3335="",D3335=""),"",IF(B3335="","Missing contract",IF(C3335="","Missing code",IF(LEFT(G3335,3)="Not","Wrong code",IF(D3335="","Missing qty",IF(A3335="","Missing date",""))))))</f>
        <v/>
      </c>
      <c r="I3335" s="84" t="str">
        <f aca="false">IF(B3335=Dashboard!$D$3,ROW(),"")</f>
        <v/>
      </c>
    </row>
    <row r="3336" customFormat="false" ht="15" hidden="false" customHeight="false" outlineLevel="0" collapsed="false">
      <c r="A3336" s="80"/>
      <c r="B3336" s="71"/>
      <c r="C3336" s="71"/>
      <c r="D3336" s="81"/>
      <c r="E3336" s="71"/>
      <c r="F3336" s="71"/>
      <c r="G3336" s="82" t="str">
        <f aca="false">IF(C3336="","",IFERROR(INDEX('Kit Lists'!$D$6:$D$605,MATCH(B3336&amp;"|"&amp;C3336,'Kit Lists'!$J$6:$J$605,0)),"Not on this contract's kit list"))</f>
        <v/>
      </c>
      <c r="H3336" s="83" t="str">
        <f aca="false">IF(AND(B3336="",C3336="",D3336=""),"",IF(B3336="","Missing contract",IF(C3336="","Missing code",IF(LEFT(G3336,3)="Not","Wrong code",IF(D3336="","Missing qty",IF(A3336="","Missing date",""))))))</f>
        <v/>
      </c>
      <c r="I3336" s="84" t="str">
        <f aca="false">IF(B3336=Dashboard!$D$3,ROW(),"")</f>
        <v/>
      </c>
    </row>
    <row r="3337" customFormat="false" ht="15" hidden="false" customHeight="false" outlineLevel="0" collapsed="false">
      <c r="A3337" s="80"/>
      <c r="B3337" s="71"/>
      <c r="C3337" s="71"/>
      <c r="D3337" s="81"/>
      <c r="E3337" s="71"/>
      <c r="F3337" s="71"/>
      <c r="G3337" s="82" t="str">
        <f aca="false">IF(C3337="","",IFERROR(INDEX('Kit Lists'!$D$6:$D$605,MATCH(B3337&amp;"|"&amp;C3337,'Kit Lists'!$J$6:$J$605,0)),"Not on this contract's kit list"))</f>
        <v/>
      </c>
      <c r="H3337" s="83" t="str">
        <f aca="false">IF(AND(B3337="",C3337="",D3337=""),"",IF(B3337="","Missing contract",IF(C3337="","Missing code",IF(LEFT(G3337,3)="Not","Wrong code",IF(D3337="","Missing qty",IF(A3337="","Missing date",""))))))</f>
        <v/>
      </c>
      <c r="I3337" s="84" t="str">
        <f aca="false">IF(B3337=Dashboard!$D$3,ROW(),"")</f>
        <v/>
      </c>
    </row>
    <row r="3338" customFormat="false" ht="15" hidden="false" customHeight="false" outlineLevel="0" collapsed="false">
      <c r="A3338" s="80"/>
      <c r="B3338" s="71"/>
      <c r="C3338" s="71"/>
      <c r="D3338" s="81"/>
      <c r="E3338" s="71"/>
      <c r="F3338" s="71"/>
      <c r="G3338" s="82" t="str">
        <f aca="false">IF(C3338="","",IFERROR(INDEX('Kit Lists'!$D$6:$D$605,MATCH(B3338&amp;"|"&amp;C3338,'Kit Lists'!$J$6:$J$605,0)),"Not on this contract's kit list"))</f>
        <v/>
      </c>
      <c r="H3338" s="83" t="str">
        <f aca="false">IF(AND(B3338="",C3338="",D3338=""),"",IF(B3338="","Missing contract",IF(C3338="","Missing code",IF(LEFT(G3338,3)="Not","Wrong code",IF(D3338="","Missing qty",IF(A3338="","Missing date",""))))))</f>
        <v/>
      </c>
      <c r="I3338" s="84" t="str">
        <f aca="false">IF(B3338=Dashboard!$D$3,ROW(),"")</f>
        <v/>
      </c>
    </row>
    <row r="3339" customFormat="false" ht="15" hidden="false" customHeight="false" outlineLevel="0" collapsed="false">
      <c r="A3339" s="80"/>
      <c r="B3339" s="71"/>
      <c r="C3339" s="71"/>
      <c r="D3339" s="81"/>
      <c r="E3339" s="71"/>
      <c r="F3339" s="71"/>
      <c r="G3339" s="82" t="str">
        <f aca="false">IF(C3339="","",IFERROR(INDEX('Kit Lists'!$D$6:$D$605,MATCH(B3339&amp;"|"&amp;C3339,'Kit Lists'!$J$6:$J$605,0)),"Not on this contract's kit list"))</f>
        <v/>
      </c>
      <c r="H3339" s="83" t="str">
        <f aca="false">IF(AND(B3339="",C3339="",D3339=""),"",IF(B3339="","Missing contract",IF(C3339="","Missing code",IF(LEFT(G3339,3)="Not","Wrong code",IF(D3339="","Missing qty",IF(A3339="","Missing date",""))))))</f>
        <v/>
      </c>
      <c r="I3339" s="84" t="str">
        <f aca="false">IF(B3339=Dashboard!$D$3,ROW(),"")</f>
        <v/>
      </c>
    </row>
    <row r="3340" customFormat="false" ht="15" hidden="false" customHeight="false" outlineLevel="0" collapsed="false">
      <c r="A3340" s="80"/>
      <c r="B3340" s="71"/>
      <c r="C3340" s="71"/>
      <c r="D3340" s="81"/>
      <c r="E3340" s="71"/>
      <c r="F3340" s="71"/>
      <c r="G3340" s="82" t="str">
        <f aca="false">IF(C3340="","",IFERROR(INDEX('Kit Lists'!$D$6:$D$605,MATCH(B3340&amp;"|"&amp;C3340,'Kit Lists'!$J$6:$J$605,0)),"Not on this contract's kit list"))</f>
        <v/>
      </c>
      <c r="H3340" s="83" t="str">
        <f aca="false">IF(AND(B3340="",C3340="",D3340=""),"",IF(B3340="","Missing contract",IF(C3340="","Missing code",IF(LEFT(G3340,3)="Not","Wrong code",IF(D3340="","Missing qty",IF(A3340="","Missing date",""))))))</f>
        <v/>
      </c>
      <c r="I3340" s="84" t="str">
        <f aca="false">IF(B3340=Dashboard!$D$3,ROW(),"")</f>
        <v/>
      </c>
    </row>
    <row r="3341" customFormat="false" ht="15" hidden="false" customHeight="false" outlineLevel="0" collapsed="false">
      <c r="A3341" s="80"/>
      <c r="B3341" s="71"/>
      <c r="C3341" s="71"/>
      <c r="D3341" s="81"/>
      <c r="E3341" s="71"/>
      <c r="F3341" s="71"/>
      <c r="G3341" s="82" t="str">
        <f aca="false">IF(C3341="","",IFERROR(INDEX('Kit Lists'!$D$6:$D$605,MATCH(B3341&amp;"|"&amp;C3341,'Kit Lists'!$J$6:$J$605,0)),"Not on this contract's kit list"))</f>
        <v/>
      </c>
      <c r="H3341" s="83" t="str">
        <f aca="false">IF(AND(B3341="",C3341="",D3341=""),"",IF(B3341="","Missing contract",IF(C3341="","Missing code",IF(LEFT(G3341,3)="Not","Wrong code",IF(D3341="","Missing qty",IF(A3341="","Missing date",""))))))</f>
        <v/>
      </c>
      <c r="I3341" s="84" t="str">
        <f aca="false">IF(B3341=Dashboard!$D$3,ROW(),"")</f>
        <v/>
      </c>
    </row>
    <row r="3342" customFormat="false" ht="15" hidden="false" customHeight="false" outlineLevel="0" collapsed="false">
      <c r="A3342" s="80"/>
      <c r="B3342" s="71"/>
      <c r="C3342" s="71"/>
      <c r="D3342" s="81"/>
      <c r="E3342" s="71"/>
      <c r="F3342" s="71"/>
      <c r="G3342" s="82" t="str">
        <f aca="false">IF(C3342="","",IFERROR(INDEX('Kit Lists'!$D$6:$D$605,MATCH(B3342&amp;"|"&amp;C3342,'Kit Lists'!$J$6:$J$605,0)),"Not on this contract's kit list"))</f>
        <v/>
      </c>
      <c r="H3342" s="83" t="str">
        <f aca="false">IF(AND(B3342="",C3342="",D3342=""),"",IF(B3342="","Missing contract",IF(C3342="","Missing code",IF(LEFT(G3342,3)="Not","Wrong code",IF(D3342="","Missing qty",IF(A3342="","Missing date",""))))))</f>
        <v/>
      </c>
      <c r="I3342" s="84" t="str">
        <f aca="false">IF(B3342=Dashboard!$D$3,ROW(),"")</f>
        <v/>
      </c>
    </row>
    <row r="3343" customFormat="false" ht="15" hidden="false" customHeight="false" outlineLevel="0" collapsed="false">
      <c r="A3343" s="80"/>
      <c r="B3343" s="71"/>
      <c r="C3343" s="71"/>
      <c r="D3343" s="81"/>
      <c r="E3343" s="71"/>
      <c r="F3343" s="71"/>
      <c r="G3343" s="82" t="str">
        <f aca="false">IF(C3343="","",IFERROR(INDEX('Kit Lists'!$D$6:$D$605,MATCH(B3343&amp;"|"&amp;C3343,'Kit Lists'!$J$6:$J$605,0)),"Not on this contract's kit list"))</f>
        <v/>
      </c>
      <c r="H3343" s="83" t="str">
        <f aca="false">IF(AND(B3343="",C3343="",D3343=""),"",IF(B3343="","Missing contract",IF(C3343="","Missing code",IF(LEFT(G3343,3)="Not","Wrong code",IF(D3343="","Missing qty",IF(A3343="","Missing date",""))))))</f>
        <v/>
      </c>
      <c r="I3343" s="84" t="str">
        <f aca="false">IF(B3343=Dashboard!$D$3,ROW(),"")</f>
        <v/>
      </c>
    </row>
    <row r="3344" customFormat="false" ht="15" hidden="false" customHeight="false" outlineLevel="0" collapsed="false">
      <c r="A3344" s="80"/>
      <c r="B3344" s="71"/>
      <c r="C3344" s="71"/>
      <c r="D3344" s="81"/>
      <c r="E3344" s="71"/>
      <c r="F3344" s="71"/>
      <c r="G3344" s="82" t="str">
        <f aca="false">IF(C3344="","",IFERROR(INDEX('Kit Lists'!$D$6:$D$605,MATCH(B3344&amp;"|"&amp;C3344,'Kit Lists'!$J$6:$J$605,0)),"Not on this contract's kit list"))</f>
        <v/>
      </c>
      <c r="H3344" s="83" t="str">
        <f aca="false">IF(AND(B3344="",C3344="",D3344=""),"",IF(B3344="","Missing contract",IF(C3344="","Missing code",IF(LEFT(G3344,3)="Not","Wrong code",IF(D3344="","Missing qty",IF(A3344="","Missing date",""))))))</f>
        <v/>
      </c>
      <c r="I3344" s="84" t="str">
        <f aca="false">IF(B3344=Dashboard!$D$3,ROW(),"")</f>
        <v/>
      </c>
    </row>
    <row r="3345" customFormat="false" ht="15" hidden="false" customHeight="false" outlineLevel="0" collapsed="false">
      <c r="A3345" s="80"/>
      <c r="B3345" s="71"/>
      <c r="C3345" s="71"/>
      <c r="D3345" s="81"/>
      <c r="E3345" s="71"/>
      <c r="F3345" s="71"/>
      <c r="G3345" s="82" t="str">
        <f aca="false">IF(C3345="","",IFERROR(INDEX('Kit Lists'!$D$6:$D$605,MATCH(B3345&amp;"|"&amp;C3345,'Kit Lists'!$J$6:$J$605,0)),"Not on this contract's kit list"))</f>
        <v/>
      </c>
      <c r="H3345" s="83" t="str">
        <f aca="false">IF(AND(B3345="",C3345="",D3345=""),"",IF(B3345="","Missing contract",IF(C3345="","Missing code",IF(LEFT(G3345,3)="Not","Wrong code",IF(D3345="","Missing qty",IF(A3345="","Missing date",""))))))</f>
        <v/>
      </c>
      <c r="I3345" s="84" t="str">
        <f aca="false">IF(B3345=Dashboard!$D$3,ROW(),"")</f>
        <v/>
      </c>
    </row>
    <row r="3346" customFormat="false" ht="15" hidden="false" customHeight="false" outlineLevel="0" collapsed="false">
      <c r="A3346" s="80"/>
      <c r="B3346" s="71"/>
      <c r="C3346" s="71"/>
      <c r="D3346" s="81"/>
      <c r="E3346" s="71"/>
      <c r="F3346" s="71"/>
      <c r="G3346" s="82" t="str">
        <f aca="false">IF(C3346="","",IFERROR(INDEX('Kit Lists'!$D$6:$D$605,MATCH(B3346&amp;"|"&amp;C3346,'Kit Lists'!$J$6:$J$605,0)),"Not on this contract's kit list"))</f>
        <v/>
      </c>
      <c r="H3346" s="83" t="str">
        <f aca="false">IF(AND(B3346="",C3346="",D3346=""),"",IF(B3346="","Missing contract",IF(C3346="","Missing code",IF(LEFT(G3346,3)="Not","Wrong code",IF(D3346="","Missing qty",IF(A3346="","Missing date",""))))))</f>
        <v/>
      </c>
      <c r="I3346" s="84" t="str">
        <f aca="false">IF(B3346=Dashboard!$D$3,ROW(),"")</f>
        <v/>
      </c>
    </row>
    <row r="3347" customFormat="false" ht="15" hidden="false" customHeight="false" outlineLevel="0" collapsed="false">
      <c r="A3347" s="80"/>
      <c r="B3347" s="71"/>
      <c r="C3347" s="71"/>
      <c r="D3347" s="81"/>
      <c r="E3347" s="71"/>
      <c r="F3347" s="71"/>
      <c r="G3347" s="82" t="str">
        <f aca="false">IF(C3347="","",IFERROR(INDEX('Kit Lists'!$D$6:$D$605,MATCH(B3347&amp;"|"&amp;C3347,'Kit Lists'!$J$6:$J$605,0)),"Not on this contract's kit list"))</f>
        <v/>
      </c>
      <c r="H3347" s="83" t="str">
        <f aca="false">IF(AND(B3347="",C3347="",D3347=""),"",IF(B3347="","Missing contract",IF(C3347="","Missing code",IF(LEFT(G3347,3)="Not","Wrong code",IF(D3347="","Missing qty",IF(A3347="","Missing date",""))))))</f>
        <v/>
      </c>
      <c r="I3347" s="84" t="str">
        <f aca="false">IF(B3347=Dashboard!$D$3,ROW(),"")</f>
        <v/>
      </c>
    </row>
    <row r="3348" customFormat="false" ht="15" hidden="false" customHeight="false" outlineLevel="0" collapsed="false">
      <c r="A3348" s="80"/>
      <c r="B3348" s="71"/>
      <c r="C3348" s="71"/>
      <c r="D3348" s="81"/>
      <c r="E3348" s="71"/>
      <c r="F3348" s="71"/>
      <c r="G3348" s="82" t="str">
        <f aca="false">IF(C3348="","",IFERROR(INDEX('Kit Lists'!$D$6:$D$605,MATCH(B3348&amp;"|"&amp;C3348,'Kit Lists'!$J$6:$J$605,0)),"Not on this contract's kit list"))</f>
        <v/>
      </c>
      <c r="H3348" s="83" t="str">
        <f aca="false">IF(AND(B3348="",C3348="",D3348=""),"",IF(B3348="","Missing contract",IF(C3348="","Missing code",IF(LEFT(G3348,3)="Not","Wrong code",IF(D3348="","Missing qty",IF(A3348="","Missing date",""))))))</f>
        <v/>
      </c>
      <c r="I3348" s="84" t="str">
        <f aca="false">IF(B3348=Dashboard!$D$3,ROW(),"")</f>
        <v/>
      </c>
    </row>
    <row r="3349" customFormat="false" ht="15" hidden="false" customHeight="false" outlineLevel="0" collapsed="false">
      <c r="A3349" s="80"/>
      <c r="B3349" s="71"/>
      <c r="C3349" s="71"/>
      <c r="D3349" s="81"/>
      <c r="E3349" s="71"/>
      <c r="F3349" s="71"/>
      <c r="G3349" s="82" t="str">
        <f aca="false">IF(C3349="","",IFERROR(INDEX('Kit Lists'!$D$6:$D$605,MATCH(B3349&amp;"|"&amp;C3349,'Kit Lists'!$J$6:$J$605,0)),"Not on this contract's kit list"))</f>
        <v/>
      </c>
      <c r="H3349" s="83" t="str">
        <f aca="false">IF(AND(B3349="",C3349="",D3349=""),"",IF(B3349="","Missing contract",IF(C3349="","Missing code",IF(LEFT(G3349,3)="Not","Wrong code",IF(D3349="","Missing qty",IF(A3349="","Missing date",""))))))</f>
        <v/>
      </c>
      <c r="I3349" s="84" t="str">
        <f aca="false">IF(B3349=Dashboard!$D$3,ROW(),"")</f>
        <v/>
      </c>
    </row>
    <row r="3350" customFormat="false" ht="15" hidden="false" customHeight="false" outlineLevel="0" collapsed="false">
      <c r="A3350" s="80"/>
      <c r="B3350" s="71"/>
      <c r="C3350" s="71"/>
      <c r="D3350" s="81"/>
      <c r="E3350" s="71"/>
      <c r="F3350" s="71"/>
      <c r="G3350" s="82" t="str">
        <f aca="false">IF(C3350="","",IFERROR(INDEX('Kit Lists'!$D$6:$D$605,MATCH(B3350&amp;"|"&amp;C3350,'Kit Lists'!$J$6:$J$605,0)),"Not on this contract's kit list"))</f>
        <v/>
      </c>
      <c r="H3350" s="83" t="str">
        <f aca="false">IF(AND(B3350="",C3350="",D3350=""),"",IF(B3350="","Missing contract",IF(C3350="","Missing code",IF(LEFT(G3350,3)="Not","Wrong code",IF(D3350="","Missing qty",IF(A3350="","Missing date",""))))))</f>
        <v/>
      </c>
      <c r="I3350" s="84" t="str">
        <f aca="false">IF(B3350=Dashboard!$D$3,ROW(),"")</f>
        <v/>
      </c>
    </row>
    <row r="3351" customFormat="false" ht="15" hidden="false" customHeight="false" outlineLevel="0" collapsed="false">
      <c r="A3351" s="80"/>
      <c r="B3351" s="71"/>
      <c r="C3351" s="71"/>
      <c r="D3351" s="81"/>
      <c r="E3351" s="71"/>
      <c r="F3351" s="71"/>
      <c r="G3351" s="82" t="str">
        <f aca="false">IF(C3351="","",IFERROR(INDEX('Kit Lists'!$D$6:$D$605,MATCH(B3351&amp;"|"&amp;C3351,'Kit Lists'!$J$6:$J$605,0)),"Not on this contract's kit list"))</f>
        <v/>
      </c>
      <c r="H3351" s="83" t="str">
        <f aca="false">IF(AND(B3351="",C3351="",D3351=""),"",IF(B3351="","Missing contract",IF(C3351="","Missing code",IF(LEFT(G3351,3)="Not","Wrong code",IF(D3351="","Missing qty",IF(A3351="","Missing date",""))))))</f>
        <v/>
      </c>
      <c r="I3351" s="84" t="str">
        <f aca="false">IF(B3351=Dashboard!$D$3,ROW(),"")</f>
        <v/>
      </c>
    </row>
    <row r="3352" customFormat="false" ht="15" hidden="false" customHeight="false" outlineLevel="0" collapsed="false">
      <c r="A3352" s="80"/>
      <c r="B3352" s="71"/>
      <c r="C3352" s="71"/>
      <c r="D3352" s="81"/>
      <c r="E3352" s="71"/>
      <c r="F3352" s="71"/>
      <c r="G3352" s="82" t="str">
        <f aca="false">IF(C3352="","",IFERROR(INDEX('Kit Lists'!$D$6:$D$605,MATCH(B3352&amp;"|"&amp;C3352,'Kit Lists'!$J$6:$J$605,0)),"Not on this contract's kit list"))</f>
        <v/>
      </c>
      <c r="H3352" s="83" t="str">
        <f aca="false">IF(AND(B3352="",C3352="",D3352=""),"",IF(B3352="","Missing contract",IF(C3352="","Missing code",IF(LEFT(G3352,3)="Not","Wrong code",IF(D3352="","Missing qty",IF(A3352="","Missing date",""))))))</f>
        <v/>
      </c>
      <c r="I3352" s="84" t="str">
        <f aca="false">IF(B3352=Dashboard!$D$3,ROW(),"")</f>
        <v/>
      </c>
    </row>
    <row r="3353" customFormat="false" ht="15" hidden="false" customHeight="false" outlineLevel="0" collapsed="false">
      <c r="A3353" s="80"/>
      <c r="B3353" s="71"/>
      <c r="C3353" s="71"/>
      <c r="D3353" s="81"/>
      <c r="E3353" s="71"/>
      <c r="F3353" s="71"/>
      <c r="G3353" s="82" t="str">
        <f aca="false">IF(C3353="","",IFERROR(INDEX('Kit Lists'!$D$6:$D$605,MATCH(B3353&amp;"|"&amp;C3353,'Kit Lists'!$J$6:$J$605,0)),"Not on this contract's kit list"))</f>
        <v/>
      </c>
      <c r="H3353" s="83" t="str">
        <f aca="false">IF(AND(B3353="",C3353="",D3353=""),"",IF(B3353="","Missing contract",IF(C3353="","Missing code",IF(LEFT(G3353,3)="Not","Wrong code",IF(D3353="","Missing qty",IF(A3353="","Missing date",""))))))</f>
        <v/>
      </c>
      <c r="I3353" s="84" t="str">
        <f aca="false">IF(B3353=Dashboard!$D$3,ROW(),"")</f>
        <v/>
      </c>
    </row>
    <row r="3354" customFormat="false" ht="15" hidden="false" customHeight="false" outlineLevel="0" collapsed="false">
      <c r="A3354" s="80"/>
      <c r="B3354" s="71"/>
      <c r="C3354" s="71"/>
      <c r="D3354" s="81"/>
      <c r="E3354" s="71"/>
      <c r="F3354" s="71"/>
      <c r="G3354" s="82" t="str">
        <f aca="false">IF(C3354="","",IFERROR(INDEX('Kit Lists'!$D$6:$D$605,MATCH(B3354&amp;"|"&amp;C3354,'Kit Lists'!$J$6:$J$605,0)),"Not on this contract's kit list"))</f>
        <v/>
      </c>
      <c r="H3354" s="83" t="str">
        <f aca="false">IF(AND(B3354="",C3354="",D3354=""),"",IF(B3354="","Missing contract",IF(C3354="","Missing code",IF(LEFT(G3354,3)="Not","Wrong code",IF(D3354="","Missing qty",IF(A3354="","Missing date",""))))))</f>
        <v/>
      </c>
      <c r="I3354" s="84" t="str">
        <f aca="false">IF(B3354=Dashboard!$D$3,ROW(),"")</f>
        <v/>
      </c>
    </row>
    <row r="3355" customFormat="false" ht="15" hidden="false" customHeight="false" outlineLevel="0" collapsed="false">
      <c r="A3355" s="80"/>
      <c r="B3355" s="71"/>
      <c r="C3355" s="71"/>
      <c r="D3355" s="81"/>
      <c r="E3355" s="71"/>
      <c r="F3355" s="71"/>
      <c r="G3355" s="82" t="str">
        <f aca="false">IF(C3355="","",IFERROR(INDEX('Kit Lists'!$D$6:$D$605,MATCH(B3355&amp;"|"&amp;C3355,'Kit Lists'!$J$6:$J$605,0)),"Not on this contract's kit list"))</f>
        <v/>
      </c>
      <c r="H3355" s="83" t="str">
        <f aca="false">IF(AND(B3355="",C3355="",D3355=""),"",IF(B3355="","Missing contract",IF(C3355="","Missing code",IF(LEFT(G3355,3)="Not","Wrong code",IF(D3355="","Missing qty",IF(A3355="","Missing date",""))))))</f>
        <v/>
      </c>
      <c r="I3355" s="84" t="str">
        <f aca="false">IF(B3355=Dashboard!$D$3,ROW(),"")</f>
        <v/>
      </c>
    </row>
    <row r="3356" customFormat="false" ht="15" hidden="false" customHeight="false" outlineLevel="0" collapsed="false">
      <c r="A3356" s="80"/>
      <c r="B3356" s="71"/>
      <c r="C3356" s="71"/>
      <c r="D3356" s="81"/>
      <c r="E3356" s="71"/>
      <c r="F3356" s="71"/>
      <c r="G3356" s="82" t="str">
        <f aca="false">IF(C3356="","",IFERROR(INDEX('Kit Lists'!$D$6:$D$605,MATCH(B3356&amp;"|"&amp;C3356,'Kit Lists'!$J$6:$J$605,0)),"Not on this contract's kit list"))</f>
        <v/>
      </c>
      <c r="H3356" s="83" t="str">
        <f aca="false">IF(AND(B3356="",C3356="",D3356=""),"",IF(B3356="","Missing contract",IF(C3356="","Missing code",IF(LEFT(G3356,3)="Not","Wrong code",IF(D3356="","Missing qty",IF(A3356="","Missing date",""))))))</f>
        <v/>
      </c>
      <c r="I3356" s="84" t="str">
        <f aca="false">IF(B3356=Dashboard!$D$3,ROW(),"")</f>
        <v/>
      </c>
    </row>
    <row r="3357" customFormat="false" ht="15" hidden="false" customHeight="false" outlineLevel="0" collapsed="false">
      <c r="A3357" s="80"/>
      <c r="B3357" s="71"/>
      <c r="C3357" s="71"/>
      <c r="D3357" s="81"/>
      <c r="E3357" s="71"/>
      <c r="F3357" s="71"/>
      <c r="G3357" s="82" t="str">
        <f aca="false">IF(C3357="","",IFERROR(INDEX('Kit Lists'!$D$6:$D$605,MATCH(B3357&amp;"|"&amp;C3357,'Kit Lists'!$J$6:$J$605,0)),"Not on this contract's kit list"))</f>
        <v/>
      </c>
      <c r="H3357" s="83" t="str">
        <f aca="false">IF(AND(B3357="",C3357="",D3357=""),"",IF(B3357="","Missing contract",IF(C3357="","Missing code",IF(LEFT(G3357,3)="Not","Wrong code",IF(D3357="","Missing qty",IF(A3357="","Missing date",""))))))</f>
        <v/>
      </c>
      <c r="I3357" s="84" t="str">
        <f aca="false">IF(B3357=Dashboard!$D$3,ROW(),"")</f>
        <v/>
      </c>
    </row>
    <row r="3358" customFormat="false" ht="15" hidden="false" customHeight="false" outlineLevel="0" collapsed="false">
      <c r="A3358" s="80"/>
      <c r="B3358" s="71"/>
      <c r="C3358" s="71"/>
      <c r="D3358" s="81"/>
      <c r="E3358" s="71"/>
      <c r="F3358" s="71"/>
      <c r="G3358" s="82" t="str">
        <f aca="false">IF(C3358="","",IFERROR(INDEX('Kit Lists'!$D$6:$D$605,MATCH(B3358&amp;"|"&amp;C3358,'Kit Lists'!$J$6:$J$605,0)),"Not on this contract's kit list"))</f>
        <v/>
      </c>
      <c r="H3358" s="83" t="str">
        <f aca="false">IF(AND(B3358="",C3358="",D3358=""),"",IF(B3358="","Missing contract",IF(C3358="","Missing code",IF(LEFT(G3358,3)="Not","Wrong code",IF(D3358="","Missing qty",IF(A3358="","Missing date",""))))))</f>
        <v/>
      </c>
      <c r="I3358" s="84" t="str">
        <f aca="false">IF(B3358=Dashboard!$D$3,ROW(),"")</f>
        <v/>
      </c>
    </row>
    <row r="3359" customFormat="false" ht="15" hidden="false" customHeight="false" outlineLevel="0" collapsed="false">
      <c r="A3359" s="80"/>
      <c r="B3359" s="71"/>
      <c r="C3359" s="71"/>
      <c r="D3359" s="81"/>
      <c r="E3359" s="71"/>
      <c r="F3359" s="71"/>
      <c r="G3359" s="82" t="str">
        <f aca="false">IF(C3359="","",IFERROR(INDEX('Kit Lists'!$D$6:$D$605,MATCH(B3359&amp;"|"&amp;C3359,'Kit Lists'!$J$6:$J$605,0)),"Not on this contract's kit list"))</f>
        <v/>
      </c>
      <c r="H3359" s="83" t="str">
        <f aca="false">IF(AND(B3359="",C3359="",D3359=""),"",IF(B3359="","Missing contract",IF(C3359="","Missing code",IF(LEFT(G3359,3)="Not","Wrong code",IF(D3359="","Missing qty",IF(A3359="","Missing date",""))))))</f>
        <v/>
      </c>
      <c r="I3359" s="84" t="str">
        <f aca="false">IF(B3359=Dashboard!$D$3,ROW(),"")</f>
        <v/>
      </c>
    </row>
    <row r="3360" customFormat="false" ht="15" hidden="false" customHeight="false" outlineLevel="0" collapsed="false">
      <c r="A3360" s="80"/>
      <c r="B3360" s="71"/>
      <c r="C3360" s="71"/>
      <c r="D3360" s="81"/>
      <c r="E3360" s="71"/>
      <c r="F3360" s="71"/>
      <c r="G3360" s="82" t="str">
        <f aca="false">IF(C3360="","",IFERROR(INDEX('Kit Lists'!$D$6:$D$605,MATCH(B3360&amp;"|"&amp;C3360,'Kit Lists'!$J$6:$J$605,0)),"Not on this contract's kit list"))</f>
        <v/>
      </c>
      <c r="H3360" s="83" t="str">
        <f aca="false">IF(AND(B3360="",C3360="",D3360=""),"",IF(B3360="","Missing contract",IF(C3360="","Missing code",IF(LEFT(G3360,3)="Not","Wrong code",IF(D3360="","Missing qty",IF(A3360="","Missing date",""))))))</f>
        <v/>
      </c>
      <c r="I3360" s="84" t="str">
        <f aca="false">IF(B3360=Dashboard!$D$3,ROW(),"")</f>
        <v/>
      </c>
    </row>
    <row r="3361" customFormat="false" ht="15" hidden="false" customHeight="false" outlineLevel="0" collapsed="false">
      <c r="A3361" s="80"/>
      <c r="B3361" s="71"/>
      <c r="C3361" s="71"/>
      <c r="D3361" s="81"/>
      <c r="E3361" s="71"/>
      <c r="F3361" s="71"/>
      <c r="G3361" s="82" t="str">
        <f aca="false">IF(C3361="","",IFERROR(INDEX('Kit Lists'!$D$6:$D$605,MATCH(B3361&amp;"|"&amp;C3361,'Kit Lists'!$J$6:$J$605,0)),"Not on this contract's kit list"))</f>
        <v/>
      </c>
      <c r="H3361" s="83" t="str">
        <f aca="false">IF(AND(B3361="",C3361="",D3361=""),"",IF(B3361="","Missing contract",IF(C3361="","Missing code",IF(LEFT(G3361,3)="Not","Wrong code",IF(D3361="","Missing qty",IF(A3361="","Missing date",""))))))</f>
        <v/>
      </c>
      <c r="I3361" s="84" t="str">
        <f aca="false">IF(B3361=Dashboard!$D$3,ROW(),"")</f>
        <v/>
      </c>
    </row>
    <row r="3362" customFormat="false" ht="15" hidden="false" customHeight="false" outlineLevel="0" collapsed="false">
      <c r="A3362" s="80"/>
      <c r="B3362" s="71"/>
      <c r="C3362" s="71"/>
      <c r="D3362" s="81"/>
      <c r="E3362" s="71"/>
      <c r="F3362" s="71"/>
      <c r="G3362" s="82" t="str">
        <f aca="false">IF(C3362="","",IFERROR(INDEX('Kit Lists'!$D$6:$D$605,MATCH(B3362&amp;"|"&amp;C3362,'Kit Lists'!$J$6:$J$605,0)),"Not on this contract's kit list"))</f>
        <v/>
      </c>
      <c r="H3362" s="83" t="str">
        <f aca="false">IF(AND(B3362="",C3362="",D3362=""),"",IF(B3362="","Missing contract",IF(C3362="","Missing code",IF(LEFT(G3362,3)="Not","Wrong code",IF(D3362="","Missing qty",IF(A3362="","Missing date",""))))))</f>
        <v/>
      </c>
      <c r="I3362" s="84" t="str">
        <f aca="false">IF(B3362=Dashboard!$D$3,ROW(),"")</f>
        <v/>
      </c>
    </row>
    <row r="3363" customFormat="false" ht="15" hidden="false" customHeight="false" outlineLevel="0" collapsed="false">
      <c r="A3363" s="80"/>
      <c r="B3363" s="71"/>
      <c r="C3363" s="71"/>
      <c r="D3363" s="81"/>
      <c r="E3363" s="71"/>
      <c r="F3363" s="71"/>
      <c r="G3363" s="82" t="str">
        <f aca="false">IF(C3363="","",IFERROR(INDEX('Kit Lists'!$D$6:$D$605,MATCH(B3363&amp;"|"&amp;C3363,'Kit Lists'!$J$6:$J$605,0)),"Not on this contract's kit list"))</f>
        <v/>
      </c>
      <c r="H3363" s="83" t="str">
        <f aca="false">IF(AND(B3363="",C3363="",D3363=""),"",IF(B3363="","Missing contract",IF(C3363="","Missing code",IF(LEFT(G3363,3)="Not","Wrong code",IF(D3363="","Missing qty",IF(A3363="","Missing date",""))))))</f>
        <v/>
      </c>
      <c r="I3363" s="84" t="str">
        <f aca="false">IF(B3363=Dashboard!$D$3,ROW(),"")</f>
        <v/>
      </c>
    </row>
    <row r="3364" customFormat="false" ht="15" hidden="false" customHeight="false" outlineLevel="0" collapsed="false">
      <c r="A3364" s="80"/>
      <c r="B3364" s="71"/>
      <c r="C3364" s="71"/>
      <c r="D3364" s="81"/>
      <c r="E3364" s="71"/>
      <c r="F3364" s="71"/>
      <c r="G3364" s="82" t="str">
        <f aca="false">IF(C3364="","",IFERROR(INDEX('Kit Lists'!$D$6:$D$605,MATCH(B3364&amp;"|"&amp;C3364,'Kit Lists'!$J$6:$J$605,0)),"Not on this contract's kit list"))</f>
        <v/>
      </c>
      <c r="H3364" s="83" t="str">
        <f aca="false">IF(AND(B3364="",C3364="",D3364=""),"",IF(B3364="","Missing contract",IF(C3364="","Missing code",IF(LEFT(G3364,3)="Not","Wrong code",IF(D3364="","Missing qty",IF(A3364="","Missing date",""))))))</f>
        <v/>
      </c>
      <c r="I3364" s="84" t="str">
        <f aca="false">IF(B3364=Dashboard!$D$3,ROW(),"")</f>
        <v/>
      </c>
    </row>
    <row r="3365" customFormat="false" ht="15" hidden="false" customHeight="false" outlineLevel="0" collapsed="false">
      <c r="A3365" s="80"/>
      <c r="B3365" s="71"/>
      <c r="C3365" s="71"/>
      <c r="D3365" s="81"/>
      <c r="E3365" s="71"/>
      <c r="F3365" s="71"/>
      <c r="G3365" s="82" t="str">
        <f aca="false">IF(C3365="","",IFERROR(INDEX('Kit Lists'!$D$6:$D$605,MATCH(B3365&amp;"|"&amp;C3365,'Kit Lists'!$J$6:$J$605,0)),"Not on this contract's kit list"))</f>
        <v/>
      </c>
      <c r="H3365" s="83" t="str">
        <f aca="false">IF(AND(B3365="",C3365="",D3365=""),"",IF(B3365="","Missing contract",IF(C3365="","Missing code",IF(LEFT(G3365,3)="Not","Wrong code",IF(D3365="","Missing qty",IF(A3365="","Missing date",""))))))</f>
        <v/>
      </c>
      <c r="I3365" s="84" t="str">
        <f aca="false">IF(B3365=Dashboard!$D$3,ROW(),"")</f>
        <v/>
      </c>
    </row>
    <row r="3366" customFormat="false" ht="15" hidden="false" customHeight="false" outlineLevel="0" collapsed="false">
      <c r="A3366" s="80"/>
      <c r="B3366" s="71"/>
      <c r="C3366" s="71"/>
      <c r="D3366" s="81"/>
      <c r="E3366" s="71"/>
      <c r="F3366" s="71"/>
      <c r="G3366" s="82" t="str">
        <f aca="false">IF(C3366="","",IFERROR(INDEX('Kit Lists'!$D$6:$D$605,MATCH(B3366&amp;"|"&amp;C3366,'Kit Lists'!$J$6:$J$605,0)),"Not on this contract's kit list"))</f>
        <v/>
      </c>
      <c r="H3366" s="83" t="str">
        <f aca="false">IF(AND(B3366="",C3366="",D3366=""),"",IF(B3366="","Missing contract",IF(C3366="","Missing code",IF(LEFT(G3366,3)="Not","Wrong code",IF(D3366="","Missing qty",IF(A3366="","Missing date",""))))))</f>
        <v/>
      </c>
      <c r="I3366" s="84" t="str">
        <f aca="false">IF(B3366=Dashboard!$D$3,ROW(),"")</f>
        <v/>
      </c>
    </row>
    <row r="3367" customFormat="false" ht="15" hidden="false" customHeight="false" outlineLevel="0" collapsed="false">
      <c r="A3367" s="80"/>
      <c r="B3367" s="71"/>
      <c r="C3367" s="71"/>
      <c r="D3367" s="81"/>
      <c r="E3367" s="71"/>
      <c r="F3367" s="71"/>
      <c r="G3367" s="82" t="str">
        <f aca="false">IF(C3367="","",IFERROR(INDEX('Kit Lists'!$D$6:$D$605,MATCH(B3367&amp;"|"&amp;C3367,'Kit Lists'!$J$6:$J$605,0)),"Not on this contract's kit list"))</f>
        <v/>
      </c>
      <c r="H3367" s="83" t="str">
        <f aca="false">IF(AND(B3367="",C3367="",D3367=""),"",IF(B3367="","Missing contract",IF(C3367="","Missing code",IF(LEFT(G3367,3)="Not","Wrong code",IF(D3367="","Missing qty",IF(A3367="","Missing date",""))))))</f>
        <v/>
      </c>
      <c r="I3367" s="84" t="str">
        <f aca="false">IF(B3367=Dashboard!$D$3,ROW(),"")</f>
        <v/>
      </c>
    </row>
    <row r="3368" customFormat="false" ht="15" hidden="false" customHeight="false" outlineLevel="0" collapsed="false">
      <c r="A3368" s="80"/>
      <c r="B3368" s="71"/>
      <c r="C3368" s="71"/>
      <c r="D3368" s="81"/>
      <c r="E3368" s="71"/>
      <c r="F3368" s="71"/>
      <c r="G3368" s="82" t="str">
        <f aca="false">IF(C3368="","",IFERROR(INDEX('Kit Lists'!$D$6:$D$605,MATCH(B3368&amp;"|"&amp;C3368,'Kit Lists'!$J$6:$J$605,0)),"Not on this contract's kit list"))</f>
        <v/>
      </c>
      <c r="H3368" s="83" t="str">
        <f aca="false">IF(AND(B3368="",C3368="",D3368=""),"",IF(B3368="","Missing contract",IF(C3368="","Missing code",IF(LEFT(G3368,3)="Not","Wrong code",IF(D3368="","Missing qty",IF(A3368="","Missing date",""))))))</f>
        <v/>
      </c>
      <c r="I3368" s="84" t="str">
        <f aca="false">IF(B3368=Dashboard!$D$3,ROW(),"")</f>
        <v/>
      </c>
    </row>
    <row r="3369" customFormat="false" ht="15" hidden="false" customHeight="false" outlineLevel="0" collapsed="false">
      <c r="A3369" s="80"/>
      <c r="B3369" s="71"/>
      <c r="C3369" s="71"/>
      <c r="D3369" s="81"/>
      <c r="E3369" s="71"/>
      <c r="F3369" s="71"/>
      <c r="G3369" s="82" t="str">
        <f aca="false">IF(C3369="","",IFERROR(INDEX('Kit Lists'!$D$6:$D$605,MATCH(B3369&amp;"|"&amp;C3369,'Kit Lists'!$J$6:$J$605,0)),"Not on this contract's kit list"))</f>
        <v/>
      </c>
      <c r="H3369" s="83" t="str">
        <f aca="false">IF(AND(B3369="",C3369="",D3369=""),"",IF(B3369="","Missing contract",IF(C3369="","Missing code",IF(LEFT(G3369,3)="Not","Wrong code",IF(D3369="","Missing qty",IF(A3369="","Missing date",""))))))</f>
        <v/>
      </c>
      <c r="I3369" s="84" t="str">
        <f aca="false">IF(B3369=Dashboard!$D$3,ROW(),"")</f>
        <v/>
      </c>
    </row>
    <row r="3370" customFormat="false" ht="15" hidden="false" customHeight="false" outlineLevel="0" collapsed="false">
      <c r="A3370" s="80"/>
      <c r="B3370" s="71"/>
      <c r="C3370" s="71"/>
      <c r="D3370" s="81"/>
      <c r="E3370" s="71"/>
      <c r="F3370" s="71"/>
      <c r="G3370" s="82" t="str">
        <f aca="false">IF(C3370="","",IFERROR(INDEX('Kit Lists'!$D$6:$D$605,MATCH(B3370&amp;"|"&amp;C3370,'Kit Lists'!$J$6:$J$605,0)),"Not on this contract's kit list"))</f>
        <v/>
      </c>
      <c r="H3370" s="83" t="str">
        <f aca="false">IF(AND(B3370="",C3370="",D3370=""),"",IF(B3370="","Missing contract",IF(C3370="","Missing code",IF(LEFT(G3370,3)="Not","Wrong code",IF(D3370="","Missing qty",IF(A3370="","Missing date",""))))))</f>
        <v/>
      </c>
      <c r="I3370" s="84" t="str">
        <f aca="false">IF(B3370=Dashboard!$D$3,ROW(),"")</f>
        <v/>
      </c>
    </row>
    <row r="3371" customFormat="false" ht="15" hidden="false" customHeight="false" outlineLevel="0" collapsed="false">
      <c r="A3371" s="80"/>
      <c r="B3371" s="71"/>
      <c r="C3371" s="71"/>
      <c r="D3371" s="81"/>
      <c r="E3371" s="71"/>
      <c r="F3371" s="71"/>
      <c r="G3371" s="82" t="str">
        <f aca="false">IF(C3371="","",IFERROR(INDEX('Kit Lists'!$D$6:$D$605,MATCH(B3371&amp;"|"&amp;C3371,'Kit Lists'!$J$6:$J$605,0)),"Not on this contract's kit list"))</f>
        <v/>
      </c>
      <c r="H3371" s="83" t="str">
        <f aca="false">IF(AND(B3371="",C3371="",D3371=""),"",IF(B3371="","Missing contract",IF(C3371="","Missing code",IF(LEFT(G3371,3)="Not","Wrong code",IF(D3371="","Missing qty",IF(A3371="","Missing date",""))))))</f>
        <v/>
      </c>
      <c r="I3371" s="84" t="str">
        <f aca="false">IF(B3371=Dashboard!$D$3,ROW(),"")</f>
        <v/>
      </c>
    </row>
    <row r="3372" customFormat="false" ht="15" hidden="false" customHeight="false" outlineLevel="0" collapsed="false">
      <c r="A3372" s="80"/>
      <c r="B3372" s="71"/>
      <c r="C3372" s="71"/>
      <c r="D3372" s="81"/>
      <c r="E3372" s="71"/>
      <c r="F3372" s="71"/>
      <c r="G3372" s="82" t="str">
        <f aca="false">IF(C3372="","",IFERROR(INDEX('Kit Lists'!$D$6:$D$605,MATCH(B3372&amp;"|"&amp;C3372,'Kit Lists'!$J$6:$J$605,0)),"Not on this contract's kit list"))</f>
        <v/>
      </c>
      <c r="H3372" s="83" t="str">
        <f aca="false">IF(AND(B3372="",C3372="",D3372=""),"",IF(B3372="","Missing contract",IF(C3372="","Missing code",IF(LEFT(G3372,3)="Not","Wrong code",IF(D3372="","Missing qty",IF(A3372="","Missing date",""))))))</f>
        <v/>
      </c>
      <c r="I3372" s="84" t="str">
        <f aca="false">IF(B3372=Dashboard!$D$3,ROW(),"")</f>
        <v/>
      </c>
    </row>
    <row r="3373" customFormat="false" ht="15" hidden="false" customHeight="false" outlineLevel="0" collapsed="false">
      <c r="A3373" s="80"/>
      <c r="B3373" s="71"/>
      <c r="C3373" s="71"/>
      <c r="D3373" s="81"/>
      <c r="E3373" s="71"/>
      <c r="F3373" s="71"/>
      <c r="G3373" s="82" t="str">
        <f aca="false">IF(C3373="","",IFERROR(INDEX('Kit Lists'!$D$6:$D$605,MATCH(B3373&amp;"|"&amp;C3373,'Kit Lists'!$J$6:$J$605,0)),"Not on this contract's kit list"))</f>
        <v/>
      </c>
      <c r="H3373" s="83" t="str">
        <f aca="false">IF(AND(B3373="",C3373="",D3373=""),"",IF(B3373="","Missing contract",IF(C3373="","Missing code",IF(LEFT(G3373,3)="Not","Wrong code",IF(D3373="","Missing qty",IF(A3373="","Missing date",""))))))</f>
        <v/>
      </c>
      <c r="I3373" s="84" t="str">
        <f aca="false">IF(B3373=Dashboard!$D$3,ROW(),"")</f>
        <v/>
      </c>
    </row>
    <row r="3374" customFormat="false" ht="15" hidden="false" customHeight="false" outlineLevel="0" collapsed="false">
      <c r="A3374" s="80"/>
      <c r="B3374" s="71"/>
      <c r="C3374" s="71"/>
      <c r="D3374" s="81"/>
      <c r="E3374" s="71"/>
      <c r="F3374" s="71"/>
      <c r="G3374" s="82" t="str">
        <f aca="false">IF(C3374="","",IFERROR(INDEX('Kit Lists'!$D$6:$D$605,MATCH(B3374&amp;"|"&amp;C3374,'Kit Lists'!$J$6:$J$605,0)),"Not on this contract's kit list"))</f>
        <v/>
      </c>
      <c r="H3374" s="83" t="str">
        <f aca="false">IF(AND(B3374="",C3374="",D3374=""),"",IF(B3374="","Missing contract",IF(C3374="","Missing code",IF(LEFT(G3374,3)="Not","Wrong code",IF(D3374="","Missing qty",IF(A3374="","Missing date",""))))))</f>
        <v/>
      </c>
      <c r="I3374" s="84" t="str">
        <f aca="false">IF(B3374=Dashboard!$D$3,ROW(),"")</f>
        <v/>
      </c>
    </row>
    <row r="3375" customFormat="false" ht="15" hidden="false" customHeight="false" outlineLevel="0" collapsed="false">
      <c r="A3375" s="80"/>
      <c r="B3375" s="71"/>
      <c r="C3375" s="71"/>
      <c r="D3375" s="81"/>
      <c r="E3375" s="71"/>
      <c r="F3375" s="71"/>
      <c r="G3375" s="82" t="str">
        <f aca="false">IF(C3375="","",IFERROR(INDEX('Kit Lists'!$D$6:$D$605,MATCH(B3375&amp;"|"&amp;C3375,'Kit Lists'!$J$6:$J$605,0)),"Not on this contract's kit list"))</f>
        <v/>
      </c>
      <c r="H3375" s="83" t="str">
        <f aca="false">IF(AND(B3375="",C3375="",D3375=""),"",IF(B3375="","Missing contract",IF(C3375="","Missing code",IF(LEFT(G3375,3)="Not","Wrong code",IF(D3375="","Missing qty",IF(A3375="","Missing date",""))))))</f>
        <v/>
      </c>
      <c r="I3375" s="84" t="str">
        <f aca="false">IF(B3375=Dashboard!$D$3,ROW(),"")</f>
        <v/>
      </c>
    </row>
    <row r="3376" customFormat="false" ht="15" hidden="false" customHeight="false" outlineLevel="0" collapsed="false">
      <c r="A3376" s="80"/>
      <c r="B3376" s="71"/>
      <c r="C3376" s="71"/>
      <c r="D3376" s="81"/>
      <c r="E3376" s="71"/>
      <c r="F3376" s="71"/>
      <c r="G3376" s="82" t="str">
        <f aca="false">IF(C3376="","",IFERROR(INDEX('Kit Lists'!$D$6:$D$605,MATCH(B3376&amp;"|"&amp;C3376,'Kit Lists'!$J$6:$J$605,0)),"Not on this contract's kit list"))</f>
        <v/>
      </c>
      <c r="H3376" s="83" t="str">
        <f aca="false">IF(AND(B3376="",C3376="",D3376=""),"",IF(B3376="","Missing contract",IF(C3376="","Missing code",IF(LEFT(G3376,3)="Not","Wrong code",IF(D3376="","Missing qty",IF(A3376="","Missing date",""))))))</f>
        <v/>
      </c>
      <c r="I3376" s="84" t="str">
        <f aca="false">IF(B3376=Dashboard!$D$3,ROW(),"")</f>
        <v/>
      </c>
    </row>
    <row r="3377" customFormat="false" ht="15" hidden="false" customHeight="false" outlineLevel="0" collapsed="false">
      <c r="A3377" s="80"/>
      <c r="B3377" s="71"/>
      <c r="C3377" s="71"/>
      <c r="D3377" s="81"/>
      <c r="E3377" s="71"/>
      <c r="F3377" s="71"/>
      <c r="G3377" s="82" t="str">
        <f aca="false">IF(C3377="","",IFERROR(INDEX('Kit Lists'!$D$6:$D$605,MATCH(B3377&amp;"|"&amp;C3377,'Kit Lists'!$J$6:$J$605,0)),"Not on this contract's kit list"))</f>
        <v/>
      </c>
      <c r="H3377" s="83" t="str">
        <f aca="false">IF(AND(B3377="",C3377="",D3377=""),"",IF(B3377="","Missing contract",IF(C3377="","Missing code",IF(LEFT(G3377,3)="Not","Wrong code",IF(D3377="","Missing qty",IF(A3377="","Missing date",""))))))</f>
        <v/>
      </c>
      <c r="I3377" s="84" t="str">
        <f aca="false">IF(B3377=Dashboard!$D$3,ROW(),"")</f>
        <v/>
      </c>
    </row>
    <row r="3378" customFormat="false" ht="15" hidden="false" customHeight="false" outlineLevel="0" collapsed="false">
      <c r="A3378" s="80"/>
      <c r="B3378" s="71"/>
      <c r="C3378" s="71"/>
      <c r="D3378" s="81"/>
      <c r="E3378" s="71"/>
      <c r="F3378" s="71"/>
      <c r="G3378" s="82" t="str">
        <f aca="false">IF(C3378="","",IFERROR(INDEX('Kit Lists'!$D$6:$D$605,MATCH(B3378&amp;"|"&amp;C3378,'Kit Lists'!$J$6:$J$605,0)),"Not on this contract's kit list"))</f>
        <v/>
      </c>
      <c r="H3378" s="83" t="str">
        <f aca="false">IF(AND(B3378="",C3378="",D3378=""),"",IF(B3378="","Missing contract",IF(C3378="","Missing code",IF(LEFT(G3378,3)="Not","Wrong code",IF(D3378="","Missing qty",IF(A3378="","Missing date",""))))))</f>
        <v/>
      </c>
      <c r="I3378" s="84" t="str">
        <f aca="false">IF(B3378=Dashboard!$D$3,ROW(),"")</f>
        <v/>
      </c>
    </row>
    <row r="3379" customFormat="false" ht="15" hidden="false" customHeight="false" outlineLevel="0" collapsed="false">
      <c r="A3379" s="80"/>
      <c r="B3379" s="71"/>
      <c r="C3379" s="71"/>
      <c r="D3379" s="81"/>
      <c r="E3379" s="71"/>
      <c r="F3379" s="71"/>
      <c r="G3379" s="82" t="str">
        <f aca="false">IF(C3379="","",IFERROR(INDEX('Kit Lists'!$D$6:$D$605,MATCH(B3379&amp;"|"&amp;C3379,'Kit Lists'!$J$6:$J$605,0)),"Not on this contract's kit list"))</f>
        <v/>
      </c>
      <c r="H3379" s="83" t="str">
        <f aca="false">IF(AND(B3379="",C3379="",D3379=""),"",IF(B3379="","Missing contract",IF(C3379="","Missing code",IF(LEFT(G3379,3)="Not","Wrong code",IF(D3379="","Missing qty",IF(A3379="","Missing date",""))))))</f>
        <v/>
      </c>
      <c r="I3379" s="84" t="str">
        <f aca="false">IF(B3379=Dashboard!$D$3,ROW(),"")</f>
        <v/>
      </c>
    </row>
    <row r="3380" customFormat="false" ht="15" hidden="false" customHeight="false" outlineLevel="0" collapsed="false">
      <c r="A3380" s="80"/>
      <c r="B3380" s="71"/>
      <c r="C3380" s="71"/>
      <c r="D3380" s="81"/>
      <c r="E3380" s="71"/>
      <c r="F3380" s="71"/>
      <c r="G3380" s="82" t="str">
        <f aca="false">IF(C3380="","",IFERROR(INDEX('Kit Lists'!$D$6:$D$605,MATCH(B3380&amp;"|"&amp;C3380,'Kit Lists'!$J$6:$J$605,0)),"Not on this contract's kit list"))</f>
        <v/>
      </c>
      <c r="H3380" s="83" t="str">
        <f aca="false">IF(AND(B3380="",C3380="",D3380=""),"",IF(B3380="","Missing contract",IF(C3380="","Missing code",IF(LEFT(G3380,3)="Not","Wrong code",IF(D3380="","Missing qty",IF(A3380="","Missing date",""))))))</f>
        <v/>
      </c>
      <c r="I3380" s="84" t="str">
        <f aca="false">IF(B3380=Dashboard!$D$3,ROW(),"")</f>
        <v/>
      </c>
    </row>
    <row r="3381" customFormat="false" ht="15" hidden="false" customHeight="false" outlineLevel="0" collapsed="false">
      <c r="A3381" s="80"/>
      <c r="B3381" s="71"/>
      <c r="C3381" s="71"/>
      <c r="D3381" s="81"/>
      <c r="E3381" s="71"/>
      <c r="F3381" s="71"/>
      <c r="G3381" s="82" t="str">
        <f aca="false">IF(C3381="","",IFERROR(INDEX('Kit Lists'!$D$6:$D$605,MATCH(B3381&amp;"|"&amp;C3381,'Kit Lists'!$J$6:$J$605,0)),"Not on this contract's kit list"))</f>
        <v/>
      </c>
      <c r="H3381" s="83" t="str">
        <f aca="false">IF(AND(B3381="",C3381="",D3381=""),"",IF(B3381="","Missing contract",IF(C3381="","Missing code",IF(LEFT(G3381,3)="Not","Wrong code",IF(D3381="","Missing qty",IF(A3381="","Missing date",""))))))</f>
        <v/>
      </c>
      <c r="I3381" s="84" t="str">
        <f aca="false">IF(B3381=Dashboard!$D$3,ROW(),"")</f>
        <v/>
      </c>
    </row>
    <row r="3382" customFormat="false" ht="15" hidden="false" customHeight="false" outlineLevel="0" collapsed="false">
      <c r="A3382" s="80"/>
      <c r="B3382" s="71"/>
      <c r="C3382" s="71"/>
      <c r="D3382" s="81"/>
      <c r="E3382" s="71"/>
      <c r="F3382" s="71"/>
      <c r="G3382" s="82" t="str">
        <f aca="false">IF(C3382="","",IFERROR(INDEX('Kit Lists'!$D$6:$D$605,MATCH(B3382&amp;"|"&amp;C3382,'Kit Lists'!$J$6:$J$605,0)),"Not on this contract's kit list"))</f>
        <v/>
      </c>
      <c r="H3382" s="83" t="str">
        <f aca="false">IF(AND(B3382="",C3382="",D3382=""),"",IF(B3382="","Missing contract",IF(C3382="","Missing code",IF(LEFT(G3382,3)="Not","Wrong code",IF(D3382="","Missing qty",IF(A3382="","Missing date",""))))))</f>
        <v/>
      </c>
      <c r="I3382" s="84" t="str">
        <f aca="false">IF(B3382=Dashboard!$D$3,ROW(),"")</f>
        <v/>
      </c>
    </row>
    <row r="3383" customFormat="false" ht="15" hidden="false" customHeight="false" outlineLevel="0" collapsed="false">
      <c r="A3383" s="80"/>
      <c r="B3383" s="71"/>
      <c r="C3383" s="71"/>
      <c r="D3383" s="81"/>
      <c r="E3383" s="71"/>
      <c r="F3383" s="71"/>
      <c r="G3383" s="82" t="str">
        <f aca="false">IF(C3383="","",IFERROR(INDEX('Kit Lists'!$D$6:$D$605,MATCH(B3383&amp;"|"&amp;C3383,'Kit Lists'!$J$6:$J$605,0)),"Not on this contract's kit list"))</f>
        <v/>
      </c>
      <c r="H3383" s="83" t="str">
        <f aca="false">IF(AND(B3383="",C3383="",D3383=""),"",IF(B3383="","Missing contract",IF(C3383="","Missing code",IF(LEFT(G3383,3)="Not","Wrong code",IF(D3383="","Missing qty",IF(A3383="","Missing date",""))))))</f>
        <v/>
      </c>
      <c r="I3383" s="84" t="str">
        <f aca="false">IF(B3383=Dashboard!$D$3,ROW(),"")</f>
        <v/>
      </c>
    </row>
    <row r="3384" customFormat="false" ht="15" hidden="false" customHeight="false" outlineLevel="0" collapsed="false">
      <c r="A3384" s="80"/>
      <c r="B3384" s="71"/>
      <c r="C3384" s="71"/>
      <c r="D3384" s="81"/>
      <c r="E3384" s="71"/>
      <c r="F3384" s="71"/>
      <c r="G3384" s="82" t="str">
        <f aca="false">IF(C3384="","",IFERROR(INDEX('Kit Lists'!$D$6:$D$605,MATCH(B3384&amp;"|"&amp;C3384,'Kit Lists'!$J$6:$J$605,0)),"Not on this contract's kit list"))</f>
        <v/>
      </c>
      <c r="H3384" s="83" t="str">
        <f aca="false">IF(AND(B3384="",C3384="",D3384=""),"",IF(B3384="","Missing contract",IF(C3384="","Missing code",IF(LEFT(G3384,3)="Not","Wrong code",IF(D3384="","Missing qty",IF(A3384="","Missing date",""))))))</f>
        <v/>
      </c>
      <c r="I3384" s="84" t="str">
        <f aca="false">IF(B3384=Dashboard!$D$3,ROW(),"")</f>
        <v/>
      </c>
    </row>
    <row r="3385" customFormat="false" ht="15" hidden="false" customHeight="false" outlineLevel="0" collapsed="false">
      <c r="A3385" s="80"/>
      <c r="B3385" s="71"/>
      <c r="C3385" s="71"/>
      <c r="D3385" s="81"/>
      <c r="E3385" s="71"/>
      <c r="F3385" s="71"/>
      <c r="G3385" s="82" t="str">
        <f aca="false">IF(C3385="","",IFERROR(INDEX('Kit Lists'!$D$6:$D$605,MATCH(B3385&amp;"|"&amp;C3385,'Kit Lists'!$J$6:$J$605,0)),"Not on this contract's kit list"))</f>
        <v/>
      </c>
      <c r="H3385" s="83" t="str">
        <f aca="false">IF(AND(B3385="",C3385="",D3385=""),"",IF(B3385="","Missing contract",IF(C3385="","Missing code",IF(LEFT(G3385,3)="Not","Wrong code",IF(D3385="","Missing qty",IF(A3385="","Missing date",""))))))</f>
        <v/>
      </c>
      <c r="I3385" s="84" t="str">
        <f aca="false">IF(B3385=Dashboard!$D$3,ROW(),"")</f>
        <v/>
      </c>
    </row>
    <row r="3386" customFormat="false" ht="15" hidden="false" customHeight="false" outlineLevel="0" collapsed="false">
      <c r="A3386" s="80"/>
      <c r="B3386" s="71"/>
      <c r="C3386" s="71"/>
      <c r="D3386" s="81"/>
      <c r="E3386" s="71"/>
      <c r="F3386" s="71"/>
      <c r="G3386" s="82" t="str">
        <f aca="false">IF(C3386="","",IFERROR(INDEX('Kit Lists'!$D$6:$D$605,MATCH(B3386&amp;"|"&amp;C3386,'Kit Lists'!$J$6:$J$605,0)),"Not on this contract's kit list"))</f>
        <v/>
      </c>
      <c r="H3386" s="83" t="str">
        <f aca="false">IF(AND(B3386="",C3386="",D3386=""),"",IF(B3386="","Missing contract",IF(C3386="","Missing code",IF(LEFT(G3386,3)="Not","Wrong code",IF(D3386="","Missing qty",IF(A3386="","Missing date",""))))))</f>
        <v/>
      </c>
      <c r="I3386" s="84" t="str">
        <f aca="false">IF(B3386=Dashboard!$D$3,ROW(),"")</f>
        <v/>
      </c>
    </row>
    <row r="3387" customFormat="false" ht="15" hidden="false" customHeight="false" outlineLevel="0" collapsed="false">
      <c r="A3387" s="80"/>
      <c r="B3387" s="71"/>
      <c r="C3387" s="71"/>
      <c r="D3387" s="81"/>
      <c r="E3387" s="71"/>
      <c r="F3387" s="71"/>
      <c r="G3387" s="82" t="str">
        <f aca="false">IF(C3387="","",IFERROR(INDEX('Kit Lists'!$D$6:$D$605,MATCH(B3387&amp;"|"&amp;C3387,'Kit Lists'!$J$6:$J$605,0)),"Not on this contract's kit list"))</f>
        <v/>
      </c>
      <c r="H3387" s="83" t="str">
        <f aca="false">IF(AND(B3387="",C3387="",D3387=""),"",IF(B3387="","Missing contract",IF(C3387="","Missing code",IF(LEFT(G3387,3)="Not","Wrong code",IF(D3387="","Missing qty",IF(A3387="","Missing date",""))))))</f>
        <v/>
      </c>
      <c r="I3387" s="84" t="str">
        <f aca="false">IF(B3387=Dashboard!$D$3,ROW(),"")</f>
        <v/>
      </c>
    </row>
    <row r="3388" customFormat="false" ht="15" hidden="false" customHeight="false" outlineLevel="0" collapsed="false">
      <c r="A3388" s="80"/>
      <c r="B3388" s="71"/>
      <c r="C3388" s="71"/>
      <c r="D3388" s="81"/>
      <c r="E3388" s="71"/>
      <c r="F3388" s="71"/>
      <c r="G3388" s="82" t="str">
        <f aca="false">IF(C3388="","",IFERROR(INDEX('Kit Lists'!$D$6:$D$605,MATCH(B3388&amp;"|"&amp;C3388,'Kit Lists'!$J$6:$J$605,0)),"Not on this contract's kit list"))</f>
        <v/>
      </c>
      <c r="H3388" s="83" t="str">
        <f aca="false">IF(AND(B3388="",C3388="",D3388=""),"",IF(B3388="","Missing contract",IF(C3388="","Missing code",IF(LEFT(G3388,3)="Not","Wrong code",IF(D3388="","Missing qty",IF(A3388="","Missing date",""))))))</f>
        <v/>
      </c>
      <c r="I3388" s="84" t="str">
        <f aca="false">IF(B3388=Dashboard!$D$3,ROW(),"")</f>
        <v/>
      </c>
    </row>
    <row r="3389" customFormat="false" ht="15" hidden="false" customHeight="false" outlineLevel="0" collapsed="false">
      <c r="A3389" s="80"/>
      <c r="B3389" s="71"/>
      <c r="C3389" s="71"/>
      <c r="D3389" s="81"/>
      <c r="E3389" s="71"/>
      <c r="F3389" s="71"/>
      <c r="G3389" s="82" t="str">
        <f aca="false">IF(C3389="","",IFERROR(INDEX('Kit Lists'!$D$6:$D$605,MATCH(B3389&amp;"|"&amp;C3389,'Kit Lists'!$J$6:$J$605,0)),"Not on this contract's kit list"))</f>
        <v/>
      </c>
      <c r="H3389" s="83" t="str">
        <f aca="false">IF(AND(B3389="",C3389="",D3389=""),"",IF(B3389="","Missing contract",IF(C3389="","Missing code",IF(LEFT(G3389,3)="Not","Wrong code",IF(D3389="","Missing qty",IF(A3389="","Missing date",""))))))</f>
        <v/>
      </c>
      <c r="I3389" s="84" t="str">
        <f aca="false">IF(B3389=Dashboard!$D$3,ROW(),"")</f>
        <v/>
      </c>
    </row>
    <row r="3390" customFormat="false" ht="15" hidden="false" customHeight="false" outlineLevel="0" collapsed="false">
      <c r="A3390" s="80"/>
      <c r="B3390" s="71"/>
      <c r="C3390" s="71"/>
      <c r="D3390" s="81"/>
      <c r="E3390" s="71"/>
      <c r="F3390" s="71"/>
      <c r="G3390" s="82" t="str">
        <f aca="false">IF(C3390="","",IFERROR(INDEX('Kit Lists'!$D$6:$D$605,MATCH(B3390&amp;"|"&amp;C3390,'Kit Lists'!$J$6:$J$605,0)),"Not on this contract's kit list"))</f>
        <v/>
      </c>
      <c r="H3390" s="83" t="str">
        <f aca="false">IF(AND(B3390="",C3390="",D3390=""),"",IF(B3390="","Missing contract",IF(C3390="","Missing code",IF(LEFT(G3390,3)="Not","Wrong code",IF(D3390="","Missing qty",IF(A3390="","Missing date",""))))))</f>
        <v/>
      </c>
      <c r="I3390" s="84" t="str">
        <f aca="false">IF(B3390=Dashboard!$D$3,ROW(),"")</f>
        <v/>
      </c>
    </row>
    <row r="3391" customFormat="false" ht="15" hidden="false" customHeight="false" outlineLevel="0" collapsed="false">
      <c r="A3391" s="80"/>
      <c r="B3391" s="71"/>
      <c r="C3391" s="71"/>
      <c r="D3391" s="81"/>
      <c r="E3391" s="71"/>
      <c r="F3391" s="71"/>
      <c r="G3391" s="82" t="str">
        <f aca="false">IF(C3391="","",IFERROR(INDEX('Kit Lists'!$D$6:$D$605,MATCH(B3391&amp;"|"&amp;C3391,'Kit Lists'!$J$6:$J$605,0)),"Not on this contract's kit list"))</f>
        <v/>
      </c>
      <c r="H3391" s="83" t="str">
        <f aca="false">IF(AND(B3391="",C3391="",D3391=""),"",IF(B3391="","Missing contract",IF(C3391="","Missing code",IF(LEFT(G3391,3)="Not","Wrong code",IF(D3391="","Missing qty",IF(A3391="","Missing date",""))))))</f>
        <v/>
      </c>
      <c r="I3391" s="84" t="str">
        <f aca="false">IF(B3391=Dashboard!$D$3,ROW(),"")</f>
        <v/>
      </c>
    </row>
    <row r="3392" customFormat="false" ht="15" hidden="false" customHeight="false" outlineLevel="0" collapsed="false">
      <c r="A3392" s="80"/>
      <c r="B3392" s="71"/>
      <c r="C3392" s="71"/>
      <c r="D3392" s="81"/>
      <c r="E3392" s="71"/>
      <c r="F3392" s="71"/>
      <c r="G3392" s="82" t="str">
        <f aca="false">IF(C3392="","",IFERROR(INDEX('Kit Lists'!$D$6:$D$605,MATCH(B3392&amp;"|"&amp;C3392,'Kit Lists'!$J$6:$J$605,0)),"Not on this contract's kit list"))</f>
        <v/>
      </c>
      <c r="H3392" s="83" t="str">
        <f aca="false">IF(AND(B3392="",C3392="",D3392=""),"",IF(B3392="","Missing contract",IF(C3392="","Missing code",IF(LEFT(G3392,3)="Not","Wrong code",IF(D3392="","Missing qty",IF(A3392="","Missing date",""))))))</f>
        <v/>
      </c>
      <c r="I3392" s="84" t="str">
        <f aca="false">IF(B3392=Dashboard!$D$3,ROW(),"")</f>
        <v/>
      </c>
    </row>
    <row r="3393" customFormat="false" ht="15" hidden="false" customHeight="false" outlineLevel="0" collapsed="false">
      <c r="A3393" s="80"/>
      <c r="B3393" s="71"/>
      <c r="C3393" s="71"/>
      <c r="D3393" s="81"/>
      <c r="E3393" s="71"/>
      <c r="F3393" s="71"/>
      <c r="G3393" s="82" t="str">
        <f aca="false">IF(C3393="","",IFERROR(INDEX('Kit Lists'!$D$6:$D$605,MATCH(B3393&amp;"|"&amp;C3393,'Kit Lists'!$J$6:$J$605,0)),"Not on this contract's kit list"))</f>
        <v/>
      </c>
      <c r="H3393" s="83" t="str">
        <f aca="false">IF(AND(B3393="",C3393="",D3393=""),"",IF(B3393="","Missing contract",IF(C3393="","Missing code",IF(LEFT(G3393,3)="Not","Wrong code",IF(D3393="","Missing qty",IF(A3393="","Missing date",""))))))</f>
        <v/>
      </c>
      <c r="I3393" s="84" t="str">
        <f aca="false">IF(B3393=Dashboard!$D$3,ROW(),"")</f>
        <v/>
      </c>
    </row>
    <row r="3394" customFormat="false" ht="15" hidden="false" customHeight="false" outlineLevel="0" collapsed="false">
      <c r="A3394" s="80"/>
      <c r="B3394" s="71"/>
      <c r="C3394" s="71"/>
      <c r="D3394" s="81"/>
      <c r="E3394" s="71"/>
      <c r="F3394" s="71"/>
      <c r="G3394" s="82" t="str">
        <f aca="false">IF(C3394="","",IFERROR(INDEX('Kit Lists'!$D$6:$D$605,MATCH(B3394&amp;"|"&amp;C3394,'Kit Lists'!$J$6:$J$605,0)),"Not on this contract's kit list"))</f>
        <v/>
      </c>
      <c r="H3394" s="83" t="str">
        <f aca="false">IF(AND(B3394="",C3394="",D3394=""),"",IF(B3394="","Missing contract",IF(C3394="","Missing code",IF(LEFT(G3394,3)="Not","Wrong code",IF(D3394="","Missing qty",IF(A3394="","Missing date",""))))))</f>
        <v/>
      </c>
      <c r="I3394" s="84" t="str">
        <f aca="false">IF(B3394=Dashboard!$D$3,ROW(),"")</f>
        <v/>
      </c>
    </row>
    <row r="3395" customFormat="false" ht="15" hidden="false" customHeight="false" outlineLevel="0" collapsed="false">
      <c r="A3395" s="80"/>
      <c r="B3395" s="71"/>
      <c r="C3395" s="71"/>
      <c r="D3395" s="81"/>
      <c r="E3395" s="71"/>
      <c r="F3395" s="71"/>
      <c r="G3395" s="82" t="str">
        <f aca="false">IF(C3395="","",IFERROR(INDEX('Kit Lists'!$D$6:$D$605,MATCH(B3395&amp;"|"&amp;C3395,'Kit Lists'!$J$6:$J$605,0)),"Not on this contract's kit list"))</f>
        <v/>
      </c>
      <c r="H3395" s="83" t="str">
        <f aca="false">IF(AND(B3395="",C3395="",D3395=""),"",IF(B3395="","Missing contract",IF(C3395="","Missing code",IF(LEFT(G3395,3)="Not","Wrong code",IF(D3395="","Missing qty",IF(A3395="","Missing date",""))))))</f>
        <v/>
      </c>
      <c r="I3395" s="84" t="str">
        <f aca="false">IF(B3395=Dashboard!$D$3,ROW(),"")</f>
        <v/>
      </c>
    </row>
    <row r="3396" customFormat="false" ht="15" hidden="false" customHeight="false" outlineLevel="0" collapsed="false">
      <c r="A3396" s="80"/>
      <c r="B3396" s="71"/>
      <c r="C3396" s="71"/>
      <c r="D3396" s="81"/>
      <c r="E3396" s="71"/>
      <c r="F3396" s="71"/>
      <c r="G3396" s="82" t="str">
        <f aca="false">IF(C3396="","",IFERROR(INDEX('Kit Lists'!$D$6:$D$605,MATCH(B3396&amp;"|"&amp;C3396,'Kit Lists'!$J$6:$J$605,0)),"Not on this contract's kit list"))</f>
        <v/>
      </c>
      <c r="H3396" s="83" t="str">
        <f aca="false">IF(AND(B3396="",C3396="",D3396=""),"",IF(B3396="","Missing contract",IF(C3396="","Missing code",IF(LEFT(G3396,3)="Not","Wrong code",IF(D3396="","Missing qty",IF(A3396="","Missing date",""))))))</f>
        <v/>
      </c>
      <c r="I3396" s="84" t="str">
        <f aca="false">IF(B3396=Dashboard!$D$3,ROW(),"")</f>
        <v/>
      </c>
    </row>
    <row r="3397" customFormat="false" ht="15" hidden="false" customHeight="false" outlineLevel="0" collapsed="false">
      <c r="A3397" s="80"/>
      <c r="B3397" s="71"/>
      <c r="C3397" s="71"/>
      <c r="D3397" s="81"/>
      <c r="E3397" s="71"/>
      <c r="F3397" s="71"/>
      <c r="G3397" s="82" t="str">
        <f aca="false">IF(C3397="","",IFERROR(INDEX('Kit Lists'!$D$6:$D$605,MATCH(B3397&amp;"|"&amp;C3397,'Kit Lists'!$J$6:$J$605,0)),"Not on this contract's kit list"))</f>
        <v/>
      </c>
      <c r="H3397" s="83" t="str">
        <f aca="false">IF(AND(B3397="",C3397="",D3397=""),"",IF(B3397="","Missing contract",IF(C3397="","Missing code",IF(LEFT(G3397,3)="Not","Wrong code",IF(D3397="","Missing qty",IF(A3397="","Missing date",""))))))</f>
        <v/>
      </c>
      <c r="I3397" s="84" t="str">
        <f aca="false">IF(B3397=Dashboard!$D$3,ROW(),"")</f>
        <v/>
      </c>
    </row>
    <row r="3398" customFormat="false" ht="15" hidden="false" customHeight="false" outlineLevel="0" collapsed="false">
      <c r="A3398" s="80"/>
      <c r="B3398" s="71"/>
      <c r="C3398" s="71"/>
      <c r="D3398" s="81"/>
      <c r="E3398" s="71"/>
      <c r="F3398" s="71"/>
      <c r="G3398" s="82" t="str">
        <f aca="false">IF(C3398="","",IFERROR(INDEX('Kit Lists'!$D$6:$D$605,MATCH(B3398&amp;"|"&amp;C3398,'Kit Lists'!$J$6:$J$605,0)),"Not on this contract's kit list"))</f>
        <v/>
      </c>
      <c r="H3398" s="83" t="str">
        <f aca="false">IF(AND(B3398="",C3398="",D3398=""),"",IF(B3398="","Missing contract",IF(C3398="","Missing code",IF(LEFT(G3398,3)="Not","Wrong code",IF(D3398="","Missing qty",IF(A3398="","Missing date",""))))))</f>
        <v/>
      </c>
      <c r="I3398" s="84" t="str">
        <f aca="false">IF(B3398=Dashboard!$D$3,ROW(),"")</f>
        <v/>
      </c>
    </row>
    <row r="3399" customFormat="false" ht="15" hidden="false" customHeight="false" outlineLevel="0" collapsed="false">
      <c r="A3399" s="80"/>
      <c r="B3399" s="71"/>
      <c r="C3399" s="71"/>
      <c r="D3399" s="81"/>
      <c r="E3399" s="71"/>
      <c r="F3399" s="71"/>
      <c r="G3399" s="82" t="str">
        <f aca="false">IF(C3399="","",IFERROR(INDEX('Kit Lists'!$D$6:$D$605,MATCH(B3399&amp;"|"&amp;C3399,'Kit Lists'!$J$6:$J$605,0)),"Not on this contract's kit list"))</f>
        <v/>
      </c>
      <c r="H3399" s="83" t="str">
        <f aca="false">IF(AND(B3399="",C3399="",D3399=""),"",IF(B3399="","Missing contract",IF(C3399="","Missing code",IF(LEFT(G3399,3)="Not","Wrong code",IF(D3399="","Missing qty",IF(A3399="","Missing date",""))))))</f>
        <v/>
      </c>
      <c r="I3399" s="84" t="str">
        <f aca="false">IF(B3399=Dashboard!$D$3,ROW(),"")</f>
        <v/>
      </c>
    </row>
    <row r="3400" customFormat="false" ht="15" hidden="false" customHeight="false" outlineLevel="0" collapsed="false">
      <c r="A3400" s="80"/>
      <c r="B3400" s="71"/>
      <c r="C3400" s="71"/>
      <c r="D3400" s="81"/>
      <c r="E3400" s="71"/>
      <c r="F3400" s="71"/>
      <c r="G3400" s="82" t="str">
        <f aca="false">IF(C3400="","",IFERROR(INDEX('Kit Lists'!$D$6:$D$605,MATCH(B3400&amp;"|"&amp;C3400,'Kit Lists'!$J$6:$J$605,0)),"Not on this contract's kit list"))</f>
        <v/>
      </c>
      <c r="H3400" s="83" t="str">
        <f aca="false">IF(AND(B3400="",C3400="",D3400=""),"",IF(B3400="","Missing contract",IF(C3400="","Missing code",IF(LEFT(G3400,3)="Not","Wrong code",IF(D3400="","Missing qty",IF(A3400="","Missing date",""))))))</f>
        <v/>
      </c>
      <c r="I3400" s="84" t="str">
        <f aca="false">IF(B3400=Dashboard!$D$3,ROW(),"")</f>
        <v/>
      </c>
    </row>
    <row r="3401" customFormat="false" ht="15" hidden="false" customHeight="false" outlineLevel="0" collapsed="false">
      <c r="A3401" s="80"/>
      <c r="B3401" s="71"/>
      <c r="C3401" s="71"/>
      <c r="D3401" s="81"/>
      <c r="E3401" s="71"/>
      <c r="F3401" s="71"/>
      <c r="G3401" s="82" t="str">
        <f aca="false">IF(C3401="","",IFERROR(INDEX('Kit Lists'!$D$6:$D$605,MATCH(B3401&amp;"|"&amp;C3401,'Kit Lists'!$J$6:$J$605,0)),"Not on this contract's kit list"))</f>
        <v/>
      </c>
      <c r="H3401" s="83" t="str">
        <f aca="false">IF(AND(B3401="",C3401="",D3401=""),"",IF(B3401="","Missing contract",IF(C3401="","Missing code",IF(LEFT(G3401,3)="Not","Wrong code",IF(D3401="","Missing qty",IF(A3401="","Missing date",""))))))</f>
        <v/>
      </c>
      <c r="I3401" s="84" t="str">
        <f aca="false">IF(B3401=Dashboard!$D$3,ROW(),"")</f>
        <v/>
      </c>
    </row>
    <row r="3402" customFormat="false" ht="15" hidden="false" customHeight="false" outlineLevel="0" collapsed="false">
      <c r="A3402" s="80"/>
      <c r="B3402" s="71"/>
      <c r="C3402" s="71"/>
      <c r="D3402" s="81"/>
      <c r="E3402" s="71"/>
      <c r="F3402" s="71"/>
      <c r="G3402" s="82" t="str">
        <f aca="false">IF(C3402="","",IFERROR(INDEX('Kit Lists'!$D$6:$D$605,MATCH(B3402&amp;"|"&amp;C3402,'Kit Lists'!$J$6:$J$605,0)),"Not on this contract's kit list"))</f>
        <v/>
      </c>
      <c r="H3402" s="83" t="str">
        <f aca="false">IF(AND(B3402="",C3402="",D3402=""),"",IF(B3402="","Missing contract",IF(C3402="","Missing code",IF(LEFT(G3402,3)="Not","Wrong code",IF(D3402="","Missing qty",IF(A3402="","Missing date",""))))))</f>
        <v/>
      </c>
      <c r="I3402" s="84" t="str">
        <f aca="false">IF(B3402=Dashboard!$D$3,ROW(),"")</f>
        <v/>
      </c>
    </row>
    <row r="3403" customFormat="false" ht="15" hidden="false" customHeight="false" outlineLevel="0" collapsed="false">
      <c r="A3403" s="80"/>
      <c r="B3403" s="71"/>
      <c r="C3403" s="71"/>
      <c r="D3403" s="81"/>
      <c r="E3403" s="71"/>
      <c r="F3403" s="71"/>
      <c r="G3403" s="82" t="str">
        <f aca="false">IF(C3403="","",IFERROR(INDEX('Kit Lists'!$D$6:$D$605,MATCH(B3403&amp;"|"&amp;C3403,'Kit Lists'!$J$6:$J$605,0)),"Not on this contract's kit list"))</f>
        <v/>
      </c>
      <c r="H3403" s="83" t="str">
        <f aca="false">IF(AND(B3403="",C3403="",D3403=""),"",IF(B3403="","Missing contract",IF(C3403="","Missing code",IF(LEFT(G3403,3)="Not","Wrong code",IF(D3403="","Missing qty",IF(A3403="","Missing date",""))))))</f>
        <v/>
      </c>
      <c r="I3403" s="84" t="str">
        <f aca="false">IF(B3403=Dashboard!$D$3,ROW(),"")</f>
        <v/>
      </c>
    </row>
    <row r="3404" customFormat="false" ht="15" hidden="false" customHeight="false" outlineLevel="0" collapsed="false">
      <c r="A3404" s="80"/>
      <c r="B3404" s="71"/>
      <c r="C3404" s="71"/>
      <c r="D3404" s="81"/>
      <c r="E3404" s="71"/>
      <c r="F3404" s="71"/>
      <c r="G3404" s="82" t="str">
        <f aca="false">IF(C3404="","",IFERROR(INDEX('Kit Lists'!$D$6:$D$605,MATCH(B3404&amp;"|"&amp;C3404,'Kit Lists'!$J$6:$J$605,0)),"Not on this contract's kit list"))</f>
        <v/>
      </c>
      <c r="H3404" s="83" t="str">
        <f aca="false">IF(AND(B3404="",C3404="",D3404=""),"",IF(B3404="","Missing contract",IF(C3404="","Missing code",IF(LEFT(G3404,3)="Not","Wrong code",IF(D3404="","Missing qty",IF(A3404="","Missing date",""))))))</f>
        <v/>
      </c>
      <c r="I3404" s="84" t="str">
        <f aca="false">IF(B3404=Dashboard!$D$3,ROW(),"")</f>
        <v/>
      </c>
    </row>
    <row r="3405" customFormat="false" ht="15" hidden="false" customHeight="false" outlineLevel="0" collapsed="false">
      <c r="A3405" s="80"/>
      <c r="B3405" s="71"/>
      <c r="C3405" s="71"/>
      <c r="D3405" s="81"/>
      <c r="E3405" s="71"/>
      <c r="F3405" s="71"/>
      <c r="G3405" s="82" t="str">
        <f aca="false">IF(C3405="","",IFERROR(INDEX('Kit Lists'!$D$6:$D$605,MATCH(B3405&amp;"|"&amp;C3405,'Kit Lists'!$J$6:$J$605,0)),"Not on this contract's kit list"))</f>
        <v/>
      </c>
      <c r="H3405" s="83" t="str">
        <f aca="false">IF(AND(B3405="",C3405="",D3405=""),"",IF(B3405="","Missing contract",IF(C3405="","Missing code",IF(LEFT(G3405,3)="Not","Wrong code",IF(D3405="","Missing qty",IF(A3405="","Missing date",""))))))</f>
        <v/>
      </c>
      <c r="I3405" s="84" t="str">
        <f aca="false">IF(B3405=Dashboard!$D$3,ROW(),"")</f>
        <v/>
      </c>
    </row>
    <row r="3406" customFormat="false" ht="15" hidden="false" customHeight="false" outlineLevel="0" collapsed="false">
      <c r="A3406" s="80"/>
      <c r="B3406" s="71"/>
      <c r="C3406" s="71"/>
      <c r="D3406" s="81"/>
      <c r="E3406" s="71"/>
      <c r="F3406" s="71"/>
      <c r="G3406" s="82" t="str">
        <f aca="false">IF(C3406="","",IFERROR(INDEX('Kit Lists'!$D$6:$D$605,MATCH(B3406&amp;"|"&amp;C3406,'Kit Lists'!$J$6:$J$605,0)),"Not on this contract's kit list"))</f>
        <v/>
      </c>
      <c r="H3406" s="83" t="str">
        <f aca="false">IF(AND(B3406="",C3406="",D3406=""),"",IF(B3406="","Missing contract",IF(C3406="","Missing code",IF(LEFT(G3406,3)="Not","Wrong code",IF(D3406="","Missing qty",IF(A3406="","Missing date",""))))))</f>
        <v/>
      </c>
      <c r="I3406" s="84" t="str">
        <f aca="false">IF(B3406=Dashboard!$D$3,ROW(),"")</f>
        <v/>
      </c>
    </row>
    <row r="3407" customFormat="false" ht="15" hidden="false" customHeight="false" outlineLevel="0" collapsed="false">
      <c r="A3407" s="80"/>
      <c r="B3407" s="71"/>
      <c r="C3407" s="71"/>
      <c r="D3407" s="81"/>
      <c r="E3407" s="71"/>
      <c r="F3407" s="71"/>
      <c r="G3407" s="82" t="str">
        <f aca="false">IF(C3407="","",IFERROR(INDEX('Kit Lists'!$D$6:$D$605,MATCH(B3407&amp;"|"&amp;C3407,'Kit Lists'!$J$6:$J$605,0)),"Not on this contract's kit list"))</f>
        <v/>
      </c>
      <c r="H3407" s="83" t="str">
        <f aca="false">IF(AND(B3407="",C3407="",D3407=""),"",IF(B3407="","Missing contract",IF(C3407="","Missing code",IF(LEFT(G3407,3)="Not","Wrong code",IF(D3407="","Missing qty",IF(A3407="","Missing date",""))))))</f>
        <v/>
      </c>
      <c r="I3407" s="84" t="str">
        <f aca="false">IF(B3407=Dashboard!$D$3,ROW(),"")</f>
        <v/>
      </c>
    </row>
    <row r="3408" customFormat="false" ht="15" hidden="false" customHeight="false" outlineLevel="0" collapsed="false">
      <c r="A3408" s="80"/>
      <c r="B3408" s="71"/>
      <c r="C3408" s="71"/>
      <c r="D3408" s="81"/>
      <c r="E3408" s="71"/>
      <c r="F3408" s="71"/>
      <c r="G3408" s="82" t="str">
        <f aca="false">IF(C3408="","",IFERROR(INDEX('Kit Lists'!$D$6:$D$605,MATCH(B3408&amp;"|"&amp;C3408,'Kit Lists'!$J$6:$J$605,0)),"Not on this contract's kit list"))</f>
        <v/>
      </c>
      <c r="H3408" s="83" t="str">
        <f aca="false">IF(AND(B3408="",C3408="",D3408=""),"",IF(B3408="","Missing contract",IF(C3408="","Missing code",IF(LEFT(G3408,3)="Not","Wrong code",IF(D3408="","Missing qty",IF(A3408="","Missing date",""))))))</f>
        <v/>
      </c>
      <c r="I3408" s="84" t="str">
        <f aca="false">IF(B3408=Dashboard!$D$3,ROW(),"")</f>
        <v/>
      </c>
    </row>
    <row r="3409" customFormat="false" ht="15" hidden="false" customHeight="false" outlineLevel="0" collapsed="false">
      <c r="A3409" s="80"/>
      <c r="B3409" s="71"/>
      <c r="C3409" s="71"/>
      <c r="D3409" s="81"/>
      <c r="E3409" s="71"/>
      <c r="F3409" s="71"/>
      <c r="G3409" s="82" t="str">
        <f aca="false">IF(C3409="","",IFERROR(INDEX('Kit Lists'!$D$6:$D$605,MATCH(B3409&amp;"|"&amp;C3409,'Kit Lists'!$J$6:$J$605,0)),"Not on this contract's kit list"))</f>
        <v/>
      </c>
      <c r="H3409" s="83" t="str">
        <f aca="false">IF(AND(B3409="",C3409="",D3409=""),"",IF(B3409="","Missing contract",IF(C3409="","Missing code",IF(LEFT(G3409,3)="Not","Wrong code",IF(D3409="","Missing qty",IF(A3409="","Missing date",""))))))</f>
        <v/>
      </c>
      <c r="I3409" s="84" t="str">
        <f aca="false">IF(B3409=Dashboard!$D$3,ROW(),"")</f>
        <v/>
      </c>
    </row>
    <row r="3410" customFormat="false" ht="15" hidden="false" customHeight="false" outlineLevel="0" collapsed="false">
      <c r="A3410" s="80"/>
      <c r="B3410" s="71"/>
      <c r="C3410" s="71"/>
      <c r="D3410" s="81"/>
      <c r="E3410" s="71"/>
      <c r="F3410" s="71"/>
      <c r="G3410" s="82" t="str">
        <f aca="false">IF(C3410="","",IFERROR(INDEX('Kit Lists'!$D$6:$D$605,MATCH(B3410&amp;"|"&amp;C3410,'Kit Lists'!$J$6:$J$605,0)),"Not on this contract's kit list"))</f>
        <v/>
      </c>
      <c r="H3410" s="83" t="str">
        <f aca="false">IF(AND(B3410="",C3410="",D3410=""),"",IF(B3410="","Missing contract",IF(C3410="","Missing code",IF(LEFT(G3410,3)="Not","Wrong code",IF(D3410="","Missing qty",IF(A3410="","Missing date",""))))))</f>
        <v/>
      </c>
      <c r="I3410" s="84" t="str">
        <f aca="false">IF(B3410=Dashboard!$D$3,ROW(),"")</f>
        <v/>
      </c>
    </row>
    <row r="3411" customFormat="false" ht="15" hidden="false" customHeight="false" outlineLevel="0" collapsed="false">
      <c r="A3411" s="80"/>
      <c r="B3411" s="71"/>
      <c r="C3411" s="71"/>
      <c r="D3411" s="81"/>
      <c r="E3411" s="71"/>
      <c r="F3411" s="71"/>
      <c r="G3411" s="82" t="str">
        <f aca="false">IF(C3411="","",IFERROR(INDEX('Kit Lists'!$D$6:$D$605,MATCH(B3411&amp;"|"&amp;C3411,'Kit Lists'!$J$6:$J$605,0)),"Not on this contract's kit list"))</f>
        <v/>
      </c>
      <c r="H3411" s="83" t="str">
        <f aca="false">IF(AND(B3411="",C3411="",D3411=""),"",IF(B3411="","Missing contract",IF(C3411="","Missing code",IF(LEFT(G3411,3)="Not","Wrong code",IF(D3411="","Missing qty",IF(A3411="","Missing date",""))))))</f>
        <v/>
      </c>
      <c r="I3411" s="84" t="str">
        <f aca="false">IF(B3411=Dashboard!$D$3,ROW(),"")</f>
        <v/>
      </c>
    </row>
    <row r="3412" customFormat="false" ht="15" hidden="false" customHeight="false" outlineLevel="0" collapsed="false">
      <c r="A3412" s="80"/>
      <c r="B3412" s="71"/>
      <c r="C3412" s="71"/>
      <c r="D3412" s="81"/>
      <c r="E3412" s="71"/>
      <c r="F3412" s="71"/>
      <c r="G3412" s="82" t="str">
        <f aca="false">IF(C3412="","",IFERROR(INDEX('Kit Lists'!$D$6:$D$605,MATCH(B3412&amp;"|"&amp;C3412,'Kit Lists'!$J$6:$J$605,0)),"Not on this contract's kit list"))</f>
        <v/>
      </c>
      <c r="H3412" s="83" t="str">
        <f aca="false">IF(AND(B3412="",C3412="",D3412=""),"",IF(B3412="","Missing contract",IF(C3412="","Missing code",IF(LEFT(G3412,3)="Not","Wrong code",IF(D3412="","Missing qty",IF(A3412="","Missing date",""))))))</f>
        <v/>
      </c>
      <c r="I3412" s="84" t="str">
        <f aca="false">IF(B3412=Dashboard!$D$3,ROW(),"")</f>
        <v/>
      </c>
    </row>
    <row r="3413" customFormat="false" ht="15" hidden="false" customHeight="false" outlineLevel="0" collapsed="false">
      <c r="A3413" s="80"/>
      <c r="B3413" s="71"/>
      <c r="C3413" s="71"/>
      <c r="D3413" s="81"/>
      <c r="E3413" s="71"/>
      <c r="F3413" s="71"/>
      <c r="G3413" s="82" t="str">
        <f aca="false">IF(C3413="","",IFERROR(INDEX('Kit Lists'!$D$6:$D$605,MATCH(B3413&amp;"|"&amp;C3413,'Kit Lists'!$J$6:$J$605,0)),"Not on this contract's kit list"))</f>
        <v/>
      </c>
      <c r="H3413" s="83" t="str">
        <f aca="false">IF(AND(B3413="",C3413="",D3413=""),"",IF(B3413="","Missing contract",IF(C3413="","Missing code",IF(LEFT(G3413,3)="Not","Wrong code",IF(D3413="","Missing qty",IF(A3413="","Missing date",""))))))</f>
        <v/>
      </c>
      <c r="I3413" s="84" t="str">
        <f aca="false">IF(B3413=Dashboard!$D$3,ROW(),"")</f>
        <v/>
      </c>
    </row>
    <row r="3414" customFormat="false" ht="15" hidden="false" customHeight="false" outlineLevel="0" collapsed="false">
      <c r="A3414" s="80"/>
      <c r="B3414" s="71"/>
      <c r="C3414" s="71"/>
      <c r="D3414" s="81"/>
      <c r="E3414" s="71"/>
      <c r="F3414" s="71"/>
      <c r="G3414" s="82" t="str">
        <f aca="false">IF(C3414="","",IFERROR(INDEX('Kit Lists'!$D$6:$D$605,MATCH(B3414&amp;"|"&amp;C3414,'Kit Lists'!$J$6:$J$605,0)),"Not on this contract's kit list"))</f>
        <v/>
      </c>
      <c r="H3414" s="83" t="str">
        <f aca="false">IF(AND(B3414="",C3414="",D3414=""),"",IF(B3414="","Missing contract",IF(C3414="","Missing code",IF(LEFT(G3414,3)="Not","Wrong code",IF(D3414="","Missing qty",IF(A3414="","Missing date",""))))))</f>
        <v/>
      </c>
      <c r="I3414" s="84" t="str">
        <f aca="false">IF(B3414=Dashboard!$D$3,ROW(),"")</f>
        <v/>
      </c>
    </row>
    <row r="3415" customFormat="false" ht="15" hidden="false" customHeight="false" outlineLevel="0" collapsed="false">
      <c r="A3415" s="80"/>
      <c r="B3415" s="71"/>
      <c r="C3415" s="71"/>
      <c r="D3415" s="81"/>
      <c r="E3415" s="71"/>
      <c r="F3415" s="71"/>
      <c r="G3415" s="82" t="str">
        <f aca="false">IF(C3415="","",IFERROR(INDEX('Kit Lists'!$D$6:$D$605,MATCH(B3415&amp;"|"&amp;C3415,'Kit Lists'!$J$6:$J$605,0)),"Not on this contract's kit list"))</f>
        <v/>
      </c>
      <c r="H3415" s="83" t="str">
        <f aca="false">IF(AND(B3415="",C3415="",D3415=""),"",IF(B3415="","Missing contract",IF(C3415="","Missing code",IF(LEFT(G3415,3)="Not","Wrong code",IF(D3415="","Missing qty",IF(A3415="","Missing date",""))))))</f>
        <v/>
      </c>
      <c r="I3415" s="84" t="str">
        <f aca="false">IF(B3415=Dashboard!$D$3,ROW(),"")</f>
        <v/>
      </c>
    </row>
    <row r="3416" customFormat="false" ht="15" hidden="false" customHeight="false" outlineLevel="0" collapsed="false">
      <c r="A3416" s="80"/>
      <c r="B3416" s="71"/>
      <c r="C3416" s="71"/>
      <c r="D3416" s="81"/>
      <c r="E3416" s="71"/>
      <c r="F3416" s="71"/>
      <c r="G3416" s="82" t="str">
        <f aca="false">IF(C3416="","",IFERROR(INDEX('Kit Lists'!$D$6:$D$605,MATCH(B3416&amp;"|"&amp;C3416,'Kit Lists'!$J$6:$J$605,0)),"Not on this contract's kit list"))</f>
        <v/>
      </c>
      <c r="H3416" s="83" t="str">
        <f aca="false">IF(AND(B3416="",C3416="",D3416=""),"",IF(B3416="","Missing contract",IF(C3416="","Missing code",IF(LEFT(G3416,3)="Not","Wrong code",IF(D3416="","Missing qty",IF(A3416="","Missing date",""))))))</f>
        <v/>
      </c>
      <c r="I3416" s="84" t="str">
        <f aca="false">IF(B3416=Dashboard!$D$3,ROW(),"")</f>
        <v/>
      </c>
    </row>
    <row r="3417" customFormat="false" ht="15" hidden="false" customHeight="false" outlineLevel="0" collapsed="false">
      <c r="A3417" s="80"/>
      <c r="B3417" s="71"/>
      <c r="C3417" s="71"/>
      <c r="D3417" s="81"/>
      <c r="E3417" s="71"/>
      <c r="F3417" s="71"/>
      <c r="G3417" s="82" t="str">
        <f aca="false">IF(C3417="","",IFERROR(INDEX('Kit Lists'!$D$6:$D$605,MATCH(B3417&amp;"|"&amp;C3417,'Kit Lists'!$J$6:$J$605,0)),"Not on this contract's kit list"))</f>
        <v/>
      </c>
      <c r="H3417" s="83" t="str">
        <f aca="false">IF(AND(B3417="",C3417="",D3417=""),"",IF(B3417="","Missing contract",IF(C3417="","Missing code",IF(LEFT(G3417,3)="Not","Wrong code",IF(D3417="","Missing qty",IF(A3417="","Missing date",""))))))</f>
        <v/>
      </c>
      <c r="I3417" s="84" t="str">
        <f aca="false">IF(B3417=Dashboard!$D$3,ROW(),"")</f>
        <v/>
      </c>
    </row>
    <row r="3418" customFormat="false" ht="15" hidden="false" customHeight="false" outlineLevel="0" collapsed="false">
      <c r="A3418" s="80"/>
      <c r="B3418" s="71"/>
      <c r="C3418" s="71"/>
      <c r="D3418" s="81"/>
      <c r="E3418" s="71"/>
      <c r="F3418" s="71"/>
      <c r="G3418" s="82" t="str">
        <f aca="false">IF(C3418="","",IFERROR(INDEX('Kit Lists'!$D$6:$D$605,MATCH(B3418&amp;"|"&amp;C3418,'Kit Lists'!$J$6:$J$605,0)),"Not on this contract's kit list"))</f>
        <v/>
      </c>
      <c r="H3418" s="83" t="str">
        <f aca="false">IF(AND(B3418="",C3418="",D3418=""),"",IF(B3418="","Missing contract",IF(C3418="","Missing code",IF(LEFT(G3418,3)="Not","Wrong code",IF(D3418="","Missing qty",IF(A3418="","Missing date",""))))))</f>
        <v/>
      </c>
      <c r="I3418" s="84" t="str">
        <f aca="false">IF(B3418=Dashboard!$D$3,ROW(),"")</f>
        <v/>
      </c>
    </row>
    <row r="3419" customFormat="false" ht="15" hidden="false" customHeight="false" outlineLevel="0" collapsed="false">
      <c r="A3419" s="80"/>
      <c r="B3419" s="71"/>
      <c r="C3419" s="71"/>
      <c r="D3419" s="81"/>
      <c r="E3419" s="71"/>
      <c r="F3419" s="71"/>
      <c r="G3419" s="82" t="str">
        <f aca="false">IF(C3419="","",IFERROR(INDEX('Kit Lists'!$D$6:$D$605,MATCH(B3419&amp;"|"&amp;C3419,'Kit Lists'!$J$6:$J$605,0)),"Not on this contract's kit list"))</f>
        <v/>
      </c>
      <c r="H3419" s="83" t="str">
        <f aca="false">IF(AND(B3419="",C3419="",D3419=""),"",IF(B3419="","Missing contract",IF(C3419="","Missing code",IF(LEFT(G3419,3)="Not","Wrong code",IF(D3419="","Missing qty",IF(A3419="","Missing date",""))))))</f>
        <v/>
      </c>
      <c r="I3419" s="84" t="str">
        <f aca="false">IF(B3419=Dashboard!$D$3,ROW(),"")</f>
        <v/>
      </c>
    </row>
    <row r="3420" customFormat="false" ht="15" hidden="false" customHeight="false" outlineLevel="0" collapsed="false">
      <c r="A3420" s="80"/>
      <c r="B3420" s="71"/>
      <c r="C3420" s="71"/>
      <c r="D3420" s="81"/>
      <c r="E3420" s="71"/>
      <c r="F3420" s="71"/>
      <c r="G3420" s="82" t="str">
        <f aca="false">IF(C3420="","",IFERROR(INDEX('Kit Lists'!$D$6:$D$605,MATCH(B3420&amp;"|"&amp;C3420,'Kit Lists'!$J$6:$J$605,0)),"Not on this contract's kit list"))</f>
        <v/>
      </c>
      <c r="H3420" s="83" t="str">
        <f aca="false">IF(AND(B3420="",C3420="",D3420=""),"",IF(B3420="","Missing contract",IF(C3420="","Missing code",IF(LEFT(G3420,3)="Not","Wrong code",IF(D3420="","Missing qty",IF(A3420="","Missing date",""))))))</f>
        <v/>
      </c>
      <c r="I3420" s="84" t="str">
        <f aca="false">IF(B3420=Dashboard!$D$3,ROW(),"")</f>
        <v/>
      </c>
    </row>
    <row r="3421" customFormat="false" ht="15" hidden="false" customHeight="false" outlineLevel="0" collapsed="false">
      <c r="A3421" s="80"/>
      <c r="B3421" s="71"/>
      <c r="C3421" s="71"/>
      <c r="D3421" s="81"/>
      <c r="E3421" s="71"/>
      <c r="F3421" s="71"/>
      <c r="G3421" s="82" t="str">
        <f aca="false">IF(C3421="","",IFERROR(INDEX('Kit Lists'!$D$6:$D$605,MATCH(B3421&amp;"|"&amp;C3421,'Kit Lists'!$J$6:$J$605,0)),"Not on this contract's kit list"))</f>
        <v/>
      </c>
      <c r="H3421" s="83" t="str">
        <f aca="false">IF(AND(B3421="",C3421="",D3421=""),"",IF(B3421="","Missing contract",IF(C3421="","Missing code",IF(LEFT(G3421,3)="Not","Wrong code",IF(D3421="","Missing qty",IF(A3421="","Missing date",""))))))</f>
        <v/>
      </c>
      <c r="I3421" s="84" t="str">
        <f aca="false">IF(B3421=Dashboard!$D$3,ROW(),"")</f>
        <v/>
      </c>
    </row>
    <row r="3422" customFormat="false" ht="15" hidden="false" customHeight="false" outlineLevel="0" collapsed="false">
      <c r="A3422" s="80"/>
      <c r="B3422" s="71"/>
      <c r="C3422" s="71"/>
      <c r="D3422" s="81"/>
      <c r="E3422" s="71"/>
      <c r="F3422" s="71"/>
      <c r="G3422" s="82" t="str">
        <f aca="false">IF(C3422="","",IFERROR(INDEX('Kit Lists'!$D$6:$D$605,MATCH(B3422&amp;"|"&amp;C3422,'Kit Lists'!$J$6:$J$605,0)),"Not on this contract's kit list"))</f>
        <v/>
      </c>
      <c r="H3422" s="83" t="str">
        <f aca="false">IF(AND(B3422="",C3422="",D3422=""),"",IF(B3422="","Missing contract",IF(C3422="","Missing code",IF(LEFT(G3422,3)="Not","Wrong code",IF(D3422="","Missing qty",IF(A3422="","Missing date",""))))))</f>
        <v/>
      </c>
      <c r="I3422" s="84" t="str">
        <f aca="false">IF(B3422=Dashboard!$D$3,ROW(),"")</f>
        <v/>
      </c>
    </row>
    <row r="3423" customFormat="false" ht="15" hidden="false" customHeight="false" outlineLevel="0" collapsed="false">
      <c r="A3423" s="80"/>
      <c r="B3423" s="71"/>
      <c r="C3423" s="71"/>
      <c r="D3423" s="81"/>
      <c r="E3423" s="71"/>
      <c r="F3423" s="71"/>
      <c r="G3423" s="82" t="str">
        <f aca="false">IF(C3423="","",IFERROR(INDEX('Kit Lists'!$D$6:$D$605,MATCH(B3423&amp;"|"&amp;C3423,'Kit Lists'!$J$6:$J$605,0)),"Not on this contract's kit list"))</f>
        <v/>
      </c>
      <c r="H3423" s="83" t="str">
        <f aca="false">IF(AND(B3423="",C3423="",D3423=""),"",IF(B3423="","Missing contract",IF(C3423="","Missing code",IF(LEFT(G3423,3)="Not","Wrong code",IF(D3423="","Missing qty",IF(A3423="","Missing date",""))))))</f>
        <v/>
      </c>
      <c r="I3423" s="84" t="str">
        <f aca="false">IF(B3423=Dashboard!$D$3,ROW(),"")</f>
        <v/>
      </c>
    </row>
    <row r="3424" customFormat="false" ht="15" hidden="false" customHeight="false" outlineLevel="0" collapsed="false">
      <c r="A3424" s="80"/>
      <c r="B3424" s="71"/>
      <c r="C3424" s="71"/>
      <c r="D3424" s="81"/>
      <c r="E3424" s="71"/>
      <c r="F3424" s="71"/>
      <c r="G3424" s="82" t="str">
        <f aca="false">IF(C3424="","",IFERROR(INDEX('Kit Lists'!$D$6:$D$605,MATCH(B3424&amp;"|"&amp;C3424,'Kit Lists'!$J$6:$J$605,0)),"Not on this contract's kit list"))</f>
        <v/>
      </c>
      <c r="H3424" s="83" t="str">
        <f aca="false">IF(AND(B3424="",C3424="",D3424=""),"",IF(B3424="","Missing contract",IF(C3424="","Missing code",IF(LEFT(G3424,3)="Not","Wrong code",IF(D3424="","Missing qty",IF(A3424="","Missing date",""))))))</f>
        <v/>
      </c>
      <c r="I3424" s="84" t="str">
        <f aca="false">IF(B3424=Dashboard!$D$3,ROW(),"")</f>
        <v/>
      </c>
    </row>
    <row r="3425" customFormat="false" ht="15" hidden="false" customHeight="false" outlineLevel="0" collapsed="false">
      <c r="A3425" s="80"/>
      <c r="B3425" s="71"/>
      <c r="C3425" s="71"/>
      <c r="D3425" s="81"/>
      <c r="E3425" s="71"/>
      <c r="F3425" s="71"/>
      <c r="G3425" s="82" t="str">
        <f aca="false">IF(C3425="","",IFERROR(INDEX('Kit Lists'!$D$6:$D$605,MATCH(B3425&amp;"|"&amp;C3425,'Kit Lists'!$J$6:$J$605,0)),"Not on this contract's kit list"))</f>
        <v/>
      </c>
      <c r="H3425" s="83" t="str">
        <f aca="false">IF(AND(B3425="",C3425="",D3425=""),"",IF(B3425="","Missing contract",IF(C3425="","Missing code",IF(LEFT(G3425,3)="Not","Wrong code",IF(D3425="","Missing qty",IF(A3425="","Missing date",""))))))</f>
        <v/>
      </c>
      <c r="I3425" s="84" t="str">
        <f aca="false">IF(B3425=Dashboard!$D$3,ROW(),"")</f>
        <v/>
      </c>
    </row>
    <row r="3426" customFormat="false" ht="15" hidden="false" customHeight="false" outlineLevel="0" collapsed="false">
      <c r="A3426" s="80"/>
      <c r="B3426" s="71"/>
      <c r="C3426" s="71"/>
      <c r="D3426" s="81"/>
      <c r="E3426" s="71"/>
      <c r="F3426" s="71"/>
      <c r="G3426" s="82" t="str">
        <f aca="false">IF(C3426="","",IFERROR(INDEX('Kit Lists'!$D$6:$D$605,MATCH(B3426&amp;"|"&amp;C3426,'Kit Lists'!$J$6:$J$605,0)),"Not on this contract's kit list"))</f>
        <v/>
      </c>
      <c r="H3426" s="83" t="str">
        <f aca="false">IF(AND(B3426="",C3426="",D3426=""),"",IF(B3426="","Missing contract",IF(C3426="","Missing code",IF(LEFT(G3426,3)="Not","Wrong code",IF(D3426="","Missing qty",IF(A3426="","Missing date",""))))))</f>
        <v/>
      </c>
      <c r="I3426" s="84" t="str">
        <f aca="false">IF(B3426=Dashboard!$D$3,ROW(),"")</f>
        <v/>
      </c>
    </row>
    <row r="3427" customFormat="false" ht="15" hidden="false" customHeight="false" outlineLevel="0" collapsed="false">
      <c r="A3427" s="80"/>
      <c r="B3427" s="71"/>
      <c r="C3427" s="71"/>
      <c r="D3427" s="81"/>
      <c r="E3427" s="71"/>
      <c r="F3427" s="71"/>
      <c r="G3427" s="82" t="str">
        <f aca="false">IF(C3427="","",IFERROR(INDEX('Kit Lists'!$D$6:$D$605,MATCH(B3427&amp;"|"&amp;C3427,'Kit Lists'!$J$6:$J$605,0)),"Not on this contract's kit list"))</f>
        <v/>
      </c>
      <c r="H3427" s="83" t="str">
        <f aca="false">IF(AND(B3427="",C3427="",D3427=""),"",IF(B3427="","Missing contract",IF(C3427="","Missing code",IF(LEFT(G3427,3)="Not","Wrong code",IF(D3427="","Missing qty",IF(A3427="","Missing date",""))))))</f>
        <v/>
      </c>
      <c r="I3427" s="84" t="str">
        <f aca="false">IF(B3427=Dashboard!$D$3,ROW(),"")</f>
        <v/>
      </c>
    </row>
    <row r="3428" customFormat="false" ht="15" hidden="false" customHeight="false" outlineLevel="0" collapsed="false">
      <c r="A3428" s="80"/>
      <c r="B3428" s="71"/>
      <c r="C3428" s="71"/>
      <c r="D3428" s="81"/>
      <c r="E3428" s="71"/>
      <c r="F3428" s="71"/>
      <c r="G3428" s="82" t="str">
        <f aca="false">IF(C3428="","",IFERROR(INDEX('Kit Lists'!$D$6:$D$605,MATCH(B3428&amp;"|"&amp;C3428,'Kit Lists'!$J$6:$J$605,0)),"Not on this contract's kit list"))</f>
        <v/>
      </c>
      <c r="H3428" s="83" t="str">
        <f aca="false">IF(AND(B3428="",C3428="",D3428=""),"",IF(B3428="","Missing contract",IF(C3428="","Missing code",IF(LEFT(G3428,3)="Not","Wrong code",IF(D3428="","Missing qty",IF(A3428="","Missing date",""))))))</f>
        <v/>
      </c>
      <c r="I3428" s="84" t="str">
        <f aca="false">IF(B3428=Dashboard!$D$3,ROW(),"")</f>
        <v/>
      </c>
    </row>
    <row r="3429" customFormat="false" ht="15" hidden="false" customHeight="false" outlineLevel="0" collapsed="false">
      <c r="A3429" s="80"/>
      <c r="B3429" s="71"/>
      <c r="C3429" s="71"/>
      <c r="D3429" s="81"/>
      <c r="E3429" s="71"/>
      <c r="F3429" s="71"/>
      <c r="G3429" s="82" t="str">
        <f aca="false">IF(C3429="","",IFERROR(INDEX('Kit Lists'!$D$6:$D$605,MATCH(B3429&amp;"|"&amp;C3429,'Kit Lists'!$J$6:$J$605,0)),"Not on this contract's kit list"))</f>
        <v/>
      </c>
      <c r="H3429" s="83" t="str">
        <f aca="false">IF(AND(B3429="",C3429="",D3429=""),"",IF(B3429="","Missing contract",IF(C3429="","Missing code",IF(LEFT(G3429,3)="Not","Wrong code",IF(D3429="","Missing qty",IF(A3429="","Missing date",""))))))</f>
        <v/>
      </c>
      <c r="I3429" s="84" t="str">
        <f aca="false">IF(B3429=Dashboard!$D$3,ROW(),"")</f>
        <v/>
      </c>
    </row>
    <row r="3430" customFormat="false" ht="15" hidden="false" customHeight="false" outlineLevel="0" collapsed="false">
      <c r="A3430" s="80"/>
      <c r="B3430" s="71"/>
      <c r="C3430" s="71"/>
      <c r="D3430" s="81"/>
      <c r="E3430" s="71"/>
      <c r="F3430" s="71"/>
      <c r="G3430" s="82" t="str">
        <f aca="false">IF(C3430="","",IFERROR(INDEX('Kit Lists'!$D$6:$D$605,MATCH(B3430&amp;"|"&amp;C3430,'Kit Lists'!$J$6:$J$605,0)),"Not on this contract's kit list"))</f>
        <v/>
      </c>
      <c r="H3430" s="83" t="str">
        <f aca="false">IF(AND(B3430="",C3430="",D3430=""),"",IF(B3430="","Missing contract",IF(C3430="","Missing code",IF(LEFT(G3430,3)="Not","Wrong code",IF(D3430="","Missing qty",IF(A3430="","Missing date",""))))))</f>
        <v/>
      </c>
      <c r="I3430" s="84" t="str">
        <f aca="false">IF(B3430=Dashboard!$D$3,ROW(),"")</f>
        <v/>
      </c>
    </row>
    <row r="3431" customFormat="false" ht="15" hidden="false" customHeight="false" outlineLevel="0" collapsed="false">
      <c r="A3431" s="80"/>
      <c r="B3431" s="71"/>
      <c r="C3431" s="71"/>
      <c r="D3431" s="81"/>
      <c r="E3431" s="71"/>
      <c r="F3431" s="71"/>
      <c r="G3431" s="82" t="str">
        <f aca="false">IF(C3431="","",IFERROR(INDEX('Kit Lists'!$D$6:$D$605,MATCH(B3431&amp;"|"&amp;C3431,'Kit Lists'!$J$6:$J$605,0)),"Not on this contract's kit list"))</f>
        <v/>
      </c>
      <c r="H3431" s="83" t="str">
        <f aca="false">IF(AND(B3431="",C3431="",D3431=""),"",IF(B3431="","Missing contract",IF(C3431="","Missing code",IF(LEFT(G3431,3)="Not","Wrong code",IF(D3431="","Missing qty",IF(A3431="","Missing date",""))))))</f>
        <v/>
      </c>
      <c r="I3431" s="84" t="str">
        <f aca="false">IF(B3431=Dashboard!$D$3,ROW(),"")</f>
        <v/>
      </c>
    </row>
    <row r="3432" customFormat="false" ht="15" hidden="false" customHeight="false" outlineLevel="0" collapsed="false">
      <c r="A3432" s="80"/>
      <c r="B3432" s="71"/>
      <c r="C3432" s="71"/>
      <c r="D3432" s="81"/>
      <c r="E3432" s="71"/>
      <c r="F3432" s="71"/>
      <c r="G3432" s="82" t="str">
        <f aca="false">IF(C3432="","",IFERROR(INDEX('Kit Lists'!$D$6:$D$605,MATCH(B3432&amp;"|"&amp;C3432,'Kit Lists'!$J$6:$J$605,0)),"Not on this contract's kit list"))</f>
        <v/>
      </c>
      <c r="H3432" s="83" t="str">
        <f aca="false">IF(AND(B3432="",C3432="",D3432=""),"",IF(B3432="","Missing contract",IF(C3432="","Missing code",IF(LEFT(G3432,3)="Not","Wrong code",IF(D3432="","Missing qty",IF(A3432="","Missing date",""))))))</f>
        <v/>
      </c>
      <c r="I3432" s="84" t="str">
        <f aca="false">IF(B3432=Dashboard!$D$3,ROW(),"")</f>
        <v/>
      </c>
    </row>
    <row r="3433" customFormat="false" ht="15" hidden="false" customHeight="false" outlineLevel="0" collapsed="false">
      <c r="A3433" s="80"/>
      <c r="B3433" s="71"/>
      <c r="C3433" s="71"/>
      <c r="D3433" s="81"/>
      <c r="E3433" s="71"/>
      <c r="F3433" s="71"/>
      <c r="G3433" s="82" t="str">
        <f aca="false">IF(C3433="","",IFERROR(INDEX('Kit Lists'!$D$6:$D$605,MATCH(B3433&amp;"|"&amp;C3433,'Kit Lists'!$J$6:$J$605,0)),"Not on this contract's kit list"))</f>
        <v/>
      </c>
      <c r="H3433" s="83" t="str">
        <f aca="false">IF(AND(B3433="",C3433="",D3433=""),"",IF(B3433="","Missing contract",IF(C3433="","Missing code",IF(LEFT(G3433,3)="Not","Wrong code",IF(D3433="","Missing qty",IF(A3433="","Missing date",""))))))</f>
        <v/>
      </c>
      <c r="I3433" s="84" t="str">
        <f aca="false">IF(B3433=Dashboard!$D$3,ROW(),"")</f>
        <v/>
      </c>
    </row>
    <row r="3434" customFormat="false" ht="15" hidden="false" customHeight="false" outlineLevel="0" collapsed="false">
      <c r="A3434" s="80"/>
      <c r="B3434" s="71"/>
      <c r="C3434" s="71"/>
      <c r="D3434" s="81"/>
      <c r="E3434" s="71"/>
      <c r="F3434" s="71"/>
      <c r="G3434" s="82" t="str">
        <f aca="false">IF(C3434="","",IFERROR(INDEX('Kit Lists'!$D$6:$D$605,MATCH(B3434&amp;"|"&amp;C3434,'Kit Lists'!$J$6:$J$605,0)),"Not on this contract's kit list"))</f>
        <v/>
      </c>
      <c r="H3434" s="83" t="str">
        <f aca="false">IF(AND(B3434="",C3434="",D3434=""),"",IF(B3434="","Missing contract",IF(C3434="","Missing code",IF(LEFT(G3434,3)="Not","Wrong code",IF(D3434="","Missing qty",IF(A3434="","Missing date",""))))))</f>
        <v/>
      </c>
      <c r="I3434" s="84" t="str">
        <f aca="false">IF(B3434=Dashboard!$D$3,ROW(),"")</f>
        <v/>
      </c>
    </row>
    <row r="3435" customFormat="false" ht="15" hidden="false" customHeight="false" outlineLevel="0" collapsed="false">
      <c r="A3435" s="80"/>
      <c r="B3435" s="71"/>
      <c r="C3435" s="71"/>
      <c r="D3435" s="81"/>
      <c r="E3435" s="71"/>
      <c r="F3435" s="71"/>
      <c r="G3435" s="82" t="str">
        <f aca="false">IF(C3435="","",IFERROR(INDEX('Kit Lists'!$D$6:$D$605,MATCH(B3435&amp;"|"&amp;C3435,'Kit Lists'!$J$6:$J$605,0)),"Not on this contract's kit list"))</f>
        <v/>
      </c>
      <c r="H3435" s="83" t="str">
        <f aca="false">IF(AND(B3435="",C3435="",D3435=""),"",IF(B3435="","Missing contract",IF(C3435="","Missing code",IF(LEFT(G3435,3)="Not","Wrong code",IF(D3435="","Missing qty",IF(A3435="","Missing date",""))))))</f>
        <v/>
      </c>
      <c r="I3435" s="84" t="str">
        <f aca="false">IF(B3435=Dashboard!$D$3,ROW(),"")</f>
        <v/>
      </c>
    </row>
    <row r="3436" customFormat="false" ht="15" hidden="false" customHeight="false" outlineLevel="0" collapsed="false">
      <c r="A3436" s="80"/>
      <c r="B3436" s="71"/>
      <c r="C3436" s="71"/>
      <c r="D3436" s="81"/>
      <c r="E3436" s="71"/>
      <c r="F3436" s="71"/>
      <c r="G3436" s="82" t="str">
        <f aca="false">IF(C3436="","",IFERROR(INDEX('Kit Lists'!$D$6:$D$605,MATCH(B3436&amp;"|"&amp;C3436,'Kit Lists'!$J$6:$J$605,0)),"Not on this contract's kit list"))</f>
        <v/>
      </c>
      <c r="H3436" s="83" t="str">
        <f aca="false">IF(AND(B3436="",C3436="",D3436=""),"",IF(B3436="","Missing contract",IF(C3436="","Missing code",IF(LEFT(G3436,3)="Not","Wrong code",IF(D3436="","Missing qty",IF(A3436="","Missing date",""))))))</f>
        <v/>
      </c>
      <c r="I3436" s="84" t="str">
        <f aca="false">IF(B3436=Dashboard!$D$3,ROW(),"")</f>
        <v/>
      </c>
    </row>
    <row r="3437" customFormat="false" ht="15" hidden="false" customHeight="false" outlineLevel="0" collapsed="false">
      <c r="A3437" s="80"/>
      <c r="B3437" s="71"/>
      <c r="C3437" s="71"/>
      <c r="D3437" s="81"/>
      <c r="E3437" s="71"/>
      <c r="F3437" s="71"/>
      <c r="G3437" s="82" t="str">
        <f aca="false">IF(C3437="","",IFERROR(INDEX('Kit Lists'!$D$6:$D$605,MATCH(B3437&amp;"|"&amp;C3437,'Kit Lists'!$J$6:$J$605,0)),"Not on this contract's kit list"))</f>
        <v/>
      </c>
      <c r="H3437" s="83" t="str">
        <f aca="false">IF(AND(B3437="",C3437="",D3437=""),"",IF(B3437="","Missing contract",IF(C3437="","Missing code",IF(LEFT(G3437,3)="Not","Wrong code",IF(D3437="","Missing qty",IF(A3437="","Missing date",""))))))</f>
        <v/>
      </c>
      <c r="I3437" s="84" t="str">
        <f aca="false">IF(B3437=Dashboard!$D$3,ROW(),"")</f>
        <v/>
      </c>
    </row>
    <row r="3438" customFormat="false" ht="15" hidden="false" customHeight="false" outlineLevel="0" collapsed="false">
      <c r="A3438" s="80"/>
      <c r="B3438" s="71"/>
      <c r="C3438" s="71"/>
      <c r="D3438" s="81"/>
      <c r="E3438" s="71"/>
      <c r="F3438" s="71"/>
      <c r="G3438" s="82" t="str">
        <f aca="false">IF(C3438="","",IFERROR(INDEX('Kit Lists'!$D$6:$D$605,MATCH(B3438&amp;"|"&amp;C3438,'Kit Lists'!$J$6:$J$605,0)),"Not on this contract's kit list"))</f>
        <v/>
      </c>
      <c r="H3438" s="83" t="str">
        <f aca="false">IF(AND(B3438="",C3438="",D3438=""),"",IF(B3438="","Missing contract",IF(C3438="","Missing code",IF(LEFT(G3438,3)="Not","Wrong code",IF(D3438="","Missing qty",IF(A3438="","Missing date",""))))))</f>
        <v/>
      </c>
      <c r="I3438" s="84" t="str">
        <f aca="false">IF(B3438=Dashboard!$D$3,ROW(),"")</f>
        <v/>
      </c>
    </row>
    <row r="3439" customFormat="false" ht="15" hidden="false" customHeight="false" outlineLevel="0" collapsed="false">
      <c r="A3439" s="80"/>
      <c r="B3439" s="71"/>
      <c r="C3439" s="71"/>
      <c r="D3439" s="81"/>
      <c r="E3439" s="71"/>
      <c r="F3439" s="71"/>
      <c r="G3439" s="82" t="str">
        <f aca="false">IF(C3439="","",IFERROR(INDEX('Kit Lists'!$D$6:$D$605,MATCH(B3439&amp;"|"&amp;C3439,'Kit Lists'!$J$6:$J$605,0)),"Not on this contract's kit list"))</f>
        <v/>
      </c>
      <c r="H3439" s="83" t="str">
        <f aca="false">IF(AND(B3439="",C3439="",D3439=""),"",IF(B3439="","Missing contract",IF(C3439="","Missing code",IF(LEFT(G3439,3)="Not","Wrong code",IF(D3439="","Missing qty",IF(A3439="","Missing date",""))))))</f>
        <v/>
      </c>
      <c r="I3439" s="84" t="str">
        <f aca="false">IF(B3439=Dashboard!$D$3,ROW(),"")</f>
        <v/>
      </c>
    </row>
    <row r="3440" customFormat="false" ht="15" hidden="false" customHeight="false" outlineLevel="0" collapsed="false">
      <c r="A3440" s="80"/>
      <c r="B3440" s="71"/>
      <c r="C3440" s="71"/>
      <c r="D3440" s="81"/>
      <c r="E3440" s="71"/>
      <c r="F3440" s="71"/>
      <c r="G3440" s="82" t="str">
        <f aca="false">IF(C3440="","",IFERROR(INDEX('Kit Lists'!$D$6:$D$605,MATCH(B3440&amp;"|"&amp;C3440,'Kit Lists'!$J$6:$J$605,0)),"Not on this contract's kit list"))</f>
        <v/>
      </c>
      <c r="H3440" s="83" t="str">
        <f aca="false">IF(AND(B3440="",C3440="",D3440=""),"",IF(B3440="","Missing contract",IF(C3440="","Missing code",IF(LEFT(G3440,3)="Not","Wrong code",IF(D3440="","Missing qty",IF(A3440="","Missing date",""))))))</f>
        <v/>
      </c>
      <c r="I3440" s="84" t="str">
        <f aca="false">IF(B3440=Dashboard!$D$3,ROW(),"")</f>
        <v/>
      </c>
    </row>
    <row r="3441" customFormat="false" ht="15" hidden="false" customHeight="false" outlineLevel="0" collapsed="false">
      <c r="A3441" s="80"/>
      <c r="B3441" s="71"/>
      <c r="C3441" s="71"/>
      <c r="D3441" s="81"/>
      <c r="E3441" s="71"/>
      <c r="F3441" s="71"/>
      <c r="G3441" s="82" t="str">
        <f aca="false">IF(C3441="","",IFERROR(INDEX('Kit Lists'!$D$6:$D$605,MATCH(B3441&amp;"|"&amp;C3441,'Kit Lists'!$J$6:$J$605,0)),"Not on this contract's kit list"))</f>
        <v/>
      </c>
      <c r="H3441" s="83" t="str">
        <f aca="false">IF(AND(B3441="",C3441="",D3441=""),"",IF(B3441="","Missing contract",IF(C3441="","Missing code",IF(LEFT(G3441,3)="Not","Wrong code",IF(D3441="","Missing qty",IF(A3441="","Missing date",""))))))</f>
        <v/>
      </c>
      <c r="I3441" s="84" t="str">
        <f aca="false">IF(B3441=Dashboard!$D$3,ROW(),"")</f>
        <v/>
      </c>
    </row>
    <row r="3442" customFormat="false" ht="15" hidden="false" customHeight="false" outlineLevel="0" collapsed="false">
      <c r="A3442" s="80"/>
      <c r="B3442" s="71"/>
      <c r="C3442" s="71"/>
      <c r="D3442" s="81"/>
      <c r="E3442" s="71"/>
      <c r="F3442" s="71"/>
      <c r="G3442" s="82" t="str">
        <f aca="false">IF(C3442="","",IFERROR(INDEX('Kit Lists'!$D$6:$D$605,MATCH(B3442&amp;"|"&amp;C3442,'Kit Lists'!$J$6:$J$605,0)),"Not on this contract's kit list"))</f>
        <v/>
      </c>
      <c r="H3442" s="83" t="str">
        <f aca="false">IF(AND(B3442="",C3442="",D3442=""),"",IF(B3442="","Missing contract",IF(C3442="","Missing code",IF(LEFT(G3442,3)="Not","Wrong code",IF(D3442="","Missing qty",IF(A3442="","Missing date",""))))))</f>
        <v/>
      </c>
      <c r="I3442" s="84" t="str">
        <f aca="false">IF(B3442=Dashboard!$D$3,ROW(),"")</f>
        <v/>
      </c>
    </row>
    <row r="3443" customFormat="false" ht="15" hidden="false" customHeight="false" outlineLevel="0" collapsed="false">
      <c r="A3443" s="80"/>
      <c r="B3443" s="71"/>
      <c r="C3443" s="71"/>
      <c r="D3443" s="81"/>
      <c r="E3443" s="71"/>
      <c r="F3443" s="71"/>
      <c r="G3443" s="82" t="str">
        <f aca="false">IF(C3443="","",IFERROR(INDEX('Kit Lists'!$D$6:$D$605,MATCH(B3443&amp;"|"&amp;C3443,'Kit Lists'!$J$6:$J$605,0)),"Not on this contract's kit list"))</f>
        <v/>
      </c>
      <c r="H3443" s="83" t="str">
        <f aca="false">IF(AND(B3443="",C3443="",D3443=""),"",IF(B3443="","Missing contract",IF(C3443="","Missing code",IF(LEFT(G3443,3)="Not","Wrong code",IF(D3443="","Missing qty",IF(A3443="","Missing date",""))))))</f>
        <v/>
      </c>
      <c r="I3443" s="84" t="str">
        <f aca="false">IF(B3443=Dashboard!$D$3,ROW(),"")</f>
        <v/>
      </c>
    </row>
    <row r="3444" customFormat="false" ht="15" hidden="false" customHeight="false" outlineLevel="0" collapsed="false">
      <c r="A3444" s="80"/>
      <c r="B3444" s="71"/>
      <c r="C3444" s="71"/>
      <c r="D3444" s="81"/>
      <c r="E3444" s="71"/>
      <c r="F3444" s="71"/>
      <c r="G3444" s="82" t="str">
        <f aca="false">IF(C3444="","",IFERROR(INDEX('Kit Lists'!$D$6:$D$605,MATCH(B3444&amp;"|"&amp;C3444,'Kit Lists'!$J$6:$J$605,0)),"Not on this contract's kit list"))</f>
        <v/>
      </c>
      <c r="H3444" s="83" t="str">
        <f aca="false">IF(AND(B3444="",C3444="",D3444=""),"",IF(B3444="","Missing contract",IF(C3444="","Missing code",IF(LEFT(G3444,3)="Not","Wrong code",IF(D3444="","Missing qty",IF(A3444="","Missing date",""))))))</f>
        <v/>
      </c>
      <c r="I3444" s="84" t="str">
        <f aca="false">IF(B3444=Dashboard!$D$3,ROW(),"")</f>
        <v/>
      </c>
    </row>
    <row r="3445" customFormat="false" ht="15" hidden="false" customHeight="false" outlineLevel="0" collapsed="false">
      <c r="A3445" s="80"/>
      <c r="B3445" s="71"/>
      <c r="C3445" s="71"/>
      <c r="D3445" s="81"/>
      <c r="E3445" s="71"/>
      <c r="F3445" s="71"/>
      <c r="G3445" s="82" t="str">
        <f aca="false">IF(C3445="","",IFERROR(INDEX('Kit Lists'!$D$6:$D$605,MATCH(B3445&amp;"|"&amp;C3445,'Kit Lists'!$J$6:$J$605,0)),"Not on this contract's kit list"))</f>
        <v/>
      </c>
      <c r="H3445" s="83" t="str">
        <f aca="false">IF(AND(B3445="",C3445="",D3445=""),"",IF(B3445="","Missing contract",IF(C3445="","Missing code",IF(LEFT(G3445,3)="Not","Wrong code",IF(D3445="","Missing qty",IF(A3445="","Missing date",""))))))</f>
        <v/>
      </c>
      <c r="I3445" s="84" t="str">
        <f aca="false">IF(B3445=Dashboard!$D$3,ROW(),"")</f>
        <v/>
      </c>
    </row>
    <row r="3446" customFormat="false" ht="15" hidden="false" customHeight="false" outlineLevel="0" collapsed="false">
      <c r="A3446" s="80"/>
      <c r="B3446" s="71"/>
      <c r="C3446" s="71"/>
      <c r="D3446" s="81"/>
      <c r="E3446" s="71"/>
      <c r="F3446" s="71"/>
      <c r="G3446" s="82" t="str">
        <f aca="false">IF(C3446="","",IFERROR(INDEX('Kit Lists'!$D$6:$D$605,MATCH(B3446&amp;"|"&amp;C3446,'Kit Lists'!$J$6:$J$605,0)),"Not on this contract's kit list"))</f>
        <v/>
      </c>
      <c r="H3446" s="83" t="str">
        <f aca="false">IF(AND(B3446="",C3446="",D3446=""),"",IF(B3446="","Missing contract",IF(C3446="","Missing code",IF(LEFT(G3446,3)="Not","Wrong code",IF(D3446="","Missing qty",IF(A3446="","Missing date",""))))))</f>
        <v/>
      </c>
      <c r="I3446" s="84" t="str">
        <f aca="false">IF(B3446=Dashboard!$D$3,ROW(),"")</f>
        <v/>
      </c>
    </row>
    <row r="3447" customFormat="false" ht="15" hidden="false" customHeight="false" outlineLevel="0" collapsed="false">
      <c r="A3447" s="80"/>
      <c r="B3447" s="71"/>
      <c r="C3447" s="71"/>
      <c r="D3447" s="81"/>
      <c r="E3447" s="71"/>
      <c r="F3447" s="71"/>
      <c r="G3447" s="82" t="str">
        <f aca="false">IF(C3447="","",IFERROR(INDEX('Kit Lists'!$D$6:$D$605,MATCH(B3447&amp;"|"&amp;C3447,'Kit Lists'!$J$6:$J$605,0)),"Not on this contract's kit list"))</f>
        <v/>
      </c>
      <c r="H3447" s="83" t="str">
        <f aca="false">IF(AND(B3447="",C3447="",D3447=""),"",IF(B3447="","Missing contract",IF(C3447="","Missing code",IF(LEFT(G3447,3)="Not","Wrong code",IF(D3447="","Missing qty",IF(A3447="","Missing date",""))))))</f>
        <v/>
      </c>
      <c r="I3447" s="84" t="str">
        <f aca="false">IF(B3447=Dashboard!$D$3,ROW(),"")</f>
        <v/>
      </c>
    </row>
    <row r="3448" customFormat="false" ht="15" hidden="false" customHeight="false" outlineLevel="0" collapsed="false">
      <c r="A3448" s="80"/>
      <c r="B3448" s="71"/>
      <c r="C3448" s="71"/>
      <c r="D3448" s="81"/>
      <c r="E3448" s="71"/>
      <c r="F3448" s="71"/>
      <c r="G3448" s="82" t="str">
        <f aca="false">IF(C3448="","",IFERROR(INDEX('Kit Lists'!$D$6:$D$605,MATCH(B3448&amp;"|"&amp;C3448,'Kit Lists'!$J$6:$J$605,0)),"Not on this contract's kit list"))</f>
        <v/>
      </c>
      <c r="H3448" s="83" t="str">
        <f aca="false">IF(AND(B3448="",C3448="",D3448=""),"",IF(B3448="","Missing contract",IF(C3448="","Missing code",IF(LEFT(G3448,3)="Not","Wrong code",IF(D3448="","Missing qty",IF(A3448="","Missing date",""))))))</f>
        <v/>
      </c>
      <c r="I3448" s="84" t="str">
        <f aca="false">IF(B3448=Dashboard!$D$3,ROW(),"")</f>
        <v/>
      </c>
    </row>
    <row r="3449" customFormat="false" ht="15" hidden="false" customHeight="false" outlineLevel="0" collapsed="false">
      <c r="A3449" s="80"/>
      <c r="B3449" s="71"/>
      <c r="C3449" s="71"/>
      <c r="D3449" s="81"/>
      <c r="E3449" s="71"/>
      <c r="F3449" s="71"/>
      <c r="G3449" s="82" t="str">
        <f aca="false">IF(C3449="","",IFERROR(INDEX('Kit Lists'!$D$6:$D$605,MATCH(B3449&amp;"|"&amp;C3449,'Kit Lists'!$J$6:$J$605,0)),"Not on this contract's kit list"))</f>
        <v/>
      </c>
      <c r="H3449" s="83" t="str">
        <f aca="false">IF(AND(B3449="",C3449="",D3449=""),"",IF(B3449="","Missing contract",IF(C3449="","Missing code",IF(LEFT(G3449,3)="Not","Wrong code",IF(D3449="","Missing qty",IF(A3449="","Missing date",""))))))</f>
        <v/>
      </c>
      <c r="I3449" s="84" t="str">
        <f aca="false">IF(B3449=Dashboard!$D$3,ROW(),"")</f>
        <v/>
      </c>
    </row>
    <row r="3450" customFormat="false" ht="15" hidden="false" customHeight="false" outlineLevel="0" collapsed="false">
      <c r="A3450" s="80"/>
      <c r="B3450" s="71"/>
      <c r="C3450" s="71"/>
      <c r="D3450" s="81"/>
      <c r="E3450" s="71"/>
      <c r="F3450" s="71"/>
      <c r="G3450" s="82" t="str">
        <f aca="false">IF(C3450="","",IFERROR(INDEX('Kit Lists'!$D$6:$D$605,MATCH(B3450&amp;"|"&amp;C3450,'Kit Lists'!$J$6:$J$605,0)),"Not on this contract's kit list"))</f>
        <v/>
      </c>
      <c r="H3450" s="83" t="str">
        <f aca="false">IF(AND(B3450="",C3450="",D3450=""),"",IF(B3450="","Missing contract",IF(C3450="","Missing code",IF(LEFT(G3450,3)="Not","Wrong code",IF(D3450="","Missing qty",IF(A3450="","Missing date",""))))))</f>
        <v/>
      </c>
      <c r="I3450" s="84" t="str">
        <f aca="false">IF(B3450=Dashboard!$D$3,ROW(),"")</f>
        <v/>
      </c>
    </row>
    <row r="3451" customFormat="false" ht="15" hidden="false" customHeight="false" outlineLevel="0" collapsed="false">
      <c r="A3451" s="80"/>
      <c r="B3451" s="71"/>
      <c r="C3451" s="71"/>
      <c r="D3451" s="81"/>
      <c r="E3451" s="71"/>
      <c r="F3451" s="71"/>
      <c r="G3451" s="82" t="str">
        <f aca="false">IF(C3451="","",IFERROR(INDEX('Kit Lists'!$D$6:$D$605,MATCH(B3451&amp;"|"&amp;C3451,'Kit Lists'!$J$6:$J$605,0)),"Not on this contract's kit list"))</f>
        <v/>
      </c>
      <c r="H3451" s="83" t="str">
        <f aca="false">IF(AND(B3451="",C3451="",D3451=""),"",IF(B3451="","Missing contract",IF(C3451="","Missing code",IF(LEFT(G3451,3)="Not","Wrong code",IF(D3451="","Missing qty",IF(A3451="","Missing date",""))))))</f>
        <v/>
      </c>
      <c r="I3451" s="84" t="str">
        <f aca="false">IF(B3451=Dashboard!$D$3,ROW(),"")</f>
        <v/>
      </c>
    </row>
    <row r="3452" customFormat="false" ht="15" hidden="false" customHeight="false" outlineLevel="0" collapsed="false">
      <c r="A3452" s="80"/>
      <c r="B3452" s="71"/>
      <c r="C3452" s="71"/>
      <c r="D3452" s="81"/>
      <c r="E3452" s="71"/>
      <c r="F3452" s="71"/>
      <c r="G3452" s="82" t="str">
        <f aca="false">IF(C3452="","",IFERROR(INDEX('Kit Lists'!$D$6:$D$605,MATCH(B3452&amp;"|"&amp;C3452,'Kit Lists'!$J$6:$J$605,0)),"Not on this contract's kit list"))</f>
        <v/>
      </c>
      <c r="H3452" s="83" t="str">
        <f aca="false">IF(AND(B3452="",C3452="",D3452=""),"",IF(B3452="","Missing contract",IF(C3452="","Missing code",IF(LEFT(G3452,3)="Not","Wrong code",IF(D3452="","Missing qty",IF(A3452="","Missing date",""))))))</f>
        <v/>
      </c>
      <c r="I3452" s="84" t="str">
        <f aca="false">IF(B3452=Dashboard!$D$3,ROW(),"")</f>
        <v/>
      </c>
    </row>
    <row r="3453" customFormat="false" ht="15" hidden="false" customHeight="false" outlineLevel="0" collapsed="false">
      <c r="A3453" s="80"/>
      <c r="B3453" s="71"/>
      <c r="C3453" s="71"/>
      <c r="D3453" s="81"/>
      <c r="E3453" s="71"/>
      <c r="F3453" s="71"/>
      <c r="G3453" s="82" t="str">
        <f aca="false">IF(C3453="","",IFERROR(INDEX('Kit Lists'!$D$6:$D$605,MATCH(B3453&amp;"|"&amp;C3453,'Kit Lists'!$J$6:$J$605,0)),"Not on this contract's kit list"))</f>
        <v/>
      </c>
      <c r="H3453" s="83" t="str">
        <f aca="false">IF(AND(B3453="",C3453="",D3453=""),"",IF(B3453="","Missing contract",IF(C3453="","Missing code",IF(LEFT(G3453,3)="Not","Wrong code",IF(D3453="","Missing qty",IF(A3453="","Missing date",""))))))</f>
        <v/>
      </c>
      <c r="I3453" s="84" t="str">
        <f aca="false">IF(B3453=Dashboard!$D$3,ROW(),"")</f>
        <v/>
      </c>
    </row>
    <row r="3454" customFormat="false" ht="15" hidden="false" customHeight="false" outlineLevel="0" collapsed="false">
      <c r="A3454" s="80"/>
      <c r="B3454" s="71"/>
      <c r="C3454" s="71"/>
      <c r="D3454" s="81"/>
      <c r="E3454" s="71"/>
      <c r="F3454" s="71"/>
      <c r="G3454" s="82" t="str">
        <f aca="false">IF(C3454="","",IFERROR(INDEX('Kit Lists'!$D$6:$D$605,MATCH(B3454&amp;"|"&amp;C3454,'Kit Lists'!$J$6:$J$605,0)),"Not on this contract's kit list"))</f>
        <v/>
      </c>
      <c r="H3454" s="83" t="str">
        <f aca="false">IF(AND(B3454="",C3454="",D3454=""),"",IF(B3454="","Missing contract",IF(C3454="","Missing code",IF(LEFT(G3454,3)="Not","Wrong code",IF(D3454="","Missing qty",IF(A3454="","Missing date",""))))))</f>
        <v/>
      </c>
      <c r="I3454" s="84" t="str">
        <f aca="false">IF(B3454=Dashboard!$D$3,ROW(),"")</f>
        <v/>
      </c>
    </row>
    <row r="3455" customFormat="false" ht="15" hidden="false" customHeight="false" outlineLevel="0" collapsed="false">
      <c r="A3455" s="80"/>
      <c r="B3455" s="71"/>
      <c r="C3455" s="71"/>
      <c r="D3455" s="81"/>
      <c r="E3455" s="71"/>
      <c r="F3455" s="71"/>
      <c r="G3455" s="82" t="str">
        <f aca="false">IF(C3455="","",IFERROR(INDEX('Kit Lists'!$D$6:$D$605,MATCH(B3455&amp;"|"&amp;C3455,'Kit Lists'!$J$6:$J$605,0)),"Not on this contract's kit list"))</f>
        <v/>
      </c>
      <c r="H3455" s="83" t="str">
        <f aca="false">IF(AND(B3455="",C3455="",D3455=""),"",IF(B3455="","Missing contract",IF(C3455="","Missing code",IF(LEFT(G3455,3)="Not","Wrong code",IF(D3455="","Missing qty",IF(A3455="","Missing date",""))))))</f>
        <v/>
      </c>
      <c r="I3455" s="84" t="str">
        <f aca="false">IF(B3455=Dashboard!$D$3,ROW(),"")</f>
        <v/>
      </c>
    </row>
    <row r="3456" customFormat="false" ht="15" hidden="false" customHeight="false" outlineLevel="0" collapsed="false">
      <c r="A3456" s="80"/>
      <c r="B3456" s="71"/>
      <c r="C3456" s="71"/>
      <c r="D3456" s="81"/>
      <c r="E3456" s="71"/>
      <c r="F3456" s="71"/>
      <c r="G3456" s="82" t="str">
        <f aca="false">IF(C3456="","",IFERROR(INDEX('Kit Lists'!$D$6:$D$605,MATCH(B3456&amp;"|"&amp;C3456,'Kit Lists'!$J$6:$J$605,0)),"Not on this contract's kit list"))</f>
        <v/>
      </c>
      <c r="H3456" s="83" t="str">
        <f aca="false">IF(AND(B3456="",C3456="",D3456=""),"",IF(B3456="","Missing contract",IF(C3456="","Missing code",IF(LEFT(G3456,3)="Not","Wrong code",IF(D3456="","Missing qty",IF(A3456="","Missing date",""))))))</f>
        <v/>
      </c>
      <c r="I3456" s="84" t="str">
        <f aca="false">IF(B3456=Dashboard!$D$3,ROW(),"")</f>
        <v/>
      </c>
    </row>
    <row r="3457" customFormat="false" ht="15" hidden="false" customHeight="false" outlineLevel="0" collapsed="false">
      <c r="A3457" s="80"/>
      <c r="B3457" s="71"/>
      <c r="C3457" s="71"/>
      <c r="D3457" s="81"/>
      <c r="E3457" s="71"/>
      <c r="F3457" s="71"/>
      <c r="G3457" s="82" t="str">
        <f aca="false">IF(C3457="","",IFERROR(INDEX('Kit Lists'!$D$6:$D$605,MATCH(B3457&amp;"|"&amp;C3457,'Kit Lists'!$J$6:$J$605,0)),"Not on this contract's kit list"))</f>
        <v/>
      </c>
      <c r="H3457" s="83" t="str">
        <f aca="false">IF(AND(B3457="",C3457="",D3457=""),"",IF(B3457="","Missing contract",IF(C3457="","Missing code",IF(LEFT(G3457,3)="Not","Wrong code",IF(D3457="","Missing qty",IF(A3457="","Missing date",""))))))</f>
        <v/>
      </c>
      <c r="I3457" s="84" t="str">
        <f aca="false">IF(B3457=Dashboard!$D$3,ROW(),"")</f>
        <v/>
      </c>
    </row>
    <row r="3458" customFormat="false" ht="15" hidden="false" customHeight="false" outlineLevel="0" collapsed="false">
      <c r="A3458" s="80"/>
      <c r="B3458" s="71"/>
      <c r="C3458" s="71"/>
      <c r="D3458" s="81"/>
      <c r="E3458" s="71"/>
      <c r="F3458" s="71"/>
      <c r="G3458" s="82" t="str">
        <f aca="false">IF(C3458="","",IFERROR(INDEX('Kit Lists'!$D$6:$D$605,MATCH(B3458&amp;"|"&amp;C3458,'Kit Lists'!$J$6:$J$605,0)),"Not on this contract's kit list"))</f>
        <v/>
      </c>
      <c r="H3458" s="83" t="str">
        <f aca="false">IF(AND(B3458="",C3458="",D3458=""),"",IF(B3458="","Missing contract",IF(C3458="","Missing code",IF(LEFT(G3458,3)="Not","Wrong code",IF(D3458="","Missing qty",IF(A3458="","Missing date",""))))))</f>
        <v/>
      </c>
      <c r="I3458" s="84" t="str">
        <f aca="false">IF(B3458=Dashboard!$D$3,ROW(),"")</f>
        <v/>
      </c>
    </row>
    <row r="3459" customFormat="false" ht="15" hidden="false" customHeight="false" outlineLevel="0" collapsed="false">
      <c r="A3459" s="80"/>
      <c r="B3459" s="71"/>
      <c r="C3459" s="71"/>
      <c r="D3459" s="81"/>
      <c r="E3459" s="71"/>
      <c r="F3459" s="71"/>
      <c r="G3459" s="82" t="str">
        <f aca="false">IF(C3459="","",IFERROR(INDEX('Kit Lists'!$D$6:$D$605,MATCH(B3459&amp;"|"&amp;C3459,'Kit Lists'!$J$6:$J$605,0)),"Not on this contract's kit list"))</f>
        <v/>
      </c>
      <c r="H3459" s="83" t="str">
        <f aca="false">IF(AND(B3459="",C3459="",D3459=""),"",IF(B3459="","Missing contract",IF(C3459="","Missing code",IF(LEFT(G3459,3)="Not","Wrong code",IF(D3459="","Missing qty",IF(A3459="","Missing date",""))))))</f>
        <v/>
      </c>
      <c r="I3459" s="84" t="str">
        <f aca="false">IF(B3459=Dashboard!$D$3,ROW(),"")</f>
        <v/>
      </c>
    </row>
    <row r="3460" customFormat="false" ht="15" hidden="false" customHeight="false" outlineLevel="0" collapsed="false">
      <c r="A3460" s="80"/>
      <c r="B3460" s="71"/>
      <c r="C3460" s="71"/>
      <c r="D3460" s="81"/>
      <c r="E3460" s="71"/>
      <c r="F3460" s="71"/>
      <c r="G3460" s="82" t="str">
        <f aca="false">IF(C3460="","",IFERROR(INDEX('Kit Lists'!$D$6:$D$605,MATCH(B3460&amp;"|"&amp;C3460,'Kit Lists'!$J$6:$J$605,0)),"Not on this contract's kit list"))</f>
        <v/>
      </c>
      <c r="H3460" s="83" t="str">
        <f aca="false">IF(AND(B3460="",C3460="",D3460=""),"",IF(B3460="","Missing contract",IF(C3460="","Missing code",IF(LEFT(G3460,3)="Not","Wrong code",IF(D3460="","Missing qty",IF(A3460="","Missing date",""))))))</f>
        <v/>
      </c>
      <c r="I3460" s="84" t="str">
        <f aca="false">IF(B3460=Dashboard!$D$3,ROW(),"")</f>
        <v/>
      </c>
    </row>
    <row r="3461" customFormat="false" ht="15" hidden="false" customHeight="false" outlineLevel="0" collapsed="false">
      <c r="A3461" s="80"/>
      <c r="B3461" s="71"/>
      <c r="C3461" s="71"/>
      <c r="D3461" s="81"/>
      <c r="E3461" s="71"/>
      <c r="F3461" s="71"/>
      <c r="G3461" s="82" t="str">
        <f aca="false">IF(C3461="","",IFERROR(INDEX('Kit Lists'!$D$6:$D$605,MATCH(B3461&amp;"|"&amp;C3461,'Kit Lists'!$J$6:$J$605,0)),"Not on this contract's kit list"))</f>
        <v/>
      </c>
      <c r="H3461" s="83" t="str">
        <f aca="false">IF(AND(B3461="",C3461="",D3461=""),"",IF(B3461="","Missing contract",IF(C3461="","Missing code",IF(LEFT(G3461,3)="Not","Wrong code",IF(D3461="","Missing qty",IF(A3461="","Missing date",""))))))</f>
        <v/>
      </c>
      <c r="I3461" s="84" t="str">
        <f aca="false">IF(B3461=Dashboard!$D$3,ROW(),"")</f>
        <v/>
      </c>
    </row>
    <row r="3462" customFormat="false" ht="15" hidden="false" customHeight="false" outlineLevel="0" collapsed="false">
      <c r="A3462" s="80"/>
      <c r="B3462" s="71"/>
      <c r="C3462" s="71"/>
      <c r="D3462" s="81"/>
      <c r="E3462" s="71"/>
      <c r="F3462" s="71"/>
      <c r="G3462" s="82" t="str">
        <f aca="false">IF(C3462="","",IFERROR(INDEX('Kit Lists'!$D$6:$D$605,MATCH(B3462&amp;"|"&amp;C3462,'Kit Lists'!$J$6:$J$605,0)),"Not on this contract's kit list"))</f>
        <v/>
      </c>
      <c r="H3462" s="83" t="str">
        <f aca="false">IF(AND(B3462="",C3462="",D3462=""),"",IF(B3462="","Missing contract",IF(C3462="","Missing code",IF(LEFT(G3462,3)="Not","Wrong code",IF(D3462="","Missing qty",IF(A3462="","Missing date",""))))))</f>
        <v/>
      </c>
      <c r="I3462" s="84" t="str">
        <f aca="false">IF(B3462=Dashboard!$D$3,ROW(),"")</f>
        <v/>
      </c>
    </row>
    <row r="3463" customFormat="false" ht="15" hidden="false" customHeight="false" outlineLevel="0" collapsed="false">
      <c r="A3463" s="80"/>
      <c r="B3463" s="71"/>
      <c r="C3463" s="71"/>
      <c r="D3463" s="81"/>
      <c r="E3463" s="71"/>
      <c r="F3463" s="71"/>
      <c r="G3463" s="82" t="str">
        <f aca="false">IF(C3463="","",IFERROR(INDEX('Kit Lists'!$D$6:$D$605,MATCH(B3463&amp;"|"&amp;C3463,'Kit Lists'!$J$6:$J$605,0)),"Not on this contract's kit list"))</f>
        <v/>
      </c>
      <c r="H3463" s="83" t="str">
        <f aca="false">IF(AND(B3463="",C3463="",D3463=""),"",IF(B3463="","Missing contract",IF(C3463="","Missing code",IF(LEFT(G3463,3)="Not","Wrong code",IF(D3463="","Missing qty",IF(A3463="","Missing date",""))))))</f>
        <v/>
      </c>
      <c r="I3463" s="84" t="str">
        <f aca="false">IF(B3463=Dashboard!$D$3,ROW(),"")</f>
        <v/>
      </c>
    </row>
    <row r="3464" customFormat="false" ht="15" hidden="false" customHeight="false" outlineLevel="0" collapsed="false">
      <c r="A3464" s="80"/>
      <c r="B3464" s="71"/>
      <c r="C3464" s="71"/>
      <c r="D3464" s="81"/>
      <c r="E3464" s="71"/>
      <c r="F3464" s="71"/>
      <c r="G3464" s="82" t="str">
        <f aca="false">IF(C3464="","",IFERROR(INDEX('Kit Lists'!$D$6:$D$605,MATCH(B3464&amp;"|"&amp;C3464,'Kit Lists'!$J$6:$J$605,0)),"Not on this contract's kit list"))</f>
        <v/>
      </c>
      <c r="H3464" s="83" t="str">
        <f aca="false">IF(AND(B3464="",C3464="",D3464=""),"",IF(B3464="","Missing contract",IF(C3464="","Missing code",IF(LEFT(G3464,3)="Not","Wrong code",IF(D3464="","Missing qty",IF(A3464="","Missing date",""))))))</f>
        <v/>
      </c>
      <c r="I3464" s="84" t="str">
        <f aca="false">IF(B3464=Dashboard!$D$3,ROW(),"")</f>
        <v/>
      </c>
    </row>
    <row r="3465" customFormat="false" ht="15" hidden="false" customHeight="false" outlineLevel="0" collapsed="false">
      <c r="A3465" s="80"/>
      <c r="B3465" s="71"/>
      <c r="C3465" s="71"/>
      <c r="D3465" s="81"/>
      <c r="E3465" s="71"/>
      <c r="F3465" s="71"/>
      <c r="G3465" s="82" t="str">
        <f aca="false">IF(C3465="","",IFERROR(INDEX('Kit Lists'!$D$6:$D$605,MATCH(B3465&amp;"|"&amp;C3465,'Kit Lists'!$J$6:$J$605,0)),"Not on this contract's kit list"))</f>
        <v/>
      </c>
      <c r="H3465" s="83" t="str">
        <f aca="false">IF(AND(B3465="",C3465="",D3465=""),"",IF(B3465="","Missing contract",IF(C3465="","Missing code",IF(LEFT(G3465,3)="Not","Wrong code",IF(D3465="","Missing qty",IF(A3465="","Missing date",""))))))</f>
        <v/>
      </c>
      <c r="I3465" s="84" t="str">
        <f aca="false">IF(B3465=Dashboard!$D$3,ROW(),"")</f>
        <v/>
      </c>
    </row>
    <row r="3466" customFormat="false" ht="15" hidden="false" customHeight="false" outlineLevel="0" collapsed="false">
      <c r="A3466" s="80"/>
      <c r="B3466" s="71"/>
      <c r="C3466" s="71"/>
      <c r="D3466" s="81"/>
      <c r="E3466" s="71"/>
      <c r="F3466" s="71"/>
      <c r="G3466" s="82" t="str">
        <f aca="false">IF(C3466="","",IFERROR(INDEX('Kit Lists'!$D$6:$D$605,MATCH(B3466&amp;"|"&amp;C3466,'Kit Lists'!$J$6:$J$605,0)),"Not on this contract's kit list"))</f>
        <v/>
      </c>
      <c r="H3466" s="83" t="str">
        <f aca="false">IF(AND(B3466="",C3466="",D3466=""),"",IF(B3466="","Missing contract",IF(C3466="","Missing code",IF(LEFT(G3466,3)="Not","Wrong code",IF(D3466="","Missing qty",IF(A3466="","Missing date",""))))))</f>
        <v/>
      </c>
      <c r="I3466" s="84" t="str">
        <f aca="false">IF(B3466=Dashboard!$D$3,ROW(),"")</f>
        <v/>
      </c>
    </row>
    <row r="3467" customFormat="false" ht="15" hidden="false" customHeight="false" outlineLevel="0" collapsed="false">
      <c r="A3467" s="80"/>
      <c r="B3467" s="71"/>
      <c r="C3467" s="71"/>
      <c r="D3467" s="81"/>
      <c r="E3467" s="71"/>
      <c r="F3467" s="71"/>
      <c r="G3467" s="82" t="str">
        <f aca="false">IF(C3467="","",IFERROR(INDEX('Kit Lists'!$D$6:$D$605,MATCH(B3467&amp;"|"&amp;C3467,'Kit Lists'!$J$6:$J$605,0)),"Not on this contract's kit list"))</f>
        <v/>
      </c>
      <c r="H3467" s="83" t="str">
        <f aca="false">IF(AND(B3467="",C3467="",D3467=""),"",IF(B3467="","Missing contract",IF(C3467="","Missing code",IF(LEFT(G3467,3)="Not","Wrong code",IF(D3467="","Missing qty",IF(A3467="","Missing date",""))))))</f>
        <v/>
      </c>
      <c r="I3467" s="84" t="str">
        <f aca="false">IF(B3467=Dashboard!$D$3,ROW(),"")</f>
        <v/>
      </c>
    </row>
    <row r="3468" customFormat="false" ht="15" hidden="false" customHeight="false" outlineLevel="0" collapsed="false">
      <c r="A3468" s="80"/>
      <c r="B3468" s="71"/>
      <c r="C3468" s="71"/>
      <c r="D3468" s="81"/>
      <c r="E3468" s="71"/>
      <c r="F3468" s="71"/>
      <c r="G3468" s="82" t="str">
        <f aca="false">IF(C3468="","",IFERROR(INDEX('Kit Lists'!$D$6:$D$605,MATCH(B3468&amp;"|"&amp;C3468,'Kit Lists'!$J$6:$J$605,0)),"Not on this contract's kit list"))</f>
        <v/>
      </c>
      <c r="H3468" s="83" t="str">
        <f aca="false">IF(AND(B3468="",C3468="",D3468=""),"",IF(B3468="","Missing contract",IF(C3468="","Missing code",IF(LEFT(G3468,3)="Not","Wrong code",IF(D3468="","Missing qty",IF(A3468="","Missing date",""))))))</f>
        <v/>
      </c>
      <c r="I3468" s="84" t="str">
        <f aca="false">IF(B3468=Dashboard!$D$3,ROW(),"")</f>
        <v/>
      </c>
    </row>
    <row r="3469" customFormat="false" ht="15" hidden="false" customHeight="false" outlineLevel="0" collapsed="false">
      <c r="A3469" s="80"/>
      <c r="B3469" s="71"/>
      <c r="C3469" s="71"/>
      <c r="D3469" s="81"/>
      <c r="E3469" s="71"/>
      <c r="F3469" s="71"/>
      <c r="G3469" s="82" t="str">
        <f aca="false">IF(C3469="","",IFERROR(INDEX('Kit Lists'!$D$6:$D$605,MATCH(B3469&amp;"|"&amp;C3469,'Kit Lists'!$J$6:$J$605,0)),"Not on this contract's kit list"))</f>
        <v/>
      </c>
      <c r="H3469" s="83" t="str">
        <f aca="false">IF(AND(B3469="",C3469="",D3469=""),"",IF(B3469="","Missing contract",IF(C3469="","Missing code",IF(LEFT(G3469,3)="Not","Wrong code",IF(D3469="","Missing qty",IF(A3469="","Missing date",""))))))</f>
        <v/>
      </c>
      <c r="I3469" s="84" t="str">
        <f aca="false">IF(B3469=Dashboard!$D$3,ROW(),"")</f>
        <v/>
      </c>
    </row>
    <row r="3470" customFormat="false" ht="15" hidden="false" customHeight="false" outlineLevel="0" collapsed="false">
      <c r="A3470" s="80"/>
      <c r="B3470" s="71"/>
      <c r="C3470" s="71"/>
      <c r="D3470" s="81"/>
      <c r="E3470" s="71"/>
      <c r="F3470" s="71"/>
      <c r="G3470" s="82" t="str">
        <f aca="false">IF(C3470="","",IFERROR(INDEX('Kit Lists'!$D$6:$D$605,MATCH(B3470&amp;"|"&amp;C3470,'Kit Lists'!$J$6:$J$605,0)),"Not on this contract's kit list"))</f>
        <v/>
      </c>
      <c r="H3470" s="83" t="str">
        <f aca="false">IF(AND(B3470="",C3470="",D3470=""),"",IF(B3470="","Missing contract",IF(C3470="","Missing code",IF(LEFT(G3470,3)="Not","Wrong code",IF(D3470="","Missing qty",IF(A3470="","Missing date",""))))))</f>
        <v/>
      </c>
      <c r="I3470" s="84" t="str">
        <f aca="false">IF(B3470=Dashboard!$D$3,ROW(),"")</f>
        <v/>
      </c>
    </row>
    <row r="3471" customFormat="false" ht="15" hidden="false" customHeight="false" outlineLevel="0" collapsed="false">
      <c r="A3471" s="80"/>
      <c r="B3471" s="71"/>
      <c r="C3471" s="71"/>
      <c r="D3471" s="81"/>
      <c r="E3471" s="71"/>
      <c r="F3471" s="71"/>
      <c r="G3471" s="82" t="str">
        <f aca="false">IF(C3471="","",IFERROR(INDEX('Kit Lists'!$D$6:$D$605,MATCH(B3471&amp;"|"&amp;C3471,'Kit Lists'!$J$6:$J$605,0)),"Not on this contract's kit list"))</f>
        <v/>
      </c>
      <c r="H3471" s="83" t="str">
        <f aca="false">IF(AND(B3471="",C3471="",D3471=""),"",IF(B3471="","Missing contract",IF(C3471="","Missing code",IF(LEFT(G3471,3)="Not","Wrong code",IF(D3471="","Missing qty",IF(A3471="","Missing date",""))))))</f>
        <v/>
      </c>
      <c r="I3471" s="84" t="str">
        <f aca="false">IF(B3471=Dashboard!$D$3,ROW(),"")</f>
        <v/>
      </c>
    </row>
    <row r="3472" customFormat="false" ht="15" hidden="false" customHeight="false" outlineLevel="0" collapsed="false">
      <c r="A3472" s="80"/>
      <c r="B3472" s="71"/>
      <c r="C3472" s="71"/>
      <c r="D3472" s="81"/>
      <c r="E3472" s="71"/>
      <c r="F3472" s="71"/>
      <c r="G3472" s="82" t="str">
        <f aca="false">IF(C3472="","",IFERROR(INDEX('Kit Lists'!$D$6:$D$605,MATCH(B3472&amp;"|"&amp;C3472,'Kit Lists'!$J$6:$J$605,0)),"Not on this contract's kit list"))</f>
        <v/>
      </c>
      <c r="H3472" s="83" t="str">
        <f aca="false">IF(AND(B3472="",C3472="",D3472=""),"",IF(B3472="","Missing contract",IF(C3472="","Missing code",IF(LEFT(G3472,3)="Not","Wrong code",IF(D3472="","Missing qty",IF(A3472="","Missing date",""))))))</f>
        <v/>
      </c>
      <c r="I3472" s="84" t="str">
        <f aca="false">IF(B3472=Dashboard!$D$3,ROW(),"")</f>
        <v/>
      </c>
    </row>
    <row r="3473" customFormat="false" ht="15" hidden="false" customHeight="false" outlineLevel="0" collapsed="false">
      <c r="A3473" s="80"/>
      <c r="B3473" s="71"/>
      <c r="C3473" s="71"/>
      <c r="D3473" s="81"/>
      <c r="E3473" s="71"/>
      <c r="F3473" s="71"/>
      <c r="G3473" s="82" t="str">
        <f aca="false">IF(C3473="","",IFERROR(INDEX('Kit Lists'!$D$6:$D$605,MATCH(B3473&amp;"|"&amp;C3473,'Kit Lists'!$J$6:$J$605,0)),"Not on this contract's kit list"))</f>
        <v/>
      </c>
      <c r="H3473" s="83" t="str">
        <f aca="false">IF(AND(B3473="",C3473="",D3473=""),"",IF(B3473="","Missing contract",IF(C3473="","Missing code",IF(LEFT(G3473,3)="Not","Wrong code",IF(D3473="","Missing qty",IF(A3473="","Missing date",""))))))</f>
        <v/>
      </c>
      <c r="I3473" s="84" t="str">
        <f aca="false">IF(B3473=Dashboard!$D$3,ROW(),"")</f>
        <v/>
      </c>
    </row>
    <row r="3474" customFormat="false" ht="15" hidden="false" customHeight="false" outlineLevel="0" collapsed="false">
      <c r="A3474" s="80"/>
      <c r="B3474" s="71"/>
      <c r="C3474" s="71"/>
      <c r="D3474" s="81"/>
      <c r="E3474" s="71"/>
      <c r="F3474" s="71"/>
      <c r="G3474" s="82" t="str">
        <f aca="false">IF(C3474="","",IFERROR(INDEX('Kit Lists'!$D$6:$D$605,MATCH(B3474&amp;"|"&amp;C3474,'Kit Lists'!$J$6:$J$605,0)),"Not on this contract's kit list"))</f>
        <v/>
      </c>
      <c r="H3474" s="83" t="str">
        <f aca="false">IF(AND(B3474="",C3474="",D3474=""),"",IF(B3474="","Missing contract",IF(C3474="","Missing code",IF(LEFT(G3474,3)="Not","Wrong code",IF(D3474="","Missing qty",IF(A3474="","Missing date",""))))))</f>
        <v/>
      </c>
      <c r="I3474" s="84" t="str">
        <f aca="false">IF(B3474=Dashboard!$D$3,ROW(),"")</f>
        <v/>
      </c>
    </row>
    <row r="3475" customFormat="false" ht="15" hidden="false" customHeight="false" outlineLevel="0" collapsed="false">
      <c r="A3475" s="80"/>
      <c r="B3475" s="71"/>
      <c r="C3475" s="71"/>
      <c r="D3475" s="81"/>
      <c r="E3475" s="71"/>
      <c r="F3475" s="71"/>
      <c r="G3475" s="82" t="str">
        <f aca="false">IF(C3475="","",IFERROR(INDEX('Kit Lists'!$D$6:$D$605,MATCH(B3475&amp;"|"&amp;C3475,'Kit Lists'!$J$6:$J$605,0)),"Not on this contract's kit list"))</f>
        <v/>
      </c>
      <c r="H3475" s="83" t="str">
        <f aca="false">IF(AND(B3475="",C3475="",D3475=""),"",IF(B3475="","Missing contract",IF(C3475="","Missing code",IF(LEFT(G3475,3)="Not","Wrong code",IF(D3475="","Missing qty",IF(A3475="","Missing date",""))))))</f>
        <v/>
      </c>
      <c r="I3475" s="84" t="str">
        <f aca="false">IF(B3475=Dashboard!$D$3,ROW(),"")</f>
        <v/>
      </c>
    </row>
    <row r="3476" customFormat="false" ht="15" hidden="false" customHeight="false" outlineLevel="0" collapsed="false">
      <c r="A3476" s="80"/>
      <c r="B3476" s="71"/>
      <c r="C3476" s="71"/>
      <c r="D3476" s="81"/>
      <c r="E3476" s="71"/>
      <c r="F3476" s="71"/>
      <c r="G3476" s="82" t="str">
        <f aca="false">IF(C3476="","",IFERROR(INDEX('Kit Lists'!$D$6:$D$605,MATCH(B3476&amp;"|"&amp;C3476,'Kit Lists'!$J$6:$J$605,0)),"Not on this contract's kit list"))</f>
        <v/>
      </c>
      <c r="H3476" s="83" t="str">
        <f aca="false">IF(AND(B3476="",C3476="",D3476=""),"",IF(B3476="","Missing contract",IF(C3476="","Missing code",IF(LEFT(G3476,3)="Not","Wrong code",IF(D3476="","Missing qty",IF(A3476="","Missing date",""))))))</f>
        <v/>
      </c>
      <c r="I3476" s="84" t="str">
        <f aca="false">IF(B3476=Dashboard!$D$3,ROW(),"")</f>
        <v/>
      </c>
    </row>
    <row r="3477" customFormat="false" ht="15" hidden="false" customHeight="false" outlineLevel="0" collapsed="false">
      <c r="A3477" s="80"/>
      <c r="B3477" s="71"/>
      <c r="C3477" s="71"/>
      <c r="D3477" s="81"/>
      <c r="E3477" s="71"/>
      <c r="F3477" s="71"/>
      <c r="G3477" s="82" t="str">
        <f aca="false">IF(C3477="","",IFERROR(INDEX('Kit Lists'!$D$6:$D$605,MATCH(B3477&amp;"|"&amp;C3477,'Kit Lists'!$J$6:$J$605,0)),"Not on this contract's kit list"))</f>
        <v/>
      </c>
      <c r="H3477" s="83" t="str">
        <f aca="false">IF(AND(B3477="",C3477="",D3477=""),"",IF(B3477="","Missing contract",IF(C3477="","Missing code",IF(LEFT(G3477,3)="Not","Wrong code",IF(D3477="","Missing qty",IF(A3477="","Missing date",""))))))</f>
        <v/>
      </c>
      <c r="I3477" s="84" t="str">
        <f aca="false">IF(B3477=Dashboard!$D$3,ROW(),"")</f>
        <v/>
      </c>
    </row>
    <row r="3478" customFormat="false" ht="15" hidden="false" customHeight="false" outlineLevel="0" collapsed="false">
      <c r="A3478" s="80"/>
      <c r="B3478" s="71"/>
      <c r="C3478" s="71"/>
      <c r="D3478" s="81"/>
      <c r="E3478" s="71"/>
      <c r="F3478" s="71"/>
      <c r="G3478" s="82" t="str">
        <f aca="false">IF(C3478="","",IFERROR(INDEX('Kit Lists'!$D$6:$D$605,MATCH(B3478&amp;"|"&amp;C3478,'Kit Lists'!$J$6:$J$605,0)),"Not on this contract's kit list"))</f>
        <v/>
      </c>
      <c r="H3478" s="83" t="str">
        <f aca="false">IF(AND(B3478="",C3478="",D3478=""),"",IF(B3478="","Missing contract",IF(C3478="","Missing code",IF(LEFT(G3478,3)="Not","Wrong code",IF(D3478="","Missing qty",IF(A3478="","Missing date",""))))))</f>
        <v/>
      </c>
      <c r="I3478" s="84" t="str">
        <f aca="false">IF(B3478=Dashboard!$D$3,ROW(),"")</f>
        <v/>
      </c>
    </row>
    <row r="3479" customFormat="false" ht="15" hidden="false" customHeight="false" outlineLevel="0" collapsed="false">
      <c r="A3479" s="80"/>
      <c r="B3479" s="71"/>
      <c r="C3479" s="71"/>
      <c r="D3479" s="81"/>
      <c r="E3479" s="71"/>
      <c r="F3479" s="71"/>
      <c r="G3479" s="82" t="str">
        <f aca="false">IF(C3479="","",IFERROR(INDEX('Kit Lists'!$D$6:$D$605,MATCH(B3479&amp;"|"&amp;C3479,'Kit Lists'!$J$6:$J$605,0)),"Not on this contract's kit list"))</f>
        <v/>
      </c>
      <c r="H3479" s="83" t="str">
        <f aca="false">IF(AND(B3479="",C3479="",D3479=""),"",IF(B3479="","Missing contract",IF(C3479="","Missing code",IF(LEFT(G3479,3)="Not","Wrong code",IF(D3479="","Missing qty",IF(A3479="","Missing date",""))))))</f>
        <v/>
      </c>
      <c r="I3479" s="84" t="str">
        <f aca="false">IF(B3479=Dashboard!$D$3,ROW(),"")</f>
        <v/>
      </c>
    </row>
    <row r="3480" customFormat="false" ht="15" hidden="false" customHeight="false" outlineLevel="0" collapsed="false">
      <c r="A3480" s="80"/>
      <c r="B3480" s="71"/>
      <c r="C3480" s="71"/>
      <c r="D3480" s="81"/>
      <c r="E3480" s="71"/>
      <c r="F3480" s="71"/>
      <c r="G3480" s="82" t="str">
        <f aca="false">IF(C3480="","",IFERROR(INDEX('Kit Lists'!$D$6:$D$605,MATCH(B3480&amp;"|"&amp;C3480,'Kit Lists'!$J$6:$J$605,0)),"Not on this contract's kit list"))</f>
        <v/>
      </c>
      <c r="H3480" s="83" t="str">
        <f aca="false">IF(AND(B3480="",C3480="",D3480=""),"",IF(B3480="","Missing contract",IF(C3480="","Missing code",IF(LEFT(G3480,3)="Not","Wrong code",IF(D3480="","Missing qty",IF(A3480="","Missing date",""))))))</f>
        <v/>
      </c>
      <c r="I3480" s="84" t="str">
        <f aca="false">IF(B3480=Dashboard!$D$3,ROW(),"")</f>
        <v/>
      </c>
    </row>
    <row r="3481" customFormat="false" ht="15" hidden="false" customHeight="false" outlineLevel="0" collapsed="false">
      <c r="A3481" s="80"/>
      <c r="B3481" s="71"/>
      <c r="C3481" s="71"/>
      <c r="D3481" s="81"/>
      <c r="E3481" s="71"/>
      <c r="F3481" s="71"/>
      <c r="G3481" s="82" t="str">
        <f aca="false">IF(C3481="","",IFERROR(INDEX('Kit Lists'!$D$6:$D$605,MATCH(B3481&amp;"|"&amp;C3481,'Kit Lists'!$J$6:$J$605,0)),"Not on this contract's kit list"))</f>
        <v/>
      </c>
      <c r="H3481" s="83" t="str">
        <f aca="false">IF(AND(B3481="",C3481="",D3481=""),"",IF(B3481="","Missing contract",IF(C3481="","Missing code",IF(LEFT(G3481,3)="Not","Wrong code",IF(D3481="","Missing qty",IF(A3481="","Missing date",""))))))</f>
        <v/>
      </c>
      <c r="I3481" s="84" t="str">
        <f aca="false">IF(B3481=Dashboard!$D$3,ROW(),"")</f>
        <v/>
      </c>
    </row>
    <row r="3482" customFormat="false" ht="15" hidden="false" customHeight="false" outlineLevel="0" collapsed="false">
      <c r="A3482" s="80"/>
      <c r="B3482" s="71"/>
      <c r="C3482" s="71"/>
      <c r="D3482" s="81"/>
      <c r="E3482" s="71"/>
      <c r="F3482" s="71"/>
      <c r="G3482" s="82" t="str">
        <f aca="false">IF(C3482="","",IFERROR(INDEX('Kit Lists'!$D$6:$D$605,MATCH(B3482&amp;"|"&amp;C3482,'Kit Lists'!$J$6:$J$605,0)),"Not on this contract's kit list"))</f>
        <v/>
      </c>
      <c r="H3482" s="83" t="str">
        <f aca="false">IF(AND(B3482="",C3482="",D3482=""),"",IF(B3482="","Missing contract",IF(C3482="","Missing code",IF(LEFT(G3482,3)="Not","Wrong code",IF(D3482="","Missing qty",IF(A3482="","Missing date",""))))))</f>
        <v/>
      </c>
      <c r="I3482" s="84" t="str">
        <f aca="false">IF(B3482=Dashboard!$D$3,ROW(),"")</f>
        <v/>
      </c>
    </row>
    <row r="3483" customFormat="false" ht="15" hidden="false" customHeight="false" outlineLevel="0" collapsed="false">
      <c r="A3483" s="80"/>
      <c r="B3483" s="71"/>
      <c r="C3483" s="71"/>
      <c r="D3483" s="81"/>
      <c r="E3483" s="71"/>
      <c r="F3483" s="71"/>
      <c r="G3483" s="82" t="str">
        <f aca="false">IF(C3483="","",IFERROR(INDEX('Kit Lists'!$D$6:$D$605,MATCH(B3483&amp;"|"&amp;C3483,'Kit Lists'!$J$6:$J$605,0)),"Not on this contract's kit list"))</f>
        <v/>
      </c>
      <c r="H3483" s="83" t="str">
        <f aca="false">IF(AND(B3483="",C3483="",D3483=""),"",IF(B3483="","Missing contract",IF(C3483="","Missing code",IF(LEFT(G3483,3)="Not","Wrong code",IF(D3483="","Missing qty",IF(A3483="","Missing date",""))))))</f>
        <v/>
      </c>
      <c r="I3483" s="84" t="str">
        <f aca="false">IF(B3483=Dashboard!$D$3,ROW(),"")</f>
        <v/>
      </c>
    </row>
    <row r="3484" customFormat="false" ht="15" hidden="false" customHeight="false" outlineLevel="0" collapsed="false">
      <c r="A3484" s="80"/>
      <c r="B3484" s="71"/>
      <c r="C3484" s="71"/>
      <c r="D3484" s="81"/>
      <c r="E3484" s="71"/>
      <c r="F3484" s="71"/>
      <c r="G3484" s="82" t="str">
        <f aca="false">IF(C3484="","",IFERROR(INDEX('Kit Lists'!$D$6:$D$605,MATCH(B3484&amp;"|"&amp;C3484,'Kit Lists'!$J$6:$J$605,0)),"Not on this contract's kit list"))</f>
        <v/>
      </c>
      <c r="H3484" s="83" t="str">
        <f aca="false">IF(AND(B3484="",C3484="",D3484=""),"",IF(B3484="","Missing contract",IF(C3484="","Missing code",IF(LEFT(G3484,3)="Not","Wrong code",IF(D3484="","Missing qty",IF(A3484="","Missing date",""))))))</f>
        <v/>
      </c>
      <c r="I3484" s="84" t="str">
        <f aca="false">IF(B3484=Dashboard!$D$3,ROW(),"")</f>
        <v/>
      </c>
    </row>
    <row r="3485" customFormat="false" ht="15" hidden="false" customHeight="false" outlineLevel="0" collapsed="false">
      <c r="A3485" s="80"/>
      <c r="B3485" s="71"/>
      <c r="C3485" s="71"/>
      <c r="D3485" s="81"/>
      <c r="E3485" s="71"/>
      <c r="F3485" s="71"/>
      <c r="G3485" s="82" t="str">
        <f aca="false">IF(C3485="","",IFERROR(INDEX('Kit Lists'!$D$6:$D$605,MATCH(B3485&amp;"|"&amp;C3485,'Kit Lists'!$J$6:$J$605,0)),"Not on this contract's kit list"))</f>
        <v/>
      </c>
      <c r="H3485" s="83" t="str">
        <f aca="false">IF(AND(B3485="",C3485="",D3485=""),"",IF(B3485="","Missing contract",IF(C3485="","Missing code",IF(LEFT(G3485,3)="Not","Wrong code",IF(D3485="","Missing qty",IF(A3485="","Missing date",""))))))</f>
        <v/>
      </c>
      <c r="I3485" s="84" t="str">
        <f aca="false">IF(B3485=Dashboard!$D$3,ROW(),"")</f>
        <v/>
      </c>
    </row>
    <row r="3486" customFormat="false" ht="15" hidden="false" customHeight="false" outlineLevel="0" collapsed="false">
      <c r="A3486" s="80"/>
      <c r="B3486" s="71"/>
      <c r="C3486" s="71"/>
      <c r="D3486" s="81"/>
      <c r="E3486" s="71"/>
      <c r="F3486" s="71"/>
      <c r="G3486" s="82" t="str">
        <f aca="false">IF(C3486="","",IFERROR(INDEX('Kit Lists'!$D$6:$D$605,MATCH(B3486&amp;"|"&amp;C3486,'Kit Lists'!$J$6:$J$605,0)),"Not on this contract's kit list"))</f>
        <v/>
      </c>
      <c r="H3486" s="83" t="str">
        <f aca="false">IF(AND(B3486="",C3486="",D3486=""),"",IF(B3486="","Missing contract",IF(C3486="","Missing code",IF(LEFT(G3486,3)="Not","Wrong code",IF(D3486="","Missing qty",IF(A3486="","Missing date",""))))))</f>
        <v/>
      </c>
      <c r="I3486" s="84" t="str">
        <f aca="false">IF(B3486=Dashboard!$D$3,ROW(),"")</f>
        <v/>
      </c>
    </row>
    <row r="3487" customFormat="false" ht="15" hidden="false" customHeight="false" outlineLevel="0" collapsed="false">
      <c r="A3487" s="80"/>
      <c r="B3487" s="71"/>
      <c r="C3487" s="71"/>
      <c r="D3487" s="81"/>
      <c r="E3487" s="71"/>
      <c r="F3487" s="71"/>
      <c r="G3487" s="82" t="str">
        <f aca="false">IF(C3487="","",IFERROR(INDEX('Kit Lists'!$D$6:$D$605,MATCH(B3487&amp;"|"&amp;C3487,'Kit Lists'!$J$6:$J$605,0)),"Not on this contract's kit list"))</f>
        <v/>
      </c>
      <c r="H3487" s="83" t="str">
        <f aca="false">IF(AND(B3487="",C3487="",D3487=""),"",IF(B3487="","Missing contract",IF(C3487="","Missing code",IF(LEFT(G3487,3)="Not","Wrong code",IF(D3487="","Missing qty",IF(A3487="","Missing date",""))))))</f>
        <v/>
      </c>
      <c r="I3487" s="84" t="str">
        <f aca="false">IF(B3487=Dashboard!$D$3,ROW(),"")</f>
        <v/>
      </c>
    </row>
    <row r="3488" customFormat="false" ht="15" hidden="false" customHeight="false" outlineLevel="0" collapsed="false">
      <c r="A3488" s="80"/>
      <c r="B3488" s="71"/>
      <c r="C3488" s="71"/>
      <c r="D3488" s="81"/>
      <c r="E3488" s="71"/>
      <c r="F3488" s="71"/>
      <c r="G3488" s="82" t="str">
        <f aca="false">IF(C3488="","",IFERROR(INDEX('Kit Lists'!$D$6:$D$605,MATCH(B3488&amp;"|"&amp;C3488,'Kit Lists'!$J$6:$J$605,0)),"Not on this contract's kit list"))</f>
        <v/>
      </c>
      <c r="H3488" s="83" t="str">
        <f aca="false">IF(AND(B3488="",C3488="",D3488=""),"",IF(B3488="","Missing contract",IF(C3488="","Missing code",IF(LEFT(G3488,3)="Not","Wrong code",IF(D3488="","Missing qty",IF(A3488="","Missing date",""))))))</f>
        <v/>
      </c>
      <c r="I3488" s="84" t="str">
        <f aca="false">IF(B3488=Dashboard!$D$3,ROW(),"")</f>
        <v/>
      </c>
    </row>
    <row r="3489" customFormat="false" ht="15" hidden="false" customHeight="false" outlineLevel="0" collapsed="false">
      <c r="A3489" s="80"/>
      <c r="B3489" s="71"/>
      <c r="C3489" s="71"/>
      <c r="D3489" s="81"/>
      <c r="E3489" s="71"/>
      <c r="F3489" s="71"/>
      <c r="G3489" s="82" t="str">
        <f aca="false">IF(C3489="","",IFERROR(INDEX('Kit Lists'!$D$6:$D$605,MATCH(B3489&amp;"|"&amp;C3489,'Kit Lists'!$J$6:$J$605,0)),"Not on this contract's kit list"))</f>
        <v/>
      </c>
      <c r="H3489" s="83" t="str">
        <f aca="false">IF(AND(B3489="",C3489="",D3489=""),"",IF(B3489="","Missing contract",IF(C3489="","Missing code",IF(LEFT(G3489,3)="Not","Wrong code",IF(D3489="","Missing qty",IF(A3489="","Missing date",""))))))</f>
        <v/>
      </c>
      <c r="I3489" s="84" t="str">
        <f aca="false">IF(B3489=Dashboard!$D$3,ROW(),"")</f>
        <v/>
      </c>
    </row>
    <row r="3490" customFormat="false" ht="15" hidden="false" customHeight="false" outlineLevel="0" collapsed="false">
      <c r="A3490" s="80"/>
      <c r="B3490" s="71"/>
      <c r="C3490" s="71"/>
      <c r="D3490" s="81"/>
      <c r="E3490" s="71"/>
      <c r="F3490" s="71"/>
      <c r="G3490" s="82" t="str">
        <f aca="false">IF(C3490="","",IFERROR(INDEX('Kit Lists'!$D$6:$D$605,MATCH(B3490&amp;"|"&amp;C3490,'Kit Lists'!$J$6:$J$605,0)),"Not on this contract's kit list"))</f>
        <v/>
      </c>
      <c r="H3490" s="83" t="str">
        <f aca="false">IF(AND(B3490="",C3490="",D3490=""),"",IF(B3490="","Missing contract",IF(C3490="","Missing code",IF(LEFT(G3490,3)="Not","Wrong code",IF(D3490="","Missing qty",IF(A3490="","Missing date",""))))))</f>
        <v/>
      </c>
      <c r="I3490" s="84" t="str">
        <f aca="false">IF(B3490=Dashboard!$D$3,ROW(),"")</f>
        <v/>
      </c>
    </row>
    <row r="3491" customFormat="false" ht="15" hidden="false" customHeight="false" outlineLevel="0" collapsed="false">
      <c r="A3491" s="80"/>
      <c r="B3491" s="71"/>
      <c r="C3491" s="71"/>
      <c r="D3491" s="81"/>
      <c r="E3491" s="71"/>
      <c r="F3491" s="71"/>
      <c r="G3491" s="82" t="str">
        <f aca="false">IF(C3491="","",IFERROR(INDEX('Kit Lists'!$D$6:$D$605,MATCH(B3491&amp;"|"&amp;C3491,'Kit Lists'!$J$6:$J$605,0)),"Not on this contract's kit list"))</f>
        <v/>
      </c>
      <c r="H3491" s="83" t="str">
        <f aca="false">IF(AND(B3491="",C3491="",D3491=""),"",IF(B3491="","Missing contract",IF(C3491="","Missing code",IF(LEFT(G3491,3)="Not","Wrong code",IF(D3491="","Missing qty",IF(A3491="","Missing date",""))))))</f>
        <v/>
      </c>
      <c r="I3491" s="84" t="str">
        <f aca="false">IF(B3491=Dashboard!$D$3,ROW(),"")</f>
        <v/>
      </c>
    </row>
    <row r="3492" customFormat="false" ht="15" hidden="false" customHeight="false" outlineLevel="0" collapsed="false">
      <c r="A3492" s="80"/>
      <c r="B3492" s="71"/>
      <c r="C3492" s="71"/>
      <c r="D3492" s="81"/>
      <c r="E3492" s="71"/>
      <c r="F3492" s="71"/>
      <c r="G3492" s="82" t="str">
        <f aca="false">IF(C3492="","",IFERROR(INDEX('Kit Lists'!$D$6:$D$605,MATCH(B3492&amp;"|"&amp;C3492,'Kit Lists'!$J$6:$J$605,0)),"Not on this contract's kit list"))</f>
        <v/>
      </c>
      <c r="H3492" s="83" t="str">
        <f aca="false">IF(AND(B3492="",C3492="",D3492=""),"",IF(B3492="","Missing contract",IF(C3492="","Missing code",IF(LEFT(G3492,3)="Not","Wrong code",IF(D3492="","Missing qty",IF(A3492="","Missing date",""))))))</f>
        <v/>
      </c>
      <c r="I3492" s="84" t="str">
        <f aca="false">IF(B3492=Dashboard!$D$3,ROW(),"")</f>
        <v/>
      </c>
    </row>
    <row r="3493" customFormat="false" ht="15" hidden="false" customHeight="false" outlineLevel="0" collapsed="false">
      <c r="A3493" s="80"/>
      <c r="B3493" s="71"/>
      <c r="C3493" s="71"/>
      <c r="D3493" s="81"/>
      <c r="E3493" s="71"/>
      <c r="F3493" s="71"/>
      <c r="G3493" s="82" t="str">
        <f aca="false">IF(C3493="","",IFERROR(INDEX('Kit Lists'!$D$6:$D$605,MATCH(B3493&amp;"|"&amp;C3493,'Kit Lists'!$J$6:$J$605,0)),"Not on this contract's kit list"))</f>
        <v/>
      </c>
      <c r="H3493" s="83" t="str">
        <f aca="false">IF(AND(B3493="",C3493="",D3493=""),"",IF(B3493="","Missing contract",IF(C3493="","Missing code",IF(LEFT(G3493,3)="Not","Wrong code",IF(D3493="","Missing qty",IF(A3493="","Missing date",""))))))</f>
        <v/>
      </c>
      <c r="I3493" s="84" t="str">
        <f aca="false">IF(B3493=Dashboard!$D$3,ROW(),"")</f>
        <v/>
      </c>
    </row>
    <row r="3494" customFormat="false" ht="15" hidden="false" customHeight="false" outlineLevel="0" collapsed="false">
      <c r="A3494" s="80"/>
      <c r="B3494" s="71"/>
      <c r="C3494" s="71"/>
      <c r="D3494" s="81"/>
      <c r="E3494" s="71"/>
      <c r="F3494" s="71"/>
      <c r="G3494" s="82" t="str">
        <f aca="false">IF(C3494="","",IFERROR(INDEX('Kit Lists'!$D$6:$D$605,MATCH(B3494&amp;"|"&amp;C3494,'Kit Lists'!$J$6:$J$605,0)),"Not on this contract's kit list"))</f>
        <v/>
      </c>
      <c r="H3494" s="83" t="str">
        <f aca="false">IF(AND(B3494="",C3494="",D3494=""),"",IF(B3494="","Missing contract",IF(C3494="","Missing code",IF(LEFT(G3494,3)="Not","Wrong code",IF(D3494="","Missing qty",IF(A3494="","Missing date",""))))))</f>
        <v/>
      </c>
      <c r="I3494" s="84" t="str">
        <f aca="false">IF(B3494=Dashboard!$D$3,ROW(),"")</f>
        <v/>
      </c>
    </row>
    <row r="3495" customFormat="false" ht="15" hidden="false" customHeight="false" outlineLevel="0" collapsed="false">
      <c r="A3495" s="80"/>
      <c r="B3495" s="71"/>
      <c r="C3495" s="71"/>
      <c r="D3495" s="81"/>
      <c r="E3495" s="71"/>
      <c r="F3495" s="71"/>
      <c r="G3495" s="82" t="str">
        <f aca="false">IF(C3495="","",IFERROR(INDEX('Kit Lists'!$D$6:$D$605,MATCH(B3495&amp;"|"&amp;C3495,'Kit Lists'!$J$6:$J$605,0)),"Not on this contract's kit list"))</f>
        <v/>
      </c>
      <c r="H3495" s="83" t="str">
        <f aca="false">IF(AND(B3495="",C3495="",D3495=""),"",IF(B3495="","Missing contract",IF(C3495="","Missing code",IF(LEFT(G3495,3)="Not","Wrong code",IF(D3495="","Missing qty",IF(A3495="","Missing date",""))))))</f>
        <v/>
      </c>
      <c r="I3495" s="84" t="str">
        <f aca="false">IF(B3495=Dashboard!$D$3,ROW(),"")</f>
        <v/>
      </c>
    </row>
    <row r="3496" customFormat="false" ht="15" hidden="false" customHeight="false" outlineLevel="0" collapsed="false">
      <c r="A3496" s="80"/>
      <c r="B3496" s="71"/>
      <c r="C3496" s="71"/>
      <c r="D3496" s="81"/>
      <c r="E3496" s="71"/>
      <c r="F3496" s="71"/>
      <c r="G3496" s="82" t="str">
        <f aca="false">IF(C3496="","",IFERROR(INDEX('Kit Lists'!$D$6:$D$605,MATCH(B3496&amp;"|"&amp;C3496,'Kit Lists'!$J$6:$J$605,0)),"Not on this contract's kit list"))</f>
        <v/>
      </c>
      <c r="H3496" s="83" t="str">
        <f aca="false">IF(AND(B3496="",C3496="",D3496=""),"",IF(B3496="","Missing contract",IF(C3496="","Missing code",IF(LEFT(G3496,3)="Not","Wrong code",IF(D3496="","Missing qty",IF(A3496="","Missing date",""))))))</f>
        <v/>
      </c>
      <c r="I3496" s="84" t="str">
        <f aca="false">IF(B3496=Dashboard!$D$3,ROW(),"")</f>
        <v/>
      </c>
    </row>
    <row r="3497" customFormat="false" ht="15" hidden="false" customHeight="false" outlineLevel="0" collapsed="false">
      <c r="A3497" s="80"/>
      <c r="B3497" s="71"/>
      <c r="C3497" s="71"/>
      <c r="D3497" s="81"/>
      <c r="E3497" s="71"/>
      <c r="F3497" s="71"/>
      <c r="G3497" s="82" t="str">
        <f aca="false">IF(C3497="","",IFERROR(INDEX('Kit Lists'!$D$6:$D$605,MATCH(B3497&amp;"|"&amp;C3497,'Kit Lists'!$J$6:$J$605,0)),"Not on this contract's kit list"))</f>
        <v/>
      </c>
      <c r="H3497" s="83" t="str">
        <f aca="false">IF(AND(B3497="",C3497="",D3497=""),"",IF(B3497="","Missing contract",IF(C3497="","Missing code",IF(LEFT(G3497,3)="Not","Wrong code",IF(D3497="","Missing qty",IF(A3497="","Missing date",""))))))</f>
        <v/>
      </c>
      <c r="I3497" s="84" t="str">
        <f aca="false">IF(B3497=Dashboard!$D$3,ROW(),"")</f>
        <v/>
      </c>
    </row>
    <row r="3498" customFormat="false" ht="15" hidden="false" customHeight="false" outlineLevel="0" collapsed="false">
      <c r="A3498" s="80"/>
      <c r="B3498" s="71"/>
      <c r="C3498" s="71"/>
      <c r="D3498" s="81"/>
      <c r="E3498" s="71"/>
      <c r="F3498" s="71"/>
      <c r="G3498" s="82" t="str">
        <f aca="false">IF(C3498="","",IFERROR(INDEX('Kit Lists'!$D$6:$D$605,MATCH(B3498&amp;"|"&amp;C3498,'Kit Lists'!$J$6:$J$605,0)),"Not on this contract's kit list"))</f>
        <v/>
      </c>
      <c r="H3498" s="83" t="str">
        <f aca="false">IF(AND(B3498="",C3498="",D3498=""),"",IF(B3498="","Missing contract",IF(C3498="","Missing code",IF(LEFT(G3498,3)="Not","Wrong code",IF(D3498="","Missing qty",IF(A3498="","Missing date",""))))))</f>
        <v/>
      </c>
      <c r="I3498" s="84" t="str">
        <f aca="false">IF(B3498=Dashboard!$D$3,ROW(),"")</f>
        <v/>
      </c>
    </row>
    <row r="3499" customFormat="false" ht="15" hidden="false" customHeight="false" outlineLevel="0" collapsed="false">
      <c r="A3499" s="80"/>
      <c r="B3499" s="71"/>
      <c r="C3499" s="71"/>
      <c r="D3499" s="81"/>
      <c r="E3499" s="71"/>
      <c r="F3499" s="71"/>
      <c r="G3499" s="82" t="str">
        <f aca="false">IF(C3499="","",IFERROR(INDEX('Kit Lists'!$D$6:$D$605,MATCH(B3499&amp;"|"&amp;C3499,'Kit Lists'!$J$6:$J$605,0)),"Not on this contract's kit list"))</f>
        <v/>
      </c>
      <c r="H3499" s="83" t="str">
        <f aca="false">IF(AND(B3499="",C3499="",D3499=""),"",IF(B3499="","Missing contract",IF(C3499="","Missing code",IF(LEFT(G3499,3)="Not","Wrong code",IF(D3499="","Missing qty",IF(A3499="","Missing date",""))))))</f>
        <v/>
      </c>
      <c r="I3499" s="84" t="str">
        <f aca="false">IF(B3499=Dashboard!$D$3,ROW(),"")</f>
        <v/>
      </c>
    </row>
    <row r="3500" customFormat="false" ht="15" hidden="false" customHeight="false" outlineLevel="0" collapsed="false">
      <c r="A3500" s="80"/>
      <c r="B3500" s="71"/>
      <c r="C3500" s="71"/>
      <c r="D3500" s="81"/>
      <c r="E3500" s="71"/>
      <c r="F3500" s="71"/>
      <c r="G3500" s="82" t="str">
        <f aca="false">IF(C3500="","",IFERROR(INDEX('Kit Lists'!$D$6:$D$605,MATCH(B3500&amp;"|"&amp;C3500,'Kit Lists'!$J$6:$J$605,0)),"Not on this contract's kit list"))</f>
        <v/>
      </c>
      <c r="H3500" s="83" t="str">
        <f aca="false">IF(AND(B3500="",C3500="",D3500=""),"",IF(B3500="","Missing contract",IF(C3500="","Missing code",IF(LEFT(G3500,3)="Not","Wrong code",IF(D3500="","Missing qty",IF(A3500="","Missing date",""))))))</f>
        <v/>
      </c>
      <c r="I3500" s="84" t="str">
        <f aca="false">IF(B3500=Dashboard!$D$3,ROW(),"")</f>
        <v/>
      </c>
    </row>
    <row r="3501" customFormat="false" ht="15" hidden="false" customHeight="false" outlineLevel="0" collapsed="false">
      <c r="A3501" s="80"/>
      <c r="B3501" s="71"/>
      <c r="C3501" s="71"/>
      <c r="D3501" s="81"/>
      <c r="E3501" s="71"/>
      <c r="F3501" s="71"/>
      <c r="G3501" s="82" t="str">
        <f aca="false">IF(C3501="","",IFERROR(INDEX('Kit Lists'!$D$6:$D$605,MATCH(B3501&amp;"|"&amp;C3501,'Kit Lists'!$J$6:$J$605,0)),"Not on this contract's kit list"))</f>
        <v/>
      </c>
      <c r="H3501" s="83" t="str">
        <f aca="false">IF(AND(B3501="",C3501="",D3501=""),"",IF(B3501="","Missing contract",IF(C3501="","Missing code",IF(LEFT(G3501,3)="Not","Wrong code",IF(D3501="","Missing qty",IF(A3501="","Missing date",""))))))</f>
        <v/>
      </c>
      <c r="I3501" s="84" t="str">
        <f aca="false">IF(B3501=Dashboard!$D$3,ROW(),"")</f>
        <v/>
      </c>
    </row>
    <row r="3502" customFormat="false" ht="15" hidden="false" customHeight="false" outlineLevel="0" collapsed="false">
      <c r="A3502" s="80"/>
      <c r="B3502" s="71"/>
      <c r="C3502" s="71"/>
      <c r="D3502" s="81"/>
      <c r="E3502" s="71"/>
      <c r="F3502" s="71"/>
      <c r="G3502" s="82" t="str">
        <f aca="false">IF(C3502="","",IFERROR(INDEX('Kit Lists'!$D$6:$D$605,MATCH(B3502&amp;"|"&amp;C3502,'Kit Lists'!$J$6:$J$605,0)),"Not on this contract's kit list"))</f>
        <v/>
      </c>
      <c r="H3502" s="83" t="str">
        <f aca="false">IF(AND(B3502="",C3502="",D3502=""),"",IF(B3502="","Missing contract",IF(C3502="","Missing code",IF(LEFT(G3502,3)="Not","Wrong code",IF(D3502="","Missing qty",IF(A3502="","Missing date",""))))))</f>
        <v/>
      </c>
      <c r="I3502" s="84" t="str">
        <f aca="false">IF(B3502=Dashboard!$D$3,ROW(),"")</f>
        <v/>
      </c>
    </row>
    <row r="3503" customFormat="false" ht="15" hidden="false" customHeight="false" outlineLevel="0" collapsed="false">
      <c r="A3503" s="80"/>
      <c r="B3503" s="71"/>
      <c r="C3503" s="71"/>
      <c r="D3503" s="81"/>
      <c r="E3503" s="71"/>
      <c r="F3503" s="71"/>
      <c r="G3503" s="82" t="str">
        <f aca="false">IF(C3503="","",IFERROR(INDEX('Kit Lists'!$D$6:$D$605,MATCH(B3503&amp;"|"&amp;C3503,'Kit Lists'!$J$6:$J$605,0)),"Not on this contract's kit list"))</f>
        <v/>
      </c>
      <c r="H3503" s="83" t="str">
        <f aca="false">IF(AND(B3503="",C3503="",D3503=""),"",IF(B3503="","Missing contract",IF(C3503="","Missing code",IF(LEFT(G3503,3)="Not","Wrong code",IF(D3503="","Missing qty",IF(A3503="","Missing date",""))))))</f>
        <v/>
      </c>
      <c r="I3503" s="84" t="str">
        <f aca="false">IF(B3503=Dashboard!$D$3,ROW(),"")</f>
        <v/>
      </c>
    </row>
    <row r="3504" customFormat="false" ht="15" hidden="false" customHeight="false" outlineLevel="0" collapsed="false">
      <c r="A3504" s="80"/>
      <c r="B3504" s="71"/>
      <c r="C3504" s="71"/>
      <c r="D3504" s="81"/>
      <c r="E3504" s="71"/>
      <c r="F3504" s="71"/>
      <c r="G3504" s="82" t="str">
        <f aca="false">IF(C3504="","",IFERROR(INDEX('Kit Lists'!$D$6:$D$605,MATCH(B3504&amp;"|"&amp;C3504,'Kit Lists'!$J$6:$J$605,0)),"Not on this contract's kit list"))</f>
        <v/>
      </c>
      <c r="H3504" s="83" t="str">
        <f aca="false">IF(AND(B3504="",C3504="",D3504=""),"",IF(B3504="","Missing contract",IF(C3504="","Missing code",IF(LEFT(G3504,3)="Not","Wrong code",IF(D3504="","Missing qty",IF(A3504="","Missing date",""))))))</f>
        <v/>
      </c>
      <c r="I3504" s="84" t="str">
        <f aca="false">IF(B3504=Dashboard!$D$3,ROW(),"")</f>
        <v/>
      </c>
    </row>
    <row r="3505" customFormat="false" ht="15" hidden="false" customHeight="false" outlineLevel="0" collapsed="false">
      <c r="A3505" s="80"/>
      <c r="B3505" s="71"/>
      <c r="C3505" s="71"/>
      <c r="D3505" s="81"/>
      <c r="E3505" s="71"/>
      <c r="F3505" s="71"/>
      <c r="G3505" s="82" t="str">
        <f aca="false">IF(C3505="","",IFERROR(INDEX('Kit Lists'!$D$6:$D$605,MATCH(B3505&amp;"|"&amp;C3505,'Kit Lists'!$J$6:$J$605,0)),"Not on this contract's kit list"))</f>
        <v/>
      </c>
      <c r="H3505" s="83" t="str">
        <f aca="false">IF(AND(B3505="",C3505="",D3505=""),"",IF(B3505="","Missing contract",IF(C3505="","Missing code",IF(LEFT(G3505,3)="Not","Wrong code",IF(D3505="","Missing qty",IF(A3505="","Missing date",""))))))</f>
        <v/>
      </c>
      <c r="I3505" s="84" t="str">
        <f aca="false">IF(B3505=Dashboard!$D$3,ROW(),"")</f>
        <v/>
      </c>
    </row>
    <row r="3506" customFormat="false" ht="15" hidden="false" customHeight="false" outlineLevel="0" collapsed="false">
      <c r="A3506" s="80"/>
      <c r="B3506" s="71"/>
      <c r="C3506" s="71"/>
      <c r="D3506" s="81"/>
      <c r="E3506" s="71"/>
      <c r="F3506" s="71"/>
      <c r="G3506" s="82" t="str">
        <f aca="false">IF(C3506="","",IFERROR(INDEX('Kit Lists'!$D$6:$D$605,MATCH(B3506&amp;"|"&amp;C3506,'Kit Lists'!$J$6:$J$605,0)),"Not on this contract's kit list"))</f>
        <v/>
      </c>
      <c r="H3506" s="83" t="str">
        <f aca="false">IF(AND(B3506="",C3506="",D3506=""),"",IF(B3506="","Missing contract",IF(C3506="","Missing code",IF(LEFT(G3506,3)="Not","Wrong code",IF(D3506="","Missing qty",IF(A3506="","Missing date",""))))))</f>
        <v/>
      </c>
      <c r="I3506" s="84" t="str">
        <f aca="false">IF(B3506=Dashboard!$D$3,ROW(),"")</f>
        <v/>
      </c>
    </row>
    <row r="3507" customFormat="false" ht="15" hidden="false" customHeight="false" outlineLevel="0" collapsed="false">
      <c r="A3507" s="80"/>
      <c r="B3507" s="71"/>
      <c r="C3507" s="71"/>
      <c r="D3507" s="81"/>
      <c r="E3507" s="71"/>
      <c r="F3507" s="71"/>
      <c r="G3507" s="82" t="str">
        <f aca="false">IF(C3507="","",IFERROR(INDEX('Kit Lists'!$D$6:$D$605,MATCH(B3507&amp;"|"&amp;C3507,'Kit Lists'!$J$6:$J$605,0)),"Not on this contract's kit list"))</f>
        <v/>
      </c>
      <c r="H3507" s="83" t="str">
        <f aca="false">IF(AND(B3507="",C3507="",D3507=""),"",IF(B3507="","Missing contract",IF(C3507="","Missing code",IF(LEFT(G3507,3)="Not","Wrong code",IF(D3507="","Missing qty",IF(A3507="","Missing date",""))))))</f>
        <v/>
      </c>
      <c r="I3507" s="84" t="str">
        <f aca="false">IF(B3507=Dashboard!$D$3,ROW(),"")</f>
        <v/>
      </c>
    </row>
    <row r="3508" customFormat="false" ht="15" hidden="false" customHeight="false" outlineLevel="0" collapsed="false">
      <c r="A3508" s="80"/>
      <c r="B3508" s="71"/>
      <c r="C3508" s="71"/>
      <c r="D3508" s="81"/>
      <c r="E3508" s="71"/>
      <c r="F3508" s="71"/>
      <c r="G3508" s="82" t="str">
        <f aca="false">IF(C3508="","",IFERROR(INDEX('Kit Lists'!$D$6:$D$605,MATCH(B3508&amp;"|"&amp;C3508,'Kit Lists'!$J$6:$J$605,0)),"Not on this contract's kit list"))</f>
        <v/>
      </c>
      <c r="H3508" s="83" t="str">
        <f aca="false">IF(AND(B3508="",C3508="",D3508=""),"",IF(B3508="","Missing contract",IF(C3508="","Missing code",IF(LEFT(G3508,3)="Not","Wrong code",IF(D3508="","Missing qty",IF(A3508="","Missing date",""))))))</f>
        <v/>
      </c>
      <c r="I3508" s="84" t="str">
        <f aca="false">IF(B3508=Dashboard!$D$3,ROW(),"")</f>
        <v/>
      </c>
    </row>
    <row r="3509" customFormat="false" ht="15" hidden="false" customHeight="false" outlineLevel="0" collapsed="false">
      <c r="A3509" s="80"/>
      <c r="B3509" s="71"/>
      <c r="C3509" s="71"/>
      <c r="D3509" s="81"/>
      <c r="E3509" s="71"/>
      <c r="F3509" s="71"/>
      <c r="G3509" s="82" t="str">
        <f aca="false">IF(C3509="","",IFERROR(INDEX('Kit Lists'!$D$6:$D$605,MATCH(B3509&amp;"|"&amp;C3509,'Kit Lists'!$J$6:$J$605,0)),"Not on this contract's kit list"))</f>
        <v/>
      </c>
      <c r="H3509" s="83" t="str">
        <f aca="false">IF(AND(B3509="",C3509="",D3509=""),"",IF(B3509="","Missing contract",IF(C3509="","Missing code",IF(LEFT(G3509,3)="Not","Wrong code",IF(D3509="","Missing qty",IF(A3509="","Missing date",""))))))</f>
        <v/>
      </c>
      <c r="I3509" s="84" t="str">
        <f aca="false">IF(B3509=Dashboard!$D$3,ROW(),"")</f>
        <v/>
      </c>
    </row>
    <row r="3510" customFormat="false" ht="15" hidden="false" customHeight="false" outlineLevel="0" collapsed="false">
      <c r="A3510" s="80"/>
      <c r="B3510" s="71"/>
      <c r="C3510" s="71"/>
      <c r="D3510" s="81"/>
      <c r="E3510" s="71"/>
      <c r="F3510" s="71"/>
      <c r="G3510" s="82" t="str">
        <f aca="false">IF(C3510="","",IFERROR(INDEX('Kit Lists'!$D$6:$D$605,MATCH(B3510&amp;"|"&amp;C3510,'Kit Lists'!$J$6:$J$605,0)),"Not on this contract's kit list"))</f>
        <v/>
      </c>
      <c r="H3510" s="83" t="str">
        <f aca="false">IF(AND(B3510="",C3510="",D3510=""),"",IF(B3510="","Missing contract",IF(C3510="","Missing code",IF(LEFT(G3510,3)="Not","Wrong code",IF(D3510="","Missing qty",IF(A3510="","Missing date",""))))))</f>
        <v/>
      </c>
      <c r="I3510" s="84" t="str">
        <f aca="false">IF(B3510=Dashboard!$D$3,ROW(),"")</f>
        <v/>
      </c>
    </row>
    <row r="3511" customFormat="false" ht="15" hidden="false" customHeight="false" outlineLevel="0" collapsed="false">
      <c r="A3511" s="80"/>
      <c r="B3511" s="71"/>
      <c r="C3511" s="71"/>
      <c r="D3511" s="81"/>
      <c r="E3511" s="71"/>
      <c r="F3511" s="71"/>
      <c r="G3511" s="82" t="str">
        <f aca="false">IF(C3511="","",IFERROR(INDEX('Kit Lists'!$D$6:$D$605,MATCH(B3511&amp;"|"&amp;C3511,'Kit Lists'!$J$6:$J$605,0)),"Not on this contract's kit list"))</f>
        <v/>
      </c>
      <c r="H3511" s="83" t="str">
        <f aca="false">IF(AND(B3511="",C3511="",D3511=""),"",IF(B3511="","Missing contract",IF(C3511="","Missing code",IF(LEFT(G3511,3)="Not","Wrong code",IF(D3511="","Missing qty",IF(A3511="","Missing date",""))))))</f>
        <v/>
      </c>
      <c r="I3511" s="84" t="str">
        <f aca="false">IF(B3511=Dashboard!$D$3,ROW(),"")</f>
        <v/>
      </c>
    </row>
    <row r="3512" customFormat="false" ht="15" hidden="false" customHeight="false" outlineLevel="0" collapsed="false">
      <c r="A3512" s="80"/>
      <c r="B3512" s="71"/>
      <c r="C3512" s="71"/>
      <c r="D3512" s="81"/>
      <c r="E3512" s="71"/>
      <c r="F3512" s="71"/>
      <c r="G3512" s="82" t="str">
        <f aca="false">IF(C3512="","",IFERROR(INDEX('Kit Lists'!$D$6:$D$605,MATCH(B3512&amp;"|"&amp;C3512,'Kit Lists'!$J$6:$J$605,0)),"Not on this contract's kit list"))</f>
        <v/>
      </c>
      <c r="H3512" s="83" t="str">
        <f aca="false">IF(AND(B3512="",C3512="",D3512=""),"",IF(B3512="","Missing contract",IF(C3512="","Missing code",IF(LEFT(G3512,3)="Not","Wrong code",IF(D3512="","Missing qty",IF(A3512="","Missing date",""))))))</f>
        <v/>
      </c>
      <c r="I3512" s="84" t="str">
        <f aca="false">IF(B3512=Dashboard!$D$3,ROW(),"")</f>
        <v/>
      </c>
    </row>
    <row r="3513" customFormat="false" ht="15" hidden="false" customHeight="false" outlineLevel="0" collapsed="false">
      <c r="A3513" s="80"/>
      <c r="B3513" s="71"/>
      <c r="C3513" s="71"/>
      <c r="D3513" s="81"/>
      <c r="E3513" s="71"/>
      <c r="F3513" s="71"/>
      <c r="G3513" s="82" t="str">
        <f aca="false">IF(C3513="","",IFERROR(INDEX('Kit Lists'!$D$6:$D$605,MATCH(B3513&amp;"|"&amp;C3513,'Kit Lists'!$J$6:$J$605,0)),"Not on this contract's kit list"))</f>
        <v/>
      </c>
      <c r="H3513" s="83" t="str">
        <f aca="false">IF(AND(B3513="",C3513="",D3513=""),"",IF(B3513="","Missing contract",IF(C3513="","Missing code",IF(LEFT(G3513,3)="Not","Wrong code",IF(D3513="","Missing qty",IF(A3513="","Missing date",""))))))</f>
        <v/>
      </c>
      <c r="I3513" s="84" t="str">
        <f aca="false">IF(B3513=Dashboard!$D$3,ROW(),"")</f>
        <v/>
      </c>
    </row>
    <row r="3514" customFormat="false" ht="15" hidden="false" customHeight="false" outlineLevel="0" collapsed="false">
      <c r="A3514" s="80"/>
      <c r="B3514" s="71"/>
      <c r="C3514" s="71"/>
      <c r="D3514" s="81"/>
      <c r="E3514" s="71"/>
      <c r="F3514" s="71"/>
      <c r="G3514" s="82" t="str">
        <f aca="false">IF(C3514="","",IFERROR(INDEX('Kit Lists'!$D$6:$D$605,MATCH(B3514&amp;"|"&amp;C3514,'Kit Lists'!$J$6:$J$605,0)),"Not on this contract's kit list"))</f>
        <v/>
      </c>
      <c r="H3514" s="83" t="str">
        <f aca="false">IF(AND(B3514="",C3514="",D3514=""),"",IF(B3514="","Missing contract",IF(C3514="","Missing code",IF(LEFT(G3514,3)="Not","Wrong code",IF(D3514="","Missing qty",IF(A3514="","Missing date",""))))))</f>
        <v/>
      </c>
      <c r="I3514" s="84" t="str">
        <f aca="false">IF(B3514=Dashboard!$D$3,ROW(),"")</f>
        <v/>
      </c>
    </row>
    <row r="3515" customFormat="false" ht="15" hidden="false" customHeight="false" outlineLevel="0" collapsed="false">
      <c r="A3515" s="80"/>
      <c r="B3515" s="71"/>
      <c r="C3515" s="71"/>
      <c r="D3515" s="81"/>
      <c r="E3515" s="71"/>
      <c r="F3515" s="71"/>
      <c r="G3515" s="82" t="str">
        <f aca="false">IF(C3515="","",IFERROR(INDEX('Kit Lists'!$D$6:$D$605,MATCH(B3515&amp;"|"&amp;C3515,'Kit Lists'!$J$6:$J$605,0)),"Not on this contract's kit list"))</f>
        <v/>
      </c>
      <c r="H3515" s="83" t="str">
        <f aca="false">IF(AND(B3515="",C3515="",D3515=""),"",IF(B3515="","Missing contract",IF(C3515="","Missing code",IF(LEFT(G3515,3)="Not","Wrong code",IF(D3515="","Missing qty",IF(A3515="","Missing date",""))))))</f>
        <v/>
      </c>
      <c r="I3515" s="84" t="str">
        <f aca="false">IF(B3515=Dashboard!$D$3,ROW(),"")</f>
        <v/>
      </c>
    </row>
    <row r="3516" customFormat="false" ht="15" hidden="false" customHeight="false" outlineLevel="0" collapsed="false">
      <c r="A3516" s="80"/>
      <c r="B3516" s="71"/>
      <c r="C3516" s="71"/>
      <c r="D3516" s="81"/>
      <c r="E3516" s="71"/>
      <c r="F3516" s="71"/>
      <c r="G3516" s="82" t="str">
        <f aca="false">IF(C3516="","",IFERROR(INDEX('Kit Lists'!$D$6:$D$605,MATCH(B3516&amp;"|"&amp;C3516,'Kit Lists'!$J$6:$J$605,0)),"Not on this contract's kit list"))</f>
        <v/>
      </c>
      <c r="H3516" s="83" t="str">
        <f aca="false">IF(AND(B3516="",C3516="",D3516=""),"",IF(B3516="","Missing contract",IF(C3516="","Missing code",IF(LEFT(G3516,3)="Not","Wrong code",IF(D3516="","Missing qty",IF(A3516="","Missing date",""))))))</f>
        <v/>
      </c>
      <c r="I3516" s="84" t="str">
        <f aca="false">IF(B3516=Dashboard!$D$3,ROW(),"")</f>
        <v/>
      </c>
    </row>
    <row r="3517" customFormat="false" ht="15" hidden="false" customHeight="false" outlineLevel="0" collapsed="false">
      <c r="A3517" s="80"/>
      <c r="B3517" s="71"/>
      <c r="C3517" s="71"/>
      <c r="D3517" s="81"/>
      <c r="E3517" s="71"/>
      <c r="F3517" s="71"/>
      <c r="G3517" s="82" t="str">
        <f aca="false">IF(C3517="","",IFERROR(INDEX('Kit Lists'!$D$6:$D$605,MATCH(B3517&amp;"|"&amp;C3517,'Kit Lists'!$J$6:$J$605,0)),"Not on this contract's kit list"))</f>
        <v/>
      </c>
      <c r="H3517" s="83" t="str">
        <f aca="false">IF(AND(B3517="",C3517="",D3517=""),"",IF(B3517="","Missing contract",IF(C3517="","Missing code",IF(LEFT(G3517,3)="Not","Wrong code",IF(D3517="","Missing qty",IF(A3517="","Missing date",""))))))</f>
        <v/>
      </c>
      <c r="I3517" s="84" t="str">
        <f aca="false">IF(B3517=Dashboard!$D$3,ROW(),"")</f>
        <v/>
      </c>
    </row>
    <row r="3518" customFormat="false" ht="15" hidden="false" customHeight="false" outlineLevel="0" collapsed="false">
      <c r="A3518" s="80"/>
      <c r="B3518" s="71"/>
      <c r="C3518" s="71"/>
      <c r="D3518" s="81"/>
      <c r="E3518" s="71"/>
      <c r="F3518" s="71"/>
      <c r="G3518" s="82" t="str">
        <f aca="false">IF(C3518="","",IFERROR(INDEX('Kit Lists'!$D$6:$D$605,MATCH(B3518&amp;"|"&amp;C3518,'Kit Lists'!$J$6:$J$605,0)),"Not on this contract's kit list"))</f>
        <v/>
      </c>
      <c r="H3518" s="83" t="str">
        <f aca="false">IF(AND(B3518="",C3518="",D3518=""),"",IF(B3518="","Missing contract",IF(C3518="","Missing code",IF(LEFT(G3518,3)="Not","Wrong code",IF(D3518="","Missing qty",IF(A3518="","Missing date",""))))))</f>
        <v/>
      </c>
      <c r="I3518" s="84" t="str">
        <f aca="false">IF(B3518=Dashboard!$D$3,ROW(),"")</f>
        <v/>
      </c>
    </row>
    <row r="3519" customFormat="false" ht="15" hidden="false" customHeight="false" outlineLevel="0" collapsed="false">
      <c r="A3519" s="80"/>
      <c r="B3519" s="71"/>
      <c r="C3519" s="71"/>
      <c r="D3519" s="81"/>
      <c r="E3519" s="71"/>
      <c r="F3519" s="71"/>
      <c r="G3519" s="82" t="str">
        <f aca="false">IF(C3519="","",IFERROR(INDEX('Kit Lists'!$D$6:$D$605,MATCH(B3519&amp;"|"&amp;C3519,'Kit Lists'!$J$6:$J$605,0)),"Not on this contract's kit list"))</f>
        <v/>
      </c>
      <c r="H3519" s="83" t="str">
        <f aca="false">IF(AND(B3519="",C3519="",D3519=""),"",IF(B3519="","Missing contract",IF(C3519="","Missing code",IF(LEFT(G3519,3)="Not","Wrong code",IF(D3519="","Missing qty",IF(A3519="","Missing date",""))))))</f>
        <v/>
      </c>
      <c r="I3519" s="84" t="str">
        <f aca="false">IF(B3519=Dashboard!$D$3,ROW(),"")</f>
        <v/>
      </c>
    </row>
    <row r="3520" customFormat="false" ht="15" hidden="false" customHeight="false" outlineLevel="0" collapsed="false">
      <c r="A3520" s="80"/>
      <c r="B3520" s="71"/>
      <c r="C3520" s="71"/>
      <c r="D3520" s="81"/>
      <c r="E3520" s="71"/>
      <c r="F3520" s="71"/>
      <c r="G3520" s="82" t="str">
        <f aca="false">IF(C3520="","",IFERROR(INDEX('Kit Lists'!$D$6:$D$605,MATCH(B3520&amp;"|"&amp;C3520,'Kit Lists'!$J$6:$J$605,0)),"Not on this contract's kit list"))</f>
        <v/>
      </c>
      <c r="H3520" s="83" t="str">
        <f aca="false">IF(AND(B3520="",C3520="",D3520=""),"",IF(B3520="","Missing contract",IF(C3520="","Missing code",IF(LEFT(G3520,3)="Not","Wrong code",IF(D3520="","Missing qty",IF(A3520="","Missing date",""))))))</f>
        <v/>
      </c>
      <c r="I3520" s="84" t="str">
        <f aca="false">IF(B3520=Dashboard!$D$3,ROW(),"")</f>
        <v/>
      </c>
    </row>
    <row r="3521" customFormat="false" ht="15" hidden="false" customHeight="false" outlineLevel="0" collapsed="false">
      <c r="A3521" s="80"/>
      <c r="B3521" s="71"/>
      <c r="C3521" s="71"/>
      <c r="D3521" s="81"/>
      <c r="E3521" s="71"/>
      <c r="F3521" s="71"/>
      <c r="G3521" s="82" t="str">
        <f aca="false">IF(C3521="","",IFERROR(INDEX('Kit Lists'!$D$6:$D$605,MATCH(B3521&amp;"|"&amp;C3521,'Kit Lists'!$J$6:$J$605,0)),"Not on this contract's kit list"))</f>
        <v/>
      </c>
      <c r="H3521" s="83" t="str">
        <f aca="false">IF(AND(B3521="",C3521="",D3521=""),"",IF(B3521="","Missing contract",IF(C3521="","Missing code",IF(LEFT(G3521,3)="Not","Wrong code",IF(D3521="","Missing qty",IF(A3521="","Missing date",""))))))</f>
        <v/>
      </c>
      <c r="I3521" s="84" t="str">
        <f aca="false">IF(B3521=Dashboard!$D$3,ROW(),"")</f>
        <v/>
      </c>
    </row>
    <row r="3522" customFormat="false" ht="15" hidden="false" customHeight="false" outlineLevel="0" collapsed="false">
      <c r="A3522" s="80"/>
      <c r="B3522" s="71"/>
      <c r="C3522" s="71"/>
      <c r="D3522" s="81"/>
      <c r="E3522" s="71"/>
      <c r="F3522" s="71"/>
      <c r="G3522" s="82" t="str">
        <f aca="false">IF(C3522="","",IFERROR(INDEX('Kit Lists'!$D$6:$D$605,MATCH(B3522&amp;"|"&amp;C3522,'Kit Lists'!$J$6:$J$605,0)),"Not on this contract's kit list"))</f>
        <v/>
      </c>
      <c r="H3522" s="83" t="str">
        <f aca="false">IF(AND(B3522="",C3522="",D3522=""),"",IF(B3522="","Missing contract",IF(C3522="","Missing code",IF(LEFT(G3522,3)="Not","Wrong code",IF(D3522="","Missing qty",IF(A3522="","Missing date",""))))))</f>
        <v/>
      </c>
      <c r="I3522" s="84" t="str">
        <f aca="false">IF(B3522=Dashboard!$D$3,ROW(),"")</f>
        <v/>
      </c>
    </row>
    <row r="3523" customFormat="false" ht="15" hidden="false" customHeight="false" outlineLevel="0" collapsed="false">
      <c r="A3523" s="80"/>
      <c r="B3523" s="71"/>
      <c r="C3523" s="71"/>
      <c r="D3523" s="81"/>
      <c r="E3523" s="71"/>
      <c r="F3523" s="71"/>
      <c r="G3523" s="82" t="str">
        <f aca="false">IF(C3523="","",IFERROR(INDEX('Kit Lists'!$D$6:$D$605,MATCH(B3523&amp;"|"&amp;C3523,'Kit Lists'!$J$6:$J$605,0)),"Not on this contract's kit list"))</f>
        <v/>
      </c>
      <c r="H3523" s="83" t="str">
        <f aca="false">IF(AND(B3523="",C3523="",D3523=""),"",IF(B3523="","Missing contract",IF(C3523="","Missing code",IF(LEFT(G3523,3)="Not","Wrong code",IF(D3523="","Missing qty",IF(A3523="","Missing date",""))))))</f>
        <v/>
      </c>
      <c r="I3523" s="84" t="str">
        <f aca="false">IF(B3523=Dashboard!$D$3,ROW(),"")</f>
        <v/>
      </c>
    </row>
    <row r="3524" customFormat="false" ht="15" hidden="false" customHeight="false" outlineLevel="0" collapsed="false">
      <c r="A3524" s="80"/>
      <c r="B3524" s="71"/>
      <c r="C3524" s="71"/>
      <c r="D3524" s="81"/>
      <c r="E3524" s="71"/>
      <c r="F3524" s="71"/>
      <c r="G3524" s="82" t="str">
        <f aca="false">IF(C3524="","",IFERROR(INDEX('Kit Lists'!$D$6:$D$605,MATCH(B3524&amp;"|"&amp;C3524,'Kit Lists'!$J$6:$J$605,0)),"Not on this contract's kit list"))</f>
        <v/>
      </c>
      <c r="H3524" s="83" t="str">
        <f aca="false">IF(AND(B3524="",C3524="",D3524=""),"",IF(B3524="","Missing contract",IF(C3524="","Missing code",IF(LEFT(G3524,3)="Not","Wrong code",IF(D3524="","Missing qty",IF(A3524="","Missing date",""))))))</f>
        <v/>
      </c>
      <c r="I3524" s="84" t="str">
        <f aca="false">IF(B3524=Dashboard!$D$3,ROW(),"")</f>
        <v/>
      </c>
    </row>
    <row r="3525" customFormat="false" ht="15" hidden="false" customHeight="false" outlineLevel="0" collapsed="false">
      <c r="A3525" s="80"/>
      <c r="B3525" s="71"/>
      <c r="C3525" s="71"/>
      <c r="D3525" s="81"/>
      <c r="E3525" s="71"/>
      <c r="F3525" s="71"/>
      <c r="G3525" s="82" t="str">
        <f aca="false">IF(C3525="","",IFERROR(INDEX('Kit Lists'!$D$6:$D$605,MATCH(B3525&amp;"|"&amp;C3525,'Kit Lists'!$J$6:$J$605,0)),"Not on this contract's kit list"))</f>
        <v/>
      </c>
      <c r="H3525" s="83" t="str">
        <f aca="false">IF(AND(B3525="",C3525="",D3525=""),"",IF(B3525="","Missing contract",IF(C3525="","Missing code",IF(LEFT(G3525,3)="Not","Wrong code",IF(D3525="","Missing qty",IF(A3525="","Missing date",""))))))</f>
        <v/>
      </c>
      <c r="I3525" s="84" t="str">
        <f aca="false">IF(B3525=Dashboard!$D$3,ROW(),"")</f>
        <v/>
      </c>
    </row>
    <row r="3526" customFormat="false" ht="15" hidden="false" customHeight="false" outlineLevel="0" collapsed="false">
      <c r="A3526" s="80"/>
      <c r="B3526" s="71"/>
      <c r="C3526" s="71"/>
      <c r="D3526" s="81"/>
      <c r="E3526" s="71"/>
      <c r="F3526" s="71"/>
      <c r="G3526" s="82" t="str">
        <f aca="false">IF(C3526="","",IFERROR(INDEX('Kit Lists'!$D$6:$D$605,MATCH(B3526&amp;"|"&amp;C3526,'Kit Lists'!$J$6:$J$605,0)),"Not on this contract's kit list"))</f>
        <v/>
      </c>
      <c r="H3526" s="83" t="str">
        <f aca="false">IF(AND(B3526="",C3526="",D3526=""),"",IF(B3526="","Missing contract",IF(C3526="","Missing code",IF(LEFT(G3526,3)="Not","Wrong code",IF(D3526="","Missing qty",IF(A3526="","Missing date",""))))))</f>
        <v/>
      </c>
      <c r="I3526" s="84" t="str">
        <f aca="false">IF(B3526=Dashboard!$D$3,ROW(),"")</f>
        <v/>
      </c>
    </row>
    <row r="3527" customFormat="false" ht="15" hidden="false" customHeight="false" outlineLevel="0" collapsed="false">
      <c r="A3527" s="80"/>
      <c r="B3527" s="71"/>
      <c r="C3527" s="71"/>
      <c r="D3527" s="81"/>
      <c r="E3527" s="71"/>
      <c r="F3527" s="71"/>
      <c r="G3527" s="82" t="str">
        <f aca="false">IF(C3527="","",IFERROR(INDEX('Kit Lists'!$D$6:$D$605,MATCH(B3527&amp;"|"&amp;C3527,'Kit Lists'!$J$6:$J$605,0)),"Not on this contract's kit list"))</f>
        <v/>
      </c>
      <c r="H3527" s="83" t="str">
        <f aca="false">IF(AND(B3527="",C3527="",D3527=""),"",IF(B3527="","Missing contract",IF(C3527="","Missing code",IF(LEFT(G3527,3)="Not","Wrong code",IF(D3527="","Missing qty",IF(A3527="","Missing date",""))))))</f>
        <v/>
      </c>
      <c r="I3527" s="84" t="str">
        <f aca="false">IF(B3527=Dashboard!$D$3,ROW(),"")</f>
        <v/>
      </c>
    </row>
    <row r="3528" customFormat="false" ht="15" hidden="false" customHeight="false" outlineLevel="0" collapsed="false">
      <c r="A3528" s="80"/>
      <c r="B3528" s="71"/>
      <c r="C3528" s="71"/>
      <c r="D3528" s="81"/>
      <c r="E3528" s="71"/>
      <c r="F3528" s="71"/>
      <c r="G3528" s="82" t="str">
        <f aca="false">IF(C3528="","",IFERROR(INDEX('Kit Lists'!$D$6:$D$605,MATCH(B3528&amp;"|"&amp;C3528,'Kit Lists'!$J$6:$J$605,0)),"Not on this contract's kit list"))</f>
        <v/>
      </c>
      <c r="H3528" s="83" t="str">
        <f aca="false">IF(AND(B3528="",C3528="",D3528=""),"",IF(B3528="","Missing contract",IF(C3528="","Missing code",IF(LEFT(G3528,3)="Not","Wrong code",IF(D3528="","Missing qty",IF(A3528="","Missing date",""))))))</f>
        <v/>
      </c>
      <c r="I3528" s="84" t="str">
        <f aca="false">IF(B3528=Dashboard!$D$3,ROW(),"")</f>
        <v/>
      </c>
    </row>
    <row r="3529" customFormat="false" ht="15" hidden="false" customHeight="false" outlineLevel="0" collapsed="false">
      <c r="A3529" s="80"/>
      <c r="B3529" s="71"/>
      <c r="C3529" s="71"/>
      <c r="D3529" s="81"/>
      <c r="E3529" s="71"/>
      <c r="F3529" s="71"/>
      <c r="G3529" s="82" t="str">
        <f aca="false">IF(C3529="","",IFERROR(INDEX('Kit Lists'!$D$6:$D$605,MATCH(B3529&amp;"|"&amp;C3529,'Kit Lists'!$J$6:$J$605,0)),"Not on this contract's kit list"))</f>
        <v/>
      </c>
      <c r="H3529" s="83" t="str">
        <f aca="false">IF(AND(B3529="",C3529="",D3529=""),"",IF(B3529="","Missing contract",IF(C3529="","Missing code",IF(LEFT(G3529,3)="Not","Wrong code",IF(D3529="","Missing qty",IF(A3529="","Missing date",""))))))</f>
        <v/>
      </c>
      <c r="I3529" s="84" t="str">
        <f aca="false">IF(B3529=Dashboard!$D$3,ROW(),"")</f>
        <v/>
      </c>
    </row>
    <row r="3530" customFormat="false" ht="15" hidden="false" customHeight="false" outlineLevel="0" collapsed="false">
      <c r="A3530" s="80"/>
      <c r="B3530" s="71"/>
      <c r="C3530" s="71"/>
      <c r="D3530" s="81"/>
      <c r="E3530" s="71"/>
      <c r="F3530" s="71"/>
      <c r="G3530" s="82" t="str">
        <f aca="false">IF(C3530="","",IFERROR(INDEX('Kit Lists'!$D$6:$D$605,MATCH(B3530&amp;"|"&amp;C3530,'Kit Lists'!$J$6:$J$605,0)),"Not on this contract's kit list"))</f>
        <v/>
      </c>
      <c r="H3530" s="83" t="str">
        <f aca="false">IF(AND(B3530="",C3530="",D3530=""),"",IF(B3530="","Missing contract",IF(C3530="","Missing code",IF(LEFT(G3530,3)="Not","Wrong code",IF(D3530="","Missing qty",IF(A3530="","Missing date",""))))))</f>
        <v/>
      </c>
      <c r="I3530" s="84" t="str">
        <f aca="false">IF(B3530=Dashboard!$D$3,ROW(),"")</f>
        <v/>
      </c>
    </row>
    <row r="3531" customFormat="false" ht="15" hidden="false" customHeight="false" outlineLevel="0" collapsed="false">
      <c r="A3531" s="80"/>
      <c r="B3531" s="71"/>
      <c r="C3531" s="71"/>
      <c r="D3531" s="81"/>
      <c r="E3531" s="71"/>
      <c r="F3531" s="71"/>
      <c r="G3531" s="82" t="str">
        <f aca="false">IF(C3531="","",IFERROR(INDEX('Kit Lists'!$D$6:$D$605,MATCH(B3531&amp;"|"&amp;C3531,'Kit Lists'!$J$6:$J$605,0)),"Not on this contract's kit list"))</f>
        <v/>
      </c>
      <c r="H3531" s="83" t="str">
        <f aca="false">IF(AND(B3531="",C3531="",D3531=""),"",IF(B3531="","Missing contract",IF(C3531="","Missing code",IF(LEFT(G3531,3)="Not","Wrong code",IF(D3531="","Missing qty",IF(A3531="","Missing date",""))))))</f>
        <v/>
      </c>
      <c r="I3531" s="84" t="str">
        <f aca="false">IF(B3531=Dashboard!$D$3,ROW(),"")</f>
        <v/>
      </c>
    </row>
    <row r="3532" customFormat="false" ht="15" hidden="false" customHeight="false" outlineLevel="0" collapsed="false">
      <c r="A3532" s="80"/>
      <c r="B3532" s="71"/>
      <c r="C3532" s="71"/>
      <c r="D3532" s="81"/>
      <c r="E3532" s="71"/>
      <c r="F3532" s="71"/>
      <c r="G3532" s="82" t="str">
        <f aca="false">IF(C3532="","",IFERROR(INDEX('Kit Lists'!$D$6:$D$605,MATCH(B3532&amp;"|"&amp;C3532,'Kit Lists'!$J$6:$J$605,0)),"Not on this contract's kit list"))</f>
        <v/>
      </c>
      <c r="H3532" s="83" t="str">
        <f aca="false">IF(AND(B3532="",C3532="",D3532=""),"",IF(B3532="","Missing contract",IF(C3532="","Missing code",IF(LEFT(G3532,3)="Not","Wrong code",IF(D3532="","Missing qty",IF(A3532="","Missing date",""))))))</f>
        <v/>
      </c>
      <c r="I3532" s="84" t="str">
        <f aca="false">IF(B3532=Dashboard!$D$3,ROW(),"")</f>
        <v/>
      </c>
    </row>
    <row r="3533" customFormat="false" ht="15" hidden="false" customHeight="false" outlineLevel="0" collapsed="false">
      <c r="A3533" s="80"/>
      <c r="B3533" s="71"/>
      <c r="C3533" s="71"/>
      <c r="D3533" s="81"/>
      <c r="E3533" s="71"/>
      <c r="F3533" s="71"/>
      <c r="G3533" s="82" t="str">
        <f aca="false">IF(C3533="","",IFERROR(INDEX('Kit Lists'!$D$6:$D$605,MATCH(B3533&amp;"|"&amp;C3533,'Kit Lists'!$J$6:$J$605,0)),"Not on this contract's kit list"))</f>
        <v/>
      </c>
      <c r="H3533" s="83" t="str">
        <f aca="false">IF(AND(B3533="",C3533="",D3533=""),"",IF(B3533="","Missing contract",IF(C3533="","Missing code",IF(LEFT(G3533,3)="Not","Wrong code",IF(D3533="","Missing qty",IF(A3533="","Missing date",""))))))</f>
        <v/>
      </c>
      <c r="I3533" s="84" t="str">
        <f aca="false">IF(B3533=Dashboard!$D$3,ROW(),"")</f>
        <v/>
      </c>
    </row>
    <row r="3534" customFormat="false" ht="15" hidden="false" customHeight="false" outlineLevel="0" collapsed="false">
      <c r="A3534" s="80"/>
      <c r="B3534" s="71"/>
      <c r="C3534" s="71"/>
      <c r="D3534" s="81"/>
      <c r="E3534" s="71"/>
      <c r="F3534" s="71"/>
      <c r="G3534" s="82" t="str">
        <f aca="false">IF(C3534="","",IFERROR(INDEX('Kit Lists'!$D$6:$D$605,MATCH(B3534&amp;"|"&amp;C3534,'Kit Lists'!$J$6:$J$605,0)),"Not on this contract's kit list"))</f>
        <v/>
      </c>
      <c r="H3534" s="83" t="str">
        <f aca="false">IF(AND(B3534="",C3534="",D3534=""),"",IF(B3534="","Missing contract",IF(C3534="","Missing code",IF(LEFT(G3534,3)="Not","Wrong code",IF(D3534="","Missing qty",IF(A3534="","Missing date",""))))))</f>
        <v/>
      </c>
      <c r="I3534" s="84" t="str">
        <f aca="false">IF(B3534=Dashboard!$D$3,ROW(),"")</f>
        <v/>
      </c>
    </row>
    <row r="3535" customFormat="false" ht="15" hidden="false" customHeight="false" outlineLevel="0" collapsed="false">
      <c r="A3535" s="80"/>
      <c r="B3535" s="71"/>
      <c r="C3535" s="71"/>
      <c r="D3535" s="81"/>
      <c r="E3535" s="71"/>
      <c r="F3535" s="71"/>
      <c r="G3535" s="82" t="str">
        <f aca="false">IF(C3535="","",IFERROR(INDEX('Kit Lists'!$D$6:$D$605,MATCH(B3535&amp;"|"&amp;C3535,'Kit Lists'!$J$6:$J$605,0)),"Not on this contract's kit list"))</f>
        <v/>
      </c>
      <c r="H3535" s="83" t="str">
        <f aca="false">IF(AND(B3535="",C3535="",D3535=""),"",IF(B3535="","Missing contract",IF(C3535="","Missing code",IF(LEFT(G3535,3)="Not","Wrong code",IF(D3535="","Missing qty",IF(A3535="","Missing date",""))))))</f>
        <v/>
      </c>
      <c r="I3535" s="84" t="str">
        <f aca="false">IF(B3535=Dashboard!$D$3,ROW(),"")</f>
        <v/>
      </c>
    </row>
    <row r="3536" customFormat="false" ht="15" hidden="false" customHeight="false" outlineLevel="0" collapsed="false">
      <c r="A3536" s="80"/>
      <c r="B3536" s="71"/>
      <c r="C3536" s="71"/>
      <c r="D3536" s="81"/>
      <c r="E3536" s="71"/>
      <c r="F3536" s="71"/>
      <c r="G3536" s="82" t="str">
        <f aca="false">IF(C3536="","",IFERROR(INDEX('Kit Lists'!$D$6:$D$605,MATCH(B3536&amp;"|"&amp;C3536,'Kit Lists'!$J$6:$J$605,0)),"Not on this contract's kit list"))</f>
        <v/>
      </c>
      <c r="H3536" s="83" t="str">
        <f aca="false">IF(AND(B3536="",C3536="",D3536=""),"",IF(B3536="","Missing contract",IF(C3536="","Missing code",IF(LEFT(G3536,3)="Not","Wrong code",IF(D3536="","Missing qty",IF(A3536="","Missing date",""))))))</f>
        <v/>
      </c>
      <c r="I3536" s="84" t="str">
        <f aca="false">IF(B3536=Dashboard!$D$3,ROW(),"")</f>
        <v/>
      </c>
    </row>
    <row r="3537" customFormat="false" ht="15" hidden="false" customHeight="false" outlineLevel="0" collapsed="false">
      <c r="A3537" s="80"/>
      <c r="B3537" s="71"/>
      <c r="C3537" s="71"/>
      <c r="D3537" s="81"/>
      <c r="E3537" s="71"/>
      <c r="F3537" s="71"/>
      <c r="G3537" s="82" t="str">
        <f aca="false">IF(C3537="","",IFERROR(INDEX('Kit Lists'!$D$6:$D$605,MATCH(B3537&amp;"|"&amp;C3537,'Kit Lists'!$J$6:$J$605,0)),"Not on this contract's kit list"))</f>
        <v/>
      </c>
      <c r="H3537" s="83" t="str">
        <f aca="false">IF(AND(B3537="",C3537="",D3537=""),"",IF(B3537="","Missing contract",IF(C3537="","Missing code",IF(LEFT(G3537,3)="Not","Wrong code",IF(D3537="","Missing qty",IF(A3537="","Missing date",""))))))</f>
        <v/>
      </c>
      <c r="I3537" s="84" t="str">
        <f aca="false">IF(B3537=Dashboard!$D$3,ROW(),"")</f>
        <v/>
      </c>
    </row>
    <row r="3538" customFormat="false" ht="15" hidden="false" customHeight="false" outlineLevel="0" collapsed="false">
      <c r="A3538" s="80"/>
      <c r="B3538" s="71"/>
      <c r="C3538" s="71"/>
      <c r="D3538" s="81"/>
      <c r="E3538" s="71"/>
      <c r="F3538" s="71"/>
      <c r="G3538" s="82" t="str">
        <f aca="false">IF(C3538="","",IFERROR(INDEX('Kit Lists'!$D$6:$D$605,MATCH(B3538&amp;"|"&amp;C3538,'Kit Lists'!$J$6:$J$605,0)),"Not on this contract's kit list"))</f>
        <v/>
      </c>
      <c r="H3538" s="83" t="str">
        <f aca="false">IF(AND(B3538="",C3538="",D3538=""),"",IF(B3538="","Missing contract",IF(C3538="","Missing code",IF(LEFT(G3538,3)="Not","Wrong code",IF(D3538="","Missing qty",IF(A3538="","Missing date",""))))))</f>
        <v/>
      </c>
      <c r="I3538" s="84" t="str">
        <f aca="false">IF(B3538=Dashboard!$D$3,ROW(),"")</f>
        <v/>
      </c>
    </row>
    <row r="3539" customFormat="false" ht="15" hidden="false" customHeight="false" outlineLevel="0" collapsed="false">
      <c r="A3539" s="80"/>
      <c r="B3539" s="71"/>
      <c r="C3539" s="71"/>
      <c r="D3539" s="81"/>
      <c r="E3539" s="71"/>
      <c r="F3539" s="71"/>
      <c r="G3539" s="82" t="str">
        <f aca="false">IF(C3539="","",IFERROR(INDEX('Kit Lists'!$D$6:$D$605,MATCH(B3539&amp;"|"&amp;C3539,'Kit Lists'!$J$6:$J$605,0)),"Not on this contract's kit list"))</f>
        <v/>
      </c>
      <c r="H3539" s="83" t="str">
        <f aca="false">IF(AND(B3539="",C3539="",D3539=""),"",IF(B3539="","Missing contract",IF(C3539="","Missing code",IF(LEFT(G3539,3)="Not","Wrong code",IF(D3539="","Missing qty",IF(A3539="","Missing date",""))))))</f>
        <v/>
      </c>
      <c r="I3539" s="84" t="str">
        <f aca="false">IF(B3539=Dashboard!$D$3,ROW(),"")</f>
        <v/>
      </c>
    </row>
    <row r="3540" customFormat="false" ht="15" hidden="false" customHeight="false" outlineLevel="0" collapsed="false">
      <c r="A3540" s="80"/>
      <c r="B3540" s="71"/>
      <c r="C3540" s="71"/>
      <c r="D3540" s="81"/>
      <c r="E3540" s="71"/>
      <c r="F3540" s="71"/>
      <c r="G3540" s="82" t="str">
        <f aca="false">IF(C3540="","",IFERROR(INDEX('Kit Lists'!$D$6:$D$605,MATCH(B3540&amp;"|"&amp;C3540,'Kit Lists'!$J$6:$J$605,0)),"Not on this contract's kit list"))</f>
        <v/>
      </c>
      <c r="H3540" s="83" t="str">
        <f aca="false">IF(AND(B3540="",C3540="",D3540=""),"",IF(B3540="","Missing contract",IF(C3540="","Missing code",IF(LEFT(G3540,3)="Not","Wrong code",IF(D3540="","Missing qty",IF(A3540="","Missing date",""))))))</f>
        <v/>
      </c>
      <c r="I3540" s="84" t="str">
        <f aca="false">IF(B3540=Dashboard!$D$3,ROW(),"")</f>
        <v/>
      </c>
    </row>
    <row r="3541" customFormat="false" ht="15" hidden="false" customHeight="false" outlineLevel="0" collapsed="false">
      <c r="A3541" s="80"/>
      <c r="B3541" s="71"/>
      <c r="C3541" s="71"/>
      <c r="D3541" s="81"/>
      <c r="E3541" s="71"/>
      <c r="F3541" s="71"/>
      <c r="G3541" s="82" t="str">
        <f aca="false">IF(C3541="","",IFERROR(INDEX('Kit Lists'!$D$6:$D$605,MATCH(B3541&amp;"|"&amp;C3541,'Kit Lists'!$J$6:$J$605,0)),"Not on this contract's kit list"))</f>
        <v/>
      </c>
      <c r="H3541" s="83" t="str">
        <f aca="false">IF(AND(B3541="",C3541="",D3541=""),"",IF(B3541="","Missing contract",IF(C3541="","Missing code",IF(LEFT(G3541,3)="Not","Wrong code",IF(D3541="","Missing qty",IF(A3541="","Missing date",""))))))</f>
        <v/>
      </c>
      <c r="I3541" s="84" t="str">
        <f aca="false">IF(B3541=Dashboard!$D$3,ROW(),"")</f>
        <v/>
      </c>
    </row>
    <row r="3542" customFormat="false" ht="15" hidden="false" customHeight="false" outlineLevel="0" collapsed="false">
      <c r="A3542" s="80"/>
      <c r="B3542" s="71"/>
      <c r="C3542" s="71"/>
      <c r="D3542" s="81"/>
      <c r="E3542" s="71"/>
      <c r="F3542" s="71"/>
      <c r="G3542" s="82" t="str">
        <f aca="false">IF(C3542="","",IFERROR(INDEX('Kit Lists'!$D$6:$D$605,MATCH(B3542&amp;"|"&amp;C3542,'Kit Lists'!$J$6:$J$605,0)),"Not on this contract's kit list"))</f>
        <v/>
      </c>
      <c r="H3542" s="83" t="str">
        <f aca="false">IF(AND(B3542="",C3542="",D3542=""),"",IF(B3542="","Missing contract",IF(C3542="","Missing code",IF(LEFT(G3542,3)="Not","Wrong code",IF(D3542="","Missing qty",IF(A3542="","Missing date",""))))))</f>
        <v/>
      </c>
      <c r="I3542" s="84" t="str">
        <f aca="false">IF(B3542=Dashboard!$D$3,ROW(),"")</f>
        <v/>
      </c>
    </row>
    <row r="3543" customFormat="false" ht="15" hidden="false" customHeight="false" outlineLevel="0" collapsed="false">
      <c r="A3543" s="80"/>
      <c r="B3543" s="71"/>
      <c r="C3543" s="71"/>
      <c r="D3543" s="81"/>
      <c r="E3543" s="71"/>
      <c r="F3543" s="71"/>
      <c r="G3543" s="82" t="str">
        <f aca="false">IF(C3543="","",IFERROR(INDEX('Kit Lists'!$D$6:$D$605,MATCH(B3543&amp;"|"&amp;C3543,'Kit Lists'!$J$6:$J$605,0)),"Not on this contract's kit list"))</f>
        <v/>
      </c>
      <c r="H3543" s="83" t="str">
        <f aca="false">IF(AND(B3543="",C3543="",D3543=""),"",IF(B3543="","Missing contract",IF(C3543="","Missing code",IF(LEFT(G3543,3)="Not","Wrong code",IF(D3543="","Missing qty",IF(A3543="","Missing date",""))))))</f>
        <v/>
      </c>
      <c r="I3543" s="84" t="str">
        <f aca="false">IF(B3543=Dashboard!$D$3,ROW(),"")</f>
        <v/>
      </c>
    </row>
    <row r="3544" customFormat="false" ht="15" hidden="false" customHeight="false" outlineLevel="0" collapsed="false">
      <c r="A3544" s="80"/>
      <c r="B3544" s="71"/>
      <c r="C3544" s="71"/>
      <c r="D3544" s="81"/>
      <c r="E3544" s="71"/>
      <c r="F3544" s="71"/>
      <c r="G3544" s="82" t="str">
        <f aca="false">IF(C3544="","",IFERROR(INDEX('Kit Lists'!$D$6:$D$605,MATCH(B3544&amp;"|"&amp;C3544,'Kit Lists'!$J$6:$J$605,0)),"Not on this contract's kit list"))</f>
        <v/>
      </c>
      <c r="H3544" s="83" t="str">
        <f aca="false">IF(AND(B3544="",C3544="",D3544=""),"",IF(B3544="","Missing contract",IF(C3544="","Missing code",IF(LEFT(G3544,3)="Not","Wrong code",IF(D3544="","Missing qty",IF(A3544="","Missing date",""))))))</f>
        <v/>
      </c>
      <c r="I3544" s="84" t="str">
        <f aca="false">IF(B3544=Dashboard!$D$3,ROW(),"")</f>
        <v/>
      </c>
    </row>
    <row r="3545" customFormat="false" ht="15" hidden="false" customHeight="false" outlineLevel="0" collapsed="false">
      <c r="A3545" s="80"/>
      <c r="B3545" s="71"/>
      <c r="C3545" s="71"/>
      <c r="D3545" s="81"/>
      <c r="E3545" s="71"/>
      <c r="F3545" s="71"/>
      <c r="G3545" s="82" t="str">
        <f aca="false">IF(C3545="","",IFERROR(INDEX('Kit Lists'!$D$6:$D$605,MATCH(B3545&amp;"|"&amp;C3545,'Kit Lists'!$J$6:$J$605,0)),"Not on this contract's kit list"))</f>
        <v/>
      </c>
      <c r="H3545" s="83" t="str">
        <f aca="false">IF(AND(B3545="",C3545="",D3545=""),"",IF(B3545="","Missing contract",IF(C3545="","Missing code",IF(LEFT(G3545,3)="Not","Wrong code",IF(D3545="","Missing qty",IF(A3545="","Missing date",""))))))</f>
        <v/>
      </c>
      <c r="I3545" s="84" t="str">
        <f aca="false">IF(B3545=Dashboard!$D$3,ROW(),"")</f>
        <v/>
      </c>
    </row>
    <row r="3546" customFormat="false" ht="15" hidden="false" customHeight="false" outlineLevel="0" collapsed="false">
      <c r="A3546" s="80"/>
      <c r="B3546" s="71"/>
      <c r="C3546" s="71"/>
      <c r="D3546" s="81"/>
      <c r="E3546" s="71"/>
      <c r="F3546" s="71"/>
      <c r="G3546" s="82" t="str">
        <f aca="false">IF(C3546="","",IFERROR(INDEX('Kit Lists'!$D$6:$D$605,MATCH(B3546&amp;"|"&amp;C3546,'Kit Lists'!$J$6:$J$605,0)),"Not on this contract's kit list"))</f>
        <v/>
      </c>
      <c r="H3546" s="83" t="str">
        <f aca="false">IF(AND(B3546="",C3546="",D3546=""),"",IF(B3546="","Missing contract",IF(C3546="","Missing code",IF(LEFT(G3546,3)="Not","Wrong code",IF(D3546="","Missing qty",IF(A3546="","Missing date",""))))))</f>
        <v/>
      </c>
      <c r="I3546" s="84" t="str">
        <f aca="false">IF(B3546=Dashboard!$D$3,ROW(),"")</f>
        <v/>
      </c>
    </row>
    <row r="3547" customFormat="false" ht="15" hidden="false" customHeight="false" outlineLevel="0" collapsed="false">
      <c r="A3547" s="80"/>
      <c r="B3547" s="71"/>
      <c r="C3547" s="71"/>
      <c r="D3547" s="81"/>
      <c r="E3547" s="71"/>
      <c r="F3547" s="71"/>
      <c r="G3547" s="82" t="str">
        <f aca="false">IF(C3547="","",IFERROR(INDEX('Kit Lists'!$D$6:$D$605,MATCH(B3547&amp;"|"&amp;C3547,'Kit Lists'!$J$6:$J$605,0)),"Not on this contract's kit list"))</f>
        <v/>
      </c>
      <c r="H3547" s="83" t="str">
        <f aca="false">IF(AND(B3547="",C3547="",D3547=""),"",IF(B3547="","Missing contract",IF(C3547="","Missing code",IF(LEFT(G3547,3)="Not","Wrong code",IF(D3547="","Missing qty",IF(A3547="","Missing date",""))))))</f>
        <v/>
      </c>
      <c r="I3547" s="84" t="str">
        <f aca="false">IF(B3547=Dashboard!$D$3,ROW(),"")</f>
        <v/>
      </c>
    </row>
    <row r="3548" customFormat="false" ht="15" hidden="false" customHeight="false" outlineLevel="0" collapsed="false">
      <c r="A3548" s="80"/>
      <c r="B3548" s="71"/>
      <c r="C3548" s="71"/>
      <c r="D3548" s="81"/>
      <c r="E3548" s="71"/>
      <c r="F3548" s="71"/>
      <c r="G3548" s="82" t="str">
        <f aca="false">IF(C3548="","",IFERROR(INDEX('Kit Lists'!$D$6:$D$605,MATCH(B3548&amp;"|"&amp;C3548,'Kit Lists'!$J$6:$J$605,0)),"Not on this contract's kit list"))</f>
        <v/>
      </c>
      <c r="H3548" s="83" t="str">
        <f aca="false">IF(AND(B3548="",C3548="",D3548=""),"",IF(B3548="","Missing contract",IF(C3548="","Missing code",IF(LEFT(G3548,3)="Not","Wrong code",IF(D3548="","Missing qty",IF(A3548="","Missing date",""))))))</f>
        <v/>
      </c>
      <c r="I3548" s="84" t="str">
        <f aca="false">IF(B3548=Dashboard!$D$3,ROW(),"")</f>
        <v/>
      </c>
    </row>
    <row r="3549" customFormat="false" ht="15" hidden="false" customHeight="false" outlineLevel="0" collapsed="false">
      <c r="A3549" s="80"/>
      <c r="B3549" s="71"/>
      <c r="C3549" s="71"/>
      <c r="D3549" s="81"/>
      <c r="E3549" s="71"/>
      <c r="F3549" s="71"/>
      <c r="G3549" s="82" t="str">
        <f aca="false">IF(C3549="","",IFERROR(INDEX('Kit Lists'!$D$6:$D$605,MATCH(B3549&amp;"|"&amp;C3549,'Kit Lists'!$J$6:$J$605,0)),"Not on this contract's kit list"))</f>
        <v/>
      </c>
      <c r="H3549" s="83" t="str">
        <f aca="false">IF(AND(B3549="",C3549="",D3549=""),"",IF(B3549="","Missing contract",IF(C3549="","Missing code",IF(LEFT(G3549,3)="Not","Wrong code",IF(D3549="","Missing qty",IF(A3549="","Missing date",""))))))</f>
        <v/>
      </c>
      <c r="I3549" s="84" t="str">
        <f aca="false">IF(B3549=Dashboard!$D$3,ROW(),"")</f>
        <v/>
      </c>
    </row>
    <row r="3550" customFormat="false" ht="15" hidden="false" customHeight="false" outlineLevel="0" collapsed="false">
      <c r="A3550" s="80"/>
      <c r="B3550" s="71"/>
      <c r="C3550" s="71"/>
      <c r="D3550" s="81"/>
      <c r="E3550" s="71"/>
      <c r="F3550" s="71"/>
      <c r="G3550" s="82" t="str">
        <f aca="false">IF(C3550="","",IFERROR(INDEX('Kit Lists'!$D$6:$D$605,MATCH(B3550&amp;"|"&amp;C3550,'Kit Lists'!$J$6:$J$605,0)),"Not on this contract's kit list"))</f>
        <v/>
      </c>
      <c r="H3550" s="83" t="str">
        <f aca="false">IF(AND(B3550="",C3550="",D3550=""),"",IF(B3550="","Missing contract",IF(C3550="","Missing code",IF(LEFT(G3550,3)="Not","Wrong code",IF(D3550="","Missing qty",IF(A3550="","Missing date",""))))))</f>
        <v/>
      </c>
      <c r="I3550" s="84" t="str">
        <f aca="false">IF(B3550=Dashboard!$D$3,ROW(),"")</f>
        <v/>
      </c>
    </row>
    <row r="3551" customFormat="false" ht="15" hidden="false" customHeight="false" outlineLevel="0" collapsed="false">
      <c r="A3551" s="80"/>
      <c r="B3551" s="71"/>
      <c r="C3551" s="71"/>
      <c r="D3551" s="81"/>
      <c r="E3551" s="71"/>
      <c r="F3551" s="71"/>
      <c r="G3551" s="82" t="str">
        <f aca="false">IF(C3551="","",IFERROR(INDEX('Kit Lists'!$D$6:$D$605,MATCH(B3551&amp;"|"&amp;C3551,'Kit Lists'!$J$6:$J$605,0)),"Not on this contract's kit list"))</f>
        <v/>
      </c>
      <c r="H3551" s="83" t="str">
        <f aca="false">IF(AND(B3551="",C3551="",D3551=""),"",IF(B3551="","Missing contract",IF(C3551="","Missing code",IF(LEFT(G3551,3)="Not","Wrong code",IF(D3551="","Missing qty",IF(A3551="","Missing date",""))))))</f>
        <v/>
      </c>
      <c r="I3551" s="84" t="str">
        <f aca="false">IF(B3551=Dashboard!$D$3,ROW(),"")</f>
        <v/>
      </c>
    </row>
    <row r="3552" customFormat="false" ht="15" hidden="false" customHeight="false" outlineLevel="0" collapsed="false">
      <c r="A3552" s="80"/>
      <c r="B3552" s="71"/>
      <c r="C3552" s="71"/>
      <c r="D3552" s="81"/>
      <c r="E3552" s="71"/>
      <c r="F3552" s="71"/>
      <c r="G3552" s="82" t="str">
        <f aca="false">IF(C3552="","",IFERROR(INDEX('Kit Lists'!$D$6:$D$605,MATCH(B3552&amp;"|"&amp;C3552,'Kit Lists'!$J$6:$J$605,0)),"Not on this contract's kit list"))</f>
        <v/>
      </c>
      <c r="H3552" s="83" t="str">
        <f aca="false">IF(AND(B3552="",C3552="",D3552=""),"",IF(B3552="","Missing contract",IF(C3552="","Missing code",IF(LEFT(G3552,3)="Not","Wrong code",IF(D3552="","Missing qty",IF(A3552="","Missing date",""))))))</f>
        <v/>
      </c>
      <c r="I3552" s="84" t="str">
        <f aca="false">IF(B3552=Dashboard!$D$3,ROW(),"")</f>
        <v/>
      </c>
    </row>
    <row r="3553" customFormat="false" ht="15" hidden="false" customHeight="false" outlineLevel="0" collapsed="false">
      <c r="A3553" s="80"/>
      <c r="B3553" s="71"/>
      <c r="C3553" s="71"/>
      <c r="D3553" s="81"/>
      <c r="E3553" s="71"/>
      <c r="F3553" s="71"/>
      <c r="G3553" s="82" t="str">
        <f aca="false">IF(C3553="","",IFERROR(INDEX('Kit Lists'!$D$6:$D$605,MATCH(B3553&amp;"|"&amp;C3553,'Kit Lists'!$J$6:$J$605,0)),"Not on this contract's kit list"))</f>
        <v/>
      </c>
      <c r="H3553" s="83" t="str">
        <f aca="false">IF(AND(B3553="",C3553="",D3553=""),"",IF(B3553="","Missing contract",IF(C3553="","Missing code",IF(LEFT(G3553,3)="Not","Wrong code",IF(D3553="","Missing qty",IF(A3553="","Missing date",""))))))</f>
        <v/>
      </c>
      <c r="I3553" s="84" t="str">
        <f aca="false">IF(B3553=Dashboard!$D$3,ROW(),"")</f>
        <v/>
      </c>
    </row>
    <row r="3554" customFormat="false" ht="15" hidden="false" customHeight="false" outlineLevel="0" collapsed="false">
      <c r="A3554" s="80"/>
      <c r="B3554" s="71"/>
      <c r="C3554" s="71"/>
      <c r="D3554" s="81"/>
      <c r="E3554" s="71"/>
      <c r="F3554" s="71"/>
      <c r="G3554" s="82" t="str">
        <f aca="false">IF(C3554="","",IFERROR(INDEX('Kit Lists'!$D$6:$D$605,MATCH(B3554&amp;"|"&amp;C3554,'Kit Lists'!$J$6:$J$605,0)),"Not on this contract's kit list"))</f>
        <v/>
      </c>
      <c r="H3554" s="83" t="str">
        <f aca="false">IF(AND(B3554="",C3554="",D3554=""),"",IF(B3554="","Missing contract",IF(C3554="","Missing code",IF(LEFT(G3554,3)="Not","Wrong code",IF(D3554="","Missing qty",IF(A3554="","Missing date",""))))))</f>
        <v/>
      </c>
      <c r="I3554" s="84" t="str">
        <f aca="false">IF(B3554=Dashboard!$D$3,ROW(),"")</f>
        <v/>
      </c>
    </row>
    <row r="3555" customFormat="false" ht="15" hidden="false" customHeight="false" outlineLevel="0" collapsed="false">
      <c r="A3555" s="80"/>
      <c r="B3555" s="71"/>
      <c r="C3555" s="71"/>
      <c r="D3555" s="81"/>
      <c r="E3555" s="71"/>
      <c r="F3555" s="71"/>
      <c r="G3555" s="82" t="str">
        <f aca="false">IF(C3555="","",IFERROR(INDEX('Kit Lists'!$D$6:$D$605,MATCH(B3555&amp;"|"&amp;C3555,'Kit Lists'!$J$6:$J$605,0)),"Not on this contract's kit list"))</f>
        <v/>
      </c>
      <c r="H3555" s="83" t="str">
        <f aca="false">IF(AND(B3555="",C3555="",D3555=""),"",IF(B3555="","Missing contract",IF(C3555="","Missing code",IF(LEFT(G3555,3)="Not","Wrong code",IF(D3555="","Missing qty",IF(A3555="","Missing date",""))))))</f>
        <v/>
      </c>
      <c r="I3555" s="84" t="str">
        <f aca="false">IF(B3555=Dashboard!$D$3,ROW(),"")</f>
        <v/>
      </c>
    </row>
    <row r="3556" customFormat="false" ht="15" hidden="false" customHeight="false" outlineLevel="0" collapsed="false">
      <c r="A3556" s="80"/>
      <c r="B3556" s="71"/>
      <c r="C3556" s="71"/>
      <c r="D3556" s="81"/>
      <c r="E3556" s="71"/>
      <c r="F3556" s="71"/>
      <c r="G3556" s="82" t="str">
        <f aca="false">IF(C3556="","",IFERROR(INDEX('Kit Lists'!$D$6:$D$605,MATCH(B3556&amp;"|"&amp;C3556,'Kit Lists'!$J$6:$J$605,0)),"Not on this contract's kit list"))</f>
        <v/>
      </c>
      <c r="H3556" s="83" t="str">
        <f aca="false">IF(AND(B3556="",C3556="",D3556=""),"",IF(B3556="","Missing contract",IF(C3556="","Missing code",IF(LEFT(G3556,3)="Not","Wrong code",IF(D3556="","Missing qty",IF(A3556="","Missing date",""))))))</f>
        <v/>
      </c>
      <c r="I3556" s="84" t="str">
        <f aca="false">IF(B3556=Dashboard!$D$3,ROW(),"")</f>
        <v/>
      </c>
    </row>
    <row r="3557" customFormat="false" ht="15" hidden="false" customHeight="false" outlineLevel="0" collapsed="false">
      <c r="A3557" s="80"/>
      <c r="B3557" s="71"/>
      <c r="C3557" s="71"/>
      <c r="D3557" s="81"/>
      <c r="E3557" s="71"/>
      <c r="F3557" s="71"/>
      <c r="G3557" s="82" t="str">
        <f aca="false">IF(C3557="","",IFERROR(INDEX('Kit Lists'!$D$6:$D$605,MATCH(B3557&amp;"|"&amp;C3557,'Kit Lists'!$J$6:$J$605,0)),"Not on this contract's kit list"))</f>
        <v/>
      </c>
      <c r="H3557" s="83" t="str">
        <f aca="false">IF(AND(B3557="",C3557="",D3557=""),"",IF(B3557="","Missing contract",IF(C3557="","Missing code",IF(LEFT(G3557,3)="Not","Wrong code",IF(D3557="","Missing qty",IF(A3557="","Missing date",""))))))</f>
        <v/>
      </c>
      <c r="I3557" s="84" t="str">
        <f aca="false">IF(B3557=Dashboard!$D$3,ROW(),"")</f>
        <v/>
      </c>
    </row>
    <row r="3558" customFormat="false" ht="15" hidden="false" customHeight="false" outlineLevel="0" collapsed="false">
      <c r="A3558" s="80"/>
      <c r="B3558" s="71"/>
      <c r="C3558" s="71"/>
      <c r="D3558" s="81"/>
      <c r="E3558" s="71"/>
      <c r="F3558" s="71"/>
      <c r="G3558" s="82" t="str">
        <f aca="false">IF(C3558="","",IFERROR(INDEX('Kit Lists'!$D$6:$D$605,MATCH(B3558&amp;"|"&amp;C3558,'Kit Lists'!$J$6:$J$605,0)),"Not on this contract's kit list"))</f>
        <v/>
      </c>
      <c r="H3558" s="83" t="str">
        <f aca="false">IF(AND(B3558="",C3558="",D3558=""),"",IF(B3558="","Missing contract",IF(C3558="","Missing code",IF(LEFT(G3558,3)="Not","Wrong code",IF(D3558="","Missing qty",IF(A3558="","Missing date",""))))))</f>
        <v/>
      </c>
      <c r="I3558" s="84" t="str">
        <f aca="false">IF(B3558=Dashboard!$D$3,ROW(),"")</f>
        <v/>
      </c>
    </row>
    <row r="3559" customFormat="false" ht="15" hidden="false" customHeight="false" outlineLevel="0" collapsed="false">
      <c r="A3559" s="80"/>
      <c r="B3559" s="71"/>
      <c r="C3559" s="71"/>
      <c r="D3559" s="81"/>
      <c r="E3559" s="71"/>
      <c r="F3559" s="71"/>
      <c r="G3559" s="82" t="str">
        <f aca="false">IF(C3559="","",IFERROR(INDEX('Kit Lists'!$D$6:$D$605,MATCH(B3559&amp;"|"&amp;C3559,'Kit Lists'!$J$6:$J$605,0)),"Not on this contract's kit list"))</f>
        <v/>
      </c>
      <c r="H3559" s="83" t="str">
        <f aca="false">IF(AND(B3559="",C3559="",D3559=""),"",IF(B3559="","Missing contract",IF(C3559="","Missing code",IF(LEFT(G3559,3)="Not","Wrong code",IF(D3559="","Missing qty",IF(A3559="","Missing date",""))))))</f>
        <v/>
      </c>
      <c r="I3559" s="84" t="str">
        <f aca="false">IF(B3559=Dashboard!$D$3,ROW(),"")</f>
        <v/>
      </c>
    </row>
    <row r="3560" customFormat="false" ht="15" hidden="false" customHeight="false" outlineLevel="0" collapsed="false">
      <c r="A3560" s="80"/>
      <c r="B3560" s="71"/>
      <c r="C3560" s="71"/>
      <c r="D3560" s="81"/>
      <c r="E3560" s="71"/>
      <c r="F3560" s="71"/>
      <c r="G3560" s="82" t="str">
        <f aca="false">IF(C3560="","",IFERROR(INDEX('Kit Lists'!$D$6:$D$605,MATCH(B3560&amp;"|"&amp;C3560,'Kit Lists'!$J$6:$J$605,0)),"Not on this contract's kit list"))</f>
        <v/>
      </c>
      <c r="H3560" s="83" t="str">
        <f aca="false">IF(AND(B3560="",C3560="",D3560=""),"",IF(B3560="","Missing contract",IF(C3560="","Missing code",IF(LEFT(G3560,3)="Not","Wrong code",IF(D3560="","Missing qty",IF(A3560="","Missing date",""))))))</f>
        <v/>
      </c>
      <c r="I3560" s="84" t="str">
        <f aca="false">IF(B3560=Dashboard!$D$3,ROW(),"")</f>
        <v/>
      </c>
    </row>
    <row r="3561" customFormat="false" ht="15" hidden="false" customHeight="false" outlineLevel="0" collapsed="false">
      <c r="A3561" s="80"/>
      <c r="B3561" s="71"/>
      <c r="C3561" s="71"/>
      <c r="D3561" s="81"/>
      <c r="E3561" s="71"/>
      <c r="F3561" s="71"/>
      <c r="G3561" s="82" t="str">
        <f aca="false">IF(C3561="","",IFERROR(INDEX('Kit Lists'!$D$6:$D$605,MATCH(B3561&amp;"|"&amp;C3561,'Kit Lists'!$J$6:$J$605,0)),"Not on this contract's kit list"))</f>
        <v/>
      </c>
      <c r="H3561" s="83" t="str">
        <f aca="false">IF(AND(B3561="",C3561="",D3561=""),"",IF(B3561="","Missing contract",IF(C3561="","Missing code",IF(LEFT(G3561,3)="Not","Wrong code",IF(D3561="","Missing qty",IF(A3561="","Missing date",""))))))</f>
        <v/>
      </c>
      <c r="I3561" s="84" t="str">
        <f aca="false">IF(B3561=Dashboard!$D$3,ROW(),"")</f>
        <v/>
      </c>
    </row>
    <row r="3562" customFormat="false" ht="15" hidden="false" customHeight="false" outlineLevel="0" collapsed="false">
      <c r="A3562" s="80"/>
      <c r="B3562" s="71"/>
      <c r="C3562" s="71"/>
      <c r="D3562" s="81"/>
      <c r="E3562" s="71"/>
      <c r="F3562" s="71"/>
      <c r="G3562" s="82" t="str">
        <f aca="false">IF(C3562="","",IFERROR(INDEX('Kit Lists'!$D$6:$D$605,MATCH(B3562&amp;"|"&amp;C3562,'Kit Lists'!$J$6:$J$605,0)),"Not on this contract's kit list"))</f>
        <v/>
      </c>
      <c r="H3562" s="83" t="str">
        <f aca="false">IF(AND(B3562="",C3562="",D3562=""),"",IF(B3562="","Missing contract",IF(C3562="","Missing code",IF(LEFT(G3562,3)="Not","Wrong code",IF(D3562="","Missing qty",IF(A3562="","Missing date",""))))))</f>
        <v/>
      </c>
      <c r="I3562" s="84" t="str">
        <f aca="false">IF(B3562=Dashboard!$D$3,ROW(),"")</f>
        <v/>
      </c>
    </row>
    <row r="3563" customFormat="false" ht="15" hidden="false" customHeight="false" outlineLevel="0" collapsed="false">
      <c r="A3563" s="80"/>
      <c r="B3563" s="71"/>
      <c r="C3563" s="71"/>
      <c r="D3563" s="81"/>
      <c r="E3563" s="71"/>
      <c r="F3563" s="71"/>
      <c r="G3563" s="82" t="str">
        <f aca="false">IF(C3563="","",IFERROR(INDEX('Kit Lists'!$D$6:$D$605,MATCH(B3563&amp;"|"&amp;C3563,'Kit Lists'!$J$6:$J$605,0)),"Not on this contract's kit list"))</f>
        <v/>
      </c>
      <c r="H3563" s="83" t="str">
        <f aca="false">IF(AND(B3563="",C3563="",D3563=""),"",IF(B3563="","Missing contract",IF(C3563="","Missing code",IF(LEFT(G3563,3)="Not","Wrong code",IF(D3563="","Missing qty",IF(A3563="","Missing date",""))))))</f>
        <v/>
      </c>
      <c r="I3563" s="84" t="str">
        <f aca="false">IF(B3563=Dashboard!$D$3,ROW(),"")</f>
        <v/>
      </c>
    </row>
    <row r="3564" customFormat="false" ht="15" hidden="false" customHeight="false" outlineLevel="0" collapsed="false">
      <c r="A3564" s="80"/>
      <c r="B3564" s="71"/>
      <c r="C3564" s="71"/>
      <c r="D3564" s="81"/>
      <c r="E3564" s="71"/>
      <c r="F3564" s="71"/>
      <c r="G3564" s="82" t="str">
        <f aca="false">IF(C3564="","",IFERROR(INDEX('Kit Lists'!$D$6:$D$605,MATCH(B3564&amp;"|"&amp;C3564,'Kit Lists'!$J$6:$J$605,0)),"Not on this contract's kit list"))</f>
        <v/>
      </c>
      <c r="H3564" s="83" t="str">
        <f aca="false">IF(AND(B3564="",C3564="",D3564=""),"",IF(B3564="","Missing contract",IF(C3564="","Missing code",IF(LEFT(G3564,3)="Not","Wrong code",IF(D3564="","Missing qty",IF(A3564="","Missing date",""))))))</f>
        <v/>
      </c>
      <c r="I3564" s="84" t="str">
        <f aca="false">IF(B3564=Dashboard!$D$3,ROW(),"")</f>
        <v/>
      </c>
    </row>
    <row r="3565" customFormat="false" ht="15" hidden="false" customHeight="false" outlineLevel="0" collapsed="false">
      <c r="A3565" s="80"/>
      <c r="B3565" s="71"/>
      <c r="C3565" s="71"/>
      <c r="D3565" s="81"/>
      <c r="E3565" s="71"/>
      <c r="F3565" s="71"/>
      <c r="G3565" s="82" t="str">
        <f aca="false">IF(C3565="","",IFERROR(INDEX('Kit Lists'!$D$6:$D$605,MATCH(B3565&amp;"|"&amp;C3565,'Kit Lists'!$J$6:$J$605,0)),"Not on this contract's kit list"))</f>
        <v/>
      </c>
      <c r="H3565" s="83" t="str">
        <f aca="false">IF(AND(B3565="",C3565="",D3565=""),"",IF(B3565="","Missing contract",IF(C3565="","Missing code",IF(LEFT(G3565,3)="Not","Wrong code",IF(D3565="","Missing qty",IF(A3565="","Missing date",""))))))</f>
        <v/>
      </c>
      <c r="I3565" s="84" t="str">
        <f aca="false">IF(B3565=Dashboard!$D$3,ROW(),"")</f>
        <v/>
      </c>
    </row>
    <row r="3566" customFormat="false" ht="15" hidden="false" customHeight="false" outlineLevel="0" collapsed="false">
      <c r="A3566" s="80"/>
      <c r="B3566" s="71"/>
      <c r="C3566" s="71"/>
      <c r="D3566" s="81"/>
      <c r="E3566" s="71"/>
      <c r="F3566" s="71"/>
      <c r="G3566" s="82" t="str">
        <f aca="false">IF(C3566="","",IFERROR(INDEX('Kit Lists'!$D$6:$D$605,MATCH(B3566&amp;"|"&amp;C3566,'Kit Lists'!$J$6:$J$605,0)),"Not on this contract's kit list"))</f>
        <v/>
      </c>
      <c r="H3566" s="83" t="str">
        <f aca="false">IF(AND(B3566="",C3566="",D3566=""),"",IF(B3566="","Missing contract",IF(C3566="","Missing code",IF(LEFT(G3566,3)="Not","Wrong code",IF(D3566="","Missing qty",IF(A3566="","Missing date",""))))))</f>
        <v/>
      </c>
      <c r="I3566" s="84" t="str">
        <f aca="false">IF(B3566=Dashboard!$D$3,ROW(),"")</f>
        <v/>
      </c>
    </row>
    <row r="3567" customFormat="false" ht="15" hidden="false" customHeight="false" outlineLevel="0" collapsed="false">
      <c r="A3567" s="80"/>
      <c r="B3567" s="71"/>
      <c r="C3567" s="71"/>
      <c r="D3567" s="81"/>
      <c r="E3567" s="71"/>
      <c r="F3567" s="71"/>
      <c r="G3567" s="82" t="str">
        <f aca="false">IF(C3567="","",IFERROR(INDEX('Kit Lists'!$D$6:$D$605,MATCH(B3567&amp;"|"&amp;C3567,'Kit Lists'!$J$6:$J$605,0)),"Not on this contract's kit list"))</f>
        <v/>
      </c>
      <c r="H3567" s="83" t="str">
        <f aca="false">IF(AND(B3567="",C3567="",D3567=""),"",IF(B3567="","Missing contract",IF(C3567="","Missing code",IF(LEFT(G3567,3)="Not","Wrong code",IF(D3567="","Missing qty",IF(A3567="","Missing date",""))))))</f>
        <v/>
      </c>
      <c r="I3567" s="84" t="str">
        <f aca="false">IF(B3567=Dashboard!$D$3,ROW(),"")</f>
        <v/>
      </c>
    </row>
    <row r="3568" customFormat="false" ht="15" hidden="false" customHeight="false" outlineLevel="0" collapsed="false">
      <c r="A3568" s="80"/>
      <c r="B3568" s="71"/>
      <c r="C3568" s="71"/>
      <c r="D3568" s="81"/>
      <c r="E3568" s="71"/>
      <c r="F3568" s="71"/>
      <c r="G3568" s="82" t="str">
        <f aca="false">IF(C3568="","",IFERROR(INDEX('Kit Lists'!$D$6:$D$605,MATCH(B3568&amp;"|"&amp;C3568,'Kit Lists'!$J$6:$J$605,0)),"Not on this contract's kit list"))</f>
        <v/>
      </c>
      <c r="H3568" s="83" t="str">
        <f aca="false">IF(AND(B3568="",C3568="",D3568=""),"",IF(B3568="","Missing contract",IF(C3568="","Missing code",IF(LEFT(G3568,3)="Not","Wrong code",IF(D3568="","Missing qty",IF(A3568="","Missing date",""))))))</f>
        <v/>
      </c>
      <c r="I3568" s="84" t="str">
        <f aca="false">IF(B3568=Dashboard!$D$3,ROW(),"")</f>
        <v/>
      </c>
    </row>
    <row r="3569" customFormat="false" ht="15" hidden="false" customHeight="false" outlineLevel="0" collapsed="false">
      <c r="A3569" s="80"/>
      <c r="B3569" s="71"/>
      <c r="C3569" s="71"/>
      <c r="D3569" s="81"/>
      <c r="E3569" s="71"/>
      <c r="F3569" s="71"/>
      <c r="G3569" s="82" t="str">
        <f aca="false">IF(C3569="","",IFERROR(INDEX('Kit Lists'!$D$6:$D$605,MATCH(B3569&amp;"|"&amp;C3569,'Kit Lists'!$J$6:$J$605,0)),"Not on this contract's kit list"))</f>
        <v/>
      </c>
      <c r="H3569" s="83" t="str">
        <f aca="false">IF(AND(B3569="",C3569="",D3569=""),"",IF(B3569="","Missing contract",IF(C3569="","Missing code",IF(LEFT(G3569,3)="Not","Wrong code",IF(D3569="","Missing qty",IF(A3569="","Missing date",""))))))</f>
        <v/>
      </c>
      <c r="I3569" s="84" t="str">
        <f aca="false">IF(B3569=Dashboard!$D$3,ROW(),"")</f>
        <v/>
      </c>
    </row>
    <row r="3570" customFormat="false" ht="15" hidden="false" customHeight="false" outlineLevel="0" collapsed="false">
      <c r="A3570" s="80"/>
      <c r="B3570" s="71"/>
      <c r="C3570" s="71"/>
      <c r="D3570" s="81"/>
      <c r="E3570" s="71"/>
      <c r="F3570" s="71"/>
      <c r="G3570" s="82" t="str">
        <f aca="false">IF(C3570="","",IFERROR(INDEX('Kit Lists'!$D$6:$D$605,MATCH(B3570&amp;"|"&amp;C3570,'Kit Lists'!$J$6:$J$605,0)),"Not on this contract's kit list"))</f>
        <v/>
      </c>
      <c r="H3570" s="83" t="str">
        <f aca="false">IF(AND(B3570="",C3570="",D3570=""),"",IF(B3570="","Missing contract",IF(C3570="","Missing code",IF(LEFT(G3570,3)="Not","Wrong code",IF(D3570="","Missing qty",IF(A3570="","Missing date",""))))))</f>
        <v/>
      </c>
      <c r="I3570" s="84" t="str">
        <f aca="false">IF(B3570=Dashboard!$D$3,ROW(),"")</f>
        <v/>
      </c>
    </row>
    <row r="3571" customFormat="false" ht="15" hidden="false" customHeight="false" outlineLevel="0" collapsed="false">
      <c r="A3571" s="80"/>
      <c r="B3571" s="71"/>
      <c r="C3571" s="71"/>
      <c r="D3571" s="81"/>
      <c r="E3571" s="71"/>
      <c r="F3571" s="71"/>
      <c r="G3571" s="82" t="str">
        <f aca="false">IF(C3571="","",IFERROR(INDEX('Kit Lists'!$D$6:$D$605,MATCH(B3571&amp;"|"&amp;C3571,'Kit Lists'!$J$6:$J$605,0)),"Not on this contract's kit list"))</f>
        <v/>
      </c>
      <c r="H3571" s="83" t="str">
        <f aca="false">IF(AND(B3571="",C3571="",D3571=""),"",IF(B3571="","Missing contract",IF(C3571="","Missing code",IF(LEFT(G3571,3)="Not","Wrong code",IF(D3571="","Missing qty",IF(A3571="","Missing date",""))))))</f>
        <v/>
      </c>
      <c r="I3571" s="84" t="str">
        <f aca="false">IF(B3571=Dashboard!$D$3,ROW(),"")</f>
        <v/>
      </c>
    </row>
    <row r="3572" customFormat="false" ht="15" hidden="false" customHeight="false" outlineLevel="0" collapsed="false">
      <c r="A3572" s="80"/>
      <c r="B3572" s="71"/>
      <c r="C3572" s="71"/>
      <c r="D3572" s="81"/>
      <c r="E3572" s="71"/>
      <c r="F3572" s="71"/>
      <c r="G3572" s="82" t="str">
        <f aca="false">IF(C3572="","",IFERROR(INDEX('Kit Lists'!$D$6:$D$605,MATCH(B3572&amp;"|"&amp;C3572,'Kit Lists'!$J$6:$J$605,0)),"Not on this contract's kit list"))</f>
        <v/>
      </c>
      <c r="H3572" s="83" t="str">
        <f aca="false">IF(AND(B3572="",C3572="",D3572=""),"",IF(B3572="","Missing contract",IF(C3572="","Missing code",IF(LEFT(G3572,3)="Not","Wrong code",IF(D3572="","Missing qty",IF(A3572="","Missing date",""))))))</f>
        <v/>
      </c>
      <c r="I3572" s="84" t="str">
        <f aca="false">IF(B3572=Dashboard!$D$3,ROW(),"")</f>
        <v/>
      </c>
    </row>
    <row r="3573" customFormat="false" ht="15" hidden="false" customHeight="false" outlineLevel="0" collapsed="false">
      <c r="A3573" s="80"/>
      <c r="B3573" s="71"/>
      <c r="C3573" s="71"/>
      <c r="D3573" s="81"/>
      <c r="E3573" s="71"/>
      <c r="F3573" s="71"/>
      <c r="G3573" s="82" t="str">
        <f aca="false">IF(C3573="","",IFERROR(INDEX('Kit Lists'!$D$6:$D$605,MATCH(B3573&amp;"|"&amp;C3573,'Kit Lists'!$J$6:$J$605,0)),"Not on this contract's kit list"))</f>
        <v/>
      </c>
      <c r="H3573" s="83" t="str">
        <f aca="false">IF(AND(B3573="",C3573="",D3573=""),"",IF(B3573="","Missing contract",IF(C3573="","Missing code",IF(LEFT(G3573,3)="Not","Wrong code",IF(D3573="","Missing qty",IF(A3573="","Missing date",""))))))</f>
        <v/>
      </c>
      <c r="I3573" s="84" t="str">
        <f aca="false">IF(B3573=Dashboard!$D$3,ROW(),"")</f>
        <v/>
      </c>
    </row>
    <row r="3574" customFormat="false" ht="15" hidden="false" customHeight="false" outlineLevel="0" collapsed="false">
      <c r="A3574" s="80"/>
      <c r="B3574" s="71"/>
      <c r="C3574" s="71"/>
      <c r="D3574" s="81"/>
      <c r="E3574" s="71"/>
      <c r="F3574" s="71"/>
      <c r="G3574" s="82" t="str">
        <f aca="false">IF(C3574="","",IFERROR(INDEX('Kit Lists'!$D$6:$D$605,MATCH(B3574&amp;"|"&amp;C3574,'Kit Lists'!$J$6:$J$605,0)),"Not on this contract's kit list"))</f>
        <v/>
      </c>
      <c r="H3574" s="83" t="str">
        <f aca="false">IF(AND(B3574="",C3574="",D3574=""),"",IF(B3574="","Missing contract",IF(C3574="","Missing code",IF(LEFT(G3574,3)="Not","Wrong code",IF(D3574="","Missing qty",IF(A3574="","Missing date",""))))))</f>
        <v/>
      </c>
      <c r="I3574" s="84" t="str">
        <f aca="false">IF(B3574=Dashboard!$D$3,ROW(),"")</f>
        <v/>
      </c>
    </row>
    <row r="3575" customFormat="false" ht="15" hidden="false" customHeight="false" outlineLevel="0" collapsed="false">
      <c r="A3575" s="80"/>
      <c r="B3575" s="71"/>
      <c r="C3575" s="71"/>
      <c r="D3575" s="81"/>
      <c r="E3575" s="71"/>
      <c r="F3575" s="71"/>
      <c r="G3575" s="82" t="str">
        <f aca="false">IF(C3575="","",IFERROR(INDEX('Kit Lists'!$D$6:$D$605,MATCH(B3575&amp;"|"&amp;C3575,'Kit Lists'!$J$6:$J$605,0)),"Not on this contract's kit list"))</f>
        <v/>
      </c>
      <c r="H3575" s="83" t="str">
        <f aca="false">IF(AND(B3575="",C3575="",D3575=""),"",IF(B3575="","Missing contract",IF(C3575="","Missing code",IF(LEFT(G3575,3)="Not","Wrong code",IF(D3575="","Missing qty",IF(A3575="","Missing date",""))))))</f>
        <v/>
      </c>
      <c r="I3575" s="84" t="str">
        <f aca="false">IF(B3575=Dashboard!$D$3,ROW(),"")</f>
        <v/>
      </c>
    </row>
    <row r="3576" customFormat="false" ht="15" hidden="false" customHeight="false" outlineLevel="0" collapsed="false">
      <c r="A3576" s="80"/>
      <c r="B3576" s="71"/>
      <c r="C3576" s="71"/>
      <c r="D3576" s="81"/>
      <c r="E3576" s="71"/>
      <c r="F3576" s="71"/>
      <c r="G3576" s="82" t="str">
        <f aca="false">IF(C3576="","",IFERROR(INDEX('Kit Lists'!$D$6:$D$605,MATCH(B3576&amp;"|"&amp;C3576,'Kit Lists'!$J$6:$J$605,0)),"Not on this contract's kit list"))</f>
        <v/>
      </c>
      <c r="H3576" s="83" t="str">
        <f aca="false">IF(AND(B3576="",C3576="",D3576=""),"",IF(B3576="","Missing contract",IF(C3576="","Missing code",IF(LEFT(G3576,3)="Not","Wrong code",IF(D3576="","Missing qty",IF(A3576="","Missing date",""))))))</f>
        <v/>
      </c>
      <c r="I3576" s="84" t="str">
        <f aca="false">IF(B3576=Dashboard!$D$3,ROW(),"")</f>
        <v/>
      </c>
    </row>
    <row r="3577" customFormat="false" ht="15" hidden="false" customHeight="false" outlineLevel="0" collapsed="false">
      <c r="A3577" s="80"/>
      <c r="B3577" s="71"/>
      <c r="C3577" s="71"/>
      <c r="D3577" s="81"/>
      <c r="E3577" s="71"/>
      <c r="F3577" s="71"/>
      <c r="G3577" s="82" t="str">
        <f aca="false">IF(C3577="","",IFERROR(INDEX('Kit Lists'!$D$6:$D$605,MATCH(B3577&amp;"|"&amp;C3577,'Kit Lists'!$J$6:$J$605,0)),"Not on this contract's kit list"))</f>
        <v/>
      </c>
      <c r="H3577" s="83" t="str">
        <f aca="false">IF(AND(B3577="",C3577="",D3577=""),"",IF(B3577="","Missing contract",IF(C3577="","Missing code",IF(LEFT(G3577,3)="Not","Wrong code",IF(D3577="","Missing qty",IF(A3577="","Missing date",""))))))</f>
        <v/>
      </c>
      <c r="I3577" s="84" t="str">
        <f aca="false">IF(B3577=Dashboard!$D$3,ROW(),"")</f>
        <v/>
      </c>
    </row>
    <row r="3578" customFormat="false" ht="15" hidden="false" customHeight="false" outlineLevel="0" collapsed="false">
      <c r="A3578" s="80"/>
      <c r="B3578" s="71"/>
      <c r="C3578" s="71"/>
      <c r="D3578" s="81"/>
      <c r="E3578" s="71"/>
      <c r="F3578" s="71"/>
      <c r="G3578" s="82" t="str">
        <f aca="false">IF(C3578="","",IFERROR(INDEX('Kit Lists'!$D$6:$D$605,MATCH(B3578&amp;"|"&amp;C3578,'Kit Lists'!$J$6:$J$605,0)),"Not on this contract's kit list"))</f>
        <v/>
      </c>
      <c r="H3578" s="83" t="str">
        <f aca="false">IF(AND(B3578="",C3578="",D3578=""),"",IF(B3578="","Missing contract",IF(C3578="","Missing code",IF(LEFT(G3578,3)="Not","Wrong code",IF(D3578="","Missing qty",IF(A3578="","Missing date",""))))))</f>
        <v/>
      </c>
      <c r="I3578" s="84" t="str">
        <f aca="false">IF(B3578=Dashboard!$D$3,ROW(),"")</f>
        <v/>
      </c>
    </row>
    <row r="3579" customFormat="false" ht="15" hidden="false" customHeight="false" outlineLevel="0" collapsed="false">
      <c r="A3579" s="80"/>
      <c r="B3579" s="71"/>
      <c r="C3579" s="71"/>
      <c r="D3579" s="81"/>
      <c r="E3579" s="71"/>
      <c r="F3579" s="71"/>
      <c r="G3579" s="82" t="str">
        <f aca="false">IF(C3579="","",IFERROR(INDEX('Kit Lists'!$D$6:$D$605,MATCH(B3579&amp;"|"&amp;C3579,'Kit Lists'!$J$6:$J$605,0)),"Not on this contract's kit list"))</f>
        <v/>
      </c>
      <c r="H3579" s="83" t="str">
        <f aca="false">IF(AND(B3579="",C3579="",D3579=""),"",IF(B3579="","Missing contract",IF(C3579="","Missing code",IF(LEFT(G3579,3)="Not","Wrong code",IF(D3579="","Missing qty",IF(A3579="","Missing date",""))))))</f>
        <v/>
      </c>
      <c r="I3579" s="84" t="str">
        <f aca="false">IF(B3579=Dashboard!$D$3,ROW(),"")</f>
        <v/>
      </c>
    </row>
    <row r="3580" customFormat="false" ht="15" hidden="false" customHeight="false" outlineLevel="0" collapsed="false">
      <c r="A3580" s="80"/>
      <c r="B3580" s="71"/>
      <c r="C3580" s="71"/>
      <c r="D3580" s="81"/>
      <c r="E3580" s="71"/>
      <c r="F3580" s="71"/>
      <c r="G3580" s="82" t="str">
        <f aca="false">IF(C3580="","",IFERROR(INDEX('Kit Lists'!$D$6:$D$605,MATCH(B3580&amp;"|"&amp;C3580,'Kit Lists'!$J$6:$J$605,0)),"Not on this contract's kit list"))</f>
        <v/>
      </c>
      <c r="H3580" s="83" t="str">
        <f aca="false">IF(AND(B3580="",C3580="",D3580=""),"",IF(B3580="","Missing contract",IF(C3580="","Missing code",IF(LEFT(G3580,3)="Not","Wrong code",IF(D3580="","Missing qty",IF(A3580="","Missing date",""))))))</f>
        <v/>
      </c>
      <c r="I3580" s="84" t="str">
        <f aca="false">IF(B3580=Dashboard!$D$3,ROW(),"")</f>
        <v/>
      </c>
    </row>
    <row r="3581" customFormat="false" ht="15" hidden="false" customHeight="false" outlineLevel="0" collapsed="false">
      <c r="A3581" s="80"/>
      <c r="B3581" s="71"/>
      <c r="C3581" s="71"/>
      <c r="D3581" s="81"/>
      <c r="E3581" s="71"/>
      <c r="F3581" s="71"/>
      <c r="G3581" s="82" t="str">
        <f aca="false">IF(C3581="","",IFERROR(INDEX('Kit Lists'!$D$6:$D$605,MATCH(B3581&amp;"|"&amp;C3581,'Kit Lists'!$J$6:$J$605,0)),"Not on this contract's kit list"))</f>
        <v/>
      </c>
      <c r="H3581" s="83" t="str">
        <f aca="false">IF(AND(B3581="",C3581="",D3581=""),"",IF(B3581="","Missing contract",IF(C3581="","Missing code",IF(LEFT(G3581,3)="Not","Wrong code",IF(D3581="","Missing qty",IF(A3581="","Missing date",""))))))</f>
        <v/>
      </c>
      <c r="I3581" s="84" t="str">
        <f aca="false">IF(B3581=Dashboard!$D$3,ROW(),"")</f>
        <v/>
      </c>
    </row>
    <row r="3582" customFormat="false" ht="15" hidden="false" customHeight="false" outlineLevel="0" collapsed="false">
      <c r="A3582" s="80"/>
      <c r="B3582" s="71"/>
      <c r="C3582" s="71"/>
      <c r="D3582" s="81"/>
      <c r="E3582" s="71"/>
      <c r="F3582" s="71"/>
      <c r="G3582" s="82" t="str">
        <f aca="false">IF(C3582="","",IFERROR(INDEX('Kit Lists'!$D$6:$D$605,MATCH(B3582&amp;"|"&amp;C3582,'Kit Lists'!$J$6:$J$605,0)),"Not on this contract's kit list"))</f>
        <v/>
      </c>
      <c r="H3582" s="83" t="str">
        <f aca="false">IF(AND(B3582="",C3582="",D3582=""),"",IF(B3582="","Missing contract",IF(C3582="","Missing code",IF(LEFT(G3582,3)="Not","Wrong code",IF(D3582="","Missing qty",IF(A3582="","Missing date",""))))))</f>
        <v/>
      </c>
      <c r="I3582" s="84" t="str">
        <f aca="false">IF(B3582=Dashboard!$D$3,ROW(),"")</f>
        <v/>
      </c>
    </row>
    <row r="3583" customFormat="false" ht="15" hidden="false" customHeight="false" outlineLevel="0" collapsed="false">
      <c r="A3583" s="80"/>
      <c r="B3583" s="71"/>
      <c r="C3583" s="71"/>
      <c r="D3583" s="81"/>
      <c r="E3583" s="71"/>
      <c r="F3583" s="71"/>
      <c r="G3583" s="82" t="str">
        <f aca="false">IF(C3583="","",IFERROR(INDEX('Kit Lists'!$D$6:$D$605,MATCH(B3583&amp;"|"&amp;C3583,'Kit Lists'!$J$6:$J$605,0)),"Not on this contract's kit list"))</f>
        <v/>
      </c>
      <c r="H3583" s="83" t="str">
        <f aca="false">IF(AND(B3583="",C3583="",D3583=""),"",IF(B3583="","Missing contract",IF(C3583="","Missing code",IF(LEFT(G3583,3)="Not","Wrong code",IF(D3583="","Missing qty",IF(A3583="","Missing date",""))))))</f>
        <v/>
      </c>
      <c r="I3583" s="84" t="str">
        <f aca="false">IF(B3583=Dashboard!$D$3,ROW(),"")</f>
        <v/>
      </c>
    </row>
    <row r="3584" customFormat="false" ht="15" hidden="false" customHeight="false" outlineLevel="0" collapsed="false">
      <c r="A3584" s="80"/>
      <c r="B3584" s="71"/>
      <c r="C3584" s="71"/>
      <c r="D3584" s="81"/>
      <c r="E3584" s="71"/>
      <c r="F3584" s="71"/>
      <c r="G3584" s="82" t="str">
        <f aca="false">IF(C3584="","",IFERROR(INDEX('Kit Lists'!$D$6:$D$605,MATCH(B3584&amp;"|"&amp;C3584,'Kit Lists'!$J$6:$J$605,0)),"Not on this contract's kit list"))</f>
        <v/>
      </c>
      <c r="H3584" s="83" t="str">
        <f aca="false">IF(AND(B3584="",C3584="",D3584=""),"",IF(B3584="","Missing contract",IF(C3584="","Missing code",IF(LEFT(G3584,3)="Not","Wrong code",IF(D3584="","Missing qty",IF(A3584="","Missing date",""))))))</f>
        <v/>
      </c>
      <c r="I3584" s="84" t="str">
        <f aca="false">IF(B3584=Dashboard!$D$3,ROW(),"")</f>
        <v/>
      </c>
    </row>
    <row r="3585" customFormat="false" ht="15" hidden="false" customHeight="false" outlineLevel="0" collapsed="false">
      <c r="A3585" s="80"/>
      <c r="B3585" s="71"/>
      <c r="C3585" s="71"/>
      <c r="D3585" s="81"/>
      <c r="E3585" s="71"/>
      <c r="F3585" s="71"/>
      <c r="G3585" s="82" t="str">
        <f aca="false">IF(C3585="","",IFERROR(INDEX('Kit Lists'!$D$6:$D$605,MATCH(B3585&amp;"|"&amp;C3585,'Kit Lists'!$J$6:$J$605,0)),"Not on this contract's kit list"))</f>
        <v/>
      </c>
      <c r="H3585" s="83" t="str">
        <f aca="false">IF(AND(B3585="",C3585="",D3585=""),"",IF(B3585="","Missing contract",IF(C3585="","Missing code",IF(LEFT(G3585,3)="Not","Wrong code",IF(D3585="","Missing qty",IF(A3585="","Missing date",""))))))</f>
        <v/>
      </c>
      <c r="I3585" s="84" t="str">
        <f aca="false">IF(B3585=Dashboard!$D$3,ROW(),"")</f>
        <v/>
      </c>
    </row>
    <row r="3586" customFormat="false" ht="15" hidden="false" customHeight="false" outlineLevel="0" collapsed="false">
      <c r="A3586" s="80"/>
      <c r="B3586" s="71"/>
      <c r="C3586" s="71"/>
      <c r="D3586" s="81"/>
      <c r="E3586" s="71"/>
      <c r="F3586" s="71"/>
      <c r="G3586" s="82" t="str">
        <f aca="false">IF(C3586="","",IFERROR(INDEX('Kit Lists'!$D$6:$D$605,MATCH(B3586&amp;"|"&amp;C3586,'Kit Lists'!$J$6:$J$605,0)),"Not on this contract's kit list"))</f>
        <v/>
      </c>
      <c r="H3586" s="83" t="str">
        <f aca="false">IF(AND(B3586="",C3586="",D3586=""),"",IF(B3586="","Missing contract",IF(C3586="","Missing code",IF(LEFT(G3586,3)="Not","Wrong code",IF(D3586="","Missing qty",IF(A3586="","Missing date",""))))))</f>
        <v/>
      </c>
      <c r="I3586" s="84" t="str">
        <f aca="false">IF(B3586=Dashboard!$D$3,ROW(),"")</f>
        <v/>
      </c>
    </row>
    <row r="3587" customFormat="false" ht="15" hidden="false" customHeight="false" outlineLevel="0" collapsed="false">
      <c r="A3587" s="80"/>
      <c r="B3587" s="71"/>
      <c r="C3587" s="71"/>
      <c r="D3587" s="81"/>
      <c r="E3587" s="71"/>
      <c r="F3587" s="71"/>
      <c r="G3587" s="82" t="str">
        <f aca="false">IF(C3587="","",IFERROR(INDEX('Kit Lists'!$D$6:$D$605,MATCH(B3587&amp;"|"&amp;C3587,'Kit Lists'!$J$6:$J$605,0)),"Not on this contract's kit list"))</f>
        <v/>
      </c>
      <c r="H3587" s="83" t="str">
        <f aca="false">IF(AND(B3587="",C3587="",D3587=""),"",IF(B3587="","Missing contract",IF(C3587="","Missing code",IF(LEFT(G3587,3)="Not","Wrong code",IF(D3587="","Missing qty",IF(A3587="","Missing date",""))))))</f>
        <v/>
      </c>
      <c r="I3587" s="84" t="str">
        <f aca="false">IF(B3587=Dashboard!$D$3,ROW(),"")</f>
        <v/>
      </c>
    </row>
    <row r="3588" customFormat="false" ht="15" hidden="false" customHeight="false" outlineLevel="0" collapsed="false">
      <c r="A3588" s="80"/>
      <c r="B3588" s="71"/>
      <c r="C3588" s="71"/>
      <c r="D3588" s="81"/>
      <c r="E3588" s="71"/>
      <c r="F3588" s="71"/>
      <c r="G3588" s="82" t="str">
        <f aca="false">IF(C3588="","",IFERROR(INDEX('Kit Lists'!$D$6:$D$605,MATCH(B3588&amp;"|"&amp;C3588,'Kit Lists'!$J$6:$J$605,0)),"Not on this contract's kit list"))</f>
        <v/>
      </c>
      <c r="H3588" s="83" t="str">
        <f aca="false">IF(AND(B3588="",C3588="",D3588=""),"",IF(B3588="","Missing contract",IF(C3588="","Missing code",IF(LEFT(G3588,3)="Not","Wrong code",IF(D3588="","Missing qty",IF(A3588="","Missing date",""))))))</f>
        <v/>
      </c>
      <c r="I3588" s="84" t="str">
        <f aca="false">IF(B3588=Dashboard!$D$3,ROW(),"")</f>
        <v/>
      </c>
    </row>
    <row r="3589" customFormat="false" ht="15" hidden="false" customHeight="false" outlineLevel="0" collapsed="false">
      <c r="A3589" s="80"/>
      <c r="B3589" s="71"/>
      <c r="C3589" s="71"/>
      <c r="D3589" s="81"/>
      <c r="E3589" s="71"/>
      <c r="F3589" s="71"/>
      <c r="G3589" s="82" t="str">
        <f aca="false">IF(C3589="","",IFERROR(INDEX('Kit Lists'!$D$6:$D$605,MATCH(B3589&amp;"|"&amp;C3589,'Kit Lists'!$J$6:$J$605,0)),"Not on this contract's kit list"))</f>
        <v/>
      </c>
      <c r="H3589" s="83" t="str">
        <f aca="false">IF(AND(B3589="",C3589="",D3589=""),"",IF(B3589="","Missing contract",IF(C3589="","Missing code",IF(LEFT(G3589,3)="Not","Wrong code",IF(D3589="","Missing qty",IF(A3589="","Missing date",""))))))</f>
        <v/>
      </c>
      <c r="I3589" s="84" t="str">
        <f aca="false">IF(B3589=Dashboard!$D$3,ROW(),"")</f>
        <v/>
      </c>
    </row>
    <row r="3590" customFormat="false" ht="15" hidden="false" customHeight="false" outlineLevel="0" collapsed="false">
      <c r="A3590" s="80"/>
      <c r="B3590" s="71"/>
      <c r="C3590" s="71"/>
      <c r="D3590" s="81"/>
      <c r="E3590" s="71"/>
      <c r="F3590" s="71"/>
      <c r="G3590" s="82" t="str">
        <f aca="false">IF(C3590="","",IFERROR(INDEX('Kit Lists'!$D$6:$D$605,MATCH(B3590&amp;"|"&amp;C3590,'Kit Lists'!$J$6:$J$605,0)),"Not on this contract's kit list"))</f>
        <v/>
      </c>
      <c r="H3590" s="83" t="str">
        <f aca="false">IF(AND(B3590="",C3590="",D3590=""),"",IF(B3590="","Missing contract",IF(C3590="","Missing code",IF(LEFT(G3590,3)="Not","Wrong code",IF(D3590="","Missing qty",IF(A3590="","Missing date",""))))))</f>
        <v/>
      </c>
      <c r="I3590" s="84" t="str">
        <f aca="false">IF(B3590=Dashboard!$D$3,ROW(),"")</f>
        <v/>
      </c>
    </row>
    <row r="3591" customFormat="false" ht="15" hidden="false" customHeight="false" outlineLevel="0" collapsed="false">
      <c r="A3591" s="80"/>
      <c r="B3591" s="71"/>
      <c r="C3591" s="71"/>
      <c r="D3591" s="81"/>
      <c r="E3591" s="71"/>
      <c r="F3591" s="71"/>
      <c r="G3591" s="82" t="str">
        <f aca="false">IF(C3591="","",IFERROR(INDEX('Kit Lists'!$D$6:$D$605,MATCH(B3591&amp;"|"&amp;C3591,'Kit Lists'!$J$6:$J$605,0)),"Not on this contract's kit list"))</f>
        <v/>
      </c>
      <c r="H3591" s="83" t="str">
        <f aca="false">IF(AND(B3591="",C3591="",D3591=""),"",IF(B3591="","Missing contract",IF(C3591="","Missing code",IF(LEFT(G3591,3)="Not","Wrong code",IF(D3591="","Missing qty",IF(A3591="","Missing date",""))))))</f>
        <v/>
      </c>
      <c r="I3591" s="84" t="str">
        <f aca="false">IF(B3591=Dashboard!$D$3,ROW(),"")</f>
        <v/>
      </c>
    </row>
    <row r="3592" customFormat="false" ht="15" hidden="false" customHeight="false" outlineLevel="0" collapsed="false">
      <c r="A3592" s="80"/>
      <c r="B3592" s="71"/>
      <c r="C3592" s="71"/>
      <c r="D3592" s="81"/>
      <c r="E3592" s="71"/>
      <c r="F3592" s="71"/>
      <c r="G3592" s="82" t="str">
        <f aca="false">IF(C3592="","",IFERROR(INDEX('Kit Lists'!$D$6:$D$605,MATCH(B3592&amp;"|"&amp;C3592,'Kit Lists'!$J$6:$J$605,0)),"Not on this contract's kit list"))</f>
        <v/>
      </c>
      <c r="H3592" s="83" t="str">
        <f aca="false">IF(AND(B3592="",C3592="",D3592=""),"",IF(B3592="","Missing contract",IF(C3592="","Missing code",IF(LEFT(G3592,3)="Not","Wrong code",IF(D3592="","Missing qty",IF(A3592="","Missing date",""))))))</f>
        <v/>
      </c>
      <c r="I3592" s="84" t="str">
        <f aca="false">IF(B3592=Dashboard!$D$3,ROW(),"")</f>
        <v/>
      </c>
    </row>
    <row r="3593" customFormat="false" ht="15" hidden="false" customHeight="false" outlineLevel="0" collapsed="false">
      <c r="A3593" s="80"/>
      <c r="B3593" s="71"/>
      <c r="C3593" s="71"/>
      <c r="D3593" s="81"/>
      <c r="E3593" s="71"/>
      <c r="F3593" s="71"/>
      <c r="G3593" s="82" t="str">
        <f aca="false">IF(C3593="","",IFERROR(INDEX('Kit Lists'!$D$6:$D$605,MATCH(B3593&amp;"|"&amp;C3593,'Kit Lists'!$J$6:$J$605,0)),"Not on this contract's kit list"))</f>
        <v/>
      </c>
      <c r="H3593" s="83" t="str">
        <f aca="false">IF(AND(B3593="",C3593="",D3593=""),"",IF(B3593="","Missing contract",IF(C3593="","Missing code",IF(LEFT(G3593,3)="Not","Wrong code",IF(D3593="","Missing qty",IF(A3593="","Missing date",""))))))</f>
        <v/>
      </c>
      <c r="I3593" s="84" t="str">
        <f aca="false">IF(B3593=Dashboard!$D$3,ROW(),"")</f>
        <v/>
      </c>
    </row>
    <row r="3594" customFormat="false" ht="15" hidden="false" customHeight="false" outlineLevel="0" collapsed="false">
      <c r="A3594" s="80"/>
      <c r="B3594" s="71"/>
      <c r="C3594" s="71"/>
      <c r="D3594" s="81"/>
      <c r="E3594" s="71"/>
      <c r="F3594" s="71"/>
      <c r="G3594" s="82" t="str">
        <f aca="false">IF(C3594="","",IFERROR(INDEX('Kit Lists'!$D$6:$D$605,MATCH(B3594&amp;"|"&amp;C3594,'Kit Lists'!$J$6:$J$605,0)),"Not on this contract's kit list"))</f>
        <v/>
      </c>
      <c r="H3594" s="83" t="str">
        <f aca="false">IF(AND(B3594="",C3594="",D3594=""),"",IF(B3594="","Missing contract",IF(C3594="","Missing code",IF(LEFT(G3594,3)="Not","Wrong code",IF(D3594="","Missing qty",IF(A3594="","Missing date",""))))))</f>
        <v/>
      </c>
      <c r="I3594" s="84" t="str">
        <f aca="false">IF(B3594=Dashboard!$D$3,ROW(),"")</f>
        <v/>
      </c>
    </row>
    <row r="3595" customFormat="false" ht="15" hidden="false" customHeight="false" outlineLevel="0" collapsed="false">
      <c r="A3595" s="80"/>
      <c r="B3595" s="71"/>
      <c r="C3595" s="71"/>
      <c r="D3595" s="81"/>
      <c r="E3595" s="71"/>
      <c r="F3595" s="71"/>
      <c r="G3595" s="82" t="str">
        <f aca="false">IF(C3595="","",IFERROR(INDEX('Kit Lists'!$D$6:$D$605,MATCH(B3595&amp;"|"&amp;C3595,'Kit Lists'!$J$6:$J$605,0)),"Not on this contract's kit list"))</f>
        <v/>
      </c>
      <c r="H3595" s="83" t="str">
        <f aca="false">IF(AND(B3595="",C3595="",D3595=""),"",IF(B3595="","Missing contract",IF(C3595="","Missing code",IF(LEFT(G3595,3)="Not","Wrong code",IF(D3595="","Missing qty",IF(A3595="","Missing date",""))))))</f>
        <v/>
      </c>
      <c r="I3595" s="84" t="str">
        <f aca="false">IF(B3595=Dashboard!$D$3,ROW(),"")</f>
        <v/>
      </c>
    </row>
    <row r="3596" customFormat="false" ht="15" hidden="false" customHeight="false" outlineLevel="0" collapsed="false">
      <c r="A3596" s="80"/>
      <c r="B3596" s="71"/>
      <c r="C3596" s="71"/>
      <c r="D3596" s="81"/>
      <c r="E3596" s="71"/>
      <c r="F3596" s="71"/>
      <c r="G3596" s="82" t="str">
        <f aca="false">IF(C3596="","",IFERROR(INDEX('Kit Lists'!$D$6:$D$605,MATCH(B3596&amp;"|"&amp;C3596,'Kit Lists'!$J$6:$J$605,0)),"Not on this contract's kit list"))</f>
        <v/>
      </c>
      <c r="H3596" s="83" t="str">
        <f aca="false">IF(AND(B3596="",C3596="",D3596=""),"",IF(B3596="","Missing contract",IF(C3596="","Missing code",IF(LEFT(G3596,3)="Not","Wrong code",IF(D3596="","Missing qty",IF(A3596="","Missing date",""))))))</f>
        <v/>
      </c>
      <c r="I3596" s="84" t="str">
        <f aca="false">IF(B3596=Dashboard!$D$3,ROW(),"")</f>
        <v/>
      </c>
    </row>
    <row r="3597" customFormat="false" ht="15" hidden="false" customHeight="false" outlineLevel="0" collapsed="false">
      <c r="A3597" s="80"/>
      <c r="B3597" s="71"/>
      <c r="C3597" s="71"/>
      <c r="D3597" s="81"/>
      <c r="E3597" s="71"/>
      <c r="F3597" s="71"/>
      <c r="G3597" s="82" t="str">
        <f aca="false">IF(C3597="","",IFERROR(INDEX('Kit Lists'!$D$6:$D$605,MATCH(B3597&amp;"|"&amp;C3597,'Kit Lists'!$J$6:$J$605,0)),"Not on this contract's kit list"))</f>
        <v/>
      </c>
      <c r="H3597" s="83" t="str">
        <f aca="false">IF(AND(B3597="",C3597="",D3597=""),"",IF(B3597="","Missing contract",IF(C3597="","Missing code",IF(LEFT(G3597,3)="Not","Wrong code",IF(D3597="","Missing qty",IF(A3597="","Missing date",""))))))</f>
        <v/>
      </c>
      <c r="I3597" s="84" t="str">
        <f aca="false">IF(B3597=Dashboard!$D$3,ROW(),"")</f>
        <v/>
      </c>
    </row>
    <row r="3598" customFormat="false" ht="15" hidden="false" customHeight="false" outlineLevel="0" collapsed="false">
      <c r="A3598" s="80"/>
      <c r="B3598" s="71"/>
      <c r="C3598" s="71"/>
      <c r="D3598" s="81"/>
      <c r="E3598" s="71"/>
      <c r="F3598" s="71"/>
      <c r="G3598" s="82" t="str">
        <f aca="false">IF(C3598="","",IFERROR(INDEX('Kit Lists'!$D$6:$D$605,MATCH(B3598&amp;"|"&amp;C3598,'Kit Lists'!$J$6:$J$605,0)),"Not on this contract's kit list"))</f>
        <v/>
      </c>
      <c r="H3598" s="83" t="str">
        <f aca="false">IF(AND(B3598="",C3598="",D3598=""),"",IF(B3598="","Missing contract",IF(C3598="","Missing code",IF(LEFT(G3598,3)="Not","Wrong code",IF(D3598="","Missing qty",IF(A3598="","Missing date",""))))))</f>
        <v/>
      </c>
      <c r="I3598" s="84" t="str">
        <f aca="false">IF(B3598=Dashboard!$D$3,ROW(),"")</f>
        <v/>
      </c>
    </row>
    <row r="3599" customFormat="false" ht="15" hidden="false" customHeight="false" outlineLevel="0" collapsed="false">
      <c r="A3599" s="80"/>
      <c r="B3599" s="71"/>
      <c r="C3599" s="71"/>
      <c r="D3599" s="81"/>
      <c r="E3599" s="71"/>
      <c r="F3599" s="71"/>
      <c r="G3599" s="82" t="str">
        <f aca="false">IF(C3599="","",IFERROR(INDEX('Kit Lists'!$D$6:$D$605,MATCH(B3599&amp;"|"&amp;C3599,'Kit Lists'!$J$6:$J$605,0)),"Not on this contract's kit list"))</f>
        <v/>
      </c>
      <c r="H3599" s="83" t="str">
        <f aca="false">IF(AND(B3599="",C3599="",D3599=""),"",IF(B3599="","Missing contract",IF(C3599="","Missing code",IF(LEFT(G3599,3)="Not","Wrong code",IF(D3599="","Missing qty",IF(A3599="","Missing date",""))))))</f>
        <v/>
      </c>
      <c r="I3599" s="84" t="str">
        <f aca="false">IF(B3599=Dashboard!$D$3,ROW(),"")</f>
        <v/>
      </c>
    </row>
    <row r="3600" customFormat="false" ht="15" hidden="false" customHeight="false" outlineLevel="0" collapsed="false">
      <c r="A3600" s="80"/>
      <c r="B3600" s="71"/>
      <c r="C3600" s="71"/>
      <c r="D3600" s="81"/>
      <c r="E3600" s="71"/>
      <c r="F3600" s="71"/>
      <c r="G3600" s="82" t="str">
        <f aca="false">IF(C3600="","",IFERROR(INDEX('Kit Lists'!$D$6:$D$605,MATCH(B3600&amp;"|"&amp;C3600,'Kit Lists'!$J$6:$J$605,0)),"Not on this contract's kit list"))</f>
        <v/>
      </c>
      <c r="H3600" s="83" t="str">
        <f aca="false">IF(AND(B3600="",C3600="",D3600=""),"",IF(B3600="","Missing contract",IF(C3600="","Missing code",IF(LEFT(G3600,3)="Not","Wrong code",IF(D3600="","Missing qty",IF(A3600="","Missing date",""))))))</f>
        <v/>
      </c>
      <c r="I3600" s="84" t="str">
        <f aca="false">IF(B3600=Dashboard!$D$3,ROW(),"")</f>
        <v/>
      </c>
    </row>
    <row r="3601" customFormat="false" ht="15" hidden="false" customHeight="false" outlineLevel="0" collapsed="false">
      <c r="A3601" s="80"/>
      <c r="B3601" s="71"/>
      <c r="C3601" s="71"/>
      <c r="D3601" s="81"/>
      <c r="E3601" s="71"/>
      <c r="F3601" s="71"/>
      <c r="G3601" s="82" t="str">
        <f aca="false">IF(C3601="","",IFERROR(INDEX('Kit Lists'!$D$6:$D$605,MATCH(B3601&amp;"|"&amp;C3601,'Kit Lists'!$J$6:$J$605,0)),"Not on this contract's kit list"))</f>
        <v/>
      </c>
      <c r="H3601" s="83" t="str">
        <f aca="false">IF(AND(B3601="",C3601="",D3601=""),"",IF(B3601="","Missing contract",IF(C3601="","Missing code",IF(LEFT(G3601,3)="Not","Wrong code",IF(D3601="","Missing qty",IF(A3601="","Missing date",""))))))</f>
        <v/>
      </c>
      <c r="I3601" s="84" t="str">
        <f aca="false">IF(B3601=Dashboard!$D$3,ROW(),"")</f>
        <v/>
      </c>
    </row>
    <row r="3602" customFormat="false" ht="15" hidden="false" customHeight="false" outlineLevel="0" collapsed="false">
      <c r="A3602" s="80"/>
      <c r="B3602" s="71"/>
      <c r="C3602" s="71"/>
      <c r="D3602" s="81"/>
      <c r="E3602" s="71"/>
      <c r="F3602" s="71"/>
      <c r="G3602" s="82" t="str">
        <f aca="false">IF(C3602="","",IFERROR(INDEX('Kit Lists'!$D$6:$D$605,MATCH(B3602&amp;"|"&amp;C3602,'Kit Lists'!$J$6:$J$605,0)),"Not on this contract's kit list"))</f>
        <v/>
      </c>
      <c r="H3602" s="83" t="str">
        <f aca="false">IF(AND(B3602="",C3602="",D3602=""),"",IF(B3602="","Missing contract",IF(C3602="","Missing code",IF(LEFT(G3602,3)="Not","Wrong code",IF(D3602="","Missing qty",IF(A3602="","Missing date",""))))))</f>
        <v/>
      </c>
      <c r="I3602" s="84" t="str">
        <f aca="false">IF(B3602=Dashboard!$D$3,ROW(),"")</f>
        <v/>
      </c>
    </row>
    <row r="3603" customFormat="false" ht="15" hidden="false" customHeight="false" outlineLevel="0" collapsed="false">
      <c r="A3603" s="80"/>
      <c r="B3603" s="71"/>
      <c r="C3603" s="71"/>
      <c r="D3603" s="81"/>
      <c r="E3603" s="71"/>
      <c r="F3603" s="71"/>
      <c r="G3603" s="82" t="str">
        <f aca="false">IF(C3603="","",IFERROR(INDEX('Kit Lists'!$D$6:$D$605,MATCH(B3603&amp;"|"&amp;C3603,'Kit Lists'!$J$6:$J$605,0)),"Not on this contract's kit list"))</f>
        <v/>
      </c>
      <c r="H3603" s="83" t="str">
        <f aca="false">IF(AND(B3603="",C3603="",D3603=""),"",IF(B3603="","Missing contract",IF(C3603="","Missing code",IF(LEFT(G3603,3)="Not","Wrong code",IF(D3603="","Missing qty",IF(A3603="","Missing date",""))))))</f>
        <v/>
      </c>
      <c r="I3603" s="84" t="str">
        <f aca="false">IF(B3603=Dashboard!$D$3,ROW(),"")</f>
        <v/>
      </c>
    </row>
    <row r="3604" customFormat="false" ht="15" hidden="false" customHeight="false" outlineLevel="0" collapsed="false">
      <c r="A3604" s="80"/>
      <c r="B3604" s="71"/>
      <c r="C3604" s="71"/>
      <c r="D3604" s="81"/>
      <c r="E3604" s="71"/>
      <c r="F3604" s="71"/>
      <c r="G3604" s="82" t="str">
        <f aca="false">IF(C3604="","",IFERROR(INDEX('Kit Lists'!$D$6:$D$605,MATCH(B3604&amp;"|"&amp;C3604,'Kit Lists'!$J$6:$J$605,0)),"Not on this contract's kit list"))</f>
        <v/>
      </c>
      <c r="H3604" s="83" t="str">
        <f aca="false">IF(AND(B3604="",C3604="",D3604=""),"",IF(B3604="","Missing contract",IF(C3604="","Missing code",IF(LEFT(G3604,3)="Not","Wrong code",IF(D3604="","Missing qty",IF(A3604="","Missing date",""))))))</f>
        <v/>
      </c>
      <c r="I3604" s="84" t="str">
        <f aca="false">IF(B3604=Dashboard!$D$3,ROW(),"")</f>
        <v/>
      </c>
    </row>
    <row r="3605" customFormat="false" ht="15" hidden="false" customHeight="false" outlineLevel="0" collapsed="false">
      <c r="A3605" s="80"/>
      <c r="B3605" s="71"/>
      <c r="C3605" s="71"/>
      <c r="D3605" s="81"/>
      <c r="E3605" s="71"/>
      <c r="F3605" s="71"/>
      <c r="G3605" s="82" t="str">
        <f aca="false">IF(C3605="","",IFERROR(INDEX('Kit Lists'!$D$6:$D$605,MATCH(B3605&amp;"|"&amp;C3605,'Kit Lists'!$J$6:$J$605,0)),"Not on this contract's kit list"))</f>
        <v/>
      </c>
      <c r="H3605" s="83" t="str">
        <f aca="false">IF(AND(B3605="",C3605="",D3605=""),"",IF(B3605="","Missing contract",IF(C3605="","Missing code",IF(LEFT(G3605,3)="Not","Wrong code",IF(D3605="","Missing qty",IF(A3605="","Missing date",""))))))</f>
        <v/>
      </c>
      <c r="I3605" s="84" t="str">
        <f aca="false">IF(B3605=Dashboard!$D$3,ROW(),"")</f>
        <v/>
      </c>
    </row>
    <row r="3606" customFormat="false" ht="15" hidden="false" customHeight="false" outlineLevel="0" collapsed="false">
      <c r="A3606" s="80"/>
      <c r="B3606" s="71"/>
      <c r="C3606" s="71"/>
      <c r="D3606" s="81"/>
      <c r="E3606" s="71"/>
      <c r="F3606" s="71"/>
      <c r="G3606" s="82" t="str">
        <f aca="false">IF(C3606="","",IFERROR(INDEX('Kit Lists'!$D$6:$D$605,MATCH(B3606&amp;"|"&amp;C3606,'Kit Lists'!$J$6:$J$605,0)),"Not on this contract's kit list"))</f>
        <v/>
      </c>
      <c r="H3606" s="83" t="str">
        <f aca="false">IF(AND(B3606="",C3606="",D3606=""),"",IF(B3606="","Missing contract",IF(C3606="","Missing code",IF(LEFT(G3606,3)="Not","Wrong code",IF(D3606="","Missing qty",IF(A3606="","Missing date",""))))))</f>
        <v/>
      </c>
      <c r="I3606" s="84" t="str">
        <f aca="false">IF(B3606=Dashboard!$D$3,ROW(),"")</f>
        <v/>
      </c>
    </row>
    <row r="3607" customFormat="false" ht="15" hidden="false" customHeight="false" outlineLevel="0" collapsed="false">
      <c r="A3607" s="80"/>
      <c r="B3607" s="71"/>
      <c r="C3607" s="71"/>
      <c r="D3607" s="81"/>
      <c r="E3607" s="71"/>
      <c r="F3607" s="71"/>
      <c r="G3607" s="82" t="str">
        <f aca="false">IF(C3607="","",IFERROR(INDEX('Kit Lists'!$D$6:$D$605,MATCH(B3607&amp;"|"&amp;C3607,'Kit Lists'!$J$6:$J$605,0)),"Not on this contract's kit list"))</f>
        <v/>
      </c>
      <c r="H3607" s="83" t="str">
        <f aca="false">IF(AND(B3607="",C3607="",D3607=""),"",IF(B3607="","Missing contract",IF(C3607="","Missing code",IF(LEFT(G3607,3)="Not","Wrong code",IF(D3607="","Missing qty",IF(A3607="","Missing date",""))))))</f>
        <v/>
      </c>
      <c r="I3607" s="84" t="str">
        <f aca="false">IF(B3607=Dashboard!$D$3,ROW(),"")</f>
        <v/>
      </c>
    </row>
    <row r="3608" customFormat="false" ht="15" hidden="false" customHeight="false" outlineLevel="0" collapsed="false">
      <c r="A3608" s="80"/>
      <c r="B3608" s="71"/>
      <c r="C3608" s="71"/>
      <c r="D3608" s="81"/>
      <c r="E3608" s="71"/>
      <c r="F3608" s="71"/>
      <c r="G3608" s="82" t="str">
        <f aca="false">IF(C3608="","",IFERROR(INDEX('Kit Lists'!$D$6:$D$605,MATCH(B3608&amp;"|"&amp;C3608,'Kit Lists'!$J$6:$J$605,0)),"Not on this contract's kit list"))</f>
        <v/>
      </c>
      <c r="H3608" s="83" t="str">
        <f aca="false">IF(AND(B3608="",C3608="",D3608=""),"",IF(B3608="","Missing contract",IF(C3608="","Missing code",IF(LEFT(G3608,3)="Not","Wrong code",IF(D3608="","Missing qty",IF(A3608="","Missing date",""))))))</f>
        <v/>
      </c>
      <c r="I3608" s="84" t="str">
        <f aca="false">IF(B3608=Dashboard!$D$3,ROW(),"")</f>
        <v/>
      </c>
    </row>
    <row r="3609" customFormat="false" ht="15" hidden="false" customHeight="false" outlineLevel="0" collapsed="false">
      <c r="A3609" s="80"/>
      <c r="B3609" s="71"/>
      <c r="C3609" s="71"/>
      <c r="D3609" s="81"/>
      <c r="E3609" s="71"/>
      <c r="F3609" s="71"/>
      <c r="G3609" s="82" t="str">
        <f aca="false">IF(C3609="","",IFERROR(INDEX('Kit Lists'!$D$6:$D$605,MATCH(B3609&amp;"|"&amp;C3609,'Kit Lists'!$J$6:$J$605,0)),"Not on this contract's kit list"))</f>
        <v/>
      </c>
      <c r="H3609" s="83" t="str">
        <f aca="false">IF(AND(B3609="",C3609="",D3609=""),"",IF(B3609="","Missing contract",IF(C3609="","Missing code",IF(LEFT(G3609,3)="Not","Wrong code",IF(D3609="","Missing qty",IF(A3609="","Missing date",""))))))</f>
        <v/>
      </c>
      <c r="I3609" s="84" t="str">
        <f aca="false">IF(B3609=Dashboard!$D$3,ROW(),"")</f>
        <v/>
      </c>
    </row>
    <row r="3610" customFormat="false" ht="15" hidden="false" customHeight="false" outlineLevel="0" collapsed="false">
      <c r="A3610" s="80"/>
      <c r="B3610" s="71"/>
      <c r="C3610" s="71"/>
      <c r="D3610" s="81"/>
      <c r="E3610" s="71"/>
      <c r="F3610" s="71"/>
      <c r="G3610" s="82" t="str">
        <f aca="false">IF(C3610="","",IFERROR(INDEX('Kit Lists'!$D$6:$D$605,MATCH(B3610&amp;"|"&amp;C3610,'Kit Lists'!$J$6:$J$605,0)),"Not on this contract's kit list"))</f>
        <v/>
      </c>
      <c r="H3610" s="83" t="str">
        <f aca="false">IF(AND(B3610="",C3610="",D3610=""),"",IF(B3610="","Missing contract",IF(C3610="","Missing code",IF(LEFT(G3610,3)="Not","Wrong code",IF(D3610="","Missing qty",IF(A3610="","Missing date",""))))))</f>
        <v/>
      </c>
      <c r="I3610" s="84" t="str">
        <f aca="false">IF(B3610=Dashboard!$D$3,ROW(),"")</f>
        <v/>
      </c>
    </row>
    <row r="3611" customFormat="false" ht="15" hidden="false" customHeight="false" outlineLevel="0" collapsed="false">
      <c r="A3611" s="80"/>
      <c r="B3611" s="71"/>
      <c r="C3611" s="71"/>
      <c r="D3611" s="81"/>
      <c r="E3611" s="71"/>
      <c r="F3611" s="71"/>
      <c r="G3611" s="82" t="str">
        <f aca="false">IF(C3611="","",IFERROR(INDEX('Kit Lists'!$D$6:$D$605,MATCH(B3611&amp;"|"&amp;C3611,'Kit Lists'!$J$6:$J$605,0)),"Not on this contract's kit list"))</f>
        <v/>
      </c>
      <c r="H3611" s="83" t="str">
        <f aca="false">IF(AND(B3611="",C3611="",D3611=""),"",IF(B3611="","Missing contract",IF(C3611="","Missing code",IF(LEFT(G3611,3)="Not","Wrong code",IF(D3611="","Missing qty",IF(A3611="","Missing date",""))))))</f>
        <v/>
      </c>
      <c r="I3611" s="84" t="str">
        <f aca="false">IF(B3611=Dashboard!$D$3,ROW(),"")</f>
        <v/>
      </c>
    </row>
    <row r="3612" customFormat="false" ht="15" hidden="false" customHeight="false" outlineLevel="0" collapsed="false">
      <c r="A3612" s="80"/>
      <c r="B3612" s="71"/>
      <c r="C3612" s="71"/>
      <c r="D3612" s="81"/>
      <c r="E3612" s="71"/>
      <c r="F3612" s="71"/>
      <c r="G3612" s="82" t="str">
        <f aca="false">IF(C3612="","",IFERROR(INDEX('Kit Lists'!$D$6:$D$605,MATCH(B3612&amp;"|"&amp;C3612,'Kit Lists'!$J$6:$J$605,0)),"Not on this contract's kit list"))</f>
        <v/>
      </c>
      <c r="H3612" s="83" t="str">
        <f aca="false">IF(AND(B3612="",C3612="",D3612=""),"",IF(B3612="","Missing contract",IF(C3612="","Missing code",IF(LEFT(G3612,3)="Not","Wrong code",IF(D3612="","Missing qty",IF(A3612="","Missing date",""))))))</f>
        <v/>
      </c>
      <c r="I3612" s="84" t="str">
        <f aca="false">IF(B3612=Dashboard!$D$3,ROW(),"")</f>
        <v/>
      </c>
    </row>
    <row r="3613" customFormat="false" ht="15" hidden="false" customHeight="false" outlineLevel="0" collapsed="false">
      <c r="A3613" s="80"/>
      <c r="B3613" s="71"/>
      <c r="C3613" s="71"/>
      <c r="D3613" s="81"/>
      <c r="E3613" s="71"/>
      <c r="F3613" s="71"/>
      <c r="G3613" s="82" t="str">
        <f aca="false">IF(C3613="","",IFERROR(INDEX('Kit Lists'!$D$6:$D$605,MATCH(B3613&amp;"|"&amp;C3613,'Kit Lists'!$J$6:$J$605,0)),"Not on this contract's kit list"))</f>
        <v/>
      </c>
      <c r="H3613" s="83" t="str">
        <f aca="false">IF(AND(B3613="",C3613="",D3613=""),"",IF(B3613="","Missing contract",IF(C3613="","Missing code",IF(LEFT(G3613,3)="Not","Wrong code",IF(D3613="","Missing qty",IF(A3613="","Missing date",""))))))</f>
        <v/>
      </c>
      <c r="I3613" s="84" t="str">
        <f aca="false">IF(B3613=Dashboard!$D$3,ROW(),"")</f>
        <v/>
      </c>
    </row>
    <row r="3614" customFormat="false" ht="15" hidden="false" customHeight="false" outlineLevel="0" collapsed="false">
      <c r="A3614" s="80"/>
      <c r="B3614" s="71"/>
      <c r="C3614" s="71"/>
      <c r="D3614" s="81"/>
      <c r="E3614" s="71"/>
      <c r="F3614" s="71"/>
      <c r="G3614" s="82" t="str">
        <f aca="false">IF(C3614="","",IFERROR(INDEX('Kit Lists'!$D$6:$D$605,MATCH(B3614&amp;"|"&amp;C3614,'Kit Lists'!$J$6:$J$605,0)),"Not on this contract's kit list"))</f>
        <v/>
      </c>
      <c r="H3614" s="83" t="str">
        <f aca="false">IF(AND(B3614="",C3614="",D3614=""),"",IF(B3614="","Missing contract",IF(C3614="","Missing code",IF(LEFT(G3614,3)="Not","Wrong code",IF(D3614="","Missing qty",IF(A3614="","Missing date",""))))))</f>
        <v/>
      </c>
      <c r="I3614" s="84" t="str">
        <f aca="false">IF(B3614=Dashboard!$D$3,ROW(),"")</f>
        <v/>
      </c>
    </row>
    <row r="3615" customFormat="false" ht="15" hidden="false" customHeight="false" outlineLevel="0" collapsed="false">
      <c r="A3615" s="80"/>
      <c r="B3615" s="71"/>
      <c r="C3615" s="71"/>
      <c r="D3615" s="81"/>
      <c r="E3615" s="71"/>
      <c r="F3615" s="71"/>
      <c r="G3615" s="82" t="str">
        <f aca="false">IF(C3615="","",IFERROR(INDEX('Kit Lists'!$D$6:$D$605,MATCH(B3615&amp;"|"&amp;C3615,'Kit Lists'!$J$6:$J$605,0)),"Not on this contract's kit list"))</f>
        <v/>
      </c>
      <c r="H3615" s="83" t="str">
        <f aca="false">IF(AND(B3615="",C3615="",D3615=""),"",IF(B3615="","Missing contract",IF(C3615="","Missing code",IF(LEFT(G3615,3)="Not","Wrong code",IF(D3615="","Missing qty",IF(A3615="","Missing date",""))))))</f>
        <v/>
      </c>
      <c r="I3615" s="84" t="str">
        <f aca="false">IF(B3615=Dashboard!$D$3,ROW(),"")</f>
        <v/>
      </c>
    </row>
    <row r="3616" customFormat="false" ht="15" hidden="false" customHeight="false" outlineLevel="0" collapsed="false">
      <c r="A3616" s="80"/>
      <c r="B3616" s="71"/>
      <c r="C3616" s="71"/>
      <c r="D3616" s="81"/>
      <c r="E3616" s="71"/>
      <c r="F3616" s="71"/>
      <c r="G3616" s="82" t="str">
        <f aca="false">IF(C3616="","",IFERROR(INDEX('Kit Lists'!$D$6:$D$605,MATCH(B3616&amp;"|"&amp;C3616,'Kit Lists'!$J$6:$J$605,0)),"Not on this contract's kit list"))</f>
        <v/>
      </c>
      <c r="H3616" s="83" t="str">
        <f aca="false">IF(AND(B3616="",C3616="",D3616=""),"",IF(B3616="","Missing contract",IF(C3616="","Missing code",IF(LEFT(G3616,3)="Not","Wrong code",IF(D3616="","Missing qty",IF(A3616="","Missing date",""))))))</f>
        <v/>
      </c>
      <c r="I3616" s="84" t="str">
        <f aca="false">IF(B3616=Dashboard!$D$3,ROW(),"")</f>
        <v/>
      </c>
    </row>
    <row r="3617" customFormat="false" ht="15" hidden="false" customHeight="false" outlineLevel="0" collapsed="false">
      <c r="A3617" s="80"/>
      <c r="B3617" s="71"/>
      <c r="C3617" s="71"/>
      <c r="D3617" s="81"/>
      <c r="E3617" s="71"/>
      <c r="F3617" s="71"/>
      <c r="G3617" s="82" t="str">
        <f aca="false">IF(C3617="","",IFERROR(INDEX('Kit Lists'!$D$6:$D$605,MATCH(B3617&amp;"|"&amp;C3617,'Kit Lists'!$J$6:$J$605,0)),"Not on this contract's kit list"))</f>
        <v/>
      </c>
      <c r="H3617" s="83" t="str">
        <f aca="false">IF(AND(B3617="",C3617="",D3617=""),"",IF(B3617="","Missing contract",IF(C3617="","Missing code",IF(LEFT(G3617,3)="Not","Wrong code",IF(D3617="","Missing qty",IF(A3617="","Missing date",""))))))</f>
        <v/>
      </c>
      <c r="I3617" s="84" t="str">
        <f aca="false">IF(B3617=Dashboard!$D$3,ROW(),"")</f>
        <v/>
      </c>
    </row>
    <row r="3618" customFormat="false" ht="15" hidden="false" customHeight="false" outlineLevel="0" collapsed="false">
      <c r="A3618" s="80"/>
      <c r="B3618" s="71"/>
      <c r="C3618" s="71"/>
      <c r="D3618" s="81"/>
      <c r="E3618" s="71"/>
      <c r="F3618" s="71"/>
      <c r="G3618" s="82" t="str">
        <f aca="false">IF(C3618="","",IFERROR(INDEX('Kit Lists'!$D$6:$D$605,MATCH(B3618&amp;"|"&amp;C3618,'Kit Lists'!$J$6:$J$605,0)),"Not on this contract's kit list"))</f>
        <v/>
      </c>
      <c r="H3618" s="83" t="str">
        <f aca="false">IF(AND(B3618="",C3618="",D3618=""),"",IF(B3618="","Missing contract",IF(C3618="","Missing code",IF(LEFT(G3618,3)="Not","Wrong code",IF(D3618="","Missing qty",IF(A3618="","Missing date",""))))))</f>
        <v/>
      </c>
      <c r="I3618" s="84" t="str">
        <f aca="false">IF(B3618=Dashboard!$D$3,ROW(),"")</f>
        <v/>
      </c>
    </row>
    <row r="3619" customFormat="false" ht="15" hidden="false" customHeight="false" outlineLevel="0" collapsed="false">
      <c r="A3619" s="80"/>
      <c r="B3619" s="71"/>
      <c r="C3619" s="71"/>
      <c r="D3619" s="81"/>
      <c r="E3619" s="71"/>
      <c r="F3619" s="71"/>
      <c r="G3619" s="82" t="str">
        <f aca="false">IF(C3619="","",IFERROR(INDEX('Kit Lists'!$D$6:$D$605,MATCH(B3619&amp;"|"&amp;C3619,'Kit Lists'!$J$6:$J$605,0)),"Not on this contract's kit list"))</f>
        <v/>
      </c>
      <c r="H3619" s="83" t="str">
        <f aca="false">IF(AND(B3619="",C3619="",D3619=""),"",IF(B3619="","Missing contract",IF(C3619="","Missing code",IF(LEFT(G3619,3)="Not","Wrong code",IF(D3619="","Missing qty",IF(A3619="","Missing date",""))))))</f>
        <v/>
      </c>
      <c r="I3619" s="84" t="str">
        <f aca="false">IF(B3619=Dashboard!$D$3,ROW(),"")</f>
        <v/>
      </c>
    </row>
    <row r="3620" customFormat="false" ht="15" hidden="false" customHeight="false" outlineLevel="0" collapsed="false">
      <c r="A3620" s="80"/>
      <c r="B3620" s="71"/>
      <c r="C3620" s="71"/>
      <c r="D3620" s="81"/>
      <c r="E3620" s="71"/>
      <c r="F3620" s="71"/>
      <c r="G3620" s="82" t="str">
        <f aca="false">IF(C3620="","",IFERROR(INDEX('Kit Lists'!$D$6:$D$605,MATCH(B3620&amp;"|"&amp;C3620,'Kit Lists'!$J$6:$J$605,0)),"Not on this contract's kit list"))</f>
        <v/>
      </c>
      <c r="H3620" s="83" t="str">
        <f aca="false">IF(AND(B3620="",C3620="",D3620=""),"",IF(B3620="","Missing contract",IF(C3620="","Missing code",IF(LEFT(G3620,3)="Not","Wrong code",IF(D3620="","Missing qty",IF(A3620="","Missing date",""))))))</f>
        <v/>
      </c>
      <c r="I3620" s="84" t="str">
        <f aca="false">IF(B3620=Dashboard!$D$3,ROW(),"")</f>
        <v/>
      </c>
    </row>
    <row r="3621" customFormat="false" ht="15" hidden="false" customHeight="false" outlineLevel="0" collapsed="false">
      <c r="A3621" s="80"/>
      <c r="B3621" s="71"/>
      <c r="C3621" s="71"/>
      <c r="D3621" s="81"/>
      <c r="E3621" s="71"/>
      <c r="F3621" s="71"/>
      <c r="G3621" s="82" t="str">
        <f aca="false">IF(C3621="","",IFERROR(INDEX('Kit Lists'!$D$6:$D$605,MATCH(B3621&amp;"|"&amp;C3621,'Kit Lists'!$J$6:$J$605,0)),"Not on this contract's kit list"))</f>
        <v/>
      </c>
      <c r="H3621" s="83" t="str">
        <f aca="false">IF(AND(B3621="",C3621="",D3621=""),"",IF(B3621="","Missing contract",IF(C3621="","Missing code",IF(LEFT(G3621,3)="Not","Wrong code",IF(D3621="","Missing qty",IF(A3621="","Missing date",""))))))</f>
        <v/>
      </c>
      <c r="I3621" s="84" t="str">
        <f aca="false">IF(B3621=Dashboard!$D$3,ROW(),"")</f>
        <v/>
      </c>
    </row>
    <row r="3622" customFormat="false" ht="15" hidden="false" customHeight="false" outlineLevel="0" collapsed="false">
      <c r="A3622" s="80"/>
      <c r="B3622" s="71"/>
      <c r="C3622" s="71"/>
      <c r="D3622" s="81"/>
      <c r="E3622" s="71"/>
      <c r="F3622" s="71"/>
      <c r="G3622" s="82" t="str">
        <f aca="false">IF(C3622="","",IFERROR(INDEX('Kit Lists'!$D$6:$D$605,MATCH(B3622&amp;"|"&amp;C3622,'Kit Lists'!$J$6:$J$605,0)),"Not on this contract's kit list"))</f>
        <v/>
      </c>
      <c r="H3622" s="83" t="str">
        <f aca="false">IF(AND(B3622="",C3622="",D3622=""),"",IF(B3622="","Missing contract",IF(C3622="","Missing code",IF(LEFT(G3622,3)="Not","Wrong code",IF(D3622="","Missing qty",IF(A3622="","Missing date",""))))))</f>
        <v/>
      </c>
      <c r="I3622" s="84" t="str">
        <f aca="false">IF(B3622=Dashboard!$D$3,ROW(),"")</f>
        <v/>
      </c>
    </row>
    <row r="3623" customFormat="false" ht="15" hidden="false" customHeight="false" outlineLevel="0" collapsed="false">
      <c r="A3623" s="80"/>
      <c r="B3623" s="71"/>
      <c r="C3623" s="71"/>
      <c r="D3623" s="81"/>
      <c r="E3623" s="71"/>
      <c r="F3623" s="71"/>
      <c r="G3623" s="82" t="str">
        <f aca="false">IF(C3623="","",IFERROR(INDEX('Kit Lists'!$D$6:$D$605,MATCH(B3623&amp;"|"&amp;C3623,'Kit Lists'!$J$6:$J$605,0)),"Not on this contract's kit list"))</f>
        <v/>
      </c>
      <c r="H3623" s="83" t="str">
        <f aca="false">IF(AND(B3623="",C3623="",D3623=""),"",IF(B3623="","Missing contract",IF(C3623="","Missing code",IF(LEFT(G3623,3)="Not","Wrong code",IF(D3623="","Missing qty",IF(A3623="","Missing date",""))))))</f>
        <v/>
      </c>
      <c r="I3623" s="84" t="str">
        <f aca="false">IF(B3623=Dashboard!$D$3,ROW(),"")</f>
        <v/>
      </c>
    </row>
    <row r="3624" customFormat="false" ht="15" hidden="false" customHeight="false" outlineLevel="0" collapsed="false">
      <c r="A3624" s="80"/>
      <c r="B3624" s="71"/>
      <c r="C3624" s="71"/>
      <c r="D3624" s="81"/>
      <c r="E3624" s="71"/>
      <c r="F3624" s="71"/>
      <c r="G3624" s="82" t="str">
        <f aca="false">IF(C3624="","",IFERROR(INDEX('Kit Lists'!$D$6:$D$605,MATCH(B3624&amp;"|"&amp;C3624,'Kit Lists'!$J$6:$J$605,0)),"Not on this contract's kit list"))</f>
        <v/>
      </c>
      <c r="H3624" s="83" t="str">
        <f aca="false">IF(AND(B3624="",C3624="",D3624=""),"",IF(B3624="","Missing contract",IF(C3624="","Missing code",IF(LEFT(G3624,3)="Not","Wrong code",IF(D3624="","Missing qty",IF(A3624="","Missing date",""))))))</f>
        <v/>
      </c>
      <c r="I3624" s="84" t="str">
        <f aca="false">IF(B3624=Dashboard!$D$3,ROW(),"")</f>
        <v/>
      </c>
    </row>
    <row r="3625" customFormat="false" ht="15" hidden="false" customHeight="false" outlineLevel="0" collapsed="false">
      <c r="A3625" s="80"/>
      <c r="B3625" s="71"/>
      <c r="C3625" s="71"/>
      <c r="D3625" s="81"/>
      <c r="E3625" s="71"/>
      <c r="F3625" s="71"/>
      <c r="G3625" s="82" t="str">
        <f aca="false">IF(C3625="","",IFERROR(INDEX('Kit Lists'!$D$6:$D$605,MATCH(B3625&amp;"|"&amp;C3625,'Kit Lists'!$J$6:$J$605,0)),"Not on this contract's kit list"))</f>
        <v/>
      </c>
      <c r="H3625" s="83" t="str">
        <f aca="false">IF(AND(B3625="",C3625="",D3625=""),"",IF(B3625="","Missing contract",IF(C3625="","Missing code",IF(LEFT(G3625,3)="Not","Wrong code",IF(D3625="","Missing qty",IF(A3625="","Missing date",""))))))</f>
        <v/>
      </c>
      <c r="I3625" s="84" t="str">
        <f aca="false">IF(B3625=Dashboard!$D$3,ROW(),"")</f>
        <v/>
      </c>
    </row>
    <row r="3626" customFormat="false" ht="15" hidden="false" customHeight="false" outlineLevel="0" collapsed="false">
      <c r="A3626" s="80"/>
      <c r="B3626" s="71"/>
      <c r="C3626" s="71"/>
      <c r="D3626" s="81"/>
      <c r="E3626" s="71"/>
      <c r="F3626" s="71"/>
      <c r="G3626" s="82" t="str">
        <f aca="false">IF(C3626="","",IFERROR(INDEX('Kit Lists'!$D$6:$D$605,MATCH(B3626&amp;"|"&amp;C3626,'Kit Lists'!$J$6:$J$605,0)),"Not on this contract's kit list"))</f>
        <v/>
      </c>
      <c r="H3626" s="83" t="str">
        <f aca="false">IF(AND(B3626="",C3626="",D3626=""),"",IF(B3626="","Missing contract",IF(C3626="","Missing code",IF(LEFT(G3626,3)="Not","Wrong code",IF(D3626="","Missing qty",IF(A3626="","Missing date",""))))))</f>
        <v/>
      </c>
      <c r="I3626" s="84" t="str">
        <f aca="false">IF(B3626=Dashboard!$D$3,ROW(),"")</f>
        <v/>
      </c>
    </row>
    <row r="3627" customFormat="false" ht="15" hidden="false" customHeight="false" outlineLevel="0" collapsed="false">
      <c r="A3627" s="80"/>
      <c r="B3627" s="71"/>
      <c r="C3627" s="71"/>
      <c r="D3627" s="81"/>
      <c r="E3627" s="71"/>
      <c r="F3627" s="71"/>
      <c r="G3627" s="82" t="str">
        <f aca="false">IF(C3627="","",IFERROR(INDEX('Kit Lists'!$D$6:$D$605,MATCH(B3627&amp;"|"&amp;C3627,'Kit Lists'!$J$6:$J$605,0)),"Not on this contract's kit list"))</f>
        <v/>
      </c>
      <c r="H3627" s="83" t="str">
        <f aca="false">IF(AND(B3627="",C3627="",D3627=""),"",IF(B3627="","Missing contract",IF(C3627="","Missing code",IF(LEFT(G3627,3)="Not","Wrong code",IF(D3627="","Missing qty",IF(A3627="","Missing date",""))))))</f>
        <v/>
      </c>
      <c r="I3627" s="84" t="str">
        <f aca="false">IF(B3627=Dashboard!$D$3,ROW(),"")</f>
        <v/>
      </c>
    </row>
    <row r="3628" customFormat="false" ht="15" hidden="false" customHeight="false" outlineLevel="0" collapsed="false">
      <c r="A3628" s="80"/>
      <c r="B3628" s="71"/>
      <c r="C3628" s="71"/>
      <c r="D3628" s="81"/>
      <c r="E3628" s="71"/>
      <c r="F3628" s="71"/>
      <c r="G3628" s="82" t="str">
        <f aca="false">IF(C3628="","",IFERROR(INDEX('Kit Lists'!$D$6:$D$605,MATCH(B3628&amp;"|"&amp;C3628,'Kit Lists'!$J$6:$J$605,0)),"Not on this contract's kit list"))</f>
        <v/>
      </c>
      <c r="H3628" s="83" t="str">
        <f aca="false">IF(AND(B3628="",C3628="",D3628=""),"",IF(B3628="","Missing contract",IF(C3628="","Missing code",IF(LEFT(G3628,3)="Not","Wrong code",IF(D3628="","Missing qty",IF(A3628="","Missing date",""))))))</f>
        <v/>
      </c>
      <c r="I3628" s="84" t="str">
        <f aca="false">IF(B3628=Dashboard!$D$3,ROW(),"")</f>
        <v/>
      </c>
    </row>
    <row r="3629" customFormat="false" ht="15" hidden="false" customHeight="false" outlineLevel="0" collapsed="false">
      <c r="A3629" s="80"/>
      <c r="B3629" s="71"/>
      <c r="C3629" s="71"/>
      <c r="D3629" s="81"/>
      <c r="E3629" s="71"/>
      <c r="F3629" s="71"/>
      <c r="G3629" s="82" t="str">
        <f aca="false">IF(C3629="","",IFERROR(INDEX('Kit Lists'!$D$6:$D$605,MATCH(B3629&amp;"|"&amp;C3629,'Kit Lists'!$J$6:$J$605,0)),"Not on this contract's kit list"))</f>
        <v/>
      </c>
      <c r="H3629" s="83" t="str">
        <f aca="false">IF(AND(B3629="",C3629="",D3629=""),"",IF(B3629="","Missing contract",IF(C3629="","Missing code",IF(LEFT(G3629,3)="Not","Wrong code",IF(D3629="","Missing qty",IF(A3629="","Missing date",""))))))</f>
        <v/>
      </c>
      <c r="I3629" s="84" t="str">
        <f aca="false">IF(B3629=Dashboard!$D$3,ROW(),"")</f>
        <v/>
      </c>
    </row>
    <row r="3630" customFormat="false" ht="15" hidden="false" customHeight="false" outlineLevel="0" collapsed="false">
      <c r="A3630" s="80"/>
      <c r="B3630" s="71"/>
      <c r="C3630" s="71"/>
      <c r="D3630" s="81"/>
      <c r="E3630" s="71"/>
      <c r="F3630" s="71"/>
      <c r="G3630" s="82" t="str">
        <f aca="false">IF(C3630="","",IFERROR(INDEX('Kit Lists'!$D$6:$D$605,MATCH(B3630&amp;"|"&amp;C3630,'Kit Lists'!$J$6:$J$605,0)),"Not on this contract's kit list"))</f>
        <v/>
      </c>
      <c r="H3630" s="83" t="str">
        <f aca="false">IF(AND(B3630="",C3630="",D3630=""),"",IF(B3630="","Missing contract",IF(C3630="","Missing code",IF(LEFT(G3630,3)="Not","Wrong code",IF(D3630="","Missing qty",IF(A3630="","Missing date",""))))))</f>
        <v/>
      </c>
      <c r="I3630" s="84" t="str">
        <f aca="false">IF(B3630=Dashboard!$D$3,ROW(),"")</f>
        <v/>
      </c>
    </row>
    <row r="3631" customFormat="false" ht="15" hidden="false" customHeight="false" outlineLevel="0" collapsed="false">
      <c r="A3631" s="80"/>
      <c r="B3631" s="71"/>
      <c r="C3631" s="71"/>
      <c r="D3631" s="81"/>
      <c r="E3631" s="71"/>
      <c r="F3631" s="71"/>
      <c r="G3631" s="82" t="str">
        <f aca="false">IF(C3631="","",IFERROR(INDEX('Kit Lists'!$D$6:$D$605,MATCH(B3631&amp;"|"&amp;C3631,'Kit Lists'!$J$6:$J$605,0)),"Not on this contract's kit list"))</f>
        <v/>
      </c>
      <c r="H3631" s="83" t="str">
        <f aca="false">IF(AND(B3631="",C3631="",D3631=""),"",IF(B3631="","Missing contract",IF(C3631="","Missing code",IF(LEFT(G3631,3)="Not","Wrong code",IF(D3631="","Missing qty",IF(A3631="","Missing date",""))))))</f>
        <v/>
      </c>
      <c r="I3631" s="84" t="str">
        <f aca="false">IF(B3631=Dashboard!$D$3,ROW(),"")</f>
        <v/>
      </c>
    </row>
    <row r="3632" customFormat="false" ht="15" hidden="false" customHeight="false" outlineLevel="0" collapsed="false">
      <c r="A3632" s="80"/>
      <c r="B3632" s="71"/>
      <c r="C3632" s="71"/>
      <c r="D3632" s="81"/>
      <c r="E3632" s="71"/>
      <c r="F3632" s="71"/>
      <c r="G3632" s="82" t="str">
        <f aca="false">IF(C3632="","",IFERROR(INDEX('Kit Lists'!$D$6:$D$605,MATCH(B3632&amp;"|"&amp;C3632,'Kit Lists'!$J$6:$J$605,0)),"Not on this contract's kit list"))</f>
        <v/>
      </c>
      <c r="H3632" s="83" t="str">
        <f aca="false">IF(AND(B3632="",C3632="",D3632=""),"",IF(B3632="","Missing contract",IF(C3632="","Missing code",IF(LEFT(G3632,3)="Not","Wrong code",IF(D3632="","Missing qty",IF(A3632="","Missing date",""))))))</f>
        <v/>
      </c>
      <c r="I3632" s="84" t="str">
        <f aca="false">IF(B3632=Dashboard!$D$3,ROW(),"")</f>
        <v/>
      </c>
    </row>
    <row r="3633" customFormat="false" ht="15" hidden="false" customHeight="false" outlineLevel="0" collapsed="false">
      <c r="A3633" s="80"/>
      <c r="B3633" s="71"/>
      <c r="C3633" s="71"/>
      <c r="D3633" s="81"/>
      <c r="E3633" s="71"/>
      <c r="F3633" s="71"/>
      <c r="G3633" s="82" t="str">
        <f aca="false">IF(C3633="","",IFERROR(INDEX('Kit Lists'!$D$6:$D$605,MATCH(B3633&amp;"|"&amp;C3633,'Kit Lists'!$J$6:$J$605,0)),"Not on this contract's kit list"))</f>
        <v/>
      </c>
      <c r="H3633" s="83" t="str">
        <f aca="false">IF(AND(B3633="",C3633="",D3633=""),"",IF(B3633="","Missing contract",IF(C3633="","Missing code",IF(LEFT(G3633,3)="Not","Wrong code",IF(D3633="","Missing qty",IF(A3633="","Missing date",""))))))</f>
        <v/>
      </c>
      <c r="I3633" s="84" t="str">
        <f aca="false">IF(B3633=Dashboard!$D$3,ROW(),"")</f>
        <v/>
      </c>
    </row>
    <row r="3634" customFormat="false" ht="15" hidden="false" customHeight="false" outlineLevel="0" collapsed="false">
      <c r="A3634" s="80"/>
      <c r="B3634" s="71"/>
      <c r="C3634" s="71"/>
      <c r="D3634" s="81"/>
      <c r="E3634" s="71"/>
      <c r="F3634" s="71"/>
      <c r="G3634" s="82" t="str">
        <f aca="false">IF(C3634="","",IFERROR(INDEX('Kit Lists'!$D$6:$D$605,MATCH(B3634&amp;"|"&amp;C3634,'Kit Lists'!$J$6:$J$605,0)),"Not on this contract's kit list"))</f>
        <v/>
      </c>
      <c r="H3634" s="83" t="str">
        <f aca="false">IF(AND(B3634="",C3634="",D3634=""),"",IF(B3634="","Missing contract",IF(C3634="","Missing code",IF(LEFT(G3634,3)="Not","Wrong code",IF(D3634="","Missing qty",IF(A3634="","Missing date",""))))))</f>
        <v/>
      </c>
      <c r="I3634" s="84" t="str">
        <f aca="false">IF(B3634=Dashboard!$D$3,ROW(),"")</f>
        <v/>
      </c>
    </row>
    <row r="3635" customFormat="false" ht="15" hidden="false" customHeight="false" outlineLevel="0" collapsed="false">
      <c r="A3635" s="80"/>
      <c r="B3635" s="71"/>
      <c r="C3635" s="71"/>
      <c r="D3635" s="81"/>
      <c r="E3635" s="71"/>
      <c r="F3635" s="71"/>
      <c r="G3635" s="82" t="str">
        <f aca="false">IF(C3635="","",IFERROR(INDEX('Kit Lists'!$D$6:$D$605,MATCH(B3635&amp;"|"&amp;C3635,'Kit Lists'!$J$6:$J$605,0)),"Not on this contract's kit list"))</f>
        <v/>
      </c>
      <c r="H3635" s="83" t="str">
        <f aca="false">IF(AND(B3635="",C3635="",D3635=""),"",IF(B3635="","Missing contract",IF(C3635="","Missing code",IF(LEFT(G3635,3)="Not","Wrong code",IF(D3635="","Missing qty",IF(A3635="","Missing date",""))))))</f>
        <v/>
      </c>
      <c r="I3635" s="84" t="str">
        <f aca="false">IF(B3635=Dashboard!$D$3,ROW(),"")</f>
        <v/>
      </c>
    </row>
    <row r="3636" customFormat="false" ht="15" hidden="false" customHeight="false" outlineLevel="0" collapsed="false">
      <c r="A3636" s="80"/>
      <c r="B3636" s="71"/>
      <c r="C3636" s="71"/>
      <c r="D3636" s="81"/>
      <c r="E3636" s="71"/>
      <c r="F3636" s="71"/>
      <c r="G3636" s="82" t="str">
        <f aca="false">IF(C3636="","",IFERROR(INDEX('Kit Lists'!$D$6:$D$605,MATCH(B3636&amp;"|"&amp;C3636,'Kit Lists'!$J$6:$J$605,0)),"Not on this contract's kit list"))</f>
        <v/>
      </c>
      <c r="H3636" s="83" t="str">
        <f aca="false">IF(AND(B3636="",C3636="",D3636=""),"",IF(B3636="","Missing contract",IF(C3636="","Missing code",IF(LEFT(G3636,3)="Not","Wrong code",IF(D3636="","Missing qty",IF(A3636="","Missing date",""))))))</f>
        <v/>
      </c>
      <c r="I3636" s="84" t="str">
        <f aca="false">IF(B3636=Dashboard!$D$3,ROW(),"")</f>
        <v/>
      </c>
    </row>
    <row r="3637" customFormat="false" ht="15" hidden="false" customHeight="false" outlineLevel="0" collapsed="false">
      <c r="A3637" s="80"/>
      <c r="B3637" s="71"/>
      <c r="C3637" s="71"/>
      <c r="D3637" s="81"/>
      <c r="E3637" s="71"/>
      <c r="F3637" s="71"/>
      <c r="G3637" s="82" t="str">
        <f aca="false">IF(C3637="","",IFERROR(INDEX('Kit Lists'!$D$6:$D$605,MATCH(B3637&amp;"|"&amp;C3637,'Kit Lists'!$J$6:$J$605,0)),"Not on this contract's kit list"))</f>
        <v/>
      </c>
      <c r="H3637" s="83" t="str">
        <f aca="false">IF(AND(B3637="",C3637="",D3637=""),"",IF(B3637="","Missing contract",IF(C3637="","Missing code",IF(LEFT(G3637,3)="Not","Wrong code",IF(D3637="","Missing qty",IF(A3637="","Missing date",""))))))</f>
        <v/>
      </c>
      <c r="I3637" s="84" t="str">
        <f aca="false">IF(B3637=Dashboard!$D$3,ROW(),"")</f>
        <v/>
      </c>
    </row>
    <row r="3638" customFormat="false" ht="15" hidden="false" customHeight="false" outlineLevel="0" collapsed="false">
      <c r="A3638" s="80"/>
      <c r="B3638" s="71"/>
      <c r="C3638" s="71"/>
      <c r="D3638" s="81"/>
      <c r="E3638" s="71"/>
      <c r="F3638" s="71"/>
      <c r="G3638" s="82" t="str">
        <f aca="false">IF(C3638="","",IFERROR(INDEX('Kit Lists'!$D$6:$D$605,MATCH(B3638&amp;"|"&amp;C3638,'Kit Lists'!$J$6:$J$605,0)),"Not on this contract's kit list"))</f>
        <v/>
      </c>
      <c r="H3638" s="83" t="str">
        <f aca="false">IF(AND(B3638="",C3638="",D3638=""),"",IF(B3638="","Missing contract",IF(C3638="","Missing code",IF(LEFT(G3638,3)="Not","Wrong code",IF(D3638="","Missing qty",IF(A3638="","Missing date",""))))))</f>
        <v/>
      </c>
      <c r="I3638" s="84" t="str">
        <f aca="false">IF(B3638=Dashboard!$D$3,ROW(),"")</f>
        <v/>
      </c>
    </row>
    <row r="3639" customFormat="false" ht="15" hidden="false" customHeight="false" outlineLevel="0" collapsed="false">
      <c r="A3639" s="80"/>
      <c r="B3639" s="71"/>
      <c r="C3639" s="71"/>
      <c r="D3639" s="81"/>
      <c r="E3639" s="71"/>
      <c r="F3639" s="71"/>
      <c r="G3639" s="82" t="str">
        <f aca="false">IF(C3639="","",IFERROR(INDEX('Kit Lists'!$D$6:$D$605,MATCH(B3639&amp;"|"&amp;C3639,'Kit Lists'!$J$6:$J$605,0)),"Not on this contract's kit list"))</f>
        <v/>
      </c>
      <c r="H3639" s="83" t="str">
        <f aca="false">IF(AND(B3639="",C3639="",D3639=""),"",IF(B3639="","Missing contract",IF(C3639="","Missing code",IF(LEFT(G3639,3)="Not","Wrong code",IF(D3639="","Missing qty",IF(A3639="","Missing date",""))))))</f>
        <v/>
      </c>
      <c r="I3639" s="84" t="str">
        <f aca="false">IF(B3639=Dashboard!$D$3,ROW(),"")</f>
        <v/>
      </c>
    </row>
    <row r="3640" customFormat="false" ht="15" hidden="false" customHeight="false" outlineLevel="0" collapsed="false">
      <c r="A3640" s="80"/>
      <c r="B3640" s="71"/>
      <c r="C3640" s="71"/>
      <c r="D3640" s="81"/>
      <c r="E3640" s="71"/>
      <c r="F3640" s="71"/>
      <c r="G3640" s="82" t="str">
        <f aca="false">IF(C3640="","",IFERROR(INDEX('Kit Lists'!$D$6:$D$605,MATCH(B3640&amp;"|"&amp;C3640,'Kit Lists'!$J$6:$J$605,0)),"Not on this contract's kit list"))</f>
        <v/>
      </c>
      <c r="H3640" s="83" t="str">
        <f aca="false">IF(AND(B3640="",C3640="",D3640=""),"",IF(B3640="","Missing contract",IF(C3640="","Missing code",IF(LEFT(G3640,3)="Not","Wrong code",IF(D3640="","Missing qty",IF(A3640="","Missing date",""))))))</f>
        <v/>
      </c>
      <c r="I3640" s="84" t="str">
        <f aca="false">IF(B3640=Dashboard!$D$3,ROW(),"")</f>
        <v/>
      </c>
    </row>
    <row r="3641" customFormat="false" ht="15" hidden="false" customHeight="false" outlineLevel="0" collapsed="false">
      <c r="A3641" s="80"/>
      <c r="B3641" s="71"/>
      <c r="C3641" s="71"/>
      <c r="D3641" s="81"/>
      <c r="E3641" s="71"/>
      <c r="F3641" s="71"/>
      <c r="G3641" s="82" t="str">
        <f aca="false">IF(C3641="","",IFERROR(INDEX('Kit Lists'!$D$6:$D$605,MATCH(B3641&amp;"|"&amp;C3641,'Kit Lists'!$J$6:$J$605,0)),"Not on this contract's kit list"))</f>
        <v/>
      </c>
      <c r="H3641" s="83" t="str">
        <f aca="false">IF(AND(B3641="",C3641="",D3641=""),"",IF(B3641="","Missing contract",IF(C3641="","Missing code",IF(LEFT(G3641,3)="Not","Wrong code",IF(D3641="","Missing qty",IF(A3641="","Missing date",""))))))</f>
        <v/>
      </c>
      <c r="I3641" s="84" t="str">
        <f aca="false">IF(B3641=Dashboard!$D$3,ROW(),"")</f>
        <v/>
      </c>
    </row>
    <row r="3642" customFormat="false" ht="15" hidden="false" customHeight="false" outlineLevel="0" collapsed="false">
      <c r="A3642" s="80"/>
      <c r="B3642" s="71"/>
      <c r="C3642" s="71"/>
      <c r="D3642" s="81"/>
      <c r="E3642" s="71"/>
      <c r="F3642" s="71"/>
      <c r="G3642" s="82" t="str">
        <f aca="false">IF(C3642="","",IFERROR(INDEX('Kit Lists'!$D$6:$D$605,MATCH(B3642&amp;"|"&amp;C3642,'Kit Lists'!$J$6:$J$605,0)),"Not on this contract's kit list"))</f>
        <v/>
      </c>
      <c r="H3642" s="83" t="str">
        <f aca="false">IF(AND(B3642="",C3642="",D3642=""),"",IF(B3642="","Missing contract",IF(C3642="","Missing code",IF(LEFT(G3642,3)="Not","Wrong code",IF(D3642="","Missing qty",IF(A3642="","Missing date",""))))))</f>
        <v/>
      </c>
      <c r="I3642" s="84" t="str">
        <f aca="false">IF(B3642=Dashboard!$D$3,ROW(),"")</f>
        <v/>
      </c>
    </row>
    <row r="3643" customFormat="false" ht="15" hidden="false" customHeight="false" outlineLevel="0" collapsed="false">
      <c r="A3643" s="80"/>
      <c r="B3643" s="71"/>
      <c r="C3643" s="71"/>
      <c r="D3643" s="81"/>
      <c r="E3643" s="71"/>
      <c r="F3643" s="71"/>
      <c r="G3643" s="82" t="str">
        <f aca="false">IF(C3643="","",IFERROR(INDEX('Kit Lists'!$D$6:$D$605,MATCH(B3643&amp;"|"&amp;C3643,'Kit Lists'!$J$6:$J$605,0)),"Not on this contract's kit list"))</f>
        <v/>
      </c>
      <c r="H3643" s="83" t="str">
        <f aca="false">IF(AND(B3643="",C3643="",D3643=""),"",IF(B3643="","Missing contract",IF(C3643="","Missing code",IF(LEFT(G3643,3)="Not","Wrong code",IF(D3643="","Missing qty",IF(A3643="","Missing date",""))))))</f>
        <v/>
      </c>
      <c r="I3643" s="84" t="str">
        <f aca="false">IF(B3643=Dashboard!$D$3,ROW(),"")</f>
        <v/>
      </c>
    </row>
    <row r="3644" customFormat="false" ht="15" hidden="false" customHeight="false" outlineLevel="0" collapsed="false">
      <c r="A3644" s="80"/>
      <c r="B3644" s="71"/>
      <c r="C3644" s="71"/>
      <c r="D3644" s="81"/>
      <c r="E3644" s="71"/>
      <c r="F3644" s="71"/>
      <c r="G3644" s="82" t="str">
        <f aca="false">IF(C3644="","",IFERROR(INDEX('Kit Lists'!$D$6:$D$605,MATCH(B3644&amp;"|"&amp;C3644,'Kit Lists'!$J$6:$J$605,0)),"Not on this contract's kit list"))</f>
        <v/>
      </c>
      <c r="H3644" s="83" t="str">
        <f aca="false">IF(AND(B3644="",C3644="",D3644=""),"",IF(B3644="","Missing contract",IF(C3644="","Missing code",IF(LEFT(G3644,3)="Not","Wrong code",IF(D3644="","Missing qty",IF(A3644="","Missing date",""))))))</f>
        <v/>
      </c>
      <c r="I3644" s="84" t="str">
        <f aca="false">IF(B3644=Dashboard!$D$3,ROW(),"")</f>
        <v/>
      </c>
    </row>
    <row r="3645" customFormat="false" ht="15" hidden="false" customHeight="false" outlineLevel="0" collapsed="false">
      <c r="A3645" s="80"/>
      <c r="B3645" s="71"/>
      <c r="C3645" s="71"/>
      <c r="D3645" s="81"/>
      <c r="E3645" s="71"/>
      <c r="F3645" s="71"/>
      <c r="G3645" s="82" t="str">
        <f aca="false">IF(C3645="","",IFERROR(INDEX('Kit Lists'!$D$6:$D$605,MATCH(B3645&amp;"|"&amp;C3645,'Kit Lists'!$J$6:$J$605,0)),"Not on this contract's kit list"))</f>
        <v/>
      </c>
      <c r="H3645" s="83" t="str">
        <f aca="false">IF(AND(B3645="",C3645="",D3645=""),"",IF(B3645="","Missing contract",IF(C3645="","Missing code",IF(LEFT(G3645,3)="Not","Wrong code",IF(D3645="","Missing qty",IF(A3645="","Missing date",""))))))</f>
        <v/>
      </c>
      <c r="I3645" s="84" t="str">
        <f aca="false">IF(B3645=Dashboard!$D$3,ROW(),"")</f>
        <v/>
      </c>
    </row>
    <row r="3646" customFormat="false" ht="15" hidden="false" customHeight="false" outlineLevel="0" collapsed="false">
      <c r="A3646" s="80"/>
      <c r="B3646" s="71"/>
      <c r="C3646" s="71"/>
      <c r="D3646" s="81"/>
      <c r="E3646" s="71"/>
      <c r="F3646" s="71"/>
      <c r="G3646" s="82" t="str">
        <f aca="false">IF(C3646="","",IFERROR(INDEX('Kit Lists'!$D$6:$D$605,MATCH(B3646&amp;"|"&amp;C3646,'Kit Lists'!$J$6:$J$605,0)),"Not on this contract's kit list"))</f>
        <v/>
      </c>
      <c r="H3646" s="83" t="str">
        <f aca="false">IF(AND(B3646="",C3646="",D3646=""),"",IF(B3646="","Missing contract",IF(C3646="","Missing code",IF(LEFT(G3646,3)="Not","Wrong code",IF(D3646="","Missing qty",IF(A3646="","Missing date",""))))))</f>
        <v/>
      </c>
      <c r="I3646" s="84" t="str">
        <f aca="false">IF(B3646=Dashboard!$D$3,ROW(),"")</f>
        <v/>
      </c>
    </row>
    <row r="3647" customFormat="false" ht="15" hidden="false" customHeight="false" outlineLevel="0" collapsed="false">
      <c r="A3647" s="80"/>
      <c r="B3647" s="71"/>
      <c r="C3647" s="71"/>
      <c r="D3647" s="81"/>
      <c r="E3647" s="71"/>
      <c r="F3647" s="71"/>
      <c r="G3647" s="82" t="str">
        <f aca="false">IF(C3647="","",IFERROR(INDEX('Kit Lists'!$D$6:$D$605,MATCH(B3647&amp;"|"&amp;C3647,'Kit Lists'!$J$6:$J$605,0)),"Not on this contract's kit list"))</f>
        <v/>
      </c>
      <c r="H3647" s="83" t="str">
        <f aca="false">IF(AND(B3647="",C3647="",D3647=""),"",IF(B3647="","Missing contract",IF(C3647="","Missing code",IF(LEFT(G3647,3)="Not","Wrong code",IF(D3647="","Missing qty",IF(A3647="","Missing date",""))))))</f>
        <v/>
      </c>
      <c r="I3647" s="84" t="str">
        <f aca="false">IF(B3647=Dashboard!$D$3,ROW(),"")</f>
        <v/>
      </c>
    </row>
    <row r="3648" customFormat="false" ht="15" hidden="false" customHeight="false" outlineLevel="0" collapsed="false">
      <c r="A3648" s="80"/>
      <c r="B3648" s="71"/>
      <c r="C3648" s="71"/>
      <c r="D3648" s="81"/>
      <c r="E3648" s="71"/>
      <c r="F3648" s="71"/>
      <c r="G3648" s="82" t="str">
        <f aca="false">IF(C3648="","",IFERROR(INDEX('Kit Lists'!$D$6:$D$605,MATCH(B3648&amp;"|"&amp;C3648,'Kit Lists'!$J$6:$J$605,0)),"Not on this contract's kit list"))</f>
        <v/>
      </c>
      <c r="H3648" s="83" t="str">
        <f aca="false">IF(AND(B3648="",C3648="",D3648=""),"",IF(B3648="","Missing contract",IF(C3648="","Missing code",IF(LEFT(G3648,3)="Not","Wrong code",IF(D3648="","Missing qty",IF(A3648="","Missing date",""))))))</f>
        <v/>
      </c>
      <c r="I3648" s="84" t="str">
        <f aca="false">IF(B3648=Dashboard!$D$3,ROW(),"")</f>
        <v/>
      </c>
    </row>
    <row r="3649" customFormat="false" ht="15" hidden="false" customHeight="false" outlineLevel="0" collapsed="false">
      <c r="A3649" s="80"/>
      <c r="B3649" s="71"/>
      <c r="C3649" s="71"/>
      <c r="D3649" s="81"/>
      <c r="E3649" s="71"/>
      <c r="F3649" s="71"/>
      <c r="G3649" s="82" t="str">
        <f aca="false">IF(C3649="","",IFERROR(INDEX('Kit Lists'!$D$6:$D$605,MATCH(B3649&amp;"|"&amp;C3649,'Kit Lists'!$J$6:$J$605,0)),"Not on this contract's kit list"))</f>
        <v/>
      </c>
      <c r="H3649" s="83" t="str">
        <f aca="false">IF(AND(B3649="",C3649="",D3649=""),"",IF(B3649="","Missing contract",IF(C3649="","Missing code",IF(LEFT(G3649,3)="Not","Wrong code",IF(D3649="","Missing qty",IF(A3649="","Missing date",""))))))</f>
        <v/>
      </c>
      <c r="I3649" s="84" t="str">
        <f aca="false">IF(B3649=Dashboard!$D$3,ROW(),"")</f>
        <v/>
      </c>
    </row>
    <row r="3650" customFormat="false" ht="15" hidden="false" customHeight="false" outlineLevel="0" collapsed="false">
      <c r="A3650" s="80"/>
      <c r="B3650" s="71"/>
      <c r="C3650" s="71"/>
      <c r="D3650" s="81"/>
      <c r="E3650" s="71"/>
      <c r="F3650" s="71"/>
      <c r="G3650" s="82" t="str">
        <f aca="false">IF(C3650="","",IFERROR(INDEX('Kit Lists'!$D$6:$D$605,MATCH(B3650&amp;"|"&amp;C3650,'Kit Lists'!$J$6:$J$605,0)),"Not on this contract's kit list"))</f>
        <v/>
      </c>
      <c r="H3650" s="83" t="str">
        <f aca="false">IF(AND(B3650="",C3650="",D3650=""),"",IF(B3650="","Missing contract",IF(C3650="","Missing code",IF(LEFT(G3650,3)="Not","Wrong code",IF(D3650="","Missing qty",IF(A3650="","Missing date",""))))))</f>
        <v/>
      </c>
      <c r="I3650" s="84" t="str">
        <f aca="false">IF(B3650=Dashboard!$D$3,ROW(),"")</f>
        <v/>
      </c>
    </row>
    <row r="3651" customFormat="false" ht="15" hidden="false" customHeight="false" outlineLevel="0" collapsed="false">
      <c r="A3651" s="80"/>
      <c r="B3651" s="71"/>
      <c r="C3651" s="71"/>
      <c r="D3651" s="81"/>
      <c r="E3651" s="71"/>
      <c r="F3651" s="71"/>
      <c r="G3651" s="82" t="str">
        <f aca="false">IF(C3651="","",IFERROR(INDEX('Kit Lists'!$D$6:$D$605,MATCH(B3651&amp;"|"&amp;C3651,'Kit Lists'!$J$6:$J$605,0)),"Not on this contract's kit list"))</f>
        <v/>
      </c>
      <c r="H3651" s="83" t="str">
        <f aca="false">IF(AND(B3651="",C3651="",D3651=""),"",IF(B3651="","Missing contract",IF(C3651="","Missing code",IF(LEFT(G3651,3)="Not","Wrong code",IF(D3651="","Missing qty",IF(A3651="","Missing date",""))))))</f>
        <v/>
      </c>
      <c r="I3651" s="84" t="str">
        <f aca="false">IF(B3651=Dashboard!$D$3,ROW(),"")</f>
        <v/>
      </c>
    </row>
    <row r="3652" customFormat="false" ht="15" hidden="false" customHeight="false" outlineLevel="0" collapsed="false">
      <c r="A3652" s="80"/>
      <c r="B3652" s="71"/>
      <c r="C3652" s="71"/>
      <c r="D3652" s="81"/>
      <c r="E3652" s="71"/>
      <c r="F3652" s="71"/>
      <c r="G3652" s="82" t="str">
        <f aca="false">IF(C3652="","",IFERROR(INDEX('Kit Lists'!$D$6:$D$605,MATCH(B3652&amp;"|"&amp;C3652,'Kit Lists'!$J$6:$J$605,0)),"Not on this contract's kit list"))</f>
        <v/>
      </c>
      <c r="H3652" s="83" t="str">
        <f aca="false">IF(AND(B3652="",C3652="",D3652=""),"",IF(B3652="","Missing contract",IF(C3652="","Missing code",IF(LEFT(G3652,3)="Not","Wrong code",IF(D3652="","Missing qty",IF(A3652="","Missing date",""))))))</f>
        <v/>
      </c>
      <c r="I3652" s="84" t="str">
        <f aca="false">IF(B3652=Dashboard!$D$3,ROW(),"")</f>
        <v/>
      </c>
    </row>
    <row r="3653" customFormat="false" ht="15" hidden="false" customHeight="false" outlineLevel="0" collapsed="false">
      <c r="A3653" s="80"/>
      <c r="B3653" s="71"/>
      <c r="C3653" s="71"/>
      <c r="D3653" s="81"/>
      <c r="E3653" s="71"/>
      <c r="F3653" s="71"/>
      <c r="G3653" s="82" t="str">
        <f aca="false">IF(C3653="","",IFERROR(INDEX('Kit Lists'!$D$6:$D$605,MATCH(B3653&amp;"|"&amp;C3653,'Kit Lists'!$J$6:$J$605,0)),"Not on this contract's kit list"))</f>
        <v/>
      </c>
      <c r="H3653" s="83" t="str">
        <f aca="false">IF(AND(B3653="",C3653="",D3653=""),"",IF(B3653="","Missing contract",IF(C3653="","Missing code",IF(LEFT(G3653,3)="Not","Wrong code",IF(D3653="","Missing qty",IF(A3653="","Missing date",""))))))</f>
        <v/>
      </c>
      <c r="I3653" s="84" t="str">
        <f aca="false">IF(B3653=Dashboard!$D$3,ROW(),"")</f>
        <v/>
      </c>
    </row>
    <row r="3654" customFormat="false" ht="15" hidden="false" customHeight="false" outlineLevel="0" collapsed="false">
      <c r="A3654" s="80"/>
      <c r="B3654" s="71"/>
      <c r="C3654" s="71"/>
      <c r="D3654" s="81"/>
      <c r="E3654" s="71"/>
      <c r="F3654" s="71"/>
      <c r="G3654" s="82" t="str">
        <f aca="false">IF(C3654="","",IFERROR(INDEX('Kit Lists'!$D$6:$D$605,MATCH(B3654&amp;"|"&amp;C3654,'Kit Lists'!$J$6:$J$605,0)),"Not on this contract's kit list"))</f>
        <v/>
      </c>
      <c r="H3654" s="83" t="str">
        <f aca="false">IF(AND(B3654="",C3654="",D3654=""),"",IF(B3654="","Missing contract",IF(C3654="","Missing code",IF(LEFT(G3654,3)="Not","Wrong code",IF(D3654="","Missing qty",IF(A3654="","Missing date",""))))))</f>
        <v/>
      </c>
      <c r="I3654" s="84" t="str">
        <f aca="false">IF(B3654=Dashboard!$D$3,ROW(),"")</f>
        <v/>
      </c>
    </row>
    <row r="3655" customFormat="false" ht="15" hidden="false" customHeight="false" outlineLevel="0" collapsed="false">
      <c r="A3655" s="80"/>
      <c r="B3655" s="71"/>
      <c r="C3655" s="71"/>
      <c r="D3655" s="81"/>
      <c r="E3655" s="71"/>
      <c r="F3655" s="71"/>
      <c r="G3655" s="82" t="str">
        <f aca="false">IF(C3655="","",IFERROR(INDEX('Kit Lists'!$D$6:$D$605,MATCH(B3655&amp;"|"&amp;C3655,'Kit Lists'!$J$6:$J$605,0)),"Not on this contract's kit list"))</f>
        <v/>
      </c>
      <c r="H3655" s="83" t="str">
        <f aca="false">IF(AND(B3655="",C3655="",D3655=""),"",IF(B3655="","Missing contract",IF(C3655="","Missing code",IF(LEFT(G3655,3)="Not","Wrong code",IF(D3655="","Missing qty",IF(A3655="","Missing date",""))))))</f>
        <v/>
      </c>
      <c r="I3655" s="84" t="str">
        <f aca="false">IF(B3655=Dashboard!$D$3,ROW(),"")</f>
        <v/>
      </c>
    </row>
    <row r="3656" customFormat="false" ht="15" hidden="false" customHeight="false" outlineLevel="0" collapsed="false">
      <c r="A3656" s="80"/>
      <c r="B3656" s="71"/>
      <c r="C3656" s="71"/>
      <c r="D3656" s="81"/>
      <c r="E3656" s="71"/>
      <c r="F3656" s="71"/>
      <c r="G3656" s="82" t="str">
        <f aca="false">IF(C3656="","",IFERROR(INDEX('Kit Lists'!$D$6:$D$605,MATCH(B3656&amp;"|"&amp;C3656,'Kit Lists'!$J$6:$J$605,0)),"Not on this contract's kit list"))</f>
        <v/>
      </c>
      <c r="H3656" s="83" t="str">
        <f aca="false">IF(AND(B3656="",C3656="",D3656=""),"",IF(B3656="","Missing contract",IF(C3656="","Missing code",IF(LEFT(G3656,3)="Not","Wrong code",IF(D3656="","Missing qty",IF(A3656="","Missing date",""))))))</f>
        <v/>
      </c>
      <c r="I3656" s="84" t="str">
        <f aca="false">IF(B3656=Dashboard!$D$3,ROW(),"")</f>
        <v/>
      </c>
    </row>
    <row r="3657" customFormat="false" ht="15" hidden="false" customHeight="false" outlineLevel="0" collapsed="false">
      <c r="A3657" s="80"/>
      <c r="B3657" s="71"/>
      <c r="C3657" s="71"/>
      <c r="D3657" s="81"/>
      <c r="E3657" s="71"/>
      <c r="F3657" s="71"/>
      <c r="G3657" s="82" t="str">
        <f aca="false">IF(C3657="","",IFERROR(INDEX('Kit Lists'!$D$6:$D$605,MATCH(B3657&amp;"|"&amp;C3657,'Kit Lists'!$J$6:$J$605,0)),"Not on this contract's kit list"))</f>
        <v/>
      </c>
      <c r="H3657" s="83" t="str">
        <f aca="false">IF(AND(B3657="",C3657="",D3657=""),"",IF(B3657="","Missing contract",IF(C3657="","Missing code",IF(LEFT(G3657,3)="Not","Wrong code",IF(D3657="","Missing qty",IF(A3657="","Missing date",""))))))</f>
        <v/>
      </c>
      <c r="I3657" s="84" t="str">
        <f aca="false">IF(B3657=Dashboard!$D$3,ROW(),"")</f>
        <v/>
      </c>
    </row>
    <row r="3658" customFormat="false" ht="15" hidden="false" customHeight="false" outlineLevel="0" collapsed="false">
      <c r="A3658" s="80"/>
      <c r="B3658" s="71"/>
      <c r="C3658" s="71"/>
      <c r="D3658" s="81"/>
      <c r="E3658" s="71"/>
      <c r="F3658" s="71"/>
      <c r="G3658" s="82" t="str">
        <f aca="false">IF(C3658="","",IFERROR(INDEX('Kit Lists'!$D$6:$D$605,MATCH(B3658&amp;"|"&amp;C3658,'Kit Lists'!$J$6:$J$605,0)),"Not on this contract's kit list"))</f>
        <v/>
      </c>
      <c r="H3658" s="83" t="str">
        <f aca="false">IF(AND(B3658="",C3658="",D3658=""),"",IF(B3658="","Missing contract",IF(C3658="","Missing code",IF(LEFT(G3658,3)="Not","Wrong code",IF(D3658="","Missing qty",IF(A3658="","Missing date",""))))))</f>
        <v/>
      </c>
      <c r="I3658" s="84" t="str">
        <f aca="false">IF(B3658=Dashboard!$D$3,ROW(),"")</f>
        <v/>
      </c>
    </row>
    <row r="3659" customFormat="false" ht="15" hidden="false" customHeight="false" outlineLevel="0" collapsed="false">
      <c r="A3659" s="80"/>
      <c r="B3659" s="71"/>
      <c r="C3659" s="71"/>
      <c r="D3659" s="81"/>
      <c r="E3659" s="71"/>
      <c r="F3659" s="71"/>
      <c r="G3659" s="82" t="str">
        <f aca="false">IF(C3659="","",IFERROR(INDEX('Kit Lists'!$D$6:$D$605,MATCH(B3659&amp;"|"&amp;C3659,'Kit Lists'!$J$6:$J$605,0)),"Not on this contract's kit list"))</f>
        <v/>
      </c>
      <c r="H3659" s="83" t="str">
        <f aca="false">IF(AND(B3659="",C3659="",D3659=""),"",IF(B3659="","Missing contract",IF(C3659="","Missing code",IF(LEFT(G3659,3)="Not","Wrong code",IF(D3659="","Missing qty",IF(A3659="","Missing date",""))))))</f>
        <v/>
      </c>
      <c r="I3659" s="84" t="str">
        <f aca="false">IF(B3659=Dashboard!$D$3,ROW(),"")</f>
        <v/>
      </c>
    </row>
    <row r="3660" customFormat="false" ht="15" hidden="false" customHeight="false" outlineLevel="0" collapsed="false">
      <c r="A3660" s="80"/>
      <c r="B3660" s="71"/>
      <c r="C3660" s="71"/>
      <c r="D3660" s="81"/>
      <c r="E3660" s="71"/>
      <c r="F3660" s="71"/>
      <c r="G3660" s="82" t="str">
        <f aca="false">IF(C3660="","",IFERROR(INDEX('Kit Lists'!$D$6:$D$605,MATCH(B3660&amp;"|"&amp;C3660,'Kit Lists'!$J$6:$J$605,0)),"Not on this contract's kit list"))</f>
        <v/>
      </c>
      <c r="H3660" s="83" t="str">
        <f aca="false">IF(AND(B3660="",C3660="",D3660=""),"",IF(B3660="","Missing contract",IF(C3660="","Missing code",IF(LEFT(G3660,3)="Not","Wrong code",IF(D3660="","Missing qty",IF(A3660="","Missing date",""))))))</f>
        <v/>
      </c>
      <c r="I3660" s="84" t="str">
        <f aca="false">IF(B3660=Dashboard!$D$3,ROW(),"")</f>
        <v/>
      </c>
    </row>
    <row r="3661" customFormat="false" ht="15" hidden="false" customHeight="false" outlineLevel="0" collapsed="false">
      <c r="A3661" s="80"/>
      <c r="B3661" s="71"/>
      <c r="C3661" s="71"/>
      <c r="D3661" s="81"/>
      <c r="E3661" s="71"/>
      <c r="F3661" s="71"/>
      <c r="G3661" s="82" t="str">
        <f aca="false">IF(C3661="","",IFERROR(INDEX('Kit Lists'!$D$6:$D$605,MATCH(B3661&amp;"|"&amp;C3661,'Kit Lists'!$J$6:$J$605,0)),"Not on this contract's kit list"))</f>
        <v/>
      </c>
      <c r="H3661" s="83" t="str">
        <f aca="false">IF(AND(B3661="",C3661="",D3661=""),"",IF(B3661="","Missing contract",IF(C3661="","Missing code",IF(LEFT(G3661,3)="Not","Wrong code",IF(D3661="","Missing qty",IF(A3661="","Missing date",""))))))</f>
        <v/>
      </c>
      <c r="I3661" s="84" t="str">
        <f aca="false">IF(B3661=Dashboard!$D$3,ROW(),"")</f>
        <v/>
      </c>
    </row>
    <row r="3662" customFormat="false" ht="15" hidden="false" customHeight="false" outlineLevel="0" collapsed="false">
      <c r="A3662" s="80"/>
      <c r="B3662" s="71"/>
      <c r="C3662" s="71"/>
      <c r="D3662" s="81"/>
      <c r="E3662" s="71"/>
      <c r="F3662" s="71"/>
      <c r="G3662" s="82" t="str">
        <f aca="false">IF(C3662="","",IFERROR(INDEX('Kit Lists'!$D$6:$D$605,MATCH(B3662&amp;"|"&amp;C3662,'Kit Lists'!$J$6:$J$605,0)),"Not on this contract's kit list"))</f>
        <v/>
      </c>
      <c r="H3662" s="83" t="str">
        <f aca="false">IF(AND(B3662="",C3662="",D3662=""),"",IF(B3662="","Missing contract",IF(C3662="","Missing code",IF(LEFT(G3662,3)="Not","Wrong code",IF(D3662="","Missing qty",IF(A3662="","Missing date",""))))))</f>
        <v/>
      </c>
      <c r="I3662" s="84" t="str">
        <f aca="false">IF(B3662=Dashboard!$D$3,ROW(),"")</f>
        <v/>
      </c>
    </row>
    <row r="3663" customFormat="false" ht="15" hidden="false" customHeight="false" outlineLevel="0" collapsed="false">
      <c r="A3663" s="80"/>
      <c r="B3663" s="71"/>
      <c r="C3663" s="71"/>
      <c r="D3663" s="81"/>
      <c r="E3663" s="71"/>
      <c r="F3663" s="71"/>
      <c r="G3663" s="82" t="str">
        <f aca="false">IF(C3663="","",IFERROR(INDEX('Kit Lists'!$D$6:$D$605,MATCH(B3663&amp;"|"&amp;C3663,'Kit Lists'!$J$6:$J$605,0)),"Not on this contract's kit list"))</f>
        <v/>
      </c>
      <c r="H3663" s="83" t="str">
        <f aca="false">IF(AND(B3663="",C3663="",D3663=""),"",IF(B3663="","Missing contract",IF(C3663="","Missing code",IF(LEFT(G3663,3)="Not","Wrong code",IF(D3663="","Missing qty",IF(A3663="","Missing date",""))))))</f>
        <v/>
      </c>
      <c r="I3663" s="84" t="str">
        <f aca="false">IF(B3663=Dashboard!$D$3,ROW(),"")</f>
        <v/>
      </c>
    </row>
    <row r="3664" customFormat="false" ht="15" hidden="false" customHeight="false" outlineLevel="0" collapsed="false">
      <c r="A3664" s="80"/>
      <c r="B3664" s="71"/>
      <c r="C3664" s="71"/>
      <c r="D3664" s="81"/>
      <c r="E3664" s="71"/>
      <c r="F3664" s="71"/>
      <c r="G3664" s="82" t="str">
        <f aca="false">IF(C3664="","",IFERROR(INDEX('Kit Lists'!$D$6:$D$605,MATCH(B3664&amp;"|"&amp;C3664,'Kit Lists'!$J$6:$J$605,0)),"Not on this contract's kit list"))</f>
        <v/>
      </c>
      <c r="H3664" s="83" t="str">
        <f aca="false">IF(AND(B3664="",C3664="",D3664=""),"",IF(B3664="","Missing contract",IF(C3664="","Missing code",IF(LEFT(G3664,3)="Not","Wrong code",IF(D3664="","Missing qty",IF(A3664="","Missing date",""))))))</f>
        <v/>
      </c>
      <c r="I3664" s="84" t="str">
        <f aca="false">IF(B3664=Dashboard!$D$3,ROW(),"")</f>
        <v/>
      </c>
    </row>
    <row r="3665" customFormat="false" ht="15" hidden="false" customHeight="false" outlineLevel="0" collapsed="false">
      <c r="A3665" s="80"/>
      <c r="B3665" s="71"/>
      <c r="C3665" s="71"/>
      <c r="D3665" s="81"/>
      <c r="E3665" s="71"/>
      <c r="F3665" s="71"/>
      <c r="G3665" s="82" t="str">
        <f aca="false">IF(C3665="","",IFERROR(INDEX('Kit Lists'!$D$6:$D$605,MATCH(B3665&amp;"|"&amp;C3665,'Kit Lists'!$J$6:$J$605,0)),"Not on this contract's kit list"))</f>
        <v/>
      </c>
      <c r="H3665" s="83" t="str">
        <f aca="false">IF(AND(B3665="",C3665="",D3665=""),"",IF(B3665="","Missing contract",IF(C3665="","Missing code",IF(LEFT(G3665,3)="Not","Wrong code",IF(D3665="","Missing qty",IF(A3665="","Missing date",""))))))</f>
        <v/>
      </c>
      <c r="I3665" s="84" t="str">
        <f aca="false">IF(B3665=Dashboard!$D$3,ROW(),"")</f>
        <v/>
      </c>
    </row>
    <row r="3666" customFormat="false" ht="15" hidden="false" customHeight="false" outlineLevel="0" collapsed="false">
      <c r="A3666" s="80"/>
      <c r="B3666" s="71"/>
      <c r="C3666" s="71"/>
      <c r="D3666" s="81"/>
      <c r="E3666" s="71"/>
      <c r="F3666" s="71"/>
      <c r="G3666" s="82" t="str">
        <f aca="false">IF(C3666="","",IFERROR(INDEX('Kit Lists'!$D$6:$D$605,MATCH(B3666&amp;"|"&amp;C3666,'Kit Lists'!$J$6:$J$605,0)),"Not on this contract's kit list"))</f>
        <v/>
      </c>
      <c r="H3666" s="83" t="str">
        <f aca="false">IF(AND(B3666="",C3666="",D3666=""),"",IF(B3666="","Missing contract",IF(C3666="","Missing code",IF(LEFT(G3666,3)="Not","Wrong code",IF(D3666="","Missing qty",IF(A3666="","Missing date",""))))))</f>
        <v/>
      </c>
      <c r="I3666" s="84" t="str">
        <f aca="false">IF(B3666=Dashboard!$D$3,ROW(),"")</f>
        <v/>
      </c>
    </row>
    <row r="3667" customFormat="false" ht="15" hidden="false" customHeight="false" outlineLevel="0" collapsed="false">
      <c r="A3667" s="80"/>
      <c r="B3667" s="71"/>
      <c r="C3667" s="71"/>
      <c r="D3667" s="81"/>
      <c r="E3667" s="71"/>
      <c r="F3667" s="71"/>
      <c r="G3667" s="82" t="str">
        <f aca="false">IF(C3667="","",IFERROR(INDEX('Kit Lists'!$D$6:$D$605,MATCH(B3667&amp;"|"&amp;C3667,'Kit Lists'!$J$6:$J$605,0)),"Not on this contract's kit list"))</f>
        <v/>
      </c>
      <c r="H3667" s="83" t="str">
        <f aca="false">IF(AND(B3667="",C3667="",D3667=""),"",IF(B3667="","Missing contract",IF(C3667="","Missing code",IF(LEFT(G3667,3)="Not","Wrong code",IF(D3667="","Missing qty",IF(A3667="","Missing date",""))))))</f>
        <v/>
      </c>
      <c r="I3667" s="84" t="str">
        <f aca="false">IF(B3667=Dashboard!$D$3,ROW(),"")</f>
        <v/>
      </c>
    </row>
    <row r="3668" customFormat="false" ht="15" hidden="false" customHeight="false" outlineLevel="0" collapsed="false">
      <c r="A3668" s="80"/>
      <c r="B3668" s="71"/>
      <c r="C3668" s="71"/>
      <c r="D3668" s="81"/>
      <c r="E3668" s="71"/>
      <c r="F3668" s="71"/>
      <c r="G3668" s="82" t="str">
        <f aca="false">IF(C3668="","",IFERROR(INDEX('Kit Lists'!$D$6:$D$605,MATCH(B3668&amp;"|"&amp;C3668,'Kit Lists'!$J$6:$J$605,0)),"Not on this contract's kit list"))</f>
        <v/>
      </c>
      <c r="H3668" s="83" t="str">
        <f aca="false">IF(AND(B3668="",C3668="",D3668=""),"",IF(B3668="","Missing contract",IF(C3668="","Missing code",IF(LEFT(G3668,3)="Not","Wrong code",IF(D3668="","Missing qty",IF(A3668="","Missing date",""))))))</f>
        <v/>
      </c>
      <c r="I3668" s="84" t="str">
        <f aca="false">IF(B3668=Dashboard!$D$3,ROW(),"")</f>
        <v/>
      </c>
    </row>
    <row r="3669" customFormat="false" ht="15" hidden="false" customHeight="false" outlineLevel="0" collapsed="false">
      <c r="A3669" s="80"/>
      <c r="B3669" s="71"/>
      <c r="C3669" s="71"/>
      <c r="D3669" s="81"/>
      <c r="E3669" s="71"/>
      <c r="F3669" s="71"/>
      <c r="G3669" s="82" t="str">
        <f aca="false">IF(C3669="","",IFERROR(INDEX('Kit Lists'!$D$6:$D$605,MATCH(B3669&amp;"|"&amp;C3669,'Kit Lists'!$J$6:$J$605,0)),"Not on this contract's kit list"))</f>
        <v/>
      </c>
      <c r="H3669" s="83" t="str">
        <f aca="false">IF(AND(B3669="",C3669="",D3669=""),"",IF(B3669="","Missing contract",IF(C3669="","Missing code",IF(LEFT(G3669,3)="Not","Wrong code",IF(D3669="","Missing qty",IF(A3669="","Missing date",""))))))</f>
        <v/>
      </c>
      <c r="I3669" s="84" t="str">
        <f aca="false">IF(B3669=Dashboard!$D$3,ROW(),"")</f>
        <v/>
      </c>
    </row>
    <row r="3670" customFormat="false" ht="15" hidden="false" customHeight="false" outlineLevel="0" collapsed="false">
      <c r="A3670" s="80"/>
      <c r="B3670" s="71"/>
      <c r="C3670" s="71"/>
      <c r="D3670" s="81"/>
      <c r="E3670" s="71"/>
      <c r="F3670" s="71"/>
      <c r="G3670" s="82" t="str">
        <f aca="false">IF(C3670="","",IFERROR(INDEX('Kit Lists'!$D$6:$D$605,MATCH(B3670&amp;"|"&amp;C3670,'Kit Lists'!$J$6:$J$605,0)),"Not on this contract's kit list"))</f>
        <v/>
      </c>
      <c r="H3670" s="83" t="str">
        <f aca="false">IF(AND(B3670="",C3670="",D3670=""),"",IF(B3670="","Missing contract",IF(C3670="","Missing code",IF(LEFT(G3670,3)="Not","Wrong code",IF(D3670="","Missing qty",IF(A3670="","Missing date",""))))))</f>
        <v/>
      </c>
      <c r="I3670" s="84" t="str">
        <f aca="false">IF(B3670=Dashboard!$D$3,ROW(),"")</f>
        <v/>
      </c>
    </row>
    <row r="3671" customFormat="false" ht="15" hidden="false" customHeight="false" outlineLevel="0" collapsed="false">
      <c r="A3671" s="80"/>
      <c r="B3671" s="71"/>
      <c r="C3671" s="71"/>
      <c r="D3671" s="81"/>
      <c r="E3671" s="71"/>
      <c r="F3671" s="71"/>
      <c r="G3671" s="82" t="str">
        <f aca="false">IF(C3671="","",IFERROR(INDEX('Kit Lists'!$D$6:$D$605,MATCH(B3671&amp;"|"&amp;C3671,'Kit Lists'!$J$6:$J$605,0)),"Not on this contract's kit list"))</f>
        <v/>
      </c>
      <c r="H3671" s="83" t="str">
        <f aca="false">IF(AND(B3671="",C3671="",D3671=""),"",IF(B3671="","Missing contract",IF(C3671="","Missing code",IF(LEFT(G3671,3)="Not","Wrong code",IF(D3671="","Missing qty",IF(A3671="","Missing date",""))))))</f>
        <v/>
      </c>
      <c r="I3671" s="84" t="str">
        <f aca="false">IF(B3671=Dashboard!$D$3,ROW(),"")</f>
        <v/>
      </c>
    </row>
    <row r="3672" customFormat="false" ht="15" hidden="false" customHeight="false" outlineLevel="0" collapsed="false">
      <c r="A3672" s="80"/>
      <c r="B3672" s="71"/>
      <c r="C3672" s="71"/>
      <c r="D3672" s="81"/>
      <c r="E3672" s="71"/>
      <c r="F3672" s="71"/>
      <c r="G3672" s="82" t="str">
        <f aca="false">IF(C3672="","",IFERROR(INDEX('Kit Lists'!$D$6:$D$605,MATCH(B3672&amp;"|"&amp;C3672,'Kit Lists'!$J$6:$J$605,0)),"Not on this contract's kit list"))</f>
        <v/>
      </c>
      <c r="H3672" s="83" t="str">
        <f aca="false">IF(AND(B3672="",C3672="",D3672=""),"",IF(B3672="","Missing contract",IF(C3672="","Missing code",IF(LEFT(G3672,3)="Not","Wrong code",IF(D3672="","Missing qty",IF(A3672="","Missing date",""))))))</f>
        <v/>
      </c>
      <c r="I3672" s="84" t="str">
        <f aca="false">IF(B3672=Dashboard!$D$3,ROW(),"")</f>
        <v/>
      </c>
    </row>
    <row r="3673" customFormat="false" ht="15" hidden="false" customHeight="false" outlineLevel="0" collapsed="false">
      <c r="A3673" s="80"/>
      <c r="B3673" s="71"/>
      <c r="C3673" s="71"/>
      <c r="D3673" s="81"/>
      <c r="E3673" s="71"/>
      <c r="F3673" s="71"/>
      <c r="G3673" s="82" t="str">
        <f aca="false">IF(C3673="","",IFERROR(INDEX('Kit Lists'!$D$6:$D$605,MATCH(B3673&amp;"|"&amp;C3673,'Kit Lists'!$J$6:$J$605,0)),"Not on this contract's kit list"))</f>
        <v/>
      </c>
      <c r="H3673" s="83" t="str">
        <f aca="false">IF(AND(B3673="",C3673="",D3673=""),"",IF(B3673="","Missing contract",IF(C3673="","Missing code",IF(LEFT(G3673,3)="Not","Wrong code",IF(D3673="","Missing qty",IF(A3673="","Missing date",""))))))</f>
        <v/>
      </c>
      <c r="I3673" s="84" t="str">
        <f aca="false">IF(B3673=Dashboard!$D$3,ROW(),"")</f>
        <v/>
      </c>
    </row>
    <row r="3674" customFormat="false" ht="15" hidden="false" customHeight="false" outlineLevel="0" collapsed="false">
      <c r="A3674" s="80"/>
      <c r="B3674" s="71"/>
      <c r="C3674" s="71"/>
      <c r="D3674" s="81"/>
      <c r="E3674" s="71"/>
      <c r="F3674" s="71"/>
      <c r="G3674" s="82" t="str">
        <f aca="false">IF(C3674="","",IFERROR(INDEX('Kit Lists'!$D$6:$D$605,MATCH(B3674&amp;"|"&amp;C3674,'Kit Lists'!$J$6:$J$605,0)),"Not on this contract's kit list"))</f>
        <v/>
      </c>
      <c r="H3674" s="83" t="str">
        <f aca="false">IF(AND(B3674="",C3674="",D3674=""),"",IF(B3674="","Missing contract",IF(C3674="","Missing code",IF(LEFT(G3674,3)="Not","Wrong code",IF(D3674="","Missing qty",IF(A3674="","Missing date",""))))))</f>
        <v/>
      </c>
      <c r="I3674" s="84" t="str">
        <f aca="false">IF(B3674=Dashboard!$D$3,ROW(),"")</f>
        <v/>
      </c>
    </row>
    <row r="3675" customFormat="false" ht="15" hidden="false" customHeight="false" outlineLevel="0" collapsed="false">
      <c r="A3675" s="80"/>
      <c r="B3675" s="71"/>
      <c r="C3675" s="71"/>
      <c r="D3675" s="81"/>
      <c r="E3675" s="71"/>
      <c r="F3675" s="71"/>
      <c r="G3675" s="82" t="str">
        <f aca="false">IF(C3675="","",IFERROR(INDEX('Kit Lists'!$D$6:$D$605,MATCH(B3675&amp;"|"&amp;C3675,'Kit Lists'!$J$6:$J$605,0)),"Not on this contract's kit list"))</f>
        <v/>
      </c>
      <c r="H3675" s="83" t="str">
        <f aca="false">IF(AND(B3675="",C3675="",D3675=""),"",IF(B3675="","Missing contract",IF(C3675="","Missing code",IF(LEFT(G3675,3)="Not","Wrong code",IF(D3675="","Missing qty",IF(A3675="","Missing date",""))))))</f>
        <v/>
      </c>
      <c r="I3675" s="84" t="str">
        <f aca="false">IF(B3675=Dashboard!$D$3,ROW(),"")</f>
        <v/>
      </c>
    </row>
    <row r="3676" customFormat="false" ht="15" hidden="false" customHeight="false" outlineLevel="0" collapsed="false">
      <c r="A3676" s="80"/>
      <c r="B3676" s="71"/>
      <c r="C3676" s="71"/>
      <c r="D3676" s="81"/>
      <c r="E3676" s="71"/>
      <c r="F3676" s="71"/>
      <c r="G3676" s="82" t="str">
        <f aca="false">IF(C3676="","",IFERROR(INDEX('Kit Lists'!$D$6:$D$605,MATCH(B3676&amp;"|"&amp;C3676,'Kit Lists'!$J$6:$J$605,0)),"Not on this contract's kit list"))</f>
        <v/>
      </c>
      <c r="H3676" s="83" t="str">
        <f aca="false">IF(AND(B3676="",C3676="",D3676=""),"",IF(B3676="","Missing contract",IF(C3676="","Missing code",IF(LEFT(G3676,3)="Not","Wrong code",IF(D3676="","Missing qty",IF(A3676="","Missing date",""))))))</f>
        <v/>
      </c>
      <c r="I3676" s="84" t="str">
        <f aca="false">IF(B3676=Dashboard!$D$3,ROW(),"")</f>
        <v/>
      </c>
    </row>
    <row r="3677" customFormat="false" ht="15" hidden="false" customHeight="false" outlineLevel="0" collapsed="false">
      <c r="A3677" s="80"/>
      <c r="B3677" s="71"/>
      <c r="C3677" s="71"/>
      <c r="D3677" s="81"/>
      <c r="E3677" s="71"/>
      <c r="F3677" s="71"/>
      <c r="G3677" s="82" t="str">
        <f aca="false">IF(C3677="","",IFERROR(INDEX('Kit Lists'!$D$6:$D$605,MATCH(B3677&amp;"|"&amp;C3677,'Kit Lists'!$J$6:$J$605,0)),"Not on this contract's kit list"))</f>
        <v/>
      </c>
      <c r="H3677" s="83" t="str">
        <f aca="false">IF(AND(B3677="",C3677="",D3677=""),"",IF(B3677="","Missing contract",IF(C3677="","Missing code",IF(LEFT(G3677,3)="Not","Wrong code",IF(D3677="","Missing qty",IF(A3677="","Missing date",""))))))</f>
        <v/>
      </c>
      <c r="I3677" s="84" t="str">
        <f aca="false">IF(B3677=Dashboard!$D$3,ROW(),"")</f>
        <v/>
      </c>
    </row>
    <row r="3678" customFormat="false" ht="15" hidden="false" customHeight="false" outlineLevel="0" collapsed="false">
      <c r="A3678" s="80"/>
      <c r="B3678" s="71"/>
      <c r="C3678" s="71"/>
      <c r="D3678" s="81"/>
      <c r="E3678" s="71"/>
      <c r="F3678" s="71"/>
      <c r="G3678" s="82" t="str">
        <f aca="false">IF(C3678="","",IFERROR(INDEX('Kit Lists'!$D$6:$D$605,MATCH(B3678&amp;"|"&amp;C3678,'Kit Lists'!$J$6:$J$605,0)),"Not on this contract's kit list"))</f>
        <v/>
      </c>
      <c r="H3678" s="83" t="str">
        <f aca="false">IF(AND(B3678="",C3678="",D3678=""),"",IF(B3678="","Missing contract",IF(C3678="","Missing code",IF(LEFT(G3678,3)="Not","Wrong code",IF(D3678="","Missing qty",IF(A3678="","Missing date",""))))))</f>
        <v/>
      </c>
      <c r="I3678" s="84" t="str">
        <f aca="false">IF(B3678=Dashboard!$D$3,ROW(),"")</f>
        <v/>
      </c>
    </row>
    <row r="3679" customFormat="false" ht="15" hidden="false" customHeight="false" outlineLevel="0" collapsed="false">
      <c r="A3679" s="80"/>
      <c r="B3679" s="71"/>
      <c r="C3679" s="71"/>
      <c r="D3679" s="81"/>
      <c r="E3679" s="71"/>
      <c r="F3679" s="71"/>
      <c r="G3679" s="82" t="str">
        <f aca="false">IF(C3679="","",IFERROR(INDEX('Kit Lists'!$D$6:$D$605,MATCH(B3679&amp;"|"&amp;C3679,'Kit Lists'!$J$6:$J$605,0)),"Not on this contract's kit list"))</f>
        <v/>
      </c>
      <c r="H3679" s="83" t="str">
        <f aca="false">IF(AND(B3679="",C3679="",D3679=""),"",IF(B3679="","Missing contract",IF(C3679="","Missing code",IF(LEFT(G3679,3)="Not","Wrong code",IF(D3679="","Missing qty",IF(A3679="","Missing date",""))))))</f>
        <v/>
      </c>
      <c r="I3679" s="84" t="str">
        <f aca="false">IF(B3679=Dashboard!$D$3,ROW(),"")</f>
        <v/>
      </c>
    </row>
    <row r="3680" customFormat="false" ht="15" hidden="false" customHeight="false" outlineLevel="0" collapsed="false">
      <c r="A3680" s="80"/>
      <c r="B3680" s="71"/>
      <c r="C3680" s="71"/>
      <c r="D3680" s="81"/>
      <c r="E3680" s="71"/>
      <c r="F3680" s="71"/>
      <c r="G3680" s="82" t="str">
        <f aca="false">IF(C3680="","",IFERROR(INDEX('Kit Lists'!$D$6:$D$605,MATCH(B3680&amp;"|"&amp;C3680,'Kit Lists'!$J$6:$J$605,0)),"Not on this contract's kit list"))</f>
        <v/>
      </c>
      <c r="H3680" s="83" t="str">
        <f aca="false">IF(AND(B3680="",C3680="",D3680=""),"",IF(B3680="","Missing contract",IF(C3680="","Missing code",IF(LEFT(G3680,3)="Not","Wrong code",IF(D3680="","Missing qty",IF(A3680="","Missing date",""))))))</f>
        <v/>
      </c>
      <c r="I3680" s="84" t="str">
        <f aca="false">IF(B3680=Dashboard!$D$3,ROW(),"")</f>
        <v/>
      </c>
    </row>
    <row r="3681" customFormat="false" ht="15" hidden="false" customHeight="false" outlineLevel="0" collapsed="false">
      <c r="A3681" s="80"/>
      <c r="B3681" s="71"/>
      <c r="C3681" s="71"/>
      <c r="D3681" s="81"/>
      <c r="E3681" s="71"/>
      <c r="F3681" s="71"/>
      <c r="G3681" s="82" t="str">
        <f aca="false">IF(C3681="","",IFERROR(INDEX('Kit Lists'!$D$6:$D$605,MATCH(B3681&amp;"|"&amp;C3681,'Kit Lists'!$J$6:$J$605,0)),"Not on this contract's kit list"))</f>
        <v/>
      </c>
      <c r="H3681" s="83" t="str">
        <f aca="false">IF(AND(B3681="",C3681="",D3681=""),"",IF(B3681="","Missing contract",IF(C3681="","Missing code",IF(LEFT(G3681,3)="Not","Wrong code",IF(D3681="","Missing qty",IF(A3681="","Missing date",""))))))</f>
        <v/>
      </c>
      <c r="I3681" s="84" t="str">
        <f aca="false">IF(B3681=Dashboard!$D$3,ROW(),"")</f>
        <v/>
      </c>
    </row>
    <row r="3682" customFormat="false" ht="15" hidden="false" customHeight="false" outlineLevel="0" collapsed="false">
      <c r="A3682" s="80"/>
      <c r="B3682" s="71"/>
      <c r="C3682" s="71"/>
      <c r="D3682" s="81"/>
      <c r="E3682" s="71"/>
      <c r="F3682" s="71"/>
      <c r="G3682" s="82" t="str">
        <f aca="false">IF(C3682="","",IFERROR(INDEX('Kit Lists'!$D$6:$D$605,MATCH(B3682&amp;"|"&amp;C3682,'Kit Lists'!$J$6:$J$605,0)),"Not on this contract's kit list"))</f>
        <v/>
      </c>
      <c r="H3682" s="83" t="str">
        <f aca="false">IF(AND(B3682="",C3682="",D3682=""),"",IF(B3682="","Missing contract",IF(C3682="","Missing code",IF(LEFT(G3682,3)="Not","Wrong code",IF(D3682="","Missing qty",IF(A3682="","Missing date",""))))))</f>
        <v/>
      </c>
      <c r="I3682" s="84" t="str">
        <f aca="false">IF(B3682=Dashboard!$D$3,ROW(),"")</f>
        <v/>
      </c>
    </row>
    <row r="3683" customFormat="false" ht="15" hidden="false" customHeight="false" outlineLevel="0" collapsed="false">
      <c r="A3683" s="80"/>
      <c r="B3683" s="71"/>
      <c r="C3683" s="71"/>
      <c r="D3683" s="81"/>
      <c r="E3683" s="71"/>
      <c r="F3683" s="71"/>
      <c r="G3683" s="82" t="str">
        <f aca="false">IF(C3683="","",IFERROR(INDEX('Kit Lists'!$D$6:$D$605,MATCH(B3683&amp;"|"&amp;C3683,'Kit Lists'!$J$6:$J$605,0)),"Not on this contract's kit list"))</f>
        <v/>
      </c>
      <c r="H3683" s="83" t="str">
        <f aca="false">IF(AND(B3683="",C3683="",D3683=""),"",IF(B3683="","Missing contract",IF(C3683="","Missing code",IF(LEFT(G3683,3)="Not","Wrong code",IF(D3683="","Missing qty",IF(A3683="","Missing date",""))))))</f>
        <v/>
      </c>
      <c r="I3683" s="84" t="str">
        <f aca="false">IF(B3683=Dashboard!$D$3,ROW(),"")</f>
        <v/>
      </c>
    </row>
    <row r="3684" customFormat="false" ht="15" hidden="false" customHeight="false" outlineLevel="0" collapsed="false">
      <c r="A3684" s="80"/>
      <c r="B3684" s="71"/>
      <c r="C3684" s="71"/>
      <c r="D3684" s="81"/>
      <c r="E3684" s="71"/>
      <c r="F3684" s="71"/>
      <c r="G3684" s="82" t="str">
        <f aca="false">IF(C3684="","",IFERROR(INDEX('Kit Lists'!$D$6:$D$605,MATCH(B3684&amp;"|"&amp;C3684,'Kit Lists'!$J$6:$J$605,0)),"Not on this contract's kit list"))</f>
        <v/>
      </c>
      <c r="H3684" s="83" t="str">
        <f aca="false">IF(AND(B3684="",C3684="",D3684=""),"",IF(B3684="","Missing contract",IF(C3684="","Missing code",IF(LEFT(G3684,3)="Not","Wrong code",IF(D3684="","Missing qty",IF(A3684="","Missing date",""))))))</f>
        <v/>
      </c>
      <c r="I3684" s="84" t="str">
        <f aca="false">IF(B3684=Dashboard!$D$3,ROW(),"")</f>
        <v/>
      </c>
    </row>
    <row r="3685" customFormat="false" ht="15" hidden="false" customHeight="false" outlineLevel="0" collapsed="false">
      <c r="A3685" s="80"/>
      <c r="B3685" s="71"/>
      <c r="C3685" s="71"/>
      <c r="D3685" s="81"/>
      <c r="E3685" s="71"/>
      <c r="F3685" s="71"/>
      <c r="G3685" s="82" t="str">
        <f aca="false">IF(C3685="","",IFERROR(INDEX('Kit Lists'!$D$6:$D$605,MATCH(B3685&amp;"|"&amp;C3685,'Kit Lists'!$J$6:$J$605,0)),"Not on this contract's kit list"))</f>
        <v/>
      </c>
      <c r="H3685" s="83" t="str">
        <f aca="false">IF(AND(B3685="",C3685="",D3685=""),"",IF(B3685="","Missing contract",IF(C3685="","Missing code",IF(LEFT(G3685,3)="Not","Wrong code",IF(D3685="","Missing qty",IF(A3685="","Missing date",""))))))</f>
        <v/>
      </c>
      <c r="I3685" s="84" t="str">
        <f aca="false">IF(B3685=Dashboard!$D$3,ROW(),"")</f>
        <v/>
      </c>
    </row>
    <row r="3686" customFormat="false" ht="15" hidden="false" customHeight="false" outlineLevel="0" collapsed="false">
      <c r="A3686" s="80"/>
      <c r="B3686" s="71"/>
      <c r="C3686" s="71"/>
      <c r="D3686" s="81"/>
      <c r="E3686" s="71"/>
      <c r="F3686" s="71"/>
      <c r="G3686" s="82" t="str">
        <f aca="false">IF(C3686="","",IFERROR(INDEX('Kit Lists'!$D$6:$D$605,MATCH(B3686&amp;"|"&amp;C3686,'Kit Lists'!$J$6:$J$605,0)),"Not on this contract's kit list"))</f>
        <v/>
      </c>
      <c r="H3686" s="83" t="str">
        <f aca="false">IF(AND(B3686="",C3686="",D3686=""),"",IF(B3686="","Missing contract",IF(C3686="","Missing code",IF(LEFT(G3686,3)="Not","Wrong code",IF(D3686="","Missing qty",IF(A3686="","Missing date",""))))))</f>
        <v/>
      </c>
      <c r="I3686" s="84" t="str">
        <f aca="false">IF(B3686=Dashboard!$D$3,ROW(),"")</f>
        <v/>
      </c>
    </row>
    <row r="3687" customFormat="false" ht="15" hidden="false" customHeight="false" outlineLevel="0" collapsed="false">
      <c r="A3687" s="80"/>
      <c r="B3687" s="71"/>
      <c r="C3687" s="71"/>
      <c r="D3687" s="81"/>
      <c r="E3687" s="71"/>
      <c r="F3687" s="71"/>
      <c r="G3687" s="82" t="str">
        <f aca="false">IF(C3687="","",IFERROR(INDEX('Kit Lists'!$D$6:$D$605,MATCH(B3687&amp;"|"&amp;C3687,'Kit Lists'!$J$6:$J$605,0)),"Not on this contract's kit list"))</f>
        <v/>
      </c>
      <c r="H3687" s="83" t="str">
        <f aca="false">IF(AND(B3687="",C3687="",D3687=""),"",IF(B3687="","Missing contract",IF(C3687="","Missing code",IF(LEFT(G3687,3)="Not","Wrong code",IF(D3687="","Missing qty",IF(A3687="","Missing date",""))))))</f>
        <v/>
      </c>
      <c r="I3687" s="84" t="str">
        <f aca="false">IF(B3687=Dashboard!$D$3,ROW(),"")</f>
        <v/>
      </c>
    </row>
    <row r="3688" customFormat="false" ht="15" hidden="false" customHeight="false" outlineLevel="0" collapsed="false">
      <c r="A3688" s="80"/>
      <c r="B3688" s="71"/>
      <c r="C3688" s="71"/>
      <c r="D3688" s="81"/>
      <c r="E3688" s="71"/>
      <c r="F3688" s="71"/>
      <c r="G3688" s="82" t="str">
        <f aca="false">IF(C3688="","",IFERROR(INDEX('Kit Lists'!$D$6:$D$605,MATCH(B3688&amp;"|"&amp;C3688,'Kit Lists'!$J$6:$J$605,0)),"Not on this contract's kit list"))</f>
        <v/>
      </c>
      <c r="H3688" s="83" t="str">
        <f aca="false">IF(AND(B3688="",C3688="",D3688=""),"",IF(B3688="","Missing contract",IF(C3688="","Missing code",IF(LEFT(G3688,3)="Not","Wrong code",IF(D3688="","Missing qty",IF(A3688="","Missing date",""))))))</f>
        <v/>
      </c>
      <c r="I3688" s="84" t="str">
        <f aca="false">IF(B3688=Dashboard!$D$3,ROW(),"")</f>
        <v/>
      </c>
    </row>
    <row r="3689" customFormat="false" ht="15" hidden="false" customHeight="false" outlineLevel="0" collapsed="false">
      <c r="A3689" s="80"/>
      <c r="B3689" s="71"/>
      <c r="C3689" s="71"/>
      <c r="D3689" s="81"/>
      <c r="E3689" s="71"/>
      <c r="F3689" s="71"/>
      <c r="G3689" s="82" t="str">
        <f aca="false">IF(C3689="","",IFERROR(INDEX('Kit Lists'!$D$6:$D$605,MATCH(B3689&amp;"|"&amp;C3689,'Kit Lists'!$J$6:$J$605,0)),"Not on this contract's kit list"))</f>
        <v/>
      </c>
      <c r="H3689" s="83" t="str">
        <f aca="false">IF(AND(B3689="",C3689="",D3689=""),"",IF(B3689="","Missing contract",IF(C3689="","Missing code",IF(LEFT(G3689,3)="Not","Wrong code",IF(D3689="","Missing qty",IF(A3689="","Missing date",""))))))</f>
        <v/>
      </c>
      <c r="I3689" s="84" t="str">
        <f aca="false">IF(B3689=Dashboard!$D$3,ROW(),"")</f>
        <v/>
      </c>
    </row>
    <row r="3690" customFormat="false" ht="15" hidden="false" customHeight="false" outlineLevel="0" collapsed="false">
      <c r="A3690" s="80"/>
      <c r="B3690" s="71"/>
      <c r="C3690" s="71"/>
      <c r="D3690" s="81"/>
      <c r="E3690" s="71"/>
      <c r="F3690" s="71"/>
      <c r="G3690" s="82" t="str">
        <f aca="false">IF(C3690="","",IFERROR(INDEX('Kit Lists'!$D$6:$D$605,MATCH(B3690&amp;"|"&amp;C3690,'Kit Lists'!$J$6:$J$605,0)),"Not on this contract's kit list"))</f>
        <v/>
      </c>
      <c r="H3690" s="83" t="str">
        <f aca="false">IF(AND(B3690="",C3690="",D3690=""),"",IF(B3690="","Missing contract",IF(C3690="","Missing code",IF(LEFT(G3690,3)="Not","Wrong code",IF(D3690="","Missing qty",IF(A3690="","Missing date",""))))))</f>
        <v/>
      </c>
      <c r="I3690" s="84" t="str">
        <f aca="false">IF(B3690=Dashboard!$D$3,ROW(),"")</f>
        <v/>
      </c>
    </row>
    <row r="3691" customFormat="false" ht="15" hidden="false" customHeight="false" outlineLevel="0" collapsed="false">
      <c r="A3691" s="80"/>
      <c r="B3691" s="71"/>
      <c r="C3691" s="71"/>
      <c r="D3691" s="81"/>
      <c r="E3691" s="71"/>
      <c r="F3691" s="71"/>
      <c r="G3691" s="82" t="str">
        <f aca="false">IF(C3691="","",IFERROR(INDEX('Kit Lists'!$D$6:$D$605,MATCH(B3691&amp;"|"&amp;C3691,'Kit Lists'!$J$6:$J$605,0)),"Not on this contract's kit list"))</f>
        <v/>
      </c>
      <c r="H3691" s="83" t="str">
        <f aca="false">IF(AND(B3691="",C3691="",D3691=""),"",IF(B3691="","Missing contract",IF(C3691="","Missing code",IF(LEFT(G3691,3)="Not","Wrong code",IF(D3691="","Missing qty",IF(A3691="","Missing date",""))))))</f>
        <v/>
      </c>
      <c r="I3691" s="84" t="str">
        <f aca="false">IF(B3691=Dashboard!$D$3,ROW(),"")</f>
        <v/>
      </c>
    </row>
    <row r="3692" customFormat="false" ht="15" hidden="false" customHeight="false" outlineLevel="0" collapsed="false">
      <c r="A3692" s="80"/>
      <c r="B3692" s="71"/>
      <c r="C3692" s="71"/>
      <c r="D3692" s="81"/>
      <c r="E3692" s="71"/>
      <c r="F3692" s="71"/>
      <c r="G3692" s="82" t="str">
        <f aca="false">IF(C3692="","",IFERROR(INDEX('Kit Lists'!$D$6:$D$605,MATCH(B3692&amp;"|"&amp;C3692,'Kit Lists'!$J$6:$J$605,0)),"Not on this contract's kit list"))</f>
        <v/>
      </c>
      <c r="H3692" s="83" t="str">
        <f aca="false">IF(AND(B3692="",C3692="",D3692=""),"",IF(B3692="","Missing contract",IF(C3692="","Missing code",IF(LEFT(G3692,3)="Not","Wrong code",IF(D3692="","Missing qty",IF(A3692="","Missing date",""))))))</f>
        <v/>
      </c>
      <c r="I3692" s="84" t="str">
        <f aca="false">IF(B3692=Dashboard!$D$3,ROW(),"")</f>
        <v/>
      </c>
    </row>
    <row r="3693" customFormat="false" ht="15" hidden="false" customHeight="false" outlineLevel="0" collapsed="false">
      <c r="A3693" s="80"/>
      <c r="B3693" s="71"/>
      <c r="C3693" s="71"/>
      <c r="D3693" s="81"/>
      <c r="E3693" s="71"/>
      <c r="F3693" s="71"/>
      <c r="G3693" s="82" t="str">
        <f aca="false">IF(C3693="","",IFERROR(INDEX('Kit Lists'!$D$6:$D$605,MATCH(B3693&amp;"|"&amp;C3693,'Kit Lists'!$J$6:$J$605,0)),"Not on this contract's kit list"))</f>
        <v/>
      </c>
      <c r="H3693" s="83" t="str">
        <f aca="false">IF(AND(B3693="",C3693="",D3693=""),"",IF(B3693="","Missing contract",IF(C3693="","Missing code",IF(LEFT(G3693,3)="Not","Wrong code",IF(D3693="","Missing qty",IF(A3693="","Missing date",""))))))</f>
        <v/>
      </c>
      <c r="I3693" s="84" t="str">
        <f aca="false">IF(B3693=Dashboard!$D$3,ROW(),"")</f>
        <v/>
      </c>
    </row>
    <row r="3694" customFormat="false" ht="15" hidden="false" customHeight="false" outlineLevel="0" collapsed="false">
      <c r="A3694" s="80"/>
      <c r="B3694" s="71"/>
      <c r="C3694" s="71"/>
      <c r="D3694" s="81"/>
      <c r="E3694" s="71"/>
      <c r="F3694" s="71"/>
      <c r="G3694" s="82" t="str">
        <f aca="false">IF(C3694="","",IFERROR(INDEX('Kit Lists'!$D$6:$D$605,MATCH(B3694&amp;"|"&amp;C3694,'Kit Lists'!$J$6:$J$605,0)),"Not on this contract's kit list"))</f>
        <v/>
      </c>
      <c r="H3694" s="83" t="str">
        <f aca="false">IF(AND(B3694="",C3694="",D3694=""),"",IF(B3694="","Missing contract",IF(C3694="","Missing code",IF(LEFT(G3694,3)="Not","Wrong code",IF(D3694="","Missing qty",IF(A3694="","Missing date",""))))))</f>
        <v/>
      </c>
      <c r="I3694" s="84" t="str">
        <f aca="false">IF(B3694=Dashboard!$D$3,ROW(),"")</f>
        <v/>
      </c>
    </row>
    <row r="3695" customFormat="false" ht="15" hidden="false" customHeight="false" outlineLevel="0" collapsed="false">
      <c r="A3695" s="80"/>
      <c r="B3695" s="71"/>
      <c r="C3695" s="71"/>
      <c r="D3695" s="81"/>
      <c r="E3695" s="71"/>
      <c r="F3695" s="71"/>
      <c r="G3695" s="82" t="str">
        <f aca="false">IF(C3695="","",IFERROR(INDEX('Kit Lists'!$D$6:$D$605,MATCH(B3695&amp;"|"&amp;C3695,'Kit Lists'!$J$6:$J$605,0)),"Not on this contract's kit list"))</f>
        <v/>
      </c>
      <c r="H3695" s="83" t="str">
        <f aca="false">IF(AND(B3695="",C3695="",D3695=""),"",IF(B3695="","Missing contract",IF(C3695="","Missing code",IF(LEFT(G3695,3)="Not","Wrong code",IF(D3695="","Missing qty",IF(A3695="","Missing date",""))))))</f>
        <v/>
      </c>
      <c r="I3695" s="84" t="str">
        <f aca="false">IF(B3695=Dashboard!$D$3,ROW(),"")</f>
        <v/>
      </c>
    </row>
    <row r="3696" customFormat="false" ht="15" hidden="false" customHeight="false" outlineLevel="0" collapsed="false">
      <c r="A3696" s="80"/>
      <c r="B3696" s="71"/>
      <c r="C3696" s="71"/>
      <c r="D3696" s="81"/>
      <c r="E3696" s="71"/>
      <c r="F3696" s="71"/>
      <c r="G3696" s="82" t="str">
        <f aca="false">IF(C3696="","",IFERROR(INDEX('Kit Lists'!$D$6:$D$605,MATCH(B3696&amp;"|"&amp;C3696,'Kit Lists'!$J$6:$J$605,0)),"Not on this contract's kit list"))</f>
        <v/>
      </c>
      <c r="H3696" s="83" t="str">
        <f aca="false">IF(AND(B3696="",C3696="",D3696=""),"",IF(B3696="","Missing contract",IF(C3696="","Missing code",IF(LEFT(G3696,3)="Not","Wrong code",IF(D3696="","Missing qty",IF(A3696="","Missing date",""))))))</f>
        <v/>
      </c>
      <c r="I3696" s="84" t="str">
        <f aca="false">IF(B3696=Dashboard!$D$3,ROW(),"")</f>
        <v/>
      </c>
    </row>
    <row r="3697" customFormat="false" ht="15" hidden="false" customHeight="false" outlineLevel="0" collapsed="false">
      <c r="A3697" s="80"/>
      <c r="B3697" s="71"/>
      <c r="C3697" s="71"/>
      <c r="D3697" s="81"/>
      <c r="E3697" s="71"/>
      <c r="F3697" s="71"/>
      <c r="G3697" s="82" t="str">
        <f aca="false">IF(C3697="","",IFERROR(INDEX('Kit Lists'!$D$6:$D$605,MATCH(B3697&amp;"|"&amp;C3697,'Kit Lists'!$J$6:$J$605,0)),"Not on this contract's kit list"))</f>
        <v/>
      </c>
      <c r="H3697" s="83" t="str">
        <f aca="false">IF(AND(B3697="",C3697="",D3697=""),"",IF(B3697="","Missing contract",IF(C3697="","Missing code",IF(LEFT(G3697,3)="Not","Wrong code",IF(D3697="","Missing qty",IF(A3697="","Missing date",""))))))</f>
        <v/>
      </c>
      <c r="I3697" s="84" t="str">
        <f aca="false">IF(B3697=Dashboard!$D$3,ROW(),"")</f>
        <v/>
      </c>
    </row>
    <row r="3698" customFormat="false" ht="15" hidden="false" customHeight="false" outlineLevel="0" collapsed="false">
      <c r="A3698" s="80"/>
      <c r="B3698" s="71"/>
      <c r="C3698" s="71"/>
      <c r="D3698" s="81"/>
      <c r="E3698" s="71"/>
      <c r="F3698" s="71"/>
      <c r="G3698" s="82" t="str">
        <f aca="false">IF(C3698="","",IFERROR(INDEX('Kit Lists'!$D$6:$D$605,MATCH(B3698&amp;"|"&amp;C3698,'Kit Lists'!$J$6:$J$605,0)),"Not on this contract's kit list"))</f>
        <v/>
      </c>
      <c r="H3698" s="83" t="str">
        <f aca="false">IF(AND(B3698="",C3698="",D3698=""),"",IF(B3698="","Missing contract",IF(C3698="","Missing code",IF(LEFT(G3698,3)="Not","Wrong code",IF(D3698="","Missing qty",IF(A3698="","Missing date",""))))))</f>
        <v/>
      </c>
      <c r="I3698" s="84" t="str">
        <f aca="false">IF(B3698=Dashboard!$D$3,ROW(),"")</f>
        <v/>
      </c>
    </row>
    <row r="3699" customFormat="false" ht="15" hidden="false" customHeight="false" outlineLevel="0" collapsed="false">
      <c r="A3699" s="80"/>
      <c r="B3699" s="71"/>
      <c r="C3699" s="71"/>
      <c r="D3699" s="81"/>
      <c r="E3699" s="71"/>
      <c r="F3699" s="71"/>
      <c r="G3699" s="82" t="str">
        <f aca="false">IF(C3699="","",IFERROR(INDEX('Kit Lists'!$D$6:$D$605,MATCH(B3699&amp;"|"&amp;C3699,'Kit Lists'!$J$6:$J$605,0)),"Not on this contract's kit list"))</f>
        <v/>
      </c>
      <c r="H3699" s="83" t="str">
        <f aca="false">IF(AND(B3699="",C3699="",D3699=""),"",IF(B3699="","Missing contract",IF(C3699="","Missing code",IF(LEFT(G3699,3)="Not","Wrong code",IF(D3699="","Missing qty",IF(A3699="","Missing date",""))))))</f>
        <v/>
      </c>
      <c r="I3699" s="84" t="str">
        <f aca="false">IF(B3699=Dashboard!$D$3,ROW(),"")</f>
        <v/>
      </c>
    </row>
    <row r="3700" customFormat="false" ht="15" hidden="false" customHeight="false" outlineLevel="0" collapsed="false">
      <c r="A3700" s="80"/>
      <c r="B3700" s="71"/>
      <c r="C3700" s="71"/>
      <c r="D3700" s="81"/>
      <c r="E3700" s="71"/>
      <c r="F3700" s="71"/>
      <c r="G3700" s="82" t="str">
        <f aca="false">IF(C3700="","",IFERROR(INDEX('Kit Lists'!$D$6:$D$605,MATCH(B3700&amp;"|"&amp;C3700,'Kit Lists'!$J$6:$J$605,0)),"Not on this contract's kit list"))</f>
        <v/>
      </c>
      <c r="H3700" s="83" t="str">
        <f aca="false">IF(AND(B3700="",C3700="",D3700=""),"",IF(B3700="","Missing contract",IF(C3700="","Missing code",IF(LEFT(G3700,3)="Not","Wrong code",IF(D3700="","Missing qty",IF(A3700="","Missing date",""))))))</f>
        <v/>
      </c>
      <c r="I3700" s="84" t="str">
        <f aca="false">IF(B3700=Dashboard!$D$3,ROW(),"")</f>
        <v/>
      </c>
    </row>
    <row r="3701" customFormat="false" ht="15" hidden="false" customHeight="false" outlineLevel="0" collapsed="false">
      <c r="A3701" s="80"/>
      <c r="B3701" s="71"/>
      <c r="C3701" s="71"/>
      <c r="D3701" s="81"/>
      <c r="E3701" s="71"/>
      <c r="F3701" s="71"/>
      <c r="G3701" s="82" t="str">
        <f aca="false">IF(C3701="","",IFERROR(INDEX('Kit Lists'!$D$6:$D$605,MATCH(B3701&amp;"|"&amp;C3701,'Kit Lists'!$J$6:$J$605,0)),"Not on this contract's kit list"))</f>
        <v/>
      </c>
      <c r="H3701" s="83" t="str">
        <f aca="false">IF(AND(B3701="",C3701="",D3701=""),"",IF(B3701="","Missing contract",IF(C3701="","Missing code",IF(LEFT(G3701,3)="Not","Wrong code",IF(D3701="","Missing qty",IF(A3701="","Missing date",""))))))</f>
        <v/>
      </c>
      <c r="I3701" s="84" t="str">
        <f aca="false">IF(B3701=Dashboard!$D$3,ROW(),"")</f>
        <v/>
      </c>
    </row>
    <row r="3702" customFormat="false" ht="15" hidden="false" customHeight="false" outlineLevel="0" collapsed="false">
      <c r="A3702" s="80"/>
      <c r="B3702" s="71"/>
      <c r="C3702" s="71"/>
      <c r="D3702" s="81"/>
      <c r="E3702" s="71"/>
      <c r="F3702" s="71"/>
      <c r="G3702" s="82" t="str">
        <f aca="false">IF(C3702="","",IFERROR(INDEX('Kit Lists'!$D$6:$D$605,MATCH(B3702&amp;"|"&amp;C3702,'Kit Lists'!$J$6:$J$605,0)),"Not on this contract's kit list"))</f>
        <v/>
      </c>
      <c r="H3702" s="83" t="str">
        <f aca="false">IF(AND(B3702="",C3702="",D3702=""),"",IF(B3702="","Missing contract",IF(C3702="","Missing code",IF(LEFT(G3702,3)="Not","Wrong code",IF(D3702="","Missing qty",IF(A3702="","Missing date",""))))))</f>
        <v/>
      </c>
      <c r="I3702" s="84" t="str">
        <f aca="false">IF(B3702=Dashboard!$D$3,ROW(),"")</f>
        <v/>
      </c>
    </row>
    <row r="3703" customFormat="false" ht="15" hidden="false" customHeight="false" outlineLevel="0" collapsed="false">
      <c r="A3703" s="80"/>
      <c r="B3703" s="71"/>
      <c r="C3703" s="71"/>
      <c r="D3703" s="81"/>
      <c r="E3703" s="71"/>
      <c r="F3703" s="71"/>
      <c r="G3703" s="82" t="str">
        <f aca="false">IF(C3703="","",IFERROR(INDEX('Kit Lists'!$D$6:$D$605,MATCH(B3703&amp;"|"&amp;C3703,'Kit Lists'!$J$6:$J$605,0)),"Not on this contract's kit list"))</f>
        <v/>
      </c>
      <c r="H3703" s="83" t="str">
        <f aca="false">IF(AND(B3703="",C3703="",D3703=""),"",IF(B3703="","Missing contract",IF(C3703="","Missing code",IF(LEFT(G3703,3)="Not","Wrong code",IF(D3703="","Missing qty",IF(A3703="","Missing date",""))))))</f>
        <v/>
      </c>
      <c r="I3703" s="84" t="str">
        <f aca="false">IF(B3703=Dashboard!$D$3,ROW(),"")</f>
        <v/>
      </c>
    </row>
    <row r="3704" customFormat="false" ht="15" hidden="false" customHeight="false" outlineLevel="0" collapsed="false">
      <c r="A3704" s="80"/>
      <c r="B3704" s="71"/>
      <c r="C3704" s="71"/>
      <c r="D3704" s="81"/>
      <c r="E3704" s="71"/>
      <c r="F3704" s="71"/>
      <c r="G3704" s="82" t="str">
        <f aca="false">IF(C3704="","",IFERROR(INDEX('Kit Lists'!$D$6:$D$605,MATCH(B3704&amp;"|"&amp;C3704,'Kit Lists'!$J$6:$J$605,0)),"Not on this contract's kit list"))</f>
        <v/>
      </c>
      <c r="H3704" s="83" t="str">
        <f aca="false">IF(AND(B3704="",C3704="",D3704=""),"",IF(B3704="","Missing contract",IF(C3704="","Missing code",IF(LEFT(G3704,3)="Not","Wrong code",IF(D3704="","Missing qty",IF(A3704="","Missing date",""))))))</f>
        <v/>
      </c>
      <c r="I3704" s="84" t="str">
        <f aca="false">IF(B3704=Dashboard!$D$3,ROW(),"")</f>
        <v/>
      </c>
    </row>
    <row r="3705" customFormat="false" ht="15" hidden="false" customHeight="false" outlineLevel="0" collapsed="false">
      <c r="A3705" s="80"/>
      <c r="B3705" s="71"/>
      <c r="C3705" s="71"/>
      <c r="D3705" s="81"/>
      <c r="E3705" s="71"/>
      <c r="F3705" s="71"/>
      <c r="G3705" s="82" t="str">
        <f aca="false">IF(C3705="","",IFERROR(INDEX('Kit Lists'!$D$6:$D$605,MATCH(B3705&amp;"|"&amp;C3705,'Kit Lists'!$J$6:$J$605,0)),"Not on this contract's kit list"))</f>
        <v/>
      </c>
      <c r="H3705" s="83" t="str">
        <f aca="false">IF(AND(B3705="",C3705="",D3705=""),"",IF(B3705="","Missing contract",IF(C3705="","Missing code",IF(LEFT(G3705,3)="Not","Wrong code",IF(D3705="","Missing qty",IF(A3705="","Missing date",""))))))</f>
        <v/>
      </c>
      <c r="I3705" s="84" t="str">
        <f aca="false">IF(B3705=Dashboard!$D$3,ROW(),"")</f>
        <v/>
      </c>
    </row>
    <row r="3706" customFormat="false" ht="15" hidden="false" customHeight="false" outlineLevel="0" collapsed="false">
      <c r="A3706" s="80"/>
      <c r="B3706" s="71"/>
      <c r="C3706" s="71"/>
      <c r="D3706" s="81"/>
      <c r="E3706" s="71"/>
      <c r="F3706" s="71"/>
      <c r="G3706" s="82" t="str">
        <f aca="false">IF(C3706="","",IFERROR(INDEX('Kit Lists'!$D$6:$D$605,MATCH(B3706&amp;"|"&amp;C3706,'Kit Lists'!$J$6:$J$605,0)),"Not on this contract's kit list"))</f>
        <v/>
      </c>
      <c r="H3706" s="83" t="str">
        <f aca="false">IF(AND(B3706="",C3706="",D3706=""),"",IF(B3706="","Missing contract",IF(C3706="","Missing code",IF(LEFT(G3706,3)="Not","Wrong code",IF(D3706="","Missing qty",IF(A3706="","Missing date",""))))))</f>
        <v/>
      </c>
      <c r="I3706" s="84" t="str">
        <f aca="false">IF(B3706=Dashboard!$D$3,ROW(),"")</f>
        <v/>
      </c>
    </row>
    <row r="3707" customFormat="false" ht="15" hidden="false" customHeight="false" outlineLevel="0" collapsed="false">
      <c r="A3707" s="80"/>
      <c r="B3707" s="71"/>
      <c r="C3707" s="71"/>
      <c r="D3707" s="81"/>
      <c r="E3707" s="71"/>
      <c r="F3707" s="71"/>
      <c r="G3707" s="82" t="str">
        <f aca="false">IF(C3707="","",IFERROR(INDEX('Kit Lists'!$D$6:$D$605,MATCH(B3707&amp;"|"&amp;C3707,'Kit Lists'!$J$6:$J$605,0)),"Not on this contract's kit list"))</f>
        <v/>
      </c>
      <c r="H3707" s="83" t="str">
        <f aca="false">IF(AND(B3707="",C3707="",D3707=""),"",IF(B3707="","Missing contract",IF(C3707="","Missing code",IF(LEFT(G3707,3)="Not","Wrong code",IF(D3707="","Missing qty",IF(A3707="","Missing date",""))))))</f>
        <v/>
      </c>
      <c r="I3707" s="84" t="str">
        <f aca="false">IF(B3707=Dashboard!$D$3,ROW(),"")</f>
        <v/>
      </c>
    </row>
    <row r="3708" customFormat="false" ht="15" hidden="false" customHeight="false" outlineLevel="0" collapsed="false">
      <c r="A3708" s="80"/>
      <c r="B3708" s="71"/>
      <c r="C3708" s="71"/>
      <c r="D3708" s="81"/>
      <c r="E3708" s="71"/>
      <c r="F3708" s="71"/>
      <c r="G3708" s="82" t="str">
        <f aca="false">IF(C3708="","",IFERROR(INDEX('Kit Lists'!$D$6:$D$605,MATCH(B3708&amp;"|"&amp;C3708,'Kit Lists'!$J$6:$J$605,0)),"Not on this contract's kit list"))</f>
        <v/>
      </c>
      <c r="H3708" s="83" t="str">
        <f aca="false">IF(AND(B3708="",C3708="",D3708=""),"",IF(B3708="","Missing contract",IF(C3708="","Missing code",IF(LEFT(G3708,3)="Not","Wrong code",IF(D3708="","Missing qty",IF(A3708="","Missing date",""))))))</f>
        <v/>
      </c>
      <c r="I3708" s="84" t="str">
        <f aca="false">IF(B3708=Dashboard!$D$3,ROW(),"")</f>
        <v/>
      </c>
    </row>
    <row r="3709" customFormat="false" ht="15" hidden="false" customHeight="false" outlineLevel="0" collapsed="false">
      <c r="A3709" s="80"/>
      <c r="B3709" s="71"/>
      <c r="C3709" s="71"/>
      <c r="D3709" s="81"/>
      <c r="E3709" s="71"/>
      <c r="F3709" s="71"/>
      <c r="G3709" s="82" t="str">
        <f aca="false">IF(C3709="","",IFERROR(INDEX('Kit Lists'!$D$6:$D$605,MATCH(B3709&amp;"|"&amp;C3709,'Kit Lists'!$J$6:$J$605,0)),"Not on this contract's kit list"))</f>
        <v/>
      </c>
      <c r="H3709" s="83" t="str">
        <f aca="false">IF(AND(B3709="",C3709="",D3709=""),"",IF(B3709="","Missing contract",IF(C3709="","Missing code",IF(LEFT(G3709,3)="Not","Wrong code",IF(D3709="","Missing qty",IF(A3709="","Missing date",""))))))</f>
        <v/>
      </c>
      <c r="I3709" s="84" t="str">
        <f aca="false">IF(B3709=Dashboard!$D$3,ROW(),"")</f>
        <v/>
      </c>
    </row>
    <row r="3710" customFormat="false" ht="15" hidden="false" customHeight="false" outlineLevel="0" collapsed="false">
      <c r="A3710" s="80"/>
      <c r="B3710" s="71"/>
      <c r="C3710" s="71"/>
      <c r="D3710" s="81"/>
      <c r="E3710" s="71"/>
      <c r="F3710" s="71"/>
      <c r="G3710" s="82" t="str">
        <f aca="false">IF(C3710="","",IFERROR(INDEX('Kit Lists'!$D$6:$D$605,MATCH(B3710&amp;"|"&amp;C3710,'Kit Lists'!$J$6:$J$605,0)),"Not on this contract's kit list"))</f>
        <v/>
      </c>
      <c r="H3710" s="83" t="str">
        <f aca="false">IF(AND(B3710="",C3710="",D3710=""),"",IF(B3710="","Missing contract",IF(C3710="","Missing code",IF(LEFT(G3710,3)="Not","Wrong code",IF(D3710="","Missing qty",IF(A3710="","Missing date",""))))))</f>
        <v/>
      </c>
      <c r="I3710" s="84" t="str">
        <f aca="false">IF(B3710=Dashboard!$D$3,ROW(),"")</f>
        <v/>
      </c>
    </row>
    <row r="3711" customFormat="false" ht="15" hidden="false" customHeight="false" outlineLevel="0" collapsed="false">
      <c r="A3711" s="80"/>
      <c r="B3711" s="71"/>
      <c r="C3711" s="71"/>
      <c r="D3711" s="81"/>
      <c r="E3711" s="71"/>
      <c r="F3711" s="71"/>
      <c r="G3711" s="82" t="str">
        <f aca="false">IF(C3711="","",IFERROR(INDEX('Kit Lists'!$D$6:$D$605,MATCH(B3711&amp;"|"&amp;C3711,'Kit Lists'!$J$6:$J$605,0)),"Not on this contract's kit list"))</f>
        <v/>
      </c>
      <c r="H3711" s="83" t="str">
        <f aca="false">IF(AND(B3711="",C3711="",D3711=""),"",IF(B3711="","Missing contract",IF(C3711="","Missing code",IF(LEFT(G3711,3)="Not","Wrong code",IF(D3711="","Missing qty",IF(A3711="","Missing date",""))))))</f>
        <v/>
      </c>
      <c r="I3711" s="84" t="str">
        <f aca="false">IF(B3711=Dashboard!$D$3,ROW(),"")</f>
        <v/>
      </c>
    </row>
    <row r="3712" customFormat="false" ht="15" hidden="false" customHeight="false" outlineLevel="0" collapsed="false">
      <c r="A3712" s="80"/>
      <c r="B3712" s="71"/>
      <c r="C3712" s="71"/>
      <c r="D3712" s="81"/>
      <c r="E3712" s="71"/>
      <c r="F3712" s="71"/>
      <c r="G3712" s="82" t="str">
        <f aca="false">IF(C3712="","",IFERROR(INDEX('Kit Lists'!$D$6:$D$605,MATCH(B3712&amp;"|"&amp;C3712,'Kit Lists'!$J$6:$J$605,0)),"Not on this contract's kit list"))</f>
        <v/>
      </c>
      <c r="H3712" s="83" t="str">
        <f aca="false">IF(AND(B3712="",C3712="",D3712=""),"",IF(B3712="","Missing contract",IF(C3712="","Missing code",IF(LEFT(G3712,3)="Not","Wrong code",IF(D3712="","Missing qty",IF(A3712="","Missing date",""))))))</f>
        <v/>
      </c>
      <c r="I3712" s="84" t="str">
        <f aca="false">IF(B3712=Dashboard!$D$3,ROW(),"")</f>
        <v/>
      </c>
    </row>
    <row r="3713" customFormat="false" ht="15" hidden="false" customHeight="false" outlineLevel="0" collapsed="false">
      <c r="A3713" s="80"/>
      <c r="B3713" s="71"/>
      <c r="C3713" s="71"/>
      <c r="D3713" s="81"/>
      <c r="E3713" s="71"/>
      <c r="F3713" s="71"/>
      <c r="G3713" s="82" t="str">
        <f aca="false">IF(C3713="","",IFERROR(INDEX('Kit Lists'!$D$6:$D$605,MATCH(B3713&amp;"|"&amp;C3713,'Kit Lists'!$J$6:$J$605,0)),"Not on this contract's kit list"))</f>
        <v/>
      </c>
      <c r="H3713" s="83" t="str">
        <f aca="false">IF(AND(B3713="",C3713="",D3713=""),"",IF(B3713="","Missing contract",IF(C3713="","Missing code",IF(LEFT(G3713,3)="Not","Wrong code",IF(D3713="","Missing qty",IF(A3713="","Missing date",""))))))</f>
        <v/>
      </c>
      <c r="I3713" s="84" t="str">
        <f aca="false">IF(B3713=Dashboard!$D$3,ROW(),"")</f>
        <v/>
      </c>
    </row>
    <row r="3714" customFormat="false" ht="15" hidden="false" customHeight="false" outlineLevel="0" collapsed="false">
      <c r="A3714" s="80"/>
      <c r="B3714" s="71"/>
      <c r="C3714" s="71"/>
      <c r="D3714" s="81"/>
      <c r="E3714" s="71"/>
      <c r="F3714" s="71"/>
      <c r="G3714" s="82" t="str">
        <f aca="false">IF(C3714="","",IFERROR(INDEX('Kit Lists'!$D$6:$D$605,MATCH(B3714&amp;"|"&amp;C3714,'Kit Lists'!$J$6:$J$605,0)),"Not on this contract's kit list"))</f>
        <v/>
      </c>
      <c r="H3714" s="83" t="str">
        <f aca="false">IF(AND(B3714="",C3714="",D3714=""),"",IF(B3714="","Missing contract",IF(C3714="","Missing code",IF(LEFT(G3714,3)="Not","Wrong code",IF(D3714="","Missing qty",IF(A3714="","Missing date",""))))))</f>
        <v/>
      </c>
      <c r="I3714" s="84" t="str">
        <f aca="false">IF(B3714=Dashboard!$D$3,ROW(),"")</f>
        <v/>
      </c>
    </row>
    <row r="3715" customFormat="false" ht="15" hidden="false" customHeight="false" outlineLevel="0" collapsed="false">
      <c r="A3715" s="80"/>
      <c r="B3715" s="71"/>
      <c r="C3715" s="71"/>
      <c r="D3715" s="81"/>
      <c r="E3715" s="71"/>
      <c r="F3715" s="71"/>
      <c r="G3715" s="82" t="str">
        <f aca="false">IF(C3715="","",IFERROR(INDEX('Kit Lists'!$D$6:$D$605,MATCH(B3715&amp;"|"&amp;C3715,'Kit Lists'!$J$6:$J$605,0)),"Not on this contract's kit list"))</f>
        <v/>
      </c>
      <c r="H3715" s="83" t="str">
        <f aca="false">IF(AND(B3715="",C3715="",D3715=""),"",IF(B3715="","Missing contract",IF(C3715="","Missing code",IF(LEFT(G3715,3)="Not","Wrong code",IF(D3715="","Missing qty",IF(A3715="","Missing date",""))))))</f>
        <v/>
      </c>
      <c r="I3715" s="84" t="str">
        <f aca="false">IF(B3715=Dashboard!$D$3,ROW(),"")</f>
        <v/>
      </c>
    </row>
    <row r="3716" customFormat="false" ht="15" hidden="false" customHeight="false" outlineLevel="0" collapsed="false">
      <c r="A3716" s="80"/>
      <c r="B3716" s="71"/>
      <c r="C3716" s="71"/>
      <c r="D3716" s="81"/>
      <c r="E3716" s="71"/>
      <c r="F3716" s="71"/>
      <c r="G3716" s="82" t="str">
        <f aca="false">IF(C3716="","",IFERROR(INDEX('Kit Lists'!$D$6:$D$605,MATCH(B3716&amp;"|"&amp;C3716,'Kit Lists'!$J$6:$J$605,0)),"Not on this contract's kit list"))</f>
        <v/>
      </c>
      <c r="H3716" s="83" t="str">
        <f aca="false">IF(AND(B3716="",C3716="",D3716=""),"",IF(B3716="","Missing contract",IF(C3716="","Missing code",IF(LEFT(G3716,3)="Not","Wrong code",IF(D3716="","Missing qty",IF(A3716="","Missing date",""))))))</f>
        <v/>
      </c>
      <c r="I3716" s="84" t="str">
        <f aca="false">IF(B3716=Dashboard!$D$3,ROW(),"")</f>
        <v/>
      </c>
    </row>
    <row r="3717" customFormat="false" ht="15" hidden="false" customHeight="false" outlineLevel="0" collapsed="false">
      <c r="A3717" s="80"/>
      <c r="B3717" s="71"/>
      <c r="C3717" s="71"/>
      <c r="D3717" s="81"/>
      <c r="E3717" s="71"/>
      <c r="F3717" s="71"/>
      <c r="G3717" s="82" t="str">
        <f aca="false">IF(C3717="","",IFERROR(INDEX('Kit Lists'!$D$6:$D$605,MATCH(B3717&amp;"|"&amp;C3717,'Kit Lists'!$J$6:$J$605,0)),"Not on this contract's kit list"))</f>
        <v/>
      </c>
      <c r="H3717" s="83" t="str">
        <f aca="false">IF(AND(B3717="",C3717="",D3717=""),"",IF(B3717="","Missing contract",IF(C3717="","Missing code",IF(LEFT(G3717,3)="Not","Wrong code",IF(D3717="","Missing qty",IF(A3717="","Missing date",""))))))</f>
        <v/>
      </c>
      <c r="I3717" s="84" t="str">
        <f aca="false">IF(B3717=Dashboard!$D$3,ROW(),"")</f>
        <v/>
      </c>
    </row>
    <row r="3718" customFormat="false" ht="15" hidden="false" customHeight="false" outlineLevel="0" collapsed="false">
      <c r="A3718" s="80"/>
      <c r="B3718" s="71"/>
      <c r="C3718" s="71"/>
      <c r="D3718" s="81"/>
      <c r="E3718" s="71"/>
      <c r="F3718" s="71"/>
      <c r="G3718" s="82" t="str">
        <f aca="false">IF(C3718="","",IFERROR(INDEX('Kit Lists'!$D$6:$D$605,MATCH(B3718&amp;"|"&amp;C3718,'Kit Lists'!$J$6:$J$605,0)),"Not on this contract's kit list"))</f>
        <v/>
      </c>
      <c r="H3718" s="83" t="str">
        <f aca="false">IF(AND(B3718="",C3718="",D3718=""),"",IF(B3718="","Missing contract",IF(C3718="","Missing code",IF(LEFT(G3718,3)="Not","Wrong code",IF(D3718="","Missing qty",IF(A3718="","Missing date",""))))))</f>
        <v/>
      </c>
      <c r="I3718" s="84" t="str">
        <f aca="false">IF(B3718=Dashboard!$D$3,ROW(),"")</f>
        <v/>
      </c>
    </row>
    <row r="3719" customFormat="false" ht="15" hidden="false" customHeight="false" outlineLevel="0" collapsed="false">
      <c r="A3719" s="80"/>
      <c r="B3719" s="71"/>
      <c r="C3719" s="71"/>
      <c r="D3719" s="81"/>
      <c r="E3719" s="71"/>
      <c r="F3719" s="71"/>
      <c r="G3719" s="82" t="str">
        <f aca="false">IF(C3719="","",IFERROR(INDEX('Kit Lists'!$D$6:$D$605,MATCH(B3719&amp;"|"&amp;C3719,'Kit Lists'!$J$6:$J$605,0)),"Not on this contract's kit list"))</f>
        <v/>
      </c>
      <c r="H3719" s="83" t="str">
        <f aca="false">IF(AND(B3719="",C3719="",D3719=""),"",IF(B3719="","Missing contract",IF(C3719="","Missing code",IF(LEFT(G3719,3)="Not","Wrong code",IF(D3719="","Missing qty",IF(A3719="","Missing date",""))))))</f>
        <v/>
      </c>
      <c r="I3719" s="84" t="str">
        <f aca="false">IF(B3719=Dashboard!$D$3,ROW(),"")</f>
        <v/>
      </c>
    </row>
    <row r="3720" customFormat="false" ht="15" hidden="false" customHeight="false" outlineLevel="0" collapsed="false">
      <c r="A3720" s="80"/>
      <c r="B3720" s="71"/>
      <c r="C3720" s="71"/>
      <c r="D3720" s="81"/>
      <c r="E3720" s="71"/>
      <c r="F3720" s="71"/>
      <c r="G3720" s="82" t="str">
        <f aca="false">IF(C3720="","",IFERROR(INDEX('Kit Lists'!$D$6:$D$605,MATCH(B3720&amp;"|"&amp;C3720,'Kit Lists'!$J$6:$J$605,0)),"Not on this contract's kit list"))</f>
        <v/>
      </c>
      <c r="H3720" s="83" t="str">
        <f aca="false">IF(AND(B3720="",C3720="",D3720=""),"",IF(B3720="","Missing contract",IF(C3720="","Missing code",IF(LEFT(G3720,3)="Not","Wrong code",IF(D3720="","Missing qty",IF(A3720="","Missing date",""))))))</f>
        <v/>
      </c>
      <c r="I3720" s="84" t="str">
        <f aca="false">IF(B3720=Dashboard!$D$3,ROW(),"")</f>
        <v/>
      </c>
    </row>
    <row r="3721" customFormat="false" ht="15" hidden="false" customHeight="false" outlineLevel="0" collapsed="false">
      <c r="A3721" s="80"/>
      <c r="B3721" s="71"/>
      <c r="C3721" s="71"/>
      <c r="D3721" s="81"/>
      <c r="E3721" s="71"/>
      <c r="F3721" s="71"/>
      <c r="G3721" s="82" t="str">
        <f aca="false">IF(C3721="","",IFERROR(INDEX('Kit Lists'!$D$6:$D$605,MATCH(B3721&amp;"|"&amp;C3721,'Kit Lists'!$J$6:$J$605,0)),"Not on this contract's kit list"))</f>
        <v/>
      </c>
      <c r="H3721" s="83" t="str">
        <f aca="false">IF(AND(B3721="",C3721="",D3721=""),"",IF(B3721="","Missing contract",IF(C3721="","Missing code",IF(LEFT(G3721,3)="Not","Wrong code",IF(D3721="","Missing qty",IF(A3721="","Missing date",""))))))</f>
        <v/>
      </c>
      <c r="I3721" s="84" t="str">
        <f aca="false">IF(B3721=Dashboard!$D$3,ROW(),"")</f>
        <v/>
      </c>
    </row>
    <row r="3722" customFormat="false" ht="15" hidden="false" customHeight="false" outlineLevel="0" collapsed="false">
      <c r="A3722" s="80"/>
      <c r="B3722" s="71"/>
      <c r="C3722" s="71"/>
      <c r="D3722" s="81"/>
      <c r="E3722" s="71"/>
      <c r="F3722" s="71"/>
      <c r="G3722" s="82" t="str">
        <f aca="false">IF(C3722="","",IFERROR(INDEX('Kit Lists'!$D$6:$D$605,MATCH(B3722&amp;"|"&amp;C3722,'Kit Lists'!$J$6:$J$605,0)),"Not on this contract's kit list"))</f>
        <v/>
      </c>
      <c r="H3722" s="83" t="str">
        <f aca="false">IF(AND(B3722="",C3722="",D3722=""),"",IF(B3722="","Missing contract",IF(C3722="","Missing code",IF(LEFT(G3722,3)="Not","Wrong code",IF(D3722="","Missing qty",IF(A3722="","Missing date",""))))))</f>
        <v/>
      </c>
      <c r="I3722" s="84" t="str">
        <f aca="false">IF(B3722=Dashboard!$D$3,ROW(),"")</f>
        <v/>
      </c>
    </row>
    <row r="3723" customFormat="false" ht="15" hidden="false" customHeight="false" outlineLevel="0" collapsed="false">
      <c r="A3723" s="80"/>
      <c r="B3723" s="71"/>
      <c r="C3723" s="71"/>
      <c r="D3723" s="81"/>
      <c r="E3723" s="71"/>
      <c r="F3723" s="71"/>
      <c r="G3723" s="82" t="str">
        <f aca="false">IF(C3723="","",IFERROR(INDEX('Kit Lists'!$D$6:$D$605,MATCH(B3723&amp;"|"&amp;C3723,'Kit Lists'!$J$6:$J$605,0)),"Not on this contract's kit list"))</f>
        <v/>
      </c>
      <c r="H3723" s="83" t="str">
        <f aca="false">IF(AND(B3723="",C3723="",D3723=""),"",IF(B3723="","Missing contract",IF(C3723="","Missing code",IF(LEFT(G3723,3)="Not","Wrong code",IF(D3723="","Missing qty",IF(A3723="","Missing date",""))))))</f>
        <v/>
      </c>
      <c r="I3723" s="84" t="str">
        <f aca="false">IF(B3723=Dashboard!$D$3,ROW(),"")</f>
        <v/>
      </c>
    </row>
    <row r="3724" customFormat="false" ht="15" hidden="false" customHeight="false" outlineLevel="0" collapsed="false">
      <c r="A3724" s="80"/>
      <c r="B3724" s="71"/>
      <c r="C3724" s="71"/>
      <c r="D3724" s="81"/>
      <c r="E3724" s="71"/>
      <c r="F3724" s="71"/>
      <c r="G3724" s="82" t="str">
        <f aca="false">IF(C3724="","",IFERROR(INDEX('Kit Lists'!$D$6:$D$605,MATCH(B3724&amp;"|"&amp;C3724,'Kit Lists'!$J$6:$J$605,0)),"Not on this contract's kit list"))</f>
        <v/>
      </c>
      <c r="H3724" s="83" t="str">
        <f aca="false">IF(AND(B3724="",C3724="",D3724=""),"",IF(B3724="","Missing contract",IF(C3724="","Missing code",IF(LEFT(G3724,3)="Not","Wrong code",IF(D3724="","Missing qty",IF(A3724="","Missing date",""))))))</f>
        <v/>
      </c>
      <c r="I3724" s="84" t="str">
        <f aca="false">IF(B3724=Dashboard!$D$3,ROW(),"")</f>
        <v/>
      </c>
    </row>
    <row r="3725" customFormat="false" ht="15" hidden="false" customHeight="false" outlineLevel="0" collapsed="false">
      <c r="A3725" s="80"/>
      <c r="B3725" s="71"/>
      <c r="C3725" s="71"/>
      <c r="D3725" s="81"/>
      <c r="E3725" s="71"/>
      <c r="F3725" s="71"/>
      <c r="G3725" s="82" t="str">
        <f aca="false">IF(C3725="","",IFERROR(INDEX('Kit Lists'!$D$6:$D$605,MATCH(B3725&amp;"|"&amp;C3725,'Kit Lists'!$J$6:$J$605,0)),"Not on this contract's kit list"))</f>
        <v/>
      </c>
      <c r="H3725" s="83" t="str">
        <f aca="false">IF(AND(B3725="",C3725="",D3725=""),"",IF(B3725="","Missing contract",IF(C3725="","Missing code",IF(LEFT(G3725,3)="Not","Wrong code",IF(D3725="","Missing qty",IF(A3725="","Missing date",""))))))</f>
        <v/>
      </c>
      <c r="I3725" s="84" t="str">
        <f aca="false">IF(B3725=Dashboard!$D$3,ROW(),"")</f>
        <v/>
      </c>
    </row>
    <row r="3726" customFormat="false" ht="15" hidden="false" customHeight="false" outlineLevel="0" collapsed="false">
      <c r="A3726" s="80"/>
      <c r="B3726" s="71"/>
      <c r="C3726" s="71"/>
      <c r="D3726" s="81"/>
      <c r="E3726" s="71"/>
      <c r="F3726" s="71"/>
      <c r="G3726" s="82" t="str">
        <f aca="false">IF(C3726="","",IFERROR(INDEX('Kit Lists'!$D$6:$D$605,MATCH(B3726&amp;"|"&amp;C3726,'Kit Lists'!$J$6:$J$605,0)),"Not on this contract's kit list"))</f>
        <v/>
      </c>
      <c r="H3726" s="83" t="str">
        <f aca="false">IF(AND(B3726="",C3726="",D3726=""),"",IF(B3726="","Missing contract",IF(C3726="","Missing code",IF(LEFT(G3726,3)="Not","Wrong code",IF(D3726="","Missing qty",IF(A3726="","Missing date",""))))))</f>
        <v/>
      </c>
      <c r="I3726" s="84" t="str">
        <f aca="false">IF(B3726=Dashboard!$D$3,ROW(),"")</f>
        <v/>
      </c>
    </row>
    <row r="3727" customFormat="false" ht="15" hidden="false" customHeight="false" outlineLevel="0" collapsed="false">
      <c r="A3727" s="80"/>
      <c r="B3727" s="71"/>
      <c r="C3727" s="71"/>
      <c r="D3727" s="81"/>
      <c r="E3727" s="71"/>
      <c r="F3727" s="71"/>
      <c r="G3727" s="82" t="str">
        <f aca="false">IF(C3727="","",IFERROR(INDEX('Kit Lists'!$D$6:$D$605,MATCH(B3727&amp;"|"&amp;C3727,'Kit Lists'!$J$6:$J$605,0)),"Not on this contract's kit list"))</f>
        <v/>
      </c>
      <c r="H3727" s="83" t="str">
        <f aca="false">IF(AND(B3727="",C3727="",D3727=""),"",IF(B3727="","Missing contract",IF(C3727="","Missing code",IF(LEFT(G3727,3)="Not","Wrong code",IF(D3727="","Missing qty",IF(A3727="","Missing date",""))))))</f>
        <v/>
      </c>
      <c r="I3727" s="84" t="str">
        <f aca="false">IF(B3727=Dashboard!$D$3,ROW(),"")</f>
        <v/>
      </c>
    </row>
    <row r="3728" customFormat="false" ht="15" hidden="false" customHeight="false" outlineLevel="0" collapsed="false">
      <c r="A3728" s="80"/>
      <c r="B3728" s="71"/>
      <c r="C3728" s="71"/>
      <c r="D3728" s="81"/>
      <c r="E3728" s="71"/>
      <c r="F3728" s="71"/>
      <c r="G3728" s="82" t="str">
        <f aca="false">IF(C3728="","",IFERROR(INDEX('Kit Lists'!$D$6:$D$605,MATCH(B3728&amp;"|"&amp;C3728,'Kit Lists'!$J$6:$J$605,0)),"Not on this contract's kit list"))</f>
        <v/>
      </c>
      <c r="H3728" s="83" t="str">
        <f aca="false">IF(AND(B3728="",C3728="",D3728=""),"",IF(B3728="","Missing contract",IF(C3728="","Missing code",IF(LEFT(G3728,3)="Not","Wrong code",IF(D3728="","Missing qty",IF(A3728="","Missing date",""))))))</f>
        <v/>
      </c>
      <c r="I3728" s="84" t="str">
        <f aca="false">IF(B3728=Dashboard!$D$3,ROW(),"")</f>
        <v/>
      </c>
    </row>
    <row r="3729" customFormat="false" ht="15" hidden="false" customHeight="false" outlineLevel="0" collapsed="false">
      <c r="A3729" s="80"/>
      <c r="B3729" s="71"/>
      <c r="C3729" s="71"/>
      <c r="D3729" s="81"/>
      <c r="E3729" s="71"/>
      <c r="F3729" s="71"/>
      <c r="G3729" s="82" t="str">
        <f aca="false">IF(C3729="","",IFERROR(INDEX('Kit Lists'!$D$6:$D$605,MATCH(B3729&amp;"|"&amp;C3729,'Kit Lists'!$J$6:$J$605,0)),"Not on this contract's kit list"))</f>
        <v/>
      </c>
      <c r="H3729" s="83" t="str">
        <f aca="false">IF(AND(B3729="",C3729="",D3729=""),"",IF(B3729="","Missing contract",IF(C3729="","Missing code",IF(LEFT(G3729,3)="Not","Wrong code",IF(D3729="","Missing qty",IF(A3729="","Missing date",""))))))</f>
        <v/>
      </c>
      <c r="I3729" s="84" t="str">
        <f aca="false">IF(B3729=Dashboard!$D$3,ROW(),"")</f>
        <v/>
      </c>
    </row>
    <row r="3730" customFormat="false" ht="15" hidden="false" customHeight="false" outlineLevel="0" collapsed="false">
      <c r="A3730" s="80"/>
      <c r="B3730" s="71"/>
      <c r="C3730" s="71"/>
      <c r="D3730" s="81"/>
      <c r="E3730" s="71"/>
      <c r="F3730" s="71"/>
      <c r="G3730" s="82" t="str">
        <f aca="false">IF(C3730="","",IFERROR(INDEX('Kit Lists'!$D$6:$D$605,MATCH(B3730&amp;"|"&amp;C3730,'Kit Lists'!$J$6:$J$605,0)),"Not on this contract's kit list"))</f>
        <v/>
      </c>
      <c r="H3730" s="83" t="str">
        <f aca="false">IF(AND(B3730="",C3730="",D3730=""),"",IF(B3730="","Missing contract",IF(C3730="","Missing code",IF(LEFT(G3730,3)="Not","Wrong code",IF(D3730="","Missing qty",IF(A3730="","Missing date",""))))))</f>
        <v/>
      </c>
      <c r="I3730" s="84" t="str">
        <f aca="false">IF(B3730=Dashboard!$D$3,ROW(),"")</f>
        <v/>
      </c>
    </row>
    <row r="3731" customFormat="false" ht="15" hidden="false" customHeight="false" outlineLevel="0" collapsed="false">
      <c r="A3731" s="80"/>
      <c r="B3731" s="71"/>
      <c r="C3731" s="71"/>
      <c r="D3731" s="81"/>
      <c r="E3731" s="71"/>
      <c r="F3731" s="71"/>
      <c r="G3731" s="82" t="str">
        <f aca="false">IF(C3731="","",IFERROR(INDEX('Kit Lists'!$D$6:$D$605,MATCH(B3731&amp;"|"&amp;C3731,'Kit Lists'!$J$6:$J$605,0)),"Not on this contract's kit list"))</f>
        <v/>
      </c>
      <c r="H3731" s="83" t="str">
        <f aca="false">IF(AND(B3731="",C3731="",D3731=""),"",IF(B3731="","Missing contract",IF(C3731="","Missing code",IF(LEFT(G3731,3)="Not","Wrong code",IF(D3731="","Missing qty",IF(A3731="","Missing date",""))))))</f>
        <v/>
      </c>
      <c r="I3731" s="84" t="str">
        <f aca="false">IF(B3731=Dashboard!$D$3,ROW(),"")</f>
        <v/>
      </c>
    </row>
    <row r="3732" customFormat="false" ht="15" hidden="false" customHeight="false" outlineLevel="0" collapsed="false">
      <c r="A3732" s="80"/>
      <c r="B3732" s="71"/>
      <c r="C3732" s="71"/>
      <c r="D3732" s="81"/>
      <c r="E3732" s="71"/>
      <c r="F3732" s="71"/>
      <c r="G3732" s="82" t="str">
        <f aca="false">IF(C3732="","",IFERROR(INDEX('Kit Lists'!$D$6:$D$605,MATCH(B3732&amp;"|"&amp;C3732,'Kit Lists'!$J$6:$J$605,0)),"Not on this contract's kit list"))</f>
        <v/>
      </c>
      <c r="H3732" s="83" t="str">
        <f aca="false">IF(AND(B3732="",C3732="",D3732=""),"",IF(B3732="","Missing contract",IF(C3732="","Missing code",IF(LEFT(G3732,3)="Not","Wrong code",IF(D3732="","Missing qty",IF(A3732="","Missing date",""))))))</f>
        <v/>
      </c>
      <c r="I3732" s="84" t="str">
        <f aca="false">IF(B3732=Dashboard!$D$3,ROW(),"")</f>
        <v/>
      </c>
    </row>
    <row r="3733" customFormat="false" ht="15" hidden="false" customHeight="false" outlineLevel="0" collapsed="false">
      <c r="A3733" s="80"/>
      <c r="B3733" s="71"/>
      <c r="C3733" s="71"/>
      <c r="D3733" s="81"/>
      <c r="E3733" s="71"/>
      <c r="F3733" s="71"/>
      <c r="G3733" s="82" t="str">
        <f aca="false">IF(C3733="","",IFERROR(INDEX('Kit Lists'!$D$6:$D$605,MATCH(B3733&amp;"|"&amp;C3733,'Kit Lists'!$J$6:$J$605,0)),"Not on this contract's kit list"))</f>
        <v/>
      </c>
      <c r="H3733" s="83" t="str">
        <f aca="false">IF(AND(B3733="",C3733="",D3733=""),"",IF(B3733="","Missing contract",IF(C3733="","Missing code",IF(LEFT(G3733,3)="Not","Wrong code",IF(D3733="","Missing qty",IF(A3733="","Missing date",""))))))</f>
        <v/>
      </c>
      <c r="I3733" s="84" t="str">
        <f aca="false">IF(B3733=Dashboard!$D$3,ROW(),"")</f>
        <v/>
      </c>
    </row>
    <row r="3734" customFormat="false" ht="15" hidden="false" customHeight="false" outlineLevel="0" collapsed="false">
      <c r="A3734" s="80"/>
      <c r="B3734" s="71"/>
      <c r="C3734" s="71"/>
      <c r="D3734" s="81"/>
      <c r="E3734" s="71"/>
      <c r="F3734" s="71"/>
      <c r="G3734" s="82" t="str">
        <f aca="false">IF(C3734="","",IFERROR(INDEX('Kit Lists'!$D$6:$D$605,MATCH(B3734&amp;"|"&amp;C3734,'Kit Lists'!$J$6:$J$605,0)),"Not on this contract's kit list"))</f>
        <v/>
      </c>
      <c r="H3734" s="83" t="str">
        <f aca="false">IF(AND(B3734="",C3734="",D3734=""),"",IF(B3734="","Missing contract",IF(C3734="","Missing code",IF(LEFT(G3734,3)="Not","Wrong code",IF(D3734="","Missing qty",IF(A3734="","Missing date",""))))))</f>
        <v/>
      </c>
      <c r="I3734" s="84" t="str">
        <f aca="false">IF(B3734=Dashboard!$D$3,ROW(),"")</f>
        <v/>
      </c>
    </row>
    <row r="3735" customFormat="false" ht="15" hidden="false" customHeight="false" outlineLevel="0" collapsed="false">
      <c r="A3735" s="80"/>
      <c r="B3735" s="71"/>
      <c r="C3735" s="71"/>
      <c r="D3735" s="81"/>
      <c r="E3735" s="71"/>
      <c r="F3735" s="71"/>
      <c r="G3735" s="82" t="str">
        <f aca="false">IF(C3735="","",IFERROR(INDEX('Kit Lists'!$D$6:$D$605,MATCH(B3735&amp;"|"&amp;C3735,'Kit Lists'!$J$6:$J$605,0)),"Not on this contract's kit list"))</f>
        <v/>
      </c>
      <c r="H3735" s="83" t="str">
        <f aca="false">IF(AND(B3735="",C3735="",D3735=""),"",IF(B3735="","Missing contract",IF(C3735="","Missing code",IF(LEFT(G3735,3)="Not","Wrong code",IF(D3735="","Missing qty",IF(A3735="","Missing date",""))))))</f>
        <v/>
      </c>
      <c r="I3735" s="84" t="str">
        <f aca="false">IF(B3735=Dashboard!$D$3,ROW(),"")</f>
        <v/>
      </c>
    </row>
    <row r="3736" customFormat="false" ht="15" hidden="false" customHeight="false" outlineLevel="0" collapsed="false">
      <c r="A3736" s="80"/>
      <c r="B3736" s="71"/>
      <c r="C3736" s="71"/>
      <c r="D3736" s="81"/>
      <c r="E3736" s="71"/>
      <c r="F3736" s="71"/>
      <c r="G3736" s="82" t="str">
        <f aca="false">IF(C3736="","",IFERROR(INDEX('Kit Lists'!$D$6:$D$605,MATCH(B3736&amp;"|"&amp;C3736,'Kit Lists'!$J$6:$J$605,0)),"Not on this contract's kit list"))</f>
        <v/>
      </c>
      <c r="H3736" s="83" t="str">
        <f aca="false">IF(AND(B3736="",C3736="",D3736=""),"",IF(B3736="","Missing contract",IF(C3736="","Missing code",IF(LEFT(G3736,3)="Not","Wrong code",IF(D3736="","Missing qty",IF(A3736="","Missing date",""))))))</f>
        <v/>
      </c>
      <c r="I3736" s="84" t="str">
        <f aca="false">IF(B3736=Dashboard!$D$3,ROW(),"")</f>
        <v/>
      </c>
    </row>
    <row r="3737" customFormat="false" ht="15" hidden="false" customHeight="false" outlineLevel="0" collapsed="false">
      <c r="A3737" s="80"/>
      <c r="B3737" s="71"/>
      <c r="C3737" s="71"/>
      <c r="D3737" s="81"/>
      <c r="E3737" s="71"/>
      <c r="F3737" s="71"/>
      <c r="G3737" s="82" t="str">
        <f aca="false">IF(C3737="","",IFERROR(INDEX('Kit Lists'!$D$6:$D$605,MATCH(B3737&amp;"|"&amp;C3737,'Kit Lists'!$J$6:$J$605,0)),"Not on this contract's kit list"))</f>
        <v/>
      </c>
      <c r="H3737" s="83" t="str">
        <f aca="false">IF(AND(B3737="",C3737="",D3737=""),"",IF(B3737="","Missing contract",IF(C3737="","Missing code",IF(LEFT(G3737,3)="Not","Wrong code",IF(D3737="","Missing qty",IF(A3737="","Missing date",""))))))</f>
        <v/>
      </c>
      <c r="I3737" s="84" t="str">
        <f aca="false">IF(B3737=Dashboard!$D$3,ROW(),"")</f>
        <v/>
      </c>
    </row>
    <row r="3738" customFormat="false" ht="15" hidden="false" customHeight="false" outlineLevel="0" collapsed="false">
      <c r="A3738" s="80"/>
      <c r="B3738" s="71"/>
      <c r="C3738" s="71"/>
      <c r="D3738" s="81"/>
      <c r="E3738" s="71"/>
      <c r="F3738" s="71"/>
      <c r="G3738" s="82" t="str">
        <f aca="false">IF(C3738="","",IFERROR(INDEX('Kit Lists'!$D$6:$D$605,MATCH(B3738&amp;"|"&amp;C3738,'Kit Lists'!$J$6:$J$605,0)),"Not on this contract's kit list"))</f>
        <v/>
      </c>
      <c r="H3738" s="83" t="str">
        <f aca="false">IF(AND(B3738="",C3738="",D3738=""),"",IF(B3738="","Missing contract",IF(C3738="","Missing code",IF(LEFT(G3738,3)="Not","Wrong code",IF(D3738="","Missing qty",IF(A3738="","Missing date",""))))))</f>
        <v/>
      </c>
      <c r="I3738" s="84" t="str">
        <f aca="false">IF(B3738=Dashboard!$D$3,ROW(),"")</f>
        <v/>
      </c>
    </row>
    <row r="3739" customFormat="false" ht="15" hidden="false" customHeight="false" outlineLevel="0" collapsed="false">
      <c r="A3739" s="80"/>
      <c r="B3739" s="71"/>
      <c r="C3739" s="71"/>
      <c r="D3739" s="81"/>
      <c r="E3739" s="71"/>
      <c r="F3739" s="71"/>
      <c r="G3739" s="82" t="str">
        <f aca="false">IF(C3739="","",IFERROR(INDEX('Kit Lists'!$D$6:$D$605,MATCH(B3739&amp;"|"&amp;C3739,'Kit Lists'!$J$6:$J$605,0)),"Not on this contract's kit list"))</f>
        <v/>
      </c>
      <c r="H3739" s="83" t="str">
        <f aca="false">IF(AND(B3739="",C3739="",D3739=""),"",IF(B3739="","Missing contract",IF(C3739="","Missing code",IF(LEFT(G3739,3)="Not","Wrong code",IF(D3739="","Missing qty",IF(A3739="","Missing date",""))))))</f>
        <v/>
      </c>
      <c r="I3739" s="84" t="str">
        <f aca="false">IF(B3739=Dashboard!$D$3,ROW(),"")</f>
        <v/>
      </c>
    </row>
    <row r="3740" customFormat="false" ht="15" hidden="false" customHeight="false" outlineLevel="0" collapsed="false">
      <c r="A3740" s="80"/>
      <c r="B3740" s="71"/>
      <c r="C3740" s="71"/>
      <c r="D3740" s="81"/>
      <c r="E3740" s="71"/>
      <c r="F3740" s="71"/>
      <c r="G3740" s="82" t="str">
        <f aca="false">IF(C3740="","",IFERROR(INDEX('Kit Lists'!$D$6:$D$605,MATCH(B3740&amp;"|"&amp;C3740,'Kit Lists'!$J$6:$J$605,0)),"Not on this contract's kit list"))</f>
        <v/>
      </c>
      <c r="H3740" s="83" t="str">
        <f aca="false">IF(AND(B3740="",C3740="",D3740=""),"",IF(B3740="","Missing contract",IF(C3740="","Missing code",IF(LEFT(G3740,3)="Not","Wrong code",IF(D3740="","Missing qty",IF(A3740="","Missing date",""))))))</f>
        <v/>
      </c>
      <c r="I3740" s="84" t="str">
        <f aca="false">IF(B3740=Dashboard!$D$3,ROW(),"")</f>
        <v/>
      </c>
    </row>
    <row r="3741" customFormat="false" ht="15" hidden="false" customHeight="false" outlineLevel="0" collapsed="false">
      <c r="A3741" s="80"/>
      <c r="B3741" s="71"/>
      <c r="C3741" s="71"/>
      <c r="D3741" s="81"/>
      <c r="E3741" s="71"/>
      <c r="F3741" s="71"/>
      <c r="G3741" s="82" t="str">
        <f aca="false">IF(C3741="","",IFERROR(INDEX('Kit Lists'!$D$6:$D$605,MATCH(B3741&amp;"|"&amp;C3741,'Kit Lists'!$J$6:$J$605,0)),"Not on this contract's kit list"))</f>
        <v/>
      </c>
      <c r="H3741" s="83" t="str">
        <f aca="false">IF(AND(B3741="",C3741="",D3741=""),"",IF(B3741="","Missing contract",IF(C3741="","Missing code",IF(LEFT(G3741,3)="Not","Wrong code",IF(D3741="","Missing qty",IF(A3741="","Missing date",""))))))</f>
        <v/>
      </c>
      <c r="I3741" s="84" t="str">
        <f aca="false">IF(B3741=Dashboard!$D$3,ROW(),"")</f>
        <v/>
      </c>
    </row>
    <row r="3742" customFormat="false" ht="15" hidden="false" customHeight="false" outlineLevel="0" collapsed="false">
      <c r="A3742" s="80"/>
      <c r="B3742" s="71"/>
      <c r="C3742" s="71"/>
      <c r="D3742" s="81"/>
      <c r="E3742" s="71"/>
      <c r="F3742" s="71"/>
      <c r="G3742" s="82" t="str">
        <f aca="false">IF(C3742="","",IFERROR(INDEX('Kit Lists'!$D$6:$D$605,MATCH(B3742&amp;"|"&amp;C3742,'Kit Lists'!$J$6:$J$605,0)),"Not on this contract's kit list"))</f>
        <v/>
      </c>
      <c r="H3742" s="83" t="str">
        <f aca="false">IF(AND(B3742="",C3742="",D3742=""),"",IF(B3742="","Missing contract",IF(C3742="","Missing code",IF(LEFT(G3742,3)="Not","Wrong code",IF(D3742="","Missing qty",IF(A3742="","Missing date",""))))))</f>
        <v/>
      </c>
      <c r="I3742" s="84" t="str">
        <f aca="false">IF(B3742=Dashboard!$D$3,ROW(),"")</f>
        <v/>
      </c>
    </row>
    <row r="3743" customFormat="false" ht="15" hidden="false" customHeight="false" outlineLevel="0" collapsed="false">
      <c r="A3743" s="80"/>
      <c r="B3743" s="71"/>
      <c r="C3743" s="71"/>
      <c r="D3743" s="81"/>
      <c r="E3743" s="71"/>
      <c r="F3743" s="71"/>
      <c r="G3743" s="82" t="str">
        <f aca="false">IF(C3743="","",IFERROR(INDEX('Kit Lists'!$D$6:$D$605,MATCH(B3743&amp;"|"&amp;C3743,'Kit Lists'!$J$6:$J$605,0)),"Not on this contract's kit list"))</f>
        <v/>
      </c>
      <c r="H3743" s="83" t="str">
        <f aca="false">IF(AND(B3743="",C3743="",D3743=""),"",IF(B3743="","Missing contract",IF(C3743="","Missing code",IF(LEFT(G3743,3)="Not","Wrong code",IF(D3743="","Missing qty",IF(A3743="","Missing date",""))))))</f>
        <v/>
      </c>
      <c r="I3743" s="84" t="str">
        <f aca="false">IF(B3743=Dashboard!$D$3,ROW(),"")</f>
        <v/>
      </c>
    </row>
    <row r="3744" customFormat="false" ht="15" hidden="false" customHeight="false" outlineLevel="0" collapsed="false">
      <c r="A3744" s="80"/>
      <c r="B3744" s="71"/>
      <c r="C3744" s="71"/>
      <c r="D3744" s="81"/>
      <c r="E3744" s="71"/>
      <c r="F3744" s="71"/>
      <c r="G3744" s="82" t="str">
        <f aca="false">IF(C3744="","",IFERROR(INDEX('Kit Lists'!$D$6:$D$605,MATCH(B3744&amp;"|"&amp;C3744,'Kit Lists'!$J$6:$J$605,0)),"Not on this contract's kit list"))</f>
        <v/>
      </c>
      <c r="H3744" s="83" t="str">
        <f aca="false">IF(AND(B3744="",C3744="",D3744=""),"",IF(B3744="","Missing contract",IF(C3744="","Missing code",IF(LEFT(G3744,3)="Not","Wrong code",IF(D3744="","Missing qty",IF(A3744="","Missing date",""))))))</f>
        <v/>
      </c>
      <c r="I3744" s="84" t="str">
        <f aca="false">IF(B3744=Dashboard!$D$3,ROW(),"")</f>
        <v/>
      </c>
    </row>
    <row r="3745" customFormat="false" ht="15" hidden="false" customHeight="false" outlineLevel="0" collapsed="false">
      <c r="A3745" s="80"/>
      <c r="B3745" s="71"/>
      <c r="C3745" s="71"/>
      <c r="D3745" s="81"/>
      <c r="E3745" s="71"/>
      <c r="F3745" s="71"/>
      <c r="G3745" s="82" t="str">
        <f aca="false">IF(C3745="","",IFERROR(INDEX('Kit Lists'!$D$6:$D$605,MATCH(B3745&amp;"|"&amp;C3745,'Kit Lists'!$J$6:$J$605,0)),"Not on this contract's kit list"))</f>
        <v/>
      </c>
      <c r="H3745" s="83" t="str">
        <f aca="false">IF(AND(B3745="",C3745="",D3745=""),"",IF(B3745="","Missing contract",IF(C3745="","Missing code",IF(LEFT(G3745,3)="Not","Wrong code",IF(D3745="","Missing qty",IF(A3745="","Missing date",""))))))</f>
        <v/>
      </c>
      <c r="I3745" s="84" t="str">
        <f aca="false">IF(B3745=Dashboard!$D$3,ROW(),"")</f>
        <v/>
      </c>
    </row>
    <row r="3746" customFormat="false" ht="15" hidden="false" customHeight="false" outlineLevel="0" collapsed="false">
      <c r="A3746" s="80"/>
      <c r="B3746" s="71"/>
      <c r="C3746" s="71"/>
      <c r="D3746" s="81"/>
      <c r="E3746" s="71"/>
      <c r="F3746" s="71"/>
      <c r="G3746" s="82" t="str">
        <f aca="false">IF(C3746="","",IFERROR(INDEX('Kit Lists'!$D$6:$D$605,MATCH(B3746&amp;"|"&amp;C3746,'Kit Lists'!$J$6:$J$605,0)),"Not on this contract's kit list"))</f>
        <v/>
      </c>
      <c r="H3746" s="83" t="str">
        <f aca="false">IF(AND(B3746="",C3746="",D3746=""),"",IF(B3746="","Missing contract",IF(C3746="","Missing code",IF(LEFT(G3746,3)="Not","Wrong code",IF(D3746="","Missing qty",IF(A3746="","Missing date",""))))))</f>
        <v/>
      </c>
      <c r="I3746" s="84" t="str">
        <f aca="false">IF(B3746=Dashboard!$D$3,ROW(),"")</f>
        <v/>
      </c>
    </row>
    <row r="3747" customFormat="false" ht="15" hidden="false" customHeight="false" outlineLevel="0" collapsed="false">
      <c r="A3747" s="80"/>
      <c r="B3747" s="71"/>
      <c r="C3747" s="71"/>
      <c r="D3747" s="81"/>
      <c r="E3747" s="71"/>
      <c r="F3747" s="71"/>
      <c r="G3747" s="82" t="str">
        <f aca="false">IF(C3747="","",IFERROR(INDEX('Kit Lists'!$D$6:$D$605,MATCH(B3747&amp;"|"&amp;C3747,'Kit Lists'!$J$6:$J$605,0)),"Not on this contract's kit list"))</f>
        <v/>
      </c>
      <c r="H3747" s="83" t="str">
        <f aca="false">IF(AND(B3747="",C3747="",D3747=""),"",IF(B3747="","Missing contract",IF(C3747="","Missing code",IF(LEFT(G3747,3)="Not","Wrong code",IF(D3747="","Missing qty",IF(A3747="","Missing date",""))))))</f>
        <v/>
      </c>
      <c r="I3747" s="84" t="str">
        <f aca="false">IF(B3747=Dashboard!$D$3,ROW(),"")</f>
        <v/>
      </c>
    </row>
    <row r="3748" customFormat="false" ht="15" hidden="false" customHeight="false" outlineLevel="0" collapsed="false">
      <c r="A3748" s="80"/>
      <c r="B3748" s="71"/>
      <c r="C3748" s="71"/>
      <c r="D3748" s="81"/>
      <c r="E3748" s="71"/>
      <c r="F3748" s="71"/>
      <c r="G3748" s="82" t="str">
        <f aca="false">IF(C3748="","",IFERROR(INDEX('Kit Lists'!$D$6:$D$605,MATCH(B3748&amp;"|"&amp;C3748,'Kit Lists'!$J$6:$J$605,0)),"Not on this contract's kit list"))</f>
        <v/>
      </c>
      <c r="H3748" s="83" t="str">
        <f aca="false">IF(AND(B3748="",C3748="",D3748=""),"",IF(B3748="","Missing contract",IF(C3748="","Missing code",IF(LEFT(G3748,3)="Not","Wrong code",IF(D3748="","Missing qty",IF(A3748="","Missing date",""))))))</f>
        <v/>
      </c>
      <c r="I3748" s="84" t="str">
        <f aca="false">IF(B3748=Dashboard!$D$3,ROW(),"")</f>
        <v/>
      </c>
    </row>
    <row r="3749" customFormat="false" ht="15" hidden="false" customHeight="false" outlineLevel="0" collapsed="false">
      <c r="A3749" s="80"/>
      <c r="B3749" s="71"/>
      <c r="C3749" s="71"/>
      <c r="D3749" s="81"/>
      <c r="E3749" s="71"/>
      <c r="F3749" s="71"/>
      <c r="G3749" s="82" t="str">
        <f aca="false">IF(C3749="","",IFERROR(INDEX('Kit Lists'!$D$6:$D$605,MATCH(B3749&amp;"|"&amp;C3749,'Kit Lists'!$J$6:$J$605,0)),"Not on this contract's kit list"))</f>
        <v/>
      </c>
      <c r="H3749" s="83" t="str">
        <f aca="false">IF(AND(B3749="",C3749="",D3749=""),"",IF(B3749="","Missing contract",IF(C3749="","Missing code",IF(LEFT(G3749,3)="Not","Wrong code",IF(D3749="","Missing qty",IF(A3749="","Missing date",""))))))</f>
        <v/>
      </c>
      <c r="I3749" s="84" t="str">
        <f aca="false">IF(B3749=Dashboard!$D$3,ROW(),"")</f>
        <v/>
      </c>
    </row>
    <row r="3750" customFormat="false" ht="15" hidden="false" customHeight="false" outlineLevel="0" collapsed="false">
      <c r="A3750" s="80"/>
      <c r="B3750" s="71"/>
      <c r="C3750" s="71"/>
      <c r="D3750" s="81"/>
      <c r="E3750" s="71"/>
      <c r="F3750" s="71"/>
      <c r="G3750" s="82" t="str">
        <f aca="false">IF(C3750="","",IFERROR(INDEX('Kit Lists'!$D$6:$D$605,MATCH(B3750&amp;"|"&amp;C3750,'Kit Lists'!$J$6:$J$605,0)),"Not on this contract's kit list"))</f>
        <v/>
      </c>
      <c r="H3750" s="83" t="str">
        <f aca="false">IF(AND(B3750="",C3750="",D3750=""),"",IF(B3750="","Missing contract",IF(C3750="","Missing code",IF(LEFT(G3750,3)="Not","Wrong code",IF(D3750="","Missing qty",IF(A3750="","Missing date",""))))))</f>
        <v/>
      </c>
      <c r="I3750" s="84" t="str">
        <f aca="false">IF(B3750=Dashboard!$D$3,ROW(),"")</f>
        <v/>
      </c>
    </row>
    <row r="3751" customFormat="false" ht="15" hidden="false" customHeight="false" outlineLevel="0" collapsed="false">
      <c r="A3751" s="80"/>
      <c r="B3751" s="71"/>
      <c r="C3751" s="71"/>
      <c r="D3751" s="81"/>
      <c r="E3751" s="71"/>
      <c r="F3751" s="71"/>
      <c r="G3751" s="82" t="str">
        <f aca="false">IF(C3751="","",IFERROR(INDEX('Kit Lists'!$D$6:$D$605,MATCH(B3751&amp;"|"&amp;C3751,'Kit Lists'!$J$6:$J$605,0)),"Not on this contract's kit list"))</f>
        <v/>
      </c>
      <c r="H3751" s="83" t="str">
        <f aca="false">IF(AND(B3751="",C3751="",D3751=""),"",IF(B3751="","Missing contract",IF(C3751="","Missing code",IF(LEFT(G3751,3)="Not","Wrong code",IF(D3751="","Missing qty",IF(A3751="","Missing date",""))))))</f>
        <v/>
      </c>
      <c r="I3751" s="84" t="str">
        <f aca="false">IF(B3751=Dashboard!$D$3,ROW(),"")</f>
        <v/>
      </c>
    </row>
    <row r="3752" customFormat="false" ht="15" hidden="false" customHeight="false" outlineLevel="0" collapsed="false">
      <c r="A3752" s="80"/>
      <c r="B3752" s="71"/>
      <c r="C3752" s="71"/>
      <c r="D3752" s="81"/>
      <c r="E3752" s="71"/>
      <c r="F3752" s="71"/>
      <c r="G3752" s="82" t="str">
        <f aca="false">IF(C3752="","",IFERROR(INDEX('Kit Lists'!$D$6:$D$605,MATCH(B3752&amp;"|"&amp;C3752,'Kit Lists'!$J$6:$J$605,0)),"Not on this contract's kit list"))</f>
        <v/>
      </c>
      <c r="H3752" s="83" t="str">
        <f aca="false">IF(AND(B3752="",C3752="",D3752=""),"",IF(B3752="","Missing contract",IF(C3752="","Missing code",IF(LEFT(G3752,3)="Not","Wrong code",IF(D3752="","Missing qty",IF(A3752="","Missing date",""))))))</f>
        <v/>
      </c>
      <c r="I3752" s="84" t="str">
        <f aca="false">IF(B3752=Dashboard!$D$3,ROW(),"")</f>
        <v/>
      </c>
    </row>
    <row r="3753" customFormat="false" ht="15" hidden="false" customHeight="false" outlineLevel="0" collapsed="false">
      <c r="A3753" s="80"/>
      <c r="B3753" s="71"/>
      <c r="C3753" s="71"/>
      <c r="D3753" s="81"/>
      <c r="E3753" s="71"/>
      <c r="F3753" s="71"/>
      <c r="G3753" s="82" t="str">
        <f aca="false">IF(C3753="","",IFERROR(INDEX('Kit Lists'!$D$6:$D$605,MATCH(B3753&amp;"|"&amp;C3753,'Kit Lists'!$J$6:$J$605,0)),"Not on this contract's kit list"))</f>
        <v/>
      </c>
      <c r="H3753" s="83" t="str">
        <f aca="false">IF(AND(B3753="",C3753="",D3753=""),"",IF(B3753="","Missing contract",IF(C3753="","Missing code",IF(LEFT(G3753,3)="Not","Wrong code",IF(D3753="","Missing qty",IF(A3753="","Missing date",""))))))</f>
        <v/>
      </c>
      <c r="I3753" s="84" t="str">
        <f aca="false">IF(B3753=Dashboard!$D$3,ROW(),"")</f>
        <v/>
      </c>
    </row>
    <row r="3754" customFormat="false" ht="15" hidden="false" customHeight="false" outlineLevel="0" collapsed="false">
      <c r="A3754" s="80"/>
      <c r="B3754" s="71"/>
      <c r="C3754" s="71"/>
      <c r="D3754" s="81"/>
      <c r="E3754" s="71"/>
      <c r="F3754" s="71"/>
      <c r="G3754" s="82" t="str">
        <f aca="false">IF(C3754="","",IFERROR(INDEX('Kit Lists'!$D$6:$D$605,MATCH(B3754&amp;"|"&amp;C3754,'Kit Lists'!$J$6:$J$605,0)),"Not on this contract's kit list"))</f>
        <v/>
      </c>
      <c r="H3754" s="83" t="str">
        <f aca="false">IF(AND(B3754="",C3754="",D3754=""),"",IF(B3754="","Missing contract",IF(C3754="","Missing code",IF(LEFT(G3754,3)="Not","Wrong code",IF(D3754="","Missing qty",IF(A3754="","Missing date",""))))))</f>
        <v/>
      </c>
      <c r="I3754" s="84" t="str">
        <f aca="false">IF(B3754=Dashboard!$D$3,ROW(),"")</f>
        <v/>
      </c>
    </row>
    <row r="3755" customFormat="false" ht="15" hidden="false" customHeight="false" outlineLevel="0" collapsed="false">
      <c r="A3755" s="80"/>
      <c r="B3755" s="71"/>
      <c r="C3755" s="71"/>
      <c r="D3755" s="81"/>
      <c r="E3755" s="71"/>
      <c r="F3755" s="71"/>
      <c r="G3755" s="82" t="str">
        <f aca="false">IF(C3755="","",IFERROR(INDEX('Kit Lists'!$D$6:$D$605,MATCH(B3755&amp;"|"&amp;C3755,'Kit Lists'!$J$6:$J$605,0)),"Not on this contract's kit list"))</f>
        <v/>
      </c>
      <c r="H3755" s="83" t="str">
        <f aca="false">IF(AND(B3755="",C3755="",D3755=""),"",IF(B3755="","Missing contract",IF(C3755="","Missing code",IF(LEFT(G3755,3)="Not","Wrong code",IF(D3755="","Missing qty",IF(A3755="","Missing date",""))))))</f>
        <v/>
      </c>
      <c r="I3755" s="84" t="str">
        <f aca="false">IF(B3755=Dashboard!$D$3,ROW(),"")</f>
        <v/>
      </c>
    </row>
    <row r="3756" customFormat="false" ht="15" hidden="false" customHeight="false" outlineLevel="0" collapsed="false">
      <c r="A3756" s="80"/>
      <c r="B3756" s="71"/>
      <c r="C3756" s="71"/>
      <c r="D3756" s="81"/>
      <c r="E3756" s="71"/>
      <c r="F3756" s="71"/>
      <c r="G3756" s="82" t="str">
        <f aca="false">IF(C3756="","",IFERROR(INDEX('Kit Lists'!$D$6:$D$605,MATCH(B3756&amp;"|"&amp;C3756,'Kit Lists'!$J$6:$J$605,0)),"Not on this contract's kit list"))</f>
        <v/>
      </c>
      <c r="H3756" s="83" t="str">
        <f aca="false">IF(AND(B3756="",C3756="",D3756=""),"",IF(B3756="","Missing contract",IF(C3756="","Missing code",IF(LEFT(G3756,3)="Not","Wrong code",IF(D3756="","Missing qty",IF(A3756="","Missing date",""))))))</f>
        <v/>
      </c>
      <c r="I3756" s="84" t="str">
        <f aca="false">IF(B3756=Dashboard!$D$3,ROW(),"")</f>
        <v/>
      </c>
    </row>
    <row r="3757" customFormat="false" ht="15" hidden="false" customHeight="false" outlineLevel="0" collapsed="false">
      <c r="A3757" s="80"/>
      <c r="B3757" s="71"/>
      <c r="C3757" s="71"/>
      <c r="D3757" s="81"/>
      <c r="E3757" s="71"/>
      <c r="F3757" s="71"/>
      <c r="G3757" s="82" t="str">
        <f aca="false">IF(C3757="","",IFERROR(INDEX('Kit Lists'!$D$6:$D$605,MATCH(B3757&amp;"|"&amp;C3757,'Kit Lists'!$J$6:$J$605,0)),"Not on this contract's kit list"))</f>
        <v/>
      </c>
      <c r="H3757" s="83" t="str">
        <f aca="false">IF(AND(B3757="",C3757="",D3757=""),"",IF(B3757="","Missing contract",IF(C3757="","Missing code",IF(LEFT(G3757,3)="Not","Wrong code",IF(D3757="","Missing qty",IF(A3757="","Missing date",""))))))</f>
        <v/>
      </c>
      <c r="I3757" s="84" t="str">
        <f aca="false">IF(B3757=Dashboard!$D$3,ROW(),"")</f>
        <v/>
      </c>
    </row>
    <row r="3758" customFormat="false" ht="15" hidden="false" customHeight="false" outlineLevel="0" collapsed="false">
      <c r="A3758" s="80"/>
      <c r="B3758" s="71"/>
      <c r="C3758" s="71"/>
      <c r="D3758" s="81"/>
      <c r="E3758" s="71"/>
      <c r="F3758" s="71"/>
      <c r="G3758" s="82" t="str">
        <f aca="false">IF(C3758="","",IFERROR(INDEX('Kit Lists'!$D$6:$D$605,MATCH(B3758&amp;"|"&amp;C3758,'Kit Lists'!$J$6:$J$605,0)),"Not on this contract's kit list"))</f>
        <v/>
      </c>
      <c r="H3758" s="83" t="str">
        <f aca="false">IF(AND(B3758="",C3758="",D3758=""),"",IF(B3758="","Missing contract",IF(C3758="","Missing code",IF(LEFT(G3758,3)="Not","Wrong code",IF(D3758="","Missing qty",IF(A3758="","Missing date",""))))))</f>
        <v/>
      </c>
      <c r="I3758" s="84" t="str">
        <f aca="false">IF(B3758=Dashboard!$D$3,ROW(),"")</f>
        <v/>
      </c>
    </row>
    <row r="3759" customFormat="false" ht="15" hidden="false" customHeight="false" outlineLevel="0" collapsed="false">
      <c r="A3759" s="80"/>
      <c r="B3759" s="71"/>
      <c r="C3759" s="71"/>
      <c r="D3759" s="81"/>
      <c r="E3759" s="71"/>
      <c r="F3759" s="71"/>
      <c r="G3759" s="82" t="str">
        <f aca="false">IF(C3759="","",IFERROR(INDEX('Kit Lists'!$D$6:$D$605,MATCH(B3759&amp;"|"&amp;C3759,'Kit Lists'!$J$6:$J$605,0)),"Not on this contract's kit list"))</f>
        <v/>
      </c>
      <c r="H3759" s="83" t="str">
        <f aca="false">IF(AND(B3759="",C3759="",D3759=""),"",IF(B3759="","Missing contract",IF(C3759="","Missing code",IF(LEFT(G3759,3)="Not","Wrong code",IF(D3759="","Missing qty",IF(A3759="","Missing date",""))))))</f>
        <v/>
      </c>
      <c r="I3759" s="84" t="str">
        <f aca="false">IF(B3759=Dashboard!$D$3,ROW(),"")</f>
        <v/>
      </c>
    </row>
    <row r="3760" customFormat="false" ht="15" hidden="false" customHeight="false" outlineLevel="0" collapsed="false">
      <c r="A3760" s="80"/>
      <c r="B3760" s="71"/>
      <c r="C3760" s="71"/>
      <c r="D3760" s="81"/>
      <c r="E3760" s="71"/>
      <c r="F3760" s="71"/>
      <c r="G3760" s="82" t="str">
        <f aca="false">IF(C3760="","",IFERROR(INDEX('Kit Lists'!$D$6:$D$605,MATCH(B3760&amp;"|"&amp;C3760,'Kit Lists'!$J$6:$J$605,0)),"Not on this contract's kit list"))</f>
        <v/>
      </c>
      <c r="H3760" s="83" t="str">
        <f aca="false">IF(AND(B3760="",C3760="",D3760=""),"",IF(B3760="","Missing contract",IF(C3760="","Missing code",IF(LEFT(G3760,3)="Not","Wrong code",IF(D3760="","Missing qty",IF(A3760="","Missing date",""))))))</f>
        <v/>
      </c>
      <c r="I3760" s="84" t="str">
        <f aca="false">IF(B3760=Dashboard!$D$3,ROW(),"")</f>
        <v/>
      </c>
    </row>
    <row r="3761" customFormat="false" ht="15" hidden="false" customHeight="false" outlineLevel="0" collapsed="false">
      <c r="A3761" s="80"/>
      <c r="B3761" s="71"/>
      <c r="C3761" s="71"/>
      <c r="D3761" s="81"/>
      <c r="E3761" s="71"/>
      <c r="F3761" s="71"/>
      <c r="G3761" s="82" t="str">
        <f aca="false">IF(C3761="","",IFERROR(INDEX('Kit Lists'!$D$6:$D$605,MATCH(B3761&amp;"|"&amp;C3761,'Kit Lists'!$J$6:$J$605,0)),"Not on this contract's kit list"))</f>
        <v/>
      </c>
      <c r="H3761" s="83" t="str">
        <f aca="false">IF(AND(B3761="",C3761="",D3761=""),"",IF(B3761="","Missing contract",IF(C3761="","Missing code",IF(LEFT(G3761,3)="Not","Wrong code",IF(D3761="","Missing qty",IF(A3761="","Missing date",""))))))</f>
        <v/>
      </c>
      <c r="I3761" s="84" t="str">
        <f aca="false">IF(B3761=Dashboard!$D$3,ROW(),"")</f>
        <v/>
      </c>
    </row>
    <row r="3762" customFormat="false" ht="15" hidden="false" customHeight="false" outlineLevel="0" collapsed="false">
      <c r="A3762" s="80"/>
      <c r="B3762" s="71"/>
      <c r="C3762" s="71"/>
      <c r="D3762" s="81"/>
      <c r="E3762" s="71"/>
      <c r="F3762" s="71"/>
      <c r="G3762" s="82" t="str">
        <f aca="false">IF(C3762="","",IFERROR(INDEX('Kit Lists'!$D$6:$D$605,MATCH(B3762&amp;"|"&amp;C3762,'Kit Lists'!$J$6:$J$605,0)),"Not on this contract's kit list"))</f>
        <v/>
      </c>
      <c r="H3762" s="83" t="str">
        <f aca="false">IF(AND(B3762="",C3762="",D3762=""),"",IF(B3762="","Missing contract",IF(C3762="","Missing code",IF(LEFT(G3762,3)="Not","Wrong code",IF(D3762="","Missing qty",IF(A3762="","Missing date",""))))))</f>
        <v/>
      </c>
      <c r="I3762" s="84" t="str">
        <f aca="false">IF(B3762=Dashboard!$D$3,ROW(),"")</f>
        <v/>
      </c>
    </row>
    <row r="3763" customFormat="false" ht="15" hidden="false" customHeight="false" outlineLevel="0" collapsed="false">
      <c r="A3763" s="80"/>
      <c r="B3763" s="71"/>
      <c r="C3763" s="71"/>
      <c r="D3763" s="81"/>
      <c r="E3763" s="71"/>
      <c r="F3763" s="71"/>
      <c r="G3763" s="82" t="str">
        <f aca="false">IF(C3763="","",IFERROR(INDEX('Kit Lists'!$D$6:$D$605,MATCH(B3763&amp;"|"&amp;C3763,'Kit Lists'!$J$6:$J$605,0)),"Not on this contract's kit list"))</f>
        <v/>
      </c>
      <c r="H3763" s="83" t="str">
        <f aca="false">IF(AND(B3763="",C3763="",D3763=""),"",IF(B3763="","Missing contract",IF(C3763="","Missing code",IF(LEFT(G3763,3)="Not","Wrong code",IF(D3763="","Missing qty",IF(A3763="","Missing date",""))))))</f>
        <v/>
      </c>
      <c r="I3763" s="84" t="str">
        <f aca="false">IF(B3763=Dashboard!$D$3,ROW(),"")</f>
        <v/>
      </c>
    </row>
    <row r="3764" customFormat="false" ht="15" hidden="false" customHeight="false" outlineLevel="0" collapsed="false">
      <c r="A3764" s="80"/>
      <c r="B3764" s="71"/>
      <c r="C3764" s="71"/>
      <c r="D3764" s="81"/>
      <c r="E3764" s="71"/>
      <c r="F3764" s="71"/>
      <c r="G3764" s="82" t="str">
        <f aca="false">IF(C3764="","",IFERROR(INDEX('Kit Lists'!$D$6:$D$605,MATCH(B3764&amp;"|"&amp;C3764,'Kit Lists'!$J$6:$J$605,0)),"Not on this contract's kit list"))</f>
        <v/>
      </c>
      <c r="H3764" s="83" t="str">
        <f aca="false">IF(AND(B3764="",C3764="",D3764=""),"",IF(B3764="","Missing contract",IF(C3764="","Missing code",IF(LEFT(G3764,3)="Not","Wrong code",IF(D3764="","Missing qty",IF(A3764="","Missing date",""))))))</f>
        <v/>
      </c>
      <c r="I3764" s="84" t="str">
        <f aca="false">IF(B3764=Dashboard!$D$3,ROW(),"")</f>
        <v/>
      </c>
    </row>
    <row r="3765" customFormat="false" ht="15" hidden="false" customHeight="false" outlineLevel="0" collapsed="false">
      <c r="A3765" s="80"/>
      <c r="B3765" s="71"/>
      <c r="C3765" s="71"/>
      <c r="D3765" s="81"/>
      <c r="E3765" s="71"/>
      <c r="F3765" s="71"/>
      <c r="G3765" s="82" t="str">
        <f aca="false">IF(C3765="","",IFERROR(INDEX('Kit Lists'!$D$6:$D$605,MATCH(B3765&amp;"|"&amp;C3765,'Kit Lists'!$J$6:$J$605,0)),"Not on this contract's kit list"))</f>
        <v/>
      </c>
      <c r="H3765" s="83" t="str">
        <f aca="false">IF(AND(B3765="",C3765="",D3765=""),"",IF(B3765="","Missing contract",IF(C3765="","Missing code",IF(LEFT(G3765,3)="Not","Wrong code",IF(D3765="","Missing qty",IF(A3765="","Missing date",""))))))</f>
        <v/>
      </c>
      <c r="I3765" s="84" t="str">
        <f aca="false">IF(B3765=Dashboard!$D$3,ROW(),"")</f>
        <v/>
      </c>
    </row>
    <row r="3766" customFormat="false" ht="15" hidden="false" customHeight="false" outlineLevel="0" collapsed="false">
      <c r="A3766" s="80"/>
      <c r="B3766" s="71"/>
      <c r="C3766" s="71"/>
      <c r="D3766" s="81"/>
      <c r="E3766" s="71"/>
      <c r="F3766" s="71"/>
      <c r="G3766" s="82" t="str">
        <f aca="false">IF(C3766="","",IFERROR(INDEX('Kit Lists'!$D$6:$D$605,MATCH(B3766&amp;"|"&amp;C3766,'Kit Lists'!$J$6:$J$605,0)),"Not on this contract's kit list"))</f>
        <v/>
      </c>
      <c r="H3766" s="83" t="str">
        <f aca="false">IF(AND(B3766="",C3766="",D3766=""),"",IF(B3766="","Missing contract",IF(C3766="","Missing code",IF(LEFT(G3766,3)="Not","Wrong code",IF(D3766="","Missing qty",IF(A3766="","Missing date",""))))))</f>
        <v/>
      </c>
      <c r="I3766" s="84" t="str">
        <f aca="false">IF(B3766=Dashboard!$D$3,ROW(),"")</f>
        <v/>
      </c>
    </row>
    <row r="3767" customFormat="false" ht="15" hidden="false" customHeight="false" outlineLevel="0" collapsed="false">
      <c r="A3767" s="80"/>
      <c r="B3767" s="71"/>
      <c r="C3767" s="71"/>
      <c r="D3767" s="81"/>
      <c r="E3767" s="71"/>
      <c r="F3767" s="71"/>
      <c r="G3767" s="82" t="str">
        <f aca="false">IF(C3767="","",IFERROR(INDEX('Kit Lists'!$D$6:$D$605,MATCH(B3767&amp;"|"&amp;C3767,'Kit Lists'!$J$6:$J$605,0)),"Not on this contract's kit list"))</f>
        <v/>
      </c>
      <c r="H3767" s="83" t="str">
        <f aca="false">IF(AND(B3767="",C3767="",D3767=""),"",IF(B3767="","Missing contract",IF(C3767="","Missing code",IF(LEFT(G3767,3)="Not","Wrong code",IF(D3767="","Missing qty",IF(A3767="","Missing date",""))))))</f>
        <v/>
      </c>
      <c r="I3767" s="84" t="str">
        <f aca="false">IF(B3767=Dashboard!$D$3,ROW(),"")</f>
        <v/>
      </c>
    </row>
    <row r="3768" customFormat="false" ht="15" hidden="false" customHeight="false" outlineLevel="0" collapsed="false">
      <c r="A3768" s="80"/>
      <c r="B3768" s="71"/>
      <c r="C3768" s="71"/>
      <c r="D3768" s="81"/>
      <c r="E3768" s="71"/>
      <c r="F3768" s="71"/>
      <c r="G3768" s="82" t="str">
        <f aca="false">IF(C3768="","",IFERROR(INDEX('Kit Lists'!$D$6:$D$605,MATCH(B3768&amp;"|"&amp;C3768,'Kit Lists'!$J$6:$J$605,0)),"Not on this contract's kit list"))</f>
        <v/>
      </c>
      <c r="H3768" s="83" t="str">
        <f aca="false">IF(AND(B3768="",C3768="",D3768=""),"",IF(B3768="","Missing contract",IF(C3768="","Missing code",IF(LEFT(G3768,3)="Not","Wrong code",IF(D3768="","Missing qty",IF(A3768="","Missing date",""))))))</f>
        <v/>
      </c>
      <c r="I3768" s="84" t="str">
        <f aca="false">IF(B3768=Dashboard!$D$3,ROW(),"")</f>
        <v/>
      </c>
    </row>
    <row r="3769" customFormat="false" ht="15" hidden="false" customHeight="false" outlineLevel="0" collapsed="false">
      <c r="A3769" s="80"/>
      <c r="B3769" s="71"/>
      <c r="C3769" s="71"/>
      <c r="D3769" s="81"/>
      <c r="E3769" s="71"/>
      <c r="F3769" s="71"/>
      <c r="G3769" s="82" t="str">
        <f aca="false">IF(C3769="","",IFERROR(INDEX('Kit Lists'!$D$6:$D$605,MATCH(B3769&amp;"|"&amp;C3769,'Kit Lists'!$J$6:$J$605,0)),"Not on this contract's kit list"))</f>
        <v/>
      </c>
      <c r="H3769" s="83" t="str">
        <f aca="false">IF(AND(B3769="",C3769="",D3769=""),"",IF(B3769="","Missing contract",IF(C3769="","Missing code",IF(LEFT(G3769,3)="Not","Wrong code",IF(D3769="","Missing qty",IF(A3769="","Missing date",""))))))</f>
        <v/>
      </c>
      <c r="I3769" s="84" t="str">
        <f aca="false">IF(B3769=Dashboard!$D$3,ROW(),"")</f>
        <v/>
      </c>
    </row>
    <row r="3770" customFormat="false" ht="15" hidden="false" customHeight="false" outlineLevel="0" collapsed="false">
      <c r="A3770" s="80"/>
      <c r="B3770" s="71"/>
      <c r="C3770" s="71"/>
      <c r="D3770" s="81"/>
      <c r="E3770" s="71"/>
      <c r="F3770" s="71"/>
      <c r="G3770" s="82" t="str">
        <f aca="false">IF(C3770="","",IFERROR(INDEX('Kit Lists'!$D$6:$D$605,MATCH(B3770&amp;"|"&amp;C3770,'Kit Lists'!$J$6:$J$605,0)),"Not on this contract's kit list"))</f>
        <v/>
      </c>
      <c r="H3770" s="83" t="str">
        <f aca="false">IF(AND(B3770="",C3770="",D3770=""),"",IF(B3770="","Missing contract",IF(C3770="","Missing code",IF(LEFT(G3770,3)="Not","Wrong code",IF(D3770="","Missing qty",IF(A3770="","Missing date",""))))))</f>
        <v/>
      </c>
      <c r="I3770" s="84" t="str">
        <f aca="false">IF(B3770=Dashboard!$D$3,ROW(),"")</f>
        <v/>
      </c>
    </row>
    <row r="3771" customFormat="false" ht="15" hidden="false" customHeight="false" outlineLevel="0" collapsed="false">
      <c r="A3771" s="80"/>
      <c r="B3771" s="71"/>
      <c r="C3771" s="71"/>
      <c r="D3771" s="81"/>
      <c r="E3771" s="71"/>
      <c r="F3771" s="71"/>
      <c r="G3771" s="82" t="str">
        <f aca="false">IF(C3771="","",IFERROR(INDEX('Kit Lists'!$D$6:$D$605,MATCH(B3771&amp;"|"&amp;C3771,'Kit Lists'!$J$6:$J$605,0)),"Not on this contract's kit list"))</f>
        <v/>
      </c>
      <c r="H3771" s="83" t="str">
        <f aca="false">IF(AND(B3771="",C3771="",D3771=""),"",IF(B3771="","Missing contract",IF(C3771="","Missing code",IF(LEFT(G3771,3)="Not","Wrong code",IF(D3771="","Missing qty",IF(A3771="","Missing date",""))))))</f>
        <v/>
      </c>
      <c r="I3771" s="84" t="str">
        <f aca="false">IF(B3771=Dashboard!$D$3,ROW(),"")</f>
        <v/>
      </c>
    </row>
    <row r="3772" customFormat="false" ht="15" hidden="false" customHeight="false" outlineLevel="0" collapsed="false">
      <c r="A3772" s="80"/>
      <c r="B3772" s="71"/>
      <c r="C3772" s="71"/>
      <c r="D3772" s="81"/>
      <c r="E3772" s="71"/>
      <c r="F3772" s="71"/>
      <c r="G3772" s="82" t="str">
        <f aca="false">IF(C3772="","",IFERROR(INDEX('Kit Lists'!$D$6:$D$605,MATCH(B3772&amp;"|"&amp;C3772,'Kit Lists'!$J$6:$J$605,0)),"Not on this contract's kit list"))</f>
        <v/>
      </c>
      <c r="H3772" s="83" t="str">
        <f aca="false">IF(AND(B3772="",C3772="",D3772=""),"",IF(B3772="","Missing contract",IF(C3772="","Missing code",IF(LEFT(G3772,3)="Not","Wrong code",IF(D3772="","Missing qty",IF(A3772="","Missing date",""))))))</f>
        <v/>
      </c>
      <c r="I3772" s="84" t="str">
        <f aca="false">IF(B3772=Dashboard!$D$3,ROW(),"")</f>
        <v/>
      </c>
    </row>
    <row r="3773" customFormat="false" ht="15" hidden="false" customHeight="false" outlineLevel="0" collapsed="false">
      <c r="A3773" s="80"/>
      <c r="B3773" s="71"/>
      <c r="C3773" s="71"/>
      <c r="D3773" s="81"/>
      <c r="E3773" s="71"/>
      <c r="F3773" s="71"/>
      <c r="G3773" s="82" t="str">
        <f aca="false">IF(C3773="","",IFERROR(INDEX('Kit Lists'!$D$6:$D$605,MATCH(B3773&amp;"|"&amp;C3773,'Kit Lists'!$J$6:$J$605,0)),"Not on this contract's kit list"))</f>
        <v/>
      </c>
      <c r="H3773" s="83" t="str">
        <f aca="false">IF(AND(B3773="",C3773="",D3773=""),"",IF(B3773="","Missing contract",IF(C3773="","Missing code",IF(LEFT(G3773,3)="Not","Wrong code",IF(D3773="","Missing qty",IF(A3773="","Missing date",""))))))</f>
        <v/>
      </c>
      <c r="I3773" s="84" t="str">
        <f aca="false">IF(B3773=Dashboard!$D$3,ROW(),"")</f>
        <v/>
      </c>
    </row>
    <row r="3774" customFormat="false" ht="15" hidden="false" customHeight="false" outlineLevel="0" collapsed="false">
      <c r="A3774" s="80"/>
      <c r="B3774" s="71"/>
      <c r="C3774" s="71"/>
      <c r="D3774" s="81"/>
      <c r="E3774" s="71"/>
      <c r="F3774" s="71"/>
      <c r="G3774" s="82" t="str">
        <f aca="false">IF(C3774="","",IFERROR(INDEX('Kit Lists'!$D$6:$D$605,MATCH(B3774&amp;"|"&amp;C3774,'Kit Lists'!$J$6:$J$605,0)),"Not on this contract's kit list"))</f>
        <v/>
      </c>
      <c r="H3774" s="83" t="str">
        <f aca="false">IF(AND(B3774="",C3774="",D3774=""),"",IF(B3774="","Missing contract",IF(C3774="","Missing code",IF(LEFT(G3774,3)="Not","Wrong code",IF(D3774="","Missing qty",IF(A3774="","Missing date",""))))))</f>
        <v/>
      </c>
      <c r="I3774" s="84" t="str">
        <f aca="false">IF(B3774=Dashboard!$D$3,ROW(),"")</f>
        <v/>
      </c>
    </row>
    <row r="3775" customFormat="false" ht="15" hidden="false" customHeight="false" outlineLevel="0" collapsed="false">
      <c r="A3775" s="80"/>
      <c r="B3775" s="71"/>
      <c r="C3775" s="71"/>
      <c r="D3775" s="81"/>
      <c r="E3775" s="71"/>
      <c r="F3775" s="71"/>
      <c r="G3775" s="82" t="str">
        <f aca="false">IF(C3775="","",IFERROR(INDEX('Kit Lists'!$D$6:$D$605,MATCH(B3775&amp;"|"&amp;C3775,'Kit Lists'!$J$6:$J$605,0)),"Not on this contract's kit list"))</f>
        <v/>
      </c>
      <c r="H3775" s="83" t="str">
        <f aca="false">IF(AND(B3775="",C3775="",D3775=""),"",IF(B3775="","Missing contract",IF(C3775="","Missing code",IF(LEFT(G3775,3)="Not","Wrong code",IF(D3775="","Missing qty",IF(A3775="","Missing date",""))))))</f>
        <v/>
      </c>
      <c r="I3775" s="84" t="str">
        <f aca="false">IF(B3775=Dashboard!$D$3,ROW(),"")</f>
        <v/>
      </c>
    </row>
    <row r="3776" customFormat="false" ht="15" hidden="false" customHeight="false" outlineLevel="0" collapsed="false">
      <c r="A3776" s="80"/>
      <c r="B3776" s="71"/>
      <c r="C3776" s="71"/>
      <c r="D3776" s="81"/>
      <c r="E3776" s="71"/>
      <c r="F3776" s="71"/>
      <c r="G3776" s="82" t="str">
        <f aca="false">IF(C3776="","",IFERROR(INDEX('Kit Lists'!$D$6:$D$605,MATCH(B3776&amp;"|"&amp;C3776,'Kit Lists'!$J$6:$J$605,0)),"Not on this contract's kit list"))</f>
        <v/>
      </c>
      <c r="H3776" s="83" t="str">
        <f aca="false">IF(AND(B3776="",C3776="",D3776=""),"",IF(B3776="","Missing contract",IF(C3776="","Missing code",IF(LEFT(G3776,3)="Not","Wrong code",IF(D3776="","Missing qty",IF(A3776="","Missing date",""))))))</f>
        <v/>
      </c>
      <c r="I3776" s="84" t="str">
        <f aca="false">IF(B3776=Dashboard!$D$3,ROW(),"")</f>
        <v/>
      </c>
    </row>
    <row r="3777" customFormat="false" ht="15" hidden="false" customHeight="false" outlineLevel="0" collapsed="false">
      <c r="A3777" s="80"/>
      <c r="B3777" s="71"/>
      <c r="C3777" s="71"/>
      <c r="D3777" s="81"/>
      <c r="E3777" s="71"/>
      <c r="F3777" s="71"/>
      <c r="G3777" s="82" t="str">
        <f aca="false">IF(C3777="","",IFERROR(INDEX('Kit Lists'!$D$6:$D$605,MATCH(B3777&amp;"|"&amp;C3777,'Kit Lists'!$J$6:$J$605,0)),"Not on this contract's kit list"))</f>
        <v/>
      </c>
      <c r="H3777" s="83" t="str">
        <f aca="false">IF(AND(B3777="",C3777="",D3777=""),"",IF(B3777="","Missing contract",IF(C3777="","Missing code",IF(LEFT(G3777,3)="Not","Wrong code",IF(D3777="","Missing qty",IF(A3777="","Missing date",""))))))</f>
        <v/>
      </c>
      <c r="I3777" s="84" t="str">
        <f aca="false">IF(B3777=Dashboard!$D$3,ROW(),"")</f>
        <v/>
      </c>
    </row>
    <row r="3778" customFormat="false" ht="15" hidden="false" customHeight="false" outlineLevel="0" collapsed="false">
      <c r="A3778" s="80"/>
      <c r="B3778" s="71"/>
      <c r="C3778" s="71"/>
      <c r="D3778" s="81"/>
      <c r="E3778" s="71"/>
      <c r="F3778" s="71"/>
      <c r="G3778" s="82" t="str">
        <f aca="false">IF(C3778="","",IFERROR(INDEX('Kit Lists'!$D$6:$D$605,MATCH(B3778&amp;"|"&amp;C3778,'Kit Lists'!$J$6:$J$605,0)),"Not on this contract's kit list"))</f>
        <v/>
      </c>
      <c r="H3778" s="83" t="str">
        <f aca="false">IF(AND(B3778="",C3778="",D3778=""),"",IF(B3778="","Missing contract",IF(C3778="","Missing code",IF(LEFT(G3778,3)="Not","Wrong code",IF(D3778="","Missing qty",IF(A3778="","Missing date",""))))))</f>
        <v/>
      </c>
      <c r="I3778" s="84" t="str">
        <f aca="false">IF(B3778=Dashboard!$D$3,ROW(),"")</f>
        <v/>
      </c>
    </row>
    <row r="3779" customFormat="false" ht="15" hidden="false" customHeight="false" outlineLevel="0" collapsed="false">
      <c r="A3779" s="80"/>
      <c r="B3779" s="71"/>
      <c r="C3779" s="71"/>
      <c r="D3779" s="81"/>
      <c r="E3779" s="71"/>
      <c r="F3779" s="71"/>
      <c r="G3779" s="82" t="str">
        <f aca="false">IF(C3779="","",IFERROR(INDEX('Kit Lists'!$D$6:$D$605,MATCH(B3779&amp;"|"&amp;C3779,'Kit Lists'!$J$6:$J$605,0)),"Not on this contract's kit list"))</f>
        <v/>
      </c>
      <c r="H3779" s="83" t="str">
        <f aca="false">IF(AND(B3779="",C3779="",D3779=""),"",IF(B3779="","Missing contract",IF(C3779="","Missing code",IF(LEFT(G3779,3)="Not","Wrong code",IF(D3779="","Missing qty",IF(A3779="","Missing date",""))))))</f>
        <v/>
      </c>
      <c r="I3779" s="84" t="str">
        <f aca="false">IF(B3779=Dashboard!$D$3,ROW(),"")</f>
        <v/>
      </c>
    </row>
    <row r="3780" customFormat="false" ht="15" hidden="false" customHeight="false" outlineLevel="0" collapsed="false">
      <c r="A3780" s="80"/>
      <c r="B3780" s="71"/>
      <c r="C3780" s="71"/>
      <c r="D3780" s="81"/>
      <c r="E3780" s="71"/>
      <c r="F3780" s="71"/>
      <c r="G3780" s="82" t="str">
        <f aca="false">IF(C3780="","",IFERROR(INDEX('Kit Lists'!$D$6:$D$605,MATCH(B3780&amp;"|"&amp;C3780,'Kit Lists'!$J$6:$J$605,0)),"Not on this contract's kit list"))</f>
        <v/>
      </c>
      <c r="H3780" s="83" t="str">
        <f aca="false">IF(AND(B3780="",C3780="",D3780=""),"",IF(B3780="","Missing contract",IF(C3780="","Missing code",IF(LEFT(G3780,3)="Not","Wrong code",IF(D3780="","Missing qty",IF(A3780="","Missing date",""))))))</f>
        <v/>
      </c>
      <c r="I3780" s="84" t="str">
        <f aca="false">IF(B3780=Dashboard!$D$3,ROW(),"")</f>
        <v/>
      </c>
    </row>
    <row r="3781" customFormat="false" ht="15" hidden="false" customHeight="false" outlineLevel="0" collapsed="false">
      <c r="A3781" s="80"/>
      <c r="B3781" s="71"/>
      <c r="C3781" s="71"/>
      <c r="D3781" s="81"/>
      <c r="E3781" s="71"/>
      <c r="F3781" s="71"/>
      <c r="G3781" s="82" t="str">
        <f aca="false">IF(C3781="","",IFERROR(INDEX('Kit Lists'!$D$6:$D$605,MATCH(B3781&amp;"|"&amp;C3781,'Kit Lists'!$J$6:$J$605,0)),"Not on this contract's kit list"))</f>
        <v/>
      </c>
      <c r="H3781" s="83" t="str">
        <f aca="false">IF(AND(B3781="",C3781="",D3781=""),"",IF(B3781="","Missing contract",IF(C3781="","Missing code",IF(LEFT(G3781,3)="Not","Wrong code",IF(D3781="","Missing qty",IF(A3781="","Missing date",""))))))</f>
        <v/>
      </c>
      <c r="I3781" s="84" t="str">
        <f aca="false">IF(B3781=Dashboard!$D$3,ROW(),"")</f>
        <v/>
      </c>
    </row>
    <row r="3782" customFormat="false" ht="15" hidden="false" customHeight="false" outlineLevel="0" collapsed="false">
      <c r="A3782" s="80"/>
      <c r="B3782" s="71"/>
      <c r="C3782" s="71"/>
      <c r="D3782" s="81"/>
      <c r="E3782" s="71"/>
      <c r="F3782" s="71"/>
      <c r="G3782" s="82" t="str">
        <f aca="false">IF(C3782="","",IFERROR(INDEX('Kit Lists'!$D$6:$D$605,MATCH(B3782&amp;"|"&amp;C3782,'Kit Lists'!$J$6:$J$605,0)),"Not on this contract's kit list"))</f>
        <v/>
      </c>
      <c r="H3782" s="83" t="str">
        <f aca="false">IF(AND(B3782="",C3782="",D3782=""),"",IF(B3782="","Missing contract",IF(C3782="","Missing code",IF(LEFT(G3782,3)="Not","Wrong code",IF(D3782="","Missing qty",IF(A3782="","Missing date",""))))))</f>
        <v/>
      </c>
      <c r="I3782" s="84" t="str">
        <f aca="false">IF(B3782=Dashboard!$D$3,ROW(),"")</f>
        <v/>
      </c>
    </row>
    <row r="3783" customFormat="false" ht="15" hidden="false" customHeight="false" outlineLevel="0" collapsed="false">
      <c r="A3783" s="80"/>
      <c r="B3783" s="71"/>
      <c r="C3783" s="71"/>
      <c r="D3783" s="81"/>
      <c r="E3783" s="71"/>
      <c r="F3783" s="71"/>
      <c r="G3783" s="82" t="str">
        <f aca="false">IF(C3783="","",IFERROR(INDEX('Kit Lists'!$D$6:$D$605,MATCH(B3783&amp;"|"&amp;C3783,'Kit Lists'!$J$6:$J$605,0)),"Not on this contract's kit list"))</f>
        <v/>
      </c>
      <c r="H3783" s="83" t="str">
        <f aca="false">IF(AND(B3783="",C3783="",D3783=""),"",IF(B3783="","Missing contract",IF(C3783="","Missing code",IF(LEFT(G3783,3)="Not","Wrong code",IF(D3783="","Missing qty",IF(A3783="","Missing date",""))))))</f>
        <v/>
      </c>
      <c r="I3783" s="84" t="str">
        <f aca="false">IF(B3783=Dashboard!$D$3,ROW(),"")</f>
        <v/>
      </c>
    </row>
    <row r="3784" customFormat="false" ht="15" hidden="false" customHeight="false" outlineLevel="0" collapsed="false">
      <c r="A3784" s="80"/>
      <c r="B3784" s="71"/>
      <c r="C3784" s="71"/>
      <c r="D3784" s="81"/>
      <c r="E3784" s="71"/>
      <c r="F3784" s="71"/>
      <c r="G3784" s="82" t="str">
        <f aca="false">IF(C3784="","",IFERROR(INDEX('Kit Lists'!$D$6:$D$605,MATCH(B3784&amp;"|"&amp;C3784,'Kit Lists'!$J$6:$J$605,0)),"Not on this contract's kit list"))</f>
        <v/>
      </c>
      <c r="H3784" s="83" t="str">
        <f aca="false">IF(AND(B3784="",C3784="",D3784=""),"",IF(B3784="","Missing contract",IF(C3784="","Missing code",IF(LEFT(G3784,3)="Not","Wrong code",IF(D3784="","Missing qty",IF(A3784="","Missing date",""))))))</f>
        <v/>
      </c>
      <c r="I3784" s="84" t="str">
        <f aca="false">IF(B3784=Dashboard!$D$3,ROW(),"")</f>
        <v/>
      </c>
    </row>
    <row r="3785" customFormat="false" ht="15" hidden="false" customHeight="false" outlineLevel="0" collapsed="false">
      <c r="A3785" s="80"/>
      <c r="B3785" s="71"/>
      <c r="C3785" s="71"/>
      <c r="D3785" s="81"/>
      <c r="E3785" s="71"/>
      <c r="F3785" s="71"/>
      <c r="G3785" s="82" t="str">
        <f aca="false">IF(C3785="","",IFERROR(INDEX('Kit Lists'!$D$6:$D$605,MATCH(B3785&amp;"|"&amp;C3785,'Kit Lists'!$J$6:$J$605,0)),"Not on this contract's kit list"))</f>
        <v/>
      </c>
      <c r="H3785" s="83" t="str">
        <f aca="false">IF(AND(B3785="",C3785="",D3785=""),"",IF(B3785="","Missing contract",IF(C3785="","Missing code",IF(LEFT(G3785,3)="Not","Wrong code",IF(D3785="","Missing qty",IF(A3785="","Missing date",""))))))</f>
        <v/>
      </c>
      <c r="I3785" s="84" t="str">
        <f aca="false">IF(B3785=Dashboard!$D$3,ROW(),"")</f>
        <v/>
      </c>
    </row>
    <row r="3786" customFormat="false" ht="15" hidden="false" customHeight="false" outlineLevel="0" collapsed="false">
      <c r="A3786" s="80"/>
      <c r="B3786" s="71"/>
      <c r="C3786" s="71"/>
      <c r="D3786" s="81"/>
      <c r="E3786" s="71"/>
      <c r="F3786" s="71"/>
      <c r="G3786" s="82" t="str">
        <f aca="false">IF(C3786="","",IFERROR(INDEX('Kit Lists'!$D$6:$D$605,MATCH(B3786&amp;"|"&amp;C3786,'Kit Lists'!$J$6:$J$605,0)),"Not on this contract's kit list"))</f>
        <v/>
      </c>
      <c r="H3786" s="83" t="str">
        <f aca="false">IF(AND(B3786="",C3786="",D3786=""),"",IF(B3786="","Missing contract",IF(C3786="","Missing code",IF(LEFT(G3786,3)="Not","Wrong code",IF(D3786="","Missing qty",IF(A3786="","Missing date",""))))))</f>
        <v/>
      </c>
      <c r="I3786" s="84" t="str">
        <f aca="false">IF(B3786=Dashboard!$D$3,ROW(),"")</f>
        <v/>
      </c>
    </row>
    <row r="3787" customFormat="false" ht="15" hidden="false" customHeight="false" outlineLevel="0" collapsed="false">
      <c r="A3787" s="80"/>
      <c r="B3787" s="71"/>
      <c r="C3787" s="71"/>
      <c r="D3787" s="81"/>
      <c r="E3787" s="71"/>
      <c r="F3787" s="71"/>
      <c r="G3787" s="82" t="str">
        <f aca="false">IF(C3787="","",IFERROR(INDEX('Kit Lists'!$D$6:$D$605,MATCH(B3787&amp;"|"&amp;C3787,'Kit Lists'!$J$6:$J$605,0)),"Not on this contract's kit list"))</f>
        <v/>
      </c>
      <c r="H3787" s="83" t="str">
        <f aca="false">IF(AND(B3787="",C3787="",D3787=""),"",IF(B3787="","Missing contract",IF(C3787="","Missing code",IF(LEFT(G3787,3)="Not","Wrong code",IF(D3787="","Missing qty",IF(A3787="","Missing date",""))))))</f>
        <v/>
      </c>
      <c r="I3787" s="84" t="str">
        <f aca="false">IF(B3787=Dashboard!$D$3,ROW(),"")</f>
        <v/>
      </c>
    </row>
    <row r="3788" customFormat="false" ht="15" hidden="false" customHeight="false" outlineLevel="0" collapsed="false">
      <c r="A3788" s="80"/>
      <c r="B3788" s="71"/>
      <c r="C3788" s="71"/>
      <c r="D3788" s="81"/>
      <c r="E3788" s="71"/>
      <c r="F3788" s="71"/>
      <c r="G3788" s="82" t="str">
        <f aca="false">IF(C3788="","",IFERROR(INDEX('Kit Lists'!$D$6:$D$605,MATCH(B3788&amp;"|"&amp;C3788,'Kit Lists'!$J$6:$J$605,0)),"Not on this contract's kit list"))</f>
        <v/>
      </c>
      <c r="H3788" s="83" t="str">
        <f aca="false">IF(AND(B3788="",C3788="",D3788=""),"",IF(B3788="","Missing contract",IF(C3788="","Missing code",IF(LEFT(G3788,3)="Not","Wrong code",IF(D3788="","Missing qty",IF(A3788="","Missing date",""))))))</f>
        <v/>
      </c>
      <c r="I3788" s="84" t="str">
        <f aca="false">IF(B3788=Dashboard!$D$3,ROW(),"")</f>
        <v/>
      </c>
    </row>
    <row r="3789" customFormat="false" ht="15" hidden="false" customHeight="false" outlineLevel="0" collapsed="false">
      <c r="A3789" s="80"/>
      <c r="B3789" s="71"/>
      <c r="C3789" s="71"/>
      <c r="D3789" s="81"/>
      <c r="E3789" s="71"/>
      <c r="F3789" s="71"/>
      <c r="G3789" s="82" t="str">
        <f aca="false">IF(C3789="","",IFERROR(INDEX('Kit Lists'!$D$6:$D$605,MATCH(B3789&amp;"|"&amp;C3789,'Kit Lists'!$J$6:$J$605,0)),"Not on this contract's kit list"))</f>
        <v/>
      </c>
      <c r="H3789" s="83" t="str">
        <f aca="false">IF(AND(B3789="",C3789="",D3789=""),"",IF(B3789="","Missing contract",IF(C3789="","Missing code",IF(LEFT(G3789,3)="Not","Wrong code",IF(D3789="","Missing qty",IF(A3789="","Missing date",""))))))</f>
        <v/>
      </c>
      <c r="I3789" s="84" t="str">
        <f aca="false">IF(B3789=Dashboard!$D$3,ROW(),"")</f>
        <v/>
      </c>
    </row>
    <row r="3790" customFormat="false" ht="15" hidden="false" customHeight="false" outlineLevel="0" collapsed="false">
      <c r="A3790" s="80"/>
      <c r="B3790" s="71"/>
      <c r="C3790" s="71"/>
      <c r="D3790" s="81"/>
      <c r="E3790" s="71"/>
      <c r="F3790" s="71"/>
      <c r="G3790" s="82" t="str">
        <f aca="false">IF(C3790="","",IFERROR(INDEX('Kit Lists'!$D$6:$D$605,MATCH(B3790&amp;"|"&amp;C3790,'Kit Lists'!$J$6:$J$605,0)),"Not on this contract's kit list"))</f>
        <v/>
      </c>
      <c r="H3790" s="83" t="str">
        <f aca="false">IF(AND(B3790="",C3790="",D3790=""),"",IF(B3790="","Missing contract",IF(C3790="","Missing code",IF(LEFT(G3790,3)="Not","Wrong code",IF(D3790="","Missing qty",IF(A3790="","Missing date",""))))))</f>
        <v/>
      </c>
      <c r="I3790" s="84" t="str">
        <f aca="false">IF(B3790=Dashboard!$D$3,ROW(),"")</f>
        <v/>
      </c>
    </row>
    <row r="3791" customFormat="false" ht="15" hidden="false" customHeight="false" outlineLevel="0" collapsed="false">
      <c r="A3791" s="80"/>
      <c r="B3791" s="71"/>
      <c r="C3791" s="71"/>
      <c r="D3791" s="81"/>
      <c r="E3791" s="71"/>
      <c r="F3791" s="71"/>
      <c r="G3791" s="82" t="str">
        <f aca="false">IF(C3791="","",IFERROR(INDEX('Kit Lists'!$D$6:$D$605,MATCH(B3791&amp;"|"&amp;C3791,'Kit Lists'!$J$6:$J$605,0)),"Not on this contract's kit list"))</f>
        <v/>
      </c>
      <c r="H3791" s="83" t="str">
        <f aca="false">IF(AND(B3791="",C3791="",D3791=""),"",IF(B3791="","Missing contract",IF(C3791="","Missing code",IF(LEFT(G3791,3)="Not","Wrong code",IF(D3791="","Missing qty",IF(A3791="","Missing date",""))))))</f>
        <v/>
      </c>
      <c r="I3791" s="84" t="str">
        <f aca="false">IF(B3791=Dashboard!$D$3,ROW(),"")</f>
        <v/>
      </c>
    </row>
    <row r="3792" customFormat="false" ht="15" hidden="false" customHeight="false" outlineLevel="0" collapsed="false">
      <c r="A3792" s="80"/>
      <c r="B3792" s="71"/>
      <c r="C3792" s="71"/>
      <c r="D3792" s="81"/>
      <c r="E3792" s="71"/>
      <c r="F3792" s="71"/>
      <c r="G3792" s="82" t="str">
        <f aca="false">IF(C3792="","",IFERROR(INDEX('Kit Lists'!$D$6:$D$605,MATCH(B3792&amp;"|"&amp;C3792,'Kit Lists'!$J$6:$J$605,0)),"Not on this contract's kit list"))</f>
        <v/>
      </c>
      <c r="H3792" s="83" t="str">
        <f aca="false">IF(AND(B3792="",C3792="",D3792=""),"",IF(B3792="","Missing contract",IF(C3792="","Missing code",IF(LEFT(G3792,3)="Not","Wrong code",IF(D3792="","Missing qty",IF(A3792="","Missing date",""))))))</f>
        <v/>
      </c>
      <c r="I3792" s="84" t="str">
        <f aca="false">IF(B3792=Dashboard!$D$3,ROW(),"")</f>
        <v/>
      </c>
    </row>
    <row r="3793" customFormat="false" ht="15" hidden="false" customHeight="false" outlineLevel="0" collapsed="false">
      <c r="A3793" s="80"/>
      <c r="B3793" s="71"/>
      <c r="C3793" s="71"/>
      <c r="D3793" s="81"/>
      <c r="E3793" s="71"/>
      <c r="F3793" s="71"/>
      <c r="G3793" s="82" t="str">
        <f aca="false">IF(C3793="","",IFERROR(INDEX('Kit Lists'!$D$6:$D$605,MATCH(B3793&amp;"|"&amp;C3793,'Kit Lists'!$J$6:$J$605,0)),"Not on this contract's kit list"))</f>
        <v/>
      </c>
      <c r="H3793" s="83" t="str">
        <f aca="false">IF(AND(B3793="",C3793="",D3793=""),"",IF(B3793="","Missing contract",IF(C3793="","Missing code",IF(LEFT(G3793,3)="Not","Wrong code",IF(D3793="","Missing qty",IF(A3793="","Missing date",""))))))</f>
        <v/>
      </c>
      <c r="I3793" s="84" t="str">
        <f aca="false">IF(B3793=Dashboard!$D$3,ROW(),"")</f>
        <v/>
      </c>
    </row>
    <row r="3794" customFormat="false" ht="15" hidden="false" customHeight="false" outlineLevel="0" collapsed="false">
      <c r="A3794" s="80"/>
      <c r="B3794" s="71"/>
      <c r="C3794" s="71"/>
      <c r="D3794" s="81"/>
      <c r="E3794" s="71"/>
      <c r="F3794" s="71"/>
      <c r="G3794" s="82" t="str">
        <f aca="false">IF(C3794="","",IFERROR(INDEX('Kit Lists'!$D$6:$D$605,MATCH(B3794&amp;"|"&amp;C3794,'Kit Lists'!$J$6:$J$605,0)),"Not on this contract's kit list"))</f>
        <v/>
      </c>
      <c r="H3794" s="83" t="str">
        <f aca="false">IF(AND(B3794="",C3794="",D3794=""),"",IF(B3794="","Missing contract",IF(C3794="","Missing code",IF(LEFT(G3794,3)="Not","Wrong code",IF(D3794="","Missing qty",IF(A3794="","Missing date",""))))))</f>
        <v/>
      </c>
      <c r="I3794" s="84" t="str">
        <f aca="false">IF(B3794=Dashboard!$D$3,ROW(),"")</f>
        <v/>
      </c>
    </row>
    <row r="3795" customFormat="false" ht="15" hidden="false" customHeight="false" outlineLevel="0" collapsed="false">
      <c r="A3795" s="80"/>
      <c r="B3795" s="71"/>
      <c r="C3795" s="71"/>
      <c r="D3795" s="81"/>
      <c r="E3795" s="71"/>
      <c r="F3795" s="71"/>
      <c r="G3795" s="82" t="str">
        <f aca="false">IF(C3795="","",IFERROR(INDEX('Kit Lists'!$D$6:$D$605,MATCH(B3795&amp;"|"&amp;C3795,'Kit Lists'!$J$6:$J$605,0)),"Not on this contract's kit list"))</f>
        <v/>
      </c>
      <c r="H3795" s="83" t="str">
        <f aca="false">IF(AND(B3795="",C3795="",D3795=""),"",IF(B3795="","Missing contract",IF(C3795="","Missing code",IF(LEFT(G3795,3)="Not","Wrong code",IF(D3795="","Missing qty",IF(A3795="","Missing date",""))))))</f>
        <v/>
      </c>
      <c r="I3795" s="84" t="str">
        <f aca="false">IF(B3795=Dashboard!$D$3,ROW(),"")</f>
        <v/>
      </c>
    </row>
    <row r="3796" customFormat="false" ht="15" hidden="false" customHeight="false" outlineLevel="0" collapsed="false">
      <c r="A3796" s="80"/>
      <c r="B3796" s="71"/>
      <c r="C3796" s="71"/>
      <c r="D3796" s="81"/>
      <c r="E3796" s="71"/>
      <c r="F3796" s="71"/>
      <c r="G3796" s="82" t="str">
        <f aca="false">IF(C3796="","",IFERROR(INDEX('Kit Lists'!$D$6:$D$605,MATCH(B3796&amp;"|"&amp;C3796,'Kit Lists'!$J$6:$J$605,0)),"Not on this contract's kit list"))</f>
        <v/>
      </c>
      <c r="H3796" s="83" t="str">
        <f aca="false">IF(AND(B3796="",C3796="",D3796=""),"",IF(B3796="","Missing contract",IF(C3796="","Missing code",IF(LEFT(G3796,3)="Not","Wrong code",IF(D3796="","Missing qty",IF(A3796="","Missing date",""))))))</f>
        <v/>
      </c>
      <c r="I3796" s="84" t="str">
        <f aca="false">IF(B3796=Dashboard!$D$3,ROW(),"")</f>
        <v/>
      </c>
    </row>
    <row r="3797" customFormat="false" ht="15" hidden="false" customHeight="false" outlineLevel="0" collapsed="false">
      <c r="A3797" s="80"/>
      <c r="B3797" s="71"/>
      <c r="C3797" s="71"/>
      <c r="D3797" s="81"/>
      <c r="E3797" s="71"/>
      <c r="F3797" s="71"/>
      <c r="G3797" s="82" t="str">
        <f aca="false">IF(C3797="","",IFERROR(INDEX('Kit Lists'!$D$6:$D$605,MATCH(B3797&amp;"|"&amp;C3797,'Kit Lists'!$J$6:$J$605,0)),"Not on this contract's kit list"))</f>
        <v/>
      </c>
      <c r="H3797" s="83" t="str">
        <f aca="false">IF(AND(B3797="",C3797="",D3797=""),"",IF(B3797="","Missing contract",IF(C3797="","Missing code",IF(LEFT(G3797,3)="Not","Wrong code",IF(D3797="","Missing qty",IF(A3797="","Missing date",""))))))</f>
        <v/>
      </c>
      <c r="I3797" s="84" t="str">
        <f aca="false">IF(B3797=Dashboard!$D$3,ROW(),"")</f>
        <v/>
      </c>
    </row>
    <row r="3798" customFormat="false" ht="15" hidden="false" customHeight="false" outlineLevel="0" collapsed="false">
      <c r="A3798" s="80"/>
      <c r="B3798" s="71"/>
      <c r="C3798" s="71"/>
      <c r="D3798" s="81"/>
      <c r="E3798" s="71"/>
      <c r="F3798" s="71"/>
      <c r="G3798" s="82" t="str">
        <f aca="false">IF(C3798="","",IFERROR(INDEX('Kit Lists'!$D$6:$D$605,MATCH(B3798&amp;"|"&amp;C3798,'Kit Lists'!$J$6:$J$605,0)),"Not on this contract's kit list"))</f>
        <v/>
      </c>
      <c r="H3798" s="83" t="str">
        <f aca="false">IF(AND(B3798="",C3798="",D3798=""),"",IF(B3798="","Missing contract",IF(C3798="","Missing code",IF(LEFT(G3798,3)="Not","Wrong code",IF(D3798="","Missing qty",IF(A3798="","Missing date",""))))))</f>
        <v/>
      </c>
      <c r="I3798" s="84" t="str">
        <f aca="false">IF(B3798=Dashboard!$D$3,ROW(),"")</f>
        <v/>
      </c>
    </row>
    <row r="3799" customFormat="false" ht="15" hidden="false" customHeight="false" outlineLevel="0" collapsed="false">
      <c r="A3799" s="80"/>
      <c r="B3799" s="71"/>
      <c r="C3799" s="71"/>
      <c r="D3799" s="81"/>
      <c r="E3799" s="71"/>
      <c r="F3799" s="71"/>
      <c r="G3799" s="82" t="str">
        <f aca="false">IF(C3799="","",IFERROR(INDEX('Kit Lists'!$D$6:$D$605,MATCH(B3799&amp;"|"&amp;C3799,'Kit Lists'!$J$6:$J$605,0)),"Not on this contract's kit list"))</f>
        <v/>
      </c>
      <c r="H3799" s="83" t="str">
        <f aca="false">IF(AND(B3799="",C3799="",D3799=""),"",IF(B3799="","Missing contract",IF(C3799="","Missing code",IF(LEFT(G3799,3)="Not","Wrong code",IF(D3799="","Missing qty",IF(A3799="","Missing date",""))))))</f>
        <v/>
      </c>
      <c r="I3799" s="84" t="str">
        <f aca="false">IF(B3799=Dashboard!$D$3,ROW(),"")</f>
        <v/>
      </c>
    </row>
    <row r="3800" customFormat="false" ht="15" hidden="false" customHeight="false" outlineLevel="0" collapsed="false">
      <c r="A3800" s="80"/>
      <c r="B3800" s="71"/>
      <c r="C3800" s="71"/>
      <c r="D3800" s="81"/>
      <c r="E3800" s="71"/>
      <c r="F3800" s="71"/>
      <c r="G3800" s="82" t="str">
        <f aca="false">IF(C3800="","",IFERROR(INDEX('Kit Lists'!$D$6:$D$605,MATCH(B3800&amp;"|"&amp;C3800,'Kit Lists'!$J$6:$J$605,0)),"Not on this contract's kit list"))</f>
        <v/>
      </c>
      <c r="H3800" s="83" t="str">
        <f aca="false">IF(AND(B3800="",C3800="",D3800=""),"",IF(B3800="","Missing contract",IF(C3800="","Missing code",IF(LEFT(G3800,3)="Not","Wrong code",IF(D3800="","Missing qty",IF(A3800="","Missing date",""))))))</f>
        <v/>
      </c>
      <c r="I3800" s="84" t="str">
        <f aca="false">IF(B3800=Dashboard!$D$3,ROW(),"")</f>
        <v/>
      </c>
    </row>
    <row r="3801" customFormat="false" ht="15" hidden="false" customHeight="false" outlineLevel="0" collapsed="false">
      <c r="A3801" s="80"/>
      <c r="B3801" s="71"/>
      <c r="C3801" s="71"/>
      <c r="D3801" s="81"/>
      <c r="E3801" s="71"/>
      <c r="F3801" s="71"/>
      <c r="G3801" s="82" t="str">
        <f aca="false">IF(C3801="","",IFERROR(INDEX('Kit Lists'!$D$6:$D$605,MATCH(B3801&amp;"|"&amp;C3801,'Kit Lists'!$J$6:$J$605,0)),"Not on this contract's kit list"))</f>
        <v/>
      </c>
      <c r="H3801" s="83" t="str">
        <f aca="false">IF(AND(B3801="",C3801="",D3801=""),"",IF(B3801="","Missing contract",IF(C3801="","Missing code",IF(LEFT(G3801,3)="Not","Wrong code",IF(D3801="","Missing qty",IF(A3801="","Missing date",""))))))</f>
        <v/>
      </c>
      <c r="I3801" s="84" t="str">
        <f aca="false">IF(B3801=Dashboard!$D$3,ROW(),"")</f>
        <v/>
      </c>
    </row>
    <row r="3802" customFormat="false" ht="15" hidden="false" customHeight="false" outlineLevel="0" collapsed="false">
      <c r="A3802" s="80"/>
      <c r="B3802" s="71"/>
      <c r="C3802" s="71"/>
      <c r="D3802" s="81"/>
      <c r="E3802" s="71"/>
      <c r="F3802" s="71"/>
      <c r="G3802" s="82" t="str">
        <f aca="false">IF(C3802="","",IFERROR(INDEX('Kit Lists'!$D$6:$D$605,MATCH(B3802&amp;"|"&amp;C3802,'Kit Lists'!$J$6:$J$605,0)),"Not on this contract's kit list"))</f>
        <v/>
      </c>
      <c r="H3802" s="83" t="str">
        <f aca="false">IF(AND(B3802="",C3802="",D3802=""),"",IF(B3802="","Missing contract",IF(C3802="","Missing code",IF(LEFT(G3802,3)="Not","Wrong code",IF(D3802="","Missing qty",IF(A3802="","Missing date",""))))))</f>
        <v/>
      </c>
      <c r="I3802" s="84" t="str">
        <f aca="false">IF(B3802=Dashboard!$D$3,ROW(),"")</f>
        <v/>
      </c>
    </row>
    <row r="3803" customFormat="false" ht="15" hidden="false" customHeight="false" outlineLevel="0" collapsed="false">
      <c r="A3803" s="80"/>
      <c r="B3803" s="71"/>
      <c r="C3803" s="71"/>
      <c r="D3803" s="81"/>
      <c r="E3803" s="71"/>
      <c r="F3803" s="71"/>
      <c r="G3803" s="82" t="str">
        <f aca="false">IF(C3803="","",IFERROR(INDEX('Kit Lists'!$D$6:$D$605,MATCH(B3803&amp;"|"&amp;C3803,'Kit Lists'!$J$6:$J$605,0)),"Not on this contract's kit list"))</f>
        <v/>
      </c>
      <c r="H3803" s="83" t="str">
        <f aca="false">IF(AND(B3803="",C3803="",D3803=""),"",IF(B3803="","Missing contract",IF(C3803="","Missing code",IF(LEFT(G3803,3)="Not","Wrong code",IF(D3803="","Missing qty",IF(A3803="","Missing date",""))))))</f>
        <v/>
      </c>
      <c r="I3803" s="84" t="str">
        <f aca="false">IF(B3803=Dashboard!$D$3,ROW(),"")</f>
        <v/>
      </c>
    </row>
    <row r="3804" customFormat="false" ht="15" hidden="false" customHeight="false" outlineLevel="0" collapsed="false">
      <c r="A3804" s="80"/>
      <c r="B3804" s="71"/>
      <c r="C3804" s="71"/>
      <c r="D3804" s="81"/>
      <c r="E3804" s="71"/>
      <c r="F3804" s="71"/>
      <c r="G3804" s="82" t="str">
        <f aca="false">IF(C3804="","",IFERROR(INDEX('Kit Lists'!$D$6:$D$605,MATCH(B3804&amp;"|"&amp;C3804,'Kit Lists'!$J$6:$J$605,0)),"Not on this contract's kit list"))</f>
        <v/>
      </c>
      <c r="H3804" s="83" t="str">
        <f aca="false">IF(AND(B3804="",C3804="",D3804=""),"",IF(B3804="","Missing contract",IF(C3804="","Missing code",IF(LEFT(G3804,3)="Not","Wrong code",IF(D3804="","Missing qty",IF(A3804="","Missing date",""))))))</f>
        <v/>
      </c>
      <c r="I3804" s="84" t="str">
        <f aca="false">IF(B3804=Dashboard!$D$3,ROW(),"")</f>
        <v/>
      </c>
    </row>
    <row r="3805" customFormat="false" ht="15" hidden="false" customHeight="false" outlineLevel="0" collapsed="false">
      <c r="A3805" s="80"/>
      <c r="B3805" s="71"/>
      <c r="C3805" s="71"/>
      <c r="D3805" s="81"/>
      <c r="E3805" s="71"/>
      <c r="F3805" s="71"/>
      <c r="G3805" s="82" t="str">
        <f aca="false">IF(C3805="","",IFERROR(INDEX('Kit Lists'!$D$6:$D$605,MATCH(B3805&amp;"|"&amp;C3805,'Kit Lists'!$J$6:$J$605,0)),"Not on this contract's kit list"))</f>
        <v/>
      </c>
      <c r="H3805" s="83" t="str">
        <f aca="false">IF(AND(B3805="",C3805="",D3805=""),"",IF(B3805="","Missing contract",IF(C3805="","Missing code",IF(LEFT(G3805,3)="Not","Wrong code",IF(D3805="","Missing qty",IF(A3805="","Missing date",""))))))</f>
        <v/>
      </c>
      <c r="I3805" s="84" t="str">
        <f aca="false">IF(B3805=Dashboard!$D$3,ROW(),"")</f>
        <v/>
      </c>
    </row>
    <row r="3806" customFormat="false" ht="15" hidden="false" customHeight="false" outlineLevel="0" collapsed="false">
      <c r="A3806" s="80"/>
      <c r="B3806" s="71"/>
      <c r="C3806" s="71"/>
      <c r="D3806" s="81"/>
      <c r="E3806" s="71"/>
      <c r="F3806" s="71"/>
      <c r="G3806" s="82" t="str">
        <f aca="false">IF(C3806="","",IFERROR(INDEX('Kit Lists'!$D$6:$D$605,MATCH(B3806&amp;"|"&amp;C3806,'Kit Lists'!$J$6:$J$605,0)),"Not on this contract's kit list"))</f>
        <v/>
      </c>
      <c r="H3806" s="83" t="str">
        <f aca="false">IF(AND(B3806="",C3806="",D3806=""),"",IF(B3806="","Missing contract",IF(C3806="","Missing code",IF(LEFT(G3806,3)="Not","Wrong code",IF(D3806="","Missing qty",IF(A3806="","Missing date",""))))))</f>
        <v/>
      </c>
      <c r="I3806" s="84" t="str">
        <f aca="false">IF(B3806=Dashboard!$D$3,ROW(),"")</f>
        <v/>
      </c>
    </row>
    <row r="3807" customFormat="false" ht="15" hidden="false" customHeight="false" outlineLevel="0" collapsed="false">
      <c r="A3807" s="80"/>
      <c r="B3807" s="71"/>
      <c r="C3807" s="71"/>
      <c r="D3807" s="81"/>
      <c r="E3807" s="71"/>
      <c r="F3807" s="71"/>
      <c r="G3807" s="82" t="str">
        <f aca="false">IF(C3807="","",IFERROR(INDEX('Kit Lists'!$D$6:$D$605,MATCH(B3807&amp;"|"&amp;C3807,'Kit Lists'!$J$6:$J$605,0)),"Not on this contract's kit list"))</f>
        <v/>
      </c>
      <c r="H3807" s="83" t="str">
        <f aca="false">IF(AND(B3807="",C3807="",D3807=""),"",IF(B3807="","Missing contract",IF(C3807="","Missing code",IF(LEFT(G3807,3)="Not","Wrong code",IF(D3807="","Missing qty",IF(A3807="","Missing date",""))))))</f>
        <v/>
      </c>
      <c r="I3807" s="84" t="str">
        <f aca="false">IF(B3807=Dashboard!$D$3,ROW(),"")</f>
        <v/>
      </c>
    </row>
    <row r="3808" customFormat="false" ht="15" hidden="false" customHeight="false" outlineLevel="0" collapsed="false">
      <c r="A3808" s="80"/>
      <c r="B3808" s="71"/>
      <c r="C3808" s="71"/>
      <c r="D3808" s="81"/>
      <c r="E3808" s="71"/>
      <c r="F3808" s="71"/>
      <c r="G3808" s="82" t="str">
        <f aca="false">IF(C3808="","",IFERROR(INDEX('Kit Lists'!$D$6:$D$605,MATCH(B3808&amp;"|"&amp;C3808,'Kit Lists'!$J$6:$J$605,0)),"Not on this contract's kit list"))</f>
        <v/>
      </c>
      <c r="H3808" s="83" t="str">
        <f aca="false">IF(AND(B3808="",C3808="",D3808=""),"",IF(B3808="","Missing contract",IF(C3808="","Missing code",IF(LEFT(G3808,3)="Not","Wrong code",IF(D3808="","Missing qty",IF(A3808="","Missing date",""))))))</f>
        <v/>
      </c>
      <c r="I3808" s="84" t="str">
        <f aca="false">IF(B3808=Dashboard!$D$3,ROW(),"")</f>
        <v/>
      </c>
    </row>
    <row r="3809" customFormat="false" ht="15" hidden="false" customHeight="false" outlineLevel="0" collapsed="false">
      <c r="A3809" s="80"/>
      <c r="B3809" s="71"/>
      <c r="C3809" s="71"/>
      <c r="D3809" s="81"/>
      <c r="E3809" s="71"/>
      <c r="F3809" s="71"/>
      <c r="G3809" s="82" t="str">
        <f aca="false">IF(C3809="","",IFERROR(INDEX('Kit Lists'!$D$6:$D$605,MATCH(B3809&amp;"|"&amp;C3809,'Kit Lists'!$J$6:$J$605,0)),"Not on this contract's kit list"))</f>
        <v/>
      </c>
      <c r="H3809" s="83" t="str">
        <f aca="false">IF(AND(B3809="",C3809="",D3809=""),"",IF(B3809="","Missing contract",IF(C3809="","Missing code",IF(LEFT(G3809,3)="Not","Wrong code",IF(D3809="","Missing qty",IF(A3809="","Missing date",""))))))</f>
        <v/>
      </c>
      <c r="I3809" s="84" t="str">
        <f aca="false">IF(B3809=Dashboard!$D$3,ROW(),"")</f>
        <v/>
      </c>
    </row>
    <row r="3810" customFormat="false" ht="15" hidden="false" customHeight="false" outlineLevel="0" collapsed="false">
      <c r="A3810" s="80"/>
      <c r="B3810" s="71"/>
      <c r="C3810" s="71"/>
      <c r="D3810" s="81"/>
      <c r="E3810" s="71"/>
      <c r="F3810" s="71"/>
      <c r="G3810" s="82" t="str">
        <f aca="false">IF(C3810="","",IFERROR(INDEX('Kit Lists'!$D$6:$D$605,MATCH(B3810&amp;"|"&amp;C3810,'Kit Lists'!$J$6:$J$605,0)),"Not on this contract's kit list"))</f>
        <v/>
      </c>
      <c r="H3810" s="83" t="str">
        <f aca="false">IF(AND(B3810="",C3810="",D3810=""),"",IF(B3810="","Missing contract",IF(C3810="","Missing code",IF(LEFT(G3810,3)="Not","Wrong code",IF(D3810="","Missing qty",IF(A3810="","Missing date",""))))))</f>
        <v/>
      </c>
      <c r="I3810" s="84" t="str">
        <f aca="false">IF(B3810=Dashboard!$D$3,ROW(),"")</f>
        <v/>
      </c>
    </row>
    <row r="3811" customFormat="false" ht="15" hidden="false" customHeight="false" outlineLevel="0" collapsed="false">
      <c r="A3811" s="80"/>
      <c r="B3811" s="71"/>
      <c r="C3811" s="71"/>
      <c r="D3811" s="81"/>
      <c r="E3811" s="71"/>
      <c r="F3811" s="71"/>
      <c r="G3811" s="82" t="str">
        <f aca="false">IF(C3811="","",IFERROR(INDEX('Kit Lists'!$D$6:$D$605,MATCH(B3811&amp;"|"&amp;C3811,'Kit Lists'!$J$6:$J$605,0)),"Not on this contract's kit list"))</f>
        <v/>
      </c>
      <c r="H3811" s="83" t="str">
        <f aca="false">IF(AND(B3811="",C3811="",D3811=""),"",IF(B3811="","Missing contract",IF(C3811="","Missing code",IF(LEFT(G3811,3)="Not","Wrong code",IF(D3811="","Missing qty",IF(A3811="","Missing date",""))))))</f>
        <v/>
      </c>
      <c r="I3811" s="84" t="str">
        <f aca="false">IF(B3811=Dashboard!$D$3,ROW(),"")</f>
        <v/>
      </c>
    </row>
    <row r="3812" customFormat="false" ht="15" hidden="false" customHeight="false" outlineLevel="0" collapsed="false">
      <c r="A3812" s="80"/>
      <c r="B3812" s="71"/>
      <c r="C3812" s="71"/>
      <c r="D3812" s="81"/>
      <c r="E3812" s="71"/>
      <c r="F3812" s="71"/>
      <c r="G3812" s="82" t="str">
        <f aca="false">IF(C3812="","",IFERROR(INDEX('Kit Lists'!$D$6:$D$605,MATCH(B3812&amp;"|"&amp;C3812,'Kit Lists'!$J$6:$J$605,0)),"Not on this contract's kit list"))</f>
        <v/>
      </c>
      <c r="H3812" s="83" t="str">
        <f aca="false">IF(AND(B3812="",C3812="",D3812=""),"",IF(B3812="","Missing contract",IF(C3812="","Missing code",IF(LEFT(G3812,3)="Not","Wrong code",IF(D3812="","Missing qty",IF(A3812="","Missing date",""))))))</f>
        <v/>
      </c>
      <c r="I3812" s="84" t="str">
        <f aca="false">IF(B3812=Dashboard!$D$3,ROW(),"")</f>
        <v/>
      </c>
    </row>
    <row r="3813" customFormat="false" ht="15" hidden="false" customHeight="false" outlineLevel="0" collapsed="false">
      <c r="A3813" s="80"/>
      <c r="B3813" s="71"/>
      <c r="C3813" s="71"/>
      <c r="D3813" s="81"/>
      <c r="E3813" s="71"/>
      <c r="F3813" s="71"/>
      <c r="G3813" s="82" t="str">
        <f aca="false">IF(C3813="","",IFERROR(INDEX('Kit Lists'!$D$6:$D$605,MATCH(B3813&amp;"|"&amp;C3813,'Kit Lists'!$J$6:$J$605,0)),"Not on this contract's kit list"))</f>
        <v/>
      </c>
      <c r="H3813" s="83" t="str">
        <f aca="false">IF(AND(B3813="",C3813="",D3813=""),"",IF(B3813="","Missing contract",IF(C3813="","Missing code",IF(LEFT(G3813,3)="Not","Wrong code",IF(D3813="","Missing qty",IF(A3813="","Missing date",""))))))</f>
        <v/>
      </c>
      <c r="I3813" s="84" t="str">
        <f aca="false">IF(B3813=Dashboard!$D$3,ROW(),"")</f>
        <v/>
      </c>
    </row>
    <row r="3814" customFormat="false" ht="15" hidden="false" customHeight="false" outlineLevel="0" collapsed="false">
      <c r="A3814" s="80"/>
      <c r="B3814" s="71"/>
      <c r="C3814" s="71"/>
      <c r="D3814" s="81"/>
      <c r="E3814" s="71"/>
      <c r="F3814" s="71"/>
      <c r="G3814" s="82" t="str">
        <f aca="false">IF(C3814="","",IFERROR(INDEX('Kit Lists'!$D$6:$D$605,MATCH(B3814&amp;"|"&amp;C3814,'Kit Lists'!$J$6:$J$605,0)),"Not on this contract's kit list"))</f>
        <v/>
      </c>
      <c r="H3814" s="83" t="str">
        <f aca="false">IF(AND(B3814="",C3814="",D3814=""),"",IF(B3814="","Missing contract",IF(C3814="","Missing code",IF(LEFT(G3814,3)="Not","Wrong code",IF(D3814="","Missing qty",IF(A3814="","Missing date",""))))))</f>
        <v/>
      </c>
      <c r="I3814" s="84" t="str">
        <f aca="false">IF(B3814=Dashboard!$D$3,ROW(),"")</f>
        <v/>
      </c>
    </row>
    <row r="3815" customFormat="false" ht="15" hidden="false" customHeight="false" outlineLevel="0" collapsed="false">
      <c r="A3815" s="80"/>
      <c r="B3815" s="71"/>
      <c r="C3815" s="71"/>
      <c r="D3815" s="81"/>
      <c r="E3815" s="71"/>
      <c r="F3815" s="71"/>
      <c r="G3815" s="82" t="str">
        <f aca="false">IF(C3815="","",IFERROR(INDEX('Kit Lists'!$D$6:$D$605,MATCH(B3815&amp;"|"&amp;C3815,'Kit Lists'!$J$6:$J$605,0)),"Not on this contract's kit list"))</f>
        <v/>
      </c>
      <c r="H3815" s="83" t="str">
        <f aca="false">IF(AND(B3815="",C3815="",D3815=""),"",IF(B3815="","Missing contract",IF(C3815="","Missing code",IF(LEFT(G3815,3)="Not","Wrong code",IF(D3815="","Missing qty",IF(A3815="","Missing date",""))))))</f>
        <v/>
      </c>
      <c r="I3815" s="84" t="str">
        <f aca="false">IF(B3815=Dashboard!$D$3,ROW(),"")</f>
        <v/>
      </c>
    </row>
    <row r="3816" customFormat="false" ht="15" hidden="false" customHeight="false" outlineLevel="0" collapsed="false">
      <c r="A3816" s="80"/>
      <c r="B3816" s="71"/>
      <c r="C3816" s="71"/>
      <c r="D3816" s="81"/>
      <c r="E3816" s="71"/>
      <c r="F3816" s="71"/>
      <c r="G3816" s="82" t="str">
        <f aca="false">IF(C3816="","",IFERROR(INDEX('Kit Lists'!$D$6:$D$605,MATCH(B3816&amp;"|"&amp;C3816,'Kit Lists'!$J$6:$J$605,0)),"Not on this contract's kit list"))</f>
        <v/>
      </c>
      <c r="H3816" s="83" t="str">
        <f aca="false">IF(AND(B3816="",C3816="",D3816=""),"",IF(B3816="","Missing contract",IF(C3816="","Missing code",IF(LEFT(G3816,3)="Not","Wrong code",IF(D3816="","Missing qty",IF(A3816="","Missing date",""))))))</f>
        <v/>
      </c>
      <c r="I3816" s="84" t="str">
        <f aca="false">IF(B3816=Dashboard!$D$3,ROW(),"")</f>
        <v/>
      </c>
    </row>
    <row r="3817" customFormat="false" ht="15" hidden="false" customHeight="false" outlineLevel="0" collapsed="false">
      <c r="A3817" s="80"/>
      <c r="B3817" s="71"/>
      <c r="C3817" s="71"/>
      <c r="D3817" s="81"/>
      <c r="E3817" s="71"/>
      <c r="F3817" s="71"/>
      <c r="G3817" s="82" t="str">
        <f aca="false">IF(C3817="","",IFERROR(INDEX('Kit Lists'!$D$6:$D$605,MATCH(B3817&amp;"|"&amp;C3817,'Kit Lists'!$J$6:$J$605,0)),"Not on this contract's kit list"))</f>
        <v/>
      </c>
      <c r="H3817" s="83" t="str">
        <f aca="false">IF(AND(B3817="",C3817="",D3817=""),"",IF(B3817="","Missing contract",IF(C3817="","Missing code",IF(LEFT(G3817,3)="Not","Wrong code",IF(D3817="","Missing qty",IF(A3817="","Missing date",""))))))</f>
        <v/>
      </c>
      <c r="I3817" s="84" t="str">
        <f aca="false">IF(B3817=Dashboard!$D$3,ROW(),"")</f>
        <v/>
      </c>
    </row>
    <row r="3818" customFormat="false" ht="15" hidden="false" customHeight="false" outlineLevel="0" collapsed="false">
      <c r="A3818" s="80"/>
      <c r="B3818" s="71"/>
      <c r="C3818" s="71"/>
      <c r="D3818" s="81"/>
      <c r="E3818" s="71"/>
      <c r="F3818" s="71"/>
      <c r="G3818" s="82" t="str">
        <f aca="false">IF(C3818="","",IFERROR(INDEX('Kit Lists'!$D$6:$D$605,MATCH(B3818&amp;"|"&amp;C3818,'Kit Lists'!$J$6:$J$605,0)),"Not on this contract's kit list"))</f>
        <v/>
      </c>
      <c r="H3818" s="83" t="str">
        <f aca="false">IF(AND(B3818="",C3818="",D3818=""),"",IF(B3818="","Missing contract",IF(C3818="","Missing code",IF(LEFT(G3818,3)="Not","Wrong code",IF(D3818="","Missing qty",IF(A3818="","Missing date",""))))))</f>
        <v/>
      </c>
      <c r="I3818" s="84" t="str">
        <f aca="false">IF(B3818=Dashboard!$D$3,ROW(),"")</f>
        <v/>
      </c>
    </row>
    <row r="3819" customFormat="false" ht="15" hidden="false" customHeight="false" outlineLevel="0" collapsed="false">
      <c r="A3819" s="80"/>
      <c r="B3819" s="71"/>
      <c r="C3819" s="71"/>
      <c r="D3819" s="81"/>
      <c r="E3819" s="71"/>
      <c r="F3819" s="71"/>
      <c r="G3819" s="82" t="str">
        <f aca="false">IF(C3819="","",IFERROR(INDEX('Kit Lists'!$D$6:$D$605,MATCH(B3819&amp;"|"&amp;C3819,'Kit Lists'!$J$6:$J$605,0)),"Not on this contract's kit list"))</f>
        <v/>
      </c>
      <c r="H3819" s="83" t="str">
        <f aca="false">IF(AND(B3819="",C3819="",D3819=""),"",IF(B3819="","Missing contract",IF(C3819="","Missing code",IF(LEFT(G3819,3)="Not","Wrong code",IF(D3819="","Missing qty",IF(A3819="","Missing date",""))))))</f>
        <v/>
      </c>
      <c r="I3819" s="84" t="str">
        <f aca="false">IF(B3819=Dashboard!$D$3,ROW(),"")</f>
        <v/>
      </c>
    </row>
    <row r="3820" customFormat="false" ht="15" hidden="false" customHeight="false" outlineLevel="0" collapsed="false">
      <c r="A3820" s="80"/>
      <c r="B3820" s="71"/>
      <c r="C3820" s="71"/>
      <c r="D3820" s="81"/>
      <c r="E3820" s="71"/>
      <c r="F3820" s="71"/>
      <c r="G3820" s="82" t="str">
        <f aca="false">IF(C3820="","",IFERROR(INDEX('Kit Lists'!$D$6:$D$605,MATCH(B3820&amp;"|"&amp;C3820,'Kit Lists'!$J$6:$J$605,0)),"Not on this contract's kit list"))</f>
        <v/>
      </c>
      <c r="H3820" s="83" t="str">
        <f aca="false">IF(AND(B3820="",C3820="",D3820=""),"",IF(B3820="","Missing contract",IF(C3820="","Missing code",IF(LEFT(G3820,3)="Not","Wrong code",IF(D3820="","Missing qty",IF(A3820="","Missing date",""))))))</f>
        <v/>
      </c>
      <c r="I3820" s="84" t="str">
        <f aca="false">IF(B3820=Dashboard!$D$3,ROW(),"")</f>
        <v/>
      </c>
    </row>
    <row r="3821" customFormat="false" ht="15" hidden="false" customHeight="false" outlineLevel="0" collapsed="false">
      <c r="A3821" s="80"/>
      <c r="B3821" s="71"/>
      <c r="C3821" s="71"/>
      <c r="D3821" s="81"/>
      <c r="E3821" s="71"/>
      <c r="F3821" s="71"/>
      <c r="G3821" s="82" t="str">
        <f aca="false">IF(C3821="","",IFERROR(INDEX('Kit Lists'!$D$6:$D$605,MATCH(B3821&amp;"|"&amp;C3821,'Kit Lists'!$J$6:$J$605,0)),"Not on this contract's kit list"))</f>
        <v/>
      </c>
      <c r="H3821" s="83" t="str">
        <f aca="false">IF(AND(B3821="",C3821="",D3821=""),"",IF(B3821="","Missing contract",IF(C3821="","Missing code",IF(LEFT(G3821,3)="Not","Wrong code",IF(D3821="","Missing qty",IF(A3821="","Missing date",""))))))</f>
        <v/>
      </c>
      <c r="I3821" s="84" t="str">
        <f aca="false">IF(B3821=Dashboard!$D$3,ROW(),"")</f>
        <v/>
      </c>
    </row>
    <row r="3822" customFormat="false" ht="15" hidden="false" customHeight="false" outlineLevel="0" collapsed="false">
      <c r="A3822" s="80"/>
      <c r="B3822" s="71"/>
      <c r="C3822" s="71"/>
      <c r="D3822" s="81"/>
      <c r="E3822" s="71"/>
      <c r="F3822" s="71"/>
      <c r="G3822" s="82" t="str">
        <f aca="false">IF(C3822="","",IFERROR(INDEX('Kit Lists'!$D$6:$D$605,MATCH(B3822&amp;"|"&amp;C3822,'Kit Lists'!$J$6:$J$605,0)),"Not on this contract's kit list"))</f>
        <v/>
      </c>
      <c r="H3822" s="83" t="str">
        <f aca="false">IF(AND(B3822="",C3822="",D3822=""),"",IF(B3822="","Missing contract",IF(C3822="","Missing code",IF(LEFT(G3822,3)="Not","Wrong code",IF(D3822="","Missing qty",IF(A3822="","Missing date",""))))))</f>
        <v/>
      </c>
      <c r="I3822" s="84" t="str">
        <f aca="false">IF(B3822=Dashboard!$D$3,ROW(),"")</f>
        <v/>
      </c>
    </row>
    <row r="3823" customFormat="false" ht="15" hidden="false" customHeight="false" outlineLevel="0" collapsed="false">
      <c r="A3823" s="80"/>
      <c r="B3823" s="71"/>
      <c r="C3823" s="71"/>
      <c r="D3823" s="81"/>
      <c r="E3823" s="71"/>
      <c r="F3823" s="71"/>
      <c r="G3823" s="82" t="str">
        <f aca="false">IF(C3823="","",IFERROR(INDEX('Kit Lists'!$D$6:$D$605,MATCH(B3823&amp;"|"&amp;C3823,'Kit Lists'!$J$6:$J$605,0)),"Not on this contract's kit list"))</f>
        <v/>
      </c>
      <c r="H3823" s="83" t="str">
        <f aca="false">IF(AND(B3823="",C3823="",D3823=""),"",IF(B3823="","Missing contract",IF(C3823="","Missing code",IF(LEFT(G3823,3)="Not","Wrong code",IF(D3823="","Missing qty",IF(A3823="","Missing date",""))))))</f>
        <v/>
      </c>
      <c r="I3823" s="84" t="str">
        <f aca="false">IF(B3823=Dashboard!$D$3,ROW(),"")</f>
        <v/>
      </c>
    </row>
    <row r="3824" customFormat="false" ht="15" hidden="false" customHeight="false" outlineLevel="0" collapsed="false">
      <c r="A3824" s="80"/>
      <c r="B3824" s="71"/>
      <c r="C3824" s="71"/>
      <c r="D3824" s="81"/>
      <c r="E3824" s="71"/>
      <c r="F3824" s="71"/>
      <c r="G3824" s="82" t="str">
        <f aca="false">IF(C3824="","",IFERROR(INDEX('Kit Lists'!$D$6:$D$605,MATCH(B3824&amp;"|"&amp;C3824,'Kit Lists'!$J$6:$J$605,0)),"Not on this contract's kit list"))</f>
        <v/>
      </c>
      <c r="H3824" s="83" t="str">
        <f aca="false">IF(AND(B3824="",C3824="",D3824=""),"",IF(B3824="","Missing contract",IF(C3824="","Missing code",IF(LEFT(G3824,3)="Not","Wrong code",IF(D3824="","Missing qty",IF(A3824="","Missing date",""))))))</f>
        <v/>
      </c>
      <c r="I3824" s="84" t="str">
        <f aca="false">IF(B3824=Dashboard!$D$3,ROW(),"")</f>
        <v/>
      </c>
    </row>
    <row r="3825" customFormat="false" ht="15" hidden="false" customHeight="false" outlineLevel="0" collapsed="false">
      <c r="A3825" s="80"/>
      <c r="B3825" s="71"/>
      <c r="C3825" s="71"/>
      <c r="D3825" s="81"/>
      <c r="E3825" s="71"/>
      <c r="F3825" s="71"/>
      <c r="G3825" s="82" t="str">
        <f aca="false">IF(C3825="","",IFERROR(INDEX('Kit Lists'!$D$6:$D$605,MATCH(B3825&amp;"|"&amp;C3825,'Kit Lists'!$J$6:$J$605,0)),"Not on this contract's kit list"))</f>
        <v/>
      </c>
      <c r="H3825" s="83" t="str">
        <f aca="false">IF(AND(B3825="",C3825="",D3825=""),"",IF(B3825="","Missing contract",IF(C3825="","Missing code",IF(LEFT(G3825,3)="Not","Wrong code",IF(D3825="","Missing qty",IF(A3825="","Missing date",""))))))</f>
        <v/>
      </c>
      <c r="I3825" s="84" t="str">
        <f aca="false">IF(B3825=Dashboard!$D$3,ROW(),"")</f>
        <v/>
      </c>
    </row>
    <row r="3826" customFormat="false" ht="15" hidden="false" customHeight="false" outlineLevel="0" collapsed="false">
      <c r="A3826" s="80"/>
      <c r="B3826" s="71"/>
      <c r="C3826" s="71"/>
      <c r="D3826" s="81"/>
      <c r="E3826" s="71"/>
      <c r="F3826" s="71"/>
      <c r="G3826" s="82" t="str">
        <f aca="false">IF(C3826="","",IFERROR(INDEX('Kit Lists'!$D$6:$D$605,MATCH(B3826&amp;"|"&amp;C3826,'Kit Lists'!$J$6:$J$605,0)),"Not on this contract's kit list"))</f>
        <v/>
      </c>
      <c r="H3826" s="83" t="str">
        <f aca="false">IF(AND(B3826="",C3826="",D3826=""),"",IF(B3826="","Missing contract",IF(C3826="","Missing code",IF(LEFT(G3826,3)="Not","Wrong code",IF(D3826="","Missing qty",IF(A3826="","Missing date",""))))))</f>
        <v/>
      </c>
      <c r="I3826" s="84" t="str">
        <f aca="false">IF(B3826=Dashboard!$D$3,ROW(),"")</f>
        <v/>
      </c>
    </row>
    <row r="3827" customFormat="false" ht="15" hidden="false" customHeight="false" outlineLevel="0" collapsed="false">
      <c r="A3827" s="80"/>
      <c r="B3827" s="71"/>
      <c r="C3827" s="71"/>
      <c r="D3827" s="81"/>
      <c r="E3827" s="71"/>
      <c r="F3827" s="71"/>
      <c r="G3827" s="82" t="str">
        <f aca="false">IF(C3827="","",IFERROR(INDEX('Kit Lists'!$D$6:$D$605,MATCH(B3827&amp;"|"&amp;C3827,'Kit Lists'!$J$6:$J$605,0)),"Not on this contract's kit list"))</f>
        <v/>
      </c>
      <c r="H3827" s="83" t="str">
        <f aca="false">IF(AND(B3827="",C3827="",D3827=""),"",IF(B3827="","Missing contract",IF(C3827="","Missing code",IF(LEFT(G3827,3)="Not","Wrong code",IF(D3827="","Missing qty",IF(A3827="","Missing date",""))))))</f>
        <v/>
      </c>
      <c r="I3827" s="84" t="str">
        <f aca="false">IF(B3827=Dashboard!$D$3,ROW(),"")</f>
        <v/>
      </c>
    </row>
    <row r="3828" customFormat="false" ht="15" hidden="false" customHeight="false" outlineLevel="0" collapsed="false">
      <c r="A3828" s="80"/>
      <c r="B3828" s="71"/>
      <c r="C3828" s="71"/>
      <c r="D3828" s="81"/>
      <c r="E3828" s="71"/>
      <c r="F3828" s="71"/>
      <c r="G3828" s="82" t="str">
        <f aca="false">IF(C3828="","",IFERROR(INDEX('Kit Lists'!$D$6:$D$605,MATCH(B3828&amp;"|"&amp;C3828,'Kit Lists'!$J$6:$J$605,0)),"Not on this contract's kit list"))</f>
        <v/>
      </c>
      <c r="H3828" s="83" t="str">
        <f aca="false">IF(AND(B3828="",C3828="",D3828=""),"",IF(B3828="","Missing contract",IF(C3828="","Missing code",IF(LEFT(G3828,3)="Not","Wrong code",IF(D3828="","Missing qty",IF(A3828="","Missing date",""))))))</f>
        <v/>
      </c>
      <c r="I3828" s="84" t="str">
        <f aca="false">IF(B3828=Dashboard!$D$3,ROW(),"")</f>
        <v/>
      </c>
    </row>
    <row r="3829" customFormat="false" ht="15" hidden="false" customHeight="false" outlineLevel="0" collapsed="false">
      <c r="A3829" s="80"/>
      <c r="B3829" s="71"/>
      <c r="C3829" s="71"/>
      <c r="D3829" s="81"/>
      <c r="E3829" s="71"/>
      <c r="F3829" s="71"/>
      <c r="G3829" s="82" t="str">
        <f aca="false">IF(C3829="","",IFERROR(INDEX('Kit Lists'!$D$6:$D$605,MATCH(B3829&amp;"|"&amp;C3829,'Kit Lists'!$J$6:$J$605,0)),"Not on this contract's kit list"))</f>
        <v/>
      </c>
      <c r="H3829" s="83" t="str">
        <f aca="false">IF(AND(B3829="",C3829="",D3829=""),"",IF(B3829="","Missing contract",IF(C3829="","Missing code",IF(LEFT(G3829,3)="Not","Wrong code",IF(D3829="","Missing qty",IF(A3829="","Missing date",""))))))</f>
        <v/>
      </c>
      <c r="I3829" s="84" t="str">
        <f aca="false">IF(B3829=Dashboard!$D$3,ROW(),"")</f>
        <v/>
      </c>
    </row>
    <row r="3830" customFormat="false" ht="15" hidden="false" customHeight="false" outlineLevel="0" collapsed="false">
      <c r="A3830" s="80"/>
      <c r="B3830" s="71"/>
      <c r="C3830" s="71"/>
      <c r="D3830" s="81"/>
      <c r="E3830" s="71"/>
      <c r="F3830" s="71"/>
      <c r="G3830" s="82" t="str">
        <f aca="false">IF(C3830="","",IFERROR(INDEX('Kit Lists'!$D$6:$D$605,MATCH(B3830&amp;"|"&amp;C3830,'Kit Lists'!$J$6:$J$605,0)),"Not on this contract's kit list"))</f>
        <v/>
      </c>
      <c r="H3830" s="83" t="str">
        <f aca="false">IF(AND(B3830="",C3830="",D3830=""),"",IF(B3830="","Missing contract",IF(C3830="","Missing code",IF(LEFT(G3830,3)="Not","Wrong code",IF(D3830="","Missing qty",IF(A3830="","Missing date",""))))))</f>
        <v/>
      </c>
      <c r="I3830" s="84" t="str">
        <f aca="false">IF(B3830=Dashboard!$D$3,ROW(),"")</f>
        <v/>
      </c>
    </row>
    <row r="3831" customFormat="false" ht="15" hidden="false" customHeight="false" outlineLevel="0" collapsed="false">
      <c r="A3831" s="80"/>
      <c r="B3831" s="71"/>
      <c r="C3831" s="71"/>
      <c r="D3831" s="81"/>
      <c r="E3831" s="71"/>
      <c r="F3831" s="71"/>
      <c r="G3831" s="82" t="str">
        <f aca="false">IF(C3831="","",IFERROR(INDEX('Kit Lists'!$D$6:$D$605,MATCH(B3831&amp;"|"&amp;C3831,'Kit Lists'!$J$6:$J$605,0)),"Not on this contract's kit list"))</f>
        <v/>
      </c>
      <c r="H3831" s="83" t="str">
        <f aca="false">IF(AND(B3831="",C3831="",D3831=""),"",IF(B3831="","Missing contract",IF(C3831="","Missing code",IF(LEFT(G3831,3)="Not","Wrong code",IF(D3831="","Missing qty",IF(A3831="","Missing date",""))))))</f>
        <v/>
      </c>
      <c r="I3831" s="84" t="str">
        <f aca="false">IF(B3831=Dashboard!$D$3,ROW(),"")</f>
        <v/>
      </c>
    </row>
    <row r="3832" customFormat="false" ht="15" hidden="false" customHeight="false" outlineLevel="0" collapsed="false">
      <c r="A3832" s="80"/>
      <c r="B3832" s="71"/>
      <c r="C3832" s="71"/>
      <c r="D3832" s="81"/>
      <c r="E3832" s="71"/>
      <c r="F3832" s="71"/>
      <c r="G3832" s="82" t="str">
        <f aca="false">IF(C3832="","",IFERROR(INDEX('Kit Lists'!$D$6:$D$605,MATCH(B3832&amp;"|"&amp;C3832,'Kit Lists'!$J$6:$J$605,0)),"Not on this contract's kit list"))</f>
        <v/>
      </c>
      <c r="H3832" s="83" t="str">
        <f aca="false">IF(AND(B3832="",C3832="",D3832=""),"",IF(B3832="","Missing contract",IF(C3832="","Missing code",IF(LEFT(G3832,3)="Not","Wrong code",IF(D3832="","Missing qty",IF(A3832="","Missing date",""))))))</f>
        <v/>
      </c>
      <c r="I3832" s="84" t="str">
        <f aca="false">IF(B3832=Dashboard!$D$3,ROW(),"")</f>
        <v/>
      </c>
    </row>
    <row r="3833" customFormat="false" ht="15" hidden="false" customHeight="false" outlineLevel="0" collapsed="false">
      <c r="A3833" s="80"/>
      <c r="B3833" s="71"/>
      <c r="C3833" s="71"/>
      <c r="D3833" s="81"/>
      <c r="E3833" s="71"/>
      <c r="F3833" s="71"/>
      <c r="G3833" s="82" t="str">
        <f aca="false">IF(C3833="","",IFERROR(INDEX('Kit Lists'!$D$6:$D$605,MATCH(B3833&amp;"|"&amp;C3833,'Kit Lists'!$J$6:$J$605,0)),"Not on this contract's kit list"))</f>
        <v/>
      </c>
      <c r="H3833" s="83" t="str">
        <f aca="false">IF(AND(B3833="",C3833="",D3833=""),"",IF(B3833="","Missing contract",IF(C3833="","Missing code",IF(LEFT(G3833,3)="Not","Wrong code",IF(D3833="","Missing qty",IF(A3833="","Missing date",""))))))</f>
        <v/>
      </c>
      <c r="I3833" s="84" t="str">
        <f aca="false">IF(B3833=Dashboard!$D$3,ROW(),"")</f>
        <v/>
      </c>
    </row>
    <row r="3834" customFormat="false" ht="15" hidden="false" customHeight="false" outlineLevel="0" collapsed="false">
      <c r="A3834" s="80"/>
      <c r="B3834" s="71"/>
      <c r="C3834" s="71"/>
      <c r="D3834" s="81"/>
      <c r="E3834" s="71"/>
      <c r="F3834" s="71"/>
      <c r="G3834" s="82" t="str">
        <f aca="false">IF(C3834="","",IFERROR(INDEX('Kit Lists'!$D$6:$D$605,MATCH(B3834&amp;"|"&amp;C3834,'Kit Lists'!$J$6:$J$605,0)),"Not on this contract's kit list"))</f>
        <v/>
      </c>
      <c r="H3834" s="83" t="str">
        <f aca="false">IF(AND(B3834="",C3834="",D3834=""),"",IF(B3834="","Missing contract",IF(C3834="","Missing code",IF(LEFT(G3834,3)="Not","Wrong code",IF(D3834="","Missing qty",IF(A3834="","Missing date",""))))))</f>
        <v/>
      </c>
      <c r="I3834" s="84" t="str">
        <f aca="false">IF(B3834=Dashboard!$D$3,ROW(),"")</f>
        <v/>
      </c>
    </row>
    <row r="3835" customFormat="false" ht="15" hidden="false" customHeight="false" outlineLevel="0" collapsed="false">
      <c r="A3835" s="80"/>
      <c r="B3835" s="71"/>
      <c r="C3835" s="71"/>
      <c r="D3835" s="81"/>
      <c r="E3835" s="71"/>
      <c r="F3835" s="71"/>
      <c r="G3835" s="82" t="str">
        <f aca="false">IF(C3835="","",IFERROR(INDEX('Kit Lists'!$D$6:$D$605,MATCH(B3835&amp;"|"&amp;C3835,'Kit Lists'!$J$6:$J$605,0)),"Not on this contract's kit list"))</f>
        <v/>
      </c>
      <c r="H3835" s="83" t="str">
        <f aca="false">IF(AND(B3835="",C3835="",D3835=""),"",IF(B3835="","Missing contract",IF(C3835="","Missing code",IF(LEFT(G3835,3)="Not","Wrong code",IF(D3835="","Missing qty",IF(A3835="","Missing date",""))))))</f>
        <v/>
      </c>
      <c r="I3835" s="84" t="str">
        <f aca="false">IF(B3835=Dashboard!$D$3,ROW(),"")</f>
        <v/>
      </c>
    </row>
    <row r="3836" customFormat="false" ht="15" hidden="false" customHeight="false" outlineLevel="0" collapsed="false">
      <c r="A3836" s="80"/>
      <c r="B3836" s="71"/>
      <c r="C3836" s="71"/>
      <c r="D3836" s="81"/>
      <c r="E3836" s="71"/>
      <c r="F3836" s="71"/>
      <c r="G3836" s="82" t="str">
        <f aca="false">IF(C3836="","",IFERROR(INDEX('Kit Lists'!$D$6:$D$605,MATCH(B3836&amp;"|"&amp;C3836,'Kit Lists'!$J$6:$J$605,0)),"Not on this contract's kit list"))</f>
        <v/>
      </c>
      <c r="H3836" s="83" t="str">
        <f aca="false">IF(AND(B3836="",C3836="",D3836=""),"",IF(B3836="","Missing contract",IF(C3836="","Missing code",IF(LEFT(G3836,3)="Not","Wrong code",IF(D3836="","Missing qty",IF(A3836="","Missing date",""))))))</f>
        <v/>
      </c>
      <c r="I3836" s="84" t="str">
        <f aca="false">IF(B3836=Dashboard!$D$3,ROW(),"")</f>
        <v/>
      </c>
    </row>
    <row r="3837" customFormat="false" ht="15" hidden="false" customHeight="false" outlineLevel="0" collapsed="false">
      <c r="A3837" s="80"/>
      <c r="B3837" s="71"/>
      <c r="C3837" s="71"/>
      <c r="D3837" s="81"/>
      <c r="E3837" s="71"/>
      <c r="F3837" s="71"/>
      <c r="G3837" s="82" t="str">
        <f aca="false">IF(C3837="","",IFERROR(INDEX('Kit Lists'!$D$6:$D$605,MATCH(B3837&amp;"|"&amp;C3837,'Kit Lists'!$J$6:$J$605,0)),"Not on this contract's kit list"))</f>
        <v/>
      </c>
      <c r="H3837" s="83" t="str">
        <f aca="false">IF(AND(B3837="",C3837="",D3837=""),"",IF(B3837="","Missing contract",IF(C3837="","Missing code",IF(LEFT(G3837,3)="Not","Wrong code",IF(D3837="","Missing qty",IF(A3837="","Missing date",""))))))</f>
        <v/>
      </c>
      <c r="I3837" s="84" t="str">
        <f aca="false">IF(B3837=Dashboard!$D$3,ROW(),"")</f>
        <v/>
      </c>
    </row>
    <row r="3838" customFormat="false" ht="15" hidden="false" customHeight="false" outlineLevel="0" collapsed="false">
      <c r="A3838" s="80"/>
      <c r="B3838" s="71"/>
      <c r="C3838" s="71"/>
      <c r="D3838" s="81"/>
      <c r="E3838" s="71"/>
      <c r="F3838" s="71"/>
      <c r="G3838" s="82" t="str">
        <f aca="false">IF(C3838="","",IFERROR(INDEX('Kit Lists'!$D$6:$D$605,MATCH(B3838&amp;"|"&amp;C3838,'Kit Lists'!$J$6:$J$605,0)),"Not on this contract's kit list"))</f>
        <v/>
      </c>
      <c r="H3838" s="83" t="str">
        <f aca="false">IF(AND(B3838="",C3838="",D3838=""),"",IF(B3838="","Missing contract",IF(C3838="","Missing code",IF(LEFT(G3838,3)="Not","Wrong code",IF(D3838="","Missing qty",IF(A3838="","Missing date",""))))))</f>
        <v/>
      </c>
      <c r="I3838" s="84" t="str">
        <f aca="false">IF(B3838=Dashboard!$D$3,ROW(),"")</f>
        <v/>
      </c>
    </row>
    <row r="3839" customFormat="false" ht="15" hidden="false" customHeight="false" outlineLevel="0" collapsed="false">
      <c r="A3839" s="80"/>
      <c r="B3839" s="71"/>
      <c r="C3839" s="71"/>
      <c r="D3839" s="81"/>
      <c r="E3839" s="71"/>
      <c r="F3839" s="71"/>
      <c r="G3839" s="82" t="str">
        <f aca="false">IF(C3839="","",IFERROR(INDEX('Kit Lists'!$D$6:$D$605,MATCH(B3839&amp;"|"&amp;C3839,'Kit Lists'!$J$6:$J$605,0)),"Not on this contract's kit list"))</f>
        <v/>
      </c>
      <c r="H3839" s="83" t="str">
        <f aca="false">IF(AND(B3839="",C3839="",D3839=""),"",IF(B3839="","Missing contract",IF(C3839="","Missing code",IF(LEFT(G3839,3)="Not","Wrong code",IF(D3839="","Missing qty",IF(A3839="","Missing date",""))))))</f>
        <v/>
      </c>
      <c r="I3839" s="84" t="str">
        <f aca="false">IF(B3839=Dashboard!$D$3,ROW(),"")</f>
        <v/>
      </c>
    </row>
    <row r="3840" customFormat="false" ht="15" hidden="false" customHeight="false" outlineLevel="0" collapsed="false">
      <c r="A3840" s="80"/>
      <c r="B3840" s="71"/>
      <c r="C3840" s="71"/>
      <c r="D3840" s="81"/>
      <c r="E3840" s="71"/>
      <c r="F3840" s="71"/>
      <c r="G3840" s="82" t="str">
        <f aca="false">IF(C3840="","",IFERROR(INDEX('Kit Lists'!$D$6:$D$605,MATCH(B3840&amp;"|"&amp;C3840,'Kit Lists'!$J$6:$J$605,0)),"Not on this contract's kit list"))</f>
        <v/>
      </c>
      <c r="H3840" s="83" t="str">
        <f aca="false">IF(AND(B3840="",C3840="",D3840=""),"",IF(B3840="","Missing contract",IF(C3840="","Missing code",IF(LEFT(G3840,3)="Not","Wrong code",IF(D3840="","Missing qty",IF(A3840="","Missing date",""))))))</f>
        <v/>
      </c>
      <c r="I3840" s="84" t="str">
        <f aca="false">IF(B3840=Dashboard!$D$3,ROW(),"")</f>
        <v/>
      </c>
    </row>
    <row r="3841" customFormat="false" ht="15" hidden="false" customHeight="false" outlineLevel="0" collapsed="false">
      <c r="A3841" s="80"/>
      <c r="B3841" s="71"/>
      <c r="C3841" s="71"/>
      <c r="D3841" s="81"/>
      <c r="E3841" s="71"/>
      <c r="F3841" s="71"/>
      <c r="G3841" s="82" t="str">
        <f aca="false">IF(C3841="","",IFERROR(INDEX('Kit Lists'!$D$6:$D$605,MATCH(B3841&amp;"|"&amp;C3841,'Kit Lists'!$J$6:$J$605,0)),"Not on this contract's kit list"))</f>
        <v/>
      </c>
      <c r="H3841" s="83" t="str">
        <f aca="false">IF(AND(B3841="",C3841="",D3841=""),"",IF(B3841="","Missing contract",IF(C3841="","Missing code",IF(LEFT(G3841,3)="Not","Wrong code",IF(D3841="","Missing qty",IF(A3841="","Missing date",""))))))</f>
        <v/>
      </c>
      <c r="I3841" s="84" t="str">
        <f aca="false">IF(B3841=Dashboard!$D$3,ROW(),"")</f>
        <v/>
      </c>
    </row>
    <row r="3842" customFormat="false" ht="15" hidden="false" customHeight="false" outlineLevel="0" collapsed="false">
      <c r="A3842" s="80"/>
      <c r="B3842" s="71"/>
      <c r="C3842" s="71"/>
      <c r="D3842" s="81"/>
      <c r="E3842" s="71"/>
      <c r="F3842" s="71"/>
      <c r="G3842" s="82" t="str">
        <f aca="false">IF(C3842="","",IFERROR(INDEX('Kit Lists'!$D$6:$D$605,MATCH(B3842&amp;"|"&amp;C3842,'Kit Lists'!$J$6:$J$605,0)),"Not on this contract's kit list"))</f>
        <v/>
      </c>
      <c r="H3842" s="83" t="str">
        <f aca="false">IF(AND(B3842="",C3842="",D3842=""),"",IF(B3842="","Missing contract",IF(C3842="","Missing code",IF(LEFT(G3842,3)="Not","Wrong code",IF(D3842="","Missing qty",IF(A3842="","Missing date",""))))))</f>
        <v/>
      </c>
      <c r="I3842" s="84" t="str">
        <f aca="false">IF(B3842=Dashboard!$D$3,ROW(),"")</f>
        <v/>
      </c>
    </row>
    <row r="3843" customFormat="false" ht="15" hidden="false" customHeight="false" outlineLevel="0" collapsed="false">
      <c r="A3843" s="80"/>
      <c r="B3843" s="71"/>
      <c r="C3843" s="71"/>
      <c r="D3843" s="81"/>
      <c r="E3843" s="71"/>
      <c r="F3843" s="71"/>
      <c r="G3843" s="82" t="str">
        <f aca="false">IF(C3843="","",IFERROR(INDEX('Kit Lists'!$D$6:$D$605,MATCH(B3843&amp;"|"&amp;C3843,'Kit Lists'!$J$6:$J$605,0)),"Not on this contract's kit list"))</f>
        <v/>
      </c>
      <c r="H3843" s="83" t="str">
        <f aca="false">IF(AND(B3843="",C3843="",D3843=""),"",IF(B3843="","Missing contract",IF(C3843="","Missing code",IF(LEFT(G3843,3)="Not","Wrong code",IF(D3843="","Missing qty",IF(A3843="","Missing date",""))))))</f>
        <v/>
      </c>
      <c r="I3843" s="84" t="str">
        <f aca="false">IF(B3843=Dashboard!$D$3,ROW(),"")</f>
        <v/>
      </c>
    </row>
    <row r="3844" customFormat="false" ht="15" hidden="false" customHeight="false" outlineLevel="0" collapsed="false">
      <c r="A3844" s="80"/>
      <c r="B3844" s="71"/>
      <c r="C3844" s="71"/>
      <c r="D3844" s="81"/>
      <c r="E3844" s="71"/>
      <c r="F3844" s="71"/>
      <c r="G3844" s="82" t="str">
        <f aca="false">IF(C3844="","",IFERROR(INDEX('Kit Lists'!$D$6:$D$605,MATCH(B3844&amp;"|"&amp;C3844,'Kit Lists'!$J$6:$J$605,0)),"Not on this contract's kit list"))</f>
        <v/>
      </c>
      <c r="H3844" s="83" t="str">
        <f aca="false">IF(AND(B3844="",C3844="",D3844=""),"",IF(B3844="","Missing contract",IF(C3844="","Missing code",IF(LEFT(G3844,3)="Not","Wrong code",IF(D3844="","Missing qty",IF(A3844="","Missing date",""))))))</f>
        <v/>
      </c>
      <c r="I3844" s="84" t="str">
        <f aca="false">IF(B3844=Dashboard!$D$3,ROW(),"")</f>
        <v/>
      </c>
    </row>
    <row r="3845" customFormat="false" ht="15" hidden="false" customHeight="false" outlineLevel="0" collapsed="false">
      <c r="A3845" s="80"/>
      <c r="B3845" s="71"/>
      <c r="C3845" s="71"/>
      <c r="D3845" s="81"/>
      <c r="E3845" s="71"/>
      <c r="F3845" s="71"/>
      <c r="G3845" s="82" t="str">
        <f aca="false">IF(C3845="","",IFERROR(INDEX('Kit Lists'!$D$6:$D$605,MATCH(B3845&amp;"|"&amp;C3845,'Kit Lists'!$J$6:$J$605,0)),"Not on this contract's kit list"))</f>
        <v/>
      </c>
      <c r="H3845" s="83" t="str">
        <f aca="false">IF(AND(B3845="",C3845="",D3845=""),"",IF(B3845="","Missing contract",IF(C3845="","Missing code",IF(LEFT(G3845,3)="Not","Wrong code",IF(D3845="","Missing qty",IF(A3845="","Missing date",""))))))</f>
        <v/>
      </c>
      <c r="I3845" s="84" t="str">
        <f aca="false">IF(B3845=Dashboard!$D$3,ROW(),"")</f>
        <v/>
      </c>
    </row>
    <row r="3846" customFormat="false" ht="15" hidden="false" customHeight="false" outlineLevel="0" collapsed="false">
      <c r="A3846" s="80"/>
      <c r="B3846" s="71"/>
      <c r="C3846" s="71"/>
      <c r="D3846" s="81"/>
      <c r="E3846" s="71"/>
      <c r="F3846" s="71"/>
      <c r="G3846" s="82" t="str">
        <f aca="false">IF(C3846="","",IFERROR(INDEX('Kit Lists'!$D$6:$D$605,MATCH(B3846&amp;"|"&amp;C3846,'Kit Lists'!$J$6:$J$605,0)),"Not on this contract's kit list"))</f>
        <v/>
      </c>
      <c r="H3846" s="83" t="str">
        <f aca="false">IF(AND(B3846="",C3846="",D3846=""),"",IF(B3846="","Missing contract",IF(C3846="","Missing code",IF(LEFT(G3846,3)="Not","Wrong code",IF(D3846="","Missing qty",IF(A3846="","Missing date",""))))))</f>
        <v/>
      </c>
      <c r="I3846" s="84" t="str">
        <f aca="false">IF(B3846=Dashboard!$D$3,ROW(),"")</f>
        <v/>
      </c>
    </row>
    <row r="3847" customFormat="false" ht="15" hidden="false" customHeight="false" outlineLevel="0" collapsed="false">
      <c r="A3847" s="80"/>
      <c r="B3847" s="71"/>
      <c r="C3847" s="71"/>
      <c r="D3847" s="81"/>
      <c r="E3847" s="71"/>
      <c r="F3847" s="71"/>
      <c r="G3847" s="82" t="str">
        <f aca="false">IF(C3847="","",IFERROR(INDEX('Kit Lists'!$D$6:$D$605,MATCH(B3847&amp;"|"&amp;C3847,'Kit Lists'!$J$6:$J$605,0)),"Not on this contract's kit list"))</f>
        <v/>
      </c>
      <c r="H3847" s="83" t="str">
        <f aca="false">IF(AND(B3847="",C3847="",D3847=""),"",IF(B3847="","Missing contract",IF(C3847="","Missing code",IF(LEFT(G3847,3)="Not","Wrong code",IF(D3847="","Missing qty",IF(A3847="","Missing date",""))))))</f>
        <v/>
      </c>
      <c r="I3847" s="84" t="str">
        <f aca="false">IF(B3847=Dashboard!$D$3,ROW(),"")</f>
        <v/>
      </c>
    </row>
    <row r="3848" customFormat="false" ht="15" hidden="false" customHeight="false" outlineLevel="0" collapsed="false">
      <c r="A3848" s="80"/>
      <c r="B3848" s="71"/>
      <c r="C3848" s="71"/>
      <c r="D3848" s="81"/>
      <c r="E3848" s="71"/>
      <c r="F3848" s="71"/>
      <c r="G3848" s="82" t="str">
        <f aca="false">IF(C3848="","",IFERROR(INDEX('Kit Lists'!$D$6:$D$605,MATCH(B3848&amp;"|"&amp;C3848,'Kit Lists'!$J$6:$J$605,0)),"Not on this contract's kit list"))</f>
        <v/>
      </c>
      <c r="H3848" s="83" t="str">
        <f aca="false">IF(AND(B3848="",C3848="",D3848=""),"",IF(B3848="","Missing contract",IF(C3848="","Missing code",IF(LEFT(G3848,3)="Not","Wrong code",IF(D3848="","Missing qty",IF(A3848="","Missing date",""))))))</f>
        <v/>
      </c>
      <c r="I3848" s="84" t="str">
        <f aca="false">IF(B3848=Dashboard!$D$3,ROW(),"")</f>
        <v/>
      </c>
    </row>
    <row r="3849" customFormat="false" ht="15" hidden="false" customHeight="false" outlineLevel="0" collapsed="false">
      <c r="A3849" s="80"/>
      <c r="B3849" s="71"/>
      <c r="C3849" s="71"/>
      <c r="D3849" s="81"/>
      <c r="E3849" s="71"/>
      <c r="F3849" s="71"/>
      <c r="G3849" s="82" t="str">
        <f aca="false">IF(C3849="","",IFERROR(INDEX('Kit Lists'!$D$6:$D$605,MATCH(B3849&amp;"|"&amp;C3849,'Kit Lists'!$J$6:$J$605,0)),"Not on this contract's kit list"))</f>
        <v/>
      </c>
      <c r="H3849" s="83" t="str">
        <f aca="false">IF(AND(B3849="",C3849="",D3849=""),"",IF(B3849="","Missing contract",IF(C3849="","Missing code",IF(LEFT(G3849,3)="Not","Wrong code",IF(D3849="","Missing qty",IF(A3849="","Missing date",""))))))</f>
        <v/>
      </c>
      <c r="I3849" s="84" t="str">
        <f aca="false">IF(B3849=Dashboard!$D$3,ROW(),"")</f>
        <v/>
      </c>
    </row>
    <row r="3850" customFormat="false" ht="15" hidden="false" customHeight="false" outlineLevel="0" collapsed="false">
      <c r="A3850" s="80"/>
      <c r="B3850" s="71"/>
      <c r="C3850" s="71"/>
      <c r="D3850" s="81"/>
      <c r="E3850" s="71"/>
      <c r="F3850" s="71"/>
      <c r="G3850" s="82" t="str">
        <f aca="false">IF(C3850="","",IFERROR(INDEX('Kit Lists'!$D$6:$D$605,MATCH(B3850&amp;"|"&amp;C3850,'Kit Lists'!$J$6:$J$605,0)),"Not on this contract's kit list"))</f>
        <v/>
      </c>
      <c r="H3850" s="83" t="str">
        <f aca="false">IF(AND(B3850="",C3850="",D3850=""),"",IF(B3850="","Missing contract",IF(C3850="","Missing code",IF(LEFT(G3850,3)="Not","Wrong code",IF(D3850="","Missing qty",IF(A3850="","Missing date",""))))))</f>
        <v/>
      </c>
      <c r="I3850" s="84" t="str">
        <f aca="false">IF(B3850=Dashboard!$D$3,ROW(),"")</f>
        <v/>
      </c>
    </row>
    <row r="3851" customFormat="false" ht="15" hidden="false" customHeight="false" outlineLevel="0" collapsed="false">
      <c r="A3851" s="80"/>
      <c r="B3851" s="71"/>
      <c r="C3851" s="71"/>
      <c r="D3851" s="81"/>
      <c r="E3851" s="71"/>
      <c r="F3851" s="71"/>
      <c r="G3851" s="82" t="str">
        <f aca="false">IF(C3851="","",IFERROR(INDEX('Kit Lists'!$D$6:$D$605,MATCH(B3851&amp;"|"&amp;C3851,'Kit Lists'!$J$6:$J$605,0)),"Not on this contract's kit list"))</f>
        <v/>
      </c>
      <c r="H3851" s="83" t="str">
        <f aca="false">IF(AND(B3851="",C3851="",D3851=""),"",IF(B3851="","Missing contract",IF(C3851="","Missing code",IF(LEFT(G3851,3)="Not","Wrong code",IF(D3851="","Missing qty",IF(A3851="","Missing date",""))))))</f>
        <v/>
      </c>
      <c r="I3851" s="84" t="str">
        <f aca="false">IF(B3851=Dashboard!$D$3,ROW(),"")</f>
        <v/>
      </c>
    </row>
    <row r="3852" customFormat="false" ht="15" hidden="false" customHeight="false" outlineLevel="0" collapsed="false">
      <c r="A3852" s="80"/>
      <c r="B3852" s="71"/>
      <c r="C3852" s="71"/>
      <c r="D3852" s="81"/>
      <c r="E3852" s="71"/>
      <c r="F3852" s="71"/>
      <c r="G3852" s="82" t="str">
        <f aca="false">IF(C3852="","",IFERROR(INDEX('Kit Lists'!$D$6:$D$605,MATCH(B3852&amp;"|"&amp;C3852,'Kit Lists'!$J$6:$J$605,0)),"Not on this contract's kit list"))</f>
        <v/>
      </c>
      <c r="H3852" s="83" t="str">
        <f aca="false">IF(AND(B3852="",C3852="",D3852=""),"",IF(B3852="","Missing contract",IF(C3852="","Missing code",IF(LEFT(G3852,3)="Not","Wrong code",IF(D3852="","Missing qty",IF(A3852="","Missing date",""))))))</f>
        <v/>
      </c>
      <c r="I3852" s="84" t="str">
        <f aca="false">IF(B3852=Dashboard!$D$3,ROW(),"")</f>
        <v/>
      </c>
    </row>
    <row r="3853" customFormat="false" ht="15" hidden="false" customHeight="false" outlineLevel="0" collapsed="false">
      <c r="A3853" s="80"/>
      <c r="B3853" s="71"/>
      <c r="C3853" s="71"/>
      <c r="D3853" s="81"/>
      <c r="E3853" s="71"/>
      <c r="F3853" s="71"/>
      <c r="G3853" s="82" t="str">
        <f aca="false">IF(C3853="","",IFERROR(INDEX('Kit Lists'!$D$6:$D$605,MATCH(B3853&amp;"|"&amp;C3853,'Kit Lists'!$J$6:$J$605,0)),"Not on this contract's kit list"))</f>
        <v/>
      </c>
      <c r="H3853" s="83" t="str">
        <f aca="false">IF(AND(B3853="",C3853="",D3853=""),"",IF(B3853="","Missing contract",IF(C3853="","Missing code",IF(LEFT(G3853,3)="Not","Wrong code",IF(D3853="","Missing qty",IF(A3853="","Missing date",""))))))</f>
        <v/>
      </c>
      <c r="I3853" s="84" t="str">
        <f aca="false">IF(B3853=Dashboard!$D$3,ROW(),"")</f>
        <v/>
      </c>
    </row>
    <row r="3854" customFormat="false" ht="15" hidden="false" customHeight="false" outlineLevel="0" collapsed="false">
      <c r="A3854" s="80"/>
      <c r="B3854" s="71"/>
      <c r="C3854" s="71"/>
      <c r="D3854" s="81"/>
      <c r="E3854" s="71"/>
      <c r="F3854" s="71"/>
      <c r="G3854" s="82" t="str">
        <f aca="false">IF(C3854="","",IFERROR(INDEX('Kit Lists'!$D$6:$D$605,MATCH(B3854&amp;"|"&amp;C3854,'Kit Lists'!$J$6:$J$605,0)),"Not on this contract's kit list"))</f>
        <v/>
      </c>
      <c r="H3854" s="83" t="str">
        <f aca="false">IF(AND(B3854="",C3854="",D3854=""),"",IF(B3854="","Missing contract",IF(C3854="","Missing code",IF(LEFT(G3854,3)="Not","Wrong code",IF(D3854="","Missing qty",IF(A3854="","Missing date",""))))))</f>
        <v/>
      </c>
      <c r="I3854" s="84" t="str">
        <f aca="false">IF(B3854=Dashboard!$D$3,ROW(),"")</f>
        <v/>
      </c>
    </row>
    <row r="3855" customFormat="false" ht="15" hidden="false" customHeight="false" outlineLevel="0" collapsed="false">
      <c r="A3855" s="80"/>
      <c r="B3855" s="71"/>
      <c r="C3855" s="71"/>
      <c r="D3855" s="81"/>
      <c r="E3855" s="71"/>
      <c r="F3855" s="71"/>
      <c r="G3855" s="82" t="str">
        <f aca="false">IF(C3855="","",IFERROR(INDEX('Kit Lists'!$D$6:$D$605,MATCH(B3855&amp;"|"&amp;C3855,'Kit Lists'!$J$6:$J$605,0)),"Not on this contract's kit list"))</f>
        <v/>
      </c>
      <c r="H3855" s="83" t="str">
        <f aca="false">IF(AND(B3855="",C3855="",D3855=""),"",IF(B3855="","Missing contract",IF(C3855="","Missing code",IF(LEFT(G3855,3)="Not","Wrong code",IF(D3855="","Missing qty",IF(A3855="","Missing date",""))))))</f>
        <v/>
      </c>
      <c r="I3855" s="84" t="str">
        <f aca="false">IF(B3855=Dashboard!$D$3,ROW(),"")</f>
        <v/>
      </c>
    </row>
    <row r="3856" customFormat="false" ht="15" hidden="false" customHeight="false" outlineLevel="0" collapsed="false">
      <c r="A3856" s="80"/>
      <c r="B3856" s="71"/>
      <c r="C3856" s="71"/>
      <c r="D3856" s="81"/>
      <c r="E3856" s="71"/>
      <c r="F3856" s="71"/>
      <c r="G3856" s="82" t="str">
        <f aca="false">IF(C3856="","",IFERROR(INDEX('Kit Lists'!$D$6:$D$605,MATCH(B3856&amp;"|"&amp;C3856,'Kit Lists'!$J$6:$J$605,0)),"Not on this contract's kit list"))</f>
        <v/>
      </c>
      <c r="H3856" s="83" t="str">
        <f aca="false">IF(AND(B3856="",C3856="",D3856=""),"",IF(B3856="","Missing contract",IF(C3856="","Missing code",IF(LEFT(G3856,3)="Not","Wrong code",IF(D3856="","Missing qty",IF(A3856="","Missing date",""))))))</f>
        <v/>
      </c>
      <c r="I3856" s="84" t="str">
        <f aca="false">IF(B3856=Dashboard!$D$3,ROW(),"")</f>
        <v/>
      </c>
    </row>
    <row r="3857" customFormat="false" ht="15" hidden="false" customHeight="false" outlineLevel="0" collapsed="false">
      <c r="A3857" s="80"/>
      <c r="B3857" s="71"/>
      <c r="C3857" s="71"/>
      <c r="D3857" s="81"/>
      <c r="E3857" s="71"/>
      <c r="F3857" s="71"/>
      <c r="G3857" s="82" t="str">
        <f aca="false">IF(C3857="","",IFERROR(INDEX('Kit Lists'!$D$6:$D$605,MATCH(B3857&amp;"|"&amp;C3857,'Kit Lists'!$J$6:$J$605,0)),"Not on this contract's kit list"))</f>
        <v/>
      </c>
      <c r="H3857" s="83" t="str">
        <f aca="false">IF(AND(B3857="",C3857="",D3857=""),"",IF(B3857="","Missing contract",IF(C3857="","Missing code",IF(LEFT(G3857,3)="Not","Wrong code",IF(D3857="","Missing qty",IF(A3857="","Missing date",""))))))</f>
        <v/>
      </c>
      <c r="I3857" s="84" t="str">
        <f aca="false">IF(B3857=Dashboard!$D$3,ROW(),"")</f>
        <v/>
      </c>
    </row>
    <row r="3858" customFormat="false" ht="15" hidden="false" customHeight="false" outlineLevel="0" collapsed="false">
      <c r="A3858" s="80"/>
      <c r="B3858" s="71"/>
      <c r="C3858" s="71"/>
      <c r="D3858" s="81"/>
      <c r="E3858" s="71"/>
      <c r="F3858" s="71"/>
      <c r="G3858" s="82" t="str">
        <f aca="false">IF(C3858="","",IFERROR(INDEX('Kit Lists'!$D$6:$D$605,MATCH(B3858&amp;"|"&amp;C3858,'Kit Lists'!$J$6:$J$605,0)),"Not on this contract's kit list"))</f>
        <v/>
      </c>
      <c r="H3858" s="83" t="str">
        <f aca="false">IF(AND(B3858="",C3858="",D3858=""),"",IF(B3858="","Missing contract",IF(C3858="","Missing code",IF(LEFT(G3858,3)="Not","Wrong code",IF(D3858="","Missing qty",IF(A3858="","Missing date",""))))))</f>
        <v/>
      </c>
      <c r="I3858" s="84" t="str">
        <f aca="false">IF(B3858=Dashboard!$D$3,ROW(),"")</f>
        <v/>
      </c>
    </row>
    <row r="3859" customFormat="false" ht="15" hidden="false" customHeight="false" outlineLevel="0" collapsed="false">
      <c r="A3859" s="80"/>
      <c r="B3859" s="71"/>
      <c r="C3859" s="71"/>
      <c r="D3859" s="81"/>
      <c r="E3859" s="71"/>
      <c r="F3859" s="71"/>
      <c r="G3859" s="82" t="str">
        <f aca="false">IF(C3859="","",IFERROR(INDEX('Kit Lists'!$D$6:$D$605,MATCH(B3859&amp;"|"&amp;C3859,'Kit Lists'!$J$6:$J$605,0)),"Not on this contract's kit list"))</f>
        <v/>
      </c>
      <c r="H3859" s="83" t="str">
        <f aca="false">IF(AND(B3859="",C3859="",D3859=""),"",IF(B3859="","Missing contract",IF(C3859="","Missing code",IF(LEFT(G3859,3)="Not","Wrong code",IF(D3859="","Missing qty",IF(A3859="","Missing date",""))))))</f>
        <v/>
      </c>
      <c r="I3859" s="84" t="str">
        <f aca="false">IF(B3859=Dashboard!$D$3,ROW(),"")</f>
        <v/>
      </c>
    </row>
    <row r="3860" customFormat="false" ht="15" hidden="false" customHeight="false" outlineLevel="0" collapsed="false">
      <c r="A3860" s="80"/>
      <c r="B3860" s="71"/>
      <c r="C3860" s="71"/>
      <c r="D3860" s="81"/>
      <c r="E3860" s="71"/>
      <c r="F3860" s="71"/>
      <c r="G3860" s="82" t="str">
        <f aca="false">IF(C3860="","",IFERROR(INDEX('Kit Lists'!$D$6:$D$605,MATCH(B3860&amp;"|"&amp;C3860,'Kit Lists'!$J$6:$J$605,0)),"Not on this contract's kit list"))</f>
        <v/>
      </c>
      <c r="H3860" s="83" t="str">
        <f aca="false">IF(AND(B3860="",C3860="",D3860=""),"",IF(B3860="","Missing contract",IF(C3860="","Missing code",IF(LEFT(G3860,3)="Not","Wrong code",IF(D3860="","Missing qty",IF(A3860="","Missing date",""))))))</f>
        <v/>
      </c>
      <c r="I3860" s="84" t="str">
        <f aca="false">IF(B3860=Dashboard!$D$3,ROW(),"")</f>
        <v/>
      </c>
    </row>
    <row r="3861" customFormat="false" ht="15" hidden="false" customHeight="false" outlineLevel="0" collapsed="false">
      <c r="A3861" s="80"/>
      <c r="B3861" s="71"/>
      <c r="C3861" s="71"/>
      <c r="D3861" s="81"/>
      <c r="E3861" s="71"/>
      <c r="F3861" s="71"/>
      <c r="G3861" s="82" t="str">
        <f aca="false">IF(C3861="","",IFERROR(INDEX('Kit Lists'!$D$6:$D$605,MATCH(B3861&amp;"|"&amp;C3861,'Kit Lists'!$J$6:$J$605,0)),"Not on this contract's kit list"))</f>
        <v/>
      </c>
      <c r="H3861" s="83" t="str">
        <f aca="false">IF(AND(B3861="",C3861="",D3861=""),"",IF(B3861="","Missing contract",IF(C3861="","Missing code",IF(LEFT(G3861,3)="Not","Wrong code",IF(D3861="","Missing qty",IF(A3861="","Missing date",""))))))</f>
        <v/>
      </c>
      <c r="I3861" s="84" t="str">
        <f aca="false">IF(B3861=Dashboard!$D$3,ROW(),"")</f>
        <v/>
      </c>
    </row>
    <row r="3862" customFormat="false" ht="15" hidden="false" customHeight="false" outlineLevel="0" collapsed="false">
      <c r="A3862" s="80"/>
      <c r="B3862" s="71"/>
      <c r="C3862" s="71"/>
      <c r="D3862" s="81"/>
      <c r="E3862" s="71"/>
      <c r="F3862" s="71"/>
      <c r="G3862" s="82" t="str">
        <f aca="false">IF(C3862="","",IFERROR(INDEX('Kit Lists'!$D$6:$D$605,MATCH(B3862&amp;"|"&amp;C3862,'Kit Lists'!$J$6:$J$605,0)),"Not on this contract's kit list"))</f>
        <v/>
      </c>
      <c r="H3862" s="83" t="str">
        <f aca="false">IF(AND(B3862="",C3862="",D3862=""),"",IF(B3862="","Missing contract",IF(C3862="","Missing code",IF(LEFT(G3862,3)="Not","Wrong code",IF(D3862="","Missing qty",IF(A3862="","Missing date",""))))))</f>
        <v/>
      </c>
      <c r="I3862" s="84" t="str">
        <f aca="false">IF(B3862=Dashboard!$D$3,ROW(),"")</f>
        <v/>
      </c>
    </row>
    <row r="3863" customFormat="false" ht="15" hidden="false" customHeight="false" outlineLevel="0" collapsed="false">
      <c r="A3863" s="80"/>
      <c r="B3863" s="71"/>
      <c r="C3863" s="71"/>
      <c r="D3863" s="81"/>
      <c r="E3863" s="71"/>
      <c r="F3863" s="71"/>
      <c r="G3863" s="82" t="str">
        <f aca="false">IF(C3863="","",IFERROR(INDEX('Kit Lists'!$D$6:$D$605,MATCH(B3863&amp;"|"&amp;C3863,'Kit Lists'!$J$6:$J$605,0)),"Not on this contract's kit list"))</f>
        <v/>
      </c>
      <c r="H3863" s="83" t="str">
        <f aca="false">IF(AND(B3863="",C3863="",D3863=""),"",IF(B3863="","Missing contract",IF(C3863="","Missing code",IF(LEFT(G3863,3)="Not","Wrong code",IF(D3863="","Missing qty",IF(A3863="","Missing date",""))))))</f>
        <v/>
      </c>
      <c r="I3863" s="84" t="str">
        <f aca="false">IF(B3863=Dashboard!$D$3,ROW(),"")</f>
        <v/>
      </c>
    </row>
    <row r="3864" customFormat="false" ht="15" hidden="false" customHeight="false" outlineLevel="0" collapsed="false">
      <c r="A3864" s="80"/>
      <c r="B3864" s="71"/>
      <c r="C3864" s="71"/>
      <c r="D3864" s="81"/>
      <c r="E3864" s="71"/>
      <c r="F3864" s="71"/>
      <c r="G3864" s="82" t="str">
        <f aca="false">IF(C3864="","",IFERROR(INDEX('Kit Lists'!$D$6:$D$605,MATCH(B3864&amp;"|"&amp;C3864,'Kit Lists'!$J$6:$J$605,0)),"Not on this contract's kit list"))</f>
        <v/>
      </c>
      <c r="H3864" s="83" t="str">
        <f aca="false">IF(AND(B3864="",C3864="",D3864=""),"",IF(B3864="","Missing contract",IF(C3864="","Missing code",IF(LEFT(G3864,3)="Not","Wrong code",IF(D3864="","Missing qty",IF(A3864="","Missing date",""))))))</f>
        <v/>
      </c>
      <c r="I3864" s="84" t="str">
        <f aca="false">IF(B3864=Dashboard!$D$3,ROW(),"")</f>
        <v/>
      </c>
    </row>
    <row r="3865" customFormat="false" ht="15" hidden="false" customHeight="false" outlineLevel="0" collapsed="false">
      <c r="A3865" s="80"/>
      <c r="B3865" s="71"/>
      <c r="C3865" s="71"/>
      <c r="D3865" s="81"/>
      <c r="E3865" s="71"/>
      <c r="F3865" s="71"/>
      <c r="G3865" s="82" t="str">
        <f aca="false">IF(C3865="","",IFERROR(INDEX('Kit Lists'!$D$6:$D$605,MATCH(B3865&amp;"|"&amp;C3865,'Kit Lists'!$J$6:$J$605,0)),"Not on this contract's kit list"))</f>
        <v/>
      </c>
      <c r="H3865" s="83" t="str">
        <f aca="false">IF(AND(B3865="",C3865="",D3865=""),"",IF(B3865="","Missing contract",IF(C3865="","Missing code",IF(LEFT(G3865,3)="Not","Wrong code",IF(D3865="","Missing qty",IF(A3865="","Missing date",""))))))</f>
        <v/>
      </c>
      <c r="I3865" s="84" t="str">
        <f aca="false">IF(B3865=Dashboard!$D$3,ROW(),"")</f>
        <v/>
      </c>
    </row>
    <row r="3866" customFormat="false" ht="15" hidden="false" customHeight="false" outlineLevel="0" collapsed="false">
      <c r="A3866" s="80"/>
      <c r="B3866" s="71"/>
      <c r="C3866" s="71"/>
      <c r="D3866" s="81"/>
      <c r="E3866" s="71"/>
      <c r="F3866" s="71"/>
      <c r="G3866" s="82" t="str">
        <f aca="false">IF(C3866="","",IFERROR(INDEX('Kit Lists'!$D$6:$D$605,MATCH(B3866&amp;"|"&amp;C3866,'Kit Lists'!$J$6:$J$605,0)),"Not on this contract's kit list"))</f>
        <v/>
      </c>
      <c r="H3866" s="83" t="str">
        <f aca="false">IF(AND(B3866="",C3866="",D3866=""),"",IF(B3866="","Missing contract",IF(C3866="","Missing code",IF(LEFT(G3866,3)="Not","Wrong code",IF(D3866="","Missing qty",IF(A3866="","Missing date",""))))))</f>
        <v/>
      </c>
      <c r="I3866" s="84" t="str">
        <f aca="false">IF(B3866=Dashboard!$D$3,ROW(),"")</f>
        <v/>
      </c>
    </row>
    <row r="3867" customFormat="false" ht="15" hidden="false" customHeight="false" outlineLevel="0" collapsed="false">
      <c r="A3867" s="80"/>
      <c r="B3867" s="71"/>
      <c r="C3867" s="71"/>
      <c r="D3867" s="81"/>
      <c r="E3867" s="71"/>
      <c r="F3867" s="71"/>
      <c r="G3867" s="82" t="str">
        <f aca="false">IF(C3867="","",IFERROR(INDEX('Kit Lists'!$D$6:$D$605,MATCH(B3867&amp;"|"&amp;C3867,'Kit Lists'!$J$6:$J$605,0)),"Not on this contract's kit list"))</f>
        <v/>
      </c>
      <c r="H3867" s="83" t="str">
        <f aca="false">IF(AND(B3867="",C3867="",D3867=""),"",IF(B3867="","Missing contract",IF(C3867="","Missing code",IF(LEFT(G3867,3)="Not","Wrong code",IF(D3867="","Missing qty",IF(A3867="","Missing date",""))))))</f>
        <v/>
      </c>
      <c r="I3867" s="84" t="str">
        <f aca="false">IF(B3867=Dashboard!$D$3,ROW(),"")</f>
        <v/>
      </c>
    </row>
    <row r="3868" customFormat="false" ht="15" hidden="false" customHeight="false" outlineLevel="0" collapsed="false">
      <c r="A3868" s="80"/>
      <c r="B3868" s="71"/>
      <c r="C3868" s="71"/>
      <c r="D3868" s="81"/>
      <c r="E3868" s="71"/>
      <c r="F3868" s="71"/>
      <c r="G3868" s="82" t="str">
        <f aca="false">IF(C3868="","",IFERROR(INDEX('Kit Lists'!$D$6:$D$605,MATCH(B3868&amp;"|"&amp;C3868,'Kit Lists'!$J$6:$J$605,0)),"Not on this contract's kit list"))</f>
        <v/>
      </c>
      <c r="H3868" s="83" t="str">
        <f aca="false">IF(AND(B3868="",C3868="",D3868=""),"",IF(B3868="","Missing contract",IF(C3868="","Missing code",IF(LEFT(G3868,3)="Not","Wrong code",IF(D3868="","Missing qty",IF(A3868="","Missing date",""))))))</f>
        <v/>
      </c>
      <c r="I3868" s="84" t="str">
        <f aca="false">IF(B3868=Dashboard!$D$3,ROW(),"")</f>
        <v/>
      </c>
    </row>
    <row r="3869" customFormat="false" ht="15" hidden="false" customHeight="false" outlineLevel="0" collapsed="false">
      <c r="A3869" s="80"/>
      <c r="B3869" s="71"/>
      <c r="C3869" s="71"/>
      <c r="D3869" s="81"/>
      <c r="E3869" s="71"/>
      <c r="F3869" s="71"/>
      <c r="G3869" s="82" t="str">
        <f aca="false">IF(C3869="","",IFERROR(INDEX('Kit Lists'!$D$6:$D$605,MATCH(B3869&amp;"|"&amp;C3869,'Kit Lists'!$J$6:$J$605,0)),"Not on this contract's kit list"))</f>
        <v/>
      </c>
      <c r="H3869" s="83" t="str">
        <f aca="false">IF(AND(B3869="",C3869="",D3869=""),"",IF(B3869="","Missing contract",IF(C3869="","Missing code",IF(LEFT(G3869,3)="Not","Wrong code",IF(D3869="","Missing qty",IF(A3869="","Missing date",""))))))</f>
        <v/>
      </c>
      <c r="I3869" s="84" t="str">
        <f aca="false">IF(B3869=Dashboard!$D$3,ROW(),"")</f>
        <v/>
      </c>
    </row>
    <row r="3870" customFormat="false" ht="15" hidden="false" customHeight="false" outlineLevel="0" collapsed="false">
      <c r="A3870" s="80"/>
      <c r="B3870" s="71"/>
      <c r="C3870" s="71"/>
      <c r="D3870" s="81"/>
      <c r="E3870" s="71"/>
      <c r="F3870" s="71"/>
      <c r="G3870" s="82" t="str">
        <f aca="false">IF(C3870="","",IFERROR(INDEX('Kit Lists'!$D$6:$D$605,MATCH(B3870&amp;"|"&amp;C3870,'Kit Lists'!$J$6:$J$605,0)),"Not on this contract's kit list"))</f>
        <v/>
      </c>
      <c r="H3870" s="83" t="str">
        <f aca="false">IF(AND(B3870="",C3870="",D3870=""),"",IF(B3870="","Missing contract",IF(C3870="","Missing code",IF(LEFT(G3870,3)="Not","Wrong code",IF(D3870="","Missing qty",IF(A3870="","Missing date",""))))))</f>
        <v/>
      </c>
      <c r="I3870" s="84" t="str">
        <f aca="false">IF(B3870=Dashboard!$D$3,ROW(),"")</f>
        <v/>
      </c>
    </row>
    <row r="3871" customFormat="false" ht="15" hidden="false" customHeight="false" outlineLevel="0" collapsed="false">
      <c r="A3871" s="80"/>
      <c r="B3871" s="71"/>
      <c r="C3871" s="71"/>
      <c r="D3871" s="81"/>
      <c r="E3871" s="71"/>
      <c r="F3871" s="71"/>
      <c r="G3871" s="82" t="str">
        <f aca="false">IF(C3871="","",IFERROR(INDEX('Kit Lists'!$D$6:$D$605,MATCH(B3871&amp;"|"&amp;C3871,'Kit Lists'!$J$6:$J$605,0)),"Not on this contract's kit list"))</f>
        <v/>
      </c>
      <c r="H3871" s="83" t="str">
        <f aca="false">IF(AND(B3871="",C3871="",D3871=""),"",IF(B3871="","Missing contract",IF(C3871="","Missing code",IF(LEFT(G3871,3)="Not","Wrong code",IF(D3871="","Missing qty",IF(A3871="","Missing date",""))))))</f>
        <v/>
      </c>
      <c r="I3871" s="84" t="str">
        <f aca="false">IF(B3871=Dashboard!$D$3,ROW(),"")</f>
        <v/>
      </c>
    </row>
    <row r="3872" customFormat="false" ht="15" hidden="false" customHeight="false" outlineLevel="0" collapsed="false">
      <c r="A3872" s="80"/>
      <c r="B3872" s="71"/>
      <c r="C3872" s="71"/>
      <c r="D3872" s="81"/>
      <c r="E3872" s="71"/>
      <c r="F3872" s="71"/>
      <c r="G3872" s="82" t="str">
        <f aca="false">IF(C3872="","",IFERROR(INDEX('Kit Lists'!$D$6:$D$605,MATCH(B3872&amp;"|"&amp;C3872,'Kit Lists'!$J$6:$J$605,0)),"Not on this contract's kit list"))</f>
        <v/>
      </c>
      <c r="H3872" s="83" t="str">
        <f aca="false">IF(AND(B3872="",C3872="",D3872=""),"",IF(B3872="","Missing contract",IF(C3872="","Missing code",IF(LEFT(G3872,3)="Not","Wrong code",IF(D3872="","Missing qty",IF(A3872="","Missing date",""))))))</f>
        <v/>
      </c>
      <c r="I3872" s="84" t="str">
        <f aca="false">IF(B3872=Dashboard!$D$3,ROW(),"")</f>
        <v/>
      </c>
    </row>
    <row r="3873" customFormat="false" ht="15" hidden="false" customHeight="false" outlineLevel="0" collapsed="false">
      <c r="A3873" s="80"/>
      <c r="B3873" s="71"/>
      <c r="C3873" s="71"/>
      <c r="D3873" s="81"/>
      <c r="E3873" s="71"/>
      <c r="F3873" s="71"/>
      <c r="G3873" s="82" t="str">
        <f aca="false">IF(C3873="","",IFERROR(INDEX('Kit Lists'!$D$6:$D$605,MATCH(B3873&amp;"|"&amp;C3873,'Kit Lists'!$J$6:$J$605,0)),"Not on this contract's kit list"))</f>
        <v/>
      </c>
      <c r="H3873" s="83" t="str">
        <f aca="false">IF(AND(B3873="",C3873="",D3873=""),"",IF(B3873="","Missing contract",IF(C3873="","Missing code",IF(LEFT(G3873,3)="Not","Wrong code",IF(D3873="","Missing qty",IF(A3873="","Missing date",""))))))</f>
        <v/>
      </c>
      <c r="I3873" s="84" t="str">
        <f aca="false">IF(B3873=Dashboard!$D$3,ROW(),"")</f>
        <v/>
      </c>
    </row>
    <row r="3874" customFormat="false" ht="15" hidden="false" customHeight="false" outlineLevel="0" collapsed="false">
      <c r="A3874" s="80"/>
      <c r="B3874" s="71"/>
      <c r="C3874" s="71"/>
      <c r="D3874" s="81"/>
      <c r="E3874" s="71"/>
      <c r="F3874" s="71"/>
      <c r="G3874" s="82" t="str">
        <f aca="false">IF(C3874="","",IFERROR(INDEX('Kit Lists'!$D$6:$D$605,MATCH(B3874&amp;"|"&amp;C3874,'Kit Lists'!$J$6:$J$605,0)),"Not on this contract's kit list"))</f>
        <v/>
      </c>
      <c r="H3874" s="83" t="str">
        <f aca="false">IF(AND(B3874="",C3874="",D3874=""),"",IF(B3874="","Missing contract",IF(C3874="","Missing code",IF(LEFT(G3874,3)="Not","Wrong code",IF(D3874="","Missing qty",IF(A3874="","Missing date",""))))))</f>
        <v/>
      </c>
      <c r="I3874" s="84" t="str">
        <f aca="false">IF(B3874=Dashboard!$D$3,ROW(),"")</f>
        <v/>
      </c>
    </row>
    <row r="3875" customFormat="false" ht="15" hidden="false" customHeight="false" outlineLevel="0" collapsed="false">
      <c r="A3875" s="80"/>
      <c r="B3875" s="71"/>
      <c r="C3875" s="71"/>
      <c r="D3875" s="81"/>
      <c r="E3875" s="71"/>
      <c r="F3875" s="71"/>
      <c r="G3875" s="82" t="str">
        <f aca="false">IF(C3875="","",IFERROR(INDEX('Kit Lists'!$D$6:$D$605,MATCH(B3875&amp;"|"&amp;C3875,'Kit Lists'!$J$6:$J$605,0)),"Not on this contract's kit list"))</f>
        <v/>
      </c>
      <c r="H3875" s="83" t="str">
        <f aca="false">IF(AND(B3875="",C3875="",D3875=""),"",IF(B3875="","Missing contract",IF(C3875="","Missing code",IF(LEFT(G3875,3)="Not","Wrong code",IF(D3875="","Missing qty",IF(A3875="","Missing date",""))))))</f>
        <v/>
      </c>
      <c r="I3875" s="84" t="str">
        <f aca="false">IF(B3875=Dashboard!$D$3,ROW(),"")</f>
        <v/>
      </c>
    </row>
    <row r="3876" customFormat="false" ht="15" hidden="false" customHeight="false" outlineLevel="0" collapsed="false">
      <c r="A3876" s="80"/>
      <c r="B3876" s="71"/>
      <c r="C3876" s="71"/>
      <c r="D3876" s="81"/>
      <c r="E3876" s="71"/>
      <c r="F3876" s="71"/>
      <c r="G3876" s="82" t="str">
        <f aca="false">IF(C3876="","",IFERROR(INDEX('Kit Lists'!$D$6:$D$605,MATCH(B3876&amp;"|"&amp;C3876,'Kit Lists'!$J$6:$J$605,0)),"Not on this contract's kit list"))</f>
        <v/>
      </c>
      <c r="H3876" s="83" t="str">
        <f aca="false">IF(AND(B3876="",C3876="",D3876=""),"",IF(B3876="","Missing contract",IF(C3876="","Missing code",IF(LEFT(G3876,3)="Not","Wrong code",IF(D3876="","Missing qty",IF(A3876="","Missing date",""))))))</f>
        <v/>
      </c>
      <c r="I3876" s="84" t="str">
        <f aca="false">IF(B3876=Dashboard!$D$3,ROW(),"")</f>
        <v/>
      </c>
    </row>
    <row r="3877" customFormat="false" ht="15" hidden="false" customHeight="false" outlineLevel="0" collapsed="false">
      <c r="A3877" s="80"/>
      <c r="B3877" s="71"/>
      <c r="C3877" s="71"/>
      <c r="D3877" s="81"/>
      <c r="E3877" s="71"/>
      <c r="F3877" s="71"/>
      <c r="G3877" s="82" t="str">
        <f aca="false">IF(C3877="","",IFERROR(INDEX('Kit Lists'!$D$6:$D$605,MATCH(B3877&amp;"|"&amp;C3877,'Kit Lists'!$J$6:$J$605,0)),"Not on this contract's kit list"))</f>
        <v/>
      </c>
      <c r="H3877" s="83" t="str">
        <f aca="false">IF(AND(B3877="",C3877="",D3877=""),"",IF(B3877="","Missing contract",IF(C3877="","Missing code",IF(LEFT(G3877,3)="Not","Wrong code",IF(D3877="","Missing qty",IF(A3877="","Missing date",""))))))</f>
        <v/>
      </c>
      <c r="I3877" s="84" t="str">
        <f aca="false">IF(B3877=Dashboard!$D$3,ROW(),"")</f>
        <v/>
      </c>
    </row>
    <row r="3878" customFormat="false" ht="15" hidden="false" customHeight="false" outlineLevel="0" collapsed="false">
      <c r="A3878" s="80"/>
      <c r="B3878" s="71"/>
      <c r="C3878" s="71"/>
      <c r="D3878" s="81"/>
      <c r="E3878" s="71"/>
      <c r="F3878" s="71"/>
      <c r="G3878" s="82" t="str">
        <f aca="false">IF(C3878="","",IFERROR(INDEX('Kit Lists'!$D$6:$D$605,MATCH(B3878&amp;"|"&amp;C3878,'Kit Lists'!$J$6:$J$605,0)),"Not on this contract's kit list"))</f>
        <v/>
      </c>
      <c r="H3878" s="83" t="str">
        <f aca="false">IF(AND(B3878="",C3878="",D3878=""),"",IF(B3878="","Missing contract",IF(C3878="","Missing code",IF(LEFT(G3878,3)="Not","Wrong code",IF(D3878="","Missing qty",IF(A3878="","Missing date",""))))))</f>
        <v/>
      </c>
      <c r="I3878" s="84" t="str">
        <f aca="false">IF(B3878=Dashboard!$D$3,ROW(),"")</f>
        <v/>
      </c>
    </row>
    <row r="3879" customFormat="false" ht="15" hidden="false" customHeight="false" outlineLevel="0" collapsed="false">
      <c r="A3879" s="80"/>
      <c r="B3879" s="71"/>
      <c r="C3879" s="71"/>
      <c r="D3879" s="81"/>
      <c r="E3879" s="71"/>
      <c r="F3879" s="71"/>
      <c r="G3879" s="82" t="str">
        <f aca="false">IF(C3879="","",IFERROR(INDEX('Kit Lists'!$D$6:$D$605,MATCH(B3879&amp;"|"&amp;C3879,'Kit Lists'!$J$6:$J$605,0)),"Not on this contract's kit list"))</f>
        <v/>
      </c>
      <c r="H3879" s="83" t="str">
        <f aca="false">IF(AND(B3879="",C3879="",D3879=""),"",IF(B3879="","Missing contract",IF(C3879="","Missing code",IF(LEFT(G3879,3)="Not","Wrong code",IF(D3879="","Missing qty",IF(A3879="","Missing date",""))))))</f>
        <v/>
      </c>
      <c r="I3879" s="84" t="str">
        <f aca="false">IF(B3879=Dashboard!$D$3,ROW(),"")</f>
        <v/>
      </c>
    </row>
    <row r="3880" customFormat="false" ht="15" hidden="false" customHeight="false" outlineLevel="0" collapsed="false">
      <c r="A3880" s="80"/>
      <c r="B3880" s="71"/>
      <c r="C3880" s="71"/>
      <c r="D3880" s="81"/>
      <c r="E3880" s="71"/>
      <c r="F3880" s="71"/>
      <c r="G3880" s="82" t="str">
        <f aca="false">IF(C3880="","",IFERROR(INDEX('Kit Lists'!$D$6:$D$605,MATCH(B3880&amp;"|"&amp;C3880,'Kit Lists'!$J$6:$J$605,0)),"Not on this contract's kit list"))</f>
        <v/>
      </c>
      <c r="H3880" s="83" t="str">
        <f aca="false">IF(AND(B3880="",C3880="",D3880=""),"",IF(B3880="","Missing contract",IF(C3880="","Missing code",IF(LEFT(G3880,3)="Not","Wrong code",IF(D3880="","Missing qty",IF(A3880="","Missing date",""))))))</f>
        <v/>
      </c>
      <c r="I3880" s="84" t="str">
        <f aca="false">IF(B3880=Dashboard!$D$3,ROW(),"")</f>
        <v/>
      </c>
    </row>
    <row r="3881" customFormat="false" ht="15" hidden="false" customHeight="false" outlineLevel="0" collapsed="false">
      <c r="A3881" s="80"/>
      <c r="B3881" s="71"/>
      <c r="C3881" s="71"/>
      <c r="D3881" s="81"/>
      <c r="E3881" s="71"/>
      <c r="F3881" s="71"/>
      <c r="G3881" s="82" t="str">
        <f aca="false">IF(C3881="","",IFERROR(INDEX('Kit Lists'!$D$6:$D$605,MATCH(B3881&amp;"|"&amp;C3881,'Kit Lists'!$J$6:$J$605,0)),"Not on this contract's kit list"))</f>
        <v/>
      </c>
      <c r="H3881" s="83" t="str">
        <f aca="false">IF(AND(B3881="",C3881="",D3881=""),"",IF(B3881="","Missing contract",IF(C3881="","Missing code",IF(LEFT(G3881,3)="Not","Wrong code",IF(D3881="","Missing qty",IF(A3881="","Missing date",""))))))</f>
        <v/>
      </c>
      <c r="I3881" s="84" t="str">
        <f aca="false">IF(B3881=Dashboard!$D$3,ROW(),"")</f>
        <v/>
      </c>
    </row>
    <row r="3882" customFormat="false" ht="15" hidden="false" customHeight="false" outlineLevel="0" collapsed="false">
      <c r="A3882" s="80"/>
      <c r="B3882" s="71"/>
      <c r="C3882" s="71"/>
      <c r="D3882" s="81"/>
      <c r="E3882" s="71"/>
      <c r="F3882" s="71"/>
      <c r="G3882" s="82" t="str">
        <f aca="false">IF(C3882="","",IFERROR(INDEX('Kit Lists'!$D$6:$D$605,MATCH(B3882&amp;"|"&amp;C3882,'Kit Lists'!$J$6:$J$605,0)),"Not on this contract's kit list"))</f>
        <v/>
      </c>
      <c r="H3882" s="83" t="str">
        <f aca="false">IF(AND(B3882="",C3882="",D3882=""),"",IF(B3882="","Missing contract",IF(C3882="","Missing code",IF(LEFT(G3882,3)="Not","Wrong code",IF(D3882="","Missing qty",IF(A3882="","Missing date",""))))))</f>
        <v/>
      </c>
      <c r="I3882" s="84" t="str">
        <f aca="false">IF(B3882=Dashboard!$D$3,ROW(),"")</f>
        <v/>
      </c>
    </row>
    <row r="3883" customFormat="false" ht="15" hidden="false" customHeight="false" outlineLevel="0" collapsed="false">
      <c r="A3883" s="80"/>
      <c r="B3883" s="71"/>
      <c r="C3883" s="71"/>
      <c r="D3883" s="81"/>
      <c r="E3883" s="71"/>
      <c r="F3883" s="71"/>
      <c r="G3883" s="82" t="str">
        <f aca="false">IF(C3883="","",IFERROR(INDEX('Kit Lists'!$D$6:$D$605,MATCH(B3883&amp;"|"&amp;C3883,'Kit Lists'!$J$6:$J$605,0)),"Not on this contract's kit list"))</f>
        <v/>
      </c>
      <c r="H3883" s="83" t="str">
        <f aca="false">IF(AND(B3883="",C3883="",D3883=""),"",IF(B3883="","Missing contract",IF(C3883="","Missing code",IF(LEFT(G3883,3)="Not","Wrong code",IF(D3883="","Missing qty",IF(A3883="","Missing date",""))))))</f>
        <v/>
      </c>
      <c r="I3883" s="84" t="str">
        <f aca="false">IF(B3883=Dashboard!$D$3,ROW(),"")</f>
        <v/>
      </c>
    </row>
    <row r="3884" customFormat="false" ht="15" hidden="false" customHeight="false" outlineLevel="0" collapsed="false">
      <c r="A3884" s="80"/>
      <c r="B3884" s="71"/>
      <c r="C3884" s="71"/>
      <c r="D3884" s="81"/>
      <c r="E3884" s="71"/>
      <c r="F3884" s="71"/>
      <c r="G3884" s="82" t="str">
        <f aca="false">IF(C3884="","",IFERROR(INDEX('Kit Lists'!$D$6:$D$605,MATCH(B3884&amp;"|"&amp;C3884,'Kit Lists'!$J$6:$J$605,0)),"Not on this contract's kit list"))</f>
        <v/>
      </c>
      <c r="H3884" s="83" t="str">
        <f aca="false">IF(AND(B3884="",C3884="",D3884=""),"",IF(B3884="","Missing contract",IF(C3884="","Missing code",IF(LEFT(G3884,3)="Not","Wrong code",IF(D3884="","Missing qty",IF(A3884="","Missing date",""))))))</f>
        <v/>
      </c>
      <c r="I3884" s="84" t="str">
        <f aca="false">IF(B3884=Dashboard!$D$3,ROW(),"")</f>
        <v/>
      </c>
    </row>
    <row r="3885" customFormat="false" ht="15" hidden="false" customHeight="false" outlineLevel="0" collapsed="false">
      <c r="A3885" s="80"/>
      <c r="B3885" s="71"/>
      <c r="C3885" s="71"/>
      <c r="D3885" s="81"/>
      <c r="E3885" s="71"/>
      <c r="F3885" s="71"/>
      <c r="G3885" s="82" t="str">
        <f aca="false">IF(C3885="","",IFERROR(INDEX('Kit Lists'!$D$6:$D$605,MATCH(B3885&amp;"|"&amp;C3885,'Kit Lists'!$J$6:$J$605,0)),"Not on this contract's kit list"))</f>
        <v/>
      </c>
      <c r="H3885" s="83" t="str">
        <f aca="false">IF(AND(B3885="",C3885="",D3885=""),"",IF(B3885="","Missing contract",IF(C3885="","Missing code",IF(LEFT(G3885,3)="Not","Wrong code",IF(D3885="","Missing qty",IF(A3885="","Missing date",""))))))</f>
        <v/>
      </c>
      <c r="I3885" s="84" t="str">
        <f aca="false">IF(B3885=Dashboard!$D$3,ROW(),"")</f>
        <v/>
      </c>
    </row>
    <row r="3886" customFormat="false" ht="15" hidden="false" customHeight="false" outlineLevel="0" collapsed="false">
      <c r="A3886" s="80"/>
      <c r="B3886" s="71"/>
      <c r="C3886" s="71"/>
      <c r="D3886" s="81"/>
      <c r="E3886" s="71"/>
      <c r="F3886" s="71"/>
      <c r="G3886" s="82" t="str">
        <f aca="false">IF(C3886="","",IFERROR(INDEX('Kit Lists'!$D$6:$D$605,MATCH(B3886&amp;"|"&amp;C3886,'Kit Lists'!$J$6:$J$605,0)),"Not on this contract's kit list"))</f>
        <v/>
      </c>
      <c r="H3886" s="83" t="str">
        <f aca="false">IF(AND(B3886="",C3886="",D3886=""),"",IF(B3886="","Missing contract",IF(C3886="","Missing code",IF(LEFT(G3886,3)="Not","Wrong code",IF(D3886="","Missing qty",IF(A3886="","Missing date",""))))))</f>
        <v/>
      </c>
      <c r="I3886" s="84" t="str">
        <f aca="false">IF(B3886=Dashboard!$D$3,ROW(),"")</f>
        <v/>
      </c>
    </row>
    <row r="3887" customFormat="false" ht="15" hidden="false" customHeight="false" outlineLevel="0" collapsed="false">
      <c r="A3887" s="80"/>
      <c r="B3887" s="71"/>
      <c r="C3887" s="71"/>
      <c r="D3887" s="81"/>
      <c r="E3887" s="71"/>
      <c r="F3887" s="71"/>
      <c r="G3887" s="82" t="str">
        <f aca="false">IF(C3887="","",IFERROR(INDEX('Kit Lists'!$D$6:$D$605,MATCH(B3887&amp;"|"&amp;C3887,'Kit Lists'!$J$6:$J$605,0)),"Not on this contract's kit list"))</f>
        <v/>
      </c>
      <c r="H3887" s="83" t="str">
        <f aca="false">IF(AND(B3887="",C3887="",D3887=""),"",IF(B3887="","Missing contract",IF(C3887="","Missing code",IF(LEFT(G3887,3)="Not","Wrong code",IF(D3887="","Missing qty",IF(A3887="","Missing date",""))))))</f>
        <v/>
      </c>
      <c r="I3887" s="84" t="str">
        <f aca="false">IF(B3887=Dashboard!$D$3,ROW(),"")</f>
        <v/>
      </c>
    </row>
    <row r="3888" customFormat="false" ht="15" hidden="false" customHeight="false" outlineLevel="0" collapsed="false">
      <c r="A3888" s="80"/>
      <c r="B3888" s="71"/>
      <c r="C3888" s="71"/>
      <c r="D3888" s="81"/>
      <c r="E3888" s="71"/>
      <c r="F3888" s="71"/>
      <c r="G3888" s="82" t="str">
        <f aca="false">IF(C3888="","",IFERROR(INDEX('Kit Lists'!$D$6:$D$605,MATCH(B3888&amp;"|"&amp;C3888,'Kit Lists'!$J$6:$J$605,0)),"Not on this contract's kit list"))</f>
        <v/>
      </c>
      <c r="H3888" s="83" t="str">
        <f aca="false">IF(AND(B3888="",C3888="",D3888=""),"",IF(B3888="","Missing contract",IF(C3888="","Missing code",IF(LEFT(G3888,3)="Not","Wrong code",IF(D3888="","Missing qty",IF(A3888="","Missing date",""))))))</f>
        <v/>
      </c>
      <c r="I3888" s="84" t="str">
        <f aca="false">IF(B3888=Dashboard!$D$3,ROW(),"")</f>
        <v/>
      </c>
    </row>
    <row r="3889" customFormat="false" ht="15" hidden="false" customHeight="false" outlineLevel="0" collapsed="false">
      <c r="A3889" s="80"/>
      <c r="B3889" s="71"/>
      <c r="C3889" s="71"/>
      <c r="D3889" s="81"/>
      <c r="E3889" s="71"/>
      <c r="F3889" s="71"/>
      <c r="G3889" s="82" t="str">
        <f aca="false">IF(C3889="","",IFERROR(INDEX('Kit Lists'!$D$6:$D$605,MATCH(B3889&amp;"|"&amp;C3889,'Kit Lists'!$J$6:$J$605,0)),"Not on this contract's kit list"))</f>
        <v/>
      </c>
      <c r="H3889" s="83" t="str">
        <f aca="false">IF(AND(B3889="",C3889="",D3889=""),"",IF(B3889="","Missing contract",IF(C3889="","Missing code",IF(LEFT(G3889,3)="Not","Wrong code",IF(D3889="","Missing qty",IF(A3889="","Missing date",""))))))</f>
        <v/>
      </c>
      <c r="I3889" s="84" t="str">
        <f aca="false">IF(B3889=Dashboard!$D$3,ROW(),"")</f>
        <v/>
      </c>
    </row>
    <row r="3890" customFormat="false" ht="15" hidden="false" customHeight="false" outlineLevel="0" collapsed="false">
      <c r="A3890" s="80"/>
      <c r="B3890" s="71"/>
      <c r="C3890" s="71"/>
      <c r="D3890" s="81"/>
      <c r="E3890" s="71"/>
      <c r="F3890" s="71"/>
      <c r="G3890" s="82" t="str">
        <f aca="false">IF(C3890="","",IFERROR(INDEX('Kit Lists'!$D$6:$D$605,MATCH(B3890&amp;"|"&amp;C3890,'Kit Lists'!$J$6:$J$605,0)),"Not on this contract's kit list"))</f>
        <v/>
      </c>
      <c r="H3890" s="83" t="str">
        <f aca="false">IF(AND(B3890="",C3890="",D3890=""),"",IF(B3890="","Missing contract",IF(C3890="","Missing code",IF(LEFT(G3890,3)="Not","Wrong code",IF(D3890="","Missing qty",IF(A3890="","Missing date",""))))))</f>
        <v/>
      </c>
      <c r="I3890" s="84" t="str">
        <f aca="false">IF(B3890=Dashboard!$D$3,ROW(),"")</f>
        <v/>
      </c>
    </row>
    <row r="3891" customFormat="false" ht="15" hidden="false" customHeight="false" outlineLevel="0" collapsed="false">
      <c r="A3891" s="80"/>
      <c r="B3891" s="71"/>
      <c r="C3891" s="71"/>
      <c r="D3891" s="81"/>
      <c r="E3891" s="71"/>
      <c r="F3891" s="71"/>
      <c r="G3891" s="82" t="str">
        <f aca="false">IF(C3891="","",IFERROR(INDEX('Kit Lists'!$D$6:$D$605,MATCH(B3891&amp;"|"&amp;C3891,'Kit Lists'!$J$6:$J$605,0)),"Not on this contract's kit list"))</f>
        <v/>
      </c>
      <c r="H3891" s="83" t="str">
        <f aca="false">IF(AND(B3891="",C3891="",D3891=""),"",IF(B3891="","Missing contract",IF(C3891="","Missing code",IF(LEFT(G3891,3)="Not","Wrong code",IF(D3891="","Missing qty",IF(A3891="","Missing date",""))))))</f>
        <v/>
      </c>
      <c r="I3891" s="84" t="str">
        <f aca="false">IF(B3891=Dashboard!$D$3,ROW(),"")</f>
        <v/>
      </c>
    </row>
    <row r="3892" customFormat="false" ht="15" hidden="false" customHeight="false" outlineLevel="0" collapsed="false">
      <c r="A3892" s="80"/>
      <c r="B3892" s="71"/>
      <c r="C3892" s="71"/>
      <c r="D3892" s="81"/>
      <c r="E3892" s="71"/>
      <c r="F3892" s="71"/>
      <c r="G3892" s="82" t="str">
        <f aca="false">IF(C3892="","",IFERROR(INDEX('Kit Lists'!$D$6:$D$605,MATCH(B3892&amp;"|"&amp;C3892,'Kit Lists'!$J$6:$J$605,0)),"Not on this contract's kit list"))</f>
        <v/>
      </c>
      <c r="H3892" s="83" t="str">
        <f aca="false">IF(AND(B3892="",C3892="",D3892=""),"",IF(B3892="","Missing contract",IF(C3892="","Missing code",IF(LEFT(G3892,3)="Not","Wrong code",IF(D3892="","Missing qty",IF(A3892="","Missing date",""))))))</f>
        <v/>
      </c>
      <c r="I3892" s="84" t="str">
        <f aca="false">IF(B3892=Dashboard!$D$3,ROW(),"")</f>
        <v/>
      </c>
    </row>
    <row r="3893" customFormat="false" ht="15" hidden="false" customHeight="false" outlineLevel="0" collapsed="false">
      <c r="A3893" s="80"/>
      <c r="B3893" s="71"/>
      <c r="C3893" s="71"/>
      <c r="D3893" s="81"/>
      <c r="E3893" s="71"/>
      <c r="F3893" s="71"/>
      <c r="G3893" s="82" t="str">
        <f aca="false">IF(C3893="","",IFERROR(INDEX('Kit Lists'!$D$6:$D$605,MATCH(B3893&amp;"|"&amp;C3893,'Kit Lists'!$J$6:$J$605,0)),"Not on this contract's kit list"))</f>
        <v/>
      </c>
      <c r="H3893" s="83" t="str">
        <f aca="false">IF(AND(B3893="",C3893="",D3893=""),"",IF(B3893="","Missing contract",IF(C3893="","Missing code",IF(LEFT(G3893,3)="Not","Wrong code",IF(D3893="","Missing qty",IF(A3893="","Missing date",""))))))</f>
        <v/>
      </c>
      <c r="I3893" s="84" t="str">
        <f aca="false">IF(B3893=Dashboard!$D$3,ROW(),"")</f>
        <v/>
      </c>
    </row>
    <row r="3894" customFormat="false" ht="15" hidden="false" customHeight="false" outlineLevel="0" collapsed="false">
      <c r="A3894" s="80"/>
      <c r="B3894" s="71"/>
      <c r="C3894" s="71"/>
      <c r="D3894" s="81"/>
      <c r="E3894" s="71"/>
      <c r="F3894" s="71"/>
      <c r="G3894" s="82" t="str">
        <f aca="false">IF(C3894="","",IFERROR(INDEX('Kit Lists'!$D$6:$D$605,MATCH(B3894&amp;"|"&amp;C3894,'Kit Lists'!$J$6:$J$605,0)),"Not on this contract's kit list"))</f>
        <v/>
      </c>
      <c r="H3894" s="83" t="str">
        <f aca="false">IF(AND(B3894="",C3894="",D3894=""),"",IF(B3894="","Missing contract",IF(C3894="","Missing code",IF(LEFT(G3894,3)="Not","Wrong code",IF(D3894="","Missing qty",IF(A3894="","Missing date",""))))))</f>
        <v/>
      </c>
      <c r="I3894" s="84" t="str">
        <f aca="false">IF(B3894=Dashboard!$D$3,ROW(),"")</f>
        <v/>
      </c>
    </row>
    <row r="3895" customFormat="false" ht="15" hidden="false" customHeight="false" outlineLevel="0" collapsed="false">
      <c r="A3895" s="80"/>
      <c r="B3895" s="71"/>
      <c r="C3895" s="71"/>
      <c r="D3895" s="81"/>
      <c r="E3895" s="71"/>
      <c r="F3895" s="71"/>
      <c r="G3895" s="82" t="str">
        <f aca="false">IF(C3895="","",IFERROR(INDEX('Kit Lists'!$D$6:$D$605,MATCH(B3895&amp;"|"&amp;C3895,'Kit Lists'!$J$6:$J$605,0)),"Not on this contract's kit list"))</f>
        <v/>
      </c>
      <c r="H3895" s="83" t="str">
        <f aca="false">IF(AND(B3895="",C3895="",D3895=""),"",IF(B3895="","Missing contract",IF(C3895="","Missing code",IF(LEFT(G3895,3)="Not","Wrong code",IF(D3895="","Missing qty",IF(A3895="","Missing date",""))))))</f>
        <v/>
      </c>
      <c r="I3895" s="84" t="str">
        <f aca="false">IF(B3895=Dashboard!$D$3,ROW(),"")</f>
        <v/>
      </c>
    </row>
    <row r="3896" customFormat="false" ht="15" hidden="false" customHeight="false" outlineLevel="0" collapsed="false">
      <c r="A3896" s="80"/>
      <c r="B3896" s="71"/>
      <c r="C3896" s="71"/>
      <c r="D3896" s="81"/>
      <c r="E3896" s="71"/>
      <c r="F3896" s="71"/>
      <c r="G3896" s="82" t="str">
        <f aca="false">IF(C3896="","",IFERROR(INDEX('Kit Lists'!$D$6:$D$605,MATCH(B3896&amp;"|"&amp;C3896,'Kit Lists'!$J$6:$J$605,0)),"Not on this contract's kit list"))</f>
        <v/>
      </c>
      <c r="H3896" s="83" t="str">
        <f aca="false">IF(AND(B3896="",C3896="",D3896=""),"",IF(B3896="","Missing contract",IF(C3896="","Missing code",IF(LEFT(G3896,3)="Not","Wrong code",IF(D3896="","Missing qty",IF(A3896="","Missing date",""))))))</f>
        <v/>
      </c>
      <c r="I3896" s="84" t="str">
        <f aca="false">IF(B3896=Dashboard!$D$3,ROW(),"")</f>
        <v/>
      </c>
    </row>
    <row r="3897" customFormat="false" ht="15" hidden="false" customHeight="false" outlineLevel="0" collapsed="false">
      <c r="A3897" s="80"/>
      <c r="B3897" s="71"/>
      <c r="C3897" s="71"/>
      <c r="D3897" s="81"/>
      <c r="E3897" s="71"/>
      <c r="F3897" s="71"/>
      <c r="G3897" s="82" t="str">
        <f aca="false">IF(C3897="","",IFERROR(INDEX('Kit Lists'!$D$6:$D$605,MATCH(B3897&amp;"|"&amp;C3897,'Kit Lists'!$J$6:$J$605,0)),"Not on this contract's kit list"))</f>
        <v/>
      </c>
      <c r="H3897" s="83" t="str">
        <f aca="false">IF(AND(B3897="",C3897="",D3897=""),"",IF(B3897="","Missing contract",IF(C3897="","Missing code",IF(LEFT(G3897,3)="Not","Wrong code",IF(D3897="","Missing qty",IF(A3897="","Missing date",""))))))</f>
        <v/>
      </c>
      <c r="I3897" s="84" t="str">
        <f aca="false">IF(B3897=Dashboard!$D$3,ROW(),"")</f>
        <v/>
      </c>
    </row>
    <row r="3898" customFormat="false" ht="15" hidden="false" customHeight="false" outlineLevel="0" collapsed="false">
      <c r="A3898" s="80"/>
      <c r="B3898" s="71"/>
      <c r="C3898" s="71"/>
      <c r="D3898" s="81"/>
      <c r="E3898" s="71"/>
      <c r="F3898" s="71"/>
      <c r="G3898" s="82" t="str">
        <f aca="false">IF(C3898="","",IFERROR(INDEX('Kit Lists'!$D$6:$D$605,MATCH(B3898&amp;"|"&amp;C3898,'Kit Lists'!$J$6:$J$605,0)),"Not on this contract's kit list"))</f>
        <v/>
      </c>
      <c r="H3898" s="83" t="str">
        <f aca="false">IF(AND(B3898="",C3898="",D3898=""),"",IF(B3898="","Missing contract",IF(C3898="","Missing code",IF(LEFT(G3898,3)="Not","Wrong code",IF(D3898="","Missing qty",IF(A3898="","Missing date",""))))))</f>
        <v/>
      </c>
      <c r="I3898" s="84" t="str">
        <f aca="false">IF(B3898=Dashboard!$D$3,ROW(),"")</f>
        <v/>
      </c>
    </row>
    <row r="3899" customFormat="false" ht="15" hidden="false" customHeight="false" outlineLevel="0" collapsed="false">
      <c r="A3899" s="80"/>
      <c r="B3899" s="71"/>
      <c r="C3899" s="71"/>
      <c r="D3899" s="81"/>
      <c r="E3899" s="71"/>
      <c r="F3899" s="71"/>
      <c r="G3899" s="82" t="str">
        <f aca="false">IF(C3899="","",IFERROR(INDEX('Kit Lists'!$D$6:$D$605,MATCH(B3899&amp;"|"&amp;C3899,'Kit Lists'!$J$6:$J$605,0)),"Not on this contract's kit list"))</f>
        <v/>
      </c>
      <c r="H3899" s="83" t="str">
        <f aca="false">IF(AND(B3899="",C3899="",D3899=""),"",IF(B3899="","Missing contract",IF(C3899="","Missing code",IF(LEFT(G3899,3)="Not","Wrong code",IF(D3899="","Missing qty",IF(A3899="","Missing date",""))))))</f>
        <v/>
      </c>
      <c r="I3899" s="84" t="str">
        <f aca="false">IF(B3899=Dashboard!$D$3,ROW(),"")</f>
        <v/>
      </c>
    </row>
    <row r="3900" customFormat="false" ht="15" hidden="false" customHeight="false" outlineLevel="0" collapsed="false">
      <c r="A3900" s="80"/>
      <c r="B3900" s="71"/>
      <c r="C3900" s="71"/>
      <c r="D3900" s="81"/>
      <c r="E3900" s="71"/>
      <c r="F3900" s="71"/>
      <c r="G3900" s="82" t="str">
        <f aca="false">IF(C3900="","",IFERROR(INDEX('Kit Lists'!$D$6:$D$605,MATCH(B3900&amp;"|"&amp;C3900,'Kit Lists'!$J$6:$J$605,0)),"Not on this contract's kit list"))</f>
        <v/>
      </c>
      <c r="H3900" s="83" t="str">
        <f aca="false">IF(AND(B3900="",C3900="",D3900=""),"",IF(B3900="","Missing contract",IF(C3900="","Missing code",IF(LEFT(G3900,3)="Not","Wrong code",IF(D3900="","Missing qty",IF(A3900="","Missing date",""))))))</f>
        <v/>
      </c>
      <c r="I3900" s="84" t="str">
        <f aca="false">IF(B3900=Dashboard!$D$3,ROW(),"")</f>
        <v/>
      </c>
    </row>
    <row r="3901" customFormat="false" ht="15" hidden="false" customHeight="false" outlineLevel="0" collapsed="false">
      <c r="A3901" s="80"/>
      <c r="B3901" s="71"/>
      <c r="C3901" s="71"/>
      <c r="D3901" s="81"/>
      <c r="E3901" s="71"/>
      <c r="F3901" s="71"/>
      <c r="G3901" s="82" t="str">
        <f aca="false">IF(C3901="","",IFERROR(INDEX('Kit Lists'!$D$6:$D$605,MATCH(B3901&amp;"|"&amp;C3901,'Kit Lists'!$J$6:$J$605,0)),"Not on this contract's kit list"))</f>
        <v/>
      </c>
      <c r="H3901" s="83" t="str">
        <f aca="false">IF(AND(B3901="",C3901="",D3901=""),"",IF(B3901="","Missing contract",IF(C3901="","Missing code",IF(LEFT(G3901,3)="Not","Wrong code",IF(D3901="","Missing qty",IF(A3901="","Missing date",""))))))</f>
        <v/>
      </c>
      <c r="I3901" s="84" t="str">
        <f aca="false">IF(B3901=Dashboard!$D$3,ROW(),"")</f>
        <v/>
      </c>
    </row>
    <row r="3902" customFormat="false" ht="15" hidden="false" customHeight="false" outlineLevel="0" collapsed="false">
      <c r="A3902" s="80"/>
      <c r="B3902" s="71"/>
      <c r="C3902" s="71"/>
      <c r="D3902" s="81"/>
      <c r="E3902" s="71"/>
      <c r="F3902" s="71"/>
      <c r="G3902" s="82" t="str">
        <f aca="false">IF(C3902="","",IFERROR(INDEX('Kit Lists'!$D$6:$D$605,MATCH(B3902&amp;"|"&amp;C3902,'Kit Lists'!$J$6:$J$605,0)),"Not on this contract's kit list"))</f>
        <v/>
      </c>
      <c r="H3902" s="83" t="str">
        <f aca="false">IF(AND(B3902="",C3902="",D3902=""),"",IF(B3902="","Missing contract",IF(C3902="","Missing code",IF(LEFT(G3902,3)="Not","Wrong code",IF(D3902="","Missing qty",IF(A3902="","Missing date",""))))))</f>
        <v/>
      </c>
      <c r="I3902" s="84" t="str">
        <f aca="false">IF(B3902=Dashboard!$D$3,ROW(),"")</f>
        <v/>
      </c>
    </row>
    <row r="3903" customFormat="false" ht="15" hidden="false" customHeight="false" outlineLevel="0" collapsed="false">
      <c r="A3903" s="80"/>
      <c r="B3903" s="71"/>
      <c r="C3903" s="71"/>
      <c r="D3903" s="81"/>
      <c r="E3903" s="71"/>
      <c r="F3903" s="71"/>
      <c r="G3903" s="82" t="str">
        <f aca="false">IF(C3903="","",IFERROR(INDEX('Kit Lists'!$D$6:$D$605,MATCH(B3903&amp;"|"&amp;C3903,'Kit Lists'!$J$6:$J$605,0)),"Not on this contract's kit list"))</f>
        <v/>
      </c>
      <c r="H3903" s="83" t="str">
        <f aca="false">IF(AND(B3903="",C3903="",D3903=""),"",IF(B3903="","Missing contract",IF(C3903="","Missing code",IF(LEFT(G3903,3)="Not","Wrong code",IF(D3903="","Missing qty",IF(A3903="","Missing date",""))))))</f>
        <v/>
      </c>
      <c r="I3903" s="84" t="str">
        <f aca="false">IF(B3903=Dashboard!$D$3,ROW(),"")</f>
        <v/>
      </c>
    </row>
    <row r="3904" customFormat="false" ht="15" hidden="false" customHeight="false" outlineLevel="0" collapsed="false">
      <c r="A3904" s="80"/>
      <c r="B3904" s="71"/>
      <c r="C3904" s="71"/>
      <c r="D3904" s="81"/>
      <c r="E3904" s="71"/>
      <c r="F3904" s="71"/>
      <c r="G3904" s="82" t="str">
        <f aca="false">IF(C3904="","",IFERROR(INDEX('Kit Lists'!$D$6:$D$605,MATCH(B3904&amp;"|"&amp;C3904,'Kit Lists'!$J$6:$J$605,0)),"Not on this contract's kit list"))</f>
        <v/>
      </c>
      <c r="H3904" s="83" t="str">
        <f aca="false">IF(AND(B3904="",C3904="",D3904=""),"",IF(B3904="","Missing contract",IF(C3904="","Missing code",IF(LEFT(G3904,3)="Not","Wrong code",IF(D3904="","Missing qty",IF(A3904="","Missing date",""))))))</f>
        <v/>
      </c>
      <c r="I3904" s="84" t="str">
        <f aca="false">IF(B3904=Dashboard!$D$3,ROW(),"")</f>
        <v/>
      </c>
    </row>
    <row r="3905" customFormat="false" ht="15" hidden="false" customHeight="false" outlineLevel="0" collapsed="false">
      <c r="A3905" s="80"/>
      <c r="B3905" s="71"/>
      <c r="C3905" s="71"/>
      <c r="D3905" s="81"/>
      <c r="E3905" s="71"/>
      <c r="F3905" s="71"/>
      <c r="G3905" s="82" t="str">
        <f aca="false">IF(C3905="","",IFERROR(INDEX('Kit Lists'!$D$6:$D$605,MATCH(B3905&amp;"|"&amp;C3905,'Kit Lists'!$J$6:$J$605,0)),"Not on this contract's kit list"))</f>
        <v/>
      </c>
      <c r="H3905" s="83" t="str">
        <f aca="false">IF(AND(B3905="",C3905="",D3905=""),"",IF(B3905="","Missing contract",IF(C3905="","Missing code",IF(LEFT(G3905,3)="Not","Wrong code",IF(D3905="","Missing qty",IF(A3905="","Missing date",""))))))</f>
        <v/>
      </c>
      <c r="I3905" s="84" t="str">
        <f aca="false">IF(B3905=Dashboard!$D$3,ROW(),"")</f>
        <v/>
      </c>
    </row>
    <row r="3906" customFormat="false" ht="15" hidden="false" customHeight="false" outlineLevel="0" collapsed="false">
      <c r="A3906" s="80"/>
      <c r="B3906" s="71"/>
      <c r="C3906" s="71"/>
      <c r="D3906" s="81"/>
      <c r="E3906" s="71"/>
      <c r="F3906" s="71"/>
      <c r="G3906" s="82" t="str">
        <f aca="false">IF(C3906="","",IFERROR(INDEX('Kit Lists'!$D$6:$D$605,MATCH(B3906&amp;"|"&amp;C3906,'Kit Lists'!$J$6:$J$605,0)),"Not on this contract's kit list"))</f>
        <v/>
      </c>
      <c r="H3906" s="83" t="str">
        <f aca="false">IF(AND(B3906="",C3906="",D3906=""),"",IF(B3906="","Missing contract",IF(C3906="","Missing code",IF(LEFT(G3906,3)="Not","Wrong code",IF(D3906="","Missing qty",IF(A3906="","Missing date",""))))))</f>
        <v/>
      </c>
      <c r="I3906" s="84" t="str">
        <f aca="false">IF(B3906=Dashboard!$D$3,ROW(),"")</f>
        <v/>
      </c>
    </row>
    <row r="3907" customFormat="false" ht="15" hidden="false" customHeight="false" outlineLevel="0" collapsed="false">
      <c r="A3907" s="80"/>
      <c r="B3907" s="71"/>
      <c r="C3907" s="71"/>
      <c r="D3907" s="81"/>
      <c r="E3907" s="71"/>
      <c r="F3907" s="71"/>
      <c r="G3907" s="82" t="str">
        <f aca="false">IF(C3907="","",IFERROR(INDEX('Kit Lists'!$D$6:$D$605,MATCH(B3907&amp;"|"&amp;C3907,'Kit Lists'!$J$6:$J$605,0)),"Not on this contract's kit list"))</f>
        <v/>
      </c>
      <c r="H3907" s="83" t="str">
        <f aca="false">IF(AND(B3907="",C3907="",D3907=""),"",IF(B3907="","Missing contract",IF(C3907="","Missing code",IF(LEFT(G3907,3)="Not","Wrong code",IF(D3907="","Missing qty",IF(A3907="","Missing date",""))))))</f>
        <v/>
      </c>
      <c r="I3907" s="84" t="str">
        <f aca="false">IF(B3907=Dashboard!$D$3,ROW(),"")</f>
        <v/>
      </c>
    </row>
    <row r="3908" customFormat="false" ht="15" hidden="false" customHeight="false" outlineLevel="0" collapsed="false">
      <c r="A3908" s="80"/>
      <c r="B3908" s="71"/>
      <c r="C3908" s="71"/>
      <c r="D3908" s="81"/>
      <c r="E3908" s="71"/>
      <c r="F3908" s="71"/>
      <c r="G3908" s="82" t="str">
        <f aca="false">IF(C3908="","",IFERROR(INDEX('Kit Lists'!$D$6:$D$605,MATCH(B3908&amp;"|"&amp;C3908,'Kit Lists'!$J$6:$J$605,0)),"Not on this contract's kit list"))</f>
        <v/>
      </c>
      <c r="H3908" s="83" t="str">
        <f aca="false">IF(AND(B3908="",C3908="",D3908=""),"",IF(B3908="","Missing contract",IF(C3908="","Missing code",IF(LEFT(G3908,3)="Not","Wrong code",IF(D3908="","Missing qty",IF(A3908="","Missing date",""))))))</f>
        <v/>
      </c>
      <c r="I3908" s="84" t="str">
        <f aca="false">IF(B3908=Dashboard!$D$3,ROW(),"")</f>
        <v/>
      </c>
    </row>
    <row r="3909" customFormat="false" ht="15" hidden="false" customHeight="false" outlineLevel="0" collapsed="false">
      <c r="A3909" s="80"/>
      <c r="B3909" s="71"/>
      <c r="C3909" s="71"/>
      <c r="D3909" s="81"/>
      <c r="E3909" s="71"/>
      <c r="F3909" s="71"/>
      <c r="G3909" s="82" t="str">
        <f aca="false">IF(C3909="","",IFERROR(INDEX('Kit Lists'!$D$6:$D$605,MATCH(B3909&amp;"|"&amp;C3909,'Kit Lists'!$J$6:$J$605,0)),"Not on this contract's kit list"))</f>
        <v/>
      </c>
      <c r="H3909" s="83" t="str">
        <f aca="false">IF(AND(B3909="",C3909="",D3909=""),"",IF(B3909="","Missing contract",IF(C3909="","Missing code",IF(LEFT(G3909,3)="Not","Wrong code",IF(D3909="","Missing qty",IF(A3909="","Missing date",""))))))</f>
        <v/>
      </c>
      <c r="I3909" s="84" t="str">
        <f aca="false">IF(B3909=Dashboard!$D$3,ROW(),"")</f>
        <v/>
      </c>
    </row>
    <row r="3910" customFormat="false" ht="15" hidden="false" customHeight="false" outlineLevel="0" collapsed="false">
      <c r="A3910" s="80"/>
      <c r="B3910" s="71"/>
      <c r="C3910" s="71"/>
      <c r="D3910" s="81"/>
      <c r="E3910" s="71"/>
      <c r="F3910" s="71"/>
      <c r="G3910" s="82" t="str">
        <f aca="false">IF(C3910="","",IFERROR(INDEX('Kit Lists'!$D$6:$D$605,MATCH(B3910&amp;"|"&amp;C3910,'Kit Lists'!$J$6:$J$605,0)),"Not on this contract's kit list"))</f>
        <v/>
      </c>
      <c r="H3910" s="83" t="str">
        <f aca="false">IF(AND(B3910="",C3910="",D3910=""),"",IF(B3910="","Missing contract",IF(C3910="","Missing code",IF(LEFT(G3910,3)="Not","Wrong code",IF(D3910="","Missing qty",IF(A3910="","Missing date",""))))))</f>
        <v/>
      </c>
      <c r="I3910" s="84" t="str">
        <f aca="false">IF(B3910=Dashboard!$D$3,ROW(),"")</f>
        <v/>
      </c>
    </row>
    <row r="3911" customFormat="false" ht="15" hidden="false" customHeight="false" outlineLevel="0" collapsed="false">
      <c r="A3911" s="80"/>
      <c r="B3911" s="71"/>
      <c r="C3911" s="71"/>
      <c r="D3911" s="81"/>
      <c r="E3911" s="71"/>
      <c r="F3911" s="71"/>
      <c r="G3911" s="82" t="str">
        <f aca="false">IF(C3911="","",IFERROR(INDEX('Kit Lists'!$D$6:$D$605,MATCH(B3911&amp;"|"&amp;C3911,'Kit Lists'!$J$6:$J$605,0)),"Not on this contract's kit list"))</f>
        <v/>
      </c>
      <c r="H3911" s="83" t="str">
        <f aca="false">IF(AND(B3911="",C3911="",D3911=""),"",IF(B3911="","Missing contract",IF(C3911="","Missing code",IF(LEFT(G3911,3)="Not","Wrong code",IF(D3911="","Missing qty",IF(A3911="","Missing date",""))))))</f>
        <v/>
      </c>
      <c r="I3911" s="84" t="str">
        <f aca="false">IF(B3911=Dashboard!$D$3,ROW(),"")</f>
        <v/>
      </c>
    </row>
    <row r="3912" customFormat="false" ht="15" hidden="false" customHeight="false" outlineLevel="0" collapsed="false">
      <c r="A3912" s="80"/>
      <c r="B3912" s="71"/>
      <c r="C3912" s="71"/>
      <c r="D3912" s="81"/>
      <c r="E3912" s="71"/>
      <c r="F3912" s="71"/>
      <c r="G3912" s="82" t="str">
        <f aca="false">IF(C3912="","",IFERROR(INDEX('Kit Lists'!$D$6:$D$605,MATCH(B3912&amp;"|"&amp;C3912,'Kit Lists'!$J$6:$J$605,0)),"Not on this contract's kit list"))</f>
        <v/>
      </c>
      <c r="H3912" s="83" t="str">
        <f aca="false">IF(AND(B3912="",C3912="",D3912=""),"",IF(B3912="","Missing contract",IF(C3912="","Missing code",IF(LEFT(G3912,3)="Not","Wrong code",IF(D3912="","Missing qty",IF(A3912="","Missing date",""))))))</f>
        <v/>
      </c>
      <c r="I3912" s="84" t="str">
        <f aca="false">IF(B3912=Dashboard!$D$3,ROW(),"")</f>
        <v/>
      </c>
    </row>
    <row r="3913" customFormat="false" ht="15" hidden="false" customHeight="false" outlineLevel="0" collapsed="false">
      <c r="A3913" s="80"/>
      <c r="B3913" s="71"/>
      <c r="C3913" s="71"/>
      <c r="D3913" s="81"/>
      <c r="E3913" s="71"/>
      <c r="F3913" s="71"/>
      <c r="G3913" s="82" t="str">
        <f aca="false">IF(C3913="","",IFERROR(INDEX('Kit Lists'!$D$6:$D$605,MATCH(B3913&amp;"|"&amp;C3913,'Kit Lists'!$J$6:$J$605,0)),"Not on this contract's kit list"))</f>
        <v/>
      </c>
      <c r="H3913" s="83" t="str">
        <f aca="false">IF(AND(B3913="",C3913="",D3913=""),"",IF(B3913="","Missing contract",IF(C3913="","Missing code",IF(LEFT(G3913,3)="Not","Wrong code",IF(D3913="","Missing qty",IF(A3913="","Missing date",""))))))</f>
        <v/>
      </c>
      <c r="I3913" s="84" t="str">
        <f aca="false">IF(B3913=Dashboard!$D$3,ROW(),"")</f>
        <v/>
      </c>
    </row>
    <row r="3914" customFormat="false" ht="15" hidden="false" customHeight="false" outlineLevel="0" collapsed="false">
      <c r="A3914" s="80"/>
      <c r="B3914" s="71"/>
      <c r="C3914" s="71"/>
      <c r="D3914" s="81"/>
      <c r="E3914" s="71"/>
      <c r="F3914" s="71"/>
      <c r="G3914" s="82" t="str">
        <f aca="false">IF(C3914="","",IFERROR(INDEX('Kit Lists'!$D$6:$D$605,MATCH(B3914&amp;"|"&amp;C3914,'Kit Lists'!$J$6:$J$605,0)),"Not on this contract's kit list"))</f>
        <v/>
      </c>
      <c r="H3914" s="83" t="str">
        <f aca="false">IF(AND(B3914="",C3914="",D3914=""),"",IF(B3914="","Missing contract",IF(C3914="","Missing code",IF(LEFT(G3914,3)="Not","Wrong code",IF(D3914="","Missing qty",IF(A3914="","Missing date",""))))))</f>
        <v/>
      </c>
      <c r="I3914" s="84" t="str">
        <f aca="false">IF(B3914=Dashboard!$D$3,ROW(),"")</f>
        <v/>
      </c>
    </row>
    <row r="3915" customFormat="false" ht="15" hidden="false" customHeight="false" outlineLevel="0" collapsed="false">
      <c r="A3915" s="80"/>
      <c r="B3915" s="71"/>
      <c r="C3915" s="71"/>
      <c r="D3915" s="81"/>
      <c r="E3915" s="71"/>
      <c r="F3915" s="71"/>
      <c r="G3915" s="82" t="str">
        <f aca="false">IF(C3915="","",IFERROR(INDEX('Kit Lists'!$D$6:$D$605,MATCH(B3915&amp;"|"&amp;C3915,'Kit Lists'!$J$6:$J$605,0)),"Not on this contract's kit list"))</f>
        <v/>
      </c>
      <c r="H3915" s="83" t="str">
        <f aca="false">IF(AND(B3915="",C3915="",D3915=""),"",IF(B3915="","Missing contract",IF(C3915="","Missing code",IF(LEFT(G3915,3)="Not","Wrong code",IF(D3915="","Missing qty",IF(A3915="","Missing date",""))))))</f>
        <v/>
      </c>
      <c r="I3915" s="84" t="str">
        <f aca="false">IF(B3915=Dashboard!$D$3,ROW(),"")</f>
        <v/>
      </c>
    </row>
    <row r="3916" customFormat="false" ht="15" hidden="false" customHeight="false" outlineLevel="0" collapsed="false">
      <c r="A3916" s="80"/>
      <c r="B3916" s="71"/>
      <c r="C3916" s="71"/>
      <c r="D3916" s="81"/>
      <c r="E3916" s="71"/>
      <c r="F3916" s="71"/>
      <c r="G3916" s="82" t="str">
        <f aca="false">IF(C3916="","",IFERROR(INDEX('Kit Lists'!$D$6:$D$605,MATCH(B3916&amp;"|"&amp;C3916,'Kit Lists'!$J$6:$J$605,0)),"Not on this contract's kit list"))</f>
        <v/>
      </c>
      <c r="H3916" s="83" t="str">
        <f aca="false">IF(AND(B3916="",C3916="",D3916=""),"",IF(B3916="","Missing contract",IF(C3916="","Missing code",IF(LEFT(G3916,3)="Not","Wrong code",IF(D3916="","Missing qty",IF(A3916="","Missing date",""))))))</f>
        <v/>
      </c>
      <c r="I3916" s="84" t="str">
        <f aca="false">IF(B3916=Dashboard!$D$3,ROW(),"")</f>
        <v/>
      </c>
    </row>
    <row r="3917" customFormat="false" ht="15" hidden="false" customHeight="false" outlineLevel="0" collapsed="false">
      <c r="A3917" s="80"/>
      <c r="B3917" s="71"/>
      <c r="C3917" s="71"/>
      <c r="D3917" s="81"/>
      <c r="E3917" s="71"/>
      <c r="F3917" s="71"/>
      <c r="G3917" s="82" t="str">
        <f aca="false">IF(C3917="","",IFERROR(INDEX('Kit Lists'!$D$6:$D$605,MATCH(B3917&amp;"|"&amp;C3917,'Kit Lists'!$J$6:$J$605,0)),"Not on this contract's kit list"))</f>
        <v/>
      </c>
      <c r="H3917" s="83" t="str">
        <f aca="false">IF(AND(B3917="",C3917="",D3917=""),"",IF(B3917="","Missing contract",IF(C3917="","Missing code",IF(LEFT(G3917,3)="Not","Wrong code",IF(D3917="","Missing qty",IF(A3917="","Missing date",""))))))</f>
        <v/>
      </c>
      <c r="I3917" s="84" t="str">
        <f aca="false">IF(B3917=Dashboard!$D$3,ROW(),"")</f>
        <v/>
      </c>
    </row>
    <row r="3918" customFormat="false" ht="15" hidden="false" customHeight="false" outlineLevel="0" collapsed="false">
      <c r="A3918" s="80"/>
      <c r="B3918" s="71"/>
      <c r="C3918" s="71"/>
      <c r="D3918" s="81"/>
      <c r="E3918" s="71"/>
      <c r="F3918" s="71"/>
      <c r="G3918" s="82" t="str">
        <f aca="false">IF(C3918="","",IFERROR(INDEX('Kit Lists'!$D$6:$D$605,MATCH(B3918&amp;"|"&amp;C3918,'Kit Lists'!$J$6:$J$605,0)),"Not on this contract's kit list"))</f>
        <v/>
      </c>
      <c r="H3918" s="83" t="str">
        <f aca="false">IF(AND(B3918="",C3918="",D3918=""),"",IF(B3918="","Missing contract",IF(C3918="","Missing code",IF(LEFT(G3918,3)="Not","Wrong code",IF(D3918="","Missing qty",IF(A3918="","Missing date",""))))))</f>
        <v/>
      </c>
      <c r="I3918" s="84" t="str">
        <f aca="false">IF(B3918=Dashboard!$D$3,ROW(),"")</f>
        <v/>
      </c>
    </row>
    <row r="3919" customFormat="false" ht="15" hidden="false" customHeight="false" outlineLevel="0" collapsed="false">
      <c r="A3919" s="80"/>
      <c r="B3919" s="71"/>
      <c r="C3919" s="71"/>
      <c r="D3919" s="81"/>
      <c r="E3919" s="71"/>
      <c r="F3919" s="71"/>
      <c r="G3919" s="82" t="str">
        <f aca="false">IF(C3919="","",IFERROR(INDEX('Kit Lists'!$D$6:$D$605,MATCH(B3919&amp;"|"&amp;C3919,'Kit Lists'!$J$6:$J$605,0)),"Not on this contract's kit list"))</f>
        <v/>
      </c>
      <c r="H3919" s="83" t="str">
        <f aca="false">IF(AND(B3919="",C3919="",D3919=""),"",IF(B3919="","Missing contract",IF(C3919="","Missing code",IF(LEFT(G3919,3)="Not","Wrong code",IF(D3919="","Missing qty",IF(A3919="","Missing date",""))))))</f>
        <v/>
      </c>
      <c r="I3919" s="84" t="str">
        <f aca="false">IF(B3919=Dashboard!$D$3,ROW(),"")</f>
        <v/>
      </c>
    </row>
    <row r="3920" customFormat="false" ht="15" hidden="false" customHeight="false" outlineLevel="0" collapsed="false">
      <c r="A3920" s="80"/>
      <c r="B3920" s="71"/>
      <c r="C3920" s="71"/>
      <c r="D3920" s="81"/>
      <c r="E3920" s="71"/>
      <c r="F3920" s="71"/>
      <c r="G3920" s="82" t="str">
        <f aca="false">IF(C3920="","",IFERROR(INDEX('Kit Lists'!$D$6:$D$605,MATCH(B3920&amp;"|"&amp;C3920,'Kit Lists'!$J$6:$J$605,0)),"Not on this contract's kit list"))</f>
        <v/>
      </c>
      <c r="H3920" s="83" t="str">
        <f aca="false">IF(AND(B3920="",C3920="",D3920=""),"",IF(B3920="","Missing contract",IF(C3920="","Missing code",IF(LEFT(G3920,3)="Not","Wrong code",IF(D3920="","Missing qty",IF(A3920="","Missing date",""))))))</f>
        <v/>
      </c>
      <c r="I3920" s="84" t="str">
        <f aca="false">IF(B3920=Dashboard!$D$3,ROW(),"")</f>
        <v/>
      </c>
    </row>
    <row r="3921" customFormat="false" ht="15" hidden="false" customHeight="false" outlineLevel="0" collapsed="false">
      <c r="A3921" s="80"/>
      <c r="B3921" s="71"/>
      <c r="C3921" s="71"/>
      <c r="D3921" s="81"/>
      <c r="E3921" s="71"/>
      <c r="F3921" s="71"/>
      <c r="G3921" s="82" t="str">
        <f aca="false">IF(C3921="","",IFERROR(INDEX('Kit Lists'!$D$6:$D$605,MATCH(B3921&amp;"|"&amp;C3921,'Kit Lists'!$J$6:$J$605,0)),"Not on this contract's kit list"))</f>
        <v/>
      </c>
      <c r="H3921" s="83" t="str">
        <f aca="false">IF(AND(B3921="",C3921="",D3921=""),"",IF(B3921="","Missing contract",IF(C3921="","Missing code",IF(LEFT(G3921,3)="Not","Wrong code",IF(D3921="","Missing qty",IF(A3921="","Missing date",""))))))</f>
        <v/>
      </c>
      <c r="I3921" s="84" t="str">
        <f aca="false">IF(B3921=Dashboard!$D$3,ROW(),"")</f>
        <v/>
      </c>
    </row>
    <row r="3922" customFormat="false" ht="15" hidden="false" customHeight="false" outlineLevel="0" collapsed="false">
      <c r="A3922" s="80"/>
      <c r="B3922" s="71"/>
      <c r="C3922" s="71"/>
      <c r="D3922" s="81"/>
      <c r="E3922" s="71"/>
      <c r="F3922" s="71"/>
      <c r="G3922" s="82" t="str">
        <f aca="false">IF(C3922="","",IFERROR(INDEX('Kit Lists'!$D$6:$D$605,MATCH(B3922&amp;"|"&amp;C3922,'Kit Lists'!$J$6:$J$605,0)),"Not on this contract's kit list"))</f>
        <v/>
      </c>
      <c r="H3922" s="83" t="str">
        <f aca="false">IF(AND(B3922="",C3922="",D3922=""),"",IF(B3922="","Missing contract",IF(C3922="","Missing code",IF(LEFT(G3922,3)="Not","Wrong code",IF(D3922="","Missing qty",IF(A3922="","Missing date",""))))))</f>
        <v/>
      </c>
      <c r="I3922" s="84" t="str">
        <f aca="false">IF(B3922=Dashboard!$D$3,ROW(),"")</f>
        <v/>
      </c>
    </row>
    <row r="3923" customFormat="false" ht="15" hidden="false" customHeight="false" outlineLevel="0" collapsed="false">
      <c r="A3923" s="80"/>
      <c r="B3923" s="71"/>
      <c r="C3923" s="71"/>
      <c r="D3923" s="81"/>
      <c r="E3923" s="71"/>
      <c r="F3923" s="71"/>
      <c r="G3923" s="82" t="str">
        <f aca="false">IF(C3923="","",IFERROR(INDEX('Kit Lists'!$D$6:$D$605,MATCH(B3923&amp;"|"&amp;C3923,'Kit Lists'!$J$6:$J$605,0)),"Not on this contract's kit list"))</f>
        <v/>
      </c>
      <c r="H3923" s="83" t="str">
        <f aca="false">IF(AND(B3923="",C3923="",D3923=""),"",IF(B3923="","Missing contract",IF(C3923="","Missing code",IF(LEFT(G3923,3)="Not","Wrong code",IF(D3923="","Missing qty",IF(A3923="","Missing date",""))))))</f>
        <v/>
      </c>
      <c r="I3923" s="84" t="str">
        <f aca="false">IF(B3923=Dashboard!$D$3,ROW(),"")</f>
        <v/>
      </c>
    </row>
    <row r="3924" customFormat="false" ht="15" hidden="false" customHeight="false" outlineLevel="0" collapsed="false">
      <c r="A3924" s="80"/>
      <c r="B3924" s="71"/>
      <c r="C3924" s="71"/>
      <c r="D3924" s="81"/>
      <c r="E3924" s="71"/>
      <c r="F3924" s="71"/>
      <c r="G3924" s="82" t="str">
        <f aca="false">IF(C3924="","",IFERROR(INDEX('Kit Lists'!$D$6:$D$605,MATCH(B3924&amp;"|"&amp;C3924,'Kit Lists'!$J$6:$J$605,0)),"Not on this contract's kit list"))</f>
        <v/>
      </c>
      <c r="H3924" s="83" t="str">
        <f aca="false">IF(AND(B3924="",C3924="",D3924=""),"",IF(B3924="","Missing contract",IF(C3924="","Missing code",IF(LEFT(G3924,3)="Not","Wrong code",IF(D3924="","Missing qty",IF(A3924="","Missing date",""))))))</f>
        <v/>
      </c>
      <c r="I3924" s="84" t="str">
        <f aca="false">IF(B3924=Dashboard!$D$3,ROW(),"")</f>
        <v/>
      </c>
    </row>
    <row r="3925" customFormat="false" ht="15" hidden="false" customHeight="false" outlineLevel="0" collapsed="false">
      <c r="A3925" s="80"/>
      <c r="B3925" s="71"/>
      <c r="C3925" s="71"/>
      <c r="D3925" s="81"/>
      <c r="E3925" s="71"/>
      <c r="F3925" s="71"/>
      <c r="G3925" s="82" t="str">
        <f aca="false">IF(C3925="","",IFERROR(INDEX('Kit Lists'!$D$6:$D$605,MATCH(B3925&amp;"|"&amp;C3925,'Kit Lists'!$J$6:$J$605,0)),"Not on this contract's kit list"))</f>
        <v/>
      </c>
      <c r="H3925" s="83" t="str">
        <f aca="false">IF(AND(B3925="",C3925="",D3925=""),"",IF(B3925="","Missing contract",IF(C3925="","Missing code",IF(LEFT(G3925,3)="Not","Wrong code",IF(D3925="","Missing qty",IF(A3925="","Missing date",""))))))</f>
        <v/>
      </c>
      <c r="I3925" s="84" t="str">
        <f aca="false">IF(B3925=Dashboard!$D$3,ROW(),"")</f>
        <v/>
      </c>
    </row>
    <row r="3926" customFormat="false" ht="15" hidden="false" customHeight="false" outlineLevel="0" collapsed="false">
      <c r="A3926" s="80"/>
      <c r="B3926" s="71"/>
      <c r="C3926" s="71"/>
      <c r="D3926" s="81"/>
      <c r="E3926" s="71"/>
      <c r="F3926" s="71"/>
      <c r="G3926" s="82" t="str">
        <f aca="false">IF(C3926="","",IFERROR(INDEX('Kit Lists'!$D$6:$D$605,MATCH(B3926&amp;"|"&amp;C3926,'Kit Lists'!$J$6:$J$605,0)),"Not on this contract's kit list"))</f>
        <v/>
      </c>
      <c r="H3926" s="83" t="str">
        <f aca="false">IF(AND(B3926="",C3926="",D3926=""),"",IF(B3926="","Missing contract",IF(C3926="","Missing code",IF(LEFT(G3926,3)="Not","Wrong code",IF(D3926="","Missing qty",IF(A3926="","Missing date",""))))))</f>
        <v/>
      </c>
      <c r="I3926" s="84" t="str">
        <f aca="false">IF(B3926=Dashboard!$D$3,ROW(),"")</f>
        <v/>
      </c>
    </row>
    <row r="3927" customFormat="false" ht="15" hidden="false" customHeight="false" outlineLevel="0" collapsed="false">
      <c r="A3927" s="80"/>
      <c r="B3927" s="71"/>
      <c r="C3927" s="71"/>
      <c r="D3927" s="81"/>
      <c r="E3927" s="71"/>
      <c r="F3927" s="71"/>
      <c r="G3927" s="82" t="str">
        <f aca="false">IF(C3927="","",IFERROR(INDEX('Kit Lists'!$D$6:$D$605,MATCH(B3927&amp;"|"&amp;C3927,'Kit Lists'!$J$6:$J$605,0)),"Not on this contract's kit list"))</f>
        <v/>
      </c>
      <c r="H3927" s="83" t="str">
        <f aca="false">IF(AND(B3927="",C3927="",D3927=""),"",IF(B3927="","Missing contract",IF(C3927="","Missing code",IF(LEFT(G3927,3)="Not","Wrong code",IF(D3927="","Missing qty",IF(A3927="","Missing date",""))))))</f>
        <v/>
      </c>
      <c r="I3927" s="84" t="str">
        <f aca="false">IF(B3927=Dashboard!$D$3,ROW(),"")</f>
        <v/>
      </c>
    </row>
    <row r="3928" customFormat="false" ht="15" hidden="false" customHeight="false" outlineLevel="0" collapsed="false">
      <c r="A3928" s="80"/>
      <c r="B3928" s="71"/>
      <c r="C3928" s="71"/>
      <c r="D3928" s="81"/>
      <c r="E3928" s="71"/>
      <c r="F3928" s="71"/>
      <c r="G3928" s="82" t="str">
        <f aca="false">IF(C3928="","",IFERROR(INDEX('Kit Lists'!$D$6:$D$605,MATCH(B3928&amp;"|"&amp;C3928,'Kit Lists'!$J$6:$J$605,0)),"Not on this contract's kit list"))</f>
        <v/>
      </c>
      <c r="H3928" s="83" t="str">
        <f aca="false">IF(AND(B3928="",C3928="",D3928=""),"",IF(B3928="","Missing contract",IF(C3928="","Missing code",IF(LEFT(G3928,3)="Not","Wrong code",IF(D3928="","Missing qty",IF(A3928="","Missing date",""))))))</f>
        <v/>
      </c>
      <c r="I3928" s="84" t="str">
        <f aca="false">IF(B3928=Dashboard!$D$3,ROW(),"")</f>
        <v/>
      </c>
    </row>
    <row r="3929" customFormat="false" ht="15" hidden="false" customHeight="false" outlineLevel="0" collapsed="false">
      <c r="A3929" s="80"/>
      <c r="B3929" s="71"/>
      <c r="C3929" s="71"/>
      <c r="D3929" s="81"/>
      <c r="E3929" s="71"/>
      <c r="F3929" s="71"/>
      <c r="G3929" s="82" t="str">
        <f aca="false">IF(C3929="","",IFERROR(INDEX('Kit Lists'!$D$6:$D$605,MATCH(B3929&amp;"|"&amp;C3929,'Kit Lists'!$J$6:$J$605,0)),"Not on this contract's kit list"))</f>
        <v/>
      </c>
      <c r="H3929" s="83" t="str">
        <f aca="false">IF(AND(B3929="",C3929="",D3929=""),"",IF(B3929="","Missing contract",IF(C3929="","Missing code",IF(LEFT(G3929,3)="Not","Wrong code",IF(D3929="","Missing qty",IF(A3929="","Missing date",""))))))</f>
        <v/>
      </c>
      <c r="I3929" s="84" t="str">
        <f aca="false">IF(B3929=Dashboard!$D$3,ROW(),"")</f>
        <v/>
      </c>
    </row>
    <row r="3930" customFormat="false" ht="15" hidden="false" customHeight="false" outlineLevel="0" collapsed="false">
      <c r="A3930" s="80"/>
      <c r="B3930" s="71"/>
      <c r="C3930" s="71"/>
      <c r="D3930" s="81"/>
      <c r="E3930" s="71"/>
      <c r="F3930" s="71"/>
      <c r="G3930" s="82" t="str">
        <f aca="false">IF(C3930="","",IFERROR(INDEX('Kit Lists'!$D$6:$D$605,MATCH(B3930&amp;"|"&amp;C3930,'Kit Lists'!$J$6:$J$605,0)),"Not on this contract's kit list"))</f>
        <v/>
      </c>
      <c r="H3930" s="83" t="str">
        <f aca="false">IF(AND(B3930="",C3930="",D3930=""),"",IF(B3930="","Missing contract",IF(C3930="","Missing code",IF(LEFT(G3930,3)="Not","Wrong code",IF(D3930="","Missing qty",IF(A3930="","Missing date",""))))))</f>
        <v/>
      </c>
      <c r="I3930" s="84" t="str">
        <f aca="false">IF(B3930=Dashboard!$D$3,ROW(),"")</f>
        <v/>
      </c>
    </row>
    <row r="3931" customFormat="false" ht="15" hidden="false" customHeight="false" outlineLevel="0" collapsed="false">
      <c r="A3931" s="80"/>
      <c r="B3931" s="71"/>
      <c r="C3931" s="71"/>
      <c r="D3931" s="81"/>
      <c r="E3931" s="71"/>
      <c r="F3931" s="71"/>
      <c r="G3931" s="82" t="str">
        <f aca="false">IF(C3931="","",IFERROR(INDEX('Kit Lists'!$D$6:$D$605,MATCH(B3931&amp;"|"&amp;C3931,'Kit Lists'!$J$6:$J$605,0)),"Not on this contract's kit list"))</f>
        <v/>
      </c>
      <c r="H3931" s="83" t="str">
        <f aca="false">IF(AND(B3931="",C3931="",D3931=""),"",IF(B3931="","Missing contract",IF(C3931="","Missing code",IF(LEFT(G3931,3)="Not","Wrong code",IF(D3931="","Missing qty",IF(A3931="","Missing date",""))))))</f>
        <v/>
      </c>
      <c r="I3931" s="84" t="str">
        <f aca="false">IF(B3931=Dashboard!$D$3,ROW(),"")</f>
        <v/>
      </c>
    </row>
    <row r="3932" customFormat="false" ht="15" hidden="false" customHeight="false" outlineLevel="0" collapsed="false">
      <c r="A3932" s="80"/>
      <c r="B3932" s="71"/>
      <c r="C3932" s="71"/>
      <c r="D3932" s="81"/>
      <c r="E3932" s="71"/>
      <c r="F3932" s="71"/>
      <c r="G3932" s="82" t="str">
        <f aca="false">IF(C3932="","",IFERROR(INDEX('Kit Lists'!$D$6:$D$605,MATCH(B3932&amp;"|"&amp;C3932,'Kit Lists'!$J$6:$J$605,0)),"Not on this contract's kit list"))</f>
        <v/>
      </c>
      <c r="H3932" s="83" t="str">
        <f aca="false">IF(AND(B3932="",C3932="",D3932=""),"",IF(B3932="","Missing contract",IF(C3932="","Missing code",IF(LEFT(G3932,3)="Not","Wrong code",IF(D3932="","Missing qty",IF(A3932="","Missing date",""))))))</f>
        <v/>
      </c>
      <c r="I3932" s="84" t="str">
        <f aca="false">IF(B3932=Dashboard!$D$3,ROW(),"")</f>
        <v/>
      </c>
    </row>
    <row r="3933" customFormat="false" ht="15" hidden="false" customHeight="false" outlineLevel="0" collapsed="false">
      <c r="A3933" s="80"/>
      <c r="B3933" s="71"/>
      <c r="C3933" s="71"/>
      <c r="D3933" s="81"/>
      <c r="E3933" s="71"/>
      <c r="F3933" s="71"/>
      <c r="G3933" s="82" t="str">
        <f aca="false">IF(C3933="","",IFERROR(INDEX('Kit Lists'!$D$6:$D$605,MATCH(B3933&amp;"|"&amp;C3933,'Kit Lists'!$J$6:$J$605,0)),"Not on this contract's kit list"))</f>
        <v/>
      </c>
      <c r="H3933" s="83" t="str">
        <f aca="false">IF(AND(B3933="",C3933="",D3933=""),"",IF(B3933="","Missing contract",IF(C3933="","Missing code",IF(LEFT(G3933,3)="Not","Wrong code",IF(D3933="","Missing qty",IF(A3933="","Missing date",""))))))</f>
        <v/>
      </c>
      <c r="I3933" s="84" t="str">
        <f aca="false">IF(B3933=Dashboard!$D$3,ROW(),"")</f>
        <v/>
      </c>
    </row>
    <row r="3934" customFormat="false" ht="15" hidden="false" customHeight="false" outlineLevel="0" collapsed="false">
      <c r="A3934" s="80"/>
      <c r="B3934" s="71"/>
      <c r="C3934" s="71"/>
      <c r="D3934" s="81"/>
      <c r="E3934" s="71"/>
      <c r="F3934" s="71"/>
      <c r="G3934" s="82" t="str">
        <f aca="false">IF(C3934="","",IFERROR(INDEX('Kit Lists'!$D$6:$D$605,MATCH(B3934&amp;"|"&amp;C3934,'Kit Lists'!$J$6:$J$605,0)),"Not on this contract's kit list"))</f>
        <v/>
      </c>
      <c r="H3934" s="83" t="str">
        <f aca="false">IF(AND(B3934="",C3934="",D3934=""),"",IF(B3934="","Missing contract",IF(C3934="","Missing code",IF(LEFT(G3934,3)="Not","Wrong code",IF(D3934="","Missing qty",IF(A3934="","Missing date",""))))))</f>
        <v/>
      </c>
      <c r="I3934" s="84" t="str">
        <f aca="false">IF(B3934=Dashboard!$D$3,ROW(),"")</f>
        <v/>
      </c>
    </row>
    <row r="3935" customFormat="false" ht="15" hidden="false" customHeight="false" outlineLevel="0" collapsed="false">
      <c r="A3935" s="80"/>
      <c r="B3935" s="71"/>
      <c r="C3935" s="71"/>
      <c r="D3935" s="81"/>
      <c r="E3935" s="71"/>
      <c r="F3935" s="71"/>
      <c r="G3935" s="82" t="str">
        <f aca="false">IF(C3935="","",IFERROR(INDEX('Kit Lists'!$D$6:$D$605,MATCH(B3935&amp;"|"&amp;C3935,'Kit Lists'!$J$6:$J$605,0)),"Not on this contract's kit list"))</f>
        <v/>
      </c>
      <c r="H3935" s="83" t="str">
        <f aca="false">IF(AND(B3935="",C3935="",D3935=""),"",IF(B3935="","Missing contract",IF(C3935="","Missing code",IF(LEFT(G3935,3)="Not","Wrong code",IF(D3935="","Missing qty",IF(A3935="","Missing date",""))))))</f>
        <v/>
      </c>
      <c r="I3935" s="84" t="str">
        <f aca="false">IF(B3935=Dashboard!$D$3,ROW(),"")</f>
        <v/>
      </c>
    </row>
    <row r="3936" customFormat="false" ht="15" hidden="false" customHeight="false" outlineLevel="0" collapsed="false">
      <c r="A3936" s="80"/>
      <c r="B3936" s="71"/>
      <c r="C3936" s="71"/>
      <c r="D3936" s="81"/>
      <c r="E3936" s="71"/>
      <c r="F3936" s="71"/>
      <c r="G3936" s="82" t="str">
        <f aca="false">IF(C3936="","",IFERROR(INDEX('Kit Lists'!$D$6:$D$605,MATCH(B3936&amp;"|"&amp;C3936,'Kit Lists'!$J$6:$J$605,0)),"Not on this contract's kit list"))</f>
        <v/>
      </c>
      <c r="H3936" s="83" t="str">
        <f aca="false">IF(AND(B3936="",C3936="",D3936=""),"",IF(B3936="","Missing contract",IF(C3936="","Missing code",IF(LEFT(G3936,3)="Not","Wrong code",IF(D3936="","Missing qty",IF(A3936="","Missing date",""))))))</f>
        <v/>
      </c>
      <c r="I3936" s="84" t="str">
        <f aca="false">IF(B3936=Dashboard!$D$3,ROW(),"")</f>
        <v/>
      </c>
    </row>
    <row r="3937" customFormat="false" ht="15" hidden="false" customHeight="false" outlineLevel="0" collapsed="false">
      <c r="A3937" s="80"/>
      <c r="B3937" s="71"/>
      <c r="C3937" s="71"/>
      <c r="D3937" s="81"/>
      <c r="E3937" s="71"/>
      <c r="F3937" s="71"/>
      <c r="G3937" s="82" t="str">
        <f aca="false">IF(C3937="","",IFERROR(INDEX('Kit Lists'!$D$6:$D$605,MATCH(B3937&amp;"|"&amp;C3937,'Kit Lists'!$J$6:$J$605,0)),"Not on this contract's kit list"))</f>
        <v/>
      </c>
      <c r="H3937" s="83" t="str">
        <f aca="false">IF(AND(B3937="",C3937="",D3937=""),"",IF(B3937="","Missing contract",IF(C3937="","Missing code",IF(LEFT(G3937,3)="Not","Wrong code",IF(D3937="","Missing qty",IF(A3937="","Missing date",""))))))</f>
        <v/>
      </c>
      <c r="I3937" s="84" t="str">
        <f aca="false">IF(B3937=Dashboard!$D$3,ROW(),"")</f>
        <v/>
      </c>
    </row>
    <row r="3938" customFormat="false" ht="15" hidden="false" customHeight="false" outlineLevel="0" collapsed="false">
      <c r="A3938" s="80"/>
      <c r="B3938" s="71"/>
      <c r="C3938" s="71"/>
      <c r="D3938" s="81"/>
      <c r="E3938" s="71"/>
      <c r="F3938" s="71"/>
      <c r="G3938" s="82" t="str">
        <f aca="false">IF(C3938="","",IFERROR(INDEX('Kit Lists'!$D$6:$D$605,MATCH(B3938&amp;"|"&amp;C3938,'Kit Lists'!$J$6:$J$605,0)),"Not on this contract's kit list"))</f>
        <v/>
      </c>
      <c r="H3938" s="83" t="str">
        <f aca="false">IF(AND(B3938="",C3938="",D3938=""),"",IF(B3938="","Missing contract",IF(C3938="","Missing code",IF(LEFT(G3938,3)="Not","Wrong code",IF(D3938="","Missing qty",IF(A3938="","Missing date",""))))))</f>
        <v/>
      </c>
      <c r="I3938" s="84" t="str">
        <f aca="false">IF(B3938=Dashboard!$D$3,ROW(),"")</f>
        <v/>
      </c>
    </row>
    <row r="3939" customFormat="false" ht="15" hidden="false" customHeight="false" outlineLevel="0" collapsed="false">
      <c r="A3939" s="80"/>
      <c r="B3939" s="71"/>
      <c r="C3939" s="71"/>
      <c r="D3939" s="81"/>
      <c r="E3939" s="71"/>
      <c r="F3939" s="71"/>
      <c r="G3939" s="82" t="str">
        <f aca="false">IF(C3939="","",IFERROR(INDEX('Kit Lists'!$D$6:$D$605,MATCH(B3939&amp;"|"&amp;C3939,'Kit Lists'!$J$6:$J$605,0)),"Not on this contract's kit list"))</f>
        <v/>
      </c>
      <c r="H3939" s="83" t="str">
        <f aca="false">IF(AND(B3939="",C3939="",D3939=""),"",IF(B3939="","Missing contract",IF(C3939="","Missing code",IF(LEFT(G3939,3)="Not","Wrong code",IF(D3939="","Missing qty",IF(A3939="","Missing date",""))))))</f>
        <v/>
      </c>
      <c r="I3939" s="84" t="str">
        <f aca="false">IF(B3939=Dashboard!$D$3,ROW(),"")</f>
        <v/>
      </c>
    </row>
    <row r="3940" customFormat="false" ht="15" hidden="false" customHeight="false" outlineLevel="0" collapsed="false">
      <c r="A3940" s="80"/>
      <c r="B3940" s="71"/>
      <c r="C3940" s="71"/>
      <c r="D3940" s="81"/>
      <c r="E3940" s="71"/>
      <c r="F3940" s="71"/>
      <c r="G3940" s="82" t="str">
        <f aca="false">IF(C3940="","",IFERROR(INDEX('Kit Lists'!$D$6:$D$605,MATCH(B3940&amp;"|"&amp;C3940,'Kit Lists'!$J$6:$J$605,0)),"Not on this contract's kit list"))</f>
        <v/>
      </c>
      <c r="H3940" s="83" t="str">
        <f aca="false">IF(AND(B3940="",C3940="",D3940=""),"",IF(B3940="","Missing contract",IF(C3940="","Missing code",IF(LEFT(G3940,3)="Not","Wrong code",IF(D3940="","Missing qty",IF(A3940="","Missing date",""))))))</f>
        <v/>
      </c>
      <c r="I3940" s="84" t="str">
        <f aca="false">IF(B3940=Dashboard!$D$3,ROW(),"")</f>
        <v/>
      </c>
    </row>
    <row r="3941" customFormat="false" ht="15" hidden="false" customHeight="false" outlineLevel="0" collapsed="false">
      <c r="A3941" s="80"/>
      <c r="B3941" s="71"/>
      <c r="C3941" s="71"/>
      <c r="D3941" s="81"/>
      <c r="E3941" s="71"/>
      <c r="F3941" s="71"/>
      <c r="G3941" s="82" t="str">
        <f aca="false">IF(C3941="","",IFERROR(INDEX('Kit Lists'!$D$6:$D$605,MATCH(B3941&amp;"|"&amp;C3941,'Kit Lists'!$J$6:$J$605,0)),"Not on this contract's kit list"))</f>
        <v/>
      </c>
      <c r="H3941" s="83" t="str">
        <f aca="false">IF(AND(B3941="",C3941="",D3941=""),"",IF(B3941="","Missing contract",IF(C3941="","Missing code",IF(LEFT(G3941,3)="Not","Wrong code",IF(D3941="","Missing qty",IF(A3941="","Missing date",""))))))</f>
        <v/>
      </c>
      <c r="I3941" s="84" t="str">
        <f aca="false">IF(B3941=Dashboard!$D$3,ROW(),"")</f>
        <v/>
      </c>
    </row>
    <row r="3942" customFormat="false" ht="15" hidden="false" customHeight="false" outlineLevel="0" collapsed="false">
      <c r="A3942" s="80"/>
      <c r="B3942" s="71"/>
      <c r="C3942" s="71"/>
      <c r="D3942" s="81"/>
      <c r="E3942" s="71"/>
      <c r="F3942" s="71"/>
      <c r="G3942" s="82" t="str">
        <f aca="false">IF(C3942="","",IFERROR(INDEX('Kit Lists'!$D$6:$D$605,MATCH(B3942&amp;"|"&amp;C3942,'Kit Lists'!$J$6:$J$605,0)),"Not on this contract's kit list"))</f>
        <v/>
      </c>
      <c r="H3942" s="83" t="str">
        <f aca="false">IF(AND(B3942="",C3942="",D3942=""),"",IF(B3942="","Missing contract",IF(C3942="","Missing code",IF(LEFT(G3942,3)="Not","Wrong code",IF(D3942="","Missing qty",IF(A3942="","Missing date",""))))))</f>
        <v/>
      </c>
      <c r="I3942" s="84" t="str">
        <f aca="false">IF(B3942=Dashboard!$D$3,ROW(),"")</f>
        <v/>
      </c>
    </row>
    <row r="3943" customFormat="false" ht="15" hidden="false" customHeight="false" outlineLevel="0" collapsed="false">
      <c r="A3943" s="80"/>
      <c r="B3943" s="71"/>
      <c r="C3943" s="71"/>
      <c r="D3943" s="81"/>
      <c r="E3943" s="71"/>
      <c r="F3943" s="71"/>
      <c r="G3943" s="82" t="str">
        <f aca="false">IF(C3943="","",IFERROR(INDEX('Kit Lists'!$D$6:$D$605,MATCH(B3943&amp;"|"&amp;C3943,'Kit Lists'!$J$6:$J$605,0)),"Not on this contract's kit list"))</f>
        <v/>
      </c>
      <c r="H3943" s="83" t="str">
        <f aca="false">IF(AND(B3943="",C3943="",D3943=""),"",IF(B3943="","Missing contract",IF(C3943="","Missing code",IF(LEFT(G3943,3)="Not","Wrong code",IF(D3943="","Missing qty",IF(A3943="","Missing date",""))))))</f>
        <v/>
      </c>
      <c r="I3943" s="84" t="str">
        <f aca="false">IF(B3943=Dashboard!$D$3,ROW(),"")</f>
        <v/>
      </c>
    </row>
    <row r="3944" customFormat="false" ht="15" hidden="false" customHeight="false" outlineLevel="0" collapsed="false">
      <c r="A3944" s="80"/>
      <c r="B3944" s="71"/>
      <c r="C3944" s="71"/>
      <c r="D3944" s="81"/>
      <c r="E3944" s="71"/>
      <c r="F3944" s="71"/>
      <c r="G3944" s="82" t="str">
        <f aca="false">IF(C3944="","",IFERROR(INDEX('Kit Lists'!$D$6:$D$605,MATCH(B3944&amp;"|"&amp;C3944,'Kit Lists'!$J$6:$J$605,0)),"Not on this contract's kit list"))</f>
        <v/>
      </c>
      <c r="H3944" s="83" t="str">
        <f aca="false">IF(AND(B3944="",C3944="",D3944=""),"",IF(B3944="","Missing contract",IF(C3944="","Missing code",IF(LEFT(G3944,3)="Not","Wrong code",IF(D3944="","Missing qty",IF(A3944="","Missing date",""))))))</f>
        <v/>
      </c>
      <c r="I3944" s="84" t="str">
        <f aca="false">IF(B3944=Dashboard!$D$3,ROW(),"")</f>
        <v/>
      </c>
    </row>
    <row r="3945" customFormat="false" ht="15" hidden="false" customHeight="false" outlineLevel="0" collapsed="false">
      <c r="A3945" s="80"/>
      <c r="B3945" s="71"/>
      <c r="C3945" s="71"/>
      <c r="D3945" s="81"/>
      <c r="E3945" s="71"/>
      <c r="F3945" s="71"/>
      <c r="G3945" s="82" t="str">
        <f aca="false">IF(C3945="","",IFERROR(INDEX('Kit Lists'!$D$6:$D$605,MATCH(B3945&amp;"|"&amp;C3945,'Kit Lists'!$J$6:$J$605,0)),"Not on this contract's kit list"))</f>
        <v/>
      </c>
      <c r="H3945" s="83" t="str">
        <f aca="false">IF(AND(B3945="",C3945="",D3945=""),"",IF(B3945="","Missing contract",IF(C3945="","Missing code",IF(LEFT(G3945,3)="Not","Wrong code",IF(D3945="","Missing qty",IF(A3945="","Missing date",""))))))</f>
        <v/>
      </c>
      <c r="I3945" s="84" t="str">
        <f aca="false">IF(B3945=Dashboard!$D$3,ROW(),"")</f>
        <v/>
      </c>
    </row>
    <row r="3946" customFormat="false" ht="15" hidden="false" customHeight="false" outlineLevel="0" collapsed="false">
      <c r="A3946" s="80"/>
      <c r="B3946" s="71"/>
      <c r="C3946" s="71"/>
      <c r="D3946" s="81"/>
      <c r="E3946" s="71"/>
      <c r="F3946" s="71"/>
      <c r="G3946" s="82" t="str">
        <f aca="false">IF(C3946="","",IFERROR(INDEX('Kit Lists'!$D$6:$D$605,MATCH(B3946&amp;"|"&amp;C3946,'Kit Lists'!$J$6:$J$605,0)),"Not on this contract's kit list"))</f>
        <v/>
      </c>
      <c r="H3946" s="83" t="str">
        <f aca="false">IF(AND(B3946="",C3946="",D3946=""),"",IF(B3946="","Missing contract",IF(C3946="","Missing code",IF(LEFT(G3946,3)="Not","Wrong code",IF(D3946="","Missing qty",IF(A3946="","Missing date",""))))))</f>
        <v/>
      </c>
      <c r="I3946" s="84" t="str">
        <f aca="false">IF(B3946=Dashboard!$D$3,ROW(),"")</f>
        <v/>
      </c>
    </row>
    <row r="3947" customFormat="false" ht="15" hidden="false" customHeight="false" outlineLevel="0" collapsed="false">
      <c r="A3947" s="80"/>
      <c r="B3947" s="71"/>
      <c r="C3947" s="71"/>
      <c r="D3947" s="81"/>
      <c r="E3947" s="71"/>
      <c r="F3947" s="71"/>
      <c r="G3947" s="82" t="str">
        <f aca="false">IF(C3947="","",IFERROR(INDEX('Kit Lists'!$D$6:$D$605,MATCH(B3947&amp;"|"&amp;C3947,'Kit Lists'!$J$6:$J$605,0)),"Not on this contract's kit list"))</f>
        <v/>
      </c>
      <c r="H3947" s="83" t="str">
        <f aca="false">IF(AND(B3947="",C3947="",D3947=""),"",IF(B3947="","Missing contract",IF(C3947="","Missing code",IF(LEFT(G3947,3)="Not","Wrong code",IF(D3947="","Missing qty",IF(A3947="","Missing date",""))))))</f>
        <v/>
      </c>
      <c r="I3947" s="84" t="str">
        <f aca="false">IF(B3947=Dashboard!$D$3,ROW(),"")</f>
        <v/>
      </c>
    </row>
    <row r="3948" customFormat="false" ht="15" hidden="false" customHeight="false" outlineLevel="0" collapsed="false">
      <c r="A3948" s="80"/>
      <c r="B3948" s="71"/>
      <c r="C3948" s="71"/>
      <c r="D3948" s="81"/>
      <c r="E3948" s="71"/>
      <c r="F3948" s="71"/>
      <c r="G3948" s="82" t="str">
        <f aca="false">IF(C3948="","",IFERROR(INDEX('Kit Lists'!$D$6:$D$605,MATCH(B3948&amp;"|"&amp;C3948,'Kit Lists'!$J$6:$J$605,0)),"Not on this contract's kit list"))</f>
        <v/>
      </c>
      <c r="H3948" s="83" t="str">
        <f aca="false">IF(AND(B3948="",C3948="",D3948=""),"",IF(B3948="","Missing contract",IF(C3948="","Missing code",IF(LEFT(G3948,3)="Not","Wrong code",IF(D3948="","Missing qty",IF(A3948="","Missing date",""))))))</f>
        <v/>
      </c>
      <c r="I3948" s="84" t="str">
        <f aca="false">IF(B3948=Dashboard!$D$3,ROW(),"")</f>
        <v/>
      </c>
    </row>
    <row r="3949" customFormat="false" ht="15" hidden="false" customHeight="false" outlineLevel="0" collapsed="false">
      <c r="A3949" s="80"/>
      <c r="B3949" s="71"/>
      <c r="C3949" s="71"/>
      <c r="D3949" s="81"/>
      <c r="E3949" s="71"/>
      <c r="F3949" s="71"/>
      <c r="G3949" s="82" t="str">
        <f aca="false">IF(C3949="","",IFERROR(INDEX('Kit Lists'!$D$6:$D$605,MATCH(B3949&amp;"|"&amp;C3949,'Kit Lists'!$J$6:$J$605,0)),"Not on this contract's kit list"))</f>
        <v/>
      </c>
      <c r="H3949" s="83" t="str">
        <f aca="false">IF(AND(B3949="",C3949="",D3949=""),"",IF(B3949="","Missing contract",IF(C3949="","Missing code",IF(LEFT(G3949,3)="Not","Wrong code",IF(D3949="","Missing qty",IF(A3949="","Missing date",""))))))</f>
        <v/>
      </c>
      <c r="I3949" s="84" t="str">
        <f aca="false">IF(B3949=Dashboard!$D$3,ROW(),"")</f>
        <v/>
      </c>
    </row>
    <row r="3950" customFormat="false" ht="15" hidden="false" customHeight="false" outlineLevel="0" collapsed="false">
      <c r="A3950" s="80"/>
      <c r="B3950" s="71"/>
      <c r="C3950" s="71"/>
      <c r="D3950" s="81"/>
      <c r="E3950" s="71"/>
      <c r="F3950" s="71"/>
      <c r="G3950" s="82" t="str">
        <f aca="false">IF(C3950="","",IFERROR(INDEX('Kit Lists'!$D$6:$D$605,MATCH(B3950&amp;"|"&amp;C3950,'Kit Lists'!$J$6:$J$605,0)),"Not on this contract's kit list"))</f>
        <v/>
      </c>
      <c r="H3950" s="83" t="str">
        <f aca="false">IF(AND(B3950="",C3950="",D3950=""),"",IF(B3950="","Missing contract",IF(C3950="","Missing code",IF(LEFT(G3950,3)="Not","Wrong code",IF(D3950="","Missing qty",IF(A3950="","Missing date",""))))))</f>
        <v/>
      </c>
      <c r="I3950" s="84" t="str">
        <f aca="false">IF(B3950=Dashboard!$D$3,ROW(),"")</f>
        <v/>
      </c>
    </row>
    <row r="3951" customFormat="false" ht="15" hidden="false" customHeight="false" outlineLevel="0" collapsed="false">
      <c r="A3951" s="80"/>
      <c r="B3951" s="71"/>
      <c r="C3951" s="71"/>
      <c r="D3951" s="81"/>
      <c r="E3951" s="71"/>
      <c r="F3951" s="71"/>
      <c r="G3951" s="82" t="str">
        <f aca="false">IF(C3951="","",IFERROR(INDEX('Kit Lists'!$D$6:$D$605,MATCH(B3951&amp;"|"&amp;C3951,'Kit Lists'!$J$6:$J$605,0)),"Not on this contract's kit list"))</f>
        <v/>
      </c>
      <c r="H3951" s="83" t="str">
        <f aca="false">IF(AND(B3951="",C3951="",D3951=""),"",IF(B3951="","Missing contract",IF(C3951="","Missing code",IF(LEFT(G3951,3)="Not","Wrong code",IF(D3951="","Missing qty",IF(A3951="","Missing date",""))))))</f>
        <v/>
      </c>
      <c r="I3951" s="84" t="str">
        <f aca="false">IF(B3951=Dashboard!$D$3,ROW(),"")</f>
        <v/>
      </c>
    </row>
    <row r="3952" customFormat="false" ht="15" hidden="false" customHeight="false" outlineLevel="0" collapsed="false">
      <c r="A3952" s="80"/>
      <c r="B3952" s="71"/>
      <c r="C3952" s="71"/>
      <c r="D3952" s="81"/>
      <c r="E3952" s="71"/>
      <c r="F3952" s="71"/>
      <c r="G3952" s="82" t="str">
        <f aca="false">IF(C3952="","",IFERROR(INDEX('Kit Lists'!$D$6:$D$605,MATCH(B3952&amp;"|"&amp;C3952,'Kit Lists'!$J$6:$J$605,0)),"Not on this contract's kit list"))</f>
        <v/>
      </c>
      <c r="H3952" s="83" t="str">
        <f aca="false">IF(AND(B3952="",C3952="",D3952=""),"",IF(B3952="","Missing contract",IF(C3952="","Missing code",IF(LEFT(G3952,3)="Not","Wrong code",IF(D3952="","Missing qty",IF(A3952="","Missing date",""))))))</f>
        <v/>
      </c>
      <c r="I3952" s="84" t="str">
        <f aca="false">IF(B3952=Dashboard!$D$3,ROW(),"")</f>
        <v/>
      </c>
    </row>
    <row r="3953" customFormat="false" ht="15" hidden="false" customHeight="false" outlineLevel="0" collapsed="false">
      <c r="A3953" s="80"/>
      <c r="B3953" s="71"/>
      <c r="C3953" s="71"/>
      <c r="D3953" s="81"/>
      <c r="E3953" s="71"/>
      <c r="F3953" s="71"/>
      <c r="G3953" s="82" t="str">
        <f aca="false">IF(C3953="","",IFERROR(INDEX('Kit Lists'!$D$6:$D$605,MATCH(B3953&amp;"|"&amp;C3953,'Kit Lists'!$J$6:$J$605,0)),"Not on this contract's kit list"))</f>
        <v/>
      </c>
      <c r="H3953" s="83" t="str">
        <f aca="false">IF(AND(B3953="",C3953="",D3953=""),"",IF(B3953="","Missing contract",IF(C3953="","Missing code",IF(LEFT(G3953,3)="Not","Wrong code",IF(D3953="","Missing qty",IF(A3953="","Missing date",""))))))</f>
        <v/>
      </c>
      <c r="I3953" s="84" t="str">
        <f aca="false">IF(B3953=Dashboard!$D$3,ROW(),"")</f>
        <v/>
      </c>
    </row>
    <row r="3954" customFormat="false" ht="15" hidden="false" customHeight="false" outlineLevel="0" collapsed="false">
      <c r="A3954" s="80"/>
      <c r="B3954" s="71"/>
      <c r="C3954" s="71"/>
      <c r="D3954" s="81"/>
      <c r="E3954" s="71"/>
      <c r="F3954" s="71"/>
      <c r="G3954" s="82" t="str">
        <f aca="false">IF(C3954="","",IFERROR(INDEX('Kit Lists'!$D$6:$D$605,MATCH(B3954&amp;"|"&amp;C3954,'Kit Lists'!$J$6:$J$605,0)),"Not on this contract's kit list"))</f>
        <v/>
      </c>
      <c r="H3954" s="83" t="str">
        <f aca="false">IF(AND(B3954="",C3954="",D3954=""),"",IF(B3954="","Missing contract",IF(C3954="","Missing code",IF(LEFT(G3954,3)="Not","Wrong code",IF(D3954="","Missing qty",IF(A3954="","Missing date",""))))))</f>
        <v/>
      </c>
      <c r="I3954" s="84" t="str">
        <f aca="false">IF(B3954=Dashboard!$D$3,ROW(),"")</f>
        <v/>
      </c>
    </row>
    <row r="3955" customFormat="false" ht="15" hidden="false" customHeight="false" outlineLevel="0" collapsed="false">
      <c r="A3955" s="80"/>
      <c r="B3955" s="71"/>
      <c r="C3955" s="71"/>
      <c r="D3955" s="81"/>
      <c r="E3955" s="71"/>
      <c r="F3955" s="71"/>
      <c r="G3955" s="82" t="str">
        <f aca="false">IF(C3955="","",IFERROR(INDEX('Kit Lists'!$D$6:$D$605,MATCH(B3955&amp;"|"&amp;C3955,'Kit Lists'!$J$6:$J$605,0)),"Not on this contract's kit list"))</f>
        <v/>
      </c>
      <c r="H3955" s="83" t="str">
        <f aca="false">IF(AND(B3955="",C3955="",D3955=""),"",IF(B3955="","Missing contract",IF(C3955="","Missing code",IF(LEFT(G3955,3)="Not","Wrong code",IF(D3955="","Missing qty",IF(A3955="","Missing date",""))))))</f>
        <v/>
      </c>
      <c r="I3955" s="84" t="str">
        <f aca="false">IF(B3955=Dashboard!$D$3,ROW(),"")</f>
        <v/>
      </c>
    </row>
    <row r="3956" customFormat="false" ht="15" hidden="false" customHeight="false" outlineLevel="0" collapsed="false">
      <c r="A3956" s="80"/>
      <c r="B3956" s="71"/>
      <c r="C3956" s="71"/>
      <c r="D3956" s="81"/>
      <c r="E3956" s="71"/>
      <c r="F3956" s="71"/>
      <c r="G3956" s="82" t="str">
        <f aca="false">IF(C3956="","",IFERROR(INDEX('Kit Lists'!$D$6:$D$605,MATCH(B3956&amp;"|"&amp;C3956,'Kit Lists'!$J$6:$J$605,0)),"Not on this contract's kit list"))</f>
        <v/>
      </c>
      <c r="H3956" s="83" t="str">
        <f aca="false">IF(AND(B3956="",C3956="",D3956=""),"",IF(B3956="","Missing contract",IF(C3956="","Missing code",IF(LEFT(G3956,3)="Not","Wrong code",IF(D3956="","Missing qty",IF(A3956="","Missing date",""))))))</f>
        <v/>
      </c>
      <c r="I3956" s="84" t="str">
        <f aca="false">IF(B3956=Dashboard!$D$3,ROW(),"")</f>
        <v/>
      </c>
    </row>
    <row r="3957" customFormat="false" ht="15" hidden="false" customHeight="false" outlineLevel="0" collapsed="false">
      <c r="A3957" s="80"/>
      <c r="B3957" s="71"/>
      <c r="C3957" s="71"/>
      <c r="D3957" s="81"/>
      <c r="E3957" s="71"/>
      <c r="F3957" s="71"/>
      <c r="G3957" s="82" t="str">
        <f aca="false">IF(C3957="","",IFERROR(INDEX('Kit Lists'!$D$6:$D$605,MATCH(B3957&amp;"|"&amp;C3957,'Kit Lists'!$J$6:$J$605,0)),"Not on this contract's kit list"))</f>
        <v/>
      </c>
      <c r="H3957" s="83" t="str">
        <f aca="false">IF(AND(B3957="",C3957="",D3957=""),"",IF(B3957="","Missing contract",IF(C3957="","Missing code",IF(LEFT(G3957,3)="Not","Wrong code",IF(D3957="","Missing qty",IF(A3957="","Missing date",""))))))</f>
        <v/>
      </c>
      <c r="I3957" s="84" t="str">
        <f aca="false">IF(B3957=Dashboard!$D$3,ROW(),"")</f>
        <v/>
      </c>
    </row>
    <row r="3958" customFormat="false" ht="15" hidden="false" customHeight="false" outlineLevel="0" collapsed="false">
      <c r="A3958" s="80"/>
      <c r="B3958" s="71"/>
      <c r="C3958" s="71"/>
      <c r="D3958" s="81"/>
      <c r="E3958" s="71"/>
      <c r="F3958" s="71"/>
      <c r="G3958" s="82" t="str">
        <f aca="false">IF(C3958="","",IFERROR(INDEX('Kit Lists'!$D$6:$D$605,MATCH(B3958&amp;"|"&amp;C3958,'Kit Lists'!$J$6:$J$605,0)),"Not on this contract's kit list"))</f>
        <v/>
      </c>
      <c r="H3958" s="83" t="str">
        <f aca="false">IF(AND(B3958="",C3958="",D3958=""),"",IF(B3958="","Missing contract",IF(C3958="","Missing code",IF(LEFT(G3958,3)="Not","Wrong code",IF(D3958="","Missing qty",IF(A3958="","Missing date",""))))))</f>
        <v/>
      </c>
      <c r="I3958" s="84" t="str">
        <f aca="false">IF(B3958=Dashboard!$D$3,ROW(),"")</f>
        <v/>
      </c>
    </row>
    <row r="3959" customFormat="false" ht="15" hidden="false" customHeight="false" outlineLevel="0" collapsed="false">
      <c r="A3959" s="80"/>
      <c r="B3959" s="71"/>
      <c r="C3959" s="71"/>
      <c r="D3959" s="81"/>
      <c r="E3959" s="71"/>
      <c r="F3959" s="71"/>
      <c r="G3959" s="82" t="str">
        <f aca="false">IF(C3959="","",IFERROR(INDEX('Kit Lists'!$D$6:$D$605,MATCH(B3959&amp;"|"&amp;C3959,'Kit Lists'!$J$6:$J$605,0)),"Not on this contract's kit list"))</f>
        <v/>
      </c>
      <c r="H3959" s="83" t="str">
        <f aca="false">IF(AND(B3959="",C3959="",D3959=""),"",IF(B3959="","Missing contract",IF(C3959="","Missing code",IF(LEFT(G3959,3)="Not","Wrong code",IF(D3959="","Missing qty",IF(A3959="","Missing date",""))))))</f>
        <v/>
      </c>
      <c r="I3959" s="84" t="str">
        <f aca="false">IF(B3959=Dashboard!$D$3,ROW(),"")</f>
        <v/>
      </c>
    </row>
    <row r="3960" customFormat="false" ht="15" hidden="false" customHeight="false" outlineLevel="0" collapsed="false">
      <c r="A3960" s="80"/>
      <c r="B3960" s="71"/>
      <c r="C3960" s="71"/>
      <c r="D3960" s="81"/>
      <c r="E3960" s="71"/>
      <c r="F3960" s="71"/>
      <c r="G3960" s="82" t="str">
        <f aca="false">IF(C3960="","",IFERROR(INDEX('Kit Lists'!$D$6:$D$605,MATCH(B3960&amp;"|"&amp;C3960,'Kit Lists'!$J$6:$J$605,0)),"Not on this contract's kit list"))</f>
        <v/>
      </c>
      <c r="H3960" s="83" t="str">
        <f aca="false">IF(AND(B3960="",C3960="",D3960=""),"",IF(B3960="","Missing contract",IF(C3960="","Missing code",IF(LEFT(G3960,3)="Not","Wrong code",IF(D3960="","Missing qty",IF(A3960="","Missing date",""))))))</f>
        <v/>
      </c>
      <c r="I3960" s="84" t="str">
        <f aca="false">IF(B3960=Dashboard!$D$3,ROW(),"")</f>
        <v/>
      </c>
    </row>
    <row r="3961" customFormat="false" ht="15" hidden="false" customHeight="false" outlineLevel="0" collapsed="false">
      <c r="A3961" s="80"/>
      <c r="B3961" s="71"/>
      <c r="C3961" s="71"/>
      <c r="D3961" s="81"/>
      <c r="E3961" s="71"/>
      <c r="F3961" s="71"/>
      <c r="G3961" s="82" t="str">
        <f aca="false">IF(C3961="","",IFERROR(INDEX('Kit Lists'!$D$6:$D$605,MATCH(B3961&amp;"|"&amp;C3961,'Kit Lists'!$J$6:$J$605,0)),"Not on this contract's kit list"))</f>
        <v/>
      </c>
      <c r="H3961" s="83" t="str">
        <f aca="false">IF(AND(B3961="",C3961="",D3961=""),"",IF(B3961="","Missing contract",IF(C3961="","Missing code",IF(LEFT(G3961,3)="Not","Wrong code",IF(D3961="","Missing qty",IF(A3961="","Missing date",""))))))</f>
        <v/>
      </c>
      <c r="I3961" s="84" t="str">
        <f aca="false">IF(B3961=Dashboard!$D$3,ROW(),"")</f>
        <v/>
      </c>
    </row>
    <row r="3962" customFormat="false" ht="15" hidden="false" customHeight="false" outlineLevel="0" collapsed="false">
      <c r="A3962" s="80"/>
      <c r="B3962" s="71"/>
      <c r="C3962" s="71"/>
      <c r="D3962" s="81"/>
      <c r="E3962" s="71"/>
      <c r="F3962" s="71"/>
      <c r="G3962" s="82" t="str">
        <f aca="false">IF(C3962="","",IFERROR(INDEX('Kit Lists'!$D$6:$D$605,MATCH(B3962&amp;"|"&amp;C3962,'Kit Lists'!$J$6:$J$605,0)),"Not on this contract's kit list"))</f>
        <v/>
      </c>
      <c r="H3962" s="83" t="str">
        <f aca="false">IF(AND(B3962="",C3962="",D3962=""),"",IF(B3962="","Missing contract",IF(C3962="","Missing code",IF(LEFT(G3962,3)="Not","Wrong code",IF(D3962="","Missing qty",IF(A3962="","Missing date",""))))))</f>
        <v/>
      </c>
      <c r="I3962" s="84" t="str">
        <f aca="false">IF(B3962=Dashboard!$D$3,ROW(),"")</f>
        <v/>
      </c>
    </row>
    <row r="3963" customFormat="false" ht="15" hidden="false" customHeight="false" outlineLevel="0" collapsed="false">
      <c r="A3963" s="80"/>
      <c r="B3963" s="71"/>
      <c r="C3963" s="71"/>
      <c r="D3963" s="81"/>
      <c r="E3963" s="71"/>
      <c r="F3963" s="71"/>
      <c r="G3963" s="82" t="str">
        <f aca="false">IF(C3963="","",IFERROR(INDEX('Kit Lists'!$D$6:$D$605,MATCH(B3963&amp;"|"&amp;C3963,'Kit Lists'!$J$6:$J$605,0)),"Not on this contract's kit list"))</f>
        <v/>
      </c>
      <c r="H3963" s="83" t="str">
        <f aca="false">IF(AND(B3963="",C3963="",D3963=""),"",IF(B3963="","Missing contract",IF(C3963="","Missing code",IF(LEFT(G3963,3)="Not","Wrong code",IF(D3963="","Missing qty",IF(A3963="","Missing date",""))))))</f>
        <v/>
      </c>
      <c r="I3963" s="84" t="str">
        <f aca="false">IF(B3963=Dashboard!$D$3,ROW(),"")</f>
        <v/>
      </c>
    </row>
    <row r="3964" customFormat="false" ht="15" hidden="false" customHeight="false" outlineLevel="0" collapsed="false">
      <c r="A3964" s="80"/>
      <c r="B3964" s="71"/>
      <c r="C3964" s="71"/>
      <c r="D3964" s="81"/>
      <c r="E3964" s="71"/>
      <c r="F3964" s="71"/>
      <c r="G3964" s="82" t="str">
        <f aca="false">IF(C3964="","",IFERROR(INDEX('Kit Lists'!$D$6:$D$605,MATCH(B3964&amp;"|"&amp;C3964,'Kit Lists'!$J$6:$J$605,0)),"Not on this contract's kit list"))</f>
        <v/>
      </c>
      <c r="H3964" s="83" t="str">
        <f aca="false">IF(AND(B3964="",C3964="",D3964=""),"",IF(B3964="","Missing contract",IF(C3964="","Missing code",IF(LEFT(G3964,3)="Not","Wrong code",IF(D3964="","Missing qty",IF(A3964="","Missing date",""))))))</f>
        <v/>
      </c>
      <c r="I3964" s="84" t="str">
        <f aca="false">IF(B3964=Dashboard!$D$3,ROW(),"")</f>
        <v/>
      </c>
    </row>
    <row r="3965" customFormat="false" ht="15" hidden="false" customHeight="false" outlineLevel="0" collapsed="false">
      <c r="A3965" s="80"/>
      <c r="B3965" s="71"/>
      <c r="C3965" s="71"/>
      <c r="D3965" s="81"/>
      <c r="E3965" s="71"/>
      <c r="F3965" s="71"/>
      <c r="G3965" s="82" t="str">
        <f aca="false">IF(C3965="","",IFERROR(INDEX('Kit Lists'!$D$6:$D$605,MATCH(B3965&amp;"|"&amp;C3965,'Kit Lists'!$J$6:$J$605,0)),"Not on this contract's kit list"))</f>
        <v/>
      </c>
      <c r="H3965" s="83" t="str">
        <f aca="false">IF(AND(B3965="",C3965="",D3965=""),"",IF(B3965="","Missing contract",IF(C3965="","Missing code",IF(LEFT(G3965,3)="Not","Wrong code",IF(D3965="","Missing qty",IF(A3965="","Missing date",""))))))</f>
        <v/>
      </c>
      <c r="I3965" s="84" t="str">
        <f aca="false">IF(B3965=Dashboard!$D$3,ROW(),"")</f>
        <v/>
      </c>
    </row>
    <row r="3966" customFormat="false" ht="15" hidden="false" customHeight="false" outlineLevel="0" collapsed="false">
      <c r="A3966" s="80"/>
      <c r="B3966" s="71"/>
      <c r="C3966" s="71"/>
      <c r="D3966" s="81"/>
      <c r="E3966" s="71"/>
      <c r="F3966" s="71"/>
      <c r="G3966" s="82" t="str">
        <f aca="false">IF(C3966="","",IFERROR(INDEX('Kit Lists'!$D$6:$D$605,MATCH(B3966&amp;"|"&amp;C3966,'Kit Lists'!$J$6:$J$605,0)),"Not on this contract's kit list"))</f>
        <v/>
      </c>
      <c r="H3966" s="83" t="str">
        <f aca="false">IF(AND(B3966="",C3966="",D3966=""),"",IF(B3966="","Missing contract",IF(C3966="","Missing code",IF(LEFT(G3966,3)="Not","Wrong code",IF(D3966="","Missing qty",IF(A3966="","Missing date",""))))))</f>
        <v/>
      </c>
      <c r="I3966" s="84" t="str">
        <f aca="false">IF(B3966=Dashboard!$D$3,ROW(),"")</f>
        <v/>
      </c>
    </row>
    <row r="3967" customFormat="false" ht="15" hidden="false" customHeight="false" outlineLevel="0" collapsed="false">
      <c r="A3967" s="80"/>
      <c r="B3967" s="71"/>
      <c r="C3967" s="71"/>
      <c r="D3967" s="81"/>
      <c r="E3967" s="71"/>
      <c r="F3967" s="71"/>
      <c r="G3967" s="82" t="str">
        <f aca="false">IF(C3967="","",IFERROR(INDEX('Kit Lists'!$D$6:$D$605,MATCH(B3967&amp;"|"&amp;C3967,'Kit Lists'!$J$6:$J$605,0)),"Not on this contract's kit list"))</f>
        <v/>
      </c>
      <c r="H3967" s="83" t="str">
        <f aca="false">IF(AND(B3967="",C3967="",D3967=""),"",IF(B3967="","Missing contract",IF(C3967="","Missing code",IF(LEFT(G3967,3)="Not","Wrong code",IF(D3967="","Missing qty",IF(A3967="","Missing date",""))))))</f>
        <v/>
      </c>
      <c r="I3967" s="84" t="str">
        <f aca="false">IF(B3967=Dashboard!$D$3,ROW(),"")</f>
        <v/>
      </c>
    </row>
    <row r="3968" customFormat="false" ht="15" hidden="false" customHeight="false" outlineLevel="0" collapsed="false">
      <c r="A3968" s="80"/>
      <c r="B3968" s="71"/>
      <c r="C3968" s="71"/>
      <c r="D3968" s="81"/>
      <c r="E3968" s="71"/>
      <c r="F3968" s="71"/>
      <c r="G3968" s="82" t="str">
        <f aca="false">IF(C3968="","",IFERROR(INDEX('Kit Lists'!$D$6:$D$605,MATCH(B3968&amp;"|"&amp;C3968,'Kit Lists'!$J$6:$J$605,0)),"Not on this contract's kit list"))</f>
        <v/>
      </c>
      <c r="H3968" s="83" t="str">
        <f aca="false">IF(AND(B3968="",C3968="",D3968=""),"",IF(B3968="","Missing contract",IF(C3968="","Missing code",IF(LEFT(G3968,3)="Not","Wrong code",IF(D3968="","Missing qty",IF(A3968="","Missing date",""))))))</f>
        <v/>
      </c>
      <c r="I3968" s="84" t="str">
        <f aca="false">IF(B3968=Dashboard!$D$3,ROW(),"")</f>
        <v/>
      </c>
    </row>
    <row r="3969" customFormat="false" ht="15" hidden="false" customHeight="false" outlineLevel="0" collapsed="false">
      <c r="A3969" s="80"/>
      <c r="B3969" s="71"/>
      <c r="C3969" s="71"/>
      <c r="D3969" s="81"/>
      <c r="E3969" s="71"/>
      <c r="F3969" s="71"/>
      <c r="G3969" s="82" t="str">
        <f aca="false">IF(C3969="","",IFERROR(INDEX('Kit Lists'!$D$6:$D$605,MATCH(B3969&amp;"|"&amp;C3969,'Kit Lists'!$J$6:$J$605,0)),"Not on this contract's kit list"))</f>
        <v/>
      </c>
      <c r="H3969" s="83" t="str">
        <f aca="false">IF(AND(B3969="",C3969="",D3969=""),"",IF(B3969="","Missing contract",IF(C3969="","Missing code",IF(LEFT(G3969,3)="Not","Wrong code",IF(D3969="","Missing qty",IF(A3969="","Missing date",""))))))</f>
        <v/>
      </c>
      <c r="I3969" s="84" t="str">
        <f aca="false">IF(B3969=Dashboard!$D$3,ROW(),"")</f>
        <v/>
      </c>
    </row>
    <row r="3970" customFormat="false" ht="15" hidden="false" customHeight="false" outlineLevel="0" collapsed="false">
      <c r="A3970" s="80"/>
      <c r="B3970" s="71"/>
      <c r="C3970" s="71"/>
      <c r="D3970" s="81"/>
      <c r="E3970" s="71"/>
      <c r="F3970" s="71"/>
      <c r="G3970" s="82" t="str">
        <f aca="false">IF(C3970="","",IFERROR(INDEX('Kit Lists'!$D$6:$D$605,MATCH(B3970&amp;"|"&amp;C3970,'Kit Lists'!$J$6:$J$605,0)),"Not on this contract's kit list"))</f>
        <v/>
      </c>
      <c r="H3970" s="83" t="str">
        <f aca="false">IF(AND(B3970="",C3970="",D3970=""),"",IF(B3970="","Missing contract",IF(C3970="","Missing code",IF(LEFT(G3970,3)="Not","Wrong code",IF(D3970="","Missing qty",IF(A3970="","Missing date",""))))))</f>
        <v/>
      </c>
      <c r="I3970" s="84" t="str">
        <f aca="false">IF(B3970=Dashboard!$D$3,ROW(),"")</f>
        <v/>
      </c>
    </row>
    <row r="3971" customFormat="false" ht="15" hidden="false" customHeight="false" outlineLevel="0" collapsed="false">
      <c r="A3971" s="80"/>
      <c r="B3971" s="71"/>
      <c r="C3971" s="71"/>
      <c r="D3971" s="81"/>
      <c r="E3971" s="71"/>
      <c r="F3971" s="71"/>
      <c r="G3971" s="82" t="str">
        <f aca="false">IF(C3971="","",IFERROR(INDEX('Kit Lists'!$D$6:$D$605,MATCH(B3971&amp;"|"&amp;C3971,'Kit Lists'!$J$6:$J$605,0)),"Not on this contract's kit list"))</f>
        <v/>
      </c>
      <c r="H3971" s="83" t="str">
        <f aca="false">IF(AND(B3971="",C3971="",D3971=""),"",IF(B3971="","Missing contract",IF(C3971="","Missing code",IF(LEFT(G3971,3)="Not","Wrong code",IF(D3971="","Missing qty",IF(A3971="","Missing date",""))))))</f>
        <v/>
      </c>
      <c r="I3971" s="84" t="str">
        <f aca="false">IF(B3971=Dashboard!$D$3,ROW(),"")</f>
        <v/>
      </c>
    </row>
    <row r="3972" customFormat="false" ht="15" hidden="false" customHeight="false" outlineLevel="0" collapsed="false">
      <c r="A3972" s="80"/>
      <c r="B3972" s="71"/>
      <c r="C3972" s="71"/>
      <c r="D3972" s="81"/>
      <c r="E3972" s="71"/>
      <c r="F3972" s="71"/>
      <c r="G3972" s="82" t="str">
        <f aca="false">IF(C3972="","",IFERROR(INDEX('Kit Lists'!$D$6:$D$605,MATCH(B3972&amp;"|"&amp;C3972,'Kit Lists'!$J$6:$J$605,0)),"Not on this contract's kit list"))</f>
        <v/>
      </c>
      <c r="H3972" s="83" t="str">
        <f aca="false">IF(AND(B3972="",C3972="",D3972=""),"",IF(B3972="","Missing contract",IF(C3972="","Missing code",IF(LEFT(G3972,3)="Not","Wrong code",IF(D3972="","Missing qty",IF(A3972="","Missing date",""))))))</f>
        <v/>
      </c>
      <c r="I3972" s="84" t="str">
        <f aca="false">IF(B3972=Dashboard!$D$3,ROW(),"")</f>
        <v/>
      </c>
    </row>
    <row r="3973" customFormat="false" ht="15" hidden="false" customHeight="false" outlineLevel="0" collapsed="false">
      <c r="A3973" s="80"/>
      <c r="B3973" s="71"/>
      <c r="C3973" s="71"/>
      <c r="D3973" s="81"/>
      <c r="E3973" s="71"/>
      <c r="F3973" s="71"/>
      <c r="G3973" s="82" t="str">
        <f aca="false">IF(C3973="","",IFERROR(INDEX('Kit Lists'!$D$6:$D$605,MATCH(B3973&amp;"|"&amp;C3973,'Kit Lists'!$J$6:$J$605,0)),"Not on this contract's kit list"))</f>
        <v/>
      </c>
      <c r="H3973" s="83" t="str">
        <f aca="false">IF(AND(B3973="",C3973="",D3973=""),"",IF(B3973="","Missing contract",IF(C3973="","Missing code",IF(LEFT(G3973,3)="Not","Wrong code",IF(D3973="","Missing qty",IF(A3973="","Missing date",""))))))</f>
        <v/>
      </c>
      <c r="I3973" s="84" t="str">
        <f aca="false">IF(B3973=Dashboard!$D$3,ROW(),"")</f>
        <v/>
      </c>
    </row>
    <row r="3974" customFormat="false" ht="15" hidden="false" customHeight="false" outlineLevel="0" collapsed="false">
      <c r="A3974" s="80"/>
      <c r="B3974" s="71"/>
      <c r="C3974" s="71"/>
      <c r="D3974" s="81"/>
      <c r="E3974" s="71"/>
      <c r="F3974" s="71"/>
      <c r="G3974" s="82" t="str">
        <f aca="false">IF(C3974="","",IFERROR(INDEX('Kit Lists'!$D$6:$D$605,MATCH(B3974&amp;"|"&amp;C3974,'Kit Lists'!$J$6:$J$605,0)),"Not on this contract's kit list"))</f>
        <v/>
      </c>
      <c r="H3974" s="83" t="str">
        <f aca="false">IF(AND(B3974="",C3974="",D3974=""),"",IF(B3974="","Missing contract",IF(C3974="","Missing code",IF(LEFT(G3974,3)="Not","Wrong code",IF(D3974="","Missing qty",IF(A3974="","Missing date",""))))))</f>
        <v/>
      </c>
      <c r="I3974" s="84" t="str">
        <f aca="false">IF(B3974=Dashboard!$D$3,ROW(),"")</f>
        <v/>
      </c>
    </row>
    <row r="3975" customFormat="false" ht="15" hidden="false" customHeight="false" outlineLevel="0" collapsed="false">
      <c r="A3975" s="80"/>
      <c r="B3975" s="71"/>
      <c r="C3975" s="71"/>
      <c r="D3975" s="81"/>
      <c r="E3975" s="71"/>
      <c r="F3975" s="71"/>
      <c r="G3975" s="82" t="str">
        <f aca="false">IF(C3975="","",IFERROR(INDEX('Kit Lists'!$D$6:$D$605,MATCH(B3975&amp;"|"&amp;C3975,'Kit Lists'!$J$6:$J$605,0)),"Not on this contract's kit list"))</f>
        <v/>
      </c>
      <c r="H3975" s="83" t="str">
        <f aca="false">IF(AND(B3975="",C3975="",D3975=""),"",IF(B3975="","Missing contract",IF(C3975="","Missing code",IF(LEFT(G3975,3)="Not","Wrong code",IF(D3975="","Missing qty",IF(A3975="","Missing date",""))))))</f>
        <v/>
      </c>
      <c r="I3975" s="84" t="str">
        <f aca="false">IF(B3975=Dashboard!$D$3,ROW(),"")</f>
        <v/>
      </c>
    </row>
    <row r="3976" customFormat="false" ht="15" hidden="false" customHeight="false" outlineLevel="0" collapsed="false">
      <c r="A3976" s="80"/>
      <c r="B3976" s="71"/>
      <c r="C3976" s="71"/>
      <c r="D3976" s="81"/>
      <c r="E3976" s="71"/>
      <c r="F3976" s="71"/>
      <c r="G3976" s="82" t="str">
        <f aca="false">IF(C3976="","",IFERROR(INDEX('Kit Lists'!$D$6:$D$605,MATCH(B3976&amp;"|"&amp;C3976,'Kit Lists'!$J$6:$J$605,0)),"Not on this contract's kit list"))</f>
        <v/>
      </c>
      <c r="H3976" s="83" t="str">
        <f aca="false">IF(AND(B3976="",C3976="",D3976=""),"",IF(B3976="","Missing contract",IF(C3976="","Missing code",IF(LEFT(G3976,3)="Not","Wrong code",IF(D3976="","Missing qty",IF(A3976="","Missing date",""))))))</f>
        <v/>
      </c>
      <c r="I3976" s="84" t="str">
        <f aca="false">IF(B3976=Dashboard!$D$3,ROW(),"")</f>
        <v/>
      </c>
    </row>
    <row r="3977" customFormat="false" ht="15" hidden="false" customHeight="false" outlineLevel="0" collapsed="false">
      <c r="A3977" s="80"/>
      <c r="B3977" s="71"/>
      <c r="C3977" s="71"/>
      <c r="D3977" s="81"/>
      <c r="E3977" s="71"/>
      <c r="F3977" s="71"/>
      <c r="G3977" s="82" t="str">
        <f aca="false">IF(C3977="","",IFERROR(INDEX('Kit Lists'!$D$6:$D$605,MATCH(B3977&amp;"|"&amp;C3977,'Kit Lists'!$J$6:$J$605,0)),"Not on this contract's kit list"))</f>
        <v/>
      </c>
      <c r="H3977" s="83" t="str">
        <f aca="false">IF(AND(B3977="",C3977="",D3977=""),"",IF(B3977="","Missing contract",IF(C3977="","Missing code",IF(LEFT(G3977,3)="Not","Wrong code",IF(D3977="","Missing qty",IF(A3977="","Missing date",""))))))</f>
        <v/>
      </c>
      <c r="I3977" s="84" t="str">
        <f aca="false">IF(B3977=Dashboard!$D$3,ROW(),"")</f>
        <v/>
      </c>
    </row>
    <row r="3978" customFormat="false" ht="15" hidden="false" customHeight="false" outlineLevel="0" collapsed="false">
      <c r="A3978" s="80"/>
      <c r="B3978" s="71"/>
      <c r="C3978" s="71"/>
      <c r="D3978" s="81"/>
      <c r="E3978" s="71"/>
      <c r="F3978" s="71"/>
      <c r="G3978" s="82" t="str">
        <f aca="false">IF(C3978="","",IFERROR(INDEX('Kit Lists'!$D$6:$D$605,MATCH(B3978&amp;"|"&amp;C3978,'Kit Lists'!$J$6:$J$605,0)),"Not on this contract's kit list"))</f>
        <v/>
      </c>
      <c r="H3978" s="83" t="str">
        <f aca="false">IF(AND(B3978="",C3978="",D3978=""),"",IF(B3978="","Missing contract",IF(C3978="","Missing code",IF(LEFT(G3978,3)="Not","Wrong code",IF(D3978="","Missing qty",IF(A3978="","Missing date",""))))))</f>
        <v/>
      </c>
      <c r="I3978" s="84" t="str">
        <f aca="false">IF(B3978=Dashboard!$D$3,ROW(),"")</f>
        <v/>
      </c>
    </row>
    <row r="3979" customFormat="false" ht="15" hidden="false" customHeight="false" outlineLevel="0" collapsed="false">
      <c r="A3979" s="80"/>
      <c r="B3979" s="71"/>
      <c r="C3979" s="71"/>
      <c r="D3979" s="81"/>
      <c r="E3979" s="71"/>
      <c r="F3979" s="71"/>
      <c r="G3979" s="82" t="str">
        <f aca="false">IF(C3979="","",IFERROR(INDEX('Kit Lists'!$D$6:$D$605,MATCH(B3979&amp;"|"&amp;C3979,'Kit Lists'!$J$6:$J$605,0)),"Not on this contract's kit list"))</f>
        <v/>
      </c>
      <c r="H3979" s="83" t="str">
        <f aca="false">IF(AND(B3979="",C3979="",D3979=""),"",IF(B3979="","Missing contract",IF(C3979="","Missing code",IF(LEFT(G3979,3)="Not","Wrong code",IF(D3979="","Missing qty",IF(A3979="","Missing date",""))))))</f>
        <v/>
      </c>
      <c r="I3979" s="84" t="str">
        <f aca="false">IF(B3979=Dashboard!$D$3,ROW(),"")</f>
        <v/>
      </c>
    </row>
    <row r="3980" customFormat="false" ht="15" hidden="false" customHeight="false" outlineLevel="0" collapsed="false">
      <c r="A3980" s="80"/>
      <c r="B3980" s="71"/>
      <c r="C3980" s="71"/>
      <c r="D3980" s="81"/>
      <c r="E3980" s="71"/>
      <c r="F3980" s="71"/>
      <c r="G3980" s="82" t="str">
        <f aca="false">IF(C3980="","",IFERROR(INDEX('Kit Lists'!$D$6:$D$605,MATCH(B3980&amp;"|"&amp;C3980,'Kit Lists'!$J$6:$J$605,0)),"Not on this contract's kit list"))</f>
        <v/>
      </c>
      <c r="H3980" s="83" t="str">
        <f aca="false">IF(AND(B3980="",C3980="",D3980=""),"",IF(B3980="","Missing contract",IF(C3980="","Missing code",IF(LEFT(G3980,3)="Not","Wrong code",IF(D3980="","Missing qty",IF(A3980="","Missing date",""))))))</f>
        <v/>
      </c>
      <c r="I3980" s="84" t="str">
        <f aca="false">IF(B3980=Dashboard!$D$3,ROW(),"")</f>
        <v/>
      </c>
    </row>
    <row r="3981" customFormat="false" ht="15" hidden="false" customHeight="false" outlineLevel="0" collapsed="false">
      <c r="A3981" s="80"/>
      <c r="B3981" s="71"/>
      <c r="C3981" s="71"/>
      <c r="D3981" s="81"/>
      <c r="E3981" s="71"/>
      <c r="F3981" s="71"/>
      <c r="G3981" s="82" t="str">
        <f aca="false">IF(C3981="","",IFERROR(INDEX('Kit Lists'!$D$6:$D$605,MATCH(B3981&amp;"|"&amp;C3981,'Kit Lists'!$J$6:$J$605,0)),"Not on this contract's kit list"))</f>
        <v/>
      </c>
      <c r="H3981" s="83" t="str">
        <f aca="false">IF(AND(B3981="",C3981="",D3981=""),"",IF(B3981="","Missing contract",IF(C3981="","Missing code",IF(LEFT(G3981,3)="Not","Wrong code",IF(D3981="","Missing qty",IF(A3981="","Missing date",""))))))</f>
        <v/>
      </c>
      <c r="I3981" s="84" t="str">
        <f aca="false">IF(B3981=Dashboard!$D$3,ROW(),"")</f>
        <v/>
      </c>
    </row>
    <row r="3982" customFormat="false" ht="15" hidden="false" customHeight="false" outlineLevel="0" collapsed="false">
      <c r="A3982" s="80"/>
      <c r="B3982" s="71"/>
      <c r="C3982" s="71"/>
      <c r="D3982" s="81"/>
      <c r="E3982" s="71"/>
      <c r="F3982" s="71"/>
      <c r="G3982" s="82" t="str">
        <f aca="false">IF(C3982="","",IFERROR(INDEX('Kit Lists'!$D$6:$D$605,MATCH(B3982&amp;"|"&amp;C3982,'Kit Lists'!$J$6:$J$605,0)),"Not on this contract's kit list"))</f>
        <v/>
      </c>
      <c r="H3982" s="83" t="str">
        <f aca="false">IF(AND(B3982="",C3982="",D3982=""),"",IF(B3982="","Missing contract",IF(C3982="","Missing code",IF(LEFT(G3982,3)="Not","Wrong code",IF(D3982="","Missing qty",IF(A3982="","Missing date",""))))))</f>
        <v/>
      </c>
      <c r="I3982" s="84" t="str">
        <f aca="false">IF(B3982=Dashboard!$D$3,ROW(),"")</f>
        <v/>
      </c>
    </row>
    <row r="3983" customFormat="false" ht="15" hidden="false" customHeight="false" outlineLevel="0" collapsed="false">
      <c r="A3983" s="80"/>
      <c r="B3983" s="71"/>
      <c r="C3983" s="71"/>
      <c r="D3983" s="81"/>
      <c r="E3983" s="71"/>
      <c r="F3983" s="71"/>
      <c r="G3983" s="82" t="str">
        <f aca="false">IF(C3983="","",IFERROR(INDEX('Kit Lists'!$D$6:$D$605,MATCH(B3983&amp;"|"&amp;C3983,'Kit Lists'!$J$6:$J$605,0)),"Not on this contract's kit list"))</f>
        <v/>
      </c>
      <c r="H3983" s="83" t="str">
        <f aca="false">IF(AND(B3983="",C3983="",D3983=""),"",IF(B3983="","Missing contract",IF(C3983="","Missing code",IF(LEFT(G3983,3)="Not","Wrong code",IF(D3983="","Missing qty",IF(A3983="","Missing date",""))))))</f>
        <v/>
      </c>
      <c r="I3983" s="84" t="str">
        <f aca="false">IF(B3983=Dashboard!$D$3,ROW(),"")</f>
        <v/>
      </c>
    </row>
    <row r="3984" customFormat="false" ht="15" hidden="false" customHeight="false" outlineLevel="0" collapsed="false">
      <c r="A3984" s="80"/>
      <c r="B3984" s="71"/>
      <c r="C3984" s="71"/>
      <c r="D3984" s="81"/>
      <c r="E3984" s="71"/>
      <c r="F3984" s="71"/>
      <c r="G3984" s="82" t="str">
        <f aca="false">IF(C3984="","",IFERROR(INDEX('Kit Lists'!$D$6:$D$605,MATCH(B3984&amp;"|"&amp;C3984,'Kit Lists'!$J$6:$J$605,0)),"Not on this contract's kit list"))</f>
        <v/>
      </c>
      <c r="H3984" s="83" t="str">
        <f aca="false">IF(AND(B3984="",C3984="",D3984=""),"",IF(B3984="","Missing contract",IF(C3984="","Missing code",IF(LEFT(G3984,3)="Not","Wrong code",IF(D3984="","Missing qty",IF(A3984="","Missing date",""))))))</f>
        <v/>
      </c>
      <c r="I3984" s="84" t="str">
        <f aca="false">IF(B3984=Dashboard!$D$3,ROW(),"")</f>
        <v/>
      </c>
    </row>
    <row r="3985" customFormat="false" ht="15" hidden="false" customHeight="false" outlineLevel="0" collapsed="false">
      <c r="A3985" s="80"/>
      <c r="B3985" s="71"/>
      <c r="C3985" s="71"/>
      <c r="D3985" s="81"/>
      <c r="E3985" s="71"/>
      <c r="F3985" s="71"/>
      <c r="G3985" s="82" t="str">
        <f aca="false">IF(C3985="","",IFERROR(INDEX('Kit Lists'!$D$6:$D$605,MATCH(B3985&amp;"|"&amp;C3985,'Kit Lists'!$J$6:$J$605,0)),"Not on this contract's kit list"))</f>
        <v/>
      </c>
      <c r="H3985" s="83" t="str">
        <f aca="false">IF(AND(B3985="",C3985="",D3985=""),"",IF(B3985="","Missing contract",IF(C3985="","Missing code",IF(LEFT(G3985,3)="Not","Wrong code",IF(D3985="","Missing qty",IF(A3985="","Missing date",""))))))</f>
        <v/>
      </c>
      <c r="I3985" s="84" t="str">
        <f aca="false">IF(B3985=Dashboard!$D$3,ROW(),"")</f>
        <v/>
      </c>
    </row>
    <row r="3986" customFormat="false" ht="15" hidden="false" customHeight="false" outlineLevel="0" collapsed="false">
      <c r="A3986" s="80"/>
      <c r="B3986" s="71"/>
      <c r="C3986" s="71"/>
      <c r="D3986" s="81"/>
      <c r="E3986" s="71"/>
      <c r="F3986" s="71"/>
      <c r="G3986" s="82" t="str">
        <f aca="false">IF(C3986="","",IFERROR(INDEX('Kit Lists'!$D$6:$D$605,MATCH(B3986&amp;"|"&amp;C3986,'Kit Lists'!$J$6:$J$605,0)),"Not on this contract's kit list"))</f>
        <v/>
      </c>
      <c r="H3986" s="83" t="str">
        <f aca="false">IF(AND(B3986="",C3986="",D3986=""),"",IF(B3986="","Missing contract",IF(C3986="","Missing code",IF(LEFT(G3986,3)="Not","Wrong code",IF(D3986="","Missing qty",IF(A3986="","Missing date",""))))))</f>
        <v/>
      </c>
      <c r="I3986" s="84" t="str">
        <f aca="false">IF(B3986=Dashboard!$D$3,ROW(),"")</f>
        <v/>
      </c>
    </row>
    <row r="3987" customFormat="false" ht="15" hidden="false" customHeight="false" outlineLevel="0" collapsed="false">
      <c r="A3987" s="80"/>
      <c r="B3987" s="71"/>
      <c r="C3987" s="71"/>
      <c r="D3987" s="81"/>
      <c r="E3987" s="71"/>
      <c r="F3987" s="71"/>
      <c r="G3987" s="82" t="str">
        <f aca="false">IF(C3987="","",IFERROR(INDEX('Kit Lists'!$D$6:$D$605,MATCH(B3987&amp;"|"&amp;C3987,'Kit Lists'!$J$6:$J$605,0)),"Not on this contract's kit list"))</f>
        <v/>
      </c>
      <c r="H3987" s="83" t="str">
        <f aca="false">IF(AND(B3987="",C3987="",D3987=""),"",IF(B3987="","Missing contract",IF(C3987="","Missing code",IF(LEFT(G3987,3)="Not","Wrong code",IF(D3987="","Missing qty",IF(A3987="","Missing date",""))))))</f>
        <v/>
      </c>
      <c r="I3987" s="84" t="str">
        <f aca="false">IF(B3987=Dashboard!$D$3,ROW(),"")</f>
        <v/>
      </c>
    </row>
    <row r="3988" customFormat="false" ht="15" hidden="false" customHeight="false" outlineLevel="0" collapsed="false">
      <c r="A3988" s="80"/>
      <c r="B3988" s="71"/>
      <c r="C3988" s="71"/>
      <c r="D3988" s="81"/>
      <c r="E3988" s="71"/>
      <c r="F3988" s="71"/>
      <c r="G3988" s="82" t="str">
        <f aca="false">IF(C3988="","",IFERROR(INDEX('Kit Lists'!$D$6:$D$605,MATCH(B3988&amp;"|"&amp;C3988,'Kit Lists'!$J$6:$J$605,0)),"Not on this contract's kit list"))</f>
        <v/>
      </c>
      <c r="H3988" s="83" t="str">
        <f aca="false">IF(AND(B3988="",C3988="",D3988=""),"",IF(B3988="","Missing contract",IF(C3988="","Missing code",IF(LEFT(G3988,3)="Not","Wrong code",IF(D3988="","Missing qty",IF(A3988="","Missing date",""))))))</f>
        <v/>
      </c>
      <c r="I3988" s="84" t="str">
        <f aca="false">IF(B3988=Dashboard!$D$3,ROW(),"")</f>
        <v/>
      </c>
    </row>
    <row r="3989" customFormat="false" ht="15" hidden="false" customHeight="false" outlineLevel="0" collapsed="false">
      <c r="A3989" s="80"/>
      <c r="B3989" s="71"/>
      <c r="C3989" s="71"/>
      <c r="D3989" s="81"/>
      <c r="E3989" s="71"/>
      <c r="F3989" s="71"/>
      <c r="G3989" s="82" t="str">
        <f aca="false">IF(C3989="","",IFERROR(INDEX('Kit Lists'!$D$6:$D$605,MATCH(B3989&amp;"|"&amp;C3989,'Kit Lists'!$J$6:$J$605,0)),"Not on this contract's kit list"))</f>
        <v/>
      </c>
      <c r="H3989" s="83" t="str">
        <f aca="false">IF(AND(B3989="",C3989="",D3989=""),"",IF(B3989="","Missing contract",IF(C3989="","Missing code",IF(LEFT(G3989,3)="Not","Wrong code",IF(D3989="","Missing qty",IF(A3989="","Missing date",""))))))</f>
        <v/>
      </c>
      <c r="I3989" s="84" t="str">
        <f aca="false">IF(B3989=Dashboard!$D$3,ROW(),"")</f>
        <v/>
      </c>
    </row>
    <row r="3990" customFormat="false" ht="15" hidden="false" customHeight="false" outlineLevel="0" collapsed="false">
      <c r="A3990" s="80"/>
      <c r="B3990" s="71"/>
      <c r="C3990" s="71"/>
      <c r="D3990" s="81"/>
      <c r="E3990" s="71"/>
      <c r="F3990" s="71"/>
      <c r="G3990" s="82" t="str">
        <f aca="false">IF(C3990="","",IFERROR(INDEX('Kit Lists'!$D$6:$D$605,MATCH(B3990&amp;"|"&amp;C3990,'Kit Lists'!$J$6:$J$605,0)),"Not on this contract's kit list"))</f>
        <v/>
      </c>
      <c r="H3990" s="83" t="str">
        <f aca="false">IF(AND(B3990="",C3990="",D3990=""),"",IF(B3990="","Missing contract",IF(C3990="","Missing code",IF(LEFT(G3990,3)="Not","Wrong code",IF(D3990="","Missing qty",IF(A3990="","Missing date",""))))))</f>
        <v/>
      </c>
      <c r="I3990" s="84" t="str">
        <f aca="false">IF(B3990=Dashboard!$D$3,ROW(),"")</f>
        <v/>
      </c>
    </row>
    <row r="3991" customFormat="false" ht="15" hidden="false" customHeight="false" outlineLevel="0" collapsed="false">
      <c r="A3991" s="80"/>
      <c r="B3991" s="71"/>
      <c r="C3991" s="71"/>
      <c r="D3991" s="81"/>
      <c r="E3991" s="71"/>
      <c r="F3991" s="71"/>
      <c r="G3991" s="82" t="str">
        <f aca="false">IF(C3991="","",IFERROR(INDEX('Kit Lists'!$D$6:$D$605,MATCH(B3991&amp;"|"&amp;C3991,'Kit Lists'!$J$6:$J$605,0)),"Not on this contract's kit list"))</f>
        <v/>
      </c>
      <c r="H3991" s="83" t="str">
        <f aca="false">IF(AND(B3991="",C3991="",D3991=""),"",IF(B3991="","Missing contract",IF(C3991="","Missing code",IF(LEFT(G3991,3)="Not","Wrong code",IF(D3991="","Missing qty",IF(A3991="","Missing date",""))))))</f>
        <v/>
      </c>
      <c r="I3991" s="84" t="str">
        <f aca="false">IF(B3991=Dashboard!$D$3,ROW(),"")</f>
        <v/>
      </c>
    </row>
    <row r="3992" customFormat="false" ht="15" hidden="false" customHeight="false" outlineLevel="0" collapsed="false">
      <c r="A3992" s="80"/>
      <c r="B3992" s="71"/>
      <c r="C3992" s="71"/>
      <c r="D3992" s="81"/>
      <c r="E3992" s="71"/>
      <c r="F3992" s="71"/>
      <c r="G3992" s="82" t="str">
        <f aca="false">IF(C3992="","",IFERROR(INDEX('Kit Lists'!$D$6:$D$605,MATCH(B3992&amp;"|"&amp;C3992,'Kit Lists'!$J$6:$J$605,0)),"Not on this contract's kit list"))</f>
        <v/>
      </c>
      <c r="H3992" s="83" t="str">
        <f aca="false">IF(AND(B3992="",C3992="",D3992=""),"",IF(B3992="","Missing contract",IF(C3992="","Missing code",IF(LEFT(G3992,3)="Not","Wrong code",IF(D3992="","Missing qty",IF(A3992="","Missing date",""))))))</f>
        <v/>
      </c>
      <c r="I3992" s="84" t="str">
        <f aca="false">IF(B3992=Dashboard!$D$3,ROW(),"")</f>
        <v/>
      </c>
    </row>
    <row r="3993" customFormat="false" ht="15" hidden="false" customHeight="false" outlineLevel="0" collapsed="false">
      <c r="A3993" s="80"/>
      <c r="B3993" s="71"/>
      <c r="C3993" s="71"/>
      <c r="D3993" s="81"/>
      <c r="E3993" s="71"/>
      <c r="F3993" s="71"/>
      <c r="G3993" s="82" t="str">
        <f aca="false">IF(C3993="","",IFERROR(INDEX('Kit Lists'!$D$6:$D$605,MATCH(B3993&amp;"|"&amp;C3993,'Kit Lists'!$J$6:$J$605,0)),"Not on this contract's kit list"))</f>
        <v/>
      </c>
      <c r="H3993" s="83" t="str">
        <f aca="false">IF(AND(B3993="",C3993="",D3993=""),"",IF(B3993="","Missing contract",IF(C3993="","Missing code",IF(LEFT(G3993,3)="Not","Wrong code",IF(D3993="","Missing qty",IF(A3993="","Missing date",""))))))</f>
        <v/>
      </c>
      <c r="I3993" s="84" t="str">
        <f aca="false">IF(B3993=Dashboard!$D$3,ROW(),"")</f>
        <v/>
      </c>
    </row>
    <row r="3994" customFormat="false" ht="15" hidden="false" customHeight="false" outlineLevel="0" collapsed="false">
      <c r="A3994" s="80"/>
      <c r="B3994" s="71"/>
      <c r="C3994" s="71"/>
      <c r="D3994" s="81"/>
      <c r="E3994" s="71"/>
      <c r="F3994" s="71"/>
      <c r="G3994" s="82" t="str">
        <f aca="false">IF(C3994="","",IFERROR(INDEX('Kit Lists'!$D$6:$D$605,MATCH(B3994&amp;"|"&amp;C3994,'Kit Lists'!$J$6:$J$605,0)),"Not on this contract's kit list"))</f>
        <v/>
      </c>
      <c r="H3994" s="83" t="str">
        <f aca="false">IF(AND(B3994="",C3994="",D3994=""),"",IF(B3994="","Missing contract",IF(C3994="","Missing code",IF(LEFT(G3994,3)="Not","Wrong code",IF(D3994="","Missing qty",IF(A3994="","Missing date",""))))))</f>
        <v/>
      </c>
      <c r="I3994" s="84" t="str">
        <f aca="false">IF(B3994=Dashboard!$D$3,ROW(),"")</f>
        <v/>
      </c>
    </row>
    <row r="3995" customFormat="false" ht="15" hidden="false" customHeight="false" outlineLevel="0" collapsed="false">
      <c r="A3995" s="80"/>
      <c r="B3995" s="71"/>
      <c r="C3995" s="71"/>
      <c r="D3995" s="81"/>
      <c r="E3995" s="71"/>
      <c r="F3995" s="71"/>
      <c r="G3995" s="82" t="str">
        <f aca="false">IF(C3995="","",IFERROR(INDEX('Kit Lists'!$D$6:$D$605,MATCH(B3995&amp;"|"&amp;C3995,'Kit Lists'!$J$6:$J$605,0)),"Not on this contract's kit list"))</f>
        <v/>
      </c>
      <c r="H3995" s="83" t="str">
        <f aca="false">IF(AND(B3995="",C3995="",D3995=""),"",IF(B3995="","Missing contract",IF(C3995="","Missing code",IF(LEFT(G3995,3)="Not","Wrong code",IF(D3995="","Missing qty",IF(A3995="","Missing date",""))))))</f>
        <v/>
      </c>
      <c r="I3995" s="84" t="str">
        <f aca="false">IF(B3995=Dashboard!$D$3,ROW(),"")</f>
        <v/>
      </c>
    </row>
    <row r="3996" customFormat="false" ht="15" hidden="false" customHeight="false" outlineLevel="0" collapsed="false">
      <c r="A3996" s="80"/>
      <c r="B3996" s="71"/>
      <c r="C3996" s="71"/>
      <c r="D3996" s="81"/>
      <c r="E3996" s="71"/>
      <c r="F3996" s="71"/>
      <c r="G3996" s="82" t="str">
        <f aca="false">IF(C3996="","",IFERROR(INDEX('Kit Lists'!$D$6:$D$605,MATCH(B3996&amp;"|"&amp;C3996,'Kit Lists'!$J$6:$J$605,0)),"Not on this contract's kit list"))</f>
        <v/>
      </c>
      <c r="H3996" s="83" t="str">
        <f aca="false">IF(AND(B3996="",C3996="",D3996=""),"",IF(B3996="","Missing contract",IF(C3996="","Missing code",IF(LEFT(G3996,3)="Not","Wrong code",IF(D3996="","Missing qty",IF(A3996="","Missing date",""))))))</f>
        <v/>
      </c>
      <c r="I3996" s="84" t="str">
        <f aca="false">IF(B3996=Dashboard!$D$3,ROW(),"")</f>
        <v/>
      </c>
    </row>
    <row r="3997" customFormat="false" ht="15" hidden="false" customHeight="false" outlineLevel="0" collapsed="false">
      <c r="A3997" s="80"/>
      <c r="B3997" s="71"/>
      <c r="C3997" s="71"/>
      <c r="D3997" s="81"/>
      <c r="E3997" s="71"/>
      <c r="F3997" s="71"/>
      <c r="G3997" s="82" t="str">
        <f aca="false">IF(C3997="","",IFERROR(INDEX('Kit Lists'!$D$6:$D$605,MATCH(B3997&amp;"|"&amp;C3997,'Kit Lists'!$J$6:$J$605,0)),"Not on this contract's kit list"))</f>
        <v/>
      </c>
      <c r="H3997" s="83" t="str">
        <f aca="false">IF(AND(B3997="",C3997="",D3997=""),"",IF(B3997="","Missing contract",IF(C3997="","Missing code",IF(LEFT(G3997,3)="Not","Wrong code",IF(D3997="","Missing qty",IF(A3997="","Missing date",""))))))</f>
        <v/>
      </c>
      <c r="I3997" s="84" t="str">
        <f aca="false">IF(B3997=Dashboard!$D$3,ROW(),"")</f>
        <v/>
      </c>
    </row>
    <row r="3998" customFormat="false" ht="15" hidden="false" customHeight="false" outlineLevel="0" collapsed="false">
      <c r="A3998" s="80"/>
      <c r="B3998" s="71"/>
      <c r="C3998" s="71"/>
      <c r="D3998" s="81"/>
      <c r="E3998" s="71"/>
      <c r="F3998" s="71"/>
      <c r="G3998" s="82" t="str">
        <f aca="false">IF(C3998="","",IFERROR(INDEX('Kit Lists'!$D$6:$D$605,MATCH(B3998&amp;"|"&amp;C3998,'Kit Lists'!$J$6:$J$605,0)),"Not on this contract's kit list"))</f>
        <v/>
      </c>
      <c r="H3998" s="83" t="str">
        <f aca="false">IF(AND(B3998="",C3998="",D3998=""),"",IF(B3998="","Missing contract",IF(C3998="","Missing code",IF(LEFT(G3998,3)="Not","Wrong code",IF(D3998="","Missing qty",IF(A3998="","Missing date",""))))))</f>
        <v/>
      </c>
      <c r="I3998" s="84" t="str">
        <f aca="false">IF(B3998=Dashboard!$D$3,ROW(),"")</f>
        <v/>
      </c>
    </row>
    <row r="3999" customFormat="false" ht="15" hidden="false" customHeight="false" outlineLevel="0" collapsed="false">
      <c r="A3999" s="80"/>
      <c r="B3999" s="71"/>
      <c r="C3999" s="71"/>
      <c r="D3999" s="81"/>
      <c r="E3999" s="71"/>
      <c r="F3999" s="71"/>
      <c r="G3999" s="82" t="str">
        <f aca="false">IF(C3999="","",IFERROR(INDEX('Kit Lists'!$D$6:$D$605,MATCH(B3999&amp;"|"&amp;C3999,'Kit Lists'!$J$6:$J$605,0)),"Not on this contract's kit list"))</f>
        <v/>
      </c>
      <c r="H3999" s="83" t="str">
        <f aca="false">IF(AND(B3999="",C3999="",D3999=""),"",IF(B3999="","Missing contract",IF(C3999="","Missing code",IF(LEFT(G3999,3)="Not","Wrong code",IF(D3999="","Missing qty",IF(A3999="","Missing date",""))))))</f>
        <v/>
      </c>
      <c r="I3999" s="84" t="str">
        <f aca="false">IF(B3999=Dashboard!$D$3,ROW(),"")</f>
        <v/>
      </c>
    </row>
    <row r="4000" customFormat="false" ht="15" hidden="false" customHeight="false" outlineLevel="0" collapsed="false">
      <c r="A4000" s="80"/>
      <c r="B4000" s="71"/>
      <c r="C4000" s="71"/>
      <c r="D4000" s="81"/>
      <c r="E4000" s="71"/>
      <c r="F4000" s="71"/>
      <c r="G4000" s="82" t="str">
        <f aca="false">IF(C4000="","",IFERROR(INDEX('Kit Lists'!$D$6:$D$605,MATCH(B4000&amp;"|"&amp;C4000,'Kit Lists'!$J$6:$J$605,0)),"Not on this contract's kit list"))</f>
        <v/>
      </c>
      <c r="H4000" s="83" t="str">
        <f aca="false">IF(AND(B4000="",C4000="",D4000=""),"",IF(B4000="","Missing contract",IF(C4000="","Missing code",IF(LEFT(G4000,3)="Not","Wrong code",IF(D4000="","Missing qty",IF(A4000="","Missing date",""))))))</f>
        <v/>
      </c>
      <c r="I4000" s="84" t="str">
        <f aca="false">IF(B4000=Dashboard!$D$3,ROW(),"")</f>
        <v/>
      </c>
    </row>
    <row r="4001" customFormat="false" ht="15" hidden="false" customHeight="false" outlineLevel="0" collapsed="false">
      <c r="A4001" s="80"/>
      <c r="B4001" s="71"/>
      <c r="C4001" s="71"/>
      <c r="D4001" s="81"/>
      <c r="E4001" s="71"/>
      <c r="F4001" s="71"/>
      <c r="G4001" s="82" t="str">
        <f aca="false">IF(C4001="","",IFERROR(INDEX('Kit Lists'!$D$6:$D$605,MATCH(B4001&amp;"|"&amp;C4001,'Kit Lists'!$J$6:$J$605,0)),"Not on this contract's kit list"))</f>
        <v/>
      </c>
      <c r="H4001" s="83" t="str">
        <f aca="false">IF(AND(B4001="",C4001="",D4001=""),"",IF(B4001="","Missing contract",IF(C4001="","Missing code",IF(LEFT(G4001,3)="Not","Wrong code",IF(D4001="","Missing qty",IF(A4001="","Missing date",""))))))</f>
        <v/>
      </c>
      <c r="I4001" s="84" t="str">
        <f aca="false">IF(B4001=Dashboard!$D$3,ROW(),"")</f>
        <v/>
      </c>
    </row>
    <row r="4002" customFormat="false" ht="15" hidden="false" customHeight="false" outlineLevel="0" collapsed="false">
      <c r="A4002" s="80"/>
      <c r="B4002" s="71"/>
      <c r="C4002" s="71"/>
      <c r="D4002" s="81"/>
      <c r="E4002" s="71"/>
      <c r="F4002" s="71"/>
      <c r="G4002" s="82" t="str">
        <f aca="false">IF(C4002="","",IFERROR(INDEX('Kit Lists'!$D$6:$D$605,MATCH(B4002&amp;"|"&amp;C4002,'Kit Lists'!$J$6:$J$605,0)),"Not on this contract's kit list"))</f>
        <v/>
      </c>
      <c r="H4002" s="83" t="str">
        <f aca="false">IF(AND(B4002="",C4002="",D4002=""),"",IF(B4002="","Missing contract",IF(C4002="","Missing code",IF(LEFT(G4002,3)="Not","Wrong code",IF(D4002="","Missing qty",IF(A4002="","Missing date",""))))))</f>
        <v/>
      </c>
      <c r="I4002" s="84" t="str">
        <f aca="false">IF(B4002=Dashboard!$D$3,ROW(),"")</f>
        <v/>
      </c>
    </row>
    <row r="4003" customFormat="false" ht="15" hidden="false" customHeight="false" outlineLevel="0" collapsed="false">
      <c r="A4003" s="80"/>
      <c r="B4003" s="71"/>
      <c r="C4003" s="71"/>
      <c r="D4003" s="81"/>
      <c r="E4003" s="71"/>
      <c r="F4003" s="71"/>
      <c r="G4003" s="82" t="str">
        <f aca="false">IF(C4003="","",IFERROR(INDEX('Kit Lists'!$D$6:$D$605,MATCH(B4003&amp;"|"&amp;C4003,'Kit Lists'!$J$6:$J$605,0)),"Not on this contract's kit list"))</f>
        <v/>
      </c>
      <c r="H4003" s="83" t="str">
        <f aca="false">IF(AND(B4003="",C4003="",D4003=""),"",IF(B4003="","Missing contract",IF(C4003="","Missing code",IF(LEFT(G4003,3)="Not","Wrong code",IF(D4003="","Missing qty",IF(A4003="","Missing date",""))))))</f>
        <v/>
      </c>
      <c r="I4003" s="84" t="str">
        <f aca="false">IF(B4003=Dashboard!$D$3,ROW(),"")</f>
        <v/>
      </c>
    </row>
    <row r="4004" customFormat="false" ht="15" hidden="false" customHeight="false" outlineLevel="0" collapsed="false">
      <c r="A4004" s="80"/>
      <c r="B4004" s="71"/>
      <c r="C4004" s="71"/>
      <c r="D4004" s="81"/>
      <c r="E4004" s="71"/>
      <c r="F4004" s="71"/>
      <c r="G4004" s="82" t="str">
        <f aca="false">IF(C4004="","",IFERROR(INDEX('Kit Lists'!$D$6:$D$605,MATCH(B4004&amp;"|"&amp;C4004,'Kit Lists'!$J$6:$J$605,0)),"Not on this contract's kit list"))</f>
        <v/>
      </c>
      <c r="H4004" s="83" t="str">
        <f aca="false">IF(AND(B4004="",C4004="",D4004=""),"",IF(B4004="","Missing contract",IF(C4004="","Missing code",IF(LEFT(G4004,3)="Not","Wrong code",IF(D4004="","Missing qty",IF(A4004="","Missing date",""))))))</f>
        <v/>
      </c>
      <c r="I4004" s="84" t="str">
        <f aca="false">IF(B4004=Dashboard!$D$3,ROW(),"")</f>
        <v/>
      </c>
    </row>
    <row r="4005" customFormat="false" ht="15" hidden="false" customHeight="false" outlineLevel="0" collapsed="false">
      <c r="A4005" s="80"/>
      <c r="B4005" s="71"/>
      <c r="C4005" s="71"/>
      <c r="D4005" s="81"/>
      <c r="E4005" s="71"/>
      <c r="F4005" s="71"/>
      <c r="G4005" s="82" t="str">
        <f aca="false">IF(C4005="","",IFERROR(INDEX('Kit Lists'!$D$6:$D$605,MATCH(B4005&amp;"|"&amp;C4005,'Kit Lists'!$J$6:$J$605,0)),"Not on this contract's kit list"))</f>
        <v/>
      </c>
      <c r="H4005" s="83" t="str">
        <f aca="false">IF(AND(B4005="",C4005="",D4005=""),"",IF(B4005="","Missing contract",IF(C4005="","Missing code",IF(LEFT(G4005,3)="Not","Wrong code",IF(D4005="","Missing qty",IF(A4005="","Missing date",""))))))</f>
        <v/>
      </c>
      <c r="I4005" s="84" t="str">
        <f aca="false">IF(B4005=Dashboard!$D$3,ROW(),"")</f>
        <v/>
      </c>
    </row>
  </sheetData>
  <autoFilter ref="A5:H4005"/>
  <conditionalFormatting sqref="H6:H4005">
    <cfRule type="expression" priority="2" aboveAverage="0" equalAverage="0" bottom="0" percent="0" rank="0" text="" dxfId="9">
      <formula>$H6&lt;&gt;""</formula>
    </cfRule>
  </conditionalFormatting>
  <dataValidations count="4">
    <dataValidation allowBlank="true" error="Pick a contract from the Contracts sheet." errorStyle="stop" operator="between" showDropDown="false" showErrorMessage="true" showInputMessage="false" sqref="B6:B4005" type="list">
      <formula1>Contracts!$A$6:$A$65</formula1>
      <formula2>0</formula2>
    </dataValidation>
    <dataValidation allowBlank="true" errorStyle="stop" operator="between" showDropDown="false" showErrorMessage="false" showInputMessage="false" sqref="C6:C4005" type="list">
      <formula1>'Kit Lists'!$C$6:$C$605</formula1>
      <formula2>0</formula2>
    </dataValidation>
    <dataValidation allowBlank="true" error="Whole number (negative to correct)." errorStyle="stop" operator="notEqual" showDropDown="false" showErrorMessage="true" showInputMessage="false" sqref="D6:D4005" type="whole">
      <formula1>0</formula1>
      <formula2>0</formula2>
    </dataValidation>
    <dataValidation allowBlank="true" error="Enter a date" errorStyle="stop" operator="greaterThan" showDropDown="false" showErrorMessage="true" showInputMessage="false" sqref="A6:A4005" type="date">
      <formula1>40000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10"/>
  </cols>
  <sheetData>
    <row r="2" customFormat="false" ht="22.05" hidden="false" customHeight="false" outlineLevel="0" collapsed="false">
      <c r="B2" s="85" t="s">
        <v>194</v>
      </c>
    </row>
    <row r="5" customFormat="false" ht="15" hidden="false" customHeight="false" outlineLevel="0" collapsed="false">
      <c r="B5" s="86" t="s">
        <v>195</v>
      </c>
    </row>
    <row r="6" customFormat="false" ht="33.75" hidden="false" customHeight="true" outlineLevel="0" collapsed="false">
      <c r="B6" s="87" t="s">
        <v>196</v>
      </c>
      <c r="C6" s="88" t="s">
        <v>197</v>
      </c>
    </row>
    <row r="7" customFormat="false" ht="33.75" hidden="false" customHeight="true" outlineLevel="0" collapsed="false">
      <c r="B7" s="87" t="s">
        <v>198</v>
      </c>
      <c r="C7" s="88" t="s">
        <v>199</v>
      </c>
    </row>
    <row r="8" customFormat="false" ht="33.75" hidden="false" customHeight="true" outlineLevel="0" collapsed="false">
      <c r="B8" s="87" t="s">
        <v>200</v>
      </c>
      <c r="C8" s="88" t="s">
        <v>201</v>
      </c>
    </row>
    <row r="9" customFormat="false" ht="33.75" hidden="false" customHeight="true" outlineLevel="0" collapsed="false">
      <c r="B9" s="87" t="s">
        <v>202</v>
      </c>
      <c r="C9" s="88" t="s">
        <v>203</v>
      </c>
    </row>
    <row r="10" customFormat="false" ht="33.75" hidden="false" customHeight="true" outlineLevel="0" collapsed="false">
      <c r="B10" s="87" t="s">
        <v>204</v>
      </c>
      <c r="C10" s="88" t="s">
        <v>205</v>
      </c>
    </row>
    <row r="11" customFormat="false" ht="33.75" hidden="false" customHeight="true" outlineLevel="0" collapsed="false">
      <c r="B11" s="87" t="s">
        <v>206</v>
      </c>
      <c r="C11" s="88" t="s">
        <v>207</v>
      </c>
    </row>
    <row r="13" customFormat="false" ht="15" hidden="false" customHeight="false" outlineLevel="0" collapsed="false">
      <c r="B13" s="86" t="s">
        <v>208</v>
      </c>
    </row>
    <row r="14" customFormat="false" ht="33.75" hidden="false" customHeight="true" outlineLevel="0" collapsed="false">
      <c r="B14" s="87" t="s">
        <v>196</v>
      </c>
      <c r="C14" s="88" t="s">
        <v>209</v>
      </c>
    </row>
    <row r="15" customFormat="false" ht="33.75" hidden="false" customHeight="true" outlineLevel="0" collapsed="false">
      <c r="B15" s="87" t="s">
        <v>210</v>
      </c>
      <c r="C15" s="88" t="s">
        <v>211</v>
      </c>
    </row>
    <row r="16" customFormat="false" ht="33.75" hidden="false" customHeight="true" outlineLevel="0" collapsed="false">
      <c r="B16" s="87" t="s">
        <v>212</v>
      </c>
      <c r="C16" s="88" t="s">
        <v>213</v>
      </c>
    </row>
    <row r="17" customFormat="false" ht="33.75" hidden="false" customHeight="true" outlineLevel="0" collapsed="false">
      <c r="B17" s="87" t="s">
        <v>214</v>
      </c>
      <c r="C17" s="88" t="s">
        <v>215</v>
      </c>
    </row>
    <row r="19" customFormat="false" ht="15" hidden="false" customHeight="false" outlineLevel="0" collapsed="false">
      <c r="B19" s="86" t="s">
        <v>216</v>
      </c>
    </row>
    <row r="20" customFormat="false" ht="33.75" hidden="false" customHeight="true" outlineLevel="0" collapsed="false">
      <c r="B20" s="87" t="s">
        <v>217</v>
      </c>
      <c r="C20" s="88" t="s">
        <v>218</v>
      </c>
    </row>
    <row r="21" customFormat="false" ht="33.75" hidden="false" customHeight="true" outlineLevel="0" collapsed="false">
      <c r="B21" s="87" t="s">
        <v>219</v>
      </c>
      <c r="C21" s="88" t="s">
        <v>220</v>
      </c>
    </row>
    <row r="22" customFormat="false" ht="33.75" hidden="false" customHeight="true" outlineLevel="0" collapsed="false">
      <c r="B22" s="87" t="s">
        <v>221</v>
      </c>
      <c r="C22" s="88" t="s">
        <v>222</v>
      </c>
    </row>
    <row r="24" customFormat="false" ht="15" hidden="false" customHeight="false" outlineLevel="0" collapsed="false">
      <c r="B24" s="86" t="s">
        <v>223</v>
      </c>
    </row>
    <row r="25" customFormat="false" ht="33.75" hidden="false" customHeight="true" outlineLevel="0" collapsed="false">
      <c r="B25" s="87" t="s">
        <v>224</v>
      </c>
      <c r="C25" s="88" t="s">
        <v>225</v>
      </c>
    </row>
    <row r="26" customFormat="false" ht="33.75" hidden="false" customHeight="true" outlineLevel="0" collapsed="false">
      <c r="B26" s="87" t="s">
        <v>226</v>
      </c>
      <c r="C26" s="88" t="s">
        <v>227</v>
      </c>
    </row>
    <row r="27" customFormat="false" ht="33.75" hidden="false" customHeight="true" outlineLevel="0" collapsed="false">
      <c r="B27" s="87" t="s">
        <v>228</v>
      </c>
      <c r="C27" s="88" t="s">
        <v>229</v>
      </c>
    </row>
    <row r="28" customFormat="false" ht="33.75" hidden="false" customHeight="true" outlineLevel="0" collapsed="false">
      <c r="B28" s="87" t="s">
        <v>230</v>
      </c>
      <c r="C28" s="88" t="s">
        <v>231</v>
      </c>
    </row>
    <row r="29" customFormat="false" ht="33.75" hidden="false" customHeight="true" outlineLevel="0" collapsed="false">
      <c r="B29" s="87" t="s">
        <v>232</v>
      </c>
      <c r="C29" s="88" t="s">
        <v>233</v>
      </c>
    </row>
    <row r="30" customFormat="false" ht="33.75" hidden="false" customHeight="true" outlineLevel="0" collapsed="false">
      <c r="B30" s="87" t="s">
        <v>234</v>
      </c>
      <c r="C30" s="88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236</v>
      </c>
      <c r="D1" s="89" t="n">
        <f aca="false">Dashboard!$Q$3-84</f>
        <v>46216</v>
      </c>
    </row>
    <row r="2" customFormat="false" ht="15" hidden="false" customHeight="false" outlineLevel="0" collapsed="false">
      <c r="D2" s="90" t="n">
        <f aca="false">$D$1+0</f>
        <v>46216</v>
      </c>
      <c r="E2" s="90" t="n">
        <f aca="false">$D$1+7</f>
        <v>46223</v>
      </c>
      <c r="F2" s="90" t="n">
        <f aca="false">$D$1+14</f>
        <v>46230</v>
      </c>
      <c r="G2" s="90" t="n">
        <f aca="false">$D$1+21</f>
        <v>46237</v>
      </c>
      <c r="H2" s="90" t="n">
        <f aca="false">$D$1+28</f>
        <v>46244</v>
      </c>
      <c r="I2" s="90" t="n">
        <f aca="false">$D$1+35</f>
        <v>46251</v>
      </c>
      <c r="J2" s="90" t="n">
        <f aca="false">$D$1+42</f>
        <v>46258</v>
      </c>
      <c r="K2" s="90" t="n">
        <f aca="false">$D$1+49</f>
        <v>46265</v>
      </c>
      <c r="L2" s="90" t="n">
        <f aca="false">$D$1+56</f>
        <v>46272</v>
      </c>
      <c r="M2" s="90" t="n">
        <f aca="false">$D$1+63</f>
        <v>46279</v>
      </c>
      <c r="N2" s="90" t="n">
        <f aca="false">$D$1+70</f>
        <v>46286</v>
      </c>
      <c r="O2" s="90" t="n">
        <f aca="false">$D$1+77</f>
        <v>46293</v>
      </c>
      <c r="P2" s="90" t="n">
        <f aca="false">$D$1+84</f>
        <v>46300</v>
      </c>
      <c r="Q2" s="90" t="n">
        <f aca="false">$D$1+91</f>
        <v>46307</v>
      </c>
      <c r="R2" s="90" t="n">
        <f aca="false">$D$1+98</f>
        <v>46314</v>
      </c>
      <c r="S2" s="90" t="n">
        <f aca="false">$D$1+105</f>
        <v>46321</v>
      </c>
      <c r="T2" s="90" t="n">
        <f aca="false">$D$1+112</f>
        <v>46328</v>
      </c>
      <c r="U2" s="90" t="n">
        <f aca="false">$D$1+119</f>
        <v>46335</v>
      </c>
      <c r="V2" s="90" t="n">
        <f aca="false">$D$1+126</f>
        <v>46342</v>
      </c>
      <c r="W2" s="90" t="n">
        <f aca="false">$D$1+133</f>
        <v>46349</v>
      </c>
      <c r="X2" s="90" t="n">
        <f aca="false">$D$1+140</f>
        <v>46356</v>
      </c>
      <c r="Y2" s="90" t="n">
        <f aca="false">$D$1+147</f>
        <v>46363</v>
      </c>
      <c r="Z2" s="90" t="n">
        <f aca="false">$D$1+154</f>
        <v>46370</v>
      </c>
      <c r="AA2" s="90" t="n">
        <f aca="false">$D$1+161</f>
        <v>46377</v>
      </c>
      <c r="AB2" s="90" t="n">
        <f aca="false">$D$1+168</f>
        <v>46384</v>
      </c>
      <c r="AC2" s="90" t="n">
        <f aca="false">$D$1+175</f>
        <v>46391</v>
      </c>
      <c r="AD2" s="90" t="n">
        <f aca="false">$D$1+182</f>
        <v>46398</v>
      </c>
      <c r="AE2" s="90" t="n">
        <f aca="false">$D$1+189</f>
        <v>46405</v>
      </c>
      <c r="AF2" s="90" t="n">
        <f aca="false">$D$1+196</f>
        <v>46412</v>
      </c>
      <c r="AG2" s="90" t="n">
        <f aca="false">$D$1+203</f>
        <v>46419</v>
      </c>
      <c r="AH2" s="90" t="n">
        <f aca="false">$D$1+210</f>
        <v>46426</v>
      </c>
      <c r="AI2" s="90" t="n">
        <f aca="false">$D$1+217</f>
        <v>46433</v>
      </c>
      <c r="AJ2" s="90" t="n">
        <f aca="false">$D$1+224</f>
        <v>46440</v>
      </c>
      <c r="AK2" s="90" t="n">
        <f aca="false">$D$1+231</f>
        <v>46447</v>
      </c>
      <c r="AL2" s="90" t="n">
        <f aca="false">$D$1+238</f>
        <v>46454</v>
      </c>
      <c r="AM2" s="90" t="n">
        <f aca="false">$D$1+245</f>
        <v>46461</v>
      </c>
      <c r="AN2" s="90" t="n">
        <f aca="false">$D$1+252</f>
        <v>46468</v>
      </c>
      <c r="AO2" s="90" t="n">
        <f aca="false">$D$1+259</f>
        <v>46475</v>
      </c>
      <c r="AP2" s="90" t="n">
        <f aca="false">$D$1+266</f>
        <v>46482</v>
      </c>
      <c r="AQ2" s="90" t="n">
        <f aca="false">$D$1+273</f>
        <v>46489</v>
      </c>
    </row>
    <row r="3" customFormat="false" ht="15" hidden="false" customHeight="false" outlineLevel="0" collapsed="false">
      <c r="A3" s="0" t="s">
        <v>99</v>
      </c>
      <c r="B3" s="0" t="s">
        <v>237</v>
      </c>
      <c r="C3" s="0" t="s">
        <v>238</v>
      </c>
    </row>
    <row r="4" customFormat="false" ht="15" hidden="false" customHeight="false" outlineLevel="0" collapsed="false">
      <c r="A4" s="0" t="n">
        <v>1</v>
      </c>
      <c r="B4" s="0" t="str">
        <f aca="false">IFERROR(INDEX('Kit Lists'!$C$6:$C$605,MATCH(Dashboard!$D$3&amp;"|"&amp;A4,'Kit Lists'!$G$6:$G$605,0)),"")</f>
        <v>92YLS00548BAA</v>
      </c>
      <c r="C4" s="0" t="n">
        <f aca="false">IF(B4="","",INDEX('Kit Lists'!$E$6:$E$605,MATCH(Dashboard!$D$3&amp;"|"&amp;A4,'Kit Lists'!$G$6:$G$605,0)))</f>
        <v>1</v>
      </c>
      <c r="D4" s="0" t="n">
        <f aca="false">IF($B4="","",INT(SUMIFS('Release Log'!$D$6:$D$4005,'Release Log'!$B$6:$B$4005,Dashboard!$D$3,'Release Log'!$C$6:$C$4005,$B4,'Release Log'!$A$6:$A$4005,"&lt;="&amp;MIN(D$2+6,Dashboard!$Q$3+6))/$C4))</f>
        <v>3</v>
      </c>
      <c r="E4" s="0" t="n">
        <f aca="false">IF($B4="","",INT(SUMIFS('Release Log'!$D$6:$D$4005,'Release Log'!$B$6:$B$4005,Dashboard!$D$3,'Release Log'!$C$6:$C$4005,$B4,'Release Log'!$A$6:$A$4005,"&lt;="&amp;MIN(E$2+6,Dashboard!$Q$3+6))/$C4))</f>
        <v>3</v>
      </c>
      <c r="F4" s="0" t="n">
        <f aca="false">IF($B4="","",INT(SUMIFS('Release Log'!$D$6:$D$4005,'Release Log'!$B$6:$B$4005,Dashboard!$D$3,'Release Log'!$C$6:$C$4005,$B4,'Release Log'!$A$6:$A$4005,"&lt;="&amp;MIN(F$2+6,Dashboard!$Q$3+6))/$C4))</f>
        <v>4</v>
      </c>
      <c r="G4" s="0" t="n">
        <f aca="false">IF($B4="","",INT(SUMIFS('Release Log'!$D$6:$D$4005,'Release Log'!$B$6:$B$4005,Dashboard!$D$3,'Release Log'!$C$6:$C$4005,$B4,'Release Log'!$A$6:$A$4005,"&lt;="&amp;MIN(G$2+6,Dashboard!$Q$3+6))/$C4))</f>
        <v>6</v>
      </c>
      <c r="H4" s="0" t="n">
        <f aca="false">IF($B4="","",INT(SUMIFS('Release Log'!$D$6:$D$4005,'Release Log'!$B$6:$B$4005,Dashboard!$D$3,'Release Log'!$C$6:$C$4005,$B4,'Release Log'!$A$6:$A$4005,"&lt;="&amp;MIN(H$2+6,Dashboard!$Q$3+6))/$C4))</f>
        <v>6</v>
      </c>
      <c r="I4" s="0" t="n">
        <f aca="false">IF($B4="","",INT(SUMIFS('Release Log'!$D$6:$D$4005,'Release Log'!$B$6:$B$4005,Dashboard!$D$3,'Release Log'!$C$6:$C$4005,$B4,'Release Log'!$A$6:$A$4005,"&lt;="&amp;MIN(I$2+6,Dashboard!$Q$3+6))/$C4))</f>
        <v>7</v>
      </c>
      <c r="J4" s="0" t="n">
        <f aca="false">IF($B4="","",INT(SUMIFS('Release Log'!$D$6:$D$4005,'Release Log'!$B$6:$B$4005,Dashboard!$D$3,'Release Log'!$C$6:$C$4005,$B4,'Release Log'!$A$6:$A$4005,"&lt;="&amp;MIN(J$2+6,Dashboard!$Q$3+6))/$C4))</f>
        <v>7</v>
      </c>
      <c r="K4" s="0" t="n">
        <f aca="false">IF($B4="","",INT(SUMIFS('Release Log'!$D$6:$D$4005,'Release Log'!$B$6:$B$4005,Dashboard!$D$3,'Release Log'!$C$6:$C$4005,$B4,'Release Log'!$A$6:$A$4005,"&lt;="&amp;MIN(K$2+6,Dashboard!$Q$3+6))/$C4))</f>
        <v>8</v>
      </c>
      <c r="L4" s="0" t="n">
        <f aca="false">IF($B4="","",INT(SUMIFS('Release Log'!$D$6:$D$4005,'Release Log'!$B$6:$B$4005,Dashboard!$D$3,'Release Log'!$C$6:$C$4005,$B4,'Release Log'!$A$6:$A$4005,"&lt;="&amp;MIN(L$2+6,Dashboard!$Q$3+6))/$C4))</f>
        <v>9</v>
      </c>
      <c r="M4" s="0" t="n">
        <f aca="false">IF($B4="","",INT(SUMIFS('Release Log'!$D$6:$D$4005,'Release Log'!$B$6:$B$4005,Dashboard!$D$3,'Release Log'!$C$6:$C$4005,$B4,'Release Log'!$A$6:$A$4005,"&lt;="&amp;MIN(M$2+6,Dashboard!$Q$3+6))/$C4))</f>
        <v>9</v>
      </c>
      <c r="N4" s="0" t="n">
        <f aca="false">IF($B4="","",INT(SUMIFS('Release Log'!$D$6:$D$4005,'Release Log'!$B$6:$B$4005,Dashboard!$D$3,'Release Log'!$C$6:$C$4005,$B4,'Release Log'!$A$6:$A$4005,"&lt;="&amp;MIN(N$2+6,Dashboard!$Q$3+6))/$C4))</f>
        <v>10</v>
      </c>
      <c r="O4" s="0" t="n">
        <f aca="false">IF($B4="","",INT(SUMIFS('Release Log'!$D$6:$D$4005,'Release Log'!$B$6:$B$4005,Dashboard!$D$3,'Release Log'!$C$6:$C$4005,$B4,'Release Log'!$A$6:$A$4005,"&lt;="&amp;MIN(O$2+6,Dashboard!$Q$3+6))/$C4))</f>
        <v>13</v>
      </c>
      <c r="P4" s="0" t="n">
        <f aca="false">IF($B4="","",INT(SUMIFS('Release Log'!$D$6:$D$4005,'Release Log'!$B$6:$B$4005,Dashboard!$D$3,'Release Log'!$C$6:$C$4005,$B4,'Release Log'!$A$6:$A$4005,"&lt;="&amp;MIN(P$2+6,Dashboard!$Q$3+6))/$C4))</f>
        <v>13</v>
      </c>
      <c r="Q4" s="0" t="n">
        <f aca="false">IF($B4="","",INT(SUMIFS('Release Log'!$D$6:$D$4005,'Release Log'!$B$6:$B$4005,Dashboard!$D$3,'Release Log'!$C$6:$C$4005,$B4,'Release Log'!$A$6:$A$4005,"&lt;="&amp;MIN(Q$2+6,Dashboard!$Q$3+6))/$C4))</f>
        <v>13</v>
      </c>
      <c r="R4" s="0" t="n">
        <f aca="false">IF($B4="","",INT(SUMIFS('Release Log'!$D$6:$D$4005,'Release Log'!$B$6:$B$4005,Dashboard!$D$3,'Release Log'!$C$6:$C$4005,$B4,'Release Log'!$A$6:$A$4005,"&lt;="&amp;MIN(R$2+6,Dashboard!$Q$3+6))/$C4))</f>
        <v>13</v>
      </c>
      <c r="S4" s="0" t="n">
        <f aca="false">IF($B4="","",INT(SUMIFS('Release Log'!$D$6:$D$4005,'Release Log'!$B$6:$B$4005,Dashboard!$D$3,'Release Log'!$C$6:$C$4005,$B4,'Release Log'!$A$6:$A$4005,"&lt;="&amp;MIN(S$2+6,Dashboard!$Q$3+6))/$C4))</f>
        <v>13</v>
      </c>
      <c r="T4" s="0" t="n">
        <f aca="false">IF($B4="","",INT(SUMIFS('Release Log'!$D$6:$D$4005,'Release Log'!$B$6:$B$4005,Dashboard!$D$3,'Release Log'!$C$6:$C$4005,$B4,'Release Log'!$A$6:$A$4005,"&lt;="&amp;MIN(T$2+6,Dashboard!$Q$3+6))/$C4))</f>
        <v>13</v>
      </c>
      <c r="U4" s="0" t="n">
        <f aca="false">IF($B4="","",INT(SUMIFS('Release Log'!$D$6:$D$4005,'Release Log'!$B$6:$B$4005,Dashboard!$D$3,'Release Log'!$C$6:$C$4005,$B4,'Release Log'!$A$6:$A$4005,"&lt;="&amp;MIN(U$2+6,Dashboard!$Q$3+6))/$C4))</f>
        <v>13</v>
      </c>
      <c r="V4" s="0" t="n">
        <f aca="false">IF($B4="","",INT(SUMIFS('Release Log'!$D$6:$D$4005,'Release Log'!$B$6:$B$4005,Dashboard!$D$3,'Release Log'!$C$6:$C$4005,$B4,'Release Log'!$A$6:$A$4005,"&lt;="&amp;MIN(V$2+6,Dashboard!$Q$3+6))/$C4))</f>
        <v>13</v>
      </c>
      <c r="W4" s="0" t="n">
        <f aca="false">IF($B4="","",INT(SUMIFS('Release Log'!$D$6:$D$4005,'Release Log'!$B$6:$B$4005,Dashboard!$D$3,'Release Log'!$C$6:$C$4005,$B4,'Release Log'!$A$6:$A$4005,"&lt;="&amp;MIN(W$2+6,Dashboard!$Q$3+6))/$C4))</f>
        <v>13</v>
      </c>
      <c r="X4" s="0" t="n">
        <f aca="false">IF($B4="","",INT(SUMIFS('Release Log'!$D$6:$D$4005,'Release Log'!$B$6:$B$4005,Dashboard!$D$3,'Release Log'!$C$6:$C$4005,$B4,'Release Log'!$A$6:$A$4005,"&lt;="&amp;MIN(X$2+6,Dashboard!$Q$3+6))/$C4))</f>
        <v>13</v>
      </c>
      <c r="Y4" s="0" t="n">
        <f aca="false">IF($B4="","",INT(SUMIFS('Release Log'!$D$6:$D$4005,'Release Log'!$B$6:$B$4005,Dashboard!$D$3,'Release Log'!$C$6:$C$4005,$B4,'Release Log'!$A$6:$A$4005,"&lt;="&amp;MIN(Y$2+6,Dashboard!$Q$3+6))/$C4))</f>
        <v>13</v>
      </c>
      <c r="Z4" s="0" t="n">
        <f aca="false">IF($B4="","",INT(SUMIFS('Release Log'!$D$6:$D$4005,'Release Log'!$B$6:$B$4005,Dashboard!$D$3,'Release Log'!$C$6:$C$4005,$B4,'Release Log'!$A$6:$A$4005,"&lt;="&amp;MIN(Z$2+6,Dashboard!$Q$3+6))/$C4))</f>
        <v>13</v>
      </c>
      <c r="AA4" s="0" t="n">
        <f aca="false">IF($B4="","",INT(SUMIFS('Release Log'!$D$6:$D$4005,'Release Log'!$B$6:$B$4005,Dashboard!$D$3,'Release Log'!$C$6:$C$4005,$B4,'Release Log'!$A$6:$A$4005,"&lt;="&amp;MIN(AA$2+6,Dashboard!$Q$3+6))/$C4))</f>
        <v>13</v>
      </c>
      <c r="AB4" s="0" t="n">
        <f aca="false">IF($B4="","",INT(SUMIFS('Release Log'!$D$6:$D$4005,'Release Log'!$B$6:$B$4005,Dashboard!$D$3,'Release Log'!$C$6:$C$4005,$B4,'Release Log'!$A$6:$A$4005,"&lt;="&amp;MIN(AB$2+6,Dashboard!$Q$3+6))/$C4))</f>
        <v>13</v>
      </c>
      <c r="AC4" s="0" t="n">
        <f aca="false">IF($B4="","",INT(SUMIFS('Release Log'!$D$6:$D$4005,'Release Log'!$B$6:$B$4005,Dashboard!$D$3,'Release Log'!$C$6:$C$4005,$B4,'Release Log'!$A$6:$A$4005,"&lt;="&amp;MIN(AC$2+6,Dashboard!$Q$3+6))/$C4))</f>
        <v>13</v>
      </c>
      <c r="AD4" s="0" t="n">
        <f aca="false">IF($B4="","",INT(SUMIFS('Release Log'!$D$6:$D$4005,'Release Log'!$B$6:$B$4005,Dashboard!$D$3,'Release Log'!$C$6:$C$4005,$B4,'Release Log'!$A$6:$A$4005,"&lt;="&amp;MIN(AD$2+6,Dashboard!$Q$3+6))/$C4))</f>
        <v>13</v>
      </c>
      <c r="AE4" s="0" t="n">
        <f aca="false">IF($B4="","",INT(SUMIFS('Release Log'!$D$6:$D$4005,'Release Log'!$B$6:$B$4005,Dashboard!$D$3,'Release Log'!$C$6:$C$4005,$B4,'Release Log'!$A$6:$A$4005,"&lt;="&amp;MIN(AE$2+6,Dashboard!$Q$3+6))/$C4))</f>
        <v>13</v>
      </c>
      <c r="AF4" s="0" t="n">
        <f aca="false">IF($B4="","",INT(SUMIFS('Release Log'!$D$6:$D$4005,'Release Log'!$B$6:$B$4005,Dashboard!$D$3,'Release Log'!$C$6:$C$4005,$B4,'Release Log'!$A$6:$A$4005,"&lt;="&amp;MIN(AF$2+6,Dashboard!$Q$3+6))/$C4))</f>
        <v>13</v>
      </c>
      <c r="AG4" s="0" t="n">
        <f aca="false">IF($B4="","",INT(SUMIFS('Release Log'!$D$6:$D$4005,'Release Log'!$B$6:$B$4005,Dashboard!$D$3,'Release Log'!$C$6:$C$4005,$B4,'Release Log'!$A$6:$A$4005,"&lt;="&amp;MIN(AG$2+6,Dashboard!$Q$3+6))/$C4))</f>
        <v>13</v>
      </c>
      <c r="AH4" s="0" t="n">
        <f aca="false">IF($B4="","",INT(SUMIFS('Release Log'!$D$6:$D$4005,'Release Log'!$B$6:$B$4005,Dashboard!$D$3,'Release Log'!$C$6:$C$4005,$B4,'Release Log'!$A$6:$A$4005,"&lt;="&amp;MIN(AH$2+6,Dashboard!$Q$3+6))/$C4))</f>
        <v>13</v>
      </c>
      <c r="AI4" s="0" t="n">
        <f aca="false">IF($B4="","",INT(SUMIFS('Release Log'!$D$6:$D$4005,'Release Log'!$B$6:$B$4005,Dashboard!$D$3,'Release Log'!$C$6:$C$4005,$B4,'Release Log'!$A$6:$A$4005,"&lt;="&amp;MIN(AI$2+6,Dashboard!$Q$3+6))/$C4))</f>
        <v>13</v>
      </c>
      <c r="AJ4" s="0" t="n">
        <f aca="false">IF($B4="","",INT(SUMIFS('Release Log'!$D$6:$D$4005,'Release Log'!$B$6:$B$4005,Dashboard!$D$3,'Release Log'!$C$6:$C$4005,$B4,'Release Log'!$A$6:$A$4005,"&lt;="&amp;MIN(AJ$2+6,Dashboard!$Q$3+6))/$C4))</f>
        <v>13</v>
      </c>
      <c r="AK4" s="0" t="n">
        <f aca="false">IF($B4="","",INT(SUMIFS('Release Log'!$D$6:$D$4005,'Release Log'!$B$6:$B$4005,Dashboard!$D$3,'Release Log'!$C$6:$C$4005,$B4,'Release Log'!$A$6:$A$4005,"&lt;="&amp;MIN(AK$2+6,Dashboard!$Q$3+6))/$C4))</f>
        <v>13</v>
      </c>
      <c r="AL4" s="0" t="n">
        <f aca="false">IF($B4="","",INT(SUMIFS('Release Log'!$D$6:$D$4005,'Release Log'!$B$6:$B$4005,Dashboard!$D$3,'Release Log'!$C$6:$C$4005,$B4,'Release Log'!$A$6:$A$4005,"&lt;="&amp;MIN(AL$2+6,Dashboard!$Q$3+6))/$C4))</f>
        <v>13</v>
      </c>
      <c r="AM4" s="0" t="n">
        <f aca="false">IF($B4="","",INT(SUMIFS('Release Log'!$D$6:$D$4005,'Release Log'!$B$6:$B$4005,Dashboard!$D$3,'Release Log'!$C$6:$C$4005,$B4,'Release Log'!$A$6:$A$4005,"&lt;="&amp;MIN(AM$2+6,Dashboard!$Q$3+6))/$C4))</f>
        <v>13</v>
      </c>
      <c r="AN4" s="0" t="n">
        <f aca="false">IF($B4="","",INT(SUMIFS('Release Log'!$D$6:$D$4005,'Release Log'!$B$6:$B$4005,Dashboard!$D$3,'Release Log'!$C$6:$C$4005,$B4,'Release Log'!$A$6:$A$4005,"&lt;="&amp;MIN(AN$2+6,Dashboard!$Q$3+6))/$C4))</f>
        <v>13</v>
      </c>
      <c r="AO4" s="0" t="n">
        <f aca="false">IF($B4="","",INT(SUMIFS('Release Log'!$D$6:$D$4005,'Release Log'!$B$6:$B$4005,Dashboard!$D$3,'Release Log'!$C$6:$C$4005,$B4,'Release Log'!$A$6:$A$4005,"&lt;="&amp;MIN(AO$2+6,Dashboard!$Q$3+6))/$C4))</f>
        <v>13</v>
      </c>
      <c r="AP4" s="0" t="n">
        <f aca="false">IF($B4="","",INT(SUMIFS('Release Log'!$D$6:$D$4005,'Release Log'!$B$6:$B$4005,Dashboard!$D$3,'Release Log'!$C$6:$C$4005,$B4,'Release Log'!$A$6:$A$4005,"&lt;="&amp;MIN(AP$2+6,Dashboard!$Q$3+6))/$C4))</f>
        <v>13</v>
      </c>
      <c r="AQ4" s="0" t="n">
        <f aca="false">IF($B4="","",INT(SUMIFS('Release Log'!$D$6:$D$4005,'Release Log'!$B$6:$B$4005,Dashboard!$D$3,'Release Log'!$C$6:$C$4005,$B4,'Release Log'!$A$6:$A$4005,"&lt;="&amp;MIN(AQ$2+6,Dashboard!$Q$3+6))/$C4))</f>
        <v>13</v>
      </c>
    </row>
    <row r="5" customFormat="false" ht="15" hidden="false" customHeight="false" outlineLevel="0" collapsed="false">
      <c r="A5" s="0" t="n">
        <v>2</v>
      </c>
      <c r="B5" s="0" t="str">
        <f aca="false">IFERROR(INDEX('Kit Lists'!$C$6:$C$605,MATCH(Dashboard!$D$3&amp;"|"&amp;A5,'Kit Lists'!$G$6:$G$605,0)),"")</f>
        <v>92YLS00548BBA</v>
      </c>
      <c r="C5" s="0" t="n">
        <f aca="false">IF(B5="","",INDEX('Kit Lists'!$E$6:$E$605,MATCH(Dashboard!$D$3&amp;"|"&amp;A5,'Kit Lists'!$G$6:$G$605,0)))</f>
        <v>2</v>
      </c>
      <c r="D5" s="0" t="n">
        <f aca="false">IF($B5="","",INT(SUMIFS('Release Log'!$D$6:$D$4005,'Release Log'!$B$6:$B$4005,Dashboard!$D$3,'Release Log'!$C$6:$C$4005,$B5,'Release Log'!$A$6:$A$4005,"&lt;="&amp;MIN(D$2+6,Dashboard!$Q$3+6))/$C5))</f>
        <v>3</v>
      </c>
      <c r="E5" s="0" t="n">
        <f aca="false">IF($B5="","",INT(SUMIFS('Release Log'!$D$6:$D$4005,'Release Log'!$B$6:$B$4005,Dashboard!$D$3,'Release Log'!$C$6:$C$4005,$B5,'Release Log'!$A$6:$A$4005,"&lt;="&amp;MIN(E$2+6,Dashboard!$Q$3+6))/$C5))</f>
        <v>3</v>
      </c>
      <c r="F5" s="0" t="n">
        <f aca="false">IF($B5="","",INT(SUMIFS('Release Log'!$D$6:$D$4005,'Release Log'!$B$6:$B$4005,Dashboard!$D$3,'Release Log'!$C$6:$C$4005,$B5,'Release Log'!$A$6:$A$4005,"&lt;="&amp;MIN(F$2+6,Dashboard!$Q$3+6))/$C5))</f>
        <v>4</v>
      </c>
      <c r="G5" s="0" t="n">
        <f aca="false">IF($B5="","",INT(SUMIFS('Release Log'!$D$6:$D$4005,'Release Log'!$B$6:$B$4005,Dashboard!$D$3,'Release Log'!$C$6:$C$4005,$B5,'Release Log'!$A$6:$A$4005,"&lt;="&amp;MIN(G$2+6,Dashboard!$Q$3+6))/$C5))</f>
        <v>5</v>
      </c>
      <c r="H5" s="0" t="n">
        <f aca="false">IF($B5="","",INT(SUMIFS('Release Log'!$D$6:$D$4005,'Release Log'!$B$6:$B$4005,Dashboard!$D$3,'Release Log'!$C$6:$C$4005,$B5,'Release Log'!$A$6:$A$4005,"&lt;="&amp;MIN(H$2+6,Dashboard!$Q$3+6))/$C5))</f>
        <v>5</v>
      </c>
      <c r="I5" s="0" t="n">
        <f aca="false">IF($B5="","",INT(SUMIFS('Release Log'!$D$6:$D$4005,'Release Log'!$B$6:$B$4005,Dashboard!$D$3,'Release Log'!$C$6:$C$4005,$B5,'Release Log'!$A$6:$A$4005,"&lt;="&amp;MIN(I$2+6,Dashboard!$Q$3+6))/$C5))</f>
        <v>6</v>
      </c>
      <c r="J5" s="0" t="n">
        <f aca="false">IF($B5="","",INT(SUMIFS('Release Log'!$D$6:$D$4005,'Release Log'!$B$6:$B$4005,Dashboard!$D$3,'Release Log'!$C$6:$C$4005,$B5,'Release Log'!$A$6:$A$4005,"&lt;="&amp;MIN(J$2+6,Dashboard!$Q$3+6))/$C5))</f>
        <v>6</v>
      </c>
      <c r="K5" s="0" t="n">
        <f aca="false">IF($B5="","",INT(SUMIFS('Release Log'!$D$6:$D$4005,'Release Log'!$B$6:$B$4005,Dashboard!$D$3,'Release Log'!$C$6:$C$4005,$B5,'Release Log'!$A$6:$A$4005,"&lt;="&amp;MIN(K$2+6,Dashboard!$Q$3+6))/$C5))</f>
        <v>7</v>
      </c>
      <c r="L5" s="0" t="n">
        <f aca="false">IF($B5="","",INT(SUMIFS('Release Log'!$D$6:$D$4005,'Release Log'!$B$6:$B$4005,Dashboard!$D$3,'Release Log'!$C$6:$C$4005,$B5,'Release Log'!$A$6:$A$4005,"&lt;="&amp;MIN(L$2+6,Dashboard!$Q$3+6))/$C5))</f>
        <v>8</v>
      </c>
      <c r="M5" s="0" t="n">
        <f aca="false">IF($B5="","",INT(SUMIFS('Release Log'!$D$6:$D$4005,'Release Log'!$B$6:$B$4005,Dashboard!$D$3,'Release Log'!$C$6:$C$4005,$B5,'Release Log'!$A$6:$A$4005,"&lt;="&amp;MIN(M$2+6,Dashboard!$Q$3+6))/$C5))</f>
        <v>8</v>
      </c>
      <c r="N5" s="0" t="n">
        <f aca="false">IF($B5="","",INT(SUMIFS('Release Log'!$D$6:$D$4005,'Release Log'!$B$6:$B$4005,Dashboard!$D$3,'Release Log'!$C$6:$C$4005,$B5,'Release Log'!$A$6:$A$4005,"&lt;="&amp;MIN(N$2+6,Dashboard!$Q$3+6))/$C5))</f>
        <v>9</v>
      </c>
      <c r="O5" s="0" t="n">
        <f aca="false">IF($B5="","",INT(SUMIFS('Release Log'!$D$6:$D$4005,'Release Log'!$B$6:$B$4005,Dashboard!$D$3,'Release Log'!$C$6:$C$4005,$B5,'Release Log'!$A$6:$A$4005,"&lt;="&amp;MIN(O$2+6,Dashboard!$Q$3+6))/$C5))</f>
        <v>13</v>
      </c>
      <c r="P5" s="0" t="n">
        <f aca="false">IF($B5="","",INT(SUMIFS('Release Log'!$D$6:$D$4005,'Release Log'!$B$6:$B$4005,Dashboard!$D$3,'Release Log'!$C$6:$C$4005,$B5,'Release Log'!$A$6:$A$4005,"&lt;="&amp;MIN(P$2+6,Dashboard!$Q$3+6))/$C5))</f>
        <v>13</v>
      </c>
      <c r="Q5" s="0" t="n">
        <f aca="false">IF($B5="","",INT(SUMIFS('Release Log'!$D$6:$D$4005,'Release Log'!$B$6:$B$4005,Dashboard!$D$3,'Release Log'!$C$6:$C$4005,$B5,'Release Log'!$A$6:$A$4005,"&lt;="&amp;MIN(Q$2+6,Dashboard!$Q$3+6))/$C5))</f>
        <v>13</v>
      </c>
      <c r="R5" s="0" t="n">
        <f aca="false">IF($B5="","",INT(SUMIFS('Release Log'!$D$6:$D$4005,'Release Log'!$B$6:$B$4005,Dashboard!$D$3,'Release Log'!$C$6:$C$4005,$B5,'Release Log'!$A$6:$A$4005,"&lt;="&amp;MIN(R$2+6,Dashboard!$Q$3+6))/$C5))</f>
        <v>13</v>
      </c>
      <c r="S5" s="0" t="n">
        <f aca="false">IF($B5="","",INT(SUMIFS('Release Log'!$D$6:$D$4005,'Release Log'!$B$6:$B$4005,Dashboard!$D$3,'Release Log'!$C$6:$C$4005,$B5,'Release Log'!$A$6:$A$4005,"&lt;="&amp;MIN(S$2+6,Dashboard!$Q$3+6))/$C5))</f>
        <v>13</v>
      </c>
      <c r="T5" s="0" t="n">
        <f aca="false">IF($B5="","",INT(SUMIFS('Release Log'!$D$6:$D$4005,'Release Log'!$B$6:$B$4005,Dashboard!$D$3,'Release Log'!$C$6:$C$4005,$B5,'Release Log'!$A$6:$A$4005,"&lt;="&amp;MIN(T$2+6,Dashboard!$Q$3+6))/$C5))</f>
        <v>13</v>
      </c>
      <c r="U5" s="0" t="n">
        <f aca="false">IF($B5="","",INT(SUMIFS('Release Log'!$D$6:$D$4005,'Release Log'!$B$6:$B$4005,Dashboard!$D$3,'Release Log'!$C$6:$C$4005,$B5,'Release Log'!$A$6:$A$4005,"&lt;="&amp;MIN(U$2+6,Dashboard!$Q$3+6))/$C5))</f>
        <v>13</v>
      </c>
      <c r="V5" s="0" t="n">
        <f aca="false">IF($B5="","",INT(SUMIFS('Release Log'!$D$6:$D$4005,'Release Log'!$B$6:$B$4005,Dashboard!$D$3,'Release Log'!$C$6:$C$4005,$B5,'Release Log'!$A$6:$A$4005,"&lt;="&amp;MIN(V$2+6,Dashboard!$Q$3+6))/$C5))</f>
        <v>13</v>
      </c>
      <c r="W5" s="0" t="n">
        <f aca="false">IF($B5="","",INT(SUMIFS('Release Log'!$D$6:$D$4005,'Release Log'!$B$6:$B$4005,Dashboard!$D$3,'Release Log'!$C$6:$C$4005,$B5,'Release Log'!$A$6:$A$4005,"&lt;="&amp;MIN(W$2+6,Dashboard!$Q$3+6))/$C5))</f>
        <v>13</v>
      </c>
      <c r="X5" s="0" t="n">
        <f aca="false">IF($B5="","",INT(SUMIFS('Release Log'!$D$6:$D$4005,'Release Log'!$B$6:$B$4005,Dashboard!$D$3,'Release Log'!$C$6:$C$4005,$B5,'Release Log'!$A$6:$A$4005,"&lt;="&amp;MIN(X$2+6,Dashboard!$Q$3+6))/$C5))</f>
        <v>13</v>
      </c>
      <c r="Y5" s="0" t="n">
        <f aca="false">IF($B5="","",INT(SUMIFS('Release Log'!$D$6:$D$4005,'Release Log'!$B$6:$B$4005,Dashboard!$D$3,'Release Log'!$C$6:$C$4005,$B5,'Release Log'!$A$6:$A$4005,"&lt;="&amp;MIN(Y$2+6,Dashboard!$Q$3+6))/$C5))</f>
        <v>13</v>
      </c>
      <c r="Z5" s="0" t="n">
        <f aca="false">IF($B5="","",INT(SUMIFS('Release Log'!$D$6:$D$4005,'Release Log'!$B$6:$B$4005,Dashboard!$D$3,'Release Log'!$C$6:$C$4005,$B5,'Release Log'!$A$6:$A$4005,"&lt;="&amp;MIN(Z$2+6,Dashboard!$Q$3+6))/$C5))</f>
        <v>13</v>
      </c>
      <c r="AA5" s="0" t="n">
        <f aca="false">IF($B5="","",INT(SUMIFS('Release Log'!$D$6:$D$4005,'Release Log'!$B$6:$B$4005,Dashboard!$D$3,'Release Log'!$C$6:$C$4005,$B5,'Release Log'!$A$6:$A$4005,"&lt;="&amp;MIN(AA$2+6,Dashboard!$Q$3+6))/$C5))</f>
        <v>13</v>
      </c>
      <c r="AB5" s="0" t="n">
        <f aca="false">IF($B5="","",INT(SUMIFS('Release Log'!$D$6:$D$4005,'Release Log'!$B$6:$B$4005,Dashboard!$D$3,'Release Log'!$C$6:$C$4005,$B5,'Release Log'!$A$6:$A$4005,"&lt;="&amp;MIN(AB$2+6,Dashboard!$Q$3+6))/$C5))</f>
        <v>13</v>
      </c>
      <c r="AC5" s="0" t="n">
        <f aca="false">IF($B5="","",INT(SUMIFS('Release Log'!$D$6:$D$4005,'Release Log'!$B$6:$B$4005,Dashboard!$D$3,'Release Log'!$C$6:$C$4005,$B5,'Release Log'!$A$6:$A$4005,"&lt;="&amp;MIN(AC$2+6,Dashboard!$Q$3+6))/$C5))</f>
        <v>13</v>
      </c>
      <c r="AD5" s="0" t="n">
        <f aca="false">IF($B5="","",INT(SUMIFS('Release Log'!$D$6:$D$4005,'Release Log'!$B$6:$B$4005,Dashboard!$D$3,'Release Log'!$C$6:$C$4005,$B5,'Release Log'!$A$6:$A$4005,"&lt;="&amp;MIN(AD$2+6,Dashboard!$Q$3+6))/$C5))</f>
        <v>13</v>
      </c>
      <c r="AE5" s="0" t="n">
        <f aca="false">IF($B5="","",INT(SUMIFS('Release Log'!$D$6:$D$4005,'Release Log'!$B$6:$B$4005,Dashboard!$D$3,'Release Log'!$C$6:$C$4005,$B5,'Release Log'!$A$6:$A$4005,"&lt;="&amp;MIN(AE$2+6,Dashboard!$Q$3+6))/$C5))</f>
        <v>13</v>
      </c>
      <c r="AF5" s="0" t="n">
        <f aca="false">IF($B5="","",INT(SUMIFS('Release Log'!$D$6:$D$4005,'Release Log'!$B$6:$B$4005,Dashboard!$D$3,'Release Log'!$C$6:$C$4005,$B5,'Release Log'!$A$6:$A$4005,"&lt;="&amp;MIN(AF$2+6,Dashboard!$Q$3+6))/$C5))</f>
        <v>13</v>
      </c>
      <c r="AG5" s="0" t="n">
        <f aca="false">IF($B5="","",INT(SUMIFS('Release Log'!$D$6:$D$4005,'Release Log'!$B$6:$B$4005,Dashboard!$D$3,'Release Log'!$C$6:$C$4005,$B5,'Release Log'!$A$6:$A$4005,"&lt;="&amp;MIN(AG$2+6,Dashboard!$Q$3+6))/$C5))</f>
        <v>13</v>
      </c>
      <c r="AH5" s="0" t="n">
        <f aca="false">IF($B5="","",INT(SUMIFS('Release Log'!$D$6:$D$4005,'Release Log'!$B$6:$B$4005,Dashboard!$D$3,'Release Log'!$C$6:$C$4005,$B5,'Release Log'!$A$6:$A$4005,"&lt;="&amp;MIN(AH$2+6,Dashboard!$Q$3+6))/$C5))</f>
        <v>13</v>
      </c>
      <c r="AI5" s="0" t="n">
        <f aca="false">IF($B5="","",INT(SUMIFS('Release Log'!$D$6:$D$4005,'Release Log'!$B$6:$B$4005,Dashboard!$D$3,'Release Log'!$C$6:$C$4005,$B5,'Release Log'!$A$6:$A$4005,"&lt;="&amp;MIN(AI$2+6,Dashboard!$Q$3+6))/$C5))</f>
        <v>13</v>
      </c>
      <c r="AJ5" s="0" t="n">
        <f aca="false">IF($B5="","",INT(SUMIFS('Release Log'!$D$6:$D$4005,'Release Log'!$B$6:$B$4005,Dashboard!$D$3,'Release Log'!$C$6:$C$4005,$B5,'Release Log'!$A$6:$A$4005,"&lt;="&amp;MIN(AJ$2+6,Dashboard!$Q$3+6))/$C5))</f>
        <v>13</v>
      </c>
      <c r="AK5" s="0" t="n">
        <f aca="false">IF($B5="","",INT(SUMIFS('Release Log'!$D$6:$D$4005,'Release Log'!$B$6:$B$4005,Dashboard!$D$3,'Release Log'!$C$6:$C$4005,$B5,'Release Log'!$A$6:$A$4005,"&lt;="&amp;MIN(AK$2+6,Dashboard!$Q$3+6))/$C5))</f>
        <v>13</v>
      </c>
      <c r="AL5" s="0" t="n">
        <f aca="false">IF($B5="","",INT(SUMIFS('Release Log'!$D$6:$D$4005,'Release Log'!$B$6:$B$4005,Dashboard!$D$3,'Release Log'!$C$6:$C$4005,$B5,'Release Log'!$A$6:$A$4005,"&lt;="&amp;MIN(AL$2+6,Dashboard!$Q$3+6))/$C5))</f>
        <v>13</v>
      </c>
      <c r="AM5" s="0" t="n">
        <f aca="false">IF($B5="","",INT(SUMIFS('Release Log'!$D$6:$D$4005,'Release Log'!$B$6:$B$4005,Dashboard!$D$3,'Release Log'!$C$6:$C$4005,$B5,'Release Log'!$A$6:$A$4005,"&lt;="&amp;MIN(AM$2+6,Dashboard!$Q$3+6))/$C5))</f>
        <v>13</v>
      </c>
      <c r="AN5" s="0" t="n">
        <f aca="false">IF($B5="","",INT(SUMIFS('Release Log'!$D$6:$D$4005,'Release Log'!$B$6:$B$4005,Dashboard!$D$3,'Release Log'!$C$6:$C$4005,$B5,'Release Log'!$A$6:$A$4005,"&lt;="&amp;MIN(AN$2+6,Dashboard!$Q$3+6))/$C5))</f>
        <v>13</v>
      </c>
      <c r="AO5" s="0" t="n">
        <f aca="false">IF($B5="","",INT(SUMIFS('Release Log'!$D$6:$D$4005,'Release Log'!$B$6:$B$4005,Dashboard!$D$3,'Release Log'!$C$6:$C$4005,$B5,'Release Log'!$A$6:$A$4005,"&lt;="&amp;MIN(AO$2+6,Dashboard!$Q$3+6))/$C5))</f>
        <v>13</v>
      </c>
      <c r="AP5" s="0" t="n">
        <f aca="false">IF($B5="","",INT(SUMIFS('Release Log'!$D$6:$D$4005,'Release Log'!$B$6:$B$4005,Dashboard!$D$3,'Release Log'!$C$6:$C$4005,$B5,'Release Log'!$A$6:$A$4005,"&lt;="&amp;MIN(AP$2+6,Dashboard!$Q$3+6))/$C5))</f>
        <v>13</v>
      </c>
      <c r="AQ5" s="0" t="n">
        <f aca="false">IF($B5="","",INT(SUMIFS('Release Log'!$D$6:$D$4005,'Release Log'!$B$6:$B$4005,Dashboard!$D$3,'Release Log'!$C$6:$C$4005,$B5,'Release Log'!$A$6:$A$4005,"&lt;="&amp;MIN(AQ$2+6,Dashboard!$Q$3+6))/$C5))</f>
        <v>13</v>
      </c>
    </row>
    <row r="6" customFormat="false" ht="15" hidden="false" customHeight="false" outlineLevel="0" collapsed="false">
      <c r="A6" s="0" t="n">
        <v>3</v>
      </c>
      <c r="B6" s="0" t="str">
        <f aca="false">IFERROR(INDEX('Kit Lists'!$C$6:$C$605,MATCH(Dashboard!$D$3&amp;"|"&amp;A6,'Kit Lists'!$G$6:$G$605,0)),"")</f>
        <v>91YAF03404AAA</v>
      </c>
      <c r="C6" s="0" t="n">
        <f aca="false">IF(B6="","",INDEX('Kit Lists'!$E$6:$E$605,MATCH(Dashboard!$D$3&amp;"|"&amp;A6,'Kit Lists'!$G$6:$G$605,0)))</f>
        <v>3</v>
      </c>
      <c r="D6" s="0" t="n">
        <f aca="false">IF($B6="","",INT(SUMIFS('Release Log'!$D$6:$D$4005,'Release Log'!$B$6:$B$4005,Dashboard!$D$3,'Release Log'!$C$6:$C$4005,$B6,'Release Log'!$A$6:$A$4005,"&lt;="&amp;MIN(D$2+6,Dashboard!$Q$3+6))/$C6))</f>
        <v>4</v>
      </c>
      <c r="E6" s="0" t="n">
        <f aca="false">IF($B6="","",INT(SUMIFS('Release Log'!$D$6:$D$4005,'Release Log'!$B$6:$B$4005,Dashboard!$D$3,'Release Log'!$C$6:$C$4005,$B6,'Release Log'!$A$6:$A$4005,"&lt;="&amp;MIN(E$2+6,Dashboard!$Q$3+6))/$C6))</f>
        <v>5</v>
      </c>
      <c r="F6" s="0" t="n">
        <f aca="false">IF($B6="","",INT(SUMIFS('Release Log'!$D$6:$D$4005,'Release Log'!$B$6:$B$4005,Dashboard!$D$3,'Release Log'!$C$6:$C$4005,$B6,'Release Log'!$A$6:$A$4005,"&lt;="&amp;MIN(F$2+6,Dashboard!$Q$3+6))/$C6))</f>
        <v>5</v>
      </c>
      <c r="G6" s="0" t="n">
        <f aca="false">IF($B6="","",INT(SUMIFS('Release Log'!$D$6:$D$4005,'Release Log'!$B$6:$B$4005,Dashboard!$D$3,'Release Log'!$C$6:$C$4005,$B6,'Release Log'!$A$6:$A$4005,"&lt;="&amp;MIN(G$2+6,Dashboard!$Q$3+6))/$C6))</f>
        <v>6</v>
      </c>
      <c r="H6" s="0" t="n">
        <f aca="false">IF($B6="","",INT(SUMIFS('Release Log'!$D$6:$D$4005,'Release Log'!$B$6:$B$4005,Dashboard!$D$3,'Release Log'!$C$6:$C$4005,$B6,'Release Log'!$A$6:$A$4005,"&lt;="&amp;MIN(H$2+6,Dashboard!$Q$3+6))/$C6))</f>
        <v>6</v>
      </c>
      <c r="I6" s="0" t="n">
        <f aca="false">IF($B6="","",INT(SUMIFS('Release Log'!$D$6:$D$4005,'Release Log'!$B$6:$B$4005,Dashboard!$D$3,'Release Log'!$C$6:$C$4005,$B6,'Release Log'!$A$6:$A$4005,"&lt;="&amp;MIN(I$2+6,Dashboard!$Q$3+6))/$C6))</f>
        <v>7</v>
      </c>
      <c r="J6" s="0" t="n">
        <f aca="false">IF($B6="","",INT(SUMIFS('Release Log'!$D$6:$D$4005,'Release Log'!$B$6:$B$4005,Dashboard!$D$3,'Release Log'!$C$6:$C$4005,$B6,'Release Log'!$A$6:$A$4005,"&lt;="&amp;MIN(J$2+6,Dashboard!$Q$3+6))/$C6))</f>
        <v>8</v>
      </c>
      <c r="K6" s="0" t="n">
        <f aca="false">IF($B6="","",INT(SUMIFS('Release Log'!$D$6:$D$4005,'Release Log'!$B$6:$B$4005,Dashboard!$D$3,'Release Log'!$C$6:$C$4005,$B6,'Release Log'!$A$6:$A$4005,"&lt;="&amp;MIN(K$2+6,Dashboard!$Q$3+6))/$C6))</f>
        <v>8</v>
      </c>
      <c r="L6" s="0" t="n">
        <f aca="false">IF($B6="","",INT(SUMIFS('Release Log'!$D$6:$D$4005,'Release Log'!$B$6:$B$4005,Dashboard!$D$3,'Release Log'!$C$6:$C$4005,$B6,'Release Log'!$A$6:$A$4005,"&lt;="&amp;MIN(L$2+6,Dashboard!$Q$3+6))/$C6))</f>
        <v>13</v>
      </c>
      <c r="M6" s="0" t="n">
        <f aca="false">IF($B6="","",INT(SUMIFS('Release Log'!$D$6:$D$4005,'Release Log'!$B$6:$B$4005,Dashboard!$D$3,'Release Log'!$C$6:$C$4005,$B6,'Release Log'!$A$6:$A$4005,"&lt;="&amp;MIN(M$2+6,Dashboard!$Q$3+6))/$C6))</f>
        <v>13</v>
      </c>
      <c r="N6" s="0" t="n">
        <f aca="false">IF($B6="","",INT(SUMIFS('Release Log'!$D$6:$D$4005,'Release Log'!$B$6:$B$4005,Dashboard!$D$3,'Release Log'!$C$6:$C$4005,$B6,'Release Log'!$A$6:$A$4005,"&lt;="&amp;MIN(N$2+6,Dashboard!$Q$3+6))/$C6))</f>
        <v>13</v>
      </c>
      <c r="O6" s="0" t="n">
        <f aca="false">IF($B6="","",INT(SUMIFS('Release Log'!$D$6:$D$4005,'Release Log'!$B$6:$B$4005,Dashboard!$D$3,'Release Log'!$C$6:$C$4005,$B6,'Release Log'!$A$6:$A$4005,"&lt;="&amp;MIN(O$2+6,Dashboard!$Q$3+6))/$C6))</f>
        <v>13</v>
      </c>
      <c r="P6" s="0" t="n">
        <f aca="false">IF($B6="","",INT(SUMIFS('Release Log'!$D$6:$D$4005,'Release Log'!$B$6:$B$4005,Dashboard!$D$3,'Release Log'!$C$6:$C$4005,$B6,'Release Log'!$A$6:$A$4005,"&lt;="&amp;MIN(P$2+6,Dashboard!$Q$3+6))/$C6))</f>
        <v>13</v>
      </c>
      <c r="Q6" s="0" t="n">
        <f aca="false">IF($B6="","",INT(SUMIFS('Release Log'!$D$6:$D$4005,'Release Log'!$B$6:$B$4005,Dashboard!$D$3,'Release Log'!$C$6:$C$4005,$B6,'Release Log'!$A$6:$A$4005,"&lt;="&amp;MIN(Q$2+6,Dashboard!$Q$3+6))/$C6))</f>
        <v>13</v>
      </c>
      <c r="R6" s="0" t="n">
        <f aca="false">IF($B6="","",INT(SUMIFS('Release Log'!$D$6:$D$4005,'Release Log'!$B$6:$B$4005,Dashboard!$D$3,'Release Log'!$C$6:$C$4005,$B6,'Release Log'!$A$6:$A$4005,"&lt;="&amp;MIN(R$2+6,Dashboard!$Q$3+6))/$C6))</f>
        <v>13</v>
      </c>
      <c r="S6" s="0" t="n">
        <f aca="false">IF($B6="","",INT(SUMIFS('Release Log'!$D$6:$D$4005,'Release Log'!$B$6:$B$4005,Dashboard!$D$3,'Release Log'!$C$6:$C$4005,$B6,'Release Log'!$A$6:$A$4005,"&lt;="&amp;MIN(S$2+6,Dashboard!$Q$3+6))/$C6))</f>
        <v>13</v>
      </c>
      <c r="T6" s="0" t="n">
        <f aca="false">IF($B6="","",INT(SUMIFS('Release Log'!$D$6:$D$4005,'Release Log'!$B$6:$B$4005,Dashboard!$D$3,'Release Log'!$C$6:$C$4005,$B6,'Release Log'!$A$6:$A$4005,"&lt;="&amp;MIN(T$2+6,Dashboard!$Q$3+6))/$C6))</f>
        <v>13</v>
      </c>
      <c r="U6" s="0" t="n">
        <f aca="false">IF($B6="","",INT(SUMIFS('Release Log'!$D$6:$D$4005,'Release Log'!$B$6:$B$4005,Dashboard!$D$3,'Release Log'!$C$6:$C$4005,$B6,'Release Log'!$A$6:$A$4005,"&lt;="&amp;MIN(U$2+6,Dashboard!$Q$3+6))/$C6))</f>
        <v>13</v>
      </c>
      <c r="V6" s="0" t="n">
        <f aca="false">IF($B6="","",INT(SUMIFS('Release Log'!$D$6:$D$4005,'Release Log'!$B$6:$B$4005,Dashboard!$D$3,'Release Log'!$C$6:$C$4005,$B6,'Release Log'!$A$6:$A$4005,"&lt;="&amp;MIN(V$2+6,Dashboard!$Q$3+6))/$C6))</f>
        <v>13</v>
      </c>
      <c r="W6" s="0" t="n">
        <f aca="false">IF($B6="","",INT(SUMIFS('Release Log'!$D$6:$D$4005,'Release Log'!$B$6:$B$4005,Dashboard!$D$3,'Release Log'!$C$6:$C$4005,$B6,'Release Log'!$A$6:$A$4005,"&lt;="&amp;MIN(W$2+6,Dashboard!$Q$3+6))/$C6))</f>
        <v>13</v>
      </c>
      <c r="X6" s="0" t="n">
        <f aca="false">IF($B6="","",INT(SUMIFS('Release Log'!$D$6:$D$4005,'Release Log'!$B$6:$B$4005,Dashboard!$D$3,'Release Log'!$C$6:$C$4005,$B6,'Release Log'!$A$6:$A$4005,"&lt;="&amp;MIN(X$2+6,Dashboard!$Q$3+6))/$C6))</f>
        <v>13</v>
      </c>
      <c r="Y6" s="0" t="n">
        <f aca="false">IF($B6="","",INT(SUMIFS('Release Log'!$D$6:$D$4005,'Release Log'!$B$6:$B$4005,Dashboard!$D$3,'Release Log'!$C$6:$C$4005,$B6,'Release Log'!$A$6:$A$4005,"&lt;="&amp;MIN(Y$2+6,Dashboard!$Q$3+6))/$C6))</f>
        <v>13</v>
      </c>
      <c r="Z6" s="0" t="n">
        <f aca="false">IF($B6="","",INT(SUMIFS('Release Log'!$D$6:$D$4005,'Release Log'!$B$6:$B$4005,Dashboard!$D$3,'Release Log'!$C$6:$C$4005,$B6,'Release Log'!$A$6:$A$4005,"&lt;="&amp;MIN(Z$2+6,Dashboard!$Q$3+6))/$C6))</f>
        <v>13</v>
      </c>
      <c r="AA6" s="0" t="n">
        <f aca="false">IF($B6="","",INT(SUMIFS('Release Log'!$D$6:$D$4005,'Release Log'!$B$6:$B$4005,Dashboard!$D$3,'Release Log'!$C$6:$C$4005,$B6,'Release Log'!$A$6:$A$4005,"&lt;="&amp;MIN(AA$2+6,Dashboard!$Q$3+6))/$C6))</f>
        <v>13</v>
      </c>
      <c r="AB6" s="0" t="n">
        <f aca="false">IF($B6="","",INT(SUMIFS('Release Log'!$D$6:$D$4005,'Release Log'!$B$6:$B$4005,Dashboard!$D$3,'Release Log'!$C$6:$C$4005,$B6,'Release Log'!$A$6:$A$4005,"&lt;="&amp;MIN(AB$2+6,Dashboard!$Q$3+6))/$C6))</f>
        <v>13</v>
      </c>
      <c r="AC6" s="0" t="n">
        <f aca="false">IF($B6="","",INT(SUMIFS('Release Log'!$D$6:$D$4005,'Release Log'!$B$6:$B$4005,Dashboard!$D$3,'Release Log'!$C$6:$C$4005,$B6,'Release Log'!$A$6:$A$4005,"&lt;="&amp;MIN(AC$2+6,Dashboard!$Q$3+6))/$C6))</f>
        <v>13</v>
      </c>
      <c r="AD6" s="0" t="n">
        <f aca="false">IF($B6="","",INT(SUMIFS('Release Log'!$D$6:$D$4005,'Release Log'!$B$6:$B$4005,Dashboard!$D$3,'Release Log'!$C$6:$C$4005,$B6,'Release Log'!$A$6:$A$4005,"&lt;="&amp;MIN(AD$2+6,Dashboard!$Q$3+6))/$C6))</f>
        <v>13</v>
      </c>
      <c r="AE6" s="0" t="n">
        <f aca="false">IF($B6="","",INT(SUMIFS('Release Log'!$D$6:$D$4005,'Release Log'!$B$6:$B$4005,Dashboard!$D$3,'Release Log'!$C$6:$C$4005,$B6,'Release Log'!$A$6:$A$4005,"&lt;="&amp;MIN(AE$2+6,Dashboard!$Q$3+6))/$C6))</f>
        <v>13</v>
      </c>
      <c r="AF6" s="0" t="n">
        <f aca="false">IF($B6="","",INT(SUMIFS('Release Log'!$D$6:$D$4005,'Release Log'!$B$6:$B$4005,Dashboard!$D$3,'Release Log'!$C$6:$C$4005,$B6,'Release Log'!$A$6:$A$4005,"&lt;="&amp;MIN(AF$2+6,Dashboard!$Q$3+6))/$C6))</f>
        <v>13</v>
      </c>
      <c r="AG6" s="0" t="n">
        <f aca="false">IF($B6="","",INT(SUMIFS('Release Log'!$D$6:$D$4005,'Release Log'!$B$6:$B$4005,Dashboard!$D$3,'Release Log'!$C$6:$C$4005,$B6,'Release Log'!$A$6:$A$4005,"&lt;="&amp;MIN(AG$2+6,Dashboard!$Q$3+6))/$C6))</f>
        <v>13</v>
      </c>
      <c r="AH6" s="0" t="n">
        <f aca="false">IF($B6="","",INT(SUMIFS('Release Log'!$D$6:$D$4005,'Release Log'!$B$6:$B$4005,Dashboard!$D$3,'Release Log'!$C$6:$C$4005,$B6,'Release Log'!$A$6:$A$4005,"&lt;="&amp;MIN(AH$2+6,Dashboard!$Q$3+6))/$C6))</f>
        <v>13</v>
      </c>
      <c r="AI6" s="0" t="n">
        <f aca="false">IF($B6="","",INT(SUMIFS('Release Log'!$D$6:$D$4005,'Release Log'!$B$6:$B$4005,Dashboard!$D$3,'Release Log'!$C$6:$C$4005,$B6,'Release Log'!$A$6:$A$4005,"&lt;="&amp;MIN(AI$2+6,Dashboard!$Q$3+6))/$C6))</f>
        <v>13</v>
      </c>
      <c r="AJ6" s="0" t="n">
        <f aca="false">IF($B6="","",INT(SUMIFS('Release Log'!$D$6:$D$4005,'Release Log'!$B$6:$B$4005,Dashboard!$D$3,'Release Log'!$C$6:$C$4005,$B6,'Release Log'!$A$6:$A$4005,"&lt;="&amp;MIN(AJ$2+6,Dashboard!$Q$3+6))/$C6))</f>
        <v>13</v>
      </c>
      <c r="AK6" s="0" t="n">
        <f aca="false">IF($B6="","",INT(SUMIFS('Release Log'!$D$6:$D$4005,'Release Log'!$B$6:$B$4005,Dashboard!$D$3,'Release Log'!$C$6:$C$4005,$B6,'Release Log'!$A$6:$A$4005,"&lt;="&amp;MIN(AK$2+6,Dashboard!$Q$3+6))/$C6))</f>
        <v>13</v>
      </c>
      <c r="AL6" s="0" t="n">
        <f aca="false">IF($B6="","",INT(SUMIFS('Release Log'!$D$6:$D$4005,'Release Log'!$B$6:$B$4005,Dashboard!$D$3,'Release Log'!$C$6:$C$4005,$B6,'Release Log'!$A$6:$A$4005,"&lt;="&amp;MIN(AL$2+6,Dashboard!$Q$3+6))/$C6))</f>
        <v>13</v>
      </c>
      <c r="AM6" s="0" t="n">
        <f aca="false">IF($B6="","",INT(SUMIFS('Release Log'!$D$6:$D$4005,'Release Log'!$B$6:$B$4005,Dashboard!$D$3,'Release Log'!$C$6:$C$4005,$B6,'Release Log'!$A$6:$A$4005,"&lt;="&amp;MIN(AM$2+6,Dashboard!$Q$3+6))/$C6))</f>
        <v>13</v>
      </c>
      <c r="AN6" s="0" t="n">
        <f aca="false">IF($B6="","",INT(SUMIFS('Release Log'!$D$6:$D$4005,'Release Log'!$B$6:$B$4005,Dashboard!$D$3,'Release Log'!$C$6:$C$4005,$B6,'Release Log'!$A$6:$A$4005,"&lt;="&amp;MIN(AN$2+6,Dashboard!$Q$3+6))/$C6))</f>
        <v>13</v>
      </c>
      <c r="AO6" s="0" t="n">
        <f aca="false">IF($B6="","",INT(SUMIFS('Release Log'!$D$6:$D$4005,'Release Log'!$B$6:$B$4005,Dashboard!$D$3,'Release Log'!$C$6:$C$4005,$B6,'Release Log'!$A$6:$A$4005,"&lt;="&amp;MIN(AO$2+6,Dashboard!$Q$3+6))/$C6))</f>
        <v>13</v>
      </c>
      <c r="AP6" s="0" t="n">
        <f aca="false">IF($B6="","",INT(SUMIFS('Release Log'!$D$6:$D$4005,'Release Log'!$B$6:$B$4005,Dashboard!$D$3,'Release Log'!$C$6:$C$4005,$B6,'Release Log'!$A$6:$A$4005,"&lt;="&amp;MIN(AP$2+6,Dashboard!$Q$3+6))/$C6))</f>
        <v>13</v>
      </c>
      <c r="AQ6" s="0" t="n">
        <f aca="false">IF($B6="","",INT(SUMIFS('Release Log'!$D$6:$D$4005,'Release Log'!$B$6:$B$4005,Dashboard!$D$3,'Release Log'!$C$6:$C$4005,$B6,'Release Log'!$A$6:$A$4005,"&lt;="&amp;MIN(AQ$2+6,Dashboard!$Q$3+6))/$C6))</f>
        <v>13</v>
      </c>
    </row>
    <row r="7" customFormat="false" ht="15" hidden="false" customHeight="false" outlineLevel="0" collapsed="false">
      <c r="A7" s="0" t="n">
        <v>4</v>
      </c>
      <c r="B7" s="0" t="str">
        <f aca="false">IFERROR(INDEX('Kit Lists'!$C$6:$C$605,MATCH(Dashboard!$D$3&amp;"|"&amp;A7,'Kit Lists'!$G$6:$G$605,0)),"")</f>
        <v>92YFD04548BAA</v>
      </c>
      <c r="C7" s="0" t="n">
        <f aca="false">IF(B7="","",INDEX('Kit Lists'!$E$6:$E$605,MATCH(Dashboard!$D$3&amp;"|"&amp;A7,'Kit Lists'!$G$6:$G$605,0)))</f>
        <v>1</v>
      </c>
      <c r="D7" s="0" t="n">
        <f aca="false">IF($B7="","",INT(SUMIFS('Release Log'!$D$6:$D$4005,'Release Log'!$B$6:$B$4005,Dashboard!$D$3,'Release Log'!$C$6:$C$4005,$B7,'Release Log'!$A$6:$A$4005,"&lt;="&amp;MIN(D$2+6,Dashboard!$Q$3+6))/$C7))</f>
        <v>3</v>
      </c>
      <c r="E7" s="0" t="n">
        <f aca="false">IF($B7="","",INT(SUMIFS('Release Log'!$D$6:$D$4005,'Release Log'!$B$6:$B$4005,Dashboard!$D$3,'Release Log'!$C$6:$C$4005,$B7,'Release Log'!$A$6:$A$4005,"&lt;="&amp;MIN(E$2+6,Dashboard!$Q$3+6))/$C7))</f>
        <v>3</v>
      </c>
      <c r="F7" s="0" t="n">
        <f aca="false">IF($B7="","",INT(SUMIFS('Release Log'!$D$6:$D$4005,'Release Log'!$B$6:$B$4005,Dashboard!$D$3,'Release Log'!$C$6:$C$4005,$B7,'Release Log'!$A$6:$A$4005,"&lt;="&amp;MIN(F$2+6,Dashboard!$Q$3+6))/$C7))</f>
        <v>4</v>
      </c>
      <c r="G7" s="0" t="n">
        <f aca="false">IF($B7="","",INT(SUMIFS('Release Log'!$D$6:$D$4005,'Release Log'!$B$6:$B$4005,Dashboard!$D$3,'Release Log'!$C$6:$C$4005,$B7,'Release Log'!$A$6:$A$4005,"&lt;="&amp;MIN(G$2+6,Dashboard!$Q$3+6))/$C7))</f>
        <v>5</v>
      </c>
      <c r="H7" s="0" t="n">
        <f aca="false">IF($B7="","",INT(SUMIFS('Release Log'!$D$6:$D$4005,'Release Log'!$B$6:$B$4005,Dashboard!$D$3,'Release Log'!$C$6:$C$4005,$B7,'Release Log'!$A$6:$A$4005,"&lt;="&amp;MIN(H$2+6,Dashboard!$Q$3+6))/$C7))</f>
        <v>6</v>
      </c>
      <c r="I7" s="0" t="n">
        <f aca="false">IF($B7="","",INT(SUMIFS('Release Log'!$D$6:$D$4005,'Release Log'!$B$6:$B$4005,Dashboard!$D$3,'Release Log'!$C$6:$C$4005,$B7,'Release Log'!$A$6:$A$4005,"&lt;="&amp;MIN(I$2+6,Dashboard!$Q$3+6))/$C7))</f>
        <v>7</v>
      </c>
      <c r="J7" s="0" t="n">
        <f aca="false">IF($B7="","",INT(SUMIFS('Release Log'!$D$6:$D$4005,'Release Log'!$B$6:$B$4005,Dashboard!$D$3,'Release Log'!$C$6:$C$4005,$B7,'Release Log'!$A$6:$A$4005,"&lt;="&amp;MIN(J$2+6,Dashboard!$Q$3+6))/$C7))</f>
        <v>7</v>
      </c>
      <c r="K7" s="0" t="n">
        <f aca="false">IF($B7="","",INT(SUMIFS('Release Log'!$D$6:$D$4005,'Release Log'!$B$6:$B$4005,Dashboard!$D$3,'Release Log'!$C$6:$C$4005,$B7,'Release Log'!$A$6:$A$4005,"&lt;="&amp;MIN(K$2+6,Dashboard!$Q$3+6))/$C7))</f>
        <v>8</v>
      </c>
      <c r="L7" s="0" t="n">
        <f aca="false">IF($B7="","",INT(SUMIFS('Release Log'!$D$6:$D$4005,'Release Log'!$B$6:$B$4005,Dashboard!$D$3,'Release Log'!$C$6:$C$4005,$B7,'Release Log'!$A$6:$A$4005,"&lt;="&amp;MIN(L$2+6,Dashboard!$Q$3+6))/$C7))</f>
        <v>9</v>
      </c>
      <c r="M7" s="0" t="n">
        <f aca="false">IF($B7="","",INT(SUMIFS('Release Log'!$D$6:$D$4005,'Release Log'!$B$6:$B$4005,Dashboard!$D$3,'Release Log'!$C$6:$C$4005,$B7,'Release Log'!$A$6:$A$4005,"&lt;="&amp;MIN(M$2+6,Dashboard!$Q$3+6))/$C7))</f>
        <v>9</v>
      </c>
      <c r="N7" s="0" t="n">
        <f aca="false">IF($B7="","",INT(SUMIFS('Release Log'!$D$6:$D$4005,'Release Log'!$B$6:$B$4005,Dashboard!$D$3,'Release Log'!$C$6:$C$4005,$B7,'Release Log'!$A$6:$A$4005,"&lt;="&amp;MIN(N$2+6,Dashboard!$Q$3+6))/$C7))</f>
        <v>10</v>
      </c>
      <c r="O7" s="0" t="n">
        <f aca="false">IF($B7="","",INT(SUMIFS('Release Log'!$D$6:$D$4005,'Release Log'!$B$6:$B$4005,Dashboard!$D$3,'Release Log'!$C$6:$C$4005,$B7,'Release Log'!$A$6:$A$4005,"&lt;="&amp;MIN(O$2+6,Dashboard!$Q$3+6))/$C7))</f>
        <v>13</v>
      </c>
      <c r="P7" s="0" t="n">
        <f aca="false">IF($B7="","",INT(SUMIFS('Release Log'!$D$6:$D$4005,'Release Log'!$B$6:$B$4005,Dashboard!$D$3,'Release Log'!$C$6:$C$4005,$B7,'Release Log'!$A$6:$A$4005,"&lt;="&amp;MIN(P$2+6,Dashboard!$Q$3+6))/$C7))</f>
        <v>13</v>
      </c>
      <c r="Q7" s="0" t="n">
        <f aca="false">IF($B7="","",INT(SUMIFS('Release Log'!$D$6:$D$4005,'Release Log'!$B$6:$B$4005,Dashboard!$D$3,'Release Log'!$C$6:$C$4005,$B7,'Release Log'!$A$6:$A$4005,"&lt;="&amp;MIN(Q$2+6,Dashboard!$Q$3+6))/$C7))</f>
        <v>13</v>
      </c>
      <c r="R7" s="0" t="n">
        <f aca="false">IF($B7="","",INT(SUMIFS('Release Log'!$D$6:$D$4005,'Release Log'!$B$6:$B$4005,Dashboard!$D$3,'Release Log'!$C$6:$C$4005,$B7,'Release Log'!$A$6:$A$4005,"&lt;="&amp;MIN(R$2+6,Dashboard!$Q$3+6))/$C7))</f>
        <v>13</v>
      </c>
      <c r="S7" s="0" t="n">
        <f aca="false">IF($B7="","",INT(SUMIFS('Release Log'!$D$6:$D$4005,'Release Log'!$B$6:$B$4005,Dashboard!$D$3,'Release Log'!$C$6:$C$4005,$B7,'Release Log'!$A$6:$A$4005,"&lt;="&amp;MIN(S$2+6,Dashboard!$Q$3+6))/$C7))</f>
        <v>13</v>
      </c>
      <c r="T7" s="0" t="n">
        <f aca="false">IF($B7="","",INT(SUMIFS('Release Log'!$D$6:$D$4005,'Release Log'!$B$6:$B$4005,Dashboard!$D$3,'Release Log'!$C$6:$C$4005,$B7,'Release Log'!$A$6:$A$4005,"&lt;="&amp;MIN(T$2+6,Dashboard!$Q$3+6))/$C7))</f>
        <v>13</v>
      </c>
      <c r="U7" s="0" t="n">
        <f aca="false">IF($B7="","",INT(SUMIFS('Release Log'!$D$6:$D$4005,'Release Log'!$B$6:$B$4005,Dashboard!$D$3,'Release Log'!$C$6:$C$4005,$B7,'Release Log'!$A$6:$A$4005,"&lt;="&amp;MIN(U$2+6,Dashboard!$Q$3+6))/$C7))</f>
        <v>13</v>
      </c>
      <c r="V7" s="0" t="n">
        <f aca="false">IF($B7="","",INT(SUMIFS('Release Log'!$D$6:$D$4005,'Release Log'!$B$6:$B$4005,Dashboard!$D$3,'Release Log'!$C$6:$C$4005,$B7,'Release Log'!$A$6:$A$4005,"&lt;="&amp;MIN(V$2+6,Dashboard!$Q$3+6))/$C7))</f>
        <v>13</v>
      </c>
      <c r="W7" s="0" t="n">
        <f aca="false">IF($B7="","",INT(SUMIFS('Release Log'!$D$6:$D$4005,'Release Log'!$B$6:$B$4005,Dashboard!$D$3,'Release Log'!$C$6:$C$4005,$B7,'Release Log'!$A$6:$A$4005,"&lt;="&amp;MIN(W$2+6,Dashboard!$Q$3+6))/$C7))</f>
        <v>13</v>
      </c>
      <c r="X7" s="0" t="n">
        <f aca="false">IF($B7="","",INT(SUMIFS('Release Log'!$D$6:$D$4005,'Release Log'!$B$6:$B$4005,Dashboard!$D$3,'Release Log'!$C$6:$C$4005,$B7,'Release Log'!$A$6:$A$4005,"&lt;="&amp;MIN(X$2+6,Dashboard!$Q$3+6))/$C7))</f>
        <v>13</v>
      </c>
      <c r="Y7" s="0" t="n">
        <f aca="false">IF($B7="","",INT(SUMIFS('Release Log'!$D$6:$D$4005,'Release Log'!$B$6:$B$4005,Dashboard!$D$3,'Release Log'!$C$6:$C$4005,$B7,'Release Log'!$A$6:$A$4005,"&lt;="&amp;MIN(Y$2+6,Dashboard!$Q$3+6))/$C7))</f>
        <v>13</v>
      </c>
      <c r="Z7" s="0" t="n">
        <f aca="false">IF($B7="","",INT(SUMIFS('Release Log'!$D$6:$D$4005,'Release Log'!$B$6:$B$4005,Dashboard!$D$3,'Release Log'!$C$6:$C$4005,$B7,'Release Log'!$A$6:$A$4005,"&lt;="&amp;MIN(Z$2+6,Dashboard!$Q$3+6))/$C7))</f>
        <v>13</v>
      </c>
      <c r="AA7" s="0" t="n">
        <f aca="false">IF($B7="","",INT(SUMIFS('Release Log'!$D$6:$D$4005,'Release Log'!$B$6:$B$4005,Dashboard!$D$3,'Release Log'!$C$6:$C$4005,$B7,'Release Log'!$A$6:$A$4005,"&lt;="&amp;MIN(AA$2+6,Dashboard!$Q$3+6))/$C7))</f>
        <v>13</v>
      </c>
      <c r="AB7" s="0" t="n">
        <f aca="false">IF($B7="","",INT(SUMIFS('Release Log'!$D$6:$D$4005,'Release Log'!$B$6:$B$4005,Dashboard!$D$3,'Release Log'!$C$6:$C$4005,$B7,'Release Log'!$A$6:$A$4005,"&lt;="&amp;MIN(AB$2+6,Dashboard!$Q$3+6))/$C7))</f>
        <v>13</v>
      </c>
      <c r="AC7" s="0" t="n">
        <f aca="false">IF($B7="","",INT(SUMIFS('Release Log'!$D$6:$D$4005,'Release Log'!$B$6:$B$4005,Dashboard!$D$3,'Release Log'!$C$6:$C$4005,$B7,'Release Log'!$A$6:$A$4005,"&lt;="&amp;MIN(AC$2+6,Dashboard!$Q$3+6))/$C7))</f>
        <v>13</v>
      </c>
      <c r="AD7" s="0" t="n">
        <f aca="false">IF($B7="","",INT(SUMIFS('Release Log'!$D$6:$D$4005,'Release Log'!$B$6:$B$4005,Dashboard!$D$3,'Release Log'!$C$6:$C$4005,$B7,'Release Log'!$A$6:$A$4005,"&lt;="&amp;MIN(AD$2+6,Dashboard!$Q$3+6))/$C7))</f>
        <v>13</v>
      </c>
      <c r="AE7" s="0" t="n">
        <f aca="false">IF($B7="","",INT(SUMIFS('Release Log'!$D$6:$D$4005,'Release Log'!$B$6:$B$4005,Dashboard!$D$3,'Release Log'!$C$6:$C$4005,$B7,'Release Log'!$A$6:$A$4005,"&lt;="&amp;MIN(AE$2+6,Dashboard!$Q$3+6))/$C7))</f>
        <v>13</v>
      </c>
      <c r="AF7" s="0" t="n">
        <f aca="false">IF($B7="","",INT(SUMIFS('Release Log'!$D$6:$D$4005,'Release Log'!$B$6:$B$4005,Dashboard!$D$3,'Release Log'!$C$6:$C$4005,$B7,'Release Log'!$A$6:$A$4005,"&lt;="&amp;MIN(AF$2+6,Dashboard!$Q$3+6))/$C7))</f>
        <v>13</v>
      </c>
      <c r="AG7" s="0" t="n">
        <f aca="false">IF($B7="","",INT(SUMIFS('Release Log'!$D$6:$D$4005,'Release Log'!$B$6:$B$4005,Dashboard!$D$3,'Release Log'!$C$6:$C$4005,$B7,'Release Log'!$A$6:$A$4005,"&lt;="&amp;MIN(AG$2+6,Dashboard!$Q$3+6))/$C7))</f>
        <v>13</v>
      </c>
      <c r="AH7" s="0" t="n">
        <f aca="false">IF($B7="","",INT(SUMIFS('Release Log'!$D$6:$D$4005,'Release Log'!$B$6:$B$4005,Dashboard!$D$3,'Release Log'!$C$6:$C$4005,$B7,'Release Log'!$A$6:$A$4005,"&lt;="&amp;MIN(AH$2+6,Dashboard!$Q$3+6))/$C7))</f>
        <v>13</v>
      </c>
      <c r="AI7" s="0" t="n">
        <f aca="false">IF($B7="","",INT(SUMIFS('Release Log'!$D$6:$D$4005,'Release Log'!$B$6:$B$4005,Dashboard!$D$3,'Release Log'!$C$6:$C$4005,$B7,'Release Log'!$A$6:$A$4005,"&lt;="&amp;MIN(AI$2+6,Dashboard!$Q$3+6))/$C7))</f>
        <v>13</v>
      </c>
      <c r="AJ7" s="0" t="n">
        <f aca="false">IF($B7="","",INT(SUMIFS('Release Log'!$D$6:$D$4005,'Release Log'!$B$6:$B$4005,Dashboard!$D$3,'Release Log'!$C$6:$C$4005,$B7,'Release Log'!$A$6:$A$4005,"&lt;="&amp;MIN(AJ$2+6,Dashboard!$Q$3+6))/$C7))</f>
        <v>13</v>
      </c>
      <c r="AK7" s="0" t="n">
        <f aca="false">IF($B7="","",INT(SUMIFS('Release Log'!$D$6:$D$4005,'Release Log'!$B$6:$B$4005,Dashboard!$D$3,'Release Log'!$C$6:$C$4005,$B7,'Release Log'!$A$6:$A$4005,"&lt;="&amp;MIN(AK$2+6,Dashboard!$Q$3+6))/$C7))</f>
        <v>13</v>
      </c>
      <c r="AL7" s="0" t="n">
        <f aca="false">IF($B7="","",INT(SUMIFS('Release Log'!$D$6:$D$4005,'Release Log'!$B$6:$B$4005,Dashboard!$D$3,'Release Log'!$C$6:$C$4005,$B7,'Release Log'!$A$6:$A$4005,"&lt;="&amp;MIN(AL$2+6,Dashboard!$Q$3+6))/$C7))</f>
        <v>13</v>
      </c>
      <c r="AM7" s="0" t="n">
        <f aca="false">IF($B7="","",INT(SUMIFS('Release Log'!$D$6:$D$4005,'Release Log'!$B$6:$B$4005,Dashboard!$D$3,'Release Log'!$C$6:$C$4005,$B7,'Release Log'!$A$6:$A$4005,"&lt;="&amp;MIN(AM$2+6,Dashboard!$Q$3+6))/$C7))</f>
        <v>13</v>
      </c>
      <c r="AN7" s="0" t="n">
        <f aca="false">IF($B7="","",INT(SUMIFS('Release Log'!$D$6:$D$4005,'Release Log'!$B$6:$B$4005,Dashboard!$D$3,'Release Log'!$C$6:$C$4005,$B7,'Release Log'!$A$6:$A$4005,"&lt;="&amp;MIN(AN$2+6,Dashboard!$Q$3+6))/$C7))</f>
        <v>13</v>
      </c>
      <c r="AO7" s="0" t="n">
        <f aca="false">IF($B7="","",INT(SUMIFS('Release Log'!$D$6:$D$4005,'Release Log'!$B$6:$B$4005,Dashboard!$D$3,'Release Log'!$C$6:$C$4005,$B7,'Release Log'!$A$6:$A$4005,"&lt;="&amp;MIN(AO$2+6,Dashboard!$Q$3+6))/$C7))</f>
        <v>13</v>
      </c>
      <c r="AP7" s="0" t="n">
        <f aca="false">IF($B7="","",INT(SUMIFS('Release Log'!$D$6:$D$4005,'Release Log'!$B$6:$B$4005,Dashboard!$D$3,'Release Log'!$C$6:$C$4005,$B7,'Release Log'!$A$6:$A$4005,"&lt;="&amp;MIN(AP$2+6,Dashboard!$Q$3+6))/$C7))</f>
        <v>13</v>
      </c>
      <c r="AQ7" s="0" t="n">
        <f aca="false">IF($B7="","",INT(SUMIFS('Release Log'!$D$6:$D$4005,'Release Log'!$B$6:$B$4005,Dashboard!$D$3,'Release Log'!$C$6:$C$4005,$B7,'Release Log'!$A$6:$A$4005,"&lt;="&amp;MIN(AQ$2+6,Dashboard!$Q$3+6))/$C7))</f>
        <v>13</v>
      </c>
    </row>
    <row r="8" customFormat="false" ht="15" hidden="false" customHeight="false" outlineLevel="0" collapsed="false">
      <c r="A8" s="0" t="n">
        <v>5</v>
      </c>
      <c r="B8" s="0" t="str">
        <f aca="false">IFERROR(INDEX('Kit Lists'!$C$6:$C$605,MATCH(Dashboard!$D$3&amp;"|"&amp;A8,'Kit Lists'!$G$6:$G$605,0)),"")</f>
        <v>92YFD04548BBA</v>
      </c>
      <c r="C8" s="0" t="n">
        <f aca="false">IF(B8="","",INDEX('Kit Lists'!$E$6:$E$605,MATCH(Dashboard!$D$3&amp;"|"&amp;A8,'Kit Lists'!$G$6:$G$605,0)))</f>
        <v>2</v>
      </c>
      <c r="D8" s="0" t="n">
        <f aca="false">IF($B8="","",INT(SUMIFS('Release Log'!$D$6:$D$4005,'Release Log'!$B$6:$B$4005,Dashboard!$D$3,'Release Log'!$C$6:$C$4005,$B8,'Release Log'!$A$6:$A$4005,"&lt;="&amp;MIN(D$2+6,Dashboard!$Q$3+6))/$C8))</f>
        <v>3</v>
      </c>
      <c r="E8" s="0" t="n">
        <f aca="false">IF($B8="","",INT(SUMIFS('Release Log'!$D$6:$D$4005,'Release Log'!$B$6:$B$4005,Dashboard!$D$3,'Release Log'!$C$6:$C$4005,$B8,'Release Log'!$A$6:$A$4005,"&lt;="&amp;MIN(E$2+6,Dashboard!$Q$3+6))/$C8))</f>
        <v>3</v>
      </c>
      <c r="F8" s="0" t="n">
        <f aca="false">IF($B8="","",INT(SUMIFS('Release Log'!$D$6:$D$4005,'Release Log'!$B$6:$B$4005,Dashboard!$D$3,'Release Log'!$C$6:$C$4005,$B8,'Release Log'!$A$6:$A$4005,"&lt;="&amp;MIN(F$2+6,Dashboard!$Q$3+6))/$C8))</f>
        <v>4</v>
      </c>
      <c r="G8" s="0" t="n">
        <f aca="false">IF($B8="","",INT(SUMIFS('Release Log'!$D$6:$D$4005,'Release Log'!$B$6:$B$4005,Dashboard!$D$3,'Release Log'!$C$6:$C$4005,$B8,'Release Log'!$A$6:$A$4005,"&lt;="&amp;MIN(G$2+6,Dashboard!$Q$3+6))/$C8))</f>
        <v>4</v>
      </c>
      <c r="H8" s="0" t="n">
        <f aca="false">IF($B8="","",INT(SUMIFS('Release Log'!$D$6:$D$4005,'Release Log'!$B$6:$B$4005,Dashboard!$D$3,'Release Log'!$C$6:$C$4005,$B8,'Release Log'!$A$6:$A$4005,"&lt;="&amp;MIN(H$2+6,Dashboard!$Q$3+6))/$C8))</f>
        <v>5</v>
      </c>
      <c r="I8" s="0" t="n">
        <f aca="false">IF($B8="","",INT(SUMIFS('Release Log'!$D$6:$D$4005,'Release Log'!$B$6:$B$4005,Dashboard!$D$3,'Release Log'!$C$6:$C$4005,$B8,'Release Log'!$A$6:$A$4005,"&lt;="&amp;MIN(I$2+6,Dashboard!$Q$3+6))/$C8))</f>
        <v>6</v>
      </c>
      <c r="J8" s="0" t="n">
        <f aca="false">IF($B8="","",INT(SUMIFS('Release Log'!$D$6:$D$4005,'Release Log'!$B$6:$B$4005,Dashboard!$D$3,'Release Log'!$C$6:$C$4005,$B8,'Release Log'!$A$6:$A$4005,"&lt;="&amp;MIN(J$2+6,Dashboard!$Q$3+6))/$C8))</f>
        <v>6</v>
      </c>
      <c r="K8" s="0" t="n">
        <f aca="false">IF($B8="","",INT(SUMIFS('Release Log'!$D$6:$D$4005,'Release Log'!$B$6:$B$4005,Dashboard!$D$3,'Release Log'!$C$6:$C$4005,$B8,'Release Log'!$A$6:$A$4005,"&lt;="&amp;MIN(K$2+6,Dashboard!$Q$3+6))/$C8))</f>
        <v>7</v>
      </c>
      <c r="L8" s="0" t="n">
        <f aca="false">IF($B8="","",INT(SUMIFS('Release Log'!$D$6:$D$4005,'Release Log'!$B$6:$B$4005,Dashboard!$D$3,'Release Log'!$C$6:$C$4005,$B8,'Release Log'!$A$6:$A$4005,"&lt;="&amp;MIN(L$2+6,Dashboard!$Q$3+6))/$C8))</f>
        <v>8</v>
      </c>
      <c r="M8" s="0" t="n">
        <f aca="false">IF($B8="","",INT(SUMIFS('Release Log'!$D$6:$D$4005,'Release Log'!$B$6:$B$4005,Dashboard!$D$3,'Release Log'!$C$6:$C$4005,$B8,'Release Log'!$A$6:$A$4005,"&lt;="&amp;MIN(M$2+6,Dashboard!$Q$3+6))/$C8))</f>
        <v>8</v>
      </c>
      <c r="N8" s="0" t="n">
        <f aca="false">IF($B8="","",INT(SUMIFS('Release Log'!$D$6:$D$4005,'Release Log'!$B$6:$B$4005,Dashboard!$D$3,'Release Log'!$C$6:$C$4005,$B8,'Release Log'!$A$6:$A$4005,"&lt;="&amp;MIN(N$2+6,Dashboard!$Q$3+6))/$C8))</f>
        <v>9</v>
      </c>
      <c r="O8" s="0" t="n">
        <f aca="false">IF($B8="","",INT(SUMIFS('Release Log'!$D$6:$D$4005,'Release Log'!$B$6:$B$4005,Dashboard!$D$3,'Release Log'!$C$6:$C$4005,$B8,'Release Log'!$A$6:$A$4005,"&lt;="&amp;MIN(O$2+6,Dashboard!$Q$3+6))/$C8))</f>
        <v>13</v>
      </c>
      <c r="P8" s="0" t="n">
        <f aca="false">IF($B8="","",INT(SUMIFS('Release Log'!$D$6:$D$4005,'Release Log'!$B$6:$B$4005,Dashboard!$D$3,'Release Log'!$C$6:$C$4005,$B8,'Release Log'!$A$6:$A$4005,"&lt;="&amp;MIN(P$2+6,Dashboard!$Q$3+6))/$C8))</f>
        <v>13</v>
      </c>
      <c r="Q8" s="0" t="n">
        <f aca="false">IF($B8="","",INT(SUMIFS('Release Log'!$D$6:$D$4005,'Release Log'!$B$6:$B$4005,Dashboard!$D$3,'Release Log'!$C$6:$C$4005,$B8,'Release Log'!$A$6:$A$4005,"&lt;="&amp;MIN(Q$2+6,Dashboard!$Q$3+6))/$C8))</f>
        <v>13</v>
      </c>
      <c r="R8" s="0" t="n">
        <f aca="false">IF($B8="","",INT(SUMIFS('Release Log'!$D$6:$D$4005,'Release Log'!$B$6:$B$4005,Dashboard!$D$3,'Release Log'!$C$6:$C$4005,$B8,'Release Log'!$A$6:$A$4005,"&lt;="&amp;MIN(R$2+6,Dashboard!$Q$3+6))/$C8))</f>
        <v>13</v>
      </c>
      <c r="S8" s="0" t="n">
        <f aca="false">IF($B8="","",INT(SUMIFS('Release Log'!$D$6:$D$4005,'Release Log'!$B$6:$B$4005,Dashboard!$D$3,'Release Log'!$C$6:$C$4005,$B8,'Release Log'!$A$6:$A$4005,"&lt;="&amp;MIN(S$2+6,Dashboard!$Q$3+6))/$C8))</f>
        <v>13</v>
      </c>
      <c r="T8" s="0" t="n">
        <f aca="false">IF($B8="","",INT(SUMIFS('Release Log'!$D$6:$D$4005,'Release Log'!$B$6:$B$4005,Dashboard!$D$3,'Release Log'!$C$6:$C$4005,$B8,'Release Log'!$A$6:$A$4005,"&lt;="&amp;MIN(T$2+6,Dashboard!$Q$3+6))/$C8))</f>
        <v>13</v>
      </c>
      <c r="U8" s="0" t="n">
        <f aca="false">IF($B8="","",INT(SUMIFS('Release Log'!$D$6:$D$4005,'Release Log'!$B$6:$B$4005,Dashboard!$D$3,'Release Log'!$C$6:$C$4005,$B8,'Release Log'!$A$6:$A$4005,"&lt;="&amp;MIN(U$2+6,Dashboard!$Q$3+6))/$C8))</f>
        <v>13</v>
      </c>
      <c r="V8" s="0" t="n">
        <f aca="false">IF($B8="","",INT(SUMIFS('Release Log'!$D$6:$D$4005,'Release Log'!$B$6:$B$4005,Dashboard!$D$3,'Release Log'!$C$6:$C$4005,$B8,'Release Log'!$A$6:$A$4005,"&lt;="&amp;MIN(V$2+6,Dashboard!$Q$3+6))/$C8))</f>
        <v>13</v>
      </c>
      <c r="W8" s="0" t="n">
        <f aca="false">IF($B8="","",INT(SUMIFS('Release Log'!$D$6:$D$4005,'Release Log'!$B$6:$B$4005,Dashboard!$D$3,'Release Log'!$C$6:$C$4005,$B8,'Release Log'!$A$6:$A$4005,"&lt;="&amp;MIN(W$2+6,Dashboard!$Q$3+6))/$C8))</f>
        <v>13</v>
      </c>
      <c r="X8" s="0" t="n">
        <f aca="false">IF($B8="","",INT(SUMIFS('Release Log'!$D$6:$D$4005,'Release Log'!$B$6:$B$4005,Dashboard!$D$3,'Release Log'!$C$6:$C$4005,$B8,'Release Log'!$A$6:$A$4005,"&lt;="&amp;MIN(X$2+6,Dashboard!$Q$3+6))/$C8))</f>
        <v>13</v>
      </c>
      <c r="Y8" s="0" t="n">
        <f aca="false">IF($B8="","",INT(SUMIFS('Release Log'!$D$6:$D$4005,'Release Log'!$B$6:$B$4005,Dashboard!$D$3,'Release Log'!$C$6:$C$4005,$B8,'Release Log'!$A$6:$A$4005,"&lt;="&amp;MIN(Y$2+6,Dashboard!$Q$3+6))/$C8))</f>
        <v>13</v>
      </c>
      <c r="Z8" s="0" t="n">
        <f aca="false">IF($B8="","",INT(SUMIFS('Release Log'!$D$6:$D$4005,'Release Log'!$B$6:$B$4005,Dashboard!$D$3,'Release Log'!$C$6:$C$4005,$B8,'Release Log'!$A$6:$A$4005,"&lt;="&amp;MIN(Z$2+6,Dashboard!$Q$3+6))/$C8))</f>
        <v>13</v>
      </c>
      <c r="AA8" s="0" t="n">
        <f aca="false">IF($B8="","",INT(SUMIFS('Release Log'!$D$6:$D$4005,'Release Log'!$B$6:$B$4005,Dashboard!$D$3,'Release Log'!$C$6:$C$4005,$B8,'Release Log'!$A$6:$A$4005,"&lt;="&amp;MIN(AA$2+6,Dashboard!$Q$3+6))/$C8))</f>
        <v>13</v>
      </c>
      <c r="AB8" s="0" t="n">
        <f aca="false">IF($B8="","",INT(SUMIFS('Release Log'!$D$6:$D$4005,'Release Log'!$B$6:$B$4005,Dashboard!$D$3,'Release Log'!$C$6:$C$4005,$B8,'Release Log'!$A$6:$A$4005,"&lt;="&amp;MIN(AB$2+6,Dashboard!$Q$3+6))/$C8))</f>
        <v>13</v>
      </c>
      <c r="AC8" s="0" t="n">
        <f aca="false">IF($B8="","",INT(SUMIFS('Release Log'!$D$6:$D$4005,'Release Log'!$B$6:$B$4005,Dashboard!$D$3,'Release Log'!$C$6:$C$4005,$B8,'Release Log'!$A$6:$A$4005,"&lt;="&amp;MIN(AC$2+6,Dashboard!$Q$3+6))/$C8))</f>
        <v>13</v>
      </c>
      <c r="AD8" s="0" t="n">
        <f aca="false">IF($B8="","",INT(SUMIFS('Release Log'!$D$6:$D$4005,'Release Log'!$B$6:$B$4005,Dashboard!$D$3,'Release Log'!$C$6:$C$4005,$B8,'Release Log'!$A$6:$A$4005,"&lt;="&amp;MIN(AD$2+6,Dashboard!$Q$3+6))/$C8))</f>
        <v>13</v>
      </c>
      <c r="AE8" s="0" t="n">
        <f aca="false">IF($B8="","",INT(SUMIFS('Release Log'!$D$6:$D$4005,'Release Log'!$B$6:$B$4005,Dashboard!$D$3,'Release Log'!$C$6:$C$4005,$B8,'Release Log'!$A$6:$A$4005,"&lt;="&amp;MIN(AE$2+6,Dashboard!$Q$3+6))/$C8))</f>
        <v>13</v>
      </c>
      <c r="AF8" s="0" t="n">
        <f aca="false">IF($B8="","",INT(SUMIFS('Release Log'!$D$6:$D$4005,'Release Log'!$B$6:$B$4005,Dashboard!$D$3,'Release Log'!$C$6:$C$4005,$B8,'Release Log'!$A$6:$A$4005,"&lt;="&amp;MIN(AF$2+6,Dashboard!$Q$3+6))/$C8))</f>
        <v>13</v>
      </c>
      <c r="AG8" s="0" t="n">
        <f aca="false">IF($B8="","",INT(SUMIFS('Release Log'!$D$6:$D$4005,'Release Log'!$B$6:$B$4005,Dashboard!$D$3,'Release Log'!$C$6:$C$4005,$B8,'Release Log'!$A$6:$A$4005,"&lt;="&amp;MIN(AG$2+6,Dashboard!$Q$3+6))/$C8))</f>
        <v>13</v>
      </c>
      <c r="AH8" s="0" t="n">
        <f aca="false">IF($B8="","",INT(SUMIFS('Release Log'!$D$6:$D$4005,'Release Log'!$B$6:$B$4005,Dashboard!$D$3,'Release Log'!$C$6:$C$4005,$B8,'Release Log'!$A$6:$A$4005,"&lt;="&amp;MIN(AH$2+6,Dashboard!$Q$3+6))/$C8))</f>
        <v>13</v>
      </c>
      <c r="AI8" s="0" t="n">
        <f aca="false">IF($B8="","",INT(SUMIFS('Release Log'!$D$6:$D$4005,'Release Log'!$B$6:$B$4005,Dashboard!$D$3,'Release Log'!$C$6:$C$4005,$B8,'Release Log'!$A$6:$A$4005,"&lt;="&amp;MIN(AI$2+6,Dashboard!$Q$3+6))/$C8))</f>
        <v>13</v>
      </c>
      <c r="AJ8" s="0" t="n">
        <f aca="false">IF($B8="","",INT(SUMIFS('Release Log'!$D$6:$D$4005,'Release Log'!$B$6:$B$4005,Dashboard!$D$3,'Release Log'!$C$6:$C$4005,$B8,'Release Log'!$A$6:$A$4005,"&lt;="&amp;MIN(AJ$2+6,Dashboard!$Q$3+6))/$C8))</f>
        <v>13</v>
      </c>
      <c r="AK8" s="0" t="n">
        <f aca="false">IF($B8="","",INT(SUMIFS('Release Log'!$D$6:$D$4005,'Release Log'!$B$6:$B$4005,Dashboard!$D$3,'Release Log'!$C$6:$C$4005,$B8,'Release Log'!$A$6:$A$4005,"&lt;="&amp;MIN(AK$2+6,Dashboard!$Q$3+6))/$C8))</f>
        <v>13</v>
      </c>
      <c r="AL8" s="0" t="n">
        <f aca="false">IF($B8="","",INT(SUMIFS('Release Log'!$D$6:$D$4005,'Release Log'!$B$6:$B$4005,Dashboard!$D$3,'Release Log'!$C$6:$C$4005,$B8,'Release Log'!$A$6:$A$4005,"&lt;="&amp;MIN(AL$2+6,Dashboard!$Q$3+6))/$C8))</f>
        <v>13</v>
      </c>
      <c r="AM8" s="0" t="n">
        <f aca="false">IF($B8="","",INT(SUMIFS('Release Log'!$D$6:$D$4005,'Release Log'!$B$6:$B$4005,Dashboard!$D$3,'Release Log'!$C$6:$C$4005,$B8,'Release Log'!$A$6:$A$4005,"&lt;="&amp;MIN(AM$2+6,Dashboard!$Q$3+6))/$C8))</f>
        <v>13</v>
      </c>
      <c r="AN8" s="0" t="n">
        <f aca="false">IF($B8="","",INT(SUMIFS('Release Log'!$D$6:$D$4005,'Release Log'!$B$6:$B$4005,Dashboard!$D$3,'Release Log'!$C$6:$C$4005,$B8,'Release Log'!$A$6:$A$4005,"&lt;="&amp;MIN(AN$2+6,Dashboard!$Q$3+6))/$C8))</f>
        <v>13</v>
      </c>
      <c r="AO8" s="0" t="n">
        <f aca="false">IF($B8="","",INT(SUMIFS('Release Log'!$D$6:$D$4005,'Release Log'!$B$6:$B$4005,Dashboard!$D$3,'Release Log'!$C$6:$C$4005,$B8,'Release Log'!$A$6:$A$4005,"&lt;="&amp;MIN(AO$2+6,Dashboard!$Q$3+6))/$C8))</f>
        <v>13</v>
      </c>
      <c r="AP8" s="0" t="n">
        <f aca="false">IF($B8="","",INT(SUMIFS('Release Log'!$D$6:$D$4005,'Release Log'!$B$6:$B$4005,Dashboard!$D$3,'Release Log'!$C$6:$C$4005,$B8,'Release Log'!$A$6:$A$4005,"&lt;="&amp;MIN(AP$2+6,Dashboard!$Q$3+6))/$C8))</f>
        <v>13</v>
      </c>
      <c r="AQ8" s="0" t="n">
        <f aca="false">IF($B8="","",INT(SUMIFS('Release Log'!$D$6:$D$4005,'Release Log'!$B$6:$B$4005,Dashboard!$D$3,'Release Log'!$C$6:$C$4005,$B8,'Release Log'!$A$6:$A$4005,"&lt;="&amp;MIN(AQ$2+6,Dashboard!$Q$3+6))/$C8))</f>
        <v>13</v>
      </c>
    </row>
    <row r="9" customFormat="false" ht="15" hidden="false" customHeight="false" outlineLevel="0" collapsed="false">
      <c r="A9" s="0" t="n">
        <v>6</v>
      </c>
      <c r="B9" s="0" t="str">
        <f aca="false">IFERROR(INDEX('Kit Lists'!$C$6:$C$605,MATCH(Dashboard!$D$3&amp;"|"&amp;A9,'Kit Lists'!$G$6:$G$605,0)),"")</f>
        <v>92YWS04548AAA</v>
      </c>
      <c r="C9" s="0" t="n">
        <f aca="false">IF(B9="","",INDEX('Kit Lists'!$E$6:$E$605,MATCH(Dashboard!$D$3&amp;"|"&amp;A9,'Kit Lists'!$G$6:$G$605,0)))</f>
        <v>3</v>
      </c>
      <c r="D9" s="0" t="n">
        <f aca="false">IF($B9="","",INT(SUMIFS('Release Log'!$D$6:$D$4005,'Release Log'!$B$6:$B$4005,Dashboard!$D$3,'Release Log'!$C$6:$C$4005,$B9,'Release Log'!$A$6:$A$4005,"&lt;="&amp;MIN(D$2+6,Dashboard!$Q$3+6))/$C9))</f>
        <v>3</v>
      </c>
      <c r="E9" s="0" t="n">
        <f aca="false">IF($B9="","",INT(SUMIFS('Release Log'!$D$6:$D$4005,'Release Log'!$B$6:$B$4005,Dashboard!$D$3,'Release Log'!$C$6:$C$4005,$B9,'Release Log'!$A$6:$A$4005,"&lt;="&amp;MIN(E$2+6,Dashboard!$Q$3+6))/$C9))</f>
        <v>4</v>
      </c>
      <c r="F9" s="0" t="n">
        <f aca="false">IF($B9="","",INT(SUMIFS('Release Log'!$D$6:$D$4005,'Release Log'!$B$6:$B$4005,Dashboard!$D$3,'Release Log'!$C$6:$C$4005,$B9,'Release Log'!$A$6:$A$4005,"&lt;="&amp;MIN(F$2+6,Dashboard!$Q$3+6))/$C9))</f>
        <v>4</v>
      </c>
      <c r="G9" s="0" t="n">
        <f aca="false">IF($B9="","",INT(SUMIFS('Release Log'!$D$6:$D$4005,'Release Log'!$B$6:$B$4005,Dashboard!$D$3,'Release Log'!$C$6:$C$4005,$B9,'Release Log'!$A$6:$A$4005,"&lt;="&amp;MIN(G$2+6,Dashboard!$Q$3+6))/$C9))</f>
        <v>4</v>
      </c>
      <c r="H9" s="0" t="n">
        <f aca="false">IF($B9="","",INT(SUMIFS('Release Log'!$D$6:$D$4005,'Release Log'!$B$6:$B$4005,Dashboard!$D$3,'Release Log'!$C$6:$C$4005,$B9,'Release Log'!$A$6:$A$4005,"&lt;="&amp;MIN(H$2+6,Dashboard!$Q$3+6))/$C9))</f>
        <v>5</v>
      </c>
      <c r="I9" s="0" t="n">
        <f aca="false">IF($B9="","",INT(SUMIFS('Release Log'!$D$6:$D$4005,'Release Log'!$B$6:$B$4005,Dashboard!$D$3,'Release Log'!$C$6:$C$4005,$B9,'Release Log'!$A$6:$A$4005,"&lt;="&amp;MIN(I$2+6,Dashboard!$Q$3+6))/$C9))</f>
        <v>6</v>
      </c>
      <c r="J9" s="0" t="n">
        <f aca="false">IF($B9="","",INT(SUMIFS('Release Log'!$D$6:$D$4005,'Release Log'!$B$6:$B$4005,Dashboard!$D$3,'Release Log'!$C$6:$C$4005,$B9,'Release Log'!$A$6:$A$4005,"&lt;="&amp;MIN(J$2+6,Dashboard!$Q$3+6))/$C9))</f>
        <v>6</v>
      </c>
      <c r="K9" s="0" t="n">
        <f aca="false">IF($B9="","",INT(SUMIFS('Release Log'!$D$6:$D$4005,'Release Log'!$B$6:$B$4005,Dashboard!$D$3,'Release Log'!$C$6:$C$4005,$B9,'Release Log'!$A$6:$A$4005,"&lt;="&amp;MIN(K$2+6,Dashboard!$Q$3+6))/$C9))</f>
        <v>7</v>
      </c>
      <c r="L9" s="0" t="n">
        <f aca="false">IF($B9="","",INT(SUMIFS('Release Log'!$D$6:$D$4005,'Release Log'!$B$6:$B$4005,Dashboard!$D$3,'Release Log'!$C$6:$C$4005,$B9,'Release Log'!$A$6:$A$4005,"&lt;="&amp;MIN(L$2+6,Dashboard!$Q$3+6))/$C9))</f>
        <v>8</v>
      </c>
      <c r="M9" s="0" t="n">
        <f aca="false">IF($B9="","",INT(SUMIFS('Release Log'!$D$6:$D$4005,'Release Log'!$B$6:$B$4005,Dashboard!$D$3,'Release Log'!$C$6:$C$4005,$B9,'Release Log'!$A$6:$A$4005,"&lt;="&amp;MIN(M$2+6,Dashboard!$Q$3+6))/$C9))</f>
        <v>8</v>
      </c>
      <c r="N9" s="0" t="n">
        <f aca="false">IF($B9="","",INT(SUMIFS('Release Log'!$D$6:$D$4005,'Release Log'!$B$6:$B$4005,Dashboard!$D$3,'Release Log'!$C$6:$C$4005,$B9,'Release Log'!$A$6:$A$4005,"&lt;="&amp;MIN(N$2+6,Dashboard!$Q$3+6))/$C9))</f>
        <v>9</v>
      </c>
      <c r="O9" s="0" t="n">
        <f aca="false">IF($B9="","",INT(SUMIFS('Release Log'!$D$6:$D$4005,'Release Log'!$B$6:$B$4005,Dashboard!$D$3,'Release Log'!$C$6:$C$4005,$B9,'Release Log'!$A$6:$A$4005,"&lt;="&amp;MIN(O$2+6,Dashboard!$Q$3+6))/$C9))</f>
        <v>13</v>
      </c>
      <c r="P9" s="0" t="n">
        <f aca="false">IF($B9="","",INT(SUMIFS('Release Log'!$D$6:$D$4005,'Release Log'!$B$6:$B$4005,Dashboard!$D$3,'Release Log'!$C$6:$C$4005,$B9,'Release Log'!$A$6:$A$4005,"&lt;="&amp;MIN(P$2+6,Dashboard!$Q$3+6))/$C9))</f>
        <v>13</v>
      </c>
      <c r="Q9" s="0" t="n">
        <f aca="false">IF($B9="","",INT(SUMIFS('Release Log'!$D$6:$D$4005,'Release Log'!$B$6:$B$4005,Dashboard!$D$3,'Release Log'!$C$6:$C$4005,$B9,'Release Log'!$A$6:$A$4005,"&lt;="&amp;MIN(Q$2+6,Dashboard!$Q$3+6))/$C9))</f>
        <v>13</v>
      </c>
      <c r="R9" s="0" t="n">
        <f aca="false">IF($B9="","",INT(SUMIFS('Release Log'!$D$6:$D$4005,'Release Log'!$B$6:$B$4005,Dashboard!$D$3,'Release Log'!$C$6:$C$4005,$B9,'Release Log'!$A$6:$A$4005,"&lt;="&amp;MIN(R$2+6,Dashboard!$Q$3+6))/$C9))</f>
        <v>13</v>
      </c>
      <c r="S9" s="0" t="n">
        <f aca="false">IF($B9="","",INT(SUMIFS('Release Log'!$D$6:$D$4005,'Release Log'!$B$6:$B$4005,Dashboard!$D$3,'Release Log'!$C$6:$C$4005,$B9,'Release Log'!$A$6:$A$4005,"&lt;="&amp;MIN(S$2+6,Dashboard!$Q$3+6))/$C9))</f>
        <v>13</v>
      </c>
      <c r="T9" s="0" t="n">
        <f aca="false">IF($B9="","",INT(SUMIFS('Release Log'!$D$6:$D$4005,'Release Log'!$B$6:$B$4005,Dashboard!$D$3,'Release Log'!$C$6:$C$4005,$B9,'Release Log'!$A$6:$A$4005,"&lt;="&amp;MIN(T$2+6,Dashboard!$Q$3+6))/$C9))</f>
        <v>13</v>
      </c>
      <c r="U9" s="0" t="n">
        <f aca="false">IF($B9="","",INT(SUMIFS('Release Log'!$D$6:$D$4005,'Release Log'!$B$6:$B$4005,Dashboard!$D$3,'Release Log'!$C$6:$C$4005,$B9,'Release Log'!$A$6:$A$4005,"&lt;="&amp;MIN(U$2+6,Dashboard!$Q$3+6))/$C9))</f>
        <v>13</v>
      </c>
      <c r="V9" s="0" t="n">
        <f aca="false">IF($B9="","",INT(SUMIFS('Release Log'!$D$6:$D$4005,'Release Log'!$B$6:$B$4005,Dashboard!$D$3,'Release Log'!$C$6:$C$4005,$B9,'Release Log'!$A$6:$A$4005,"&lt;="&amp;MIN(V$2+6,Dashboard!$Q$3+6))/$C9))</f>
        <v>13</v>
      </c>
      <c r="W9" s="0" t="n">
        <f aca="false">IF($B9="","",INT(SUMIFS('Release Log'!$D$6:$D$4005,'Release Log'!$B$6:$B$4005,Dashboard!$D$3,'Release Log'!$C$6:$C$4005,$B9,'Release Log'!$A$6:$A$4005,"&lt;="&amp;MIN(W$2+6,Dashboard!$Q$3+6))/$C9))</f>
        <v>13</v>
      </c>
      <c r="X9" s="0" t="n">
        <f aca="false">IF($B9="","",INT(SUMIFS('Release Log'!$D$6:$D$4005,'Release Log'!$B$6:$B$4005,Dashboard!$D$3,'Release Log'!$C$6:$C$4005,$B9,'Release Log'!$A$6:$A$4005,"&lt;="&amp;MIN(X$2+6,Dashboard!$Q$3+6))/$C9))</f>
        <v>13</v>
      </c>
      <c r="Y9" s="0" t="n">
        <f aca="false">IF($B9="","",INT(SUMIFS('Release Log'!$D$6:$D$4005,'Release Log'!$B$6:$B$4005,Dashboard!$D$3,'Release Log'!$C$6:$C$4005,$B9,'Release Log'!$A$6:$A$4005,"&lt;="&amp;MIN(Y$2+6,Dashboard!$Q$3+6))/$C9))</f>
        <v>13</v>
      </c>
      <c r="Z9" s="0" t="n">
        <f aca="false">IF($B9="","",INT(SUMIFS('Release Log'!$D$6:$D$4005,'Release Log'!$B$6:$B$4005,Dashboard!$D$3,'Release Log'!$C$6:$C$4005,$B9,'Release Log'!$A$6:$A$4005,"&lt;="&amp;MIN(Z$2+6,Dashboard!$Q$3+6))/$C9))</f>
        <v>13</v>
      </c>
      <c r="AA9" s="0" t="n">
        <f aca="false">IF($B9="","",INT(SUMIFS('Release Log'!$D$6:$D$4005,'Release Log'!$B$6:$B$4005,Dashboard!$D$3,'Release Log'!$C$6:$C$4005,$B9,'Release Log'!$A$6:$A$4005,"&lt;="&amp;MIN(AA$2+6,Dashboard!$Q$3+6))/$C9))</f>
        <v>13</v>
      </c>
      <c r="AB9" s="0" t="n">
        <f aca="false">IF($B9="","",INT(SUMIFS('Release Log'!$D$6:$D$4005,'Release Log'!$B$6:$B$4005,Dashboard!$D$3,'Release Log'!$C$6:$C$4005,$B9,'Release Log'!$A$6:$A$4005,"&lt;="&amp;MIN(AB$2+6,Dashboard!$Q$3+6))/$C9))</f>
        <v>13</v>
      </c>
      <c r="AC9" s="0" t="n">
        <f aca="false">IF($B9="","",INT(SUMIFS('Release Log'!$D$6:$D$4005,'Release Log'!$B$6:$B$4005,Dashboard!$D$3,'Release Log'!$C$6:$C$4005,$B9,'Release Log'!$A$6:$A$4005,"&lt;="&amp;MIN(AC$2+6,Dashboard!$Q$3+6))/$C9))</f>
        <v>13</v>
      </c>
      <c r="AD9" s="0" t="n">
        <f aca="false">IF($B9="","",INT(SUMIFS('Release Log'!$D$6:$D$4005,'Release Log'!$B$6:$B$4005,Dashboard!$D$3,'Release Log'!$C$6:$C$4005,$B9,'Release Log'!$A$6:$A$4005,"&lt;="&amp;MIN(AD$2+6,Dashboard!$Q$3+6))/$C9))</f>
        <v>13</v>
      </c>
      <c r="AE9" s="0" t="n">
        <f aca="false">IF($B9="","",INT(SUMIFS('Release Log'!$D$6:$D$4005,'Release Log'!$B$6:$B$4005,Dashboard!$D$3,'Release Log'!$C$6:$C$4005,$B9,'Release Log'!$A$6:$A$4005,"&lt;="&amp;MIN(AE$2+6,Dashboard!$Q$3+6))/$C9))</f>
        <v>13</v>
      </c>
      <c r="AF9" s="0" t="n">
        <f aca="false">IF($B9="","",INT(SUMIFS('Release Log'!$D$6:$D$4005,'Release Log'!$B$6:$B$4005,Dashboard!$D$3,'Release Log'!$C$6:$C$4005,$B9,'Release Log'!$A$6:$A$4005,"&lt;="&amp;MIN(AF$2+6,Dashboard!$Q$3+6))/$C9))</f>
        <v>13</v>
      </c>
      <c r="AG9" s="0" t="n">
        <f aca="false">IF($B9="","",INT(SUMIFS('Release Log'!$D$6:$D$4005,'Release Log'!$B$6:$B$4005,Dashboard!$D$3,'Release Log'!$C$6:$C$4005,$B9,'Release Log'!$A$6:$A$4005,"&lt;="&amp;MIN(AG$2+6,Dashboard!$Q$3+6))/$C9))</f>
        <v>13</v>
      </c>
      <c r="AH9" s="0" t="n">
        <f aca="false">IF($B9="","",INT(SUMIFS('Release Log'!$D$6:$D$4005,'Release Log'!$B$6:$B$4005,Dashboard!$D$3,'Release Log'!$C$6:$C$4005,$B9,'Release Log'!$A$6:$A$4005,"&lt;="&amp;MIN(AH$2+6,Dashboard!$Q$3+6))/$C9))</f>
        <v>13</v>
      </c>
      <c r="AI9" s="0" t="n">
        <f aca="false">IF($B9="","",INT(SUMIFS('Release Log'!$D$6:$D$4005,'Release Log'!$B$6:$B$4005,Dashboard!$D$3,'Release Log'!$C$6:$C$4005,$B9,'Release Log'!$A$6:$A$4005,"&lt;="&amp;MIN(AI$2+6,Dashboard!$Q$3+6))/$C9))</f>
        <v>13</v>
      </c>
      <c r="AJ9" s="0" t="n">
        <f aca="false">IF($B9="","",INT(SUMIFS('Release Log'!$D$6:$D$4005,'Release Log'!$B$6:$B$4005,Dashboard!$D$3,'Release Log'!$C$6:$C$4005,$B9,'Release Log'!$A$6:$A$4005,"&lt;="&amp;MIN(AJ$2+6,Dashboard!$Q$3+6))/$C9))</f>
        <v>13</v>
      </c>
      <c r="AK9" s="0" t="n">
        <f aca="false">IF($B9="","",INT(SUMIFS('Release Log'!$D$6:$D$4005,'Release Log'!$B$6:$B$4005,Dashboard!$D$3,'Release Log'!$C$6:$C$4005,$B9,'Release Log'!$A$6:$A$4005,"&lt;="&amp;MIN(AK$2+6,Dashboard!$Q$3+6))/$C9))</f>
        <v>13</v>
      </c>
      <c r="AL9" s="0" t="n">
        <f aca="false">IF($B9="","",INT(SUMIFS('Release Log'!$D$6:$D$4005,'Release Log'!$B$6:$B$4005,Dashboard!$D$3,'Release Log'!$C$6:$C$4005,$B9,'Release Log'!$A$6:$A$4005,"&lt;="&amp;MIN(AL$2+6,Dashboard!$Q$3+6))/$C9))</f>
        <v>13</v>
      </c>
      <c r="AM9" s="0" t="n">
        <f aca="false">IF($B9="","",INT(SUMIFS('Release Log'!$D$6:$D$4005,'Release Log'!$B$6:$B$4005,Dashboard!$D$3,'Release Log'!$C$6:$C$4005,$B9,'Release Log'!$A$6:$A$4005,"&lt;="&amp;MIN(AM$2+6,Dashboard!$Q$3+6))/$C9))</f>
        <v>13</v>
      </c>
      <c r="AN9" s="0" t="n">
        <f aca="false">IF($B9="","",INT(SUMIFS('Release Log'!$D$6:$D$4005,'Release Log'!$B$6:$B$4005,Dashboard!$D$3,'Release Log'!$C$6:$C$4005,$B9,'Release Log'!$A$6:$A$4005,"&lt;="&amp;MIN(AN$2+6,Dashboard!$Q$3+6))/$C9))</f>
        <v>13</v>
      </c>
      <c r="AO9" s="0" t="n">
        <f aca="false">IF($B9="","",INT(SUMIFS('Release Log'!$D$6:$D$4005,'Release Log'!$B$6:$B$4005,Dashboard!$D$3,'Release Log'!$C$6:$C$4005,$B9,'Release Log'!$A$6:$A$4005,"&lt;="&amp;MIN(AO$2+6,Dashboard!$Q$3+6))/$C9))</f>
        <v>13</v>
      </c>
      <c r="AP9" s="0" t="n">
        <f aca="false">IF($B9="","",INT(SUMIFS('Release Log'!$D$6:$D$4005,'Release Log'!$B$6:$B$4005,Dashboard!$D$3,'Release Log'!$C$6:$C$4005,$B9,'Release Log'!$A$6:$A$4005,"&lt;="&amp;MIN(AP$2+6,Dashboard!$Q$3+6))/$C9))</f>
        <v>13</v>
      </c>
      <c r="AQ9" s="0" t="n">
        <f aca="false">IF($B9="","",INT(SUMIFS('Release Log'!$D$6:$D$4005,'Release Log'!$B$6:$B$4005,Dashboard!$D$3,'Release Log'!$C$6:$C$4005,$B9,'Release Log'!$A$6:$A$4005,"&lt;="&amp;MIN(AQ$2+6,Dashboard!$Q$3+6))/$C9))</f>
        <v>13</v>
      </c>
    </row>
    <row r="10" customFormat="false" ht="15" hidden="false" customHeight="false" outlineLevel="0" collapsed="false">
      <c r="A10" s="0" t="n">
        <v>7</v>
      </c>
      <c r="B10" s="0" t="str">
        <f aca="false">IFERROR(INDEX('Kit Lists'!$C$6:$C$605,MATCH(Dashboard!$D$3&amp;"|"&amp;A10,'Kit Lists'!$G$6:$G$605,0)),"")</f>
        <v>92RRA00548AAA</v>
      </c>
      <c r="C10" s="0" t="n">
        <f aca="false">IF(B10="","",INDEX('Kit Lists'!$E$6:$E$605,MATCH(Dashboard!$D$3&amp;"|"&amp;A10,'Kit Lists'!$G$6:$G$605,0)))</f>
        <v>24</v>
      </c>
      <c r="D10" s="0" t="n">
        <f aca="false">IF($B10="","",INT(SUMIFS('Release Log'!$D$6:$D$4005,'Release Log'!$B$6:$B$4005,Dashboard!$D$3,'Release Log'!$C$6:$C$4005,$B10,'Release Log'!$A$6:$A$4005,"&lt;="&amp;MIN(D$2+6,Dashboard!$Q$3+6))/$C10))</f>
        <v>2</v>
      </c>
      <c r="E10" s="0" t="n">
        <f aca="false">IF($B10="","",INT(SUMIFS('Release Log'!$D$6:$D$4005,'Release Log'!$B$6:$B$4005,Dashboard!$D$3,'Release Log'!$C$6:$C$4005,$B10,'Release Log'!$A$6:$A$4005,"&lt;="&amp;MIN(E$2+6,Dashboard!$Q$3+6))/$C10))</f>
        <v>3</v>
      </c>
      <c r="F10" s="0" t="n">
        <f aca="false">IF($B10="","",INT(SUMIFS('Release Log'!$D$6:$D$4005,'Release Log'!$B$6:$B$4005,Dashboard!$D$3,'Release Log'!$C$6:$C$4005,$B10,'Release Log'!$A$6:$A$4005,"&lt;="&amp;MIN(F$2+6,Dashboard!$Q$3+6))/$C10))</f>
        <v>3</v>
      </c>
      <c r="G10" s="0" t="n">
        <f aca="false">IF($B10="","",INT(SUMIFS('Release Log'!$D$6:$D$4005,'Release Log'!$B$6:$B$4005,Dashboard!$D$3,'Release Log'!$C$6:$C$4005,$B10,'Release Log'!$A$6:$A$4005,"&lt;="&amp;MIN(G$2+6,Dashboard!$Q$3+6))/$C10))</f>
        <v>4</v>
      </c>
      <c r="H10" s="0" t="n">
        <f aca="false">IF($B10="","",INT(SUMIFS('Release Log'!$D$6:$D$4005,'Release Log'!$B$6:$B$4005,Dashboard!$D$3,'Release Log'!$C$6:$C$4005,$B10,'Release Log'!$A$6:$A$4005,"&lt;="&amp;MIN(H$2+6,Dashboard!$Q$3+6))/$C10))</f>
        <v>5</v>
      </c>
      <c r="I10" s="0" t="n">
        <f aca="false">IF($B10="","",INT(SUMIFS('Release Log'!$D$6:$D$4005,'Release Log'!$B$6:$B$4005,Dashboard!$D$3,'Release Log'!$C$6:$C$4005,$B10,'Release Log'!$A$6:$A$4005,"&lt;="&amp;MIN(I$2+6,Dashboard!$Q$3+6))/$C10))</f>
        <v>6</v>
      </c>
      <c r="J10" s="0" t="n">
        <f aca="false">IF($B10="","",INT(SUMIFS('Release Log'!$D$6:$D$4005,'Release Log'!$B$6:$B$4005,Dashboard!$D$3,'Release Log'!$C$6:$C$4005,$B10,'Release Log'!$A$6:$A$4005,"&lt;="&amp;MIN(J$2+6,Dashboard!$Q$3+6))/$C10))</f>
        <v>6</v>
      </c>
      <c r="K10" s="0" t="n">
        <f aca="false">IF($B10="","",INT(SUMIFS('Release Log'!$D$6:$D$4005,'Release Log'!$B$6:$B$4005,Dashboard!$D$3,'Release Log'!$C$6:$C$4005,$B10,'Release Log'!$A$6:$A$4005,"&lt;="&amp;MIN(K$2+6,Dashboard!$Q$3+6))/$C10))</f>
        <v>6</v>
      </c>
      <c r="L10" s="0" t="n">
        <f aca="false">IF($B10="","",INT(SUMIFS('Release Log'!$D$6:$D$4005,'Release Log'!$B$6:$B$4005,Dashboard!$D$3,'Release Log'!$C$6:$C$4005,$B10,'Release Log'!$A$6:$A$4005,"&lt;="&amp;MIN(L$2+6,Dashboard!$Q$3+6))/$C10))</f>
        <v>8</v>
      </c>
      <c r="M10" s="0" t="n">
        <f aca="false">IF($B10="","",INT(SUMIFS('Release Log'!$D$6:$D$4005,'Release Log'!$B$6:$B$4005,Dashboard!$D$3,'Release Log'!$C$6:$C$4005,$B10,'Release Log'!$A$6:$A$4005,"&lt;="&amp;MIN(M$2+6,Dashboard!$Q$3+6))/$C10))</f>
        <v>8</v>
      </c>
      <c r="N10" s="0" t="n">
        <f aca="false">IF($B10="","",INT(SUMIFS('Release Log'!$D$6:$D$4005,'Release Log'!$B$6:$B$4005,Dashboard!$D$3,'Release Log'!$C$6:$C$4005,$B10,'Release Log'!$A$6:$A$4005,"&lt;="&amp;MIN(N$2+6,Dashboard!$Q$3+6))/$C10))</f>
        <v>8</v>
      </c>
      <c r="O10" s="0" t="n">
        <f aca="false">IF($B10="","",INT(SUMIFS('Release Log'!$D$6:$D$4005,'Release Log'!$B$6:$B$4005,Dashboard!$D$3,'Release Log'!$C$6:$C$4005,$B10,'Release Log'!$A$6:$A$4005,"&lt;="&amp;MIN(O$2+6,Dashboard!$Q$3+6))/$C10))</f>
        <v>13</v>
      </c>
      <c r="P10" s="0" t="n">
        <f aca="false">IF($B10="","",INT(SUMIFS('Release Log'!$D$6:$D$4005,'Release Log'!$B$6:$B$4005,Dashboard!$D$3,'Release Log'!$C$6:$C$4005,$B10,'Release Log'!$A$6:$A$4005,"&lt;="&amp;MIN(P$2+6,Dashboard!$Q$3+6))/$C10))</f>
        <v>13</v>
      </c>
      <c r="Q10" s="0" t="n">
        <f aca="false">IF($B10="","",INT(SUMIFS('Release Log'!$D$6:$D$4005,'Release Log'!$B$6:$B$4005,Dashboard!$D$3,'Release Log'!$C$6:$C$4005,$B10,'Release Log'!$A$6:$A$4005,"&lt;="&amp;MIN(Q$2+6,Dashboard!$Q$3+6))/$C10))</f>
        <v>13</v>
      </c>
      <c r="R10" s="0" t="n">
        <f aca="false">IF($B10="","",INT(SUMIFS('Release Log'!$D$6:$D$4005,'Release Log'!$B$6:$B$4005,Dashboard!$D$3,'Release Log'!$C$6:$C$4005,$B10,'Release Log'!$A$6:$A$4005,"&lt;="&amp;MIN(R$2+6,Dashboard!$Q$3+6))/$C10))</f>
        <v>13</v>
      </c>
      <c r="S10" s="0" t="n">
        <f aca="false">IF($B10="","",INT(SUMIFS('Release Log'!$D$6:$D$4005,'Release Log'!$B$6:$B$4005,Dashboard!$D$3,'Release Log'!$C$6:$C$4005,$B10,'Release Log'!$A$6:$A$4005,"&lt;="&amp;MIN(S$2+6,Dashboard!$Q$3+6))/$C10))</f>
        <v>13</v>
      </c>
      <c r="T10" s="0" t="n">
        <f aca="false">IF($B10="","",INT(SUMIFS('Release Log'!$D$6:$D$4005,'Release Log'!$B$6:$B$4005,Dashboard!$D$3,'Release Log'!$C$6:$C$4005,$B10,'Release Log'!$A$6:$A$4005,"&lt;="&amp;MIN(T$2+6,Dashboard!$Q$3+6))/$C10))</f>
        <v>13</v>
      </c>
      <c r="U10" s="0" t="n">
        <f aca="false">IF($B10="","",INT(SUMIFS('Release Log'!$D$6:$D$4005,'Release Log'!$B$6:$B$4005,Dashboard!$D$3,'Release Log'!$C$6:$C$4005,$B10,'Release Log'!$A$6:$A$4005,"&lt;="&amp;MIN(U$2+6,Dashboard!$Q$3+6))/$C10))</f>
        <v>13</v>
      </c>
      <c r="V10" s="0" t="n">
        <f aca="false">IF($B10="","",INT(SUMIFS('Release Log'!$D$6:$D$4005,'Release Log'!$B$6:$B$4005,Dashboard!$D$3,'Release Log'!$C$6:$C$4005,$B10,'Release Log'!$A$6:$A$4005,"&lt;="&amp;MIN(V$2+6,Dashboard!$Q$3+6))/$C10))</f>
        <v>13</v>
      </c>
      <c r="W10" s="0" t="n">
        <f aca="false">IF($B10="","",INT(SUMIFS('Release Log'!$D$6:$D$4005,'Release Log'!$B$6:$B$4005,Dashboard!$D$3,'Release Log'!$C$6:$C$4005,$B10,'Release Log'!$A$6:$A$4005,"&lt;="&amp;MIN(W$2+6,Dashboard!$Q$3+6))/$C10))</f>
        <v>13</v>
      </c>
      <c r="X10" s="0" t="n">
        <f aca="false">IF($B10="","",INT(SUMIFS('Release Log'!$D$6:$D$4005,'Release Log'!$B$6:$B$4005,Dashboard!$D$3,'Release Log'!$C$6:$C$4005,$B10,'Release Log'!$A$6:$A$4005,"&lt;="&amp;MIN(X$2+6,Dashboard!$Q$3+6))/$C10))</f>
        <v>13</v>
      </c>
      <c r="Y10" s="0" t="n">
        <f aca="false">IF($B10="","",INT(SUMIFS('Release Log'!$D$6:$D$4005,'Release Log'!$B$6:$B$4005,Dashboard!$D$3,'Release Log'!$C$6:$C$4005,$B10,'Release Log'!$A$6:$A$4005,"&lt;="&amp;MIN(Y$2+6,Dashboard!$Q$3+6))/$C10))</f>
        <v>13</v>
      </c>
      <c r="Z10" s="0" t="n">
        <f aca="false">IF($B10="","",INT(SUMIFS('Release Log'!$D$6:$D$4005,'Release Log'!$B$6:$B$4005,Dashboard!$D$3,'Release Log'!$C$6:$C$4005,$B10,'Release Log'!$A$6:$A$4005,"&lt;="&amp;MIN(Z$2+6,Dashboard!$Q$3+6))/$C10))</f>
        <v>13</v>
      </c>
      <c r="AA10" s="0" t="n">
        <f aca="false">IF($B10="","",INT(SUMIFS('Release Log'!$D$6:$D$4005,'Release Log'!$B$6:$B$4005,Dashboard!$D$3,'Release Log'!$C$6:$C$4005,$B10,'Release Log'!$A$6:$A$4005,"&lt;="&amp;MIN(AA$2+6,Dashboard!$Q$3+6))/$C10))</f>
        <v>13</v>
      </c>
      <c r="AB10" s="0" t="n">
        <f aca="false">IF($B10="","",INT(SUMIFS('Release Log'!$D$6:$D$4005,'Release Log'!$B$6:$B$4005,Dashboard!$D$3,'Release Log'!$C$6:$C$4005,$B10,'Release Log'!$A$6:$A$4005,"&lt;="&amp;MIN(AB$2+6,Dashboard!$Q$3+6))/$C10))</f>
        <v>13</v>
      </c>
      <c r="AC10" s="0" t="n">
        <f aca="false">IF($B10="","",INT(SUMIFS('Release Log'!$D$6:$D$4005,'Release Log'!$B$6:$B$4005,Dashboard!$D$3,'Release Log'!$C$6:$C$4005,$B10,'Release Log'!$A$6:$A$4005,"&lt;="&amp;MIN(AC$2+6,Dashboard!$Q$3+6))/$C10))</f>
        <v>13</v>
      </c>
      <c r="AD10" s="0" t="n">
        <f aca="false">IF($B10="","",INT(SUMIFS('Release Log'!$D$6:$D$4005,'Release Log'!$B$6:$B$4005,Dashboard!$D$3,'Release Log'!$C$6:$C$4005,$B10,'Release Log'!$A$6:$A$4005,"&lt;="&amp;MIN(AD$2+6,Dashboard!$Q$3+6))/$C10))</f>
        <v>13</v>
      </c>
      <c r="AE10" s="0" t="n">
        <f aca="false">IF($B10="","",INT(SUMIFS('Release Log'!$D$6:$D$4005,'Release Log'!$B$6:$B$4005,Dashboard!$D$3,'Release Log'!$C$6:$C$4005,$B10,'Release Log'!$A$6:$A$4005,"&lt;="&amp;MIN(AE$2+6,Dashboard!$Q$3+6))/$C10))</f>
        <v>13</v>
      </c>
      <c r="AF10" s="0" t="n">
        <f aca="false">IF($B10="","",INT(SUMIFS('Release Log'!$D$6:$D$4005,'Release Log'!$B$6:$B$4005,Dashboard!$D$3,'Release Log'!$C$6:$C$4005,$B10,'Release Log'!$A$6:$A$4005,"&lt;="&amp;MIN(AF$2+6,Dashboard!$Q$3+6))/$C10))</f>
        <v>13</v>
      </c>
      <c r="AG10" s="0" t="n">
        <f aca="false">IF($B10="","",INT(SUMIFS('Release Log'!$D$6:$D$4005,'Release Log'!$B$6:$B$4005,Dashboard!$D$3,'Release Log'!$C$6:$C$4005,$B10,'Release Log'!$A$6:$A$4005,"&lt;="&amp;MIN(AG$2+6,Dashboard!$Q$3+6))/$C10))</f>
        <v>13</v>
      </c>
      <c r="AH10" s="0" t="n">
        <f aca="false">IF($B10="","",INT(SUMIFS('Release Log'!$D$6:$D$4005,'Release Log'!$B$6:$B$4005,Dashboard!$D$3,'Release Log'!$C$6:$C$4005,$B10,'Release Log'!$A$6:$A$4005,"&lt;="&amp;MIN(AH$2+6,Dashboard!$Q$3+6))/$C10))</f>
        <v>13</v>
      </c>
      <c r="AI10" s="0" t="n">
        <f aca="false">IF($B10="","",INT(SUMIFS('Release Log'!$D$6:$D$4005,'Release Log'!$B$6:$B$4005,Dashboard!$D$3,'Release Log'!$C$6:$C$4005,$B10,'Release Log'!$A$6:$A$4005,"&lt;="&amp;MIN(AI$2+6,Dashboard!$Q$3+6))/$C10))</f>
        <v>13</v>
      </c>
      <c r="AJ10" s="0" t="n">
        <f aca="false">IF($B10="","",INT(SUMIFS('Release Log'!$D$6:$D$4005,'Release Log'!$B$6:$B$4005,Dashboard!$D$3,'Release Log'!$C$6:$C$4005,$B10,'Release Log'!$A$6:$A$4005,"&lt;="&amp;MIN(AJ$2+6,Dashboard!$Q$3+6))/$C10))</f>
        <v>13</v>
      </c>
      <c r="AK10" s="0" t="n">
        <f aca="false">IF($B10="","",INT(SUMIFS('Release Log'!$D$6:$D$4005,'Release Log'!$B$6:$B$4005,Dashboard!$D$3,'Release Log'!$C$6:$C$4005,$B10,'Release Log'!$A$6:$A$4005,"&lt;="&amp;MIN(AK$2+6,Dashboard!$Q$3+6))/$C10))</f>
        <v>13</v>
      </c>
      <c r="AL10" s="0" t="n">
        <f aca="false">IF($B10="","",INT(SUMIFS('Release Log'!$D$6:$D$4005,'Release Log'!$B$6:$B$4005,Dashboard!$D$3,'Release Log'!$C$6:$C$4005,$B10,'Release Log'!$A$6:$A$4005,"&lt;="&amp;MIN(AL$2+6,Dashboard!$Q$3+6))/$C10))</f>
        <v>13</v>
      </c>
      <c r="AM10" s="0" t="n">
        <f aca="false">IF($B10="","",INT(SUMIFS('Release Log'!$D$6:$D$4005,'Release Log'!$B$6:$B$4005,Dashboard!$D$3,'Release Log'!$C$6:$C$4005,$B10,'Release Log'!$A$6:$A$4005,"&lt;="&amp;MIN(AM$2+6,Dashboard!$Q$3+6))/$C10))</f>
        <v>13</v>
      </c>
      <c r="AN10" s="0" t="n">
        <f aca="false">IF($B10="","",INT(SUMIFS('Release Log'!$D$6:$D$4005,'Release Log'!$B$6:$B$4005,Dashboard!$D$3,'Release Log'!$C$6:$C$4005,$B10,'Release Log'!$A$6:$A$4005,"&lt;="&amp;MIN(AN$2+6,Dashboard!$Q$3+6))/$C10))</f>
        <v>13</v>
      </c>
      <c r="AO10" s="0" t="n">
        <f aca="false">IF($B10="","",INT(SUMIFS('Release Log'!$D$6:$D$4005,'Release Log'!$B$6:$B$4005,Dashboard!$D$3,'Release Log'!$C$6:$C$4005,$B10,'Release Log'!$A$6:$A$4005,"&lt;="&amp;MIN(AO$2+6,Dashboard!$Q$3+6))/$C10))</f>
        <v>13</v>
      </c>
      <c r="AP10" s="0" t="n">
        <f aca="false">IF($B10="","",INT(SUMIFS('Release Log'!$D$6:$D$4005,'Release Log'!$B$6:$B$4005,Dashboard!$D$3,'Release Log'!$C$6:$C$4005,$B10,'Release Log'!$A$6:$A$4005,"&lt;="&amp;MIN(AP$2+6,Dashboard!$Q$3+6))/$C10))</f>
        <v>13</v>
      </c>
      <c r="AQ10" s="0" t="n">
        <f aca="false">IF($B10="","",INT(SUMIFS('Release Log'!$D$6:$D$4005,'Release Log'!$B$6:$B$4005,Dashboard!$D$3,'Release Log'!$C$6:$C$4005,$B10,'Release Log'!$A$6:$A$4005,"&lt;="&amp;MIN(AQ$2+6,Dashboard!$Q$3+6))/$C10))</f>
        <v>13</v>
      </c>
    </row>
    <row r="11" customFormat="false" ht="15" hidden="false" customHeight="false" outlineLevel="0" collapsed="false">
      <c r="A11" s="0" t="n">
        <v>8</v>
      </c>
      <c r="B11" s="0" t="str">
        <f aca="false">IFERROR(INDEX('Kit Lists'!$C$6:$C$605,MATCH(Dashboard!$D$3&amp;"|"&amp;A11,'Kit Lists'!$G$6:$G$605,0)),"")</f>
        <v>92YRA01548AAA</v>
      </c>
      <c r="C11" s="0" t="n">
        <f aca="false">IF(B11="","",INDEX('Kit Lists'!$E$6:$E$605,MATCH(Dashboard!$D$3&amp;"|"&amp;A11,'Kit Lists'!$G$6:$G$605,0)))</f>
        <v>3</v>
      </c>
      <c r="D11" s="0" t="n">
        <f aca="false">IF($B11="","",INT(SUMIFS('Release Log'!$D$6:$D$4005,'Release Log'!$B$6:$B$4005,Dashboard!$D$3,'Release Log'!$C$6:$C$4005,$B11,'Release Log'!$A$6:$A$4005,"&lt;="&amp;MIN(D$2+6,Dashboard!$Q$3+6))/$C11))</f>
        <v>2</v>
      </c>
      <c r="E11" s="0" t="n">
        <f aca="false">IF($B11="","",INT(SUMIFS('Release Log'!$D$6:$D$4005,'Release Log'!$B$6:$B$4005,Dashboard!$D$3,'Release Log'!$C$6:$C$4005,$B11,'Release Log'!$A$6:$A$4005,"&lt;="&amp;MIN(E$2+6,Dashboard!$Q$3+6))/$C11))</f>
        <v>3</v>
      </c>
      <c r="F11" s="0" t="n">
        <f aca="false">IF($B11="","",INT(SUMIFS('Release Log'!$D$6:$D$4005,'Release Log'!$B$6:$B$4005,Dashboard!$D$3,'Release Log'!$C$6:$C$4005,$B11,'Release Log'!$A$6:$A$4005,"&lt;="&amp;MIN(F$2+6,Dashboard!$Q$3+6))/$C11))</f>
        <v>3</v>
      </c>
      <c r="G11" s="0" t="n">
        <f aca="false">IF($B11="","",INT(SUMIFS('Release Log'!$D$6:$D$4005,'Release Log'!$B$6:$B$4005,Dashboard!$D$3,'Release Log'!$C$6:$C$4005,$B11,'Release Log'!$A$6:$A$4005,"&lt;="&amp;MIN(G$2+6,Dashboard!$Q$3+6))/$C11))</f>
        <v>4</v>
      </c>
      <c r="H11" s="0" t="n">
        <f aca="false">IF($B11="","",INT(SUMIFS('Release Log'!$D$6:$D$4005,'Release Log'!$B$6:$B$4005,Dashboard!$D$3,'Release Log'!$C$6:$C$4005,$B11,'Release Log'!$A$6:$A$4005,"&lt;="&amp;MIN(H$2+6,Dashboard!$Q$3+6))/$C11))</f>
        <v>5</v>
      </c>
      <c r="I11" s="0" t="n">
        <f aca="false">IF($B11="","",INT(SUMIFS('Release Log'!$D$6:$D$4005,'Release Log'!$B$6:$B$4005,Dashboard!$D$3,'Release Log'!$C$6:$C$4005,$B11,'Release Log'!$A$6:$A$4005,"&lt;="&amp;MIN(I$2+6,Dashboard!$Q$3+6))/$C11))</f>
        <v>5</v>
      </c>
      <c r="J11" s="0" t="n">
        <f aca="false">IF($B11="","",INT(SUMIFS('Release Log'!$D$6:$D$4005,'Release Log'!$B$6:$B$4005,Dashboard!$D$3,'Release Log'!$C$6:$C$4005,$B11,'Release Log'!$A$6:$A$4005,"&lt;="&amp;MIN(J$2+6,Dashboard!$Q$3+6))/$C11))</f>
        <v>6</v>
      </c>
      <c r="K11" s="0" t="n">
        <f aca="false">IF($B11="","",INT(SUMIFS('Release Log'!$D$6:$D$4005,'Release Log'!$B$6:$B$4005,Dashboard!$D$3,'Release Log'!$C$6:$C$4005,$B11,'Release Log'!$A$6:$A$4005,"&lt;="&amp;MIN(K$2+6,Dashboard!$Q$3+6))/$C11))</f>
        <v>7</v>
      </c>
      <c r="L11" s="0" t="n">
        <f aca="false">IF($B11="","",INT(SUMIFS('Release Log'!$D$6:$D$4005,'Release Log'!$B$6:$B$4005,Dashboard!$D$3,'Release Log'!$C$6:$C$4005,$B11,'Release Log'!$A$6:$A$4005,"&lt;="&amp;MIN(L$2+6,Dashboard!$Q$3+6))/$C11))</f>
        <v>7</v>
      </c>
      <c r="M11" s="0" t="n">
        <f aca="false">IF($B11="","",INT(SUMIFS('Release Log'!$D$6:$D$4005,'Release Log'!$B$6:$B$4005,Dashboard!$D$3,'Release Log'!$C$6:$C$4005,$B11,'Release Log'!$A$6:$A$4005,"&lt;="&amp;MIN(M$2+6,Dashboard!$Q$3+6))/$C11))</f>
        <v>8</v>
      </c>
      <c r="N11" s="0" t="n">
        <f aca="false">IF($B11="","",INT(SUMIFS('Release Log'!$D$6:$D$4005,'Release Log'!$B$6:$B$4005,Dashboard!$D$3,'Release Log'!$C$6:$C$4005,$B11,'Release Log'!$A$6:$A$4005,"&lt;="&amp;MIN(N$2+6,Dashboard!$Q$3+6))/$C11))</f>
        <v>8</v>
      </c>
      <c r="O11" s="0" t="n">
        <f aca="false">IF($B11="","",INT(SUMIFS('Release Log'!$D$6:$D$4005,'Release Log'!$B$6:$B$4005,Dashboard!$D$3,'Release Log'!$C$6:$C$4005,$B11,'Release Log'!$A$6:$A$4005,"&lt;="&amp;MIN(O$2+6,Dashboard!$Q$3+6))/$C11))</f>
        <v>13</v>
      </c>
      <c r="P11" s="0" t="n">
        <f aca="false">IF($B11="","",INT(SUMIFS('Release Log'!$D$6:$D$4005,'Release Log'!$B$6:$B$4005,Dashboard!$D$3,'Release Log'!$C$6:$C$4005,$B11,'Release Log'!$A$6:$A$4005,"&lt;="&amp;MIN(P$2+6,Dashboard!$Q$3+6))/$C11))</f>
        <v>13</v>
      </c>
      <c r="Q11" s="0" t="n">
        <f aca="false">IF($B11="","",INT(SUMIFS('Release Log'!$D$6:$D$4005,'Release Log'!$B$6:$B$4005,Dashboard!$D$3,'Release Log'!$C$6:$C$4005,$B11,'Release Log'!$A$6:$A$4005,"&lt;="&amp;MIN(Q$2+6,Dashboard!$Q$3+6))/$C11))</f>
        <v>13</v>
      </c>
      <c r="R11" s="0" t="n">
        <f aca="false">IF($B11="","",INT(SUMIFS('Release Log'!$D$6:$D$4005,'Release Log'!$B$6:$B$4005,Dashboard!$D$3,'Release Log'!$C$6:$C$4005,$B11,'Release Log'!$A$6:$A$4005,"&lt;="&amp;MIN(R$2+6,Dashboard!$Q$3+6))/$C11))</f>
        <v>13</v>
      </c>
      <c r="S11" s="0" t="n">
        <f aca="false">IF($B11="","",INT(SUMIFS('Release Log'!$D$6:$D$4005,'Release Log'!$B$6:$B$4005,Dashboard!$D$3,'Release Log'!$C$6:$C$4005,$B11,'Release Log'!$A$6:$A$4005,"&lt;="&amp;MIN(S$2+6,Dashboard!$Q$3+6))/$C11))</f>
        <v>13</v>
      </c>
      <c r="T11" s="0" t="n">
        <f aca="false">IF($B11="","",INT(SUMIFS('Release Log'!$D$6:$D$4005,'Release Log'!$B$6:$B$4005,Dashboard!$D$3,'Release Log'!$C$6:$C$4005,$B11,'Release Log'!$A$6:$A$4005,"&lt;="&amp;MIN(T$2+6,Dashboard!$Q$3+6))/$C11))</f>
        <v>13</v>
      </c>
      <c r="U11" s="0" t="n">
        <f aca="false">IF($B11="","",INT(SUMIFS('Release Log'!$D$6:$D$4005,'Release Log'!$B$6:$B$4005,Dashboard!$D$3,'Release Log'!$C$6:$C$4005,$B11,'Release Log'!$A$6:$A$4005,"&lt;="&amp;MIN(U$2+6,Dashboard!$Q$3+6))/$C11))</f>
        <v>13</v>
      </c>
      <c r="V11" s="0" t="n">
        <f aca="false">IF($B11="","",INT(SUMIFS('Release Log'!$D$6:$D$4005,'Release Log'!$B$6:$B$4005,Dashboard!$D$3,'Release Log'!$C$6:$C$4005,$B11,'Release Log'!$A$6:$A$4005,"&lt;="&amp;MIN(V$2+6,Dashboard!$Q$3+6))/$C11))</f>
        <v>13</v>
      </c>
      <c r="W11" s="0" t="n">
        <f aca="false">IF($B11="","",INT(SUMIFS('Release Log'!$D$6:$D$4005,'Release Log'!$B$6:$B$4005,Dashboard!$D$3,'Release Log'!$C$6:$C$4005,$B11,'Release Log'!$A$6:$A$4005,"&lt;="&amp;MIN(W$2+6,Dashboard!$Q$3+6))/$C11))</f>
        <v>13</v>
      </c>
      <c r="X11" s="0" t="n">
        <f aca="false">IF($B11="","",INT(SUMIFS('Release Log'!$D$6:$D$4005,'Release Log'!$B$6:$B$4005,Dashboard!$D$3,'Release Log'!$C$6:$C$4005,$B11,'Release Log'!$A$6:$A$4005,"&lt;="&amp;MIN(X$2+6,Dashboard!$Q$3+6))/$C11))</f>
        <v>13</v>
      </c>
      <c r="Y11" s="0" t="n">
        <f aca="false">IF($B11="","",INT(SUMIFS('Release Log'!$D$6:$D$4005,'Release Log'!$B$6:$B$4005,Dashboard!$D$3,'Release Log'!$C$6:$C$4005,$B11,'Release Log'!$A$6:$A$4005,"&lt;="&amp;MIN(Y$2+6,Dashboard!$Q$3+6))/$C11))</f>
        <v>13</v>
      </c>
      <c r="Z11" s="0" t="n">
        <f aca="false">IF($B11="","",INT(SUMIFS('Release Log'!$D$6:$D$4005,'Release Log'!$B$6:$B$4005,Dashboard!$D$3,'Release Log'!$C$6:$C$4005,$B11,'Release Log'!$A$6:$A$4005,"&lt;="&amp;MIN(Z$2+6,Dashboard!$Q$3+6))/$C11))</f>
        <v>13</v>
      </c>
      <c r="AA11" s="0" t="n">
        <f aca="false">IF($B11="","",INT(SUMIFS('Release Log'!$D$6:$D$4005,'Release Log'!$B$6:$B$4005,Dashboard!$D$3,'Release Log'!$C$6:$C$4005,$B11,'Release Log'!$A$6:$A$4005,"&lt;="&amp;MIN(AA$2+6,Dashboard!$Q$3+6))/$C11))</f>
        <v>13</v>
      </c>
      <c r="AB11" s="0" t="n">
        <f aca="false">IF($B11="","",INT(SUMIFS('Release Log'!$D$6:$D$4005,'Release Log'!$B$6:$B$4005,Dashboard!$D$3,'Release Log'!$C$6:$C$4005,$B11,'Release Log'!$A$6:$A$4005,"&lt;="&amp;MIN(AB$2+6,Dashboard!$Q$3+6))/$C11))</f>
        <v>13</v>
      </c>
      <c r="AC11" s="0" t="n">
        <f aca="false">IF($B11="","",INT(SUMIFS('Release Log'!$D$6:$D$4005,'Release Log'!$B$6:$B$4005,Dashboard!$D$3,'Release Log'!$C$6:$C$4005,$B11,'Release Log'!$A$6:$A$4005,"&lt;="&amp;MIN(AC$2+6,Dashboard!$Q$3+6))/$C11))</f>
        <v>13</v>
      </c>
      <c r="AD11" s="0" t="n">
        <f aca="false">IF($B11="","",INT(SUMIFS('Release Log'!$D$6:$D$4005,'Release Log'!$B$6:$B$4005,Dashboard!$D$3,'Release Log'!$C$6:$C$4005,$B11,'Release Log'!$A$6:$A$4005,"&lt;="&amp;MIN(AD$2+6,Dashboard!$Q$3+6))/$C11))</f>
        <v>13</v>
      </c>
      <c r="AE11" s="0" t="n">
        <f aca="false">IF($B11="","",INT(SUMIFS('Release Log'!$D$6:$D$4005,'Release Log'!$B$6:$B$4005,Dashboard!$D$3,'Release Log'!$C$6:$C$4005,$B11,'Release Log'!$A$6:$A$4005,"&lt;="&amp;MIN(AE$2+6,Dashboard!$Q$3+6))/$C11))</f>
        <v>13</v>
      </c>
      <c r="AF11" s="0" t="n">
        <f aca="false">IF($B11="","",INT(SUMIFS('Release Log'!$D$6:$D$4005,'Release Log'!$B$6:$B$4005,Dashboard!$D$3,'Release Log'!$C$6:$C$4005,$B11,'Release Log'!$A$6:$A$4005,"&lt;="&amp;MIN(AF$2+6,Dashboard!$Q$3+6))/$C11))</f>
        <v>13</v>
      </c>
      <c r="AG11" s="0" t="n">
        <f aca="false">IF($B11="","",INT(SUMIFS('Release Log'!$D$6:$D$4005,'Release Log'!$B$6:$B$4005,Dashboard!$D$3,'Release Log'!$C$6:$C$4005,$B11,'Release Log'!$A$6:$A$4005,"&lt;="&amp;MIN(AG$2+6,Dashboard!$Q$3+6))/$C11))</f>
        <v>13</v>
      </c>
      <c r="AH11" s="0" t="n">
        <f aca="false">IF($B11="","",INT(SUMIFS('Release Log'!$D$6:$D$4005,'Release Log'!$B$6:$B$4005,Dashboard!$D$3,'Release Log'!$C$6:$C$4005,$B11,'Release Log'!$A$6:$A$4005,"&lt;="&amp;MIN(AH$2+6,Dashboard!$Q$3+6))/$C11))</f>
        <v>13</v>
      </c>
      <c r="AI11" s="0" t="n">
        <f aca="false">IF($B11="","",INT(SUMIFS('Release Log'!$D$6:$D$4005,'Release Log'!$B$6:$B$4005,Dashboard!$D$3,'Release Log'!$C$6:$C$4005,$B11,'Release Log'!$A$6:$A$4005,"&lt;="&amp;MIN(AI$2+6,Dashboard!$Q$3+6))/$C11))</f>
        <v>13</v>
      </c>
      <c r="AJ11" s="0" t="n">
        <f aca="false">IF($B11="","",INT(SUMIFS('Release Log'!$D$6:$D$4005,'Release Log'!$B$6:$B$4005,Dashboard!$D$3,'Release Log'!$C$6:$C$4005,$B11,'Release Log'!$A$6:$A$4005,"&lt;="&amp;MIN(AJ$2+6,Dashboard!$Q$3+6))/$C11))</f>
        <v>13</v>
      </c>
      <c r="AK11" s="0" t="n">
        <f aca="false">IF($B11="","",INT(SUMIFS('Release Log'!$D$6:$D$4005,'Release Log'!$B$6:$B$4005,Dashboard!$D$3,'Release Log'!$C$6:$C$4005,$B11,'Release Log'!$A$6:$A$4005,"&lt;="&amp;MIN(AK$2+6,Dashboard!$Q$3+6))/$C11))</f>
        <v>13</v>
      </c>
      <c r="AL11" s="0" t="n">
        <f aca="false">IF($B11="","",INT(SUMIFS('Release Log'!$D$6:$D$4005,'Release Log'!$B$6:$B$4005,Dashboard!$D$3,'Release Log'!$C$6:$C$4005,$B11,'Release Log'!$A$6:$A$4005,"&lt;="&amp;MIN(AL$2+6,Dashboard!$Q$3+6))/$C11))</f>
        <v>13</v>
      </c>
      <c r="AM11" s="0" t="n">
        <f aca="false">IF($B11="","",INT(SUMIFS('Release Log'!$D$6:$D$4005,'Release Log'!$B$6:$B$4005,Dashboard!$D$3,'Release Log'!$C$6:$C$4005,$B11,'Release Log'!$A$6:$A$4005,"&lt;="&amp;MIN(AM$2+6,Dashboard!$Q$3+6))/$C11))</f>
        <v>13</v>
      </c>
      <c r="AN11" s="0" t="n">
        <f aca="false">IF($B11="","",INT(SUMIFS('Release Log'!$D$6:$D$4005,'Release Log'!$B$6:$B$4005,Dashboard!$D$3,'Release Log'!$C$6:$C$4005,$B11,'Release Log'!$A$6:$A$4005,"&lt;="&amp;MIN(AN$2+6,Dashboard!$Q$3+6))/$C11))</f>
        <v>13</v>
      </c>
      <c r="AO11" s="0" t="n">
        <f aca="false">IF($B11="","",INT(SUMIFS('Release Log'!$D$6:$D$4005,'Release Log'!$B$6:$B$4005,Dashboard!$D$3,'Release Log'!$C$6:$C$4005,$B11,'Release Log'!$A$6:$A$4005,"&lt;="&amp;MIN(AO$2+6,Dashboard!$Q$3+6))/$C11))</f>
        <v>13</v>
      </c>
      <c r="AP11" s="0" t="n">
        <f aca="false">IF($B11="","",INT(SUMIFS('Release Log'!$D$6:$D$4005,'Release Log'!$B$6:$B$4005,Dashboard!$D$3,'Release Log'!$C$6:$C$4005,$B11,'Release Log'!$A$6:$A$4005,"&lt;="&amp;MIN(AP$2+6,Dashboard!$Q$3+6))/$C11))</f>
        <v>13</v>
      </c>
      <c r="AQ11" s="0" t="n">
        <f aca="false">IF($B11="","",INT(SUMIFS('Release Log'!$D$6:$D$4005,'Release Log'!$B$6:$B$4005,Dashboard!$D$3,'Release Log'!$C$6:$C$4005,$B11,'Release Log'!$A$6:$A$4005,"&lt;="&amp;MIN(AQ$2+6,Dashboard!$Q$3+6))/$C11))</f>
        <v>13</v>
      </c>
    </row>
    <row r="12" customFormat="false" ht="15" hidden="false" customHeight="false" outlineLevel="0" collapsed="false">
      <c r="A12" s="0" t="n">
        <v>9</v>
      </c>
      <c r="B12" s="0" t="str">
        <f aca="false">IFERROR(INDEX('Kit Lists'!$C$6:$C$605,MATCH(Dashboard!$D$3&amp;"|"&amp;A12,'Kit Lists'!$G$6:$G$605,0)),"")</f>
        <v>92YRA02548AAA</v>
      </c>
      <c r="C12" s="0" t="n">
        <f aca="false">IF(B12="","",INDEX('Kit Lists'!$E$6:$E$605,MATCH(Dashboard!$D$3&amp;"|"&amp;A12,'Kit Lists'!$G$6:$G$605,0)))</f>
        <v>3</v>
      </c>
      <c r="D12" s="0" t="n">
        <f aca="false">IF($B12="","",INT(SUMIFS('Release Log'!$D$6:$D$4005,'Release Log'!$B$6:$B$4005,Dashboard!$D$3,'Release Log'!$C$6:$C$4005,$B12,'Release Log'!$A$6:$A$4005,"&lt;="&amp;MIN(D$2+6,Dashboard!$Q$3+6))/$C12))</f>
        <v>2</v>
      </c>
      <c r="E12" s="0" t="n">
        <f aca="false">IF($B12="","",INT(SUMIFS('Release Log'!$D$6:$D$4005,'Release Log'!$B$6:$B$4005,Dashboard!$D$3,'Release Log'!$C$6:$C$4005,$B12,'Release Log'!$A$6:$A$4005,"&lt;="&amp;MIN(E$2+6,Dashboard!$Q$3+6))/$C12))</f>
        <v>3</v>
      </c>
      <c r="F12" s="0" t="n">
        <f aca="false">IF($B12="","",INT(SUMIFS('Release Log'!$D$6:$D$4005,'Release Log'!$B$6:$B$4005,Dashboard!$D$3,'Release Log'!$C$6:$C$4005,$B12,'Release Log'!$A$6:$A$4005,"&lt;="&amp;MIN(F$2+6,Dashboard!$Q$3+6))/$C12))</f>
        <v>3</v>
      </c>
      <c r="G12" s="0" t="n">
        <f aca="false">IF($B12="","",INT(SUMIFS('Release Log'!$D$6:$D$4005,'Release Log'!$B$6:$B$4005,Dashboard!$D$3,'Release Log'!$C$6:$C$4005,$B12,'Release Log'!$A$6:$A$4005,"&lt;="&amp;MIN(G$2+6,Dashboard!$Q$3+6))/$C12))</f>
        <v>4</v>
      </c>
      <c r="H12" s="0" t="n">
        <f aca="false">IF($B12="","",INT(SUMIFS('Release Log'!$D$6:$D$4005,'Release Log'!$B$6:$B$4005,Dashboard!$D$3,'Release Log'!$C$6:$C$4005,$B12,'Release Log'!$A$6:$A$4005,"&lt;="&amp;MIN(H$2+6,Dashboard!$Q$3+6))/$C12))</f>
        <v>5</v>
      </c>
      <c r="I12" s="0" t="n">
        <f aca="false">IF($B12="","",INT(SUMIFS('Release Log'!$D$6:$D$4005,'Release Log'!$B$6:$B$4005,Dashboard!$D$3,'Release Log'!$C$6:$C$4005,$B12,'Release Log'!$A$6:$A$4005,"&lt;="&amp;MIN(I$2+6,Dashboard!$Q$3+6))/$C12))</f>
        <v>5</v>
      </c>
      <c r="J12" s="0" t="n">
        <f aca="false">IF($B12="","",INT(SUMIFS('Release Log'!$D$6:$D$4005,'Release Log'!$B$6:$B$4005,Dashboard!$D$3,'Release Log'!$C$6:$C$4005,$B12,'Release Log'!$A$6:$A$4005,"&lt;="&amp;MIN(J$2+6,Dashboard!$Q$3+6))/$C12))</f>
        <v>6</v>
      </c>
      <c r="K12" s="0" t="n">
        <f aca="false">IF($B12="","",INT(SUMIFS('Release Log'!$D$6:$D$4005,'Release Log'!$B$6:$B$4005,Dashboard!$D$3,'Release Log'!$C$6:$C$4005,$B12,'Release Log'!$A$6:$A$4005,"&lt;="&amp;MIN(K$2+6,Dashboard!$Q$3+6))/$C12))</f>
        <v>7</v>
      </c>
      <c r="L12" s="0" t="n">
        <f aca="false">IF($B12="","",INT(SUMIFS('Release Log'!$D$6:$D$4005,'Release Log'!$B$6:$B$4005,Dashboard!$D$3,'Release Log'!$C$6:$C$4005,$B12,'Release Log'!$A$6:$A$4005,"&lt;="&amp;MIN(L$2+6,Dashboard!$Q$3+6))/$C12))</f>
        <v>7</v>
      </c>
      <c r="M12" s="0" t="n">
        <f aca="false">IF($B12="","",INT(SUMIFS('Release Log'!$D$6:$D$4005,'Release Log'!$B$6:$B$4005,Dashboard!$D$3,'Release Log'!$C$6:$C$4005,$B12,'Release Log'!$A$6:$A$4005,"&lt;="&amp;MIN(M$2+6,Dashboard!$Q$3+6))/$C12))</f>
        <v>8</v>
      </c>
      <c r="N12" s="0" t="n">
        <f aca="false">IF($B12="","",INT(SUMIFS('Release Log'!$D$6:$D$4005,'Release Log'!$B$6:$B$4005,Dashboard!$D$3,'Release Log'!$C$6:$C$4005,$B12,'Release Log'!$A$6:$A$4005,"&lt;="&amp;MIN(N$2+6,Dashboard!$Q$3+6))/$C12))</f>
        <v>8</v>
      </c>
      <c r="O12" s="0" t="n">
        <f aca="false">IF($B12="","",INT(SUMIFS('Release Log'!$D$6:$D$4005,'Release Log'!$B$6:$B$4005,Dashboard!$D$3,'Release Log'!$C$6:$C$4005,$B12,'Release Log'!$A$6:$A$4005,"&lt;="&amp;MIN(O$2+6,Dashboard!$Q$3+6))/$C12))</f>
        <v>13</v>
      </c>
      <c r="P12" s="0" t="n">
        <f aca="false">IF($B12="","",INT(SUMIFS('Release Log'!$D$6:$D$4005,'Release Log'!$B$6:$B$4005,Dashboard!$D$3,'Release Log'!$C$6:$C$4005,$B12,'Release Log'!$A$6:$A$4005,"&lt;="&amp;MIN(P$2+6,Dashboard!$Q$3+6))/$C12))</f>
        <v>13</v>
      </c>
      <c r="Q12" s="0" t="n">
        <f aca="false">IF($B12="","",INT(SUMIFS('Release Log'!$D$6:$D$4005,'Release Log'!$B$6:$B$4005,Dashboard!$D$3,'Release Log'!$C$6:$C$4005,$B12,'Release Log'!$A$6:$A$4005,"&lt;="&amp;MIN(Q$2+6,Dashboard!$Q$3+6))/$C12))</f>
        <v>13</v>
      </c>
      <c r="R12" s="0" t="n">
        <f aca="false">IF($B12="","",INT(SUMIFS('Release Log'!$D$6:$D$4005,'Release Log'!$B$6:$B$4005,Dashboard!$D$3,'Release Log'!$C$6:$C$4005,$B12,'Release Log'!$A$6:$A$4005,"&lt;="&amp;MIN(R$2+6,Dashboard!$Q$3+6))/$C12))</f>
        <v>13</v>
      </c>
      <c r="S12" s="0" t="n">
        <f aca="false">IF($B12="","",INT(SUMIFS('Release Log'!$D$6:$D$4005,'Release Log'!$B$6:$B$4005,Dashboard!$D$3,'Release Log'!$C$6:$C$4005,$B12,'Release Log'!$A$6:$A$4005,"&lt;="&amp;MIN(S$2+6,Dashboard!$Q$3+6))/$C12))</f>
        <v>13</v>
      </c>
      <c r="T12" s="0" t="n">
        <f aca="false">IF($B12="","",INT(SUMIFS('Release Log'!$D$6:$D$4005,'Release Log'!$B$6:$B$4005,Dashboard!$D$3,'Release Log'!$C$6:$C$4005,$B12,'Release Log'!$A$6:$A$4005,"&lt;="&amp;MIN(T$2+6,Dashboard!$Q$3+6))/$C12))</f>
        <v>13</v>
      </c>
      <c r="U12" s="0" t="n">
        <f aca="false">IF($B12="","",INT(SUMIFS('Release Log'!$D$6:$D$4005,'Release Log'!$B$6:$B$4005,Dashboard!$D$3,'Release Log'!$C$6:$C$4005,$B12,'Release Log'!$A$6:$A$4005,"&lt;="&amp;MIN(U$2+6,Dashboard!$Q$3+6))/$C12))</f>
        <v>13</v>
      </c>
      <c r="V12" s="0" t="n">
        <f aca="false">IF($B12="","",INT(SUMIFS('Release Log'!$D$6:$D$4005,'Release Log'!$B$6:$B$4005,Dashboard!$D$3,'Release Log'!$C$6:$C$4005,$B12,'Release Log'!$A$6:$A$4005,"&lt;="&amp;MIN(V$2+6,Dashboard!$Q$3+6))/$C12))</f>
        <v>13</v>
      </c>
      <c r="W12" s="0" t="n">
        <f aca="false">IF($B12="","",INT(SUMIFS('Release Log'!$D$6:$D$4005,'Release Log'!$B$6:$B$4005,Dashboard!$D$3,'Release Log'!$C$6:$C$4005,$B12,'Release Log'!$A$6:$A$4005,"&lt;="&amp;MIN(W$2+6,Dashboard!$Q$3+6))/$C12))</f>
        <v>13</v>
      </c>
      <c r="X12" s="0" t="n">
        <f aca="false">IF($B12="","",INT(SUMIFS('Release Log'!$D$6:$D$4005,'Release Log'!$B$6:$B$4005,Dashboard!$D$3,'Release Log'!$C$6:$C$4005,$B12,'Release Log'!$A$6:$A$4005,"&lt;="&amp;MIN(X$2+6,Dashboard!$Q$3+6))/$C12))</f>
        <v>13</v>
      </c>
      <c r="Y12" s="0" t="n">
        <f aca="false">IF($B12="","",INT(SUMIFS('Release Log'!$D$6:$D$4005,'Release Log'!$B$6:$B$4005,Dashboard!$D$3,'Release Log'!$C$6:$C$4005,$B12,'Release Log'!$A$6:$A$4005,"&lt;="&amp;MIN(Y$2+6,Dashboard!$Q$3+6))/$C12))</f>
        <v>13</v>
      </c>
      <c r="Z12" s="0" t="n">
        <f aca="false">IF($B12="","",INT(SUMIFS('Release Log'!$D$6:$D$4005,'Release Log'!$B$6:$B$4005,Dashboard!$D$3,'Release Log'!$C$6:$C$4005,$B12,'Release Log'!$A$6:$A$4005,"&lt;="&amp;MIN(Z$2+6,Dashboard!$Q$3+6))/$C12))</f>
        <v>13</v>
      </c>
      <c r="AA12" s="0" t="n">
        <f aca="false">IF($B12="","",INT(SUMIFS('Release Log'!$D$6:$D$4005,'Release Log'!$B$6:$B$4005,Dashboard!$D$3,'Release Log'!$C$6:$C$4005,$B12,'Release Log'!$A$6:$A$4005,"&lt;="&amp;MIN(AA$2+6,Dashboard!$Q$3+6))/$C12))</f>
        <v>13</v>
      </c>
      <c r="AB12" s="0" t="n">
        <f aca="false">IF($B12="","",INT(SUMIFS('Release Log'!$D$6:$D$4005,'Release Log'!$B$6:$B$4005,Dashboard!$D$3,'Release Log'!$C$6:$C$4005,$B12,'Release Log'!$A$6:$A$4005,"&lt;="&amp;MIN(AB$2+6,Dashboard!$Q$3+6))/$C12))</f>
        <v>13</v>
      </c>
      <c r="AC12" s="0" t="n">
        <f aca="false">IF($B12="","",INT(SUMIFS('Release Log'!$D$6:$D$4005,'Release Log'!$B$6:$B$4005,Dashboard!$D$3,'Release Log'!$C$6:$C$4005,$B12,'Release Log'!$A$6:$A$4005,"&lt;="&amp;MIN(AC$2+6,Dashboard!$Q$3+6))/$C12))</f>
        <v>13</v>
      </c>
      <c r="AD12" s="0" t="n">
        <f aca="false">IF($B12="","",INT(SUMIFS('Release Log'!$D$6:$D$4005,'Release Log'!$B$6:$B$4005,Dashboard!$D$3,'Release Log'!$C$6:$C$4005,$B12,'Release Log'!$A$6:$A$4005,"&lt;="&amp;MIN(AD$2+6,Dashboard!$Q$3+6))/$C12))</f>
        <v>13</v>
      </c>
      <c r="AE12" s="0" t="n">
        <f aca="false">IF($B12="","",INT(SUMIFS('Release Log'!$D$6:$D$4005,'Release Log'!$B$6:$B$4005,Dashboard!$D$3,'Release Log'!$C$6:$C$4005,$B12,'Release Log'!$A$6:$A$4005,"&lt;="&amp;MIN(AE$2+6,Dashboard!$Q$3+6))/$C12))</f>
        <v>13</v>
      </c>
      <c r="AF12" s="0" t="n">
        <f aca="false">IF($B12="","",INT(SUMIFS('Release Log'!$D$6:$D$4005,'Release Log'!$B$6:$B$4005,Dashboard!$D$3,'Release Log'!$C$6:$C$4005,$B12,'Release Log'!$A$6:$A$4005,"&lt;="&amp;MIN(AF$2+6,Dashboard!$Q$3+6))/$C12))</f>
        <v>13</v>
      </c>
      <c r="AG12" s="0" t="n">
        <f aca="false">IF($B12="","",INT(SUMIFS('Release Log'!$D$6:$D$4005,'Release Log'!$B$6:$B$4005,Dashboard!$D$3,'Release Log'!$C$6:$C$4005,$B12,'Release Log'!$A$6:$A$4005,"&lt;="&amp;MIN(AG$2+6,Dashboard!$Q$3+6))/$C12))</f>
        <v>13</v>
      </c>
      <c r="AH12" s="0" t="n">
        <f aca="false">IF($B12="","",INT(SUMIFS('Release Log'!$D$6:$D$4005,'Release Log'!$B$6:$B$4005,Dashboard!$D$3,'Release Log'!$C$6:$C$4005,$B12,'Release Log'!$A$6:$A$4005,"&lt;="&amp;MIN(AH$2+6,Dashboard!$Q$3+6))/$C12))</f>
        <v>13</v>
      </c>
      <c r="AI12" s="0" t="n">
        <f aca="false">IF($B12="","",INT(SUMIFS('Release Log'!$D$6:$D$4005,'Release Log'!$B$6:$B$4005,Dashboard!$D$3,'Release Log'!$C$6:$C$4005,$B12,'Release Log'!$A$6:$A$4005,"&lt;="&amp;MIN(AI$2+6,Dashboard!$Q$3+6))/$C12))</f>
        <v>13</v>
      </c>
      <c r="AJ12" s="0" t="n">
        <f aca="false">IF($B12="","",INT(SUMIFS('Release Log'!$D$6:$D$4005,'Release Log'!$B$6:$B$4005,Dashboard!$D$3,'Release Log'!$C$6:$C$4005,$B12,'Release Log'!$A$6:$A$4005,"&lt;="&amp;MIN(AJ$2+6,Dashboard!$Q$3+6))/$C12))</f>
        <v>13</v>
      </c>
      <c r="AK12" s="0" t="n">
        <f aca="false">IF($B12="","",INT(SUMIFS('Release Log'!$D$6:$D$4005,'Release Log'!$B$6:$B$4005,Dashboard!$D$3,'Release Log'!$C$6:$C$4005,$B12,'Release Log'!$A$6:$A$4005,"&lt;="&amp;MIN(AK$2+6,Dashboard!$Q$3+6))/$C12))</f>
        <v>13</v>
      </c>
      <c r="AL12" s="0" t="n">
        <f aca="false">IF($B12="","",INT(SUMIFS('Release Log'!$D$6:$D$4005,'Release Log'!$B$6:$B$4005,Dashboard!$D$3,'Release Log'!$C$6:$C$4005,$B12,'Release Log'!$A$6:$A$4005,"&lt;="&amp;MIN(AL$2+6,Dashboard!$Q$3+6))/$C12))</f>
        <v>13</v>
      </c>
      <c r="AM12" s="0" t="n">
        <f aca="false">IF($B12="","",INT(SUMIFS('Release Log'!$D$6:$D$4005,'Release Log'!$B$6:$B$4005,Dashboard!$D$3,'Release Log'!$C$6:$C$4005,$B12,'Release Log'!$A$6:$A$4005,"&lt;="&amp;MIN(AM$2+6,Dashboard!$Q$3+6))/$C12))</f>
        <v>13</v>
      </c>
      <c r="AN12" s="0" t="n">
        <f aca="false">IF($B12="","",INT(SUMIFS('Release Log'!$D$6:$D$4005,'Release Log'!$B$6:$B$4005,Dashboard!$D$3,'Release Log'!$C$6:$C$4005,$B12,'Release Log'!$A$6:$A$4005,"&lt;="&amp;MIN(AN$2+6,Dashboard!$Q$3+6))/$C12))</f>
        <v>13</v>
      </c>
      <c r="AO12" s="0" t="n">
        <f aca="false">IF($B12="","",INT(SUMIFS('Release Log'!$D$6:$D$4005,'Release Log'!$B$6:$B$4005,Dashboard!$D$3,'Release Log'!$C$6:$C$4005,$B12,'Release Log'!$A$6:$A$4005,"&lt;="&amp;MIN(AO$2+6,Dashboard!$Q$3+6))/$C12))</f>
        <v>13</v>
      </c>
      <c r="AP12" s="0" t="n">
        <f aca="false">IF($B12="","",INT(SUMIFS('Release Log'!$D$6:$D$4005,'Release Log'!$B$6:$B$4005,Dashboard!$D$3,'Release Log'!$C$6:$C$4005,$B12,'Release Log'!$A$6:$A$4005,"&lt;="&amp;MIN(AP$2+6,Dashboard!$Q$3+6))/$C12))</f>
        <v>13</v>
      </c>
      <c r="AQ12" s="0" t="n">
        <f aca="false">IF($B12="","",INT(SUMIFS('Release Log'!$D$6:$D$4005,'Release Log'!$B$6:$B$4005,Dashboard!$D$3,'Release Log'!$C$6:$C$4005,$B12,'Release Log'!$A$6:$A$4005,"&lt;="&amp;MIN(AQ$2+6,Dashboard!$Q$3+6))/$C12))</f>
        <v>13</v>
      </c>
    </row>
    <row r="13" customFormat="false" ht="15" hidden="false" customHeight="false" outlineLevel="0" collapsed="false">
      <c r="A13" s="0" t="n">
        <v>10</v>
      </c>
      <c r="B13" s="0" t="str">
        <f aca="false">IFERROR(INDEX('Kit Lists'!$C$6:$C$605,MATCH(Dashboard!$D$3&amp;"|"&amp;A13,'Kit Lists'!$G$6:$G$605,0)),"")</f>
        <v>92YRA03548AAA</v>
      </c>
      <c r="C13" s="0" t="n">
        <f aca="false">IF(B13="","",INDEX('Kit Lists'!$E$6:$E$605,MATCH(Dashboard!$D$3&amp;"|"&amp;A13,'Kit Lists'!$G$6:$G$605,0)))</f>
        <v>3</v>
      </c>
      <c r="D13" s="0" t="n">
        <f aca="false">IF($B13="","",INT(SUMIFS('Release Log'!$D$6:$D$4005,'Release Log'!$B$6:$B$4005,Dashboard!$D$3,'Release Log'!$C$6:$C$4005,$B13,'Release Log'!$A$6:$A$4005,"&lt;="&amp;MIN(D$2+6,Dashboard!$Q$3+6))/$C13))</f>
        <v>2</v>
      </c>
      <c r="E13" s="0" t="n">
        <f aca="false">IF($B13="","",INT(SUMIFS('Release Log'!$D$6:$D$4005,'Release Log'!$B$6:$B$4005,Dashboard!$D$3,'Release Log'!$C$6:$C$4005,$B13,'Release Log'!$A$6:$A$4005,"&lt;="&amp;MIN(E$2+6,Dashboard!$Q$3+6))/$C13))</f>
        <v>3</v>
      </c>
      <c r="F13" s="0" t="n">
        <f aca="false">IF($B13="","",INT(SUMIFS('Release Log'!$D$6:$D$4005,'Release Log'!$B$6:$B$4005,Dashboard!$D$3,'Release Log'!$C$6:$C$4005,$B13,'Release Log'!$A$6:$A$4005,"&lt;="&amp;MIN(F$2+6,Dashboard!$Q$3+6))/$C13))</f>
        <v>4</v>
      </c>
      <c r="G13" s="0" t="n">
        <f aca="false">IF($B13="","",INT(SUMIFS('Release Log'!$D$6:$D$4005,'Release Log'!$B$6:$B$4005,Dashboard!$D$3,'Release Log'!$C$6:$C$4005,$B13,'Release Log'!$A$6:$A$4005,"&lt;="&amp;MIN(G$2+6,Dashboard!$Q$3+6))/$C13))</f>
        <v>4</v>
      </c>
      <c r="H13" s="0" t="n">
        <f aca="false">IF($B13="","",INT(SUMIFS('Release Log'!$D$6:$D$4005,'Release Log'!$B$6:$B$4005,Dashboard!$D$3,'Release Log'!$C$6:$C$4005,$B13,'Release Log'!$A$6:$A$4005,"&lt;="&amp;MIN(H$2+6,Dashboard!$Q$3+6))/$C13))</f>
        <v>5</v>
      </c>
      <c r="I13" s="0" t="n">
        <f aca="false">IF($B13="","",INT(SUMIFS('Release Log'!$D$6:$D$4005,'Release Log'!$B$6:$B$4005,Dashboard!$D$3,'Release Log'!$C$6:$C$4005,$B13,'Release Log'!$A$6:$A$4005,"&lt;="&amp;MIN(I$2+6,Dashboard!$Q$3+6))/$C13))</f>
        <v>5</v>
      </c>
      <c r="J13" s="0" t="n">
        <f aca="false">IF($B13="","",INT(SUMIFS('Release Log'!$D$6:$D$4005,'Release Log'!$B$6:$B$4005,Dashboard!$D$3,'Release Log'!$C$6:$C$4005,$B13,'Release Log'!$A$6:$A$4005,"&lt;="&amp;MIN(J$2+6,Dashboard!$Q$3+6))/$C13))</f>
        <v>6</v>
      </c>
      <c r="K13" s="0" t="n">
        <f aca="false">IF($B13="","",INT(SUMIFS('Release Log'!$D$6:$D$4005,'Release Log'!$B$6:$B$4005,Dashboard!$D$3,'Release Log'!$C$6:$C$4005,$B13,'Release Log'!$A$6:$A$4005,"&lt;="&amp;MIN(K$2+6,Dashboard!$Q$3+6))/$C13))</f>
        <v>7</v>
      </c>
      <c r="L13" s="0" t="n">
        <f aca="false">IF($B13="","",INT(SUMIFS('Release Log'!$D$6:$D$4005,'Release Log'!$B$6:$B$4005,Dashboard!$D$3,'Release Log'!$C$6:$C$4005,$B13,'Release Log'!$A$6:$A$4005,"&lt;="&amp;MIN(L$2+6,Dashboard!$Q$3+6))/$C13))</f>
        <v>8</v>
      </c>
      <c r="M13" s="0" t="n">
        <f aca="false">IF($B13="","",INT(SUMIFS('Release Log'!$D$6:$D$4005,'Release Log'!$B$6:$B$4005,Dashboard!$D$3,'Release Log'!$C$6:$C$4005,$B13,'Release Log'!$A$6:$A$4005,"&lt;="&amp;MIN(M$2+6,Dashboard!$Q$3+6))/$C13))</f>
        <v>9</v>
      </c>
      <c r="N13" s="0" t="n">
        <f aca="false">IF($B13="","",INT(SUMIFS('Release Log'!$D$6:$D$4005,'Release Log'!$B$6:$B$4005,Dashboard!$D$3,'Release Log'!$C$6:$C$4005,$B13,'Release Log'!$A$6:$A$4005,"&lt;="&amp;MIN(N$2+6,Dashboard!$Q$3+6))/$C13))</f>
        <v>9</v>
      </c>
      <c r="O13" s="0" t="n">
        <f aca="false">IF($B13="","",INT(SUMIFS('Release Log'!$D$6:$D$4005,'Release Log'!$B$6:$B$4005,Dashboard!$D$3,'Release Log'!$C$6:$C$4005,$B13,'Release Log'!$A$6:$A$4005,"&lt;="&amp;MIN(O$2+6,Dashboard!$Q$3+6))/$C13))</f>
        <v>13</v>
      </c>
      <c r="P13" s="0" t="n">
        <f aca="false">IF($B13="","",INT(SUMIFS('Release Log'!$D$6:$D$4005,'Release Log'!$B$6:$B$4005,Dashboard!$D$3,'Release Log'!$C$6:$C$4005,$B13,'Release Log'!$A$6:$A$4005,"&lt;="&amp;MIN(P$2+6,Dashboard!$Q$3+6))/$C13))</f>
        <v>13</v>
      </c>
      <c r="Q13" s="0" t="n">
        <f aca="false">IF($B13="","",INT(SUMIFS('Release Log'!$D$6:$D$4005,'Release Log'!$B$6:$B$4005,Dashboard!$D$3,'Release Log'!$C$6:$C$4005,$B13,'Release Log'!$A$6:$A$4005,"&lt;="&amp;MIN(Q$2+6,Dashboard!$Q$3+6))/$C13))</f>
        <v>13</v>
      </c>
      <c r="R13" s="0" t="n">
        <f aca="false">IF($B13="","",INT(SUMIFS('Release Log'!$D$6:$D$4005,'Release Log'!$B$6:$B$4005,Dashboard!$D$3,'Release Log'!$C$6:$C$4005,$B13,'Release Log'!$A$6:$A$4005,"&lt;="&amp;MIN(R$2+6,Dashboard!$Q$3+6))/$C13))</f>
        <v>13</v>
      </c>
      <c r="S13" s="0" t="n">
        <f aca="false">IF($B13="","",INT(SUMIFS('Release Log'!$D$6:$D$4005,'Release Log'!$B$6:$B$4005,Dashboard!$D$3,'Release Log'!$C$6:$C$4005,$B13,'Release Log'!$A$6:$A$4005,"&lt;="&amp;MIN(S$2+6,Dashboard!$Q$3+6))/$C13))</f>
        <v>13</v>
      </c>
      <c r="T13" s="0" t="n">
        <f aca="false">IF($B13="","",INT(SUMIFS('Release Log'!$D$6:$D$4005,'Release Log'!$B$6:$B$4005,Dashboard!$D$3,'Release Log'!$C$6:$C$4005,$B13,'Release Log'!$A$6:$A$4005,"&lt;="&amp;MIN(T$2+6,Dashboard!$Q$3+6))/$C13))</f>
        <v>13</v>
      </c>
      <c r="U13" s="0" t="n">
        <f aca="false">IF($B13="","",INT(SUMIFS('Release Log'!$D$6:$D$4005,'Release Log'!$B$6:$B$4005,Dashboard!$D$3,'Release Log'!$C$6:$C$4005,$B13,'Release Log'!$A$6:$A$4005,"&lt;="&amp;MIN(U$2+6,Dashboard!$Q$3+6))/$C13))</f>
        <v>13</v>
      </c>
      <c r="V13" s="0" t="n">
        <f aca="false">IF($B13="","",INT(SUMIFS('Release Log'!$D$6:$D$4005,'Release Log'!$B$6:$B$4005,Dashboard!$D$3,'Release Log'!$C$6:$C$4005,$B13,'Release Log'!$A$6:$A$4005,"&lt;="&amp;MIN(V$2+6,Dashboard!$Q$3+6))/$C13))</f>
        <v>13</v>
      </c>
      <c r="W13" s="0" t="n">
        <f aca="false">IF($B13="","",INT(SUMIFS('Release Log'!$D$6:$D$4005,'Release Log'!$B$6:$B$4005,Dashboard!$D$3,'Release Log'!$C$6:$C$4005,$B13,'Release Log'!$A$6:$A$4005,"&lt;="&amp;MIN(W$2+6,Dashboard!$Q$3+6))/$C13))</f>
        <v>13</v>
      </c>
      <c r="X13" s="0" t="n">
        <f aca="false">IF($B13="","",INT(SUMIFS('Release Log'!$D$6:$D$4005,'Release Log'!$B$6:$B$4005,Dashboard!$D$3,'Release Log'!$C$6:$C$4005,$B13,'Release Log'!$A$6:$A$4005,"&lt;="&amp;MIN(X$2+6,Dashboard!$Q$3+6))/$C13))</f>
        <v>13</v>
      </c>
      <c r="Y13" s="0" t="n">
        <f aca="false">IF($B13="","",INT(SUMIFS('Release Log'!$D$6:$D$4005,'Release Log'!$B$6:$B$4005,Dashboard!$D$3,'Release Log'!$C$6:$C$4005,$B13,'Release Log'!$A$6:$A$4005,"&lt;="&amp;MIN(Y$2+6,Dashboard!$Q$3+6))/$C13))</f>
        <v>13</v>
      </c>
      <c r="Z13" s="0" t="n">
        <f aca="false">IF($B13="","",INT(SUMIFS('Release Log'!$D$6:$D$4005,'Release Log'!$B$6:$B$4005,Dashboard!$D$3,'Release Log'!$C$6:$C$4005,$B13,'Release Log'!$A$6:$A$4005,"&lt;="&amp;MIN(Z$2+6,Dashboard!$Q$3+6))/$C13))</f>
        <v>13</v>
      </c>
      <c r="AA13" s="0" t="n">
        <f aca="false">IF($B13="","",INT(SUMIFS('Release Log'!$D$6:$D$4005,'Release Log'!$B$6:$B$4005,Dashboard!$D$3,'Release Log'!$C$6:$C$4005,$B13,'Release Log'!$A$6:$A$4005,"&lt;="&amp;MIN(AA$2+6,Dashboard!$Q$3+6))/$C13))</f>
        <v>13</v>
      </c>
      <c r="AB13" s="0" t="n">
        <f aca="false">IF($B13="","",INT(SUMIFS('Release Log'!$D$6:$D$4005,'Release Log'!$B$6:$B$4005,Dashboard!$D$3,'Release Log'!$C$6:$C$4005,$B13,'Release Log'!$A$6:$A$4005,"&lt;="&amp;MIN(AB$2+6,Dashboard!$Q$3+6))/$C13))</f>
        <v>13</v>
      </c>
      <c r="AC13" s="0" t="n">
        <f aca="false">IF($B13="","",INT(SUMIFS('Release Log'!$D$6:$D$4005,'Release Log'!$B$6:$B$4005,Dashboard!$D$3,'Release Log'!$C$6:$C$4005,$B13,'Release Log'!$A$6:$A$4005,"&lt;="&amp;MIN(AC$2+6,Dashboard!$Q$3+6))/$C13))</f>
        <v>13</v>
      </c>
      <c r="AD13" s="0" t="n">
        <f aca="false">IF($B13="","",INT(SUMIFS('Release Log'!$D$6:$D$4005,'Release Log'!$B$6:$B$4005,Dashboard!$D$3,'Release Log'!$C$6:$C$4005,$B13,'Release Log'!$A$6:$A$4005,"&lt;="&amp;MIN(AD$2+6,Dashboard!$Q$3+6))/$C13))</f>
        <v>13</v>
      </c>
      <c r="AE13" s="0" t="n">
        <f aca="false">IF($B13="","",INT(SUMIFS('Release Log'!$D$6:$D$4005,'Release Log'!$B$6:$B$4005,Dashboard!$D$3,'Release Log'!$C$6:$C$4005,$B13,'Release Log'!$A$6:$A$4005,"&lt;="&amp;MIN(AE$2+6,Dashboard!$Q$3+6))/$C13))</f>
        <v>13</v>
      </c>
      <c r="AF13" s="0" t="n">
        <f aca="false">IF($B13="","",INT(SUMIFS('Release Log'!$D$6:$D$4005,'Release Log'!$B$6:$B$4005,Dashboard!$D$3,'Release Log'!$C$6:$C$4005,$B13,'Release Log'!$A$6:$A$4005,"&lt;="&amp;MIN(AF$2+6,Dashboard!$Q$3+6))/$C13))</f>
        <v>13</v>
      </c>
      <c r="AG13" s="0" t="n">
        <f aca="false">IF($B13="","",INT(SUMIFS('Release Log'!$D$6:$D$4005,'Release Log'!$B$6:$B$4005,Dashboard!$D$3,'Release Log'!$C$6:$C$4005,$B13,'Release Log'!$A$6:$A$4005,"&lt;="&amp;MIN(AG$2+6,Dashboard!$Q$3+6))/$C13))</f>
        <v>13</v>
      </c>
      <c r="AH13" s="0" t="n">
        <f aca="false">IF($B13="","",INT(SUMIFS('Release Log'!$D$6:$D$4005,'Release Log'!$B$6:$B$4005,Dashboard!$D$3,'Release Log'!$C$6:$C$4005,$B13,'Release Log'!$A$6:$A$4005,"&lt;="&amp;MIN(AH$2+6,Dashboard!$Q$3+6))/$C13))</f>
        <v>13</v>
      </c>
      <c r="AI13" s="0" t="n">
        <f aca="false">IF($B13="","",INT(SUMIFS('Release Log'!$D$6:$D$4005,'Release Log'!$B$6:$B$4005,Dashboard!$D$3,'Release Log'!$C$6:$C$4005,$B13,'Release Log'!$A$6:$A$4005,"&lt;="&amp;MIN(AI$2+6,Dashboard!$Q$3+6))/$C13))</f>
        <v>13</v>
      </c>
      <c r="AJ13" s="0" t="n">
        <f aca="false">IF($B13="","",INT(SUMIFS('Release Log'!$D$6:$D$4005,'Release Log'!$B$6:$B$4005,Dashboard!$D$3,'Release Log'!$C$6:$C$4005,$B13,'Release Log'!$A$6:$A$4005,"&lt;="&amp;MIN(AJ$2+6,Dashboard!$Q$3+6))/$C13))</f>
        <v>13</v>
      </c>
      <c r="AK13" s="0" t="n">
        <f aca="false">IF($B13="","",INT(SUMIFS('Release Log'!$D$6:$D$4005,'Release Log'!$B$6:$B$4005,Dashboard!$D$3,'Release Log'!$C$6:$C$4005,$B13,'Release Log'!$A$6:$A$4005,"&lt;="&amp;MIN(AK$2+6,Dashboard!$Q$3+6))/$C13))</f>
        <v>13</v>
      </c>
      <c r="AL13" s="0" t="n">
        <f aca="false">IF($B13="","",INT(SUMIFS('Release Log'!$D$6:$D$4005,'Release Log'!$B$6:$B$4005,Dashboard!$D$3,'Release Log'!$C$6:$C$4005,$B13,'Release Log'!$A$6:$A$4005,"&lt;="&amp;MIN(AL$2+6,Dashboard!$Q$3+6))/$C13))</f>
        <v>13</v>
      </c>
      <c r="AM13" s="0" t="n">
        <f aca="false">IF($B13="","",INT(SUMIFS('Release Log'!$D$6:$D$4005,'Release Log'!$B$6:$B$4005,Dashboard!$D$3,'Release Log'!$C$6:$C$4005,$B13,'Release Log'!$A$6:$A$4005,"&lt;="&amp;MIN(AM$2+6,Dashboard!$Q$3+6))/$C13))</f>
        <v>13</v>
      </c>
      <c r="AN13" s="0" t="n">
        <f aca="false">IF($B13="","",INT(SUMIFS('Release Log'!$D$6:$D$4005,'Release Log'!$B$6:$B$4005,Dashboard!$D$3,'Release Log'!$C$6:$C$4005,$B13,'Release Log'!$A$6:$A$4005,"&lt;="&amp;MIN(AN$2+6,Dashboard!$Q$3+6))/$C13))</f>
        <v>13</v>
      </c>
      <c r="AO13" s="0" t="n">
        <f aca="false">IF($B13="","",INT(SUMIFS('Release Log'!$D$6:$D$4005,'Release Log'!$B$6:$B$4005,Dashboard!$D$3,'Release Log'!$C$6:$C$4005,$B13,'Release Log'!$A$6:$A$4005,"&lt;="&amp;MIN(AO$2+6,Dashboard!$Q$3+6))/$C13))</f>
        <v>13</v>
      </c>
      <c r="AP13" s="0" t="n">
        <f aca="false">IF($B13="","",INT(SUMIFS('Release Log'!$D$6:$D$4005,'Release Log'!$B$6:$B$4005,Dashboard!$D$3,'Release Log'!$C$6:$C$4005,$B13,'Release Log'!$A$6:$A$4005,"&lt;="&amp;MIN(AP$2+6,Dashboard!$Q$3+6))/$C13))</f>
        <v>13</v>
      </c>
      <c r="AQ13" s="0" t="n">
        <f aca="false">IF($B13="","",INT(SUMIFS('Release Log'!$D$6:$D$4005,'Release Log'!$B$6:$B$4005,Dashboard!$D$3,'Release Log'!$C$6:$C$4005,$B13,'Release Log'!$A$6:$A$4005,"&lt;="&amp;MIN(AQ$2+6,Dashboard!$Q$3+6))/$C13))</f>
        <v>13</v>
      </c>
    </row>
    <row r="14" customFormat="false" ht="15" hidden="false" customHeight="false" outlineLevel="0" collapsed="false">
      <c r="A14" s="0" t="n">
        <v>11</v>
      </c>
      <c r="B14" s="0" t="str">
        <f aca="false">IFERROR(INDEX('Kit Lists'!$C$6:$C$605,MATCH(Dashboard!$D$3&amp;"|"&amp;A14,'Kit Lists'!$G$6:$G$605,0)),"")</f>
        <v>92YRA04548AAA</v>
      </c>
      <c r="C14" s="0" t="n">
        <f aca="false">IF(B14="","",INDEX('Kit Lists'!$E$6:$E$605,MATCH(Dashboard!$D$3&amp;"|"&amp;A14,'Kit Lists'!$G$6:$G$605,0)))</f>
        <v>3</v>
      </c>
      <c r="D14" s="0" t="n">
        <f aca="false">IF($B14="","",INT(SUMIFS('Release Log'!$D$6:$D$4005,'Release Log'!$B$6:$B$4005,Dashboard!$D$3,'Release Log'!$C$6:$C$4005,$B14,'Release Log'!$A$6:$A$4005,"&lt;="&amp;MIN(D$2+6,Dashboard!$Q$3+6))/$C14))</f>
        <v>2</v>
      </c>
      <c r="E14" s="0" t="n">
        <f aca="false">IF($B14="","",INT(SUMIFS('Release Log'!$D$6:$D$4005,'Release Log'!$B$6:$B$4005,Dashboard!$D$3,'Release Log'!$C$6:$C$4005,$B14,'Release Log'!$A$6:$A$4005,"&lt;="&amp;MIN(E$2+6,Dashboard!$Q$3+6))/$C14))</f>
        <v>3</v>
      </c>
      <c r="F14" s="0" t="n">
        <f aca="false">IF($B14="","",INT(SUMIFS('Release Log'!$D$6:$D$4005,'Release Log'!$B$6:$B$4005,Dashboard!$D$3,'Release Log'!$C$6:$C$4005,$B14,'Release Log'!$A$6:$A$4005,"&lt;="&amp;MIN(F$2+6,Dashboard!$Q$3+6))/$C14))</f>
        <v>3</v>
      </c>
      <c r="G14" s="0" t="n">
        <f aca="false">IF($B14="","",INT(SUMIFS('Release Log'!$D$6:$D$4005,'Release Log'!$B$6:$B$4005,Dashboard!$D$3,'Release Log'!$C$6:$C$4005,$B14,'Release Log'!$A$6:$A$4005,"&lt;="&amp;MIN(G$2+6,Dashboard!$Q$3+6))/$C14))</f>
        <v>4</v>
      </c>
      <c r="H14" s="0" t="n">
        <f aca="false">IF($B14="","",INT(SUMIFS('Release Log'!$D$6:$D$4005,'Release Log'!$B$6:$B$4005,Dashboard!$D$3,'Release Log'!$C$6:$C$4005,$B14,'Release Log'!$A$6:$A$4005,"&lt;="&amp;MIN(H$2+6,Dashboard!$Q$3+6))/$C14))</f>
        <v>5</v>
      </c>
      <c r="I14" s="0" t="n">
        <f aca="false">IF($B14="","",INT(SUMIFS('Release Log'!$D$6:$D$4005,'Release Log'!$B$6:$B$4005,Dashboard!$D$3,'Release Log'!$C$6:$C$4005,$B14,'Release Log'!$A$6:$A$4005,"&lt;="&amp;MIN(I$2+6,Dashboard!$Q$3+6))/$C14))</f>
        <v>5</v>
      </c>
      <c r="J14" s="0" t="n">
        <f aca="false">IF($B14="","",INT(SUMIFS('Release Log'!$D$6:$D$4005,'Release Log'!$B$6:$B$4005,Dashboard!$D$3,'Release Log'!$C$6:$C$4005,$B14,'Release Log'!$A$6:$A$4005,"&lt;="&amp;MIN(J$2+6,Dashboard!$Q$3+6))/$C14))</f>
        <v>6</v>
      </c>
      <c r="K14" s="0" t="n">
        <f aca="false">IF($B14="","",INT(SUMIFS('Release Log'!$D$6:$D$4005,'Release Log'!$B$6:$B$4005,Dashboard!$D$3,'Release Log'!$C$6:$C$4005,$B14,'Release Log'!$A$6:$A$4005,"&lt;="&amp;MIN(K$2+6,Dashboard!$Q$3+6))/$C14))</f>
        <v>7</v>
      </c>
      <c r="L14" s="0" t="n">
        <f aca="false">IF($B14="","",INT(SUMIFS('Release Log'!$D$6:$D$4005,'Release Log'!$B$6:$B$4005,Dashboard!$D$3,'Release Log'!$C$6:$C$4005,$B14,'Release Log'!$A$6:$A$4005,"&lt;="&amp;MIN(L$2+6,Dashboard!$Q$3+6))/$C14))</f>
        <v>7</v>
      </c>
      <c r="M14" s="0" t="n">
        <f aca="false">IF($B14="","",INT(SUMIFS('Release Log'!$D$6:$D$4005,'Release Log'!$B$6:$B$4005,Dashboard!$D$3,'Release Log'!$C$6:$C$4005,$B14,'Release Log'!$A$6:$A$4005,"&lt;="&amp;MIN(M$2+6,Dashboard!$Q$3+6))/$C14))</f>
        <v>8</v>
      </c>
      <c r="N14" s="0" t="n">
        <f aca="false">IF($B14="","",INT(SUMIFS('Release Log'!$D$6:$D$4005,'Release Log'!$B$6:$B$4005,Dashboard!$D$3,'Release Log'!$C$6:$C$4005,$B14,'Release Log'!$A$6:$A$4005,"&lt;="&amp;MIN(N$2+6,Dashboard!$Q$3+6))/$C14))</f>
        <v>8</v>
      </c>
      <c r="O14" s="0" t="n">
        <f aca="false">IF($B14="","",INT(SUMIFS('Release Log'!$D$6:$D$4005,'Release Log'!$B$6:$B$4005,Dashboard!$D$3,'Release Log'!$C$6:$C$4005,$B14,'Release Log'!$A$6:$A$4005,"&lt;="&amp;MIN(O$2+6,Dashboard!$Q$3+6))/$C14))</f>
        <v>13</v>
      </c>
      <c r="P14" s="0" t="n">
        <f aca="false">IF($B14="","",INT(SUMIFS('Release Log'!$D$6:$D$4005,'Release Log'!$B$6:$B$4005,Dashboard!$D$3,'Release Log'!$C$6:$C$4005,$B14,'Release Log'!$A$6:$A$4005,"&lt;="&amp;MIN(P$2+6,Dashboard!$Q$3+6))/$C14))</f>
        <v>13</v>
      </c>
      <c r="Q14" s="0" t="n">
        <f aca="false">IF($B14="","",INT(SUMIFS('Release Log'!$D$6:$D$4005,'Release Log'!$B$6:$B$4005,Dashboard!$D$3,'Release Log'!$C$6:$C$4005,$B14,'Release Log'!$A$6:$A$4005,"&lt;="&amp;MIN(Q$2+6,Dashboard!$Q$3+6))/$C14))</f>
        <v>13</v>
      </c>
      <c r="R14" s="0" t="n">
        <f aca="false">IF($B14="","",INT(SUMIFS('Release Log'!$D$6:$D$4005,'Release Log'!$B$6:$B$4005,Dashboard!$D$3,'Release Log'!$C$6:$C$4005,$B14,'Release Log'!$A$6:$A$4005,"&lt;="&amp;MIN(R$2+6,Dashboard!$Q$3+6))/$C14))</f>
        <v>13</v>
      </c>
      <c r="S14" s="0" t="n">
        <f aca="false">IF($B14="","",INT(SUMIFS('Release Log'!$D$6:$D$4005,'Release Log'!$B$6:$B$4005,Dashboard!$D$3,'Release Log'!$C$6:$C$4005,$B14,'Release Log'!$A$6:$A$4005,"&lt;="&amp;MIN(S$2+6,Dashboard!$Q$3+6))/$C14))</f>
        <v>13</v>
      </c>
      <c r="T14" s="0" t="n">
        <f aca="false">IF($B14="","",INT(SUMIFS('Release Log'!$D$6:$D$4005,'Release Log'!$B$6:$B$4005,Dashboard!$D$3,'Release Log'!$C$6:$C$4005,$B14,'Release Log'!$A$6:$A$4005,"&lt;="&amp;MIN(T$2+6,Dashboard!$Q$3+6))/$C14))</f>
        <v>13</v>
      </c>
      <c r="U14" s="0" t="n">
        <f aca="false">IF($B14="","",INT(SUMIFS('Release Log'!$D$6:$D$4005,'Release Log'!$B$6:$B$4005,Dashboard!$D$3,'Release Log'!$C$6:$C$4005,$B14,'Release Log'!$A$6:$A$4005,"&lt;="&amp;MIN(U$2+6,Dashboard!$Q$3+6))/$C14))</f>
        <v>13</v>
      </c>
      <c r="V14" s="0" t="n">
        <f aca="false">IF($B14="","",INT(SUMIFS('Release Log'!$D$6:$D$4005,'Release Log'!$B$6:$B$4005,Dashboard!$D$3,'Release Log'!$C$6:$C$4005,$B14,'Release Log'!$A$6:$A$4005,"&lt;="&amp;MIN(V$2+6,Dashboard!$Q$3+6))/$C14))</f>
        <v>13</v>
      </c>
      <c r="W14" s="0" t="n">
        <f aca="false">IF($B14="","",INT(SUMIFS('Release Log'!$D$6:$D$4005,'Release Log'!$B$6:$B$4005,Dashboard!$D$3,'Release Log'!$C$6:$C$4005,$B14,'Release Log'!$A$6:$A$4005,"&lt;="&amp;MIN(W$2+6,Dashboard!$Q$3+6))/$C14))</f>
        <v>13</v>
      </c>
      <c r="X14" s="0" t="n">
        <f aca="false">IF($B14="","",INT(SUMIFS('Release Log'!$D$6:$D$4005,'Release Log'!$B$6:$B$4005,Dashboard!$D$3,'Release Log'!$C$6:$C$4005,$B14,'Release Log'!$A$6:$A$4005,"&lt;="&amp;MIN(X$2+6,Dashboard!$Q$3+6))/$C14))</f>
        <v>13</v>
      </c>
      <c r="Y14" s="0" t="n">
        <f aca="false">IF($B14="","",INT(SUMIFS('Release Log'!$D$6:$D$4005,'Release Log'!$B$6:$B$4005,Dashboard!$D$3,'Release Log'!$C$6:$C$4005,$B14,'Release Log'!$A$6:$A$4005,"&lt;="&amp;MIN(Y$2+6,Dashboard!$Q$3+6))/$C14))</f>
        <v>13</v>
      </c>
      <c r="Z14" s="0" t="n">
        <f aca="false">IF($B14="","",INT(SUMIFS('Release Log'!$D$6:$D$4005,'Release Log'!$B$6:$B$4005,Dashboard!$D$3,'Release Log'!$C$6:$C$4005,$B14,'Release Log'!$A$6:$A$4005,"&lt;="&amp;MIN(Z$2+6,Dashboard!$Q$3+6))/$C14))</f>
        <v>13</v>
      </c>
      <c r="AA14" s="0" t="n">
        <f aca="false">IF($B14="","",INT(SUMIFS('Release Log'!$D$6:$D$4005,'Release Log'!$B$6:$B$4005,Dashboard!$D$3,'Release Log'!$C$6:$C$4005,$B14,'Release Log'!$A$6:$A$4005,"&lt;="&amp;MIN(AA$2+6,Dashboard!$Q$3+6))/$C14))</f>
        <v>13</v>
      </c>
      <c r="AB14" s="0" t="n">
        <f aca="false">IF($B14="","",INT(SUMIFS('Release Log'!$D$6:$D$4005,'Release Log'!$B$6:$B$4005,Dashboard!$D$3,'Release Log'!$C$6:$C$4005,$B14,'Release Log'!$A$6:$A$4005,"&lt;="&amp;MIN(AB$2+6,Dashboard!$Q$3+6))/$C14))</f>
        <v>13</v>
      </c>
      <c r="AC14" s="0" t="n">
        <f aca="false">IF($B14="","",INT(SUMIFS('Release Log'!$D$6:$D$4005,'Release Log'!$B$6:$B$4005,Dashboard!$D$3,'Release Log'!$C$6:$C$4005,$B14,'Release Log'!$A$6:$A$4005,"&lt;="&amp;MIN(AC$2+6,Dashboard!$Q$3+6))/$C14))</f>
        <v>13</v>
      </c>
      <c r="AD14" s="0" t="n">
        <f aca="false">IF($B14="","",INT(SUMIFS('Release Log'!$D$6:$D$4005,'Release Log'!$B$6:$B$4005,Dashboard!$D$3,'Release Log'!$C$6:$C$4005,$B14,'Release Log'!$A$6:$A$4005,"&lt;="&amp;MIN(AD$2+6,Dashboard!$Q$3+6))/$C14))</f>
        <v>13</v>
      </c>
      <c r="AE14" s="0" t="n">
        <f aca="false">IF($B14="","",INT(SUMIFS('Release Log'!$D$6:$D$4005,'Release Log'!$B$6:$B$4005,Dashboard!$D$3,'Release Log'!$C$6:$C$4005,$B14,'Release Log'!$A$6:$A$4005,"&lt;="&amp;MIN(AE$2+6,Dashboard!$Q$3+6))/$C14))</f>
        <v>13</v>
      </c>
      <c r="AF14" s="0" t="n">
        <f aca="false">IF($B14="","",INT(SUMIFS('Release Log'!$D$6:$D$4005,'Release Log'!$B$6:$B$4005,Dashboard!$D$3,'Release Log'!$C$6:$C$4005,$B14,'Release Log'!$A$6:$A$4005,"&lt;="&amp;MIN(AF$2+6,Dashboard!$Q$3+6))/$C14))</f>
        <v>13</v>
      </c>
      <c r="AG14" s="0" t="n">
        <f aca="false">IF($B14="","",INT(SUMIFS('Release Log'!$D$6:$D$4005,'Release Log'!$B$6:$B$4005,Dashboard!$D$3,'Release Log'!$C$6:$C$4005,$B14,'Release Log'!$A$6:$A$4005,"&lt;="&amp;MIN(AG$2+6,Dashboard!$Q$3+6))/$C14))</f>
        <v>13</v>
      </c>
      <c r="AH14" s="0" t="n">
        <f aca="false">IF($B14="","",INT(SUMIFS('Release Log'!$D$6:$D$4005,'Release Log'!$B$6:$B$4005,Dashboard!$D$3,'Release Log'!$C$6:$C$4005,$B14,'Release Log'!$A$6:$A$4005,"&lt;="&amp;MIN(AH$2+6,Dashboard!$Q$3+6))/$C14))</f>
        <v>13</v>
      </c>
      <c r="AI14" s="0" t="n">
        <f aca="false">IF($B14="","",INT(SUMIFS('Release Log'!$D$6:$D$4005,'Release Log'!$B$6:$B$4005,Dashboard!$D$3,'Release Log'!$C$6:$C$4005,$B14,'Release Log'!$A$6:$A$4005,"&lt;="&amp;MIN(AI$2+6,Dashboard!$Q$3+6))/$C14))</f>
        <v>13</v>
      </c>
      <c r="AJ14" s="0" t="n">
        <f aca="false">IF($B14="","",INT(SUMIFS('Release Log'!$D$6:$D$4005,'Release Log'!$B$6:$B$4005,Dashboard!$D$3,'Release Log'!$C$6:$C$4005,$B14,'Release Log'!$A$6:$A$4005,"&lt;="&amp;MIN(AJ$2+6,Dashboard!$Q$3+6))/$C14))</f>
        <v>13</v>
      </c>
      <c r="AK14" s="0" t="n">
        <f aca="false">IF($B14="","",INT(SUMIFS('Release Log'!$D$6:$D$4005,'Release Log'!$B$6:$B$4005,Dashboard!$D$3,'Release Log'!$C$6:$C$4005,$B14,'Release Log'!$A$6:$A$4005,"&lt;="&amp;MIN(AK$2+6,Dashboard!$Q$3+6))/$C14))</f>
        <v>13</v>
      </c>
      <c r="AL14" s="0" t="n">
        <f aca="false">IF($B14="","",INT(SUMIFS('Release Log'!$D$6:$D$4005,'Release Log'!$B$6:$B$4005,Dashboard!$D$3,'Release Log'!$C$6:$C$4005,$B14,'Release Log'!$A$6:$A$4005,"&lt;="&amp;MIN(AL$2+6,Dashboard!$Q$3+6))/$C14))</f>
        <v>13</v>
      </c>
      <c r="AM14" s="0" t="n">
        <f aca="false">IF($B14="","",INT(SUMIFS('Release Log'!$D$6:$D$4005,'Release Log'!$B$6:$B$4005,Dashboard!$D$3,'Release Log'!$C$6:$C$4005,$B14,'Release Log'!$A$6:$A$4005,"&lt;="&amp;MIN(AM$2+6,Dashboard!$Q$3+6))/$C14))</f>
        <v>13</v>
      </c>
      <c r="AN14" s="0" t="n">
        <f aca="false">IF($B14="","",INT(SUMIFS('Release Log'!$D$6:$D$4005,'Release Log'!$B$6:$B$4005,Dashboard!$D$3,'Release Log'!$C$6:$C$4005,$B14,'Release Log'!$A$6:$A$4005,"&lt;="&amp;MIN(AN$2+6,Dashboard!$Q$3+6))/$C14))</f>
        <v>13</v>
      </c>
      <c r="AO14" s="0" t="n">
        <f aca="false">IF($B14="","",INT(SUMIFS('Release Log'!$D$6:$D$4005,'Release Log'!$B$6:$B$4005,Dashboard!$D$3,'Release Log'!$C$6:$C$4005,$B14,'Release Log'!$A$6:$A$4005,"&lt;="&amp;MIN(AO$2+6,Dashboard!$Q$3+6))/$C14))</f>
        <v>13</v>
      </c>
      <c r="AP14" s="0" t="n">
        <f aca="false">IF($B14="","",INT(SUMIFS('Release Log'!$D$6:$D$4005,'Release Log'!$B$6:$B$4005,Dashboard!$D$3,'Release Log'!$C$6:$C$4005,$B14,'Release Log'!$A$6:$A$4005,"&lt;="&amp;MIN(AP$2+6,Dashboard!$Q$3+6))/$C14))</f>
        <v>13</v>
      </c>
      <c r="AQ14" s="0" t="n">
        <f aca="false">IF($B14="","",INT(SUMIFS('Release Log'!$D$6:$D$4005,'Release Log'!$B$6:$B$4005,Dashboard!$D$3,'Release Log'!$C$6:$C$4005,$B14,'Release Log'!$A$6:$A$4005,"&lt;="&amp;MIN(AQ$2+6,Dashboard!$Q$3+6))/$C14))</f>
        <v>13</v>
      </c>
    </row>
    <row r="15" customFormat="false" ht="15" hidden="false" customHeight="false" outlineLevel="0" collapsed="false">
      <c r="A15" s="0" t="n">
        <v>12</v>
      </c>
      <c r="B15" s="0" t="str">
        <f aca="false">IFERROR(INDEX('Kit Lists'!$C$6:$C$605,MATCH(Dashboard!$D$3&amp;"|"&amp;A15,'Kit Lists'!$G$6:$G$605,0)),"")</f>
        <v>92UAP04548BAA</v>
      </c>
      <c r="C15" s="0" t="n">
        <f aca="false">IF(B15="","",INDEX('Kit Lists'!$E$6:$E$605,MATCH(Dashboard!$D$3&amp;"|"&amp;A15,'Kit Lists'!$G$6:$G$605,0)))</f>
        <v>1</v>
      </c>
      <c r="D15" s="0" t="n">
        <f aca="false">IF($B15="","",INT(SUMIFS('Release Log'!$D$6:$D$4005,'Release Log'!$B$6:$B$4005,Dashboard!$D$3,'Release Log'!$C$6:$C$4005,$B15,'Release Log'!$A$6:$A$4005,"&lt;="&amp;MIN(D$2+6,Dashboard!$Q$3+6))/$C15))</f>
        <v>3</v>
      </c>
      <c r="E15" s="0" t="n">
        <f aca="false">IF($B15="","",INT(SUMIFS('Release Log'!$D$6:$D$4005,'Release Log'!$B$6:$B$4005,Dashboard!$D$3,'Release Log'!$C$6:$C$4005,$B15,'Release Log'!$A$6:$A$4005,"&lt;="&amp;MIN(E$2+6,Dashboard!$Q$3+6))/$C15))</f>
        <v>3</v>
      </c>
      <c r="F15" s="0" t="n">
        <f aca="false">IF($B15="","",INT(SUMIFS('Release Log'!$D$6:$D$4005,'Release Log'!$B$6:$B$4005,Dashboard!$D$3,'Release Log'!$C$6:$C$4005,$B15,'Release Log'!$A$6:$A$4005,"&lt;="&amp;MIN(F$2+6,Dashboard!$Q$3+6))/$C15))</f>
        <v>3</v>
      </c>
      <c r="G15" s="0" t="n">
        <f aca="false">IF($B15="","",INT(SUMIFS('Release Log'!$D$6:$D$4005,'Release Log'!$B$6:$B$4005,Dashboard!$D$3,'Release Log'!$C$6:$C$4005,$B15,'Release Log'!$A$6:$A$4005,"&lt;="&amp;MIN(G$2+6,Dashboard!$Q$3+6))/$C15))</f>
        <v>4</v>
      </c>
      <c r="H15" s="0" t="n">
        <f aca="false">IF($B15="","",INT(SUMIFS('Release Log'!$D$6:$D$4005,'Release Log'!$B$6:$B$4005,Dashboard!$D$3,'Release Log'!$C$6:$C$4005,$B15,'Release Log'!$A$6:$A$4005,"&lt;="&amp;MIN(H$2+6,Dashboard!$Q$3+6))/$C15))</f>
        <v>4</v>
      </c>
      <c r="I15" s="0" t="n">
        <f aca="false">IF($B15="","",INT(SUMIFS('Release Log'!$D$6:$D$4005,'Release Log'!$B$6:$B$4005,Dashboard!$D$3,'Release Log'!$C$6:$C$4005,$B15,'Release Log'!$A$6:$A$4005,"&lt;="&amp;MIN(I$2+6,Dashboard!$Q$3+6))/$C15))</f>
        <v>5</v>
      </c>
      <c r="J15" s="0" t="n">
        <f aca="false">IF($B15="","",INT(SUMIFS('Release Log'!$D$6:$D$4005,'Release Log'!$B$6:$B$4005,Dashboard!$D$3,'Release Log'!$C$6:$C$4005,$B15,'Release Log'!$A$6:$A$4005,"&lt;="&amp;MIN(J$2+6,Dashboard!$Q$3+6))/$C15))</f>
        <v>6</v>
      </c>
      <c r="K15" s="0" t="n">
        <f aca="false">IF($B15="","",INT(SUMIFS('Release Log'!$D$6:$D$4005,'Release Log'!$B$6:$B$4005,Dashboard!$D$3,'Release Log'!$C$6:$C$4005,$B15,'Release Log'!$A$6:$A$4005,"&lt;="&amp;MIN(K$2+6,Dashboard!$Q$3+6))/$C15))</f>
        <v>7</v>
      </c>
      <c r="L15" s="0" t="n">
        <f aca="false">IF($B15="","",INT(SUMIFS('Release Log'!$D$6:$D$4005,'Release Log'!$B$6:$B$4005,Dashboard!$D$3,'Release Log'!$C$6:$C$4005,$B15,'Release Log'!$A$6:$A$4005,"&lt;="&amp;MIN(L$2+6,Dashboard!$Q$3+6))/$C15))</f>
        <v>7</v>
      </c>
      <c r="M15" s="0" t="n">
        <f aca="false">IF($B15="","",INT(SUMIFS('Release Log'!$D$6:$D$4005,'Release Log'!$B$6:$B$4005,Dashboard!$D$3,'Release Log'!$C$6:$C$4005,$B15,'Release Log'!$A$6:$A$4005,"&lt;="&amp;MIN(M$2+6,Dashboard!$Q$3+6))/$C15))</f>
        <v>8</v>
      </c>
      <c r="N15" s="0" t="n">
        <f aca="false">IF($B15="","",INT(SUMIFS('Release Log'!$D$6:$D$4005,'Release Log'!$B$6:$B$4005,Dashboard!$D$3,'Release Log'!$C$6:$C$4005,$B15,'Release Log'!$A$6:$A$4005,"&lt;="&amp;MIN(N$2+6,Dashboard!$Q$3+6))/$C15))</f>
        <v>8</v>
      </c>
      <c r="O15" s="0" t="n">
        <f aca="false">IF($B15="","",INT(SUMIFS('Release Log'!$D$6:$D$4005,'Release Log'!$B$6:$B$4005,Dashboard!$D$3,'Release Log'!$C$6:$C$4005,$B15,'Release Log'!$A$6:$A$4005,"&lt;="&amp;MIN(O$2+6,Dashboard!$Q$3+6))/$C15))</f>
        <v>13</v>
      </c>
      <c r="P15" s="0" t="n">
        <f aca="false">IF($B15="","",INT(SUMIFS('Release Log'!$D$6:$D$4005,'Release Log'!$B$6:$B$4005,Dashboard!$D$3,'Release Log'!$C$6:$C$4005,$B15,'Release Log'!$A$6:$A$4005,"&lt;="&amp;MIN(P$2+6,Dashboard!$Q$3+6))/$C15))</f>
        <v>13</v>
      </c>
      <c r="Q15" s="0" t="n">
        <f aca="false">IF($B15="","",INT(SUMIFS('Release Log'!$D$6:$D$4005,'Release Log'!$B$6:$B$4005,Dashboard!$D$3,'Release Log'!$C$6:$C$4005,$B15,'Release Log'!$A$6:$A$4005,"&lt;="&amp;MIN(Q$2+6,Dashboard!$Q$3+6))/$C15))</f>
        <v>13</v>
      </c>
      <c r="R15" s="0" t="n">
        <f aca="false">IF($B15="","",INT(SUMIFS('Release Log'!$D$6:$D$4005,'Release Log'!$B$6:$B$4005,Dashboard!$D$3,'Release Log'!$C$6:$C$4005,$B15,'Release Log'!$A$6:$A$4005,"&lt;="&amp;MIN(R$2+6,Dashboard!$Q$3+6))/$C15))</f>
        <v>13</v>
      </c>
      <c r="S15" s="0" t="n">
        <f aca="false">IF($B15="","",INT(SUMIFS('Release Log'!$D$6:$D$4005,'Release Log'!$B$6:$B$4005,Dashboard!$D$3,'Release Log'!$C$6:$C$4005,$B15,'Release Log'!$A$6:$A$4005,"&lt;="&amp;MIN(S$2+6,Dashboard!$Q$3+6))/$C15))</f>
        <v>13</v>
      </c>
      <c r="T15" s="0" t="n">
        <f aca="false">IF($B15="","",INT(SUMIFS('Release Log'!$D$6:$D$4005,'Release Log'!$B$6:$B$4005,Dashboard!$D$3,'Release Log'!$C$6:$C$4005,$B15,'Release Log'!$A$6:$A$4005,"&lt;="&amp;MIN(T$2+6,Dashboard!$Q$3+6))/$C15))</f>
        <v>13</v>
      </c>
      <c r="U15" s="0" t="n">
        <f aca="false">IF($B15="","",INT(SUMIFS('Release Log'!$D$6:$D$4005,'Release Log'!$B$6:$B$4005,Dashboard!$D$3,'Release Log'!$C$6:$C$4005,$B15,'Release Log'!$A$6:$A$4005,"&lt;="&amp;MIN(U$2+6,Dashboard!$Q$3+6))/$C15))</f>
        <v>13</v>
      </c>
      <c r="V15" s="0" t="n">
        <f aca="false">IF($B15="","",INT(SUMIFS('Release Log'!$D$6:$D$4005,'Release Log'!$B$6:$B$4005,Dashboard!$D$3,'Release Log'!$C$6:$C$4005,$B15,'Release Log'!$A$6:$A$4005,"&lt;="&amp;MIN(V$2+6,Dashboard!$Q$3+6))/$C15))</f>
        <v>13</v>
      </c>
      <c r="W15" s="0" t="n">
        <f aca="false">IF($B15="","",INT(SUMIFS('Release Log'!$D$6:$D$4005,'Release Log'!$B$6:$B$4005,Dashboard!$D$3,'Release Log'!$C$6:$C$4005,$B15,'Release Log'!$A$6:$A$4005,"&lt;="&amp;MIN(W$2+6,Dashboard!$Q$3+6))/$C15))</f>
        <v>13</v>
      </c>
      <c r="X15" s="0" t="n">
        <f aca="false">IF($B15="","",INT(SUMIFS('Release Log'!$D$6:$D$4005,'Release Log'!$B$6:$B$4005,Dashboard!$D$3,'Release Log'!$C$6:$C$4005,$B15,'Release Log'!$A$6:$A$4005,"&lt;="&amp;MIN(X$2+6,Dashboard!$Q$3+6))/$C15))</f>
        <v>13</v>
      </c>
      <c r="Y15" s="0" t="n">
        <f aca="false">IF($B15="","",INT(SUMIFS('Release Log'!$D$6:$D$4005,'Release Log'!$B$6:$B$4005,Dashboard!$D$3,'Release Log'!$C$6:$C$4005,$B15,'Release Log'!$A$6:$A$4005,"&lt;="&amp;MIN(Y$2+6,Dashboard!$Q$3+6))/$C15))</f>
        <v>13</v>
      </c>
      <c r="Z15" s="0" t="n">
        <f aca="false">IF($B15="","",INT(SUMIFS('Release Log'!$D$6:$D$4005,'Release Log'!$B$6:$B$4005,Dashboard!$D$3,'Release Log'!$C$6:$C$4005,$B15,'Release Log'!$A$6:$A$4005,"&lt;="&amp;MIN(Z$2+6,Dashboard!$Q$3+6))/$C15))</f>
        <v>13</v>
      </c>
      <c r="AA15" s="0" t="n">
        <f aca="false">IF($B15="","",INT(SUMIFS('Release Log'!$D$6:$D$4005,'Release Log'!$B$6:$B$4005,Dashboard!$D$3,'Release Log'!$C$6:$C$4005,$B15,'Release Log'!$A$6:$A$4005,"&lt;="&amp;MIN(AA$2+6,Dashboard!$Q$3+6))/$C15))</f>
        <v>13</v>
      </c>
      <c r="AB15" s="0" t="n">
        <f aca="false">IF($B15="","",INT(SUMIFS('Release Log'!$D$6:$D$4005,'Release Log'!$B$6:$B$4005,Dashboard!$D$3,'Release Log'!$C$6:$C$4005,$B15,'Release Log'!$A$6:$A$4005,"&lt;="&amp;MIN(AB$2+6,Dashboard!$Q$3+6))/$C15))</f>
        <v>13</v>
      </c>
      <c r="AC15" s="0" t="n">
        <f aca="false">IF($B15="","",INT(SUMIFS('Release Log'!$D$6:$D$4005,'Release Log'!$B$6:$B$4005,Dashboard!$D$3,'Release Log'!$C$6:$C$4005,$B15,'Release Log'!$A$6:$A$4005,"&lt;="&amp;MIN(AC$2+6,Dashboard!$Q$3+6))/$C15))</f>
        <v>13</v>
      </c>
      <c r="AD15" s="0" t="n">
        <f aca="false">IF($B15="","",INT(SUMIFS('Release Log'!$D$6:$D$4005,'Release Log'!$B$6:$B$4005,Dashboard!$D$3,'Release Log'!$C$6:$C$4005,$B15,'Release Log'!$A$6:$A$4005,"&lt;="&amp;MIN(AD$2+6,Dashboard!$Q$3+6))/$C15))</f>
        <v>13</v>
      </c>
      <c r="AE15" s="0" t="n">
        <f aca="false">IF($B15="","",INT(SUMIFS('Release Log'!$D$6:$D$4005,'Release Log'!$B$6:$B$4005,Dashboard!$D$3,'Release Log'!$C$6:$C$4005,$B15,'Release Log'!$A$6:$A$4005,"&lt;="&amp;MIN(AE$2+6,Dashboard!$Q$3+6))/$C15))</f>
        <v>13</v>
      </c>
      <c r="AF15" s="0" t="n">
        <f aca="false">IF($B15="","",INT(SUMIFS('Release Log'!$D$6:$D$4005,'Release Log'!$B$6:$B$4005,Dashboard!$D$3,'Release Log'!$C$6:$C$4005,$B15,'Release Log'!$A$6:$A$4005,"&lt;="&amp;MIN(AF$2+6,Dashboard!$Q$3+6))/$C15))</f>
        <v>13</v>
      </c>
      <c r="AG15" s="0" t="n">
        <f aca="false">IF($B15="","",INT(SUMIFS('Release Log'!$D$6:$D$4005,'Release Log'!$B$6:$B$4005,Dashboard!$D$3,'Release Log'!$C$6:$C$4005,$B15,'Release Log'!$A$6:$A$4005,"&lt;="&amp;MIN(AG$2+6,Dashboard!$Q$3+6))/$C15))</f>
        <v>13</v>
      </c>
      <c r="AH15" s="0" t="n">
        <f aca="false">IF($B15="","",INT(SUMIFS('Release Log'!$D$6:$D$4005,'Release Log'!$B$6:$B$4005,Dashboard!$D$3,'Release Log'!$C$6:$C$4005,$B15,'Release Log'!$A$6:$A$4005,"&lt;="&amp;MIN(AH$2+6,Dashboard!$Q$3+6))/$C15))</f>
        <v>13</v>
      </c>
      <c r="AI15" s="0" t="n">
        <f aca="false">IF($B15="","",INT(SUMIFS('Release Log'!$D$6:$D$4005,'Release Log'!$B$6:$B$4005,Dashboard!$D$3,'Release Log'!$C$6:$C$4005,$B15,'Release Log'!$A$6:$A$4005,"&lt;="&amp;MIN(AI$2+6,Dashboard!$Q$3+6))/$C15))</f>
        <v>13</v>
      </c>
      <c r="AJ15" s="0" t="n">
        <f aca="false">IF($B15="","",INT(SUMIFS('Release Log'!$D$6:$D$4005,'Release Log'!$B$6:$B$4005,Dashboard!$D$3,'Release Log'!$C$6:$C$4005,$B15,'Release Log'!$A$6:$A$4005,"&lt;="&amp;MIN(AJ$2+6,Dashboard!$Q$3+6))/$C15))</f>
        <v>13</v>
      </c>
      <c r="AK15" s="0" t="n">
        <f aca="false">IF($B15="","",INT(SUMIFS('Release Log'!$D$6:$D$4005,'Release Log'!$B$6:$B$4005,Dashboard!$D$3,'Release Log'!$C$6:$C$4005,$B15,'Release Log'!$A$6:$A$4005,"&lt;="&amp;MIN(AK$2+6,Dashboard!$Q$3+6))/$C15))</f>
        <v>13</v>
      </c>
      <c r="AL15" s="0" t="n">
        <f aca="false">IF($B15="","",INT(SUMIFS('Release Log'!$D$6:$D$4005,'Release Log'!$B$6:$B$4005,Dashboard!$D$3,'Release Log'!$C$6:$C$4005,$B15,'Release Log'!$A$6:$A$4005,"&lt;="&amp;MIN(AL$2+6,Dashboard!$Q$3+6))/$C15))</f>
        <v>13</v>
      </c>
      <c r="AM15" s="0" t="n">
        <f aca="false">IF($B15="","",INT(SUMIFS('Release Log'!$D$6:$D$4005,'Release Log'!$B$6:$B$4005,Dashboard!$D$3,'Release Log'!$C$6:$C$4005,$B15,'Release Log'!$A$6:$A$4005,"&lt;="&amp;MIN(AM$2+6,Dashboard!$Q$3+6))/$C15))</f>
        <v>13</v>
      </c>
      <c r="AN15" s="0" t="n">
        <f aca="false">IF($B15="","",INT(SUMIFS('Release Log'!$D$6:$D$4005,'Release Log'!$B$6:$B$4005,Dashboard!$D$3,'Release Log'!$C$6:$C$4005,$B15,'Release Log'!$A$6:$A$4005,"&lt;="&amp;MIN(AN$2+6,Dashboard!$Q$3+6))/$C15))</f>
        <v>13</v>
      </c>
      <c r="AO15" s="0" t="n">
        <f aca="false">IF($B15="","",INT(SUMIFS('Release Log'!$D$6:$D$4005,'Release Log'!$B$6:$B$4005,Dashboard!$D$3,'Release Log'!$C$6:$C$4005,$B15,'Release Log'!$A$6:$A$4005,"&lt;="&amp;MIN(AO$2+6,Dashboard!$Q$3+6))/$C15))</f>
        <v>13</v>
      </c>
      <c r="AP15" s="0" t="n">
        <f aca="false">IF($B15="","",INT(SUMIFS('Release Log'!$D$6:$D$4005,'Release Log'!$B$6:$B$4005,Dashboard!$D$3,'Release Log'!$C$6:$C$4005,$B15,'Release Log'!$A$6:$A$4005,"&lt;="&amp;MIN(AP$2+6,Dashboard!$Q$3+6))/$C15))</f>
        <v>13</v>
      </c>
      <c r="AQ15" s="0" t="n">
        <f aca="false">IF($B15="","",INT(SUMIFS('Release Log'!$D$6:$D$4005,'Release Log'!$B$6:$B$4005,Dashboard!$D$3,'Release Log'!$C$6:$C$4005,$B15,'Release Log'!$A$6:$A$4005,"&lt;="&amp;MIN(AQ$2+6,Dashboard!$Q$3+6))/$C15))</f>
        <v>13</v>
      </c>
    </row>
    <row r="16" customFormat="false" ht="15" hidden="false" customHeight="false" outlineLevel="0" collapsed="false">
      <c r="A16" s="0" t="n">
        <v>13</v>
      </c>
      <c r="B16" s="0" t="str">
        <f aca="false">IFERROR(INDEX('Kit Lists'!$C$6:$C$605,MATCH(Dashboard!$D$3&amp;"|"&amp;A16,'Kit Lists'!$G$6:$G$605,0)),"")</f>
        <v>92UAP04548BBA</v>
      </c>
      <c r="C16" s="0" t="n">
        <f aca="false">IF(B16="","",INDEX('Kit Lists'!$E$6:$E$605,MATCH(Dashboard!$D$3&amp;"|"&amp;A16,'Kit Lists'!$G$6:$G$605,0)))</f>
        <v>1</v>
      </c>
      <c r="D16" s="0" t="n">
        <f aca="false">IF($B16="","",INT(SUMIFS('Release Log'!$D$6:$D$4005,'Release Log'!$B$6:$B$4005,Dashboard!$D$3,'Release Log'!$C$6:$C$4005,$B16,'Release Log'!$A$6:$A$4005,"&lt;="&amp;MIN(D$2+6,Dashboard!$Q$3+6))/$C16))</f>
        <v>3</v>
      </c>
      <c r="E16" s="0" t="n">
        <f aca="false">IF($B16="","",INT(SUMIFS('Release Log'!$D$6:$D$4005,'Release Log'!$B$6:$B$4005,Dashboard!$D$3,'Release Log'!$C$6:$C$4005,$B16,'Release Log'!$A$6:$A$4005,"&lt;="&amp;MIN(E$2+6,Dashboard!$Q$3+6))/$C16))</f>
        <v>3</v>
      </c>
      <c r="F16" s="0" t="n">
        <f aca="false">IF($B16="","",INT(SUMIFS('Release Log'!$D$6:$D$4005,'Release Log'!$B$6:$B$4005,Dashboard!$D$3,'Release Log'!$C$6:$C$4005,$B16,'Release Log'!$A$6:$A$4005,"&lt;="&amp;MIN(F$2+6,Dashboard!$Q$3+6))/$C16))</f>
        <v>3</v>
      </c>
      <c r="G16" s="0" t="n">
        <f aca="false">IF($B16="","",INT(SUMIFS('Release Log'!$D$6:$D$4005,'Release Log'!$B$6:$B$4005,Dashboard!$D$3,'Release Log'!$C$6:$C$4005,$B16,'Release Log'!$A$6:$A$4005,"&lt;="&amp;MIN(G$2+6,Dashboard!$Q$3+6))/$C16))</f>
        <v>4</v>
      </c>
      <c r="H16" s="0" t="n">
        <f aca="false">IF($B16="","",INT(SUMIFS('Release Log'!$D$6:$D$4005,'Release Log'!$B$6:$B$4005,Dashboard!$D$3,'Release Log'!$C$6:$C$4005,$B16,'Release Log'!$A$6:$A$4005,"&lt;="&amp;MIN(H$2+6,Dashboard!$Q$3+6))/$C16))</f>
        <v>4</v>
      </c>
      <c r="I16" s="0" t="n">
        <f aca="false">IF($B16="","",INT(SUMIFS('Release Log'!$D$6:$D$4005,'Release Log'!$B$6:$B$4005,Dashboard!$D$3,'Release Log'!$C$6:$C$4005,$B16,'Release Log'!$A$6:$A$4005,"&lt;="&amp;MIN(I$2+6,Dashboard!$Q$3+6))/$C16))</f>
        <v>5</v>
      </c>
      <c r="J16" s="0" t="n">
        <f aca="false">IF($B16="","",INT(SUMIFS('Release Log'!$D$6:$D$4005,'Release Log'!$B$6:$B$4005,Dashboard!$D$3,'Release Log'!$C$6:$C$4005,$B16,'Release Log'!$A$6:$A$4005,"&lt;="&amp;MIN(J$2+6,Dashboard!$Q$3+6))/$C16))</f>
        <v>6</v>
      </c>
      <c r="K16" s="0" t="n">
        <f aca="false">IF($B16="","",INT(SUMIFS('Release Log'!$D$6:$D$4005,'Release Log'!$B$6:$B$4005,Dashboard!$D$3,'Release Log'!$C$6:$C$4005,$B16,'Release Log'!$A$6:$A$4005,"&lt;="&amp;MIN(K$2+6,Dashboard!$Q$3+6))/$C16))</f>
        <v>7</v>
      </c>
      <c r="L16" s="0" t="n">
        <f aca="false">IF($B16="","",INT(SUMIFS('Release Log'!$D$6:$D$4005,'Release Log'!$B$6:$B$4005,Dashboard!$D$3,'Release Log'!$C$6:$C$4005,$B16,'Release Log'!$A$6:$A$4005,"&lt;="&amp;MIN(L$2+6,Dashboard!$Q$3+6))/$C16))</f>
        <v>7</v>
      </c>
      <c r="M16" s="0" t="n">
        <f aca="false">IF($B16="","",INT(SUMIFS('Release Log'!$D$6:$D$4005,'Release Log'!$B$6:$B$4005,Dashboard!$D$3,'Release Log'!$C$6:$C$4005,$B16,'Release Log'!$A$6:$A$4005,"&lt;="&amp;MIN(M$2+6,Dashboard!$Q$3+6))/$C16))</f>
        <v>8</v>
      </c>
      <c r="N16" s="0" t="n">
        <f aca="false">IF($B16="","",INT(SUMIFS('Release Log'!$D$6:$D$4005,'Release Log'!$B$6:$B$4005,Dashboard!$D$3,'Release Log'!$C$6:$C$4005,$B16,'Release Log'!$A$6:$A$4005,"&lt;="&amp;MIN(N$2+6,Dashboard!$Q$3+6))/$C16))</f>
        <v>8</v>
      </c>
      <c r="O16" s="0" t="n">
        <f aca="false">IF($B16="","",INT(SUMIFS('Release Log'!$D$6:$D$4005,'Release Log'!$B$6:$B$4005,Dashboard!$D$3,'Release Log'!$C$6:$C$4005,$B16,'Release Log'!$A$6:$A$4005,"&lt;="&amp;MIN(O$2+6,Dashboard!$Q$3+6))/$C16))</f>
        <v>13</v>
      </c>
      <c r="P16" s="0" t="n">
        <f aca="false">IF($B16="","",INT(SUMIFS('Release Log'!$D$6:$D$4005,'Release Log'!$B$6:$B$4005,Dashboard!$D$3,'Release Log'!$C$6:$C$4005,$B16,'Release Log'!$A$6:$A$4005,"&lt;="&amp;MIN(P$2+6,Dashboard!$Q$3+6))/$C16))</f>
        <v>13</v>
      </c>
      <c r="Q16" s="0" t="n">
        <f aca="false">IF($B16="","",INT(SUMIFS('Release Log'!$D$6:$D$4005,'Release Log'!$B$6:$B$4005,Dashboard!$D$3,'Release Log'!$C$6:$C$4005,$B16,'Release Log'!$A$6:$A$4005,"&lt;="&amp;MIN(Q$2+6,Dashboard!$Q$3+6))/$C16))</f>
        <v>13</v>
      </c>
      <c r="R16" s="0" t="n">
        <f aca="false">IF($B16="","",INT(SUMIFS('Release Log'!$D$6:$D$4005,'Release Log'!$B$6:$B$4005,Dashboard!$D$3,'Release Log'!$C$6:$C$4005,$B16,'Release Log'!$A$6:$A$4005,"&lt;="&amp;MIN(R$2+6,Dashboard!$Q$3+6))/$C16))</f>
        <v>13</v>
      </c>
      <c r="S16" s="0" t="n">
        <f aca="false">IF($B16="","",INT(SUMIFS('Release Log'!$D$6:$D$4005,'Release Log'!$B$6:$B$4005,Dashboard!$D$3,'Release Log'!$C$6:$C$4005,$B16,'Release Log'!$A$6:$A$4005,"&lt;="&amp;MIN(S$2+6,Dashboard!$Q$3+6))/$C16))</f>
        <v>13</v>
      </c>
      <c r="T16" s="0" t="n">
        <f aca="false">IF($B16="","",INT(SUMIFS('Release Log'!$D$6:$D$4005,'Release Log'!$B$6:$B$4005,Dashboard!$D$3,'Release Log'!$C$6:$C$4005,$B16,'Release Log'!$A$6:$A$4005,"&lt;="&amp;MIN(T$2+6,Dashboard!$Q$3+6))/$C16))</f>
        <v>13</v>
      </c>
      <c r="U16" s="0" t="n">
        <f aca="false">IF($B16="","",INT(SUMIFS('Release Log'!$D$6:$D$4005,'Release Log'!$B$6:$B$4005,Dashboard!$D$3,'Release Log'!$C$6:$C$4005,$B16,'Release Log'!$A$6:$A$4005,"&lt;="&amp;MIN(U$2+6,Dashboard!$Q$3+6))/$C16))</f>
        <v>13</v>
      </c>
      <c r="V16" s="0" t="n">
        <f aca="false">IF($B16="","",INT(SUMIFS('Release Log'!$D$6:$D$4005,'Release Log'!$B$6:$B$4005,Dashboard!$D$3,'Release Log'!$C$6:$C$4005,$B16,'Release Log'!$A$6:$A$4005,"&lt;="&amp;MIN(V$2+6,Dashboard!$Q$3+6))/$C16))</f>
        <v>13</v>
      </c>
      <c r="W16" s="0" t="n">
        <f aca="false">IF($B16="","",INT(SUMIFS('Release Log'!$D$6:$D$4005,'Release Log'!$B$6:$B$4005,Dashboard!$D$3,'Release Log'!$C$6:$C$4005,$B16,'Release Log'!$A$6:$A$4005,"&lt;="&amp;MIN(W$2+6,Dashboard!$Q$3+6))/$C16))</f>
        <v>13</v>
      </c>
      <c r="X16" s="0" t="n">
        <f aca="false">IF($B16="","",INT(SUMIFS('Release Log'!$D$6:$D$4005,'Release Log'!$B$6:$B$4005,Dashboard!$D$3,'Release Log'!$C$6:$C$4005,$B16,'Release Log'!$A$6:$A$4005,"&lt;="&amp;MIN(X$2+6,Dashboard!$Q$3+6))/$C16))</f>
        <v>13</v>
      </c>
      <c r="Y16" s="0" t="n">
        <f aca="false">IF($B16="","",INT(SUMIFS('Release Log'!$D$6:$D$4005,'Release Log'!$B$6:$B$4005,Dashboard!$D$3,'Release Log'!$C$6:$C$4005,$B16,'Release Log'!$A$6:$A$4005,"&lt;="&amp;MIN(Y$2+6,Dashboard!$Q$3+6))/$C16))</f>
        <v>13</v>
      </c>
      <c r="Z16" s="0" t="n">
        <f aca="false">IF($B16="","",INT(SUMIFS('Release Log'!$D$6:$D$4005,'Release Log'!$B$6:$B$4005,Dashboard!$D$3,'Release Log'!$C$6:$C$4005,$B16,'Release Log'!$A$6:$A$4005,"&lt;="&amp;MIN(Z$2+6,Dashboard!$Q$3+6))/$C16))</f>
        <v>13</v>
      </c>
      <c r="AA16" s="0" t="n">
        <f aca="false">IF($B16="","",INT(SUMIFS('Release Log'!$D$6:$D$4005,'Release Log'!$B$6:$B$4005,Dashboard!$D$3,'Release Log'!$C$6:$C$4005,$B16,'Release Log'!$A$6:$A$4005,"&lt;="&amp;MIN(AA$2+6,Dashboard!$Q$3+6))/$C16))</f>
        <v>13</v>
      </c>
      <c r="AB16" s="0" t="n">
        <f aca="false">IF($B16="","",INT(SUMIFS('Release Log'!$D$6:$D$4005,'Release Log'!$B$6:$B$4005,Dashboard!$D$3,'Release Log'!$C$6:$C$4005,$B16,'Release Log'!$A$6:$A$4005,"&lt;="&amp;MIN(AB$2+6,Dashboard!$Q$3+6))/$C16))</f>
        <v>13</v>
      </c>
      <c r="AC16" s="0" t="n">
        <f aca="false">IF($B16="","",INT(SUMIFS('Release Log'!$D$6:$D$4005,'Release Log'!$B$6:$B$4005,Dashboard!$D$3,'Release Log'!$C$6:$C$4005,$B16,'Release Log'!$A$6:$A$4005,"&lt;="&amp;MIN(AC$2+6,Dashboard!$Q$3+6))/$C16))</f>
        <v>13</v>
      </c>
      <c r="AD16" s="0" t="n">
        <f aca="false">IF($B16="","",INT(SUMIFS('Release Log'!$D$6:$D$4005,'Release Log'!$B$6:$B$4005,Dashboard!$D$3,'Release Log'!$C$6:$C$4005,$B16,'Release Log'!$A$6:$A$4005,"&lt;="&amp;MIN(AD$2+6,Dashboard!$Q$3+6))/$C16))</f>
        <v>13</v>
      </c>
      <c r="AE16" s="0" t="n">
        <f aca="false">IF($B16="","",INT(SUMIFS('Release Log'!$D$6:$D$4005,'Release Log'!$B$6:$B$4005,Dashboard!$D$3,'Release Log'!$C$6:$C$4005,$B16,'Release Log'!$A$6:$A$4005,"&lt;="&amp;MIN(AE$2+6,Dashboard!$Q$3+6))/$C16))</f>
        <v>13</v>
      </c>
      <c r="AF16" s="0" t="n">
        <f aca="false">IF($B16="","",INT(SUMIFS('Release Log'!$D$6:$D$4005,'Release Log'!$B$6:$B$4005,Dashboard!$D$3,'Release Log'!$C$6:$C$4005,$B16,'Release Log'!$A$6:$A$4005,"&lt;="&amp;MIN(AF$2+6,Dashboard!$Q$3+6))/$C16))</f>
        <v>13</v>
      </c>
      <c r="AG16" s="0" t="n">
        <f aca="false">IF($B16="","",INT(SUMIFS('Release Log'!$D$6:$D$4005,'Release Log'!$B$6:$B$4005,Dashboard!$D$3,'Release Log'!$C$6:$C$4005,$B16,'Release Log'!$A$6:$A$4005,"&lt;="&amp;MIN(AG$2+6,Dashboard!$Q$3+6))/$C16))</f>
        <v>13</v>
      </c>
      <c r="AH16" s="0" t="n">
        <f aca="false">IF($B16="","",INT(SUMIFS('Release Log'!$D$6:$D$4005,'Release Log'!$B$6:$B$4005,Dashboard!$D$3,'Release Log'!$C$6:$C$4005,$B16,'Release Log'!$A$6:$A$4005,"&lt;="&amp;MIN(AH$2+6,Dashboard!$Q$3+6))/$C16))</f>
        <v>13</v>
      </c>
      <c r="AI16" s="0" t="n">
        <f aca="false">IF($B16="","",INT(SUMIFS('Release Log'!$D$6:$D$4005,'Release Log'!$B$6:$B$4005,Dashboard!$D$3,'Release Log'!$C$6:$C$4005,$B16,'Release Log'!$A$6:$A$4005,"&lt;="&amp;MIN(AI$2+6,Dashboard!$Q$3+6))/$C16))</f>
        <v>13</v>
      </c>
      <c r="AJ16" s="0" t="n">
        <f aca="false">IF($B16="","",INT(SUMIFS('Release Log'!$D$6:$D$4005,'Release Log'!$B$6:$B$4005,Dashboard!$D$3,'Release Log'!$C$6:$C$4005,$B16,'Release Log'!$A$6:$A$4005,"&lt;="&amp;MIN(AJ$2+6,Dashboard!$Q$3+6))/$C16))</f>
        <v>13</v>
      </c>
      <c r="AK16" s="0" t="n">
        <f aca="false">IF($B16="","",INT(SUMIFS('Release Log'!$D$6:$D$4005,'Release Log'!$B$6:$B$4005,Dashboard!$D$3,'Release Log'!$C$6:$C$4005,$B16,'Release Log'!$A$6:$A$4005,"&lt;="&amp;MIN(AK$2+6,Dashboard!$Q$3+6))/$C16))</f>
        <v>13</v>
      </c>
      <c r="AL16" s="0" t="n">
        <f aca="false">IF($B16="","",INT(SUMIFS('Release Log'!$D$6:$D$4005,'Release Log'!$B$6:$B$4005,Dashboard!$D$3,'Release Log'!$C$6:$C$4005,$B16,'Release Log'!$A$6:$A$4005,"&lt;="&amp;MIN(AL$2+6,Dashboard!$Q$3+6))/$C16))</f>
        <v>13</v>
      </c>
      <c r="AM16" s="0" t="n">
        <f aca="false">IF($B16="","",INT(SUMIFS('Release Log'!$D$6:$D$4005,'Release Log'!$B$6:$B$4005,Dashboard!$D$3,'Release Log'!$C$6:$C$4005,$B16,'Release Log'!$A$6:$A$4005,"&lt;="&amp;MIN(AM$2+6,Dashboard!$Q$3+6))/$C16))</f>
        <v>13</v>
      </c>
      <c r="AN16" s="0" t="n">
        <f aca="false">IF($B16="","",INT(SUMIFS('Release Log'!$D$6:$D$4005,'Release Log'!$B$6:$B$4005,Dashboard!$D$3,'Release Log'!$C$6:$C$4005,$B16,'Release Log'!$A$6:$A$4005,"&lt;="&amp;MIN(AN$2+6,Dashboard!$Q$3+6))/$C16))</f>
        <v>13</v>
      </c>
      <c r="AO16" s="0" t="n">
        <f aca="false">IF($B16="","",INT(SUMIFS('Release Log'!$D$6:$D$4005,'Release Log'!$B$6:$B$4005,Dashboard!$D$3,'Release Log'!$C$6:$C$4005,$B16,'Release Log'!$A$6:$A$4005,"&lt;="&amp;MIN(AO$2+6,Dashboard!$Q$3+6))/$C16))</f>
        <v>13</v>
      </c>
      <c r="AP16" s="0" t="n">
        <f aca="false">IF($B16="","",INT(SUMIFS('Release Log'!$D$6:$D$4005,'Release Log'!$B$6:$B$4005,Dashboard!$D$3,'Release Log'!$C$6:$C$4005,$B16,'Release Log'!$A$6:$A$4005,"&lt;="&amp;MIN(AP$2+6,Dashboard!$Q$3+6))/$C16))</f>
        <v>13</v>
      </c>
      <c r="AQ16" s="0" t="n">
        <f aca="false">IF($B16="","",INT(SUMIFS('Release Log'!$D$6:$D$4005,'Release Log'!$B$6:$B$4005,Dashboard!$D$3,'Release Log'!$C$6:$C$4005,$B16,'Release Log'!$A$6:$A$4005,"&lt;="&amp;MIN(AQ$2+6,Dashboard!$Q$3+6))/$C16))</f>
        <v>13</v>
      </c>
    </row>
    <row r="17" customFormat="false" ht="15" hidden="false" customHeight="false" outlineLevel="0" collapsed="false">
      <c r="A17" s="0" t="n">
        <v>14</v>
      </c>
      <c r="B17" s="0" t="str">
        <f aca="false">IFERROR(INDEX('Kit Lists'!$C$6:$C$605,MATCH(Dashboard!$D$3&amp;"|"&amp;A17,'Kit Lists'!$G$6:$G$605,0)),"")</f>
        <v>92UAP04548BCA</v>
      </c>
      <c r="C17" s="0" t="n">
        <f aca="false">IF(B17="","",INDEX('Kit Lists'!$E$6:$E$605,MATCH(Dashboard!$D$3&amp;"|"&amp;A17,'Kit Lists'!$G$6:$G$605,0)))</f>
        <v>1</v>
      </c>
      <c r="D17" s="0" t="n">
        <f aca="false">IF($B17="","",INT(SUMIFS('Release Log'!$D$6:$D$4005,'Release Log'!$B$6:$B$4005,Dashboard!$D$3,'Release Log'!$C$6:$C$4005,$B17,'Release Log'!$A$6:$A$4005,"&lt;="&amp;MIN(D$2+6,Dashboard!$Q$3+6))/$C17))</f>
        <v>3</v>
      </c>
      <c r="E17" s="0" t="n">
        <f aca="false">IF($B17="","",INT(SUMIFS('Release Log'!$D$6:$D$4005,'Release Log'!$B$6:$B$4005,Dashboard!$D$3,'Release Log'!$C$6:$C$4005,$B17,'Release Log'!$A$6:$A$4005,"&lt;="&amp;MIN(E$2+6,Dashboard!$Q$3+6))/$C17))</f>
        <v>3</v>
      </c>
      <c r="F17" s="0" t="n">
        <f aca="false">IF($B17="","",INT(SUMIFS('Release Log'!$D$6:$D$4005,'Release Log'!$B$6:$B$4005,Dashboard!$D$3,'Release Log'!$C$6:$C$4005,$B17,'Release Log'!$A$6:$A$4005,"&lt;="&amp;MIN(F$2+6,Dashboard!$Q$3+6))/$C17))</f>
        <v>3</v>
      </c>
      <c r="G17" s="0" t="n">
        <f aca="false">IF($B17="","",INT(SUMIFS('Release Log'!$D$6:$D$4005,'Release Log'!$B$6:$B$4005,Dashboard!$D$3,'Release Log'!$C$6:$C$4005,$B17,'Release Log'!$A$6:$A$4005,"&lt;="&amp;MIN(G$2+6,Dashboard!$Q$3+6))/$C17))</f>
        <v>4</v>
      </c>
      <c r="H17" s="0" t="n">
        <f aca="false">IF($B17="","",INT(SUMIFS('Release Log'!$D$6:$D$4005,'Release Log'!$B$6:$B$4005,Dashboard!$D$3,'Release Log'!$C$6:$C$4005,$B17,'Release Log'!$A$6:$A$4005,"&lt;="&amp;MIN(H$2+6,Dashboard!$Q$3+6))/$C17))</f>
        <v>4</v>
      </c>
      <c r="I17" s="0" t="n">
        <f aca="false">IF($B17="","",INT(SUMIFS('Release Log'!$D$6:$D$4005,'Release Log'!$B$6:$B$4005,Dashboard!$D$3,'Release Log'!$C$6:$C$4005,$B17,'Release Log'!$A$6:$A$4005,"&lt;="&amp;MIN(I$2+6,Dashboard!$Q$3+6))/$C17))</f>
        <v>5</v>
      </c>
      <c r="J17" s="0" t="n">
        <f aca="false">IF($B17="","",INT(SUMIFS('Release Log'!$D$6:$D$4005,'Release Log'!$B$6:$B$4005,Dashboard!$D$3,'Release Log'!$C$6:$C$4005,$B17,'Release Log'!$A$6:$A$4005,"&lt;="&amp;MIN(J$2+6,Dashboard!$Q$3+6))/$C17))</f>
        <v>6</v>
      </c>
      <c r="K17" s="0" t="n">
        <f aca="false">IF($B17="","",INT(SUMIFS('Release Log'!$D$6:$D$4005,'Release Log'!$B$6:$B$4005,Dashboard!$D$3,'Release Log'!$C$6:$C$4005,$B17,'Release Log'!$A$6:$A$4005,"&lt;="&amp;MIN(K$2+6,Dashboard!$Q$3+6))/$C17))</f>
        <v>7</v>
      </c>
      <c r="L17" s="0" t="n">
        <f aca="false">IF($B17="","",INT(SUMIFS('Release Log'!$D$6:$D$4005,'Release Log'!$B$6:$B$4005,Dashboard!$D$3,'Release Log'!$C$6:$C$4005,$B17,'Release Log'!$A$6:$A$4005,"&lt;="&amp;MIN(L$2+6,Dashboard!$Q$3+6))/$C17))</f>
        <v>7</v>
      </c>
      <c r="M17" s="0" t="n">
        <f aca="false">IF($B17="","",INT(SUMIFS('Release Log'!$D$6:$D$4005,'Release Log'!$B$6:$B$4005,Dashboard!$D$3,'Release Log'!$C$6:$C$4005,$B17,'Release Log'!$A$6:$A$4005,"&lt;="&amp;MIN(M$2+6,Dashboard!$Q$3+6))/$C17))</f>
        <v>8</v>
      </c>
      <c r="N17" s="0" t="n">
        <f aca="false">IF($B17="","",INT(SUMIFS('Release Log'!$D$6:$D$4005,'Release Log'!$B$6:$B$4005,Dashboard!$D$3,'Release Log'!$C$6:$C$4005,$B17,'Release Log'!$A$6:$A$4005,"&lt;="&amp;MIN(N$2+6,Dashboard!$Q$3+6))/$C17))</f>
        <v>8</v>
      </c>
      <c r="O17" s="0" t="n">
        <f aca="false">IF($B17="","",INT(SUMIFS('Release Log'!$D$6:$D$4005,'Release Log'!$B$6:$B$4005,Dashboard!$D$3,'Release Log'!$C$6:$C$4005,$B17,'Release Log'!$A$6:$A$4005,"&lt;="&amp;MIN(O$2+6,Dashboard!$Q$3+6))/$C17))</f>
        <v>13</v>
      </c>
      <c r="P17" s="0" t="n">
        <f aca="false">IF($B17="","",INT(SUMIFS('Release Log'!$D$6:$D$4005,'Release Log'!$B$6:$B$4005,Dashboard!$D$3,'Release Log'!$C$6:$C$4005,$B17,'Release Log'!$A$6:$A$4005,"&lt;="&amp;MIN(P$2+6,Dashboard!$Q$3+6))/$C17))</f>
        <v>13</v>
      </c>
      <c r="Q17" s="0" t="n">
        <f aca="false">IF($B17="","",INT(SUMIFS('Release Log'!$D$6:$D$4005,'Release Log'!$B$6:$B$4005,Dashboard!$D$3,'Release Log'!$C$6:$C$4005,$B17,'Release Log'!$A$6:$A$4005,"&lt;="&amp;MIN(Q$2+6,Dashboard!$Q$3+6))/$C17))</f>
        <v>13</v>
      </c>
      <c r="R17" s="0" t="n">
        <f aca="false">IF($B17="","",INT(SUMIFS('Release Log'!$D$6:$D$4005,'Release Log'!$B$6:$B$4005,Dashboard!$D$3,'Release Log'!$C$6:$C$4005,$B17,'Release Log'!$A$6:$A$4005,"&lt;="&amp;MIN(R$2+6,Dashboard!$Q$3+6))/$C17))</f>
        <v>13</v>
      </c>
      <c r="S17" s="0" t="n">
        <f aca="false">IF($B17="","",INT(SUMIFS('Release Log'!$D$6:$D$4005,'Release Log'!$B$6:$B$4005,Dashboard!$D$3,'Release Log'!$C$6:$C$4005,$B17,'Release Log'!$A$6:$A$4005,"&lt;="&amp;MIN(S$2+6,Dashboard!$Q$3+6))/$C17))</f>
        <v>13</v>
      </c>
      <c r="T17" s="0" t="n">
        <f aca="false">IF($B17="","",INT(SUMIFS('Release Log'!$D$6:$D$4005,'Release Log'!$B$6:$B$4005,Dashboard!$D$3,'Release Log'!$C$6:$C$4005,$B17,'Release Log'!$A$6:$A$4005,"&lt;="&amp;MIN(T$2+6,Dashboard!$Q$3+6))/$C17))</f>
        <v>13</v>
      </c>
      <c r="U17" s="0" t="n">
        <f aca="false">IF($B17="","",INT(SUMIFS('Release Log'!$D$6:$D$4005,'Release Log'!$B$6:$B$4005,Dashboard!$D$3,'Release Log'!$C$6:$C$4005,$B17,'Release Log'!$A$6:$A$4005,"&lt;="&amp;MIN(U$2+6,Dashboard!$Q$3+6))/$C17))</f>
        <v>13</v>
      </c>
      <c r="V17" s="0" t="n">
        <f aca="false">IF($B17="","",INT(SUMIFS('Release Log'!$D$6:$D$4005,'Release Log'!$B$6:$B$4005,Dashboard!$D$3,'Release Log'!$C$6:$C$4005,$B17,'Release Log'!$A$6:$A$4005,"&lt;="&amp;MIN(V$2+6,Dashboard!$Q$3+6))/$C17))</f>
        <v>13</v>
      </c>
      <c r="W17" s="0" t="n">
        <f aca="false">IF($B17="","",INT(SUMIFS('Release Log'!$D$6:$D$4005,'Release Log'!$B$6:$B$4005,Dashboard!$D$3,'Release Log'!$C$6:$C$4005,$B17,'Release Log'!$A$6:$A$4005,"&lt;="&amp;MIN(W$2+6,Dashboard!$Q$3+6))/$C17))</f>
        <v>13</v>
      </c>
      <c r="X17" s="0" t="n">
        <f aca="false">IF($B17="","",INT(SUMIFS('Release Log'!$D$6:$D$4005,'Release Log'!$B$6:$B$4005,Dashboard!$D$3,'Release Log'!$C$6:$C$4005,$B17,'Release Log'!$A$6:$A$4005,"&lt;="&amp;MIN(X$2+6,Dashboard!$Q$3+6))/$C17))</f>
        <v>13</v>
      </c>
      <c r="Y17" s="0" t="n">
        <f aca="false">IF($B17="","",INT(SUMIFS('Release Log'!$D$6:$D$4005,'Release Log'!$B$6:$B$4005,Dashboard!$D$3,'Release Log'!$C$6:$C$4005,$B17,'Release Log'!$A$6:$A$4005,"&lt;="&amp;MIN(Y$2+6,Dashboard!$Q$3+6))/$C17))</f>
        <v>13</v>
      </c>
      <c r="Z17" s="0" t="n">
        <f aca="false">IF($B17="","",INT(SUMIFS('Release Log'!$D$6:$D$4005,'Release Log'!$B$6:$B$4005,Dashboard!$D$3,'Release Log'!$C$6:$C$4005,$B17,'Release Log'!$A$6:$A$4005,"&lt;="&amp;MIN(Z$2+6,Dashboard!$Q$3+6))/$C17))</f>
        <v>13</v>
      </c>
      <c r="AA17" s="0" t="n">
        <f aca="false">IF($B17="","",INT(SUMIFS('Release Log'!$D$6:$D$4005,'Release Log'!$B$6:$B$4005,Dashboard!$D$3,'Release Log'!$C$6:$C$4005,$B17,'Release Log'!$A$6:$A$4005,"&lt;="&amp;MIN(AA$2+6,Dashboard!$Q$3+6))/$C17))</f>
        <v>13</v>
      </c>
      <c r="AB17" s="0" t="n">
        <f aca="false">IF($B17="","",INT(SUMIFS('Release Log'!$D$6:$D$4005,'Release Log'!$B$6:$B$4005,Dashboard!$D$3,'Release Log'!$C$6:$C$4005,$B17,'Release Log'!$A$6:$A$4005,"&lt;="&amp;MIN(AB$2+6,Dashboard!$Q$3+6))/$C17))</f>
        <v>13</v>
      </c>
      <c r="AC17" s="0" t="n">
        <f aca="false">IF($B17="","",INT(SUMIFS('Release Log'!$D$6:$D$4005,'Release Log'!$B$6:$B$4005,Dashboard!$D$3,'Release Log'!$C$6:$C$4005,$B17,'Release Log'!$A$6:$A$4005,"&lt;="&amp;MIN(AC$2+6,Dashboard!$Q$3+6))/$C17))</f>
        <v>13</v>
      </c>
      <c r="AD17" s="0" t="n">
        <f aca="false">IF($B17="","",INT(SUMIFS('Release Log'!$D$6:$D$4005,'Release Log'!$B$6:$B$4005,Dashboard!$D$3,'Release Log'!$C$6:$C$4005,$B17,'Release Log'!$A$6:$A$4005,"&lt;="&amp;MIN(AD$2+6,Dashboard!$Q$3+6))/$C17))</f>
        <v>13</v>
      </c>
      <c r="AE17" s="0" t="n">
        <f aca="false">IF($B17="","",INT(SUMIFS('Release Log'!$D$6:$D$4005,'Release Log'!$B$6:$B$4005,Dashboard!$D$3,'Release Log'!$C$6:$C$4005,$B17,'Release Log'!$A$6:$A$4005,"&lt;="&amp;MIN(AE$2+6,Dashboard!$Q$3+6))/$C17))</f>
        <v>13</v>
      </c>
      <c r="AF17" s="0" t="n">
        <f aca="false">IF($B17="","",INT(SUMIFS('Release Log'!$D$6:$D$4005,'Release Log'!$B$6:$B$4005,Dashboard!$D$3,'Release Log'!$C$6:$C$4005,$B17,'Release Log'!$A$6:$A$4005,"&lt;="&amp;MIN(AF$2+6,Dashboard!$Q$3+6))/$C17))</f>
        <v>13</v>
      </c>
      <c r="AG17" s="0" t="n">
        <f aca="false">IF($B17="","",INT(SUMIFS('Release Log'!$D$6:$D$4005,'Release Log'!$B$6:$B$4005,Dashboard!$D$3,'Release Log'!$C$6:$C$4005,$B17,'Release Log'!$A$6:$A$4005,"&lt;="&amp;MIN(AG$2+6,Dashboard!$Q$3+6))/$C17))</f>
        <v>13</v>
      </c>
      <c r="AH17" s="0" t="n">
        <f aca="false">IF($B17="","",INT(SUMIFS('Release Log'!$D$6:$D$4005,'Release Log'!$B$6:$B$4005,Dashboard!$D$3,'Release Log'!$C$6:$C$4005,$B17,'Release Log'!$A$6:$A$4005,"&lt;="&amp;MIN(AH$2+6,Dashboard!$Q$3+6))/$C17))</f>
        <v>13</v>
      </c>
      <c r="AI17" s="0" t="n">
        <f aca="false">IF($B17="","",INT(SUMIFS('Release Log'!$D$6:$D$4005,'Release Log'!$B$6:$B$4005,Dashboard!$D$3,'Release Log'!$C$6:$C$4005,$B17,'Release Log'!$A$6:$A$4005,"&lt;="&amp;MIN(AI$2+6,Dashboard!$Q$3+6))/$C17))</f>
        <v>13</v>
      </c>
      <c r="AJ17" s="0" t="n">
        <f aca="false">IF($B17="","",INT(SUMIFS('Release Log'!$D$6:$D$4005,'Release Log'!$B$6:$B$4005,Dashboard!$D$3,'Release Log'!$C$6:$C$4005,$B17,'Release Log'!$A$6:$A$4005,"&lt;="&amp;MIN(AJ$2+6,Dashboard!$Q$3+6))/$C17))</f>
        <v>13</v>
      </c>
      <c r="AK17" s="0" t="n">
        <f aca="false">IF($B17="","",INT(SUMIFS('Release Log'!$D$6:$D$4005,'Release Log'!$B$6:$B$4005,Dashboard!$D$3,'Release Log'!$C$6:$C$4005,$B17,'Release Log'!$A$6:$A$4005,"&lt;="&amp;MIN(AK$2+6,Dashboard!$Q$3+6))/$C17))</f>
        <v>13</v>
      </c>
      <c r="AL17" s="0" t="n">
        <f aca="false">IF($B17="","",INT(SUMIFS('Release Log'!$D$6:$D$4005,'Release Log'!$B$6:$B$4005,Dashboard!$D$3,'Release Log'!$C$6:$C$4005,$B17,'Release Log'!$A$6:$A$4005,"&lt;="&amp;MIN(AL$2+6,Dashboard!$Q$3+6))/$C17))</f>
        <v>13</v>
      </c>
      <c r="AM17" s="0" t="n">
        <f aca="false">IF($B17="","",INT(SUMIFS('Release Log'!$D$6:$D$4005,'Release Log'!$B$6:$B$4005,Dashboard!$D$3,'Release Log'!$C$6:$C$4005,$B17,'Release Log'!$A$6:$A$4005,"&lt;="&amp;MIN(AM$2+6,Dashboard!$Q$3+6))/$C17))</f>
        <v>13</v>
      </c>
      <c r="AN17" s="0" t="n">
        <f aca="false">IF($B17="","",INT(SUMIFS('Release Log'!$D$6:$D$4005,'Release Log'!$B$6:$B$4005,Dashboard!$D$3,'Release Log'!$C$6:$C$4005,$B17,'Release Log'!$A$6:$A$4005,"&lt;="&amp;MIN(AN$2+6,Dashboard!$Q$3+6))/$C17))</f>
        <v>13</v>
      </c>
      <c r="AO17" s="0" t="n">
        <f aca="false">IF($B17="","",INT(SUMIFS('Release Log'!$D$6:$D$4005,'Release Log'!$B$6:$B$4005,Dashboard!$D$3,'Release Log'!$C$6:$C$4005,$B17,'Release Log'!$A$6:$A$4005,"&lt;="&amp;MIN(AO$2+6,Dashboard!$Q$3+6))/$C17))</f>
        <v>13</v>
      </c>
      <c r="AP17" s="0" t="n">
        <f aca="false">IF($B17="","",INT(SUMIFS('Release Log'!$D$6:$D$4005,'Release Log'!$B$6:$B$4005,Dashboard!$D$3,'Release Log'!$C$6:$C$4005,$B17,'Release Log'!$A$6:$A$4005,"&lt;="&amp;MIN(AP$2+6,Dashboard!$Q$3+6))/$C17))</f>
        <v>13</v>
      </c>
      <c r="AQ17" s="0" t="n">
        <f aca="false">IF($B17="","",INT(SUMIFS('Release Log'!$D$6:$D$4005,'Release Log'!$B$6:$B$4005,Dashboard!$D$3,'Release Log'!$C$6:$C$4005,$B17,'Release Log'!$A$6:$A$4005,"&lt;="&amp;MIN(AQ$2+6,Dashboard!$Q$3+6))/$C17))</f>
        <v>13</v>
      </c>
    </row>
    <row r="18" customFormat="false" ht="15" hidden="false" customHeight="false" outlineLevel="0" collapsed="false">
      <c r="A18" s="0" t="n">
        <v>15</v>
      </c>
      <c r="B18" s="0" t="str">
        <f aca="false">IFERROR(INDEX('Kit Lists'!$C$6:$C$605,MATCH(Dashboard!$D$3&amp;"|"&amp;A18,'Kit Lists'!$G$6:$G$605,0)),"")</f>
        <v/>
      </c>
      <c r="C18" s="0" t="str">
        <f aca="false">IF(B18="","",INDEX('Kit Lists'!$E$6:$E$605,MATCH(Dashboard!$D$3&amp;"|"&amp;A18,'Kit Lists'!$G$6:$G$605,0)))</f>
        <v/>
      </c>
      <c r="D18" s="0" t="str">
        <f aca="false">IF($B18="","",INT(SUMIFS('Release Log'!$D$6:$D$4005,'Release Log'!$B$6:$B$4005,Dashboard!$D$3,'Release Log'!$C$6:$C$4005,$B18,'Release Log'!$A$6:$A$4005,"&lt;="&amp;MIN(D$2+6,Dashboard!$Q$3+6))/$C18))</f>
        <v/>
      </c>
      <c r="E18" s="0" t="str">
        <f aca="false">IF($B18="","",INT(SUMIFS('Release Log'!$D$6:$D$4005,'Release Log'!$B$6:$B$4005,Dashboard!$D$3,'Release Log'!$C$6:$C$4005,$B18,'Release Log'!$A$6:$A$4005,"&lt;="&amp;MIN(E$2+6,Dashboard!$Q$3+6))/$C18))</f>
        <v/>
      </c>
      <c r="F18" s="0" t="str">
        <f aca="false">IF($B18="","",INT(SUMIFS('Release Log'!$D$6:$D$4005,'Release Log'!$B$6:$B$4005,Dashboard!$D$3,'Release Log'!$C$6:$C$4005,$B18,'Release Log'!$A$6:$A$4005,"&lt;="&amp;MIN(F$2+6,Dashboard!$Q$3+6))/$C18))</f>
        <v/>
      </c>
      <c r="G18" s="0" t="str">
        <f aca="false">IF($B18="","",INT(SUMIFS('Release Log'!$D$6:$D$4005,'Release Log'!$B$6:$B$4005,Dashboard!$D$3,'Release Log'!$C$6:$C$4005,$B18,'Release Log'!$A$6:$A$4005,"&lt;="&amp;MIN(G$2+6,Dashboard!$Q$3+6))/$C18))</f>
        <v/>
      </c>
      <c r="H18" s="0" t="str">
        <f aca="false">IF($B18="","",INT(SUMIFS('Release Log'!$D$6:$D$4005,'Release Log'!$B$6:$B$4005,Dashboard!$D$3,'Release Log'!$C$6:$C$4005,$B18,'Release Log'!$A$6:$A$4005,"&lt;="&amp;MIN(H$2+6,Dashboard!$Q$3+6))/$C18))</f>
        <v/>
      </c>
      <c r="I18" s="0" t="str">
        <f aca="false">IF($B18="","",INT(SUMIFS('Release Log'!$D$6:$D$4005,'Release Log'!$B$6:$B$4005,Dashboard!$D$3,'Release Log'!$C$6:$C$4005,$B18,'Release Log'!$A$6:$A$4005,"&lt;="&amp;MIN(I$2+6,Dashboard!$Q$3+6))/$C18))</f>
        <v/>
      </c>
      <c r="J18" s="0" t="str">
        <f aca="false">IF($B18="","",INT(SUMIFS('Release Log'!$D$6:$D$4005,'Release Log'!$B$6:$B$4005,Dashboard!$D$3,'Release Log'!$C$6:$C$4005,$B18,'Release Log'!$A$6:$A$4005,"&lt;="&amp;MIN(J$2+6,Dashboard!$Q$3+6))/$C18))</f>
        <v/>
      </c>
      <c r="K18" s="0" t="str">
        <f aca="false">IF($B18="","",INT(SUMIFS('Release Log'!$D$6:$D$4005,'Release Log'!$B$6:$B$4005,Dashboard!$D$3,'Release Log'!$C$6:$C$4005,$B18,'Release Log'!$A$6:$A$4005,"&lt;="&amp;MIN(K$2+6,Dashboard!$Q$3+6))/$C18))</f>
        <v/>
      </c>
      <c r="L18" s="0" t="str">
        <f aca="false">IF($B18="","",INT(SUMIFS('Release Log'!$D$6:$D$4005,'Release Log'!$B$6:$B$4005,Dashboard!$D$3,'Release Log'!$C$6:$C$4005,$B18,'Release Log'!$A$6:$A$4005,"&lt;="&amp;MIN(L$2+6,Dashboard!$Q$3+6))/$C18))</f>
        <v/>
      </c>
      <c r="M18" s="0" t="str">
        <f aca="false">IF($B18="","",INT(SUMIFS('Release Log'!$D$6:$D$4005,'Release Log'!$B$6:$B$4005,Dashboard!$D$3,'Release Log'!$C$6:$C$4005,$B18,'Release Log'!$A$6:$A$4005,"&lt;="&amp;MIN(M$2+6,Dashboard!$Q$3+6))/$C18))</f>
        <v/>
      </c>
      <c r="N18" s="0" t="str">
        <f aca="false">IF($B18="","",INT(SUMIFS('Release Log'!$D$6:$D$4005,'Release Log'!$B$6:$B$4005,Dashboard!$D$3,'Release Log'!$C$6:$C$4005,$B18,'Release Log'!$A$6:$A$4005,"&lt;="&amp;MIN(N$2+6,Dashboard!$Q$3+6))/$C18))</f>
        <v/>
      </c>
      <c r="O18" s="0" t="str">
        <f aca="false">IF($B18="","",INT(SUMIFS('Release Log'!$D$6:$D$4005,'Release Log'!$B$6:$B$4005,Dashboard!$D$3,'Release Log'!$C$6:$C$4005,$B18,'Release Log'!$A$6:$A$4005,"&lt;="&amp;MIN(O$2+6,Dashboard!$Q$3+6))/$C18))</f>
        <v/>
      </c>
      <c r="P18" s="0" t="str">
        <f aca="false">IF($B18="","",INT(SUMIFS('Release Log'!$D$6:$D$4005,'Release Log'!$B$6:$B$4005,Dashboard!$D$3,'Release Log'!$C$6:$C$4005,$B18,'Release Log'!$A$6:$A$4005,"&lt;="&amp;MIN(P$2+6,Dashboard!$Q$3+6))/$C18))</f>
        <v/>
      </c>
      <c r="Q18" s="0" t="str">
        <f aca="false">IF($B18="","",INT(SUMIFS('Release Log'!$D$6:$D$4005,'Release Log'!$B$6:$B$4005,Dashboard!$D$3,'Release Log'!$C$6:$C$4005,$B18,'Release Log'!$A$6:$A$4005,"&lt;="&amp;MIN(Q$2+6,Dashboard!$Q$3+6))/$C18))</f>
        <v/>
      </c>
      <c r="R18" s="0" t="str">
        <f aca="false">IF($B18="","",INT(SUMIFS('Release Log'!$D$6:$D$4005,'Release Log'!$B$6:$B$4005,Dashboard!$D$3,'Release Log'!$C$6:$C$4005,$B18,'Release Log'!$A$6:$A$4005,"&lt;="&amp;MIN(R$2+6,Dashboard!$Q$3+6))/$C18))</f>
        <v/>
      </c>
      <c r="S18" s="0" t="str">
        <f aca="false">IF($B18="","",INT(SUMIFS('Release Log'!$D$6:$D$4005,'Release Log'!$B$6:$B$4005,Dashboard!$D$3,'Release Log'!$C$6:$C$4005,$B18,'Release Log'!$A$6:$A$4005,"&lt;="&amp;MIN(S$2+6,Dashboard!$Q$3+6))/$C18))</f>
        <v/>
      </c>
      <c r="T18" s="0" t="str">
        <f aca="false">IF($B18="","",INT(SUMIFS('Release Log'!$D$6:$D$4005,'Release Log'!$B$6:$B$4005,Dashboard!$D$3,'Release Log'!$C$6:$C$4005,$B18,'Release Log'!$A$6:$A$4005,"&lt;="&amp;MIN(T$2+6,Dashboard!$Q$3+6))/$C18))</f>
        <v/>
      </c>
      <c r="U18" s="0" t="str">
        <f aca="false">IF($B18="","",INT(SUMIFS('Release Log'!$D$6:$D$4005,'Release Log'!$B$6:$B$4005,Dashboard!$D$3,'Release Log'!$C$6:$C$4005,$B18,'Release Log'!$A$6:$A$4005,"&lt;="&amp;MIN(U$2+6,Dashboard!$Q$3+6))/$C18))</f>
        <v/>
      </c>
      <c r="V18" s="0" t="str">
        <f aca="false">IF($B18="","",INT(SUMIFS('Release Log'!$D$6:$D$4005,'Release Log'!$B$6:$B$4005,Dashboard!$D$3,'Release Log'!$C$6:$C$4005,$B18,'Release Log'!$A$6:$A$4005,"&lt;="&amp;MIN(V$2+6,Dashboard!$Q$3+6))/$C18))</f>
        <v/>
      </c>
      <c r="W18" s="0" t="str">
        <f aca="false">IF($B18="","",INT(SUMIFS('Release Log'!$D$6:$D$4005,'Release Log'!$B$6:$B$4005,Dashboard!$D$3,'Release Log'!$C$6:$C$4005,$B18,'Release Log'!$A$6:$A$4005,"&lt;="&amp;MIN(W$2+6,Dashboard!$Q$3+6))/$C18))</f>
        <v/>
      </c>
      <c r="X18" s="0" t="str">
        <f aca="false">IF($B18="","",INT(SUMIFS('Release Log'!$D$6:$D$4005,'Release Log'!$B$6:$B$4005,Dashboard!$D$3,'Release Log'!$C$6:$C$4005,$B18,'Release Log'!$A$6:$A$4005,"&lt;="&amp;MIN(X$2+6,Dashboard!$Q$3+6))/$C18))</f>
        <v/>
      </c>
      <c r="Y18" s="0" t="str">
        <f aca="false">IF($B18="","",INT(SUMIFS('Release Log'!$D$6:$D$4005,'Release Log'!$B$6:$B$4005,Dashboard!$D$3,'Release Log'!$C$6:$C$4005,$B18,'Release Log'!$A$6:$A$4005,"&lt;="&amp;MIN(Y$2+6,Dashboard!$Q$3+6))/$C18))</f>
        <v/>
      </c>
      <c r="Z18" s="0" t="str">
        <f aca="false">IF($B18="","",INT(SUMIFS('Release Log'!$D$6:$D$4005,'Release Log'!$B$6:$B$4005,Dashboard!$D$3,'Release Log'!$C$6:$C$4005,$B18,'Release Log'!$A$6:$A$4005,"&lt;="&amp;MIN(Z$2+6,Dashboard!$Q$3+6))/$C18))</f>
        <v/>
      </c>
      <c r="AA18" s="0" t="str">
        <f aca="false">IF($B18="","",INT(SUMIFS('Release Log'!$D$6:$D$4005,'Release Log'!$B$6:$B$4005,Dashboard!$D$3,'Release Log'!$C$6:$C$4005,$B18,'Release Log'!$A$6:$A$4005,"&lt;="&amp;MIN(AA$2+6,Dashboard!$Q$3+6))/$C18))</f>
        <v/>
      </c>
      <c r="AB18" s="0" t="str">
        <f aca="false">IF($B18="","",INT(SUMIFS('Release Log'!$D$6:$D$4005,'Release Log'!$B$6:$B$4005,Dashboard!$D$3,'Release Log'!$C$6:$C$4005,$B18,'Release Log'!$A$6:$A$4005,"&lt;="&amp;MIN(AB$2+6,Dashboard!$Q$3+6))/$C18))</f>
        <v/>
      </c>
      <c r="AC18" s="0" t="str">
        <f aca="false">IF($B18="","",INT(SUMIFS('Release Log'!$D$6:$D$4005,'Release Log'!$B$6:$B$4005,Dashboard!$D$3,'Release Log'!$C$6:$C$4005,$B18,'Release Log'!$A$6:$A$4005,"&lt;="&amp;MIN(AC$2+6,Dashboard!$Q$3+6))/$C18))</f>
        <v/>
      </c>
      <c r="AD18" s="0" t="str">
        <f aca="false">IF($B18="","",INT(SUMIFS('Release Log'!$D$6:$D$4005,'Release Log'!$B$6:$B$4005,Dashboard!$D$3,'Release Log'!$C$6:$C$4005,$B18,'Release Log'!$A$6:$A$4005,"&lt;="&amp;MIN(AD$2+6,Dashboard!$Q$3+6))/$C18))</f>
        <v/>
      </c>
      <c r="AE18" s="0" t="str">
        <f aca="false">IF($B18="","",INT(SUMIFS('Release Log'!$D$6:$D$4005,'Release Log'!$B$6:$B$4005,Dashboard!$D$3,'Release Log'!$C$6:$C$4005,$B18,'Release Log'!$A$6:$A$4005,"&lt;="&amp;MIN(AE$2+6,Dashboard!$Q$3+6))/$C18))</f>
        <v/>
      </c>
      <c r="AF18" s="0" t="str">
        <f aca="false">IF($B18="","",INT(SUMIFS('Release Log'!$D$6:$D$4005,'Release Log'!$B$6:$B$4005,Dashboard!$D$3,'Release Log'!$C$6:$C$4005,$B18,'Release Log'!$A$6:$A$4005,"&lt;="&amp;MIN(AF$2+6,Dashboard!$Q$3+6))/$C18))</f>
        <v/>
      </c>
      <c r="AG18" s="0" t="str">
        <f aca="false">IF($B18="","",INT(SUMIFS('Release Log'!$D$6:$D$4005,'Release Log'!$B$6:$B$4005,Dashboard!$D$3,'Release Log'!$C$6:$C$4005,$B18,'Release Log'!$A$6:$A$4005,"&lt;="&amp;MIN(AG$2+6,Dashboard!$Q$3+6))/$C18))</f>
        <v/>
      </c>
      <c r="AH18" s="0" t="str">
        <f aca="false">IF($B18="","",INT(SUMIFS('Release Log'!$D$6:$D$4005,'Release Log'!$B$6:$B$4005,Dashboard!$D$3,'Release Log'!$C$6:$C$4005,$B18,'Release Log'!$A$6:$A$4005,"&lt;="&amp;MIN(AH$2+6,Dashboard!$Q$3+6))/$C18))</f>
        <v/>
      </c>
      <c r="AI18" s="0" t="str">
        <f aca="false">IF($B18="","",INT(SUMIFS('Release Log'!$D$6:$D$4005,'Release Log'!$B$6:$B$4005,Dashboard!$D$3,'Release Log'!$C$6:$C$4005,$B18,'Release Log'!$A$6:$A$4005,"&lt;="&amp;MIN(AI$2+6,Dashboard!$Q$3+6))/$C18))</f>
        <v/>
      </c>
      <c r="AJ18" s="0" t="str">
        <f aca="false">IF($B18="","",INT(SUMIFS('Release Log'!$D$6:$D$4005,'Release Log'!$B$6:$B$4005,Dashboard!$D$3,'Release Log'!$C$6:$C$4005,$B18,'Release Log'!$A$6:$A$4005,"&lt;="&amp;MIN(AJ$2+6,Dashboard!$Q$3+6))/$C18))</f>
        <v/>
      </c>
      <c r="AK18" s="0" t="str">
        <f aca="false">IF($B18="","",INT(SUMIFS('Release Log'!$D$6:$D$4005,'Release Log'!$B$6:$B$4005,Dashboard!$D$3,'Release Log'!$C$6:$C$4005,$B18,'Release Log'!$A$6:$A$4005,"&lt;="&amp;MIN(AK$2+6,Dashboard!$Q$3+6))/$C18))</f>
        <v/>
      </c>
      <c r="AL18" s="0" t="str">
        <f aca="false">IF($B18="","",INT(SUMIFS('Release Log'!$D$6:$D$4005,'Release Log'!$B$6:$B$4005,Dashboard!$D$3,'Release Log'!$C$6:$C$4005,$B18,'Release Log'!$A$6:$A$4005,"&lt;="&amp;MIN(AL$2+6,Dashboard!$Q$3+6))/$C18))</f>
        <v/>
      </c>
      <c r="AM18" s="0" t="str">
        <f aca="false">IF($B18="","",INT(SUMIFS('Release Log'!$D$6:$D$4005,'Release Log'!$B$6:$B$4005,Dashboard!$D$3,'Release Log'!$C$6:$C$4005,$B18,'Release Log'!$A$6:$A$4005,"&lt;="&amp;MIN(AM$2+6,Dashboard!$Q$3+6))/$C18))</f>
        <v/>
      </c>
      <c r="AN18" s="0" t="str">
        <f aca="false">IF($B18="","",INT(SUMIFS('Release Log'!$D$6:$D$4005,'Release Log'!$B$6:$B$4005,Dashboard!$D$3,'Release Log'!$C$6:$C$4005,$B18,'Release Log'!$A$6:$A$4005,"&lt;="&amp;MIN(AN$2+6,Dashboard!$Q$3+6))/$C18))</f>
        <v/>
      </c>
      <c r="AO18" s="0" t="str">
        <f aca="false">IF($B18="","",INT(SUMIFS('Release Log'!$D$6:$D$4005,'Release Log'!$B$6:$B$4005,Dashboard!$D$3,'Release Log'!$C$6:$C$4005,$B18,'Release Log'!$A$6:$A$4005,"&lt;="&amp;MIN(AO$2+6,Dashboard!$Q$3+6))/$C18))</f>
        <v/>
      </c>
      <c r="AP18" s="0" t="str">
        <f aca="false">IF($B18="","",INT(SUMIFS('Release Log'!$D$6:$D$4005,'Release Log'!$B$6:$B$4005,Dashboard!$D$3,'Release Log'!$C$6:$C$4005,$B18,'Release Log'!$A$6:$A$4005,"&lt;="&amp;MIN(AP$2+6,Dashboard!$Q$3+6))/$C18))</f>
        <v/>
      </c>
      <c r="AQ18" s="0" t="str">
        <f aca="false">IF($B18="","",INT(SUMIFS('Release Log'!$D$6:$D$4005,'Release Log'!$B$6:$B$4005,Dashboard!$D$3,'Release Log'!$C$6:$C$4005,$B18,'Release Log'!$A$6:$A$4005,"&lt;="&amp;MIN(AQ$2+6,Dashboard!$Q$3+6))/$C18))</f>
        <v/>
      </c>
    </row>
    <row r="19" customFormat="false" ht="15" hidden="false" customHeight="false" outlineLevel="0" collapsed="false">
      <c r="A19" s="0" t="n">
        <v>16</v>
      </c>
      <c r="B19" s="0" t="str">
        <f aca="false">IFERROR(INDEX('Kit Lists'!$C$6:$C$605,MATCH(Dashboard!$D$3&amp;"|"&amp;A19,'Kit Lists'!$G$6:$G$605,0)),"")</f>
        <v/>
      </c>
      <c r="C19" s="0" t="str">
        <f aca="false">IF(B19="","",INDEX('Kit Lists'!$E$6:$E$605,MATCH(Dashboard!$D$3&amp;"|"&amp;A19,'Kit Lists'!$G$6:$G$605,0)))</f>
        <v/>
      </c>
      <c r="D19" s="0" t="str">
        <f aca="false">IF($B19="","",INT(SUMIFS('Release Log'!$D$6:$D$4005,'Release Log'!$B$6:$B$4005,Dashboard!$D$3,'Release Log'!$C$6:$C$4005,$B19,'Release Log'!$A$6:$A$4005,"&lt;="&amp;MIN(D$2+6,Dashboard!$Q$3+6))/$C19))</f>
        <v/>
      </c>
      <c r="E19" s="0" t="str">
        <f aca="false">IF($B19="","",INT(SUMIFS('Release Log'!$D$6:$D$4005,'Release Log'!$B$6:$B$4005,Dashboard!$D$3,'Release Log'!$C$6:$C$4005,$B19,'Release Log'!$A$6:$A$4005,"&lt;="&amp;MIN(E$2+6,Dashboard!$Q$3+6))/$C19))</f>
        <v/>
      </c>
      <c r="F19" s="0" t="str">
        <f aca="false">IF($B19="","",INT(SUMIFS('Release Log'!$D$6:$D$4005,'Release Log'!$B$6:$B$4005,Dashboard!$D$3,'Release Log'!$C$6:$C$4005,$B19,'Release Log'!$A$6:$A$4005,"&lt;="&amp;MIN(F$2+6,Dashboard!$Q$3+6))/$C19))</f>
        <v/>
      </c>
      <c r="G19" s="0" t="str">
        <f aca="false">IF($B19="","",INT(SUMIFS('Release Log'!$D$6:$D$4005,'Release Log'!$B$6:$B$4005,Dashboard!$D$3,'Release Log'!$C$6:$C$4005,$B19,'Release Log'!$A$6:$A$4005,"&lt;="&amp;MIN(G$2+6,Dashboard!$Q$3+6))/$C19))</f>
        <v/>
      </c>
      <c r="H19" s="0" t="str">
        <f aca="false">IF($B19="","",INT(SUMIFS('Release Log'!$D$6:$D$4005,'Release Log'!$B$6:$B$4005,Dashboard!$D$3,'Release Log'!$C$6:$C$4005,$B19,'Release Log'!$A$6:$A$4005,"&lt;="&amp;MIN(H$2+6,Dashboard!$Q$3+6))/$C19))</f>
        <v/>
      </c>
      <c r="I19" s="0" t="str">
        <f aca="false">IF($B19="","",INT(SUMIFS('Release Log'!$D$6:$D$4005,'Release Log'!$B$6:$B$4005,Dashboard!$D$3,'Release Log'!$C$6:$C$4005,$B19,'Release Log'!$A$6:$A$4005,"&lt;="&amp;MIN(I$2+6,Dashboard!$Q$3+6))/$C19))</f>
        <v/>
      </c>
      <c r="J19" s="0" t="str">
        <f aca="false">IF($B19="","",INT(SUMIFS('Release Log'!$D$6:$D$4005,'Release Log'!$B$6:$B$4005,Dashboard!$D$3,'Release Log'!$C$6:$C$4005,$B19,'Release Log'!$A$6:$A$4005,"&lt;="&amp;MIN(J$2+6,Dashboard!$Q$3+6))/$C19))</f>
        <v/>
      </c>
      <c r="K19" s="0" t="str">
        <f aca="false">IF($B19="","",INT(SUMIFS('Release Log'!$D$6:$D$4005,'Release Log'!$B$6:$B$4005,Dashboard!$D$3,'Release Log'!$C$6:$C$4005,$B19,'Release Log'!$A$6:$A$4005,"&lt;="&amp;MIN(K$2+6,Dashboard!$Q$3+6))/$C19))</f>
        <v/>
      </c>
      <c r="L19" s="0" t="str">
        <f aca="false">IF($B19="","",INT(SUMIFS('Release Log'!$D$6:$D$4005,'Release Log'!$B$6:$B$4005,Dashboard!$D$3,'Release Log'!$C$6:$C$4005,$B19,'Release Log'!$A$6:$A$4005,"&lt;="&amp;MIN(L$2+6,Dashboard!$Q$3+6))/$C19))</f>
        <v/>
      </c>
      <c r="M19" s="0" t="str">
        <f aca="false">IF($B19="","",INT(SUMIFS('Release Log'!$D$6:$D$4005,'Release Log'!$B$6:$B$4005,Dashboard!$D$3,'Release Log'!$C$6:$C$4005,$B19,'Release Log'!$A$6:$A$4005,"&lt;="&amp;MIN(M$2+6,Dashboard!$Q$3+6))/$C19))</f>
        <v/>
      </c>
      <c r="N19" s="0" t="str">
        <f aca="false">IF($B19="","",INT(SUMIFS('Release Log'!$D$6:$D$4005,'Release Log'!$B$6:$B$4005,Dashboard!$D$3,'Release Log'!$C$6:$C$4005,$B19,'Release Log'!$A$6:$A$4005,"&lt;="&amp;MIN(N$2+6,Dashboard!$Q$3+6))/$C19))</f>
        <v/>
      </c>
      <c r="O19" s="0" t="str">
        <f aca="false">IF($B19="","",INT(SUMIFS('Release Log'!$D$6:$D$4005,'Release Log'!$B$6:$B$4005,Dashboard!$D$3,'Release Log'!$C$6:$C$4005,$B19,'Release Log'!$A$6:$A$4005,"&lt;="&amp;MIN(O$2+6,Dashboard!$Q$3+6))/$C19))</f>
        <v/>
      </c>
      <c r="P19" s="0" t="str">
        <f aca="false">IF($B19="","",INT(SUMIFS('Release Log'!$D$6:$D$4005,'Release Log'!$B$6:$B$4005,Dashboard!$D$3,'Release Log'!$C$6:$C$4005,$B19,'Release Log'!$A$6:$A$4005,"&lt;="&amp;MIN(P$2+6,Dashboard!$Q$3+6))/$C19))</f>
        <v/>
      </c>
      <c r="Q19" s="0" t="str">
        <f aca="false">IF($B19="","",INT(SUMIFS('Release Log'!$D$6:$D$4005,'Release Log'!$B$6:$B$4005,Dashboard!$D$3,'Release Log'!$C$6:$C$4005,$B19,'Release Log'!$A$6:$A$4005,"&lt;="&amp;MIN(Q$2+6,Dashboard!$Q$3+6))/$C19))</f>
        <v/>
      </c>
      <c r="R19" s="0" t="str">
        <f aca="false">IF($B19="","",INT(SUMIFS('Release Log'!$D$6:$D$4005,'Release Log'!$B$6:$B$4005,Dashboard!$D$3,'Release Log'!$C$6:$C$4005,$B19,'Release Log'!$A$6:$A$4005,"&lt;="&amp;MIN(R$2+6,Dashboard!$Q$3+6))/$C19))</f>
        <v/>
      </c>
      <c r="S19" s="0" t="str">
        <f aca="false">IF($B19="","",INT(SUMIFS('Release Log'!$D$6:$D$4005,'Release Log'!$B$6:$B$4005,Dashboard!$D$3,'Release Log'!$C$6:$C$4005,$B19,'Release Log'!$A$6:$A$4005,"&lt;="&amp;MIN(S$2+6,Dashboard!$Q$3+6))/$C19))</f>
        <v/>
      </c>
      <c r="T19" s="0" t="str">
        <f aca="false">IF($B19="","",INT(SUMIFS('Release Log'!$D$6:$D$4005,'Release Log'!$B$6:$B$4005,Dashboard!$D$3,'Release Log'!$C$6:$C$4005,$B19,'Release Log'!$A$6:$A$4005,"&lt;="&amp;MIN(T$2+6,Dashboard!$Q$3+6))/$C19))</f>
        <v/>
      </c>
      <c r="U19" s="0" t="str">
        <f aca="false">IF($B19="","",INT(SUMIFS('Release Log'!$D$6:$D$4005,'Release Log'!$B$6:$B$4005,Dashboard!$D$3,'Release Log'!$C$6:$C$4005,$B19,'Release Log'!$A$6:$A$4005,"&lt;="&amp;MIN(U$2+6,Dashboard!$Q$3+6))/$C19))</f>
        <v/>
      </c>
      <c r="V19" s="0" t="str">
        <f aca="false">IF($B19="","",INT(SUMIFS('Release Log'!$D$6:$D$4005,'Release Log'!$B$6:$B$4005,Dashboard!$D$3,'Release Log'!$C$6:$C$4005,$B19,'Release Log'!$A$6:$A$4005,"&lt;="&amp;MIN(V$2+6,Dashboard!$Q$3+6))/$C19))</f>
        <v/>
      </c>
      <c r="W19" s="0" t="str">
        <f aca="false">IF($B19="","",INT(SUMIFS('Release Log'!$D$6:$D$4005,'Release Log'!$B$6:$B$4005,Dashboard!$D$3,'Release Log'!$C$6:$C$4005,$B19,'Release Log'!$A$6:$A$4005,"&lt;="&amp;MIN(W$2+6,Dashboard!$Q$3+6))/$C19))</f>
        <v/>
      </c>
      <c r="X19" s="0" t="str">
        <f aca="false">IF($B19="","",INT(SUMIFS('Release Log'!$D$6:$D$4005,'Release Log'!$B$6:$B$4005,Dashboard!$D$3,'Release Log'!$C$6:$C$4005,$B19,'Release Log'!$A$6:$A$4005,"&lt;="&amp;MIN(X$2+6,Dashboard!$Q$3+6))/$C19))</f>
        <v/>
      </c>
      <c r="Y19" s="0" t="str">
        <f aca="false">IF($B19="","",INT(SUMIFS('Release Log'!$D$6:$D$4005,'Release Log'!$B$6:$B$4005,Dashboard!$D$3,'Release Log'!$C$6:$C$4005,$B19,'Release Log'!$A$6:$A$4005,"&lt;="&amp;MIN(Y$2+6,Dashboard!$Q$3+6))/$C19))</f>
        <v/>
      </c>
      <c r="Z19" s="0" t="str">
        <f aca="false">IF($B19="","",INT(SUMIFS('Release Log'!$D$6:$D$4005,'Release Log'!$B$6:$B$4005,Dashboard!$D$3,'Release Log'!$C$6:$C$4005,$B19,'Release Log'!$A$6:$A$4005,"&lt;="&amp;MIN(Z$2+6,Dashboard!$Q$3+6))/$C19))</f>
        <v/>
      </c>
      <c r="AA19" s="0" t="str">
        <f aca="false">IF($B19="","",INT(SUMIFS('Release Log'!$D$6:$D$4005,'Release Log'!$B$6:$B$4005,Dashboard!$D$3,'Release Log'!$C$6:$C$4005,$B19,'Release Log'!$A$6:$A$4005,"&lt;="&amp;MIN(AA$2+6,Dashboard!$Q$3+6))/$C19))</f>
        <v/>
      </c>
      <c r="AB19" s="0" t="str">
        <f aca="false">IF($B19="","",INT(SUMIFS('Release Log'!$D$6:$D$4005,'Release Log'!$B$6:$B$4005,Dashboard!$D$3,'Release Log'!$C$6:$C$4005,$B19,'Release Log'!$A$6:$A$4005,"&lt;="&amp;MIN(AB$2+6,Dashboard!$Q$3+6))/$C19))</f>
        <v/>
      </c>
      <c r="AC19" s="0" t="str">
        <f aca="false">IF($B19="","",INT(SUMIFS('Release Log'!$D$6:$D$4005,'Release Log'!$B$6:$B$4005,Dashboard!$D$3,'Release Log'!$C$6:$C$4005,$B19,'Release Log'!$A$6:$A$4005,"&lt;="&amp;MIN(AC$2+6,Dashboard!$Q$3+6))/$C19))</f>
        <v/>
      </c>
      <c r="AD19" s="0" t="str">
        <f aca="false">IF($B19="","",INT(SUMIFS('Release Log'!$D$6:$D$4005,'Release Log'!$B$6:$B$4005,Dashboard!$D$3,'Release Log'!$C$6:$C$4005,$B19,'Release Log'!$A$6:$A$4005,"&lt;="&amp;MIN(AD$2+6,Dashboard!$Q$3+6))/$C19))</f>
        <v/>
      </c>
      <c r="AE19" s="0" t="str">
        <f aca="false">IF($B19="","",INT(SUMIFS('Release Log'!$D$6:$D$4005,'Release Log'!$B$6:$B$4005,Dashboard!$D$3,'Release Log'!$C$6:$C$4005,$B19,'Release Log'!$A$6:$A$4005,"&lt;="&amp;MIN(AE$2+6,Dashboard!$Q$3+6))/$C19))</f>
        <v/>
      </c>
      <c r="AF19" s="0" t="str">
        <f aca="false">IF($B19="","",INT(SUMIFS('Release Log'!$D$6:$D$4005,'Release Log'!$B$6:$B$4005,Dashboard!$D$3,'Release Log'!$C$6:$C$4005,$B19,'Release Log'!$A$6:$A$4005,"&lt;="&amp;MIN(AF$2+6,Dashboard!$Q$3+6))/$C19))</f>
        <v/>
      </c>
      <c r="AG19" s="0" t="str">
        <f aca="false">IF($B19="","",INT(SUMIFS('Release Log'!$D$6:$D$4005,'Release Log'!$B$6:$B$4005,Dashboard!$D$3,'Release Log'!$C$6:$C$4005,$B19,'Release Log'!$A$6:$A$4005,"&lt;="&amp;MIN(AG$2+6,Dashboard!$Q$3+6))/$C19))</f>
        <v/>
      </c>
      <c r="AH19" s="0" t="str">
        <f aca="false">IF($B19="","",INT(SUMIFS('Release Log'!$D$6:$D$4005,'Release Log'!$B$6:$B$4005,Dashboard!$D$3,'Release Log'!$C$6:$C$4005,$B19,'Release Log'!$A$6:$A$4005,"&lt;="&amp;MIN(AH$2+6,Dashboard!$Q$3+6))/$C19))</f>
        <v/>
      </c>
      <c r="AI19" s="0" t="str">
        <f aca="false">IF($B19="","",INT(SUMIFS('Release Log'!$D$6:$D$4005,'Release Log'!$B$6:$B$4005,Dashboard!$D$3,'Release Log'!$C$6:$C$4005,$B19,'Release Log'!$A$6:$A$4005,"&lt;="&amp;MIN(AI$2+6,Dashboard!$Q$3+6))/$C19))</f>
        <v/>
      </c>
      <c r="AJ19" s="0" t="str">
        <f aca="false">IF($B19="","",INT(SUMIFS('Release Log'!$D$6:$D$4005,'Release Log'!$B$6:$B$4005,Dashboard!$D$3,'Release Log'!$C$6:$C$4005,$B19,'Release Log'!$A$6:$A$4005,"&lt;="&amp;MIN(AJ$2+6,Dashboard!$Q$3+6))/$C19))</f>
        <v/>
      </c>
      <c r="AK19" s="0" t="str">
        <f aca="false">IF($B19="","",INT(SUMIFS('Release Log'!$D$6:$D$4005,'Release Log'!$B$6:$B$4005,Dashboard!$D$3,'Release Log'!$C$6:$C$4005,$B19,'Release Log'!$A$6:$A$4005,"&lt;="&amp;MIN(AK$2+6,Dashboard!$Q$3+6))/$C19))</f>
        <v/>
      </c>
      <c r="AL19" s="0" t="str">
        <f aca="false">IF($B19="","",INT(SUMIFS('Release Log'!$D$6:$D$4005,'Release Log'!$B$6:$B$4005,Dashboard!$D$3,'Release Log'!$C$6:$C$4005,$B19,'Release Log'!$A$6:$A$4005,"&lt;="&amp;MIN(AL$2+6,Dashboard!$Q$3+6))/$C19))</f>
        <v/>
      </c>
      <c r="AM19" s="0" t="str">
        <f aca="false">IF($B19="","",INT(SUMIFS('Release Log'!$D$6:$D$4005,'Release Log'!$B$6:$B$4005,Dashboard!$D$3,'Release Log'!$C$6:$C$4005,$B19,'Release Log'!$A$6:$A$4005,"&lt;="&amp;MIN(AM$2+6,Dashboard!$Q$3+6))/$C19))</f>
        <v/>
      </c>
      <c r="AN19" s="0" t="str">
        <f aca="false">IF($B19="","",INT(SUMIFS('Release Log'!$D$6:$D$4005,'Release Log'!$B$6:$B$4005,Dashboard!$D$3,'Release Log'!$C$6:$C$4005,$B19,'Release Log'!$A$6:$A$4005,"&lt;="&amp;MIN(AN$2+6,Dashboard!$Q$3+6))/$C19))</f>
        <v/>
      </c>
      <c r="AO19" s="0" t="str">
        <f aca="false">IF($B19="","",INT(SUMIFS('Release Log'!$D$6:$D$4005,'Release Log'!$B$6:$B$4005,Dashboard!$D$3,'Release Log'!$C$6:$C$4005,$B19,'Release Log'!$A$6:$A$4005,"&lt;="&amp;MIN(AO$2+6,Dashboard!$Q$3+6))/$C19))</f>
        <v/>
      </c>
      <c r="AP19" s="0" t="str">
        <f aca="false">IF($B19="","",INT(SUMIFS('Release Log'!$D$6:$D$4005,'Release Log'!$B$6:$B$4005,Dashboard!$D$3,'Release Log'!$C$6:$C$4005,$B19,'Release Log'!$A$6:$A$4005,"&lt;="&amp;MIN(AP$2+6,Dashboard!$Q$3+6))/$C19))</f>
        <v/>
      </c>
      <c r="AQ19" s="0" t="str">
        <f aca="false">IF($B19="","",INT(SUMIFS('Release Log'!$D$6:$D$4005,'Release Log'!$B$6:$B$4005,Dashboard!$D$3,'Release Log'!$C$6:$C$4005,$B19,'Release Log'!$A$6:$A$4005,"&lt;="&amp;MIN(AQ$2+6,Dashboard!$Q$3+6))/$C19))</f>
        <v/>
      </c>
    </row>
    <row r="20" customFormat="false" ht="15" hidden="false" customHeight="false" outlineLevel="0" collapsed="false">
      <c r="A20" s="0" t="n">
        <v>17</v>
      </c>
      <c r="B20" s="0" t="str">
        <f aca="false">IFERROR(INDEX('Kit Lists'!$C$6:$C$605,MATCH(Dashboard!$D$3&amp;"|"&amp;A20,'Kit Lists'!$G$6:$G$605,0)),"")</f>
        <v/>
      </c>
      <c r="C20" s="0" t="str">
        <f aca="false">IF(B20="","",INDEX('Kit Lists'!$E$6:$E$605,MATCH(Dashboard!$D$3&amp;"|"&amp;A20,'Kit Lists'!$G$6:$G$605,0)))</f>
        <v/>
      </c>
      <c r="D20" s="0" t="str">
        <f aca="false">IF($B20="","",INT(SUMIFS('Release Log'!$D$6:$D$4005,'Release Log'!$B$6:$B$4005,Dashboard!$D$3,'Release Log'!$C$6:$C$4005,$B20,'Release Log'!$A$6:$A$4005,"&lt;="&amp;MIN(D$2+6,Dashboard!$Q$3+6))/$C20))</f>
        <v/>
      </c>
      <c r="E20" s="0" t="str">
        <f aca="false">IF($B20="","",INT(SUMIFS('Release Log'!$D$6:$D$4005,'Release Log'!$B$6:$B$4005,Dashboard!$D$3,'Release Log'!$C$6:$C$4005,$B20,'Release Log'!$A$6:$A$4005,"&lt;="&amp;MIN(E$2+6,Dashboard!$Q$3+6))/$C20))</f>
        <v/>
      </c>
      <c r="F20" s="0" t="str">
        <f aca="false">IF($B20="","",INT(SUMIFS('Release Log'!$D$6:$D$4005,'Release Log'!$B$6:$B$4005,Dashboard!$D$3,'Release Log'!$C$6:$C$4005,$B20,'Release Log'!$A$6:$A$4005,"&lt;="&amp;MIN(F$2+6,Dashboard!$Q$3+6))/$C20))</f>
        <v/>
      </c>
      <c r="G20" s="0" t="str">
        <f aca="false">IF($B20="","",INT(SUMIFS('Release Log'!$D$6:$D$4005,'Release Log'!$B$6:$B$4005,Dashboard!$D$3,'Release Log'!$C$6:$C$4005,$B20,'Release Log'!$A$6:$A$4005,"&lt;="&amp;MIN(G$2+6,Dashboard!$Q$3+6))/$C20))</f>
        <v/>
      </c>
      <c r="H20" s="0" t="str">
        <f aca="false">IF($B20="","",INT(SUMIFS('Release Log'!$D$6:$D$4005,'Release Log'!$B$6:$B$4005,Dashboard!$D$3,'Release Log'!$C$6:$C$4005,$B20,'Release Log'!$A$6:$A$4005,"&lt;="&amp;MIN(H$2+6,Dashboard!$Q$3+6))/$C20))</f>
        <v/>
      </c>
      <c r="I20" s="0" t="str">
        <f aca="false">IF($B20="","",INT(SUMIFS('Release Log'!$D$6:$D$4005,'Release Log'!$B$6:$B$4005,Dashboard!$D$3,'Release Log'!$C$6:$C$4005,$B20,'Release Log'!$A$6:$A$4005,"&lt;="&amp;MIN(I$2+6,Dashboard!$Q$3+6))/$C20))</f>
        <v/>
      </c>
      <c r="J20" s="0" t="str">
        <f aca="false">IF($B20="","",INT(SUMIFS('Release Log'!$D$6:$D$4005,'Release Log'!$B$6:$B$4005,Dashboard!$D$3,'Release Log'!$C$6:$C$4005,$B20,'Release Log'!$A$6:$A$4005,"&lt;="&amp;MIN(J$2+6,Dashboard!$Q$3+6))/$C20))</f>
        <v/>
      </c>
      <c r="K20" s="0" t="str">
        <f aca="false">IF($B20="","",INT(SUMIFS('Release Log'!$D$6:$D$4005,'Release Log'!$B$6:$B$4005,Dashboard!$D$3,'Release Log'!$C$6:$C$4005,$B20,'Release Log'!$A$6:$A$4005,"&lt;="&amp;MIN(K$2+6,Dashboard!$Q$3+6))/$C20))</f>
        <v/>
      </c>
      <c r="L20" s="0" t="str">
        <f aca="false">IF($B20="","",INT(SUMIFS('Release Log'!$D$6:$D$4005,'Release Log'!$B$6:$B$4005,Dashboard!$D$3,'Release Log'!$C$6:$C$4005,$B20,'Release Log'!$A$6:$A$4005,"&lt;="&amp;MIN(L$2+6,Dashboard!$Q$3+6))/$C20))</f>
        <v/>
      </c>
      <c r="M20" s="0" t="str">
        <f aca="false">IF($B20="","",INT(SUMIFS('Release Log'!$D$6:$D$4005,'Release Log'!$B$6:$B$4005,Dashboard!$D$3,'Release Log'!$C$6:$C$4005,$B20,'Release Log'!$A$6:$A$4005,"&lt;="&amp;MIN(M$2+6,Dashboard!$Q$3+6))/$C20))</f>
        <v/>
      </c>
      <c r="N20" s="0" t="str">
        <f aca="false">IF($B20="","",INT(SUMIFS('Release Log'!$D$6:$D$4005,'Release Log'!$B$6:$B$4005,Dashboard!$D$3,'Release Log'!$C$6:$C$4005,$B20,'Release Log'!$A$6:$A$4005,"&lt;="&amp;MIN(N$2+6,Dashboard!$Q$3+6))/$C20))</f>
        <v/>
      </c>
      <c r="O20" s="0" t="str">
        <f aca="false">IF($B20="","",INT(SUMIFS('Release Log'!$D$6:$D$4005,'Release Log'!$B$6:$B$4005,Dashboard!$D$3,'Release Log'!$C$6:$C$4005,$B20,'Release Log'!$A$6:$A$4005,"&lt;="&amp;MIN(O$2+6,Dashboard!$Q$3+6))/$C20))</f>
        <v/>
      </c>
      <c r="P20" s="0" t="str">
        <f aca="false">IF($B20="","",INT(SUMIFS('Release Log'!$D$6:$D$4005,'Release Log'!$B$6:$B$4005,Dashboard!$D$3,'Release Log'!$C$6:$C$4005,$B20,'Release Log'!$A$6:$A$4005,"&lt;="&amp;MIN(P$2+6,Dashboard!$Q$3+6))/$C20))</f>
        <v/>
      </c>
      <c r="Q20" s="0" t="str">
        <f aca="false">IF($B20="","",INT(SUMIFS('Release Log'!$D$6:$D$4005,'Release Log'!$B$6:$B$4005,Dashboard!$D$3,'Release Log'!$C$6:$C$4005,$B20,'Release Log'!$A$6:$A$4005,"&lt;="&amp;MIN(Q$2+6,Dashboard!$Q$3+6))/$C20))</f>
        <v/>
      </c>
      <c r="R20" s="0" t="str">
        <f aca="false">IF($B20="","",INT(SUMIFS('Release Log'!$D$6:$D$4005,'Release Log'!$B$6:$B$4005,Dashboard!$D$3,'Release Log'!$C$6:$C$4005,$B20,'Release Log'!$A$6:$A$4005,"&lt;="&amp;MIN(R$2+6,Dashboard!$Q$3+6))/$C20))</f>
        <v/>
      </c>
      <c r="S20" s="0" t="str">
        <f aca="false">IF($B20="","",INT(SUMIFS('Release Log'!$D$6:$D$4005,'Release Log'!$B$6:$B$4005,Dashboard!$D$3,'Release Log'!$C$6:$C$4005,$B20,'Release Log'!$A$6:$A$4005,"&lt;="&amp;MIN(S$2+6,Dashboard!$Q$3+6))/$C20))</f>
        <v/>
      </c>
      <c r="T20" s="0" t="str">
        <f aca="false">IF($B20="","",INT(SUMIFS('Release Log'!$D$6:$D$4005,'Release Log'!$B$6:$B$4005,Dashboard!$D$3,'Release Log'!$C$6:$C$4005,$B20,'Release Log'!$A$6:$A$4005,"&lt;="&amp;MIN(T$2+6,Dashboard!$Q$3+6))/$C20))</f>
        <v/>
      </c>
      <c r="U20" s="0" t="str">
        <f aca="false">IF($B20="","",INT(SUMIFS('Release Log'!$D$6:$D$4005,'Release Log'!$B$6:$B$4005,Dashboard!$D$3,'Release Log'!$C$6:$C$4005,$B20,'Release Log'!$A$6:$A$4005,"&lt;="&amp;MIN(U$2+6,Dashboard!$Q$3+6))/$C20))</f>
        <v/>
      </c>
      <c r="V20" s="0" t="str">
        <f aca="false">IF($B20="","",INT(SUMIFS('Release Log'!$D$6:$D$4005,'Release Log'!$B$6:$B$4005,Dashboard!$D$3,'Release Log'!$C$6:$C$4005,$B20,'Release Log'!$A$6:$A$4005,"&lt;="&amp;MIN(V$2+6,Dashboard!$Q$3+6))/$C20))</f>
        <v/>
      </c>
      <c r="W20" s="0" t="str">
        <f aca="false">IF($B20="","",INT(SUMIFS('Release Log'!$D$6:$D$4005,'Release Log'!$B$6:$B$4005,Dashboard!$D$3,'Release Log'!$C$6:$C$4005,$B20,'Release Log'!$A$6:$A$4005,"&lt;="&amp;MIN(W$2+6,Dashboard!$Q$3+6))/$C20))</f>
        <v/>
      </c>
      <c r="X20" s="0" t="str">
        <f aca="false">IF($B20="","",INT(SUMIFS('Release Log'!$D$6:$D$4005,'Release Log'!$B$6:$B$4005,Dashboard!$D$3,'Release Log'!$C$6:$C$4005,$B20,'Release Log'!$A$6:$A$4005,"&lt;="&amp;MIN(X$2+6,Dashboard!$Q$3+6))/$C20))</f>
        <v/>
      </c>
      <c r="Y20" s="0" t="str">
        <f aca="false">IF($B20="","",INT(SUMIFS('Release Log'!$D$6:$D$4005,'Release Log'!$B$6:$B$4005,Dashboard!$D$3,'Release Log'!$C$6:$C$4005,$B20,'Release Log'!$A$6:$A$4005,"&lt;="&amp;MIN(Y$2+6,Dashboard!$Q$3+6))/$C20))</f>
        <v/>
      </c>
      <c r="Z20" s="0" t="str">
        <f aca="false">IF($B20="","",INT(SUMIFS('Release Log'!$D$6:$D$4005,'Release Log'!$B$6:$B$4005,Dashboard!$D$3,'Release Log'!$C$6:$C$4005,$B20,'Release Log'!$A$6:$A$4005,"&lt;="&amp;MIN(Z$2+6,Dashboard!$Q$3+6))/$C20))</f>
        <v/>
      </c>
      <c r="AA20" s="0" t="str">
        <f aca="false">IF($B20="","",INT(SUMIFS('Release Log'!$D$6:$D$4005,'Release Log'!$B$6:$B$4005,Dashboard!$D$3,'Release Log'!$C$6:$C$4005,$B20,'Release Log'!$A$6:$A$4005,"&lt;="&amp;MIN(AA$2+6,Dashboard!$Q$3+6))/$C20))</f>
        <v/>
      </c>
      <c r="AB20" s="0" t="str">
        <f aca="false">IF($B20="","",INT(SUMIFS('Release Log'!$D$6:$D$4005,'Release Log'!$B$6:$B$4005,Dashboard!$D$3,'Release Log'!$C$6:$C$4005,$B20,'Release Log'!$A$6:$A$4005,"&lt;="&amp;MIN(AB$2+6,Dashboard!$Q$3+6))/$C20))</f>
        <v/>
      </c>
      <c r="AC20" s="0" t="str">
        <f aca="false">IF($B20="","",INT(SUMIFS('Release Log'!$D$6:$D$4005,'Release Log'!$B$6:$B$4005,Dashboard!$D$3,'Release Log'!$C$6:$C$4005,$B20,'Release Log'!$A$6:$A$4005,"&lt;="&amp;MIN(AC$2+6,Dashboard!$Q$3+6))/$C20))</f>
        <v/>
      </c>
      <c r="AD20" s="0" t="str">
        <f aca="false">IF($B20="","",INT(SUMIFS('Release Log'!$D$6:$D$4005,'Release Log'!$B$6:$B$4005,Dashboard!$D$3,'Release Log'!$C$6:$C$4005,$B20,'Release Log'!$A$6:$A$4005,"&lt;="&amp;MIN(AD$2+6,Dashboard!$Q$3+6))/$C20))</f>
        <v/>
      </c>
      <c r="AE20" s="0" t="str">
        <f aca="false">IF($B20="","",INT(SUMIFS('Release Log'!$D$6:$D$4005,'Release Log'!$B$6:$B$4005,Dashboard!$D$3,'Release Log'!$C$6:$C$4005,$B20,'Release Log'!$A$6:$A$4005,"&lt;="&amp;MIN(AE$2+6,Dashboard!$Q$3+6))/$C20))</f>
        <v/>
      </c>
      <c r="AF20" s="0" t="str">
        <f aca="false">IF($B20="","",INT(SUMIFS('Release Log'!$D$6:$D$4005,'Release Log'!$B$6:$B$4005,Dashboard!$D$3,'Release Log'!$C$6:$C$4005,$B20,'Release Log'!$A$6:$A$4005,"&lt;="&amp;MIN(AF$2+6,Dashboard!$Q$3+6))/$C20))</f>
        <v/>
      </c>
      <c r="AG20" s="0" t="str">
        <f aca="false">IF($B20="","",INT(SUMIFS('Release Log'!$D$6:$D$4005,'Release Log'!$B$6:$B$4005,Dashboard!$D$3,'Release Log'!$C$6:$C$4005,$B20,'Release Log'!$A$6:$A$4005,"&lt;="&amp;MIN(AG$2+6,Dashboard!$Q$3+6))/$C20))</f>
        <v/>
      </c>
      <c r="AH20" s="0" t="str">
        <f aca="false">IF($B20="","",INT(SUMIFS('Release Log'!$D$6:$D$4005,'Release Log'!$B$6:$B$4005,Dashboard!$D$3,'Release Log'!$C$6:$C$4005,$B20,'Release Log'!$A$6:$A$4005,"&lt;="&amp;MIN(AH$2+6,Dashboard!$Q$3+6))/$C20))</f>
        <v/>
      </c>
      <c r="AI20" s="0" t="str">
        <f aca="false">IF($B20="","",INT(SUMIFS('Release Log'!$D$6:$D$4005,'Release Log'!$B$6:$B$4005,Dashboard!$D$3,'Release Log'!$C$6:$C$4005,$B20,'Release Log'!$A$6:$A$4005,"&lt;="&amp;MIN(AI$2+6,Dashboard!$Q$3+6))/$C20))</f>
        <v/>
      </c>
      <c r="AJ20" s="0" t="str">
        <f aca="false">IF($B20="","",INT(SUMIFS('Release Log'!$D$6:$D$4005,'Release Log'!$B$6:$B$4005,Dashboard!$D$3,'Release Log'!$C$6:$C$4005,$B20,'Release Log'!$A$6:$A$4005,"&lt;="&amp;MIN(AJ$2+6,Dashboard!$Q$3+6))/$C20))</f>
        <v/>
      </c>
      <c r="AK20" s="0" t="str">
        <f aca="false">IF($B20="","",INT(SUMIFS('Release Log'!$D$6:$D$4005,'Release Log'!$B$6:$B$4005,Dashboard!$D$3,'Release Log'!$C$6:$C$4005,$B20,'Release Log'!$A$6:$A$4005,"&lt;="&amp;MIN(AK$2+6,Dashboard!$Q$3+6))/$C20))</f>
        <v/>
      </c>
      <c r="AL20" s="0" t="str">
        <f aca="false">IF($B20="","",INT(SUMIFS('Release Log'!$D$6:$D$4005,'Release Log'!$B$6:$B$4005,Dashboard!$D$3,'Release Log'!$C$6:$C$4005,$B20,'Release Log'!$A$6:$A$4005,"&lt;="&amp;MIN(AL$2+6,Dashboard!$Q$3+6))/$C20))</f>
        <v/>
      </c>
      <c r="AM20" s="0" t="str">
        <f aca="false">IF($B20="","",INT(SUMIFS('Release Log'!$D$6:$D$4005,'Release Log'!$B$6:$B$4005,Dashboard!$D$3,'Release Log'!$C$6:$C$4005,$B20,'Release Log'!$A$6:$A$4005,"&lt;="&amp;MIN(AM$2+6,Dashboard!$Q$3+6))/$C20))</f>
        <v/>
      </c>
      <c r="AN20" s="0" t="str">
        <f aca="false">IF($B20="","",INT(SUMIFS('Release Log'!$D$6:$D$4005,'Release Log'!$B$6:$B$4005,Dashboard!$D$3,'Release Log'!$C$6:$C$4005,$B20,'Release Log'!$A$6:$A$4005,"&lt;="&amp;MIN(AN$2+6,Dashboard!$Q$3+6))/$C20))</f>
        <v/>
      </c>
      <c r="AO20" s="0" t="str">
        <f aca="false">IF($B20="","",INT(SUMIFS('Release Log'!$D$6:$D$4005,'Release Log'!$B$6:$B$4005,Dashboard!$D$3,'Release Log'!$C$6:$C$4005,$B20,'Release Log'!$A$6:$A$4005,"&lt;="&amp;MIN(AO$2+6,Dashboard!$Q$3+6))/$C20))</f>
        <v/>
      </c>
      <c r="AP20" s="0" t="str">
        <f aca="false">IF($B20="","",INT(SUMIFS('Release Log'!$D$6:$D$4005,'Release Log'!$B$6:$B$4005,Dashboard!$D$3,'Release Log'!$C$6:$C$4005,$B20,'Release Log'!$A$6:$A$4005,"&lt;="&amp;MIN(AP$2+6,Dashboard!$Q$3+6))/$C20))</f>
        <v/>
      </c>
      <c r="AQ20" s="0" t="str">
        <f aca="false">IF($B20="","",INT(SUMIFS('Release Log'!$D$6:$D$4005,'Release Log'!$B$6:$B$4005,Dashboard!$D$3,'Release Log'!$C$6:$C$4005,$B20,'Release Log'!$A$6:$A$4005,"&lt;="&amp;MIN(AQ$2+6,Dashboard!$Q$3+6))/$C20))</f>
        <v/>
      </c>
    </row>
    <row r="21" customFormat="false" ht="15" hidden="false" customHeight="false" outlineLevel="0" collapsed="false">
      <c r="A21" s="0" t="n">
        <v>18</v>
      </c>
      <c r="B21" s="0" t="str">
        <f aca="false">IFERROR(INDEX('Kit Lists'!$C$6:$C$605,MATCH(Dashboard!$D$3&amp;"|"&amp;A21,'Kit Lists'!$G$6:$G$605,0)),"")</f>
        <v/>
      </c>
      <c r="C21" s="0" t="str">
        <f aca="false">IF(B21="","",INDEX('Kit Lists'!$E$6:$E$605,MATCH(Dashboard!$D$3&amp;"|"&amp;A21,'Kit Lists'!$G$6:$G$605,0)))</f>
        <v/>
      </c>
      <c r="D21" s="0" t="str">
        <f aca="false">IF($B21="","",INT(SUMIFS('Release Log'!$D$6:$D$4005,'Release Log'!$B$6:$B$4005,Dashboard!$D$3,'Release Log'!$C$6:$C$4005,$B21,'Release Log'!$A$6:$A$4005,"&lt;="&amp;MIN(D$2+6,Dashboard!$Q$3+6))/$C21))</f>
        <v/>
      </c>
      <c r="E21" s="0" t="str">
        <f aca="false">IF($B21="","",INT(SUMIFS('Release Log'!$D$6:$D$4005,'Release Log'!$B$6:$B$4005,Dashboard!$D$3,'Release Log'!$C$6:$C$4005,$B21,'Release Log'!$A$6:$A$4005,"&lt;="&amp;MIN(E$2+6,Dashboard!$Q$3+6))/$C21))</f>
        <v/>
      </c>
      <c r="F21" s="0" t="str">
        <f aca="false">IF($B21="","",INT(SUMIFS('Release Log'!$D$6:$D$4005,'Release Log'!$B$6:$B$4005,Dashboard!$D$3,'Release Log'!$C$6:$C$4005,$B21,'Release Log'!$A$6:$A$4005,"&lt;="&amp;MIN(F$2+6,Dashboard!$Q$3+6))/$C21))</f>
        <v/>
      </c>
      <c r="G21" s="0" t="str">
        <f aca="false">IF($B21="","",INT(SUMIFS('Release Log'!$D$6:$D$4005,'Release Log'!$B$6:$B$4005,Dashboard!$D$3,'Release Log'!$C$6:$C$4005,$B21,'Release Log'!$A$6:$A$4005,"&lt;="&amp;MIN(G$2+6,Dashboard!$Q$3+6))/$C21))</f>
        <v/>
      </c>
      <c r="H21" s="0" t="str">
        <f aca="false">IF($B21="","",INT(SUMIFS('Release Log'!$D$6:$D$4005,'Release Log'!$B$6:$B$4005,Dashboard!$D$3,'Release Log'!$C$6:$C$4005,$B21,'Release Log'!$A$6:$A$4005,"&lt;="&amp;MIN(H$2+6,Dashboard!$Q$3+6))/$C21))</f>
        <v/>
      </c>
      <c r="I21" s="0" t="str">
        <f aca="false">IF($B21="","",INT(SUMIFS('Release Log'!$D$6:$D$4005,'Release Log'!$B$6:$B$4005,Dashboard!$D$3,'Release Log'!$C$6:$C$4005,$B21,'Release Log'!$A$6:$A$4005,"&lt;="&amp;MIN(I$2+6,Dashboard!$Q$3+6))/$C21))</f>
        <v/>
      </c>
      <c r="J21" s="0" t="str">
        <f aca="false">IF($B21="","",INT(SUMIFS('Release Log'!$D$6:$D$4005,'Release Log'!$B$6:$B$4005,Dashboard!$D$3,'Release Log'!$C$6:$C$4005,$B21,'Release Log'!$A$6:$A$4005,"&lt;="&amp;MIN(J$2+6,Dashboard!$Q$3+6))/$C21))</f>
        <v/>
      </c>
      <c r="K21" s="0" t="str">
        <f aca="false">IF($B21="","",INT(SUMIFS('Release Log'!$D$6:$D$4005,'Release Log'!$B$6:$B$4005,Dashboard!$D$3,'Release Log'!$C$6:$C$4005,$B21,'Release Log'!$A$6:$A$4005,"&lt;="&amp;MIN(K$2+6,Dashboard!$Q$3+6))/$C21))</f>
        <v/>
      </c>
      <c r="L21" s="0" t="str">
        <f aca="false">IF($B21="","",INT(SUMIFS('Release Log'!$D$6:$D$4005,'Release Log'!$B$6:$B$4005,Dashboard!$D$3,'Release Log'!$C$6:$C$4005,$B21,'Release Log'!$A$6:$A$4005,"&lt;="&amp;MIN(L$2+6,Dashboard!$Q$3+6))/$C21))</f>
        <v/>
      </c>
      <c r="M21" s="0" t="str">
        <f aca="false">IF($B21="","",INT(SUMIFS('Release Log'!$D$6:$D$4005,'Release Log'!$B$6:$B$4005,Dashboard!$D$3,'Release Log'!$C$6:$C$4005,$B21,'Release Log'!$A$6:$A$4005,"&lt;="&amp;MIN(M$2+6,Dashboard!$Q$3+6))/$C21))</f>
        <v/>
      </c>
      <c r="N21" s="0" t="str">
        <f aca="false">IF($B21="","",INT(SUMIFS('Release Log'!$D$6:$D$4005,'Release Log'!$B$6:$B$4005,Dashboard!$D$3,'Release Log'!$C$6:$C$4005,$B21,'Release Log'!$A$6:$A$4005,"&lt;="&amp;MIN(N$2+6,Dashboard!$Q$3+6))/$C21))</f>
        <v/>
      </c>
      <c r="O21" s="0" t="str">
        <f aca="false">IF($B21="","",INT(SUMIFS('Release Log'!$D$6:$D$4005,'Release Log'!$B$6:$B$4005,Dashboard!$D$3,'Release Log'!$C$6:$C$4005,$B21,'Release Log'!$A$6:$A$4005,"&lt;="&amp;MIN(O$2+6,Dashboard!$Q$3+6))/$C21))</f>
        <v/>
      </c>
      <c r="P21" s="0" t="str">
        <f aca="false">IF($B21="","",INT(SUMIFS('Release Log'!$D$6:$D$4005,'Release Log'!$B$6:$B$4005,Dashboard!$D$3,'Release Log'!$C$6:$C$4005,$B21,'Release Log'!$A$6:$A$4005,"&lt;="&amp;MIN(P$2+6,Dashboard!$Q$3+6))/$C21))</f>
        <v/>
      </c>
      <c r="Q21" s="0" t="str">
        <f aca="false">IF($B21="","",INT(SUMIFS('Release Log'!$D$6:$D$4005,'Release Log'!$B$6:$B$4005,Dashboard!$D$3,'Release Log'!$C$6:$C$4005,$B21,'Release Log'!$A$6:$A$4005,"&lt;="&amp;MIN(Q$2+6,Dashboard!$Q$3+6))/$C21))</f>
        <v/>
      </c>
      <c r="R21" s="0" t="str">
        <f aca="false">IF($B21="","",INT(SUMIFS('Release Log'!$D$6:$D$4005,'Release Log'!$B$6:$B$4005,Dashboard!$D$3,'Release Log'!$C$6:$C$4005,$B21,'Release Log'!$A$6:$A$4005,"&lt;="&amp;MIN(R$2+6,Dashboard!$Q$3+6))/$C21))</f>
        <v/>
      </c>
      <c r="S21" s="0" t="str">
        <f aca="false">IF($B21="","",INT(SUMIFS('Release Log'!$D$6:$D$4005,'Release Log'!$B$6:$B$4005,Dashboard!$D$3,'Release Log'!$C$6:$C$4005,$B21,'Release Log'!$A$6:$A$4005,"&lt;="&amp;MIN(S$2+6,Dashboard!$Q$3+6))/$C21))</f>
        <v/>
      </c>
      <c r="T21" s="0" t="str">
        <f aca="false">IF($B21="","",INT(SUMIFS('Release Log'!$D$6:$D$4005,'Release Log'!$B$6:$B$4005,Dashboard!$D$3,'Release Log'!$C$6:$C$4005,$B21,'Release Log'!$A$6:$A$4005,"&lt;="&amp;MIN(T$2+6,Dashboard!$Q$3+6))/$C21))</f>
        <v/>
      </c>
      <c r="U21" s="0" t="str">
        <f aca="false">IF($B21="","",INT(SUMIFS('Release Log'!$D$6:$D$4005,'Release Log'!$B$6:$B$4005,Dashboard!$D$3,'Release Log'!$C$6:$C$4005,$B21,'Release Log'!$A$6:$A$4005,"&lt;="&amp;MIN(U$2+6,Dashboard!$Q$3+6))/$C21))</f>
        <v/>
      </c>
      <c r="V21" s="0" t="str">
        <f aca="false">IF($B21="","",INT(SUMIFS('Release Log'!$D$6:$D$4005,'Release Log'!$B$6:$B$4005,Dashboard!$D$3,'Release Log'!$C$6:$C$4005,$B21,'Release Log'!$A$6:$A$4005,"&lt;="&amp;MIN(V$2+6,Dashboard!$Q$3+6))/$C21))</f>
        <v/>
      </c>
      <c r="W21" s="0" t="str">
        <f aca="false">IF($B21="","",INT(SUMIFS('Release Log'!$D$6:$D$4005,'Release Log'!$B$6:$B$4005,Dashboard!$D$3,'Release Log'!$C$6:$C$4005,$B21,'Release Log'!$A$6:$A$4005,"&lt;="&amp;MIN(W$2+6,Dashboard!$Q$3+6))/$C21))</f>
        <v/>
      </c>
      <c r="X21" s="0" t="str">
        <f aca="false">IF($B21="","",INT(SUMIFS('Release Log'!$D$6:$D$4005,'Release Log'!$B$6:$B$4005,Dashboard!$D$3,'Release Log'!$C$6:$C$4005,$B21,'Release Log'!$A$6:$A$4005,"&lt;="&amp;MIN(X$2+6,Dashboard!$Q$3+6))/$C21))</f>
        <v/>
      </c>
      <c r="Y21" s="0" t="str">
        <f aca="false">IF($B21="","",INT(SUMIFS('Release Log'!$D$6:$D$4005,'Release Log'!$B$6:$B$4005,Dashboard!$D$3,'Release Log'!$C$6:$C$4005,$B21,'Release Log'!$A$6:$A$4005,"&lt;="&amp;MIN(Y$2+6,Dashboard!$Q$3+6))/$C21))</f>
        <v/>
      </c>
      <c r="Z21" s="0" t="str">
        <f aca="false">IF($B21="","",INT(SUMIFS('Release Log'!$D$6:$D$4005,'Release Log'!$B$6:$B$4005,Dashboard!$D$3,'Release Log'!$C$6:$C$4005,$B21,'Release Log'!$A$6:$A$4005,"&lt;="&amp;MIN(Z$2+6,Dashboard!$Q$3+6))/$C21))</f>
        <v/>
      </c>
      <c r="AA21" s="0" t="str">
        <f aca="false">IF($B21="","",INT(SUMIFS('Release Log'!$D$6:$D$4005,'Release Log'!$B$6:$B$4005,Dashboard!$D$3,'Release Log'!$C$6:$C$4005,$B21,'Release Log'!$A$6:$A$4005,"&lt;="&amp;MIN(AA$2+6,Dashboard!$Q$3+6))/$C21))</f>
        <v/>
      </c>
      <c r="AB21" s="0" t="str">
        <f aca="false">IF($B21="","",INT(SUMIFS('Release Log'!$D$6:$D$4005,'Release Log'!$B$6:$B$4005,Dashboard!$D$3,'Release Log'!$C$6:$C$4005,$B21,'Release Log'!$A$6:$A$4005,"&lt;="&amp;MIN(AB$2+6,Dashboard!$Q$3+6))/$C21))</f>
        <v/>
      </c>
      <c r="AC21" s="0" t="str">
        <f aca="false">IF($B21="","",INT(SUMIFS('Release Log'!$D$6:$D$4005,'Release Log'!$B$6:$B$4005,Dashboard!$D$3,'Release Log'!$C$6:$C$4005,$B21,'Release Log'!$A$6:$A$4005,"&lt;="&amp;MIN(AC$2+6,Dashboard!$Q$3+6))/$C21))</f>
        <v/>
      </c>
      <c r="AD21" s="0" t="str">
        <f aca="false">IF($B21="","",INT(SUMIFS('Release Log'!$D$6:$D$4005,'Release Log'!$B$6:$B$4005,Dashboard!$D$3,'Release Log'!$C$6:$C$4005,$B21,'Release Log'!$A$6:$A$4005,"&lt;="&amp;MIN(AD$2+6,Dashboard!$Q$3+6))/$C21))</f>
        <v/>
      </c>
      <c r="AE21" s="0" t="str">
        <f aca="false">IF($B21="","",INT(SUMIFS('Release Log'!$D$6:$D$4005,'Release Log'!$B$6:$B$4005,Dashboard!$D$3,'Release Log'!$C$6:$C$4005,$B21,'Release Log'!$A$6:$A$4005,"&lt;="&amp;MIN(AE$2+6,Dashboard!$Q$3+6))/$C21))</f>
        <v/>
      </c>
      <c r="AF21" s="0" t="str">
        <f aca="false">IF($B21="","",INT(SUMIFS('Release Log'!$D$6:$D$4005,'Release Log'!$B$6:$B$4005,Dashboard!$D$3,'Release Log'!$C$6:$C$4005,$B21,'Release Log'!$A$6:$A$4005,"&lt;="&amp;MIN(AF$2+6,Dashboard!$Q$3+6))/$C21))</f>
        <v/>
      </c>
      <c r="AG21" s="0" t="str">
        <f aca="false">IF($B21="","",INT(SUMIFS('Release Log'!$D$6:$D$4005,'Release Log'!$B$6:$B$4005,Dashboard!$D$3,'Release Log'!$C$6:$C$4005,$B21,'Release Log'!$A$6:$A$4005,"&lt;="&amp;MIN(AG$2+6,Dashboard!$Q$3+6))/$C21))</f>
        <v/>
      </c>
      <c r="AH21" s="0" t="str">
        <f aca="false">IF($B21="","",INT(SUMIFS('Release Log'!$D$6:$D$4005,'Release Log'!$B$6:$B$4005,Dashboard!$D$3,'Release Log'!$C$6:$C$4005,$B21,'Release Log'!$A$6:$A$4005,"&lt;="&amp;MIN(AH$2+6,Dashboard!$Q$3+6))/$C21))</f>
        <v/>
      </c>
      <c r="AI21" s="0" t="str">
        <f aca="false">IF($B21="","",INT(SUMIFS('Release Log'!$D$6:$D$4005,'Release Log'!$B$6:$B$4005,Dashboard!$D$3,'Release Log'!$C$6:$C$4005,$B21,'Release Log'!$A$6:$A$4005,"&lt;="&amp;MIN(AI$2+6,Dashboard!$Q$3+6))/$C21))</f>
        <v/>
      </c>
      <c r="AJ21" s="0" t="str">
        <f aca="false">IF($B21="","",INT(SUMIFS('Release Log'!$D$6:$D$4005,'Release Log'!$B$6:$B$4005,Dashboard!$D$3,'Release Log'!$C$6:$C$4005,$B21,'Release Log'!$A$6:$A$4005,"&lt;="&amp;MIN(AJ$2+6,Dashboard!$Q$3+6))/$C21))</f>
        <v/>
      </c>
      <c r="AK21" s="0" t="str">
        <f aca="false">IF($B21="","",INT(SUMIFS('Release Log'!$D$6:$D$4005,'Release Log'!$B$6:$B$4005,Dashboard!$D$3,'Release Log'!$C$6:$C$4005,$B21,'Release Log'!$A$6:$A$4005,"&lt;="&amp;MIN(AK$2+6,Dashboard!$Q$3+6))/$C21))</f>
        <v/>
      </c>
      <c r="AL21" s="0" t="str">
        <f aca="false">IF($B21="","",INT(SUMIFS('Release Log'!$D$6:$D$4005,'Release Log'!$B$6:$B$4005,Dashboard!$D$3,'Release Log'!$C$6:$C$4005,$B21,'Release Log'!$A$6:$A$4005,"&lt;="&amp;MIN(AL$2+6,Dashboard!$Q$3+6))/$C21))</f>
        <v/>
      </c>
      <c r="AM21" s="0" t="str">
        <f aca="false">IF($B21="","",INT(SUMIFS('Release Log'!$D$6:$D$4005,'Release Log'!$B$6:$B$4005,Dashboard!$D$3,'Release Log'!$C$6:$C$4005,$B21,'Release Log'!$A$6:$A$4005,"&lt;="&amp;MIN(AM$2+6,Dashboard!$Q$3+6))/$C21))</f>
        <v/>
      </c>
      <c r="AN21" s="0" t="str">
        <f aca="false">IF($B21="","",INT(SUMIFS('Release Log'!$D$6:$D$4005,'Release Log'!$B$6:$B$4005,Dashboard!$D$3,'Release Log'!$C$6:$C$4005,$B21,'Release Log'!$A$6:$A$4005,"&lt;="&amp;MIN(AN$2+6,Dashboard!$Q$3+6))/$C21))</f>
        <v/>
      </c>
      <c r="AO21" s="0" t="str">
        <f aca="false">IF($B21="","",INT(SUMIFS('Release Log'!$D$6:$D$4005,'Release Log'!$B$6:$B$4005,Dashboard!$D$3,'Release Log'!$C$6:$C$4005,$B21,'Release Log'!$A$6:$A$4005,"&lt;="&amp;MIN(AO$2+6,Dashboard!$Q$3+6))/$C21))</f>
        <v/>
      </c>
      <c r="AP21" s="0" t="str">
        <f aca="false">IF($B21="","",INT(SUMIFS('Release Log'!$D$6:$D$4005,'Release Log'!$B$6:$B$4005,Dashboard!$D$3,'Release Log'!$C$6:$C$4005,$B21,'Release Log'!$A$6:$A$4005,"&lt;="&amp;MIN(AP$2+6,Dashboard!$Q$3+6))/$C21))</f>
        <v/>
      </c>
      <c r="AQ21" s="0" t="str">
        <f aca="false">IF($B21="","",INT(SUMIFS('Release Log'!$D$6:$D$4005,'Release Log'!$B$6:$B$4005,Dashboard!$D$3,'Release Log'!$C$6:$C$4005,$B21,'Release Log'!$A$6:$A$4005,"&lt;="&amp;MIN(AQ$2+6,Dashboard!$Q$3+6))/$C21))</f>
        <v/>
      </c>
    </row>
    <row r="22" customFormat="false" ht="15" hidden="false" customHeight="false" outlineLevel="0" collapsed="false">
      <c r="A22" s="0" t="n">
        <v>19</v>
      </c>
      <c r="B22" s="0" t="str">
        <f aca="false">IFERROR(INDEX('Kit Lists'!$C$6:$C$605,MATCH(Dashboard!$D$3&amp;"|"&amp;A22,'Kit Lists'!$G$6:$G$605,0)),"")</f>
        <v/>
      </c>
      <c r="C22" s="0" t="str">
        <f aca="false">IF(B22="","",INDEX('Kit Lists'!$E$6:$E$605,MATCH(Dashboard!$D$3&amp;"|"&amp;A22,'Kit Lists'!$G$6:$G$605,0)))</f>
        <v/>
      </c>
      <c r="D22" s="0" t="str">
        <f aca="false">IF($B22="","",INT(SUMIFS('Release Log'!$D$6:$D$4005,'Release Log'!$B$6:$B$4005,Dashboard!$D$3,'Release Log'!$C$6:$C$4005,$B22,'Release Log'!$A$6:$A$4005,"&lt;="&amp;MIN(D$2+6,Dashboard!$Q$3+6))/$C22))</f>
        <v/>
      </c>
      <c r="E22" s="0" t="str">
        <f aca="false">IF($B22="","",INT(SUMIFS('Release Log'!$D$6:$D$4005,'Release Log'!$B$6:$B$4005,Dashboard!$D$3,'Release Log'!$C$6:$C$4005,$B22,'Release Log'!$A$6:$A$4005,"&lt;="&amp;MIN(E$2+6,Dashboard!$Q$3+6))/$C22))</f>
        <v/>
      </c>
      <c r="F22" s="0" t="str">
        <f aca="false">IF($B22="","",INT(SUMIFS('Release Log'!$D$6:$D$4005,'Release Log'!$B$6:$B$4005,Dashboard!$D$3,'Release Log'!$C$6:$C$4005,$B22,'Release Log'!$A$6:$A$4005,"&lt;="&amp;MIN(F$2+6,Dashboard!$Q$3+6))/$C22))</f>
        <v/>
      </c>
      <c r="G22" s="0" t="str">
        <f aca="false">IF($B22="","",INT(SUMIFS('Release Log'!$D$6:$D$4005,'Release Log'!$B$6:$B$4005,Dashboard!$D$3,'Release Log'!$C$6:$C$4005,$B22,'Release Log'!$A$6:$A$4005,"&lt;="&amp;MIN(G$2+6,Dashboard!$Q$3+6))/$C22))</f>
        <v/>
      </c>
      <c r="H22" s="0" t="str">
        <f aca="false">IF($B22="","",INT(SUMIFS('Release Log'!$D$6:$D$4005,'Release Log'!$B$6:$B$4005,Dashboard!$D$3,'Release Log'!$C$6:$C$4005,$B22,'Release Log'!$A$6:$A$4005,"&lt;="&amp;MIN(H$2+6,Dashboard!$Q$3+6))/$C22))</f>
        <v/>
      </c>
      <c r="I22" s="0" t="str">
        <f aca="false">IF($B22="","",INT(SUMIFS('Release Log'!$D$6:$D$4005,'Release Log'!$B$6:$B$4005,Dashboard!$D$3,'Release Log'!$C$6:$C$4005,$B22,'Release Log'!$A$6:$A$4005,"&lt;="&amp;MIN(I$2+6,Dashboard!$Q$3+6))/$C22))</f>
        <v/>
      </c>
      <c r="J22" s="0" t="str">
        <f aca="false">IF($B22="","",INT(SUMIFS('Release Log'!$D$6:$D$4005,'Release Log'!$B$6:$B$4005,Dashboard!$D$3,'Release Log'!$C$6:$C$4005,$B22,'Release Log'!$A$6:$A$4005,"&lt;="&amp;MIN(J$2+6,Dashboard!$Q$3+6))/$C22))</f>
        <v/>
      </c>
      <c r="K22" s="0" t="str">
        <f aca="false">IF($B22="","",INT(SUMIFS('Release Log'!$D$6:$D$4005,'Release Log'!$B$6:$B$4005,Dashboard!$D$3,'Release Log'!$C$6:$C$4005,$B22,'Release Log'!$A$6:$A$4005,"&lt;="&amp;MIN(K$2+6,Dashboard!$Q$3+6))/$C22))</f>
        <v/>
      </c>
      <c r="L22" s="0" t="str">
        <f aca="false">IF($B22="","",INT(SUMIFS('Release Log'!$D$6:$D$4005,'Release Log'!$B$6:$B$4005,Dashboard!$D$3,'Release Log'!$C$6:$C$4005,$B22,'Release Log'!$A$6:$A$4005,"&lt;="&amp;MIN(L$2+6,Dashboard!$Q$3+6))/$C22))</f>
        <v/>
      </c>
      <c r="M22" s="0" t="str">
        <f aca="false">IF($B22="","",INT(SUMIFS('Release Log'!$D$6:$D$4005,'Release Log'!$B$6:$B$4005,Dashboard!$D$3,'Release Log'!$C$6:$C$4005,$B22,'Release Log'!$A$6:$A$4005,"&lt;="&amp;MIN(M$2+6,Dashboard!$Q$3+6))/$C22))</f>
        <v/>
      </c>
      <c r="N22" s="0" t="str">
        <f aca="false">IF($B22="","",INT(SUMIFS('Release Log'!$D$6:$D$4005,'Release Log'!$B$6:$B$4005,Dashboard!$D$3,'Release Log'!$C$6:$C$4005,$B22,'Release Log'!$A$6:$A$4005,"&lt;="&amp;MIN(N$2+6,Dashboard!$Q$3+6))/$C22))</f>
        <v/>
      </c>
      <c r="O22" s="0" t="str">
        <f aca="false">IF($B22="","",INT(SUMIFS('Release Log'!$D$6:$D$4005,'Release Log'!$B$6:$B$4005,Dashboard!$D$3,'Release Log'!$C$6:$C$4005,$B22,'Release Log'!$A$6:$A$4005,"&lt;="&amp;MIN(O$2+6,Dashboard!$Q$3+6))/$C22))</f>
        <v/>
      </c>
      <c r="P22" s="0" t="str">
        <f aca="false">IF($B22="","",INT(SUMIFS('Release Log'!$D$6:$D$4005,'Release Log'!$B$6:$B$4005,Dashboard!$D$3,'Release Log'!$C$6:$C$4005,$B22,'Release Log'!$A$6:$A$4005,"&lt;="&amp;MIN(P$2+6,Dashboard!$Q$3+6))/$C22))</f>
        <v/>
      </c>
      <c r="Q22" s="0" t="str">
        <f aca="false">IF($B22="","",INT(SUMIFS('Release Log'!$D$6:$D$4005,'Release Log'!$B$6:$B$4005,Dashboard!$D$3,'Release Log'!$C$6:$C$4005,$B22,'Release Log'!$A$6:$A$4005,"&lt;="&amp;MIN(Q$2+6,Dashboard!$Q$3+6))/$C22))</f>
        <v/>
      </c>
      <c r="R22" s="0" t="str">
        <f aca="false">IF($B22="","",INT(SUMIFS('Release Log'!$D$6:$D$4005,'Release Log'!$B$6:$B$4005,Dashboard!$D$3,'Release Log'!$C$6:$C$4005,$B22,'Release Log'!$A$6:$A$4005,"&lt;="&amp;MIN(R$2+6,Dashboard!$Q$3+6))/$C22))</f>
        <v/>
      </c>
      <c r="S22" s="0" t="str">
        <f aca="false">IF($B22="","",INT(SUMIFS('Release Log'!$D$6:$D$4005,'Release Log'!$B$6:$B$4005,Dashboard!$D$3,'Release Log'!$C$6:$C$4005,$B22,'Release Log'!$A$6:$A$4005,"&lt;="&amp;MIN(S$2+6,Dashboard!$Q$3+6))/$C22))</f>
        <v/>
      </c>
      <c r="T22" s="0" t="str">
        <f aca="false">IF($B22="","",INT(SUMIFS('Release Log'!$D$6:$D$4005,'Release Log'!$B$6:$B$4005,Dashboard!$D$3,'Release Log'!$C$6:$C$4005,$B22,'Release Log'!$A$6:$A$4005,"&lt;="&amp;MIN(T$2+6,Dashboard!$Q$3+6))/$C22))</f>
        <v/>
      </c>
      <c r="U22" s="0" t="str">
        <f aca="false">IF($B22="","",INT(SUMIFS('Release Log'!$D$6:$D$4005,'Release Log'!$B$6:$B$4005,Dashboard!$D$3,'Release Log'!$C$6:$C$4005,$B22,'Release Log'!$A$6:$A$4005,"&lt;="&amp;MIN(U$2+6,Dashboard!$Q$3+6))/$C22))</f>
        <v/>
      </c>
      <c r="V22" s="0" t="str">
        <f aca="false">IF($B22="","",INT(SUMIFS('Release Log'!$D$6:$D$4005,'Release Log'!$B$6:$B$4005,Dashboard!$D$3,'Release Log'!$C$6:$C$4005,$B22,'Release Log'!$A$6:$A$4005,"&lt;="&amp;MIN(V$2+6,Dashboard!$Q$3+6))/$C22))</f>
        <v/>
      </c>
      <c r="W22" s="0" t="str">
        <f aca="false">IF($B22="","",INT(SUMIFS('Release Log'!$D$6:$D$4005,'Release Log'!$B$6:$B$4005,Dashboard!$D$3,'Release Log'!$C$6:$C$4005,$B22,'Release Log'!$A$6:$A$4005,"&lt;="&amp;MIN(W$2+6,Dashboard!$Q$3+6))/$C22))</f>
        <v/>
      </c>
      <c r="X22" s="0" t="str">
        <f aca="false">IF($B22="","",INT(SUMIFS('Release Log'!$D$6:$D$4005,'Release Log'!$B$6:$B$4005,Dashboard!$D$3,'Release Log'!$C$6:$C$4005,$B22,'Release Log'!$A$6:$A$4005,"&lt;="&amp;MIN(X$2+6,Dashboard!$Q$3+6))/$C22))</f>
        <v/>
      </c>
      <c r="Y22" s="0" t="str">
        <f aca="false">IF($B22="","",INT(SUMIFS('Release Log'!$D$6:$D$4005,'Release Log'!$B$6:$B$4005,Dashboard!$D$3,'Release Log'!$C$6:$C$4005,$B22,'Release Log'!$A$6:$A$4005,"&lt;="&amp;MIN(Y$2+6,Dashboard!$Q$3+6))/$C22))</f>
        <v/>
      </c>
      <c r="Z22" s="0" t="str">
        <f aca="false">IF($B22="","",INT(SUMIFS('Release Log'!$D$6:$D$4005,'Release Log'!$B$6:$B$4005,Dashboard!$D$3,'Release Log'!$C$6:$C$4005,$B22,'Release Log'!$A$6:$A$4005,"&lt;="&amp;MIN(Z$2+6,Dashboard!$Q$3+6))/$C22))</f>
        <v/>
      </c>
      <c r="AA22" s="0" t="str">
        <f aca="false">IF($B22="","",INT(SUMIFS('Release Log'!$D$6:$D$4005,'Release Log'!$B$6:$B$4005,Dashboard!$D$3,'Release Log'!$C$6:$C$4005,$B22,'Release Log'!$A$6:$A$4005,"&lt;="&amp;MIN(AA$2+6,Dashboard!$Q$3+6))/$C22))</f>
        <v/>
      </c>
      <c r="AB22" s="0" t="str">
        <f aca="false">IF($B22="","",INT(SUMIFS('Release Log'!$D$6:$D$4005,'Release Log'!$B$6:$B$4005,Dashboard!$D$3,'Release Log'!$C$6:$C$4005,$B22,'Release Log'!$A$6:$A$4005,"&lt;="&amp;MIN(AB$2+6,Dashboard!$Q$3+6))/$C22))</f>
        <v/>
      </c>
      <c r="AC22" s="0" t="str">
        <f aca="false">IF($B22="","",INT(SUMIFS('Release Log'!$D$6:$D$4005,'Release Log'!$B$6:$B$4005,Dashboard!$D$3,'Release Log'!$C$6:$C$4005,$B22,'Release Log'!$A$6:$A$4005,"&lt;="&amp;MIN(AC$2+6,Dashboard!$Q$3+6))/$C22))</f>
        <v/>
      </c>
      <c r="AD22" s="0" t="str">
        <f aca="false">IF($B22="","",INT(SUMIFS('Release Log'!$D$6:$D$4005,'Release Log'!$B$6:$B$4005,Dashboard!$D$3,'Release Log'!$C$6:$C$4005,$B22,'Release Log'!$A$6:$A$4005,"&lt;="&amp;MIN(AD$2+6,Dashboard!$Q$3+6))/$C22))</f>
        <v/>
      </c>
      <c r="AE22" s="0" t="str">
        <f aca="false">IF($B22="","",INT(SUMIFS('Release Log'!$D$6:$D$4005,'Release Log'!$B$6:$B$4005,Dashboard!$D$3,'Release Log'!$C$6:$C$4005,$B22,'Release Log'!$A$6:$A$4005,"&lt;="&amp;MIN(AE$2+6,Dashboard!$Q$3+6))/$C22))</f>
        <v/>
      </c>
      <c r="AF22" s="0" t="str">
        <f aca="false">IF($B22="","",INT(SUMIFS('Release Log'!$D$6:$D$4005,'Release Log'!$B$6:$B$4005,Dashboard!$D$3,'Release Log'!$C$6:$C$4005,$B22,'Release Log'!$A$6:$A$4005,"&lt;="&amp;MIN(AF$2+6,Dashboard!$Q$3+6))/$C22))</f>
        <v/>
      </c>
      <c r="AG22" s="0" t="str">
        <f aca="false">IF($B22="","",INT(SUMIFS('Release Log'!$D$6:$D$4005,'Release Log'!$B$6:$B$4005,Dashboard!$D$3,'Release Log'!$C$6:$C$4005,$B22,'Release Log'!$A$6:$A$4005,"&lt;="&amp;MIN(AG$2+6,Dashboard!$Q$3+6))/$C22))</f>
        <v/>
      </c>
      <c r="AH22" s="0" t="str">
        <f aca="false">IF($B22="","",INT(SUMIFS('Release Log'!$D$6:$D$4005,'Release Log'!$B$6:$B$4005,Dashboard!$D$3,'Release Log'!$C$6:$C$4005,$B22,'Release Log'!$A$6:$A$4005,"&lt;="&amp;MIN(AH$2+6,Dashboard!$Q$3+6))/$C22))</f>
        <v/>
      </c>
      <c r="AI22" s="0" t="str">
        <f aca="false">IF($B22="","",INT(SUMIFS('Release Log'!$D$6:$D$4005,'Release Log'!$B$6:$B$4005,Dashboard!$D$3,'Release Log'!$C$6:$C$4005,$B22,'Release Log'!$A$6:$A$4005,"&lt;="&amp;MIN(AI$2+6,Dashboard!$Q$3+6))/$C22))</f>
        <v/>
      </c>
      <c r="AJ22" s="0" t="str">
        <f aca="false">IF($B22="","",INT(SUMIFS('Release Log'!$D$6:$D$4005,'Release Log'!$B$6:$B$4005,Dashboard!$D$3,'Release Log'!$C$6:$C$4005,$B22,'Release Log'!$A$6:$A$4005,"&lt;="&amp;MIN(AJ$2+6,Dashboard!$Q$3+6))/$C22))</f>
        <v/>
      </c>
      <c r="AK22" s="0" t="str">
        <f aca="false">IF($B22="","",INT(SUMIFS('Release Log'!$D$6:$D$4005,'Release Log'!$B$6:$B$4005,Dashboard!$D$3,'Release Log'!$C$6:$C$4005,$B22,'Release Log'!$A$6:$A$4005,"&lt;="&amp;MIN(AK$2+6,Dashboard!$Q$3+6))/$C22))</f>
        <v/>
      </c>
      <c r="AL22" s="0" t="str">
        <f aca="false">IF($B22="","",INT(SUMIFS('Release Log'!$D$6:$D$4005,'Release Log'!$B$6:$B$4005,Dashboard!$D$3,'Release Log'!$C$6:$C$4005,$B22,'Release Log'!$A$6:$A$4005,"&lt;="&amp;MIN(AL$2+6,Dashboard!$Q$3+6))/$C22))</f>
        <v/>
      </c>
      <c r="AM22" s="0" t="str">
        <f aca="false">IF($B22="","",INT(SUMIFS('Release Log'!$D$6:$D$4005,'Release Log'!$B$6:$B$4005,Dashboard!$D$3,'Release Log'!$C$6:$C$4005,$B22,'Release Log'!$A$6:$A$4005,"&lt;="&amp;MIN(AM$2+6,Dashboard!$Q$3+6))/$C22))</f>
        <v/>
      </c>
      <c r="AN22" s="0" t="str">
        <f aca="false">IF($B22="","",INT(SUMIFS('Release Log'!$D$6:$D$4005,'Release Log'!$B$6:$B$4005,Dashboard!$D$3,'Release Log'!$C$6:$C$4005,$B22,'Release Log'!$A$6:$A$4005,"&lt;="&amp;MIN(AN$2+6,Dashboard!$Q$3+6))/$C22))</f>
        <v/>
      </c>
      <c r="AO22" s="0" t="str">
        <f aca="false">IF($B22="","",INT(SUMIFS('Release Log'!$D$6:$D$4005,'Release Log'!$B$6:$B$4005,Dashboard!$D$3,'Release Log'!$C$6:$C$4005,$B22,'Release Log'!$A$6:$A$4005,"&lt;="&amp;MIN(AO$2+6,Dashboard!$Q$3+6))/$C22))</f>
        <v/>
      </c>
      <c r="AP22" s="0" t="str">
        <f aca="false">IF($B22="","",INT(SUMIFS('Release Log'!$D$6:$D$4005,'Release Log'!$B$6:$B$4005,Dashboard!$D$3,'Release Log'!$C$6:$C$4005,$B22,'Release Log'!$A$6:$A$4005,"&lt;="&amp;MIN(AP$2+6,Dashboard!$Q$3+6))/$C22))</f>
        <v/>
      </c>
      <c r="AQ22" s="0" t="str">
        <f aca="false">IF($B22="","",INT(SUMIFS('Release Log'!$D$6:$D$4005,'Release Log'!$B$6:$B$4005,Dashboard!$D$3,'Release Log'!$C$6:$C$4005,$B22,'Release Log'!$A$6:$A$4005,"&lt;="&amp;MIN(AQ$2+6,Dashboard!$Q$3+6))/$C22))</f>
        <v/>
      </c>
    </row>
    <row r="23" customFormat="false" ht="15" hidden="false" customHeight="false" outlineLevel="0" collapsed="false">
      <c r="A23" s="0" t="n">
        <v>20</v>
      </c>
      <c r="B23" s="0" t="str">
        <f aca="false">IFERROR(INDEX('Kit Lists'!$C$6:$C$605,MATCH(Dashboard!$D$3&amp;"|"&amp;A23,'Kit Lists'!$G$6:$G$605,0)),"")</f>
        <v/>
      </c>
      <c r="C23" s="0" t="str">
        <f aca="false">IF(B23="","",INDEX('Kit Lists'!$E$6:$E$605,MATCH(Dashboard!$D$3&amp;"|"&amp;A23,'Kit Lists'!$G$6:$G$605,0)))</f>
        <v/>
      </c>
      <c r="D23" s="0" t="str">
        <f aca="false">IF($B23="","",INT(SUMIFS('Release Log'!$D$6:$D$4005,'Release Log'!$B$6:$B$4005,Dashboard!$D$3,'Release Log'!$C$6:$C$4005,$B23,'Release Log'!$A$6:$A$4005,"&lt;="&amp;MIN(D$2+6,Dashboard!$Q$3+6))/$C23))</f>
        <v/>
      </c>
      <c r="E23" s="0" t="str">
        <f aca="false">IF($B23="","",INT(SUMIFS('Release Log'!$D$6:$D$4005,'Release Log'!$B$6:$B$4005,Dashboard!$D$3,'Release Log'!$C$6:$C$4005,$B23,'Release Log'!$A$6:$A$4005,"&lt;="&amp;MIN(E$2+6,Dashboard!$Q$3+6))/$C23))</f>
        <v/>
      </c>
      <c r="F23" s="0" t="str">
        <f aca="false">IF($B23="","",INT(SUMIFS('Release Log'!$D$6:$D$4005,'Release Log'!$B$6:$B$4005,Dashboard!$D$3,'Release Log'!$C$6:$C$4005,$B23,'Release Log'!$A$6:$A$4005,"&lt;="&amp;MIN(F$2+6,Dashboard!$Q$3+6))/$C23))</f>
        <v/>
      </c>
      <c r="G23" s="0" t="str">
        <f aca="false">IF($B23="","",INT(SUMIFS('Release Log'!$D$6:$D$4005,'Release Log'!$B$6:$B$4005,Dashboard!$D$3,'Release Log'!$C$6:$C$4005,$B23,'Release Log'!$A$6:$A$4005,"&lt;="&amp;MIN(G$2+6,Dashboard!$Q$3+6))/$C23))</f>
        <v/>
      </c>
      <c r="H23" s="0" t="str">
        <f aca="false">IF($B23="","",INT(SUMIFS('Release Log'!$D$6:$D$4005,'Release Log'!$B$6:$B$4005,Dashboard!$D$3,'Release Log'!$C$6:$C$4005,$B23,'Release Log'!$A$6:$A$4005,"&lt;="&amp;MIN(H$2+6,Dashboard!$Q$3+6))/$C23))</f>
        <v/>
      </c>
      <c r="I23" s="0" t="str">
        <f aca="false">IF($B23="","",INT(SUMIFS('Release Log'!$D$6:$D$4005,'Release Log'!$B$6:$B$4005,Dashboard!$D$3,'Release Log'!$C$6:$C$4005,$B23,'Release Log'!$A$6:$A$4005,"&lt;="&amp;MIN(I$2+6,Dashboard!$Q$3+6))/$C23))</f>
        <v/>
      </c>
      <c r="J23" s="0" t="str">
        <f aca="false">IF($B23="","",INT(SUMIFS('Release Log'!$D$6:$D$4005,'Release Log'!$B$6:$B$4005,Dashboard!$D$3,'Release Log'!$C$6:$C$4005,$B23,'Release Log'!$A$6:$A$4005,"&lt;="&amp;MIN(J$2+6,Dashboard!$Q$3+6))/$C23))</f>
        <v/>
      </c>
      <c r="K23" s="0" t="str">
        <f aca="false">IF($B23="","",INT(SUMIFS('Release Log'!$D$6:$D$4005,'Release Log'!$B$6:$B$4005,Dashboard!$D$3,'Release Log'!$C$6:$C$4005,$B23,'Release Log'!$A$6:$A$4005,"&lt;="&amp;MIN(K$2+6,Dashboard!$Q$3+6))/$C23))</f>
        <v/>
      </c>
      <c r="L23" s="0" t="str">
        <f aca="false">IF($B23="","",INT(SUMIFS('Release Log'!$D$6:$D$4005,'Release Log'!$B$6:$B$4005,Dashboard!$D$3,'Release Log'!$C$6:$C$4005,$B23,'Release Log'!$A$6:$A$4005,"&lt;="&amp;MIN(L$2+6,Dashboard!$Q$3+6))/$C23))</f>
        <v/>
      </c>
      <c r="M23" s="0" t="str">
        <f aca="false">IF($B23="","",INT(SUMIFS('Release Log'!$D$6:$D$4005,'Release Log'!$B$6:$B$4005,Dashboard!$D$3,'Release Log'!$C$6:$C$4005,$B23,'Release Log'!$A$6:$A$4005,"&lt;="&amp;MIN(M$2+6,Dashboard!$Q$3+6))/$C23))</f>
        <v/>
      </c>
      <c r="N23" s="0" t="str">
        <f aca="false">IF($B23="","",INT(SUMIFS('Release Log'!$D$6:$D$4005,'Release Log'!$B$6:$B$4005,Dashboard!$D$3,'Release Log'!$C$6:$C$4005,$B23,'Release Log'!$A$6:$A$4005,"&lt;="&amp;MIN(N$2+6,Dashboard!$Q$3+6))/$C23))</f>
        <v/>
      </c>
      <c r="O23" s="0" t="str">
        <f aca="false">IF($B23="","",INT(SUMIFS('Release Log'!$D$6:$D$4005,'Release Log'!$B$6:$B$4005,Dashboard!$D$3,'Release Log'!$C$6:$C$4005,$B23,'Release Log'!$A$6:$A$4005,"&lt;="&amp;MIN(O$2+6,Dashboard!$Q$3+6))/$C23))</f>
        <v/>
      </c>
      <c r="P23" s="0" t="str">
        <f aca="false">IF($B23="","",INT(SUMIFS('Release Log'!$D$6:$D$4005,'Release Log'!$B$6:$B$4005,Dashboard!$D$3,'Release Log'!$C$6:$C$4005,$B23,'Release Log'!$A$6:$A$4005,"&lt;="&amp;MIN(P$2+6,Dashboard!$Q$3+6))/$C23))</f>
        <v/>
      </c>
      <c r="Q23" s="0" t="str">
        <f aca="false">IF($B23="","",INT(SUMIFS('Release Log'!$D$6:$D$4005,'Release Log'!$B$6:$B$4005,Dashboard!$D$3,'Release Log'!$C$6:$C$4005,$B23,'Release Log'!$A$6:$A$4005,"&lt;="&amp;MIN(Q$2+6,Dashboard!$Q$3+6))/$C23))</f>
        <v/>
      </c>
      <c r="R23" s="0" t="str">
        <f aca="false">IF($B23="","",INT(SUMIFS('Release Log'!$D$6:$D$4005,'Release Log'!$B$6:$B$4005,Dashboard!$D$3,'Release Log'!$C$6:$C$4005,$B23,'Release Log'!$A$6:$A$4005,"&lt;="&amp;MIN(R$2+6,Dashboard!$Q$3+6))/$C23))</f>
        <v/>
      </c>
      <c r="S23" s="0" t="str">
        <f aca="false">IF($B23="","",INT(SUMIFS('Release Log'!$D$6:$D$4005,'Release Log'!$B$6:$B$4005,Dashboard!$D$3,'Release Log'!$C$6:$C$4005,$B23,'Release Log'!$A$6:$A$4005,"&lt;="&amp;MIN(S$2+6,Dashboard!$Q$3+6))/$C23))</f>
        <v/>
      </c>
      <c r="T23" s="0" t="str">
        <f aca="false">IF($B23="","",INT(SUMIFS('Release Log'!$D$6:$D$4005,'Release Log'!$B$6:$B$4005,Dashboard!$D$3,'Release Log'!$C$6:$C$4005,$B23,'Release Log'!$A$6:$A$4005,"&lt;="&amp;MIN(T$2+6,Dashboard!$Q$3+6))/$C23))</f>
        <v/>
      </c>
      <c r="U23" s="0" t="str">
        <f aca="false">IF($B23="","",INT(SUMIFS('Release Log'!$D$6:$D$4005,'Release Log'!$B$6:$B$4005,Dashboard!$D$3,'Release Log'!$C$6:$C$4005,$B23,'Release Log'!$A$6:$A$4005,"&lt;="&amp;MIN(U$2+6,Dashboard!$Q$3+6))/$C23))</f>
        <v/>
      </c>
      <c r="V23" s="0" t="str">
        <f aca="false">IF($B23="","",INT(SUMIFS('Release Log'!$D$6:$D$4005,'Release Log'!$B$6:$B$4005,Dashboard!$D$3,'Release Log'!$C$6:$C$4005,$B23,'Release Log'!$A$6:$A$4005,"&lt;="&amp;MIN(V$2+6,Dashboard!$Q$3+6))/$C23))</f>
        <v/>
      </c>
      <c r="W23" s="0" t="str">
        <f aca="false">IF($B23="","",INT(SUMIFS('Release Log'!$D$6:$D$4005,'Release Log'!$B$6:$B$4005,Dashboard!$D$3,'Release Log'!$C$6:$C$4005,$B23,'Release Log'!$A$6:$A$4005,"&lt;="&amp;MIN(W$2+6,Dashboard!$Q$3+6))/$C23))</f>
        <v/>
      </c>
      <c r="X23" s="0" t="str">
        <f aca="false">IF($B23="","",INT(SUMIFS('Release Log'!$D$6:$D$4005,'Release Log'!$B$6:$B$4005,Dashboard!$D$3,'Release Log'!$C$6:$C$4005,$B23,'Release Log'!$A$6:$A$4005,"&lt;="&amp;MIN(X$2+6,Dashboard!$Q$3+6))/$C23))</f>
        <v/>
      </c>
      <c r="Y23" s="0" t="str">
        <f aca="false">IF($B23="","",INT(SUMIFS('Release Log'!$D$6:$D$4005,'Release Log'!$B$6:$B$4005,Dashboard!$D$3,'Release Log'!$C$6:$C$4005,$B23,'Release Log'!$A$6:$A$4005,"&lt;="&amp;MIN(Y$2+6,Dashboard!$Q$3+6))/$C23))</f>
        <v/>
      </c>
      <c r="Z23" s="0" t="str">
        <f aca="false">IF($B23="","",INT(SUMIFS('Release Log'!$D$6:$D$4005,'Release Log'!$B$6:$B$4005,Dashboard!$D$3,'Release Log'!$C$6:$C$4005,$B23,'Release Log'!$A$6:$A$4005,"&lt;="&amp;MIN(Z$2+6,Dashboard!$Q$3+6))/$C23))</f>
        <v/>
      </c>
      <c r="AA23" s="0" t="str">
        <f aca="false">IF($B23="","",INT(SUMIFS('Release Log'!$D$6:$D$4005,'Release Log'!$B$6:$B$4005,Dashboard!$D$3,'Release Log'!$C$6:$C$4005,$B23,'Release Log'!$A$6:$A$4005,"&lt;="&amp;MIN(AA$2+6,Dashboard!$Q$3+6))/$C23))</f>
        <v/>
      </c>
      <c r="AB23" s="0" t="str">
        <f aca="false">IF($B23="","",INT(SUMIFS('Release Log'!$D$6:$D$4005,'Release Log'!$B$6:$B$4005,Dashboard!$D$3,'Release Log'!$C$6:$C$4005,$B23,'Release Log'!$A$6:$A$4005,"&lt;="&amp;MIN(AB$2+6,Dashboard!$Q$3+6))/$C23))</f>
        <v/>
      </c>
      <c r="AC23" s="0" t="str">
        <f aca="false">IF($B23="","",INT(SUMIFS('Release Log'!$D$6:$D$4005,'Release Log'!$B$6:$B$4005,Dashboard!$D$3,'Release Log'!$C$6:$C$4005,$B23,'Release Log'!$A$6:$A$4005,"&lt;="&amp;MIN(AC$2+6,Dashboard!$Q$3+6))/$C23))</f>
        <v/>
      </c>
      <c r="AD23" s="0" t="str">
        <f aca="false">IF($B23="","",INT(SUMIFS('Release Log'!$D$6:$D$4005,'Release Log'!$B$6:$B$4005,Dashboard!$D$3,'Release Log'!$C$6:$C$4005,$B23,'Release Log'!$A$6:$A$4005,"&lt;="&amp;MIN(AD$2+6,Dashboard!$Q$3+6))/$C23))</f>
        <v/>
      </c>
      <c r="AE23" s="0" t="str">
        <f aca="false">IF($B23="","",INT(SUMIFS('Release Log'!$D$6:$D$4005,'Release Log'!$B$6:$B$4005,Dashboard!$D$3,'Release Log'!$C$6:$C$4005,$B23,'Release Log'!$A$6:$A$4005,"&lt;="&amp;MIN(AE$2+6,Dashboard!$Q$3+6))/$C23))</f>
        <v/>
      </c>
      <c r="AF23" s="0" t="str">
        <f aca="false">IF($B23="","",INT(SUMIFS('Release Log'!$D$6:$D$4005,'Release Log'!$B$6:$B$4005,Dashboard!$D$3,'Release Log'!$C$6:$C$4005,$B23,'Release Log'!$A$6:$A$4005,"&lt;="&amp;MIN(AF$2+6,Dashboard!$Q$3+6))/$C23))</f>
        <v/>
      </c>
      <c r="AG23" s="0" t="str">
        <f aca="false">IF($B23="","",INT(SUMIFS('Release Log'!$D$6:$D$4005,'Release Log'!$B$6:$B$4005,Dashboard!$D$3,'Release Log'!$C$6:$C$4005,$B23,'Release Log'!$A$6:$A$4005,"&lt;="&amp;MIN(AG$2+6,Dashboard!$Q$3+6))/$C23))</f>
        <v/>
      </c>
      <c r="AH23" s="0" t="str">
        <f aca="false">IF($B23="","",INT(SUMIFS('Release Log'!$D$6:$D$4005,'Release Log'!$B$6:$B$4005,Dashboard!$D$3,'Release Log'!$C$6:$C$4005,$B23,'Release Log'!$A$6:$A$4005,"&lt;="&amp;MIN(AH$2+6,Dashboard!$Q$3+6))/$C23))</f>
        <v/>
      </c>
      <c r="AI23" s="0" t="str">
        <f aca="false">IF($B23="","",INT(SUMIFS('Release Log'!$D$6:$D$4005,'Release Log'!$B$6:$B$4005,Dashboard!$D$3,'Release Log'!$C$6:$C$4005,$B23,'Release Log'!$A$6:$A$4005,"&lt;="&amp;MIN(AI$2+6,Dashboard!$Q$3+6))/$C23))</f>
        <v/>
      </c>
      <c r="AJ23" s="0" t="str">
        <f aca="false">IF($B23="","",INT(SUMIFS('Release Log'!$D$6:$D$4005,'Release Log'!$B$6:$B$4005,Dashboard!$D$3,'Release Log'!$C$6:$C$4005,$B23,'Release Log'!$A$6:$A$4005,"&lt;="&amp;MIN(AJ$2+6,Dashboard!$Q$3+6))/$C23))</f>
        <v/>
      </c>
      <c r="AK23" s="0" t="str">
        <f aca="false">IF($B23="","",INT(SUMIFS('Release Log'!$D$6:$D$4005,'Release Log'!$B$6:$B$4005,Dashboard!$D$3,'Release Log'!$C$6:$C$4005,$B23,'Release Log'!$A$6:$A$4005,"&lt;="&amp;MIN(AK$2+6,Dashboard!$Q$3+6))/$C23))</f>
        <v/>
      </c>
      <c r="AL23" s="0" t="str">
        <f aca="false">IF($B23="","",INT(SUMIFS('Release Log'!$D$6:$D$4005,'Release Log'!$B$6:$B$4005,Dashboard!$D$3,'Release Log'!$C$6:$C$4005,$B23,'Release Log'!$A$6:$A$4005,"&lt;="&amp;MIN(AL$2+6,Dashboard!$Q$3+6))/$C23))</f>
        <v/>
      </c>
      <c r="AM23" s="0" t="str">
        <f aca="false">IF($B23="","",INT(SUMIFS('Release Log'!$D$6:$D$4005,'Release Log'!$B$6:$B$4005,Dashboard!$D$3,'Release Log'!$C$6:$C$4005,$B23,'Release Log'!$A$6:$A$4005,"&lt;="&amp;MIN(AM$2+6,Dashboard!$Q$3+6))/$C23))</f>
        <v/>
      </c>
      <c r="AN23" s="0" t="str">
        <f aca="false">IF($B23="","",INT(SUMIFS('Release Log'!$D$6:$D$4005,'Release Log'!$B$6:$B$4005,Dashboard!$D$3,'Release Log'!$C$6:$C$4005,$B23,'Release Log'!$A$6:$A$4005,"&lt;="&amp;MIN(AN$2+6,Dashboard!$Q$3+6))/$C23))</f>
        <v/>
      </c>
      <c r="AO23" s="0" t="str">
        <f aca="false">IF($B23="","",INT(SUMIFS('Release Log'!$D$6:$D$4005,'Release Log'!$B$6:$B$4005,Dashboard!$D$3,'Release Log'!$C$6:$C$4005,$B23,'Release Log'!$A$6:$A$4005,"&lt;="&amp;MIN(AO$2+6,Dashboard!$Q$3+6))/$C23))</f>
        <v/>
      </c>
      <c r="AP23" s="0" t="str">
        <f aca="false">IF($B23="","",INT(SUMIFS('Release Log'!$D$6:$D$4005,'Release Log'!$B$6:$B$4005,Dashboard!$D$3,'Release Log'!$C$6:$C$4005,$B23,'Release Log'!$A$6:$A$4005,"&lt;="&amp;MIN(AP$2+6,Dashboard!$Q$3+6))/$C23))</f>
        <v/>
      </c>
      <c r="AQ23" s="0" t="str">
        <f aca="false">IF($B23="","",INT(SUMIFS('Release Log'!$D$6:$D$4005,'Release Log'!$B$6:$B$4005,Dashboard!$D$3,'Release Log'!$C$6:$C$4005,$B23,'Release Log'!$A$6:$A$4005,"&lt;="&amp;MIN(AQ$2+6,Dashboard!$Q$3+6))/$C23))</f>
        <v/>
      </c>
    </row>
    <row r="25" customFormat="false" ht="15" hidden="false" customHeight="false" outlineLevel="0" collapsed="false">
      <c r="C25" s="0" t="s">
        <v>239</v>
      </c>
      <c r="D25" s="0" t="str">
        <f aca="false">"W"&amp;_xlfn.ISOWEEKNUM(D$2)</f>
        <v>W29</v>
      </c>
      <c r="E25" s="0" t="str">
        <f aca="false">"W"&amp;_xlfn.ISOWEEKNUM(E$2)</f>
        <v>W30</v>
      </c>
      <c r="F25" s="0" t="str">
        <f aca="false">"W"&amp;_xlfn.ISOWEEKNUM(F$2)</f>
        <v>W31</v>
      </c>
      <c r="G25" s="0" t="str">
        <f aca="false">"W"&amp;_xlfn.ISOWEEKNUM(G$2)</f>
        <v>W32</v>
      </c>
      <c r="H25" s="0" t="str">
        <f aca="false">"W"&amp;_xlfn.ISOWEEKNUM(H$2)</f>
        <v>W33</v>
      </c>
      <c r="I25" s="0" t="str">
        <f aca="false">"W"&amp;_xlfn.ISOWEEKNUM(I$2)</f>
        <v>W34</v>
      </c>
      <c r="J25" s="0" t="str">
        <f aca="false">"W"&amp;_xlfn.ISOWEEKNUM(J$2)</f>
        <v>W35</v>
      </c>
      <c r="K25" s="0" t="str">
        <f aca="false">"W"&amp;_xlfn.ISOWEEKNUM(K$2)</f>
        <v>W36</v>
      </c>
      <c r="L25" s="0" t="str">
        <f aca="false">"W"&amp;_xlfn.ISOWEEKNUM(L$2)</f>
        <v>W37</v>
      </c>
      <c r="M25" s="0" t="str">
        <f aca="false">"W"&amp;_xlfn.ISOWEEKNUM(M$2)</f>
        <v>W38</v>
      </c>
      <c r="N25" s="0" t="str">
        <f aca="false">"W"&amp;_xlfn.ISOWEEKNUM(N$2)</f>
        <v>W39</v>
      </c>
      <c r="O25" s="0" t="str">
        <f aca="false">"W"&amp;_xlfn.ISOWEEKNUM(O$2)</f>
        <v>W40</v>
      </c>
      <c r="P25" s="0" t="str">
        <f aca="false">"W"&amp;_xlfn.ISOWEEKNUM(P$2)</f>
        <v>W41</v>
      </c>
      <c r="Q25" s="0" t="str">
        <f aca="false">"W"&amp;_xlfn.ISOWEEKNUM(Q$2)</f>
        <v>W42</v>
      </c>
      <c r="R25" s="0" t="str">
        <f aca="false">"W"&amp;_xlfn.ISOWEEKNUM(R$2)</f>
        <v>W43</v>
      </c>
      <c r="S25" s="0" t="str">
        <f aca="false">"W"&amp;_xlfn.ISOWEEKNUM(S$2)</f>
        <v>W44</v>
      </c>
      <c r="T25" s="0" t="str">
        <f aca="false">"W"&amp;_xlfn.ISOWEEKNUM(T$2)</f>
        <v>W45</v>
      </c>
      <c r="U25" s="0" t="str">
        <f aca="false">"W"&amp;_xlfn.ISOWEEKNUM(U$2)</f>
        <v>W46</v>
      </c>
      <c r="V25" s="0" t="str">
        <f aca="false">"W"&amp;_xlfn.ISOWEEKNUM(V$2)</f>
        <v>W47</v>
      </c>
      <c r="W25" s="0" t="str">
        <f aca="false">"W"&amp;_xlfn.ISOWEEKNUM(W$2)</f>
        <v>W48</v>
      </c>
      <c r="X25" s="0" t="str">
        <f aca="false">"W"&amp;_xlfn.ISOWEEKNUM(X$2)</f>
        <v>W49</v>
      </c>
      <c r="Y25" s="0" t="str">
        <f aca="false">"W"&amp;_xlfn.ISOWEEKNUM(Y$2)</f>
        <v>W50</v>
      </c>
      <c r="Z25" s="0" t="str">
        <f aca="false">"W"&amp;_xlfn.ISOWEEKNUM(Z$2)</f>
        <v>W51</v>
      </c>
      <c r="AA25" s="0" t="str">
        <f aca="false">"W"&amp;_xlfn.ISOWEEKNUM(AA$2)</f>
        <v>W52</v>
      </c>
      <c r="AB25" s="0" t="str">
        <f aca="false">"W"&amp;_xlfn.ISOWEEKNUM(AB$2)</f>
        <v>W53</v>
      </c>
      <c r="AC25" s="0" t="str">
        <f aca="false">"W"&amp;_xlfn.ISOWEEKNUM(AC$2)</f>
        <v>W1</v>
      </c>
      <c r="AD25" s="0" t="str">
        <f aca="false">"W"&amp;_xlfn.ISOWEEKNUM(AD$2)</f>
        <v>W2</v>
      </c>
      <c r="AE25" s="0" t="str">
        <f aca="false">"W"&amp;_xlfn.ISOWEEKNUM(AE$2)</f>
        <v>W3</v>
      </c>
      <c r="AF25" s="0" t="str">
        <f aca="false">"W"&amp;_xlfn.ISOWEEKNUM(AF$2)</f>
        <v>W4</v>
      </c>
      <c r="AG25" s="0" t="str">
        <f aca="false">"W"&amp;_xlfn.ISOWEEKNUM(AG$2)</f>
        <v>W5</v>
      </c>
      <c r="AH25" s="0" t="str">
        <f aca="false">"W"&amp;_xlfn.ISOWEEKNUM(AH$2)</f>
        <v>W6</v>
      </c>
      <c r="AI25" s="0" t="str">
        <f aca="false">"W"&amp;_xlfn.ISOWEEKNUM(AI$2)</f>
        <v>W7</v>
      </c>
      <c r="AJ25" s="0" t="str">
        <f aca="false">"W"&amp;_xlfn.ISOWEEKNUM(AJ$2)</f>
        <v>W8</v>
      </c>
      <c r="AK25" s="0" t="str">
        <f aca="false">"W"&amp;_xlfn.ISOWEEKNUM(AK$2)</f>
        <v>W9</v>
      </c>
      <c r="AL25" s="0" t="str">
        <f aca="false">"W"&amp;_xlfn.ISOWEEKNUM(AL$2)</f>
        <v>W10</v>
      </c>
      <c r="AM25" s="0" t="str">
        <f aca="false">"W"&amp;_xlfn.ISOWEEKNUM(AM$2)</f>
        <v>W11</v>
      </c>
      <c r="AN25" s="0" t="str">
        <f aca="false">"W"&amp;_xlfn.ISOWEEKNUM(AN$2)</f>
        <v>W12</v>
      </c>
      <c r="AO25" s="0" t="str">
        <f aca="false">"W"&amp;_xlfn.ISOWEEKNUM(AO$2)</f>
        <v>W13</v>
      </c>
      <c r="AP25" s="0" t="str">
        <f aca="false">"W"&amp;_xlfn.ISOWEEKNUM(AP$2)</f>
        <v>W14</v>
      </c>
      <c r="AQ25" s="0" t="str">
        <f aca="false">"W"&amp;_xlfn.ISOWEEKNUM(AQ$2)</f>
        <v>W15</v>
      </c>
    </row>
    <row r="26" customFormat="false" ht="15" hidden="false" customHeight="false" outlineLevel="0" collapsed="false">
      <c r="C26" s="0" t="s">
        <v>240</v>
      </c>
      <c r="D26" s="0" t="n">
        <f aca="false">SUMIFS('Weekly Plan'!$D$6:$D$1505,'Weekly Plan'!$A$6:$A$1505,Dashboard!$D$3,'Weekly Plan'!$E$6:$E$1505,"&lt;="&amp;(D$2+7*Dashboard!$S$3))</f>
        <v>8</v>
      </c>
      <c r="E26" s="0" t="n">
        <f aca="false">SUMIFS('Weekly Plan'!$D$6:$D$1505,'Weekly Plan'!$A$6:$A$1505,Dashboard!$D$3,'Weekly Plan'!$E$6:$E$1505,"&lt;="&amp;(E$2+7*Dashboard!$S$3))</f>
        <v>10</v>
      </c>
      <c r="F26" s="0" t="n">
        <f aca="false">SUMIFS('Weekly Plan'!$D$6:$D$1505,'Weekly Plan'!$A$6:$A$1505,Dashboard!$D$3,'Weekly Plan'!$E$6:$E$1505,"&lt;="&amp;(F$2+7*Dashboard!$S$3))</f>
        <v>12</v>
      </c>
      <c r="G26" s="0" t="n">
        <f aca="false">SUMIFS('Weekly Plan'!$D$6:$D$1505,'Weekly Plan'!$A$6:$A$1505,Dashboard!$D$3,'Weekly Plan'!$E$6:$E$1505,"&lt;="&amp;(G$2+7*Dashboard!$S$3))</f>
        <v>14</v>
      </c>
      <c r="H26" s="0" t="n">
        <f aca="false">SUMIFS('Weekly Plan'!$D$6:$D$1505,'Weekly Plan'!$A$6:$A$1505,Dashboard!$D$3,'Weekly Plan'!$E$6:$E$1505,"&lt;="&amp;(H$2+7*Dashboard!$S$3))</f>
        <v>17</v>
      </c>
      <c r="I26" s="0" t="n">
        <f aca="false">SUMIFS('Weekly Plan'!$D$6:$D$1505,'Weekly Plan'!$A$6:$A$1505,Dashboard!$D$3,'Weekly Plan'!$E$6:$E$1505,"&lt;="&amp;(I$2+7*Dashboard!$S$3))</f>
        <v>19</v>
      </c>
      <c r="J26" s="0" t="n">
        <f aca="false">SUMIFS('Weekly Plan'!$D$6:$D$1505,'Weekly Plan'!$A$6:$A$1505,Dashboard!$D$3,'Weekly Plan'!$E$6:$E$1505,"&lt;="&amp;(J$2+7*Dashboard!$S$3))</f>
        <v>19</v>
      </c>
      <c r="K26" s="0" t="n">
        <f aca="false">SUMIFS('Weekly Plan'!$D$6:$D$1505,'Weekly Plan'!$A$6:$A$1505,Dashboard!$D$3,'Weekly Plan'!$E$6:$E$1505,"&lt;="&amp;(K$2+7*Dashboard!$S$3))</f>
        <v>20</v>
      </c>
      <c r="L26" s="0" t="n">
        <f aca="false">SUMIFS('Weekly Plan'!$D$6:$D$1505,'Weekly Plan'!$A$6:$A$1505,Dashboard!$D$3,'Weekly Plan'!$E$6:$E$1505,"&lt;="&amp;(L$2+7*Dashboard!$S$3))</f>
        <v>22</v>
      </c>
      <c r="M26" s="0" t="n">
        <f aca="false">SUMIFS('Weekly Plan'!$D$6:$D$1505,'Weekly Plan'!$A$6:$A$1505,Dashboard!$D$3,'Weekly Plan'!$E$6:$E$1505,"&lt;="&amp;(M$2+7*Dashboard!$S$3))</f>
        <v>24</v>
      </c>
      <c r="N26" s="0" t="n">
        <f aca="false">SUMIFS('Weekly Plan'!$D$6:$D$1505,'Weekly Plan'!$A$6:$A$1505,Dashboard!$D$3,'Weekly Plan'!$E$6:$E$1505,"&lt;="&amp;(N$2+7*Dashboard!$S$3))</f>
        <v>26</v>
      </c>
      <c r="O26" s="0" t="n">
        <f aca="false">SUMIFS('Weekly Plan'!$D$6:$D$1505,'Weekly Plan'!$A$6:$A$1505,Dashboard!$D$3,'Weekly Plan'!$E$6:$E$1505,"&lt;="&amp;(O$2+7*Dashboard!$S$3))</f>
        <v>28</v>
      </c>
      <c r="P26" s="0" t="n">
        <f aca="false">SUMIFS('Weekly Plan'!$D$6:$D$1505,'Weekly Plan'!$A$6:$A$1505,Dashboard!$D$3,'Weekly Plan'!$E$6:$E$1505,"&lt;="&amp;(P$2+7*Dashboard!$S$3))</f>
        <v>31</v>
      </c>
      <c r="Q26" s="0" t="n">
        <f aca="false">SUMIFS('Weekly Plan'!$D$6:$D$1505,'Weekly Plan'!$A$6:$A$1505,Dashboard!$D$3,'Weekly Plan'!$E$6:$E$1505,"&lt;="&amp;(Q$2+7*Dashboard!$S$3))</f>
        <v>32</v>
      </c>
      <c r="R26" s="0" t="n">
        <f aca="false">SUMIFS('Weekly Plan'!$D$6:$D$1505,'Weekly Plan'!$A$6:$A$1505,Dashboard!$D$3,'Weekly Plan'!$E$6:$E$1505,"&lt;="&amp;(R$2+7*Dashboard!$S$3))</f>
        <v>33</v>
      </c>
      <c r="S26" s="0" t="n">
        <f aca="false">SUMIFS('Weekly Plan'!$D$6:$D$1505,'Weekly Plan'!$A$6:$A$1505,Dashboard!$D$3,'Weekly Plan'!$E$6:$E$1505,"&lt;="&amp;(S$2+7*Dashboard!$S$3))</f>
        <v>33</v>
      </c>
      <c r="T26" s="0" t="n">
        <f aca="false">SUMIFS('Weekly Plan'!$D$6:$D$1505,'Weekly Plan'!$A$6:$A$1505,Dashboard!$D$3,'Weekly Plan'!$E$6:$E$1505,"&lt;="&amp;(T$2+7*Dashboard!$S$3))</f>
        <v>33</v>
      </c>
      <c r="U26" s="0" t="n">
        <f aca="false">SUMIFS('Weekly Plan'!$D$6:$D$1505,'Weekly Plan'!$A$6:$A$1505,Dashboard!$D$3,'Weekly Plan'!$E$6:$E$1505,"&lt;="&amp;(U$2+7*Dashboard!$S$3))</f>
        <v>33</v>
      </c>
      <c r="V26" s="0" t="n">
        <f aca="false">SUMIFS('Weekly Plan'!$D$6:$D$1505,'Weekly Plan'!$A$6:$A$1505,Dashboard!$D$3,'Weekly Plan'!$E$6:$E$1505,"&lt;="&amp;(V$2+7*Dashboard!$S$3))</f>
        <v>33</v>
      </c>
      <c r="W26" s="0" t="n">
        <f aca="false">SUMIFS('Weekly Plan'!$D$6:$D$1505,'Weekly Plan'!$A$6:$A$1505,Dashboard!$D$3,'Weekly Plan'!$E$6:$E$1505,"&lt;="&amp;(W$2+7*Dashboard!$S$3))</f>
        <v>35</v>
      </c>
      <c r="X26" s="0" t="n">
        <f aca="false">SUMIFS('Weekly Plan'!$D$6:$D$1505,'Weekly Plan'!$A$6:$A$1505,Dashboard!$D$3,'Weekly Plan'!$E$6:$E$1505,"&lt;="&amp;(X$2+7*Dashboard!$S$3))</f>
        <v>35</v>
      </c>
      <c r="Y26" s="0" t="n">
        <f aca="false">SUMIFS('Weekly Plan'!$D$6:$D$1505,'Weekly Plan'!$A$6:$A$1505,Dashboard!$D$3,'Weekly Plan'!$E$6:$E$1505,"&lt;="&amp;(Y$2+7*Dashboard!$S$3))</f>
        <v>35</v>
      </c>
      <c r="Z26" s="0" t="n">
        <f aca="false">SUMIFS('Weekly Plan'!$D$6:$D$1505,'Weekly Plan'!$A$6:$A$1505,Dashboard!$D$3,'Weekly Plan'!$E$6:$E$1505,"&lt;="&amp;(Z$2+7*Dashboard!$S$3))</f>
        <v>35</v>
      </c>
      <c r="AA26" s="0" t="n">
        <f aca="false">SUMIFS('Weekly Plan'!$D$6:$D$1505,'Weekly Plan'!$A$6:$A$1505,Dashboard!$D$3,'Weekly Plan'!$E$6:$E$1505,"&lt;="&amp;(AA$2+7*Dashboard!$S$3))</f>
        <v>44</v>
      </c>
      <c r="AB26" s="0" t="n">
        <f aca="false">SUMIFS('Weekly Plan'!$D$6:$D$1505,'Weekly Plan'!$A$6:$A$1505,Dashboard!$D$3,'Weekly Plan'!$E$6:$E$1505,"&lt;="&amp;(AB$2+7*Dashboard!$S$3))</f>
        <v>46</v>
      </c>
      <c r="AC26" s="0" t="n">
        <f aca="false">SUMIFS('Weekly Plan'!$D$6:$D$1505,'Weekly Plan'!$A$6:$A$1505,Dashboard!$D$3,'Weekly Plan'!$E$6:$E$1505,"&lt;="&amp;(AC$2+7*Dashboard!$S$3))</f>
        <v>52</v>
      </c>
      <c r="AD26" s="0" t="n">
        <f aca="false">SUMIFS('Weekly Plan'!$D$6:$D$1505,'Weekly Plan'!$A$6:$A$1505,Dashboard!$D$3,'Weekly Plan'!$E$6:$E$1505,"&lt;="&amp;(AD$2+7*Dashboard!$S$3))</f>
        <v>52</v>
      </c>
      <c r="AE26" s="0" t="n">
        <f aca="false">SUMIFS('Weekly Plan'!$D$6:$D$1505,'Weekly Plan'!$A$6:$A$1505,Dashboard!$D$3,'Weekly Plan'!$E$6:$E$1505,"&lt;="&amp;(AE$2+7*Dashboard!$S$3))</f>
        <v>52</v>
      </c>
      <c r="AF26" s="0" t="n">
        <f aca="false">SUMIFS('Weekly Plan'!$D$6:$D$1505,'Weekly Plan'!$A$6:$A$1505,Dashboard!$D$3,'Weekly Plan'!$E$6:$E$1505,"&lt;="&amp;(AF$2+7*Dashboard!$S$3))</f>
        <v>52</v>
      </c>
      <c r="AG26" s="0" t="n">
        <f aca="false">SUMIFS('Weekly Plan'!$D$6:$D$1505,'Weekly Plan'!$A$6:$A$1505,Dashboard!$D$3,'Weekly Plan'!$E$6:$E$1505,"&lt;="&amp;(AG$2+7*Dashboard!$S$3))</f>
        <v>52</v>
      </c>
      <c r="AH26" s="0" t="n">
        <f aca="false">SUMIFS('Weekly Plan'!$D$6:$D$1505,'Weekly Plan'!$A$6:$A$1505,Dashboard!$D$3,'Weekly Plan'!$E$6:$E$1505,"&lt;="&amp;(AH$2+7*Dashboard!$S$3))</f>
        <v>52</v>
      </c>
      <c r="AI26" s="0" t="n">
        <f aca="false">SUMIFS('Weekly Plan'!$D$6:$D$1505,'Weekly Plan'!$A$6:$A$1505,Dashboard!$D$3,'Weekly Plan'!$E$6:$E$1505,"&lt;="&amp;(AI$2+7*Dashboard!$S$3))</f>
        <v>52</v>
      </c>
      <c r="AJ26" s="0" t="n">
        <f aca="false">SUMIFS('Weekly Plan'!$D$6:$D$1505,'Weekly Plan'!$A$6:$A$1505,Dashboard!$D$3,'Weekly Plan'!$E$6:$E$1505,"&lt;="&amp;(AJ$2+7*Dashboard!$S$3))</f>
        <v>52</v>
      </c>
      <c r="AK26" s="0" t="n">
        <f aca="false">SUMIFS('Weekly Plan'!$D$6:$D$1505,'Weekly Plan'!$A$6:$A$1505,Dashboard!$D$3,'Weekly Plan'!$E$6:$E$1505,"&lt;="&amp;(AK$2+7*Dashboard!$S$3))</f>
        <v>52</v>
      </c>
      <c r="AL26" s="0" t="n">
        <f aca="false">SUMIFS('Weekly Plan'!$D$6:$D$1505,'Weekly Plan'!$A$6:$A$1505,Dashboard!$D$3,'Weekly Plan'!$E$6:$E$1505,"&lt;="&amp;(AL$2+7*Dashboard!$S$3))</f>
        <v>52</v>
      </c>
      <c r="AM26" s="0" t="n">
        <f aca="false">SUMIFS('Weekly Plan'!$D$6:$D$1505,'Weekly Plan'!$A$6:$A$1505,Dashboard!$D$3,'Weekly Plan'!$E$6:$E$1505,"&lt;="&amp;(AM$2+7*Dashboard!$S$3))</f>
        <v>52</v>
      </c>
      <c r="AN26" s="0" t="n">
        <f aca="false">SUMIFS('Weekly Plan'!$D$6:$D$1505,'Weekly Plan'!$A$6:$A$1505,Dashboard!$D$3,'Weekly Plan'!$E$6:$E$1505,"&lt;="&amp;(AN$2+7*Dashboard!$S$3))</f>
        <v>52</v>
      </c>
      <c r="AO26" s="0" t="n">
        <f aca="false">SUMIFS('Weekly Plan'!$D$6:$D$1505,'Weekly Plan'!$A$6:$A$1505,Dashboard!$D$3,'Weekly Plan'!$E$6:$E$1505,"&lt;="&amp;(AO$2+7*Dashboard!$S$3))</f>
        <v>52</v>
      </c>
      <c r="AP26" s="0" t="n">
        <f aca="false">SUMIFS('Weekly Plan'!$D$6:$D$1505,'Weekly Plan'!$A$6:$A$1505,Dashboard!$D$3,'Weekly Plan'!$E$6:$E$1505,"&lt;="&amp;(AP$2+7*Dashboard!$S$3))</f>
        <v>53</v>
      </c>
      <c r="AQ26" s="0" t="n">
        <f aca="false">SUMIFS('Weekly Plan'!$D$6:$D$1505,'Weekly Plan'!$A$6:$A$1505,Dashboard!$D$3,'Weekly Plan'!$E$6:$E$1505,"&lt;="&amp;(AQ$2+7*Dashboard!$S$3))</f>
        <v>54</v>
      </c>
    </row>
    <row r="27" customFormat="false" ht="15" hidden="false" customHeight="false" outlineLevel="0" collapsed="false">
      <c r="C27" s="0" t="s">
        <v>241</v>
      </c>
      <c r="D27" s="0" t="n">
        <f aca="false">IF(COUNT(D4:D23)=0,0,MIN(D4:D23))</f>
        <v>2</v>
      </c>
      <c r="E27" s="0" t="n">
        <f aca="false">IF(COUNT(E4:E23)=0,0,MIN(E4:E23))</f>
        <v>3</v>
      </c>
      <c r="F27" s="0" t="n">
        <f aca="false">IF(COUNT(F4:F23)=0,0,MIN(F4:F23))</f>
        <v>3</v>
      </c>
      <c r="G27" s="0" t="n">
        <f aca="false">IF(COUNT(G4:G23)=0,0,MIN(G4:G23))</f>
        <v>4</v>
      </c>
      <c r="H27" s="0" t="n">
        <f aca="false">IF(COUNT(H4:H23)=0,0,MIN(H4:H23))</f>
        <v>4</v>
      </c>
      <c r="I27" s="0" t="n">
        <f aca="false">IF(COUNT(I4:I23)=0,0,MIN(I4:I23))</f>
        <v>5</v>
      </c>
      <c r="J27" s="0" t="n">
        <f aca="false">IF(COUNT(J4:J23)=0,0,MIN(J4:J23))</f>
        <v>6</v>
      </c>
      <c r="K27" s="0" t="n">
        <f aca="false">IF(COUNT(K4:K23)=0,0,MIN(K4:K23))</f>
        <v>6</v>
      </c>
      <c r="L27" s="0" t="n">
        <f aca="false">IF(COUNT(L4:L23)=0,0,MIN(L4:L23))</f>
        <v>7</v>
      </c>
      <c r="M27" s="0" t="n">
        <f aca="false">IF(COUNT(M4:M23)=0,0,MIN(M4:M23))</f>
        <v>8</v>
      </c>
      <c r="N27" s="0" t="n">
        <f aca="false">IF(COUNT(N4:N23)=0,0,MIN(N4:N23))</f>
        <v>8</v>
      </c>
      <c r="O27" s="0" t="n">
        <f aca="false">IF(COUNT(O4:O23)=0,0,MIN(O4:O23))</f>
        <v>13</v>
      </c>
      <c r="P27" s="0" t="n">
        <f aca="false">IF(COUNT(P4:P23)=0,0,MIN(P4:P23))</f>
        <v>13</v>
      </c>
      <c r="Q27" s="0" t="n">
        <f aca="false">IF(COUNT(Q4:Q23)=0,0,MIN(Q4:Q23))</f>
        <v>13</v>
      </c>
      <c r="R27" s="0" t="n">
        <f aca="false">IF(COUNT(R4:R23)=0,0,MIN(R4:R23))</f>
        <v>13</v>
      </c>
      <c r="S27" s="0" t="n">
        <f aca="false">IF(COUNT(S4:S23)=0,0,MIN(S4:S23))</f>
        <v>13</v>
      </c>
      <c r="T27" s="0" t="n">
        <f aca="false">IF(COUNT(T4:T23)=0,0,MIN(T4:T23))</f>
        <v>13</v>
      </c>
      <c r="U27" s="0" t="n">
        <f aca="false">IF(COUNT(U4:U23)=0,0,MIN(U4:U23))</f>
        <v>13</v>
      </c>
      <c r="V27" s="0" t="n">
        <f aca="false">IF(COUNT(V4:V23)=0,0,MIN(V4:V23))</f>
        <v>13</v>
      </c>
      <c r="W27" s="0" t="n">
        <f aca="false">IF(COUNT(W4:W23)=0,0,MIN(W4:W23))</f>
        <v>13</v>
      </c>
      <c r="X27" s="0" t="n">
        <f aca="false">IF(COUNT(X4:X23)=0,0,MIN(X4:X23))</f>
        <v>13</v>
      </c>
      <c r="Y27" s="0" t="n">
        <f aca="false">IF(COUNT(Y4:Y23)=0,0,MIN(Y4:Y23))</f>
        <v>13</v>
      </c>
      <c r="Z27" s="0" t="n">
        <f aca="false">IF(COUNT(Z4:Z23)=0,0,MIN(Z4:Z23))</f>
        <v>13</v>
      </c>
      <c r="AA27" s="0" t="n">
        <f aca="false">IF(COUNT(AA4:AA23)=0,0,MIN(AA4:AA23))</f>
        <v>13</v>
      </c>
      <c r="AB27" s="0" t="n">
        <f aca="false">IF(COUNT(AB4:AB23)=0,0,MIN(AB4:AB23))</f>
        <v>13</v>
      </c>
      <c r="AC27" s="0" t="n">
        <f aca="false">IF(COUNT(AC4:AC23)=0,0,MIN(AC4:AC23))</f>
        <v>13</v>
      </c>
      <c r="AD27" s="0" t="n">
        <f aca="false">IF(COUNT(AD4:AD23)=0,0,MIN(AD4:AD23))</f>
        <v>13</v>
      </c>
      <c r="AE27" s="0" t="n">
        <f aca="false">IF(COUNT(AE4:AE23)=0,0,MIN(AE4:AE23))</f>
        <v>13</v>
      </c>
      <c r="AF27" s="0" t="n">
        <f aca="false">IF(COUNT(AF4:AF23)=0,0,MIN(AF4:AF23))</f>
        <v>13</v>
      </c>
      <c r="AG27" s="0" t="n">
        <f aca="false">IF(COUNT(AG4:AG23)=0,0,MIN(AG4:AG23))</f>
        <v>13</v>
      </c>
      <c r="AH27" s="0" t="n">
        <f aca="false">IF(COUNT(AH4:AH23)=0,0,MIN(AH4:AH23))</f>
        <v>13</v>
      </c>
      <c r="AI27" s="0" t="n">
        <f aca="false">IF(COUNT(AI4:AI23)=0,0,MIN(AI4:AI23))</f>
        <v>13</v>
      </c>
      <c r="AJ27" s="0" t="n">
        <f aca="false">IF(COUNT(AJ4:AJ23)=0,0,MIN(AJ4:AJ23))</f>
        <v>13</v>
      </c>
      <c r="AK27" s="0" t="n">
        <f aca="false">IF(COUNT(AK4:AK23)=0,0,MIN(AK4:AK23))</f>
        <v>13</v>
      </c>
      <c r="AL27" s="0" t="n">
        <f aca="false">IF(COUNT(AL4:AL23)=0,0,MIN(AL4:AL23))</f>
        <v>13</v>
      </c>
      <c r="AM27" s="0" t="n">
        <f aca="false">IF(COUNT(AM4:AM23)=0,0,MIN(AM4:AM23))</f>
        <v>13</v>
      </c>
      <c r="AN27" s="0" t="n">
        <f aca="false">IF(COUNT(AN4:AN23)=0,0,MIN(AN4:AN23))</f>
        <v>13</v>
      </c>
      <c r="AO27" s="0" t="n">
        <f aca="false">IF(COUNT(AO4:AO23)=0,0,MIN(AO4:AO23))</f>
        <v>13</v>
      </c>
      <c r="AP27" s="0" t="n">
        <f aca="false">IF(COUNT(AP4:AP23)=0,0,MIN(AP4:AP23))</f>
        <v>13</v>
      </c>
      <c r="AQ27" s="0" t="n">
        <f aca="false">IF(COUNT(AQ4:AQ23)=0,0,MIN(AQ4:AQ23))</f>
        <v>13</v>
      </c>
    </row>
    <row r="28" customFormat="false" ht="15" hidden="false" customHeight="false" outlineLevel="0" collapsed="false">
      <c r="C28" s="0" t="s">
        <v>242</v>
      </c>
      <c r="D28" s="0" t="n">
        <f aca="false">Dashboard!$H$3</f>
        <v>109</v>
      </c>
      <c r="E28" s="0" t="n">
        <f aca="false">Dashboard!$H$3</f>
        <v>109</v>
      </c>
      <c r="F28" s="0" t="n">
        <f aca="false">Dashboard!$H$3</f>
        <v>109</v>
      </c>
      <c r="G28" s="0" t="n">
        <f aca="false">Dashboard!$H$3</f>
        <v>109</v>
      </c>
      <c r="H28" s="0" t="n">
        <f aca="false">Dashboard!$H$3</f>
        <v>109</v>
      </c>
      <c r="I28" s="0" t="n">
        <f aca="false">Dashboard!$H$3</f>
        <v>109</v>
      </c>
      <c r="J28" s="0" t="n">
        <f aca="false">Dashboard!$H$3</f>
        <v>109</v>
      </c>
      <c r="K28" s="0" t="n">
        <f aca="false">Dashboard!$H$3</f>
        <v>109</v>
      </c>
      <c r="L28" s="0" t="n">
        <f aca="false">Dashboard!$H$3</f>
        <v>109</v>
      </c>
      <c r="M28" s="0" t="n">
        <f aca="false">Dashboard!$H$3</f>
        <v>109</v>
      </c>
      <c r="N28" s="0" t="n">
        <f aca="false">Dashboard!$H$3</f>
        <v>109</v>
      </c>
      <c r="O28" s="0" t="n">
        <f aca="false">Dashboard!$H$3</f>
        <v>109</v>
      </c>
      <c r="P28" s="0" t="n">
        <f aca="false">Dashboard!$H$3</f>
        <v>109</v>
      </c>
      <c r="Q28" s="0" t="n">
        <f aca="false">Dashboard!$H$3</f>
        <v>109</v>
      </c>
      <c r="R28" s="0" t="n">
        <f aca="false">Dashboard!$H$3</f>
        <v>109</v>
      </c>
      <c r="S28" s="0" t="n">
        <f aca="false">Dashboard!$H$3</f>
        <v>109</v>
      </c>
      <c r="T28" s="0" t="n">
        <f aca="false">Dashboard!$H$3</f>
        <v>109</v>
      </c>
      <c r="U28" s="0" t="n">
        <f aca="false">Dashboard!$H$3</f>
        <v>109</v>
      </c>
      <c r="V28" s="0" t="n">
        <f aca="false">Dashboard!$H$3</f>
        <v>109</v>
      </c>
      <c r="W28" s="0" t="n">
        <f aca="false">Dashboard!$H$3</f>
        <v>109</v>
      </c>
      <c r="X28" s="0" t="n">
        <f aca="false">Dashboard!$H$3</f>
        <v>109</v>
      </c>
      <c r="Y28" s="0" t="n">
        <f aca="false">Dashboard!$H$3</f>
        <v>109</v>
      </c>
      <c r="Z28" s="0" t="n">
        <f aca="false">Dashboard!$H$3</f>
        <v>109</v>
      </c>
      <c r="AA28" s="0" t="n">
        <f aca="false">Dashboard!$H$3</f>
        <v>109</v>
      </c>
      <c r="AB28" s="0" t="n">
        <f aca="false">Dashboard!$H$3</f>
        <v>109</v>
      </c>
      <c r="AC28" s="0" t="n">
        <f aca="false">Dashboard!$H$3</f>
        <v>109</v>
      </c>
      <c r="AD28" s="0" t="n">
        <f aca="false">Dashboard!$H$3</f>
        <v>109</v>
      </c>
      <c r="AE28" s="0" t="n">
        <f aca="false">Dashboard!$H$3</f>
        <v>109</v>
      </c>
      <c r="AF28" s="0" t="n">
        <f aca="false">Dashboard!$H$3</f>
        <v>109</v>
      </c>
      <c r="AG28" s="0" t="n">
        <f aca="false">Dashboard!$H$3</f>
        <v>109</v>
      </c>
      <c r="AH28" s="0" t="n">
        <f aca="false">Dashboard!$H$3</f>
        <v>109</v>
      </c>
      <c r="AI28" s="0" t="n">
        <f aca="false">Dashboard!$H$3</f>
        <v>109</v>
      </c>
      <c r="AJ28" s="0" t="n">
        <f aca="false">Dashboard!$H$3</f>
        <v>109</v>
      </c>
      <c r="AK28" s="0" t="n">
        <f aca="false">Dashboard!$H$3</f>
        <v>109</v>
      </c>
      <c r="AL28" s="0" t="n">
        <f aca="false">Dashboard!$H$3</f>
        <v>109</v>
      </c>
      <c r="AM28" s="0" t="n">
        <f aca="false">Dashboard!$H$3</f>
        <v>109</v>
      </c>
      <c r="AN28" s="0" t="n">
        <f aca="false">Dashboard!$H$3</f>
        <v>109</v>
      </c>
      <c r="AO28" s="0" t="n">
        <f aca="false">Dashboard!$H$3</f>
        <v>109</v>
      </c>
      <c r="AP28" s="0" t="n">
        <f aca="false">Dashboard!$H$3</f>
        <v>109</v>
      </c>
      <c r="AQ28" s="0" t="n">
        <f aca="false">Dashboard!$H$3</f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243</v>
      </c>
    </row>
    <row r="2" customFormat="false" ht="15" hidden="false" customHeight="false" outlineLevel="0" collapsed="false">
      <c r="A2" s="0" t="s">
        <v>244</v>
      </c>
      <c r="B2" s="90" t="n">
        <f aca="false">Gantt!$C$4-WEEKDAY(Gantt!$C$4,2)+1+-7</f>
        <v>46251</v>
      </c>
      <c r="C2" s="90" t="n">
        <f aca="false">Gantt!$C$4-WEEKDAY(Gantt!$C$4,2)+1+0</f>
        <v>46258</v>
      </c>
      <c r="D2" s="90" t="n">
        <f aca="false">Gantt!$C$4-WEEKDAY(Gantt!$C$4,2)+1+7</f>
        <v>46265</v>
      </c>
      <c r="E2" s="90" t="n">
        <f aca="false">Gantt!$C$4-WEEKDAY(Gantt!$C$4,2)+1+14</f>
        <v>46272</v>
      </c>
      <c r="F2" s="90" t="n">
        <f aca="false">Gantt!$C$4-WEEKDAY(Gantt!$C$4,2)+1+21</f>
        <v>46279</v>
      </c>
      <c r="G2" s="90" t="n">
        <f aca="false">Gantt!$C$4-WEEKDAY(Gantt!$C$4,2)+1+28</f>
        <v>46286</v>
      </c>
      <c r="H2" s="90" t="n">
        <f aca="false">Gantt!$C$4-WEEKDAY(Gantt!$C$4,2)+1+35</f>
        <v>46293</v>
      </c>
      <c r="I2" s="90" t="n">
        <f aca="false">Gantt!$C$4-WEEKDAY(Gantt!$C$4,2)+1+42</f>
        <v>46300</v>
      </c>
      <c r="J2" s="90" t="n">
        <f aca="false">Gantt!$C$4-WEEKDAY(Gantt!$C$4,2)+1+49</f>
        <v>46307</v>
      </c>
      <c r="K2" s="90" t="n">
        <f aca="false">Gantt!$C$4-WEEKDAY(Gantt!$C$4,2)+1+56</f>
        <v>46314</v>
      </c>
      <c r="L2" s="90" t="n">
        <f aca="false">Gantt!$C$4-WEEKDAY(Gantt!$C$4,2)+1+63</f>
        <v>46321</v>
      </c>
      <c r="M2" s="90" t="n">
        <f aca="false">Gantt!$C$4-WEEKDAY(Gantt!$C$4,2)+1+70</f>
        <v>46328</v>
      </c>
      <c r="N2" s="90" t="n">
        <f aca="false">Gantt!$C$4-WEEKDAY(Gantt!$C$4,2)+1+77</f>
        <v>46335</v>
      </c>
      <c r="O2" s="90" t="n">
        <f aca="false">Gantt!$C$4-WEEKDAY(Gantt!$C$4,2)+1+84</f>
        <v>46342</v>
      </c>
      <c r="P2" s="90" t="n">
        <f aca="false">Gantt!$C$4-WEEKDAY(Gantt!$C$4,2)+1+91</f>
        <v>46349</v>
      </c>
      <c r="Q2" s="90" t="n">
        <f aca="false">Gantt!$C$4-WEEKDAY(Gantt!$C$4,2)+1+98</f>
        <v>46356</v>
      </c>
      <c r="R2" s="90" t="n">
        <f aca="false">Gantt!$C$4-WEEKDAY(Gantt!$C$4,2)+1+105</f>
        <v>46363</v>
      </c>
      <c r="S2" s="90" t="n">
        <f aca="false">Gantt!$C$4-WEEKDAY(Gantt!$C$4,2)+1+112</f>
        <v>46370</v>
      </c>
      <c r="T2" s="90" t="n">
        <f aca="false">Gantt!$C$4-WEEKDAY(Gantt!$C$4,2)+1+119</f>
        <v>46377</v>
      </c>
      <c r="U2" s="90" t="n">
        <f aca="false">Gantt!$C$4-WEEKDAY(Gantt!$C$4,2)+1+126</f>
        <v>46384</v>
      </c>
      <c r="V2" s="90" t="n">
        <f aca="false">Gantt!$C$4-WEEKDAY(Gantt!$C$4,2)+1+133</f>
        <v>46391</v>
      </c>
      <c r="W2" s="90" t="n">
        <f aca="false">Gantt!$C$4-WEEKDAY(Gantt!$C$4,2)+1+140</f>
        <v>46398</v>
      </c>
      <c r="X2" s="90" t="n">
        <f aca="false">Gantt!$C$4-WEEKDAY(Gantt!$C$4,2)+1+147</f>
        <v>46405</v>
      </c>
      <c r="Y2" s="90" t="n">
        <f aca="false">Gantt!$C$4-WEEKDAY(Gantt!$C$4,2)+1+154</f>
        <v>46412</v>
      </c>
      <c r="Z2" s="90" t="n">
        <f aca="false">Gantt!$C$4-WEEKDAY(Gantt!$C$4,2)+1+161</f>
        <v>46419</v>
      </c>
      <c r="AA2" s="90" t="n">
        <f aca="false">Gantt!$C$4-WEEKDAY(Gantt!$C$4,2)+1+168</f>
        <v>46426</v>
      </c>
      <c r="AB2" s="90" t="n">
        <f aca="false">Gantt!$C$4-WEEKDAY(Gantt!$C$4,2)+1+175</f>
        <v>46433</v>
      </c>
      <c r="AC2" s="90" t="n">
        <f aca="false">Gantt!$C$4-WEEKDAY(Gantt!$C$4,2)+1+182</f>
        <v>46440</v>
      </c>
      <c r="AD2" s="90" t="n">
        <f aca="false">Gantt!$C$4-WEEKDAY(Gantt!$C$4,2)+1+189</f>
        <v>46447</v>
      </c>
      <c r="AE2" s="90" t="n">
        <f aca="false">Gantt!$C$4-WEEKDAY(Gantt!$C$4,2)+1+196</f>
        <v>46454</v>
      </c>
      <c r="AF2" s="90" t="n">
        <f aca="false">Gantt!$C$4-WEEKDAY(Gantt!$C$4,2)+1+203</f>
        <v>46461</v>
      </c>
      <c r="AG2" s="90" t="n">
        <f aca="false">Gantt!$C$4-WEEKDAY(Gantt!$C$4,2)+1+210</f>
        <v>46468</v>
      </c>
      <c r="AH2" s="90" t="n">
        <f aca="false">Gantt!$C$4-WEEKDAY(Gantt!$C$4,2)+1+217</f>
        <v>46475</v>
      </c>
      <c r="AI2" s="90" t="n">
        <f aca="false">Gantt!$C$4-WEEKDAY(Gantt!$C$4,2)+1+224</f>
        <v>46482</v>
      </c>
      <c r="AJ2" s="90" t="n">
        <f aca="false">Gantt!$C$4-WEEKDAY(Gantt!$C$4,2)+1+231</f>
        <v>46489</v>
      </c>
      <c r="AK2" s="90" t="n">
        <f aca="false">Gantt!$C$4-WEEKDAY(Gantt!$C$4,2)+1+238</f>
        <v>46496</v>
      </c>
      <c r="AL2" s="90" t="n">
        <f aca="false">Gantt!$C$4-WEEKDAY(Gantt!$C$4,2)+1+245</f>
        <v>46503</v>
      </c>
      <c r="AM2" s="90" t="n">
        <f aca="false">Gantt!$C$4-WEEKDAY(Gantt!$C$4,2)+1+252</f>
        <v>46510</v>
      </c>
      <c r="AN2" s="90" t="n">
        <f aca="false">Gantt!$C$4-WEEKDAY(Gantt!$C$4,2)+1+259</f>
        <v>46517</v>
      </c>
      <c r="AO2" s="90" t="n">
        <f aca="false">Gantt!$C$4-WEEKDAY(Gantt!$C$4,2)+1+266</f>
        <v>46524</v>
      </c>
      <c r="AP2" s="90" t="n">
        <f aca="false">Gantt!$C$4-WEEKDAY(Gantt!$C$4,2)+1+273</f>
        <v>46531</v>
      </c>
      <c r="AQ2" s="90" t="n">
        <f aca="false">Gantt!$C$4-WEEKDAY(Gantt!$C$4,2)+1+280</f>
        <v>46538</v>
      </c>
      <c r="AR2" s="90" t="n">
        <f aca="false">Gantt!$C$4-WEEKDAY(Gantt!$C$4,2)+1+287</f>
        <v>46545</v>
      </c>
      <c r="AS2" s="90" t="n">
        <f aca="false">Gantt!$C$4-WEEKDAY(Gantt!$C$4,2)+1+294</f>
        <v>46552</v>
      </c>
      <c r="AT2" s="90" t="n">
        <f aca="false">Gantt!$C$4-WEEKDAY(Gantt!$C$4,2)+1+301</f>
        <v>46559</v>
      </c>
      <c r="AU2" s="90" t="n">
        <f aca="false">Gantt!$C$4-WEEKDAY(Gantt!$C$4,2)+1+308</f>
        <v>46566</v>
      </c>
      <c r="AV2" s="90" t="n">
        <f aca="false">Gantt!$C$4-WEEKDAY(Gantt!$C$4,2)+1+315</f>
        <v>46573</v>
      </c>
      <c r="AW2" s="90" t="n">
        <f aca="false">Gantt!$C$4-WEEKDAY(Gantt!$C$4,2)+1+322</f>
        <v>46580</v>
      </c>
      <c r="AX2" s="90" t="n">
        <f aca="false">Gantt!$C$4-WEEKDAY(Gantt!$C$4,2)+1+329</f>
        <v>46587</v>
      </c>
      <c r="AY2" s="90" t="n">
        <f aca="false">Gantt!$C$4-WEEKDAY(Gantt!$C$4,2)+1+336</f>
        <v>46594</v>
      </c>
      <c r="AZ2" s="90" t="n">
        <f aca="false">Gantt!$C$4-WEEKDAY(Gantt!$C$4,2)+1+343</f>
        <v>46601</v>
      </c>
      <c r="BA2" s="90" t="n">
        <f aca="false">Gantt!$C$4-WEEKDAY(Gantt!$C$4,2)+1+350</f>
        <v>46608</v>
      </c>
      <c r="BB2" s="90" t="n">
        <f aca="false">Gantt!$C$4-WEEKDAY(Gantt!$C$4,2)+1+357</f>
        <v>46615</v>
      </c>
      <c r="BC2" s="90" t="n">
        <f aca="false">Gantt!$C$4-WEEKDAY(Gantt!$C$4,2)+1+364</f>
        <v>46622</v>
      </c>
      <c r="BD2" s="90" t="n">
        <f aca="false">Gantt!$C$4-WEEKDAY(Gantt!$C$4,2)+1+371</f>
        <v>46629</v>
      </c>
    </row>
    <row r="4" customFormat="false" ht="15" hidden="false" customHeight="false" outlineLevel="0" collapsed="false">
      <c r="A4" s="0" t="str">
        <f aca="false">Contracts!$A$6</f>
        <v>WKE-R24P-T1-C</v>
      </c>
      <c r="B4" s="0" t="n">
        <f aca="false">IF($A4="","",SUMIFS('Weekly Plan'!$D$6:$D$1505,'Weekly Plan'!$A$6:$A$1505,$A4,'Weekly Plan'!$E$6:$E$1505,"&lt;="&amp;B$2))</f>
        <v>0</v>
      </c>
      <c r="C4" s="0" t="n">
        <f aca="false">IF($A4="","",SUMIFS('Weekly Plan'!$D$6:$D$1505,'Weekly Plan'!$A$6:$A$1505,$A4,'Weekly Plan'!$E$6:$E$1505,"&lt;="&amp;C$2))</f>
        <v>0</v>
      </c>
      <c r="D4" s="0" t="n">
        <f aca="false">IF($A4="","",SUMIFS('Weekly Plan'!$D$6:$D$1505,'Weekly Plan'!$A$6:$A$1505,$A4,'Weekly Plan'!$E$6:$E$1505,"&lt;="&amp;D$2))</f>
        <v>0</v>
      </c>
      <c r="E4" s="0" t="n">
        <f aca="false">IF($A4="","",SUMIFS('Weekly Plan'!$D$6:$D$1505,'Weekly Plan'!$A$6:$A$1505,$A4,'Weekly Plan'!$E$6:$E$1505,"&lt;="&amp;E$2))</f>
        <v>0</v>
      </c>
      <c r="F4" s="0" t="n">
        <f aca="false">IF($A4="","",SUMIFS('Weekly Plan'!$D$6:$D$1505,'Weekly Plan'!$A$6:$A$1505,$A4,'Weekly Plan'!$E$6:$E$1505,"&lt;="&amp;F$2))</f>
        <v>0</v>
      </c>
      <c r="G4" s="0" t="n">
        <f aca="false">IF($A4="","",SUMIFS('Weekly Plan'!$D$6:$D$1505,'Weekly Plan'!$A$6:$A$1505,$A4,'Weekly Plan'!$E$6:$E$1505,"&lt;="&amp;G$2))</f>
        <v>0</v>
      </c>
      <c r="H4" s="0" t="n">
        <f aca="false">IF($A4="","",SUMIFS('Weekly Plan'!$D$6:$D$1505,'Weekly Plan'!$A$6:$A$1505,$A4,'Weekly Plan'!$E$6:$E$1505,"&lt;="&amp;H$2))</f>
        <v>0</v>
      </c>
      <c r="I4" s="0" t="n">
        <f aca="false">IF($A4="","",SUMIFS('Weekly Plan'!$D$6:$D$1505,'Weekly Plan'!$A$6:$A$1505,$A4,'Weekly Plan'!$E$6:$E$1505,"&lt;="&amp;I$2))</f>
        <v>0</v>
      </c>
      <c r="J4" s="0" t="n">
        <f aca="false">IF($A4="","",SUMIFS('Weekly Plan'!$D$6:$D$1505,'Weekly Plan'!$A$6:$A$1505,$A4,'Weekly Plan'!$E$6:$E$1505,"&lt;="&amp;J$2))</f>
        <v>0</v>
      </c>
      <c r="K4" s="0" t="n">
        <f aca="false">IF($A4="","",SUMIFS('Weekly Plan'!$D$6:$D$1505,'Weekly Plan'!$A$6:$A$1505,$A4,'Weekly Plan'!$E$6:$E$1505,"&lt;="&amp;K$2))</f>
        <v>0</v>
      </c>
      <c r="L4" s="0" t="n">
        <f aca="false">IF($A4="","",SUMIFS('Weekly Plan'!$D$6:$D$1505,'Weekly Plan'!$A$6:$A$1505,$A4,'Weekly Plan'!$E$6:$E$1505,"&lt;="&amp;L$2))</f>
        <v>1</v>
      </c>
      <c r="M4" s="0" t="n">
        <f aca="false">IF($A4="","",SUMIFS('Weekly Plan'!$D$6:$D$1505,'Weekly Plan'!$A$6:$A$1505,$A4,'Weekly Plan'!$E$6:$E$1505,"&lt;="&amp;M$2))</f>
        <v>2</v>
      </c>
      <c r="N4" s="0" t="n">
        <f aca="false">IF($A4="","",SUMIFS('Weekly Plan'!$D$6:$D$1505,'Weekly Plan'!$A$6:$A$1505,$A4,'Weekly Plan'!$E$6:$E$1505,"&lt;="&amp;N$2))</f>
        <v>3</v>
      </c>
      <c r="O4" s="0" t="n">
        <f aca="false">IF($A4="","",SUMIFS('Weekly Plan'!$D$6:$D$1505,'Weekly Plan'!$A$6:$A$1505,$A4,'Weekly Plan'!$E$6:$E$1505,"&lt;="&amp;O$2))</f>
        <v>4</v>
      </c>
      <c r="P4" s="0" t="n">
        <f aca="false">IF($A4="","",SUMIFS('Weekly Plan'!$D$6:$D$1505,'Weekly Plan'!$A$6:$A$1505,$A4,'Weekly Plan'!$E$6:$E$1505,"&lt;="&amp;P$2))</f>
        <v>6</v>
      </c>
      <c r="Q4" s="0" t="n">
        <f aca="false">IF($A4="","",SUMIFS('Weekly Plan'!$D$6:$D$1505,'Weekly Plan'!$A$6:$A$1505,$A4,'Weekly Plan'!$E$6:$E$1505,"&lt;="&amp;Q$2))</f>
        <v>7</v>
      </c>
      <c r="R4" s="0" t="n">
        <f aca="false">IF($A4="","",SUMIFS('Weekly Plan'!$D$6:$D$1505,'Weekly Plan'!$A$6:$A$1505,$A4,'Weekly Plan'!$E$6:$E$1505,"&lt;="&amp;R$2))</f>
        <v>7</v>
      </c>
      <c r="S4" s="0" t="n">
        <f aca="false">IF($A4="","",SUMIFS('Weekly Plan'!$D$6:$D$1505,'Weekly Plan'!$A$6:$A$1505,$A4,'Weekly Plan'!$E$6:$E$1505,"&lt;="&amp;S$2))</f>
        <v>7</v>
      </c>
      <c r="T4" s="0" t="n">
        <f aca="false">IF($A4="","",SUMIFS('Weekly Plan'!$D$6:$D$1505,'Weekly Plan'!$A$6:$A$1505,$A4,'Weekly Plan'!$E$6:$E$1505,"&lt;="&amp;T$2))</f>
        <v>7</v>
      </c>
      <c r="U4" s="0" t="n">
        <f aca="false">IF($A4="","",SUMIFS('Weekly Plan'!$D$6:$D$1505,'Weekly Plan'!$A$6:$A$1505,$A4,'Weekly Plan'!$E$6:$E$1505,"&lt;="&amp;U$2))</f>
        <v>7</v>
      </c>
      <c r="V4" s="0" t="n">
        <f aca="false">IF($A4="","",SUMIFS('Weekly Plan'!$D$6:$D$1505,'Weekly Plan'!$A$6:$A$1505,$A4,'Weekly Plan'!$E$6:$E$1505,"&lt;="&amp;V$2))</f>
        <v>7</v>
      </c>
      <c r="W4" s="0" t="n">
        <f aca="false">IF($A4="","",SUMIFS('Weekly Plan'!$D$6:$D$1505,'Weekly Plan'!$A$6:$A$1505,$A4,'Weekly Plan'!$E$6:$E$1505,"&lt;="&amp;W$2))</f>
        <v>7</v>
      </c>
      <c r="X4" s="0" t="n">
        <f aca="false">IF($A4="","",SUMIFS('Weekly Plan'!$D$6:$D$1505,'Weekly Plan'!$A$6:$A$1505,$A4,'Weekly Plan'!$E$6:$E$1505,"&lt;="&amp;X$2))</f>
        <v>7</v>
      </c>
      <c r="Y4" s="0" t="n">
        <f aca="false">IF($A4="","",SUMIFS('Weekly Plan'!$D$6:$D$1505,'Weekly Plan'!$A$6:$A$1505,$A4,'Weekly Plan'!$E$6:$E$1505,"&lt;="&amp;Y$2))</f>
        <v>8</v>
      </c>
      <c r="Z4" s="0" t="n">
        <f aca="false">IF($A4="","",SUMIFS('Weekly Plan'!$D$6:$D$1505,'Weekly Plan'!$A$6:$A$1505,$A4,'Weekly Plan'!$E$6:$E$1505,"&lt;="&amp;Z$2))</f>
        <v>12</v>
      </c>
      <c r="AA4" s="0" t="n">
        <f aca="false">IF($A4="","",SUMIFS('Weekly Plan'!$D$6:$D$1505,'Weekly Plan'!$A$6:$A$1505,$A4,'Weekly Plan'!$E$6:$E$1505,"&lt;="&amp;AA$2))</f>
        <v>15</v>
      </c>
      <c r="AB4" s="0" t="n">
        <f aca="false">IF($A4="","",SUMIFS('Weekly Plan'!$D$6:$D$1505,'Weekly Plan'!$A$6:$A$1505,$A4,'Weekly Plan'!$E$6:$E$1505,"&lt;="&amp;AB$2))</f>
        <v>19</v>
      </c>
      <c r="AC4" s="0" t="n">
        <f aca="false">IF($A4="","",SUMIFS('Weekly Plan'!$D$6:$D$1505,'Weekly Plan'!$A$6:$A$1505,$A4,'Weekly Plan'!$E$6:$E$1505,"&lt;="&amp;AC$2))</f>
        <v>23</v>
      </c>
      <c r="AD4" s="0" t="n">
        <f aca="false">IF($A4="","",SUMIFS('Weekly Plan'!$D$6:$D$1505,'Weekly Plan'!$A$6:$A$1505,$A4,'Weekly Plan'!$E$6:$E$1505,"&lt;="&amp;AD$2))</f>
        <v>27</v>
      </c>
      <c r="AE4" s="0" t="n">
        <f aca="false">IF($A4="","",SUMIFS('Weekly Plan'!$D$6:$D$1505,'Weekly Plan'!$A$6:$A$1505,$A4,'Weekly Plan'!$E$6:$E$1505,"&lt;="&amp;AE$2))</f>
        <v>32</v>
      </c>
      <c r="AF4" s="0" t="n">
        <f aca="false">IF($A4="","",SUMIFS('Weekly Plan'!$D$6:$D$1505,'Weekly Plan'!$A$6:$A$1505,$A4,'Weekly Plan'!$E$6:$E$1505,"&lt;="&amp;AF$2))</f>
        <v>36</v>
      </c>
      <c r="AG4" s="0" t="n">
        <f aca="false">IF($A4="","",SUMIFS('Weekly Plan'!$D$6:$D$1505,'Weekly Plan'!$A$6:$A$1505,$A4,'Weekly Plan'!$E$6:$E$1505,"&lt;="&amp;AG$2))</f>
        <v>40</v>
      </c>
      <c r="AH4" s="0" t="n">
        <f aca="false">IF($A4="","",SUMIFS('Weekly Plan'!$D$6:$D$1505,'Weekly Plan'!$A$6:$A$1505,$A4,'Weekly Plan'!$E$6:$E$1505,"&lt;="&amp;AH$2))</f>
        <v>45</v>
      </c>
      <c r="AI4" s="0" t="n">
        <f aca="false">IF($A4="","",SUMIFS('Weekly Plan'!$D$6:$D$1505,'Weekly Plan'!$A$6:$A$1505,$A4,'Weekly Plan'!$E$6:$E$1505,"&lt;="&amp;AI$2))</f>
        <v>49</v>
      </c>
      <c r="AJ4" s="0" t="n">
        <f aca="false">IF($A4="","",SUMIFS('Weekly Plan'!$D$6:$D$1505,'Weekly Plan'!$A$6:$A$1505,$A4,'Weekly Plan'!$E$6:$E$1505,"&lt;="&amp;AJ$2))</f>
        <v>52</v>
      </c>
      <c r="AK4" s="0" t="n">
        <f aca="false">IF($A4="","",SUMIFS('Weekly Plan'!$D$6:$D$1505,'Weekly Plan'!$A$6:$A$1505,$A4,'Weekly Plan'!$E$6:$E$1505,"&lt;="&amp;AK$2))</f>
        <v>56</v>
      </c>
      <c r="AL4" s="0" t="n">
        <f aca="false">IF($A4="","",SUMIFS('Weekly Plan'!$D$6:$D$1505,'Weekly Plan'!$A$6:$A$1505,$A4,'Weekly Plan'!$E$6:$E$1505,"&lt;="&amp;AL$2))</f>
        <v>60</v>
      </c>
      <c r="AM4" s="0" t="n">
        <f aca="false">IF($A4="","",SUMIFS('Weekly Plan'!$D$6:$D$1505,'Weekly Plan'!$A$6:$A$1505,$A4,'Weekly Plan'!$E$6:$E$1505,"&lt;="&amp;AM$2))</f>
        <v>62</v>
      </c>
      <c r="AN4" s="0" t="n">
        <f aca="false">IF($A4="","",SUMIFS('Weekly Plan'!$D$6:$D$1505,'Weekly Plan'!$A$6:$A$1505,$A4,'Weekly Plan'!$E$6:$E$1505,"&lt;="&amp;AN$2))</f>
        <v>63</v>
      </c>
      <c r="AO4" s="0" t="n">
        <f aca="false">IF($A4="","",SUMIFS('Weekly Plan'!$D$6:$D$1505,'Weekly Plan'!$A$6:$A$1505,$A4,'Weekly Plan'!$E$6:$E$1505,"&lt;="&amp;AO$2))</f>
        <v>63</v>
      </c>
      <c r="AP4" s="0" t="n">
        <f aca="false">IF($A4="","",SUMIFS('Weekly Plan'!$D$6:$D$1505,'Weekly Plan'!$A$6:$A$1505,$A4,'Weekly Plan'!$E$6:$E$1505,"&lt;="&amp;AP$2))</f>
        <v>63</v>
      </c>
      <c r="AQ4" s="0" t="n">
        <f aca="false">IF($A4="","",SUMIFS('Weekly Plan'!$D$6:$D$1505,'Weekly Plan'!$A$6:$A$1505,$A4,'Weekly Plan'!$E$6:$E$1505,"&lt;="&amp;AQ$2))</f>
        <v>63</v>
      </c>
      <c r="AR4" s="0" t="n">
        <f aca="false">IF($A4="","",SUMIFS('Weekly Plan'!$D$6:$D$1505,'Weekly Plan'!$A$6:$A$1505,$A4,'Weekly Plan'!$E$6:$E$1505,"&lt;="&amp;AR$2))</f>
        <v>63</v>
      </c>
      <c r="AS4" s="0" t="n">
        <f aca="false">IF($A4="","",SUMIFS('Weekly Plan'!$D$6:$D$1505,'Weekly Plan'!$A$6:$A$1505,$A4,'Weekly Plan'!$E$6:$E$1505,"&lt;="&amp;AS$2))</f>
        <v>63</v>
      </c>
      <c r="AT4" s="0" t="n">
        <f aca="false">IF($A4="","",SUMIFS('Weekly Plan'!$D$6:$D$1505,'Weekly Plan'!$A$6:$A$1505,$A4,'Weekly Plan'!$E$6:$E$1505,"&lt;="&amp;AT$2))</f>
        <v>63</v>
      </c>
      <c r="AU4" s="0" t="n">
        <f aca="false">IF($A4="","",SUMIFS('Weekly Plan'!$D$6:$D$1505,'Weekly Plan'!$A$6:$A$1505,$A4,'Weekly Plan'!$E$6:$E$1505,"&lt;="&amp;AU$2))</f>
        <v>68</v>
      </c>
      <c r="AV4" s="0" t="n">
        <f aca="false">IF($A4="","",SUMIFS('Weekly Plan'!$D$6:$D$1505,'Weekly Plan'!$A$6:$A$1505,$A4,'Weekly Plan'!$E$6:$E$1505,"&lt;="&amp;AV$2))</f>
        <v>74</v>
      </c>
      <c r="AW4" s="0" t="n">
        <f aca="false">IF($A4="","",SUMIFS('Weekly Plan'!$D$6:$D$1505,'Weekly Plan'!$A$6:$A$1505,$A4,'Weekly Plan'!$E$6:$E$1505,"&lt;="&amp;AW$2))</f>
        <v>81</v>
      </c>
      <c r="AX4" s="0" t="n">
        <f aca="false">IF($A4="","",SUMIFS('Weekly Plan'!$D$6:$D$1505,'Weekly Plan'!$A$6:$A$1505,$A4,'Weekly Plan'!$E$6:$E$1505,"&lt;="&amp;AX$2))</f>
        <v>88</v>
      </c>
      <c r="AY4" s="0" t="n">
        <f aca="false">IF($A4="","",SUMIFS('Weekly Plan'!$D$6:$D$1505,'Weekly Plan'!$A$6:$A$1505,$A4,'Weekly Plan'!$E$6:$E$1505,"&lt;="&amp;AY$2))</f>
        <v>95</v>
      </c>
      <c r="AZ4" s="0" t="n">
        <f aca="false">IF($A4="","",SUMIFS('Weekly Plan'!$D$6:$D$1505,'Weekly Plan'!$A$6:$A$1505,$A4,'Weekly Plan'!$E$6:$E$1505,"&lt;="&amp;AZ$2))</f>
        <v>102</v>
      </c>
      <c r="BA4" s="0" t="n">
        <f aca="false">IF($A4="","",SUMIFS('Weekly Plan'!$D$6:$D$1505,'Weekly Plan'!$A$6:$A$1505,$A4,'Weekly Plan'!$E$6:$E$1505,"&lt;="&amp;BA$2))</f>
        <v>109</v>
      </c>
      <c r="BB4" s="0" t="n">
        <f aca="false">IF($A4="","",SUMIFS('Weekly Plan'!$D$6:$D$1505,'Weekly Plan'!$A$6:$A$1505,$A4,'Weekly Plan'!$E$6:$E$1505,"&lt;="&amp;BB$2))</f>
        <v>116</v>
      </c>
      <c r="BC4" s="0" t="n">
        <f aca="false">IF($A4="","",SUMIFS('Weekly Plan'!$D$6:$D$1505,'Weekly Plan'!$A$6:$A$1505,$A4,'Weekly Plan'!$E$6:$E$1505,"&lt;="&amp;BC$2))</f>
        <v>124</v>
      </c>
      <c r="BD4" s="0" t="n">
        <f aca="false">IF($A4="","",SUMIFS('Weekly Plan'!$D$6:$D$1505,'Weekly Plan'!$A$6:$A$1505,$A4,'Weekly Plan'!$E$6:$E$1505,"&lt;="&amp;BD$2))</f>
        <v>131</v>
      </c>
    </row>
    <row r="5" customFormat="false" ht="15" hidden="false" customHeight="false" outlineLevel="0" collapsed="false">
      <c r="A5" s="0" t="str">
        <f aca="false">Contracts!$A$7</f>
        <v>WBA-R24P-T1-C</v>
      </c>
      <c r="B5" s="0" t="n">
        <f aca="false">IF($A5="","",SUMIFS('Weekly Plan'!$D$6:$D$1505,'Weekly Plan'!$A$6:$A$1505,$A5,'Weekly Plan'!$E$6:$E$1505,"&lt;="&amp;B$2))</f>
        <v>0</v>
      </c>
      <c r="C5" s="0" t="n">
        <f aca="false">IF($A5="","",SUMIFS('Weekly Plan'!$D$6:$D$1505,'Weekly Plan'!$A$6:$A$1505,$A5,'Weekly Plan'!$E$6:$E$1505,"&lt;="&amp;C$2))</f>
        <v>0</v>
      </c>
      <c r="D5" s="0" t="n">
        <f aca="false">IF($A5="","",SUMIFS('Weekly Plan'!$D$6:$D$1505,'Weekly Plan'!$A$6:$A$1505,$A5,'Weekly Plan'!$E$6:$E$1505,"&lt;="&amp;D$2))</f>
        <v>0</v>
      </c>
      <c r="E5" s="0" t="n">
        <f aca="false">IF($A5="","",SUMIFS('Weekly Plan'!$D$6:$D$1505,'Weekly Plan'!$A$6:$A$1505,$A5,'Weekly Plan'!$E$6:$E$1505,"&lt;="&amp;E$2))</f>
        <v>0</v>
      </c>
      <c r="F5" s="0" t="n">
        <f aca="false">IF($A5="","",SUMIFS('Weekly Plan'!$D$6:$D$1505,'Weekly Plan'!$A$6:$A$1505,$A5,'Weekly Plan'!$E$6:$E$1505,"&lt;="&amp;F$2))</f>
        <v>0</v>
      </c>
      <c r="G5" s="0" t="n">
        <f aca="false">IF($A5="","",SUMIFS('Weekly Plan'!$D$6:$D$1505,'Weekly Plan'!$A$6:$A$1505,$A5,'Weekly Plan'!$E$6:$E$1505,"&lt;="&amp;G$2))</f>
        <v>0</v>
      </c>
      <c r="H5" s="0" t="n">
        <f aca="false">IF($A5="","",SUMIFS('Weekly Plan'!$D$6:$D$1505,'Weekly Plan'!$A$6:$A$1505,$A5,'Weekly Plan'!$E$6:$E$1505,"&lt;="&amp;H$2))</f>
        <v>0</v>
      </c>
      <c r="I5" s="0" t="n">
        <f aca="false">IF($A5="","",SUMIFS('Weekly Plan'!$D$6:$D$1505,'Weekly Plan'!$A$6:$A$1505,$A5,'Weekly Plan'!$E$6:$E$1505,"&lt;="&amp;I$2))</f>
        <v>0</v>
      </c>
      <c r="J5" s="0" t="n">
        <f aca="false">IF($A5="","",SUMIFS('Weekly Plan'!$D$6:$D$1505,'Weekly Plan'!$A$6:$A$1505,$A5,'Weekly Plan'!$E$6:$E$1505,"&lt;="&amp;J$2))</f>
        <v>0</v>
      </c>
      <c r="K5" s="0" t="n">
        <f aca="false">IF($A5="","",SUMIFS('Weekly Plan'!$D$6:$D$1505,'Weekly Plan'!$A$6:$A$1505,$A5,'Weekly Plan'!$E$6:$E$1505,"&lt;="&amp;K$2))</f>
        <v>0</v>
      </c>
      <c r="L5" s="0" t="n">
        <f aca="false">IF($A5="","",SUMIFS('Weekly Plan'!$D$6:$D$1505,'Weekly Plan'!$A$6:$A$1505,$A5,'Weekly Plan'!$E$6:$E$1505,"&lt;="&amp;L$2))</f>
        <v>0</v>
      </c>
      <c r="M5" s="0" t="n">
        <f aca="false">IF($A5="","",SUMIFS('Weekly Plan'!$D$6:$D$1505,'Weekly Plan'!$A$6:$A$1505,$A5,'Weekly Plan'!$E$6:$E$1505,"&lt;="&amp;M$2))</f>
        <v>0</v>
      </c>
      <c r="N5" s="0" t="n">
        <f aca="false">IF($A5="","",SUMIFS('Weekly Plan'!$D$6:$D$1505,'Weekly Plan'!$A$6:$A$1505,$A5,'Weekly Plan'!$E$6:$E$1505,"&lt;="&amp;N$2))</f>
        <v>0</v>
      </c>
      <c r="O5" s="0" t="n">
        <f aca="false">IF($A5="","",SUMIFS('Weekly Plan'!$D$6:$D$1505,'Weekly Plan'!$A$6:$A$1505,$A5,'Weekly Plan'!$E$6:$E$1505,"&lt;="&amp;O$2))</f>
        <v>0</v>
      </c>
      <c r="P5" s="0" t="n">
        <f aca="false">IF($A5="","",SUMIFS('Weekly Plan'!$D$6:$D$1505,'Weekly Plan'!$A$6:$A$1505,$A5,'Weekly Plan'!$E$6:$E$1505,"&lt;="&amp;P$2))</f>
        <v>0</v>
      </c>
      <c r="Q5" s="0" t="n">
        <f aca="false">IF($A5="","",SUMIFS('Weekly Plan'!$D$6:$D$1505,'Weekly Plan'!$A$6:$A$1505,$A5,'Weekly Plan'!$E$6:$E$1505,"&lt;="&amp;Q$2))</f>
        <v>0</v>
      </c>
      <c r="R5" s="0" t="n">
        <f aca="false">IF($A5="","",SUMIFS('Weekly Plan'!$D$6:$D$1505,'Weekly Plan'!$A$6:$A$1505,$A5,'Weekly Plan'!$E$6:$E$1505,"&lt;="&amp;R$2))</f>
        <v>0</v>
      </c>
      <c r="S5" s="0" t="n">
        <f aca="false">IF($A5="","",SUMIFS('Weekly Plan'!$D$6:$D$1505,'Weekly Plan'!$A$6:$A$1505,$A5,'Weekly Plan'!$E$6:$E$1505,"&lt;="&amp;S$2))</f>
        <v>0</v>
      </c>
      <c r="T5" s="0" t="n">
        <f aca="false">IF($A5="","",SUMIFS('Weekly Plan'!$D$6:$D$1505,'Weekly Plan'!$A$6:$A$1505,$A5,'Weekly Plan'!$E$6:$E$1505,"&lt;="&amp;T$2))</f>
        <v>0</v>
      </c>
      <c r="U5" s="0" t="n">
        <f aca="false">IF($A5="","",SUMIFS('Weekly Plan'!$D$6:$D$1505,'Weekly Plan'!$A$6:$A$1505,$A5,'Weekly Plan'!$E$6:$E$1505,"&lt;="&amp;U$2))</f>
        <v>0</v>
      </c>
      <c r="V5" s="0" t="n">
        <f aca="false">IF($A5="","",SUMIFS('Weekly Plan'!$D$6:$D$1505,'Weekly Plan'!$A$6:$A$1505,$A5,'Weekly Plan'!$E$6:$E$1505,"&lt;="&amp;V$2))</f>
        <v>0</v>
      </c>
      <c r="W5" s="0" t="n">
        <f aca="false">IF($A5="","",SUMIFS('Weekly Plan'!$D$6:$D$1505,'Weekly Plan'!$A$6:$A$1505,$A5,'Weekly Plan'!$E$6:$E$1505,"&lt;="&amp;W$2))</f>
        <v>0</v>
      </c>
      <c r="X5" s="0" t="n">
        <f aca="false">IF($A5="","",SUMIFS('Weekly Plan'!$D$6:$D$1505,'Weekly Plan'!$A$6:$A$1505,$A5,'Weekly Plan'!$E$6:$E$1505,"&lt;="&amp;X$2))</f>
        <v>0</v>
      </c>
      <c r="Y5" s="0" t="n">
        <f aca="false">IF($A5="","",SUMIFS('Weekly Plan'!$D$6:$D$1505,'Weekly Plan'!$A$6:$A$1505,$A5,'Weekly Plan'!$E$6:$E$1505,"&lt;="&amp;Y$2))</f>
        <v>0</v>
      </c>
      <c r="Z5" s="0" t="n">
        <f aca="false">IF($A5="","",SUMIFS('Weekly Plan'!$D$6:$D$1505,'Weekly Plan'!$A$6:$A$1505,$A5,'Weekly Plan'!$E$6:$E$1505,"&lt;="&amp;Z$2))</f>
        <v>0</v>
      </c>
      <c r="AA5" s="0" t="n">
        <f aca="false">IF($A5="","",SUMIFS('Weekly Plan'!$D$6:$D$1505,'Weekly Plan'!$A$6:$A$1505,$A5,'Weekly Plan'!$E$6:$E$1505,"&lt;="&amp;AA$2))</f>
        <v>0</v>
      </c>
      <c r="AB5" s="0" t="n">
        <f aca="false">IF($A5="","",SUMIFS('Weekly Plan'!$D$6:$D$1505,'Weekly Plan'!$A$6:$A$1505,$A5,'Weekly Plan'!$E$6:$E$1505,"&lt;="&amp;AB$2))</f>
        <v>0</v>
      </c>
      <c r="AC5" s="0" t="n">
        <f aca="false">IF($A5="","",SUMIFS('Weekly Plan'!$D$6:$D$1505,'Weekly Plan'!$A$6:$A$1505,$A5,'Weekly Plan'!$E$6:$E$1505,"&lt;="&amp;AC$2))</f>
        <v>0</v>
      </c>
      <c r="AD5" s="0" t="n">
        <f aca="false">IF($A5="","",SUMIFS('Weekly Plan'!$D$6:$D$1505,'Weekly Plan'!$A$6:$A$1505,$A5,'Weekly Plan'!$E$6:$E$1505,"&lt;="&amp;AD$2))</f>
        <v>0</v>
      </c>
      <c r="AE5" s="0" t="n">
        <f aca="false">IF($A5="","",SUMIFS('Weekly Plan'!$D$6:$D$1505,'Weekly Plan'!$A$6:$A$1505,$A5,'Weekly Plan'!$E$6:$E$1505,"&lt;="&amp;AE$2))</f>
        <v>0</v>
      </c>
      <c r="AF5" s="0" t="n">
        <f aca="false">IF($A5="","",SUMIFS('Weekly Plan'!$D$6:$D$1505,'Weekly Plan'!$A$6:$A$1505,$A5,'Weekly Plan'!$E$6:$E$1505,"&lt;="&amp;AF$2))</f>
        <v>0</v>
      </c>
      <c r="AG5" s="0" t="n">
        <f aca="false">IF($A5="","",SUMIFS('Weekly Plan'!$D$6:$D$1505,'Weekly Plan'!$A$6:$A$1505,$A5,'Weekly Plan'!$E$6:$E$1505,"&lt;="&amp;AG$2))</f>
        <v>0</v>
      </c>
      <c r="AH5" s="0" t="n">
        <f aca="false">IF($A5="","",SUMIFS('Weekly Plan'!$D$6:$D$1505,'Weekly Plan'!$A$6:$A$1505,$A5,'Weekly Plan'!$E$6:$E$1505,"&lt;="&amp;AH$2))</f>
        <v>0</v>
      </c>
      <c r="AI5" s="0" t="n">
        <f aca="false">IF($A5="","",SUMIFS('Weekly Plan'!$D$6:$D$1505,'Weekly Plan'!$A$6:$A$1505,$A5,'Weekly Plan'!$E$6:$E$1505,"&lt;="&amp;AI$2))</f>
        <v>0</v>
      </c>
      <c r="AJ5" s="0" t="n">
        <f aca="false">IF($A5="","",SUMIFS('Weekly Plan'!$D$6:$D$1505,'Weekly Plan'!$A$6:$A$1505,$A5,'Weekly Plan'!$E$6:$E$1505,"&lt;="&amp;AJ$2))</f>
        <v>0</v>
      </c>
      <c r="AK5" s="0" t="n">
        <f aca="false">IF($A5="","",SUMIFS('Weekly Plan'!$D$6:$D$1505,'Weekly Plan'!$A$6:$A$1505,$A5,'Weekly Plan'!$E$6:$E$1505,"&lt;="&amp;AK$2))</f>
        <v>0</v>
      </c>
      <c r="AL5" s="0" t="n">
        <f aca="false">IF($A5="","",SUMIFS('Weekly Plan'!$D$6:$D$1505,'Weekly Plan'!$A$6:$A$1505,$A5,'Weekly Plan'!$E$6:$E$1505,"&lt;="&amp;AL$2))</f>
        <v>0</v>
      </c>
      <c r="AM5" s="0" t="n">
        <f aca="false">IF($A5="","",SUMIFS('Weekly Plan'!$D$6:$D$1505,'Weekly Plan'!$A$6:$A$1505,$A5,'Weekly Plan'!$E$6:$E$1505,"&lt;="&amp;AM$2))</f>
        <v>0</v>
      </c>
      <c r="AN5" s="0" t="n">
        <f aca="false">IF($A5="","",SUMIFS('Weekly Plan'!$D$6:$D$1505,'Weekly Plan'!$A$6:$A$1505,$A5,'Weekly Plan'!$E$6:$E$1505,"&lt;="&amp;AN$2))</f>
        <v>0</v>
      </c>
      <c r="AO5" s="0" t="n">
        <f aca="false">IF($A5="","",SUMIFS('Weekly Plan'!$D$6:$D$1505,'Weekly Plan'!$A$6:$A$1505,$A5,'Weekly Plan'!$E$6:$E$1505,"&lt;="&amp;AO$2))</f>
        <v>0</v>
      </c>
      <c r="AP5" s="0" t="n">
        <f aca="false">IF($A5="","",SUMIFS('Weekly Plan'!$D$6:$D$1505,'Weekly Plan'!$A$6:$A$1505,$A5,'Weekly Plan'!$E$6:$E$1505,"&lt;="&amp;AP$2))</f>
        <v>0</v>
      </c>
      <c r="AQ5" s="0" t="n">
        <f aca="false">IF($A5="","",SUMIFS('Weekly Plan'!$D$6:$D$1505,'Weekly Plan'!$A$6:$A$1505,$A5,'Weekly Plan'!$E$6:$E$1505,"&lt;="&amp;AQ$2))</f>
        <v>0</v>
      </c>
      <c r="AR5" s="0" t="n">
        <f aca="false">IF($A5="","",SUMIFS('Weekly Plan'!$D$6:$D$1505,'Weekly Plan'!$A$6:$A$1505,$A5,'Weekly Plan'!$E$6:$E$1505,"&lt;="&amp;AR$2))</f>
        <v>0</v>
      </c>
      <c r="AS5" s="0" t="n">
        <f aca="false">IF($A5="","",SUMIFS('Weekly Plan'!$D$6:$D$1505,'Weekly Plan'!$A$6:$A$1505,$A5,'Weekly Plan'!$E$6:$E$1505,"&lt;="&amp;AS$2))</f>
        <v>0</v>
      </c>
      <c r="AT5" s="0" t="n">
        <f aca="false">IF($A5="","",SUMIFS('Weekly Plan'!$D$6:$D$1505,'Weekly Plan'!$A$6:$A$1505,$A5,'Weekly Plan'!$E$6:$E$1505,"&lt;="&amp;AT$2))</f>
        <v>0</v>
      </c>
      <c r="AU5" s="0" t="n">
        <f aca="false">IF($A5="","",SUMIFS('Weekly Plan'!$D$6:$D$1505,'Weekly Plan'!$A$6:$A$1505,$A5,'Weekly Plan'!$E$6:$E$1505,"&lt;="&amp;AU$2))</f>
        <v>0</v>
      </c>
      <c r="AV5" s="0" t="n">
        <f aca="false">IF($A5="","",SUMIFS('Weekly Plan'!$D$6:$D$1505,'Weekly Plan'!$A$6:$A$1505,$A5,'Weekly Plan'!$E$6:$E$1505,"&lt;="&amp;AV$2))</f>
        <v>0</v>
      </c>
      <c r="AW5" s="0" t="n">
        <f aca="false">IF($A5="","",SUMIFS('Weekly Plan'!$D$6:$D$1505,'Weekly Plan'!$A$6:$A$1505,$A5,'Weekly Plan'!$E$6:$E$1505,"&lt;="&amp;AW$2))</f>
        <v>0</v>
      </c>
      <c r="AX5" s="0" t="n">
        <f aca="false">IF($A5="","",SUMIFS('Weekly Plan'!$D$6:$D$1505,'Weekly Plan'!$A$6:$A$1505,$A5,'Weekly Plan'!$E$6:$E$1505,"&lt;="&amp;AX$2))</f>
        <v>0</v>
      </c>
      <c r="AY5" s="0" t="n">
        <f aca="false">IF($A5="","",SUMIFS('Weekly Plan'!$D$6:$D$1505,'Weekly Plan'!$A$6:$A$1505,$A5,'Weekly Plan'!$E$6:$E$1505,"&lt;="&amp;AY$2))</f>
        <v>0</v>
      </c>
      <c r="AZ5" s="0" t="n">
        <f aca="false">IF($A5="","",SUMIFS('Weekly Plan'!$D$6:$D$1505,'Weekly Plan'!$A$6:$A$1505,$A5,'Weekly Plan'!$E$6:$E$1505,"&lt;="&amp;AZ$2))</f>
        <v>0</v>
      </c>
      <c r="BA5" s="0" t="n">
        <f aca="false">IF($A5="","",SUMIFS('Weekly Plan'!$D$6:$D$1505,'Weekly Plan'!$A$6:$A$1505,$A5,'Weekly Plan'!$E$6:$E$1505,"&lt;="&amp;BA$2))</f>
        <v>0</v>
      </c>
      <c r="BB5" s="0" t="n">
        <f aca="false">IF($A5="","",SUMIFS('Weekly Plan'!$D$6:$D$1505,'Weekly Plan'!$A$6:$A$1505,$A5,'Weekly Plan'!$E$6:$E$1505,"&lt;="&amp;BB$2))</f>
        <v>0</v>
      </c>
      <c r="BC5" s="0" t="n">
        <f aca="false">IF($A5="","",SUMIFS('Weekly Plan'!$D$6:$D$1505,'Weekly Plan'!$A$6:$A$1505,$A5,'Weekly Plan'!$E$6:$E$1505,"&lt;="&amp;BC$2))</f>
        <v>0</v>
      </c>
      <c r="BD5" s="0" t="n">
        <f aca="false">IF($A5="","",SUMIFS('Weekly Plan'!$D$6:$D$1505,'Weekly Plan'!$A$6:$A$1505,$A5,'Weekly Plan'!$E$6:$E$1505,"&lt;="&amp;BD$2))</f>
        <v>0</v>
      </c>
    </row>
    <row r="6" customFormat="false" ht="15" hidden="false" customHeight="false" outlineLevel="0" collapsed="false">
      <c r="A6" s="0" t="str">
        <f aca="false">Contracts!$A$8</f>
        <v>E2A-R4P-T1-C</v>
      </c>
      <c r="B6" s="0" t="n">
        <f aca="false">IF($A6="","",SUMIFS('Weekly Plan'!$D$6:$D$1505,'Weekly Plan'!$A$6:$A$1505,$A6,'Weekly Plan'!$E$6:$E$1505,"&lt;="&amp;B$2))</f>
        <v>0</v>
      </c>
      <c r="C6" s="0" t="n">
        <f aca="false">IF($A6="","",SUMIFS('Weekly Plan'!$D$6:$D$1505,'Weekly Plan'!$A$6:$A$1505,$A6,'Weekly Plan'!$E$6:$E$1505,"&lt;="&amp;C$2))</f>
        <v>0</v>
      </c>
      <c r="D6" s="0" t="n">
        <f aca="false">IF($A6="","",SUMIFS('Weekly Plan'!$D$6:$D$1505,'Weekly Plan'!$A$6:$A$1505,$A6,'Weekly Plan'!$E$6:$E$1505,"&lt;="&amp;D$2))</f>
        <v>0</v>
      </c>
      <c r="E6" s="0" t="n">
        <f aca="false">IF($A6="","",SUMIFS('Weekly Plan'!$D$6:$D$1505,'Weekly Plan'!$A$6:$A$1505,$A6,'Weekly Plan'!$E$6:$E$1505,"&lt;="&amp;E$2))</f>
        <v>0</v>
      </c>
      <c r="F6" s="0" t="n">
        <f aca="false">IF($A6="","",SUMIFS('Weekly Plan'!$D$6:$D$1505,'Weekly Plan'!$A$6:$A$1505,$A6,'Weekly Plan'!$E$6:$E$1505,"&lt;="&amp;F$2))</f>
        <v>0</v>
      </c>
      <c r="G6" s="0" t="n">
        <f aca="false">IF($A6="","",SUMIFS('Weekly Plan'!$D$6:$D$1505,'Weekly Plan'!$A$6:$A$1505,$A6,'Weekly Plan'!$E$6:$E$1505,"&lt;="&amp;G$2))</f>
        <v>0</v>
      </c>
      <c r="H6" s="0" t="n">
        <f aca="false">IF($A6="","",SUMIFS('Weekly Plan'!$D$6:$D$1505,'Weekly Plan'!$A$6:$A$1505,$A6,'Weekly Plan'!$E$6:$E$1505,"&lt;="&amp;H$2))</f>
        <v>0</v>
      </c>
      <c r="I6" s="0" t="n">
        <f aca="false">IF($A6="","",SUMIFS('Weekly Plan'!$D$6:$D$1505,'Weekly Plan'!$A$6:$A$1505,$A6,'Weekly Plan'!$E$6:$E$1505,"&lt;="&amp;I$2))</f>
        <v>0</v>
      </c>
      <c r="J6" s="0" t="n">
        <f aca="false">IF($A6="","",SUMIFS('Weekly Plan'!$D$6:$D$1505,'Weekly Plan'!$A$6:$A$1505,$A6,'Weekly Plan'!$E$6:$E$1505,"&lt;="&amp;J$2))</f>
        <v>0</v>
      </c>
      <c r="K6" s="0" t="n">
        <f aca="false">IF($A6="","",SUMIFS('Weekly Plan'!$D$6:$D$1505,'Weekly Plan'!$A$6:$A$1505,$A6,'Weekly Plan'!$E$6:$E$1505,"&lt;="&amp;K$2))</f>
        <v>0</v>
      </c>
      <c r="L6" s="0" t="n">
        <f aca="false">IF($A6="","",SUMIFS('Weekly Plan'!$D$6:$D$1505,'Weekly Plan'!$A$6:$A$1505,$A6,'Weekly Plan'!$E$6:$E$1505,"&lt;="&amp;L$2))</f>
        <v>0</v>
      </c>
      <c r="M6" s="0" t="n">
        <f aca="false">IF($A6="","",SUMIFS('Weekly Plan'!$D$6:$D$1505,'Weekly Plan'!$A$6:$A$1505,$A6,'Weekly Plan'!$E$6:$E$1505,"&lt;="&amp;M$2))</f>
        <v>0</v>
      </c>
      <c r="N6" s="0" t="n">
        <f aca="false">IF($A6="","",SUMIFS('Weekly Plan'!$D$6:$D$1505,'Weekly Plan'!$A$6:$A$1505,$A6,'Weekly Plan'!$E$6:$E$1505,"&lt;="&amp;N$2))</f>
        <v>5</v>
      </c>
      <c r="O6" s="0" t="n">
        <f aca="false">IF($A6="","",SUMIFS('Weekly Plan'!$D$6:$D$1505,'Weekly Plan'!$A$6:$A$1505,$A6,'Weekly Plan'!$E$6:$E$1505,"&lt;="&amp;O$2))</f>
        <v>11</v>
      </c>
      <c r="P6" s="0" t="n">
        <f aca="false">IF($A6="","",SUMIFS('Weekly Plan'!$D$6:$D$1505,'Weekly Plan'!$A$6:$A$1505,$A6,'Weekly Plan'!$E$6:$E$1505,"&lt;="&amp;P$2))</f>
        <v>12</v>
      </c>
      <c r="Q6" s="0" t="n">
        <f aca="false">IF($A6="","",SUMIFS('Weekly Plan'!$D$6:$D$1505,'Weekly Plan'!$A$6:$A$1505,$A6,'Weekly Plan'!$E$6:$E$1505,"&lt;="&amp;Q$2))</f>
        <v>20</v>
      </c>
      <c r="R6" s="0" t="n">
        <f aca="false">IF($A6="","",SUMIFS('Weekly Plan'!$D$6:$D$1505,'Weekly Plan'!$A$6:$A$1505,$A6,'Weekly Plan'!$E$6:$E$1505,"&lt;="&amp;R$2))</f>
        <v>28</v>
      </c>
      <c r="S6" s="0" t="n">
        <f aca="false">IF($A6="","",SUMIFS('Weekly Plan'!$D$6:$D$1505,'Weekly Plan'!$A$6:$A$1505,$A6,'Weekly Plan'!$E$6:$E$1505,"&lt;="&amp;S$2))</f>
        <v>28</v>
      </c>
      <c r="T6" s="0" t="n">
        <f aca="false">IF($A6="","",SUMIFS('Weekly Plan'!$D$6:$D$1505,'Weekly Plan'!$A$6:$A$1505,$A6,'Weekly Plan'!$E$6:$E$1505,"&lt;="&amp;T$2))</f>
        <v>28</v>
      </c>
      <c r="U6" s="0" t="n">
        <f aca="false">IF($A6="","",SUMIFS('Weekly Plan'!$D$6:$D$1505,'Weekly Plan'!$A$6:$A$1505,$A6,'Weekly Plan'!$E$6:$E$1505,"&lt;="&amp;U$2))</f>
        <v>28</v>
      </c>
      <c r="V6" s="0" t="n">
        <f aca="false">IF($A6="","",SUMIFS('Weekly Plan'!$D$6:$D$1505,'Weekly Plan'!$A$6:$A$1505,$A6,'Weekly Plan'!$E$6:$E$1505,"&lt;="&amp;V$2))</f>
        <v>28</v>
      </c>
      <c r="W6" s="0" t="n">
        <f aca="false">IF($A6="","",SUMIFS('Weekly Plan'!$D$6:$D$1505,'Weekly Plan'!$A$6:$A$1505,$A6,'Weekly Plan'!$E$6:$E$1505,"&lt;="&amp;W$2))</f>
        <v>28</v>
      </c>
      <c r="X6" s="0" t="n">
        <f aca="false">IF($A6="","",SUMIFS('Weekly Plan'!$D$6:$D$1505,'Weekly Plan'!$A$6:$A$1505,$A6,'Weekly Plan'!$E$6:$E$1505,"&lt;="&amp;X$2))</f>
        <v>28</v>
      </c>
      <c r="Y6" s="0" t="n">
        <f aca="false">IF($A6="","",SUMIFS('Weekly Plan'!$D$6:$D$1505,'Weekly Plan'!$A$6:$A$1505,$A6,'Weekly Plan'!$E$6:$E$1505,"&lt;="&amp;Y$2))</f>
        <v>39</v>
      </c>
      <c r="Z6" s="0" t="n">
        <f aca="false">IF($A6="","",SUMIFS('Weekly Plan'!$D$6:$D$1505,'Weekly Plan'!$A$6:$A$1505,$A6,'Weekly Plan'!$E$6:$E$1505,"&lt;="&amp;Z$2))</f>
        <v>39</v>
      </c>
      <c r="AA6" s="0" t="n">
        <f aca="false">IF($A6="","",SUMIFS('Weekly Plan'!$D$6:$D$1505,'Weekly Plan'!$A$6:$A$1505,$A6,'Weekly Plan'!$E$6:$E$1505,"&lt;="&amp;AA$2))</f>
        <v>39</v>
      </c>
      <c r="AB6" s="0" t="n">
        <f aca="false">IF($A6="","",SUMIFS('Weekly Plan'!$D$6:$D$1505,'Weekly Plan'!$A$6:$A$1505,$A6,'Weekly Plan'!$E$6:$E$1505,"&lt;="&amp;AB$2))</f>
        <v>39</v>
      </c>
      <c r="AC6" s="0" t="n">
        <f aca="false">IF($A6="","",SUMIFS('Weekly Plan'!$D$6:$D$1505,'Weekly Plan'!$A$6:$A$1505,$A6,'Weekly Plan'!$E$6:$E$1505,"&lt;="&amp;AC$2))</f>
        <v>39</v>
      </c>
      <c r="AD6" s="0" t="n">
        <f aca="false">IF($A6="","",SUMIFS('Weekly Plan'!$D$6:$D$1505,'Weekly Plan'!$A$6:$A$1505,$A6,'Weekly Plan'!$E$6:$E$1505,"&lt;="&amp;AD$2))</f>
        <v>39</v>
      </c>
      <c r="AE6" s="0" t="n">
        <f aca="false">IF($A6="","",SUMIFS('Weekly Plan'!$D$6:$D$1505,'Weekly Plan'!$A$6:$A$1505,$A6,'Weekly Plan'!$E$6:$E$1505,"&lt;="&amp;AE$2))</f>
        <v>39</v>
      </c>
      <c r="AF6" s="0" t="n">
        <f aca="false">IF($A6="","",SUMIFS('Weekly Plan'!$D$6:$D$1505,'Weekly Plan'!$A$6:$A$1505,$A6,'Weekly Plan'!$E$6:$E$1505,"&lt;="&amp;AF$2))</f>
        <v>39</v>
      </c>
      <c r="AG6" s="0" t="n">
        <f aca="false">IF($A6="","",SUMIFS('Weekly Plan'!$D$6:$D$1505,'Weekly Plan'!$A$6:$A$1505,$A6,'Weekly Plan'!$E$6:$E$1505,"&lt;="&amp;AG$2))</f>
        <v>39</v>
      </c>
      <c r="AH6" s="0" t="n">
        <f aca="false">IF($A6="","",SUMIFS('Weekly Plan'!$D$6:$D$1505,'Weekly Plan'!$A$6:$A$1505,$A6,'Weekly Plan'!$E$6:$E$1505,"&lt;="&amp;AH$2))</f>
        <v>39</v>
      </c>
      <c r="AI6" s="0" t="n">
        <f aca="false">IF($A6="","",SUMIFS('Weekly Plan'!$D$6:$D$1505,'Weekly Plan'!$A$6:$A$1505,$A6,'Weekly Plan'!$E$6:$E$1505,"&lt;="&amp;AI$2))</f>
        <v>39</v>
      </c>
      <c r="AJ6" s="0" t="n">
        <f aca="false">IF($A6="","",SUMIFS('Weekly Plan'!$D$6:$D$1505,'Weekly Plan'!$A$6:$A$1505,$A6,'Weekly Plan'!$E$6:$E$1505,"&lt;="&amp;AJ$2))</f>
        <v>39</v>
      </c>
      <c r="AK6" s="0" t="n">
        <f aca="false">IF($A6="","",SUMIFS('Weekly Plan'!$D$6:$D$1505,'Weekly Plan'!$A$6:$A$1505,$A6,'Weekly Plan'!$E$6:$E$1505,"&lt;="&amp;AK$2))</f>
        <v>39</v>
      </c>
      <c r="AL6" s="0" t="n">
        <f aca="false">IF($A6="","",SUMIFS('Weekly Plan'!$D$6:$D$1505,'Weekly Plan'!$A$6:$A$1505,$A6,'Weekly Plan'!$E$6:$E$1505,"&lt;="&amp;AL$2))</f>
        <v>39</v>
      </c>
      <c r="AM6" s="0" t="n">
        <f aca="false">IF($A6="","",SUMIFS('Weekly Plan'!$D$6:$D$1505,'Weekly Plan'!$A$6:$A$1505,$A6,'Weekly Plan'!$E$6:$E$1505,"&lt;="&amp;AM$2))</f>
        <v>39</v>
      </c>
      <c r="AN6" s="0" t="n">
        <f aca="false">IF($A6="","",SUMIFS('Weekly Plan'!$D$6:$D$1505,'Weekly Plan'!$A$6:$A$1505,$A6,'Weekly Plan'!$E$6:$E$1505,"&lt;="&amp;AN$2))</f>
        <v>39</v>
      </c>
      <c r="AO6" s="0" t="n">
        <f aca="false">IF($A6="","",SUMIFS('Weekly Plan'!$D$6:$D$1505,'Weekly Plan'!$A$6:$A$1505,$A6,'Weekly Plan'!$E$6:$E$1505,"&lt;="&amp;AO$2))</f>
        <v>39</v>
      </c>
      <c r="AP6" s="0" t="n">
        <f aca="false">IF($A6="","",SUMIFS('Weekly Plan'!$D$6:$D$1505,'Weekly Plan'!$A$6:$A$1505,$A6,'Weekly Plan'!$E$6:$E$1505,"&lt;="&amp;AP$2))</f>
        <v>39</v>
      </c>
      <c r="AQ6" s="0" t="n">
        <f aca="false">IF($A6="","",SUMIFS('Weekly Plan'!$D$6:$D$1505,'Weekly Plan'!$A$6:$A$1505,$A6,'Weekly Plan'!$E$6:$E$1505,"&lt;="&amp;AQ$2))</f>
        <v>39</v>
      </c>
      <c r="AR6" s="0" t="n">
        <f aca="false">IF($A6="","",SUMIFS('Weekly Plan'!$D$6:$D$1505,'Weekly Plan'!$A$6:$A$1505,$A6,'Weekly Plan'!$E$6:$E$1505,"&lt;="&amp;AR$2))</f>
        <v>39</v>
      </c>
      <c r="AS6" s="0" t="n">
        <f aca="false">IF($A6="","",SUMIFS('Weekly Plan'!$D$6:$D$1505,'Weekly Plan'!$A$6:$A$1505,$A6,'Weekly Plan'!$E$6:$E$1505,"&lt;="&amp;AS$2))</f>
        <v>39</v>
      </c>
      <c r="AT6" s="0" t="n">
        <f aca="false">IF($A6="","",SUMIFS('Weekly Plan'!$D$6:$D$1505,'Weekly Plan'!$A$6:$A$1505,$A6,'Weekly Plan'!$E$6:$E$1505,"&lt;="&amp;AT$2))</f>
        <v>39</v>
      </c>
      <c r="AU6" s="0" t="n">
        <f aca="false">IF($A6="","",SUMIFS('Weekly Plan'!$D$6:$D$1505,'Weekly Plan'!$A$6:$A$1505,$A6,'Weekly Plan'!$E$6:$E$1505,"&lt;="&amp;AU$2))</f>
        <v>39</v>
      </c>
      <c r="AV6" s="0" t="n">
        <f aca="false">IF($A6="","",SUMIFS('Weekly Plan'!$D$6:$D$1505,'Weekly Plan'!$A$6:$A$1505,$A6,'Weekly Plan'!$E$6:$E$1505,"&lt;="&amp;AV$2))</f>
        <v>39</v>
      </c>
      <c r="AW6" s="0" t="n">
        <f aca="false">IF($A6="","",SUMIFS('Weekly Plan'!$D$6:$D$1505,'Weekly Plan'!$A$6:$A$1505,$A6,'Weekly Plan'!$E$6:$E$1505,"&lt;="&amp;AW$2))</f>
        <v>39</v>
      </c>
      <c r="AX6" s="0" t="n">
        <f aca="false">IF($A6="","",SUMIFS('Weekly Plan'!$D$6:$D$1505,'Weekly Plan'!$A$6:$A$1505,$A6,'Weekly Plan'!$E$6:$E$1505,"&lt;="&amp;AX$2))</f>
        <v>39</v>
      </c>
      <c r="AY6" s="0" t="n">
        <f aca="false">IF($A6="","",SUMIFS('Weekly Plan'!$D$6:$D$1505,'Weekly Plan'!$A$6:$A$1505,$A6,'Weekly Plan'!$E$6:$E$1505,"&lt;="&amp;AY$2))</f>
        <v>39</v>
      </c>
      <c r="AZ6" s="0" t="n">
        <f aca="false">IF($A6="","",SUMIFS('Weekly Plan'!$D$6:$D$1505,'Weekly Plan'!$A$6:$A$1505,$A6,'Weekly Plan'!$E$6:$E$1505,"&lt;="&amp;AZ$2))</f>
        <v>39</v>
      </c>
      <c r="BA6" s="0" t="n">
        <f aca="false">IF($A6="","",SUMIFS('Weekly Plan'!$D$6:$D$1505,'Weekly Plan'!$A$6:$A$1505,$A6,'Weekly Plan'!$E$6:$E$1505,"&lt;="&amp;BA$2))</f>
        <v>39</v>
      </c>
      <c r="BB6" s="0" t="n">
        <f aca="false">IF($A6="","",SUMIFS('Weekly Plan'!$D$6:$D$1505,'Weekly Plan'!$A$6:$A$1505,$A6,'Weekly Plan'!$E$6:$E$1505,"&lt;="&amp;BB$2))</f>
        <v>39</v>
      </c>
      <c r="BC6" s="0" t="n">
        <f aca="false">IF($A6="","",SUMIFS('Weekly Plan'!$D$6:$D$1505,'Weekly Plan'!$A$6:$A$1505,$A6,'Weekly Plan'!$E$6:$E$1505,"&lt;="&amp;BC$2))</f>
        <v>39</v>
      </c>
      <c r="BD6" s="0" t="n">
        <f aca="false">IF($A6="","",SUMIFS('Weekly Plan'!$D$6:$D$1505,'Weekly Plan'!$A$6:$A$1505,$A6,'Weekly Plan'!$E$6:$E$1505,"&lt;="&amp;BD$2))</f>
        <v>39</v>
      </c>
    </row>
    <row r="7" customFormat="false" ht="15" hidden="false" customHeight="false" outlineLevel="0" collapsed="false">
      <c r="A7" s="0" t="str">
        <f aca="false">Contracts!$A$9</f>
        <v>E2A-R4P-T2-M</v>
      </c>
      <c r="B7" s="0" t="n">
        <f aca="false">IF($A7="","",SUMIFS('Weekly Plan'!$D$6:$D$1505,'Weekly Plan'!$A$6:$A$1505,$A7,'Weekly Plan'!$E$6:$E$1505,"&lt;="&amp;B$2))</f>
        <v>0</v>
      </c>
      <c r="C7" s="0" t="n">
        <f aca="false">IF($A7="","",SUMIFS('Weekly Plan'!$D$6:$D$1505,'Weekly Plan'!$A$6:$A$1505,$A7,'Weekly Plan'!$E$6:$E$1505,"&lt;="&amp;C$2))</f>
        <v>0</v>
      </c>
      <c r="D7" s="0" t="n">
        <f aca="false">IF($A7="","",SUMIFS('Weekly Plan'!$D$6:$D$1505,'Weekly Plan'!$A$6:$A$1505,$A7,'Weekly Plan'!$E$6:$E$1505,"&lt;="&amp;D$2))</f>
        <v>0</v>
      </c>
      <c r="E7" s="0" t="n">
        <f aca="false">IF($A7="","",SUMIFS('Weekly Plan'!$D$6:$D$1505,'Weekly Plan'!$A$6:$A$1505,$A7,'Weekly Plan'!$E$6:$E$1505,"&lt;="&amp;E$2))</f>
        <v>0</v>
      </c>
      <c r="F7" s="0" t="n">
        <f aca="false">IF($A7="","",SUMIFS('Weekly Plan'!$D$6:$D$1505,'Weekly Plan'!$A$6:$A$1505,$A7,'Weekly Plan'!$E$6:$E$1505,"&lt;="&amp;F$2))</f>
        <v>0</v>
      </c>
      <c r="G7" s="0" t="n">
        <f aca="false">IF($A7="","",SUMIFS('Weekly Plan'!$D$6:$D$1505,'Weekly Plan'!$A$6:$A$1505,$A7,'Weekly Plan'!$E$6:$E$1505,"&lt;="&amp;G$2))</f>
        <v>0</v>
      </c>
      <c r="H7" s="0" t="n">
        <f aca="false">IF($A7="","",SUMIFS('Weekly Plan'!$D$6:$D$1505,'Weekly Plan'!$A$6:$A$1505,$A7,'Weekly Plan'!$E$6:$E$1505,"&lt;="&amp;H$2))</f>
        <v>0</v>
      </c>
      <c r="I7" s="0" t="n">
        <f aca="false">IF($A7="","",SUMIFS('Weekly Plan'!$D$6:$D$1505,'Weekly Plan'!$A$6:$A$1505,$A7,'Weekly Plan'!$E$6:$E$1505,"&lt;="&amp;I$2))</f>
        <v>0</v>
      </c>
      <c r="J7" s="0" t="n">
        <f aca="false">IF($A7="","",SUMIFS('Weekly Plan'!$D$6:$D$1505,'Weekly Plan'!$A$6:$A$1505,$A7,'Weekly Plan'!$E$6:$E$1505,"&lt;="&amp;J$2))</f>
        <v>0</v>
      </c>
      <c r="K7" s="0" t="n">
        <f aca="false">IF($A7="","",SUMIFS('Weekly Plan'!$D$6:$D$1505,'Weekly Plan'!$A$6:$A$1505,$A7,'Weekly Plan'!$E$6:$E$1505,"&lt;="&amp;K$2))</f>
        <v>0</v>
      </c>
      <c r="L7" s="0" t="n">
        <f aca="false">IF($A7="","",SUMIFS('Weekly Plan'!$D$6:$D$1505,'Weekly Plan'!$A$6:$A$1505,$A7,'Weekly Plan'!$E$6:$E$1505,"&lt;="&amp;L$2))</f>
        <v>0</v>
      </c>
      <c r="M7" s="0" t="n">
        <f aca="false">IF($A7="","",SUMIFS('Weekly Plan'!$D$6:$D$1505,'Weekly Plan'!$A$6:$A$1505,$A7,'Weekly Plan'!$E$6:$E$1505,"&lt;="&amp;M$2))</f>
        <v>0</v>
      </c>
      <c r="N7" s="0" t="n">
        <f aca="false">IF($A7="","",SUMIFS('Weekly Plan'!$D$6:$D$1505,'Weekly Plan'!$A$6:$A$1505,$A7,'Weekly Plan'!$E$6:$E$1505,"&lt;="&amp;N$2))</f>
        <v>0</v>
      </c>
      <c r="O7" s="0" t="n">
        <f aca="false">IF($A7="","",SUMIFS('Weekly Plan'!$D$6:$D$1505,'Weekly Plan'!$A$6:$A$1505,$A7,'Weekly Plan'!$E$6:$E$1505,"&lt;="&amp;O$2))</f>
        <v>0</v>
      </c>
      <c r="P7" s="0" t="n">
        <f aca="false">IF($A7="","",SUMIFS('Weekly Plan'!$D$6:$D$1505,'Weekly Plan'!$A$6:$A$1505,$A7,'Weekly Plan'!$E$6:$E$1505,"&lt;="&amp;P$2))</f>
        <v>0</v>
      </c>
      <c r="Q7" s="0" t="n">
        <f aca="false">IF($A7="","",SUMIFS('Weekly Plan'!$D$6:$D$1505,'Weekly Plan'!$A$6:$A$1505,$A7,'Weekly Plan'!$E$6:$E$1505,"&lt;="&amp;Q$2))</f>
        <v>0</v>
      </c>
      <c r="R7" s="0" t="n">
        <f aca="false">IF($A7="","",SUMIFS('Weekly Plan'!$D$6:$D$1505,'Weekly Plan'!$A$6:$A$1505,$A7,'Weekly Plan'!$E$6:$E$1505,"&lt;="&amp;R$2))</f>
        <v>0</v>
      </c>
      <c r="S7" s="0" t="n">
        <f aca="false">IF($A7="","",SUMIFS('Weekly Plan'!$D$6:$D$1505,'Weekly Plan'!$A$6:$A$1505,$A7,'Weekly Plan'!$E$6:$E$1505,"&lt;="&amp;S$2))</f>
        <v>0</v>
      </c>
      <c r="T7" s="0" t="n">
        <f aca="false">IF($A7="","",SUMIFS('Weekly Plan'!$D$6:$D$1505,'Weekly Plan'!$A$6:$A$1505,$A7,'Weekly Plan'!$E$6:$E$1505,"&lt;="&amp;T$2))</f>
        <v>0</v>
      </c>
      <c r="U7" s="0" t="n">
        <f aca="false">IF($A7="","",SUMIFS('Weekly Plan'!$D$6:$D$1505,'Weekly Plan'!$A$6:$A$1505,$A7,'Weekly Plan'!$E$6:$E$1505,"&lt;="&amp;U$2))</f>
        <v>0</v>
      </c>
      <c r="V7" s="0" t="n">
        <f aca="false">IF($A7="","",SUMIFS('Weekly Plan'!$D$6:$D$1505,'Weekly Plan'!$A$6:$A$1505,$A7,'Weekly Plan'!$E$6:$E$1505,"&lt;="&amp;V$2))</f>
        <v>0</v>
      </c>
      <c r="W7" s="0" t="n">
        <f aca="false">IF($A7="","",SUMIFS('Weekly Plan'!$D$6:$D$1505,'Weekly Plan'!$A$6:$A$1505,$A7,'Weekly Plan'!$E$6:$E$1505,"&lt;="&amp;W$2))</f>
        <v>0</v>
      </c>
      <c r="X7" s="0" t="n">
        <f aca="false">IF($A7="","",SUMIFS('Weekly Plan'!$D$6:$D$1505,'Weekly Plan'!$A$6:$A$1505,$A7,'Weekly Plan'!$E$6:$E$1505,"&lt;="&amp;X$2))</f>
        <v>0</v>
      </c>
      <c r="Y7" s="0" t="n">
        <f aca="false">IF($A7="","",SUMIFS('Weekly Plan'!$D$6:$D$1505,'Weekly Plan'!$A$6:$A$1505,$A7,'Weekly Plan'!$E$6:$E$1505,"&lt;="&amp;Y$2))</f>
        <v>0</v>
      </c>
      <c r="Z7" s="0" t="n">
        <f aca="false">IF($A7="","",SUMIFS('Weekly Plan'!$D$6:$D$1505,'Weekly Plan'!$A$6:$A$1505,$A7,'Weekly Plan'!$E$6:$E$1505,"&lt;="&amp;Z$2))</f>
        <v>0</v>
      </c>
      <c r="AA7" s="0" t="n">
        <f aca="false">IF($A7="","",SUMIFS('Weekly Plan'!$D$6:$D$1505,'Weekly Plan'!$A$6:$A$1505,$A7,'Weekly Plan'!$E$6:$E$1505,"&lt;="&amp;AA$2))</f>
        <v>0</v>
      </c>
      <c r="AB7" s="0" t="n">
        <f aca="false">IF($A7="","",SUMIFS('Weekly Plan'!$D$6:$D$1505,'Weekly Plan'!$A$6:$A$1505,$A7,'Weekly Plan'!$E$6:$E$1505,"&lt;="&amp;AB$2))</f>
        <v>0</v>
      </c>
      <c r="AC7" s="0" t="n">
        <f aca="false">IF($A7="","",SUMIFS('Weekly Plan'!$D$6:$D$1505,'Weekly Plan'!$A$6:$A$1505,$A7,'Weekly Plan'!$E$6:$E$1505,"&lt;="&amp;AC$2))</f>
        <v>0</v>
      </c>
      <c r="AD7" s="0" t="n">
        <f aca="false">IF($A7="","",SUMIFS('Weekly Plan'!$D$6:$D$1505,'Weekly Plan'!$A$6:$A$1505,$A7,'Weekly Plan'!$E$6:$E$1505,"&lt;="&amp;AD$2))</f>
        <v>0</v>
      </c>
      <c r="AE7" s="0" t="n">
        <f aca="false">IF($A7="","",SUMIFS('Weekly Plan'!$D$6:$D$1505,'Weekly Plan'!$A$6:$A$1505,$A7,'Weekly Plan'!$E$6:$E$1505,"&lt;="&amp;AE$2))</f>
        <v>0</v>
      </c>
      <c r="AF7" s="0" t="n">
        <f aca="false">IF($A7="","",SUMIFS('Weekly Plan'!$D$6:$D$1505,'Weekly Plan'!$A$6:$A$1505,$A7,'Weekly Plan'!$E$6:$E$1505,"&lt;="&amp;AF$2))</f>
        <v>0</v>
      </c>
      <c r="AG7" s="0" t="n">
        <f aca="false">IF($A7="","",SUMIFS('Weekly Plan'!$D$6:$D$1505,'Weekly Plan'!$A$6:$A$1505,$A7,'Weekly Plan'!$E$6:$E$1505,"&lt;="&amp;AG$2))</f>
        <v>0</v>
      </c>
      <c r="AH7" s="0" t="n">
        <f aca="false">IF($A7="","",SUMIFS('Weekly Plan'!$D$6:$D$1505,'Weekly Plan'!$A$6:$A$1505,$A7,'Weekly Plan'!$E$6:$E$1505,"&lt;="&amp;AH$2))</f>
        <v>0</v>
      </c>
      <c r="AI7" s="0" t="n">
        <f aca="false">IF($A7="","",SUMIFS('Weekly Plan'!$D$6:$D$1505,'Weekly Plan'!$A$6:$A$1505,$A7,'Weekly Plan'!$E$6:$E$1505,"&lt;="&amp;AI$2))</f>
        <v>0</v>
      </c>
      <c r="AJ7" s="0" t="n">
        <f aca="false">IF($A7="","",SUMIFS('Weekly Plan'!$D$6:$D$1505,'Weekly Plan'!$A$6:$A$1505,$A7,'Weekly Plan'!$E$6:$E$1505,"&lt;="&amp;AJ$2))</f>
        <v>0</v>
      </c>
      <c r="AK7" s="0" t="n">
        <f aca="false">IF($A7="","",SUMIFS('Weekly Plan'!$D$6:$D$1505,'Weekly Plan'!$A$6:$A$1505,$A7,'Weekly Plan'!$E$6:$E$1505,"&lt;="&amp;AK$2))</f>
        <v>1</v>
      </c>
      <c r="AL7" s="0" t="n">
        <f aca="false">IF($A7="","",SUMIFS('Weekly Plan'!$D$6:$D$1505,'Weekly Plan'!$A$6:$A$1505,$A7,'Weekly Plan'!$E$6:$E$1505,"&lt;="&amp;AL$2))</f>
        <v>1</v>
      </c>
      <c r="AM7" s="0" t="n">
        <f aca="false">IF($A7="","",SUMIFS('Weekly Plan'!$D$6:$D$1505,'Weekly Plan'!$A$6:$A$1505,$A7,'Weekly Plan'!$E$6:$E$1505,"&lt;="&amp;AM$2))</f>
        <v>3</v>
      </c>
      <c r="AN7" s="0" t="n">
        <f aca="false">IF($A7="","",SUMIFS('Weekly Plan'!$D$6:$D$1505,'Weekly Plan'!$A$6:$A$1505,$A7,'Weekly Plan'!$E$6:$E$1505,"&lt;="&amp;AN$2))</f>
        <v>8</v>
      </c>
      <c r="AO7" s="0" t="n">
        <f aca="false">IF($A7="","",SUMIFS('Weekly Plan'!$D$6:$D$1505,'Weekly Plan'!$A$6:$A$1505,$A7,'Weekly Plan'!$E$6:$E$1505,"&lt;="&amp;AO$2))</f>
        <v>8</v>
      </c>
      <c r="AP7" s="0" t="n">
        <f aca="false">IF($A7="","",SUMIFS('Weekly Plan'!$D$6:$D$1505,'Weekly Plan'!$A$6:$A$1505,$A7,'Weekly Plan'!$E$6:$E$1505,"&lt;="&amp;AP$2))</f>
        <v>8</v>
      </c>
      <c r="AQ7" s="0" t="n">
        <f aca="false">IF($A7="","",SUMIFS('Weekly Plan'!$D$6:$D$1505,'Weekly Plan'!$A$6:$A$1505,$A7,'Weekly Plan'!$E$6:$E$1505,"&lt;="&amp;AQ$2))</f>
        <v>8</v>
      </c>
      <c r="AR7" s="0" t="n">
        <f aca="false">IF($A7="","",SUMIFS('Weekly Plan'!$D$6:$D$1505,'Weekly Plan'!$A$6:$A$1505,$A7,'Weekly Plan'!$E$6:$E$1505,"&lt;="&amp;AR$2))</f>
        <v>9</v>
      </c>
      <c r="AS7" s="0" t="n">
        <f aca="false">IF($A7="","",SUMIFS('Weekly Plan'!$D$6:$D$1505,'Weekly Plan'!$A$6:$A$1505,$A7,'Weekly Plan'!$E$6:$E$1505,"&lt;="&amp;AS$2))</f>
        <v>10</v>
      </c>
      <c r="AT7" s="0" t="n">
        <f aca="false">IF($A7="","",SUMIFS('Weekly Plan'!$D$6:$D$1505,'Weekly Plan'!$A$6:$A$1505,$A7,'Weekly Plan'!$E$6:$E$1505,"&lt;="&amp;AT$2))</f>
        <v>11</v>
      </c>
      <c r="AU7" s="0" t="n">
        <f aca="false">IF($A7="","",SUMIFS('Weekly Plan'!$D$6:$D$1505,'Weekly Plan'!$A$6:$A$1505,$A7,'Weekly Plan'!$E$6:$E$1505,"&lt;="&amp;AU$2))</f>
        <v>11</v>
      </c>
      <c r="AV7" s="0" t="n">
        <f aca="false">IF($A7="","",SUMIFS('Weekly Plan'!$D$6:$D$1505,'Weekly Plan'!$A$6:$A$1505,$A7,'Weekly Plan'!$E$6:$E$1505,"&lt;="&amp;AV$2))</f>
        <v>11</v>
      </c>
      <c r="AW7" s="0" t="n">
        <f aca="false">IF($A7="","",SUMIFS('Weekly Plan'!$D$6:$D$1505,'Weekly Plan'!$A$6:$A$1505,$A7,'Weekly Plan'!$E$6:$E$1505,"&lt;="&amp;AW$2))</f>
        <v>11</v>
      </c>
      <c r="AX7" s="0" t="n">
        <f aca="false">IF($A7="","",SUMIFS('Weekly Plan'!$D$6:$D$1505,'Weekly Plan'!$A$6:$A$1505,$A7,'Weekly Plan'!$E$6:$E$1505,"&lt;="&amp;AX$2))</f>
        <v>11</v>
      </c>
      <c r="AY7" s="0" t="n">
        <f aca="false">IF($A7="","",SUMIFS('Weekly Plan'!$D$6:$D$1505,'Weekly Plan'!$A$6:$A$1505,$A7,'Weekly Plan'!$E$6:$E$1505,"&lt;="&amp;AY$2))</f>
        <v>11</v>
      </c>
      <c r="AZ7" s="0" t="n">
        <f aca="false">IF($A7="","",SUMIFS('Weekly Plan'!$D$6:$D$1505,'Weekly Plan'!$A$6:$A$1505,$A7,'Weekly Plan'!$E$6:$E$1505,"&lt;="&amp;AZ$2))</f>
        <v>11</v>
      </c>
      <c r="BA7" s="0" t="n">
        <f aca="false">IF($A7="","",SUMIFS('Weekly Plan'!$D$6:$D$1505,'Weekly Plan'!$A$6:$A$1505,$A7,'Weekly Plan'!$E$6:$E$1505,"&lt;="&amp;BA$2))</f>
        <v>11</v>
      </c>
      <c r="BB7" s="0" t="n">
        <f aca="false">IF($A7="","",SUMIFS('Weekly Plan'!$D$6:$D$1505,'Weekly Plan'!$A$6:$A$1505,$A7,'Weekly Plan'!$E$6:$E$1505,"&lt;="&amp;BB$2))</f>
        <v>11</v>
      </c>
      <c r="BC7" s="0" t="n">
        <f aca="false">IF($A7="","",SUMIFS('Weekly Plan'!$D$6:$D$1505,'Weekly Plan'!$A$6:$A$1505,$A7,'Weekly Plan'!$E$6:$E$1505,"&lt;="&amp;BC$2))</f>
        <v>11</v>
      </c>
      <c r="BD7" s="0" t="n">
        <f aca="false">IF($A7="","",SUMIFS('Weekly Plan'!$D$6:$D$1505,'Weekly Plan'!$A$6:$A$1505,$A7,'Weekly Plan'!$E$6:$E$1505,"&lt;="&amp;BD$2))</f>
        <v>11</v>
      </c>
    </row>
    <row r="8" customFormat="false" ht="15" hidden="false" customHeight="false" outlineLevel="0" collapsed="false">
      <c r="A8" s="0" t="str">
        <f aca="false">Contracts!$A$10</f>
        <v>E2A-R6P-T3-M</v>
      </c>
      <c r="B8" s="0" t="n">
        <f aca="false">IF($A8="","",SUMIFS('Weekly Plan'!$D$6:$D$1505,'Weekly Plan'!$A$6:$A$1505,$A8,'Weekly Plan'!$E$6:$E$1505,"&lt;="&amp;B$2))</f>
        <v>0</v>
      </c>
      <c r="C8" s="0" t="n">
        <f aca="false">IF($A8="","",SUMIFS('Weekly Plan'!$D$6:$D$1505,'Weekly Plan'!$A$6:$A$1505,$A8,'Weekly Plan'!$E$6:$E$1505,"&lt;="&amp;C$2))</f>
        <v>0</v>
      </c>
      <c r="D8" s="0" t="n">
        <f aca="false">IF($A8="","",SUMIFS('Weekly Plan'!$D$6:$D$1505,'Weekly Plan'!$A$6:$A$1505,$A8,'Weekly Plan'!$E$6:$E$1505,"&lt;="&amp;D$2))</f>
        <v>0</v>
      </c>
      <c r="E8" s="0" t="n">
        <f aca="false">IF($A8="","",SUMIFS('Weekly Plan'!$D$6:$D$1505,'Weekly Plan'!$A$6:$A$1505,$A8,'Weekly Plan'!$E$6:$E$1505,"&lt;="&amp;E$2))</f>
        <v>0</v>
      </c>
      <c r="F8" s="0" t="n">
        <f aca="false">IF($A8="","",SUMIFS('Weekly Plan'!$D$6:$D$1505,'Weekly Plan'!$A$6:$A$1505,$A8,'Weekly Plan'!$E$6:$E$1505,"&lt;="&amp;F$2))</f>
        <v>0</v>
      </c>
      <c r="G8" s="0" t="n">
        <f aca="false">IF($A8="","",SUMIFS('Weekly Plan'!$D$6:$D$1505,'Weekly Plan'!$A$6:$A$1505,$A8,'Weekly Plan'!$E$6:$E$1505,"&lt;="&amp;G$2))</f>
        <v>0</v>
      </c>
      <c r="H8" s="0" t="n">
        <f aca="false">IF($A8="","",SUMIFS('Weekly Plan'!$D$6:$D$1505,'Weekly Plan'!$A$6:$A$1505,$A8,'Weekly Plan'!$E$6:$E$1505,"&lt;="&amp;H$2))</f>
        <v>0</v>
      </c>
      <c r="I8" s="0" t="n">
        <f aca="false">IF($A8="","",SUMIFS('Weekly Plan'!$D$6:$D$1505,'Weekly Plan'!$A$6:$A$1505,$A8,'Weekly Plan'!$E$6:$E$1505,"&lt;="&amp;I$2))</f>
        <v>0</v>
      </c>
      <c r="J8" s="0" t="n">
        <f aca="false">IF($A8="","",SUMIFS('Weekly Plan'!$D$6:$D$1505,'Weekly Plan'!$A$6:$A$1505,$A8,'Weekly Plan'!$E$6:$E$1505,"&lt;="&amp;J$2))</f>
        <v>0</v>
      </c>
      <c r="K8" s="0" t="n">
        <f aca="false">IF($A8="","",SUMIFS('Weekly Plan'!$D$6:$D$1505,'Weekly Plan'!$A$6:$A$1505,$A8,'Weekly Plan'!$E$6:$E$1505,"&lt;="&amp;K$2))</f>
        <v>0</v>
      </c>
      <c r="L8" s="0" t="n">
        <f aca="false">IF($A8="","",SUMIFS('Weekly Plan'!$D$6:$D$1505,'Weekly Plan'!$A$6:$A$1505,$A8,'Weekly Plan'!$E$6:$E$1505,"&lt;="&amp;L$2))</f>
        <v>0</v>
      </c>
      <c r="M8" s="0" t="n">
        <f aca="false">IF($A8="","",SUMIFS('Weekly Plan'!$D$6:$D$1505,'Weekly Plan'!$A$6:$A$1505,$A8,'Weekly Plan'!$E$6:$E$1505,"&lt;="&amp;M$2))</f>
        <v>0</v>
      </c>
      <c r="N8" s="0" t="n">
        <f aca="false">IF($A8="","",SUMIFS('Weekly Plan'!$D$6:$D$1505,'Weekly Plan'!$A$6:$A$1505,$A8,'Weekly Plan'!$E$6:$E$1505,"&lt;="&amp;N$2))</f>
        <v>0</v>
      </c>
      <c r="O8" s="0" t="n">
        <f aca="false">IF($A8="","",SUMIFS('Weekly Plan'!$D$6:$D$1505,'Weekly Plan'!$A$6:$A$1505,$A8,'Weekly Plan'!$E$6:$E$1505,"&lt;="&amp;O$2))</f>
        <v>0</v>
      </c>
      <c r="P8" s="0" t="n">
        <f aca="false">IF($A8="","",SUMIFS('Weekly Plan'!$D$6:$D$1505,'Weekly Plan'!$A$6:$A$1505,$A8,'Weekly Plan'!$E$6:$E$1505,"&lt;="&amp;P$2))</f>
        <v>0</v>
      </c>
      <c r="Q8" s="0" t="n">
        <f aca="false">IF($A8="","",SUMIFS('Weekly Plan'!$D$6:$D$1505,'Weekly Plan'!$A$6:$A$1505,$A8,'Weekly Plan'!$E$6:$E$1505,"&lt;="&amp;Q$2))</f>
        <v>0</v>
      </c>
      <c r="R8" s="0" t="n">
        <f aca="false">IF($A8="","",SUMIFS('Weekly Plan'!$D$6:$D$1505,'Weekly Plan'!$A$6:$A$1505,$A8,'Weekly Plan'!$E$6:$E$1505,"&lt;="&amp;R$2))</f>
        <v>0</v>
      </c>
      <c r="S8" s="0" t="n">
        <f aca="false">IF($A8="","",SUMIFS('Weekly Plan'!$D$6:$D$1505,'Weekly Plan'!$A$6:$A$1505,$A8,'Weekly Plan'!$E$6:$E$1505,"&lt;="&amp;S$2))</f>
        <v>0</v>
      </c>
      <c r="T8" s="0" t="n">
        <f aca="false">IF($A8="","",SUMIFS('Weekly Plan'!$D$6:$D$1505,'Weekly Plan'!$A$6:$A$1505,$A8,'Weekly Plan'!$E$6:$E$1505,"&lt;="&amp;T$2))</f>
        <v>0</v>
      </c>
      <c r="U8" s="0" t="n">
        <f aca="false">IF($A8="","",SUMIFS('Weekly Plan'!$D$6:$D$1505,'Weekly Plan'!$A$6:$A$1505,$A8,'Weekly Plan'!$E$6:$E$1505,"&lt;="&amp;U$2))</f>
        <v>0</v>
      </c>
      <c r="V8" s="0" t="n">
        <f aca="false">IF($A8="","",SUMIFS('Weekly Plan'!$D$6:$D$1505,'Weekly Plan'!$A$6:$A$1505,$A8,'Weekly Plan'!$E$6:$E$1505,"&lt;="&amp;V$2))</f>
        <v>0</v>
      </c>
      <c r="W8" s="0" t="n">
        <f aca="false">IF($A8="","",SUMIFS('Weekly Plan'!$D$6:$D$1505,'Weekly Plan'!$A$6:$A$1505,$A8,'Weekly Plan'!$E$6:$E$1505,"&lt;="&amp;W$2))</f>
        <v>0</v>
      </c>
      <c r="X8" s="0" t="n">
        <f aca="false">IF($A8="","",SUMIFS('Weekly Plan'!$D$6:$D$1505,'Weekly Plan'!$A$6:$A$1505,$A8,'Weekly Plan'!$E$6:$E$1505,"&lt;="&amp;X$2))</f>
        <v>0</v>
      </c>
      <c r="Y8" s="0" t="n">
        <f aca="false">IF($A8="","",SUMIFS('Weekly Plan'!$D$6:$D$1505,'Weekly Plan'!$A$6:$A$1505,$A8,'Weekly Plan'!$E$6:$E$1505,"&lt;="&amp;Y$2))</f>
        <v>0</v>
      </c>
      <c r="Z8" s="0" t="n">
        <f aca="false">IF($A8="","",SUMIFS('Weekly Plan'!$D$6:$D$1505,'Weekly Plan'!$A$6:$A$1505,$A8,'Weekly Plan'!$E$6:$E$1505,"&lt;="&amp;Z$2))</f>
        <v>0</v>
      </c>
      <c r="AA8" s="0" t="n">
        <f aca="false">IF($A8="","",SUMIFS('Weekly Plan'!$D$6:$D$1505,'Weekly Plan'!$A$6:$A$1505,$A8,'Weekly Plan'!$E$6:$E$1505,"&lt;="&amp;AA$2))</f>
        <v>0</v>
      </c>
      <c r="AB8" s="0" t="n">
        <f aca="false">IF($A8="","",SUMIFS('Weekly Plan'!$D$6:$D$1505,'Weekly Plan'!$A$6:$A$1505,$A8,'Weekly Plan'!$E$6:$E$1505,"&lt;="&amp;AB$2))</f>
        <v>0</v>
      </c>
      <c r="AC8" s="0" t="n">
        <f aca="false">IF($A8="","",SUMIFS('Weekly Plan'!$D$6:$D$1505,'Weekly Plan'!$A$6:$A$1505,$A8,'Weekly Plan'!$E$6:$E$1505,"&lt;="&amp;AC$2))</f>
        <v>0</v>
      </c>
      <c r="AD8" s="0" t="n">
        <f aca="false">IF($A8="","",SUMIFS('Weekly Plan'!$D$6:$D$1505,'Weekly Plan'!$A$6:$A$1505,$A8,'Weekly Plan'!$E$6:$E$1505,"&lt;="&amp;AD$2))</f>
        <v>0</v>
      </c>
      <c r="AE8" s="0" t="n">
        <f aca="false">IF($A8="","",SUMIFS('Weekly Plan'!$D$6:$D$1505,'Weekly Plan'!$A$6:$A$1505,$A8,'Weekly Plan'!$E$6:$E$1505,"&lt;="&amp;AE$2))</f>
        <v>0</v>
      </c>
      <c r="AF8" s="0" t="n">
        <f aca="false">IF($A8="","",SUMIFS('Weekly Plan'!$D$6:$D$1505,'Weekly Plan'!$A$6:$A$1505,$A8,'Weekly Plan'!$E$6:$E$1505,"&lt;="&amp;AF$2))</f>
        <v>0</v>
      </c>
      <c r="AG8" s="0" t="n">
        <f aca="false">IF($A8="","",SUMIFS('Weekly Plan'!$D$6:$D$1505,'Weekly Plan'!$A$6:$A$1505,$A8,'Weekly Plan'!$E$6:$E$1505,"&lt;="&amp;AG$2))</f>
        <v>3</v>
      </c>
      <c r="AH8" s="0" t="n">
        <f aca="false">IF($A8="","",SUMIFS('Weekly Plan'!$D$6:$D$1505,'Weekly Plan'!$A$6:$A$1505,$A8,'Weekly Plan'!$E$6:$E$1505,"&lt;="&amp;AH$2))</f>
        <v>3</v>
      </c>
      <c r="AI8" s="0" t="n">
        <f aca="false">IF($A8="","",SUMIFS('Weekly Plan'!$D$6:$D$1505,'Weekly Plan'!$A$6:$A$1505,$A8,'Weekly Plan'!$E$6:$E$1505,"&lt;="&amp;AI$2))</f>
        <v>3</v>
      </c>
      <c r="AJ8" s="0" t="n">
        <f aca="false">IF($A8="","",SUMIFS('Weekly Plan'!$D$6:$D$1505,'Weekly Plan'!$A$6:$A$1505,$A8,'Weekly Plan'!$E$6:$E$1505,"&lt;="&amp;AJ$2))</f>
        <v>3</v>
      </c>
      <c r="AK8" s="0" t="n">
        <f aca="false">IF($A8="","",SUMIFS('Weekly Plan'!$D$6:$D$1505,'Weekly Plan'!$A$6:$A$1505,$A8,'Weekly Plan'!$E$6:$E$1505,"&lt;="&amp;AK$2))</f>
        <v>3</v>
      </c>
      <c r="AL8" s="0" t="n">
        <f aca="false">IF($A8="","",SUMIFS('Weekly Plan'!$D$6:$D$1505,'Weekly Plan'!$A$6:$A$1505,$A8,'Weekly Plan'!$E$6:$E$1505,"&lt;="&amp;AL$2))</f>
        <v>3</v>
      </c>
      <c r="AM8" s="0" t="n">
        <f aca="false">IF($A8="","",SUMIFS('Weekly Plan'!$D$6:$D$1505,'Weekly Plan'!$A$6:$A$1505,$A8,'Weekly Plan'!$E$6:$E$1505,"&lt;="&amp;AM$2))</f>
        <v>3</v>
      </c>
      <c r="AN8" s="0" t="n">
        <f aca="false">IF($A8="","",SUMIFS('Weekly Plan'!$D$6:$D$1505,'Weekly Plan'!$A$6:$A$1505,$A8,'Weekly Plan'!$E$6:$E$1505,"&lt;="&amp;AN$2))</f>
        <v>3</v>
      </c>
      <c r="AO8" s="0" t="n">
        <f aca="false">IF($A8="","",SUMIFS('Weekly Plan'!$D$6:$D$1505,'Weekly Plan'!$A$6:$A$1505,$A8,'Weekly Plan'!$E$6:$E$1505,"&lt;="&amp;AO$2))</f>
        <v>3</v>
      </c>
      <c r="AP8" s="0" t="n">
        <f aca="false">IF($A8="","",SUMIFS('Weekly Plan'!$D$6:$D$1505,'Weekly Plan'!$A$6:$A$1505,$A8,'Weekly Plan'!$E$6:$E$1505,"&lt;="&amp;AP$2))</f>
        <v>3</v>
      </c>
      <c r="AQ8" s="0" t="n">
        <f aca="false">IF($A8="","",SUMIFS('Weekly Plan'!$D$6:$D$1505,'Weekly Plan'!$A$6:$A$1505,$A8,'Weekly Plan'!$E$6:$E$1505,"&lt;="&amp;AQ$2))</f>
        <v>3</v>
      </c>
      <c r="AR8" s="0" t="n">
        <f aca="false">IF($A8="","",SUMIFS('Weekly Plan'!$D$6:$D$1505,'Weekly Plan'!$A$6:$A$1505,$A8,'Weekly Plan'!$E$6:$E$1505,"&lt;="&amp;AR$2))</f>
        <v>3</v>
      </c>
      <c r="AS8" s="0" t="n">
        <f aca="false">IF($A8="","",SUMIFS('Weekly Plan'!$D$6:$D$1505,'Weekly Plan'!$A$6:$A$1505,$A8,'Weekly Plan'!$E$6:$E$1505,"&lt;="&amp;AS$2))</f>
        <v>3</v>
      </c>
      <c r="AT8" s="0" t="n">
        <f aca="false">IF($A8="","",SUMIFS('Weekly Plan'!$D$6:$D$1505,'Weekly Plan'!$A$6:$A$1505,$A8,'Weekly Plan'!$E$6:$E$1505,"&lt;="&amp;AT$2))</f>
        <v>3</v>
      </c>
      <c r="AU8" s="0" t="n">
        <f aca="false">IF($A8="","",SUMIFS('Weekly Plan'!$D$6:$D$1505,'Weekly Plan'!$A$6:$A$1505,$A8,'Weekly Plan'!$E$6:$E$1505,"&lt;="&amp;AU$2))</f>
        <v>3</v>
      </c>
      <c r="AV8" s="0" t="n">
        <f aca="false">IF($A8="","",SUMIFS('Weekly Plan'!$D$6:$D$1505,'Weekly Plan'!$A$6:$A$1505,$A8,'Weekly Plan'!$E$6:$E$1505,"&lt;="&amp;AV$2))</f>
        <v>3</v>
      </c>
      <c r="AW8" s="0" t="n">
        <f aca="false">IF($A8="","",SUMIFS('Weekly Plan'!$D$6:$D$1505,'Weekly Plan'!$A$6:$A$1505,$A8,'Weekly Plan'!$E$6:$E$1505,"&lt;="&amp;AW$2))</f>
        <v>3</v>
      </c>
      <c r="AX8" s="0" t="n">
        <f aca="false">IF($A8="","",SUMIFS('Weekly Plan'!$D$6:$D$1505,'Weekly Plan'!$A$6:$A$1505,$A8,'Weekly Plan'!$E$6:$E$1505,"&lt;="&amp;AX$2))</f>
        <v>3</v>
      </c>
      <c r="AY8" s="0" t="n">
        <f aca="false">IF($A8="","",SUMIFS('Weekly Plan'!$D$6:$D$1505,'Weekly Plan'!$A$6:$A$1505,$A8,'Weekly Plan'!$E$6:$E$1505,"&lt;="&amp;AY$2))</f>
        <v>3</v>
      </c>
      <c r="AZ8" s="0" t="n">
        <f aca="false">IF($A8="","",SUMIFS('Weekly Plan'!$D$6:$D$1505,'Weekly Plan'!$A$6:$A$1505,$A8,'Weekly Plan'!$E$6:$E$1505,"&lt;="&amp;AZ$2))</f>
        <v>3</v>
      </c>
      <c r="BA8" s="0" t="n">
        <f aca="false">IF($A8="","",SUMIFS('Weekly Plan'!$D$6:$D$1505,'Weekly Plan'!$A$6:$A$1505,$A8,'Weekly Plan'!$E$6:$E$1505,"&lt;="&amp;BA$2))</f>
        <v>3</v>
      </c>
      <c r="BB8" s="0" t="n">
        <f aca="false">IF($A8="","",SUMIFS('Weekly Plan'!$D$6:$D$1505,'Weekly Plan'!$A$6:$A$1505,$A8,'Weekly Plan'!$E$6:$E$1505,"&lt;="&amp;BB$2))</f>
        <v>3</v>
      </c>
      <c r="BC8" s="0" t="n">
        <f aca="false">IF($A8="","",SUMIFS('Weekly Plan'!$D$6:$D$1505,'Weekly Plan'!$A$6:$A$1505,$A8,'Weekly Plan'!$E$6:$E$1505,"&lt;="&amp;BC$2))</f>
        <v>3</v>
      </c>
      <c r="BD8" s="0" t="n">
        <f aca="false">IF($A8="","",SUMIFS('Weekly Plan'!$D$6:$D$1505,'Weekly Plan'!$A$6:$A$1505,$A8,'Weekly Plan'!$E$6:$E$1505,"&lt;="&amp;BD$2))</f>
        <v>3</v>
      </c>
    </row>
    <row r="9" customFormat="false" ht="15" hidden="false" customHeight="false" outlineLevel="0" collapsed="false">
      <c r="A9" s="0" t="str">
        <f aca="false">Contracts!$A$11</f>
        <v>E2A-R8P-T4-C</v>
      </c>
      <c r="B9" s="0" t="n">
        <f aca="false">IF($A9="","",SUMIFS('Weekly Plan'!$D$6:$D$1505,'Weekly Plan'!$A$6:$A$1505,$A9,'Weekly Plan'!$E$6:$E$1505,"&lt;="&amp;B$2))</f>
        <v>0</v>
      </c>
      <c r="C9" s="0" t="n">
        <f aca="false">IF($A9="","",SUMIFS('Weekly Plan'!$D$6:$D$1505,'Weekly Plan'!$A$6:$A$1505,$A9,'Weekly Plan'!$E$6:$E$1505,"&lt;="&amp;C$2))</f>
        <v>0</v>
      </c>
      <c r="D9" s="0" t="n">
        <f aca="false">IF($A9="","",SUMIFS('Weekly Plan'!$D$6:$D$1505,'Weekly Plan'!$A$6:$A$1505,$A9,'Weekly Plan'!$E$6:$E$1505,"&lt;="&amp;D$2))</f>
        <v>0</v>
      </c>
      <c r="E9" s="0" t="n">
        <f aca="false">IF($A9="","",SUMIFS('Weekly Plan'!$D$6:$D$1505,'Weekly Plan'!$A$6:$A$1505,$A9,'Weekly Plan'!$E$6:$E$1505,"&lt;="&amp;E$2))</f>
        <v>0</v>
      </c>
      <c r="F9" s="0" t="n">
        <f aca="false">IF($A9="","",SUMIFS('Weekly Plan'!$D$6:$D$1505,'Weekly Plan'!$A$6:$A$1505,$A9,'Weekly Plan'!$E$6:$E$1505,"&lt;="&amp;F$2))</f>
        <v>0</v>
      </c>
      <c r="G9" s="0" t="n">
        <f aca="false">IF($A9="","",SUMIFS('Weekly Plan'!$D$6:$D$1505,'Weekly Plan'!$A$6:$A$1505,$A9,'Weekly Plan'!$E$6:$E$1505,"&lt;="&amp;G$2))</f>
        <v>0</v>
      </c>
      <c r="H9" s="0" t="n">
        <f aca="false">IF($A9="","",SUMIFS('Weekly Plan'!$D$6:$D$1505,'Weekly Plan'!$A$6:$A$1505,$A9,'Weekly Plan'!$E$6:$E$1505,"&lt;="&amp;H$2))</f>
        <v>0</v>
      </c>
      <c r="I9" s="0" t="n">
        <f aca="false">IF($A9="","",SUMIFS('Weekly Plan'!$D$6:$D$1505,'Weekly Plan'!$A$6:$A$1505,$A9,'Weekly Plan'!$E$6:$E$1505,"&lt;="&amp;I$2))</f>
        <v>0</v>
      </c>
      <c r="J9" s="0" t="n">
        <f aca="false">IF($A9="","",SUMIFS('Weekly Plan'!$D$6:$D$1505,'Weekly Plan'!$A$6:$A$1505,$A9,'Weekly Plan'!$E$6:$E$1505,"&lt;="&amp;J$2))</f>
        <v>0</v>
      </c>
      <c r="K9" s="0" t="n">
        <f aca="false">IF($A9="","",SUMIFS('Weekly Plan'!$D$6:$D$1505,'Weekly Plan'!$A$6:$A$1505,$A9,'Weekly Plan'!$E$6:$E$1505,"&lt;="&amp;K$2))</f>
        <v>0</v>
      </c>
      <c r="L9" s="0" t="n">
        <f aca="false">IF($A9="","",SUMIFS('Weekly Plan'!$D$6:$D$1505,'Weekly Plan'!$A$6:$A$1505,$A9,'Weekly Plan'!$E$6:$E$1505,"&lt;="&amp;L$2))</f>
        <v>0</v>
      </c>
      <c r="M9" s="0" t="n">
        <f aca="false">IF($A9="","",SUMIFS('Weekly Plan'!$D$6:$D$1505,'Weekly Plan'!$A$6:$A$1505,$A9,'Weekly Plan'!$E$6:$E$1505,"&lt;="&amp;M$2))</f>
        <v>0</v>
      </c>
      <c r="N9" s="0" t="n">
        <f aca="false">IF($A9="","",SUMIFS('Weekly Plan'!$D$6:$D$1505,'Weekly Plan'!$A$6:$A$1505,$A9,'Weekly Plan'!$E$6:$E$1505,"&lt;="&amp;N$2))</f>
        <v>0</v>
      </c>
      <c r="O9" s="0" t="n">
        <f aca="false">IF($A9="","",SUMIFS('Weekly Plan'!$D$6:$D$1505,'Weekly Plan'!$A$6:$A$1505,$A9,'Weekly Plan'!$E$6:$E$1505,"&lt;="&amp;O$2))</f>
        <v>0</v>
      </c>
      <c r="P9" s="0" t="n">
        <f aca="false">IF($A9="","",SUMIFS('Weekly Plan'!$D$6:$D$1505,'Weekly Plan'!$A$6:$A$1505,$A9,'Weekly Plan'!$E$6:$E$1505,"&lt;="&amp;P$2))</f>
        <v>0</v>
      </c>
      <c r="Q9" s="0" t="n">
        <f aca="false">IF($A9="","",SUMIFS('Weekly Plan'!$D$6:$D$1505,'Weekly Plan'!$A$6:$A$1505,$A9,'Weekly Plan'!$E$6:$E$1505,"&lt;="&amp;Q$2))</f>
        <v>0</v>
      </c>
      <c r="R9" s="0" t="n">
        <f aca="false">IF($A9="","",SUMIFS('Weekly Plan'!$D$6:$D$1505,'Weekly Plan'!$A$6:$A$1505,$A9,'Weekly Plan'!$E$6:$E$1505,"&lt;="&amp;R$2))</f>
        <v>0</v>
      </c>
      <c r="S9" s="0" t="n">
        <f aca="false">IF($A9="","",SUMIFS('Weekly Plan'!$D$6:$D$1505,'Weekly Plan'!$A$6:$A$1505,$A9,'Weekly Plan'!$E$6:$E$1505,"&lt;="&amp;S$2))</f>
        <v>8</v>
      </c>
      <c r="T9" s="0" t="n">
        <f aca="false">IF($A9="","",SUMIFS('Weekly Plan'!$D$6:$D$1505,'Weekly Plan'!$A$6:$A$1505,$A9,'Weekly Plan'!$E$6:$E$1505,"&lt;="&amp;T$2))</f>
        <v>8</v>
      </c>
      <c r="U9" s="0" t="n">
        <f aca="false">IF($A9="","",SUMIFS('Weekly Plan'!$D$6:$D$1505,'Weekly Plan'!$A$6:$A$1505,$A9,'Weekly Plan'!$E$6:$E$1505,"&lt;="&amp;U$2))</f>
        <v>8</v>
      </c>
      <c r="V9" s="0" t="n">
        <f aca="false">IF($A9="","",SUMIFS('Weekly Plan'!$D$6:$D$1505,'Weekly Plan'!$A$6:$A$1505,$A9,'Weekly Plan'!$E$6:$E$1505,"&lt;="&amp;V$2))</f>
        <v>10</v>
      </c>
      <c r="W9" s="0" t="n">
        <f aca="false">IF($A9="","",SUMIFS('Weekly Plan'!$D$6:$D$1505,'Weekly Plan'!$A$6:$A$1505,$A9,'Weekly Plan'!$E$6:$E$1505,"&lt;="&amp;W$2))</f>
        <v>10</v>
      </c>
      <c r="X9" s="0" t="n">
        <f aca="false">IF($A9="","",SUMIFS('Weekly Plan'!$D$6:$D$1505,'Weekly Plan'!$A$6:$A$1505,$A9,'Weekly Plan'!$E$6:$E$1505,"&lt;="&amp;X$2))</f>
        <v>10</v>
      </c>
      <c r="Y9" s="0" t="n">
        <f aca="false">IF($A9="","",SUMIFS('Weekly Plan'!$D$6:$D$1505,'Weekly Plan'!$A$6:$A$1505,$A9,'Weekly Plan'!$E$6:$E$1505,"&lt;="&amp;Y$2))</f>
        <v>10</v>
      </c>
      <c r="Z9" s="0" t="n">
        <f aca="false">IF($A9="","",SUMIFS('Weekly Plan'!$D$6:$D$1505,'Weekly Plan'!$A$6:$A$1505,$A9,'Weekly Plan'!$E$6:$E$1505,"&lt;="&amp;Z$2))</f>
        <v>10</v>
      </c>
      <c r="AA9" s="0" t="n">
        <f aca="false">IF($A9="","",SUMIFS('Weekly Plan'!$D$6:$D$1505,'Weekly Plan'!$A$6:$A$1505,$A9,'Weekly Plan'!$E$6:$E$1505,"&lt;="&amp;AA$2))</f>
        <v>10</v>
      </c>
      <c r="AB9" s="0" t="n">
        <f aca="false">IF($A9="","",SUMIFS('Weekly Plan'!$D$6:$D$1505,'Weekly Plan'!$A$6:$A$1505,$A9,'Weekly Plan'!$E$6:$E$1505,"&lt;="&amp;AB$2))</f>
        <v>10</v>
      </c>
      <c r="AC9" s="0" t="n">
        <f aca="false">IF($A9="","",SUMIFS('Weekly Plan'!$D$6:$D$1505,'Weekly Plan'!$A$6:$A$1505,$A9,'Weekly Plan'!$E$6:$E$1505,"&lt;="&amp;AC$2))</f>
        <v>10</v>
      </c>
      <c r="AD9" s="0" t="n">
        <f aca="false">IF($A9="","",SUMIFS('Weekly Plan'!$D$6:$D$1505,'Weekly Plan'!$A$6:$A$1505,$A9,'Weekly Plan'!$E$6:$E$1505,"&lt;="&amp;AD$2))</f>
        <v>10</v>
      </c>
      <c r="AE9" s="0" t="n">
        <f aca="false">IF($A9="","",SUMIFS('Weekly Plan'!$D$6:$D$1505,'Weekly Plan'!$A$6:$A$1505,$A9,'Weekly Plan'!$E$6:$E$1505,"&lt;="&amp;AE$2))</f>
        <v>10</v>
      </c>
      <c r="AF9" s="0" t="n">
        <f aca="false">IF($A9="","",SUMIFS('Weekly Plan'!$D$6:$D$1505,'Weekly Plan'!$A$6:$A$1505,$A9,'Weekly Plan'!$E$6:$E$1505,"&lt;="&amp;AF$2))</f>
        <v>10</v>
      </c>
      <c r="AG9" s="0" t="n">
        <f aca="false">IF($A9="","",SUMIFS('Weekly Plan'!$D$6:$D$1505,'Weekly Plan'!$A$6:$A$1505,$A9,'Weekly Plan'!$E$6:$E$1505,"&lt;="&amp;AG$2))</f>
        <v>10</v>
      </c>
      <c r="AH9" s="0" t="n">
        <f aca="false">IF($A9="","",SUMIFS('Weekly Plan'!$D$6:$D$1505,'Weekly Plan'!$A$6:$A$1505,$A9,'Weekly Plan'!$E$6:$E$1505,"&lt;="&amp;AH$2))</f>
        <v>10</v>
      </c>
      <c r="AI9" s="0" t="n">
        <f aca="false">IF($A9="","",SUMIFS('Weekly Plan'!$D$6:$D$1505,'Weekly Plan'!$A$6:$A$1505,$A9,'Weekly Plan'!$E$6:$E$1505,"&lt;="&amp;AI$2))</f>
        <v>10</v>
      </c>
      <c r="AJ9" s="0" t="n">
        <f aca="false">IF($A9="","",SUMIFS('Weekly Plan'!$D$6:$D$1505,'Weekly Plan'!$A$6:$A$1505,$A9,'Weekly Plan'!$E$6:$E$1505,"&lt;="&amp;AJ$2))</f>
        <v>10</v>
      </c>
      <c r="AK9" s="0" t="n">
        <f aca="false">IF($A9="","",SUMIFS('Weekly Plan'!$D$6:$D$1505,'Weekly Plan'!$A$6:$A$1505,$A9,'Weekly Plan'!$E$6:$E$1505,"&lt;="&amp;AK$2))</f>
        <v>10</v>
      </c>
      <c r="AL9" s="0" t="n">
        <f aca="false">IF($A9="","",SUMIFS('Weekly Plan'!$D$6:$D$1505,'Weekly Plan'!$A$6:$A$1505,$A9,'Weekly Plan'!$E$6:$E$1505,"&lt;="&amp;AL$2))</f>
        <v>10</v>
      </c>
      <c r="AM9" s="0" t="n">
        <f aca="false">IF($A9="","",SUMIFS('Weekly Plan'!$D$6:$D$1505,'Weekly Plan'!$A$6:$A$1505,$A9,'Weekly Plan'!$E$6:$E$1505,"&lt;="&amp;AM$2))</f>
        <v>10</v>
      </c>
      <c r="AN9" s="0" t="n">
        <f aca="false">IF($A9="","",SUMIFS('Weekly Plan'!$D$6:$D$1505,'Weekly Plan'!$A$6:$A$1505,$A9,'Weekly Plan'!$E$6:$E$1505,"&lt;="&amp;AN$2))</f>
        <v>10</v>
      </c>
      <c r="AO9" s="0" t="n">
        <f aca="false">IF($A9="","",SUMIFS('Weekly Plan'!$D$6:$D$1505,'Weekly Plan'!$A$6:$A$1505,$A9,'Weekly Plan'!$E$6:$E$1505,"&lt;="&amp;AO$2))</f>
        <v>10</v>
      </c>
      <c r="AP9" s="0" t="n">
        <f aca="false">IF($A9="","",SUMIFS('Weekly Plan'!$D$6:$D$1505,'Weekly Plan'!$A$6:$A$1505,$A9,'Weekly Plan'!$E$6:$E$1505,"&lt;="&amp;AP$2))</f>
        <v>10</v>
      </c>
      <c r="AQ9" s="0" t="n">
        <f aca="false">IF($A9="","",SUMIFS('Weekly Plan'!$D$6:$D$1505,'Weekly Plan'!$A$6:$A$1505,$A9,'Weekly Plan'!$E$6:$E$1505,"&lt;="&amp;AQ$2))</f>
        <v>10</v>
      </c>
      <c r="AR9" s="0" t="n">
        <f aca="false">IF($A9="","",SUMIFS('Weekly Plan'!$D$6:$D$1505,'Weekly Plan'!$A$6:$A$1505,$A9,'Weekly Plan'!$E$6:$E$1505,"&lt;="&amp;AR$2))</f>
        <v>10</v>
      </c>
      <c r="AS9" s="0" t="n">
        <f aca="false">IF($A9="","",SUMIFS('Weekly Plan'!$D$6:$D$1505,'Weekly Plan'!$A$6:$A$1505,$A9,'Weekly Plan'!$E$6:$E$1505,"&lt;="&amp;AS$2))</f>
        <v>10</v>
      </c>
      <c r="AT9" s="0" t="n">
        <f aca="false">IF($A9="","",SUMIFS('Weekly Plan'!$D$6:$D$1505,'Weekly Plan'!$A$6:$A$1505,$A9,'Weekly Plan'!$E$6:$E$1505,"&lt;="&amp;AT$2))</f>
        <v>10</v>
      </c>
      <c r="AU9" s="0" t="n">
        <f aca="false">IF($A9="","",SUMIFS('Weekly Plan'!$D$6:$D$1505,'Weekly Plan'!$A$6:$A$1505,$A9,'Weekly Plan'!$E$6:$E$1505,"&lt;="&amp;AU$2))</f>
        <v>10</v>
      </c>
      <c r="AV9" s="0" t="n">
        <f aca="false">IF($A9="","",SUMIFS('Weekly Plan'!$D$6:$D$1505,'Weekly Plan'!$A$6:$A$1505,$A9,'Weekly Plan'!$E$6:$E$1505,"&lt;="&amp;AV$2))</f>
        <v>10</v>
      </c>
      <c r="AW9" s="0" t="n">
        <f aca="false">IF($A9="","",SUMIFS('Weekly Plan'!$D$6:$D$1505,'Weekly Plan'!$A$6:$A$1505,$A9,'Weekly Plan'!$E$6:$E$1505,"&lt;="&amp;AW$2))</f>
        <v>10</v>
      </c>
      <c r="AX9" s="0" t="n">
        <f aca="false">IF($A9="","",SUMIFS('Weekly Plan'!$D$6:$D$1505,'Weekly Plan'!$A$6:$A$1505,$A9,'Weekly Plan'!$E$6:$E$1505,"&lt;="&amp;AX$2))</f>
        <v>10</v>
      </c>
      <c r="AY9" s="0" t="n">
        <f aca="false">IF($A9="","",SUMIFS('Weekly Plan'!$D$6:$D$1505,'Weekly Plan'!$A$6:$A$1505,$A9,'Weekly Plan'!$E$6:$E$1505,"&lt;="&amp;AY$2))</f>
        <v>10</v>
      </c>
      <c r="AZ9" s="0" t="n">
        <f aca="false">IF($A9="","",SUMIFS('Weekly Plan'!$D$6:$D$1505,'Weekly Plan'!$A$6:$A$1505,$A9,'Weekly Plan'!$E$6:$E$1505,"&lt;="&amp;AZ$2))</f>
        <v>10</v>
      </c>
      <c r="BA9" s="0" t="n">
        <f aca="false">IF($A9="","",SUMIFS('Weekly Plan'!$D$6:$D$1505,'Weekly Plan'!$A$6:$A$1505,$A9,'Weekly Plan'!$E$6:$E$1505,"&lt;="&amp;BA$2))</f>
        <v>10</v>
      </c>
      <c r="BB9" s="0" t="n">
        <f aca="false">IF($A9="","",SUMIFS('Weekly Plan'!$D$6:$D$1505,'Weekly Plan'!$A$6:$A$1505,$A9,'Weekly Plan'!$E$6:$E$1505,"&lt;="&amp;BB$2))</f>
        <v>10</v>
      </c>
      <c r="BC9" s="0" t="n">
        <f aca="false">IF($A9="","",SUMIFS('Weekly Plan'!$D$6:$D$1505,'Weekly Plan'!$A$6:$A$1505,$A9,'Weekly Plan'!$E$6:$E$1505,"&lt;="&amp;BC$2))</f>
        <v>10</v>
      </c>
      <c r="BD9" s="0" t="n">
        <f aca="false">IF($A9="","",SUMIFS('Weekly Plan'!$D$6:$D$1505,'Weekly Plan'!$A$6:$A$1505,$A9,'Weekly Plan'!$E$6:$E$1505,"&lt;="&amp;BD$2))</f>
        <v>10</v>
      </c>
    </row>
    <row r="10" customFormat="false" ht="15" hidden="false" customHeight="false" outlineLevel="0" collapsed="false">
      <c r="A10" s="0" t="str">
        <f aca="false">Contracts!$A$12</f>
        <v>E2A-R12P-T5-C</v>
      </c>
      <c r="B10" s="0" t="n">
        <f aca="false">IF($A10="","",SUMIFS('Weekly Plan'!$D$6:$D$1505,'Weekly Plan'!$A$6:$A$1505,$A10,'Weekly Plan'!$E$6:$E$1505,"&lt;="&amp;B$2))</f>
        <v>14</v>
      </c>
      <c r="C10" s="0" t="n">
        <f aca="false">IF($A10="","",SUMIFS('Weekly Plan'!$D$6:$D$1505,'Weekly Plan'!$A$6:$A$1505,$A10,'Weekly Plan'!$E$6:$E$1505,"&lt;="&amp;C$2))</f>
        <v>17</v>
      </c>
      <c r="D10" s="0" t="n">
        <f aca="false">IF($A10="","",SUMIFS('Weekly Plan'!$D$6:$D$1505,'Weekly Plan'!$A$6:$A$1505,$A10,'Weekly Plan'!$E$6:$E$1505,"&lt;="&amp;D$2))</f>
        <v>19</v>
      </c>
      <c r="E10" s="0" t="n">
        <f aca="false">IF($A10="","",SUMIFS('Weekly Plan'!$D$6:$D$1505,'Weekly Plan'!$A$6:$A$1505,$A10,'Weekly Plan'!$E$6:$E$1505,"&lt;="&amp;E$2))</f>
        <v>19</v>
      </c>
      <c r="F10" s="0" t="n">
        <f aca="false">IF($A10="","",SUMIFS('Weekly Plan'!$D$6:$D$1505,'Weekly Plan'!$A$6:$A$1505,$A10,'Weekly Plan'!$E$6:$E$1505,"&lt;="&amp;F$2))</f>
        <v>20</v>
      </c>
      <c r="G10" s="0" t="n">
        <f aca="false">IF($A10="","",SUMIFS('Weekly Plan'!$D$6:$D$1505,'Weekly Plan'!$A$6:$A$1505,$A10,'Weekly Plan'!$E$6:$E$1505,"&lt;="&amp;G$2))</f>
        <v>22</v>
      </c>
      <c r="H10" s="0" t="n">
        <f aca="false">IF($A10="","",SUMIFS('Weekly Plan'!$D$6:$D$1505,'Weekly Plan'!$A$6:$A$1505,$A10,'Weekly Plan'!$E$6:$E$1505,"&lt;="&amp;H$2))</f>
        <v>24</v>
      </c>
      <c r="I10" s="0" t="n">
        <f aca="false">IF($A10="","",SUMIFS('Weekly Plan'!$D$6:$D$1505,'Weekly Plan'!$A$6:$A$1505,$A10,'Weekly Plan'!$E$6:$E$1505,"&lt;="&amp;I$2))</f>
        <v>26</v>
      </c>
      <c r="J10" s="0" t="n">
        <f aca="false">IF($A10="","",SUMIFS('Weekly Plan'!$D$6:$D$1505,'Weekly Plan'!$A$6:$A$1505,$A10,'Weekly Plan'!$E$6:$E$1505,"&lt;="&amp;J$2))</f>
        <v>28</v>
      </c>
      <c r="K10" s="0" t="n">
        <f aca="false">IF($A10="","",SUMIFS('Weekly Plan'!$D$6:$D$1505,'Weekly Plan'!$A$6:$A$1505,$A10,'Weekly Plan'!$E$6:$E$1505,"&lt;="&amp;K$2))</f>
        <v>31</v>
      </c>
      <c r="L10" s="0" t="n">
        <f aca="false">IF($A10="","",SUMIFS('Weekly Plan'!$D$6:$D$1505,'Weekly Plan'!$A$6:$A$1505,$A10,'Weekly Plan'!$E$6:$E$1505,"&lt;="&amp;L$2))</f>
        <v>32</v>
      </c>
      <c r="M10" s="0" t="n">
        <f aca="false">IF($A10="","",SUMIFS('Weekly Plan'!$D$6:$D$1505,'Weekly Plan'!$A$6:$A$1505,$A10,'Weekly Plan'!$E$6:$E$1505,"&lt;="&amp;M$2))</f>
        <v>33</v>
      </c>
      <c r="N10" s="0" t="n">
        <f aca="false">IF($A10="","",SUMIFS('Weekly Plan'!$D$6:$D$1505,'Weekly Plan'!$A$6:$A$1505,$A10,'Weekly Plan'!$E$6:$E$1505,"&lt;="&amp;N$2))</f>
        <v>33</v>
      </c>
      <c r="O10" s="0" t="n">
        <f aca="false">IF($A10="","",SUMIFS('Weekly Plan'!$D$6:$D$1505,'Weekly Plan'!$A$6:$A$1505,$A10,'Weekly Plan'!$E$6:$E$1505,"&lt;="&amp;O$2))</f>
        <v>33</v>
      </c>
      <c r="P10" s="0" t="n">
        <f aca="false">IF($A10="","",SUMIFS('Weekly Plan'!$D$6:$D$1505,'Weekly Plan'!$A$6:$A$1505,$A10,'Weekly Plan'!$E$6:$E$1505,"&lt;="&amp;P$2))</f>
        <v>33</v>
      </c>
      <c r="Q10" s="0" t="n">
        <f aca="false">IF($A10="","",SUMIFS('Weekly Plan'!$D$6:$D$1505,'Weekly Plan'!$A$6:$A$1505,$A10,'Weekly Plan'!$E$6:$E$1505,"&lt;="&amp;Q$2))</f>
        <v>33</v>
      </c>
      <c r="R10" s="0" t="n">
        <f aca="false">IF($A10="","",SUMIFS('Weekly Plan'!$D$6:$D$1505,'Weekly Plan'!$A$6:$A$1505,$A10,'Weekly Plan'!$E$6:$E$1505,"&lt;="&amp;R$2))</f>
        <v>35</v>
      </c>
      <c r="S10" s="0" t="n">
        <f aca="false">IF($A10="","",SUMIFS('Weekly Plan'!$D$6:$D$1505,'Weekly Plan'!$A$6:$A$1505,$A10,'Weekly Plan'!$E$6:$E$1505,"&lt;="&amp;S$2))</f>
        <v>35</v>
      </c>
      <c r="T10" s="0" t="n">
        <f aca="false">IF($A10="","",SUMIFS('Weekly Plan'!$D$6:$D$1505,'Weekly Plan'!$A$6:$A$1505,$A10,'Weekly Plan'!$E$6:$E$1505,"&lt;="&amp;T$2))</f>
        <v>35</v>
      </c>
      <c r="U10" s="0" t="n">
        <f aca="false">IF($A10="","",SUMIFS('Weekly Plan'!$D$6:$D$1505,'Weekly Plan'!$A$6:$A$1505,$A10,'Weekly Plan'!$E$6:$E$1505,"&lt;="&amp;U$2))</f>
        <v>35</v>
      </c>
      <c r="V10" s="0" t="n">
        <f aca="false">IF($A10="","",SUMIFS('Weekly Plan'!$D$6:$D$1505,'Weekly Plan'!$A$6:$A$1505,$A10,'Weekly Plan'!$E$6:$E$1505,"&lt;="&amp;V$2))</f>
        <v>44</v>
      </c>
      <c r="W10" s="0" t="n">
        <f aca="false">IF($A10="","",SUMIFS('Weekly Plan'!$D$6:$D$1505,'Weekly Plan'!$A$6:$A$1505,$A10,'Weekly Plan'!$E$6:$E$1505,"&lt;="&amp;W$2))</f>
        <v>46</v>
      </c>
      <c r="X10" s="0" t="n">
        <f aca="false">IF($A10="","",SUMIFS('Weekly Plan'!$D$6:$D$1505,'Weekly Plan'!$A$6:$A$1505,$A10,'Weekly Plan'!$E$6:$E$1505,"&lt;="&amp;X$2))</f>
        <v>52</v>
      </c>
      <c r="Y10" s="0" t="n">
        <f aca="false">IF($A10="","",SUMIFS('Weekly Plan'!$D$6:$D$1505,'Weekly Plan'!$A$6:$A$1505,$A10,'Weekly Plan'!$E$6:$E$1505,"&lt;="&amp;Y$2))</f>
        <v>52</v>
      </c>
      <c r="Z10" s="0" t="n">
        <f aca="false">IF($A10="","",SUMIFS('Weekly Plan'!$D$6:$D$1505,'Weekly Plan'!$A$6:$A$1505,$A10,'Weekly Plan'!$E$6:$E$1505,"&lt;="&amp;Z$2))</f>
        <v>52</v>
      </c>
      <c r="AA10" s="0" t="n">
        <f aca="false">IF($A10="","",SUMIFS('Weekly Plan'!$D$6:$D$1505,'Weekly Plan'!$A$6:$A$1505,$A10,'Weekly Plan'!$E$6:$E$1505,"&lt;="&amp;AA$2))</f>
        <v>52</v>
      </c>
      <c r="AB10" s="0" t="n">
        <f aca="false">IF($A10="","",SUMIFS('Weekly Plan'!$D$6:$D$1505,'Weekly Plan'!$A$6:$A$1505,$A10,'Weekly Plan'!$E$6:$E$1505,"&lt;="&amp;AB$2))</f>
        <v>52</v>
      </c>
      <c r="AC10" s="0" t="n">
        <f aca="false">IF($A10="","",SUMIFS('Weekly Plan'!$D$6:$D$1505,'Weekly Plan'!$A$6:$A$1505,$A10,'Weekly Plan'!$E$6:$E$1505,"&lt;="&amp;AC$2))</f>
        <v>52</v>
      </c>
      <c r="AD10" s="0" t="n">
        <f aca="false">IF($A10="","",SUMIFS('Weekly Plan'!$D$6:$D$1505,'Weekly Plan'!$A$6:$A$1505,$A10,'Weekly Plan'!$E$6:$E$1505,"&lt;="&amp;AD$2))</f>
        <v>52</v>
      </c>
      <c r="AE10" s="0" t="n">
        <f aca="false">IF($A10="","",SUMIFS('Weekly Plan'!$D$6:$D$1505,'Weekly Plan'!$A$6:$A$1505,$A10,'Weekly Plan'!$E$6:$E$1505,"&lt;="&amp;AE$2))</f>
        <v>52</v>
      </c>
      <c r="AF10" s="0" t="n">
        <f aca="false">IF($A10="","",SUMIFS('Weekly Plan'!$D$6:$D$1505,'Weekly Plan'!$A$6:$A$1505,$A10,'Weekly Plan'!$E$6:$E$1505,"&lt;="&amp;AF$2))</f>
        <v>52</v>
      </c>
      <c r="AG10" s="0" t="n">
        <f aca="false">IF($A10="","",SUMIFS('Weekly Plan'!$D$6:$D$1505,'Weekly Plan'!$A$6:$A$1505,$A10,'Weekly Plan'!$E$6:$E$1505,"&lt;="&amp;AG$2))</f>
        <v>52</v>
      </c>
      <c r="AH10" s="0" t="n">
        <f aca="false">IF($A10="","",SUMIFS('Weekly Plan'!$D$6:$D$1505,'Weekly Plan'!$A$6:$A$1505,$A10,'Weekly Plan'!$E$6:$E$1505,"&lt;="&amp;AH$2))</f>
        <v>52</v>
      </c>
      <c r="AI10" s="0" t="n">
        <f aca="false">IF($A10="","",SUMIFS('Weekly Plan'!$D$6:$D$1505,'Weekly Plan'!$A$6:$A$1505,$A10,'Weekly Plan'!$E$6:$E$1505,"&lt;="&amp;AI$2))</f>
        <v>52</v>
      </c>
      <c r="AJ10" s="0" t="n">
        <f aca="false">IF($A10="","",SUMIFS('Weekly Plan'!$D$6:$D$1505,'Weekly Plan'!$A$6:$A$1505,$A10,'Weekly Plan'!$E$6:$E$1505,"&lt;="&amp;AJ$2))</f>
        <v>52</v>
      </c>
      <c r="AK10" s="0" t="n">
        <f aca="false">IF($A10="","",SUMIFS('Weekly Plan'!$D$6:$D$1505,'Weekly Plan'!$A$6:$A$1505,$A10,'Weekly Plan'!$E$6:$E$1505,"&lt;="&amp;AK$2))</f>
        <v>53</v>
      </c>
      <c r="AL10" s="0" t="n">
        <f aca="false">IF($A10="","",SUMIFS('Weekly Plan'!$D$6:$D$1505,'Weekly Plan'!$A$6:$A$1505,$A10,'Weekly Plan'!$E$6:$E$1505,"&lt;="&amp;AL$2))</f>
        <v>54</v>
      </c>
      <c r="AM10" s="0" t="n">
        <f aca="false">IF($A10="","",SUMIFS('Weekly Plan'!$D$6:$D$1505,'Weekly Plan'!$A$6:$A$1505,$A10,'Weekly Plan'!$E$6:$E$1505,"&lt;="&amp;AM$2))</f>
        <v>55</v>
      </c>
      <c r="AN10" s="0" t="n">
        <f aca="false">IF($A10="","",SUMIFS('Weekly Plan'!$D$6:$D$1505,'Weekly Plan'!$A$6:$A$1505,$A10,'Weekly Plan'!$E$6:$E$1505,"&lt;="&amp;AN$2))</f>
        <v>60</v>
      </c>
      <c r="AO10" s="0" t="n">
        <f aca="false">IF($A10="","",SUMIFS('Weekly Plan'!$D$6:$D$1505,'Weekly Plan'!$A$6:$A$1505,$A10,'Weekly Plan'!$E$6:$E$1505,"&lt;="&amp;AO$2))</f>
        <v>67</v>
      </c>
      <c r="AP10" s="0" t="n">
        <f aca="false">IF($A10="","",SUMIFS('Weekly Plan'!$D$6:$D$1505,'Weekly Plan'!$A$6:$A$1505,$A10,'Weekly Plan'!$E$6:$E$1505,"&lt;="&amp;AP$2))</f>
        <v>79</v>
      </c>
      <c r="AQ10" s="0" t="n">
        <f aca="false">IF($A10="","",SUMIFS('Weekly Plan'!$D$6:$D$1505,'Weekly Plan'!$A$6:$A$1505,$A10,'Weekly Plan'!$E$6:$E$1505,"&lt;="&amp;AQ$2))</f>
        <v>90</v>
      </c>
      <c r="AR10" s="0" t="n">
        <f aca="false">IF($A10="","",SUMIFS('Weekly Plan'!$D$6:$D$1505,'Weekly Plan'!$A$6:$A$1505,$A10,'Weekly Plan'!$E$6:$E$1505,"&lt;="&amp;AR$2))</f>
        <v>102</v>
      </c>
      <c r="AS10" s="0" t="n">
        <f aca="false">IF($A10="","",SUMIFS('Weekly Plan'!$D$6:$D$1505,'Weekly Plan'!$A$6:$A$1505,$A10,'Weekly Plan'!$E$6:$E$1505,"&lt;="&amp;AS$2))</f>
        <v>113</v>
      </c>
      <c r="AT10" s="0" t="n">
        <f aca="false">IF($A10="","",SUMIFS('Weekly Plan'!$D$6:$D$1505,'Weekly Plan'!$A$6:$A$1505,$A10,'Weekly Plan'!$E$6:$E$1505,"&lt;="&amp;AT$2))</f>
        <v>124</v>
      </c>
      <c r="AU10" s="0" t="n">
        <f aca="false">IF($A10="","",SUMIFS('Weekly Plan'!$D$6:$D$1505,'Weekly Plan'!$A$6:$A$1505,$A10,'Weekly Plan'!$E$6:$E$1505,"&lt;="&amp;AU$2))</f>
        <v>126</v>
      </c>
      <c r="AV10" s="0" t="n">
        <f aca="false">IF($A10="","",SUMIFS('Weekly Plan'!$D$6:$D$1505,'Weekly Plan'!$A$6:$A$1505,$A10,'Weekly Plan'!$E$6:$E$1505,"&lt;="&amp;AV$2))</f>
        <v>126</v>
      </c>
      <c r="AW10" s="0" t="n">
        <f aca="false">IF($A10="","",SUMIFS('Weekly Plan'!$D$6:$D$1505,'Weekly Plan'!$A$6:$A$1505,$A10,'Weekly Plan'!$E$6:$E$1505,"&lt;="&amp;AW$2))</f>
        <v>126</v>
      </c>
      <c r="AX10" s="0" t="n">
        <f aca="false">IF($A10="","",SUMIFS('Weekly Plan'!$D$6:$D$1505,'Weekly Plan'!$A$6:$A$1505,$A10,'Weekly Plan'!$E$6:$E$1505,"&lt;="&amp;AX$2))</f>
        <v>126</v>
      </c>
      <c r="AY10" s="0" t="n">
        <f aca="false">IF($A10="","",SUMIFS('Weekly Plan'!$D$6:$D$1505,'Weekly Plan'!$A$6:$A$1505,$A10,'Weekly Plan'!$E$6:$E$1505,"&lt;="&amp;AY$2))</f>
        <v>126</v>
      </c>
      <c r="AZ10" s="0" t="n">
        <f aca="false">IF($A10="","",SUMIFS('Weekly Plan'!$D$6:$D$1505,'Weekly Plan'!$A$6:$A$1505,$A10,'Weekly Plan'!$E$6:$E$1505,"&lt;="&amp;AZ$2))</f>
        <v>126</v>
      </c>
      <c r="BA10" s="0" t="n">
        <f aca="false">IF($A10="","",SUMIFS('Weekly Plan'!$D$6:$D$1505,'Weekly Plan'!$A$6:$A$1505,$A10,'Weekly Plan'!$E$6:$E$1505,"&lt;="&amp;BA$2))</f>
        <v>126</v>
      </c>
      <c r="BB10" s="0" t="n">
        <f aca="false">IF($A10="","",SUMIFS('Weekly Plan'!$D$6:$D$1505,'Weekly Plan'!$A$6:$A$1505,$A10,'Weekly Plan'!$E$6:$E$1505,"&lt;="&amp;BB$2))</f>
        <v>126</v>
      </c>
      <c r="BC10" s="0" t="n">
        <f aca="false">IF($A10="","",SUMIFS('Weekly Plan'!$D$6:$D$1505,'Weekly Plan'!$A$6:$A$1505,$A10,'Weekly Plan'!$E$6:$E$1505,"&lt;="&amp;BC$2))</f>
        <v>126</v>
      </c>
      <c r="BD10" s="0" t="n">
        <f aca="false">IF($A10="","",SUMIFS('Weekly Plan'!$D$6:$D$1505,'Weekly Plan'!$A$6:$A$1505,$A10,'Weekly Plan'!$E$6:$E$1505,"&lt;="&amp;BD$2))</f>
        <v>126</v>
      </c>
    </row>
    <row r="11" customFormat="false" ht="15" hidden="false" customHeight="false" outlineLevel="0" collapsed="false">
      <c r="A11" s="0" t="str">
        <f aca="false">Contracts!$A$13</f>
        <v>E2A-R12P-T6-C</v>
      </c>
      <c r="B11" s="0" t="n">
        <f aca="false">IF($A11="","",SUMIFS('Weekly Plan'!$D$6:$D$1505,'Weekly Plan'!$A$6:$A$1505,$A11,'Weekly Plan'!$E$6:$E$1505,"&lt;="&amp;B$2))</f>
        <v>0</v>
      </c>
      <c r="C11" s="0" t="n">
        <f aca="false">IF($A11="","",SUMIFS('Weekly Plan'!$D$6:$D$1505,'Weekly Plan'!$A$6:$A$1505,$A11,'Weekly Plan'!$E$6:$E$1505,"&lt;="&amp;C$2))</f>
        <v>0</v>
      </c>
      <c r="D11" s="0" t="n">
        <f aca="false">IF($A11="","",SUMIFS('Weekly Plan'!$D$6:$D$1505,'Weekly Plan'!$A$6:$A$1505,$A11,'Weekly Plan'!$E$6:$E$1505,"&lt;="&amp;D$2))</f>
        <v>0</v>
      </c>
      <c r="E11" s="0" t="n">
        <f aca="false">IF($A11="","",SUMIFS('Weekly Plan'!$D$6:$D$1505,'Weekly Plan'!$A$6:$A$1505,$A11,'Weekly Plan'!$E$6:$E$1505,"&lt;="&amp;E$2))</f>
        <v>0</v>
      </c>
      <c r="F11" s="0" t="n">
        <f aca="false">IF($A11="","",SUMIFS('Weekly Plan'!$D$6:$D$1505,'Weekly Plan'!$A$6:$A$1505,$A11,'Weekly Plan'!$E$6:$E$1505,"&lt;="&amp;F$2))</f>
        <v>0</v>
      </c>
      <c r="G11" s="0" t="n">
        <f aca="false">IF($A11="","",SUMIFS('Weekly Plan'!$D$6:$D$1505,'Weekly Plan'!$A$6:$A$1505,$A11,'Weekly Plan'!$E$6:$E$1505,"&lt;="&amp;G$2))</f>
        <v>0</v>
      </c>
      <c r="H11" s="0" t="n">
        <f aca="false">IF($A11="","",SUMIFS('Weekly Plan'!$D$6:$D$1505,'Weekly Plan'!$A$6:$A$1505,$A11,'Weekly Plan'!$E$6:$E$1505,"&lt;="&amp;H$2))</f>
        <v>0</v>
      </c>
      <c r="I11" s="0" t="n">
        <f aca="false">IF($A11="","",SUMIFS('Weekly Plan'!$D$6:$D$1505,'Weekly Plan'!$A$6:$A$1505,$A11,'Weekly Plan'!$E$6:$E$1505,"&lt;="&amp;I$2))</f>
        <v>0</v>
      </c>
      <c r="J11" s="0" t="n">
        <f aca="false">IF($A11="","",SUMIFS('Weekly Plan'!$D$6:$D$1505,'Weekly Plan'!$A$6:$A$1505,$A11,'Weekly Plan'!$E$6:$E$1505,"&lt;="&amp;J$2))</f>
        <v>0</v>
      </c>
      <c r="K11" s="0" t="n">
        <f aca="false">IF($A11="","",SUMIFS('Weekly Plan'!$D$6:$D$1505,'Weekly Plan'!$A$6:$A$1505,$A11,'Weekly Plan'!$E$6:$E$1505,"&lt;="&amp;K$2))</f>
        <v>0</v>
      </c>
      <c r="L11" s="0" t="n">
        <f aca="false">IF($A11="","",SUMIFS('Weekly Plan'!$D$6:$D$1505,'Weekly Plan'!$A$6:$A$1505,$A11,'Weekly Plan'!$E$6:$E$1505,"&lt;="&amp;L$2))</f>
        <v>0</v>
      </c>
      <c r="M11" s="0" t="n">
        <f aca="false">IF($A11="","",SUMIFS('Weekly Plan'!$D$6:$D$1505,'Weekly Plan'!$A$6:$A$1505,$A11,'Weekly Plan'!$E$6:$E$1505,"&lt;="&amp;M$2))</f>
        <v>0</v>
      </c>
      <c r="N11" s="0" t="n">
        <f aca="false">IF($A11="","",SUMIFS('Weekly Plan'!$D$6:$D$1505,'Weekly Plan'!$A$6:$A$1505,$A11,'Weekly Plan'!$E$6:$E$1505,"&lt;="&amp;N$2))</f>
        <v>0</v>
      </c>
      <c r="O11" s="0" t="n">
        <f aca="false">IF($A11="","",SUMIFS('Weekly Plan'!$D$6:$D$1505,'Weekly Plan'!$A$6:$A$1505,$A11,'Weekly Plan'!$E$6:$E$1505,"&lt;="&amp;O$2))</f>
        <v>0</v>
      </c>
      <c r="P11" s="0" t="n">
        <f aca="false">IF($A11="","",SUMIFS('Weekly Plan'!$D$6:$D$1505,'Weekly Plan'!$A$6:$A$1505,$A11,'Weekly Plan'!$E$6:$E$1505,"&lt;="&amp;P$2))</f>
        <v>0</v>
      </c>
      <c r="Q11" s="0" t="n">
        <f aca="false">IF($A11="","",SUMIFS('Weekly Plan'!$D$6:$D$1505,'Weekly Plan'!$A$6:$A$1505,$A11,'Weekly Plan'!$E$6:$E$1505,"&lt;="&amp;Q$2))</f>
        <v>0</v>
      </c>
      <c r="R11" s="0" t="n">
        <f aca="false">IF($A11="","",SUMIFS('Weekly Plan'!$D$6:$D$1505,'Weekly Plan'!$A$6:$A$1505,$A11,'Weekly Plan'!$E$6:$E$1505,"&lt;="&amp;R$2))</f>
        <v>0</v>
      </c>
      <c r="S11" s="0" t="n">
        <f aca="false">IF($A11="","",SUMIFS('Weekly Plan'!$D$6:$D$1505,'Weekly Plan'!$A$6:$A$1505,$A11,'Weekly Plan'!$E$6:$E$1505,"&lt;="&amp;S$2))</f>
        <v>0</v>
      </c>
      <c r="T11" s="0" t="n">
        <f aca="false">IF($A11="","",SUMIFS('Weekly Plan'!$D$6:$D$1505,'Weekly Plan'!$A$6:$A$1505,$A11,'Weekly Plan'!$E$6:$E$1505,"&lt;="&amp;T$2))</f>
        <v>0</v>
      </c>
      <c r="U11" s="0" t="n">
        <f aca="false">IF($A11="","",SUMIFS('Weekly Plan'!$D$6:$D$1505,'Weekly Plan'!$A$6:$A$1505,$A11,'Weekly Plan'!$E$6:$E$1505,"&lt;="&amp;U$2))</f>
        <v>0</v>
      </c>
      <c r="V11" s="0" t="n">
        <f aca="false">IF($A11="","",SUMIFS('Weekly Plan'!$D$6:$D$1505,'Weekly Plan'!$A$6:$A$1505,$A11,'Weekly Plan'!$E$6:$E$1505,"&lt;="&amp;V$2))</f>
        <v>0</v>
      </c>
      <c r="W11" s="0" t="n">
        <f aca="false">IF($A11="","",SUMIFS('Weekly Plan'!$D$6:$D$1505,'Weekly Plan'!$A$6:$A$1505,$A11,'Weekly Plan'!$E$6:$E$1505,"&lt;="&amp;W$2))</f>
        <v>0</v>
      </c>
      <c r="X11" s="0" t="n">
        <f aca="false">IF($A11="","",SUMIFS('Weekly Plan'!$D$6:$D$1505,'Weekly Plan'!$A$6:$A$1505,$A11,'Weekly Plan'!$E$6:$E$1505,"&lt;="&amp;X$2))</f>
        <v>0</v>
      </c>
      <c r="Y11" s="0" t="n">
        <f aca="false">IF($A11="","",SUMIFS('Weekly Plan'!$D$6:$D$1505,'Weekly Plan'!$A$6:$A$1505,$A11,'Weekly Plan'!$E$6:$E$1505,"&lt;="&amp;Y$2))</f>
        <v>0</v>
      </c>
      <c r="Z11" s="0" t="n">
        <f aca="false">IF($A11="","",SUMIFS('Weekly Plan'!$D$6:$D$1505,'Weekly Plan'!$A$6:$A$1505,$A11,'Weekly Plan'!$E$6:$E$1505,"&lt;="&amp;Z$2))</f>
        <v>0</v>
      </c>
      <c r="AA11" s="0" t="n">
        <f aca="false">IF($A11="","",SUMIFS('Weekly Plan'!$D$6:$D$1505,'Weekly Plan'!$A$6:$A$1505,$A11,'Weekly Plan'!$E$6:$E$1505,"&lt;="&amp;AA$2))</f>
        <v>0</v>
      </c>
      <c r="AB11" s="0" t="n">
        <f aca="false">IF($A11="","",SUMIFS('Weekly Plan'!$D$6:$D$1505,'Weekly Plan'!$A$6:$A$1505,$A11,'Weekly Plan'!$E$6:$E$1505,"&lt;="&amp;AB$2))</f>
        <v>0</v>
      </c>
      <c r="AC11" s="0" t="n">
        <f aca="false">IF($A11="","",SUMIFS('Weekly Plan'!$D$6:$D$1505,'Weekly Plan'!$A$6:$A$1505,$A11,'Weekly Plan'!$E$6:$E$1505,"&lt;="&amp;AC$2))</f>
        <v>0</v>
      </c>
      <c r="AD11" s="0" t="n">
        <f aca="false">IF($A11="","",SUMIFS('Weekly Plan'!$D$6:$D$1505,'Weekly Plan'!$A$6:$A$1505,$A11,'Weekly Plan'!$E$6:$E$1505,"&lt;="&amp;AD$2))</f>
        <v>0</v>
      </c>
      <c r="AE11" s="0" t="n">
        <f aca="false">IF($A11="","",SUMIFS('Weekly Plan'!$D$6:$D$1505,'Weekly Plan'!$A$6:$A$1505,$A11,'Weekly Plan'!$E$6:$E$1505,"&lt;="&amp;AE$2))</f>
        <v>0</v>
      </c>
      <c r="AF11" s="0" t="n">
        <f aca="false">IF($A11="","",SUMIFS('Weekly Plan'!$D$6:$D$1505,'Weekly Plan'!$A$6:$A$1505,$A11,'Weekly Plan'!$E$6:$E$1505,"&lt;="&amp;AF$2))</f>
        <v>0</v>
      </c>
      <c r="AG11" s="0" t="n">
        <f aca="false">IF($A11="","",SUMIFS('Weekly Plan'!$D$6:$D$1505,'Weekly Plan'!$A$6:$A$1505,$A11,'Weekly Plan'!$E$6:$E$1505,"&lt;="&amp;AG$2))</f>
        <v>0</v>
      </c>
      <c r="AH11" s="0" t="n">
        <f aca="false">IF($A11="","",SUMIFS('Weekly Plan'!$D$6:$D$1505,'Weekly Plan'!$A$6:$A$1505,$A11,'Weekly Plan'!$E$6:$E$1505,"&lt;="&amp;AH$2))</f>
        <v>0</v>
      </c>
      <c r="AI11" s="0" t="n">
        <f aca="false">IF($A11="","",SUMIFS('Weekly Plan'!$D$6:$D$1505,'Weekly Plan'!$A$6:$A$1505,$A11,'Weekly Plan'!$E$6:$E$1505,"&lt;="&amp;AI$2))</f>
        <v>0</v>
      </c>
      <c r="AJ11" s="0" t="n">
        <f aca="false">IF($A11="","",SUMIFS('Weekly Plan'!$D$6:$D$1505,'Weekly Plan'!$A$6:$A$1505,$A11,'Weekly Plan'!$E$6:$E$1505,"&lt;="&amp;AJ$2))</f>
        <v>0</v>
      </c>
      <c r="AK11" s="0" t="n">
        <f aca="false">IF($A11="","",SUMIFS('Weekly Plan'!$D$6:$D$1505,'Weekly Plan'!$A$6:$A$1505,$A11,'Weekly Plan'!$E$6:$E$1505,"&lt;="&amp;AK$2))</f>
        <v>2</v>
      </c>
      <c r="AL11" s="0" t="n">
        <f aca="false">IF($A11="","",SUMIFS('Weekly Plan'!$D$6:$D$1505,'Weekly Plan'!$A$6:$A$1505,$A11,'Weekly Plan'!$E$6:$E$1505,"&lt;="&amp;AL$2))</f>
        <v>3</v>
      </c>
      <c r="AM11" s="0" t="n">
        <f aca="false">IF($A11="","",SUMIFS('Weekly Plan'!$D$6:$D$1505,'Weekly Plan'!$A$6:$A$1505,$A11,'Weekly Plan'!$E$6:$E$1505,"&lt;="&amp;AM$2))</f>
        <v>3</v>
      </c>
      <c r="AN11" s="0" t="n">
        <f aca="false">IF($A11="","",SUMIFS('Weekly Plan'!$D$6:$D$1505,'Weekly Plan'!$A$6:$A$1505,$A11,'Weekly Plan'!$E$6:$E$1505,"&lt;="&amp;AN$2))</f>
        <v>3</v>
      </c>
      <c r="AO11" s="0" t="n">
        <f aca="false">IF($A11="","",SUMIFS('Weekly Plan'!$D$6:$D$1505,'Weekly Plan'!$A$6:$A$1505,$A11,'Weekly Plan'!$E$6:$E$1505,"&lt;="&amp;AO$2))</f>
        <v>3</v>
      </c>
      <c r="AP11" s="0" t="n">
        <f aca="false">IF($A11="","",SUMIFS('Weekly Plan'!$D$6:$D$1505,'Weekly Plan'!$A$6:$A$1505,$A11,'Weekly Plan'!$E$6:$E$1505,"&lt;="&amp;AP$2))</f>
        <v>3</v>
      </c>
      <c r="AQ11" s="0" t="n">
        <f aca="false">IF($A11="","",SUMIFS('Weekly Plan'!$D$6:$D$1505,'Weekly Plan'!$A$6:$A$1505,$A11,'Weekly Plan'!$E$6:$E$1505,"&lt;="&amp;AQ$2))</f>
        <v>3</v>
      </c>
      <c r="AR11" s="0" t="n">
        <f aca="false">IF($A11="","",SUMIFS('Weekly Plan'!$D$6:$D$1505,'Weekly Plan'!$A$6:$A$1505,$A11,'Weekly Plan'!$E$6:$E$1505,"&lt;="&amp;AR$2))</f>
        <v>3</v>
      </c>
      <c r="AS11" s="0" t="n">
        <f aca="false">IF($A11="","",SUMIFS('Weekly Plan'!$D$6:$D$1505,'Weekly Plan'!$A$6:$A$1505,$A11,'Weekly Plan'!$E$6:$E$1505,"&lt;="&amp;AS$2))</f>
        <v>3</v>
      </c>
      <c r="AT11" s="0" t="n">
        <f aca="false">IF($A11="","",SUMIFS('Weekly Plan'!$D$6:$D$1505,'Weekly Plan'!$A$6:$A$1505,$A11,'Weekly Plan'!$E$6:$E$1505,"&lt;="&amp;AT$2))</f>
        <v>3</v>
      </c>
      <c r="AU11" s="0" t="n">
        <f aca="false">IF($A11="","",SUMIFS('Weekly Plan'!$D$6:$D$1505,'Weekly Plan'!$A$6:$A$1505,$A11,'Weekly Plan'!$E$6:$E$1505,"&lt;="&amp;AU$2))</f>
        <v>5</v>
      </c>
      <c r="AV11" s="0" t="n">
        <f aca="false">IF($A11="","",SUMIFS('Weekly Plan'!$D$6:$D$1505,'Weekly Plan'!$A$6:$A$1505,$A11,'Weekly Plan'!$E$6:$E$1505,"&lt;="&amp;AV$2))</f>
        <v>5</v>
      </c>
      <c r="AW11" s="0" t="n">
        <f aca="false">IF($A11="","",SUMIFS('Weekly Plan'!$D$6:$D$1505,'Weekly Plan'!$A$6:$A$1505,$A11,'Weekly Plan'!$E$6:$E$1505,"&lt;="&amp;AW$2))</f>
        <v>5</v>
      </c>
      <c r="AX11" s="0" t="n">
        <f aca="false">IF($A11="","",SUMIFS('Weekly Plan'!$D$6:$D$1505,'Weekly Plan'!$A$6:$A$1505,$A11,'Weekly Plan'!$E$6:$E$1505,"&lt;="&amp;AX$2))</f>
        <v>5</v>
      </c>
      <c r="AY11" s="0" t="n">
        <f aca="false">IF($A11="","",SUMIFS('Weekly Plan'!$D$6:$D$1505,'Weekly Plan'!$A$6:$A$1505,$A11,'Weekly Plan'!$E$6:$E$1505,"&lt;="&amp;AY$2))</f>
        <v>5</v>
      </c>
      <c r="AZ11" s="0" t="n">
        <f aca="false">IF($A11="","",SUMIFS('Weekly Plan'!$D$6:$D$1505,'Weekly Plan'!$A$6:$A$1505,$A11,'Weekly Plan'!$E$6:$E$1505,"&lt;="&amp;AZ$2))</f>
        <v>5</v>
      </c>
      <c r="BA11" s="0" t="n">
        <f aca="false">IF($A11="","",SUMIFS('Weekly Plan'!$D$6:$D$1505,'Weekly Plan'!$A$6:$A$1505,$A11,'Weekly Plan'!$E$6:$E$1505,"&lt;="&amp;BA$2))</f>
        <v>5</v>
      </c>
      <c r="BB11" s="0" t="n">
        <f aca="false">IF($A11="","",SUMIFS('Weekly Plan'!$D$6:$D$1505,'Weekly Plan'!$A$6:$A$1505,$A11,'Weekly Plan'!$E$6:$E$1505,"&lt;="&amp;BB$2))</f>
        <v>5</v>
      </c>
      <c r="BC11" s="0" t="n">
        <f aca="false">IF($A11="","",SUMIFS('Weekly Plan'!$D$6:$D$1505,'Weekly Plan'!$A$6:$A$1505,$A11,'Weekly Plan'!$E$6:$E$1505,"&lt;="&amp;BC$2))</f>
        <v>5</v>
      </c>
      <c r="BD11" s="0" t="n">
        <f aca="false">IF($A11="","",SUMIFS('Weekly Plan'!$D$6:$D$1505,'Weekly Plan'!$A$6:$A$1505,$A11,'Weekly Plan'!$E$6:$E$1505,"&lt;="&amp;BD$2))</f>
        <v>5</v>
      </c>
    </row>
    <row r="12" customFormat="false" ht="15" hidden="false" customHeight="false" outlineLevel="0" collapsed="false">
      <c r="A12" s="0" t="str">
        <f aca="false">Contracts!$A$14</f>
        <v>E2A-R16P-T7-C</v>
      </c>
      <c r="B12" s="0" t="n">
        <f aca="false">IF($A12="","",SUMIFS('Weekly Plan'!$D$6:$D$1505,'Weekly Plan'!$A$6:$A$1505,$A12,'Weekly Plan'!$E$6:$E$1505,"&lt;="&amp;B$2))</f>
        <v>0</v>
      </c>
      <c r="C12" s="0" t="n">
        <f aca="false">IF($A12="","",SUMIFS('Weekly Plan'!$D$6:$D$1505,'Weekly Plan'!$A$6:$A$1505,$A12,'Weekly Plan'!$E$6:$E$1505,"&lt;="&amp;C$2))</f>
        <v>0</v>
      </c>
      <c r="D12" s="0" t="n">
        <f aca="false">IF($A12="","",SUMIFS('Weekly Plan'!$D$6:$D$1505,'Weekly Plan'!$A$6:$A$1505,$A12,'Weekly Plan'!$E$6:$E$1505,"&lt;="&amp;D$2))</f>
        <v>0</v>
      </c>
      <c r="E12" s="0" t="n">
        <f aca="false">IF($A12="","",SUMIFS('Weekly Plan'!$D$6:$D$1505,'Weekly Plan'!$A$6:$A$1505,$A12,'Weekly Plan'!$E$6:$E$1505,"&lt;="&amp;E$2))</f>
        <v>0</v>
      </c>
      <c r="F12" s="0" t="n">
        <f aca="false">IF($A12="","",SUMIFS('Weekly Plan'!$D$6:$D$1505,'Weekly Plan'!$A$6:$A$1505,$A12,'Weekly Plan'!$E$6:$E$1505,"&lt;="&amp;F$2))</f>
        <v>0</v>
      </c>
      <c r="G12" s="0" t="n">
        <f aca="false">IF($A12="","",SUMIFS('Weekly Plan'!$D$6:$D$1505,'Weekly Plan'!$A$6:$A$1505,$A12,'Weekly Plan'!$E$6:$E$1505,"&lt;="&amp;G$2))</f>
        <v>0</v>
      </c>
      <c r="H12" s="0" t="n">
        <f aca="false">IF($A12="","",SUMIFS('Weekly Plan'!$D$6:$D$1505,'Weekly Plan'!$A$6:$A$1505,$A12,'Weekly Plan'!$E$6:$E$1505,"&lt;="&amp;H$2))</f>
        <v>0</v>
      </c>
      <c r="I12" s="0" t="n">
        <f aca="false">IF($A12="","",SUMIFS('Weekly Plan'!$D$6:$D$1505,'Weekly Plan'!$A$6:$A$1505,$A12,'Weekly Plan'!$E$6:$E$1505,"&lt;="&amp;I$2))</f>
        <v>0</v>
      </c>
      <c r="J12" s="0" t="n">
        <f aca="false">IF($A12="","",SUMIFS('Weekly Plan'!$D$6:$D$1505,'Weekly Plan'!$A$6:$A$1505,$A12,'Weekly Plan'!$E$6:$E$1505,"&lt;="&amp;J$2))</f>
        <v>0</v>
      </c>
      <c r="K12" s="0" t="n">
        <f aca="false">IF($A12="","",SUMIFS('Weekly Plan'!$D$6:$D$1505,'Weekly Plan'!$A$6:$A$1505,$A12,'Weekly Plan'!$E$6:$E$1505,"&lt;="&amp;K$2))</f>
        <v>0</v>
      </c>
      <c r="L12" s="0" t="n">
        <f aca="false">IF($A12="","",SUMIFS('Weekly Plan'!$D$6:$D$1505,'Weekly Plan'!$A$6:$A$1505,$A12,'Weekly Plan'!$E$6:$E$1505,"&lt;="&amp;L$2))</f>
        <v>0</v>
      </c>
      <c r="M12" s="0" t="n">
        <f aca="false">IF($A12="","",SUMIFS('Weekly Plan'!$D$6:$D$1505,'Weekly Plan'!$A$6:$A$1505,$A12,'Weekly Plan'!$E$6:$E$1505,"&lt;="&amp;M$2))</f>
        <v>0</v>
      </c>
      <c r="N12" s="0" t="n">
        <f aca="false">IF($A12="","",SUMIFS('Weekly Plan'!$D$6:$D$1505,'Weekly Plan'!$A$6:$A$1505,$A12,'Weekly Plan'!$E$6:$E$1505,"&lt;="&amp;N$2))</f>
        <v>0</v>
      </c>
      <c r="O12" s="0" t="n">
        <f aca="false">IF($A12="","",SUMIFS('Weekly Plan'!$D$6:$D$1505,'Weekly Plan'!$A$6:$A$1505,$A12,'Weekly Plan'!$E$6:$E$1505,"&lt;="&amp;O$2))</f>
        <v>0</v>
      </c>
      <c r="P12" s="0" t="n">
        <f aca="false">IF($A12="","",SUMIFS('Weekly Plan'!$D$6:$D$1505,'Weekly Plan'!$A$6:$A$1505,$A12,'Weekly Plan'!$E$6:$E$1505,"&lt;="&amp;P$2))</f>
        <v>0</v>
      </c>
      <c r="Q12" s="0" t="n">
        <f aca="false">IF($A12="","",SUMIFS('Weekly Plan'!$D$6:$D$1505,'Weekly Plan'!$A$6:$A$1505,$A12,'Weekly Plan'!$E$6:$E$1505,"&lt;="&amp;Q$2))</f>
        <v>0</v>
      </c>
      <c r="R12" s="0" t="n">
        <f aca="false">IF($A12="","",SUMIFS('Weekly Plan'!$D$6:$D$1505,'Weekly Plan'!$A$6:$A$1505,$A12,'Weekly Plan'!$E$6:$E$1505,"&lt;="&amp;R$2))</f>
        <v>0</v>
      </c>
      <c r="S12" s="0" t="n">
        <f aca="false">IF($A12="","",SUMIFS('Weekly Plan'!$D$6:$D$1505,'Weekly Plan'!$A$6:$A$1505,$A12,'Weekly Plan'!$E$6:$E$1505,"&lt;="&amp;S$2))</f>
        <v>0</v>
      </c>
      <c r="T12" s="0" t="n">
        <f aca="false">IF($A12="","",SUMIFS('Weekly Plan'!$D$6:$D$1505,'Weekly Plan'!$A$6:$A$1505,$A12,'Weekly Plan'!$E$6:$E$1505,"&lt;="&amp;T$2))</f>
        <v>0</v>
      </c>
      <c r="U12" s="0" t="n">
        <f aca="false">IF($A12="","",SUMIFS('Weekly Plan'!$D$6:$D$1505,'Weekly Plan'!$A$6:$A$1505,$A12,'Weekly Plan'!$E$6:$E$1505,"&lt;="&amp;U$2))</f>
        <v>0</v>
      </c>
      <c r="V12" s="0" t="n">
        <f aca="false">IF($A12="","",SUMIFS('Weekly Plan'!$D$6:$D$1505,'Weekly Plan'!$A$6:$A$1505,$A12,'Weekly Plan'!$E$6:$E$1505,"&lt;="&amp;V$2))</f>
        <v>0</v>
      </c>
      <c r="W12" s="0" t="n">
        <f aca="false">IF($A12="","",SUMIFS('Weekly Plan'!$D$6:$D$1505,'Weekly Plan'!$A$6:$A$1505,$A12,'Weekly Plan'!$E$6:$E$1505,"&lt;="&amp;W$2))</f>
        <v>0</v>
      </c>
      <c r="X12" s="0" t="n">
        <f aca="false">IF($A12="","",SUMIFS('Weekly Plan'!$D$6:$D$1505,'Weekly Plan'!$A$6:$A$1505,$A12,'Weekly Plan'!$E$6:$E$1505,"&lt;="&amp;X$2))</f>
        <v>0</v>
      </c>
      <c r="Y12" s="0" t="n">
        <f aca="false">IF($A12="","",SUMIFS('Weekly Plan'!$D$6:$D$1505,'Weekly Plan'!$A$6:$A$1505,$A12,'Weekly Plan'!$E$6:$E$1505,"&lt;="&amp;Y$2))</f>
        <v>0</v>
      </c>
      <c r="Z12" s="0" t="n">
        <f aca="false">IF($A12="","",SUMIFS('Weekly Plan'!$D$6:$D$1505,'Weekly Plan'!$A$6:$A$1505,$A12,'Weekly Plan'!$E$6:$E$1505,"&lt;="&amp;Z$2))</f>
        <v>0</v>
      </c>
      <c r="AA12" s="0" t="n">
        <f aca="false">IF($A12="","",SUMIFS('Weekly Plan'!$D$6:$D$1505,'Weekly Plan'!$A$6:$A$1505,$A12,'Weekly Plan'!$E$6:$E$1505,"&lt;="&amp;AA$2))</f>
        <v>0</v>
      </c>
      <c r="AB12" s="0" t="n">
        <f aca="false">IF($A12="","",SUMIFS('Weekly Plan'!$D$6:$D$1505,'Weekly Plan'!$A$6:$A$1505,$A12,'Weekly Plan'!$E$6:$E$1505,"&lt;="&amp;AB$2))</f>
        <v>0</v>
      </c>
      <c r="AC12" s="0" t="n">
        <f aca="false">IF($A12="","",SUMIFS('Weekly Plan'!$D$6:$D$1505,'Weekly Plan'!$A$6:$A$1505,$A12,'Weekly Plan'!$E$6:$E$1505,"&lt;="&amp;AC$2))</f>
        <v>0</v>
      </c>
      <c r="AD12" s="0" t="n">
        <f aca="false">IF($A12="","",SUMIFS('Weekly Plan'!$D$6:$D$1505,'Weekly Plan'!$A$6:$A$1505,$A12,'Weekly Plan'!$E$6:$E$1505,"&lt;="&amp;AD$2))</f>
        <v>0</v>
      </c>
      <c r="AE12" s="0" t="n">
        <f aca="false">IF($A12="","",SUMIFS('Weekly Plan'!$D$6:$D$1505,'Weekly Plan'!$A$6:$A$1505,$A12,'Weekly Plan'!$E$6:$E$1505,"&lt;="&amp;AE$2))</f>
        <v>0</v>
      </c>
      <c r="AF12" s="0" t="n">
        <f aca="false">IF($A12="","",SUMIFS('Weekly Plan'!$D$6:$D$1505,'Weekly Plan'!$A$6:$A$1505,$A12,'Weekly Plan'!$E$6:$E$1505,"&lt;="&amp;AF$2))</f>
        <v>0</v>
      </c>
      <c r="AG12" s="0" t="n">
        <f aca="false">IF($A12="","",SUMIFS('Weekly Plan'!$D$6:$D$1505,'Weekly Plan'!$A$6:$A$1505,$A12,'Weekly Plan'!$E$6:$E$1505,"&lt;="&amp;AG$2))</f>
        <v>0</v>
      </c>
      <c r="AH12" s="0" t="n">
        <f aca="false">IF($A12="","",SUMIFS('Weekly Plan'!$D$6:$D$1505,'Weekly Plan'!$A$6:$A$1505,$A12,'Weekly Plan'!$E$6:$E$1505,"&lt;="&amp;AH$2))</f>
        <v>0</v>
      </c>
      <c r="AI12" s="0" t="n">
        <f aca="false">IF($A12="","",SUMIFS('Weekly Plan'!$D$6:$D$1505,'Weekly Plan'!$A$6:$A$1505,$A12,'Weekly Plan'!$E$6:$E$1505,"&lt;="&amp;AI$2))</f>
        <v>0</v>
      </c>
      <c r="AJ12" s="0" t="n">
        <f aca="false">IF($A12="","",SUMIFS('Weekly Plan'!$D$6:$D$1505,'Weekly Plan'!$A$6:$A$1505,$A12,'Weekly Plan'!$E$6:$E$1505,"&lt;="&amp;AJ$2))</f>
        <v>2</v>
      </c>
      <c r="AK12" s="0" t="n">
        <f aca="false">IF($A12="","",SUMIFS('Weekly Plan'!$D$6:$D$1505,'Weekly Plan'!$A$6:$A$1505,$A12,'Weekly Plan'!$E$6:$E$1505,"&lt;="&amp;AK$2))</f>
        <v>2</v>
      </c>
      <c r="AL12" s="0" t="n">
        <f aca="false">IF($A12="","",SUMIFS('Weekly Plan'!$D$6:$D$1505,'Weekly Plan'!$A$6:$A$1505,$A12,'Weekly Plan'!$E$6:$E$1505,"&lt;="&amp;AL$2))</f>
        <v>2</v>
      </c>
      <c r="AM12" s="0" t="n">
        <f aca="false">IF($A12="","",SUMIFS('Weekly Plan'!$D$6:$D$1505,'Weekly Plan'!$A$6:$A$1505,$A12,'Weekly Plan'!$E$6:$E$1505,"&lt;="&amp;AM$2))</f>
        <v>6</v>
      </c>
      <c r="AN12" s="0" t="n">
        <f aca="false">IF($A12="","",SUMIFS('Weekly Plan'!$D$6:$D$1505,'Weekly Plan'!$A$6:$A$1505,$A12,'Weekly Plan'!$E$6:$E$1505,"&lt;="&amp;AN$2))</f>
        <v>7</v>
      </c>
      <c r="AO12" s="0" t="n">
        <f aca="false">IF($A12="","",SUMIFS('Weekly Plan'!$D$6:$D$1505,'Weekly Plan'!$A$6:$A$1505,$A12,'Weekly Plan'!$E$6:$E$1505,"&lt;="&amp;AO$2))</f>
        <v>9</v>
      </c>
      <c r="AP12" s="0" t="n">
        <f aca="false">IF($A12="","",SUMIFS('Weekly Plan'!$D$6:$D$1505,'Weekly Plan'!$A$6:$A$1505,$A12,'Weekly Plan'!$E$6:$E$1505,"&lt;="&amp;AP$2))</f>
        <v>9</v>
      </c>
      <c r="AQ12" s="0" t="n">
        <f aca="false">IF($A12="","",SUMIFS('Weekly Plan'!$D$6:$D$1505,'Weekly Plan'!$A$6:$A$1505,$A12,'Weekly Plan'!$E$6:$E$1505,"&lt;="&amp;AQ$2))</f>
        <v>9</v>
      </c>
      <c r="AR12" s="0" t="n">
        <f aca="false">IF($A12="","",SUMIFS('Weekly Plan'!$D$6:$D$1505,'Weekly Plan'!$A$6:$A$1505,$A12,'Weekly Plan'!$E$6:$E$1505,"&lt;="&amp;AR$2))</f>
        <v>9</v>
      </c>
      <c r="AS12" s="0" t="n">
        <f aca="false">IF($A12="","",SUMIFS('Weekly Plan'!$D$6:$D$1505,'Weekly Plan'!$A$6:$A$1505,$A12,'Weekly Plan'!$E$6:$E$1505,"&lt;="&amp;AS$2))</f>
        <v>9</v>
      </c>
      <c r="AT12" s="0" t="n">
        <f aca="false">IF($A12="","",SUMIFS('Weekly Plan'!$D$6:$D$1505,'Weekly Plan'!$A$6:$A$1505,$A12,'Weekly Plan'!$E$6:$E$1505,"&lt;="&amp;AT$2))</f>
        <v>9</v>
      </c>
      <c r="AU12" s="0" t="n">
        <f aca="false">IF($A12="","",SUMIFS('Weekly Plan'!$D$6:$D$1505,'Weekly Plan'!$A$6:$A$1505,$A12,'Weekly Plan'!$E$6:$E$1505,"&lt;="&amp;AU$2))</f>
        <v>9</v>
      </c>
      <c r="AV12" s="0" t="n">
        <f aca="false">IF($A12="","",SUMIFS('Weekly Plan'!$D$6:$D$1505,'Weekly Plan'!$A$6:$A$1505,$A12,'Weekly Plan'!$E$6:$E$1505,"&lt;="&amp;AV$2))</f>
        <v>9</v>
      </c>
      <c r="AW12" s="0" t="n">
        <f aca="false">IF($A12="","",SUMIFS('Weekly Plan'!$D$6:$D$1505,'Weekly Plan'!$A$6:$A$1505,$A12,'Weekly Plan'!$E$6:$E$1505,"&lt;="&amp;AW$2))</f>
        <v>9</v>
      </c>
      <c r="AX12" s="0" t="n">
        <f aca="false">IF($A12="","",SUMIFS('Weekly Plan'!$D$6:$D$1505,'Weekly Plan'!$A$6:$A$1505,$A12,'Weekly Plan'!$E$6:$E$1505,"&lt;="&amp;AX$2))</f>
        <v>9</v>
      </c>
      <c r="AY12" s="0" t="n">
        <f aca="false">IF($A12="","",SUMIFS('Weekly Plan'!$D$6:$D$1505,'Weekly Plan'!$A$6:$A$1505,$A12,'Weekly Plan'!$E$6:$E$1505,"&lt;="&amp;AY$2))</f>
        <v>9</v>
      </c>
      <c r="AZ12" s="0" t="n">
        <f aca="false">IF($A12="","",SUMIFS('Weekly Plan'!$D$6:$D$1505,'Weekly Plan'!$A$6:$A$1505,$A12,'Weekly Plan'!$E$6:$E$1505,"&lt;="&amp;AZ$2))</f>
        <v>9</v>
      </c>
      <c r="BA12" s="0" t="n">
        <f aca="false">IF($A12="","",SUMIFS('Weekly Plan'!$D$6:$D$1505,'Weekly Plan'!$A$6:$A$1505,$A12,'Weekly Plan'!$E$6:$E$1505,"&lt;="&amp;BA$2))</f>
        <v>9</v>
      </c>
      <c r="BB12" s="0" t="n">
        <f aca="false">IF($A12="","",SUMIFS('Weekly Plan'!$D$6:$D$1505,'Weekly Plan'!$A$6:$A$1505,$A12,'Weekly Plan'!$E$6:$E$1505,"&lt;="&amp;BB$2))</f>
        <v>9</v>
      </c>
      <c r="BC12" s="0" t="n">
        <f aca="false">IF($A12="","",SUMIFS('Weekly Plan'!$D$6:$D$1505,'Weekly Plan'!$A$6:$A$1505,$A12,'Weekly Plan'!$E$6:$E$1505,"&lt;="&amp;BC$2))</f>
        <v>9</v>
      </c>
      <c r="BD12" s="0" t="n">
        <f aca="false">IF($A12="","",SUMIFS('Weekly Plan'!$D$6:$D$1505,'Weekly Plan'!$A$6:$A$1505,$A12,'Weekly Plan'!$E$6:$E$1505,"&lt;="&amp;BD$2))</f>
        <v>9</v>
      </c>
    </row>
    <row r="13" customFormat="false" ht="15" hidden="false" customHeight="false" outlineLevel="0" collapsed="false">
      <c r="A13" s="0" t="str">
        <f aca="false">Contracts!$A$15</f>
        <v>DARAJA-R8P (TBC)</v>
      </c>
      <c r="B13" s="0" t="n">
        <f aca="false">IF($A13="","",SUMIFS('Weekly Plan'!$D$6:$D$1505,'Weekly Plan'!$A$6:$A$1505,$A13,'Weekly Plan'!$E$6:$E$1505,"&lt;="&amp;B$2))</f>
        <v>0</v>
      </c>
      <c r="C13" s="0" t="n">
        <f aca="false">IF($A13="","",SUMIFS('Weekly Plan'!$D$6:$D$1505,'Weekly Plan'!$A$6:$A$1505,$A13,'Weekly Plan'!$E$6:$E$1505,"&lt;="&amp;C$2))</f>
        <v>0</v>
      </c>
      <c r="D13" s="0" t="n">
        <f aca="false">IF($A13="","",SUMIFS('Weekly Plan'!$D$6:$D$1505,'Weekly Plan'!$A$6:$A$1505,$A13,'Weekly Plan'!$E$6:$E$1505,"&lt;="&amp;D$2))</f>
        <v>0</v>
      </c>
      <c r="E13" s="0" t="n">
        <f aca="false">IF($A13="","",SUMIFS('Weekly Plan'!$D$6:$D$1505,'Weekly Plan'!$A$6:$A$1505,$A13,'Weekly Plan'!$E$6:$E$1505,"&lt;="&amp;E$2))</f>
        <v>0</v>
      </c>
      <c r="F13" s="0" t="n">
        <f aca="false">IF($A13="","",SUMIFS('Weekly Plan'!$D$6:$D$1505,'Weekly Plan'!$A$6:$A$1505,$A13,'Weekly Plan'!$E$6:$E$1505,"&lt;="&amp;F$2))</f>
        <v>0</v>
      </c>
      <c r="G13" s="0" t="n">
        <f aca="false">IF($A13="","",SUMIFS('Weekly Plan'!$D$6:$D$1505,'Weekly Plan'!$A$6:$A$1505,$A13,'Weekly Plan'!$E$6:$E$1505,"&lt;="&amp;G$2))</f>
        <v>0</v>
      </c>
      <c r="H13" s="0" t="n">
        <f aca="false">IF($A13="","",SUMIFS('Weekly Plan'!$D$6:$D$1505,'Weekly Plan'!$A$6:$A$1505,$A13,'Weekly Plan'!$E$6:$E$1505,"&lt;="&amp;H$2))</f>
        <v>0</v>
      </c>
      <c r="I13" s="0" t="n">
        <f aca="false">IF($A13="","",SUMIFS('Weekly Plan'!$D$6:$D$1505,'Weekly Plan'!$A$6:$A$1505,$A13,'Weekly Plan'!$E$6:$E$1505,"&lt;="&amp;I$2))</f>
        <v>0</v>
      </c>
      <c r="J13" s="0" t="n">
        <f aca="false">IF($A13="","",SUMIFS('Weekly Plan'!$D$6:$D$1505,'Weekly Plan'!$A$6:$A$1505,$A13,'Weekly Plan'!$E$6:$E$1505,"&lt;="&amp;J$2))</f>
        <v>0</v>
      </c>
      <c r="K13" s="0" t="n">
        <f aca="false">IF($A13="","",SUMIFS('Weekly Plan'!$D$6:$D$1505,'Weekly Plan'!$A$6:$A$1505,$A13,'Weekly Plan'!$E$6:$E$1505,"&lt;="&amp;K$2))</f>
        <v>0</v>
      </c>
      <c r="L13" s="0" t="n">
        <f aca="false">IF($A13="","",SUMIFS('Weekly Plan'!$D$6:$D$1505,'Weekly Plan'!$A$6:$A$1505,$A13,'Weekly Plan'!$E$6:$E$1505,"&lt;="&amp;L$2))</f>
        <v>0</v>
      </c>
      <c r="M13" s="0" t="n">
        <f aca="false">IF($A13="","",SUMIFS('Weekly Plan'!$D$6:$D$1505,'Weekly Plan'!$A$6:$A$1505,$A13,'Weekly Plan'!$E$6:$E$1505,"&lt;="&amp;M$2))</f>
        <v>0</v>
      </c>
      <c r="N13" s="0" t="n">
        <f aca="false">IF($A13="","",SUMIFS('Weekly Plan'!$D$6:$D$1505,'Weekly Plan'!$A$6:$A$1505,$A13,'Weekly Plan'!$E$6:$E$1505,"&lt;="&amp;N$2))</f>
        <v>0</v>
      </c>
      <c r="O13" s="0" t="n">
        <f aca="false">IF($A13="","",SUMIFS('Weekly Plan'!$D$6:$D$1505,'Weekly Plan'!$A$6:$A$1505,$A13,'Weekly Plan'!$E$6:$E$1505,"&lt;="&amp;O$2))</f>
        <v>0</v>
      </c>
      <c r="P13" s="0" t="n">
        <f aca="false">IF($A13="","",SUMIFS('Weekly Plan'!$D$6:$D$1505,'Weekly Plan'!$A$6:$A$1505,$A13,'Weekly Plan'!$E$6:$E$1505,"&lt;="&amp;P$2))</f>
        <v>0</v>
      </c>
      <c r="Q13" s="0" t="n">
        <f aca="false">IF($A13="","",SUMIFS('Weekly Plan'!$D$6:$D$1505,'Weekly Plan'!$A$6:$A$1505,$A13,'Weekly Plan'!$E$6:$E$1505,"&lt;="&amp;Q$2))</f>
        <v>0</v>
      </c>
      <c r="R13" s="0" t="n">
        <f aca="false">IF($A13="","",SUMIFS('Weekly Plan'!$D$6:$D$1505,'Weekly Plan'!$A$6:$A$1505,$A13,'Weekly Plan'!$E$6:$E$1505,"&lt;="&amp;R$2))</f>
        <v>0</v>
      </c>
      <c r="S13" s="0" t="n">
        <f aca="false">IF($A13="","",SUMIFS('Weekly Plan'!$D$6:$D$1505,'Weekly Plan'!$A$6:$A$1505,$A13,'Weekly Plan'!$E$6:$E$1505,"&lt;="&amp;S$2))</f>
        <v>0</v>
      </c>
      <c r="T13" s="0" t="n">
        <f aca="false">IF($A13="","",SUMIFS('Weekly Plan'!$D$6:$D$1505,'Weekly Plan'!$A$6:$A$1505,$A13,'Weekly Plan'!$E$6:$E$1505,"&lt;="&amp;T$2))</f>
        <v>0</v>
      </c>
      <c r="U13" s="0" t="n">
        <f aca="false">IF($A13="","",SUMIFS('Weekly Plan'!$D$6:$D$1505,'Weekly Plan'!$A$6:$A$1505,$A13,'Weekly Plan'!$E$6:$E$1505,"&lt;="&amp;U$2))</f>
        <v>0</v>
      </c>
      <c r="V13" s="0" t="n">
        <f aca="false">IF($A13="","",SUMIFS('Weekly Plan'!$D$6:$D$1505,'Weekly Plan'!$A$6:$A$1505,$A13,'Weekly Plan'!$E$6:$E$1505,"&lt;="&amp;V$2))</f>
        <v>0</v>
      </c>
      <c r="W13" s="0" t="n">
        <f aca="false">IF($A13="","",SUMIFS('Weekly Plan'!$D$6:$D$1505,'Weekly Plan'!$A$6:$A$1505,$A13,'Weekly Plan'!$E$6:$E$1505,"&lt;="&amp;W$2))</f>
        <v>0</v>
      </c>
      <c r="X13" s="0" t="n">
        <f aca="false">IF($A13="","",SUMIFS('Weekly Plan'!$D$6:$D$1505,'Weekly Plan'!$A$6:$A$1505,$A13,'Weekly Plan'!$E$6:$E$1505,"&lt;="&amp;X$2))</f>
        <v>0</v>
      </c>
      <c r="Y13" s="0" t="n">
        <f aca="false">IF($A13="","",SUMIFS('Weekly Plan'!$D$6:$D$1505,'Weekly Plan'!$A$6:$A$1505,$A13,'Weekly Plan'!$E$6:$E$1505,"&lt;="&amp;Y$2))</f>
        <v>0</v>
      </c>
      <c r="Z13" s="0" t="n">
        <f aca="false">IF($A13="","",SUMIFS('Weekly Plan'!$D$6:$D$1505,'Weekly Plan'!$A$6:$A$1505,$A13,'Weekly Plan'!$E$6:$E$1505,"&lt;="&amp;Z$2))</f>
        <v>0</v>
      </c>
      <c r="AA13" s="0" t="n">
        <f aca="false">IF($A13="","",SUMIFS('Weekly Plan'!$D$6:$D$1505,'Weekly Plan'!$A$6:$A$1505,$A13,'Weekly Plan'!$E$6:$E$1505,"&lt;="&amp;AA$2))</f>
        <v>0</v>
      </c>
      <c r="AB13" s="0" t="n">
        <f aca="false">IF($A13="","",SUMIFS('Weekly Plan'!$D$6:$D$1505,'Weekly Plan'!$A$6:$A$1505,$A13,'Weekly Plan'!$E$6:$E$1505,"&lt;="&amp;AB$2))</f>
        <v>0</v>
      </c>
      <c r="AC13" s="0" t="n">
        <f aca="false">IF($A13="","",SUMIFS('Weekly Plan'!$D$6:$D$1505,'Weekly Plan'!$A$6:$A$1505,$A13,'Weekly Plan'!$E$6:$E$1505,"&lt;="&amp;AC$2))</f>
        <v>0</v>
      </c>
      <c r="AD13" s="0" t="n">
        <f aca="false">IF($A13="","",SUMIFS('Weekly Plan'!$D$6:$D$1505,'Weekly Plan'!$A$6:$A$1505,$A13,'Weekly Plan'!$E$6:$E$1505,"&lt;="&amp;AD$2))</f>
        <v>0</v>
      </c>
      <c r="AE13" s="0" t="n">
        <f aca="false">IF($A13="","",SUMIFS('Weekly Plan'!$D$6:$D$1505,'Weekly Plan'!$A$6:$A$1505,$A13,'Weekly Plan'!$E$6:$E$1505,"&lt;="&amp;AE$2))</f>
        <v>0</v>
      </c>
      <c r="AF13" s="0" t="n">
        <f aca="false">IF($A13="","",SUMIFS('Weekly Plan'!$D$6:$D$1505,'Weekly Plan'!$A$6:$A$1505,$A13,'Weekly Plan'!$E$6:$E$1505,"&lt;="&amp;AF$2))</f>
        <v>0</v>
      </c>
      <c r="AG13" s="0" t="n">
        <f aca="false">IF($A13="","",SUMIFS('Weekly Plan'!$D$6:$D$1505,'Weekly Plan'!$A$6:$A$1505,$A13,'Weekly Plan'!$E$6:$E$1505,"&lt;="&amp;AG$2))</f>
        <v>0</v>
      </c>
      <c r="AH13" s="0" t="n">
        <f aca="false">IF($A13="","",SUMIFS('Weekly Plan'!$D$6:$D$1505,'Weekly Plan'!$A$6:$A$1505,$A13,'Weekly Plan'!$E$6:$E$1505,"&lt;="&amp;AH$2))</f>
        <v>0</v>
      </c>
      <c r="AI13" s="0" t="n">
        <f aca="false">IF($A13="","",SUMIFS('Weekly Plan'!$D$6:$D$1505,'Weekly Plan'!$A$6:$A$1505,$A13,'Weekly Plan'!$E$6:$E$1505,"&lt;="&amp;AI$2))</f>
        <v>0</v>
      </c>
      <c r="AJ13" s="0" t="n">
        <f aca="false">IF($A13="","",SUMIFS('Weekly Plan'!$D$6:$D$1505,'Weekly Plan'!$A$6:$A$1505,$A13,'Weekly Plan'!$E$6:$E$1505,"&lt;="&amp;AJ$2))</f>
        <v>0</v>
      </c>
      <c r="AK13" s="0" t="n">
        <f aca="false">IF($A13="","",SUMIFS('Weekly Plan'!$D$6:$D$1505,'Weekly Plan'!$A$6:$A$1505,$A13,'Weekly Plan'!$E$6:$E$1505,"&lt;="&amp;AK$2))</f>
        <v>0</v>
      </c>
      <c r="AL13" s="0" t="n">
        <f aca="false">IF($A13="","",SUMIFS('Weekly Plan'!$D$6:$D$1505,'Weekly Plan'!$A$6:$A$1505,$A13,'Weekly Plan'!$E$6:$E$1505,"&lt;="&amp;AL$2))</f>
        <v>0</v>
      </c>
      <c r="AM13" s="0" t="n">
        <f aca="false">IF($A13="","",SUMIFS('Weekly Plan'!$D$6:$D$1505,'Weekly Plan'!$A$6:$A$1505,$A13,'Weekly Plan'!$E$6:$E$1505,"&lt;="&amp;AM$2))</f>
        <v>0</v>
      </c>
      <c r="AN13" s="0" t="n">
        <f aca="false">IF($A13="","",SUMIFS('Weekly Plan'!$D$6:$D$1505,'Weekly Plan'!$A$6:$A$1505,$A13,'Weekly Plan'!$E$6:$E$1505,"&lt;="&amp;AN$2))</f>
        <v>0</v>
      </c>
      <c r="AO13" s="0" t="n">
        <f aca="false">IF($A13="","",SUMIFS('Weekly Plan'!$D$6:$D$1505,'Weekly Plan'!$A$6:$A$1505,$A13,'Weekly Plan'!$E$6:$E$1505,"&lt;="&amp;AO$2))</f>
        <v>0</v>
      </c>
      <c r="AP13" s="0" t="n">
        <f aca="false">IF($A13="","",SUMIFS('Weekly Plan'!$D$6:$D$1505,'Weekly Plan'!$A$6:$A$1505,$A13,'Weekly Plan'!$E$6:$E$1505,"&lt;="&amp;AP$2))</f>
        <v>0</v>
      </c>
      <c r="AQ13" s="0" t="n">
        <f aca="false">IF($A13="","",SUMIFS('Weekly Plan'!$D$6:$D$1505,'Weekly Plan'!$A$6:$A$1505,$A13,'Weekly Plan'!$E$6:$E$1505,"&lt;="&amp;AQ$2))</f>
        <v>0</v>
      </c>
      <c r="AR13" s="0" t="n">
        <f aca="false">IF($A13="","",SUMIFS('Weekly Plan'!$D$6:$D$1505,'Weekly Plan'!$A$6:$A$1505,$A13,'Weekly Plan'!$E$6:$E$1505,"&lt;="&amp;AR$2))</f>
        <v>0</v>
      </c>
      <c r="AS13" s="0" t="n">
        <f aca="false">IF($A13="","",SUMIFS('Weekly Plan'!$D$6:$D$1505,'Weekly Plan'!$A$6:$A$1505,$A13,'Weekly Plan'!$E$6:$E$1505,"&lt;="&amp;AS$2))</f>
        <v>0</v>
      </c>
      <c r="AT13" s="0" t="n">
        <f aca="false">IF($A13="","",SUMIFS('Weekly Plan'!$D$6:$D$1505,'Weekly Plan'!$A$6:$A$1505,$A13,'Weekly Plan'!$E$6:$E$1505,"&lt;="&amp;AT$2))</f>
        <v>0</v>
      </c>
      <c r="AU13" s="0" t="n">
        <f aca="false">IF($A13="","",SUMIFS('Weekly Plan'!$D$6:$D$1505,'Weekly Plan'!$A$6:$A$1505,$A13,'Weekly Plan'!$E$6:$E$1505,"&lt;="&amp;AU$2))</f>
        <v>0</v>
      </c>
      <c r="AV13" s="0" t="n">
        <f aca="false">IF($A13="","",SUMIFS('Weekly Plan'!$D$6:$D$1505,'Weekly Plan'!$A$6:$A$1505,$A13,'Weekly Plan'!$E$6:$E$1505,"&lt;="&amp;AV$2))</f>
        <v>0</v>
      </c>
      <c r="AW13" s="0" t="n">
        <f aca="false">IF($A13="","",SUMIFS('Weekly Plan'!$D$6:$D$1505,'Weekly Plan'!$A$6:$A$1505,$A13,'Weekly Plan'!$E$6:$E$1505,"&lt;="&amp;AW$2))</f>
        <v>0</v>
      </c>
      <c r="AX13" s="0" t="n">
        <f aca="false">IF($A13="","",SUMIFS('Weekly Plan'!$D$6:$D$1505,'Weekly Plan'!$A$6:$A$1505,$A13,'Weekly Plan'!$E$6:$E$1505,"&lt;="&amp;AX$2))</f>
        <v>0</v>
      </c>
      <c r="AY13" s="0" t="n">
        <f aca="false">IF($A13="","",SUMIFS('Weekly Plan'!$D$6:$D$1505,'Weekly Plan'!$A$6:$A$1505,$A13,'Weekly Plan'!$E$6:$E$1505,"&lt;="&amp;AY$2))</f>
        <v>0</v>
      </c>
      <c r="AZ13" s="0" t="n">
        <f aca="false">IF($A13="","",SUMIFS('Weekly Plan'!$D$6:$D$1505,'Weekly Plan'!$A$6:$A$1505,$A13,'Weekly Plan'!$E$6:$E$1505,"&lt;="&amp;AZ$2))</f>
        <v>0</v>
      </c>
      <c r="BA13" s="0" t="n">
        <f aca="false">IF($A13="","",SUMIFS('Weekly Plan'!$D$6:$D$1505,'Weekly Plan'!$A$6:$A$1505,$A13,'Weekly Plan'!$E$6:$E$1505,"&lt;="&amp;BA$2))</f>
        <v>0</v>
      </c>
      <c r="BB13" s="0" t="n">
        <f aca="false">IF($A13="","",SUMIFS('Weekly Plan'!$D$6:$D$1505,'Weekly Plan'!$A$6:$A$1505,$A13,'Weekly Plan'!$E$6:$E$1505,"&lt;="&amp;BB$2))</f>
        <v>0</v>
      </c>
      <c r="BC13" s="0" t="n">
        <f aca="false">IF($A13="","",SUMIFS('Weekly Plan'!$D$6:$D$1505,'Weekly Plan'!$A$6:$A$1505,$A13,'Weekly Plan'!$E$6:$E$1505,"&lt;="&amp;BC$2))</f>
        <v>0</v>
      </c>
      <c r="BD13" s="0" t="n">
        <f aca="false">IF($A13="","",SUMIFS('Weekly Plan'!$D$6:$D$1505,'Weekly Plan'!$A$6:$A$1505,$A13,'Weekly Plan'!$E$6:$E$1505,"&lt;="&amp;BD$2))</f>
        <v>0</v>
      </c>
    </row>
    <row r="14" customFormat="false" ht="15" hidden="false" customHeight="false" outlineLevel="0" collapsed="false">
      <c r="A14" s="0" t="str">
        <f aca="false">Contracts!$A$16</f>
        <v>DARAJA-R24P (TBC)</v>
      </c>
      <c r="B14" s="0" t="n">
        <f aca="false">IF($A14="","",SUMIFS('Weekly Plan'!$D$6:$D$1505,'Weekly Plan'!$A$6:$A$1505,$A14,'Weekly Plan'!$E$6:$E$1505,"&lt;="&amp;B$2))</f>
        <v>0</v>
      </c>
      <c r="C14" s="0" t="n">
        <f aca="false">IF($A14="","",SUMIFS('Weekly Plan'!$D$6:$D$1505,'Weekly Plan'!$A$6:$A$1505,$A14,'Weekly Plan'!$E$6:$E$1505,"&lt;="&amp;C$2))</f>
        <v>0</v>
      </c>
      <c r="D14" s="0" t="n">
        <f aca="false">IF($A14="","",SUMIFS('Weekly Plan'!$D$6:$D$1505,'Weekly Plan'!$A$6:$A$1505,$A14,'Weekly Plan'!$E$6:$E$1505,"&lt;="&amp;D$2))</f>
        <v>0</v>
      </c>
      <c r="E14" s="0" t="n">
        <f aca="false">IF($A14="","",SUMIFS('Weekly Plan'!$D$6:$D$1505,'Weekly Plan'!$A$6:$A$1505,$A14,'Weekly Plan'!$E$6:$E$1505,"&lt;="&amp;E$2))</f>
        <v>0</v>
      </c>
      <c r="F14" s="0" t="n">
        <f aca="false">IF($A14="","",SUMIFS('Weekly Plan'!$D$6:$D$1505,'Weekly Plan'!$A$6:$A$1505,$A14,'Weekly Plan'!$E$6:$E$1505,"&lt;="&amp;F$2))</f>
        <v>0</v>
      </c>
      <c r="G14" s="0" t="n">
        <f aca="false">IF($A14="","",SUMIFS('Weekly Plan'!$D$6:$D$1505,'Weekly Plan'!$A$6:$A$1505,$A14,'Weekly Plan'!$E$6:$E$1505,"&lt;="&amp;G$2))</f>
        <v>0</v>
      </c>
      <c r="H14" s="0" t="n">
        <f aca="false">IF($A14="","",SUMIFS('Weekly Plan'!$D$6:$D$1505,'Weekly Plan'!$A$6:$A$1505,$A14,'Weekly Plan'!$E$6:$E$1505,"&lt;="&amp;H$2))</f>
        <v>0</v>
      </c>
      <c r="I14" s="0" t="n">
        <f aca="false">IF($A14="","",SUMIFS('Weekly Plan'!$D$6:$D$1505,'Weekly Plan'!$A$6:$A$1505,$A14,'Weekly Plan'!$E$6:$E$1505,"&lt;="&amp;I$2))</f>
        <v>0</v>
      </c>
      <c r="J14" s="0" t="n">
        <f aca="false">IF($A14="","",SUMIFS('Weekly Plan'!$D$6:$D$1505,'Weekly Plan'!$A$6:$A$1505,$A14,'Weekly Plan'!$E$6:$E$1505,"&lt;="&amp;J$2))</f>
        <v>0</v>
      </c>
      <c r="K14" s="0" t="n">
        <f aca="false">IF($A14="","",SUMIFS('Weekly Plan'!$D$6:$D$1505,'Weekly Plan'!$A$6:$A$1505,$A14,'Weekly Plan'!$E$6:$E$1505,"&lt;="&amp;K$2))</f>
        <v>0</v>
      </c>
      <c r="L14" s="0" t="n">
        <f aca="false">IF($A14="","",SUMIFS('Weekly Plan'!$D$6:$D$1505,'Weekly Plan'!$A$6:$A$1505,$A14,'Weekly Plan'!$E$6:$E$1505,"&lt;="&amp;L$2))</f>
        <v>0</v>
      </c>
      <c r="M14" s="0" t="n">
        <f aca="false">IF($A14="","",SUMIFS('Weekly Plan'!$D$6:$D$1505,'Weekly Plan'!$A$6:$A$1505,$A14,'Weekly Plan'!$E$6:$E$1505,"&lt;="&amp;M$2))</f>
        <v>0</v>
      </c>
      <c r="N14" s="0" t="n">
        <f aca="false">IF($A14="","",SUMIFS('Weekly Plan'!$D$6:$D$1505,'Weekly Plan'!$A$6:$A$1505,$A14,'Weekly Plan'!$E$6:$E$1505,"&lt;="&amp;N$2))</f>
        <v>0</v>
      </c>
      <c r="O14" s="0" t="n">
        <f aca="false">IF($A14="","",SUMIFS('Weekly Plan'!$D$6:$D$1505,'Weekly Plan'!$A$6:$A$1505,$A14,'Weekly Plan'!$E$6:$E$1505,"&lt;="&amp;O$2))</f>
        <v>0</v>
      </c>
      <c r="P14" s="0" t="n">
        <f aca="false">IF($A14="","",SUMIFS('Weekly Plan'!$D$6:$D$1505,'Weekly Plan'!$A$6:$A$1505,$A14,'Weekly Plan'!$E$6:$E$1505,"&lt;="&amp;P$2))</f>
        <v>0</v>
      </c>
      <c r="Q14" s="0" t="n">
        <f aca="false">IF($A14="","",SUMIFS('Weekly Plan'!$D$6:$D$1505,'Weekly Plan'!$A$6:$A$1505,$A14,'Weekly Plan'!$E$6:$E$1505,"&lt;="&amp;Q$2))</f>
        <v>0</v>
      </c>
      <c r="R14" s="0" t="n">
        <f aca="false">IF($A14="","",SUMIFS('Weekly Plan'!$D$6:$D$1505,'Weekly Plan'!$A$6:$A$1505,$A14,'Weekly Plan'!$E$6:$E$1505,"&lt;="&amp;R$2))</f>
        <v>0</v>
      </c>
      <c r="S14" s="0" t="n">
        <f aca="false">IF($A14="","",SUMIFS('Weekly Plan'!$D$6:$D$1505,'Weekly Plan'!$A$6:$A$1505,$A14,'Weekly Plan'!$E$6:$E$1505,"&lt;="&amp;S$2))</f>
        <v>0</v>
      </c>
      <c r="T14" s="0" t="n">
        <f aca="false">IF($A14="","",SUMIFS('Weekly Plan'!$D$6:$D$1505,'Weekly Plan'!$A$6:$A$1505,$A14,'Weekly Plan'!$E$6:$E$1505,"&lt;="&amp;T$2))</f>
        <v>0</v>
      </c>
      <c r="U14" s="0" t="n">
        <f aca="false">IF($A14="","",SUMIFS('Weekly Plan'!$D$6:$D$1505,'Weekly Plan'!$A$6:$A$1505,$A14,'Weekly Plan'!$E$6:$E$1505,"&lt;="&amp;U$2))</f>
        <v>0</v>
      </c>
      <c r="V14" s="0" t="n">
        <f aca="false">IF($A14="","",SUMIFS('Weekly Plan'!$D$6:$D$1505,'Weekly Plan'!$A$6:$A$1505,$A14,'Weekly Plan'!$E$6:$E$1505,"&lt;="&amp;V$2))</f>
        <v>0</v>
      </c>
      <c r="W14" s="0" t="n">
        <f aca="false">IF($A14="","",SUMIFS('Weekly Plan'!$D$6:$D$1505,'Weekly Plan'!$A$6:$A$1505,$A14,'Weekly Plan'!$E$6:$E$1505,"&lt;="&amp;W$2))</f>
        <v>0</v>
      </c>
      <c r="X14" s="0" t="n">
        <f aca="false">IF($A14="","",SUMIFS('Weekly Plan'!$D$6:$D$1505,'Weekly Plan'!$A$6:$A$1505,$A14,'Weekly Plan'!$E$6:$E$1505,"&lt;="&amp;X$2))</f>
        <v>0</v>
      </c>
      <c r="Y14" s="0" t="n">
        <f aca="false">IF($A14="","",SUMIFS('Weekly Plan'!$D$6:$D$1505,'Weekly Plan'!$A$6:$A$1505,$A14,'Weekly Plan'!$E$6:$E$1505,"&lt;="&amp;Y$2))</f>
        <v>0</v>
      </c>
      <c r="Z14" s="0" t="n">
        <f aca="false">IF($A14="","",SUMIFS('Weekly Plan'!$D$6:$D$1505,'Weekly Plan'!$A$6:$A$1505,$A14,'Weekly Plan'!$E$6:$E$1505,"&lt;="&amp;Z$2))</f>
        <v>0</v>
      </c>
      <c r="AA14" s="0" t="n">
        <f aca="false">IF($A14="","",SUMIFS('Weekly Plan'!$D$6:$D$1505,'Weekly Plan'!$A$6:$A$1505,$A14,'Weekly Plan'!$E$6:$E$1505,"&lt;="&amp;AA$2))</f>
        <v>0</v>
      </c>
      <c r="AB14" s="0" t="n">
        <f aca="false">IF($A14="","",SUMIFS('Weekly Plan'!$D$6:$D$1505,'Weekly Plan'!$A$6:$A$1505,$A14,'Weekly Plan'!$E$6:$E$1505,"&lt;="&amp;AB$2))</f>
        <v>0</v>
      </c>
      <c r="AC14" s="0" t="n">
        <f aca="false">IF($A14="","",SUMIFS('Weekly Plan'!$D$6:$D$1505,'Weekly Plan'!$A$6:$A$1505,$A14,'Weekly Plan'!$E$6:$E$1505,"&lt;="&amp;AC$2))</f>
        <v>0</v>
      </c>
      <c r="AD14" s="0" t="n">
        <f aca="false">IF($A14="","",SUMIFS('Weekly Plan'!$D$6:$D$1505,'Weekly Plan'!$A$6:$A$1505,$A14,'Weekly Plan'!$E$6:$E$1505,"&lt;="&amp;AD$2))</f>
        <v>0</v>
      </c>
      <c r="AE14" s="0" t="n">
        <f aca="false">IF($A14="","",SUMIFS('Weekly Plan'!$D$6:$D$1505,'Weekly Plan'!$A$6:$A$1505,$A14,'Weekly Plan'!$E$6:$E$1505,"&lt;="&amp;AE$2))</f>
        <v>0</v>
      </c>
      <c r="AF14" s="0" t="n">
        <f aca="false">IF($A14="","",SUMIFS('Weekly Plan'!$D$6:$D$1505,'Weekly Plan'!$A$6:$A$1505,$A14,'Weekly Plan'!$E$6:$E$1505,"&lt;="&amp;AF$2))</f>
        <v>0</v>
      </c>
      <c r="AG14" s="0" t="n">
        <f aca="false">IF($A14="","",SUMIFS('Weekly Plan'!$D$6:$D$1505,'Weekly Plan'!$A$6:$A$1505,$A14,'Weekly Plan'!$E$6:$E$1505,"&lt;="&amp;AG$2))</f>
        <v>0</v>
      </c>
      <c r="AH14" s="0" t="n">
        <f aca="false">IF($A14="","",SUMIFS('Weekly Plan'!$D$6:$D$1505,'Weekly Plan'!$A$6:$A$1505,$A14,'Weekly Plan'!$E$6:$E$1505,"&lt;="&amp;AH$2))</f>
        <v>0</v>
      </c>
      <c r="AI14" s="0" t="n">
        <f aca="false">IF($A14="","",SUMIFS('Weekly Plan'!$D$6:$D$1505,'Weekly Plan'!$A$6:$A$1505,$A14,'Weekly Plan'!$E$6:$E$1505,"&lt;="&amp;AI$2))</f>
        <v>0</v>
      </c>
      <c r="AJ14" s="0" t="n">
        <f aca="false">IF($A14="","",SUMIFS('Weekly Plan'!$D$6:$D$1505,'Weekly Plan'!$A$6:$A$1505,$A14,'Weekly Plan'!$E$6:$E$1505,"&lt;="&amp;AJ$2))</f>
        <v>0</v>
      </c>
      <c r="AK14" s="0" t="n">
        <f aca="false">IF($A14="","",SUMIFS('Weekly Plan'!$D$6:$D$1505,'Weekly Plan'!$A$6:$A$1505,$A14,'Weekly Plan'!$E$6:$E$1505,"&lt;="&amp;AK$2))</f>
        <v>0</v>
      </c>
      <c r="AL14" s="0" t="n">
        <f aca="false">IF($A14="","",SUMIFS('Weekly Plan'!$D$6:$D$1505,'Weekly Plan'!$A$6:$A$1505,$A14,'Weekly Plan'!$E$6:$E$1505,"&lt;="&amp;AL$2))</f>
        <v>0</v>
      </c>
      <c r="AM14" s="0" t="n">
        <f aca="false">IF($A14="","",SUMIFS('Weekly Plan'!$D$6:$D$1505,'Weekly Plan'!$A$6:$A$1505,$A14,'Weekly Plan'!$E$6:$E$1505,"&lt;="&amp;AM$2))</f>
        <v>0</v>
      </c>
      <c r="AN14" s="0" t="n">
        <f aca="false">IF($A14="","",SUMIFS('Weekly Plan'!$D$6:$D$1505,'Weekly Plan'!$A$6:$A$1505,$A14,'Weekly Plan'!$E$6:$E$1505,"&lt;="&amp;AN$2))</f>
        <v>0</v>
      </c>
      <c r="AO14" s="0" t="n">
        <f aca="false">IF($A14="","",SUMIFS('Weekly Plan'!$D$6:$D$1505,'Weekly Plan'!$A$6:$A$1505,$A14,'Weekly Plan'!$E$6:$E$1505,"&lt;="&amp;AO$2))</f>
        <v>0</v>
      </c>
      <c r="AP14" s="0" t="n">
        <f aca="false">IF($A14="","",SUMIFS('Weekly Plan'!$D$6:$D$1505,'Weekly Plan'!$A$6:$A$1505,$A14,'Weekly Plan'!$E$6:$E$1505,"&lt;="&amp;AP$2))</f>
        <v>0</v>
      </c>
      <c r="AQ14" s="0" t="n">
        <f aca="false">IF($A14="","",SUMIFS('Weekly Plan'!$D$6:$D$1505,'Weekly Plan'!$A$6:$A$1505,$A14,'Weekly Plan'!$E$6:$E$1505,"&lt;="&amp;AQ$2))</f>
        <v>0</v>
      </c>
      <c r="AR14" s="0" t="n">
        <f aca="false">IF($A14="","",SUMIFS('Weekly Plan'!$D$6:$D$1505,'Weekly Plan'!$A$6:$A$1505,$A14,'Weekly Plan'!$E$6:$E$1505,"&lt;="&amp;AR$2))</f>
        <v>0</v>
      </c>
      <c r="AS14" s="0" t="n">
        <f aca="false">IF($A14="","",SUMIFS('Weekly Plan'!$D$6:$D$1505,'Weekly Plan'!$A$6:$A$1505,$A14,'Weekly Plan'!$E$6:$E$1505,"&lt;="&amp;AS$2))</f>
        <v>0</v>
      </c>
      <c r="AT14" s="0" t="n">
        <f aca="false">IF($A14="","",SUMIFS('Weekly Plan'!$D$6:$D$1505,'Weekly Plan'!$A$6:$A$1505,$A14,'Weekly Plan'!$E$6:$E$1505,"&lt;="&amp;AT$2))</f>
        <v>0</v>
      </c>
      <c r="AU14" s="0" t="n">
        <f aca="false">IF($A14="","",SUMIFS('Weekly Plan'!$D$6:$D$1505,'Weekly Plan'!$A$6:$A$1505,$A14,'Weekly Plan'!$E$6:$E$1505,"&lt;="&amp;AU$2))</f>
        <v>0</v>
      </c>
      <c r="AV14" s="0" t="n">
        <f aca="false">IF($A14="","",SUMIFS('Weekly Plan'!$D$6:$D$1505,'Weekly Plan'!$A$6:$A$1505,$A14,'Weekly Plan'!$E$6:$E$1505,"&lt;="&amp;AV$2))</f>
        <v>0</v>
      </c>
      <c r="AW14" s="0" t="n">
        <f aca="false">IF($A14="","",SUMIFS('Weekly Plan'!$D$6:$D$1505,'Weekly Plan'!$A$6:$A$1505,$A14,'Weekly Plan'!$E$6:$E$1505,"&lt;="&amp;AW$2))</f>
        <v>0</v>
      </c>
      <c r="AX14" s="0" t="n">
        <f aca="false">IF($A14="","",SUMIFS('Weekly Plan'!$D$6:$D$1505,'Weekly Plan'!$A$6:$A$1505,$A14,'Weekly Plan'!$E$6:$E$1505,"&lt;="&amp;AX$2))</f>
        <v>0</v>
      </c>
      <c r="AY14" s="0" t="n">
        <f aca="false">IF($A14="","",SUMIFS('Weekly Plan'!$D$6:$D$1505,'Weekly Plan'!$A$6:$A$1505,$A14,'Weekly Plan'!$E$6:$E$1505,"&lt;="&amp;AY$2))</f>
        <v>0</v>
      </c>
      <c r="AZ14" s="0" t="n">
        <f aca="false">IF($A14="","",SUMIFS('Weekly Plan'!$D$6:$D$1505,'Weekly Plan'!$A$6:$A$1505,$A14,'Weekly Plan'!$E$6:$E$1505,"&lt;="&amp;AZ$2))</f>
        <v>0</v>
      </c>
      <c r="BA14" s="0" t="n">
        <f aca="false">IF($A14="","",SUMIFS('Weekly Plan'!$D$6:$D$1505,'Weekly Plan'!$A$6:$A$1505,$A14,'Weekly Plan'!$E$6:$E$1505,"&lt;="&amp;BA$2))</f>
        <v>0</v>
      </c>
      <c r="BB14" s="0" t="n">
        <f aca="false">IF($A14="","",SUMIFS('Weekly Plan'!$D$6:$D$1505,'Weekly Plan'!$A$6:$A$1505,$A14,'Weekly Plan'!$E$6:$E$1505,"&lt;="&amp;BB$2))</f>
        <v>0</v>
      </c>
      <c r="BC14" s="0" t="n">
        <f aca="false">IF($A14="","",SUMIFS('Weekly Plan'!$D$6:$D$1505,'Weekly Plan'!$A$6:$A$1505,$A14,'Weekly Plan'!$E$6:$E$1505,"&lt;="&amp;BC$2))</f>
        <v>0</v>
      </c>
      <c r="BD14" s="0" t="n">
        <f aca="false">IF($A14="","",SUMIFS('Weekly Plan'!$D$6:$D$1505,'Weekly Plan'!$A$6:$A$1505,$A14,'Weekly Plan'!$E$6:$E$1505,"&lt;="&amp;BD$2))</f>
        <v>0</v>
      </c>
    </row>
    <row r="15" customFormat="false" ht="15" hidden="false" customHeight="false" outlineLevel="0" collapsed="false">
      <c r="A15" s="0" t="str">
        <f aca="false">Contracts!$A$17</f>
        <v>REUNION-SOUTH-R16P (TBC)</v>
      </c>
      <c r="B15" s="0" t="n">
        <f aca="false">IF($A15="","",SUMIFS('Weekly Plan'!$D$6:$D$1505,'Weekly Plan'!$A$6:$A$1505,$A15,'Weekly Plan'!$E$6:$E$1505,"&lt;="&amp;B$2))</f>
        <v>0</v>
      </c>
      <c r="C15" s="0" t="n">
        <f aca="false">IF($A15="","",SUMIFS('Weekly Plan'!$D$6:$D$1505,'Weekly Plan'!$A$6:$A$1505,$A15,'Weekly Plan'!$E$6:$E$1505,"&lt;="&amp;C$2))</f>
        <v>0</v>
      </c>
      <c r="D15" s="0" t="n">
        <f aca="false">IF($A15="","",SUMIFS('Weekly Plan'!$D$6:$D$1505,'Weekly Plan'!$A$6:$A$1505,$A15,'Weekly Plan'!$E$6:$E$1505,"&lt;="&amp;D$2))</f>
        <v>0</v>
      </c>
      <c r="E15" s="0" t="n">
        <f aca="false">IF($A15="","",SUMIFS('Weekly Plan'!$D$6:$D$1505,'Weekly Plan'!$A$6:$A$1505,$A15,'Weekly Plan'!$E$6:$E$1505,"&lt;="&amp;E$2))</f>
        <v>0</v>
      </c>
      <c r="F15" s="0" t="n">
        <f aca="false">IF($A15="","",SUMIFS('Weekly Plan'!$D$6:$D$1505,'Weekly Plan'!$A$6:$A$1505,$A15,'Weekly Plan'!$E$6:$E$1505,"&lt;="&amp;F$2))</f>
        <v>0</v>
      </c>
      <c r="G15" s="0" t="n">
        <f aca="false">IF($A15="","",SUMIFS('Weekly Plan'!$D$6:$D$1505,'Weekly Plan'!$A$6:$A$1505,$A15,'Weekly Plan'!$E$6:$E$1505,"&lt;="&amp;G$2))</f>
        <v>0</v>
      </c>
      <c r="H15" s="0" t="n">
        <f aca="false">IF($A15="","",SUMIFS('Weekly Plan'!$D$6:$D$1505,'Weekly Plan'!$A$6:$A$1505,$A15,'Weekly Plan'!$E$6:$E$1505,"&lt;="&amp;H$2))</f>
        <v>0</v>
      </c>
      <c r="I15" s="0" t="n">
        <f aca="false">IF($A15="","",SUMIFS('Weekly Plan'!$D$6:$D$1505,'Weekly Plan'!$A$6:$A$1505,$A15,'Weekly Plan'!$E$6:$E$1505,"&lt;="&amp;I$2))</f>
        <v>0</v>
      </c>
      <c r="J15" s="0" t="n">
        <f aca="false">IF($A15="","",SUMIFS('Weekly Plan'!$D$6:$D$1505,'Weekly Plan'!$A$6:$A$1505,$A15,'Weekly Plan'!$E$6:$E$1505,"&lt;="&amp;J$2))</f>
        <v>0</v>
      </c>
      <c r="K15" s="0" t="n">
        <f aca="false">IF($A15="","",SUMIFS('Weekly Plan'!$D$6:$D$1505,'Weekly Plan'!$A$6:$A$1505,$A15,'Weekly Plan'!$E$6:$E$1505,"&lt;="&amp;K$2))</f>
        <v>0</v>
      </c>
      <c r="L15" s="0" t="n">
        <f aca="false">IF($A15="","",SUMIFS('Weekly Plan'!$D$6:$D$1505,'Weekly Plan'!$A$6:$A$1505,$A15,'Weekly Plan'!$E$6:$E$1505,"&lt;="&amp;L$2))</f>
        <v>0</v>
      </c>
      <c r="M15" s="0" t="n">
        <f aca="false">IF($A15="","",SUMIFS('Weekly Plan'!$D$6:$D$1505,'Weekly Plan'!$A$6:$A$1505,$A15,'Weekly Plan'!$E$6:$E$1505,"&lt;="&amp;M$2))</f>
        <v>0</v>
      </c>
      <c r="N15" s="0" t="n">
        <f aca="false">IF($A15="","",SUMIFS('Weekly Plan'!$D$6:$D$1505,'Weekly Plan'!$A$6:$A$1505,$A15,'Weekly Plan'!$E$6:$E$1505,"&lt;="&amp;N$2))</f>
        <v>0</v>
      </c>
      <c r="O15" s="0" t="n">
        <f aca="false">IF($A15="","",SUMIFS('Weekly Plan'!$D$6:$D$1505,'Weekly Plan'!$A$6:$A$1505,$A15,'Weekly Plan'!$E$6:$E$1505,"&lt;="&amp;O$2))</f>
        <v>0</v>
      </c>
      <c r="P15" s="0" t="n">
        <f aca="false">IF($A15="","",SUMIFS('Weekly Plan'!$D$6:$D$1505,'Weekly Plan'!$A$6:$A$1505,$A15,'Weekly Plan'!$E$6:$E$1505,"&lt;="&amp;P$2))</f>
        <v>0</v>
      </c>
      <c r="Q15" s="0" t="n">
        <f aca="false">IF($A15="","",SUMIFS('Weekly Plan'!$D$6:$D$1505,'Weekly Plan'!$A$6:$A$1505,$A15,'Weekly Plan'!$E$6:$E$1505,"&lt;="&amp;Q$2))</f>
        <v>0</v>
      </c>
      <c r="R15" s="0" t="n">
        <f aca="false">IF($A15="","",SUMIFS('Weekly Plan'!$D$6:$D$1505,'Weekly Plan'!$A$6:$A$1505,$A15,'Weekly Plan'!$E$6:$E$1505,"&lt;="&amp;R$2))</f>
        <v>0</v>
      </c>
      <c r="S15" s="0" t="n">
        <f aca="false">IF($A15="","",SUMIFS('Weekly Plan'!$D$6:$D$1505,'Weekly Plan'!$A$6:$A$1505,$A15,'Weekly Plan'!$E$6:$E$1505,"&lt;="&amp;S$2))</f>
        <v>0</v>
      </c>
      <c r="T15" s="0" t="n">
        <f aca="false">IF($A15="","",SUMIFS('Weekly Plan'!$D$6:$D$1505,'Weekly Plan'!$A$6:$A$1505,$A15,'Weekly Plan'!$E$6:$E$1505,"&lt;="&amp;T$2))</f>
        <v>0</v>
      </c>
      <c r="U15" s="0" t="n">
        <f aca="false">IF($A15="","",SUMIFS('Weekly Plan'!$D$6:$D$1505,'Weekly Plan'!$A$6:$A$1505,$A15,'Weekly Plan'!$E$6:$E$1505,"&lt;="&amp;U$2))</f>
        <v>0</v>
      </c>
      <c r="V15" s="0" t="n">
        <f aca="false">IF($A15="","",SUMIFS('Weekly Plan'!$D$6:$D$1505,'Weekly Plan'!$A$6:$A$1505,$A15,'Weekly Plan'!$E$6:$E$1505,"&lt;="&amp;V$2))</f>
        <v>0</v>
      </c>
      <c r="W15" s="0" t="n">
        <f aca="false">IF($A15="","",SUMIFS('Weekly Plan'!$D$6:$D$1505,'Weekly Plan'!$A$6:$A$1505,$A15,'Weekly Plan'!$E$6:$E$1505,"&lt;="&amp;W$2))</f>
        <v>0</v>
      </c>
      <c r="X15" s="0" t="n">
        <f aca="false">IF($A15="","",SUMIFS('Weekly Plan'!$D$6:$D$1505,'Weekly Plan'!$A$6:$A$1505,$A15,'Weekly Plan'!$E$6:$E$1505,"&lt;="&amp;X$2))</f>
        <v>0</v>
      </c>
      <c r="Y15" s="0" t="n">
        <f aca="false">IF($A15="","",SUMIFS('Weekly Plan'!$D$6:$D$1505,'Weekly Plan'!$A$6:$A$1505,$A15,'Weekly Plan'!$E$6:$E$1505,"&lt;="&amp;Y$2))</f>
        <v>0</v>
      </c>
      <c r="Z15" s="0" t="n">
        <f aca="false">IF($A15="","",SUMIFS('Weekly Plan'!$D$6:$D$1505,'Weekly Plan'!$A$6:$A$1505,$A15,'Weekly Plan'!$E$6:$E$1505,"&lt;="&amp;Z$2))</f>
        <v>0</v>
      </c>
      <c r="AA15" s="0" t="n">
        <f aca="false">IF($A15="","",SUMIFS('Weekly Plan'!$D$6:$D$1505,'Weekly Plan'!$A$6:$A$1505,$A15,'Weekly Plan'!$E$6:$E$1505,"&lt;="&amp;AA$2))</f>
        <v>0</v>
      </c>
      <c r="AB15" s="0" t="n">
        <f aca="false">IF($A15="","",SUMIFS('Weekly Plan'!$D$6:$D$1505,'Weekly Plan'!$A$6:$A$1505,$A15,'Weekly Plan'!$E$6:$E$1505,"&lt;="&amp;AB$2))</f>
        <v>0</v>
      </c>
      <c r="AC15" s="0" t="n">
        <f aca="false">IF($A15="","",SUMIFS('Weekly Plan'!$D$6:$D$1505,'Weekly Plan'!$A$6:$A$1505,$A15,'Weekly Plan'!$E$6:$E$1505,"&lt;="&amp;AC$2))</f>
        <v>0</v>
      </c>
      <c r="AD15" s="0" t="n">
        <f aca="false">IF($A15="","",SUMIFS('Weekly Plan'!$D$6:$D$1505,'Weekly Plan'!$A$6:$A$1505,$A15,'Weekly Plan'!$E$6:$E$1505,"&lt;="&amp;AD$2))</f>
        <v>0</v>
      </c>
      <c r="AE15" s="0" t="n">
        <f aca="false">IF($A15="","",SUMIFS('Weekly Plan'!$D$6:$D$1505,'Weekly Plan'!$A$6:$A$1505,$A15,'Weekly Plan'!$E$6:$E$1505,"&lt;="&amp;AE$2))</f>
        <v>0</v>
      </c>
      <c r="AF15" s="0" t="n">
        <f aca="false">IF($A15="","",SUMIFS('Weekly Plan'!$D$6:$D$1505,'Weekly Plan'!$A$6:$A$1505,$A15,'Weekly Plan'!$E$6:$E$1505,"&lt;="&amp;AF$2))</f>
        <v>0</v>
      </c>
      <c r="AG15" s="0" t="n">
        <f aca="false">IF($A15="","",SUMIFS('Weekly Plan'!$D$6:$D$1505,'Weekly Plan'!$A$6:$A$1505,$A15,'Weekly Plan'!$E$6:$E$1505,"&lt;="&amp;AG$2))</f>
        <v>0</v>
      </c>
      <c r="AH15" s="0" t="n">
        <f aca="false">IF($A15="","",SUMIFS('Weekly Plan'!$D$6:$D$1505,'Weekly Plan'!$A$6:$A$1505,$A15,'Weekly Plan'!$E$6:$E$1505,"&lt;="&amp;AH$2))</f>
        <v>0</v>
      </c>
      <c r="AI15" s="0" t="n">
        <f aca="false">IF($A15="","",SUMIFS('Weekly Plan'!$D$6:$D$1505,'Weekly Plan'!$A$6:$A$1505,$A15,'Weekly Plan'!$E$6:$E$1505,"&lt;="&amp;AI$2))</f>
        <v>0</v>
      </c>
      <c r="AJ15" s="0" t="n">
        <f aca="false">IF($A15="","",SUMIFS('Weekly Plan'!$D$6:$D$1505,'Weekly Plan'!$A$6:$A$1505,$A15,'Weekly Plan'!$E$6:$E$1505,"&lt;="&amp;AJ$2))</f>
        <v>0</v>
      </c>
      <c r="AK15" s="0" t="n">
        <f aca="false">IF($A15="","",SUMIFS('Weekly Plan'!$D$6:$D$1505,'Weekly Plan'!$A$6:$A$1505,$A15,'Weekly Plan'!$E$6:$E$1505,"&lt;="&amp;AK$2))</f>
        <v>0</v>
      </c>
      <c r="AL15" s="0" t="n">
        <f aca="false">IF($A15="","",SUMIFS('Weekly Plan'!$D$6:$D$1505,'Weekly Plan'!$A$6:$A$1505,$A15,'Weekly Plan'!$E$6:$E$1505,"&lt;="&amp;AL$2))</f>
        <v>0</v>
      </c>
      <c r="AM15" s="0" t="n">
        <f aca="false">IF($A15="","",SUMIFS('Weekly Plan'!$D$6:$D$1505,'Weekly Plan'!$A$6:$A$1505,$A15,'Weekly Plan'!$E$6:$E$1505,"&lt;="&amp;AM$2))</f>
        <v>0</v>
      </c>
      <c r="AN15" s="0" t="n">
        <f aca="false">IF($A15="","",SUMIFS('Weekly Plan'!$D$6:$D$1505,'Weekly Plan'!$A$6:$A$1505,$A15,'Weekly Plan'!$E$6:$E$1505,"&lt;="&amp;AN$2))</f>
        <v>0</v>
      </c>
      <c r="AO15" s="0" t="n">
        <f aca="false">IF($A15="","",SUMIFS('Weekly Plan'!$D$6:$D$1505,'Weekly Plan'!$A$6:$A$1505,$A15,'Weekly Plan'!$E$6:$E$1505,"&lt;="&amp;AO$2))</f>
        <v>0</v>
      </c>
      <c r="AP15" s="0" t="n">
        <f aca="false">IF($A15="","",SUMIFS('Weekly Plan'!$D$6:$D$1505,'Weekly Plan'!$A$6:$A$1505,$A15,'Weekly Plan'!$E$6:$E$1505,"&lt;="&amp;AP$2))</f>
        <v>0</v>
      </c>
      <c r="AQ15" s="0" t="n">
        <f aca="false">IF($A15="","",SUMIFS('Weekly Plan'!$D$6:$D$1505,'Weekly Plan'!$A$6:$A$1505,$A15,'Weekly Plan'!$E$6:$E$1505,"&lt;="&amp;AQ$2))</f>
        <v>0</v>
      </c>
      <c r="AR15" s="0" t="n">
        <f aca="false">IF($A15="","",SUMIFS('Weekly Plan'!$D$6:$D$1505,'Weekly Plan'!$A$6:$A$1505,$A15,'Weekly Plan'!$E$6:$E$1505,"&lt;="&amp;AR$2))</f>
        <v>0</v>
      </c>
      <c r="AS15" s="0" t="n">
        <f aca="false">IF($A15="","",SUMIFS('Weekly Plan'!$D$6:$D$1505,'Weekly Plan'!$A$6:$A$1505,$A15,'Weekly Plan'!$E$6:$E$1505,"&lt;="&amp;AS$2))</f>
        <v>0</v>
      </c>
      <c r="AT15" s="0" t="n">
        <f aca="false">IF($A15="","",SUMIFS('Weekly Plan'!$D$6:$D$1505,'Weekly Plan'!$A$6:$A$1505,$A15,'Weekly Plan'!$E$6:$E$1505,"&lt;="&amp;AT$2))</f>
        <v>0</v>
      </c>
      <c r="AU15" s="0" t="n">
        <f aca="false">IF($A15="","",SUMIFS('Weekly Plan'!$D$6:$D$1505,'Weekly Plan'!$A$6:$A$1505,$A15,'Weekly Plan'!$E$6:$E$1505,"&lt;="&amp;AU$2))</f>
        <v>0</v>
      </c>
      <c r="AV15" s="0" t="n">
        <f aca="false">IF($A15="","",SUMIFS('Weekly Plan'!$D$6:$D$1505,'Weekly Plan'!$A$6:$A$1505,$A15,'Weekly Plan'!$E$6:$E$1505,"&lt;="&amp;AV$2))</f>
        <v>0</v>
      </c>
      <c r="AW15" s="0" t="n">
        <f aca="false">IF($A15="","",SUMIFS('Weekly Plan'!$D$6:$D$1505,'Weekly Plan'!$A$6:$A$1505,$A15,'Weekly Plan'!$E$6:$E$1505,"&lt;="&amp;AW$2))</f>
        <v>0</v>
      </c>
      <c r="AX15" s="0" t="n">
        <f aca="false">IF($A15="","",SUMIFS('Weekly Plan'!$D$6:$D$1505,'Weekly Plan'!$A$6:$A$1505,$A15,'Weekly Plan'!$E$6:$E$1505,"&lt;="&amp;AX$2))</f>
        <v>0</v>
      </c>
      <c r="AY15" s="0" t="n">
        <f aca="false">IF($A15="","",SUMIFS('Weekly Plan'!$D$6:$D$1505,'Weekly Plan'!$A$6:$A$1505,$A15,'Weekly Plan'!$E$6:$E$1505,"&lt;="&amp;AY$2))</f>
        <v>0</v>
      </c>
      <c r="AZ15" s="0" t="n">
        <f aca="false">IF($A15="","",SUMIFS('Weekly Plan'!$D$6:$D$1505,'Weekly Plan'!$A$6:$A$1505,$A15,'Weekly Plan'!$E$6:$E$1505,"&lt;="&amp;AZ$2))</f>
        <v>0</v>
      </c>
      <c r="BA15" s="0" t="n">
        <f aca="false">IF($A15="","",SUMIFS('Weekly Plan'!$D$6:$D$1505,'Weekly Plan'!$A$6:$A$1505,$A15,'Weekly Plan'!$E$6:$E$1505,"&lt;="&amp;BA$2))</f>
        <v>0</v>
      </c>
      <c r="BB15" s="0" t="n">
        <f aca="false">IF($A15="","",SUMIFS('Weekly Plan'!$D$6:$D$1505,'Weekly Plan'!$A$6:$A$1505,$A15,'Weekly Plan'!$E$6:$E$1505,"&lt;="&amp;BB$2))</f>
        <v>0</v>
      </c>
      <c r="BC15" s="0" t="n">
        <f aca="false">IF($A15="","",SUMIFS('Weekly Plan'!$D$6:$D$1505,'Weekly Plan'!$A$6:$A$1505,$A15,'Weekly Plan'!$E$6:$E$1505,"&lt;="&amp;BC$2))</f>
        <v>0</v>
      </c>
      <c r="BD15" s="0" t="n">
        <f aca="false">IF($A15="","",SUMIFS('Weekly Plan'!$D$6:$D$1505,'Weekly Plan'!$A$6:$A$1505,$A15,'Weekly Plan'!$E$6:$E$1505,"&lt;="&amp;BD$2))</f>
        <v>0</v>
      </c>
    </row>
    <row r="16" customFormat="false" ht="15" hidden="false" customHeight="false" outlineLevel="0" collapsed="false">
      <c r="A16" s="0" t="n">
        <f aca="false">Contracts!$A$18</f>
        <v>0</v>
      </c>
      <c r="B16" s="0" t="str">
        <f aca="false">IF($A16="","",SUMIFS('Weekly Plan'!$D$6:$D$1505,'Weekly Plan'!$A$6:$A$1505,$A16,'Weekly Plan'!$E$6:$E$1505,"&lt;="&amp;B$2))</f>
        <v/>
      </c>
      <c r="C16" s="0" t="str">
        <f aca="false">IF($A16="","",SUMIFS('Weekly Plan'!$D$6:$D$1505,'Weekly Plan'!$A$6:$A$1505,$A16,'Weekly Plan'!$E$6:$E$1505,"&lt;="&amp;C$2))</f>
        <v/>
      </c>
      <c r="D16" s="0" t="str">
        <f aca="false">IF($A16="","",SUMIFS('Weekly Plan'!$D$6:$D$1505,'Weekly Plan'!$A$6:$A$1505,$A16,'Weekly Plan'!$E$6:$E$1505,"&lt;="&amp;D$2))</f>
        <v/>
      </c>
      <c r="E16" s="0" t="str">
        <f aca="false">IF($A16="","",SUMIFS('Weekly Plan'!$D$6:$D$1505,'Weekly Plan'!$A$6:$A$1505,$A16,'Weekly Plan'!$E$6:$E$1505,"&lt;="&amp;E$2))</f>
        <v/>
      </c>
      <c r="F16" s="0" t="str">
        <f aca="false">IF($A16="","",SUMIFS('Weekly Plan'!$D$6:$D$1505,'Weekly Plan'!$A$6:$A$1505,$A16,'Weekly Plan'!$E$6:$E$1505,"&lt;="&amp;F$2))</f>
        <v/>
      </c>
      <c r="G16" s="0" t="str">
        <f aca="false">IF($A16="","",SUMIFS('Weekly Plan'!$D$6:$D$1505,'Weekly Plan'!$A$6:$A$1505,$A16,'Weekly Plan'!$E$6:$E$1505,"&lt;="&amp;G$2))</f>
        <v/>
      </c>
      <c r="H16" s="0" t="str">
        <f aca="false">IF($A16="","",SUMIFS('Weekly Plan'!$D$6:$D$1505,'Weekly Plan'!$A$6:$A$1505,$A16,'Weekly Plan'!$E$6:$E$1505,"&lt;="&amp;H$2))</f>
        <v/>
      </c>
      <c r="I16" s="0" t="str">
        <f aca="false">IF($A16="","",SUMIFS('Weekly Plan'!$D$6:$D$1505,'Weekly Plan'!$A$6:$A$1505,$A16,'Weekly Plan'!$E$6:$E$1505,"&lt;="&amp;I$2))</f>
        <v/>
      </c>
      <c r="J16" s="0" t="str">
        <f aca="false">IF($A16="","",SUMIFS('Weekly Plan'!$D$6:$D$1505,'Weekly Plan'!$A$6:$A$1505,$A16,'Weekly Plan'!$E$6:$E$1505,"&lt;="&amp;J$2))</f>
        <v/>
      </c>
      <c r="K16" s="0" t="str">
        <f aca="false">IF($A16="","",SUMIFS('Weekly Plan'!$D$6:$D$1505,'Weekly Plan'!$A$6:$A$1505,$A16,'Weekly Plan'!$E$6:$E$1505,"&lt;="&amp;K$2))</f>
        <v/>
      </c>
      <c r="L16" s="0" t="str">
        <f aca="false">IF($A16="","",SUMIFS('Weekly Plan'!$D$6:$D$1505,'Weekly Plan'!$A$6:$A$1505,$A16,'Weekly Plan'!$E$6:$E$1505,"&lt;="&amp;L$2))</f>
        <v/>
      </c>
      <c r="M16" s="0" t="str">
        <f aca="false">IF($A16="","",SUMIFS('Weekly Plan'!$D$6:$D$1505,'Weekly Plan'!$A$6:$A$1505,$A16,'Weekly Plan'!$E$6:$E$1505,"&lt;="&amp;M$2))</f>
        <v/>
      </c>
      <c r="N16" s="0" t="str">
        <f aca="false">IF($A16="","",SUMIFS('Weekly Plan'!$D$6:$D$1505,'Weekly Plan'!$A$6:$A$1505,$A16,'Weekly Plan'!$E$6:$E$1505,"&lt;="&amp;N$2))</f>
        <v/>
      </c>
      <c r="O16" s="0" t="str">
        <f aca="false">IF($A16="","",SUMIFS('Weekly Plan'!$D$6:$D$1505,'Weekly Plan'!$A$6:$A$1505,$A16,'Weekly Plan'!$E$6:$E$1505,"&lt;="&amp;O$2))</f>
        <v/>
      </c>
      <c r="P16" s="0" t="str">
        <f aca="false">IF($A16="","",SUMIFS('Weekly Plan'!$D$6:$D$1505,'Weekly Plan'!$A$6:$A$1505,$A16,'Weekly Plan'!$E$6:$E$1505,"&lt;="&amp;P$2))</f>
        <v/>
      </c>
      <c r="Q16" s="0" t="str">
        <f aca="false">IF($A16="","",SUMIFS('Weekly Plan'!$D$6:$D$1505,'Weekly Plan'!$A$6:$A$1505,$A16,'Weekly Plan'!$E$6:$E$1505,"&lt;="&amp;Q$2))</f>
        <v/>
      </c>
      <c r="R16" s="0" t="str">
        <f aca="false">IF($A16="","",SUMIFS('Weekly Plan'!$D$6:$D$1505,'Weekly Plan'!$A$6:$A$1505,$A16,'Weekly Plan'!$E$6:$E$1505,"&lt;="&amp;R$2))</f>
        <v/>
      </c>
      <c r="S16" s="0" t="str">
        <f aca="false">IF($A16="","",SUMIFS('Weekly Plan'!$D$6:$D$1505,'Weekly Plan'!$A$6:$A$1505,$A16,'Weekly Plan'!$E$6:$E$1505,"&lt;="&amp;S$2))</f>
        <v/>
      </c>
      <c r="T16" s="0" t="str">
        <f aca="false">IF($A16="","",SUMIFS('Weekly Plan'!$D$6:$D$1505,'Weekly Plan'!$A$6:$A$1505,$A16,'Weekly Plan'!$E$6:$E$1505,"&lt;="&amp;T$2))</f>
        <v/>
      </c>
      <c r="U16" s="0" t="str">
        <f aca="false">IF($A16="","",SUMIFS('Weekly Plan'!$D$6:$D$1505,'Weekly Plan'!$A$6:$A$1505,$A16,'Weekly Plan'!$E$6:$E$1505,"&lt;="&amp;U$2))</f>
        <v/>
      </c>
      <c r="V16" s="0" t="str">
        <f aca="false">IF($A16="","",SUMIFS('Weekly Plan'!$D$6:$D$1505,'Weekly Plan'!$A$6:$A$1505,$A16,'Weekly Plan'!$E$6:$E$1505,"&lt;="&amp;V$2))</f>
        <v/>
      </c>
      <c r="W16" s="0" t="str">
        <f aca="false">IF($A16="","",SUMIFS('Weekly Plan'!$D$6:$D$1505,'Weekly Plan'!$A$6:$A$1505,$A16,'Weekly Plan'!$E$6:$E$1505,"&lt;="&amp;W$2))</f>
        <v/>
      </c>
      <c r="X16" s="0" t="str">
        <f aca="false">IF($A16="","",SUMIFS('Weekly Plan'!$D$6:$D$1505,'Weekly Plan'!$A$6:$A$1505,$A16,'Weekly Plan'!$E$6:$E$1505,"&lt;="&amp;X$2))</f>
        <v/>
      </c>
      <c r="Y16" s="0" t="str">
        <f aca="false">IF($A16="","",SUMIFS('Weekly Plan'!$D$6:$D$1505,'Weekly Plan'!$A$6:$A$1505,$A16,'Weekly Plan'!$E$6:$E$1505,"&lt;="&amp;Y$2))</f>
        <v/>
      </c>
      <c r="Z16" s="0" t="str">
        <f aca="false">IF($A16="","",SUMIFS('Weekly Plan'!$D$6:$D$1505,'Weekly Plan'!$A$6:$A$1505,$A16,'Weekly Plan'!$E$6:$E$1505,"&lt;="&amp;Z$2))</f>
        <v/>
      </c>
      <c r="AA16" s="0" t="str">
        <f aca="false">IF($A16="","",SUMIFS('Weekly Plan'!$D$6:$D$1505,'Weekly Plan'!$A$6:$A$1505,$A16,'Weekly Plan'!$E$6:$E$1505,"&lt;="&amp;AA$2))</f>
        <v/>
      </c>
      <c r="AB16" s="0" t="str">
        <f aca="false">IF($A16="","",SUMIFS('Weekly Plan'!$D$6:$D$1505,'Weekly Plan'!$A$6:$A$1505,$A16,'Weekly Plan'!$E$6:$E$1505,"&lt;="&amp;AB$2))</f>
        <v/>
      </c>
      <c r="AC16" s="0" t="str">
        <f aca="false">IF($A16="","",SUMIFS('Weekly Plan'!$D$6:$D$1505,'Weekly Plan'!$A$6:$A$1505,$A16,'Weekly Plan'!$E$6:$E$1505,"&lt;="&amp;AC$2))</f>
        <v/>
      </c>
      <c r="AD16" s="0" t="str">
        <f aca="false">IF($A16="","",SUMIFS('Weekly Plan'!$D$6:$D$1505,'Weekly Plan'!$A$6:$A$1505,$A16,'Weekly Plan'!$E$6:$E$1505,"&lt;="&amp;AD$2))</f>
        <v/>
      </c>
      <c r="AE16" s="0" t="str">
        <f aca="false">IF($A16="","",SUMIFS('Weekly Plan'!$D$6:$D$1505,'Weekly Plan'!$A$6:$A$1505,$A16,'Weekly Plan'!$E$6:$E$1505,"&lt;="&amp;AE$2))</f>
        <v/>
      </c>
      <c r="AF16" s="0" t="str">
        <f aca="false">IF($A16="","",SUMIFS('Weekly Plan'!$D$6:$D$1505,'Weekly Plan'!$A$6:$A$1505,$A16,'Weekly Plan'!$E$6:$E$1505,"&lt;="&amp;AF$2))</f>
        <v/>
      </c>
      <c r="AG16" s="0" t="str">
        <f aca="false">IF($A16="","",SUMIFS('Weekly Plan'!$D$6:$D$1505,'Weekly Plan'!$A$6:$A$1505,$A16,'Weekly Plan'!$E$6:$E$1505,"&lt;="&amp;AG$2))</f>
        <v/>
      </c>
      <c r="AH16" s="0" t="str">
        <f aca="false">IF($A16="","",SUMIFS('Weekly Plan'!$D$6:$D$1505,'Weekly Plan'!$A$6:$A$1505,$A16,'Weekly Plan'!$E$6:$E$1505,"&lt;="&amp;AH$2))</f>
        <v/>
      </c>
      <c r="AI16" s="0" t="str">
        <f aca="false">IF($A16="","",SUMIFS('Weekly Plan'!$D$6:$D$1505,'Weekly Plan'!$A$6:$A$1505,$A16,'Weekly Plan'!$E$6:$E$1505,"&lt;="&amp;AI$2))</f>
        <v/>
      </c>
      <c r="AJ16" s="0" t="str">
        <f aca="false">IF($A16="","",SUMIFS('Weekly Plan'!$D$6:$D$1505,'Weekly Plan'!$A$6:$A$1505,$A16,'Weekly Plan'!$E$6:$E$1505,"&lt;="&amp;AJ$2))</f>
        <v/>
      </c>
      <c r="AK16" s="0" t="str">
        <f aca="false">IF($A16="","",SUMIFS('Weekly Plan'!$D$6:$D$1505,'Weekly Plan'!$A$6:$A$1505,$A16,'Weekly Plan'!$E$6:$E$1505,"&lt;="&amp;AK$2))</f>
        <v/>
      </c>
      <c r="AL16" s="0" t="str">
        <f aca="false">IF($A16="","",SUMIFS('Weekly Plan'!$D$6:$D$1505,'Weekly Plan'!$A$6:$A$1505,$A16,'Weekly Plan'!$E$6:$E$1505,"&lt;="&amp;AL$2))</f>
        <v/>
      </c>
      <c r="AM16" s="0" t="str">
        <f aca="false">IF($A16="","",SUMIFS('Weekly Plan'!$D$6:$D$1505,'Weekly Plan'!$A$6:$A$1505,$A16,'Weekly Plan'!$E$6:$E$1505,"&lt;="&amp;AM$2))</f>
        <v/>
      </c>
      <c r="AN16" s="0" t="str">
        <f aca="false">IF($A16="","",SUMIFS('Weekly Plan'!$D$6:$D$1505,'Weekly Plan'!$A$6:$A$1505,$A16,'Weekly Plan'!$E$6:$E$1505,"&lt;="&amp;AN$2))</f>
        <v/>
      </c>
      <c r="AO16" s="0" t="str">
        <f aca="false">IF($A16="","",SUMIFS('Weekly Plan'!$D$6:$D$1505,'Weekly Plan'!$A$6:$A$1505,$A16,'Weekly Plan'!$E$6:$E$1505,"&lt;="&amp;AO$2))</f>
        <v/>
      </c>
      <c r="AP16" s="0" t="str">
        <f aca="false">IF($A16="","",SUMIFS('Weekly Plan'!$D$6:$D$1505,'Weekly Plan'!$A$6:$A$1505,$A16,'Weekly Plan'!$E$6:$E$1505,"&lt;="&amp;AP$2))</f>
        <v/>
      </c>
      <c r="AQ16" s="0" t="str">
        <f aca="false">IF($A16="","",SUMIFS('Weekly Plan'!$D$6:$D$1505,'Weekly Plan'!$A$6:$A$1505,$A16,'Weekly Plan'!$E$6:$E$1505,"&lt;="&amp;AQ$2))</f>
        <v/>
      </c>
      <c r="AR16" s="0" t="str">
        <f aca="false">IF($A16="","",SUMIFS('Weekly Plan'!$D$6:$D$1505,'Weekly Plan'!$A$6:$A$1505,$A16,'Weekly Plan'!$E$6:$E$1505,"&lt;="&amp;AR$2))</f>
        <v/>
      </c>
      <c r="AS16" s="0" t="str">
        <f aca="false">IF($A16="","",SUMIFS('Weekly Plan'!$D$6:$D$1505,'Weekly Plan'!$A$6:$A$1505,$A16,'Weekly Plan'!$E$6:$E$1505,"&lt;="&amp;AS$2))</f>
        <v/>
      </c>
      <c r="AT16" s="0" t="str">
        <f aca="false">IF($A16="","",SUMIFS('Weekly Plan'!$D$6:$D$1505,'Weekly Plan'!$A$6:$A$1505,$A16,'Weekly Plan'!$E$6:$E$1505,"&lt;="&amp;AT$2))</f>
        <v/>
      </c>
      <c r="AU16" s="0" t="str">
        <f aca="false">IF($A16="","",SUMIFS('Weekly Plan'!$D$6:$D$1505,'Weekly Plan'!$A$6:$A$1505,$A16,'Weekly Plan'!$E$6:$E$1505,"&lt;="&amp;AU$2))</f>
        <v/>
      </c>
      <c r="AV16" s="0" t="str">
        <f aca="false">IF($A16="","",SUMIFS('Weekly Plan'!$D$6:$D$1505,'Weekly Plan'!$A$6:$A$1505,$A16,'Weekly Plan'!$E$6:$E$1505,"&lt;="&amp;AV$2))</f>
        <v/>
      </c>
      <c r="AW16" s="0" t="str">
        <f aca="false">IF($A16="","",SUMIFS('Weekly Plan'!$D$6:$D$1505,'Weekly Plan'!$A$6:$A$1505,$A16,'Weekly Plan'!$E$6:$E$1505,"&lt;="&amp;AW$2))</f>
        <v/>
      </c>
      <c r="AX16" s="0" t="str">
        <f aca="false">IF($A16="","",SUMIFS('Weekly Plan'!$D$6:$D$1505,'Weekly Plan'!$A$6:$A$1505,$A16,'Weekly Plan'!$E$6:$E$1505,"&lt;="&amp;AX$2))</f>
        <v/>
      </c>
      <c r="AY16" s="0" t="str">
        <f aca="false">IF($A16="","",SUMIFS('Weekly Plan'!$D$6:$D$1505,'Weekly Plan'!$A$6:$A$1505,$A16,'Weekly Plan'!$E$6:$E$1505,"&lt;="&amp;AY$2))</f>
        <v/>
      </c>
      <c r="AZ16" s="0" t="str">
        <f aca="false">IF($A16="","",SUMIFS('Weekly Plan'!$D$6:$D$1505,'Weekly Plan'!$A$6:$A$1505,$A16,'Weekly Plan'!$E$6:$E$1505,"&lt;="&amp;AZ$2))</f>
        <v/>
      </c>
      <c r="BA16" s="0" t="str">
        <f aca="false">IF($A16="","",SUMIFS('Weekly Plan'!$D$6:$D$1505,'Weekly Plan'!$A$6:$A$1505,$A16,'Weekly Plan'!$E$6:$E$1505,"&lt;="&amp;BA$2))</f>
        <v/>
      </c>
      <c r="BB16" s="0" t="str">
        <f aca="false">IF($A16="","",SUMIFS('Weekly Plan'!$D$6:$D$1505,'Weekly Plan'!$A$6:$A$1505,$A16,'Weekly Plan'!$E$6:$E$1505,"&lt;="&amp;BB$2))</f>
        <v/>
      </c>
      <c r="BC16" s="0" t="str">
        <f aca="false">IF($A16="","",SUMIFS('Weekly Plan'!$D$6:$D$1505,'Weekly Plan'!$A$6:$A$1505,$A16,'Weekly Plan'!$E$6:$E$1505,"&lt;="&amp;BC$2))</f>
        <v/>
      </c>
      <c r="BD16" s="0" t="str">
        <f aca="false">IF($A16="","",SUMIFS('Weekly Plan'!$D$6:$D$1505,'Weekly Plan'!$A$6:$A$1505,$A16,'Weekly Plan'!$E$6:$E$1505,"&lt;="&amp;BD$2))</f>
        <v/>
      </c>
    </row>
    <row r="17" customFormat="false" ht="15" hidden="false" customHeight="false" outlineLevel="0" collapsed="false">
      <c r="A17" s="0" t="n">
        <f aca="false">Contracts!$A$19</f>
        <v>0</v>
      </c>
      <c r="B17" s="0" t="str">
        <f aca="false">IF($A17="","",SUMIFS('Weekly Plan'!$D$6:$D$1505,'Weekly Plan'!$A$6:$A$1505,$A17,'Weekly Plan'!$E$6:$E$1505,"&lt;="&amp;B$2))</f>
        <v/>
      </c>
      <c r="C17" s="0" t="str">
        <f aca="false">IF($A17="","",SUMIFS('Weekly Plan'!$D$6:$D$1505,'Weekly Plan'!$A$6:$A$1505,$A17,'Weekly Plan'!$E$6:$E$1505,"&lt;="&amp;C$2))</f>
        <v/>
      </c>
      <c r="D17" s="0" t="str">
        <f aca="false">IF($A17="","",SUMIFS('Weekly Plan'!$D$6:$D$1505,'Weekly Plan'!$A$6:$A$1505,$A17,'Weekly Plan'!$E$6:$E$1505,"&lt;="&amp;D$2))</f>
        <v/>
      </c>
      <c r="E17" s="0" t="str">
        <f aca="false">IF($A17="","",SUMIFS('Weekly Plan'!$D$6:$D$1505,'Weekly Plan'!$A$6:$A$1505,$A17,'Weekly Plan'!$E$6:$E$1505,"&lt;="&amp;E$2))</f>
        <v/>
      </c>
      <c r="F17" s="0" t="str">
        <f aca="false">IF($A17="","",SUMIFS('Weekly Plan'!$D$6:$D$1505,'Weekly Plan'!$A$6:$A$1505,$A17,'Weekly Plan'!$E$6:$E$1505,"&lt;="&amp;F$2))</f>
        <v/>
      </c>
      <c r="G17" s="0" t="str">
        <f aca="false">IF($A17="","",SUMIFS('Weekly Plan'!$D$6:$D$1505,'Weekly Plan'!$A$6:$A$1505,$A17,'Weekly Plan'!$E$6:$E$1505,"&lt;="&amp;G$2))</f>
        <v/>
      </c>
      <c r="H17" s="0" t="str">
        <f aca="false">IF($A17="","",SUMIFS('Weekly Plan'!$D$6:$D$1505,'Weekly Plan'!$A$6:$A$1505,$A17,'Weekly Plan'!$E$6:$E$1505,"&lt;="&amp;H$2))</f>
        <v/>
      </c>
      <c r="I17" s="0" t="str">
        <f aca="false">IF($A17="","",SUMIFS('Weekly Plan'!$D$6:$D$1505,'Weekly Plan'!$A$6:$A$1505,$A17,'Weekly Plan'!$E$6:$E$1505,"&lt;="&amp;I$2))</f>
        <v/>
      </c>
      <c r="J17" s="0" t="str">
        <f aca="false">IF($A17="","",SUMIFS('Weekly Plan'!$D$6:$D$1505,'Weekly Plan'!$A$6:$A$1505,$A17,'Weekly Plan'!$E$6:$E$1505,"&lt;="&amp;J$2))</f>
        <v/>
      </c>
      <c r="K17" s="0" t="str">
        <f aca="false">IF($A17="","",SUMIFS('Weekly Plan'!$D$6:$D$1505,'Weekly Plan'!$A$6:$A$1505,$A17,'Weekly Plan'!$E$6:$E$1505,"&lt;="&amp;K$2))</f>
        <v/>
      </c>
      <c r="L17" s="0" t="str">
        <f aca="false">IF($A17="","",SUMIFS('Weekly Plan'!$D$6:$D$1505,'Weekly Plan'!$A$6:$A$1505,$A17,'Weekly Plan'!$E$6:$E$1505,"&lt;="&amp;L$2))</f>
        <v/>
      </c>
      <c r="M17" s="0" t="str">
        <f aca="false">IF($A17="","",SUMIFS('Weekly Plan'!$D$6:$D$1505,'Weekly Plan'!$A$6:$A$1505,$A17,'Weekly Plan'!$E$6:$E$1505,"&lt;="&amp;M$2))</f>
        <v/>
      </c>
      <c r="N17" s="0" t="str">
        <f aca="false">IF($A17="","",SUMIFS('Weekly Plan'!$D$6:$D$1505,'Weekly Plan'!$A$6:$A$1505,$A17,'Weekly Plan'!$E$6:$E$1505,"&lt;="&amp;N$2))</f>
        <v/>
      </c>
      <c r="O17" s="0" t="str">
        <f aca="false">IF($A17="","",SUMIFS('Weekly Plan'!$D$6:$D$1505,'Weekly Plan'!$A$6:$A$1505,$A17,'Weekly Plan'!$E$6:$E$1505,"&lt;="&amp;O$2))</f>
        <v/>
      </c>
      <c r="P17" s="0" t="str">
        <f aca="false">IF($A17="","",SUMIFS('Weekly Plan'!$D$6:$D$1505,'Weekly Plan'!$A$6:$A$1505,$A17,'Weekly Plan'!$E$6:$E$1505,"&lt;="&amp;P$2))</f>
        <v/>
      </c>
      <c r="Q17" s="0" t="str">
        <f aca="false">IF($A17="","",SUMIFS('Weekly Plan'!$D$6:$D$1505,'Weekly Plan'!$A$6:$A$1505,$A17,'Weekly Plan'!$E$6:$E$1505,"&lt;="&amp;Q$2))</f>
        <v/>
      </c>
      <c r="R17" s="0" t="str">
        <f aca="false">IF($A17="","",SUMIFS('Weekly Plan'!$D$6:$D$1505,'Weekly Plan'!$A$6:$A$1505,$A17,'Weekly Plan'!$E$6:$E$1505,"&lt;="&amp;R$2))</f>
        <v/>
      </c>
      <c r="S17" s="0" t="str">
        <f aca="false">IF($A17="","",SUMIFS('Weekly Plan'!$D$6:$D$1505,'Weekly Plan'!$A$6:$A$1505,$A17,'Weekly Plan'!$E$6:$E$1505,"&lt;="&amp;S$2))</f>
        <v/>
      </c>
      <c r="T17" s="0" t="str">
        <f aca="false">IF($A17="","",SUMIFS('Weekly Plan'!$D$6:$D$1505,'Weekly Plan'!$A$6:$A$1505,$A17,'Weekly Plan'!$E$6:$E$1505,"&lt;="&amp;T$2))</f>
        <v/>
      </c>
      <c r="U17" s="0" t="str">
        <f aca="false">IF($A17="","",SUMIFS('Weekly Plan'!$D$6:$D$1505,'Weekly Plan'!$A$6:$A$1505,$A17,'Weekly Plan'!$E$6:$E$1505,"&lt;="&amp;U$2))</f>
        <v/>
      </c>
      <c r="V17" s="0" t="str">
        <f aca="false">IF($A17="","",SUMIFS('Weekly Plan'!$D$6:$D$1505,'Weekly Plan'!$A$6:$A$1505,$A17,'Weekly Plan'!$E$6:$E$1505,"&lt;="&amp;V$2))</f>
        <v/>
      </c>
      <c r="W17" s="0" t="str">
        <f aca="false">IF($A17="","",SUMIFS('Weekly Plan'!$D$6:$D$1505,'Weekly Plan'!$A$6:$A$1505,$A17,'Weekly Plan'!$E$6:$E$1505,"&lt;="&amp;W$2))</f>
        <v/>
      </c>
      <c r="X17" s="0" t="str">
        <f aca="false">IF($A17="","",SUMIFS('Weekly Plan'!$D$6:$D$1505,'Weekly Plan'!$A$6:$A$1505,$A17,'Weekly Plan'!$E$6:$E$1505,"&lt;="&amp;X$2))</f>
        <v/>
      </c>
      <c r="Y17" s="0" t="str">
        <f aca="false">IF($A17="","",SUMIFS('Weekly Plan'!$D$6:$D$1505,'Weekly Plan'!$A$6:$A$1505,$A17,'Weekly Plan'!$E$6:$E$1505,"&lt;="&amp;Y$2))</f>
        <v/>
      </c>
      <c r="Z17" s="0" t="str">
        <f aca="false">IF($A17="","",SUMIFS('Weekly Plan'!$D$6:$D$1505,'Weekly Plan'!$A$6:$A$1505,$A17,'Weekly Plan'!$E$6:$E$1505,"&lt;="&amp;Z$2))</f>
        <v/>
      </c>
      <c r="AA17" s="0" t="str">
        <f aca="false">IF($A17="","",SUMIFS('Weekly Plan'!$D$6:$D$1505,'Weekly Plan'!$A$6:$A$1505,$A17,'Weekly Plan'!$E$6:$E$1505,"&lt;="&amp;AA$2))</f>
        <v/>
      </c>
      <c r="AB17" s="0" t="str">
        <f aca="false">IF($A17="","",SUMIFS('Weekly Plan'!$D$6:$D$1505,'Weekly Plan'!$A$6:$A$1505,$A17,'Weekly Plan'!$E$6:$E$1505,"&lt;="&amp;AB$2))</f>
        <v/>
      </c>
      <c r="AC17" s="0" t="str">
        <f aca="false">IF($A17="","",SUMIFS('Weekly Plan'!$D$6:$D$1505,'Weekly Plan'!$A$6:$A$1505,$A17,'Weekly Plan'!$E$6:$E$1505,"&lt;="&amp;AC$2))</f>
        <v/>
      </c>
      <c r="AD17" s="0" t="str">
        <f aca="false">IF($A17="","",SUMIFS('Weekly Plan'!$D$6:$D$1505,'Weekly Plan'!$A$6:$A$1505,$A17,'Weekly Plan'!$E$6:$E$1505,"&lt;="&amp;AD$2))</f>
        <v/>
      </c>
      <c r="AE17" s="0" t="str">
        <f aca="false">IF($A17="","",SUMIFS('Weekly Plan'!$D$6:$D$1505,'Weekly Plan'!$A$6:$A$1505,$A17,'Weekly Plan'!$E$6:$E$1505,"&lt;="&amp;AE$2))</f>
        <v/>
      </c>
      <c r="AF17" s="0" t="str">
        <f aca="false">IF($A17="","",SUMIFS('Weekly Plan'!$D$6:$D$1505,'Weekly Plan'!$A$6:$A$1505,$A17,'Weekly Plan'!$E$6:$E$1505,"&lt;="&amp;AF$2))</f>
        <v/>
      </c>
      <c r="AG17" s="0" t="str">
        <f aca="false">IF($A17="","",SUMIFS('Weekly Plan'!$D$6:$D$1505,'Weekly Plan'!$A$6:$A$1505,$A17,'Weekly Plan'!$E$6:$E$1505,"&lt;="&amp;AG$2))</f>
        <v/>
      </c>
      <c r="AH17" s="0" t="str">
        <f aca="false">IF($A17="","",SUMIFS('Weekly Plan'!$D$6:$D$1505,'Weekly Plan'!$A$6:$A$1505,$A17,'Weekly Plan'!$E$6:$E$1505,"&lt;="&amp;AH$2))</f>
        <v/>
      </c>
      <c r="AI17" s="0" t="str">
        <f aca="false">IF($A17="","",SUMIFS('Weekly Plan'!$D$6:$D$1505,'Weekly Plan'!$A$6:$A$1505,$A17,'Weekly Plan'!$E$6:$E$1505,"&lt;="&amp;AI$2))</f>
        <v/>
      </c>
      <c r="AJ17" s="0" t="str">
        <f aca="false">IF($A17="","",SUMIFS('Weekly Plan'!$D$6:$D$1505,'Weekly Plan'!$A$6:$A$1505,$A17,'Weekly Plan'!$E$6:$E$1505,"&lt;="&amp;AJ$2))</f>
        <v/>
      </c>
      <c r="AK17" s="0" t="str">
        <f aca="false">IF($A17="","",SUMIFS('Weekly Plan'!$D$6:$D$1505,'Weekly Plan'!$A$6:$A$1505,$A17,'Weekly Plan'!$E$6:$E$1505,"&lt;="&amp;AK$2))</f>
        <v/>
      </c>
      <c r="AL17" s="0" t="str">
        <f aca="false">IF($A17="","",SUMIFS('Weekly Plan'!$D$6:$D$1505,'Weekly Plan'!$A$6:$A$1505,$A17,'Weekly Plan'!$E$6:$E$1505,"&lt;="&amp;AL$2))</f>
        <v/>
      </c>
      <c r="AM17" s="0" t="str">
        <f aca="false">IF($A17="","",SUMIFS('Weekly Plan'!$D$6:$D$1505,'Weekly Plan'!$A$6:$A$1505,$A17,'Weekly Plan'!$E$6:$E$1505,"&lt;="&amp;AM$2))</f>
        <v/>
      </c>
      <c r="AN17" s="0" t="str">
        <f aca="false">IF($A17="","",SUMIFS('Weekly Plan'!$D$6:$D$1505,'Weekly Plan'!$A$6:$A$1505,$A17,'Weekly Plan'!$E$6:$E$1505,"&lt;="&amp;AN$2))</f>
        <v/>
      </c>
      <c r="AO17" s="0" t="str">
        <f aca="false">IF($A17="","",SUMIFS('Weekly Plan'!$D$6:$D$1505,'Weekly Plan'!$A$6:$A$1505,$A17,'Weekly Plan'!$E$6:$E$1505,"&lt;="&amp;AO$2))</f>
        <v/>
      </c>
      <c r="AP17" s="0" t="str">
        <f aca="false">IF($A17="","",SUMIFS('Weekly Plan'!$D$6:$D$1505,'Weekly Plan'!$A$6:$A$1505,$A17,'Weekly Plan'!$E$6:$E$1505,"&lt;="&amp;AP$2))</f>
        <v/>
      </c>
      <c r="AQ17" s="0" t="str">
        <f aca="false">IF($A17="","",SUMIFS('Weekly Plan'!$D$6:$D$1505,'Weekly Plan'!$A$6:$A$1505,$A17,'Weekly Plan'!$E$6:$E$1505,"&lt;="&amp;AQ$2))</f>
        <v/>
      </c>
      <c r="AR17" s="0" t="str">
        <f aca="false">IF($A17="","",SUMIFS('Weekly Plan'!$D$6:$D$1505,'Weekly Plan'!$A$6:$A$1505,$A17,'Weekly Plan'!$E$6:$E$1505,"&lt;="&amp;AR$2))</f>
        <v/>
      </c>
      <c r="AS17" s="0" t="str">
        <f aca="false">IF($A17="","",SUMIFS('Weekly Plan'!$D$6:$D$1505,'Weekly Plan'!$A$6:$A$1505,$A17,'Weekly Plan'!$E$6:$E$1505,"&lt;="&amp;AS$2))</f>
        <v/>
      </c>
      <c r="AT17" s="0" t="str">
        <f aca="false">IF($A17="","",SUMIFS('Weekly Plan'!$D$6:$D$1505,'Weekly Plan'!$A$6:$A$1505,$A17,'Weekly Plan'!$E$6:$E$1505,"&lt;="&amp;AT$2))</f>
        <v/>
      </c>
      <c r="AU17" s="0" t="str">
        <f aca="false">IF($A17="","",SUMIFS('Weekly Plan'!$D$6:$D$1505,'Weekly Plan'!$A$6:$A$1505,$A17,'Weekly Plan'!$E$6:$E$1505,"&lt;="&amp;AU$2))</f>
        <v/>
      </c>
      <c r="AV17" s="0" t="str">
        <f aca="false">IF($A17="","",SUMIFS('Weekly Plan'!$D$6:$D$1505,'Weekly Plan'!$A$6:$A$1505,$A17,'Weekly Plan'!$E$6:$E$1505,"&lt;="&amp;AV$2))</f>
        <v/>
      </c>
      <c r="AW17" s="0" t="str">
        <f aca="false">IF($A17="","",SUMIFS('Weekly Plan'!$D$6:$D$1505,'Weekly Plan'!$A$6:$A$1505,$A17,'Weekly Plan'!$E$6:$E$1505,"&lt;="&amp;AW$2))</f>
        <v/>
      </c>
      <c r="AX17" s="0" t="str">
        <f aca="false">IF($A17="","",SUMIFS('Weekly Plan'!$D$6:$D$1505,'Weekly Plan'!$A$6:$A$1505,$A17,'Weekly Plan'!$E$6:$E$1505,"&lt;="&amp;AX$2))</f>
        <v/>
      </c>
      <c r="AY17" s="0" t="str">
        <f aca="false">IF($A17="","",SUMIFS('Weekly Plan'!$D$6:$D$1505,'Weekly Plan'!$A$6:$A$1505,$A17,'Weekly Plan'!$E$6:$E$1505,"&lt;="&amp;AY$2))</f>
        <v/>
      </c>
      <c r="AZ17" s="0" t="str">
        <f aca="false">IF($A17="","",SUMIFS('Weekly Plan'!$D$6:$D$1505,'Weekly Plan'!$A$6:$A$1505,$A17,'Weekly Plan'!$E$6:$E$1505,"&lt;="&amp;AZ$2))</f>
        <v/>
      </c>
      <c r="BA17" s="0" t="str">
        <f aca="false">IF($A17="","",SUMIFS('Weekly Plan'!$D$6:$D$1505,'Weekly Plan'!$A$6:$A$1505,$A17,'Weekly Plan'!$E$6:$E$1505,"&lt;="&amp;BA$2))</f>
        <v/>
      </c>
      <c r="BB17" s="0" t="str">
        <f aca="false">IF($A17="","",SUMIFS('Weekly Plan'!$D$6:$D$1505,'Weekly Plan'!$A$6:$A$1505,$A17,'Weekly Plan'!$E$6:$E$1505,"&lt;="&amp;BB$2))</f>
        <v/>
      </c>
      <c r="BC17" s="0" t="str">
        <f aca="false">IF($A17="","",SUMIFS('Weekly Plan'!$D$6:$D$1505,'Weekly Plan'!$A$6:$A$1505,$A17,'Weekly Plan'!$E$6:$E$1505,"&lt;="&amp;BC$2))</f>
        <v/>
      </c>
      <c r="BD17" s="0" t="str">
        <f aca="false">IF($A17="","",SUMIFS('Weekly Plan'!$D$6:$D$1505,'Weekly Plan'!$A$6:$A$1505,$A17,'Weekly Plan'!$E$6:$E$1505,"&lt;="&amp;BD$2))</f>
        <v/>
      </c>
    </row>
    <row r="18" customFormat="false" ht="15" hidden="false" customHeight="false" outlineLevel="0" collapsed="false">
      <c r="A18" s="0" t="n">
        <f aca="false">Contracts!$A$20</f>
        <v>0</v>
      </c>
      <c r="B18" s="0" t="str">
        <f aca="false">IF($A18="","",SUMIFS('Weekly Plan'!$D$6:$D$1505,'Weekly Plan'!$A$6:$A$1505,$A18,'Weekly Plan'!$E$6:$E$1505,"&lt;="&amp;B$2))</f>
        <v/>
      </c>
      <c r="C18" s="0" t="str">
        <f aca="false">IF($A18="","",SUMIFS('Weekly Plan'!$D$6:$D$1505,'Weekly Plan'!$A$6:$A$1505,$A18,'Weekly Plan'!$E$6:$E$1505,"&lt;="&amp;C$2))</f>
        <v/>
      </c>
      <c r="D18" s="0" t="str">
        <f aca="false">IF($A18="","",SUMIFS('Weekly Plan'!$D$6:$D$1505,'Weekly Plan'!$A$6:$A$1505,$A18,'Weekly Plan'!$E$6:$E$1505,"&lt;="&amp;D$2))</f>
        <v/>
      </c>
      <c r="E18" s="0" t="str">
        <f aca="false">IF($A18="","",SUMIFS('Weekly Plan'!$D$6:$D$1505,'Weekly Plan'!$A$6:$A$1505,$A18,'Weekly Plan'!$E$6:$E$1505,"&lt;="&amp;E$2))</f>
        <v/>
      </c>
      <c r="F18" s="0" t="str">
        <f aca="false">IF($A18="","",SUMIFS('Weekly Plan'!$D$6:$D$1505,'Weekly Plan'!$A$6:$A$1505,$A18,'Weekly Plan'!$E$6:$E$1505,"&lt;="&amp;F$2))</f>
        <v/>
      </c>
      <c r="G18" s="0" t="str">
        <f aca="false">IF($A18="","",SUMIFS('Weekly Plan'!$D$6:$D$1505,'Weekly Plan'!$A$6:$A$1505,$A18,'Weekly Plan'!$E$6:$E$1505,"&lt;="&amp;G$2))</f>
        <v/>
      </c>
      <c r="H18" s="0" t="str">
        <f aca="false">IF($A18="","",SUMIFS('Weekly Plan'!$D$6:$D$1505,'Weekly Plan'!$A$6:$A$1505,$A18,'Weekly Plan'!$E$6:$E$1505,"&lt;="&amp;H$2))</f>
        <v/>
      </c>
      <c r="I18" s="0" t="str">
        <f aca="false">IF($A18="","",SUMIFS('Weekly Plan'!$D$6:$D$1505,'Weekly Plan'!$A$6:$A$1505,$A18,'Weekly Plan'!$E$6:$E$1505,"&lt;="&amp;I$2))</f>
        <v/>
      </c>
      <c r="J18" s="0" t="str">
        <f aca="false">IF($A18="","",SUMIFS('Weekly Plan'!$D$6:$D$1505,'Weekly Plan'!$A$6:$A$1505,$A18,'Weekly Plan'!$E$6:$E$1505,"&lt;="&amp;J$2))</f>
        <v/>
      </c>
      <c r="K18" s="0" t="str">
        <f aca="false">IF($A18="","",SUMIFS('Weekly Plan'!$D$6:$D$1505,'Weekly Plan'!$A$6:$A$1505,$A18,'Weekly Plan'!$E$6:$E$1505,"&lt;="&amp;K$2))</f>
        <v/>
      </c>
      <c r="L18" s="0" t="str">
        <f aca="false">IF($A18="","",SUMIFS('Weekly Plan'!$D$6:$D$1505,'Weekly Plan'!$A$6:$A$1505,$A18,'Weekly Plan'!$E$6:$E$1505,"&lt;="&amp;L$2))</f>
        <v/>
      </c>
      <c r="M18" s="0" t="str">
        <f aca="false">IF($A18="","",SUMIFS('Weekly Plan'!$D$6:$D$1505,'Weekly Plan'!$A$6:$A$1505,$A18,'Weekly Plan'!$E$6:$E$1505,"&lt;="&amp;M$2))</f>
        <v/>
      </c>
      <c r="N18" s="0" t="str">
        <f aca="false">IF($A18="","",SUMIFS('Weekly Plan'!$D$6:$D$1505,'Weekly Plan'!$A$6:$A$1505,$A18,'Weekly Plan'!$E$6:$E$1505,"&lt;="&amp;N$2))</f>
        <v/>
      </c>
      <c r="O18" s="0" t="str">
        <f aca="false">IF($A18="","",SUMIFS('Weekly Plan'!$D$6:$D$1505,'Weekly Plan'!$A$6:$A$1505,$A18,'Weekly Plan'!$E$6:$E$1505,"&lt;="&amp;O$2))</f>
        <v/>
      </c>
      <c r="P18" s="0" t="str">
        <f aca="false">IF($A18="","",SUMIFS('Weekly Plan'!$D$6:$D$1505,'Weekly Plan'!$A$6:$A$1505,$A18,'Weekly Plan'!$E$6:$E$1505,"&lt;="&amp;P$2))</f>
        <v/>
      </c>
      <c r="Q18" s="0" t="str">
        <f aca="false">IF($A18="","",SUMIFS('Weekly Plan'!$D$6:$D$1505,'Weekly Plan'!$A$6:$A$1505,$A18,'Weekly Plan'!$E$6:$E$1505,"&lt;="&amp;Q$2))</f>
        <v/>
      </c>
      <c r="R18" s="0" t="str">
        <f aca="false">IF($A18="","",SUMIFS('Weekly Plan'!$D$6:$D$1505,'Weekly Plan'!$A$6:$A$1505,$A18,'Weekly Plan'!$E$6:$E$1505,"&lt;="&amp;R$2))</f>
        <v/>
      </c>
      <c r="S18" s="0" t="str">
        <f aca="false">IF($A18="","",SUMIFS('Weekly Plan'!$D$6:$D$1505,'Weekly Plan'!$A$6:$A$1505,$A18,'Weekly Plan'!$E$6:$E$1505,"&lt;="&amp;S$2))</f>
        <v/>
      </c>
      <c r="T18" s="0" t="str">
        <f aca="false">IF($A18="","",SUMIFS('Weekly Plan'!$D$6:$D$1505,'Weekly Plan'!$A$6:$A$1505,$A18,'Weekly Plan'!$E$6:$E$1505,"&lt;="&amp;T$2))</f>
        <v/>
      </c>
      <c r="U18" s="0" t="str">
        <f aca="false">IF($A18="","",SUMIFS('Weekly Plan'!$D$6:$D$1505,'Weekly Plan'!$A$6:$A$1505,$A18,'Weekly Plan'!$E$6:$E$1505,"&lt;="&amp;U$2))</f>
        <v/>
      </c>
      <c r="V18" s="0" t="str">
        <f aca="false">IF($A18="","",SUMIFS('Weekly Plan'!$D$6:$D$1505,'Weekly Plan'!$A$6:$A$1505,$A18,'Weekly Plan'!$E$6:$E$1505,"&lt;="&amp;V$2))</f>
        <v/>
      </c>
      <c r="W18" s="0" t="str">
        <f aca="false">IF($A18="","",SUMIFS('Weekly Plan'!$D$6:$D$1505,'Weekly Plan'!$A$6:$A$1505,$A18,'Weekly Plan'!$E$6:$E$1505,"&lt;="&amp;W$2))</f>
        <v/>
      </c>
      <c r="X18" s="0" t="str">
        <f aca="false">IF($A18="","",SUMIFS('Weekly Plan'!$D$6:$D$1505,'Weekly Plan'!$A$6:$A$1505,$A18,'Weekly Plan'!$E$6:$E$1505,"&lt;="&amp;X$2))</f>
        <v/>
      </c>
      <c r="Y18" s="0" t="str">
        <f aca="false">IF($A18="","",SUMIFS('Weekly Plan'!$D$6:$D$1505,'Weekly Plan'!$A$6:$A$1505,$A18,'Weekly Plan'!$E$6:$E$1505,"&lt;="&amp;Y$2))</f>
        <v/>
      </c>
      <c r="Z18" s="0" t="str">
        <f aca="false">IF($A18="","",SUMIFS('Weekly Plan'!$D$6:$D$1505,'Weekly Plan'!$A$6:$A$1505,$A18,'Weekly Plan'!$E$6:$E$1505,"&lt;="&amp;Z$2))</f>
        <v/>
      </c>
      <c r="AA18" s="0" t="str">
        <f aca="false">IF($A18="","",SUMIFS('Weekly Plan'!$D$6:$D$1505,'Weekly Plan'!$A$6:$A$1505,$A18,'Weekly Plan'!$E$6:$E$1505,"&lt;="&amp;AA$2))</f>
        <v/>
      </c>
      <c r="AB18" s="0" t="str">
        <f aca="false">IF($A18="","",SUMIFS('Weekly Plan'!$D$6:$D$1505,'Weekly Plan'!$A$6:$A$1505,$A18,'Weekly Plan'!$E$6:$E$1505,"&lt;="&amp;AB$2))</f>
        <v/>
      </c>
      <c r="AC18" s="0" t="str">
        <f aca="false">IF($A18="","",SUMIFS('Weekly Plan'!$D$6:$D$1505,'Weekly Plan'!$A$6:$A$1505,$A18,'Weekly Plan'!$E$6:$E$1505,"&lt;="&amp;AC$2))</f>
        <v/>
      </c>
      <c r="AD18" s="0" t="str">
        <f aca="false">IF($A18="","",SUMIFS('Weekly Plan'!$D$6:$D$1505,'Weekly Plan'!$A$6:$A$1505,$A18,'Weekly Plan'!$E$6:$E$1505,"&lt;="&amp;AD$2))</f>
        <v/>
      </c>
      <c r="AE18" s="0" t="str">
        <f aca="false">IF($A18="","",SUMIFS('Weekly Plan'!$D$6:$D$1505,'Weekly Plan'!$A$6:$A$1505,$A18,'Weekly Plan'!$E$6:$E$1505,"&lt;="&amp;AE$2))</f>
        <v/>
      </c>
      <c r="AF18" s="0" t="str">
        <f aca="false">IF($A18="","",SUMIFS('Weekly Plan'!$D$6:$D$1505,'Weekly Plan'!$A$6:$A$1505,$A18,'Weekly Plan'!$E$6:$E$1505,"&lt;="&amp;AF$2))</f>
        <v/>
      </c>
      <c r="AG18" s="0" t="str">
        <f aca="false">IF($A18="","",SUMIFS('Weekly Plan'!$D$6:$D$1505,'Weekly Plan'!$A$6:$A$1505,$A18,'Weekly Plan'!$E$6:$E$1505,"&lt;="&amp;AG$2))</f>
        <v/>
      </c>
      <c r="AH18" s="0" t="str">
        <f aca="false">IF($A18="","",SUMIFS('Weekly Plan'!$D$6:$D$1505,'Weekly Plan'!$A$6:$A$1505,$A18,'Weekly Plan'!$E$6:$E$1505,"&lt;="&amp;AH$2))</f>
        <v/>
      </c>
      <c r="AI18" s="0" t="str">
        <f aca="false">IF($A18="","",SUMIFS('Weekly Plan'!$D$6:$D$1505,'Weekly Plan'!$A$6:$A$1505,$A18,'Weekly Plan'!$E$6:$E$1505,"&lt;="&amp;AI$2))</f>
        <v/>
      </c>
      <c r="AJ18" s="0" t="str">
        <f aca="false">IF($A18="","",SUMIFS('Weekly Plan'!$D$6:$D$1505,'Weekly Plan'!$A$6:$A$1505,$A18,'Weekly Plan'!$E$6:$E$1505,"&lt;="&amp;AJ$2))</f>
        <v/>
      </c>
      <c r="AK18" s="0" t="str">
        <f aca="false">IF($A18="","",SUMIFS('Weekly Plan'!$D$6:$D$1505,'Weekly Plan'!$A$6:$A$1505,$A18,'Weekly Plan'!$E$6:$E$1505,"&lt;="&amp;AK$2))</f>
        <v/>
      </c>
      <c r="AL18" s="0" t="str">
        <f aca="false">IF($A18="","",SUMIFS('Weekly Plan'!$D$6:$D$1505,'Weekly Plan'!$A$6:$A$1505,$A18,'Weekly Plan'!$E$6:$E$1505,"&lt;="&amp;AL$2))</f>
        <v/>
      </c>
      <c r="AM18" s="0" t="str">
        <f aca="false">IF($A18="","",SUMIFS('Weekly Plan'!$D$6:$D$1505,'Weekly Plan'!$A$6:$A$1505,$A18,'Weekly Plan'!$E$6:$E$1505,"&lt;="&amp;AM$2))</f>
        <v/>
      </c>
      <c r="AN18" s="0" t="str">
        <f aca="false">IF($A18="","",SUMIFS('Weekly Plan'!$D$6:$D$1505,'Weekly Plan'!$A$6:$A$1505,$A18,'Weekly Plan'!$E$6:$E$1505,"&lt;="&amp;AN$2))</f>
        <v/>
      </c>
      <c r="AO18" s="0" t="str">
        <f aca="false">IF($A18="","",SUMIFS('Weekly Plan'!$D$6:$D$1505,'Weekly Plan'!$A$6:$A$1505,$A18,'Weekly Plan'!$E$6:$E$1505,"&lt;="&amp;AO$2))</f>
        <v/>
      </c>
      <c r="AP18" s="0" t="str">
        <f aca="false">IF($A18="","",SUMIFS('Weekly Plan'!$D$6:$D$1505,'Weekly Plan'!$A$6:$A$1505,$A18,'Weekly Plan'!$E$6:$E$1505,"&lt;="&amp;AP$2))</f>
        <v/>
      </c>
      <c r="AQ18" s="0" t="str">
        <f aca="false">IF($A18="","",SUMIFS('Weekly Plan'!$D$6:$D$1505,'Weekly Plan'!$A$6:$A$1505,$A18,'Weekly Plan'!$E$6:$E$1505,"&lt;="&amp;AQ$2))</f>
        <v/>
      </c>
      <c r="AR18" s="0" t="str">
        <f aca="false">IF($A18="","",SUMIFS('Weekly Plan'!$D$6:$D$1505,'Weekly Plan'!$A$6:$A$1505,$A18,'Weekly Plan'!$E$6:$E$1505,"&lt;="&amp;AR$2))</f>
        <v/>
      </c>
      <c r="AS18" s="0" t="str">
        <f aca="false">IF($A18="","",SUMIFS('Weekly Plan'!$D$6:$D$1505,'Weekly Plan'!$A$6:$A$1505,$A18,'Weekly Plan'!$E$6:$E$1505,"&lt;="&amp;AS$2))</f>
        <v/>
      </c>
      <c r="AT18" s="0" t="str">
        <f aca="false">IF($A18="","",SUMIFS('Weekly Plan'!$D$6:$D$1505,'Weekly Plan'!$A$6:$A$1505,$A18,'Weekly Plan'!$E$6:$E$1505,"&lt;="&amp;AT$2))</f>
        <v/>
      </c>
      <c r="AU18" s="0" t="str">
        <f aca="false">IF($A18="","",SUMIFS('Weekly Plan'!$D$6:$D$1505,'Weekly Plan'!$A$6:$A$1505,$A18,'Weekly Plan'!$E$6:$E$1505,"&lt;="&amp;AU$2))</f>
        <v/>
      </c>
      <c r="AV18" s="0" t="str">
        <f aca="false">IF($A18="","",SUMIFS('Weekly Plan'!$D$6:$D$1505,'Weekly Plan'!$A$6:$A$1505,$A18,'Weekly Plan'!$E$6:$E$1505,"&lt;="&amp;AV$2))</f>
        <v/>
      </c>
      <c r="AW18" s="0" t="str">
        <f aca="false">IF($A18="","",SUMIFS('Weekly Plan'!$D$6:$D$1505,'Weekly Plan'!$A$6:$A$1505,$A18,'Weekly Plan'!$E$6:$E$1505,"&lt;="&amp;AW$2))</f>
        <v/>
      </c>
      <c r="AX18" s="0" t="str">
        <f aca="false">IF($A18="","",SUMIFS('Weekly Plan'!$D$6:$D$1505,'Weekly Plan'!$A$6:$A$1505,$A18,'Weekly Plan'!$E$6:$E$1505,"&lt;="&amp;AX$2))</f>
        <v/>
      </c>
      <c r="AY18" s="0" t="str">
        <f aca="false">IF($A18="","",SUMIFS('Weekly Plan'!$D$6:$D$1505,'Weekly Plan'!$A$6:$A$1505,$A18,'Weekly Plan'!$E$6:$E$1505,"&lt;="&amp;AY$2))</f>
        <v/>
      </c>
      <c r="AZ18" s="0" t="str">
        <f aca="false">IF($A18="","",SUMIFS('Weekly Plan'!$D$6:$D$1505,'Weekly Plan'!$A$6:$A$1505,$A18,'Weekly Plan'!$E$6:$E$1505,"&lt;="&amp;AZ$2))</f>
        <v/>
      </c>
      <c r="BA18" s="0" t="str">
        <f aca="false">IF($A18="","",SUMIFS('Weekly Plan'!$D$6:$D$1505,'Weekly Plan'!$A$6:$A$1505,$A18,'Weekly Plan'!$E$6:$E$1505,"&lt;="&amp;BA$2))</f>
        <v/>
      </c>
      <c r="BB18" s="0" t="str">
        <f aca="false">IF($A18="","",SUMIFS('Weekly Plan'!$D$6:$D$1505,'Weekly Plan'!$A$6:$A$1505,$A18,'Weekly Plan'!$E$6:$E$1505,"&lt;="&amp;BB$2))</f>
        <v/>
      </c>
      <c r="BC18" s="0" t="str">
        <f aca="false">IF($A18="","",SUMIFS('Weekly Plan'!$D$6:$D$1505,'Weekly Plan'!$A$6:$A$1505,$A18,'Weekly Plan'!$E$6:$E$1505,"&lt;="&amp;BC$2))</f>
        <v/>
      </c>
      <c r="BD18" s="0" t="str">
        <f aca="false">IF($A18="","",SUMIFS('Weekly Plan'!$D$6:$D$1505,'Weekly Plan'!$A$6:$A$1505,$A18,'Weekly Plan'!$E$6:$E$1505,"&lt;="&amp;BD$2))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2026-10-05T13:06:09Z</dcterms:created>
  <dc:creator>openpyxl</dc:creator>
  <dc:description/>
  <dc:language>en-US</dc:language>
  <cp:lastModifiedBy/>
  <dcterms:modified xsi:type="dcterms:W3CDTF">2026-10-05T13:06:17Z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