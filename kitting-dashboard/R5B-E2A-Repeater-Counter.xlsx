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tract" sheetId="2" state="visible" r:id="rId4"/>
    <sheet name="Release Log" sheetId="3" state="visible" r:id="rId5"/>
    <sheet name="How To Use" sheetId="4" state="visible" r:id="rId6"/>
  </sheets>
  <definedNames>
    <definedName function="false" hidden="false" localSheetId="0" name="_xlnm.Print_Area" vbProcedure="false">Dashboard!$A$1:$L$37</definedName>
    <definedName function="false" hidden="true" localSheetId="2" name="_xlnm._FilterDatabase" vbProcedure="false">'Release Log'!$A$5:$G$1505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<sst xmlns="http://schemas.openxmlformats.org/spreadsheetml/2006/main" count="119" uniqueCount="103">
  <si>
    <t xml:space="preserve">R5B E2A 12FP COLD T5  ·  REPEATER COUNTER</t>
  </si>
  <si>
    <t xml:space="preserve">REPEATERS REQUESTED ▸</t>
  </si>
  <si>
    <t xml:space="preserve">type the target here</t>
  </si>
  <si>
    <t xml:space="preserve">REPEATERS KITTED</t>
  </si>
  <si>
    <t xml:space="preserve">REQUEST STATUS</t>
  </si>
  <si>
    <t xml:space="preserve">UNITS TO RELEASE</t>
  </si>
  <si>
    <t xml:space="preserve">CONTRACT PROGRESS</t>
  </si>
  <si>
    <t xml:space="preserve">REPEATER COUNTER</t>
  </si>
  <si>
    <t xml:space="preserve">Sequence</t>
  </si>
  <si>
    <t xml:space="preserve">Assy Code</t>
  </si>
  <si>
    <t xml:space="preserve">Description</t>
  </si>
  <si>
    <t xml:space="preserve">Qty / Rep</t>
  </si>
  <si>
    <t xml:space="preserve">Released</t>
  </si>
  <si>
    <t xml:space="preserve">Repeaters</t>
  </si>
  <si>
    <t xml:space="preserve">Needed for Request</t>
  </si>
  <si>
    <t xml:space="preserve">To Release Now</t>
  </si>
  <si>
    <t xml:space="preserve">Status</t>
  </si>
  <si>
    <t xml:space="preserve">Repeater</t>
  </si>
  <si>
    <t xml:space="preserve">TOTAL</t>
  </si>
  <si>
    <t xml:space="preserve">Repeaters column total = lowest code (highlighted) — that code limits the count</t>
  </si>
  <si>
    <t xml:space="preserve">LATEST RELEASES</t>
  </si>
  <si>
    <t xml:space="preserve">Date</t>
  </si>
  <si>
    <t xml:space="preserve">Qty</t>
  </si>
  <si>
    <t xml:space="preserve">Released By</t>
  </si>
  <si>
    <t xml:space="preserve">Logged</t>
  </si>
  <si>
    <t xml:space="preserve">Note</t>
  </si>
  <si>
    <t xml:space="preserve">CONTRACT — WHAT ONE REPEATER NEEDS</t>
  </si>
  <si>
    <t xml:space="preserve">Blue cells are inputs. Change these only when the contract or kitting plan changes.</t>
  </si>
  <si>
    <t xml:space="preserve">Contract</t>
  </si>
  <si>
    <t xml:space="preserve">R5B</t>
  </si>
  <si>
    <t xml:space="preserve">Program</t>
  </si>
  <si>
    <t xml:space="preserve">E2A 12FP Cold T5</t>
  </si>
  <si>
    <t xml:space="preserve">ERP item</t>
  </si>
  <si>
    <t xml:space="preserve">92ERP12548A++</t>
  </si>
  <si>
    <t xml:space="preserve">Config</t>
  </si>
  <si>
    <t xml:space="preserve">12FP</t>
  </si>
  <si>
    <t xml:space="preserve">Contract repeaters</t>
  </si>
  <si>
    <t xml:space="preserve">Already released before this log started (leave 0 to start fresh)</t>
  </si>
  <si>
    <t xml:space="preserve">Assy Description</t>
  </si>
  <si>
    <t xml:space="preserve">Qty per Repeater</t>
  </si>
  <si>
    <t xml:space="preserve">Opening Balance</t>
  </si>
  <si>
    <t xml:space="preserve">Contract Qty</t>
  </si>
  <si>
    <t xml:space="preserve">LASER ASSY</t>
  </si>
  <si>
    <t xml:space="preserve">92YLS00548BAA</t>
  </si>
  <si>
    <t xml:space="preserve">R5B LASER ASSEMBLY 4P BOAT 1 - E2A</t>
  </si>
  <si>
    <t xml:space="preserve">92YLS00548BBA</t>
  </si>
  <si>
    <t xml:space="preserve">R5B LASER ASSEMBLY 4P BOAT 2/3 - E2A</t>
  </si>
  <si>
    <t xml:space="preserve">PSB ASSY</t>
  </si>
  <si>
    <t xml:space="preserve">91YAF03404AAA</t>
  </si>
  <si>
    <t xml:space="preserve">R5B PSB SUB ASSEMBLY 4P-4FP</t>
  </si>
  <si>
    <t xml:space="preserve">OPF ASSY</t>
  </si>
  <si>
    <t xml:space="preserve">92YFD04548BAA</t>
  </si>
  <si>
    <t xml:space="preserve">R5B OPF ASSEMBLY (4P-4FP) BOAT 1 - E2A</t>
  </si>
  <si>
    <t xml:space="preserve">92YFD04548BBA</t>
  </si>
  <si>
    <t xml:space="preserve">R5B OPF ASSEMBLY (4P-4FP) BOAT 2/3 - E2A</t>
  </si>
  <si>
    <t xml:space="preserve">POB ASSY</t>
  </si>
  <si>
    <t xml:space="preserve">92YWS04548AAA</t>
  </si>
  <si>
    <t xml:space="preserve">R5B 4FP POB LUMENTUM SUB ASSEMBLY - E2A</t>
  </si>
  <si>
    <t xml:space="preserve">ERBIUM ASSY</t>
  </si>
  <si>
    <t xml:space="preserve">92RRA00548AAA</t>
  </si>
  <si>
    <t xml:space="preserve">R5B ERBIUM SPOOL ASSEMBLY - E2A</t>
  </si>
  <si>
    <t xml:space="preserve">92YRA01548AAA</t>
  </si>
  <si>
    <t xml:space="preserve">R5B ERBIUM ASSEMBLY POSITION 1</t>
  </si>
  <si>
    <t xml:space="preserve">92YRA02548AAA</t>
  </si>
  <si>
    <t xml:space="preserve">R5B ERBIUM ASSEMBLY POSITION 2</t>
  </si>
  <si>
    <t xml:space="preserve">92YRA03548AAA</t>
  </si>
  <si>
    <t xml:space="preserve">R5B ERBIUM ASSEMBLY POSITION 3</t>
  </si>
  <si>
    <t xml:space="preserve">92YRA04548AAA</t>
  </si>
  <si>
    <t xml:space="preserve">R5B ERBIUM ASSEMBLY POSITION 4</t>
  </si>
  <si>
    <t xml:space="preserve">BOAT ASSY</t>
  </si>
  <si>
    <t xml:space="preserve">92UAP04548BAA</t>
  </si>
  <si>
    <t xml:space="preserve">R5B BOAT 1 ASSY (4P-4FP)</t>
  </si>
  <si>
    <t xml:space="preserve">92UAP04548BBA</t>
  </si>
  <si>
    <t xml:space="preserve">R5B BOAT 2 ASSY (4P-4FP)</t>
  </si>
  <si>
    <t xml:space="preserve">92UAP04548BCA</t>
  </si>
  <si>
    <t xml:space="preserve">R5B BOAT 3 ASSY (4P-4FP)</t>
  </si>
  <si>
    <t xml:space="preserve">RELEASE LOG</t>
  </si>
  <si>
    <t xml:space="preserve">One line per release to production. Type the date, pick the assy code, enter the qty released. The Dashboard counts repeaters from this.</t>
  </si>
  <si>
    <t xml:space="preserve">Example:  03-Oct-26 · 92RRA00548AAA · 24 · N.Bakare · for Rep 14</t>
  </si>
  <si>
    <t xml:space="preserve">Qty Released</t>
  </si>
  <si>
    <t xml:space="preserve">Note (WO / repeater)</t>
  </si>
  <si>
    <t xml:space="preserve">Check</t>
  </si>
  <si>
    <t xml:space="preserve">HOW THE REPEATER COUNTER WORKS</t>
  </si>
  <si>
    <t xml:space="preserve">Each time management asks</t>
  </si>
  <si>
    <t xml:space="preserve">1. Set the target</t>
  </si>
  <si>
    <t xml:space="preserve">Type the number of repeaters requested in the pink cell on the Dashboard (top right).</t>
  </si>
  <si>
    <t xml:space="preserve">2. Release</t>
  </si>
  <si>
    <t xml:space="preserve">The 'To Release Now' column tells you how many of each assy code to release to reach the target. Release those work orders and send them to production.</t>
  </si>
  <si>
    <t xml:space="preserve">3. Log it</t>
  </si>
  <si>
    <t xml:space="preserve">On 'Release Log' add one line per release: date, assy code (drop-down), qty released, your name, optional note (WO no. / repeater). Made a mistake? Add a line with a negative qty.</t>
  </si>
  <si>
    <t xml:space="preserve">4. Everyone sees it</t>
  </si>
  <si>
    <t xml:space="preserve">The Dashboard updates immediately: Repeaters Kitted, the counter, and Latest Releases. Save the file on SharePoint / Teams so everyone sees the same numbers.</t>
  </si>
  <si>
    <t xml:space="preserve">How it counts</t>
  </si>
  <si>
    <t xml:space="preserve">Repeaters per code</t>
  </si>
  <si>
    <t xml:space="preserve">Released qty ÷ qty per repeater, rounded down. E.g. erbium spool: 50 released ÷ 24 = 2 repeaters (2 units toward the 3rd).</t>
  </si>
  <si>
    <t xml:space="preserve">Repeaters kitted</t>
  </si>
  <si>
    <t xml:space="preserve">The lowest value across all assy codes — a repeater only counts when every code has been released for it. The limiting code is highlighted in the table.</t>
  </si>
  <si>
    <t xml:space="preserve">Starting point</t>
  </si>
  <si>
    <t xml:space="preserve">If some repeaters were released before you started the log, put those quantities in 'Opening Balance' on the Contract sheet.</t>
  </si>
  <si>
    <t xml:space="preserve">Changing the contract</t>
  </si>
  <si>
    <t xml:space="preserve">Edit codes, qty per repeater or contract repeaters on the Contract sheet (blue cells). Everything follows.</t>
  </si>
  <si>
    <t xml:space="preserve">Projecting</t>
  </si>
  <si>
    <t xml:space="preserve">Open the Dashboard and press Ctrl+F1 to hide the ribbon. It fits one landscape screen.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</si>
</sst>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-mmm\-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0"/>
      <color rgb="FFAEB6C6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1"/>
      <color rgb="FFAEB6C6"/>
      <name val="Arial"/>
      <family val="0"/>
      <charset val="1"/>
    </font>
    <font>
      <i val="true"/>
      <sz val="8"/>
      <color rgb="FFAEB6C6"/>
      <name val="Arial"/>
      <family val="0"/>
      <charset val="1"/>
    </font>
    <font>
      <b val="true"/>
      <sz val="10"/>
      <color rgb="FF5D6576"/>
      <name val="Arial"/>
      <family val="0"/>
      <charset val="1"/>
    </font>
    <font>
      <b val="true"/>
      <sz val="44"/>
      <color rgb="FFB0245E"/>
      <name val="Arial"/>
      <family val="0"/>
      <charset val="1"/>
    </font>
    <font>
      <b val="true"/>
      <sz val="32"/>
      <color rgb="FF141A26"/>
      <name val="Arial"/>
      <family val="0"/>
      <charset val="1"/>
    </font>
    <font>
      <sz val="9"/>
      <color rgb="FF5D6576"/>
      <name val="Arial"/>
      <family val="0"/>
      <charset val="1"/>
    </font>
    <font>
      <b val="true"/>
      <sz val="12"/>
      <color rgb="FF141A26"/>
      <name val="Arial"/>
      <family val="0"/>
      <charset val="1"/>
    </font>
    <font>
      <i val="true"/>
      <sz val="9"/>
      <color rgb="FF5D65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E2433"/>
      <name val="Arial"/>
      <family val="0"/>
      <charset val="1"/>
    </font>
    <font>
      <b val="true"/>
      <sz val="11"/>
      <color rgb="FF1E2433"/>
      <name val="Arial"/>
      <family val="0"/>
      <charset val="1"/>
    </font>
    <font>
      <b val="true"/>
      <sz val="15"/>
      <color rgb="FF141A26"/>
      <name val="Arial"/>
      <family val="0"/>
      <charset val="1"/>
    </font>
    <font>
      <b val="true"/>
      <sz val="14"/>
      <color rgb="FF1E2433"/>
      <name val="Arial"/>
      <family val="0"/>
      <charset val="1"/>
    </font>
    <font>
      <b val="true"/>
      <sz val="10"/>
      <color rgb="FF1E2433"/>
      <name val="Arial"/>
      <family val="0"/>
      <charset val="1"/>
    </font>
    <font>
      <sz val="10"/>
      <color rgb="FF1E2433"/>
      <name val="Arial"/>
      <family val="0"/>
      <charset val="1"/>
    </font>
    <font>
      <b val="true"/>
      <sz val="16"/>
      <color rgb="FF141A26"/>
      <name val="Arial"/>
      <family val="0"/>
      <charset val="1"/>
    </font>
    <font>
      <i val="true"/>
      <sz val="10"/>
      <color rgb="FF5D657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"/>
      <color rgb="FF5D657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D6576"/>
      <name val="Arial"/>
      <family val="0"/>
      <charset val="1"/>
    </font>
    <font>
      <b val="true"/>
      <sz val="18"/>
      <color rgb="FF141A26"/>
      <name val="Arial"/>
      <family val="0"/>
      <charset val="1"/>
    </font>
    <font>
      <b val="true"/>
      <sz val="12"/>
      <color rgb="FFB0245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1A26"/>
        <bgColor rgb="FF1E2433"/>
      </patternFill>
    </fill>
    <fill>
      <patternFill patternType="solid">
        <fgColor rgb="FFB0245E"/>
        <bgColor rgb="FF993366"/>
      </patternFill>
    </fill>
    <fill>
      <patternFill patternType="solid">
        <fgColor rgb="FFF3F4F7"/>
        <bgColor rgb="FFECEEF3"/>
      </patternFill>
    </fill>
    <fill>
      <patternFill patternType="solid">
        <fgColor rgb="FF1E2433"/>
        <bgColor rgb="FF141A26"/>
      </patternFill>
    </fill>
    <fill>
      <patternFill patternType="solid">
        <fgColor rgb="FFFFF2B3"/>
        <bgColor rgb="FFFBF0D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>
        <color rgb="FFB0245E"/>
      </left>
      <right/>
      <top/>
      <bottom/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/>
      <right/>
      <top/>
      <bottom style="thin">
        <color rgb="FFD9DDE5"/>
      </bottom>
      <diagonal/>
    </border>
    <border diagonalUp="false" diagonalDown="false">
      <left/>
      <right/>
      <top style="medium">
        <color rgb="FF141A26"/>
      </top>
      <bottom/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name val="Arial"/>
        <charset val="1"/>
        <family val="0"/>
        <b val="1"/>
        <color rgb="FF1F8A5B"/>
        <sz val="32"/>
      </font>
    </dxf>
    <dxf>
      <font>
        <name val="Arial"/>
        <charset val="1"/>
        <family val="0"/>
        <b val="1"/>
        <color rgb="FFA8660B"/>
        <sz val="32"/>
      </font>
    </dxf>
    <dxf>
      <font>
        <name val="Arial"/>
        <charset val="1"/>
        <family val="0"/>
        <b val="1"/>
        <color rgb="FF1F8A5B"/>
      </font>
      <fill>
        <patternFill>
          <bgColor rgb="FFDDF2E7"/>
        </patternFill>
      </fill>
    </dxf>
    <dxf>
      <font>
        <name val="Arial"/>
        <charset val="1"/>
        <family val="0"/>
        <b val="1"/>
        <color rgb="FFA8660B"/>
      </font>
      <fill>
        <patternFill>
          <bgColor rgb="FFFBF0DC"/>
        </patternFill>
      </fill>
    </dxf>
    <dxf>
      <font>
        <name val="Arial"/>
        <charset val="1"/>
        <family val="0"/>
        <b val="1"/>
        <color rgb="FFA8660B"/>
        <sz val="14"/>
      </font>
    </dxf>
    <dxf>
      <font>
        <name val="Arial"/>
        <charset val="1"/>
        <family val="0"/>
        <color rgb="FFC3C8D2"/>
        <sz val="14"/>
      </font>
    </dxf>
    <dxf>
      <fill>
        <patternFill>
          <bgColor rgb="FFFBE6E3"/>
        </patternFill>
      </fill>
    </dxf>
    <dxf>
      <font>
        <name val="Arial"/>
        <charset val="1"/>
        <family val="0"/>
        <color rgb="FFC3C8D2"/>
      </font>
    </dxf>
    <dxf>
      <font>
        <name val="Arial"/>
        <charset val="1"/>
        <family val="0"/>
        <b val="1"/>
        <color rgb="FFFFFFFF"/>
      </font>
      <fill>
        <patternFill>
          <bgColor rgb="FF1F8A5B"/>
        </patternFill>
      </fill>
    </dxf>
    <dxf>
      <font>
        <name val="Arial"/>
        <charset val="1"/>
        <family val="0"/>
        <color rgb="FF5D6576"/>
      </font>
      <fill>
        <patternFill>
          <bgColor rgb="FFECEEF3"/>
        </patternFill>
      </fill>
    </dxf>
    <dxf>
      <border diagonalUp="false" diagonalDown="false">
        <left style="medium">
          <color rgb="FFB0245E"/>
        </left>
        <right style="medium">
          <color rgb="FFB0245E"/>
        </right>
        <top style="medium">
          <color rgb="FFB0245E"/>
        </top>
        <bottom style="medium">
          <color rgb="FFB0245E"/>
        </bottom>
        <diagonal/>
      </border>
    </dxf>
    <dxf>
      <fill>
        <patternFill patternType="solid">
          <fgColor rgb="FFB024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1A26"/>
          <bgColor rgb="FF000000"/>
        </patternFill>
      </fill>
    </dxf>
    <dxf>
      <fill>
        <patternFill patternType="solid">
          <fgColor rgb="FF5D6576"/>
          <bgColor rgb="FF000000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6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60B"/>
      <rgbColor rgb="FF800080"/>
      <rgbColor rgb="FF008080"/>
      <rgbColor rgb="FFC3C8D2"/>
      <rgbColor rgb="FF808080"/>
      <rgbColor rgb="FF9999FF"/>
      <rgbColor rgb="FFB0245E"/>
      <rgbColor rgb="FFFBF0DC"/>
      <rgbColor rgb="FFDDF2E7"/>
      <rgbColor rgb="FF660066"/>
      <rgbColor rgb="FFFF8080"/>
      <rgbColor rgb="FF0066CC"/>
      <rgbColor rgb="FFD9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EF3"/>
      <rgbColor rgb="FFF3F4F7"/>
      <rgbColor rgb="FFFFF2B3"/>
      <rgbColor rgb="FFAEB6C6"/>
      <rgbColor rgb="FFFF99CC"/>
      <rgbColor rgb="FFCC99FF"/>
      <rgbColor rgb="FFFBE6E3"/>
      <rgbColor rgb="FF3366FF"/>
      <rgbColor rgb="FF33CCCC"/>
      <rgbColor rgb="FF99CC00"/>
      <rgbColor rgb="FFFFCC00"/>
      <rgbColor rgb="FFFF9900"/>
      <rgbColor rgb="FFFF6600"/>
      <rgbColor rgb="FF5D6576"/>
      <rgbColor rgb="FF969696"/>
      <rgbColor rgb="FF003366"/>
      <rgbColor rgb="FF1F8A5B"/>
      <rgbColor rgb="FF141A26"/>
      <rgbColor rgb="FF333300"/>
      <rgbColor rgb="FFC0392B"/>
      <rgbColor rgb="FF993366"/>
      <rgbColor rgb="FF333399"/>
      <rgbColor rgb="FF1E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3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2"/>
    <col collapsed="false" customWidth="true" hidden="false" outlineLevel="0" max="12" min="12" style="0" width="20"/>
    <col collapsed="false" customWidth="true" hidden="true" outlineLevel="0" max="13" min="13" style="0" width="1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M1" s="2" t="n">
        <f aca="false">SUMPRODUCT(MAX((('Release Log'!$B$6:$B$1505&lt;&gt;"")+('Release Log'!$D$6:$D$1505&lt;&gt;"")&gt;0)*ROW('Release Log'!$B$6:$B$1505)))</f>
        <v>0</v>
      </c>
    </row>
    <row r="2" customFormat="false" ht="39.75" hidden="false" customHeight="true" outlineLevel="0" collapsed="false">
      <c r="B2" s="3" t="s">
        <v>0</v>
      </c>
      <c r="C2" s="1"/>
      <c r="D2" s="1"/>
      <c r="E2" s="1"/>
      <c r="F2" s="1"/>
      <c r="G2" s="1"/>
      <c r="H2" s="1"/>
      <c r="I2" s="4" t="s">
        <v>1</v>
      </c>
      <c r="J2" s="5" t="n">
        <v>2</v>
      </c>
    </row>
    <row r="3" customFormat="false" ht="15" hidden="false" customHeight="false" outlineLevel="0" collapsed="false">
      <c r="B3" s="6" t="str">
        <f aca="false">"Contract "&amp;Contract!B3&amp;"  ·  "&amp;Contract!B4&amp;"  ·  "&amp;Contract!B5&amp;"  ·  "&amp;Contract!B6&amp;"  ·  Contract: "&amp;Contract!B7&amp;" repeaters  ·  "&amp;COUNT('Release Log'!$D$6:$D$1505)&amp;" releases logged"</f>
        <v>Contract R5B  ·  E2A 12FP Cold T5  ·  92ERP12548A++  ·  12FP  ·  Contract: 13 repeaters  ·  0 releases logged</v>
      </c>
      <c r="C3" s="1"/>
      <c r="D3" s="1"/>
      <c r="E3" s="1"/>
      <c r="F3" s="1"/>
      <c r="G3" s="1"/>
      <c r="H3" s="1"/>
      <c r="I3" s="1"/>
      <c r="J3" s="7" t="s">
        <v>2</v>
      </c>
    </row>
    <row r="5" customFormat="false" ht="19.5" hidden="false" customHeight="true" outlineLevel="0" collapsed="false">
      <c r="B5" s="8" t="s">
        <v>3</v>
      </c>
      <c r="C5" s="8"/>
      <c r="D5" s="8" t="s">
        <v>4</v>
      </c>
      <c r="E5" s="8" t="s">
        <v>5</v>
      </c>
      <c r="F5" s="8"/>
      <c r="G5" s="8"/>
      <c r="H5" s="8" t="s">
        <v>6</v>
      </c>
      <c r="I5" s="8"/>
      <c r="J5" s="8"/>
    </row>
    <row r="6" customFormat="false" ht="54" hidden="false" customHeight="true" outlineLevel="0" collapsed="false">
      <c r="B6" s="9" t="n">
        <f aca="false">MIN(G12:G25)</f>
        <v>0</v>
      </c>
      <c r="C6" s="9"/>
      <c r="D6" s="10" t="str">
        <f aca="false">IF(MIN(G12:G25)&gt;=$J$2,"READY",MAX(0,$J$2-MIN(G12:G25))&amp;" TO GO")</f>
        <v>2 TO GO</v>
      </c>
      <c r="E6" s="11" t="n">
        <f aca="false">SUM(I12:I25)</f>
        <v>102</v>
      </c>
      <c r="F6" s="11"/>
      <c r="G6" s="11"/>
      <c r="H6" s="12" t="n">
        <f aca="false">IF(Contract!$B$7=0,0,MIN(G12:G25)/Contract!$B$7)</f>
        <v>0</v>
      </c>
      <c r="I6" s="12"/>
      <c r="J6" s="12"/>
    </row>
    <row r="7" customFormat="false" ht="30" hidden="false" customHeight="true" outlineLevel="0" collapsed="false">
      <c r="B7" s="13" t="str">
        <f aca="false">"of "&amp;Contract!$B$7&amp;" in contract · counts when all 14 codes are released"</f>
        <v>of 13 in contract · counts when all 14 codes are released</v>
      </c>
      <c r="C7" s="13"/>
      <c r="D7" s="13" t="str">
        <f aca="false">"target "&amp;$J$2&amp;" repeaters · "&amp;COUNTIF(J12:J25,"READY")&amp;" of 14 codes ready"</f>
        <v>target 2 repeaters · 0 of 14 codes ready</v>
      </c>
      <c r="E7" s="13" t="str">
        <f aca="false">"to reach the requested repeaters"</f>
        <v>to reach the requested repeaters</v>
      </c>
      <c r="F7" s="13"/>
      <c r="G7" s="13"/>
      <c r="H7" s="13" t="str">
        <f aca="false">MIN(G12:G25)&amp;" of "&amp;Contract!$B$7&amp;" repeaters kitted"</f>
        <v>0 of 13 repeaters kitted</v>
      </c>
      <c r="I7" s="13"/>
      <c r="J7" s="13"/>
    </row>
    <row r="9" customFormat="false" ht="15" hidden="false" customHeight="false" outlineLevel="0" collapsed="false">
      <c r="B9" s="14"/>
      <c r="D9" s="15"/>
    </row>
    <row r="10" customFormat="false" ht="15" hidden="false" customHeight="false" outlineLevel="0" collapsed="false">
      <c r="L10" s="14" t="s">
        <v>7</v>
      </c>
    </row>
    <row r="11" customFormat="false" ht="31.5" hidden="false" customHeight="true" outlineLevel="0" collapsed="false">
      <c r="B11" s="16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  <c r="I11" s="16" t="s">
        <v>15</v>
      </c>
      <c r="J11" s="16" t="s">
        <v>16</v>
      </c>
      <c r="L11" s="16" t="s">
        <v>17</v>
      </c>
    </row>
    <row r="12" customFormat="false" ht="22.5" hidden="false" customHeight="true" outlineLevel="0" collapsed="false">
      <c r="B12" s="17" t="str">
        <f aca="false">Contract!A10</f>
        <v>LASER ASSY</v>
      </c>
      <c r="C12" s="18" t="str">
        <f aca="false">Contract!B10</f>
        <v>92YLS00548BAA</v>
      </c>
      <c r="D12" s="19" t="str">
        <f aca="false">Contract!C10</f>
        <v>R5B LASER ASSEMBLY 4P BOAT 1 - E2A</v>
      </c>
      <c r="E12" s="20" t="n">
        <f aca="false">Contract!D10</f>
        <v>1</v>
      </c>
      <c r="F12" s="20" t="n">
        <f aca="false">Contract!E10+SUMIFS('Release Log'!$D$6:$D$1505,'Release Log'!$B$6:$B$1505,C12)</f>
        <v>0</v>
      </c>
      <c r="G12" s="21" t="n">
        <f aca="false">IF(E12=0,0,INT(F12/E12))</f>
        <v>0</v>
      </c>
      <c r="H12" s="20" t="n">
        <f aca="false">$J$2*E12</f>
        <v>2</v>
      </c>
      <c r="I12" s="22" t="n">
        <f aca="false">MAX(0,H12-F12)</f>
        <v>2</v>
      </c>
      <c r="J12" s="23" t="str">
        <f aca="false">IF(I12=0,"READY","RELEASE "&amp;I12)</f>
        <v>RELEASE 2</v>
      </c>
      <c r="L12" s="24" t="str">
        <f aca="false">"Rep 1  ·  "&amp;IF(MIN($G$12:$G$25)&gt;=1,"KITTED",IF(COUNTIF($G$12:$G$25,"&gt;="&amp;1)&gt;0,COUNTIF($G$12:$G$25,"&gt;="&amp;1)&amp;"/14 codes","—"))</f>
        <v>Rep 1  ·  —</v>
      </c>
    </row>
    <row r="13" customFormat="false" ht="22.5" hidden="false" customHeight="true" outlineLevel="0" collapsed="false">
      <c r="B13" s="17" t="str">
        <f aca="false">Contract!A11</f>
        <v>LASER ASSY</v>
      </c>
      <c r="C13" s="18" t="str">
        <f aca="false">Contract!B11</f>
        <v>92YLS00548BBA</v>
      </c>
      <c r="D13" s="19" t="str">
        <f aca="false">Contract!C11</f>
        <v>R5B LASER ASSEMBLY 4P BOAT 2/3 - E2A</v>
      </c>
      <c r="E13" s="20" t="n">
        <f aca="false">Contract!D11</f>
        <v>2</v>
      </c>
      <c r="F13" s="20" t="n">
        <f aca="false">Contract!E11+SUMIFS('Release Log'!$D$6:$D$1505,'Release Log'!$B$6:$B$1505,C13)</f>
        <v>0</v>
      </c>
      <c r="G13" s="21" t="n">
        <f aca="false">IF(E13=0,0,INT(F13/E13))</f>
        <v>0</v>
      </c>
      <c r="H13" s="20" t="n">
        <f aca="false">$J$2*E13</f>
        <v>4</v>
      </c>
      <c r="I13" s="22" t="n">
        <f aca="false">MAX(0,H13-F13)</f>
        <v>4</v>
      </c>
      <c r="J13" s="23" t="str">
        <f aca="false">IF(I13=0,"READY","RELEASE "&amp;I13)</f>
        <v>RELEASE 4</v>
      </c>
      <c r="L13" s="24" t="str">
        <f aca="false">"Rep 2  ·  "&amp;IF(MIN($G$12:$G$25)&gt;=2,"KITTED",IF(COUNTIF($G$12:$G$25,"&gt;="&amp;2)&gt;0,COUNTIF($G$12:$G$25,"&gt;="&amp;2)&amp;"/14 codes","—"))</f>
        <v>Rep 2  ·  —</v>
      </c>
    </row>
    <row r="14" customFormat="false" ht="22.5" hidden="false" customHeight="true" outlineLevel="0" collapsed="false">
      <c r="B14" s="17" t="str">
        <f aca="false">Contract!A12</f>
        <v>PSB ASSY</v>
      </c>
      <c r="C14" s="18" t="str">
        <f aca="false">Contract!B12</f>
        <v>91YAF03404AAA</v>
      </c>
      <c r="D14" s="19" t="str">
        <f aca="false">Contract!C12</f>
        <v>R5B PSB SUB ASSEMBLY 4P-4FP</v>
      </c>
      <c r="E14" s="20" t="n">
        <f aca="false">Contract!D12</f>
        <v>3</v>
      </c>
      <c r="F14" s="20" t="n">
        <f aca="false">Contract!E12+SUMIFS('Release Log'!$D$6:$D$1505,'Release Log'!$B$6:$B$1505,C14)</f>
        <v>0</v>
      </c>
      <c r="G14" s="21" t="n">
        <f aca="false">IF(E14=0,0,INT(F14/E14))</f>
        <v>0</v>
      </c>
      <c r="H14" s="20" t="n">
        <f aca="false">$J$2*E14</f>
        <v>6</v>
      </c>
      <c r="I14" s="22" t="n">
        <f aca="false">MAX(0,H14-F14)</f>
        <v>6</v>
      </c>
      <c r="J14" s="23" t="str">
        <f aca="false">IF(I14=0,"READY","RELEASE "&amp;I14)</f>
        <v>RELEASE 6</v>
      </c>
      <c r="L14" s="24" t="str">
        <f aca="false">"Rep 3  ·  "&amp;IF(MIN($G$12:$G$25)&gt;=3,"KITTED",IF(COUNTIF($G$12:$G$25,"&gt;="&amp;3)&gt;0,COUNTIF($G$12:$G$25,"&gt;="&amp;3)&amp;"/14 codes","—"))</f>
        <v>Rep 3  ·  —</v>
      </c>
    </row>
    <row r="15" customFormat="false" ht="22.5" hidden="false" customHeight="true" outlineLevel="0" collapsed="false">
      <c r="B15" s="17" t="str">
        <f aca="false">Contract!A13</f>
        <v>OPF ASSY</v>
      </c>
      <c r="C15" s="18" t="str">
        <f aca="false">Contract!B13</f>
        <v>92YFD04548BAA</v>
      </c>
      <c r="D15" s="19" t="str">
        <f aca="false">Contract!C13</f>
        <v>R5B OPF ASSEMBLY (4P-4FP) BOAT 1 - E2A</v>
      </c>
      <c r="E15" s="20" t="n">
        <f aca="false">Contract!D13</f>
        <v>1</v>
      </c>
      <c r="F15" s="20" t="n">
        <f aca="false">Contract!E13+SUMIFS('Release Log'!$D$6:$D$1505,'Release Log'!$B$6:$B$1505,C15)</f>
        <v>0</v>
      </c>
      <c r="G15" s="21" t="n">
        <f aca="false">IF(E15=0,0,INT(F15/E15))</f>
        <v>0</v>
      </c>
      <c r="H15" s="20" t="n">
        <f aca="false">$J$2*E15</f>
        <v>2</v>
      </c>
      <c r="I15" s="22" t="n">
        <f aca="false">MAX(0,H15-F15)</f>
        <v>2</v>
      </c>
      <c r="J15" s="23" t="str">
        <f aca="false">IF(I15=0,"READY","RELEASE "&amp;I15)</f>
        <v>RELEASE 2</v>
      </c>
      <c r="L15" s="24" t="str">
        <f aca="false">"Rep 4  ·  "&amp;IF(MIN($G$12:$G$25)&gt;=4,"KITTED",IF(COUNTIF($G$12:$G$25,"&gt;="&amp;4)&gt;0,COUNTIF($G$12:$G$25,"&gt;="&amp;4)&amp;"/14 codes","—"))</f>
        <v>Rep 4  ·  —</v>
      </c>
    </row>
    <row r="16" customFormat="false" ht="22.5" hidden="false" customHeight="true" outlineLevel="0" collapsed="false">
      <c r="B16" s="17" t="str">
        <f aca="false">Contract!A14</f>
        <v>OPF ASSY</v>
      </c>
      <c r="C16" s="18" t="str">
        <f aca="false">Contract!B14</f>
        <v>92YFD04548BBA</v>
      </c>
      <c r="D16" s="19" t="str">
        <f aca="false">Contract!C14</f>
        <v>R5B OPF ASSEMBLY (4P-4FP) BOAT 2/3 - E2A</v>
      </c>
      <c r="E16" s="20" t="n">
        <f aca="false">Contract!D14</f>
        <v>2</v>
      </c>
      <c r="F16" s="20" t="n">
        <f aca="false">Contract!E14+SUMIFS('Release Log'!$D$6:$D$1505,'Release Log'!$B$6:$B$1505,C16)</f>
        <v>0</v>
      </c>
      <c r="G16" s="21" t="n">
        <f aca="false">IF(E16=0,0,INT(F16/E16))</f>
        <v>0</v>
      </c>
      <c r="H16" s="20" t="n">
        <f aca="false">$J$2*E16</f>
        <v>4</v>
      </c>
      <c r="I16" s="22" t="n">
        <f aca="false">MAX(0,H16-F16)</f>
        <v>4</v>
      </c>
      <c r="J16" s="23" t="str">
        <f aca="false">IF(I16=0,"READY","RELEASE "&amp;I16)</f>
        <v>RELEASE 4</v>
      </c>
      <c r="L16" s="24" t="str">
        <f aca="false">"Rep 5  ·  "&amp;IF(MIN($G$12:$G$25)&gt;=5,"KITTED",IF(COUNTIF($G$12:$G$25,"&gt;="&amp;5)&gt;0,COUNTIF($G$12:$G$25,"&gt;="&amp;5)&amp;"/14 codes","—"))</f>
        <v>Rep 5  ·  —</v>
      </c>
    </row>
    <row r="17" customFormat="false" ht="22.5" hidden="false" customHeight="true" outlineLevel="0" collapsed="false">
      <c r="B17" s="17" t="str">
        <f aca="false">Contract!A15</f>
        <v>POB ASSY</v>
      </c>
      <c r="C17" s="18" t="str">
        <f aca="false">Contract!B15</f>
        <v>92YWS04548AAA</v>
      </c>
      <c r="D17" s="19" t="str">
        <f aca="false">Contract!C15</f>
        <v>R5B 4FP POB LUMENTUM SUB ASSEMBLY - E2A</v>
      </c>
      <c r="E17" s="20" t="n">
        <f aca="false">Contract!D15</f>
        <v>3</v>
      </c>
      <c r="F17" s="20" t="n">
        <f aca="false">Contract!E15+SUMIFS('Release Log'!$D$6:$D$1505,'Release Log'!$B$6:$B$1505,C17)</f>
        <v>0</v>
      </c>
      <c r="G17" s="21" t="n">
        <f aca="false">IF(E17=0,0,INT(F17/E17))</f>
        <v>0</v>
      </c>
      <c r="H17" s="20" t="n">
        <f aca="false">$J$2*E17</f>
        <v>6</v>
      </c>
      <c r="I17" s="22" t="n">
        <f aca="false">MAX(0,H17-F17)</f>
        <v>6</v>
      </c>
      <c r="J17" s="23" t="str">
        <f aca="false">IF(I17=0,"READY","RELEASE "&amp;I17)</f>
        <v>RELEASE 6</v>
      </c>
      <c r="L17" s="24" t="str">
        <f aca="false">"Rep 6  ·  "&amp;IF(MIN($G$12:$G$25)&gt;=6,"KITTED",IF(COUNTIF($G$12:$G$25,"&gt;="&amp;6)&gt;0,COUNTIF($G$12:$G$25,"&gt;="&amp;6)&amp;"/14 codes","—"))</f>
        <v>Rep 6  ·  —</v>
      </c>
    </row>
    <row r="18" customFormat="false" ht="22.5" hidden="false" customHeight="true" outlineLevel="0" collapsed="false">
      <c r="B18" s="17" t="str">
        <f aca="false">Contract!A16</f>
        <v>ERBIUM ASSY</v>
      </c>
      <c r="C18" s="18" t="str">
        <f aca="false">Contract!B16</f>
        <v>92RRA00548AAA</v>
      </c>
      <c r="D18" s="19" t="str">
        <f aca="false">Contract!C16</f>
        <v>R5B ERBIUM SPOOL ASSEMBLY - E2A</v>
      </c>
      <c r="E18" s="20" t="n">
        <f aca="false">Contract!D16</f>
        <v>24</v>
      </c>
      <c r="F18" s="20" t="n">
        <f aca="false">Contract!E16+SUMIFS('Release Log'!$D$6:$D$1505,'Release Log'!$B$6:$B$1505,C18)</f>
        <v>0</v>
      </c>
      <c r="G18" s="21" t="n">
        <f aca="false">IF(E18=0,0,INT(F18/E18))</f>
        <v>0</v>
      </c>
      <c r="H18" s="20" t="n">
        <f aca="false">$J$2*E18</f>
        <v>48</v>
      </c>
      <c r="I18" s="22" t="n">
        <f aca="false">MAX(0,H18-F18)</f>
        <v>48</v>
      </c>
      <c r="J18" s="23" t="str">
        <f aca="false">IF(I18=0,"READY","RELEASE "&amp;I18)</f>
        <v>RELEASE 48</v>
      </c>
      <c r="L18" s="24" t="str">
        <f aca="false">"Rep 7  ·  "&amp;IF(MIN($G$12:$G$25)&gt;=7,"KITTED",IF(COUNTIF($G$12:$G$25,"&gt;="&amp;7)&gt;0,COUNTIF($G$12:$G$25,"&gt;="&amp;7)&amp;"/14 codes","—"))</f>
        <v>Rep 7  ·  —</v>
      </c>
    </row>
    <row r="19" customFormat="false" ht="22.5" hidden="false" customHeight="true" outlineLevel="0" collapsed="false">
      <c r="B19" s="17" t="str">
        <f aca="false">Contract!A17</f>
        <v>ERBIUM ASSY</v>
      </c>
      <c r="C19" s="18" t="str">
        <f aca="false">Contract!B17</f>
        <v>92YRA01548AAA</v>
      </c>
      <c r="D19" s="19" t="str">
        <f aca="false">Contract!C17</f>
        <v>R5B ERBIUM ASSEMBLY POSITION 1</v>
      </c>
      <c r="E19" s="20" t="n">
        <f aca="false">Contract!D17</f>
        <v>3</v>
      </c>
      <c r="F19" s="20" t="n">
        <f aca="false">Contract!E17+SUMIFS('Release Log'!$D$6:$D$1505,'Release Log'!$B$6:$B$1505,C19)</f>
        <v>0</v>
      </c>
      <c r="G19" s="21" t="n">
        <f aca="false">IF(E19=0,0,INT(F19/E19))</f>
        <v>0</v>
      </c>
      <c r="H19" s="20" t="n">
        <f aca="false">$J$2*E19</f>
        <v>6</v>
      </c>
      <c r="I19" s="22" t="n">
        <f aca="false">MAX(0,H19-F19)</f>
        <v>6</v>
      </c>
      <c r="J19" s="23" t="str">
        <f aca="false">IF(I19=0,"READY","RELEASE "&amp;I19)</f>
        <v>RELEASE 6</v>
      </c>
      <c r="L19" s="24" t="str">
        <f aca="false">"Rep 8  ·  "&amp;IF(MIN($G$12:$G$25)&gt;=8,"KITTED",IF(COUNTIF($G$12:$G$25,"&gt;="&amp;8)&gt;0,COUNTIF($G$12:$G$25,"&gt;="&amp;8)&amp;"/14 codes","—"))</f>
        <v>Rep 8  ·  —</v>
      </c>
    </row>
    <row r="20" customFormat="false" ht="22.5" hidden="false" customHeight="true" outlineLevel="0" collapsed="false">
      <c r="B20" s="17" t="str">
        <f aca="false">Contract!A18</f>
        <v>ERBIUM ASSY</v>
      </c>
      <c r="C20" s="18" t="str">
        <f aca="false">Contract!B18</f>
        <v>92YRA02548AAA</v>
      </c>
      <c r="D20" s="19" t="str">
        <f aca="false">Contract!C18</f>
        <v>R5B ERBIUM ASSEMBLY POSITION 2</v>
      </c>
      <c r="E20" s="20" t="n">
        <f aca="false">Contract!D18</f>
        <v>3</v>
      </c>
      <c r="F20" s="20" t="n">
        <f aca="false">Contract!E18+SUMIFS('Release Log'!$D$6:$D$1505,'Release Log'!$B$6:$B$1505,C20)</f>
        <v>0</v>
      </c>
      <c r="G20" s="21" t="n">
        <f aca="false">IF(E20=0,0,INT(F20/E20))</f>
        <v>0</v>
      </c>
      <c r="H20" s="20" t="n">
        <f aca="false">$J$2*E20</f>
        <v>6</v>
      </c>
      <c r="I20" s="22" t="n">
        <f aca="false">MAX(0,H20-F20)</f>
        <v>6</v>
      </c>
      <c r="J20" s="23" t="str">
        <f aca="false">IF(I20=0,"READY","RELEASE "&amp;I20)</f>
        <v>RELEASE 6</v>
      </c>
      <c r="L20" s="24" t="str">
        <f aca="false">"Rep 9  ·  "&amp;IF(MIN($G$12:$G$25)&gt;=9,"KITTED",IF(COUNTIF($G$12:$G$25,"&gt;="&amp;9)&gt;0,COUNTIF($G$12:$G$25,"&gt;="&amp;9)&amp;"/14 codes","—"))</f>
        <v>Rep 9  ·  —</v>
      </c>
    </row>
    <row r="21" customFormat="false" ht="22.5" hidden="false" customHeight="true" outlineLevel="0" collapsed="false">
      <c r="B21" s="17" t="str">
        <f aca="false">Contract!A19</f>
        <v>ERBIUM ASSY</v>
      </c>
      <c r="C21" s="18" t="str">
        <f aca="false">Contract!B19</f>
        <v>92YRA03548AAA</v>
      </c>
      <c r="D21" s="19" t="str">
        <f aca="false">Contract!C19</f>
        <v>R5B ERBIUM ASSEMBLY POSITION 3</v>
      </c>
      <c r="E21" s="20" t="n">
        <f aca="false">Contract!D19</f>
        <v>3</v>
      </c>
      <c r="F21" s="20" t="n">
        <f aca="false">Contract!E19+SUMIFS('Release Log'!$D$6:$D$1505,'Release Log'!$B$6:$B$1505,C21)</f>
        <v>0</v>
      </c>
      <c r="G21" s="21" t="n">
        <f aca="false">IF(E21=0,0,INT(F21/E21))</f>
        <v>0</v>
      </c>
      <c r="H21" s="20" t="n">
        <f aca="false">$J$2*E21</f>
        <v>6</v>
      </c>
      <c r="I21" s="22" t="n">
        <f aca="false">MAX(0,H21-F21)</f>
        <v>6</v>
      </c>
      <c r="J21" s="23" t="str">
        <f aca="false">IF(I21=0,"READY","RELEASE "&amp;I21)</f>
        <v>RELEASE 6</v>
      </c>
      <c r="L21" s="24" t="str">
        <f aca="false">"Rep 10  ·  "&amp;IF(MIN($G$12:$G$25)&gt;=10,"KITTED",IF(COUNTIF($G$12:$G$25,"&gt;="&amp;10)&gt;0,COUNTIF($G$12:$G$25,"&gt;="&amp;10)&amp;"/14 codes","—"))</f>
        <v>Rep 10  ·  —</v>
      </c>
    </row>
    <row r="22" customFormat="false" ht="22.5" hidden="false" customHeight="true" outlineLevel="0" collapsed="false">
      <c r="B22" s="17" t="str">
        <f aca="false">Contract!A20</f>
        <v>ERBIUM ASSY</v>
      </c>
      <c r="C22" s="18" t="str">
        <f aca="false">Contract!B20</f>
        <v>92YRA04548AAA</v>
      </c>
      <c r="D22" s="19" t="str">
        <f aca="false">Contract!C20</f>
        <v>R5B ERBIUM ASSEMBLY POSITION 4</v>
      </c>
      <c r="E22" s="20" t="n">
        <f aca="false">Contract!D20</f>
        <v>3</v>
      </c>
      <c r="F22" s="20" t="n">
        <f aca="false">Contract!E20+SUMIFS('Release Log'!$D$6:$D$1505,'Release Log'!$B$6:$B$1505,C22)</f>
        <v>0</v>
      </c>
      <c r="G22" s="21" t="n">
        <f aca="false">IF(E22=0,0,INT(F22/E22))</f>
        <v>0</v>
      </c>
      <c r="H22" s="20" t="n">
        <f aca="false">$J$2*E22</f>
        <v>6</v>
      </c>
      <c r="I22" s="22" t="n">
        <f aca="false">MAX(0,H22-F22)</f>
        <v>6</v>
      </c>
      <c r="J22" s="23" t="str">
        <f aca="false">IF(I22=0,"READY","RELEASE "&amp;I22)</f>
        <v>RELEASE 6</v>
      </c>
      <c r="L22" s="24" t="str">
        <f aca="false">"Rep 11  ·  "&amp;IF(MIN($G$12:$G$25)&gt;=11,"KITTED",IF(COUNTIF($G$12:$G$25,"&gt;="&amp;11)&gt;0,COUNTIF($G$12:$G$25,"&gt;="&amp;11)&amp;"/14 codes","—"))</f>
        <v>Rep 11  ·  —</v>
      </c>
    </row>
    <row r="23" customFormat="false" ht="22.5" hidden="false" customHeight="true" outlineLevel="0" collapsed="false">
      <c r="B23" s="17" t="str">
        <f aca="false">Contract!A21</f>
        <v>BOAT ASSY</v>
      </c>
      <c r="C23" s="18" t="str">
        <f aca="false">Contract!B21</f>
        <v>92UAP04548BAA</v>
      </c>
      <c r="D23" s="19" t="str">
        <f aca="false">Contract!C21</f>
        <v>R5B BOAT 1 ASSY (4P-4FP)</v>
      </c>
      <c r="E23" s="20" t="n">
        <f aca="false">Contract!D21</f>
        <v>1</v>
      </c>
      <c r="F23" s="20" t="n">
        <f aca="false">Contract!E21+SUMIFS('Release Log'!$D$6:$D$1505,'Release Log'!$B$6:$B$1505,C23)</f>
        <v>0</v>
      </c>
      <c r="G23" s="21" t="n">
        <f aca="false">IF(E23=0,0,INT(F23/E23))</f>
        <v>0</v>
      </c>
      <c r="H23" s="20" t="n">
        <f aca="false">$J$2*E23</f>
        <v>2</v>
      </c>
      <c r="I23" s="22" t="n">
        <f aca="false">MAX(0,H23-F23)</f>
        <v>2</v>
      </c>
      <c r="J23" s="23" t="str">
        <f aca="false">IF(I23=0,"READY","RELEASE "&amp;I23)</f>
        <v>RELEASE 2</v>
      </c>
      <c r="L23" s="24" t="str">
        <f aca="false">"Rep 12  ·  "&amp;IF(MIN($G$12:$G$25)&gt;=12,"KITTED",IF(COUNTIF($G$12:$G$25,"&gt;="&amp;12)&gt;0,COUNTIF($G$12:$G$25,"&gt;="&amp;12)&amp;"/14 codes","—"))</f>
        <v>Rep 12  ·  —</v>
      </c>
    </row>
    <row r="24" customFormat="false" ht="22.5" hidden="false" customHeight="true" outlineLevel="0" collapsed="false">
      <c r="B24" s="17" t="str">
        <f aca="false">Contract!A22</f>
        <v>BOAT ASSY</v>
      </c>
      <c r="C24" s="18" t="str">
        <f aca="false">Contract!B22</f>
        <v>92UAP04548BBA</v>
      </c>
      <c r="D24" s="19" t="str">
        <f aca="false">Contract!C22</f>
        <v>R5B BOAT 2 ASSY (4P-4FP)</v>
      </c>
      <c r="E24" s="20" t="n">
        <f aca="false">Contract!D22</f>
        <v>1</v>
      </c>
      <c r="F24" s="20" t="n">
        <f aca="false">Contract!E22+SUMIFS('Release Log'!$D$6:$D$1505,'Release Log'!$B$6:$B$1505,C24)</f>
        <v>0</v>
      </c>
      <c r="G24" s="21" t="n">
        <f aca="false">IF(E24=0,0,INT(F24/E24))</f>
        <v>0</v>
      </c>
      <c r="H24" s="20" t="n">
        <f aca="false">$J$2*E24</f>
        <v>2</v>
      </c>
      <c r="I24" s="22" t="n">
        <f aca="false">MAX(0,H24-F24)</f>
        <v>2</v>
      </c>
      <c r="J24" s="23" t="str">
        <f aca="false">IF(I24=0,"READY","RELEASE "&amp;I24)</f>
        <v>RELEASE 2</v>
      </c>
      <c r="L24" s="24" t="str">
        <f aca="false">"Rep 13  ·  "&amp;IF(MIN($G$12:$G$25)&gt;=13,"KITTED",IF(COUNTIF($G$12:$G$25,"&gt;="&amp;13)&gt;0,COUNTIF($G$12:$G$25,"&gt;="&amp;13)&amp;"/14 codes","—"))</f>
        <v>Rep 13  ·  —</v>
      </c>
    </row>
    <row r="25" customFormat="false" ht="22.5" hidden="false" customHeight="true" outlineLevel="0" collapsed="false">
      <c r="B25" s="17" t="str">
        <f aca="false">Contract!A23</f>
        <v>BOAT ASSY</v>
      </c>
      <c r="C25" s="18" t="str">
        <f aca="false">Contract!B23</f>
        <v>92UAP04548BCA</v>
      </c>
      <c r="D25" s="19" t="str">
        <f aca="false">Contract!C23</f>
        <v>R5B BOAT 3 ASSY (4P-4FP)</v>
      </c>
      <c r="E25" s="20" t="n">
        <f aca="false">Contract!D23</f>
        <v>1</v>
      </c>
      <c r="F25" s="20" t="n">
        <f aca="false">Contract!E23+SUMIFS('Release Log'!$D$6:$D$1505,'Release Log'!$B$6:$B$1505,C25)</f>
        <v>0</v>
      </c>
      <c r="G25" s="21" t="n">
        <f aca="false">IF(E25=0,0,INT(F25/E25))</f>
        <v>0</v>
      </c>
      <c r="H25" s="20" t="n">
        <f aca="false">$J$2*E25</f>
        <v>2</v>
      </c>
      <c r="I25" s="22" t="n">
        <f aca="false">MAX(0,H25-F25)</f>
        <v>2</v>
      </c>
      <c r="J25" s="23" t="str">
        <f aca="false">IF(I25=0,"READY","RELEASE "&amp;I25)</f>
        <v>RELEASE 2</v>
      </c>
    </row>
    <row r="26" customFormat="false" ht="15" hidden="false" customHeight="false" outlineLevel="0" collapsed="false">
      <c r="C26" s="25" t="s">
        <v>18</v>
      </c>
      <c r="D26" s="15" t="s">
        <v>19</v>
      </c>
      <c r="F26" s="26" t="n">
        <f aca="false">SUM(F12:F25)</f>
        <v>0</v>
      </c>
      <c r="G26" s="26" t="n">
        <f aca="false">MIN(G12:G25)</f>
        <v>0</v>
      </c>
      <c r="H26" s="26" t="n">
        <f aca="false">SUM(H12:H25)</f>
        <v>102</v>
      </c>
      <c r="I26" s="26" t="n">
        <f aca="false">SUM(I12:I25)</f>
        <v>102</v>
      </c>
    </row>
    <row r="28" customFormat="false" ht="15" hidden="false" customHeight="false" outlineLevel="0" collapsed="false">
      <c r="B28" s="14" t="s">
        <v>20</v>
      </c>
    </row>
    <row r="29" customFormat="false" ht="15" hidden="false" customHeight="true" outlineLevel="0" collapsed="false">
      <c r="B29" s="16" t="s">
        <v>21</v>
      </c>
      <c r="C29" s="16" t="s">
        <v>9</v>
      </c>
      <c r="D29" s="16" t="s">
        <v>10</v>
      </c>
      <c r="E29" s="16" t="s">
        <v>22</v>
      </c>
      <c r="F29" s="16" t="s">
        <v>23</v>
      </c>
      <c r="G29" s="16" t="s">
        <v>24</v>
      </c>
      <c r="H29" s="27" t="s">
        <v>25</v>
      </c>
      <c r="I29" s="27"/>
      <c r="J29" s="27"/>
    </row>
    <row r="30" customFormat="false" ht="15" hidden="false" customHeight="false" outlineLevel="0" collapsed="false">
      <c r="B30" s="28" t="str">
        <f aca="false">IF($M$1-0&lt;6,"",IF(INDEX('Release Log'!$A:$A,$M$1-0)="","",INDEX('Release Log'!$A:$A,$M$1-0)))</f>
        <v/>
      </c>
      <c r="C30" s="29" t="str">
        <f aca="false">IF($M$1-0&lt;6,"",IF(INDEX('Release Log'!$B:$B,$M$1-0)="","",INDEX('Release Log'!$B:$B,$M$1-0)))</f>
        <v/>
      </c>
      <c r="D30" s="19" t="str">
        <f aca="false">IF($M$1-0&lt;6,"",IF(INDEX('Release Log'!$C:$C,$M$1-0)="","",INDEX('Release Log'!$C:$C,$M$1-0)))</f>
        <v/>
      </c>
      <c r="E30" s="30" t="str">
        <f aca="false">IF($M$1-0&lt;6,"",IF(INDEX('Release Log'!$D:$D,$M$1-0)="","",INDEX('Release Log'!$D:$D,$M$1-0)))</f>
        <v/>
      </c>
      <c r="F30" s="31" t="str">
        <f aca="false">IF($M$1-0&lt;6,"",IF(INDEX('Release Log'!$E:$E,$M$1-0)="","",INDEX('Release Log'!$E:$E,$M$1-0)))</f>
        <v/>
      </c>
      <c r="G30" s="32" t="str">
        <f aca="false">IF(B30="","","#"&amp;($M$1-0-5))</f>
        <v/>
      </c>
      <c r="H30" s="29" t="str">
        <f aca="false">IF($M$1-0&lt;6,"",IF(INDEX('Release Log'!$F:$F,$M$1-0)="","",INDEX('Release Log'!$F:$F,$M$1-0)))</f>
        <v/>
      </c>
      <c r="I30" s="29"/>
      <c r="J30" s="29"/>
    </row>
    <row r="31" customFormat="false" ht="15" hidden="false" customHeight="false" outlineLevel="0" collapsed="false">
      <c r="B31" s="28" t="str">
        <f aca="false">IF($M$1-1&lt;6,"",IF(INDEX('Release Log'!$A:$A,$M$1-1)="","",INDEX('Release Log'!$A:$A,$M$1-1)))</f>
        <v/>
      </c>
      <c r="C31" s="29" t="str">
        <f aca="false">IF($M$1-1&lt;6,"",IF(INDEX('Release Log'!$B:$B,$M$1-1)="","",INDEX('Release Log'!$B:$B,$M$1-1)))</f>
        <v/>
      </c>
      <c r="D31" s="19" t="str">
        <f aca="false">IF($M$1-1&lt;6,"",IF(INDEX('Release Log'!$C:$C,$M$1-1)="","",INDEX('Release Log'!$C:$C,$M$1-1)))</f>
        <v/>
      </c>
      <c r="E31" s="30" t="str">
        <f aca="false">IF($M$1-1&lt;6,"",IF(INDEX('Release Log'!$D:$D,$M$1-1)="","",INDEX('Release Log'!$D:$D,$M$1-1)))</f>
        <v/>
      </c>
      <c r="F31" s="31" t="str">
        <f aca="false">IF($M$1-1&lt;6,"",IF(INDEX('Release Log'!$E:$E,$M$1-1)="","",INDEX('Release Log'!$E:$E,$M$1-1)))</f>
        <v/>
      </c>
      <c r="G31" s="32" t="str">
        <f aca="false">IF(B31="","","#"&amp;($M$1-1-5))</f>
        <v/>
      </c>
      <c r="H31" s="29" t="str">
        <f aca="false">IF($M$1-1&lt;6,"",IF(INDEX('Release Log'!$F:$F,$M$1-1)="","",INDEX('Release Log'!$F:$F,$M$1-1)))</f>
        <v/>
      </c>
      <c r="I31" s="29"/>
      <c r="J31" s="29"/>
    </row>
    <row r="32" customFormat="false" ht="15" hidden="false" customHeight="false" outlineLevel="0" collapsed="false">
      <c r="B32" s="28" t="str">
        <f aca="false">IF($M$1-2&lt;6,"",IF(INDEX('Release Log'!$A:$A,$M$1-2)="","",INDEX('Release Log'!$A:$A,$M$1-2)))</f>
        <v/>
      </c>
      <c r="C32" s="29" t="str">
        <f aca="false">IF($M$1-2&lt;6,"",IF(INDEX('Release Log'!$B:$B,$M$1-2)="","",INDEX('Release Log'!$B:$B,$M$1-2)))</f>
        <v/>
      </c>
      <c r="D32" s="19" t="str">
        <f aca="false">IF($M$1-2&lt;6,"",IF(INDEX('Release Log'!$C:$C,$M$1-2)="","",INDEX('Release Log'!$C:$C,$M$1-2)))</f>
        <v/>
      </c>
      <c r="E32" s="30" t="str">
        <f aca="false">IF($M$1-2&lt;6,"",IF(INDEX('Release Log'!$D:$D,$M$1-2)="","",INDEX('Release Log'!$D:$D,$M$1-2)))</f>
        <v/>
      </c>
      <c r="F32" s="31" t="str">
        <f aca="false">IF($M$1-2&lt;6,"",IF(INDEX('Release Log'!$E:$E,$M$1-2)="","",INDEX('Release Log'!$E:$E,$M$1-2)))</f>
        <v/>
      </c>
      <c r="G32" s="32" t="str">
        <f aca="false">IF(B32="","","#"&amp;($M$1-2-5))</f>
        <v/>
      </c>
      <c r="H32" s="29" t="str">
        <f aca="false">IF($M$1-2&lt;6,"",IF(INDEX('Release Log'!$F:$F,$M$1-2)="","",INDEX('Release Log'!$F:$F,$M$1-2)))</f>
        <v/>
      </c>
      <c r="I32" s="29"/>
      <c r="J32" s="29"/>
    </row>
    <row r="33" customFormat="false" ht="15" hidden="false" customHeight="false" outlineLevel="0" collapsed="false">
      <c r="B33" s="28" t="str">
        <f aca="false">IF($M$1-3&lt;6,"",IF(INDEX('Release Log'!$A:$A,$M$1-3)="","",INDEX('Release Log'!$A:$A,$M$1-3)))</f>
        <v/>
      </c>
      <c r="C33" s="29" t="str">
        <f aca="false">IF($M$1-3&lt;6,"",IF(INDEX('Release Log'!$B:$B,$M$1-3)="","",INDEX('Release Log'!$B:$B,$M$1-3)))</f>
        <v/>
      </c>
      <c r="D33" s="19" t="str">
        <f aca="false">IF($M$1-3&lt;6,"",IF(INDEX('Release Log'!$C:$C,$M$1-3)="","",INDEX('Release Log'!$C:$C,$M$1-3)))</f>
        <v/>
      </c>
      <c r="E33" s="30" t="str">
        <f aca="false">IF($M$1-3&lt;6,"",IF(INDEX('Release Log'!$D:$D,$M$1-3)="","",INDEX('Release Log'!$D:$D,$M$1-3)))</f>
        <v/>
      </c>
      <c r="F33" s="31" t="str">
        <f aca="false">IF($M$1-3&lt;6,"",IF(INDEX('Release Log'!$E:$E,$M$1-3)="","",INDEX('Release Log'!$E:$E,$M$1-3)))</f>
        <v/>
      </c>
      <c r="G33" s="32" t="str">
        <f aca="false">IF(B33="","","#"&amp;($M$1-3-5))</f>
        <v/>
      </c>
      <c r="H33" s="29" t="str">
        <f aca="false">IF($M$1-3&lt;6,"",IF(INDEX('Release Log'!$F:$F,$M$1-3)="","",INDEX('Release Log'!$F:$F,$M$1-3)))</f>
        <v/>
      </c>
      <c r="I33" s="29"/>
      <c r="J33" s="29"/>
    </row>
    <row r="34" customFormat="false" ht="15" hidden="false" customHeight="false" outlineLevel="0" collapsed="false">
      <c r="B34" s="28" t="str">
        <f aca="false">IF($M$1-4&lt;6,"",IF(INDEX('Release Log'!$A:$A,$M$1-4)="","",INDEX('Release Log'!$A:$A,$M$1-4)))</f>
        <v/>
      </c>
      <c r="C34" s="29" t="str">
        <f aca="false">IF($M$1-4&lt;6,"",IF(INDEX('Release Log'!$B:$B,$M$1-4)="","",INDEX('Release Log'!$B:$B,$M$1-4)))</f>
        <v/>
      </c>
      <c r="D34" s="19" t="str">
        <f aca="false">IF($M$1-4&lt;6,"",IF(INDEX('Release Log'!$C:$C,$M$1-4)="","",INDEX('Release Log'!$C:$C,$M$1-4)))</f>
        <v/>
      </c>
      <c r="E34" s="30" t="str">
        <f aca="false">IF($M$1-4&lt;6,"",IF(INDEX('Release Log'!$D:$D,$M$1-4)="","",INDEX('Release Log'!$D:$D,$M$1-4)))</f>
        <v/>
      </c>
      <c r="F34" s="31" t="str">
        <f aca="false">IF($M$1-4&lt;6,"",IF(INDEX('Release Log'!$E:$E,$M$1-4)="","",INDEX('Release Log'!$E:$E,$M$1-4)))</f>
        <v/>
      </c>
      <c r="G34" s="32" t="str">
        <f aca="false">IF(B34="","","#"&amp;($M$1-4-5))</f>
        <v/>
      </c>
      <c r="H34" s="29" t="str">
        <f aca="false">IF($M$1-4&lt;6,"",IF(INDEX('Release Log'!$F:$F,$M$1-4)="","",INDEX('Release Log'!$F:$F,$M$1-4)))</f>
        <v/>
      </c>
      <c r="I34" s="29"/>
      <c r="J34" s="29"/>
    </row>
    <row r="35" customFormat="false" ht="15" hidden="false" customHeight="false" outlineLevel="0" collapsed="false">
      <c r="B35" s="28" t="str">
        <f aca="false">IF($M$1-5&lt;6,"",IF(INDEX('Release Log'!$A:$A,$M$1-5)="","",INDEX('Release Log'!$A:$A,$M$1-5)))</f>
        <v/>
      </c>
      <c r="C35" s="29" t="str">
        <f aca="false">IF($M$1-5&lt;6,"",IF(INDEX('Release Log'!$B:$B,$M$1-5)="","",INDEX('Release Log'!$B:$B,$M$1-5)))</f>
        <v/>
      </c>
      <c r="D35" s="19" t="str">
        <f aca="false">IF($M$1-5&lt;6,"",IF(INDEX('Release Log'!$C:$C,$M$1-5)="","",INDEX('Release Log'!$C:$C,$M$1-5)))</f>
        <v/>
      </c>
      <c r="E35" s="30" t="str">
        <f aca="false">IF($M$1-5&lt;6,"",IF(INDEX('Release Log'!$D:$D,$M$1-5)="","",INDEX('Release Log'!$D:$D,$M$1-5)))</f>
        <v/>
      </c>
      <c r="F35" s="31" t="str">
        <f aca="false">IF($M$1-5&lt;6,"",IF(INDEX('Release Log'!$E:$E,$M$1-5)="","",INDEX('Release Log'!$E:$E,$M$1-5)))</f>
        <v/>
      </c>
      <c r="G35" s="32" t="str">
        <f aca="false">IF(B35="","","#"&amp;($M$1-5-5))</f>
        <v/>
      </c>
      <c r="H35" s="29" t="str">
        <f aca="false">IF($M$1-5&lt;6,"",IF(INDEX('Release Log'!$F:$F,$M$1-5)="","",INDEX('Release Log'!$F:$F,$M$1-5)))</f>
        <v/>
      </c>
      <c r="I35" s="29"/>
      <c r="J35" s="29"/>
    </row>
    <row r="36" customFormat="false" ht="15" hidden="false" customHeight="false" outlineLevel="0" collapsed="false">
      <c r="B36" s="28" t="str">
        <f aca="false">IF($M$1-6&lt;6,"",IF(INDEX('Release Log'!$A:$A,$M$1-6)="","",INDEX('Release Log'!$A:$A,$M$1-6)))</f>
        <v/>
      </c>
      <c r="C36" s="29" t="str">
        <f aca="false">IF($M$1-6&lt;6,"",IF(INDEX('Release Log'!$B:$B,$M$1-6)="","",INDEX('Release Log'!$B:$B,$M$1-6)))</f>
        <v/>
      </c>
      <c r="D36" s="19" t="str">
        <f aca="false">IF($M$1-6&lt;6,"",IF(INDEX('Release Log'!$C:$C,$M$1-6)="","",INDEX('Release Log'!$C:$C,$M$1-6)))</f>
        <v/>
      </c>
      <c r="E36" s="30" t="str">
        <f aca="false">IF($M$1-6&lt;6,"",IF(INDEX('Release Log'!$D:$D,$M$1-6)="","",INDEX('Release Log'!$D:$D,$M$1-6)))</f>
        <v/>
      </c>
      <c r="F36" s="31" t="str">
        <f aca="false">IF($M$1-6&lt;6,"",IF(INDEX('Release Log'!$E:$E,$M$1-6)="","",INDEX('Release Log'!$E:$E,$M$1-6)))</f>
        <v/>
      </c>
      <c r="G36" s="32" t="str">
        <f aca="false">IF(B36="","","#"&amp;($M$1-6-5))</f>
        <v/>
      </c>
      <c r="H36" s="29" t="str">
        <f aca="false">IF($M$1-6&lt;6,"",IF(INDEX('Release Log'!$F:$F,$M$1-6)="","",INDEX('Release Log'!$F:$F,$M$1-6)))</f>
        <v/>
      </c>
      <c r="I36" s="29"/>
      <c r="J36" s="29"/>
    </row>
    <row r="37" customFormat="false" ht="15" hidden="false" customHeight="false" outlineLevel="0" collapsed="false">
      <c r="B37" s="28" t="str">
        <f aca="false">IF($M$1-7&lt;6,"",IF(INDEX('Release Log'!$A:$A,$M$1-7)="","",INDEX('Release Log'!$A:$A,$M$1-7)))</f>
        <v/>
      </c>
      <c r="C37" s="29" t="str">
        <f aca="false">IF($M$1-7&lt;6,"",IF(INDEX('Release Log'!$B:$B,$M$1-7)="","",INDEX('Release Log'!$B:$B,$M$1-7)))</f>
        <v/>
      </c>
      <c r="D37" s="19" t="str">
        <f aca="false">IF($M$1-7&lt;6,"",IF(INDEX('Release Log'!$C:$C,$M$1-7)="","",INDEX('Release Log'!$C:$C,$M$1-7)))</f>
        <v/>
      </c>
      <c r="E37" s="30" t="str">
        <f aca="false">IF($M$1-7&lt;6,"",IF(INDEX('Release Log'!$D:$D,$M$1-7)="","",INDEX('Release Log'!$D:$D,$M$1-7)))</f>
        <v/>
      </c>
      <c r="F37" s="31" t="str">
        <f aca="false">IF($M$1-7&lt;6,"",IF(INDEX('Release Log'!$E:$E,$M$1-7)="","",INDEX('Release Log'!$E:$E,$M$1-7)))</f>
        <v/>
      </c>
      <c r="G37" s="32" t="str">
        <f aca="false">IF(B37="","","#"&amp;($M$1-7-5))</f>
        <v/>
      </c>
      <c r="H37" s="29" t="str">
        <f aca="false">IF($M$1-7&lt;6,"",IF(INDEX('Release Log'!$F:$F,$M$1-7)="","",INDEX('Release Log'!$F:$F,$M$1-7)))</f>
        <v/>
      </c>
      <c r="I37" s="29"/>
      <c r="J37" s="29"/>
    </row>
  </sheetData>
  <mergeCells count="18">
    <mergeCell ref="B5:C5"/>
    <mergeCell ref="E5:G5"/>
    <mergeCell ref="H5:J5"/>
    <mergeCell ref="B6:C6"/>
    <mergeCell ref="E6:G6"/>
    <mergeCell ref="H6:J6"/>
    <mergeCell ref="B7:C7"/>
    <mergeCell ref="E7:G7"/>
    <mergeCell ref="H7:J7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</mergeCells>
  <conditionalFormatting sqref="D6">
    <cfRule type="expression" priority="2" aboveAverage="0" equalAverage="0" bottom="0" percent="0" rank="0" text="" dxfId="0">
      <formula>$D$6="READY"</formula>
    </cfRule>
    <cfRule type="expression" priority="3" aboveAverage="0" equalAverage="0" bottom="0" percent="0" rank="0" text="" dxfId="1">
      <formula>$D$6&lt;&gt;"READY"</formula>
    </cfRule>
  </conditionalFormatting>
  <conditionalFormatting sqref="J12:J25">
    <cfRule type="expression" priority="4" aboveAverage="0" equalAverage="0" bottom="0" percent="0" rank="0" text="" dxfId="2">
      <formula>$J12="READY"</formula>
    </cfRule>
    <cfRule type="expression" priority="5" aboveAverage="0" equalAverage="0" bottom="0" percent="0" rank="0" text="" dxfId="3">
      <formula>$J12&lt;&gt;"READY"</formula>
    </cfRule>
  </conditionalFormatting>
  <conditionalFormatting sqref="I12:I25">
    <cfRule type="cellIs" priority="6" operator="greaterThan" aboveAverage="0" equalAverage="0" bottom="0" percent="0" rank="0" text="" dxfId="4">
      <formula>0</formula>
    </cfRule>
    <cfRule type="cellIs" priority="7" operator="equal" aboveAverage="0" equalAverage="0" bottom="0" percent="0" rank="0" text="" dxfId="5">
      <formula>0</formula>
    </cfRule>
  </conditionalFormatting>
  <conditionalFormatting sqref="G12:G25">
    <cfRule type="expression" priority="8" aboveAverage="0" equalAverage="0" bottom="0" percent="0" rank="0" text="" dxfId="6">
      <formula>$G12=MIN($G$12:$G$25)</formula>
    </cfRule>
  </conditionalFormatting>
  <conditionalFormatting sqref="B12:B25">
    <cfRule type="expression" priority="9" aboveAverage="0" equalAverage="0" bottom="0" percent="0" rank="0" text="" dxfId="7">
      <formula>$B12=$B11</formula>
    </cfRule>
  </conditionalFormatting>
  <conditionalFormatting sqref="L12:L24">
    <cfRule type="expression" priority="10" aboveAverage="0" equalAverage="0" bottom="0" percent="0" rank="0" text="" dxfId="8">
      <formula>ISNUMBER(SEARCH("KITTED",L12))</formula>
    </cfRule>
    <cfRule type="expression" priority="11" aboveAverage="0" equalAverage="0" bottom="0" percent="0" rank="0" text="" dxfId="3">
      <formula>ISNUMBER(SEARCH("codes",L12))</formula>
    </cfRule>
    <cfRule type="expression" priority="12" aboveAverage="0" equalAverage="0" bottom="0" percent="0" rank="0" text="" dxfId="9">
      <formula>ISNUMBER(SEARCH("—",L12))</formula>
    </cfRule>
    <cfRule type="expression" priority="13" aboveAverage="0" equalAverage="0" bottom="0" percent="0" rank="0" text="" dxfId="10">
      <formula>ROW()-11&lt;=$J$2</formula>
    </cfRule>
  </conditionalFormatting>
  <dataValidations count="1">
    <dataValidation allowBlank="false" error="Enter a whole number of repeaters" errorStyle="stop" operator="between" showDropDown="false" showErrorMessage="true" showInputMessage="false" sqref="J2" type="whole">
      <formula1>0</formula1>
      <formula2>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33" t="s">
        <v>26</v>
      </c>
    </row>
    <row r="2" customFormat="false" ht="15" hidden="false" customHeight="false" outlineLevel="0" collapsed="false">
      <c r="A2" s="34" t="s">
        <v>27</v>
      </c>
    </row>
    <row r="3" customFormat="false" ht="15" hidden="false" customHeight="false" outlineLevel="0" collapsed="false">
      <c r="A3" s="35" t="s">
        <v>28</v>
      </c>
      <c r="B3" s="36" t="s">
        <v>29</v>
      </c>
    </row>
    <row r="4" customFormat="false" ht="15" hidden="false" customHeight="false" outlineLevel="0" collapsed="false">
      <c r="A4" s="35" t="s">
        <v>30</v>
      </c>
      <c r="B4" s="36" t="s">
        <v>31</v>
      </c>
    </row>
    <row r="5" customFormat="false" ht="15" hidden="false" customHeight="false" outlineLevel="0" collapsed="false">
      <c r="A5" s="35" t="s">
        <v>32</v>
      </c>
      <c r="B5" s="36" t="s">
        <v>33</v>
      </c>
    </row>
    <row r="6" customFormat="false" ht="15" hidden="false" customHeight="false" outlineLevel="0" collapsed="false">
      <c r="A6" s="35" t="s">
        <v>34</v>
      </c>
      <c r="B6" s="36" t="s">
        <v>35</v>
      </c>
    </row>
    <row r="7" customFormat="false" ht="15" hidden="false" customHeight="false" outlineLevel="0" collapsed="false">
      <c r="A7" s="35" t="s">
        <v>36</v>
      </c>
      <c r="B7" s="36" t="n">
        <v>13</v>
      </c>
    </row>
    <row r="8" customFormat="false" ht="15" hidden="false" customHeight="false" outlineLevel="0" collapsed="false">
      <c r="E8" s="37" t="s">
        <v>37</v>
      </c>
    </row>
    <row r="9" customFormat="false" ht="15" hidden="false" customHeight="false" outlineLevel="0" collapsed="false">
      <c r="A9" s="38" t="s">
        <v>8</v>
      </c>
      <c r="B9" s="38" t="s">
        <v>9</v>
      </c>
      <c r="C9" s="38" t="s">
        <v>38</v>
      </c>
      <c r="D9" s="38" t="s">
        <v>39</v>
      </c>
      <c r="E9" s="38" t="s">
        <v>40</v>
      </c>
      <c r="F9" s="38" t="s">
        <v>41</v>
      </c>
    </row>
    <row r="10" customFormat="false" ht="15" hidden="false" customHeight="false" outlineLevel="0" collapsed="false">
      <c r="A10" s="39" t="s">
        <v>42</v>
      </c>
      <c r="B10" s="39" t="s">
        <v>43</v>
      </c>
      <c r="C10" s="39" t="s">
        <v>44</v>
      </c>
      <c r="D10" s="40" t="n">
        <v>1</v>
      </c>
      <c r="E10" s="40" t="n">
        <v>0</v>
      </c>
      <c r="F10" s="41" t="n">
        <f aca="false">D10*$B$7</f>
        <v>13</v>
      </c>
    </row>
    <row r="11" customFormat="false" ht="15" hidden="false" customHeight="false" outlineLevel="0" collapsed="false">
      <c r="A11" s="39" t="s">
        <v>42</v>
      </c>
      <c r="B11" s="39" t="s">
        <v>45</v>
      </c>
      <c r="C11" s="39" t="s">
        <v>46</v>
      </c>
      <c r="D11" s="40" t="n">
        <v>2</v>
      </c>
      <c r="E11" s="40" t="n">
        <v>0</v>
      </c>
      <c r="F11" s="41" t="n">
        <f aca="false">D11*$B$7</f>
        <v>26</v>
      </c>
    </row>
    <row r="12" customFormat="false" ht="15" hidden="false" customHeight="false" outlineLevel="0" collapsed="false">
      <c r="A12" s="39" t="s">
        <v>47</v>
      </c>
      <c r="B12" s="39" t="s">
        <v>48</v>
      </c>
      <c r="C12" s="39" t="s">
        <v>49</v>
      </c>
      <c r="D12" s="40" t="n">
        <v>3</v>
      </c>
      <c r="E12" s="40" t="n">
        <v>0</v>
      </c>
      <c r="F12" s="41" t="n">
        <f aca="false">D12*$B$7</f>
        <v>39</v>
      </c>
    </row>
    <row r="13" customFormat="false" ht="15" hidden="false" customHeight="false" outlineLevel="0" collapsed="false">
      <c r="A13" s="39" t="s">
        <v>50</v>
      </c>
      <c r="B13" s="39" t="s">
        <v>51</v>
      </c>
      <c r="C13" s="39" t="s">
        <v>52</v>
      </c>
      <c r="D13" s="40" t="n">
        <v>1</v>
      </c>
      <c r="E13" s="40" t="n">
        <v>0</v>
      </c>
      <c r="F13" s="41" t="n">
        <f aca="false">D13*$B$7</f>
        <v>13</v>
      </c>
    </row>
    <row r="14" customFormat="false" ht="15" hidden="false" customHeight="false" outlineLevel="0" collapsed="false">
      <c r="A14" s="39" t="s">
        <v>50</v>
      </c>
      <c r="B14" s="39" t="s">
        <v>53</v>
      </c>
      <c r="C14" s="39" t="s">
        <v>54</v>
      </c>
      <c r="D14" s="40" t="n">
        <v>2</v>
      </c>
      <c r="E14" s="40" t="n">
        <v>0</v>
      </c>
      <c r="F14" s="41" t="n">
        <f aca="false">D14*$B$7</f>
        <v>26</v>
      </c>
    </row>
    <row r="15" customFormat="false" ht="15" hidden="false" customHeight="false" outlineLevel="0" collapsed="false">
      <c r="A15" s="39" t="s">
        <v>55</v>
      </c>
      <c r="B15" s="39" t="s">
        <v>56</v>
      </c>
      <c r="C15" s="39" t="s">
        <v>57</v>
      </c>
      <c r="D15" s="40" t="n">
        <v>3</v>
      </c>
      <c r="E15" s="40" t="n">
        <v>0</v>
      </c>
      <c r="F15" s="41" t="n">
        <f aca="false">D15*$B$7</f>
        <v>39</v>
      </c>
    </row>
    <row r="16" customFormat="false" ht="15" hidden="false" customHeight="false" outlineLevel="0" collapsed="false">
      <c r="A16" s="39" t="s">
        <v>58</v>
      </c>
      <c r="B16" s="39" t="s">
        <v>59</v>
      </c>
      <c r="C16" s="39" t="s">
        <v>60</v>
      </c>
      <c r="D16" s="40" t="n">
        <v>24</v>
      </c>
      <c r="E16" s="40" t="n">
        <v>0</v>
      </c>
      <c r="F16" s="41" t="n">
        <f aca="false">D16*$B$7</f>
        <v>312</v>
      </c>
    </row>
    <row r="17" customFormat="false" ht="15" hidden="false" customHeight="false" outlineLevel="0" collapsed="false">
      <c r="A17" s="39" t="s">
        <v>58</v>
      </c>
      <c r="B17" s="39" t="s">
        <v>61</v>
      </c>
      <c r="C17" s="39" t="s">
        <v>62</v>
      </c>
      <c r="D17" s="40" t="n">
        <v>3</v>
      </c>
      <c r="E17" s="40" t="n">
        <v>0</v>
      </c>
      <c r="F17" s="41" t="n">
        <f aca="false">D17*$B$7</f>
        <v>39</v>
      </c>
    </row>
    <row r="18" customFormat="false" ht="15" hidden="false" customHeight="false" outlineLevel="0" collapsed="false">
      <c r="A18" s="39" t="s">
        <v>58</v>
      </c>
      <c r="B18" s="39" t="s">
        <v>63</v>
      </c>
      <c r="C18" s="39" t="s">
        <v>64</v>
      </c>
      <c r="D18" s="40" t="n">
        <v>3</v>
      </c>
      <c r="E18" s="40" t="n">
        <v>0</v>
      </c>
      <c r="F18" s="41" t="n">
        <f aca="false">D18*$B$7</f>
        <v>39</v>
      </c>
    </row>
    <row r="19" customFormat="false" ht="15" hidden="false" customHeight="false" outlineLevel="0" collapsed="false">
      <c r="A19" s="39" t="s">
        <v>58</v>
      </c>
      <c r="B19" s="39" t="s">
        <v>65</v>
      </c>
      <c r="C19" s="39" t="s">
        <v>66</v>
      </c>
      <c r="D19" s="40" t="n">
        <v>3</v>
      </c>
      <c r="E19" s="40" t="n">
        <v>0</v>
      </c>
      <c r="F19" s="41" t="n">
        <f aca="false">D19*$B$7</f>
        <v>39</v>
      </c>
    </row>
    <row r="20" customFormat="false" ht="15" hidden="false" customHeight="false" outlineLevel="0" collapsed="false">
      <c r="A20" s="39" t="s">
        <v>58</v>
      </c>
      <c r="B20" s="39" t="s">
        <v>67</v>
      </c>
      <c r="C20" s="39" t="s">
        <v>68</v>
      </c>
      <c r="D20" s="40" t="n">
        <v>3</v>
      </c>
      <c r="E20" s="40" t="n">
        <v>0</v>
      </c>
      <c r="F20" s="41" t="n">
        <f aca="false">D20*$B$7</f>
        <v>39</v>
      </c>
    </row>
    <row r="21" customFormat="false" ht="15" hidden="false" customHeight="false" outlineLevel="0" collapsed="false">
      <c r="A21" s="39" t="s">
        <v>69</v>
      </c>
      <c r="B21" s="39" t="s">
        <v>70</v>
      </c>
      <c r="C21" s="39" t="s">
        <v>71</v>
      </c>
      <c r="D21" s="40" t="n">
        <v>1</v>
      </c>
      <c r="E21" s="40" t="n">
        <v>0</v>
      </c>
      <c r="F21" s="41" t="n">
        <f aca="false">D21*$B$7</f>
        <v>13</v>
      </c>
    </row>
    <row r="22" customFormat="false" ht="15" hidden="false" customHeight="false" outlineLevel="0" collapsed="false">
      <c r="A22" s="39" t="s">
        <v>69</v>
      </c>
      <c r="B22" s="39" t="s">
        <v>72</v>
      </c>
      <c r="C22" s="39" t="s">
        <v>73</v>
      </c>
      <c r="D22" s="40" t="n">
        <v>1</v>
      </c>
      <c r="E22" s="40" t="n">
        <v>0</v>
      </c>
      <c r="F22" s="41" t="n">
        <f aca="false">D22*$B$7</f>
        <v>13</v>
      </c>
    </row>
    <row r="23" customFormat="false" ht="15" hidden="false" customHeight="false" outlineLevel="0" collapsed="false">
      <c r="A23" s="39" t="s">
        <v>69</v>
      </c>
      <c r="B23" s="39" t="s">
        <v>74</v>
      </c>
      <c r="C23" s="39" t="s">
        <v>75</v>
      </c>
      <c r="D23" s="40" t="n">
        <v>1</v>
      </c>
      <c r="E23" s="40" t="n">
        <v>0</v>
      </c>
      <c r="F23" s="41" t="n">
        <f aca="false">D23*$B$7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33" t="s">
        <v>76</v>
      </c>
    </row>
    <row r="2" customFormat="false" ht="15" hidden="false" customHeight="false" outlineLevel="0" collapsed="false">
      <c r="A2" s="34" t="s">
        <v>77</v>
      </c>
    </row>
    <row r="3" customFormat="false" ht="15" hidden="false" customHeight="false" outlineLevel="0" collapsed="false">
      <c r="A3" s="42" t="s">
        <v>78</v>
      </c>
    </row>
    <row r="5" customFormat="false" ht="15" hidden="false" customHeight="false" outlineLevel="0" collapsed="false">
      <c r="A5" s="43" t="s">
        <v>21</v>
      </c>
      <c r="B5" s="43" t="s">
        <v>9</v>
      </c>
      <c r="C5" s="38" t="s">
        <v>10</v>
      </c>
      <c r="D5" s="43" t="s">
        <v>79</v>
      </c>
      <c r="E5" s="43" t="s">
        <v>23</v>
      </c>
      <c r="F5" s="43" t="s">
        <v>80</v>
      </c>
      <c r="G5" s="38" t="s">
        <v>81</v>
      </c>
    </row>
    <row r="6" customFormat="false" ht="15" hidden="false" customHeight="false" outlineLevel="0" collapsed="false">
      <c r="A6" s="44"/>
      <c r="B6" s="39"/>
      <c r="C6" s="45" t="str">
        <f aca="false">IF(B6="","",IFERROR(INDEX(Contract!$C$10:$C$23,MATCH(B6,Contract!$B$10:$B$23,0)),"Unknown code"))</f>
        <v/>
      </c>
      <c r="D6" s="46"/>
      <c r="E6" s="39"/>
      <c r="F6" s="39"/>
      <c r="G6" s="47" t="str">
        <f aca="false">IF(AND(B6="",D6=""),"",IF(B6="","Missing code",IF(C6="Unknown code","Unknown code",IF(D6="","Missing qty",IF(A6="","Missing date","")))))</f>
        <v/>
      </c>
    </row>
    <row r="7" customFormat="false" ht="15" hidden="false" customHeight="false" outlineLevel="0" collapsed="false">
      <c r="A7" s="44"/>
      <c r="B7" s="39"/>
      <c r="C7" s="45" t="str">
        <f aca="false">IF(B7="","",IFERROR(INDEX(Contract!$C$10:$C$23,MATCH(B7,Contract!$B$10:$B$23,0)),"Unknown code"))</f>
        <v/>
      </c>
      <c r="D7" s="46"/>
      <c r="E7" s="39"/>
      <c r="F7" s="39"/>
      <c r="G7" s="47" t="str">
        <f aca="false">IF(AND(B7="",D7=""),"",IF(B7="","Missing code",IF(C7="Unknown code","Unknown code",IF(D7="","Missing qty",IF(A7="","Missing date","")))))</f>
        <v/>
      </c>
    </row>
    <row r="8" customFormat="false" ht="15" hidden="false" customHeight="false" outlineLevel="0" collapsed="false">
      <c r="A8" s="44"/>
      <c r="B8" s="39"/>
      <c r="C8" s="45" t="str">
        <f aca="false">IF(B8="","",IFERROR(INDEX(Contract!$C$10:$C$23,MATCH(B8,Contract!$B$10:$B$23,0)),"Unknown code"))</f>
        <v/>
      </c>
      <c r="D8" s="46"/>
      <c r="E8" s="39"/>
      <c r="F8" s="39"/>
      <c r="G8" s="47" t="str">
        <f aca="false">IF(AND(B8="",D8=""),"",IF(B8="","Missing code",IF(C8="Unknown code","Unknown code",IF(D8="","Missing qty",IF(A8="","Missing date","")))))</f>
        <v/>
      </c>
    </row>
    <row r="9" customFormat="false" ht="15" hidden="false" customHeight="false" outlineLevel="0" collapsed="false">
      <c r="A9" s="44"/>
      <c r="B9" s="39"/>
      <c r="C9" s="45" t="str">
        <f aca="false">IF(B9="","",IFERROR(INDEX(Contract!$C$10:$C$23,MATCH(B9,Contract!$B$10:$B$23,0)),"Unknown code"))</f>
        <v/>
      </c>
      <c r="D9" s="46"/>
      <c r="E9" s="39"/>
      <c r="F9" s="39"/>
      <c r="G9" s="47" t="str">
        <f aca="false">IF(AND(B9="",D9=""),"",IF(B9="","Missing code",IF(C9="Unknown code","Unknown code",IF(D9="","Missing qty",IF(A9="","Missing date","")))))</f>
        <v/>
      </c>
    </row>
    <row r="10" customFormat="false" ht="15" hidden="false" customHeight="false" outlineLevel="0" collapsed="false">
      <c r="A10" s="44"/>
      <c r="B10" s="39"/>
      <c r="C10" s="45" t="str">
        <f aca="false">IF(B10="","",IFERROR(INDEX(Contract!$C$10:$C$23,MATCH(B10,Contract!$B$10:$B$23,0)),"Unknown code"))</f>
        <v/>
      </c>
      <c r="D10" s="46"/>
      <c r="E10" s="39"/>
      <c r="F10" s="39"/>
      <c r="G10" s="47" t="str">
        <f aca="false">IF(AND(B10="",D10=""),"",IF(B10="","Missing code",IF(C10="Unknown code","Unknown code",IF(D10="","Missing qty",IF(A10="","Missing date","")))))</f>
        <v/>
      </c>
    </row>
    <row r="11" customFormat="false" ht="15" hidden="false" customHeight="false" outlineLevel="0" collapsed="false">
      <c r="A11" s="44"/>
      <c r="B11" s="39"/>
      <c r="C11" s="45" t="str">
        <f aca="false">IF(B11="","",IFERROR(INDEX(Contract!$C$10:$C$23,MATCH(B11,Contract!$B$10:$B$23,0)),"Unknown code"))</f>
        <v/>
      </c>
      <c r="D11" s="46"/>
      <c r="E11" s="39"/>
      <c r="F11" s="39"/>
      <c r="G11" s="47" t="str">
        <f aca="false">IF(AND(B11="",D11=""),"",IF(B11="","Missing code",IF(C11="Unknown code","Unknown code",IF(D11="","Missing qty",IF(A11="","Missing date","")))))</f>
        <v/>
      </c>
    </row>
    <row r="12" customFormat="false" ht="15" hidden="false" customHeight="false" outlineLevel="0" collapsed="false">
      <c r="A12" s="44"/>
      <c r="B12" s="39"/>
      <c r="C12" s="45" t="str">
        <f aca="false">IF(B12="","",IFERROR(INDEX(Contract!$C$10:$C$23,MATCH(B12,Contract!$B$10:$B$23,0)),"Unknown code"))</f>
        <v/>
      </c>
      <c r="D12" s="46"/>
      <c r="E12" s="39"/>
      <c r="F12" s="39"/>
      <c r="G12" s="47" t="str">
        <f aca="false">IF(AND(B12="",D12=""),"",IF(B12="","Missing code",IF(C12="Unknown code","Unknown code",IF(D12="","Missing qty",IF(A12="","Missing date","")))))</f>
        <v/>
      </c>
    </row>
    <row r="13" customFormat="false" ht="15" hidden="false" customHeight="false" outlineLevel="0" collapsed="false">
      <c r="A13" s="44"/>
      <c r="B13" s="39"/>
      <c r="C13" s="45" t="str">
        <f aca="false">IF(B13="","",IFERROR(INDEX(Contract!$C$10:$C$23,MATCH(B13,Contract!$B$10:$B$23,0)),"Unknown code"))</f>
        <v/>
      </c>
      <c r="D13" s="46"/>
      <c r="E13" s="39"/>
      <c r="F13" s="39"/>
      <c r="G13" s="47" t="str">
        <f aca="false">IF(AND(B13="",D13=""),"",IF(B13="","Missing code",IF(C13="Unknown code","Unknown code",IF(D13="","Missing qty",IF(A13="","Missing date","")))))</f>
        <v/>
      </c>
    </row>
    <row r="14" customFormat="false" ht="15" hidden="false" customHeight="false" outlineLevel="0" collapsed="false">
      <c r="A14" s="44"/>
      <c r="B14" s="39"/>
      <c r="C14" s="45" t="str">
        <f aca="false">IF(B14="","",IFERROR(INDEX(Contract!$C$10:$C$23,MATCH(B14,Contract!$B$10:$B$23,0)),"Unknown code"))</f>
        <v/>
      </c>
      <c r="D14" s="46"/>
      <c r="E14" s="39"/>
      <c r="F14" s="39"/>
      <c r="G14" s="47" t="str">
        <f aca="false">IF(AND(B14="",D14=""),"",IF(B14="","Missing code",IF(C14="Unknown code","Unknown code",IF(D14="","Missing qty",IF(A14="","Missing date","")))))</f>
        <v/>
      </c>
    </row>
    <row r="15" customFormat="false" ht="15" hidden="false" customHeight="false" outlineLevel="0" collapsed="false">
      <c r="A15" s="44"/>
      <c r="B15" s="39"/>
      <c r="C15" s="45" t="str">
        <f aca="false">IF(B15="","",IFERROR(INDEX(Contract!$C$10:$C$23,MATCH(B15,Contract!$B$10:$B$23,0)),"Unknown code"))</f>
        <v/>
      </c>
      <c r="D15" s="46"/>
      <c r="E15" s="39"/>
      <c r="F15" s="39"/>
      <c r="G15" s="47" t="str">
        <f aca="false">IF(AND(B15="",D15=""),"",IF(B15="","Missing code",IF(C15="Unknown code","Unknown code",IF(D15="","Missing qty",IF(A15="","Missing date","")))))</f>
        <v/>
      </c>
    </row>
    <row r="16" customFormat="false" ht="15" hidden="false" customHeight="false" outlineLevel="0" collapsed="false">
      <c r="A16" s="44"/>
      <c r="B16" s="39"/>
      <c r="C16" s="45" t="str">
        <f aca="false">IF(B16="","",IFERROR(INDEX(Contract!$C$10:$C$23,MATCH(B16,Contract!$B$10:$B$23,0)),"Unknown code"))</f>
        <v/>
      </c>
      <c r="D16" s="46"/>
      <c r="E16" s="39"/>
      <c r="F16" s="39"/>
      <c r="G16" s="47" t="str">
        <f aca="false">IF(AND(B16="",D16=""),"",IF(B16="","Missing code",IF(C16="Unknown code","Unknown code",IF(D16="","Missing qty",IF(A16="","Missing date","")))))</f>
        <v/>
      </c>
    </row>
    <row r="17" customFormat="false" ht="15" hidden="false" customHeight="false" outlineLevel="0" collapsed="false">
      <c r="A17" s="44"/>
      <c r="B17" s="39"/>
      <c r="C17" s="45" t="str">
        <f aca="false">IF(B17="","",IFERROR(INDEX(Contract!$C$10:$C$23,MATCH(B17,Contract!$B$10:$B$23,0)),"Unknown code"))</f>
        <v/>
      </c>
      <c r="D17" s="46"/>
      <c r="E17" s="39"/>
      <c r="F17" s="39"/>
      <c r="G17" s="47" t="str">
        <f aca="false">IF(AND(B17="",D17=""),"",IF(B17="","Missing code",IF(C17="Unknown code","Unknown code",IF(D17="","Missing qty",IF(A17="","Missing date","")))))</f>
        <v/>
      </c>
    </row>
    <row r="18" customFormat="false" ht="15" hidden="false" customHeight="false" outlineLevel="0" collapsed="false">
      <c r="A18" s="44"/>
      <c r="B18" s="39"/>
      <c r="C18" s="45" t="str">
        <f aca="false">IF(B18="","",IFERROR(INDEX(Contract!$C$10:$C$23,MATCH(B18,Contract!$B$10:$B$23,0)),"Unknown code"))</f>
        <v/>
      </c>
      <c r="D18" s="46"/>
      <c r="E18" s="39"/>
      <c r="F18" s="39"/>
      <c r="G18" s="47" t="str">
        <f aca="false">IF(AND(B18="",D18=""),"",IF(B18="","Missing code",IF(C18="Unknown code","Unknown code",IF(D18="","Missing qty",IF(A18="","Missing date","")))))</f>
        <v/>
      </c>
    </row>
    <row r="19" customFormat="false" ht="15" hidden="false" customHeight="false" outlineLevel="0" collapsed="false">
      <c r="A19" s="44"/>
      <c r="B19" s="39"/>
      <c r="C19" s="45" t="str">
        <f aca="false">IF(B19="","",IFERROR(INDEX(Contract!$C$10:$C$23,MATCH(B19,Contract!$B$10:$B$23,0)),"Unknown code"))</f>
        <v/>
      </c>
      <c r="D19" s="46"/>
      <c r="E19" s="39"/>
      <c r="F19" s="39"/>
      <c r="G19" s="47" t="str">
        <f aca="false">IF(AND(B19="",D19=""),"",IF(B19="","Missing code",IF(C19="Unknown code","Unknown code",IF(D19="","Missing qty",IF(A19="","Missing date","")))))</f>
        <v/>
      </c>
    </row>
    <row r="20" customFormat="false" ht="15" hidden="false" customHeight="false" outlineLevel="0" collapsed="false">
      <c r="A20" s="44"/>
      <c r="B20" s="39"/>
      <c r="C20" s="45" t="str">
        <f aca="false">IF(B20="","",IFERROR(INDEX(Contract!$C$10:$C$23,MATCH(B20,Contract!$B$10:$B$23,0)),"Unknown code"))</f>
        <v/>
      </c>
      <c r="D20" s="46"/>
      <c r="E20" s="39"/>
      <c r="F20" s="39"/>
      <c r="G20" s="47" t="str">
        <f aca="false">IF(AND(B20="",D20=""),"",IF(B20="","Missing code",IF(C20="Unknown code","Unknown code",IF(D20="","Missing qty",IF(A20="","Missing date","")))))</f>
        <v/>
      </c>
    </row>
    <row r="21" customFormat="false" ht="15" hidden="false" customHeight="false" outlineLevel="0" collapsed="false">
      <c r="A21" s="44"/>
      <c r="B21" s="39"/>
      <c r="C21" s="45" t="str">
        <f aca="false">IF(B21="","",IFERROR(INDEX(Contract!$C$10:$C$23,MATCH(B21,Contract!$B$10:$B$23,0)),"Unknown code"))</f>
        <v/>
      </c>
      <c r="D21" s="46"/>
      <c r="E21" s="39"/>
      <c r="F21" s="39"/>
      <c r="G21" s="47" t="str">
        <f aca="false">IF(AND(B21="",D21=""),"",IF(B21="","Missing code",IF(C21="Unknown code","Unknown code",IF(D21="","Missing qty",IF(A21="","Missing date","")))))</f>
        <v/>
      </c>
    </row>
    <row r="22" customFormat="false" ht="15" hidden="false" customHeight="false" outlineLevel="0" collapsed="false">
      <c r="A22" s="44"/>
      <c r="B22" s="39"/>
      <c r="C22" s="45" t="str">
        <f aca="false">IF(B22="","",IFERROR(INDEX(Contract!$C$10:$C$23,MATCH(B22,Contract!$B$10:$B$23,0)),"Unknown code"))</f>
        <v/>
      </c>
      <c r="D22" s="46"/>
      <c r="E22" s="39"/>
      <c r="F22" s="39"/>
      <c r="G22" s="47" t="str">
        <f aca="false">IF(AND(B22="",D22=""),"",IF(B22="","Missing code",IF(C22="Unknown code","Unknown code",IF(D22="","Missing qty",IF(A22="","Missing date","")))))</f>
        <v/>
      </c>
    </row>
    <row r="23" customFormat="false" ht="15" hidden="false" customHeight="false" outlineLevel="0" collapsed="false">
      <c r="A23" s="44"/>
      <c r="B23" s="39"/>
      <c r="C23" s="45" t="str">
        <f aca="false">IF(B23="","",IFERROR(INDEX(Contract!$C$10:$C$23,MATCH(B23,Contract!$B$10:$B$23,0)),"Unknown code"))</f>
        <v/>
      </c>
      <c r="D23" s="46"/>
      <c r="E23" s="39"/>
      <c r="F23" s="39"/>
      <c r="G23" s="47" t="str">
        <f aca="false">IF(AND(B23="",D23=""),"",IF(B23="","Missing code",IF(C23="Unknown code","Unknown code",IF(D23="","Missing qty",IF(A23="","Missing date","")))))</f>
        <v/>
      </c>
    </row>
    <row r="24" customFormat="false" ht="15" hidden="false" customHeight="false" outlineLevel="0" collapsed="false">
      <c r="A24" s="44"/>
      <c r="B24" s="39"/>
      <c r="C24" s="45" t="str">
        <f aca="false">IF(B24="","",IFERROR(INDEX(Contract!$C$10:$C$23,MATCH(B24,Contract!$B$10:$B$23,0)),"Unknown code"))</f>
        <v/>
      </c>
      <c r="D24" s="46"/>
      <c r="E24" s="39"/>
      <c r="F24" s="39"/>
      <c r="G24" s="47" t="str">
        <f aca="false">IF(AND(B24="",D24=""),"",IF(B24="","Missing code",IF(C24="Unknown code","Unknown code",IF(D24="","Missing qty",IF(A24="","Missing date","")))))</f>
        <v/>
      </c>
    </row>
    <row r="25" customFormat="false" ht="15" hidden="false" customHeight="false" outlineLevel="0" collapsed="false">
      <c r="A25" s="44"/>
      <c r="B25" s="39"/>
      <c r="C25" s="45" t="str">
        <f aca="false">IF(B25="","",IFERROR(INDEX(Contract!$C$10:$C$23,MATCH(B25,Contract!$B$10:$B$23,0)),"Unknown code"))</f>
        <v/>
      </c>
      <c r="D25" s="46"/>
      <c r="E25" s="39"/>
      <c r="F25" s="39"/>
      <c r="G25" s="47" t="str">
        <f aca="false">IF(AND(B25="",D25=""),"",IF(B25="","Missing code",IF(C25="Unknown code","Unknown code",IF(D25="","Missing qty",IF(A25="","Missing date","")))))</f>
        <v/>
      </c>
    </row>
    <row r="26" customFormat="false" ht="15" hidden="false" customHeight="false" outlineLevel="0" collapsed="false">
      <c r="A26" s="44"/>
      <c r="B26" s="39"/>
      <c r="C26" s="45" t="str">
        <f aca="false">IF(B26="","",IFERROR(INDEX(Contract!$C$10:$C$23,MATCH(B26,Contract!$B$10:$B$23,0)),"Unknown code"))</f>
        <v/>
      </c>
      <c r="D26" s="46"/>
      <c r="E26" s="39"/>
      <c r="F26" s="39"/>
      <c r="G26" s="47" t="str">
        <f aca="false">IF(AND(B26="",D26=""),"",IF(B26="","Missing code",IF(C26="Unknown code","Unknown code",IF(D26="","Missing qty",IF(A26="","Missing date","")))))</f>
        <v/>
      </c>
    </row>
    <row r="27" customFormat="false" ht="15" hidden="false" customHeight="false" outlineLevel="0" collapsed="false">
      <c r="A27" s="44"/>
      <c r="B27" s="39"/>
      <c r="C27" s="45" t="str">
        <f aca="false">IF(B27="","",IFERROR(INDEX(Contract!$C$10:$C$23,MATCH(B27,Contract!$B$10:$B$23,0)),"Unknown code"))</f>
        <v/>
      </c>
      <c r="D27" s="46"/>
      <c r="E27" s="39"/>
      <c r="F27" s="39"/>
      <c r="G27" s="47" t="str">
        <f aca="false">IF(AND(B27="",D27=""),"",IF(B27="","Missing code",IF(C27="Unknown code","Unknown code",IF(D27="","Missing qty",IF(A27="","Missing date","")))))</f>
        <v/>
      </c>
    </row>
    <row r="28" customFormat="false" ht="15" hidden="false" customHeight="false" outlineLevel="0" collapsed="false">
      <c r="A28" s="44"/>
      <c r="B28" s="39"/>
      <c r="C28" s="45" t="str">
        <f aca="false">IF(B28="","",IFERROR(INDEX(Contract!$C$10:$C$23,MATCH(B28,Contract!$B$10:$B$23,0)),"Unknown code"))</f>
        <v/>
      </c>
      <c r="D28" s="46"/>
      <c r="E28" s="39"/>
      <c r="F28" s="39"/>
      <c r="G28" s="47" t="str">
        <f aca="false">IF(AND(B28="",D28=""),"",IF(B28="","Missing code",IF(C28="Unknown code","Unknown code",IF(D28="","Missing qty",IF(A28="","Missing date","")))))</f>
        <v/>
      </c>
    </row>
    <row r="29" customFormat="false" ht="15" hidden="false" customHeight="false" outlineLevel="0" collapsed="false">
      <c r="A29" s="44"/>
      <c r="B29" s="39"/>
      <c r="C29" s="45" t="str">
        <f aca="false">IF(B29="","",IFERROR(INDEX(Contract!$C$10:$C$23,MATCH(B29,Contract!$B$10:$B$23,0)),"Unknown code"))</f>
        <v/>
      </c>
      <c r="D29" s="46"/>
      <c r="E29" s="39"/>
      <c r="F29" s="39"/>
      <c r="G29" s="47" t="str">
        <f aca="false">IF(AND(B29="",D29=""),"",IF(B29="","Missing code",IF(C29="Unknown code","Unknown code",IF(D29="","Missing qty",IF(A29="","Missing date","")))))</f>
        <v/>
      </c>
    </row>
    <row r="30" customFormat="false" ht="15" hidden="false" customHeight="false" outlineLevel="0" collapsed="false">
      <c r="A30" s="44"/>
      <c r="B30" s="39"/>
      <c r="C30" s="45" t="str">
        <f aca="false">IF(B30="","",IFERROR(INDEX(Contract!$C$10:$C$23,MATCH(B30,Contract!$B$10:$B$23,0)),"Unknown code"))</f>
        <v/>
      </c>
      <c r="D30" s="46"/>
      <c r="E30" s="39"/>
      <c r="F30" s="39"/>
      <c r="G30" s="47" t="str">
        <f aca="false">IF(AND(B30="",D30=""),"",IF(B30="","Missing code",IF(C30="Unknown code","Unknown code",IF(D30="","Missing qty",IF(A30="","Missing date","")))))</f>
        <v/>
      </c>
    </row>
    <row r="31" customFormat="false" ht="15" hidden="false" customHeight="false" outlineLevel="0" collapsed="false">
      <c r="A31" s="44"/>
      <c r="B31" s="39"/>
      <c r="C31" s="45" t="str">
        <f aca="false">IF(B31="","",IFERROR(INDEX(Contract!$C$10:$C$23,MATCH(B31,Contract!$B$10:$B$23,0)),"Unknown code"))</f>
        <v/>
      </c>
      <c r="D31" s="46"/>
      <c r="E31" s="39"/>
      <c r="F31" s="39"/>
      <c r="G31" s="47" t="str">
        <f aca="false">IF(AND(B31="",D31=""),"",IF(B31="","Missing code",IF(C31="Unknown code","Unknown code",IF(D31="","Missing qty",IF(A31="","Missing date","")))))</f>
        <v/>
      </c>
    </row>
    <row r="32" customFormat="false" ht="15" hidden="false" customHeight="false" outlineLevel="0" collapsed="false">
      <c r="A32" s="44"/>
      <c r="B32" s="39"/>
      <c r="C32" s="45" t="str">
        <f aca="false">IF(B32="","",IFERROR(INDEX(Contract!$C$10:$C$23,MATCH(B32,Contract!$B$10:$B$23,0)),"Unknown code"))</f>
        <v/>
      </c>
      <c r="D32" s="46"/>
      <c r="E32" s="39"/>
      <c r="F32" s="39"/>
      <c r="G32" s="47" t="str">
        <f aca="false">IF(AND(B32="",D32=""),"",IF(B32="","Missing code",IF(C32="Unknown code","Unknown code",IF(D32="","Missing qty",IF(A32="","Missing date","")))))</f>
        <v/>
      </c>
    </row>
    <row r="33" customFormat="false" ht="15" hidden="false" customHeight="false" outlineLevel="0" collapsed="false">
      <c r="A33" s="44"/>
      <c r="B33" s="39"/>
      <c r="C33" s="45" t="str">
        <f aca="false">IF(B33="","",IFERROR(INDEX(Contract!$C$10:$C$23,MATCH(B33,Contract!$B$10:$B$23,0)),"Unknown code"))</f>
        <v/>
      </c>
      <c r="D33" s="46"/>
      <c r="E33" s="39"/>
      <c r="F33" s="39"/>
      <c r="G33" s="47" t="str">
        <f aca="false">IF(AND(B33="",D33=""),"",IF(B33="","Missing code",IF(C33="Unknown code","Unknown code",IF(D33="","Missing qty",IF(A33="","Missing date","")))))</f>
        <v/>
      </c>
    </row>
    <row r="34" customFormat="false" ht="15" hidden="false" customHeight="false" outlineLevel="0" collapsed="false">
      <c r="A34" s="44"/>
      <c r="B34" s="39"/>
      <c r="C34" s="45" t="str">
        <f aca="false">IF(B34="","",IFERROR(INDEX(Contract!$C$10:$C$23,MATCH(B34,Contract!$B$10:$B$23,0)),"Unknown code"))</f>
        <v/>
      </c>
      <c r="D34" s="46"/>
      <c r="E34" s="39"/>
      <c r="F34" s="39"/>
      <c r="G34" s="47" t="str">
        <f aca="false">IF(AND(B34="",D34=""),"",IF(B34="","Missing code",IF(C34="Unknown code","Unknown code",IF(D34="","Missing qty",IF(A34="","Missing date","")))))</f>
        <v/>
      </c>
    </row>
    <row r="35" customFormat="false" ht="15" hidden="false" customHeight="false" outlineLevel="0" collapsed="false">
      <c r="A35" s="44"/>
      <c r="B35" s="39"/>
      <c r="C35" s="45" t="str">
        <f aca="false">IF(B35="","",IFERROR(INDEX(Contract!$C$10:$C$23,MATCH(B35,Contract!$B$10:$B$23,0)),"Unknown code"))</f>
        <v/>
      </c>
      <c r="D35" s="46"/>
      <c r="E35" s="39"/>
      <c r="F35" s="39"/>
      <c r="G35" s="47" t="str">
        <f aca="false">IF(AND(B35="",D35=""),"",IF(B35="","Missing code",IF(C35="Unknown code","Unknown code",IF(D35="","Missing qty",IF(A35="","Missing date","")))))</f>
        <v/>
      </c>
    </row>
    <row r="36" customFormat="false" ht="15" hidden="false" customHeight="false" outlineLevel="0" collapsed="false">
      <c r="A36" s="44"/>
      <c r="B36" s="39"/>
      <c r="C36" s="45" t="str">
        <f aca="false">IF(B36="","",IFERROR(INDEX(Contract!$C$10:$C$23,MATCH(B36,Contract!$B$10:$B$23,0)),"Unknown code"))</f>
        <v/>
      </c>
      <c r="D36" s="46"/>
      <c r="E36" s="39"/>
      <c r="F36" s="39"/>
      <c r="G36" s="47" t="str">
        <f aca="false">IF(AND(B36="",D36=""),"",IF(B36="","Missing code",IF(C36="Unknown code","Unknown code",IF(D36="","Missing qty",IF(A36="","Missing date","")))))</f>
        <v/>
      </c>
    </row>
    <row r="37" customFormat="false" ht="15" hidden="false" customHeight="false" outlineLevel="0" collapsed="false">
      <c r="A37" s="44"/>
      <c r="B37" s="39"/>
      <c r="C37" s="45" t="str">
        <f aca="false">IF(B37="","",IFERROR(INDEX(Contract!$C$10:$C$23,MATCH(B37,Contract!$B$10:$B$23,0)),"Unknown code"))</f>
        <v/>
      </c>
      <c r="D37" s="46"/>
      <c r="E37" s="39"/>
      <c r="F37" s="39"/>
      <c r="G37" s="47" t="str">
        <f aca="false">IF(AND(B37="",D37=""),"",IF(B37="","Missing code",IF(C37="Unknown code","Unknown code",IF(D37="","Missing qty",IF(A37="","Missing date","")))))</f>
        <v/>
      </c>
    </row>
    <row r="38" customFormat="false" ht="15" hidden="false" customHeight="false" outlineLevel="0" collapsed="false">
      <c r="A38" s="44"/>
      <c r="B38" s="39"/>
      <c r="C38" s="45" t="str">
        <f aca="false">IF(B38="","",IFERROR(INDEX(Contract!$C$10:$C$23,MATCH(B38,Contract!$B$10:$B$23,0)),"Unknown code"))</f>
        <v/>
      </c>
      <c r="D38" s="46"/>
      <c r="E38" s="39"/>
      <c r="F38" s="39"/>
      <c r="G38" s="47" t="str">
        <f aca="false">IF(AND(B38="",D38=""),"",IF(B38="","Missing code",IF(C38="Unknown code","Unknown code",IF(D38="","Missing qty",IF(A38="","Missing date","")))))</f>
        <v/>
      </c>
    </row>
    <row r="39" customFormat="false" ht="15" hidden="false" customHeight="false" outlineLevel="0" collapsed="false">
      <c r="A39" s="44"/>
      <c r="B39" s="39"/>
      <c r="C39" s="45" t="str">
        <f aca="false">IF(B39="","",IFERROR(INDEX(Contract!$C$10:$C$23,MATCH(B39,Contract!$B$10:$B$23,0)),"Unknown code"))</f>
        <v/>
      </c>
      <c r="D39" s="46"/>
      <c r="E39" s="39"/>
      <c r="F39" s="39"/>
      <c r="G39" s="47" t="str">
        <f aca="false">IF(AND(B39="",D39=""),"",IF(B39="","Missing code",IF(C39="Unknown code","Unknown code",IF(D39="","Missing qty",IF(A39="","Missing date","")))))</f>
        <v/>
      </c>
    </row>
    <row r="40" customFormat="false" ht="15" hidden="false" customHeight="false" outlineLevel="0" collapsed="false">
      <c r="A40" s="44"/>
      <c r="B40" s="39"/>
      <c r="C40" s="45" t="str">
        <f aca="false">IF(B40="","",IFERROR(INDEX(Contract!$C$10:$C$23,MATCH(B40,Contract!$B$10:$B$23,0)),"Unknown code"))</f>
        <v/>
      </c>
      <c r="D40" s="46"/>
      <c r="E40" s="39"/>
      <c r="F40" s="39"/>
      <c r="G40" s="47" t="str">
        <f aca="false">IF(AND(B40="",D40=""),"",IF(B40="","Missing code",IF(C40="Unknown code","Unknown code",IF(D40="","Missing qty",IF(A40="","Missing date","")))))</f>
        <v/>
      </c>
    </row>
    <row r="41" customFormat="false" ht="15" hidden="false" customHeight="false" outlineLevel="0" collapsed="false">
      <c r="A41" s="44"/>
      <c r="B41" s="39"/>
      <c r="C41" s="45" t="str">
        <f aca="false">IF(B41="","",IFERROR(INDEX(Contract!$C$10:$C$23,MATCH(B41,Contract!$B$10:$B$23,0)),"Unknown code"))</f>
        <v/>
      </c>
      <c r="D41" s="46"/>
      <c r="E41" s="39"/>
      <c r="F41" s="39"/>
      <c r="G41" s="47" t="str">
        <f aca="false">IF(AND(B41="",D41=""),"",IF(B41="","Missing code",IF(C41="Unknown code","Unknown code",IF(D41="","Missing qty",IF(A41="","Missing date","")))))</f>
        <v/>
      </c>
    </row>
    <row r="42" customFormat="false" ht="15" hidden="false" customHeight="false" outlineLevel="0" collapsed="false">
      <c r="A42" s="44"/>
      <c r="B42" s="39"/>
      <c r="C42" s="45" t="str">
        <f aca="false">IF(B42="","",IFERROR(INDEX(Contract!$C$10:$C$23,MATCH(B42,Contract!$B$10:$B$23,0)),"Unknown code"))</f>
        <v/>
      </c>
      <c r="D42" s="46"/>
      <c r="E42" s="39"/>
      <c r="F42" s="39"/>
      <c r="G42" s="47" t="str">
        <f aca="false">IF(AND(B42="",D42=""),"",IF(B42="","Missing code",IF(C42="Unknown code","Unknown code",IF(D42="","Missing qty",IF(A42="","Missing date","")))))</f>
        <v/>
      </c>
    </row>
    <row r="43" customFormat="false" ht="15" hidden="false" customHeight="false" outlineLevel="0" collapsed="false">
      <c r="A43" s="44"/>
      <c r="B43" s="39"/>
      <c r="C43" s="45" t="str">
        <f aca="false">IF(B43="","",IFERROR(INDEX(Contract!$C$10:$C$23,MATCH(B43,Contract!$B$10:$B$23,0)),"Unknown code"))</f>
        <v/>
      </c>
      <c r="D43" s="46"/>
      <c r="E43" s="39"/>
      <c r="F43" s="39"/>
      <c r="G43" s="47" t="str">
        <f aca="false">IF(AND(B43="",D43=""),"",IF(B43="","Missing code",IF(C43="Unknown code","Unknown code",IF(D43="","Missing qty",IF(A43="","Missing date","")))))</f>
        <v/>
      </c>
    </row>
    <row r="44" customFormat="false" ht="15" hidden="false" customHeight="false" outlineLevel="0" collapsed="false">
      <c r="A44" s="44"/>
      <c r="B44" s="39"/>
      <c r="C44" s="45" t="str">
        <f aca="false">IF(B44="","",IFERROR(INDEX(Contract!$C$10:$C$23,MATCH(B44,Contract!$B$10:$B$23,0)),"Unknown code"))</f>
        <v/>
      </c>
      <c r="D44" s="46"/>
      <c r="E44" s="39"/>
      <c r="F44" s="39"/>
      <c r="G44" s="47" t="str">
        <f aca="false">IF(AND(B44="",D44=""),"",IF(B44="","Missing code",IF(C44="Unknown code","Unknown code",IF(D44="","Missing qty",IF(A44="","Missing date","")))))</f>
        <v/>
      </c>
    </row>
    <row r="45" customFormat="false" ht="15" hidden="false" customHeight="false" outlineLevel="0" collapsed="false">
      <c r="A45" s="44"/>
      <c r="B45" s="39"/>
      <c r="C45" s="45" t="str">
        <f aca="false">IF(B45="","",IFERROR(INDEX(Contract!$C$10:$C$23,MATCH(B45,Contract!$B$10:$B$23,0)),"Unknown code"))</f>
        <v/>
      </c>
      <c r="D45" s="46"/>
      <c r="E45" s="39"/>
      <c r="F45" s="39"/>
      <c r="G45" s="47" t="str">
        <f aca="false">IF(AND(B45="",D45=""),"",IF(B45="","Missing code",IF(C45="Unknown code","Unknown code",IF(D45="","Missing qty",IF(A45="","Missing date","")))))</f>
        <v/>
      </c>
    </row>
    <row r="46" customFormat="false" ht="15" hidden="false" customHeight="false" outlineLevel="0" collapsed="false">
      <c r="A46" s="44"/>
      <c r="B46" s="39"/>
      <c r="C46" s="45" t="str">
        <f aca="false">IF(B46="","",IFERROR(INDEX(Contract!$C$10:$C$23,MATCH(B46,Contract!$B$10:$B$23,0)),"Unknown code"))</f>
        <v/>
      </c>
      <c r="D46" s="46"/>
      <c r="E46" s="39"/>
      <c r="F46" s="39"/>
      <c r="G46" s="47" t="str">
        <f aca="false">IF(AND(B46="",D46=""),"",IF(B46="","Missing code",IF(C46="Unknown code","Unknown code",IF(D46="","Missing qty",IF(A46="","Missing date","")))))</f>
        <v/>
      </c>
    </row>
    <row r="47" customFormat="false" ht="15" hidden="false" customHeight="false" outlineLevel="0" collapsed="false">
      <c r="A47" s="44"/>
      <c r="B47" s="39"/>
      <c r="C47" s="45" t="str">
        <f aca="false">IF(B47="","",IFERROR(INDEX(Contract!$C$10:$C$23,MATCH(B47,Contract!$B$10:$B$23,0)),"Unknown code"))</f>
        <v/>
      </c>
      <c r="D47" s="46"/>
      <c r="E47" s="39"/>
      <c r="F47" s="39"/>
      <c r="G47" s="47" t="str">
        <f aca="false">IF(AND(B47="",D47=""),"",IF(B47="","Missing code",IF(C47="Unknown code","Unknown code",IF(D47="","Missing qty",IF(A47="","Missing date","")))))</f>
        <v/>
      </c>
    </row>
    <row r="48" customFormat="false" ht="15" hidden="false" customHeight="false" outlineLevel="0" collapsed="false">
      <c r="A48" s="44"/>
      <c r="B48" s="39"/>
      <c r="C48" s="45" t="str">
        <f aca="false">IF(B48="","",IFERROR(INDEX(Contract!$C$10:$C$23,MATCH(B48,Contract!$B$10:$B$23,0)),"Unknown code"))</f>
        <v/>
      </c>
      <c r="D48" s="46"/>
      <c r="E48" s="39"/>
      <c r="F48" s="39"/>
      <c r="G48" s="47" t="str">
        <f aca="false">IF(AND(B48="",D48=""),"",IF(B48="","Missing code",IF(C48="Unknown code","Unknown code",IF(D48="","Missing qty",IF(A48="","Missing date","")))))</f>
        <v/>
      </c>
    </row>
    <row r="49" customFormat="false" ht="15" hidden="false" customHeight="false" outlineLevel="0" collapsed="false">
      <c r="A49" s="44"/>
      <c r="B49" s="39"/>
      <c r="C49" s="45" t="str">
        <f aca="false">IF(B49="","",IFERROR(INDEX(Contract!$C$10:$C$23,MATCH(B49,Contract!$B$10:$B$23,0)),"Unknown code"))</f>
        <v/>
      </c>
      <c r="D49" s="46"/>
      <c r="E49" s="39"/>
      <c r="F49" s="39"/>
      <c r="G49" s="47" t="str">
        <f aca="false">IF(AND(B49="",D49=""),"",IF(B49="","Missing code",IF(C49="Unknown code","Unknown code",IF(D49="","Missing qty",IF(A49="","Missing date","")))))</f>
        <v/>
      </c>
    </row>
    <row r="50" customFormat="false" ht="15" hidden="false" customHeight="false" outlineLevel="0" collapsed="false">
      <c r="A50" s="44"/>
      <c r="B50" s="39"/>
      <c r="C50" s="45" t="str">
        <f aca="false">IF(B50="","",IFERROR(INDEX(Contract!$C$10:$C$23,MATCH(B50,Contract!$B$10:$B$23,0)),"Unknown code"))</f>
        <v/>
      </c>
      <c r="D50" s="46"/>
      <c r="E50" s="39"/>
      <c r="F50" s="39"/>
      <c r="G50" s="47" t="str">
        <f aca="false">IF(AND(B50="",D50=""),"",IF(B50="","Missing code",IF(C50="Unknown code","Unknown code",IF(D50="","Missing qty",IF(A50="","Missing date","")))))</f>
        <v/>
      </c>
    </row>
    <row r="51" customFormat="false" ht="15" hidden="false" customHeight="false" outlineLevel="0" collapsed="false">
      <c r="A51" s="44"/>
      <c r="B51" s="39"/>
      <c r="C51" s="45" t="str">
        <f aca="false">IF(B51="","",IFERROR(INDEX(Contract!$C$10:$C$23,MATCH(B51,Contract!$B$10:$B$23,0)),"Unknown code"))</f>
        <v/>
      </c>
      <c r="D51" s="46"/>
      <c r="E51" s="39"/>
      <c r="F51" s="39"/>
      <c r="G51" s="47" t="str">
        <f aca="false">IF(AND(B51="",D51=""),"",IF(B51="","Missing code",IF(C51="Unknown code","Unknown code",IF(D51="","Missing qty",IF(A51="","Missing date","")))))</f>
        <v/>
      </c>
    </row>
    <row r="52" customFormat="false" ht="15" hidden="false" customHeight="false" outlineLevel="0" collapsed="false">
      <c r="A52" s="44"/>
      <c r="B52" s="39"/>
      <c r="C52" s="45" t="str">
        <f aca="false">IF(B52="","",IFERROR(INDEX(Contract!$C$10:$C$23,MATCH(B52,Contract!$B$10:$B$23,0)),"Unknown code"))</f>
        <v/>
      </c>
      <c r="D52" s="46"/>
      <c r="E52" s="39"/>
      <c r="F52" s="39"/>
      <c r="G52" s="47" t="str">
        <f aca="false">IF(AND(B52="",D52=""),"",IF(B52="","Missing code",IF(C52="Unknown code","Unknown code",IF(D52="","Missing qty",IF(A52="","Missing date","")))))</f>
        <v/>
      </c>
    </row>
    <row r="53" customFormat="false" ht="15" hidden="false" customHeight="false" outlineLevel="0" collapsed="false">
      <c r="A53" s="44"/>
      <c r="B53" s="39"/>
      <c r="C53" s="45" t="str">
        <f aca="false">IF(B53="","",IFERROR(INDEX(Contract!$C$10:$C$23,MATCH(B53,Contract!$B$10:$B$23,0)),"Unknown code"))</f>
        <v/>
      </c>
      <c r="D53" s="46"/>
      <c r="E53" s="39"/>
      <c r="F53" s="39"/>
      <c r="G53" s="47" t="str">
        <f aca="false">IF(AND(B53="",D53=""),"",IF(B53="","Missing code",IF(C53="Unknown code","Unknown code",IF(D53="","Missing qty",IF(A53="","Missing date","")))))</f>
        <v/>
      </c>
    </row>
    <row r="54" customFormat="false" ht="15" hidden="false" customHeight="false" outlineLevel="0" collapsed="false">
      <c r="A54" s="44"/>
      <c r="B54" s="39"/>
      <c r="C54" s="45" t="str">
        <f aca="false">IF(B54="","",IFERROR(INDEX(Contract!$C$10:$C$23,MATCH(B54,Contract!$B$10:$B$23,0)),"Unknown code"))</f>
        <v/>
      </c>
      <c r="D54" s="46"/>
      <c r="E54" s="39"/>
      <c r="F54" s="39"/>
      <c r="G54" s="47" t="str">
        <f aca="false">IF(AND(B54="",D54=""),"",IF(B54="","Missing code",IF(C54="Unknown code","Unknown code",IF(D54="","Missing qty",IF(A54="","Missing date","")))))</f>
        <v/>
      </c>
    </row>
    <row r="55" customFormat="false" ht="15" hidden="false" customHeight="false" outlineLevel="0" collapsed="false">
      <c r="A55" s="44"/>
      <c r="B55" s="39"/>
      <c r="C55" s="45" t="str">
        <f aca="false">IF(B55="","",IFERROR(INDEX(Contract!$C$10:$C$23,MATCH(B55,Contract!$B$10:$B$23,0)),"Unknown code"))</f>
        <v/>
      </c>
      <c r="D55" s="46"/>
      <c r="E55" s="39"/>
      <c r="F55" s="39"/>
      <c r="G55" s="47" t="str">
        <f aca="false">IF(AND(B55="",D55=""),"",IF(B55="","Missing code",IF(C55="Unknown code","Unknown code",IF(D55="","Missing qty",IF(A55="","Missing date","")))))</f>
        <v/>
      </c>
    </row>
    <row r="56" customFormat="false" ht="15" hidden="false" customHeight="false" outlineLevel="0" collapsed="false">
      <c r="A56" s="44"/>
      <c r="B56" s="39"/>
      <c r="C56" s="45" t="str">
        <f aca="false">IF(B56="","",IFERROR(INDEX(Contract!$C$10:$C$23,MATCH(B56,Contract!$B$10:$B$23,0)),"Unknown code"))</f>
        <v/>
      </c>
      <c r="D56" s="46"/>
      <c r="E56" s="39"/>
      <c r="F56" s="39"/>
      <c r="G56" s="47" t="str">
        <f aca="false">IF(AND(B56="",D56=""),"",IF(B56="","Missing code",IF(C56="Unknown code","Unknown code",IF(D56="","Missing qty",IF(A56="","Missing date","")))))</f>
        <v/>
      </c>
    </row>
    <row r="57" customFormat="false" ht="15" hidden="false" customHeight="false" outlineLevel="0" collapsed="false">
      <c r="A57" s="44"/>
      <c r="B57" s="39"/>
      <c r="C57" s="45" t="str">
        <f aca="false">IF(B57="","",IFERROR(INDEX(Contract!$C$10:$C$23,MATCH(B57,Contract!$B$10:$B$23,0)),"Unknown code"))</f>
        <v/>
      </c>
      <c r="D57" s="46"/>
      <c r="E57" s="39"/>
      <c r="F57" s="39"/>
      <c r="G57" s="47" t="str">
        <f aca="false">IF(AND(B57="",D57=""),"",IF(B57="","Missing code",IF(C57="Unknown code","Unknown code",IF(D57="","Missing qty",IF(A57="","Missing date","")))))</f>
        <v/>
      </c>
    </row>
    <row r="58" customFormat="false" ht="15" hidden="false" customHeight="false" outlineLevel="0" collapsed="false">
      <c r="A58" s="44"/>
      <c r="B58" s="39"/>
      <c r="C58" s="45" t="str">
        <f aca="false">IF(B58="","",IFERROR(INDEX(Contract!$C$10:$C$23,MATCH(B58,Contract!$B$10:$B$23,0)),"Unknown code"))</f>
        <v/>
      </c>
      <c r="D58" s="46"/>
      <c r="E58" s="39"/>
      <c r="F58" s="39"/>
      <c r="G58" s="47" t="str">
        <f aca="false">IF(AND(B58="",D58=""),"",IF(B58="","Missing code",IF(C58="Unknown code","Unknown code",IF(D58="","Missing qty",IF(A58="","Missing date","")))))</f>
        <v/>
      </c>
    </row>
    <row r="59" customFormat="false" ht="15" hidden="false" customHeight="false" outlineLevel="0" collapsed="false">
      <c r="A59" s="44"/>
      <c r="B59" s="39"/>
      <c r="C59" s="45" t="str">
        <f aca="false">IF(B59="","",IFERROR(INDEX(Contract!$C$10:$C$23,MATCH(B59,Contract!$B$10:$B$23,0)),"Unknown code"))</f>
        <v/>
      </c>
      <c r="D59" s="46"/>
      <c r="E59" s="39"/>
      <c r="F59" s="39"/>
      <c r="G59" s="47" t="str">
        <f aca="false">IF(AND(B59="",D59=""),"",IF(B59="","Missing code",IF(C59="Unknown code","Unknown code",IF(D59="","Missing qty",IF(A59="","Missing date","")))))</f>
        <v/>
      </c>
    </row>
    <row r="60" customFormat="false" ht="15" hidden="false" customHeight="false" outlineLevel="0" collapsed="false">
      <c r="A60" s="44"/>
      <c r="B60" s="39"/>
      <c r="C60" s="45" t="str">
        <f aca="false">IF(B60="","",IFERROR(INDEX(Contract!$C$10:$C$23,MATCH(B60,Contract!$B$10:$B$23,0)),"Unknown code"))</f>
        <v/>
      </c>
      <c r="D60" s="46"/>
      <c r="E60" s="39"/>
      <c r="F60" s="39"/>
      <c r="G60" s="47" t="str">
        <f aca="false">IF(AND(B60="",D60=""),"",IF(B60="","Missing code",IF(C60="Unknown code","Unknown code",IF(D60="","Missing qty",IF(A60="","Missing date","")))))</f>
        <v/>
      </c>
    </row>
    <row r="61" customFormat="false" ht="15" hidden="false" customHeight="false" outlineLevel="0" collapsed="false">
      <c r="A61" s="44"/>
      <c r="B61" s="39"/>
      <c r="C61" s="45" t="str">
        <f aca="false">IF(B61="","",IFERROR(INDEX(Contract!$C$10:$C$23,MATCH(B61,Contract!$B$10:$B$23,0)),"Unknown code"))</f>
        <v/>
      </c>
      <c r="D61" s="46"/>
      <c r="E61" s="39"/>
      <c r="F61" s="39"/>
      <c r="G61" s="47" t="str">
        <f aca="false">IF(AND(B61="",D61=""),"",IF(B61="","Missing code",IF(C61="Unknown code","Unknown code",IF(D61="","Missing qty",IF(A61="","Missing date","")))))</f>
        <v/>
      </c>
    </row>
    <row r="62" customFormat="false" ht="15" hidden="false" customHeight="false" outlineLevel="0" collapsed="false">
      <c r="A62" s="44"/>
      <c r="B62" s="39"/>
      <c r="C62" s="45" t="str">
        <f aca="false">IF(B62="","",IFERROR(INDEX(Contract!$C$10:$C$23,MATCH(B62,Contract!$B$10:$B$23,0)),"Unknown code"))</f>
        <v/>
      </c>
      <c r="D62" s="46"/>
      <c r="E62" s="39"/>
      <c r="F62" s="39"/>
      <c r="G62" s="47" t="str">
        <f aca="false">IF(AND(B62="",D62=""),"",IF(B62="","Missing code",IF(C62="Unknown code","Unknown code",IF(D62="","Missing qty",IF(A62="","Missing date","")))))</f>
        <v/>
      </c>
    </row>
    <row r="63" customFormat="false" ht="15" hidden="false" customHeight="false" outlineLevel="0" collapsed="false">
      <c r="A63" s="44"/>
      <c r="B63" s="39"/>
      <c r="C63" s="45" t="str">
        <f aca="false">IF(B63="","",IFERROR(INDEX(Contract!$C$10:$C$23,MATCH(B63,Contract!$B$10:$B$23,0)),"Unknown code"))</f>
        <v/>
      </c>
      <c r="D63" s="46"/>
      <c r="E63" s="39"/>
      <c r="F63" s="39"/>
      <c r="G63" s="47" t="str">
        <f aca="false">IF(AND(B63="",D63=""),"",IF(B63="","Missing code",IF(C63="Unknown code","Unknown code",IF(D63="","Missing qty",IF(A63="","Missing date","")))))</f>
        <v/>
      </c>
    </row>
    <row r="64" customFormat="false" ht="15" hidden="false" customHeight="false" outlineLevel="0" collapsed="false">
      <c r="A64" s="44"/>
      <c r="B64" s="39"/>
      <c r="C64" s="45" t="str">
        <f aca="false">IF(B64="","",IFERROR(INDEX(Contract!$C$10:$C$23,MATCH(B64,Contract!$B$10:$B$23,0)),"Unknown code"))</f>
        <v/>
      </c>
      <c r="D64" s="46"/>
      <c r="E64" s="39"/>
      <c r="F64" s="39"/>
      <c r="G64" s="47" t="str">
        <f aca="false">IF(AND(B64="",D64=""),"",IF(B64="","Missing code",IF(C64="Unknown code","Unknown code",IF(D64="","Missing qty",IF(A64="","Missing date","")))))</f>
        <v/>
      </c>
    </row>
    <row r="65" customFormat="false" ht="15" hidden="false" customHeight="false" outlineLevel="0" collapsed="false">
      <c r="A65" s="44"/>
      <c r="B65" s="39"/>
      <c r="C65" s="45" t="str">
        <f aca="false">IF(B65="","",IFERROR(INDEX(Contract!$C$10:$C$23,MATCH(B65,Contract!$B$10:$B$23,0)),"Unknown code"))</f>
        <v/>
      </c>
      <c r="D65" s="46"/>
      <c r="E65" s="39"/>
      <c r="F65" s="39"/>
      <c r="G65" s="47" t="str">
        <f aca="false">IF(AND(B65="",D65=""),"",IF(B65="","Missing code",IF(C65="Unknown code","Unknown code",IF(D65="","Missing qty",IF(A65="","Missing date","")))))</f>
        <v/>
      </c>
    </row>
    <row r="66" customFormat="false" ht="15" hidden="false" customHeight="false" outlineLevel="0" collapsed="false">
      <c r="A66" s="44"/>
      <c r="B66" s="39"/>
      <c r="C66" s="45" t="str">
        <f aca="false">IF(B66="","",IFERROR(INDEX(Contract!$C$10:$C$23,MATCH(B66,Contract!$B$10:$B$23,0)),"Unknown code"))</f>
        <v/>
      </c>
      <c r="D66" s="46"/>
      <c r="E66" s="39"/>
      <c r="F66" s="39"/>
      <c r="G66" s="47" t="str">
        <f aca="false">IF(AND(B66="",D66=""),"",IF(B66="","Missing code",IF(C66="Unknown code","Unknown code",IF(D66="","Missing qty",IF(A66="","Missing date","")))))</f>
        <v/>
      </c>
    </row>
    <row r="67" customFormat="false" ht="15" hidden="false" customHeight="false" outlineLevel="0" collapsed="false">
      <c r="A67" s="44"/>
      <c r="B67" s="39"/>
      <c r="C67" s="45" t="str">
        <f aca="false">IF(B67="","",IFERROR(INDEX(Contract!$C$10:$C$23,MATCH(B67,Contract!$B$10:$B$23,0)),"Unknown code"))</f>
        <v/>
      </c>
      <c r="D67" s="46"/>
      <c r="E67" s="39"/>
      <c r="F67" s="39"/>
      <c r="G67" s="47" t="str">
        <f aca="false">IF(AND(B67="",D67=""),"",IF(B67="","Missing code",IF(C67="Unknown code","Unknown code",IF(D67="","Missing qty",IF(A67="","Missing date","")))))</f>
        <v/>
      </c>
    </row>
    <row r="68" customFormat="false" ht="15" hidden="false" customHeight="false" outlineLevel="0" collapsed="false">
      <c r="A68" s="44"/>
      <c r="B68" s="39"/>
      <c r="C68" s="45" t="str">
        <f aca="false">IF(B68="","",IFERROR(INDEX(Contract!$C$10:$C$23,MATCH(B68,Contract!$B$10:$B$23,0)),"Unknown code"))</f>
        <v/>
      </c>
      <c r="D68" s="46"/>
      <c r="E68" s="39"/>
      <c r="F68" s="39"/>
      <c r="G68" s="47" t="str">
        <f aca="false">IF(AND(B68="",D68=""),"",IF(B68="","Missing code",IF(C68="Unknown code","Unknown code",IF(D68="","Missing qty",IF(A68="","Missing date","")))))</f>
        <v/>
      </c>
    </row>
    <row r="69" customFormat="false" ht="15" hidden="false" customHeight="false" outlineLevel="0" collapsed="false">
      <c r="A69" s="44"/>
      <c r="B69" s="39"/>
      <c r="C69" s="45" t="str">
        <f aca="false">IF(B69="","",IFERROR(INDEX(Contract!$C$10:$C$23,MATCH(B69,Contract!$B$10:$B$23,0)),"Unknown code"))</f>
        <v/>
      </c>
      <c r="D69" s="46"/>
      <c r="E69" s="39"/>
      <c r="F69" s="39"/>
      <c r="G69" s="47" t="str">
        <f aca="false">IF(AND(B69="",D69=""),"",IF(B69="","Missing code",IF(C69="Unknown code","Unknown code",IF(D69="","Missing qty",IF(A69="","Missing date","")))))</f>
        <v/>
      </c>
    </row>
    <row r="70" customFormat="false" ht="15" hidden="false" customHeight="false" outlineLevel="0" collapsed="false">
      <c r="A70" s="44"/>
      <c r="B70" s="39"/>
      <c r="C70" s="45" t="str">
        <f aca="false">IF(B70="","",IFERROR(INDEX(Contract!$C$10:$C$23,MATCH(B70,Contract!$B$10:$B$23,0)),"Unknown code"))</f>
        <v/>
      </c>
      <c r="D70" s="46"/>
      <c r="E70" s="39"/>
      <c r="F70" s="39"/>
      <c r="G70" s="47" t="str">
        <f aca="false">IF(AND(B70="",D70=""),"",IF(B70="","Missing code",IF(C70="Unknown code","Unknown code",IF(D70="","Missing qty",IF(A70="","Missing date","")))))</f>
        <v/>
      </c>
    </row>
    <row r="71" customFormat="false" ht="15" hidden="false" customHeight="false" outlineLevel="0" collapsed="false">
      <c r="A71" s="44"/>
      <c r="B71" s="39"/>
      <c r="C71" s="45" t="str">
        <f aca="false">IF(B71="","",IFERROR(INDEX(Contract!$C$10:$C$23,MATCH(B71,Contract!$B$10:$B$23,0)),"Unknown code"))</f>
        <v/>
      </c>
      <c r="D71" s="46"/>
      <c r="E71" s="39"/>
      <c r="F71" s="39"/>
      <c r="G71" s="47" t="str">
        <f aca="false">IF(AND(B71="",D71=""),"",IF(B71="","Missing code",IF(C71="Unknown code","Unknown code",IF(D71="","Missing qty",IF(A71="","Missing date","")))))</f>
        <v/>
      </c>
    </row>
    <row r="72" customFormat="false" ht="15" hidden="false" customHeight="false" outlineLevel="0" collapsed="false">
      <c r="A72" s="44"/>
      <c r="B72" s="39"/>
      <c r="C72" s="45" t="str">
        <f aca="false">IF(B72="","",IFERROR(INDEX(Contract!$C$10:$C$23,MATCH(B72,Contract!$B$10:$B$23,0)),"Unknown code"))</f>
        <v/>
      </c>
      <c r="D72" s="46"/>
      <c r="E72" s="39"/>
      <c r="F72" s="39"/>
      <c r="G72" s="47" t="str">
        <f aca="false">IF(AND(B72="",D72=""),"",IF(B72="","Missing code",IF(C72="Unknown code","Unknown code",IF(D72="","Missing qty",IF(A72="","Missing date","")))))</f>
        <v/>
      </c>
    </row>
    <row r="73" customFormat="false" ht="15" hidden="false" customHeight="false" outlineLevel="0" collapsed="false">
      <c r="A73" s="44"/>
      <c r="B73" s="39"/>
      <c r="C73" s="45" t="str">
        <f aca="false">IF(B73="","",IFERROR(INDEX(Contract!$C$10:$C$23,MATCH(B73,Contract!$B$10:$B$23,0)),"Unknown code"))</f>
        <v/>
      </c>
      <c r="D73" s="46"/>
      <c r="E73" s="39"/>
      <c r="F73" s="39"/>
      <c r="G73" s="47" t="str">
        <f aca="false">IF(AND(B73="",D73=""),"",IF(B73="","Missing code",IF(C73="Unknown code","Unknown code",IF(D73="","Missing qty",IF(A73="","Missing date","")))))</f>
        <v/>
      </c>
    </row>
    <row r="74" customFormat="false" ht="15" hidden="false" customHeight="false" outlineLevel="0" collapsed="false">
      <c r="A74" s="44"/>
      <c r="B74" s="39"/>
      <c r="C74" s="45" t="str">
        <f aca="false">IF(B74="","",IFERROR(INDEX(Contract!$C$10:$C$23,MATCH(B74,Contract!$B$10:$B$23,0)),"Unknown code"))</f>
        <v/>
      </c>
      <c r="D74" s="46"/>
      <c r="E74" s="39"/>
      <c r="F74" s="39"/>
      <c r="G74" s="47" t="str">
        <f aca="false">IF(AND(B74="",D74=""),"",IF(B74="","Missing code",IF(C74="Unknown code","Unknown code",IF(D74="","Missing qty",IF(A74="","Missing date","")))))</f>
        <v/>
      </c>
    </row>
    <row r="75" customFormat="false" ht="15" hidden="false" customHeight="false" outlineLevel="0" collapsed="false">
      <c r="A75" s="44"/>
      <c r="B75" s="39"/>
      <c r="C75" s="45" t="str">
        <f aca="false">IF(B75="","",IFERROR(INDEX(Contract!$C$10:$C$23,MATCH(B75,Contract!$B$10:$B$23,0)),"Unknown code"))</f>
        <v/>
      </c>
      <c r="D75" s="46"/>
      <c r="E75" s="39"/>
      <c r="F75" s="39"/>
      <c r="G75" s="47" t="str">
        <f aca="false">IF(AND(B75="",D75=""),"",IF(B75="","Missing code",IF(C75="Unknown code","Unknown code",IF(D75="","Missing qty",IF(A75="","Missing date","")))))</f>
        <v/>
      </c>
    </row>
    <row r="76" customFormat="false" ht="15" hidden="false" customHeight="false" outlineLevel="0" collapsed="false">
      <c r="A76" s="44"/>
      <c r="B76" s="39"/>
      <c r="C76" s="45" t="str">
        <f aca="false">IF(B76="","",IFERROR(INDEX(Contract!$C$10:$C$23,MATCH(B76,Contract!$B$10:$B$23,0)),"Unknown code"))</f>
        <v/>
      </c>
      <c r="D76" s="46"/>
      <c r="E76" s="39"/>
      <c r="F76" s="39"/>
      <c r="G76" s="47" t="str">
        <f aca="false">IF(AND(B76="",D76=""),"",IF(B76="","Missing code",IF(C76="Unknown code","Unknown code",IF(D76="","Missing qty",IF(A76="","Missing date","")))))</f>
        <v/>
      </c>
    </row>
    <row r="77" customFormat="false" ht="15" hidden="false" customHeight="false" outlineLevel="0" collapsed="false">
      <c r="A77" s="44"/>
      <c r="B77" s="39"/>
      <c r="C77" s="45" t="str">
        <f aca="false">IF(B77="","",IFERROR(INDEX(Contract!$C$10:$C$23,MATCH(B77,Contract!$B$10:$B$23,0)),"Unknown code"))</f>
        <v/>
      </c>
      <c r="D77" s="46"/>
      <c r="E77" s="39"/>
      <c r="F77" s="39"/>
      <c r="G77" s="47" t="str">
        <f aca="false">IF(AND(B77="",D77=""),"",IF(B77="","Missing code",IF(C77="Unknown code","Unknown code",IF(D77="","Missing qty",IF(A77="","Missing date","")))))</f>
        <v/>
      </c>
    </row>
    <row r="78" customFormat="false" ht="15" hidden="false" customHeight="false" outlineLevel="0" collapsed="false">
      <c r="A78" s="44"/>
      <c r="B78" s="39"/>
      <c r="C78" s="45" t="str">
        <f aca="false">IF(B78="","",IFERROR(INDEX(Contract!$C$10:$C$23,MATCH(B78,Contract!$B$10:$B$23,0)),"Unknown code"))</f>
        <v/>
      </c>
      <c r="D78" s="46"/>
      <c r="E78" s="39"/>
      <c r="F78" s="39"/>
      <c r="G78" s="47" t="str">
        <f aca="false">IF(AND(B78="",D78=""),"",IF(B78="","Missing code",IF(C78="Unknown code","Unknown code",IF(D78="","Missing qty",IF(A78="","Missing date","")))))</f>
        <v/>
      </c>
    </row>
    <row r="79" customFormat="false" ht="15" hidden="false" customHeight="false" outlineLevel="0" collapsed="false">
      <c r="A79" s="44"/>
      <c r="B79" s="39"/>
      <c r="C79" s="45" t="str">
        <f aca="false">IF(B79="","",IFERROR(INDEX(Contract!$C$10:$C$23,MATCH(B79,Contract!$B$10:$B$23,0)),"Unknown code"))</f>
        <v/>
      </c>
      <c r="D79" s="46"/>
      <c r="E79" s="39"/>
      <c r="F79" s="39"/>
      <c r="G79" s="47" t="str">
        <f aca="false">IF(AND(B79="",D79=""),"",IF(B79="","Missing code",IF(C79="Unknown code","Unknown code",IF(D79="","Missing qty",IF(A79="","Missing date","")))))</f>
        <v/>
      </c>
    </row>
    <row r="80" customFormat="false" ht="15" hidden="false" customHeight="false" outlineLevel="0" collapsed="false">
      <c r="A80" s="44"/>
      <c r="B80" s="39"/>
      <c r="C80" s="45" t="str">
        <f aca="false">IF(B80="","",IFERROR(INDEX(Contract!$C$10:$C$23,MATCH(B80,Contract!$B$10:$B$23,0)),"Unknown code"))</f>
        <v/>
      </c>
      <c r="D80" s="46"/>
      <c r="E80" s="39"/>
      <c r="F80" s="39"/>
      <c r="G80" s="47" t="str">
        <f aca="false">IF(AND(B80="",D80=""),"",IF(B80="","Missing code",IF(C80="Unknown code","Unknown code",IF(D80="","Missing qty",IF(A80="","Missing date","")))))</f>
        <v/>
      </c>
    </row>
    <row r="81" customFormat="false" ht="15" hidden="false" customHeight="false" outlineLevel="0" collapsed="false">
      <c r="A81" s="44"/>
      <c r="B81" s="39"/>
      <c r="C81" s="45" t="str">
        <f aca="false">IF(B81="","",IFERROR(INDEX(Contract!$C$10:$C$23,MATCH(B81,Contract!$B$10:$B$23,0)),"Unknown code"))</f>
        <v/>
      </c>
      <c r="D81" s="46"/>
      <c r="E81" s="39"/>
      <c r="F81" s="39"/>
      <c r="G81" s="47" t="str">
        <f aca="false">IF(AND(B81="",D81=""),"",IF(B81="","Missing code",IF(C81="Unknown code","Unknown code",IF(D81="","Missing qty",IF(A81="","Missing date","")))))</f>
        <v/>
      </c>
    </row>
    <row r="82" customFormat="false" ht="15" hidden="false" customHeight="false" outlineLevel="0" collapsed="false">
      <c r="A82" s="44"/>
      <c r="B82" s="39"/>
      <c r="C82" s="45" t="str">
        <f aca="false">IF(B82="","",IFERROR(INDEX(Contract!$C$10:$C$23,MATCH(B82,Contract!$B$10:$B$23,0)),"Unknown code"))</f>
        <v/>
      </c>
      <c r="D82" s="46"/>
      <c r="E82" s="39"/>
      <c r="F82" s="39"/>
      <c r="G82" s="47" t="str">
        <f aca="false">IF(AND(B82="",D82=""),"",IF(B82="","Missing code",IF(C82="Unknown code","Unknown code",IF(D82="","Missing qty",IF(A82="","Missing date","")))))</f>
        <v/>
      </c>
    </row>
    <row r="83" customFormat="false" ht="15" hidden="false" customHeight="false" outlineLevel="0" collapsed="false">
      <c r="A83" s="44"/>
      <c r="B83" s="39"/>
      <c r="C83" s="45" t="str">
        <f aca="false">IF(B83="","",IFERROR(INDEX(Contract!$C$10:$C$23,MATCH(B83,Contract!$B$10:$B$23,0)),"Unknown code"))</f>
        <v/>
      </c>
      <c r="D83" s="46"/>
      <c r="E83" s="39"/>
      <c r="F83" s="39"/>
      <c r="G83" s="47" t="str">
        <f aca="false">IF(AND(B83="",D83=""),"",IF(B83="","Missing code",IF(C83="Unknown code","Unknown code",IF(D83="","Missing qty",IF(A83="","Missing date","")))))</f>
        <v/>
      </c>
    </row>
    <row r="84" customFormat="false" ht="15" hidden="false" customHeight="false" outlineLevel="0" collapsed="false">
      <c r="A84" s="44"/>
      <c r="B84" s="39"/>
      <c r="C84" s="45" t="str">
        <f aca="false">IF(B84="","",IFERROR(INDEX(Contract!$C$10:$C$23,MATCH(B84,Contract!$B$10:$B$23,0)),"Unknown code"))</f>
        <v/>
      </c>
      <c r="D84" s="46"/>
      <c r="E84" s="39"/>
      <c r="F84" s="39"/>
      <c r="G84" s="47" t="str">
        <f aca="false">IF(AND(B84="",D84=""),"",IF(B84="","Missing code",IF(C84="Unknown code","Unknown code",IF(D84="","Missing qty",IF(A84="","Missing date","")))))</f>
        <v/>
      </c>
    </row>
    <row r="85" customFormat="false" ht="15" hidden="false" customHeight="false" outlineLevel="0" collapsed="false">
      <c r="A85" s="44"/>
      <c r="B85" s="39"/>
      <c r="C85" s="45" t="str">
        <f aca="false">IF(B85="","",IFERROR(INDEX(Contract!$C$10:$C$23,MATCH(B85,Contract!$B$10:$B$23,0)),"Unknown code"))</f>
        <v/>
      </c>
      <c r="D85" s="46"/>
      <c r="E85" s="39"/>
      <c r="F85" s="39"/>
      <c r="G85" s="47" t="str">
        <f aca="false">IF(AND(B85="",D85=""),"",IF(B85="","Missing code",IF(C85="Unknown code","Unknown code",IF(D85="","Missing qty",IF(A85="","Missing date","")))))</f>
        <v/>
      </c>
    </row>
    <row r="86" customFormat="false" ht="15" hidden="false" customHeight="false" outlineLevel="0" collapsed="false">
      <c r="A86" s="44"/>
      <c r="B86" s="39"/>
      <c r="C86" s="45" t="str">
        <f aca="false">IF(B86="","",IFERROR(INDEX(Contract!$C$10:$C$23,MATCH(B86,Contract!$B$10:$B$23,0)),"Unknown code"))</f>
        <v/>
      </c>
      <c r="D86" s="46"/>
      <c r="E86" s="39"/>
      <c r="F86" s="39"/>
      <c r="G86" s="47" t="str">
        <f aca="false">IF(AND(B86="",D86=""),"",IF(B86="","Missing code",IF(C86="Unknown code","Unknown code",IF(D86="","Missing qty",IF(A86="","Missing date","")))))</f>
        <v/>
      </c>
    </row>
    <row r="87" customFormat="false" ht="15" hidden="false" customHeight="false" outlineLevel="0" collapsed="false">
      <c r="A87" s="44"/>
      <c r="B87" s="39"/>
      <c r="C87" s="45" t="str">
        <f aca="false">IF(B87="","",IFERROR(INDEX(Contract!$C$10:$C$23,MATCH(B87,Contract!$B$10:$B$23,0)),"Unknown code"))</f>
        <v/>
      </c>
      <c r="D87" s="46"/>
      <c r="E87" s="39"/>
      <c r="F87" s="39"/>
      <c r="G87" s="47" t="str">
        <f aca="false">IF(AND(B87="",D87=""),"",IF(B87="","Missing code",IF(C87="Unknown code","Unknown code",IF(D87="","Missing qty",IF(A87="","Missing date","")))))</f>
        <v/>
      </c>
    </row>
    <row r="88" customFormat="false" ht="15" hidden="false" customHeight="false" outlineLevel="0" collapsed="false">
      <c r="A88" s="44"/>
      <c r="B88" s="39"/>
      <c r="C88" s="45" t="str">
        <f aca="false">IF(B88="","",IFERROR(INDEX(Contract!$C$10:$C$23,MATCH(B88,Contract!$B$10:$B$23,0)),"Unknown code"))</f>
        <v/>
      </c>
      <c r="D88" s="46"/>
      <c r="E88" s="39"/>
      <c r="F88" s="39"/>
      <c r="G88" s="47" t="str">
        <f aca="false">IF(AND(B88="",D88=""),"",IF(B88="","Missing code",IF(C88="Unknown code","Unknown code",IF(D88="","Missing qty",IF(A88="","Missing date","")))))</f>
        <v/>
      </c>
    </row>
    <row r="89" customFormat="false" ht="15" hidden="false" customHeight="false" outlineLevel="0" collapsed="false">
      <c r="A89" s="44"/>
      <c r="B89" s="39"/>
      <c r="C89" s="45" t="str">
        <f aca="false">IF(B89="","",IFERROR(INDEX(Contract!$C$10:$C$23,MATCH(B89,Contract!$B$10:$B$23,0)),"Unknown code"))</f>
        <v/>
      </c>
      <c r="D89" s="46"/>
      <c r="E89" s="39"/>
      <c r="F89" s="39"/>
      <c r="G89" s="47" t="str">
        <f aca="false">IF(AND(B89="",D89=""),"",IF(B89="","Missing code",IF(C89="Unknown code","Unknown code",IF(D89="","Missing qty",IF(A89="","Missing date","")))))</f>
        <v/>
      </c>
    </row>
    <row r="90" customFormat="false" ht="15" hidden="false" customHeight="false" outlineLevel="0" collapsed="false">
      <c r="A90" s="44"/>
      <c r="B90" s="39"/>
      <c r="C90" s="45" t="str">
        <f aca="false">IF(B90="","",IFERROR(INDEX(Contract!$C$10:$C$23,MATCH(B90,Contract!$B$10:$B$23,0)),"Unknown code"))</f>
        <v/>
      </c>
      <c r="D90" s="46"/>
      <c r="E90" s="39"/>
      <c r="F90" s="39"/>
      <c r="G90" s="47" t="str">
        <f aca="false">IF(AND(B90="",D90=""),"",IF(B90="","Missing code",IF(C90="Unknown code","Unknown code",IF(D90="","Missing qty",IF(A90="","Missing date","")))))</f>
        <v/>
      </c>
    </row>
    <row r="91" customFormat="false" ht="15" hidden="false" customHeight="false" outlineLevel="0" collapsed="false">
      <c r="A91" s="44"/>
      <c r="B91" s="39"/>
      <c r="C91" s="45" t="str">
        <f aca="false">IF(B91="","",IFERROR(INDEX(Contract!$C$10:$C$23,MATCH(B91,Contract!$B$10:$B$23,0)),"Unknown code"))</f>
        <v/>
      </c>
      <c r="D91" s="46"/>
      <c r="E91" s="39"/>
      <c r="F91" s="39"/>
      <c r="G91" s="47" t="str">
        <f aca="false">IF(AND(B91="",D91=""),"",IF(B91="","Missing code",IF(C91="Unknown code","Unknown code",IF(D91="","Missing qty",IF(A91="","Missing date","")))))</f>
        <v/>
      </c>
    </row>
    <row r="92" customFormat="false" ht="15" hidden="false" customHeight="false" outlineLevel="0" collapsed="false">
      <c r="A92" s="44"/>
      <c r="B92" s="39"/>
      <c r="C92" s="45" t="str">
        <f aca="false">IF(B92="","",IFERROR(INDEX(Contract!$C$10:$C$23,MATCH(B92,Contract!$B$10:$B$23,0)),"Unknown code"))</f>
        <v/>
      </c>
      <c r="D92" s="46"/>
      <c r="E92" s="39"/>
      <c r="F92" s="39"/>
      <c r="G92" s="47" t="str">
        <f aca="false">IF(AND(B92="",D92=""),"",IF(B92="","Missing code",IF(C92="Unknown code","Unknown code",IF(D92="","Missing qty",IF(A92="","Missing date","")))))</f>
        <v/>
      </c>
    </row>
    <row r="93" customFormat="false" ht="15" hidden="false" customHeight="false" outlineLevel="0" collapsed="false">
      <c r="A93" s="44"/>
      <c r="B93" s="39"/>
      <c r="C93" s="45" t="str">
        <f aca="false">IF(B93="","",IFERROR(INDEX(Contract!$C$10:$C$23,MATCH(B93,Contract!$B$10:$B$23,0)),"Unknown code"))</f>
        <v/>
      </c>
      <c r="D93" s="46"/>
      <c r="E93" s="39"/>
      <c r="F93" s="39"/>
      <c r="G93" s="47" t="str">
        <f aca="false">IF(AND(B93="",D93=""),"",IF(B93="","Missing code",IF(C93="Unknown code","Unknown code",IF(D93="","Missing qty",IF(A93="","Missing date","")))))</f>
        <v/>
      </c>
    </row>
    <row r="94" customFormat="false" ht="15" hidden="false" customHeight="false" outlineLevel="0" collapsed="false">
      <c r="A94" s="44"/>
      <c r="B94" s="39"/>
      <c r="C94" s="45" t="str">
        <f aca="false">IF(B94="","",IFERROR(INDEX(Contract!$C$10:$C$23,MATCH(B94,Contract!$B$10:$B$23,0)),"Unknown code"))</f>
        <v/>
      </c>
      <c r="D94" s="46"/>
      <c r="E94" s="39"/>
      <c r="F94" s="39"/>
      <c r="G94" s="47" t="str">
        <f aca="false">IF(AND(B94="",D94=""),"",IF(B94="","Missing code",IF(C94="Unknown code","Unknown code",IF(D94="","Missing qty",IF(A94="","Missing date","")))))</f>
        <v/>
      </c>
    </row>
    <row r="95" customFormat="false" ht="15" hidden="false" customHeight="false" outlineLevel="0" collapsed="false">
      <c r="A95" s="44"/>
      <c r="B95" s="39"/>
      <c r="C95" s="45" t="str">
        <f aca="false">IF(B95="","",IFERROR(INDEX(Contract!$C$10:$C$23,MATCH(B95,Contract!$B$10:$B$23,0)),"Unknown code"))</f>
        <v/>
      </c>
      <c r="D95" s="46"/>
      <c r="E95" s="39"/>
      <c r="F95" s="39"/>
      <c r="G95" s="47" t="str">
        <f aca="false">IF(AND(B95="",D95=""),"",IF(B95="","Missing code",IF(C95="Unknown code","Unknown code",IF(D95="","Missing qty",IF(A95="","Missing date","")))))</f>
        <v/>
      </c>
    </row>
    <row r="96" customFormat="false" ht="15" hidden="false" customHeight="false" outlineLevel="0" collapsed="false">
      <c r="A96" s="44"/>
      <c r="B96" s="39"/>
      <c r="C96" s="45" t="str">
        <f aca="false">IF(B96="","",IFERROR(INDEX(Contract!$C$10:$C$23,MATCH(B96,Contract!$B$10:$B$23,0)),"Unknown code"))</f>
        <v/>
      </c>
      <c r="D96" s="46"/>
      <c r="E96" s="39"/>
      <c r="F96" s="39"/>
      <c r="G96" s="47" t="str">
        <f aca="false">IF(AND(B96="",D96=""),"",IF(B96="","Missing code",IF(C96="Unknown code","Unknown code",IF(D96="","Missing qty",IF(A96="","Missing date","")))))</f>
        <v/>
      </c>
    </row>
    <row r="97" customFormat="false" ht="15" hidden="false" customHeight="false" outlineLevel="0" collapsed="false">
      <c r="A97" s="44"/>
      <c r="B97" s="39"/>
      <c r="C97" s="45" t="str">
        <f aca="false">IF(B97="","",IFERROR(INDEX(Contract!$C$10:$C$23,MATCH(B97,Contract!$B$10:$B$23,0)),"Unknown code"))</f>
        <v/>
      </c>
      <c r="D97" s="46"/>
      <c r="E97" s="39"/>
      <c r="F97" s="39"/>
      <c r="G97" s="47" t="str">
        <f aca="false">IF(AND(B97="",D97=""),"",IF(B97="","Missing code",IF(C97="Unknown code","Unknown code",IF(D97="","Missing qty",IF(A97="","Missing date","")))))</f>
        <v/>
      </c>
    </row>
    <row r="98" customFormat="false" ht="15" hidden="false" customHeight="false" outlineLevel="0" collapsed="false">
      <c r="A98" s="44"/>
      <c r="B98" s="39"/>
      <c r="C98" s="45" t="str">
        <f aca="false">IF(B98="","",IFERROR(INDEX(Contract!$C$10:$C$23,MATCH(B98,Contract!$B$10:$B$23,0)),"Unknown code"))</f>
        <v/>
      </c>
      <c r="D98" s="46"/>
      <c r="E98" s="39"/>
      <c r="F98" s="39"/>
      <c r="G98" s="47" t="str">
        <f aca="false">IF(AND(B98="",D98=""),"",IF(B98="","Missing code",IF(C98="Unknown code","Unknown code",IF(D98="","Missing qty",IF(A98="","Missing date","")))))</f>
        <v/>
      </c>
    </row>
    <row r="99" customFormat="false" ht="15" hidden="false" customHeight="false" outlineLevel="0" collapsed="false">
      <c r="A99" s="44"/>
      <c r="B99" s="39"/>
      <c r="C99" s="45" t="str">
        <f aca="false">IF(B99="","",IFERROR(INDEX(Contract!$C$10:$C$23,MATCH(B99,Contract!$B$10:$B$23,0)),"Unknown code"))</f>
        <v/>
      </c>
      <c r="D99" s="46"/>
      <c r="E99" s="39"/>
      <c r="F99" s="39"/>
      <c r="G99" s="47" t="str">
        <f aca="false">IF(AND(B99="",D99=""),"",IF(B99="","Missing code",IF(C99="Unknown code","Unknown code",IF(D99="","Missing qty",IF(A99="","Missing date","")))))</f>
        <v/>
      </c>
    </row>
    <row r="100" customFormat="false" ht="15" hidden="false" customHeight="false" outlineLevel="0" collapsed="false">
      <c r="A100" s="44"/>
      <c r="B100" s="39"/>
      <c r="C100" s="45" t="str">
        <f aca="false">IF(B100="","",IFERROR(INDEX(Contract!$C$10:$C$23,MATCH(B100,Contract!$B$10:$B$23,0)),"Unknown code"))</f>
        <v/>
      </c>
      <c r="D100" s="46"/>
      <c r="E100" s="39"/>
      <c r="F100" s="39"/>
      <c r="G100" s="47" t="str">
        <f aca="false">IF(AND(B100="",D100=""),"",IF(B100="","Missing code",IF(C100="Unknown code","Unknown code",IF(D100="","Missing qty",IF(A100="","Missing date","")))))</f>
        <v/>
      </c>
    </row>
    <row r="101" customFormat="false" ht="15" hidden="false" customHeight="false" outlineLevel="0" collapsed="false">
      <c r="A101" s="44"/>
      <c r="B101" s="39"/>
      <c r="C101" s="45" t="str">
        <f aca="false">IF(B101="","",IFERROR(INDEX(Contract!$C$10:$C$23,MATCH(B101,Contract!$B$10:$B$23,0)),"Unknown code"))</f>
        <v/>
      </c>
      <c r="D101" s="46"/>
      <c r="E101" s="39"/>
      <c r="F101" s="39"/>
      <c r="G101" s="47" t="str">
        <f aca="false">IF(AND(B101="",D101=""),"",IF(B101="","Missing code",IF(C101="Unknown code","Unknown code",IF(D101="","Missing qty",IF(A101="","Missing date","")))))</f>
        <v/>
      </c>
    </row>
    <row r="102" customFormat="false" ht="15" hidden="false" customHeight="false" outlineLevel="0" collapsed="false">
      <c r="A102" s="44"/>
      <c r="B102" s="39"/>
      <c r="C102" s="45" t="str">
        <f aca="false">IF(B102="","",IFERROR(INDEX(Contract!$C$10:$C$23,MATCH(B102,Contract!$B$10:$B$23,0)),"Unknown code"))</f>
        <v/>
      </c>
      <c r="D102" s="46"/>
      <c r="E102" s="39"/>
      <c r="F102" s="39"/>
      <c r="G102" s="47" t="str">
        <f aca="false">IF(AND(B102="",D102=""),"",IF(B102="","Missing code",IF(C102="Unknown code","Unknown code",IF(D102="","Missing qty",IF(A102="","Missing date","")))))</f>
        <v/>
      </c>
    </row>
    <row r="103" customFormat="false" ht="15" hidden="false" customHeight="false" outlineLevel="0" collapsed="false">
      <c r="A103" s="44"/>
      <c r="B103" s="39"/>
      <c r="C103" s="45" t="str">
        <f aca="false">IF(B103="","",IFERROR(INDEX(Contract!$C$10:$C$23,MATCH(B103,Contract!$B$10:$B$23,0)),"Unknown code"))</f>
        <v/>
      </c>
      <c r="D103" s="46"/>
      <c r="E103" s="39"/>
      <c r="F103" s="39"/>
      <c r="G103" s="47" t="str">
        <f aca="false">IF(AND(B103="",D103=""),"",IF(B103="","Missing code",IF(C103="Unknown code","Unknown code",IF(D103="","Missing qty",IF(A103="","Missing date","")))))</f>
        <v/>
      </c>
    </row>
    <row r="104" customFormat="false" ht="15" hidden="false" customHeight="false" outlineLevel="0" collapsed="false">
      <c r="A104" s="44"/>
      <c r="B104" s="39"/>
      <c r="C104" s="45" t="str">
        <f aca="false">IF(B104="","",IFERROR(INDEX(Contract!$C$10:$C$23,MATCH(B104,Contract!$B$10:$B$23,0)),"Unknown code"))</f>
        <v/>
      </c>
      <c r="D104" s="46"/>
      <c r="E104" s="39"/>
      <c r="F104" s="39"/>
      <c r="G104" s="47" t="str">
        <f aca="false">IF(AND(B104="",D104=""),"",IF(B104="","Missing code",IF(C104="Unknown code","Unknown code",IF(D104="","Missing qty",IF(A104="","Missing date","")))))</f>
        <v/>
      </c>
    </row>
    <row r="105" customFormat="false" ht="15" hidden="false" customHeight="false" outlineLevel="0" collapsed="false">
      <c r="A105" s="44"/>
      <c r="B105" s="39"/>
      <c r="C105" s="45" t="str">
        <f aca="false">IF(B105="","",IFERROR(INDEX(Contract!$C$10:$C$23,MATCH(B105,Contract!$B$10:$B$23,0)),"Unknown code"))</f>
        <v/>
      </c>
      <c r="D105" s="46"/>
      <c r="E105" s="39"/>
      <c r="F105" s="39"/>
      <c r="G105" s="47" t="str">
        <f aca="false">IF(AND(B105="",D105=""),"",IF(B105="","Missing code",IF(C105="Unknown code","Unknown code",IF(D105="","Missing qty",IF(A105="","Missing date","")))))</f>
        <v/>
      </c>
    </row>
    <row r="106" customFormat="false" ht="15" hidden="false" customHeight="false" outlineLevel="0" collapsed="false">
      <c r="A106" s="44"/>
      <c r="B106" s="39"/>
      <c r="C106" s="45" t="str">
        <f aca="false">IF(B106="","",IFERROR(INDEX(Contract!$C$10:$C$23,MATCH(B106,Contract!$B$10:$B$23,0)),"Unknown code"))</f>
        <v/>
      </c>
      <c r="D106" s="46"/>
      <c r="E106" s="39"/>
      <c r="F106" s="39"/>
      <c r="G106" s="47" t="str">
        <f aca="false">IF(AND(B106="",D106=""),"",IF(B106="","Missing code",IF(C106="Unknown code","Unknown code",IF(D106="","Missing qty",IF(A106="","Missing date","")))))</f>
        <v/>
      </c>
    </row>
    <row r="107" customFormat="false" ht="15" hidden="false" customHeight="false" outlineLevel="0" collapsed="false">
      <c r="A107" s="44"/>
      <c r="B107" s="39"/>
      <c r="C107" s="45" t="str">
        <f aca="false">IF(B107="","",IFERROR(INDEX(Contract!$C$10:$C$23,MATCH(B107,Contract!$B$10:$B$23,0)),"Unknown code"))</f>
        <v/>
      </c>
      <c r="D107" s="46"/>
      <c r="E107" s="39"/>
      <c r="F107" s="39"/>
      <c r="G107" s="47" t="str">
        <f aca="false">IF(AND(B107="",D107=""),"",IF(B107="","Missing code",IF(C107="Unknown code","Unknown code",IF(D107="","Missing qty",IF(A107="","Missing date","")))))</f>
        <v/>
      </c>
    </row>
    <row r="108" customFormat="false" ht="15" hidden="false" customHeight="false" outlineLevel="0" collapsed="false">
      <c r="A108" s="44"/>
      <c r="B108" s="39"/>
      <c r="C108" s="45" t="str">
        <f aca="false">IF(B108="","",IFERROR(INDEX(Contract!$C$10:$C$23,MATCH(B108,Contract!$B$10:$B$23,0)),"Unknown code"))</f>
        <v/>
      </c>
      <c r="D108" s="46"/>
      <c r="E108" s="39"/>
      <c r="F108" s="39"/>
      <c r="G108" s="47" t="str">
        <f aca="false">IF(AND(B108="",D108=""),"",IF(B108="","Missing code",IF(C108="Unknown code","Unknown code",IF(D108="","Missing qty",IF(A108="","Missing date","")))))</f>
        <v/>
      </c>
    </row>
    <row r="109" customFormat="false" ht="15" hidden="false" customHeight="false" outlineLevel="0" collapsed="false">
      <c r="A109" s="44"/>
      <c r="B109" s="39"/>
      <c r="C109" s="45" t="str">
        <f aca="false">IF(B109="","",IFERROR(INDEX(Contract!$C$10:$C$23,MATCH(B109,Contract!$B$10:$B$23,0)),"Unknown code"))</f>
        <v/>
      </c>
      <c r="D109" s="46"/>
      <c r="E109" s="39"/>
      <c r="F109" s="39"/>
      <c r="G109" s="47" t="str">
        <f aca="false">IF(AND(B109="",D109=""),"",IF(B109="","Missing code",IF(C109="Unknown code","Unknown code",IF(D109="","Missing qty",IF(A109="","Missing date","")))))</f>
        <v/>
      </c>
    </row>
    <row r="110" customFormat="false" ht="15" hidden="false" customHeight="false" outlineLevel="0" collapsed="false">
      <c r="A110" s="44"/>
      <c r="B110" s="39"/>
      <c r="C110" s="45" t="str">
        <f aca="false">IF(B110="","",IFERROR(INDEX(Contract!$C$10:$C$23,MATCH(B110,Contract!$B$10:$B$23,0)),"Unknown code"))</f>
        <v/>
      </c>
      <c r="D110" s="46"/>
      <c r="E110" s="39"/>
      <c r="F110" s="39"/>
      <c r="G110" s="47" t="str">
        <f aca="false">IF(AND(B110="",D110=""),"",IF(B110="","Missing code",IF(C110="Unknown code","Unknown code",IF(D110="","Missing qty",IF(A110="","Missing date","")))))</f>
        <v/>
      </c>
    </row>
    <row r="111" customFormat="false" ht="15" hidden="false" customHeight="false" outlineLevel="0" collapsed="false">
      <c r="A111" s="44"/>
      <c r="B111" s="39"/>
      <c r="C111" s="45" t="str">
        <f aca="false">IF(B111="","",IFERROR(INDEX(Contract!$C$10:$C$23,MATCH(B111,Contract!$B$10:$B$23,0)),"Unknown code"))</f>
        <v/>
      </c>
      <c r="D111" s="46"/>
      <c r="E111" s="39"/>
      <c r="F111" s="39"/>
      <c r="G111" s="47" t="str">
        <f aca="false">IF(AND(B111="",D111=""),"",IF(B111="","Missing code",IF(C111="Unknown code","Unknown code",IF(D111="","Missing qty",IF(A111="","Missing date","")))))</f>
        <v/>
      </c>
    </row>
    <row r="112" customFormat="false" ht="15" hidden="false" customHeight="false" outlineLevel="0" collapsed="false">
      <c r="A112" s="44"/>
      <c r="B112" s="39"/>
      <c r="C112" s="45" t="str">
        <f aca="false">IF(B112="","",IFERROR(INDEX(Contract!$C$10:$C$23,MATCH(B112,Contract!$B$10:$B$23,0)),"Unknown code"))</f>
        <v/>
      </c>
      <c r="D112" s="46"/>
      <c r="E112" s="39"/>
      <c r="F112" s="39"/>
      <c r="G112" s="47" t="str">
        <f aca="false">IF(AND(B112="",D112=""),"",IF(B112="","Missing code",IF(C112="Unknown code","Unknown code",IF(D112="","Missing qty",IF(A112="","Missing date","")))))</f>
        <v/>
      </c>
    </row>
    <row r="113" customFormat="false" ht="15" hidden="false" customHeight="false" outlineLevel="0" collapsed="false">
      <c r="A113" s="44"/>
      <c r="B113" s="39"/>
      <c r="C113" s="45" t="str">
        <f aca="false">IF(B113="","",IFERROR(INDEX(Contract!$C$10:$C$23,MATCH(B113,Contract!$B$10:$B$23,0)),"Unknown code"))</f>
        <v/>
      </c>
      <c r="D113" s="46"/>
      <c r="E113" s="39"/>
      <c r="F113" s="39"/>
      <c r="G113" s="47" t="str">
        <f aca="false">IF(AND(B113="",D113=""),"",IF(B113="","Missing code",IF(C113="Unknown code","Unknown code",IF(D113="","Missing qty",IF(A113="","Missing date","")))))</f>
        <v/>
      </c>
    </row>
    <row r="114" customFormat="false" ht="15" hidden="false" customHeight="false" outlineLevel="0" collapsed="false">
      <c r="A114" s="44"/>
      <c r="B114" s="39"/>
      <c r="C114" s="45" t="str">
        <f aca="false">IF(B114="","",IFERROR(INDEX(Contract!$C$10:$C$23,MATCH(B114,Contract!$B$10:$B$23,0)),"Unknown code"))</f>
        <v/>
      </c>
      <c r="D114" s="46"/>
      <c r="E114" s="39"/>
      <c r="F114" s="39"/>
      <c r="G114" s="47" t="str">
        <f aca="false">IF(AND(B114="",D114=""),"",IF(B114="","Missing code",IF(C114="Unknown code","Unknown code",IF(D114="","Missing qty",IF(A114="","Missing date","")))))</f>
        <v/>
      </c>
    </row>
    <row r="115" customFormat="false" ht="15" hidden="false" customHeight="false" outlineLevel="0" collapsed="false">
      <c r="A115" s="44"/>
      <c r="B115" s="39"/>
      <c r="C115" s="45" t="str">
        <f aca="false">IF(B115="","",IFERROR(INDEX(Contract!$C$10:$C$23,MATCH(B115,Contract!$B$10:$B$23,0)),"Unknown code"))</f>
        <v/>
      </c>
      <c r="D115" s="46"/>
      <c r="E115" s="39"/>
      <c r="F115" s="39"/>
      <c r="G115" s="47" t="str">
        <f aca="false">IF(AND(B115="",D115=""),"",IF(B115="","Missing code",IF(C115="Unknown code","Unknown code",IF(D115="","Missing qty",IF(A115="","Missing date","")))))</f>
        <v/>
      </c>
    </row>
    <row r="116" customFormat="false" ht="15" hidden="false" customHeight="false" outlineLevel="0" collapsed="false">
      <c r="A116" s="44"/>
      <c r="B116" s="39"/>
      <c r="C116" s="45" t="str">
        <f aca="false">IF(B116="","",IFERROR(INDEX(Contract!$C$10:$C$23,MATCH(B116,Contract!$B$10:$B$23,0)),"Unknown code"))</f>
        <v/>
      </c>
      <c r="D116" s="46"/>
      <c r="E116" s="39"/>
      <c r="F116" s="39"/>
      <c r="G116" s="47" t="str">
        <f aca="false">IF(AND(B116="",D116=""),"",IF(B116="","Missing code",IF(C116="Unknown code","Unknown code",IF(D116="","Missing qty",IF(A116="","Missing date","")))))</f>
        <v/>
      </c>
    </row>
    <row r="117" customFormat="false" ht="15" hidden="false" customHeight="false" outlineLevel="0" collapsed="false">
      <c r="A117" s="44"/>
      <c r="B117" s="39"/>
      <c r="C117" s="45" t="str">
        <f aca="false">IF(B117="","",IFERROR(INDEX(Contract!$C$10:$C$23,MATCH(B117,Contract!$B$10:$B$23,0)),"Unknown code"))</f>
        <v/>
      </c>
      <c r="D117" s="46"/>
      <c r="E117" s="39"/>
      <c r="F117" s="39"/>
      <c r="G117" s="47" t="str">
        <f aca="false">IF(AND(B117="",D117=""),"",IF(B117="","Missing code",IF(C117="Unknown code","Unknown code",IF(D117="","Missing qty",IF(A117="","Missing date","")))))</f>
        <v/>
      </c>
    </row>
    <row r="118" customFormat="false" ht="15" hidden="false" customHeight="false" outlineLevel="0" collapsed="false">
      <c r="A118" s="44"/>
      <c r="B118" s="39"/>
      <c r="C118" s="45" t="str">
        <f aca="false">IF(B118="","",IFERROR(INDEX(Contract!$C$10:$C$23,MATCH(B118,Contract!$B$10:$B$23,0)),"Unknown code"))</f>
        <v/>
      </c>
      <c r="D118" s="46"/>
      <c r="E118" s="39"/>
      <c r="F118" s="39"/>
      <c r="G118" s="47" t="str">
        <f aca="false">IF(AND(B118="",D118=""),"",IF(B118="","Missing code",IF(C118="Unknown code","Unknown code",IF(D118="","Missing qty",IF(A118="","Missing date","")))))</f>
        <v/>
      </c>
    </row>
    <row r="119" customFormat="false" ht="15" hidden="false" customHeight="false" outlineLevel="0" collapsed="false">
      <c r="A119" s="44"/>
      <c r="B119" s="39"/>
      <c r="C119" s="45" t="str">
        <f aca="false">IF(B119="","",IFERROR(INDEX(Contract!$C$10:$C$23,MATCH(B119,Contract!$B$10:$B$23,0)),"Unknown code"))</f>
        <v/>
      </c>
      <c r="D119" s="46"/>
      <c r="E119" s="39"/>
      <c r="F119" s="39"/>
      <c r="G119" s="47" t="str">
        <f aca="false">IF(AND(B119="",D119=""),"",IF(B119="","Missing code",IF(C119="Unknown code","Unknown code",IF(D119="","Missing qty",IF(A119="","Missing date","")))))</f>
        <v/>
      </c>
    </row>
    <row r="120" customFormat="false" ht="15" hidden="false" customHeight="false" outlineLevel="0" collapsed="false">
      <c r="A120" s="44"/>
      <c r="B120" s="39"/>
      <c r="C120" s="45" t="str">
        <f aca="false">IF(B120="","",IFERROR(INDEX(Contract!$C$10:$C$23,MATCH(B120,Contract!$B$10:$B$23,0)),"Unknown code"))</f>
        <v/>
      </c>
      <c r="D120" s="46"/>
      <c r="E120" s="39"/>
      <c r="F120" s="39"/>
      <c r="G120" s="47" t="str">
        <f aca="false">IF(AND(B120="",D120=""),"",IF(B120="","Missing code",IF(C120="Unknown code","Unknown code",IF(D120="","Missing qty",IF(A120="","Missing date","")))))</f>
        <v/>
      </c>
    </row>
    <row r="121" customFormat="false" ht="15" hidden="false" customHeight="false" outlineLevel="0" collapsed="false">
      <c r="A121" s="44"/>
      <c r="B121" s="39"/>
      <c r="C121" s="45" t="str">
        <f aca="false">IF(B121="","",IFERROR(INDEX(Contract!$C$10:$C$23,MATCH(B121,Contract!$B$10:$B$23,0)),"Unknown code"))</f>
        <v/>
      </c>
      <c r="D121" s="46"/>
      <c r="E121" s="39"/>
      <c r="F121" s="39"/>
      <c r="G121" s="47" t="str">
        <f aca="false">IF(AND(B121="",D121=""),"",IF(B121="","Missing code",IF(C121="Unknown code","Unknown code",IF(D121="","Missing qty",IF(A121="","Missing date","")))))</f>
        <v/>
      </c>
    </row>
    <row r="122" customFormat="false" ht="15" hidden="false" customHeight="false" outlineLevel="0" collapsed="false">
      <c r="A122" s="44"/>
      <c r="B122" s="39"/>
      <c r="C122" s="45" t="str">
        <f aca="false">IF(B122="","",IFERROR(INDEX(Contract!$C$10:$C$23,MATCH(B122,Contract!$B$10:$B$23,0)),"Unknown code"))</f>
        <v/>
      </c>
      <c r="D122" s="46"/>
      <c r="E122" s="39"/>
      <c r="F122" s="39"/>
      <c r="G122" s="47" t="str">
        <f aca="false">IF(AND(B122="",D122=""),"",IF(B122="","Missing code",IF(C122="Unknown code","Unknown code",IF(D122="","Missing qty",IF(A122="","Missing date","")))))</f>
        <v/>
      </c>
    </row>
    <row r="123" customFormat="false" ht="15" hidden="false" customHeight="false" outlineLevel="0" collapsed="false">
      <c r="A123" s="44"/>
      <c r="B123" s="39"/>
      <c r="C123" s="45" t="str">
        <f aca="false">IF(B123="","",IFERROR(INDEX(Contract!$C$10:$C$23,MATCH(B123,Contract!$B$10:$B$23,0)),"Unknown code"))</f>
        <v/>
      </c>
      <c r="D123" s="46"/>
      <c r="E123" s="39"/>
      <c r="F123" s="39"/>
      <c r="G123" s="47" t="str">
        <f aca="false">IF(AND(B123="",D123=""),"",IF(B123="","Missing code",IF(C123="Unknown code","Unknown code",IF(D123="","Missing qty",IF(A123="","Missing date","")))))</f>
        <v/>
      </c>
    </row>
    <row r="124" customFormat="false" ht="15" hidden="false" customHeight="false" outlineLevel="0" collapsed="false">
      <c r="A124" s="44"/>
      <c r="B124" s="39"/>
      <c r="C124" s="45" t="str">
        <f aca="false">IF(B124="","",IFERROR(INDEX(Contract!$C$10:$C$23,MATCH(B124,Contract!$B$10:$B$23,0)),"Unknown code"))</f>
        <v/>
      </c>
      <c r="D124" s="46"/>
      <c r="E124" s="39"/>
      <c r="F124" s="39"/>
      <c r="G124" s="47" t="str">
        <f aca="false">IF(AND(B124="",D124=""),"",IF(B124="","Missing code",IF(C124="Unknown code","Unknown code",IF(D124="","Missing qty",IF(A124="","Missing date","")))))</f>
        <v/>
      </c>
    </row>
    <row r="125" customFormat="false" ht="15" hidden="false" customHeight="false" outlineLevel="0" collapsed="false">
      <c r="A125" s="44"/>
      <c r="B125" s="39"/>
      <c r="C125" s="45" t="str">
        <f aca="false">IF(B125="","",IFERROR(INDEX(Contract!$C$10:$C$23,MATCH(B125,Contract!$B$10:$B$23,0)),"Unknown code"))</f>
        <v/>
      </c>
      <c r="D125" s="46"/>
      <c r="E125" s="39"/>
      <c r="F125" s="39"/>
      <c r="G125" s="47" t="str">
        <f aca="false">IF(AND(B125="",D125=""),"",IF(B125="","Missing code",IF(C125="Unknown code","Unknown code",IF(D125="","Missing qty",IF(A125="","Missing date","")))))</f>
        <v/>
      </c>
    </row>
    <row r="126" customFormat="false" ht="15" hidden="false" customHeight="false" outlineLevel="0" collapsed="false">
      <c r="A126" s="44"/>
      <c r="B126" s="39"/>
      <c r="C126" s="45" t="str">
        <f aca="false">IF(B126="","",IFERROR(INDEX(Contract!$C$10:$C$23,MATCH(B126,Contract!$B$10:$B$23,0)),"Unknown code"))</f>
        <v/>
      </c>
      <c r="D126" s="46"/>
      <c r="E126" s="39"/>
      <c r="F126" s="39"/>
      <c r="G126" s="47" t="str">
        <f aca="false">IF(AND(B126="",D126=""),"",IF(B126="","Missing code",IF(C126="Unknown code","Unknown code",IF(D126="","Missing qty",IF(A126="","Missing date","")))))</f>
        <v/>
      </c>
    </row>
    <row r="127" customFormat="false" ht="15" hidden="false" customHeight="false" outlineLevel="0" collapsed="false">
      <c r="A127" s="44"/>
      <c r="B127" s="39"/>
      <c r="C127" s="45" t="str">
        <f aca="false">IF(B127="","",IFERROR(INDEX(Contract!$C$10:$C$23,MATCH(B127,Contract!$B$10:$B$23,0)),"Unknown code"))</f>
        <v/>
      </c>
      <c r="D127" s="46"/>
      <c r="E127" s="39"/>
      <c r="F127" s="39"/>
      <c r="G127" s="47" t="str">
        <f aca="false">IF(AND(B127="",D127=""),"",IF(B127="","Missing code",IF(C127="Unknown code","Unknown code",IF(D127="","Missing qty",IF(A127="","Missing date","")))))</f>
        <v/>
      </c>
    </row>
    <row r="128" customFormat="false" ht="15" hidden="false" customHeight="false" outlineLevel="0" collapsed="false">
      <c r="A128" s="44"/>
      <c r="B128" s="39"/>
      <c r="C128" s="45" t="str">
        <f aca="false">IF(B128="","",IFERROR(INDEX(Contract!$C$10:$C$23,MATCH(B128,Contract!$B$10:$B$23,0)),"Unknown code"))</f>
        <v/>
      </c>
      <c r="D128" s="46"/>
      <c r="E128" s="39"/>
      <c r="F128" s="39"/>
      <c r="G128" s="47" t="str">
        <f aca="false">IF(AND(B128="",D128=""),"",IF(B128="","Missing code",IF(C128="Unknown code","Unknown code",IF(D128="","Missing qty",IF(A128="","Missing date","")))))</f>
        <v/>
      </c>
    </row>
    <row r="129" customFormat="false" ht="15" hidden="false" customHeight="false" outlineLevel="0" collapsed="false">
      <c r="A129" s="44"/>
      <c r="B129" s="39"/>
      <c r="C129" s="45" t="str">
        <f aca="false">IF(B129="","",IFERROR(INDEX(Contract!$C$10:$C$23,MATCH(B129,Contract!$B$10:$B$23,0)),"Unknown code"))</f>
        <v/>
      </c>
      <c r="D129" s="46"/>
      <c r="E129" s="39"/>
      <c r="F129" s="39"/>
      <c r="G129" s="47" t="str">
        <f aca="false">IF(AND(B129="",D129=""),"",IF(B129="","Missing code",IF(C129="Unknown code","Unknown code",IF(D129="","Missing qty",IF(A129="","Missing date","")))))</f>
        <v/>
      </c>
    </row>
    <row r="130" customFormat="false" ht="15" hidden="false" customHeight="false" outlineLevel="0" collapsed="false">
      <c r="A130" s="44"/>
      <c r="B130" s="39"/>
      <c r="C130" s="45" t="str">
        <f aca="false">IF(B130="","",IFERROR(INDEX(Contract!$C$10:$C$23,MATCH(B130,Contract!$B$10:$B$23,0)),"Unknown code"))</f>
        <v/>
      </c>
      <c r="D130" s="46"/>
      <c r="E130" s="39"/>
      <c r="F130" s="39"/>
      <c r="G130" s="47" t="str">
        <f aca="false">IF(AND(B130="",D130=""),"",IF(B130="","Missing code",IF(C130="Unknown code","Unknown code",IF(D130="","Missing qty",IF(A130="","Missing date","")))))</f>
        <v/>
      </c>
    </row>
    <row r="131" customFormat="false" ht="15" hidden="false" customHeight="false" outlineLevel="0" collapsed="false">
      <c r="A131" s="44"/>
      <c r="B131" s="39"/>
      <c r="C131" s="45" t="str">
        <f aca="false">IF(B131="","",IFERROR(INDEX(Contract!$C$10:$C$23,MATCH(B131,Contract!$B$10:$B$23,0)),"Unknown code"))</f>
        <v/>
      </c>
      <c r="D131" s="46"/>
      <c r="E131" s="39"/>
      <c r="F131" s="39"/>
      <c r="G131" s="47" t="str">
        <f aca="false">IF(AND(B131="",D131=""),"",IF(B131="","Missing code",IF(C131="Unknown code","Unknown code",IF(D131="","Missing qty",IF(A131="","Missing date","")))))</f>
        <v/>
      </c>
    </row>
    <row r="132" customFormat="false" ht="15" hidden="false" customHeight="false" outlineLevel="0" collapsed="false">
      <c r="A132" s="44"/>
      <c r="B132" s="39"/>
      <c r="C132" s="45" t="str">
        <f aca="false">IF(B132="","",IFERROR(INDEX(Contract!$C$10:$C$23,MATCH(B132,Contract!$B$10:$B$23,0)),"Unknown code"))</f>
        <v/>
      </c>
      <c r="D132" s="46"/>
      <c r="E132" s="39"/>
      <c r="F132" s="39"/>
      <c r="G132" s="47" t="str">
        <f aca="false">IF(AND(B132="",D132=""),"",IF(B132="","Missing code",IF(C132="Unknown code","Unknown code",IF(D132="","Missing qty",IF(A132="","Missing date","")))))</f>
        <v/>
      </c>
    </row>
    <row r="133" customFormat="false" ht="15" hidden="false" customHeight="false" outlineLevel="0" collapsed="false">
      <c r="A133" s="44"/>
      <c r="B133" s="39"/>
      <c r="C133" s="45" t="str">
        <f aca="false">IF(B133="","",IFERROR(INDEX(Contract!$C$10:$C$23,MATCH(B133,Contract!$B$10:$B$23,0)),"Unknown code"))</f>
        <v/>
      </c>
      <c r="D133" s="46"/>
      <c r="E133" s="39"/>
      <c r="F133" s="39"/>
      <c r="G133" s="47" t="str">
        <f aca="false">IF(AND(B133="",D133=""),"",IF(B133="","Missing code",IF(C133="Unknown code","Unknown code",IF(D133="","Missing qty",IF(A133="","Missing date","")))))</f>
        <v/>
      </c>
    </row>
    <row r="134" customFormat="false" ht="15" hidden="false" customHeight="false" outlineLevel="0" collapsed="false">
      <c r="A134" s="44"/>
      <c r="B134" s="39"/>
      <c r="C134" s="45" t="str">
        <f aca="false">IF(B134="","",IFERROR(INDEX(Contract!$C$10:$C$23,MATCH(B134,Contract!$B$10:$B$23,0)),"Unknown code"))</f>
        <v/>
      </c>
      <c r="D134" s="46"/>
      <c r="E134" s="39"/>
      <c r="F134" s="39"/>
      <c r="G134" s="47" t="str">
        <f aca="false">IF(AND(B134="",D134=""),"",IF(B134="","Missing code",IF(C134="Unknown code","Unknown code",IF(D134="","Missing qty",IF(A134="","Missing date","")))))</f>
        <v/>
      </c>
    </row>
    <row r="135" customFormat="false" ht="15" hidden="false" customHeight="false" outlineLevel="0" collapsed="false">
      <c r="A135" s="44"/>
      <c r="B135" s="39"/>
      <c r="C135" s="45" t="str">
        <f aca="false">IF(B135="","",IFERROR(INDEX(Contract!$C$10:$C$23,MATCH(B135,Contract!$B$10:$B$23,0)),"Unknown code"))</f>
        <v/>
      </c>
      <c r="D135" s="46"/>
      <c r="E135" s="39"/>
      <c r="F135" s="39"/>
      <c r="G135" s="47" t="str">
        <f aca="false">IF(AND(B135="",D135=""),"",IF(B135="","Missing code",IF(C135="Unknown code","Unknown code",IF(D135="","Missing qty",IF(A135="","Missing date","")))))</f>
        <v/>
      </c>
    </row>
    <row r="136" customFormat="false" ht="15" hidden="false" customHeight="false" outlineLevel="0" collapsed="false">
      <c r="A136" s="44"/>
      <c r="B136" s="39"/>
      <c r="C136" s="45" t="str">
        <f aca="false">IF(B136="","",IFERROR(INDEX(Contract!$C$10:$C$23,MATCH(B136,Contract!$B$10:$B$23,0)),"Unknown code"))</f>
        <v/>
      </c>
      <c r="D136" s="46"/>
      <c r="E136" s="39"/>
      <c r="F136" s="39"/>
      <c r="G136" s="47" t="str">
        <f aca="false">IF(AND(B136="",D136=""),"",IF(B136="","Missing code",IF(C136="Unknown code","Unknown code",IF(D136="","Missing qty",IF(A136="","Missing date","")))))</f>
        <v/>
      </c>
    </row>
    <row r="137" customFormat="false" ht="15" hidden="false" customHeight="false" outlineLevel="0" collapsed="false">
      <c r="A137" s="44"/>
      <c r="B137" s="39"/>
      <c r="C137" s="45" t="str">
        <f aca="false">IF(B137="","",IFERROR(INDEX(Contract!$C$10:$C$23,MATCH(B137,Contract!$B$10:$B$23,0)),"Unknown code"))</f>
        <v/>
      </c>
      <c r="D137" s="46"/>
      <c r="E137" s="39"/>
      <c r="F137" s="39"/>
      <c r="G137" s="47" t="str">
        <f aca="false">IF(AND(B137="",D137=""),"",IF(B137="","Missing code",IF(C137="Unknown code","Unknown code",IF(D137="","Missing qty",IF(A137="","Missing date","")))))</f>
        <v/>
      </c>
    </row>
    <row r="138" customFormat="false" ht="15" hidden="false" customHeight="false" outlineLevel="0" collapsed="false">
      <c r="A138" s="44"/>
      <c r="B138" s="39"/>
      <c r="C138" s="45" t="str">
        <f aca="false">IF(B138="","",IFERROR(INDEX(Contract!$C$10:$C$23,MATCH(B138,Contract!$B$10:$B$23,0)),"Unknown code"))</f>
        <v/>
      </c>
      <c r="D138" s="46"/>
      <c r="E138" s="39"/>
      <c r="F138" s="39"/>
      <c r="G138" s="47" t="str">
        <f aca="false">IF(AND(B138="",D138=""),"",IF(B138="","Missing code",IF(C138="Unknown code","Unknown code",IF(D138="","Missing qty",IF(A138="","Missing date","")))))</f>
        <v/>
      </c>
    </row>
    <row r="139" customFormat="false" ht="15" hidden="false" customHeight="false" outlineLevel="0" collapsed="false">
      <c r="A139" s="44"/>
      <c r="B139" s="39"/>
      <c r="C139" s="45" t="str">
        <f aca="false">IF(B139="","",IFERROR(INDEX(Contract!$C$10:$C$23,MATCH(B139,Contract!$B$10:$B$23,0)),"Unknown code"))</f>
        <v/>
      </c>
      <c r="D139" s="46"/>
      <c r="E139" s="39"/>
      <c r="F139" s="39"/>
      <c r="G139" s="47" t="str">
        <f aca="false">IF(AND(B139="",D139=""),"",IF(B139="","Missing code",IF(C139="Unknown code","Unknown code",IF(D139="","Missing qty",IF(A139="","Missing date","")))))</f>
        <v/>
      </c>
    </row>
    <row r="140" customFormat="false" ht="15" hidden="false" customHeight="false" outlineLevel="0" collapsed="false">
      <c r="A140" s="44"/>
      <c r="B140" s="39"/>
      <c r="C140" s="45" t="str">
        <f aca="false">IF(B140="","",IFERROR(INDEX(Contract!$C$10:$C$23,MATCH(B140,Contract!$B$10:$B$23,0)),"Unknown code"))</f>
        <v/>
      </c>
      <c r="D140" s="46"/>
      <c r="E140" s="39"/>
      <c r="F140" s="39"/>
      <c r="G140" s="47" t="str">
        <f aca="false">IF(AND(B140="",D140=""),"",IF(B140="","Missing code",IF(C140="Unknown code","Unknown code",IF(D140="","Missing qty",IF(A140="","Missing date","")))))</f>
        <v/>
      </c>
    </row>
    <row r="141" customFormat="false" ht="15" hidden="false" customHeight="false" outlineLevel="0" collapsed="false">
      <c r="A141" s="44"/>
      <c r="B141" s="39"/>
      <c r="C141" s="45" t="str">
        <f aca="false">IF(B141="","",IFERROR(INDEX(Contract!$C$10:$C$23,MATCH(B141,Contract!$B$10:$B$23,0)),"Unknown code"))</f>
        <v/>
      </c>
      <c r="D141" s="46"/>
      <c r="E141" s="39"/>
      <c r="F141" s="39"/>
      <c r="G141" s="47" t="str">
        <f aca="false">IF(AND(B141="",D141=""),"",IF(B141="","Missing code",IF(C141="Unknown code","Unknown code",IF(D141="","Missing qty",IF(A141="","Missing date","")))))</f>
        <v/>
      </c>
    </row>
    <row r="142" customFormat="false" ht="15" hidden="false" customHeight="false" outlineLevel="0" collapsed="false">
      <c r="A142" s="44"/>
      <c r="B142" s="39"/>
      <c r="C142" s="45" t="str">
        <f aca="false">IF(B142="","",IFERROR(INDEX(Contract!$C$10:$C$23,MATCH(B142,Contract!$B$10:$B$23,0)),"Unknown code"))</f>
        <v/>
      </c>
      <c r="D142" s="46"/>
      <c r="E142" s="39"/>
      <c r="F142" s="39"/>
      <c r="G142" s="47" t="str">
        <f aca="false">IF(AND(B142="",D142=""),"",IF(B142="","Missing code",IF(C142="Unknown code","Unknown code",IF(D142="","Missing qty",IF(A142="","Missing date","")))))</f>
        <v/>
      </c>
    </row>
    <row r="143" customFormat="false" ht="15" hidden="false" customHeight="false" outlineLevel="0" collapsed="false">
      <c r="A143" s="44"/>
      <c r="B143" s="39"/>
      <c r="C143" s="45" t="str">
        <f aca="false">IF(B143="","",IFERROR(INDEX(Contract!$C$10:$C$23,MATCH(B143,Contract!$B$10:$B$23,0)),"Unknown code"))</f>
        <v/>
      </c>
      <c r="D143" s="46"/>
      <c r="E143" s="39"/>
      <c r="F143" s="39"/>
      <c r="G143" s="47" t="str">
        <f aca="false">IF(AND(B143="",D143=""),"",IF(B143="","Missing code",IF(C143="Unknown code","Unknown code",IF(D143="","Missing qty",IF(A143="","Missing date","")))))</f>
        <v/>
      </c>
    </row>
    <row r="144" customFormat="false" ht="15" hidden="false" customHeight="false" outlineLevel="0" collapsed="false">
      <c r="A144" s="44"/>
      <c r="B144" s="39"/>
      <c r="C144" s="45" t="str">
        <f aca="false">IF(B144="","",IFERROR(INDEX(Contract!$C$10:$C$23,MATCH(B144,Contract!$B$10:$B$23,0)),"Unknown code"))</f>
        <v/>
      </c>
      <c r="D144" s="46"/>
      <c r="E144" s="39"/>
      <c r="F144" s="39"/>
      <c r="G144" s="47" t="str">
        <f aca="false">IF(AND(B144="",D144=""),"",IF(B144="","Missing code",IF(C144="Unknown code","Unknown code",IF(D144="","Missing qty",IF(A144="","Missing date","")))))</f>
        <v/>
      </c>
    </row>
    <row r="145" customFormat="false" ht="15" hidden="false" customHeight="false" outlineLevel="0" collapsed="false">
      <c r="A145" s="44"/>
      <c r="B145" s="39"/>
      <c r="C145" s="45" t="str">
        <f aca="false">IF(B145="","",IFERROR(INDEX(Contract!$C$10:$C$23,MATCH(B145,Contract!$B$10:$B$23,0)),"Unknown code"))</f>
        <v/>
      </c>
      <c r="D145" s="46"/>
      <c r="E145" s="39"/>
      <c r="F145" s="39"/>
      <c r="G145" s="47" t="str">
        <f aca="false">IF(AND(B145="",D145=""),"",IF(B145="","Missing code",IF(C145="Unknown code","Unknown code",IF(D145="","Missing qty",IF(A145="","Missing date","")))))</f>
        <v/>
      </c>
    </row>
    <row r="146" customFormat="false" ht="15" hidden="false" customHeight="false" outlineLevel="0" collapsed="false">
      <c r="A146" s="44"/>
      <c r="B146" s="39"/>
      <c r="C146" s="45" t="str">
        <f aca="false">IF(B146="","",IFERROR(INDEX(Contract!$C$10:$C$23,MATCH(B146,Contract!$B$10:$B$23,0)),"Unknown code"))</f>
        <v/>
      </c>
      <c r="D146" s="46"/>
      <c r="E146" s="39"/>
      <c r="F146" s="39"/>
      <c r="G146" s="47" t="str">
        <f aca="false">IF(AND(B146="",D146=""),"",IF(B146="","Missing code",IF(C146="Unknown code","Unknown code",IF(D146="","Missing qty",IF(A146="","Missing date","")))))</f>
        <v/>
      </c>
    </row>
    <row r="147" customFormat="false" ht="15" hidden="false" customHeight="false" outlineLevel="0" collapsed="false">
      <c r="A147" s="44"/>
      <c r="B147" s="39"/>
      <c r="C147" s="45" t="str">
        <f aca="false">IF(B147="","",IFERROR(INDEX(Contract!$C$10:$C$23,MATCH(B147,Contract!$B$10:$B$23,0)),"Unknown code"))</f>
        <v/>
      </c>
      <c r="D147" s="46"/>
      <c r="E147" s="39"/>
      <c r="F147" s="39"/>
      <c r="G147" s="47" t="str">
        <f aca="false">IF(AND(B147="",D147=""),"",IF(B147="","Missing code",IF(C147="Unknown code","Unknown code",IF(D147="","Missing qty",IF(A147="","Missing date","")))))</f>
        <v/>
      </c>
    </row>
    <row r="148" customFormat="false" ht="15" hidden="false" customHeight="false" outlineLevel="0" collapsed="false">
      <c r="A148" s="44"/>
      <c r="B148" s="39"/>
      <c r="C148" s="45" t="str">
        <f aca="false">IF(B148="","",IFERROR(INDEX(Contract!$C$10:$C$23,MATCH(B148,Contract!$B$10:$B$23,0)),"Unknown code"))</f>
        <v/>
      </c>
      <c r="D148" s="46"/>
      <c r="E148" s="39"/>
      <c r="F148" s="39"/>
      <c r="G148" s="47" t="str">
        <f aca="false">IF(AND(B148="",D148=""),"",IF(B148="","Missing code",IF(C148="Unknown code","Unknown code",IF(D148="","Missing qty",IF(A148="","Missing date","")))))</f>
        <v/>
      </c>
    </row>
    <row r="149" customFormat="false" ht="15" hidden="false" customHeight="false" outlineLevel="0" collapsed="false">
      <c r="A149" s="44"/>
      <c r="B149" s="39"/>
      <c r="C149" s="45" t="str">
        <f aca="false">IF(B149="","",IFERROR(INDEX(Contract!$C$10:$C$23,MATCH(B149,Contract!$B$10:$B$23,0)),"Unknown code"))</f>
        <v/>
      </c>
      <c r="D149" s="46"/>
      <c r="E149" s="39"/>
      <c r="F149" s="39"/>
      <c r="G149" s="47" t="str">
        <f aca="false">IF(AND(B149="",D149=""),"",IF(B149="","Missing code",IF(C149="Unknown code","Unknown code",IF(D149="","Missing qty",IF(A149="","Missing date","")))))</f>
        <v/>
      </c>
    </row>
    <row r="150" customFormat="false" ht="15" hidden="false" customHeight="false" outlineLevel="0" collapsed="false">
      <c r="A150" s="44"/>
      <c r="B150" s="39"/>
      <c r="C150" s="45" t="str">
        <f aca="false">IF(B150="","",IFERROR(INDEX(Contract!$C$10:$C$23,MATCH(B150,Contract!$B$10:$B$23,0)),"Unknown code"))</f>
        <v/>
      </c>
      <c r="D150" s="46"/>
      <c r="E150" s="39"/>
      <c r="F150" s="39"/>
      <c r="G150" s="47" t="str">
        <f aca="false">IF(AND(B150="",D150=""),"",IF(B150="","Missing code",IF(C150="Unknown code","Unknown code",IF(D150="","Missing qty",IF(A150="","Missing date","")))))</f>
        <v/>
      </c>
    </row>
    <row r="151" customFormat="false" ht="15" hidden="false" customHeight="false" outlineLevel="0" collapsed="false">
      <c r="A151" s="44"/>
      <c r="B151" s="39"/>
      <c r="C151" s="45" t="str">
        <f aca="false">IF(B151="","",IFERROR(INDEX(Contract!$C$10:$C$23,MATCH(B151,Contract!$B$10:$B$23,0)),"Unknown code"))</f>
        <v/>
      </c>
      <c r="D151" s="46"/>
      <c r="E151" s="39"/>
      <c r="F151" s="39"/>
      <c r="G151" s="47" t="str">
        <f aca="false">IF(AND(B151="",D151=""),"",IF(B151="","Missing code",IF(C151="Unknown code","Unknown code",IF(D151="","Missing qty",IF(A151="","Missing date","")))))</f>
        <v/>
      </c>
    </row>
    <row r="152" customFormat="false" ht="15" hidden="false" customHeight="false" outlineLevel="0" collapsed="false">
      <c r="A152" s="44"/>
      <c r="B152" s="39"/>
      <c r="C152" s="45" t="str">
        <f aca="false">IF(B152="","",IFERROR(INDEX(Contract!$C$10:$C$23,MATCH(B152,Contract!$B$10:$B$23,0)),"Unknown code"))</f>
        <v/>
      </c>
      <c r="D152" s="46"/>
      <c r="E152" s="39"/>
      <c r="F152" s="39"/>
      <c r="G152" s="47" t="str">
        <f aca="false">IF(AND(B152="",D152=""),"",IF(B152="","Missing code",IF(C152="Unknown code","Unknown code",IF(D152="","Missing qty",IF(A152="","Missing date","")))))</f>
        <v/>
      </c>
    </row>
    <row r="153" customFormat="false" ht="15" hidden="false" customHeight="false" outlineLevel="0" collapsed="false">
      <c r="A153" s="44"/>
      <c r="B153" s="39"/>
      <c r="C153" s="45" t="str">
        <f aca="false">IF(B153="","",IFERROR(INDEX(Contract!$C$10:$C$23,MATCH(B153,Contract!$B$10:$B$23,0)),"Unknown code"))</f>
        <v/>
      </c>
      <c r="D153" s="46"/>
      <c r="E153" s="39"/>
      <c r="F153" s="39"/>
      <c r="G153" s="47" t="str">
        <f aca="false">IF(AND(B153="",D153=""),"",IF(B153="","Missing code",IF(C153="Unknown code","Unknown code",IF(D153="","Missing qty",IF(A153="","Missing date","")))))</f>
        <v/>
      </c>
    </row>
    <row r="154" customFormat="false" ht="15" hidden="false" customHeight="false" outlineLevel="0" collapsed="false">
      <c r="A154" s="44"/>
      <c r="B154" s="39"/>
      <c r="C154" s="45" t="str">
        <f aca="false">IF(B154="","",IFERROR(INDEX(Contract!$C$10:$C$23,MATCH(B154,Contract!$B$10:$B$23,0)),"Unknown code"))</f>
        <v/>
      </c>
      <c r="D154" s="46"/>
      <c r="E154" s="39"/>
      <c r="F154" s="39"/>
      <c r="G154" s="47" t="str">
        <f aca="false">IF(AND(B154="",D154=""),"",IF(B154="","Missing code",IF(C154="Unknown code","Unknown code",IF(D154="","Missing qty",IF(A154="","Missing date","")))))</f>
        <v/>
      </c>
    </row>
    <row r="155" customFormat="false" ht="15" hidden="false" customHeight="false" outlineLevel="0" collapsed="false">
      <c r="A155" s="44"/>
      <c r="B155" s="39"/>
      <c r="C155" s="45" t="str">
        <f aca="false">IF(B155="","",IFERROR(INDEX(Contract!$C$10:$C$23,MATCH(B155,Contract!$B$10:$B$23,0)),"Unknown code"))</f>
        <v/>
      </c>
      <c r="D155" s="46"/>
      <c r="E155" s="39"/>
      <c r="F155" s="39"/>
      <c r="G155" s="47" t="str">
        <f aca="false">IF(AND(B155="",D155=""),"",IF(B155="","Missing code",IF(C155="Unknown code","Unknown code",IF(D155="","Missing qty",IF(A155="","Missing date","")))))</f>
        <v/>
      </c>
    </row>
    <row r="156" customFormat="false" ht="15" hidden="false" customHeight="false" outlineLevel="0" collapsed="false">
      <c r="A156" s="44"/>
      <c r="B156" s="39"/>
      <c r="C156" s="45" t="str">
        <f aca="false">IF(B156="","",IFERROR(INDEX(Contract!$C$10:$C$23,MATCH(B156,Contract!$B$10:$B$23,0)),"Unknown code"))</f>
        <v/>
      </c>
      <c r="D156" s="46"/>
      <c r="E156" s="39"/>
      <c r="F156" s="39"/>
      <c r="G156" s="47" t="str">
        <f aca="false">IF(AND(B156="",D156=""),"",IF(B156="","Missing code",IF(C156="Unknown code","Unknown code",IF(D156="","Missing qty",IF(A156="","Missing date","")))))</f>
        <v/>
      </c>
    </row>
    <row r="157" customFormat="false" ht="15" hidden="false" customHeight="false" outlineLevel="0" collapsed="false">
      <c r="A157" s="44"/>
      <c r="B157" s="39"/>
      <c r="C157" s="45" t="str">
        <f aca="false">IF(B157="","",IFERROR(INDEX(Contract!$C$10:$C$23,MATCH(B157,Contract!$B$10:$B$23,0)),"Unknown code"))</f>
        <v/>
      </c>
      <c r="D157" s="46"/>
      <c r="E157" s="39"/>
      <c r="F157" s="39"/>
      <c r="G157" s="47" t="str">
        <f aca="false">IF(AND(B157="",D157=""),"",IF(B157="","Missing code",IF(C157="Unknown code","Unknown code",IF(D157="","Missing qty",IF(A157="","Missing date","")))))</f>
        <v/>
      </c>
    </row>
    <row r="158" customFormat="false" ht="15" hidden="false" customHeight="false" outlineLevel="0" collapsed="false">
      <c r="A158" s="44"/>
      <c r="B158" s="39"/>
      <c r="C158" s="45" t="str">
        <f aca="false">IF(B158="","",IFERROR(INDEX(Contract!$C$10:$C$23,MATCH(B158,Contract!$B$10:$B$23,0)),"Unknown code"))</f>
        <v/>
      </c>
      <c r="D158" s="46"/>
      <c r="E158" s="39"/>
      <c r="F158" s="39"/>
      <c r="G158" s="47" t="str">
        <f aca="false">IF(AND(B158="",D158=""),"",IF(B158="","Missing code",IF(C158="Unknown code","Unknown code",IF(D158="","Missing qty",IF(A158="","Missing date","")))))</f>
        <v/>
      </c>
    </row>
    <row r="159" customFormat="false" ht="15" hidden="false" customHeight="false" outlineLevel="0" collapsed="false">
      <c r="A159" s="44"/>
      <c r="B159" s="39"/>
      <c r="C159" s="45" t="str">
        <f aca="false">IF(B159="","",IFERROR(INDEX(Contract!$C$10:$C$23,MATCH(B159,Contract!$B$10:$B$23,0)),"Unknown code"))</f>
        <v/>
      </c>
      <c r="D159" s="46"/>
      <c r="E159" s="39"/>
      <c r="F159" s="39"/>
      <c r="G159" s="47" t="str">
        <f aca="false">IF(AND(B159="",D159=""),"",IF(B159="","Missing code",IF(C159="Unknown code","Unknown code",IF(D159="","Missing qty",IF(A159="","Missing date","")))))</f>
        <v/>
      </c>
    </row>
    <row r="160" customFormat="false" ht="15" hidden="false" customHeight="false" outlineLevel="0" collapsed="false">
      <c r="A160" s="44"/>
      <c r="B160" s="39"/>
      <c r="C160" s="45" t="str">
        <f aca="false">IF(B160="","",IFERROR(INDEX(Contract!$C$10:$C$23,MATCH(B160,Contract!$B$10:$B$23,0)),"Unknown code"))</f>
        <v/>
      </c>
      <c r="D160" s="46"/>
      <c r="E160" s="39"/>
      <c r="F160" s="39"/>
      <c r="G160" s="47" t="str">
        <f aca="false">IF(AND(B160="",D160=""),"",IF(B160="","Missing code",IF(C160="Unknown code","Unknown code",IF(D160="","Missing qty",IF(A160="","Missing date","")))))</f>
        <v/>
      </c>
    </row>
    <row r="161" customFormat="false" ht="15" hidden="false" customHeight="false" outlineLevel="0" collapsed="false">
      <c r="A161" s="44"/>
      <c r="B161" s="39"/>
      <c r="C161" s="45" t="str">
        <f aca="false">IF(B161="","",IFERROR(INDEX(Contract!$C$10:$C$23,MATCH(B161,Contract!$B$10:$B$23,0)),"Unknown code"))</f>
        <v/>
      </c>
      <c r="D161" s="46"/>
      <c r="E161" s="39"/>
      <c r="F161" s="39"/>
      <c r="G161" s="47" t="str">
        <f aca="false">IF(AND(B161="",D161=""),"",IF(B161="","Missing code",IF(C161="Unknown code","Unknown code",IF(D161="","Missing qty",IF(A161="","Missing date","")))))</f>
        <v/>
      </c>
    </row>
    <row r="162" customFormat="false" ht="15" hidden="false" customHeight="false" outlineLevel="0" collapsed="false">
      <c r="A162" s="44"/>
      <c r="B162" s="39"/>
      <c r="C162" s="45" t="str">
        <f aca="false">IF(B162="","",IFERROR(INDEX(Contract!$C$10:$C$23,MATCH(B162,Contract!$B$10:$B$23,0)),"Unknown code"))</f>
        <v/>
      </c>
      <c r="D162" s="46"/>
      <c r="E162" s="39"/>
      <c r="F162" s="39"/>
      <c r="G162" s="47" t="str">
        <f aca="false">IF(AND(B162="",D162=""),"",IF(B162="","Missing code",IF(C162="Unknown code","Unknown code",IF(D162="","Missing qty",IF(A162="","Missing date","")))))</f>
        <v/>
      </c>
    </row>
    <row r="163" customFormat="false" ht="15" hidden="false" customHeight="false" outlineLevel="0" collapsed="false">
      <c r="A163" s="44"/>
      <c r="B163" s="39"/>
      <c r="C163" s="45" t="str">
        <f aca="false">IF(B163="","",IFERROR(INDEX(Contract!$C$10:$C$23,MATCH(B163,Contract!$B$10:$B$23,0)),"Unknown code"))</f>
        <v/>
      </c>
      <c r="D163" s="46"/>
      <c r="E163" s="39"/>
      <c r="F163" s="39"/>
      <c r="G163" s="47" t="str">
        <f aca="false">IF(AND(B163="",D163=""),"",IF(B163="","Missing code",IF(C163="Unknown code","Unknown code",IF(D163="","Missing qty",IF(A163="","Missing date","")))))</f>
        <v/>
      </c>
    </row>
    <row r="164" customFormat="false" ht="15" hidden="false" customHeight="false" outlineLevel="0" collapsed="false">
      <c r="A164" s="44"/>
      <c r="B164" s="39"/>
      <c r="C164" s="45" t="str">
        <f aca="false">IF(B164="","",IFERROR(INDEX(Contract!$C$10:$C$23,MATCH(B164,Contract!$B$10:$B$23,0)),"Unknown code"))</f>
        <v/>
      </c>
      <c r="D164" s="46"/>
      <c r="E164" s="39"/>
      <c r="F164" s="39"/>
      <c r="G164" s="47" t="str">
        <f aca="false">IF(AND(B164="",D164=""),"",IF(B164="","Missing code",IF(C164="Unknown code","Unknown code",IF(D164="","Missing qty",IF(A164="","Missing date","")))))</f>
        <v/>
      </c>
    </row>
    <row r="165" customFormat="false" ht="15" hidden="false" customHeight="false" outlineLevel="0" collapsed="false">
      <c r="A165" s="44"/>
      <c r="B165" s="39"/>
      <c r="C165" s="45" t="str">
        <f aca="false">IF(B165="","",IFERROR(INDEX(Contract!$C$10:$C$23,MATCH(B165,Contract!$B$10:$B$23,0)),"Unknown code"))</f>
        <v/>
      </c>
      <c r="D165" s="46"/>
      <c r="E165" s="39"/>
      <c r="F165" s="39"/>
      <c r="G165" s="47" t="str">
        <f aca="false">IF(AND(B165="",D165=""),"",IF(B165="","Missing code",IF(C165="Unknown code","Unknown code",IF(D165="","Missing qty",IF(A165="","Missing date","")))))</f>
        <v/>
      </c>
    </row>
    <row r="166" customFormat="false" ht="15" hidden="false" customHeight="false" outlineLevel="0" collapsed="false">
      <c r="A166" s="44"/>
      <c r="B166" s="39"/>
      <c r="C166" s="45" t="str">
        <f aca="false">IF(B166="","",IFERROR(INDEX(Contract!$C$10:$C$23,MATCH(B166,Contract!$B$10:$B$23,0)),"Unknown code"))</f>
        <v/>
      </c>
      <c r="D166" s="46"/>
      <c r="E166" s="39"/>
      <c r="F166" s="39"/>
      <c r="G166" s="47" t="str">
        <f aca="false">IF(AND(B166="",D166=""),"",IF(B166="","Missing code",IF(C166="Unknown code","Unknown code",IF(D166="","Missing qty",IF(A166="","Missing date","")))))</f>
        <v/>
      </c>
    </row>
    <row r="167" customFormat="false" ht="15" hidden="false" customHeight="false" outlineLevel="0" collapsed="false">
      <c r="A167" s="44"/>
      <c r="B167" s="39"/>
      <c r="C167" s="45" t="str">
        <f aca="false">IF(B167="","",IFERROR(INDEX(Contract!$C$10:$C$23,MATCH(B167,Contract!$B$10:$B$23,0)),"Unknown code"))</f>
        <v/>
      </c>
      <c r="D167" s="46"/>
      <c r="E167" s="39"/>
      <c r="F167" s="39"/>
      <c r="G167" s="47" t="str">
        <f aca="false">IF(AND(B167="",D167=""),"",IF(B167="","Missing code",IF(C167="Unknown code","Unknown code",IF(D167="","Missing qty",IF(A167="","Missing date","")))))</f>
        <v/>
      </c>
    </row>
    <row r="168" customFormat="false" ht="15" hidden="false" customHeight="false" outlineLevel="0" collapsed="false">
      <c r="A168" s="44"/>
      <c r="B168" s="39"/>
      <c r="C168" s="45" t="str">
        <f aca="false">IF(B168="","",IFERROR(INDEX(Contract!$C$10:$C$23,MATCH(B168,Contract!$B$10:$B$23,0)),"Unknown code"))</f>
        <v/>
      </c>
      <c r="D168" s="46"/>
      <c r="E168" s="39"/>
      <c r="F168" s="39"/>
      <c r="G168" s="47" t="str">
        <f aca="false">IF(AND(B168="",D168=""),"",IF(B168="","Missing code",IF(C168="Unknown code","Unknown code",IF(D168="","Missing qty",IF(A168="","Missing date","")))))</f>
        <v/>
      </c>
    </row>
    <row r="169" customFormat="false" ht="15" hidden="false" customHeight="false" outlineLevel="0" collapsed="false">
      <c r="A169" s="44"/>
      <c r="B169" s="39"/>
      <c r="C169" s="45" t="str">
        <f aca="false">IF(B169="","",IFERROR(INDEX(Contract!$C$10:$C$23,MATCH(B169,Contract!$B$10:$B$23,0)),"Unknown code"))</f>
        <v/>
      </c>
      <c r="D169" s="46"/>
      <c r="E169" s="39"/>
      <c r="F169" s="39"/>
      <c r="G169" s="47" t="str">
        <f aca="false">IF(AND(B169="",D169=""),"",IF(B169="","Missing code",IF(C169="Unknown code","Unknown code",IF(D169="","Missing qty",IF(A169="","Missing date","")))))</f>
        <v/>
      </c>
    </row>
    <row r="170" customFormat="false" ht="15" hidden="false" customHeight="false" outlineLevel="0" collapsed="false">
      <c r="A170" s="44"/>
      <c r="B170" s="39"/>
      <c r="C170" s="45" t="str">
        <f aca="false">IF(B170="","",IFERROR(INDEX(Contract!$C$10:$C$23,MATCH(B170,Contract!$B$10:$B$23,0)),"Unknown code"))</f>
        <v/>
      </c>
      <c r="D170" s="46"/>
      <c r="E170" s="39"/>
      <c r="F170" s="39"/>
      <c r="G170" s="47" t="str">
        <f aca="false">IF(AND(B170="",D170=""),"",IF(B170="","Missing code",IF(C170="Unknown code","Unknown code",IF(D170="","Missing qty",IF(A170="","Missing date","")))))</f>
        <v/>
      </c>
    </row>
    <row r="171" customFormat="false" ht="15" hidden="false" customHeight="false" outlineLevel="0" collapsed="false">
      <c r="A171" s="44"/>
      <c r="B171" s="39"/>
      <c r="C171" s="45" t="str">
        <f aca="false">IF(B171="","",IFERROR(INDEX(Contract!$C$10:$C$23,MATCH(B171,Contract!$B$10:$B$23,0)),"Unknown code"))</f>
        <v/>
      </c>
      <c r="D171" s="46"/>
      <c r="E171" s="39"/>
      <c r="F171" s="39"/>
      <c r="G171" s="47" t="str">
        <f aca="false">IF(AND(B171="",D171=""),"",IF(B171="","Missing code",IF(C171="Unknown code","Unknown code",IF(D171="","Missing qty",IF(A171="","Missing date","")))))</f>
        <v/>
      </c>
    </row>
    <row r="172" customFormat="false" ht="15" hidden="false" customHeight="false" outlineLevel="0" collapsed="false">
      <c r="A172" s="44"/>
      <c r="B172" s="39"/>
      <c r="C172" s="45" t="str">
        <f aca="false">IF(B172="","",IFERROR(INDEX(Contract!$C$10:$C$23,MATCH(B172,Contract!$B$10:$B$23,0)),"Unknown code"))</f>
        <v/>
      </c>
      <c r="D172" s="46"/>
      <c r="E172" s="39"/>
      <c r="F172" s="39"/>
      <c r="G172" s="47" t="str">
        <f aca="false">IF(AND(B172="",D172=""),"",IF(B172="","Missing code",IF(C172="Unknown code","Unknown code",IF(D172="","Missing qty",IF(A172="","Missing date","")))))</f>
        <v/>
      </c>
    </row>
    <row r="173" customFormat="false" ht="15" hidden="false" customHeight="false" outlineLevel="0" collapsed="false">
      <c r="A173" s="44"/>
      <c r="B173" s="39"/>
      <c r="C173" s="45" t="str">
        <f aca="false">IF(B173="","",IFERROR(INDEX(Contract!$C$10:$C$23,MATCH(B173,Contract!$B$10:$B$23,0)),"Unknown code"))</f>
        <v/>
      </c>
      <c r="D173" s="46"/>
      <c r="E173" s="39"/>
      <c r="F173" s="39"/>
      <c r="G173" s="47" t="str">
        <f aca="false">IF(AND(B173="",D173=""),"",IF(B173="","Missing code",IF(C173="Unknown code","Unknown code",IF(D173="","Missing qty",IF(A173="","Missing date","")))))</f>
        <v/>
      </c>
    </row>
    <row r="174" customFormat="false" ht="15" hidden="false" customHeight="false" outlineLevel="0" collapsed="false">
      <c r="A174" s="44"/>
      <c r="B174" s="39"/>
      <c r="C174" s="45" t="str">
        <f aca="false">IF(B174="","",IFERROR(INDEX(Contract!$C$10:$C$23,MATCH(B174,Contract!$B$10:$B$23,0)),"Unknown code"))</f>
        <v/>
      </c>
      <c r="D174" s="46"/>
      <c r="E174" s="39"/>
      <c r="F174" s="39"/>
      <c r="G174" s="47" t="str">
        <f aca="false">IF(AND(B174="",D174=""),"",IF(B174="","Missing code",IF(C174="Unknown code","Unknown code",IF(D174="","Missing qty",IF(A174="","Missing date","")))))</f>
        <v/>
      </c>
    </row>
    <row r="175" customFormat="false" ht="15" hidden="false" customHeight="false" outlineLevel="0" collapsed="false">
      <c r="A175" s="44"/>
      <c r="B175" s="39"/>
      <c r="C175" s="45" t="str">
        <f aca="false">IF(B175="","",IFERROR(INDEX(Contract!$C$10:$C$23,MATCH(B175,Contract!$B$10:$B$23,0)),"Unknown code"))</f>
        <v/>
      </c>
      <c r="D175" s="46"/>
      <c r="E175" s="39"/>
      <c r="F175" s="39"/>
      <c r="G175" s="47" t="str">
        <f aca="false">IF(AND(B175="",D175=""),"",IF(B175="","Missing code",IF(C175="Unknown code","Unknown code",IF(D175="","Missing qty",IF(A175="","Missing date","")))))</f>
        <v/>
      </c>
    </row>
    <row r="176" customFormat="false" ht="15" hidden="false" customHeight="false" outlineLevel="0" collapsed="false">
      <c r="A176" s="44"/>
      <c r="B176" s="39"/>
      <c r="C176" s="45" t="str">
        <f aca="false">IF(B176="","",IFERROR(INDEX(Contract!$C$10:$C$23,MATCH(B176,Contract!$B$10:$B$23,0)),"Unknown code"))</f>
        <v/>
      </c>
      <c r="D176" s="46"/>
      <c r="E176" s="39"/>
      <c r="F176" s="39"/>
      <c r="G176" s="47" t="str">
        <f aca="false">IF(AND(B176="",D176=""),"",IF(B176="","Missing code",IF(C176="Unknown code","Unknown code",IF(D176="","Missing qty",IF(A176="","Missing date","")))))</f>
        <v/>
      </c>
    </row>
    <row r="177" customFormat="false" ht="15" hidden="false" customHeight="false" outlineLevel="0" collapsed="false">
      <c r="A177" s="44"/>
      <c r="B177" s="39"/>
      <c r="C177" s="45" t="str">
        <f aca="false">IF(B177="","",IFERROR(INDEX(Contract!$C$10:$C$23,MATCH(B177,Contract!$B$10:$B$23,0)),"Unknown code"))</f>
        <v/>
      </c>
      <c r="D177" s="46"/>
      <c r="E177" s="39"/>
      <c r="F177" s="39"/>
      <c r="G177" s="47" t="str">
        <f aca="false">IF(AND(B177="",D177=""),"",IF(B177="","Missing code",IF(C177="Unknown code","Unknown code",IF(D177="","Missing qty",IF(A177="","Missing date","")))))</f>
        <v/>
      </c>
    </row>
    <row r="178" customFormat="false" ht="15" hidden="false" customHeight="false" outlineLevel="0" collapsed="false">
      <c r="A178" s="44"/>
      <c r="B178" s="39"/>
      <c r="C178" s="45" t="str">
        <f aca="false">IF(B178="","",IFERROR(INDEX(Contract!$C$10:$C$23,MATCH(B178,Contract!$B$10:$B$23,0)),"Unknown code"))</f>
        <v/>
      </c>
      <c r="D178" s="46"/>
      <c r="E178" s="39"/>
      <c r="F178" s="39"/>
      <c r="G178" s="47" t="str">
        <f aca="false">IF(AND(B178="",D178=""),"",IF(B178="","Missing code",IF(C178="Unknown code","Unknown code",IF(D178="","Missing qty",IF(A178="","Missing date","")))))</f>
        <v/>
      </c>
    </row>
    <row r="179" customFormat="false" ht="15" hidden="false" customHeight="false" outlineLevel="0" collapsed="false">
      <c r="A179" s="44"/>
      <c r="B179" s="39"/>
      <c r="C179" s="45" t="str">
        <f aca="false">IF(B179="","",IFERROR(INDEX(Contract!$C$10:$C$23,MATCH(B179,Contract!$B$10:$B$23,0)),"Unknown code"))</f>
        <v/>
      </c>
      <c r="D179" s="46"/>
      <c r="E179" s="39"/>
      <c r="F179" s="39"/>
      <c r="G179" s="47" t="str">
        <f aca="false">IF(AND(B179="",D179=""),"",IF(B179="","Missing code",IF(C179="Unknown code","Unknown code",IF(D179="","Missing qty",IF(A179="","Missing date","")))))</f>
        <v/>
      </c>
    </row>
    <row r="180" customFormat="false" ht="15" hidden="false" customHeight="false" outlineLevel="0" collapsed="false">
      <c r="A180" s="44"/>
      <c r="B180" s="39"/>
      <c r="C180" s="45" t="str">
        <f aca="false">IF(B180="","",IFERROR(INDEX(Contract!$C$10:$C$23,MATCH(B180,Contract!$B$10:$B$23,0)),"Unknown code"))</f>
        <v/>
      </c>
      <c r="D180" s="46"/>
      <c r="E180" s="39"/>
      <c r="F180" s="39"/>
      <c r="G180" s="47" t="str">
        <f aca="false">IF(AND(B180="",D180=""),"",IF(B180="","Missing code",IF(C180="Unknown code","Unknown code",IF(D180="","Missing qty",IF(A180="","Missing date","")))))</f>
        <v/>
      </c>
    </row>
    <row r="181" customFormat="false" ht="15" hidden="false" customHeight="false" outlineLevel="0" collapsed="false">
      <c r="A181" s="44"/>
      <c r="B181" s="39"/>
      <c r="C181" s="45" t="str">
        <f aca="false">IF(B181="","",IFERROR(INDEX(Contract!$C$10:$C$23,MATCH(B181,Contract!$B$10:$B$23,0)),"Unknown code"))</f>
        <v/>
      </c>
      <c r="D181" s="46"/>
      <c r="E181" s="39"/>
      <c r="F181" s="39"/>
      <c r="G181" s="47" t="str">
        <f aca="false">IF(AND(B181="",D181=""),"",IF(B181="","Missing code",IF(C181="Unknown code","Unknown code",IF(D181="","Missing qty",IF(A181="","Missing date","")))))</f>
        <v/>
      </c>
    </row>
    <row r="182" customFormat="false" ht="15" hidden="false" customHeight="false" outlineLevel="0" collapsed="false">
      <c r="A182" s="44"/>
      <c r="B182" s="39"/>
      <c r="C182" s="45" t="str">
        <f aca="false">IF(B182="","",IFERROR(INDEX(Contract!$C$10:$C$23,MATCH(B182,Contract!$B$10:$B$23,0)),"Unknown code"))</f>
        <v/>
      </c>
      <c r="D182" s="46"/>
      <c r="E182" s="39"/>
      <c r="F182" s="39"/>
      <c r="G182" s="47" t="str">
        <f aca="false">IF(AND(B182="",D182=""),"",IF(B182="","Missing code",IF(C182="Unknown code","Unknown code",IF(D182="","Missing qty",IF(A182="","Missing date","")))))</f>
        <v/>
      </c>
    </row>
    <row r="183" customFormat="false" ht="15" hidden="false" customHeight="false" outlineLevel="0" collapsed="false">
      <c r="A183" s="44"/>
      <c r="B183" s="39"/>
      <c r="C183" s="45" t="str">
        <f aca="false">IF(B183="","",IFERROR(INDEX(Contract!$C$10:$C$23,MATCH(B183,Contract!$B$10:$B$23,0)),"Unknown code"))</f>
        <v/>
      </c>
      <c r="D183" s="46"/>
      <c r="E183" s="39"/>
      <c r="F183" s="39"/>
      <c r="G183" s="47" t="str">
        <f aca="false">IF(AND(B183="",D183=""),"",IF(B183="","Missing code",IF(C183="Unknown code","Unknown code",IF(D183="","Missing qty",IF(A183="","Missing date","")))))</f>
        <v/>
      </c>
    </row>
    <row r="184" customFormat="false" ht="15" hidden="false" customHeight="false" outlineLevel="0" collapsed="false">
      <c r="A184" s="44"/>
      <c r="B184" s="39"/>
      <c r="C184" s="45" t="str">
        <f aca="false">IF(B184="","",IFERROR(INDEX(Contract!$C$10:$C$23,MATCH(B184,Contract!$B$10:$B$23,0)),"Unknown code"))</f>
        <v/>
      </c>
      <c r="D184" s="46"/>
      <c r="E184" s="39"/>
      <c r="F184" s="39"/>
      <c r="G184" s="47" t="str">
        <f aca="false">IF(AND(B184="",D184=""),"",IF(B184="","Missing code",IF(C184="Unknown code","Unknown code",IF(D184="","Missing qty",IF(A184="","Missing date","")))))</f>
        <v/>
      </c>
    </row>
    <row r="185" customFormat="false" ht="15" hidden="false" customHeight="false" outlineLevel="0" collapsed="false">
      <c r="A185" s="44"/>
      <c r="B185" s="39"/>
      <c r="C185" s="45" t="str">
        <f aca="false">IF(B185="","",IFERROR(INDEX(Contract!$C$10:$C$23,MATCH(B185,Contract!$B$10:$B$23,0)),"Unknown code"))</f>
        <v/>
      </c>
      <c r="D185" s="46"/>
      <c r="E185" s="39"/>
      <c r="F185" s="39"/>
      <c r="G185" s="47" t="str">
        <f aca="false">IF(AND(B185="",D185=""),"",IF(B185="","Missing code",IF(C185="Unknown code","Unknown code",IF(D185="","Missing qty",IF(A185="","Missing date","")))))</f>
        <v/>
      </c>
    </row>
    <row r="186" customFormat="false" ht="15" hidden="false" customHeight="false" outlineLevel="0" collapsed="false">
      <c r="A186" s="44"/>
      <c r="B186" s="39"/>
      <c r="C186" s="45" t="str">
        <f aca="false">IF(B186="","",IFERROR(INDEX(Contract!$C$10:$C$23,MATCH(B186,Contract!$B$10:$B$23,0)),"Unknown code"))</f>
        <v/>
      </c>
      <c r="D186" s="46"/>
      <c r="E186" s="39"/>
      <c r="F186" s="39"/>
      <c r="G186" s="47" t="str">
        <f aca="false">IF(AND(B186="",D186=""),"",IF(B186="","Missing code",IF(C186="Unknown code","Unknown code",IF(D186="","Missing qty",IF(A186="","Missing date","")))))</f>
        <v/>
      </c>
    </row>
    <row r="187" customFormat="false" ht="15" hidden="false" customHeight="false" outlineLevel="0" collapsed="false">
      <c r="A187" s="44"/>
      <c r="B187" s="39"/>
      <c r="C187" s="45" t="str">
        <f aca="false">IF(B187="","",IFERROR(INDEX(Contract!$C$10:$C$23,MATCH(B187,Contract!$B$10:$B$23,0)),"Unknown code"))</f>
        <v/>
      </c>
      <c r="D187" s="46"/>
      <c r="E187" s="39"/>
      <c r="F187" s="39"/>
      <c r="G187" s="47" t="str">
        <f aca="false">IF(AND(B187="",D187=""),"",IF(B187="","Missing code",IF(C187="Unknown code","Unknown code",IF(D187="","Missing qty",IF(A187="","Missing date","")))))</f>
        <v/>
      </c>
    </row>
    <row r="188" customFormat="false" ht="15" hidden="false" customHeight="false" outlineLevel="0" collapsed="false">
      <c r="A188" s="44"/>
      <c r="B188" s="39"/>
      <c r="C188" s="45" t="str">
        <f aca="false">IF(B188="","",IFERROR(INDEX(Contract!$C$10:$C$23,MATCH(B188,Contract!$B$10:$B$23,0)),"Unknown code"))</f>
        <v/>
      </c>
      <c r="D188" s="46"/>
      <c r="E188" s="39"/>
      <c r="F188" s="39"/>
      <c r="G188" s="47" t="str">
        <f aca="false">IF(AND(B188="",D188=""),"",IF(B188="","Missing code",IF(C188="Unknown code","Unknown code",IF(D188="","Missing qty",IF(A188="","Missing date","")))))</f>
        <v/>
      </c>
    </row>
    <row r="189" customFormat="false" ht="15" hidden="false" customHeight="false" outlineLevel="0" collapsed="false">
      <c r="A189" s="44"/>
      <c r="B189" s="39"/>
      <c r="C189" s="45" t="str">
        <f aca="false">IF(B189="","",IFERROR(INDEX(Contract!$C$10:$C$23,MATCH(B189,Contract!$B$10:$B$23,0)),"Unknown code"))</f>
        <v/>
      </c>
      <c r="D189" s="46"/>
      <c r="E189" s="39"/>
      <c r="F189" s="39"/>
      <c r="G189" s="47" t="str">
        <f aca="false">IF(AND(B189="",D189=""),"",IF(B189="","Missing code",IF(C189="Unknown code","Unknown code",IF(D189="","Missing qty",IF(A189="","Missing date","")))))</f>
        <v/>
      </c>
    </row>
    <row r="190" customFormat="false" ht="15" hidden="false" customHeight="false" outlineLevel="0" collapsed="false">
      <c r="A190" s="44"/>
      <c r="B190" s="39"/>
      <c r="C190" s="45" t="str">
        <f aca="false">IF(B190="","",IFERROR(INDEX(Contract!$C$10:$C$23,MATCH(B190,Contract!$B$10:$B$23,0)),"Unknown code"))</f>
        <v/>
      </c>
      <c r="D190" s="46"/>
      <c r="E190" s="39"/>
      <c r="F190" s="39"/>
      <c r="G190" s="47" t="str">
        <f aca="false">IF(AND(B190="",D190=""),"",IF(B190="","Missing code",IF(C190="Unknown code","Unknown code",IF(D190="","Missing qty",IF(A190="","Missing date","")))))</f>
        <v/>
      </c>
    </row>
    <row r="191" customFormat="false" ht="15" hidden="false" customHeight="false" outlineLevel="0" collapsed="false">
      <c r="A191" s="44"/>
      <c r="B191" s="39"/>
      <c r="C191" s="45" t="str">
        <f aca="false">IF(B191="","",IFERROR(INDEX(Contract!$C$10:$C$23,MATCH(B191,Contract!$B$10:$B$23,0)),"Unknown code"))</f>
        <v/>
      </c>
      <c r="D191" s="46"/>
      <c r="E191" s="39"/>
      <c r="F191" s="39"/>
      <c r="G191" s="47" t="str">
        <f aca="false">IF(AND(B191="",D191=""),"",IF(B191="","Missing code",IF(C191="Unknown code","Unknown code",IF(D191="","Missing qty",IF(A191="","Missing date","")))))</f>
        <v/>
      </c>
    </row>
    <row r="192" customFormat="false" ht="15" hidden="false" customHeight="false" outlineLevel="0" collapsed="false">
      <c r="A192" s="44"/>
      <c r="B192" s="39"/>
      <c r="C192" s="45" t="str">
        <f aca="false">IF(B192="","",IFERROR(INDEX(Contract!$C$10:$C$23,MATCH(B192,Contract!$B$10:$B$23,0)),"Unknown code"))</f>
        <v/>
      </c>
      <c r="D192" s="46"/>
      <c r="E192" s="39"/>
      <c r="F192" s="39"/>
      <c r="G192" s="47" t="str">
        <f aca="false">IF(AND(B192="",D192=""),"",IF(B192="","Missing code",IF(C192="Unknown code","Unknown code",IF(D192="","Missing qty",IF(A192="","Missing date","")))))</f>
        <v/>
      </c>
    </row>
    <row r="193" customFormat="false" ht="15" hidden="false" customHeight="false" outlineLevel="0" collapsed="false">
      <c r="A193" s="44"/>
      <c r="B193" s="39"/>
      <c r="C193" s="45" t="str">
        <f aca="false">IF(B193="","",IFERROR(INDEX(Contract!$C$10:$C$23,MATCH(B193,Contract!$B$10:$B$23,0)),"Unknown code"))</f>
        <v/>
      </c>
      <c r="D193" s="46"/>
      <c r="E193" s="39"/>
      <c r="F193" s="39"/>
      <c r="G193" s="47" t="str">
        <f aca="false">IF(AND(B193="",D193=""),"",IF(B193="","Missing code",IF(C193="Unknown code","Unknown code",IF(D193="","Missing qty",IF(A193="","Missing date","")))))</f>
        <v/>
      </c>
    </row>
    <row r="194" customFormat="false" ht="15" hidden="false" customHeight="false" outlineLevel="0" collapsed="false">
      <c r="A194" s="44"/>
      <c r="B194" s="39"/>
      <c r="C194" s="45" t="str">
        <f aca="false">IF(B194="","",IFERROR(INDEX(Contract!$C$10:$C$23,MATCH(B194,Contract!$B$10:$B$23,0)),"Unknown code"))</f>
        <v/>
      </c>
      <c r="D194" s="46"/>
      <c r="E194" s="39"/>
      <c r="F194" s="39"/>
      <c r="G194" s="47" t="str">
        <f aca="false">IF(AND(B194="",D194=""),"",IF(B194="","Missing code",IF(C194="Unknown code","Unknown code",IF(D194="","Missing qty",IF(A194="","Missing date","")))))</f>
        <v/>
      </c>
    </row>
    <row r="195" customFormat="false" ht="15" hidden="false" customHeight="false" outlineLevel="0" collapsed="false">
      <c r="A195" s="44"/>
      <c r="B195" s="39"/>
      <c r="C195" s="45" t="str">
        <f aca="false">IF(B195="","",IFERROR(INDEX(Contract!$C$10:$C$23,MATCH(B195,Contract!$B$10:$B$23,0)),"Unknown code"))</f>
        <v/>
      </c>
      <c r="D195" s="46"/>
      <c r="E195" s="39"/>
      <c r="F195" s="39"/>
      <c r="G195" s="47" t="str">
        <f aca="false">IF(AND(B195="",D195=""),"",IF(B195="","Missing code",IF(C195="Unknown code","Unknown code",IF(D195="","Missing qty",IF(A195="","Missing date","")))))</f>
        <v/>
      </c>
    </row>
    <row r="196" customFormat="false" ht="15" hidden="false" customHeight="false" outlineLevel="0" collapsed="false">
      <c r="A196" s="44"/>
      <c r="B196" s="39"/>
      <c r="C196" s="45" t="str">
        <f aca="false">IF(B196="","",IFERROR(INDEX(Contract!$C$10:$C$23,MATCH(B196,Contract!$B$10:$B$23,0)),"Unknown code"))</f>
        <v/>
      </c>
      <c r="D196" s="46"/>
      <c r="E196" s="39"/>
      <c r="F196" s="39"/>
      <c r="G196" s="47" t="str">
        <f aca="false">IF(AND(B196="",D196=""),"",IF(B196="","Missing code",IF(C196="Unknown code","Unknown code",IF(D196="","Missing qty",IF(A196="","Missing date","")))))</f>
        <v/>
      </c>
    </row>
    <row r="197" customFormat="false" ht="15" hidden="false" customHeight="false" outlineLevel="0" collapsed="false">
      <c r="A197" s="44"/>
      <c r="B197" s="39"/>
      <c r="C197" s="45" t="str">
        <f aca="false">IF(B197="","",IFERROR(INDEX(Contract!$C$10:$C$23,MATCH(B197,Contract!$B$10:$B$23,0)),"Unknown code"))</f>
        <v/>
      </c>
      <c r="D197" s="46"/>
      <c r="E197" s="39"/>
      <c r="F197" s="39"/>
      <c r="G197" s="47" t="str">
        <f aca="false">IF(AND(B197="",D197=""),"",IF(B197="","Missing code",IF(C197="Unknown code","Unknown code",IF(D197="","Missing qty",IF(A197="","Missing date","")))))</f>
        <v/>
      </c>
    </row>
    <row r="198" customFormat="false" ht="15" hidden="false" customHeight="false" outlineLevel="0" collapsed="false">
      <c r="A198" s="44"/>
      <c r="B198" s="39"/>
      <c r="C198" s="45" t="str">
        <f aca="false">IF(B198="","",IFERROR(INDEX(Contract!$C$10:$C$23,MATCH(B198,Contract!$B$10:$B$23,0)),"Unknown code"))</f>
        <v/>
      </c>
      <c r="D198" s="46"/>
      <c r="E198" s="39"/>
      <c r="F198" s="39"/>
      <c r="G198" s="47" t="str">
        <f aca="false">IF(AND(B198="",D198=""),"",IF(B198="","Missing code",IF(C198="Unknown code","Unknown code",IF(D198="","Missing qty",IF(A198="","Missing date","")))))</f>
        <v/>
      </c>
    </row>
    <row r="199" customFormat="false" ht="15" hidden="false" customHeight="false" outlineLevel="0" collapsed="false">
      <c r="A199" s="44"/>
      <c r="B199" s="39"/>
      <c r="C199" s="45" t="str">
        <f aca="false">IF(B199="","",IFERROR(INDEX(Contract!$C$10:$C$23,MATCH(B199,Contract!$B$10:$B$23,0)),"Unknown code"))</f>
        <v/>
      </c>
      <c r="D199" s="46"/>
      <c r="E199" s="39"/>
      <c r="F199" s="39"/>
      <c r="G199" s="47" t="str">
        <f aca="false">IF(AND(B199="",D199=""),"",IF(B199="","Missing code",IF(C199="Unknown code","Unknown code",IF(D199="","Missing qty",IF(A199="","Missing date","")))))</f>
        <v/>
      </c>
    </row>
    <row r="200" customFormat="false" ht="15" hidden="false" customHeight="false" outlineLevel="0" collapsed="false">
      <c r="A200" s="44"/>
      <c r="B200" s="39"/>
      <c r="C200" s="45" t="str">
        <f aca="false">IF(B200="","",IFERROR(INDEX(Contract!$C$10:$C$23,MATCH(B200,Contract!$B$10:$B$23,0)),"Unknown code"))</f>
        <v/>
      </c>
      <c r="D200" s="46"/>
      <c r="E200" s="39"/>
      <c r="F200" s="39"/>
      <c r="G200" s="47" t="str">
        <f aca="false">IF(AND(B200="",D200=""),"",IF(B200="","Missing code",IF(C200="Unknown code","Unknown code",IF(D200="","Missing qty",IF(A200="","Missing date","")))))</f>
        <v/>
      </c>
    </row>
    <row r="201" customFormat="false" ht="15" hidden="false" customHeight="false" outlineLevel="0" collapsed="false">
      <c r="A201" s="44"/>
      <c r="B201" s="39"/>
      <c r="C201" s="45" t="str">
        <f aca="false">IF(B201="","",IFERROR(INDEX(Contract!$C$10:$C$23,MATCH(B201,Contract!$B$10:$B$23,0)),"Unknown code"))</f>
        <v/>
      </c>
      <c r="D201" s="46"/>
      <c r="E201" s="39"/>
      <c r="F201" s="39"/>
      <c r="G201" s="47" t="str">
        <f aca="false">IF(AND(B201="",D201=""),"",IF(B201="","Missing code",IF(C201="Unknown code","Unknown code",IF(D201="","Missing qty",IF(A201="","Missing date","")))))</f>
        <v/>
      </c>
    </row>
    <row r="202" customFormat="false" ht="15" hidden="false" customHeight="false" outlineLevel="0" collapsed="false">
      <c r="A202" s="44"/>
      <c r="B202" s="39"/>
      <c r="C202" s="45" t="str">
        <f aca="false">IF(B202="","",IFERROR(INDEX(Contract!$C$10:$C$23,MATCH(B202,Contract!$B$10:$B$23,0)),"Unknown code"))</f>
        <v/>
      </c>
      <c r="D202" s="46"/>
      <c r="E202" s="39"/>
      <c r="F202" s="39"/>
      <c r="G202" s="47" t="str">
        <f aca="false">IF(AND(B202="",D202=""),"",IF(B202="","Missing code",IF(C202="Unknown code","Unknown code",IF(D202="","Missing qty",IF(A202="","Missing date","")))))</f>
        <v/>
      </c>
    </row>
    <row r="203" customFormat="false" ht="15" hidden="false" customHeight="false" outlineLevel="0" collapsed="false">
      <c r="A203" s="44"/>
      <c r="B203" s="39"/>
      <c r="C203" s="45" t="str">
        <f aca="false">IF(B203="","",IFERROR(INDEX(Contract!$C$10:$C$23,MATCH(B203,Contract!$B$10:$B$23,0)),"Unknown code"))</f>
        <v/>
      </c>
      <c r="D203" s="46"/>
      <c r="E203" s="39"/>
      <c r="F203" s="39"/>
      <c r="G203" s="47" t="str">
        <f aca="false">IF(AND(B203="",D203=""),"",IF(B203="","Missing code",IF(C203="Unknown code","Unknown code",IF(D203="","Missing qty",IF(A203="","Missing date","")))))</f>
        <v/>
      </c>
    </row>
    <row r="204" customFormat="false" ht="15" hidden="false" customHeight="false" outlineLevel="0" collapsed="false">
      <c r="A204" s="44"/>
      <c r="B204" s="39"/>
      <c r="C204" s="45" t="str">
        <f aca="false">IF(B204="","",IFERROR(INDEX(Contract!$C$10:$C$23,MATCH(B204,Contract!$B$10:$B$23,0)),"Unknown code"))</f>
        <v/>
      </c>
      <c r="D204" s="46"/>
      <c r="E204" s="39"/>
      <c r="F204" s="39"/>
      <c r="G204" s="47" t="str">
        <f aca="false">IF(AND(B204="",D204=""),"",IF(B204="","Missing code",IF(C204="Unknown code","Unknown code",IF(D204="","Missing qty",IF(A204="","Missing date","")))))</f>
        <v/>
      </c>
    </row>
    <row r="205" customFormat="false" ht="15" hidden="false" customHeight="false" outlineLevel="0" collapsed="false">
      <c r="A205" s="44"/>
      <c r="B205" s="39"/>
      <c r="C205" s="45" t="str">
        <f aca="false">IF(B205="","",IFERROR(INDEX(Contract!$C$10:$C$23,MATCH(B205,Contract!$B$10:$B$23,0)),"Unknown code"))</f>
        <v/>
      </c>
      <c r="D205" s="46"/>
      <c r="E205" s="39"/>
      <c r="F205" s="39"/>
      <c r="G205" s="47" t="str">
        <f aca="false">IF(AND(B205="",D205=""),"",IF(B205="","Missing code",IF(C205="Unknown code","Unknown code",IF(D205="","Missing qty",IF(A205="","Missing date","")))))</f>
        <v/>
      </c>
    </row>
    <row r="206" customFormat="false" ht="15" hidden="false" customHeight="false" outlineLevel="0" collapsed="false">
      <c r="A206" s="44"/>
      <c r="B206" s="39"/>
      <c r="C206" s="45" t="str">
        <f aca="false">IF(B206="","",IFERROR(INDEX(Contract!$C$10:$C$23,MATCH(B206,Contract!$B$10:$B$23,0)),"Unknown code"))</f>
        <v/>
      </c>
      <c r="D206" s="46"/>
      <c r="E206" s="39"/>
      <c r="F206" s="39"/>
      <c r="G206" s="47" t="str">
        <f aca="false">IF(AND(B206="",D206=""),"",IF(B206="","Missing code",IF(C206="Unknown code","Unknown code",IF(D206="","Missing qty",IF(A206="","Missing date","")))))</f>
        <v/>
      </c>
    </row>
    <row r="207" customFormat="false" ht="15" hidden="false" customHeight="false" outlineLevel="0" collapsed="false">
      <c r="A207" s="44"/>
      <c r="B207" s="39"/>
      <c r="C207" s="45" t="str">
        <f aca="false">IF(B207="","",IFERROR(INDEX(Contract!$C$10:$C$23,MATCH(B207,Contract!$B$10:$B$23,0)),"Unknown code"))</f>
        <v/>
      </c>
      <c r="D207" s="46"/>
      <c r="E207" s="39"/>
      <c r="F207" s="39"/>
      <c r="G207" s="47" t="str">
        <f aca="false">IF(AND(B207="",D207=""),"",IF(B207="","Missing code",IF(C207="Unknown code","Unknown code",IF(D207="","Missing qty",IF(A207="","Missing date","")))))</f>
        <v/>
      </c>
    </row>
    <row r="208" customFormat="false" ht="15" hidden="false" customHeight="false" outlineLevel="0" collapsed="false">
      <c r="A208" s="44"/>
      <c r="B208" s="39"/>
      <c r="C208" s="45" t="str">
        <f aca="false">IF(B208="","",IFERROR(INDEX(Contract!$C$10:$C$23,MATCH(B208,Contract!$B$10:$B$23,0)),"Unknown code"))</f>
        <v/>
      </c>
      <c r="D208" s="46"/>
      <c r="E208" s="39"/>
      <c r="F208" s="39"/>
      <c r="G208" s="47" t="str">
        <f aca="false">IF(AND(B208="",D208=""),"",IF(B208="","Missing code",IF(C208="Unknown code","Unknown code",IF(D208="","Missing qty",IF(A208="","Missing date","")))))</f>
        <v/>
      </c>
    </row>
    <row r="209" customFormat="false" ht="15" hidden="false" customHeight="false" outlineLevel="0" collapsed="false">
      <c r="A209" s="44"/>
      <c r="B209" s="39"/>
      <c r="C209" s="45" t="str">
        <f aca="false">IF(B209="","",IFERROR(INDEX(Contract!$C$10:$C$23,MATCH(B209,Contract!$B$10:$B$23,0)),"Unknown code"))</f>
        <v/>
      </c>
      <c r="D209" s="46"/>
      <c r="E209" s="39"/>
      <c r="F209" s="39"/>
      <c r="G209" s="47" t="str">
        <f aca="false">IF(AND(B209="",D209=""),"",IF(B209="","Missing code",IF(C209="Unknown code","Unknown code",IF(D209="","Missing qty",IF(A209="","Missing date","")))))</f>
        <v/>
      </c>
    </row>
    <row r="210" customFormat="false" ht="15" hidden="false" customHeight="false" outlineLevel="0" collapsed="false">
      <c r="A210" s="44"/>
      <c r="B210" s="39"/>
      <c r="C210" s="45" t="str">
        <f aca="false">IF(B210="","",IFERROR(INDEX(Contract!$C$10:$C$23,MATCH(B210,Contract!$B$10:$B$23,0)),"Unknown code"))</f>
        <v/>
      </c>
      <c r="D210" s="46"/>
      <c r="E210" s="39"/>
      <c r="F210" s="39"/>
      <c r="G210" s="47" t="str">
        <f aca="false">IF(AND(B210="",D210=""),"",IF(B210="","Missing code",IF(C210="Unknown code","Unknown code",IF(D210="","Missing qty",IF(A210="","Missing date","")))))</f>
        <v/>
      </c>
    </row>
    <row r="211" customFormat="false" ht="15" hidden="false" customHeight="false" outlineLevel="0" collapsed="false">
      <c r="A211" s="44"/>
      <c r="B211" s="39"/>
      <c r="C211" s="45" t="str">
        <f aca="false">IF(B211="","",IFERROR(INDEX(Contract!$C$10:$C$23,MATCH(B211,Contract!$B$10:$B$23,0)),"Unknown code"))</f>
        <v/>
      </c>
      <c r="D211" s="46"/>
      <c r="E211" s="39"/>
      <c r="F211" s="39"/>
      <c r="G211" s="47" t="str">
        <f aca="false">IF(AND(B211="",D211=""),"",IF(B211="","Missing code",IF(C211="Unknown code","Unknown code",IF(D211="","Missing qty",IF(A211="","Missing date","")))))</f>
        <v/>
      </c>
    </row>
    <row r="212" customFormat="false" ht="15" hidden="false" customHeight="false" outlineLevel="0" collapsed="false">
      <c r="A212" s="44"/>
      <c r="B212" s="39"/>
      <c r="C212" s="45" t="str">
        <f aca="false">IF(B212="","",IFERROR(INDEX(Contract!$C$10:$C$23,MATCH(B212,Contract!$B$10:$B$23,0)),"Unknown code"))</f>
        <v/>
      </c>
      <c r="D212" s="46"/>
      <c r="E212" s="39"/>
      <c r="F212" s="39"/>
      <c r="G212" s="47" t="str">
        <f aca="false">IF(AND(B212="",D212=""),"",IF(B212="","Missing code",IF(C212="Unknown code","Unknown code",IF(D212="","Missing qty",IF(A212="","Missing date","")))))</f>
        <v/>
      </c>
    </row>
    <row r="213" customFormat="false" ht="15" hidden="false" customHeight="false" outlineLevel="0" collapsed="false">
      <c r="A213" s="44"/>
      <c r="B213" s="39"/>
      <c r="C213" s="45" t="str">
        <f aca="false">IF(B213="","",IFERROR(INDEX(Contract!$C$10:$C$23,MATCH(B213,Contract!$B$10:$B$23,0)),"Unknown code"))</f>
        <v/>
      </c>
      <c r="D213" s="46"/>
      <c r="E213" s="39"/>
      <c r="F213" s="39"/>
      <c r="G213" s="47" t="str">
        <f aca="false">IF(AND(B213="",D213=""),"",IF(B213="","Missing code",IF(C213="Unknown code","Unknown code",IF(D213="","Missing qty",IF(A213="","Missing date","")))))</f>
        <v/>
      </c>
    </row>
    <row r="214" customFormat="false" ht="15" hidden="false" customHeight="false" outlineLevel="0" collapsed="false">
      <c r="A214" s="44"/>
      <c r="B214" s="39"/>
      <c r="C214" s="45" t="str">
        <f aca="false">IF(B214="","",IFERROR(INDEX(Contract!$C$10:$C$23,MATCH(B214,Contract!$B$10:$B$23,0)),"Unknown code"))</f>
        <v/>
      </c>
      <c r="D214" s="46"/>
      <c r="E214" s="39"/>
      <c r="F214" s="39"/>
      <c r="G214" s="47" t="str">
        <f aca="false">IF(AND(B214="",D214=""),"",IF(B214="","Missing code",IF(C214="Unknown code","Unknown code",IF(D214="","Missing qty",IF(A214="","Missing date","")))))</f>
        <v/>
      </c>
    </row>
    <row r="215" customFormat="false" ht="15" hidden="false" customHeight="false" outlineLevel="0" collapsed="false">
      <c r="A215" s="44"/>
      <c r="B215" s="39"/>
      <c r="C215" s="45" t="str">
        <f aca="false">IF(B215="","",IFERROR(INDEX(Contract!$C$10:$C$23,MATCH(B215,Contract!$B$10:$B$23,0)),"Unknown code"))</f>
        <v/>
      </c>
      <c r="D215" s="46"/>
      <c r="E215" s="39"/>
      <c r="F215" s="39"/>
      <c r="G215" s="47" t="str">
        <f aca="false">IF(AND(B215="",D215=""),"",IF(B215="","Missing code",IF(C215="Unknown code","Unknown code",IF(D215="","Missing qty",IF(A215="","Missing date","")))))</f>
        <v/>
      </c>
    </row>
    <row r="216" customFormat="false" ht="15" hidden="false" customHeight="false" outlineLevel="0" collapsed="false">
      <c r="A216" s="44"/>
      <c r="B216" s="39"/>
      <c r="C216" s="45" t="str">
        <f aca="false">IF(B216="","",IFERROR(INDEX(Contract!$C$10:$C$23,MATCH(B216,Contract!$B$10:$B$23,0)),"Unknown code"))</f>
        <v/>
      </c>
      <c r="D216" s="46"/>
      <c r="E216" s="39"/>
      <c r="F216" s="39"/>
      <c r="G216" s="47" t="str">
        <f aca="false">IF(AND(B216="",D216=""),"",IF(B216="","Missing code",IF(C216="Unknown code","Unknown code",IF(D216="","Missing qty",IF(A216="","Missing date","")))))</f>
        <v/>
      </c>
    </row>
    <row r="217" customFormat="false" ht="15" hidden="false" customHeight="false" outlineLevel="0" collapsed="false">
      <c r="A217" s="44"/>
      <c r="B217" s="39"/>
      <c r="C217" s="45" t="str">
        <f aca="false">IF(B217="","",IFERROR(INDEX(Contract!$C$10:$C$23,MATCH(B217,Contract!$B$10:$B$23,0)),"Unknown code"))</f>
        <v/>
      </c>
      <c r="D217" s="46"/>
      <c r="E217" s="39"/>
      <c r="F217" s="39"/>
      <c r="G217" s="47" t="str">
        <f aca="false">IF(AND(B217="",D217=""),"",IF(B217="","Missing code",IF(C217="Unknown code","Unknown code",IF(D217="","Missing qty",IF(A217="","Missing date","")))))</f>
        <v/>
      </c>
    </row>
    <row r="218" customFormat="false" ht="15" hidden="false" customHeight="false" outlineLevel="0" collapsed="false">
      <c r="A218" s="44"/>
      <c r="B218" s="39"/>
      <c r="C218" s="45" t="str">
        <f aca="false">IF(B218="","",IFERROR(INDEX(Contract!$C$10:$C$23,MATCH(B218,Contract!$B$10:$B$23,0)),"Unknown code"))</f>
        <v/>
      </c>
      <c r="D218" s="46"/>
      <c r="E218" s="39"/>
      <c r="F218" s="39"/>
      <c r="G218" s="47" t="str">
        <f aca="false">IF(AND(B218="",D218=""),"",IF(B218="","Missing code",IF(C218="Unknown code","Unknown code",IF(D218="","Missing qty",IF(A218="","Missing date","")))))</f>
        <v/>
      </c>
    </row>
    <row r="219" customFormat="false" ht="15" hidden="false" customHeight="false" outlineLevel="0" collapsed="false">
      <c r="A219" s="44"/>
      <c r="B219" s="39"/>
      <c r="C219" s="45" t="str">
        <f aca="false">IF(B219="","",IFERROR(INDEX(Contract!$C$10:$C$23,MATCH(B219,Contract!$B$10:$B$23,0)),"Unknown code"))</f>
        <v/>
      </c>
      <c r="D219" s="46"/>
      <c r="E219" s="39"/>
      <c r="F219" s="39"/>
      <c r="G219" s="47" t="str">
        <f aca="false">IF(AND(B219="",D219=""),"",IF(B219="","Missing code",IF(C219="Unknown code","Unknown code",IF(D219="","Missing qty",IF(A219="","Missing date","")))))</f>
        <v/>
      </c>
    </row>
    <row r="220" customFormat="false" ht="15" hidden="false" customHeight="false" outlineLevel="0" collapsed="false">
      <c r="A220" s="44"/>
      <c r="B220" s="39"/>
      <c r="C220" s="45" t="str">
        <f aca="false">IF(B220="","",IFERROR(INDEX(Contract!$C$10:$C$23,MATCH(B220,Contract!$B$10:$B$23,0)),"Unknown code"))</f>
        <v/>
      </c>
      <c r="D220" s="46"/>
      <c r="E220" s="39"/>
      <c r="F220" s="39"/>
      <c r="G220" s="47" t="str">
        <f aca="false">IF(AND(B220="",D220=""),"",IF(B220="","Missing code",IF(C220="Unknown code","Unknown code",IF(D220="","Missing qty",IF(A220="","Missing date","")))))</f>
        <v/>
      </c>
    </row>
    <row r="221" customFormat="false" ht="15" hidden="false" customHeight="false" outlineLevel="0" collapsed="false">
      <c r="A221" s="44"/>
      <c r="B221" s="39"/>
      <c r="C221" s="45" t="str">
        <f aca="false">IF(B221="","",IFERROR(INDEX(Contract!$C$10:$C$23,MATCH(B221,Contract!$B$10:$B$23,0)),"Unknown code"))</f>
        <v/>
      </c>
      <c r="D221" s="46"/>
      <c r="E221" s="39"/>
      <c r="F221" s="39"/>
      <c r="G221" s="47" t="str">
        <f aca="false">IF(AND(B221="",D221=""),"",IF(B221="","Missing code",IF(C221="Unknown code","Unknown code",IF(D221="","Missing qty",IF(A221="","Missing date","")))))</f>
        <v/>
      </c>
    </row>
    <row r="222" customFormat="false" ht="15" hidden="false" customHeight="false" outlineLevel="0" collapsed="false">
      <c r="A222" s="44"/>
      <c r="B222" s="39"/>
      <c r="C222" s="45" t="str">
        <f aca="false">IF(B222="","",IFERROR(INDEX(Contract!$C$10:$C$23,MATCH(B222,Contract!$B$10:$B$23,0)),"Unknown code"))</f>
        <v/>
      </c>
      <c r="D222" s="46"/>
      <c r="E222" s="39"/>
      <c r="F222" s="39"/>
      <c r="G222" s="47" t="str">
        <f aca="false">IF(AND(B222="",D222=""),"",IF(B222="","Missing code",IF(C222="Unknown code","Unknown code",IF(D222="","Missing qty",IF(A222="","Missing date","")))))</f>
        <v/>
      </c>
    </row>
    <row r="223" customFormat="false" ht="15" hidden="false" customHeight="false" outlineLevel="0" collapsed="false">
      <c r="A223" s="44"/>
      <c r="B223" s="39"/>
      <c r="C223" s="45" t="str">
        <f aca="false">IF(B223="","",IFERROR(INDEX(Contract!$C$10:$C$23,MATCH(B223,Contract!$B$10:$B$23,0)),"Unknown code"))</f>
        <v/>
      </c>
      <c r="D223" s="46"/>
      <c r="E223" s="39"/>
      <c r="F223" s="39"/>
      <c r="G223" s="47" t="str">
        <f aca="false">IF(AND(B223="",D223=""),"",IF(B223="","Missing code",IF(C223="Unknown code","Unknown code",IF(D223="","Missing qty",IF(A223="","Missing date","")))))</f>
        <v/>
      </c>
    </row>
    <row r="224" customFormat="false" ht="15" hidden="false" customHeight="false" outlineLevel="0" collapsed="false">
      <c r="A224" s="44"/>
      <c r="B224" s="39"/>
      <c r="C224" s="45" t="str">
        <f aca="false">IF(B224="","",IFERROR(INDEX(Contract!$C$10:$C$23,MATCH(B224,Contract!$B$10:$B$23,0)),"Unknown code"))</f>
        <v/>
      </c>
      <c r="D224" s="46"/>
      <c r="E224" s="39"/>
      <c r="F224" s="39"/>
      <c r="G224" s="47" t="str">
        <f aca="false">IF(AND(B224="",D224=""),"",IF(B224="","Missing code",IF(C224="Unknown code","Unknown code",IF(D224="","Missing qty",IF(A224="","Missing date","")))))</f>
        <v/>
      </c>
    </row>
    <row r="225" customFormat="false" ht="15" hidden="false" customHeight="false" outlineLevel="0" collapsed="false">
      <c r="A225" s="44"/>
      <c r="B225" s="39"/>
      <c r="C225" s="45" t="str">
        <f aca="false">IF(B225="","",IFERROR(INDEX(Contract!$C$10:$C$23,MATCH(B225,Contract!$B$10:$B$23,0)),"Unknown code"))</f>
        <v/>
      </c>
      <c r="D225" s="46"/>
      <c r="E225" s="39"/>
      <c r="F225" s="39"/>
      <c r="G225" s="47" t="str">
        <f aca="false">IF(AND(B225="",D225=""),"",IF(B225="","Missing code",IF(C225="Unknown code","Unknown code",IF(D225="","Missing qty",IF(A225="","Missing date","")))))</f>
        <v/>
      </c>
    </row>
    <row r="226" customFormat="false" ht="15" hidden="false" customHeight="false" outlineLevel="0" collapsed="false">
      <c r="A226" s="44"/>
      <c r="B226" s="39"/>
      <c r="C226" s="45" t="str">
        <f aca="false">IF(B226="","",IFERROR(INDEX(Contract!$C$10:$C$23,MATCH(B226,Contract!$B$10:$B$23,0)),"Unknown code"))</f>
        <v/>
      </c>
      <c r="D226" s="46"/>
      <c r="E226" s="39"/>
      <c r="F226" s="39"/>
      <c r="G226" s="47" t="str">
        <f aca="false">IF(AND(B226="",D226=""),"",IF(B226="","Missing code",IF(C226="Unknown code","Unknown code",IF(D226="","Missing qty",IF(A226="","Missing date","")))))</f>
        <v/>
      </c>
    </row>
    <row r="227" customFormat="false" ht="15" hidden="false" customHeight="false" outlineLevel="0" collapsed="false">
      <c r="A227" s="44"/>
      <c r="B227" s="39"/>
      <c r="C227" s="45" t="str">
        <f aca="false">IF(B227="","",IFERROR(INDEX(Contract!$C$10:$C$23,MATCH(B227,Contract!$B$10:$B$23,0)),"Unknown code"))</f>
        <v/>
      </c>
      <c r="D227" s="46"/>
      <c r="E227" s="39"/>
      <c r="F227" s="39"/>
      <c r="G227" s="47" t="str">
        <f aca="false">IF(AND(B227="",D227=""),"",IF(B227="","Missing code",IF(C227="Unknown code","Unknown code",IF(D227="","Missing qty",IF(A227="","Missing date","")))))</f>
        <v/>
      </c>
    </row>
    <row r="228" customFormat="false" ht="15" hidden="false" customHeight="false" outlineLevel="0" collapsed="false">
      <c r="A228" s="44"/>
      <c r="B228" s="39"/>
      <c r="C228" s="45" t="str">
        <f aca="false">IF(B228="","",IFERROR(INDEX(Contract!$C$10:$C$23,MATCH(B228,Contract!$B$10:$B$23,0)),"Unknown code"))</f>
        <v/>
      </c>
      <c r="D228" s="46"/>
      <c r="E228" s="39"/>
      <c r="F228" s="39"/>
      <c r="G228" s="47" t="str">
        <f aca="false">IF(AND(B228="",D228=""),"",IF(B228="","Missing code",IF(C228="Unknown code","Unknown code",IF(D228="","Missing qty",IF(A228="","Missing date","")))))</f>
        <v/>
      </c>
    </row>
    <row r="229" customFormat="false" ht="15" hidden="false" customHeight="false" outlineLevel="0" collapsed="false">
      <c r="A229" s="44"/>
      <c r="B229" s="39"/>
      <c r="C229" s="45" t="str">
        <f aca="false">IF(B229="","",IFERROR(INDEX(Contract!$C$10:$C$23,MATCH(B229,Contract!$B$10:$B$23,0)),"Unknown code"))</f>
        <v/>
      </c>
      <c r="D229" s="46"/>
      <c r="E229" s="39"/>
      <c r="F229" s="39"/>
      <c r="G229" s="47" t="str">
        <f aca="false">IF(AND(B229="",D229=""),"",IF(B229="","Missing code",IF(C229="Unknown code","Unknown code",IF(D229="","Missing qty",IF(A229="","Missing date","")))))</f>
        <v/>
      </c>
    </row>
    <row r="230" customFormat="false" ht="15" hidden="false" customHeight="false" outlineLevel="0" collapsed="false">
      <c r="A230" s="44"/>
      <c r="B230" s="39"/>
      <c r="C230" s="45" t="str">
        <f aca="false">IF(B230="","",IFERROR(INDEX(Contract!$C$10:$C$23,MATCH(B230,Contract!$B$10:$B$23,0)),"Unknown code"))</f>
        <v/>
      </c>
      <c r="D230" s="46"/>
      <c r="E230" s="39"/>
      <c r="F230" s="39"/>
      <c r="G230" s="47" t="str">
        <f aca="false">IF(AND(B230="",D230=""),"",IF(B230="","Missing code",IF(C230="Unknown code","Unknown code",IF(D230="","Missing qty",IF(A230="","Missing date","")))))</f>
        <v/>
      </c>
    </row>
    <row r="231" customFormat="false" ht="15" hidden="false" customHeight="false" outlineLevel="0" collapsed="false">
      <c r="A231" s="44"/>
      <c r="B231" s="39"/>
      <c r="C231" s="45" t="str">
        <f aca="false">IF(B231="","",IFERROR(INDEX(Contract!$C$10:$C$23,MATCH(B231,Contract!$B$10:$B$23,0)),"Unknown code"))</f>
        <v/>
      </c>
      <c r="D231" s="46"/>
      <c r="E231" s="39"/>
      <c r="F231" s="39"/>
      <c r="G231" s="47" t="str">
        <f aca="false">IF(AND(B231="",D231=""),"",IF(B231="","Missing code",IF(C231="Unknown code","Unknown code",IF(D231="","Missing qty",IF(A231="","Missing date","")))))</f>
        <v/>
      </c>
    </row>
    <row r="232" customFormat="false" ht="15" hidden="false" customHeight="false" outlineLevel="0" collapsed="false">
      <c r="A232" s="44"/>
      <c r="B232" s="39"/>
      <c r="C232" s="45" t="str">
        <f aca="false">IF(B232="","",IFERROR(INDEX(Contract!$C$10:$C$23,MATCH(B232,Contract!$B$10:$B$23,0)),"Unknown code"))</f>
        <v/>
      </c>
      <c r="D232" s="46"/>
      <c r="E232" s="39"/>
      <c r="F232" s="39"/>
      <c r="G232" s="47" t="str">
        <f aca="false">IF(AND(B232="",D232=""),"",IF(B232="","Missing code",IF(C232="Unknown code","Unknown code",IF(D232="","Missing qty",IF(A232="","Missing date","")))))</f>
        <v/>
      </c>
    </row>
    <row r="233" customFormat="false" ht="15" hidden="false" customHeight="false" outlineLevel="0" collapsed="false">
      <c r="A233" s="44"/>
      <c r="B233" s="39"/>
      <c r="C233" s="45" t="str">
        <f aca="false">IF(B233="","",IFERROR(INDEX(Contract!$C$10:$C$23,MATCH(B233,Contract!$B$10:$B$23,0)),"Unknown code"))</f>
        <v/>
      </c>
      <c r="D233" s="46"/>
      <c r="E233" s="39"/>
      <c r="F233" s="39"/>
      <c r="G233" s="47" t="str">
        <f aca="false">IF(AND(B233="",D233=""),"",IF(B233="","Missing code",IF(C233="Unknown code","Unknown code",IF(D233="","Missing qty",IF(A233="","Missing date","")))))</f>
        <v/>
      </c>
    </row>
    <row r="234" customFormat="false" ht="15" hidden="false" customHeight="false" outlineLevel="0" collapsed="false">
      <c r="A234" s="44"/>
      <c r="B234" s="39"/>
      <c r="C234" s="45" t="str">
        <f aca="false">IF(B234="","",IFERROR(INDEX(Contract!$C$10:$C$23,MATCH(B234,Contract!$B$10:$B$23,0)),"Unknown code"))</f>
        <v/>
      </c>
      <c r="D234" s="46"/>
      <c r="E234" s="39"/>
      <c r="F234" s="39"/>
      <c r="G234" s="47" t="str">
        <f aca="false">IF(AND(B234="",D234=""),"",IF(B234="","Missing code",IF(C234="Unknown code","Unknown code",IF(D234="","Missing qty",IF(A234="","Missing date","")))))</f>
        <v/>
      </c>
    </row>
    <row r="235" customFormat="false" ht="15" hidden="false" customHeight="false" outlineLevel="0" collapsed="false">
      <c r="A235" s="44"/>
      <c r="B235" s="39"/>
      <c r="C235" s="45" t="str">
        <f aca="false">IF(B235="","",IFERROR(INDEX(Contract!$C$10:$C$23,MATCH(B235,Contract!$B$10:$B$23,0)),"Unknown code"))</f>
        <v/>
      </c>
      <c r="D235" s="46"/>
      <c r="E235" s="39"/>
      <c r="F235" s="39"/>
      <c r="G235" s="47" t="str">
        <f aca="false">IF(AND(B235="",D235=""),"",IF(B235="","Missing code",IF(C235="Unknown code","Unknown code",IF(D235="","Missing qty",IF(A235="","Missing date","")))))</f>
        <v/>
      </c>
    </row>
    <row r="236" customFormat="false" ht="15" hidden="false" customHeight="false" outlineLevel="0" collapsed="false">
      <c r="A236" s="44"/>
      <c r="B236" s="39"/>
      <c r="C236" s="45" t="str">
        <f aca="false">IF(B236="","",IFERROR(INDEX(Contract!$C$10:$C$23,MATCH(B236,Contract!$B$10:$B$23,0)),"Unknown code"))</f>
        <v/>
      </c>
      <c r="D236" s="46"/>
      <c r="E236" s="39"/>
      <c r="F236" s="39"/>
      <c r="G236" s="47" t="str">
        <f aca="false">IF(AND(B236="",D236=""),"",IF(B236="","Missing code",IF(C236="Unknown code","Unknown code",IF(D236="","Missing qty",IF(A236="","Missing date","")))))</f>
        <v/>
      </c>
    </row>
    <row r="237" customFormat="false" ht="15" hidden="false" customHeight="false" outlineLevel="0" collapsed="false">
      <c r="A237" s="44"/>
      <c r="B237" s="39"/>
      <c r="C237" s="45" t="str">
        <f aca="false">IF(B237="","",IFERROR(INDEX(Contract!$C$10:$C$23,MATCH(B237,Contract!$B$10:$B$23,0)),"Unknown code"))</f>
        <v/>
      </c>
      <c r="D237" s="46"/>
      <c r="E237" s="39"/>
      <c r="F237" s="39"/>
      <c r="G237" s="47" t="str">
        <f aca="false">IF(AND(B237="",D237=""),"",IF(B237="","Missing code",IF(C237="Unknown code","Unknown code",IF(D237="","Missing qty",IF(A237="","Missing date","")))))</f>
        <v/>
      </c>
    </row>
    <row r="238" customFormat="false" ht="15" hidden="false" customHeight="false" outlineLevel="0" collapsed="false">
      <c r="A238" s="44"/>
      <c r="B238" s="39"/>
      <c r="C238" s="45" t="str">
        <f aca="false">IF(B238="","",IFERROR(INDEX(Contract!$C$10:$C$23,MATCH(B238,Contract!$B$10:$B$23,0)),"Unknown code"))</f>
        <v/>
      </c>
      <c r="D238" s="46"/>
      <c r="E238" s="39"/>
      <c r="F238" s="39"/>
      <c r="G238" s="47" t="str">
        <f aca="false">IF(AND(B238="",D238=""),"",IF(B238="","Missing code",IF(C238="Unknown code","Unknown code",IF(D238="","Missing qty",IF(A238="","Missing date","")))))</f>
        <v/>
      </c>
    </row>
    <row r="239" customFormat="false" ht="15" hidden="false" customHeight="false" outlineLevel="0" collapsed="false">
      <c r="A239" s="44"/>
      <c r="B239" s="39"/>
      <c r="C239" s="45" t="str">
        <f aca="false">IF(B239="","",IFERROR(INDEX(Contract!$C$10:$C$23,MATCH(B239,Contract!$B$10:$B$23,0)),"Unknown code"))</f>
        <v/>
      </c>
      <c r="D239" s="46"/>
      <c r="E239" s="39"/>
      <c r="F239" s="39"/>
      <c r="G239" s="47" t="str">
        <f aca="false">IF(AND(B239="",D239=""),"",IF(B239="","Missing code",IF(C239="Unknown code","Unknown code",IF(D239="","Missing qty",IF(A239="","Missing date","")))))</f>
        <v/>
      </c>
    </row>
    <row r="240" customFormat="false" ht="15" hidden="false" customHeight="false" outlineLevel="0" collapsed="false">
      <c r="A240" s="44"/>
      <c r="B240" s="39"/>
      <c r="C240" s="45" t="str">
        <f aca="false">IF(B240="","",IFERROR(INDEX(Contract!$C$10:$C$23,MATCH(B240,Contract!$B$10:$B$23,0)),"Unknown code"))</f>
        <v/>
      </c>
      <c r="D240" s="46"/>
      <c r="E240" s="39"/>
      <c r="F240" s="39"/>
      <c r="G240" s="47" t="str">
        <f aca="false">IF(AND(B240="",D240=""),"",IF(B240="","Missing code",IF(C240="Unknown code","Unknown code",IF(D240="","Missing qty",IF(A240="","Missing date","")))))</f>
        <v/>
      </c>
    </row>
    <row r="241" customFormat="false" ht="15" hidden="false" customHeight="false" outlineLevel="0" collapsed="false">
      <c r="A241" s="44"/>
      <c r="B241" s="39"/>
      <c r="C241" s="45" t="str">
        <f aca="false">IF(B241="","",IFERROR(INDEX(Contract!$C$10:$C$23,MATCH(B241,Contract!$B$10:$B$23,0)),"Unknown code"))</f>
        <v/>
      </c>
      <c r="D241" s="46"/>
      <c r="E241" s="39"/>
      <c r="F241" s="39"/>
      <c r="G241" s="47" t="str">
        <f aca="false">IF(AND(B241="",D241=""),"",IF(B241="","Missing code",IF(C241="Unknown code","Unknown code",IF(D241="","Missing qty",IF(A241="","Missing date","")))))</f>
        <v/>
      </c>
    </row>
    <row r="242" customFormat="false" ht="15" hidden="false" customHeight="false" outlineLevel="0" collapsed="false">
      <c r="A242" s="44"/>
      <c r="B242" s="39"/>
      <c r="C242" s="45" t="str">
        <f aca="false">IF(B242="","",IFERROR(INDEX(Contract!$C$10:$C$23,MATCH(B242,Contract!$B$10:$B$23,0)),"Unknown code"))</f>
        <v/>
      </c>
      <c r="D242" s="46"/>
      <c r="E242" s="39"/>
      <c r="F242" s="39"/>
      <c r="G242" s="47" t="str">
        <f aca="false">IF(AND(B242="",D242=""),"",IF(B242="","Missing code",IF(C242="Unknown code","Unknown code",IF(D242="","Missing qty",IF(A242="","Missing date","")))))</f>
        <v/>
      </c>
    </row>
    <row r="243" customFormat="false" ht="15" hidden="false" customHeight="false" outlineLevel="0" collapsed="false">
      <c r="A243" s="44"/>
      <c r="B243" s="39"/>
      <c r="C243" s="45" t="str">
        <f aca="false">IF(B243="","",IFERROR(INDEX(Contract!$C$10:$C$23,MATCH(B243,Contract!$B$10:$B$23,0)),"Unknown code"))</f>
        <v/>
      </c>
      <c r="D243" s="46"/>
      <c r="E243" s="39"/>
      <c r="F243" s="39"/>
      <c r="G243" s="47" t="str">
        <f aca="false">IF(AND(B243="",D243=""),"",IF(B243="","Missing code",IF(C243="Unknown code","Unknown code",IF(D243="","Missing qty",IF(A243="","Missing date","")))))</f>
        <v/>
      </c>
    </row>
    <row r="244" customFormat="false" ht="15" hidden="false" customHeight="false" outlineLevel="0" collapsed="false">
      <c r="A244" s="44"/>
      <c r="B244" s="39"/>
      <c r="C244" s="45" t="str">
        <f aca="false">IF(B244="","",IFERROR(INDEX(Contract!$C$10:$C$23,MATCH(B244,Contract!$B$10:$B$23,0)),"Unknown code"))</f>
        <v/>
      </c>
      <c r="D244" s="46"/>
      <c r="E244" s="39"/>
      <c r="F244" s="39"/>
      <c r="G244" s="47" t="str">
        <f aca="false">IF(AND(B244="",D244=""),"",IF(B244="","Missing code",IF(C244="Unknown code","Unknown code",IF(D244="","Missing qty",IF(A244="","Missing date","")))))</f>
        <v/>
      </c>
    </row>
    <row r="245" customFormat="false" ht="15" hidden="false" customHeight="false" outlineLevel="0" collapsed="false">
      <c r="A245" s="44"/>
      <c r="B245" s="39"/>
      <c r="C245" s="45" t="str">
        <f aca="false">IF(B245="","",IFERROR(INDEX(Contract!$C$10:$C$23,MATCH(B245,Contract!$B$10:$B$23,0)),"Unknown code"))</f>
        <v/>
      </c>
      <c r="D245" s="46"/>
      <c r="E245" s="39"/>
      <c r="F245" s="39"/>
      <c r="G245" s="47" t="str">
        <f aca="false">IF(AND(B245="",D245=""),"",IF(B245="","Missing code",IF(C245="Unknown code","Unknown code",IF(D245="","Missing qty",IF(A245="","Missing date","")))))</f>
        <v/>
      </c>
    </row>
    <row r="246" customFormat="false" ht="15" hidden="false" customHeight="false" outlineLevel="0" collapsed="false">
      <c r="A246" s="44"/>
      <c r="B246" s="39"/>
      <c r="C246" s="45" t="str">
        <f aca="false">IF(B246="","",IFERROR(INDEX(Contract!$C$10:$C$23,MATCH(B246,Contract!$B$10:$B$23,0)),"Unknown code"))</f>
        <v/>
      </c>
      <c r="D246" s="46"/>
      <c r="E246" s="39"/>
      <c r="F246" s="39"/>
      <c r="G246" s="47" t="str">
        <f aca="false">IF(AND(B246="",D246=""),"",IF(B246="","Missing code",IF(C246="Unknown code","Unknown code",IF(D246="","Missing qty",IF(A246="","Missing date","")))))</f>
        <v/>
      </c>
    </row>
    <row r="247" customFormat="false" ht="15" hidden="false" customHeight="false" outlineLevel="0" collapsed="false">
      <c r="A247" s="44"/>
      <c r="B247" s="39"/>
      <c r="C247" s="45" t="str">
        <f aca="false">IF(B247="","",IFERROR(INDEX(Contract!$C$10:$C$23,MATCH(B247,Contract!$B$10:$B$23,0)),"Unknown code"))</f>
        <v/>
      </c>
      <c r="D247" s="46"/>
      <c r="E247" s="39"/>
      <c r="F247" s="39"/>
      <c r="G247" s="47" t="str">
        <f aca="false">IF(AND(B247="",D247=""),"",IF(B247="","Missing code",IF(C247="Unknown code","Unknown code",IF(D247="","Missing qty",IF(A247="","Missing date","")))))</f>
        <v/>
      </c>
    </row>
    <row r="248" customFormat="false" ht="15" hidden="false" customHeight="false" outlineLevel="0" collapsed="false">
      <c r="A248" s="44"/>
      <c r="B248" s="39"/>
      <c r="C248" s="45" t="str">
        <f aca="false">IF(B248="","",IFERROR(INDEX(Contract!$C$10:$C$23,MATCH(B248,Contract!$B$10:$B$23,0)),"Unknown code"))</f>
        <v/>
      </c>
      <c r="D248" s="46"/>
      <c r="E248" s="39"/>
      <c r="F248" s="39"/>
      <c r="G248" s="47" t="str">
        <f aca="false">IF(AND(B248="",D248=""),"",IF(B248="","Missing code",IF(C248="Unknown code","Unknown code",IF(D248="","Missing qty",IF(A248="","Missing date","")))))</f>
        <v/>
      </c>
    </row>
    <row r="249" customFormat="false" ht="15" hidden="false" customHeight="false" outlineLevel="0" collapsed="false">
      <c r="A249" s="44"/>
      <c r="B249" s="39"/>
      <c r="C249" s="45" t="str">
        <f aca="false">IF(B249="","",IFERROR(INDEX(Contract!$C$10:$C$23,MATCH(B249,Contract!$B$10:$B$23,0)),"Unknown code"))</f>
        <v/>
      </c>
      <c r="D249" s="46"/>
      <c r="E249" s="39"/>
      <c r="F249" s="39"/>
      <c r="G249" s="47" t="str">
        <f aca="false">IF(AND(B249="",D249=""),"",IF(B249="","Missing code",IF(C249="Unknown code","Unknown code",IF(D249="","Missing qty",IF(A249="","Missing date","")))))</f>
        <v/>
      </c>
    </row>
    <row r="250" customFormat="false" ht="15" hidden="false" customHeight="false" outlineLevel="0" collapsed="false">
      <c r="A250" s="44"/>
      <c r="B250" s="39"/>
      <c r="C250" s="45" t="str">
        <f aca="false">IF(B250="","",IFERROR(INDEX(Contract!$C$10:$C$23,MATCH(B250,Contract!$B$10:$B$23,0)),"Unknown code"))</f>
        <v/>
      </c>
      <c r="D250" s="46"/>
      <c r="E250" s="39"/>
      <c r="F250" s="39"/>
      <c r="G250" s="47" t="str">
        <f aca="false">IF(AND(B250="",D250=""),"",IF(B250="","Missing code",IF(C250="Unknown code","Unknown code",IF(D250="","Missing qty",IF(A250="","Missing date","")))))</f>
        <v/>
      </c>
    </row>
    <row r="251" customFormat="false" ht="15" hidden="false" customHeight="false" outlineLevel="0" collapsed="false">
      <c r="A251" s="44"/>
      <c r="B251" s="39"/>
      <c r="C251" s="45" t="str">
        <f aca="false">IF(B251="","",IFERROR(INDEX(Contract!$C$10:$C$23,MATCH(B251,Contract!$B$10:$B$23,0)),"Unknown code"))</f>
        <v/>
      </c>
      <c r="D251" s="46"/>
      <c r="E251" s="39"/>
      <c r="F251" s="39"/>
      <c r="G251" s="47" t="str">
        <f aca="false">IF(AND(B251="",D251=""),"",IF(B251="","Missing code",IF(C251="Unknown code","Unknown code",IF(D251="","Missing qty",IF(A251="","Missing date","")))))</f>
        <v/>
      </c>
    </row>
    <row r="252" customFormat="false" ht="15" hidden="false" customHeight="false" outlineLevel="0" collapsed="false">
      <c r="A252" s="44"/>
      <c r="B252" s="39"/>
      <c r="C252" s="45" t="str">
        <f aca="false">IF(B252="","",IFERROR(INDEX(Contract!$C$10:$C$23,MATCH(B252,Contract!$B$10:$B$23,0)),"Unknown code"))</f>
        <v/>
      </c>
      <c r="D252" s="46"/>
      <c r="E252" s="39"/>
      <c r="F252" s="39"/>
      <c r="G252" s="47" t="str">
        <f aca="false">IF(AND(B252="",D252=""),"",IF(B252="","Missing code",IF(C252="Unknown code","Unknown code",IF(D252="","Missing qty",IF(A252="","Missing date","")))))</f>
        <v/>
      </c>
    </row>
    <row r="253" customFormat="false" ht="15" hidden="false" customHeight="false" outlineLevel="0" collapsed="false">
      <c r="A253" s="44"/>
      <c r="B253" s="39"/>
      <c r="C253" s="45" t="str">
        <f aca="false">IF(B253="","",IFERROR(INDEX(Contract!$C$10:$C$23,MATCH(B253,Contract!$B$10:$B$23,0)),"Unknown code"))</f>
        <v/>
      </c>
      <c r="D253" s="46"/>
      <c r="E253" s="39"/>
      <c r="F253" s="39"/>
      <c r="G253" s="47" t="str">
        <f aca="false">IF(AND(B253="",D253=""),"",IF(B253="","Missing code",IF(C253="Unknown code","Unknown code",IF(D253="","Missing qty",IF(A253="","Missing date","")))))</f>
        <v/>
      </c>
    </row>
    <row r="254" customFormat="false" ht="15" hidden="false" customHeight="false" outlineLevel="0" collapsed="false">
      <c r="A254" s="44"/>
      <c r="B254" s="39"/>
      <c r="C254" s="45" t="str">
        <f aca="false">IF(B254="","",IFERROR(INDEX(Contract!$C$10:$C$23,MATCH(B254,Contract!$B$10:$B$23,0)),"Unknown code"))</f>
        <v/>
      </c>
      <c r="D254" s="46"/>
      <c r="E254" s="39"/>
      <c r="F254" s="39"/>
      <c r="G254" s="47" t="str">
        <f aca="false">IF(AND(B254="",D254=""),"",IF(B254="","Missing code",IF(C254="Unknown code","Unknown code",IF(D254="","Missing qty",IF(A254="","Missing date","")))))</f>
        <v/>
      </c>
    </row>
    <row r="255" customFormat="false" ht="15" hidden="false" customHeight="false" outlineLevel="0" collapsed="false">
      <c r="A255" s="44"/>
      <c r="B255" s="39"/>
      <c r="C255" s="45" t="str">
        <f aca="false">IF(B255="","",IFERROR(INDEX(Contract!$C$10:$C$23,MATCH(B255,Contract!$B$10:$B$23,0)),"Unknown code"))</f>
        <v/>
      </c>
      <c r="D255" s="46"/>
      <c r="E255" s="39"/>
      <c r="F255" s="39"/>
      <c r="G255" s="47" t="str">
        <f aca="false">IF(AND(B255="",D255=""),"",IF(B255="","Missing code",IF(C255="Unknown code","Unknown code",IF(D255="","Missing qty",IF(A255="","Missing date","")))))</f>
        <v/>
      </c>
    </row>
    <row r="256" customFormat="false" ht="15" hidden="false" customHeight="false" outlineLevel="0" collapsed="false">
      <c r="A256" s="44"/>
      <c r="B256" s="39"/>
      <c r="C256" s="45" t="str">
        <f aca="false">IF(B256="","",IFERROR(INDEX(Contract!$C$10:$C$23,MATCH(B256,Contract!$B$10:$B$23,0)),"Unknown code"))</f>
        <v/>
      </c>
      <c r="D256" s="46"/>
      <c r="E256" s="39"/>
      <c r="F256" s="39"/>
      <c r="G256" s="47" t="str">
        <f aca="false">IF(AND(B256="",D256=""),"",IF(B256="","Missing code",IF(C256="Unknown code","Unknown code",IF(D256="","Missing qty",IF(A256="","Missing date","")))))</f>
        <v/>
      </c>
    </row>
    <row r="257" customFormat="false" ht="15" hidden="false" customHeight="false" outlineLevel="0" collapsed="false">
      <c r="A257" s="44"/>
      <c r="B257" s="39"/>
      <c r="C257" s="45" t="str">
        <f aca="false">IF(B257="","",IFERROR(INDEX(Contract!$C$10:$C$23,MATCH(B257,Contract!$B$10:$B$23,0)),"Unknown code"))</f>
        <v/>
      </c>
      <c r="D257" s="46"/>
      <c r="E257" s="39"/>
      <c r="F257" s="39"/>
      <c r="G257" s="47" t="str">
        <f aca="false">IF(AND(B257="",D257=""),"",IF(B257="","Missing code",IF(C257="Unknown code","Unknown code",IF(D257="","Missing qty",IF(A257="","Missing date","")))))</f>
        <v/>
      </c>
    </row>
    <row r="258" customFormat="false" ht="15" hidden="false" customHeight="false" outlineLevel="0" collapsed="false">
      <c r="A258" s="44"/>
      <c r="B258" s="39"/>
      <c r="C258" s="45" t="str">
        <f aca="false">IF(B258="","",IFERROR(INDEX(Contract!$C$10:$C$23,MATCH(B258,Contract!$B$10:$B$23,0)),"Unknown code"))</f>
        <v/>
      </c>
      <c r="D258" s="46"/>
      <c r="E258" s="39"/>
      <c r="F258" s="39"/>
      <c r="G258" s="47" t="str">
        <f aca="false">IF(AND(B258="",D258=""),"",IF(B258="","Missing code",IF(C258="Unknown code","Unknown code",IF(D258="","Missing qty",IF(A258="","Missing date","")))))</f>
        <v/>
      </c>
    </row>
    <row r="259" customFormat="false" ht="15" hidden="false" customHeight="false" outlineLevel="0" collapsed="false">
      <c r="A259" s="44"/>
      <c r="B259" s="39"/>
      <c r="C259" s="45" t="str">
        <f aca="false">IF(B259="","",IFERROR(INDEX(Contract!$C$10:$C$23,MATCH(B259,Contract!$B$10:$B$23,0)),"Unknown code"))</f>
        <v/>
      </c>
      <c r="D259" s="46"/>
      <c r="E259" s="39"/>
      <c r="F259" s="39"/>
      <c r="G259" s="47" t="str">
        <f aca="false">IF(AND(B259="",D259=""),"",IF(B259="","Missing code",IF(C259="Unknown code","Unknown code",IF(D259="","Missing qty",IF(A259="","Missing date","")))))</f>
        <v/>
      </c>
    </row>
    <row r="260" customFormat="false" ht="15" hidden="false" customHeight="false" outlineLevel="0" collapsed="false">
      <c r="A260" s="44"/>
      <c r="B260" s="39"/>
      <c r="C260" s="45" t="str">
        <f aca="false">IF(B260="","",IFERROR(INDEX(Contract!$C$10:$C$23,MATCH(B260,Contract!$B$10:$B$23,0)),"Unknown code"))</f>
        <v/>
      </c>
      <c r="D260" s="46"/>
      <c r="E260" s="39"/>
      <c r="F260" s="39"/>
      <c r="G260" s="47" t="str">
        <f aca="false">IF(AND(B260="",D260=""),"",IF(B260="","Missing code",IF(C260="Unknown code","Unknown code",IF(D260="","Missing qty",IF(A260="","Missing date","")))))</f>
        <v/>
      </c>
    </row>
    <row r="261" customFormat="false" ht="15" hidden="false" customHeight="false" outlineLevel="0" collapsed="false">
      <c r="A261" s="44"/>
      <c r="B261" s="39"/>
      <c r="C261" s="45" t="str">
        <f aca="false">IF(B261="","",IFERROR(INDEX(Contract!$C$10:$C$23,MATCH(B261,Contract!$B$10:$B$23,0)),"Unknown code"))</f>
        <v/>
      </c>
      <c r="D261" s="46"/>
      <c r="E261" s="39"/>
      <c r="F261" s="39"/>
      <c r="G261" s="47" t="str">
        <f aca="false">IF(AND(B261="",D261=""),"",IF(B261="","Missing code",IF(C261="Unknown code","Unknown code",IF(D261="","Missing qty",IF(A261="","Missing date","")))))</f>
        <v/>
      </c>
    </row>
    <row r="262" customFormat="false" ht="15" hidden="false" customHeight="false" outlineLevel="0" collapsed="false">
      <c r="A262" s="44"/>
      <c r="B262" s="39"/>
      <c r="C262" s="45" t="str">
        <f aca="false">IF(B262="","",IFERROR(INDEX(Contract!$C$10:$C$23,MATCH(B262,Contract!$B$10:$B$23,0)),"Unknown code"))</f>
        <v/>
      </c>
      <c r="D262" s="46"/>
      <c r="E262" s="39"/>
      <c r="F262" s="39"/>
      <c r="G262" s="47" t="str">
        <f aca="false">IF(AND(B262="",D262=""),"",IF(B262="","Missing code",IF(C262="Unknown code","Unknown code",IF(D262="","Missing qty",IF(A262="","Missing date","")))))</f>
        <v/>
      </c>
    </row>
    <row r="263" customFormat="false" ht="15" hidden="false" customHeight="false" outlineLevel="0" collapsed="false">
      <c r="A263" s="44"/>
      <c r="B263" s="39"/>
      <c r="C263" s="45" t="str">
        <f aca="false">IF(B263="","",IFERROR(INDEX(Contract!$C$10:$C$23,MATCH(B263,Contract!$B$10:$B$23,0)),"Unknown code"))</f>
        <v/>
      </c>
      <c r="D263" s="46"/>
      <c r="E263" s="39"/>
      <c r="F263" s="39"/>
      <c r="G263" s="47" t="str">
        <f aca="false">IF(AND(B263="",D263=""),"",IF(B263="","Missing code",IF(C263="Unknown code","Unknown code",IF(D263="","Missing qty",IF(A263="","Missing date","")))))</f>
        <v/>
      </c>
    </row>
    <row r="264" customFormat="false" ht="15" hidden="false" customHeight="false" outlineLevel="0" collapsed="false">
      <c r="A264" s="44"/>
      <c r="B264" s="39"/>
      <c r="C264" s="45" t="str">
        <f aca="false">IF(B264="","",IFERROR(INDEX(Contract!$C$10:$C$23,MATCH(B264,Contract!$B$10:$B$23,0)),"Unknown code"))</f>
        <v/>
      </c>
      <c r="D264" s="46"/>
      <c r="E264" s="39"/>
      <c r="F264" s="39"/>
      <c r="G264" s="47" t="str">
        <f aca="false">IF(AND(B264="",D264=""),"",IF(B264="","Missing code",IF(C264="Unknown code","Unknown code",IF(D264="","Missing qty",IF(A264="","Missing date","")))))</f>
        <v/>
      </c>
    </row>
    <row r="265" customFormat="false" ht="15" hidden="false" customHeight="false" outlineLevel="0" collapsed="false">
      <c r="A265" s="44"/>
      <c r="B265" s="39"/>
      <c r="C265" s="45" t="str">
        <f aca="false">IF(B265="","",IFERROR(INDEX(Contract!$C$10:$C$23,MATCH(B265,Contract!$B$10:$B$23,0)),"Unknown code"))</f>
        <v/>
      </c>
      <c r="D265" s="46"/>
      <c r="E265" s="39"/>
      <c r="F265" s="39"/>
      <c r="G265" s="47" t="str">
        <f aca="false">IF(AND(B265="",D265=""),"",IF(B265="","Missing code",IF(C265="Unknown code","Unknown code",IF(D265="","Missing qty",IF(A265="","Missing date","")))))</f>
        <v/>
      </c>
    </row>
    <row r="266" customFormat="false" ht="15" hidden="false" customHeight="false" outlineLevel="0" collapsed="false">
      <c r="A266" s="44"/>
      <c r="B266" s="39"/>
      <c r="C266" s="45" t="str">
        <f aca="false">IF(B266="","",IFERROR(INDEX(Contract!$C$10:$C$23,MATCH(B266,Contract!$B$10:$B$23,0)),"Unknown code"))</f>
        <v/>
      </c>
      <c r="D266" s="46"/>
      <c r="E266" s="39"/>
      <c r="F266" s="39"/>
      <c r="G266" s="47" t="str">
        <f aca="false">IF(AND(B266="",D266=""),"",IF(B266="","Missing code",IF(C266="Unknown code","Unknown code",IF(D266="","Missing qty",IF(A266="","Missing date","")))))</f>
        <v/>
      </c>
    </row>
    <row r="267" customFormat="false" ht="15" hidden="false" customHeight="false" outlineLevel="0" collapsed="false">
      <c r="A267" s="44"/>
      <c r="B267" s="39"/>
      <c r="C267" s="45" t="str">
        <f aca="false">IF(B267="","",IFERROR(INDEX(Contract!$C$10:$C$23,MATCH(B267,Contract!$B$10:$B$23,0)),"Unknown code"))</f>
        <v/>
      </c>
      <c r="D267" s="46"/>
      <c r="E267" s="39"/>
      <c r="F267" s="39"/>
      <c r="G267" s="47" t="str">
        <f aca="false">IF(AND(B267="",D267=""),"",IF(B267="","Missing code",IF(C267="Unknown code","Unknown code",IF(D267="","Missing qty",IF(A267="","Missing date","")))))</f>
        <v/>
      </c>
    </row>
    <row r="268" customFormat="false" ht="15" hidden="false" customHeight="false" outlineLevel="0" collapsed="false">
      <c r="A268" s="44"/>
      <c r="B268" s="39"/>
      <c r="C268" s="45" t="str">
        <f aca="false">IF(B268="","",IFERROR(INDEX(Contract!$C$10:$C$23,MATCH(B268,Contract!$B$10:$B$23,0)),"Unknown code"))</f>
        <v/>
      </c>
      <c r="D268" s="46"/>
      <c r="E268" s="39"/>
      <c r="F268" s="39"/>
      <c r="G268" s="47" t="str">
        <f aca="false">IF(AND(B268="",D268=""),"",IF(B268="","Missing code",IF(C268="Unknown code","Unknown code",IF(D268="","Missing qty",IF(A268="","Missing date","")))))</f>
        <v/>
      </c>
    </row>
    <row r="269" customFormat="false" ht="15" hidden="false" customHeight="false" outlineLevel="0" collapsed="false">
      <c r="A269" s="44"/>
      <c r="B269" s="39"/>
      <c r="C269" s="45" t="str">
        <f aca="false">IF(B269="","",IFERROR(INDEX(Contract!$C$10:$C$23,MATCH(B269,Contract!$B$10:$B$23,0)),"Unknown code"))</f>
        <v/>
      </c>
      <c r="D269" s="46"/>
      <c r="E269" s="39"/>
      <c r="F269" s="39"/>
      <c r="G269" s="47" t="str">
        <f aca="false">IF(AND(B269="",D269=""),"",IF(B269="","Missing code",IF(C269="Unknown code","Unknown code",IF(D269="","Missing qty",IF(A269="","Missing date","")))))</f>
        <v/>
      </c>
    </row>
    <row r="270" customFormat="false" ht="15" hidden="false" customHeight="false" outlineLevel="0" collapsed="false">
      <c r="A270" s="44"/>
      <c r="B270" s="39"/>
      <c r="C270" s="45" t="str">
        <f aca="false">IF(B270="","",IFERROR(INDEX(Contract!$C$10:$C$23,MATCH(B270,Contract!$B$10:$B$23,0)),"Unknown code"))</f>
        <v/>
      </c>
      <c r="D270" s="46"/>
      <c r="E270" s="39"/>
      <c r="F270" s="39"/>
      <c r="G270" s="47" t="str">
        <f aca="false">IF(AND(B270="",D270=""),"",IF(B270="","Missing code",IF(C270="Unknown code","Unknown code",IF(D270="","Missing qty",IF(A270="","Missing date","")))))</f>
        <v/>
      </c>
    </row>
    <row r="271" customFormat="false" ht="15" hidden="false" customHeight="false" outlineLevel="0" collapsed="false">
      <c r="A271" s="44"/>
      <c r="B271" s="39"/>
      <c r="C271" s="45" t="str">
        <f aca="false">IF(B271="","",IFERROR(INDEX(Contract!$C$10:$C$23,MATCH(B271,Contract!$B$10:$B$23,0)),"Unknown code"))</f>
        <v/>
      </c>
      <c r="D271" s="46"/>
      <c r="E271" s="39"/>
      <c r="F271" s="39"/>
      <c r="G271" s="47" t="str">
        <f aca="false">IF(AND(B271="",D271=""),"",IF(B271="","Missing code",IF(C271="Unknown code","Unknown code",IF(D271="","Missing qty",IF(A271="","Missing date","")))))</f>
        <v/>
      </c>
    </row>
    <row r="272" customFormat="false" ht="15" hidden="false" customHeight="false" outlineLevel="0" collapsed="false">
      <c r="A272" s="44"/>
      <c r="B272" s="39"/>
      <c r="C272" s="45" t="str">
        <f aca="false">IF(B272="","",IFERROR(INDEX(Contract!$C$10:$C$23,MATCH(B272,Contract!$B$10:$B$23,0)),"Unknown code"))</f>
        <v/>
      </c>
      <c r="D272" s="46"/>
      <c r="E272" s="39"/>
      <c r="F272" s="39"/>
      <c r="G272" s="47" t="str">
        <f aca="false">IF(AND(B272="",D272=""),"",IF(B272="","Missing code",IF(C272="Unknown code","Unknown code",IF(D272="","Missing qty",IF(A272="","Missing date","")))))</f>
        <v/>
      </c>
    </row>
    <row r="273" customFormat="false" ht="15" hidden="false" customHeight="false" outlineLevel="0" collapsed="false">
      <c r="A273" s="44"/>
      <c r="B273" s="39"/>
      <c r="C273" s="45" t="str">
        <f aca="false">IF(B273="","",IFERROR(INDEX(Contract!$C$10:$C$23,MATCH(B273,Contract!$B$10:$B$23,0)),"Unknown code"))</f>
        <v/>
      </c>
      <c r="D273" s="46"/>
      <c r="E273" s="39"/>
      <c r="F273" s="39"/>
      <c r="G273" s="47" t="str">
        <f aca="false">IF(AND(B273="",D273=""),"",IF(B273="","Missing code",IF(C273="Unknown code","Unknown code",IF(D273="","Missing qty",IF(A273="","Missing date","")))))</f>
        <v/>
      </c>
    </row>
    <row r="274" customFormat="false" ht="15" hidden="false" customHeight="false" outlineLevel="0" collapsed="false">
      <c r="A274" s="44"/>
      <c r="B274" s="39"/>
      <c r="C274" s="45" t="str">
        <f aca="false">IF(B274="","",IFERROR(INDEX(Contract!$C$10:$C$23,MATCH(B274,Contract!$B$10:$B$23,0)),"Unknown code"))</f>
        <v/>
      </c>
      <c r="D274" s="46"/>
      <c r="E274" s="39"/>
      <c r="F274" s="39"/>
      <c r="G274" s="47" t="str">
        <f aca="false">IF(AND(B274="",D274=""),"",IF(B274="","Missing code",IF(C274="Unknown code","Unknown code",IF(D274="","Missing qty",IF(A274="","Missing date","")))))</f>
        <v/>
      </c>
    </row>
    <row r="275" customFormat="false" ht="15" hidden="false" customHeight="false" outlineLevel="0" collapsed="false">
      <c r="A275" s="44"/>
      <c r="B275" s="39"/>
      <c r="C275" s="45" t="str">
        <f aca="false">IF(B275="","",IFERROR(INDEX(Contract!$C$10:$C$23,MATCH(B275,Contract!$B$10:$B$23,0)),"Unknown code"))</f>
        <v/>
      </c>
      <c r="D275" s="46"/>
      <c r="E275" s="39"/>
      <c r="F275" s="39"/>
      <c r="G275" s="47" t="str">
        <f aca="false">IF(AND(B275="",D275=""),"",IF(B275="","Missing code",IF(C275="Unknown code","Unknown code",IF(D275="","Missing qty",IF(A275="","Missing date","")))))</f>
        <v/>
      </c>
    </row>
    <row r="276" customFormat="false" ht="15" hidden="false" customHeight="false" outlineLevel="0" collapsed="false">
      <c r="A276" s="44"/>
      <c r="B276" s="39"/>
      <c r="C276" s="45" t="str">
        <f aca="false">IF(B276="","",IFERROR(INDEX(Contract!$C$10:$C$23,MATCH(B276,Contract!$B$10:$B$23,0)),"Unknown code"))</f>
        <v/>
      </c>
      <c r="D276" s="46"/>
      <c r="E276" s="39"/>
      <c r="F276" s="39"/>
      <c r="G276" s="47" t="str">
        <f aca="false">IF(AND(B276="",D276=""),"",IF(B276="","Missing code",IF(C276="Unknown code","Unknown code",IF(D276="","Missing qty",IF(A276="","Missing date","")))))</f>
        <v/>
      </c>
    </row>
    <row r="277" customFormat="false" ht="15" hidden="false" customHeight="false" outlineLevel="0" collapsed="false">
      <c r="A277" s="44"/>
      <c r="B277" s="39"/>
      <c r="C277" s="45" t="str">
        <f aca="false">IF(B277="","",IFERROR(INDEX(Contract!$C$10:$C$23,MATCH(B277,Contract!$B$10:$B$23,0)),"Unknown code"))</f>
        <v/>
      </c>
      <c r="D277" s="46"/>
      <c r="E277" s="39"/>
      <c r="F277" s="39"/>
      <c r="G277" s="47" t="str">
        <f aca="false">IF(AND(B277="",D277=""),"",IF(B277="","Missing code",IF(C277="Unknown code","Unknown code",IF(D277="","Missing qty",IF(A277="","Missing date","")))))</f>
        <v/>
      </c>
    </row>
    <row r="278" customFormat="false" ht="15" hidden="false" customHeight="false" outlineLevel="0" collapsed="false">
      <c r="A278" s="44"/>
      <c r="B278" s="39"/>
      <c r="C278" s="45" t="str">
        <f aca="false">IF(B278="","",IFERROR(INDEX(Contract!$C$10:$C$23,MATCH(B278,Contract!$B$10:$B$23,0)),"Unknown code"))</f>
        <v/>
      </c>
      <c r="D278" s="46"/>
      <c r="E278" s="39"/>
      <c r="F278" s="39"/>
      <c r="G278" s="47" t="str">
        <f aca="false">IF(AND(B278="",D278=""),"",IF(B278="","Missing code",IF(C278="Unknown code","Unknown code",IF(D278="","Missing qty",IF(A278="","Missing date","")))))</f>
        <v/>
      </c>
    </row>
    <row r="279" customFormat="false" ht="15" hidden="false" customHeight="false" outlineLevel="0" collapsed="false">
      <c r="A279" s="44"/>
      <c r="B279" s="39"/>
      <c r="C279" s="45" t="str">
        <f aca="false">IF(B279="","",IFERROR(INDEX(Contract!$C$10:$C$23,MATCH(B279,Contract!$B$10:$B$23,0)),"Unknown code"))</f>
        <v/>
      </c>
      <c r="D279" s="46"/>
      <c r="E279" s="39"/>
      <c r="F279" s="39"/>
      <c r="G279" s="47" t="str">
        <f aca="false">IF(AND(B279="",D279=""),"",IF(B279="","Missing code",IF(C279="Unknown code","Unknown code",IF(D279="","Missing qty",IF(A279="","Missing date","")))))</f>
        <v/>
      </c>
    </row>
    <row r="280" customFormat="false" ht="15" hidden="false" customHeight="false" outlineLevel="0" collapsed="false">
      <c r="A280" s="44"/>
      <c r="B280" s="39"/>
      <c r="C280" s="45" t="str">
        <f aca="false">IF(B280="","",IFERROR(INDEX(Contract!$C$10:$C$23,MATCH(B280,Contract!$B$10:$B$23,0)),"Unknown code"))</f>
        <v/>
      </c>
      <c r="D280" s="46"/>
      <c r="E280" s="39"/>
      <c r="F280" s="39"/>
      <c r="G280" s="47" t="str">
        <f aca="false">IF(AND(B280="",D280=""),"",IF(B280="","Missing code",IF(C280="Unknown code","Unknown code",IF(D280="","Missing qty",IF(A280="","Missing date","")))))</f>
        <v/>
      </c>
    </row>
    <row r="281" customFormat="false" ht="15" hidden="false" customHeight="false" outlineLevel="0" collapsed="false">
      <c r="A281" s="44"/>
      <c r="B281" s="39"/>
      <c r="C281" s="45" t="str">
        <f aca="false">IF(B281="","",IFERROR(INDEX(Contract!$C$10:$C$23,MATCH(B281,Contract!$B$10:$B$23,0)),"Unknown code"))</f>
        <v/>
      </c>
      <c r="D281" s="46"/>
      <c r="E281" s="39"/>
      <c r="F281" s="39"/>
      <c r="G281" s="47" t="str">
        <f aca="false">IF(AND(B281="",D281=""),"",IF(B281="","Missing code",IF(C281="Unknown code","Unknown code",IF(D281="","Missing qty",IF(A281="","Missing date","")))))</f>
        <v/>
      </c>
    </row>
    <row r="282" customFormat="false" ht="15" hidden="false" customHeight="false" outlineLevel="0" collapsed="false">
      <c r="A282" s="44"/>
      <c r="B282" s="39"/>
      <c r="C282" s="45" t="str">
        <f aca="false">IF(B282="","",IFERROR(INDEX(Contract!$C$10:$C$23,MATCH(B282,Contract!$B$10:$B$23,0)),"Unknown code"))</f>
        <v/>
      </c>
      <c r="D282" s="46"/>
      <c r="E282" s="39"/>
      <c r="F282" s="39"/>
      <c r="G282" s="47" t="str">
        <f aca="false">IF(AND(B282="",D282=""),"",IF(B282="","Missing code",IF(C282="Unknown code","Unknown code",IF(D282="","Missing qty",IF(A282="","Missing date","")))))</f>
        <v/>
      </c>
    </row>
    <row r="283" customFormat="false" ht="15" hidden="false" customHeight="false" outlineLevel="0" collapsed="false">
      <c r="A283" s="44"/>
      <c r="B283" s="39"/>
      <c r="C283" s="45" t="str">
        <f aca="false">IF(B283="","",IFERROR(INDEX(Contract!$C$10:$C$23,MATCH(B283,Contract!$B$10:$B$23,0)),"Unknown code"))</f>
        <v/>
      </c>
      <c r="D283" s="46"/>
      <c r="E283" s="39"/>
      <c r="F283" s="39"/>
      <c r="G283" s="47" t="str">
        <f aca="false">IF(AND(B283="",D283=""),"",IF(B283="","Missing code",IF(C283="Unknown code","Unknown code",IF(D283="","Missing qty",IF(A283="","Missing date","")))))</f>
        <v/>
      </c>
    </row>
    <row r="284" customFormat="false" ht="15" hidden="false" customHeight="false" outlineLevel="0" collapsed="false">
      <c r="A284" s="44"/>
      <c r="B284" s="39"/>
      <c r="C284" s="45" t="str">
        <f aca="false">IF(B284="","",IFERROR(INDEX(Contract!$C$10:$C$23,MATCH(B284,Contract!$B$10:$B$23,0)),"Unknown code"))</f>
        <v/>
      </c>
      <c r="D284" s="46"/>
      <c r="E284" s="39"/>
      <c r="F284" s="39"/>
      <c r="G284" s="47" t="str">
        <f aca="false">IF(AND(B284="",D284=""),"",IF(B284="","Missing code",IF(C284="Unknown code","Unknown code",IF(D284="","Missing qty",IF(A284="","Missing date","")))))</f>
        <v/>
      </c>
    </row>
    <row r="285" customFormat="false" ht="15" hidden="false" customHeight="false" outlineLevel="0" collapsed="false">
      <c r="A285" s="44"/>
      <c r="B285" s="39"/>
      <c r="C285" s="45" t="str">
        <f aca="false">IF(B285="","",IFERROR(INDEX(Contract!$C$10:$C$23,MATCH(B285,Contract!$B$10:$B$23,0)),"Unknown code"))</f>
        <v/>
      </c>
      <c r="D285" s="46"/>
      <c r="E285" s="39"/>
      <c r="F285" s="39"/>
      <c r="G285" s="47" t="str">
        <f aca="false">IF(AND(B285="",D285=""),"",IF(B285="","Missing code",IF(C285="Unknown code","Unknown code",IF(D285="","Missing qty",IF(A285="","Missing date","")))))</f>
        <v/>
      </c>
    </row>
    <row r="286" customFormat="false" ht="15" hidden="false" customHeight="false" outlineLevel="0" collapsed="false">
      <c r="A286" s="44"/>
      <c r="B286" s="39"/>
      <c r="C286" s="45" t="str">
        <f aca="false">IF(B286="","",IFERROR(INDEX(Contract!$C$10:$C$23,MATCH(B286,Contract!$B$10:$B$23,0)),"Unknown code"))</f>
        <v/>
      </c>
      <c r="D286" s="46"/>
      <c r="E286" s="39"/>
      <c r="F286" s="39"/>
      <c r="G286" s="47" t="str">
        <f aca="false">IF(AND(B286="",D286=""),"",IF(B286="","Missing code",IF(C286="Unknown code","Unknown code",IF(D286="","Missing qty",IF(A286="","Missing date","")))))</f>
        <v/>
      </c>
    </row>
    <row r="287" customFormat="false" ht="15" hidden="false" customHeight="false" outlineLevel="0" collapsed="false">
      <c r="A287" s="44"/>
      <c r="B287" s="39"/>
      <c r="C287" s="45" t="str">
        <f aca="false">IF(B287="","",IFERROR(INDEX(Contract!$C$10:$C$23,MATCH(B287,Contract!$B$10:$B$23,0)),"Unknown code"))</f>
        <v/>
      </c>
      <c r="D287" s="46"/>
      <c r="E287" s="39"/>
      <c r="F287" s="39"/>
      <c r="G287" s="47" t="str">
        <f aca="false">IF(AND(B287="",D287=""),"",IF(B287="","Missing code",IF(C287="Unknown code","Unknown code",IF(D287="","Missing qty",IF(A287="","Missing date","")))))</f>
        <v/>
      </c>
    </row>
    <row r="288" customFormat="false" ht="15" hidden="false" customHeight="false" outlineLevel="0" collapsed="false">
      <c r="A288" s="44"/>
      <c r="B288" s="39"/>
      <c r="C288" s="45" t="str">
        <f aca="false">IF(B288="","",IFERROR(INDEX(Contract!$C$10:$C$23,MATCH(B288,Contract!$B$10:$B$23,0)),"Unknown code"))</f>
        <v/>
      </c>
      <c r="D288" s="46"/>
      <c r="E288" s="39"/>
      <c r="F288" s="39"/>
      <c r="G288" s="47" t="str">
        <f aca="false">IF(AND(B288="",D288=""),"",IF(B288="","Missing code",IF(C288="Unknown code","Unknown code",IF(D288="","Missing qty",IF(A288="","Missing date","")))))</f>
        <v/>
      </c>
    </row>
    <row r="289" customFormat="false" ht="15" hidden="false" customHeight="false" outlineLevel="0" collapsed="false">
      <c r="A289" s="44"/>
      <c r="B289" s="39"/>
      <c r="C289" s="45" t="str">
        <f aca="false">IF(B289="","",IFERROR(INDEX(Contract!$C$10:$C$23,MATCH(B289,Contract!$B$10:$B$23,0)),"Unknown code"))</f>
        <v/>
      </c>
      <c r="D289" s="46"/>
      <c r="E289" s="39"/>
      <c r="F289" s="39"/>
      <c r="G289" s="47" t="str">
        <f aca="false">IF(AND(B289="",D289=""),"",IF(B289="","Missing code",IF(C289="Unknown code","Unknown code",IF(D289="","Missing qty",IF(A289="","Missing date","")))))</f>
        <v/>
      </c>
    </row>
    <row r="290" customFormat="false" ht="15" hidden="false" customHeight="false" outlineLevel="0" collapsed="false">
      <c r="A290" s="44"/>
      <c r="B290" s="39"/>
      <c r="C290" s="45" t="str">
        <f aca="false">IF(B290="","",IFERROR(INDEX(Contract!$C$10:$C$23,MATCH(B290,Contract!$B$10:$B$23,0)),"Unknown code"))</f>
        <v/>
      </c>
      <c r="D290" s="46"/>
      <c r="E290" s="39"/>
      <c r="F290" s="39"/>
      <c r="G290" s="47" t="str">
        <f aca="false">IF(AND(B290="",D290=""),"",IF(B290="","Missing code",IF(C290="Unknown code","Unknown code",IF(D290="","Missing qty",IF(A290="","Missing date","")))))</f>
        <v/>
      </c>
    </row>
    <row r="291" customFormat="false" ht="15" hidden="false" customHeight="false" outlineLevel="0" collapsed="false">
      <c r="A291" s="44"/>
      <c r="B291" s="39"/>
      <c r="C291" s="45" t="str">
        <f aca="false">IF(B291="","",IFERROR(INDEX(Contract!$C$10:$C$23,MATCH(B291,Contract!$B$10:$B$23,0)),"Unknown code"))</f>
        <v/>
      </c>
      <c r="D291" s="46"/>
      <c r="E291" s="39"/>
      <c r="F291" s="39"/>
      <c r="G291" s="47" t="str">
        <f aca="false">IF(AND(B291="",D291=""),"",IF(B291="","Missing code",IF(C291="Unknown code","Unknown code",IF(D291="","Missing qty",IF(A291="","Missing date","")))))</f>
        <v/>
      </c>
    </row>
    <row r="292" customFormat="false" ht="15" hidden="false" customHeight="false" outlineLevel="0" collapsed="false">
      <c r="A292" s="44"/>
      <c r="B292" s="39"/>
      <c r="C292" s="45" t="str">
        <f aca="false">IF(B292="","",IFERROR(INDEX(Contract!$C$10:$C$23,MATCH(B292,Contract!$B$10:$B$23,0)),"Unknown code"))</f>
        <v/>
      </c>
      <c r="D292" s="46"/>
      <c r="E292" s="39"/>
      <c r="F292" s="39"/>
      <c r="G292" s="47" t="str">
        <f aca="false">IF(AND(B292="",D292=""),"",IF(B292="","Missing code",IF(C292="Unknown code","Unknown code",IF(D292="","Missing qty",IF(A292="","Missing date","")))))</f>
        <v/>
      </c>
    </row>
    <row r="293" customFormat="false" ht="15" hidden="false" customHeight="false" outlineLevel="0" collapsed="false">
      <c r="A293" s="44"/>
      <c r="B293" s="39"/>
      <c r="C293" s="45" t="str">
        <f aca="false">IF(B293="","",IFERROR(INDEX(Contract!$C$10:$C$23,MATCH(B293,Contract!$B$10:$B$23,0)),"Unknown code"))</f>
        <v/>
      </c>
      <c r="D293" s="46"/>
      <c r="E293" s="39"/>
      <c r="F293" s="39"/>
      <c r="G293" s="47" t="str">
        <f aca="false">IF(AND(B293="",D293=""),"",IF(B293="","Missing code",IF(C293="Unknown code","Unknown code",IF(D293="","Missing qty",IF(A293="","Missing date","")))))</f>
        <v/>
      </c>
    </row>
    <row r="294" customFormat="false" ht="15" hidden="false" customHeight="false" outlineLevel="0" collapsed="false">
      <c r="A294" s="44"/>
      <c r="B294" s="39"/>
      <c r="C294" s="45" t="str">
        <f aca="false">IF(B294="","",IFERROR(INDEX(Contract!$C$10:$C$23,MATCH(B294,Contract!$B$10:$B$23,0)),"Unknown code"))</f>
        <v/>
      </c>
      <c r="D294" s="46"/>
      <c r="E294" s="39"/>
      <c r="F294" s="39"/>
      <c r="G294" s="47" t="str">
        <f aca="false">IF(AND(B294="",D294=""),"",IF(B294="","Missing code",IF(C294="Unknown code","Unknown code",IF(D294="","Missing qty",IF(A294="","Missing date","")))))</f>
        <v/>
      </c>
    </row>
    <row r="295" customFormat="false" ht="15" hidden="false" customHeight="false" outlineLevel="0" collapsed="false">
      <c r="A295" s="44"/>
      <c r="B295" s="39"/>
      <c r="C295" s="45" t="str">
        <f aca="false">IF(B295="","",IFERROR(INDEX(Contract!$C$10:$C$23,MATCH(B295,Contract!$B$10:$B$23,0)),"Unknown code"))</f>
        <v/>
      </c>
      <c r="D295" s="46"/>
      <c r="E295" s="39"/>
      <c r="F295" s="39"/>
      <c r="G295" s="47" t="str">
        <f aca="false">IF(AND(B295="",D295=""),"",IF(B295="","Missing code",IF(C295="Unknown code","Unknown code",IF(D295="","Missing qty",IF(A295="","Missing date","")))))</f>
        <v/>
      </c>
    </row>
    <row r="296" customFormat="false" ht="15" hidden="false" customHeight="false" outlineLevel="0" collapsed="false">
      <c r="A296" s="44"/>
      <c r="B296" s="39"/>
      <c r="C296" s="45" t="str">
        <f aca="false">IF(B296="","",IFERROR(INDEX(Contract!$C$10:$C$23,MATCH(B296,Contract!$B$10:$B$23,0)),"Unknown code"))</f>
        <v/>
      </c>
      <c r="D296" s="46"/>
      <c r="E296" s="39"/>
      <c r="F296" s="39"/>
      <c r="G296" s="47" t="str">
        <f aca="false">IF(AND(B296="",D296=""),"",IF(B296="","Missing code",IF(C296="Unknown code","Unknown code",IF(D296="","Missing qty",IF(A296="","Missing date","")))))</f>
        <v/>
      </c>
    </row>
    <row r="297" customFormat="false" ht="15" hidden="false" customHeight="false" outlineLevel="0" collapsed="false">
      <c r="A297" s="44"/>
      <c r="B297" s="39"/>
      <c r="C297" s="45" t="str">
        <f aca="false">IF(B297="","",IFERROR(INDEX(Contract!$C$10:$C$23,MATCH(B297,Contract!$B$10:$B$23,0)),"Unknown code"))</f>
        <v/>
      </c>
      <c r="D297" s="46"/>
      <c r="E297" s="39"/>
      <c r="F297" s="39"/>
      <c r="G297" s="47" t="str">
        <f aca="false">IF(AND(B297="",D297=""),"",IF(B297="","Missing code",IF(C297="Unknown code","Unknown code",IF(D297="","Missing qty",IF(A297="","Missing date","")))))</f>
        <v/>
      </c>
    </row>
    <row r="298" customFormat="false" ht="15" hidden="false" customHeight="false" outlineLevel="0" collapsed="false">
      <c r="A298" s="44"/>
      <c r="B298" s="39"/>
      <c r="C298" s="45" t="str">
        <f aca="false">IF(B298="","",IFERROR(INDEX(Contract!$C$10:$C$23,MATCH(B298,Contract!$B$10:$B$23,0)),"Unknown code"))</f>
        <v/>
      </c>
      <c r="D298" s="46"/>
      <c r="E298" s="39"/>
      <c r="F298" s="39"/>
      <c r="G298" s="47" t="str">
        <f aca="false">IF(AND(B298="",D298=""),"",IF(B298="","Missing code",IF(C298="Unknown code","Unknown code",IF(D298="","Missing qty",IF(A298="","Missing date","")))))</f>
        <v/>
      </c>
    </row>
    <row r="299" customFormat="false" ht="15" hidden="false" customHeight="false" outlineLevel="0" collapsed="false">
      <c r="A299" s="44"/>
      <c r="B299" s="39"/>
      <c r="C299" s="45" t="str">
        <f aca="false">IF(B299="","",IFERROR(INDEX(Contract!$C$10:$C$23,MATCH(B299,Contract!$B$10:$B$23,0)),"Unknown code"))</f>
        <v/>
      </c>
      <c r="D299" s="46"/>
      <c r="E299" s="39"/>
      <c r="F299" s="39"/>
      <c r="G299" s="47" t="str">
        <f aca="false">IF(AND(B299="",D299=""),"",IF(B299="","Missing code",IF(C299="Unknown code","Unknown code",IF(D299="","Missing qty",IF(A299="","Missing date","")))))</f>
        <v/>
      </c>
    </row>
    <row r="300" customFormat="false" ht="15" hidden="false" customHeight="false" outlineLevel="0" collapsed="false">
      <c r="A300" s="44"/>
      <c r="B300" s="39"/>
      <c r="C300" s="45" t="str">
        <f aca="false">IF(B300="","",IFERROR(INDEX(Contract!$C$10:$C$23,MATCH(B300,Contract!$B$10:$B$23,0)),"Unknown code"))</f>
        <v/>
      </c>
      <c r="D300" s="46"/>
      <c r="E300" s="39"/>
      <c r="F300" s="39"/>
      <c r="G300" s="47" t="str">
        <f aca="false">IF(AND(B300="",D300=""),"",IF(B300="","Missing code",IF(C300="Unknown code","Unknown code",IF(D300="","Missing qty",IF(A300="","Missing date","")))))</f>
        <v/>
      </c>
    </row>
    <row r="301" customFormat="false" ht="15" hidden="false" customHeight="false" outlineLevel="0" collapsed="false">
      <c r="A301" s="44"/>
      <c r="B301" s="39"/>
      <c r="C301" s="45" t="str">
        <f aca="false">IF(B301="","",IFERROR(INDEX(Contract!$C$10:$C$23,MATCH(B301,Contract!$B$10:$B$23,0)),"Unknown code"))</f>
        <v/>
      </c>
      <c r="D301" s="46"/>
      <c r="E301" s="39"/>
      <c r="F301" s="39"/>
      <c r="G301" s="47" t="str">
        <f aca="false">IF(AND(B301="",D301=""),"",IF(B301="","Missing code",IF(C301="Unknown code","Unknown code",IF(D301="","Missing qty",IF(A301="","Missing date","")))))</f>
        <v/>
      </c>
    </row>
    <row r="302" customFormat="false" ht="15" hidden="false" customHeight="false" outlineLevel="0" collapsed="false">
      <c r="A302" s="44"/>
      <c r="B302" s="39"/>
      <c r="C302" s="45" t="str">
        <f aca="false">IF(B302="","",IFERROR(INDEX(Contract!$C$10:$C$23,MATCH(B302,Contract!$B$10:$B$23,0)),"Unknown code"))</f>
        <v/>
      </c>
      <c r="D302" s="46"/>
      <c r="E302" s="39"/>
      <c r="F302" s="39"/>
      <c r="G302" s="47" t="str">
        <f aca="false">IF(AND(B302="",D302=""),"",IF(B302="","Missing code",IF(C302="Unknown code","Unknown code",IF(D302="","Missing qty",IF(A302="","Missing date","")))))</f>
        <v/>
      </c>
    </row>
    <row r="303" customFormat="false" ht="15" hidden="false" customHeight="false" outlineLevel="0" collapsed="false">
      <c r="A303" s="44"/>
      <c r="B303" s="39"/>
      <c r="C303" s="45" t="str">
        <f aca="false">IF(B303="","",IFERROR(INDEX(Contract!$C$10:$C$23,MATCH(B303,Contract!$B$10:$B$23,0)),"Unknown code"))</f>
        <v/>
      </c>
      <c r="D303" s="46"/>
      <c r="E303" s="39"/>
      <c r="F303" s="39"/>
      <c r="G303" s="47" t="str">
        <f aca="false">IF(AND(B303="",D303=""),"",IF(B303="","Missing code",IF(C303="Unknown code","Unknown code",IF(D303="","Missing qty",IF(A303="","Missing date","")))))</f>
        <v/>
      </c>
    </row>
    <row r="304" customFormat="false" ht="15" hidden="false" customHeight="false" outlineLevel="0" collapsed="false">
      <c r="A304" s="44"/>
      <c r="B304" s="39"/>
      <c r="C304" s="45" t="str">
        <f aca="false">IF(B304="","",IFERROR(INDEX(Contract!$C$10:$C$23,MATCH(B304,Contract!$B$10:$B$23,0)),"Unknown code"))</f>
        <v/>
      </c>
      <c r="D304" s="46"/>
      <c r="E304" s="39"/>
      <c r="F304" s="39"/>
      <c r="G304" s="47" t="str">
        <f aca="false">IF(AND(B304="",D304=""),"",IF(B304="","Missing code",IF(C304="Unknown code","Unknown code",IF(D304="","Missing qty",IF(A304="","Missing date","")))))</f>
        <v/>
      </c>
    </row>
    <row r="305" customFormat="false" ht="15" hidden="false" customHeight="false" outlineLevel="0" collapsed="false">
      <c r="A305" s="44"/>
      <c r="B305" s="39"/>
      <c r="C305" s="45" t="str">
        <f aca="false">IF(B305="","",IFERROR(INDEX(Contract!$C$10:$C$23,MATCH(B305,Contract!$B$10:$B$23,0)),"Unknown code"))</f>
        <v/>
      </c>
      <c r="D305" s="46"/>
      <c r="E305" s="39"/>
      <c r="F305" s="39"/>
      <c r="G305" s="47" t="str">
        <f aca="false">IF(AND(B305="",D305=""),"",IF(B305="","Missing code",IF(C305="Unknown code","Unknown code",IF(D305="","Missing qty",IF(A305="","Missing date","")))))</f>
        <v/>
      </c>
    </row>
    <row r="306" customFormat="false" ht="15" hidden="false" customHeight="false" outlineLevel="0" collapsed="false">
      <c r="A306" s="44"/>
      <c r="B306" s="39"/>
      <c r="C306" s="45" t="str">
        <f aca="false">IF(B306="","",IFERROR(INDEX(Contract!$C$10:$C$23,MATCH(B306,Contract!$B$10:$B$23,0)),"Unknown code"))</f>
        <v/>
      </c>
      <c r="D306" s="46"/>
      <c r="E306" s="39"/>
      <c r="F306" s="39"/>
      <c r="G306" s="47" t="str">
        <f aca="false">IF(AND(B306="",D306=""),"",IF(B306="","Missing code",IF(C306="Unknown code","Unknown code",IF(D306="","Missing qty",IF(A306="","Missing date","")))))</f>
        <v/>
      </c>
    </row>
    <row r="307" customFormat="false" ht="15" hidden="false" customHeight="false" outlineLevel="0" collapsed="false">
      <c r="A307" s="44"/>
      <c r="B307" s="39"/>
      <c r="C307" s="45" t="str">
        <f aca="false">IF(B307="","",IFERROR(INDEX(Contract!$C$10:$C$23,MATCH(B307,Contract!$B$10:$B$23,0)),"Unknown code"))</f>
        <v/>
      </c>
      <c r="D307" s="46"/>
      <c r="E307" s="39"/>
      <c r="F307" s="39"/>
      <c r="G307" s="47" t="str">
        <f aca="false">IF(AND(B307="",D307=""),"",IF(B307="","Missing code",IF(C307="Unknown code","Unknown code",IF(D307="","Missing qty",IF(A307="","Missing date","")))))</f>
        <v/>
      </c>
    </row>
    <row r="308" customFormat="false" ht="15" hidden="false" customHeight="false" outlineLevel="0" collapsed="false">
      <c r="A308" s="44"/>
      <c r="B308" s="39"/>
      <c r="C308" s="45" t="str">
        <f aca="false">IF(B308="","",IFERROR(INDEX(Contract!$C$10:$C$23,MATCH(B308,Contract!$B$10:$B$23,0)),"Unknown code"))</f>
        <v/>
      </c>
      <c r="D308" s="46"/>
      <c r="E308" s="39"/>
      <c r="F308" s="39"/>
      <c r="G308" s="47" t="str">
        <f aca="false">IF(AND(B308="",D308=""),"",IF(B308="","Missing code",IF(C308="Unknown code","Unknown code",IF(D308="","Missing qty",IF(A308="","Missing date","")))))</f>
        <v/>
      </c>
    </row>
    <row r="309" customFormat="false" ht="15" hidden="false" customHeight="false" outlineLevel="0" collapsed="false">
      <c r="A309" s="44"/>
      <c r="B309" s="39"/>
      <c r="C309" s="45" t="str">
        <f aca="false">IF(B309="","",IFERROR(INDEX(Contract!$C$10:$C$23,MATCH(B309,Contract!$B$10:$B$23,0)),"Unknown code"))</f>
        <v/>
      </c>
      <c r="D309" s="46"/>
      <c r="E309" s="39"/>
      <c r="F309" s="39"/>
      <c r="G309" s="47" t="str">
        <f aca="false">IF(AND(B309="",D309=""),"",IF(B309="","Missing code",IF(C309="Unknown code","Unknown code",IF(D309="","Missing qty",IF(A309="","Missing date","")))))</f>
        <v/>
      </c>
    </row>
    <row r="310" customFormat="false" ht="15" hidden="false" customHeight="false" outlineLevel="0" collapsed="false">
      <c r="A310" s="44"/>
      <c r="B310" s="39"/>
      <c r="C310" s="45" t="str">
        <f aca="false">IF(B310="","",IFERROR(INDEX(Contract!$C$10:$C$23,MATCH(B310,Contract!$B$10:$B$23,0)),"Unknown code"))</f>
        <v/>
      </c>
      <c r="D310" s="46"/>
      <c r="E310" s="39"/>
      <c r="F310" s="39"/>
      <c r="G310" s="47" t="str">
        <f aca="false">IF(AND(B310="",D310=""),"",IF(B310="","Missing code",IF(C310="Unknown code","Unknown code",IF(D310="","Missing qty",IF(A310="","Missing date","")))))</f>
        <v/>
      </c>
    </row>
    <row r="311" customFormat="false" ht="15" hidden="false" customHeight="false" outlineLevel="0" collapsed="false">
      <c r="A311" s="44"/>
      <c r="B311" s="39"/>
      <c r="C311" s="45" t="str">
        <f aca="false">IF(B311="","",IFERROR(INDEX(Contract!$C$10:$C$23,MATCH(B311,Contract!$B$10:$B$23,0)),"Unknown code"))</f>
        <v/>
      </c>
      <c r="D311" s="46"/>
      <c r="E311" s="39"/>
      <c r="F311" s="39"/>
      <c r="G311" s="47" t="str">
        <f aca="false">IF(AND(B311="",D311=""),"",IF(B311="","Missing code",IF(C311="Unknown code","Unknown code",IF(D311="","Missing qty",IF(A311="","Missing date","")))))</f>
        <v/>
      </c>
    </row>
    <row r="312" customFormat="false" ht="15" hidden="false" customHeight="false" outlineLevel="0" collapsed="false">
      <c r="A312" s="44"/>
      <c r="B312" s="39"/>
      <c r="C312" s="45" t="str">
        <f aca="false">IF(B312="","",IFERROR(INDEX(Contract!$C$10:$C$23,MATCH(B312,Contract!$B$10:$B$23,0)),"Unknown code"))</f>
        <v/>
      </c>
      <c r="D312" s="46"/>
      <c r="E312" s="39"/>
      <c r="F312" s="39"/>
      <c r="G312" s="47" t="str">
        <f aca="false">IF(AND(B312="",D312=""),"",IF(B312="","Missing code",IF(C312="Unknown code","Unknown code",IF(D312="","Missing qty",IF(A312="","Missing date","")))))</f>
        <v/>
      </c>
    </row>
    <row r="313" customFormat="false" ht="15" hidden="false" customHeight="false" outlineLevel="0" collapsed="false">
      <c r="A313" s="44"/>
      <c r="B313" s="39"/>
      <c r="C313" s="45" t="str">
        <f aca="false">IF(B313="","",IFERROR(INDEX(Contract!$C$10:$C$23,MATCH(B313,Contract!$B$10:$B$23,0)),"Unknown code"))</f>
        <v/>
      </c>
      <c r="D313" s="46"/>
      <c r="E313" s="39"/>
      <c r="F313" s="39"/>
      <c r="G313" s="47" t="str">
        <f aca="false">IF(AND(B313="",D313=""),"",IF(B313="","Missing code",IF(C313="Unknown code","Unknown code",IF(D313="","Missing qty",IF(A313="","Missing date","")))))</f>
        <v/>
      </c>
    </row>
    <row r="314" customFormat="false" ht="15" hidden="false" customHeight="false" outlineLevel="0" collapsed="false">
      <c r="A314" s="44"/>
      <c r="B314" s="39"/>
      <c r="C314" s="45" t="str">
        <f aca="false">IF(B314="","",IFERROR(INDEX(Contract!$C$10:$C$23,MATCH(B314,Contract!$B$10:$B$23,0)),"Unknown code"))</f>
        <v/>
      </c>
      <c r="D314" s="46"/>
      <c r="E314" s="39"/>
      <c r="F314" s="39"/>
      <c r="G314" s="47" t="str">
        <f aca="false">IF(AND(B314="",D314=""),"",IF(B314="","Missing code",IF(C314="Unknown code","Unknown code",IF(D314="","Missing qty",IF(A314="","Missing date","")))))</f>
        <v/>
      </c>
    </row>
    <row r="315" customFormat="false" ht="15" hidden="false" customHeight="false" outlineLevel="0" collapsed="false">
      <c r="A315" s="44"/>
      <c r="B315" s="39"/>
      <c r="C315" s="45" t="str">
        <f aca="false">IF(B315="","",IFERROR(INDEX(Contract!$C$10:$C$23,MATCH(B315,Contract!$B$10:$B$23,0)),"Unknown code"))</f>
        <v/>
      </c>
      <c r="D315" s="46"/>
      <c r="E315" s="39"/>
      <c r="F315" s="39"/>
      <c r="G315" s="47" t="str">
        <f aca="false">IF(AND(B315="",D315=""),"",IF(B315="","Missing code",IF(C315="Unknown code","Unknown code",IF(D315="","Missing qty",IF(A315="","Missing date","")))))</f>
        <v/>
      </c>
    </row>
    <row r="316" customFormat="false" ht="15" hidden="false" customHeight="false" outlineLevel="0" collapsed="false">
      <c r="A316" s="44"/>
      <c r="B316" s="39"/>
      <c r="C316" s="45" t="str">
        <f aca="false">IF(B316="","",IFERROR(INDEX(Contract!$C$10:$C$23,MATCH(B316,Contract!$B$10:$B$23,0)),"Unknown code"))</f>
        <v/>
      </c>
      <c r="D316" s="46"/>
      <c r="E316" s="39"/>
      <c r="F316" s="39"/>
      <c r="G316" s="47" t="str">
        <f aca="false">IF(AND(B316="",D316=""),"",IF(B316="","Missing code",IF(C316="Unknown code","Unknown code",IF(D316="","Missing qty",IF(A316="","Missing date","")))))</f>
        <v/>
      </c>
    </row>
    <row r="317" customFormat="false" ht="15" hidden="false" customHeight="false" outlineLevel="0" collapsed="false">
      <c r="A317" s="44"/>
      <c r="B317" s="39"/>
      <c r="C317" s="45" t="str">
        <f aca="false">IF(B317="","",IFERROR(INDEX(Contract!$C$10:$C$23,MATCH(B317,Contract!$B$10:$B$23,0)),"Unknown code"))</f>
        <v/>
      </c>
      <c r="D317" s="46"/>
      <c r="E317" s="39"/>
      <c r="F317" s="39"/>
      <c r="G317" s="47" t="str">
        <f aca="false">IF(AND(B317="",D317=""),"",IF(B317="","Missing code",IF(C317="Unknown code","Unknown code",IF(D317="","Missing qty",IF(A317="","Missing date","")))))</f>
        <v/>
      </c>
    </row>
    <row r="318" customFormat="false" ht="15" hidden="false" customHeight="false" outlineLevel="0" collapsed="false">
      <c r="A318" s="44"/>
      <c r="B318" s="39"/>
      <c r="C318" s="45" t="str">
        <f aca="false">IF(B318="","",IFERROR(INDEX(Contract!$C$10:$C$23,MATCH(B318,Contract!$B$10:$B$23,0)),"Unknown code"))</f>
        <v/>
      </c>
      <c r="D318" s="46"/>
      <c r="E318" s="39"/>
      <c r="F318" s="39"/>
      <c r="G318" s="47" t="str">
        <f aca="false">IF(AND(B318="",D318=""),"",IF(B318="","Missing code",IF(C318="Unknown code","Unknown code",IF(D318="","Missing qty",IF(A318="","Missing date","")))))</f>
        <v/>
      </c>
    </row>
    <row r="319" customFormat="false" ht="15" hidden="false" customHeight="false" outlineLevel="0" collapsed="false">
      <c r="A319" s="44"/>
      <c r="B319" s="39"/>
      <c r="C319" s="45" t="str">
        <f aca="false">IF(B319="","",IFERROR(INDEX(Contract!$C$10:$C$23,MATCH(B319,Contract!$B$10:$B$23,0)),"Unknown code"))</f>
        <v/>
      </c>
      <c r="D319" s="46"/>
      <c r="E319" s="39"/>
      <c r="F319" s="39"/>
      <c r="G319" s="47" t="str">
        <f aca="false">IF(AND(B319="",D319=""),"",IF(B319="","Missing code",IF(C319="Unknown code","Unknown code",IF(D319="","Missing qty",IF(A319="","Missing date","")))))</f>
        <v/>
      </c>
    </row>
    <row r="320" customFormat="false" ht="15" hidden="false" customHeight="false" outlineLevel="0" collapsed="false">
      <c r="A320" s="44"/>
      <c r="B320" s="39"/>
      <c r="C320" s="45" t="str">
        <f aca="false">IF(B320="","",IFERROR(INDEX(Contract!$C$10:$C$23,MATCH(B320,Contract!$B$10:$B$23,0)),"Unknown code"))</f>
        <v/>
      </c>
      <c r="D320" s="46"/>
      <c r="E320" s="39"/>
      <c r="F320" s="39"/>
      <c r="G320" s="47" t="str">
        <f aca="false">IF(AND(B320="",D320=""),"",IF(B320="","Missing code",IF(C320="Unknown code","Unknown code",IF(D320="","Missing qty",IF(A320="","Missing date","")))))</f>
        <v/>
      </c>
    </row>
    <row r="321" customFormat="false" ht="15" hidden="false" customHeight="false" outlineLevel="0" collapsed="false">
      <c r="A321" s="44"/>
      <c r="B321" s="39"/>
      <c r="C321" s="45" t="str">
        <f aca="false">IF(B321="","",IFERROR(INDEX(Contract!$C$10:$C$23,MATCH(B321,Contract!$B$10:$B$23,0)),"Unknown code"))</f>
        <v/>
      </c>
      <c r="D321" s="46"/>
      <c r="E321" s="39"/>
      <c r="F321" s="39"/>
      <c r="G321" s="47" t="str">
        <f aca="false">IF(AND(B321="",D321=""),"",IF(B321="","Missing code",IF(C321="Unknown code","Unknown code",IF(D321="","Missing qty",IF(A321="","Missing date","")))))</f>
        <v/>
      </c>
    </row>
    <row r="322" customFormat="false" ht="15" hidden="false" customHeight="false" outlineLevel="0" collapsed="false">
      <c r="A322" s="44"/>
      <c r="B322" s="39"/>
      <c r="C322" s="45" t="str">
        <f aca="false">IF(B322="","",IFERROR(INDEX(Contract!$C$10:$C$23,MATCH(B322,Contract!$B$10:$B$23,0)),"Unknown code"))</f>
        <v/>
      </c>
      <c r="D322" s="46"/>
      <c r="E322" s="39"/>
      <c r="F322" s="39"/>
      <c r="G322" s="47" t="str">
        <f aca="false">IF(AND(B322="",D322=""),"",IF(B322="","Missing code",IF(C322="Unknown code","Unknown code",IF(D322="","Missing qty",IF(A322="","Missing date","")))))</f>
        <v/>
      </c>
    </row>
    <row r="323" customFormat="false" ht="15" hidden="false" customHeight="false" outlineLevel="0" collapsed="false">
      <c r="A323" s="44"/>
      <c r="B323" s="39"/>
      <c r="C323" s="45" t="str">
        <f aca="false">IF(B323="","",IFERROR(INDEX(Contract!$C$10:$C$23,MATCH(B323,Contract!$B$10:$B$23,0)),"Unknown code"))</f>
        <v/>
      </c>
      <c r="D323" s="46"/>
      <c r="E323" s="39"/>
      <c r="F323" s="39"/>
      <c r="G323" s="47" t="str">
        <f aca="false">IF(AND(B323="",D323=""),"",IF(B323="","Missing code",IF(C323="Unknown code","Unknown code",IF(D323="","Missing qty",IF(A323="","Missing date","")))))</f>
        <v/>
      </c>
    </row>
    <row r="324" customFormat="false" ht="15" hidden="false" customHeight="false" outlineLevel="0" collapsed="false">
      <c r="A324" s="44"/>
      <c r="B324" s="39"/>
      <c r="C324" s="45" t="str">
        <f aca="false">IF(B324="","",IFERROR(INDEX(Contract!$C$10:$C$23,MATCH(B324,Contract!$B$10:$B$23,0)),"Unknown code"))</f>
        <v/>
      </c>
      <c r="D324" s="46"/>
      <c r="E324" s="39"/>
      <c r="F324" s="39"/>
      <c r="G324" s="47" t="str">
        <f aca="false">IF(AND(B324="",D324=""),"",IF(B324="","Missing code",IF(C324="Unknown code","Unknown code",IF(D324="","Missing qty",IF(A324="","Missing date","")))))</f>
        <v/>
      </c>
    </row>
    <row r="325" customFormat="false" ht="15" hidden="false" customHeight="false" outlineLevel="0" collapsed="false">
      <c r="A325" s="44"/>
      <c r="B325" s="39"/>
      <c r="C325" s="45" t="str">
        <f aca="false">IF(B325="","",IFERROR(INDEX(Contract!$C$10:$C$23,MATCH(B325,Contract!$B$10:$B$23,0)),"Unknown code"))</f>
        <v/>
      </c>
      <c r="D325" s="46"/>
      <c r="E325" s="39"/>
      <c r="F325" s="39"/>
      <c r="G325" s="47" t="str">
        <f aca="false">IF(AND(B325="",D325=""),"",IF(B325="","Missing code",IF(C325="Unknown code","Unknown code",IF(D325="","Missing qty",IF(A325="","Missing date","")))))</f>
        <v/>
      </c>
    </row>
    <row r="326" customFormat="false" ht="15" hidden="false" customHeight="false" outlineLevel="0" collapsed="false">
      <c r="A326" s="44"/>
      <c r="B326" s="39"/>
      <c r="C326" s="45" t="str">
        <f aca="false">IF(B326="","",IFERROR(INDEX(Contract!$C$10:$C$23,MATCH(B326,Contract!$B$10:$B$23,0)),"Unknown code"))</f>
        <v/>
      </c>
      <c r="D326" s="46"/>
      <c r="E326" s="39"/>
      <c r="F326" s="39"/>
      <c r="G326" s="47" t="str">
        <f aca="false">IF(AND(B326="",D326=""),"",IF(B326="","Missing code",IF(C326="Unknown code","Unknown code",IF(D326="","Missing qty",IF(A326="","Missing date","")))))</f>
        <v/>
      </c>
    </row>
    <row r="327" customFormat="false" ht="15" hidden="false" customHeight="false" outlineLevel="0" collapsed="false">
      <c r="A327" s="44"/>
      <c r="B327" s="39"/>
      <c r="C327" s="45" t="str">
        <f aca="false">IF(B327="","",IFERROR(INDEX(Contract!$C$10:$C$23,MATCH(B327,Contract!$B$10:$B$23,0)),"Unknown code"))</f>
        <v/>
      </c>
      <c r="D327" s="46"/>
      <c r="E327" s="39"/>
      <c r="F327" s="39"/>
      <c r="G327" s="47" t="str">
        <f aca="false">IF(AND(B327="",D327=""),"",IF(B327="","Missing code",IF(C327="Unknown code","Unknown code",IF(D327="","Missing qty",IF(A327="","Missing date","")))))</f>
        <v/>
      </c>
    </row>
    <row r="328" customFormat="false" ht="15" hidden="false" customHeight="false" outlineLevel="0" collapsed="false">
      <c r="A328" s="44"/>
      <c r="B328" s="39"/>
      <c r="C328" s="45" t="str">
        <f aca="false">IF(B328="","",IFERROR(INDEX(Contract!$C$10:$C$23,MATCH(B328,Contract!$B$10:$B$23,0)),"Unknown code"))</f>
        <v/>
      </c>
      <c r="D328" s="46"/>
      <c r="E328" s="39"/>
      <c r="F328" s="39"/>
      <c r="G328" s="47" t="str">
        <f aca="false">IF(AND(B328="",D328=""),"",IF(B328="","Missing code",IF(C328="Unknown code","Unknown code",IF(D328="","Missing qty",IF(A328="","Missing date","")))))</f>
        <v/>
      </c>
    </row>
    <row r="329" customFormat="false" ht="15" hidden="false" customHeight="false" outlineLevel="0" collapsed="false">
      <c r="A329" s="44"/>
      <c r="B329" s="39"/>
      <c r="C329" s="45" t="str">
        <f aca="false">IF(B329="","",IFERROR(INDEX(Contract!$C$10:$C$23,MATCH(B329,Contract!$B$10:$B$23,0)),"Unknown code"))</f>
        <v/>
      </c>
      <c r="D329" s="46"/>
      <c r="E329" s="39"/>
      <c r="F329" s="39"/>
      <c r="G329" s="47" t="str">
        <f aca="false">IF(AND(B329="",D329=""),"",IF(B329="","Missing code",IF(C329="Unknown code","Unknown code",IF(D329="","Missing qty",IF(A329="","Missing date","")))))</f>
        <v/>
      </c>
    </row>
    <row r="330" customFormat="false" ht="15" hidden="false" customHeight="false" outlineLevel="0" collapsed="false">
      <c r="A330" s="44"/>
      <c r="B330" s="39"/>
      <c r="C330" s="45" t="str">
        <f aca="false">IF(B330="","",IFERROR(INDEX(Contract!$C$10:$C$23,MATCH(B330,Contract!$B$10:$B$23,0)),"Unknown code"))</f>
        <v/>
      </c>
      <c r="D330" s="46"/>
      <c r="E330" s="39"/>
      <c r="F330" s="39"/>
      <c r="G330" s="47" t="str">
        <f aca="false">IF(AND(B330="",D330=""),"",IF(B330="","Missing code",IF(C330="Unknown code","Unknown code",IF(D330="","Missing qty",IF(A330="","Missing date","")))))</f>
        <v/>
      </c>
    </row>
    <row r="331" customFormat="false" ht="15" hidden="false" customHeight="false" outlineLevel="0" collapsed="false">
      <c r="A331" s="44"/>
      <c r="B331" s="39"/>
      <c r="C331" s="45" t="str">
        <f aca="false">IF(B331="","",IFERROR(INDEX(Contract!$C$10:$C$23,MATCH(B331,Contract!$B$10:$B$23,0)),"Unknown code"))</f>
        <v/>
      </c>
      <c r="D331" s="46"/>
      <c r="E331" s="39"/>
      <c r="F331" s="39"/>
      <c r="G331" s="47" t="str">
        <f aca="false">IF(AND(B331="",D331=""),"",IF(B331="","Missing code",IF(C331="Unknown code","Unknown code",IF(D331="","Missing qty",IF(A331="","Missing date","")))))</f>
        <v/>
      </c>
    </row>
    <row r="332" customFormat="false" ht="15" hidden="false" customHeight="false" outlineLevel="0" collapsed="false">
      <c r="A332" s="44"/>
      <c r="B332" s="39"/>
      <c r="C332" s="45" t="str">
        <f aca="false">IF(B332="","",IFERROR(INDEX(Contract!$C$10:$C$23,MATCH(B332,Contract!$B$10:$B$23,0)),"Unknown code"))</f>
        <v/>
      </c>
      <c r="D332" s="46"/>
      <c r="E332" s="39"/>
      <c r="F332" s="39"/>
      <c r="G332" s="47" t="str">
        <f aca="false">IF(AND(B332="",D332=""),"",IF(B332="","Missing code",IF(C332="Unknown code","Unknown code",IF(D332="","Missing qty",IF(A332="","Missing date","")))))</f>
        <v/>
      </c>
    </row>
    <row r="333" customFormat="false" ht="15" hidden="false" customHeight="false" outlineLevel="0" collapsed="false">
      <c r="A333" s="44"/>
      <c r="B333" s="39"/>
      <c r="C333" s="45" t="str">
        <f aca="false">IF(B333="","",IFERROR(INDEX(Contract!$C$10:$C$23,MATCH(B333,Contract!$B$10:$B$23,0)),"Unknown code"))</f>
        <v/>
      </c>
      <c r="D333" s="46"/>
      <c r="E333" s="39"/>
      <c r="F333" s="39"/>
      <c r="G333" s="47" t="str">
        <f aca="false">IF(AND(B333="",D333=""),"",IF(B333="","Missing code",IF(C333="Unknown code","Unknown code",IF(D333="","Missing qty",IF(A333="","Missing date","")))))</f>
        <v/>
      </c>
    </row>
    <row r="334" customFormat="false" ht="15" hidden="false" customHeight="false" outlineLevel="0" collapsed="false">
      <c r="A334" s="44"/>
      <c r="B334" s="39"/>
      <c r="C334" s="45" t="str">
        <f aca="false">IF(B334="","",IFERROR(INDEX(Contract!$C$10:$C$23,MATCH(B334,Contract!$B$10:$B$23,0)),"Unknown code"))</f>
        <v/>
      </c>
      <c r="D334" s="46"/>
      <c r="E334" s="39"/>
      <c r="F334" s="39"/>
      <c r="G334" s="47" t="str">
        <f aca="false">IF(AND(B334="",D334=""),"",IF(B334="","Missing code",IF(C334="Unknown code","Unknown code",IF(D334="","Missing qty",IF(A334="","Missing date","")))))</f>
        <v/>
      </c>
    </row>
    <row r="335" customFormat="false" ht="15" hidden="false" customHeight="false" outlineLevel="0" collapsed="false">
      <c r="A335" s="44"/>
      <c r="B335" s="39"/>
      <c r="C335" s="45" t="str">
        <f aca="false">IF(B335="","",IFERROR(INDEX(Contract!$C$10:$C$23,MATCH(B335,Contract!$B$10:$B$23,0)),"Unknown code"))</f>
        <v/>
      </c>
      <c r="D335" s="46"/>
      <c r="E335" s="39"/>
      <c r="F335" s="39"/>
      <c r="G335" s="47" t="str">
        <f aca="false">IF(AND(B335="",D335=""),"",IF(B335="","Missing code",IF(C335="Unknown code","Unknown code",IF(D335="","Missing qty",IF(A335="","Missing date","")))))</f>
        <v/>
      </c>
    </row>
    <row r="336" customFormat="false" ht="15" hidden="false" customHeight="false" outlineLevel="0" collapsed="false">
      <c r="A336" s="44"/>
      <c r="B336" s="39"/>
      <c r="C336" s="45" t="str">
        <f aca="false">IF(B336="","",IFERROR(INDEX(Contract!$C$10:$C$23,MATCH(B336,Contract!$B$10:$B$23,0)),"Unknown code"))</f>
        <v/>
      </c>
      <c r="D336" s="46"/>
      <c r="E336" s="39"/>
      <c r="F336" s="39"/>
      <c r="G336" s="47" t="str">
        <f aca="false">IF(AND(B336="",D336=""),"",IF(B336="","Missing code",IF(C336="Unknown code","Unknown code",IF(D336="","Missing qty",IF(A336="","Missing date","")))))</f>
        <v/>
      </c>
    </row>
    <row r="337" customFormat="false" ht="15" hidden="false" customHeight="false" outlineLevel="0" collapsed="false">
      <c r="A337" s="44"/>
      <c r="B337" s="39"/>
      <c r="C337" s="45" t="str">
        <f aca="false">IF(B337="","",IFERROR(INDEX(Contract!$C$10:$C$23,MATCH(B337,Contract!$B$10:$B$23,0)),"Unknown code"))</f>
        <v/>
      </c>
      <c r="D337" s="46"/>
      <c r="E337" s="39"/>
      <c r="F337" s="39"/>
      <c r="G337" s="47" t="str">
        <f aca="false">IF(AND(B337="",D337=""),"",IF(B337="","Missing code",IF(C337="Unknown code","Unknown code",IF(D337="","Missing qty",IF(A337="","Missing date","")))))</f>
        <v/>
      </c>
    </row>
    <row r="338" customFormat="false" ht="15" hidden="false" customHeight="false" outlineLevel="0" collapsed="false">
      <c r="A338" s="44"/>
      <c r="B338" s="39"/>
      <c r="C338" s="45" t="str">
        <f aca="false">IF(B338="","",IFERROR(INDEX(Contract!$C$10:$C$23,MATCH(B338,Contract!$B$10:$B$23,0)),"Unknown code"))</f>
        <v/>
      </c>
      <c r="D338" s="46"/>
      <c r="E338" s="39"/>
      <c r="F338" s="39"/>
      <c r="G338" s="47" t="str">
        <f aca="false">IF(AND(B338="",D338=""),"",IF(B338="","Missing code",IF(C338="Unknown code","Unknown code",IF(D338="","Missing qty",IF(A338="","Missing date","")))))</f>
        <v/>
      </c>
    </row>
    <row r="339" customFormat="false" ht="15" hidden="false" customHeight="false" outlineLevel="0" collapsed="false">
      <c r="A339" s="44"/>
      <c r="B339" s="39"/>
      <c r="C339" s="45" t="str">
        <f aca="false">IF(B339="","",IFERROR(INDEX(Contract!$C$10:$C$23,MATCH(B339,Contract!$B$10:$B$23,0)),"Unknown code"))</f>
        <v/>
      </c>
      <c r="D339" s="46"/>
      <c r="E339" s="39"/>
      <c r="F339" s="39"/>
      <c r="G339" s="47" t="str">
        <f aca="false">IF(AND(B339="",D339=""),"",IF(B339="","Missing code",IF(C339="Unknown code","Unknown code",IF(D339="","Missing qty",IF(A339="","Missing date","")))))</f>
        <v/>
      </c>
    </row>
    <row r="340" customFormat="false" ht="15" hidden="false" customHeight="false" outlineLevel="0" collapsed="false">
      <c r="A340" s="44"/>
      <c r="B340" s="39"/>
      <c r="C340" s="45" t="str">
        <f aca="false">IF(B340="","",IFERROR(INDEX(Contract!$C$10:$C$23,MATCH(B340,Contract!$B$10:$B$23,0)),"Unknown code"))</f>
        <v/>
      </c>
      <c r="D340" s="46"/>
      <c r="E340" s="39"/>
      <c r="F340" s="39"/>
      <c r="G340" s="47" t="str">
        <f aca="false">IF(AND(B340="",D340=""),"",IF(B340="","Missing code",IF(C340="Unknown code","Unknown code",IF(D340="","Missing qty",IF(A340="","Missing date","")))))</f>
        <v/>
      </c>
    </row>
    <row r="341" customFormat="false" ht="15" hidden="false" customHeight="false" outlineLevel="0" collapsed="false">
      <c r="A341" s="44"/>
      <c r="B341" s="39"/>
      <c r="C341" s="45" t="str">
        <f aca="false">IF(B341="","",IFERROR(INDEX(Contract!$C$10:$C$23,MATCH(B341,Contract!$B$10:$B$23,0)),"Unknown code"))</f>
        <v/>
      </c>
      <c r="D341" s="46"/>
      <c r="E341" s="39"/>
      <c r="F341" s="39"/>
      <c r="G341" s="47" t="str">
        <f aca="false">IF(AND(B341="",D341=""),"",IF(B341="","Missing code",IF(C341="Unknown code","Unknown code",IF(D341="","Missing qty",IF(A341="","Missing date","")))))</f>
        <v/>
      </c>
    </row>
    <row r="342" customFormat="false" ht="15" hidden="false" customHeight="false" outlineLevel="0" collapsed="false">
      <c r="A342" s="44"/>
      <c r="B342" s="39"/>
      <c r="C342" s="45" t="str">
        <f aca="false">IF(B342="","",IFERROR(INDEX(Contract!$C$10:$C$23,MATCH(B342,Contract!$B$10:$B$23,0)),"Unknown code"))</f>
        <v/>
      </c>
      <c r="D342" s="46"/>
      <c r="E342" s="39"/>
      <c r="F342" s="39"/>
      <c r="G342" s="47" t="str">
        <f aca="false">IF(AND(B342="",D342=""),"",IF(B342="","Missing code",IF(C342="Unknown code","Unknown code",IF(D342="","Missing qty",IF(A342="","Missing date","")))))</f>
        <v/>
      </c>
    </row>
    <row r="343" customFormat="false" ht="15" hidden="false" customHeight="false" outlineLevel="0" collapsed="false">
      <c r="A343" s="44"/>
      <c r="B343" s="39"/>
      <c r="C343" s="45" t="str">
        <f aca="false">IF(B343="","",IFERROR(INDEX(Contract!$C$10:$C$23,MATCH(B343,Contract!$B$10:$B$23,0)),"Unknown code"))</f>
        <v/>
      </c>
      <c r="D343" s="46"/>
      <c r="E343" s="39"/>
      <c r="F343" s="39"/>
      <c r="G343" s="47" t="str">
        <f aca="false">IF(AND(B343="",D343=""),"",IF(B343="","Missing code",IF(C343="Unknown code","Unknown code",IF(D343="","Missing qty",IF(A343="","Missing date","")))))</f>
        <v/>
      </c>
    </row>
    <row r="344" customFormat="false" ht="15" hidden="false" customHeight="false" outlineLevel="0" collapsed="false">
      <c r="A344" s="44"/>
      <c r="B344" s="39"/>
      <c r="C344" s="45" t="str">
        <f aca="false">IF(B344="","",IFERROR(INDEX(Contract!$C$10:$C$23,MATCH(B344,Contract!$B$10:$B$23,0)),"Unknown code"))</f>
        <v/>
      </c>
      <c r="D344" s="46"/>
      <c r="E344" s="39"/>
      <c r="F344" s="39"/>
      <c r="G344" s="47" t="str">
        <f aca="false">IF(AND(B344="",D344=""),"",IF(B344="","Missing code",IF(C344="Unknown code","Unknown code",IF(D344="","Missing qty",IF(A344="","Missing date","")))))</f>
        <v/>
      </c>
    </row>
    <row r="345" customFormat="false" ht="15" hidden="false" customHeight="false" outlineLevel="0" collapsed="false">
      <c r="A345" s="44"/>
      <c r="B345" s="39"/>
      <c r="C345" s="45" t="str">
        <f aca="false">IF(B345="","",IFERROR(INDEX(Contract!$C$10:$C$23,MATCH(B345,Contract!$B$10:$B$23,0)),"Unknown code"))</f>
        <v/>
      </c>
      <c r="D345" s="46"/>
      <c r="E345" s="39"/>
      <c r="F345" s="39"/>
      <c r="G345" s="47" t="str">
        <f aca="false">IF(AND(B345="",D345=""),"",IF(B345="","Missing code",IF(C345="Unknown code","Unknown code",IF(D345="","Missing qty",IF(A345="","Missing date","")))))</f>
        <v/>
      </c>
    </row>
    <row r="346" customFormat="false" ht="15" hidden="false" customHeight="false" outlineLevel="0" collapsed="false">
      <c r="A346" s="44"/>
      <c r="B346" s="39"/>
      <c r="C346" s="45" t="str">
        <f aca="false">IF(B346="","",IFERROR(INDEX(Contract!$C$10:$C$23,MATCH(B346,Contract!$B$10:$B$23,0)),"Unknown code"))</f>
        <v/>
      </c>
      <c r="D346" s="46"/>
      <c r="E346" s="39"/>
      <c r="F346" s="39"/>
      <c r="G346" s="47" t="str">
        <f aca="false">IF(AND(B346="",D346=""),"",IF(B346="","Missing code",IF(C346="Unknown code","Unknown code",IF(D346="","Missing qty",IF(A346="","Missing date","")))))</f>
        <v/>
      </c>
    </row>
    <row r="347" customFormat="false" ht="15" hidden="false" customHeight="false" outlineLevel="0" collapsed="false">
      <c r="A347" s="44"/>
      <c r="B347" s="39"/>
      <c r="C347" s="45" t="str">
        <f aca="false">IF(B347="","",IFERROR(INDEX(Contract!$C$10:$C$23,MATCH(B347,Contract!$B$10:$B$23,0)),"Unknown code"))</f>
        <v/>
      </c>
      <c r="D347" s="46"/>
      <c r="E347" s="39"/>
      <c r="F347" s="39"/>
      <c r="G347" s="47" t="str">
        <f aca="false">IF(AND(B347="",D347=""),"",IF(B347="","Missing code",IF(C347="Unknown code","Unknown code",IF(D347="","Missing qty",IF(A347="","Missing date","")))))</f>
        <v/>
      </c>
    </row>
    <row r="348" customFormat="false" ht="15" hidden="false" customHeight="false" outlineLevel="0" collapsed="false">
      <c r="A348" s="44"/>
      <c r="B348" s="39"/>
      <c r="C348" s="45" t="str">
        <f aca="false">IF(B348="","",IFERROR(INDEX(Contract!$C$10:$C$23,MATCH(B348,Contract!$B$10:$B$23,0)),"Unknown code"))</f>
        <v/>
      </c>
      <c r="D348" s="46"/>
      <c r="E348" s="39"/>
      <c r="F348" s="39"/>
      <c r="G348" s="47" t="str">
        <f aca="false">IF(AND(B348="",D348=""),"",IF(B348="","Missing code",IF(C348="Unknown code","Unknown code",IF(D348="","Missing qty",IF(A348="","Missing date","")))))</f>
        <v/>
      </c>
    </row>
    <row r="349" customFormat="false" ht="15" hidden="false" customHeight="false" outlineLevel="0" collapsed="false">
      <c r="A349" s="44"/>
      <c r="B349" s="39"/>
      <c r="C349" s="45" t="str">
        <f aca="false">IF(B349="","",IFERROR(INDEX(Contract!$C$10:$C$23,MATCH(B349,Contract!$B$10:$B$23,0)),"Unknown code"))</f>
        <v/>
      </c>
      <c r="D349" s="46"/>
      <c r="E349" s="39"/>
      <c r="F349" s="39"/>
      <c r="G349" s="47" t="str">
        <f aca="false">IF(AND(B349="",D349=""),"",IF(B349="","Missing code",IF(C349="Unknown code","Unknown code",IF(D349="","Missing qty",IF(A349="","Missing date","")))))</f>
        <v/>
      </c>
    </row>
    <row r="350" customFormat="false" ht="15" hidden="false" customHeight="false" outlineLevel="0" collapsed="false">
      <c r="A350" s="44"/>
      <c r="B350" s="39"/>
      <c r="C350" s="45" t="str">
        <f aca="false">IF(B350="","",IFERROR(INDEX(Contract!$C$10:$C$23,MATCH(B350,Contract!$B$10:$B$23,0)),"Unknown code"))</f>
        <v/>
      </c>
      <c r="D350" s="46"/>
      <c r="E350" s="39"/>
      <c r="F350" s="39"/>
      <c r="G350" s="47" t="str">
        <f aca="false">IF(AND(B350="",D350=""),"",IF(B350="","Missing code",IF(C350="Unknown code","Unknown code",IF(D350="","Missing qty",IF(A350="","Missing date","")))))</f>
        <v/>
      </c>
    </row>
    <row r="351" customFormat="false" ht="15" hidden="false" customHeight="false" outlineLevel="0" collapsed="false">
      <c r="A351" s="44"/>
      <c r="B351" s="39"/>
      <c r="C351" s="45" t="str">
        <f aca="false">IF(B351="","",IFERROR(INDEX(Contract!$C$10:$C$23,MATCH(B351,Contract!$B$10:$B$23,0)),"Unknown code"))</f>
        <v/>
      </c>
      <c r="D351" s="46"/>
      <c r="E351" s="39"/>
      <c r="F351" s="39"/>
      <c r="G351" s="47" t="str">
        <f aca="false">IF(AND(B351="",D351=""),"",IF(B351="","Missing code",IF(C351="Unknown code","Unknown code",IF(D351="","Missing qty",IF(A351="","Missing date","")))))</f>
        <v/>
      </c>
    </row>
    <row r="352" customFormat="false" ht="15" hidden="false" customHeight="false" outlineLevel="0" collapsed="false">
      <c r="A352" s="44"/>
      <c r="B352" s="39"/>
      <c r="C352" s="45" t="str">
        <f aca="false">IF(B352="","",IFERROR(INDEX(Contract!$C$10:$C$23,MATCH(B352,Contract!$B$10:$B$23,0)),"Unknown code"))</f>
        <v/>
      </c>
      <c r="D352" s="46"/>
      <c r="E352" s="39"/>
      <c r="F352" s="39"/>
      <c r="G352" s="47" t="str">
        <f aca="false">IF(AND(B352="",D352=""),"",IF(B352="","Missing code",IF(C352="Unknown code","Unknown code",IF(D352="","Missing qty",IF(A352="","Missing date","")))))</f>
        <v/>
      </c>
    </row>
    <row r="353" customFormat="false" ht="15" hidden="false" customHeight="false" outlineLevel="0" collapsed="false">
      <c r="A353" s="44"/>
      <c r="B353" s="39"/>
      <c r="C353" s="45" t="str">
        <f aca="false">IF(B353="","",IFERROR(INDEX(Contract!$C$10:$C$23,MATCH(B353,Contract!$B$10:$B$23,0)),"Unknown code"))</f>
        <v/>
      </c>
      <c r="D353" s="46"/>
      <c r="E353" s="39"/>
      <c r="F353" s="39"/>
      <c r="G353" s="47" t="str">
        <f aca="false">IF(AND(B353="",D353=""),"",IF(B353="","Missing code",IF(C353="Unknown code","Unknown code",IF(D353="","Missing qty",IF(A353="","Missing date","")))))</f>
        <v/>
      </c>
    </row>
    <row r="354" customFormat="false" ht="15" hidden="false" customHeight="false" outlineLevel="0" collapsed="false">
      <c r="A354" s="44"/>
      <c r="B354" s="39"/>
      <c r="C354" s="45" t="str">
        <f aca="false">IF(B354="","",IFERROR(INDEX(Contract!$C$10:$C$23,MATCH(B354,Contract!$B$10:$B$23,0)),"Unknown code"))</f>
        <v/>
      </c>
      <c r="D354" s="46"/>
      <c r="E354" s="39"/>
      <c r="F354" s="39"/>
      <c r="G354" s="47" t="str">
        <f aca="false">IF(AND(B354="",D354=""),"",IF(B354="","Missing code",IF(C354="Unknown code","Unknown code",IF(D354="","Missing qty",IF(A354="","Missing date","")))))</f>
        <v/>
      </c>
    </row>
    <row r="355" customFormat="false" ht="15" hidden="false" customHeight="false" outlineLevel="0" collapsed="false">
      <c r="A355" s="44"/>
      <c r="B355" s="39"/>
      <c r="C355" s="45" t="str">
        <f aca="false">IF(B355="","",IFERROR(INDEX(Contract!$C$10:$C$23,MATCH(B355,Contract!$B$10:$B$23,0)),"Unknown code"))</f>
        <v/>
      </c>
      <c r="D355" s="46"/>
      <c r="E355" s="39"/>
      <c r="F355" s="39"/>
      <c r="G355" s="47" t="str">
        <f aca="false">IF(AND(B355="",D355=""),"",IF(B355="","Missing code",IF(C355="Unknown code","Unknown code",IF(D355="","Missing qty",IF(A355="","Missing date","")))))</f>
        <v/>
      </c>
    </row>
    <row r="356" customFormat="false" ht="15" hidden="false" customHeight="false" outlineLevel="0" collapsed="false">
      <c r="A356" s="44"/>
      <c r="B356" s="39"/>
      <c r="C356" s="45" t="str">
        <f aca="false">IF(B356="","",IFERROR(INDEX(Contract!$C$10:$C$23,MATCH(B356,Contract!$B$10:$B$23,0)),"Unknown code"))</f>
        <v/>
      </c>
      <c r="D356" s="46"/>
      <c r="E356" s="39"/>
      <c r="F356" s="39"/>
      <c r="G356" s="47" t="str">
        <f aca="false">IF(AND(B356="",D356=""),"",IF(B356="","Missing code",IF(C356="Unknown code","Unknown code",IF(D356="","Missing qty",IF(A356="","Missing date","")))))</f>
        <v/>
      </c>
    </row>
    <row r="357" customFormat="false" ht="15" hidden="false" customHeight="false" outlineLevel="0" collapsed="false">
      <c r="A357" s="44"/>
      <c r="B357" s="39"/>
      <c r="C357" s="45" t="str">
        <f aca="false">IF(B357="","",IFERROR(INDEX(Contract!$C$10:$C$23,MATCH(B357,Contract!$B$10:$B$23,0)),"Unknown code"))</f>
        <v/>
      </c>
      <c r="D357" s="46"/>
      <c r="E357" s="39"/>
      <c r="F357" s="39"/>
      <c r="G357" s="47" t="str">
        <f aca="false">IF(AND(B357="",D357=""),"",IF(B357="","Missing code",IF(C357="Unknown code","Unknown code",IF(D357="","Missing qty",IF(A357="","Missing date","")))))</f>
        <v/>
      </c>
    </row>
    <row r="358" customFormat="false" ht="15" hidden="false" customHeight="false" outlineLevel="0" collapsed="false">
      <c r="A358" s="44"/>
      <c r="B358" s="39"/>
      <c r="C358" s="45" t="str">
        <f aca="false">IF(B358="","",IFERROR(INDEX(Contract!$C$10:$C$23,MATCH(B358,Contract!$B$10:$B$23,0)),"Unknown code"))</f>
        <v/>
      </c>
      <c r="D358" s="46"/>
      <c r="E358" s="39"/>
      <c r="F358" s="39"/>
      <c r="G358" s="47" t="str">
        <f aca="false">IF(AND(B358="",D358=""),"",IF(B358="","Missing code",IF(C358="Unknown code","Unknown code",IF(D358="","Missing qty",IF(A358="","Missing date","")))))</f>
        <v/>
      </c>
    </row>
    <row r="359" customFormat="false" ht="15" hidden="false" customHeight="false" outlineLevel="0" collapsed="false">
      <c r="A359" s="44"/>
      <c r="B359" s="39"/>
      <c r="C359" s="45" t="str">
        <f aca="false">IF(B359="","",IFERROR(INDEX(Contract!$C$10:$C$23,MATCH(B359,Contract!$B$10:$B$23,0)),"Unknown code"))</f>
        <v/>
      </c>
      <c r="D359" s="46"/>
      <c r="E359" s="39"/>
      <c r="F359" s="39"/>
      <c r="G359" s="47" t="str">
        <f aca="false">IF(AND(B359="",D359=""),"",IF(B359="","Missing code",IF(C359="Unknown code","Unknown code",IF(D359="","Missing qty",IF(A359="","Missing date","")))))</f>
        <v/>
      </c>
    </row>
    <row r="360" customFormat="false" ht="15" hidden="false" customHeight="false" outlineLevel="0" collapsed="false">
      <c r="A360" s="44"/>
      <c r="B360" s="39"/>
      <c r="C360" s="45" t="str">
        <f aca="false">IF(B360="","",IFERROR(INDEX(Contract!$C$10:$C$23,MATCH(B360,Contract!$B$10:$B$23,0)),"Unknown code"))</f>
        <v/>
      </c>
      <c r="D360" s="46"/>
      <c r="E360" s="39"/>
      <c r="F360" s="39"/>
      <c r="G360" s="47" t="str">
        <f aca="false">IF(AND(B360="",D360=""),"",IF(B360="","Missing code",IF(C360="Unknown code","Unknown code",IF(D360="","Missing qty",IF(A360="","Missing date","")))))</f>
        <v/>
      </c>
    </row>
    <row r="361" customFormat="false" ht="15" hidden="false" customHeight="false" outlineLevel="0" collapsed="false">
      <c r="A361" s="44"/>
      <c r="B361" s="39"/>
      <c r="C361" s="45" t="str">
        <f aca="false">IF(B361="","",IFERROR(INDEX(Contract!$C$10:$C$23,MATCH(B361,Contract!$B$10:$B$23,0)),"Unknown code"))</f>
        <v/>
      </c>
      <c r="D361" s="46"/>
      <c r="E361" s="39"/>
      <c r="F361" s="39"/>
      <c r="G361" s="47" t="str">
        <f aca="false">IF(AND(B361="",D361=""),"",IF(B361="","Missing code",IF(C361="Unknown code","Unknown code",IF(D361="","Missing qty",IF(A361="","Missing date","")))))</f>
        <v/>
      </c>
    </row>
    <row r="362" customFormat="false" ht="15" hidden="false" customHeight="false" outlineLevel="0" collapsed="false">
      <c r="A362" s="44"/>
      <c r="B362" s="39"/>
      <c r="C362" s="45" t="str">
        <f aca="false">IF(B362="","",IFERROR(INDEX(Contract!$C$10:$C$23,MATCH(B362,Contract!$B$10:$B$23,0)),"Unknown code"))</f>
        <v/>
      </c>
      <c r="D362" s="46"/>
      <c r="E362" s="39"/>
      <c r="F362" s="39"/>
      <c r="G362" s="47" t="str">
        <f aca="false">IF(AND(B362="",D362=""),"",IF(B362="","Missing code",IF(C362="Unknown code","Unknown code",IF(D362="","Missing qty",IF(A362="","Missing date","")))))</f>
        <v/>
      </c>
    </row>
    <row r="363" customFormat="false" ht="15" hidden="false" customHeight="false" outlineLevel="0" collapsed="false">
      <c r="A363" s="44"/>
      <c r="B363" s="39"/>
      <c r="C363" s="45" t="str">
        <f aca="false">IF(B363="","",IFERROR(INDEX(Contract!$C$10:$C$23,MATCH(B363,Contract!$B$10:$B$23,0)),"Unknown code"))</f>
        <v/>
      </c>
      <c r="D363" s="46"/>
      <c r="E363" s="39"/>
      <c r="F363" s="39"/>
      <c r="G363" s="47" t="str">
        <f aca="false">IF(AND(B363="",D363=""),"",IF(B363="","Missing code",IF(C363="Unknown code","Unknown code",IF(D363="","Missing qty",IF(A363="","Missing date","")))))</f>
        <v/>
      </c>
    </row>
    <row r="364" customFormat="false" ht="15" hidden="false" customHeight="false" outlineLevel="0" collapsed="false">
      <c r="A364" s="44"/>
      <c r="B364" s="39"/>
      <c r="C364" s="45" t="str">
        <f aca="false">IF(B364="","",IFERROR(INDEX(Contract!$C$10:$C$23,MATCH(B364,Contract!$B$10:$B$23,0)),"Unknown code"))</f>
        <v/>
      </c>
      <c r="D364" s="46"/>
      <c r="E364" s="39"/>
      <c r="F364" s="39"/>
      <c r="G364" s="47" t="str">
        <f aca="false">IF(AND(B364="",D364=""),"",IF(B364="","Missing code",IF(C364="Unknown code","Unknown code",IF(D364="","Missing qty",IF(A364="","Missing date","")))))</f>
        <v/>
      </c>
    </row>
    <row r="365" customFormat="false" ht="15" hidden="false" customHeight="false" outlineLevel="0" collapsed="false">
      <c r="A365" s="44"/>
      <c r="B365" s="39"/>
      <c r="C365" s="45" t="str">
        <f aca="false">IF(B365="","",IFERROR(INDEX(Contract!$C$10:$C$23,MATCH(B365,Contract!$B$10:$B$23,0)),"Unknown code"))</f>
        <v/>
      </c>
      <c r="D365" s="46"/>
      <c r="E365" s="39"/>
      <c r="F365" s="39"/>
      <c r="G365" s="47" t="str">
        <f aca="false">IF(AND(B365="",D365=""),"",IF(B365="","Missing code",IF(C365="Unknown code","Unknown code",IF(D365="","Missing qty",IF(A365="","Missing date","")))))</f>
        <v/>
      </c>
    </row>
    <row r="366" customFormat="false" ht="15" hidden="false" customHeight="false" outlineLevel="0" collapsed="false">
      <c r="A366" s="44"/>
      <c r="B366" s="39"/>
      <c r="C366" s="45" t="str">
        <f aca="false">IF(B366="","",IFERROR(INDEX(Contract!$C$10:$C$23,MATCH(B366,Contract!$B$10:$B$23,0)),"Unknown code"))</f>
        <v/>
      </c>
      <c r="D366" s="46"/>
      <c r="E366" s="39"/>
      <c r="F366" s="39"/>
      <c r="G366" s="47" t="str">
        <f aca="false">IF(AND(B366="",D366=""),"",IF(B366="","Missing code",IF(C366="Unknown code","Unknown code",IF(D366="","Missing qty",IF(A366="","Missing date","")))))</f>
        <v/>
      </c>
    </row>
    <row r="367" customFormat="false" ht="15" hidden="false" customHeight="false" outlineLevel="0" collapsed="false">
      <c r="A367" s="44"/>
      <c r="B367" s="39"/>
      <c r="C367" s="45" t="str">
        <f aca="false">IF(B367="","",IFERROR(INDEX(Contract!$C$10:$C$23,MATCH(B367,Contract!$B$10:$B$23,0)),"Unknown code"))</f>
        <v/>
      </c>
      <c r="D367" s="46"/>
      <c r="E367" s="39"/>
      <c r="F367" s="39"/>
      <c r="G367" s="47" t="str">
        <f aca="false">IF(AND(B367="",D367=""),"",IF(B367="","Missing code",IF(C367="Unknown code","Unknown code",IF(D367="","Missing qty",IF(A367="","Missing date","")))))</f>
        <v/>
      </c>
    </row>
    <row r="368" customFormat="false" ht="15" hidden="false" customHeight="false" outlineLevel="0" collapsed="false">
      <c r="A368" s="44"/>
      <c r="B368" s="39"/>
      <c r="C368" s="45" t="str">
        <f aca="false">IF(B368="","",IFERROR(INDEX(Contract!$C$10:$C$23,MATCH(B368,Contract!$B$10:$B$23,0)),"Unknown code"))</f>
        <v/>
      </c>
      <c r="D368" s="46"/>
      <c r="E368" s="39"/>
      <c r="F368" s="39"/>
      <c r="G368" s="47" t="str">
        <f aca="false">IF(AND(B368="",D368=""),"",IF(B368="","Missing code",IF(C368="Unknown code","Unknown code",IF(D368="","Missing qty",IF(A368="","Missing date","")))))</f>
        <v/>
      </c>
    </row>
    <row r="369" customFormat="false" ht="15" hidden="false" customHeight="false" outlineLevel="0" collapsed="false">
      <c r="A369" s="44"/>
      <c r="B369" s="39"/>
      <c r="C369" s="45" t="str">
        <f aca="false">IF(B369="","",IFERROR(INDEX(Contract!$C$10:$C$23,MATCH(B369,Contract!$B$10:$B$23,0)),"Unknown code"))</f>
        <v/>
      </c>
      <c r="D369" s="46"/>
      <c r="E369" s="39"/>
      <c r="F369" s="39"/>
      <c r="G369" s="47" t="str">
        <f aca="false">IF(AND(B369="",D369=""),"",IF(B369="","Missing code",IF(C369="Unknown code","Unknown code",IF(D369="","Missing qty",IF(A369="","Missing date","")))))</f>
        <v/>
      </c>
    </row>
    <row r="370" customFormat="false" ht="15" hidden="false" customHeight="false" outlineLevel="0" collapsed="false">
      <c r="A370" s="44"/>
      <c r="B370" s="39"/>
      <c r="C370" s="45" t="str">
        <f aca="false">IF(B370="","",IFERROR(INDEX(Contract!$C$10:$C$23,MATCH(B370,Contract!$B$10:$B$23,0)),"Unknown code"))</f>
        <v/>
      </c>
      <c r="D370" s="46"/>
      <c r="E370" s="39"/>
      <c r="F370" s="39"/>
      <c r="G370" s="47" t="str">
        <f aca="false">IF(AND(B370="",D370=""),"",IF(B370="","Missing code",IF(C370="Unknown code","Unknown code",IF(D370="","Missing qty",IF(A370="","Missing date","")))))</f>
        <v/>
      </c>
    </row>
    <row r="371" customFormat="false" ht="15" hidden="false" customHeight="false" outlineLevel="0" collapsed="false">
      <c r="A371" s="44"/>
      <c r="B371" s="39"/>
      <c r="C371" s="45" t="str">
        <f aca="false">IF(B371="","",IFERROR(INDEX(Contract!$C$10:$C$23,MATCH(B371,Contract!$B$10:$B$23,0)),"Unknown code"))</f>
        <v/>
      </c>
      <c r="D371" s="46"/>
      <c r="E371" s="39"/>
      <c r="F371" s="39"/>
      <c r="G371" s="47" t="str">
        <f aca="false">IF(AND(B371="",D371=""),"",IF(B371="","Missing code",IF(C371="Unknown code","Unknown code",IF(D371="","Missing qty",IF(A371="","Missing date","")))))</f>
        <v/>
      </c>
    </row>
    <row r="372" customFormat="false" ht="15" hidden="false" customHeight="false" outlineLevel="0" collapsed="false">
      <c r="A372" s="44"/>
      <c r="B372" s="39"/>
      <c r="C372" s="45" t="str">
        <f aca="false">IF(B372="","",IFERROR(INDEX(Contract!$C$10:$C$23,MATCH(B372,Contract!$B$10:$B$23,0)),"Unknown code"))</f>
        <v/>
      </c>
      <c r="D372" s="46"/>
      <c r="E372" s="39"/>
      <c r="F372" s="39"/>
      <c r="G372" s="47" t="str">
        <f aca="false">IF(AND(B372="",D372=""),"",IF(B372="","Missing code",IF(C372="Unknown code","Unknown code",IF(D372="","Missing qty",IF(A372="","Missing date","")))))</f>
        <v/>
      </c>
    </row>
    <row r="373" customFormat="false" ht="15" hidden="false" customHeight="false" outlineLevel="0" collapsed="false">
      <c r="A373" s="44"/>
      <c r="B373" s="39"/>
      <c r="C373" s="45" t="str">
        <f aca="false">IF(B373="","",IFERROR(INDEX(Contract!$C$10:$C$23,MATCH(B373,Contract!$B$10:$B$23,0)),"Unknown code"))</f>
        <v/>
      </c>
      <c r="D373" s="46"/>
      <c r="E373" s="39"/>
      <c r="F373" s="39"/>
      <c r="G373" s="47" t="str">
        <f aca="false">IF(AND(B373="",D373=""),"",IF(B373="","Missing code",IF(C373="Unknown code","Unknown code",IF(D373="","Missing qty",IF(A373="","Missing date","")))))</f>
        <v/>
      </c>
    </row>
    <row r="374" customFormat="false" ht="15" hidden="false" customHeight="false" outlineLevel="0" collapsed="false">
      <c r="A374" s="44"/>
      <c r="B374" s="39"/>
      <c r="C374" s="45" t="str">
        <f aca="false">IF(B374="","",IFERROR(INDEX(Contract!$C$10:$C$23,MATCH(B374,Contract!$B$10:$B$23,0)),"Unknown code"))</f>
        <v/>
      </c>
      <c r="D374" s="46"/>
      <c r="E374" s="39"/>
      <c r="F374" s="39"/>
      <c r="G374" s="47" t="str">
        <f aca="false">IF(AND(B374="",D374=""),"",IF(B374="","Missing code",IF(C374="Unknown code","Unknown code",IF(D374="","Missing qty",IF(A374="","Missing date","")))))</f>
        <v/>
      </c>
    </row>
    <row r="375" customFormat="false" ht="15" hidden="false" customHeight="false" outlineLevel="0" collapsed="false">
      <c r="A375" s="44"/>
      <c r="B375" s="39"/>
      <c r="C375" s="45" t="str">
        <f aca="false">IF(B375="","",IFERROR(INDEX(Contract!$C$10:$C$23,MATCH(B375,Contract!$B$10:$B$23,0)),"Unknown code"))</f>
        <v/>
      </c>
      <c r="D375" s="46"/>
      <c r="E375" s="39"/>
      <c r="F375" s="39"/>
      <c r="G375" s="47" t="str">
        <f aca="false">IF(AND(B375="",D375=""),"",IF(B375="","Missing code",IF(C375="Unknown code","Unknown code",IF(D375="","Missing qty",IF(A375="","Missing date","")))))</f>
        <v/>
      </c>
    </row>
    <row r="376" customFormat="false" ht="15" hidden="false" customHeight="false" outlineLevel="0" collapsed="false">
      <c r="A376" s="44"/>
      <c r="B376" s="39"/>
      <c r="C376" s="45" t="str">
        <f aca="false">IF(B376="","",IFERROR(INDEX(Contract!$C$10:$C$23,MATCH(B376,Contract!$B$10:$B$23,0)),"Unknown code"))</f>
        <v/>
      </c>
      <c r="D376" s="46"/>
      <c r="E376" s="39"/>
      <c r="F376" s="39"/>
      <c r="G376" s="47" t="str">
        <f aca="false">IF(AND(B376="",D376=""),"",IF(B376="","Missing code",IF(C376="Unknown code","Unknown code",IF(D376="","Missing qty",IF(A376="","Missing date","")))))</f>
        <v/>
      </c>
    </row>
    <row r="377" customFormat="false" ht="15" hidden="false" customHeight="false" outlineLevel="0" collapsed="false">
      <c r="A377" s="44"/>
      <c r="B377" s="39"/>
      <c r="C377" s="45" t="str">
        <f aca="false">IF(B377="","",IFERROR(INDEX(Contract!$C$10:$C$23,MATCH(B377,Contract!$B$10:$B$23,0)),"Unknown code"))</f>
        <v/>
      </c>
      <c r="D377" s="46"/>
      <c r="E377" s="39"/>
      <c r="F377" s="39"/>
      <c r="G377" s="47" t="str">
        <f aca="false">IF(AND(B377="",D377=""),"",IF(B377="","Missing code",IF(C377="Unknown code","Unknown code",IF(D377="","Missing qty",IF(A377="","Missing date","")))))</f>
        <v/>
      </c>
    </row>
    <row r="378" customFormat="false" ht="15" hidden="false" customHeight="false" outlineLevel="0" collapsed="false">
      <c r="A378" s="44"/>
      <c r="B378" s="39"/>
      <c r="C378" s="45" t="str">
        <f aca="false">IF(B378="","",IFERROR(INDEX(Contract!$C$10:$C$23,MATCH(B378,Contract!$B$10:$B$23,0)),"Unknown code"))</f>
        <v/>
      </c>
      <c r="D378" s="46"/>
      <c r="E378" s="39"/>
      <c r="F378" s="39"/>
      <c r="G378" s="47" t="str">
        <f aca="false">IF(AND(B378="",D378=""),"",IF(B378="","Missing code",IF(C378="Unknown code","Unknown code",IF(D378="","Missing qty",IF(A378="","Missing date","")))))</f>
        <v/>
      </c>
    </row>
    <row r="379" customFormat="false" ht="15" hidden="false" customHeight="false" outlineLevel="0" collapsed="false">
      <c r="A379" s="44"/>
      <c r="B379" s="39"/>
      <c r="C379" s="45" t="str">
        <f aca="false">IF(B379="","",IFERROR(INDEX(Contract!$C$10:$C$23,MATCH(B379,Contract!$B$10:$B$23,0)),"Unknown code"))</f>
        <v/>
      </c>
      <c r="D379" s="46"/>
      <c r="E379" s="39"/>
      <c r="F379" s="39"/>
      <c r="G379" s="47" t="str">
        <f aca="false">IF(AND(B379="",D379=""),"",IF(B379="","Missing code",IF(C379="Unknown code","Unknown code",IF(D379="","Missing qty",IF(A379="","Missing date","")))))</f>
        <v/>
      </c>
    </row>
    <row r="380" customFormat="false" ht="15" hidden="false" customHeight="false" outlineLevel="0" collapsed="false">
      <c r="A380" s="44"/>
      <c r="B380" s="39"/>
      <c r="C380" s="45" t="str">
        <f aca="false">IF(B380="","",IFERROR(INDEX(Contract!$C$10:$C$23,MATCH(B380,Contract!$B$10:$B$23,0)),"Unknown code"))</f>
        <v/>
      </c>
      <c r="D380" s="46"/>
      <c r="E380" s="39"/>
      <c r="F380" s="39"/>
      <c r="G380" s="47" t="str">
        <f aca="false">IF(AND(B380="",D380=""),"",IF(B380="","Missing code",IF(C380="Unknown code","Unknown code",IF(D380="","Missing qty",IF(A380="","Missing date","")))))</f>
        <v/>
      </c>
    </row>
    <row r="381" customFormat="false" ht="15" hidden="false" customHeight="false" outlineLevel="0" collapsed="false">
      <c r="A381" s="44"/>
      <c r="B381" s="39"/>
      <c r="C381" s="45" t="str">
        <f aca="false">IF(B381="","",IFERROR(INDEX(Contract!$C$10:$C$23,MATCH(B381,Contract!$B$10:$B$23,0)),"Unknown code"))</f>
        <v/>
      </c>
      <c r="D381" s="46"/>
      <c r="E381" s="39"/>
      <c r="F381" s="39"/>
      <c r="G381" s="47" t="str">
        <f aca="false">IF(AND(B381="",D381=""),"",IF(B381="","Missing code",IF(C381="Unknown code","Unknown code",IF(D381="","Missing qty",IF(A381="","Missing date","")))))</f>
        <v/>
      </c>
    </row>
    <row r="382" customFormat="false" ht="15" hidden="false" customHeight="false" outlineLevel="0" collapsed="false">
      <c r="A382" s="44"/>
      <c r="B382" s="39"/>
      <c r="C382" s="45" t="str">
        <f aca="false">IF(B382="","",IFERROR(INDEX(Contract!$C$10:$C$23,MATCH(B382,Contract!$B$10:$B$23,0)),"Unknown code"))</f>
        <v/>
      </c>
      <c r="D382" s="46"/>
      <c r="E382" s="39"/>
      <c r="F382" s="39"/>
      <c r="G382" s="47" t="str">
        <f aca="false">IF(AND(B382="",D382=""),"",IF(B382="","Missing code",IF(C382="Unknown code","Unknown code",IF(D382="","Missing qty",IF(A382="","Missing date","")))))</f>
        <v/>
      </c>
    </row>
    <row r="383" customFormat="false" ht="15" hidden="false" customHeight="false" outlineLevel="0" collapsed="false">
      <c r="A383" s="44"/>
      <c r="B383" s="39"/>
      <c r="C383" s="45" t="str">
        <f aca="false">IF(B383="","",IFERROR(INDEX(Contract!$C$10:$C$23,MATCH(B383,Contract!$B$10:$B$23,0)),"Unknown code"))</f>
        <v/>
      </c>
      <c r="D383" s="46"/>
      <c r="E383" s="39"/>
      <c r="F383" s="39"/>
      <c r="G383" s="47" t="str">
        <f aca="false">IF(AND(B383="",D383=""),"",IF(B383="","Missing code",IF(C383="Unknown code","Unknown code",IF(D383="","Missing qty",IF(A383="","Missing date","")))))</f>
        <v/>
      </c>
    </row>
    <row r="384" customFormat="false" ht="15" hidden="false" customHeight="false" outlineLevel="0" collapsed="false">
      <c r="A384" s="44"/>
      <c r="B384" s="39"/>
      <c r="C384" s="45" t="str">
        <f aca="false">IF(B384="","",IFERROR(INDEX(Contract!$C$10:$C$23,MATCH(B384,Contract!$B$10:$B$23,0)),"Unknown code"))</f>
        <v/>
      </c>
      <c r="D384" s="46"/>
      <c r="E384" s="39"/>
      <c r="F384" s="39"/>
      <c r="G384" s="47" t="str">
        <f aca="false">IF(AND(B384="",D384=""),"",IF(B384="","Missing code",IF(C384="Unknown code","Unknown code",IF(D384="","Missing qty",IF(A384="","Missing date","")))))</f>
        <v/>
      </c>
    </row>
    <row r="385" customFormat="false" ht="15" hidden="false" customHeight="false" outlineLevel="0" collapsed="false">
      <c r="A385" s="44"/>
      <c r="B385" s="39"/>
      <c r="C385" s="45" t="str">
        <f aca="false">IF(B385="","",IFERROR(INDEX(Contract!$C$10:$C$23,MATCH(B385,Contract!$B$10:$B$23,0)),"Unknown code"))</f>
        <v/>
      </c>
      <c r="D385" s="46"/>
      <c r="E385" s="39"/>
      <c r="F385" s="39"/>
      <c r="G385" s="47" t="str">
        <f aca="false">IF(AND(B385="",D385=""),"",IF(B385="","Missing code",IF(C385="Unknown code","Unknown code",IF(D385="","Missing qty",IF(A385="","Missing date","")))))</f>
        <v/>
      </c>
    </row>
    <row r="386" customFormat="false" ht="15" hidden="false" customHeight="false" outlineLevel="0" collapsed="false">
      <c r="A386" s="44"/>
      <c r="B386" s="39"/>
      <c r="C386" s="45" t="str">
        <f aca="false">IF(B386="","",IFERROR(INDEX(Contract!$C$10:$C$23,MATCH(B386,Contract!$B$10:$B$23,0)),"Unknown code"))</f>
        <v/>
      </c>
      <c r="D386" s="46"/>
      <c r="E386" s="39"/>
      <c r="F386" s="39"/>
      <c r="G386" s="47" t="str">
        <f aca="false">IF(AND(B386="",D386=""),"",IF(B386="","Missing code",IF(C386="Unknown code","Unknown code",IF(D386="","Missing qty",IF(A386="","Missing date","")))))</f>
        <v/>
      </c>
    </row>
    <row r="387" customFormat="false" ht="15" hidden="false" customHeight="false" outlineLevel="0" collapsed="false">
      <c r="A387" s="44"/>
      <c r="B387" s="39"/>
      <c r="C387" s="45" t="str">
        <f aca="false">IF(B387="","",IFERROR(INDEX(Contract!$C$10:$C$23,MATCH(B387,Contract!$B$10:$B$23,0)),"Unknown code"))</f>
        <v/>
      </c>
      <c r="D387" s="46"/>
      <c r="E387" s="39"/>
      <c r="F387" s="39"/>
      <c r="G387" s="47" t="str">
        <f aca="false">IF(AND(B387="",D387=""),"",IF(B387="","Missing code",IF(C387="Unknown code","Unknown code",IF(D387="","Missing qty",IF(A387="","Missing date","")))))</f>
        <v/>
      </c>
    </row>
    <row r="388" customFormat="false" ht="15" hidden="false" customHeight="false" outlineLevel="0" collapsed="false">
      <c r="A388" s="44"/>
      <c r="B388" s="39"/>
      <c r="C388" s="45" t="str">
        <f aca="false">IF(B388="","",IFERROR(INDEX(Contract!$C$10:$C$23,MATCH(B388,Contract!$B$10:$B$23,0)),"Unknown code"))</f>
        <v/>
      </c>
      <c r="D388" s="46"/>
      <c r="E388" s="39"/>
      <c r="F388" s="39"/>
      <c r="G388" s="47" t="str">
        <f aca="false">IF(AND(B388="",D388=""),"",IF(B388="","Missing code",IF(C388="Unknown code","Unknown code",IF(D388="","Missing qty",IF(A388="","Missing date","")))))</f>
        <v/>
      </c>
    </row>
    <row r="389" customFormat="false" ht="15" hidden="false" customHeight="false" outlineLevel="0" collapsed="false">
      <c r="A389" s="44"/>
      <c r="B389" s="39"/>
      <c r="C389" s="45" t="str">
        <f aca="false">IF(B389="","",IFERROR(INDEX(Contract!$C$10:$C$23,MATCH(B389,Contract!$B$10:$B$23,0)),"Unknown code"))</f>
        <v/>
      </c>
      <c r="D389" s="46"/>
      <c r="E389" s="39"/>
      <c r="F389" s="39"/>
      <c r="G389" s="47" t="str">
        <f aca="false">IF(AND(B389="",D389=""),"",IF(B389="","Missing code",IF(C389="Unknown code","Unknown code",IF(D389="","Missing qty",IF(A389="","Missing date","")))))</f>
        <v/>
      </c>
    </row>
    <row r="390" customFormat="false" ht="15" hidden="false" customHeight="false" outlineLevel="0" collapsed="false">
      <c r="A390" s="44"/>
      <c r="B390" s="39"/>
      <c r="C390" s="45" t="str">
        <f aca="false">IF(B390="","",IFERROR(INDEX(Contract!$C$10:$C$23,MATCH(B390,Contract!$B$10:$B$23,0)),"Unknown code"))</f>
        <v/>
      </c>
      <c r="D390" s="46"/>
      <c r="E390" s="39"/>
      <c r="F390" s="39"/>
      <c r="G390" s="47" t="str">
        <f aca="false">IF(AND(B390="",D390=""),"",IF(B390="","Missing code",IF(C390="Unknown code","Unknown code",IF(D390="","Missing qty",IF(A390="","Missing date","")))))</f>
        <v/>
      </c>
    </row>
    <row r="391" customFormat="false" ht="15" hidden="false" customHeight="false" outlineLevel="0" collapsed="false">
      <c r="A391" s="44"/>
      <c r="B391" s="39"/>
      <c r="C391" s="45" t="str">
        <f aca="false">IF(B391="","",IFERROR(INDEX(Contract!$C$10:$C$23,MATCH(B391,Contract!$B$10:$B$23,0)),"Unknown code"))</f>
        <v/>
      </c>
      <c r="D391" s="46"/>
      <c r="E391" s="39"/>
      <c r="F391" s="39"/>
      <c r="G391" s="47" t="str">
        <f aca="false">IF(AND(B391="",D391=""),"",IF(B391="","Missing code",IF(C391="Unknown code","Unknown code",IF(D391="","Missing qty",IF(A391="","Missing date","")))))</f>
        <v/>
      </c>
    </row>
    <row r="392" customFormat="false" ht="15" hidden="false" customHeight="false" outlineLevel="0" collapsed="false">
      <c r="A392" s="44"/>
      <c r="B392" s="39"/>
      <c r="C392" s="45" t="str">
        <f aca="false">IF(B392="","",IFERROR(INDEX(Contract!$C$10:$C$23,MATCH(B392,Contract!$B$10:$B$23,0)),"Unknown code"))</f>
        <v/>
      </c>
      <c r="D392" s="46"/>
      <c r="E392" s="39"/>
      <c r="F392" s="39"/>
      <c r="G392" s="47" t="str">
        <f aca="false">IF(AND(B392="",D392=""),"",IF(B392="","Missing code",IF(C392="Unknown code","Unknown code",IF(D392="","Missing qty",IF(A392="","Missing date","")))))</f>
        <v/>
      </c>
    </row>
    <row r="393" customFormat="false" ht="15" hidden="false" customHeight="false" outlineLevel="0" collapsed="false">
      <c r="A393" s="44"/>
      <c r="B393" s="39"/>
      <c r="C393" s="45" t="str">
        <f aca="false">IF(B393="","",IFERROR(INDEX(Contract!$C$10:$C$23,MATCH(B393,Contract!$B$10:$B$23,0)),"Unknown code"))</f>
        <v/>
      </c>
      <c r="D393" s="46"/>
      <c r="E393" s="39"/>
      <c r="F393" s="39"/>
      <c r="G393" s="47" t="str">
        <f aca="false">IF(AND(B393="",D393=""),"",IF(B393="","Missing code",IF(C393="Unknown code","Unknown code",IF(D393="","Missing qty",IF(A393="","Missing date","")))))</f>
        <v/>
      </c>
    </row>
    <row r="394" customFormat="false" ht="15" hidden="false" customHeight="false" outlineLevel="0" collapsed="false">
      <c r="A394" s="44"/>
      <c r="B394" s="39"/>
      <c r="C394" s="45" t="str">
        <f aca="false">IF(B394="","",IFERROR(INDEX(Contract!$C$10:$C$23,MATCH(B394,Contract!$B$10:$B$23,0)),"Unknown code"))</f>
        <v/>
      </c>
      <c r="D394" s="46"/>
      <c r="E394" s="39"/>
      <c r="F394" s="39"/>
      <c r="G394" s="47" t="str">
        <f aca="false">IF(AND(B394="",D394=""),"",IF(B394="","Missing code",IF(C394="Unknown code","Unknown code",IF(D394="","Missing qty",IF(A394="","Missing date","")))))</f>
        <v/>
      </c>
    </row>
    <row r="395" customFormat="false" ht="15" hidden="false" customHeight="false" outlineLevel="0" collapsed="false">
      <c r="A395" s="44"/>
      <c r="B395" s="39"/>
      <c r="C395" s="45" t="str">
        <f aca="false">IF(B395="","",IFERROR(INDEX(Contract!$C$10:$C$23,MATCH(B395,Contract!$B$10:$B$23,0)),"Unknown code"))</f>
        <v/>
      </c>
      <c r="D395" s="46"/>
      <c r="E395" s="39"/>
      <c r="F395" s="39"/>
      <c r="G395" s="47" t="str">
        <f aca="false">IF(AND(B395="",D395=""),"",IF(B395="","Missing code",IF(C395="Unknown code","Unknown code",IF(D395="","Missing qty",IF(A395="","Missing date","")))))</f>
        <v/>
      </c>
    </row>
    <row r="396" customFormat="false" ht="15" hidden="false" customHeight="false" outlineLevel="0" collapsed="false">
      <c r="A396" s="44"/>
      <c r="B396" s="39"/>
      <c r="C396" s="45" t="str">
        <f aca="false">IF(B396="","",IFERROR(INDEX(Contract!$C$10:$C$23,MATCH(B396,Contract!$B$10:$B$23,0)),"Unknown code"))</f>
        <v/>
      </c>
      <c r="D396" s="46"/>
      <c r="E396" s="39"/>
      <c r="F396" s="39"/>
      <c r="G396" s="47" t="str">
        <f aca="false">IF(AND(B396="",D396=""),"",IF(B396="","Missing code",IF(C396="Unknown code","Unknown code",IF(D396="","Missing qty",IF(A396="","Missing date","")))))</f>
        <v/>
      </c>
    </row>
    <row r="397" customFormat="false" ht="15" hidden="false" customHeight="false" outlineLevel="0" collapsed="false">
      <c r="A397" s="44"/>
      <c r="B397" s="39"/>
      <c r="C397" s="45" t="str">
        <f aca="false">IF(B397="","",IFERROR(INDEX(Contract!$C$10:$C$23,MATCH(B397,Contract!$B$10:$B$23,0)),"Unknown code"))</f>
        <v/>
      </c>
      <c r="D397" s="46"/>
      <c r="E397" s="39"/>
      <c r="F397" s="39"/>
      <c r="G397" s="47" t="str">
        <f aca="false">IF(AND(B397="",D397=""),"",IF(B397="","Missing code",IF(C397="Unknown code","Unknown code",IF(D397="","Missing qty",IF(A397="","Missing date","")))))</f>
        <v/>
      </c>
    </row>
    <row r="398" customFormat="false" ht="15" hidden="false" customHeight="false" outlineLevel="0" collapsed="false">
      <c r="A398" s="44"/>
      <c r="B398" s="39"/>
      <c r="C398" s="45" t="str">
        <f aca="false">IF(B398="","",IFERROR(INDEX(Contract!$C$10:$C$23,MATCH(B398,Contract!$B$10:$B$23,0)),"Unknown code"))</f>
        <v/>
      </c>
      <c r="D398" s="46"/>
      <c r="E398" s="39"/>
      <c r="F398" s="39"/>
      <c r="G398" s="47" t="str">
        <f aca="false">IF(AND(B398="",D398=""),"",IF(B398="","Missing code",IF(C398="Unknown code","Unknown code",IF(D398="","Missing qty",IF(A398="","Missing date","")))))</f>
        <v/>
      </c>
    </row>
    <row r="399" customFormat="false" ht="15" hidden="false" customHeight="false" outlineLevel="0" collapsed="false">
      <c r="A399" s="44"/>
      <c r="B399" s="39"/>
      <c r="C399" s="45" t="str">
        <f aca="false">IF(B399="","",IFERROR(INDEX(Contract!$C$10:$C$23,MATCH(B399,Contract!$B$10:$B$23,0)),"Unknown code"))</f>
        <v/>
      </c>
      <c r="D399" s="46"/>
      <c r="E399" s="39"/>
      <c r="F399" s="39"/>
      <c r="G399" s="47" t="str">
        <f aca="false">IF(AND(B399="",D399=""),"",IF(B399="","Missing code",IF(C399="Unknown code","Unknown code",IF(D399="","Missing qty",IF(A399="","Missing date","")))))</f>
        <v/>
      </c>
    </row>
    <row r="400" customFormat="false" ht="15" hidden="false" customHeight="false" outlineLevel="0" collapsed="false">
      <c r="A400" s="44"/>
      <c r="B400" s="39"/>
      <c r="C400" s="45" t="str">
        <f aca="false">IF(B400="","",IFERROR(INDEX(Contract!$C$10:$C$23,MATCH(B400,Contract!$B$10:$B$23,0)),"Unknown code"))</f>
        <v/>
      </c>
      <c r="D400" s="46"/>
      <c r="E400" s="39"/>
      <c r="F400" s="39"/>
      <c r="G400" s="47" t="str">
        <f aca="false">IF(AND(B400="",D400=""),"",IF(B400="","Missing code",IF(C400="Unknown code","Unknown code",IF(D400="","Missing qty",IF(A400="","Missing date","")))))</f>
        <v/>
      </c>
    </row>
    <row r="401" customFormat="false" ht="15" hidden="false" customHeight="false" outlineLevel="0" collapsed="false">
      <c r="A401" s="44"/>
      <c r="B401" s="39"/>
      <c r="C401" s="45" t="str">
        <f aca="false">IF(B401="","",IFERROR(INDEX(Contract!$C$10:$C$23,MATCH(B401,Contract!$B$10:$B$23,0)),"Unknown code"))</f>
        <v/>
      </c>
      <c r="D401" s="46"/>
      <c r="E401" s="39"/>
      <c r="F401" s="39"/>
      <c r="G401" s="47" t="str">
        <f aca="false">IF(AND(B401="",D401=""),"",IF(B401="","Missing code",IF(C401="Unknown code","Unknown code",IF(D401="","Missing qty",IF(A401="","Missing date","")))))</f>
        <v/>
      </c>
    </row>
    <row r="402" customFormat="false" ht="15" hidden="false" customHeight="false" outlineLevel="0" collapsed="false">
      <c r="A402" s="44"/>
      <c r="B402" s="39"/>
      <c r="C402" s="45" t="str">
        <f aca="false">IF(B402="","",IFERROR(INDEX(Contract!$C$10:$C$23,MATCH(B402,Contract!$B$10:$B$23,0)),"Unknown code"))</f>
        <v/>
      </c>
      <c r="D402" s="46"/>
      <c r="E402" s="39"/>
      <c r="F402" s="39"/>
      <c r="G402" s="47" t="str">
        <f aca="false">IF(AND(B402="",D402=""),"",IF(B402="","Missing code",IF(C402="Unknown code","Unknown code",IF(D402="","Missing qty",IF(A402="","Missing date","")))))</f>
        <v/>
      </c>
    </row>
    <row r="403" customFormat="false" ht="15" hidden="false" customHeight="false" outlineLevel="0" collapsed="false">
      <c r="A403" s="44"/>
      <c r="B403" s="39"/>
      <c r="C403" s="45" t="str">
        <f aca="false">IF(B403="","",IFERROR(INDEX(Contract!$C$10:$C$23,MATCH(B403,Contract!$B$10:$B$23,0)),"Unknown code"))</f>
        <v/>
      </c>
      <c r="D403" s="46"/>
      <c r="E403" s="39"/>
      <c r="F403" s="39"/>
      <c r="G403" s="47" t="str">
        <f aca="false">IF(AND(B403="",D403=""),"",IF(B403="","Missing code",IF(C403="Unknown code","Unknown code",IF(D403="","Missing qty",IF(A403="","Missing date","")))))</f>
        <v/>
      </c>
    </row>
    <row r="404" customFormat="false" ht="15" hidden="false" customHeight="false" outlineLevel="0" collapsed="false">
      <c r="A404" s="44"/>
      <c r="B404" s="39"/>
      <c r="C404" s="45" t="str">
        <f aca="false">IF(B404="","",IFERROR(INDEX(Contract!$C$10:$C$23,MATCH(B404,Contract!$B$10:$B$23,0)),"Unknown code"))</f>
        <v/>
      </c>
      <c r="D404" s="46"/>
      <c r="E404" s="39"/>
      <c r="F404" s="39"/>
      <c r="G404" s="47" t="str">
        <f aca="false">IF(AND(B404="",D404=""),"",IF(B404="","Missing code",IF(C404="Unknown code","Unknown code",IF(D404="","Missing qty",IF(A404="","Missing date","")))))</f>
        <v/>
      </c>
    </row>
    <row r="405" customFormat="false" ht="15" hidden="false" customHeight="false" outlineLevel="0" collapsed="false">
      <c r="A405" s="44"/>
      <c r="B405" s="39"/>
      <c r="C405" s="45" t="str">
        <f aca="false">IF(B405="","",IFERROR(INDEX(Contract!$C$10:$C$23,MATCH(B405,Contract!$B$10:$B$23,0)),"Unknown code"))</f>
        <v/>
      </c>
      <c r="D405" s="46"/>
      <c r="E405" s="39"/>
      <c r="F405" s="39"/>
      <c r="G405" s="47" t="str">
        <f aca="false">IF(AND(B405="",D405=""),"",IF(B405="","Missing code",IF(C405="Unknown code","Unknown code",IF(D405="","Missing qty",IF(A405="","Missing date","")))))</f>
        <v/>
      </c>
    </row>
    <row r="406" customFormat="false" ht="15" hidden="false" customHeight="false" outlineLevel="0" collapsed="false">
      <c r="A406" s="44"/>
      <c r="B406" s="39"/>
      <c r="C406" s="45" t="str">
        <f aca="false">IF(B406="","",IFERROR(INDEX(Contract!$C$10:$C$23,MATCH(B406,Contract!$B$10:$B$23,0)),"Unknown code"))</f>
        <v/>
      </c>
      <c r="D406" s="46"/>
      <c r="E406" s="39"/>
      <c r="F406" s="39"/>
      <c r="G406" s="47" t="str">
        <f aca="false">IF(AND(B406="",D406=""),"",IF(B406="","Missing code",IF(C406="Unknown code","Unknown code",IF(D406="","Missing qty",IF(A406="","Missing date","")))))</f>
        <v/>
      </c>
    </row>
    <row r="407" customFormat="false" ht="15" hidden="false" customHeight="false" outlineLevel="0" collapsed="false">
      <c r="A407" s="44"/>
      <c r="B407" s="39"/>
      <c r="C407" s="45" t="str">
        <f aca="false">IF(B407="","",IFERROR(INDEX(Contract!$C$10:$C$23,MATCH(B407,Contract!$B$10:$B$23,0)),"Unknown code"))</f>
        <v/>
      </c>
      <c r="D407" s="46"/>
      <c r="E407" s="39"/>
      <c r="F407" s="39"/>
      <c r="G407" s="47" t="str">
        <f aca="false">IF(AND(B407="",D407=""),"",IF(B407="","Missing code",IF(C407="Unknown code","Unknown code",IF(D407="","Missing qty",IF(A407="","Missing date","")))))</f>
        <v/>
      </c>
    </row>
    <row r="408" customFormat="false" ht="15" hidden="false" customHeight="false" outlineLevel="0" collapsed="false">
      <c r="A408" s="44"/>
      <c r="B408" s="39"/>
      <c r="C408" s="45" t="str">
        <f aca="false">IF(B408="","",IFERROR(INDEX(Contract!$C$10:$C$23,MATCH(B408,Contract!$B$10:$B$23,0)),"Unknown code"))</f>
        <v/>
      </c>
      <c r="D408" s="46"/>
      <c r="E408" s="39"/>
      <c r="F408" s="39"/>
      <c r="G408" s="47" t="str">
        <f aca="false">IF(AND(B408="",D408=""),"",IF(B408="","Missing code",IF(C408="Unknown code","Unknown code",IF(D408="","Missing qty",IF(A408="","Missing date","")))))</f>
        <v/>
      </c>
    </row>
    <row r="409" customFormat="false" ht="15" hidden="false" customHeight="false" outlineLevel="0" collapsed="false">
      <c r="A409" s="44"/>
      <c r="B409" s="39"/>
      <c r="C409" s="45" t="str">
        <f aca="false">IF(B409="","",IFERROR(INDEX(Contract!$C$10:$C$23,MATCH(B409,Contract!$B$10:$B$23,0)),"Unknown code"))</f>
        <v/>
      </c>
      <c r="D409" s="46"/>
      <c r="E409" s="39"/>
      <c r="F409" s="39"/>
      <c r="G409" s="47" t="str">
        <f aca="false">IF(AND(B409="",D409=""),"",IF(B409="","Missing code",IF(C409="Unknown code","Unknown code",IF(D409="","Missing qty",IF(A409="","Missing date","")))))</f>
        <v/>
      </c>
    </row>
    <row r="410" customFormat="false" ht="15" hidden="false" customHeight="false" outlineLevel="0" collapsed="false">
      <c r="A410" s="44"/>
      <c r="B410" s="39"/>
      <c r="C410" s="45" t="str">
        <f aca="false">IF(B410="","",IFERROR(INDEX(Contract!$C$10:$C$23,MATCH(B410,Contract!$B$10:$B$23,0)),"Unknown code"))</f>
        <v/>
      </c>
      <c r="D410" s="46"/>
      <c r="E410" s="39"/>
      <c r="F410" s="39"/>
      <c r="G410" s="47" t="str">
        <f aca="false">IF(AND(B410="",D410=""),"",IF(B410="","Missing code",IF(C410="Unknown code","Unknown code",IF(D410="","Missing qty",IF(A410="","Missing date","")))))</f>
        <v/>
      </c>
    </row>
    <row r="411" customFormat="false" ht="15" hidden="false" customHeight="false" outlineLevel="0" collapsed="false">
      <c r="A411" s="44"/>
      <c r="B411" s="39"/>
      <c r="C411" s="45" t="str">
        <f aca="false">IF(B411="","",IFERROR(INDEX(Contract!$C$10:$C$23,MATCH(B411,Contract!$B$10:$B$23,0)),"Unknown code"))</f>
        <v/>
      </c>
      <c r="D411" s="46"/>
      <c r="E411" s="39"/>
      <c r="F411" s="39"/>
      <c r="G411" s="47" t="str">
        <f aca="false">IF(AND(B411="",D411=""),"",IF(B411="","Missing code",IF(C411="Unknown code","Unknown code",IF(D411="","Missing qty",IF(A411="","Missing date","")))))</f>
        <v/>
      </c>
    </row>
    <row r="412" customFormat="false" ht="15" hidden="false" customHeight="false" outlineLevel="0" collapsed="false">
      <c r="A412" s="44"/>
      <c r="B412" s="39"/>
      <c r="C412" s="45" t="str">
        <f aca="false">IF(B412="","",IFERROR(INDEX(Contract!$C$10:$C$23,MATCH(B412,Contract!$B$10:$B$23,0)),"Unknown code"))</f>
        <v/>
      </c>
      <c r="D412" s="46"/>
      <c r="E412" s="39"/>
      <c r="F412" s="39"/>
      <c r="G412" s="47" t="str">
        <f aca="false">IF(AND(B412="",D412=""),"",IF(B412="","Missing code",IF(C412="Unknown code","Unknown code",IF(D412="","Missing qty",IF(A412="","Missing date","")))))</f>
        <v/>
      </c>
    </row>
    <row r="413" customFormat="false" ht="15" hidden="false" customHeight="false" outlineLevel="0" collapsed="false">
      <c r="A413" s="44"/>
      <c r="B413" s="39"/>
      <c r="C413" s="45" t="str">
        <f aca="false">IF(B413="","",IFERROR(INDEX(Contract!$C$10:$C$23,MATCH(B413,Contract!$B$10:$B$23,0)),"Unknown code"))</f>
        <v/>
      </c>
      <c r="D413" s="46"/>
      <c r="E413" s="39"/>
      <c r="F413" s="39"/>
      <c r="G413" s="47" t="str">
        <f aca="false">IF(AND(B413="",D413=""),"",IF(B413="","Missing code",IF(C413="Unknown code","Unknown code",IF(D413="","Missing qty",IF(A413="","Missing date","")))))</f>
        <v/>
      </c>
    </row>
    <row r="414" customFormat="false" ht="15" hidden="false" customHeight="false" outlineLevel="0" collapsed="false">
      <c r="A414" s="44"/>
      <c r="B414" s="39"/>
      <c r="C414" s="45" t="str">
        <f aca="false">IF(B414="","",IFERROR(INDEX(Contract!$C$10:$C$23,MATCH(B414,Contract!$B$10:$B$23,0)),"Unknown code"))</f>
        <v/>
      </c>
      <c r="D414" s="46"/>
      <c r="E414" s="39"/>
      <c r="F414" s="39"/>
      <c r="G414" s="47" t="str">
        <f aca="false">IF(AND(B414="",D414=""),"",IF(B414="","Missing code",IF(C414="Unknown code","Unknown code",IF(D414="","Missing qty",IF(A414="","Missing date","")))))</f>
        <v/>
      </c>
    </row>
    <row r="415" customFormat="false" ht="15" hidden="false" customHeight="false" outlineLevel="0" collapsed="false">
      <c r="A415" s="44"/>
      <c r="B415" s="39"/>
      <c r="C415" s="45" t="str">
        <f aca="false">IF(B415="","",IFERROR(INDEX(Contract!$C$10:$C$23,MATCH(B415,Contract!$B$10:$B$23,0)),"Unknown code"))</f>
        <v/>
      </c>
      <c r="D415" s="46"/>
      <c r="E415" s="39"/>
      <c r="F415" s="39"/>
      <c r="G415" s="47" t="str">
        <f aca="false">IF(AND(B415="",D415=""),"",IF(B415="","Missing code",IF(C415="Unknown code","Unknown code",IF(D415="","Missing qty",IF(A415="","Missing date","")))))</f>
        <v/>
      </c>
    </row>
    <row r="416" customFormat="false" ht="15" hidden="false" customHeight="false" outlineLevel="0" collapsed="false">
      <c r="A416" s="44"/>
      <c r="B416" s="39"/>
      <c r="C416" s="45" t="str">
        <f aca="false">IF(B416="","",IFERROR(INDEX(Contract!$C$10:$C$23,MATCH(B416,Contract!$B$10:$B$23,0)),"Unknown code"))</f>
        <v/>
      </c>
      <c r="D416" s="46"/>
      <c r="E416" s="39"/>
      <c r="F416" s="39"/>
      <c r="G416" s="47" t="str">
        <f aca="false">IF(AND(B416="",D416=""),"",IF(B416="","Missing code",IF(C416="Unknown code","Unknown code",IF(D416="","Missing qty",IF(A416="","Missing date","")))))</f>
        <v/>
      </c>
    </row>
    <row r="417" customFormat="false" ht="15" hidden="false" customHeight="false" outlineLevel="0" collapsed="false">
      <c r="A417" s="44"/>
      <c r="B417" s="39"/>
      <c r="C417" s="45" t="str">
        <f aca="false">IF(B417="","",IFERROR(INDEX(Contract!$C$10:$C$23,MATCH(B417,Contract!$B$10:$B$23,0)),"Unknown code"))</f>
        <v/>
      </c>
      <c r="D417" s="46"/>
      <c r="E417" s="39"/>
      <c r="F417" s="39"/>
      <c r="G417" s="47" t="str">
        <f aca="false">IF(AND(B417="",D417=""),"",IF(B417="","Missing code",IF(C417="Unknown code","Unknown code",IF(D417="","Missing qty",IF(A417="","Missing date","")))))</f>
        <v/>
      </c>
    </row>
    <row r="418" customFormat="false" ht="15" hidden="false" customHeight="false" outlineLevel="0" collapsed="false">
      <c r="A418" s="44"/>
      <c r="B418" s="39"/>
      <c r="C418" s="45" t="str">
        <f aca="false">IF(B418="","",IFERROR(INDEX(Contract!$C$10:$C$23,MATCH(B418,Contract!$B$10:$B$23,0)),"Unknown code"))</f>
        <v/>
      </c>
      <c r="D418" s="46"/>
      <c r="E418" s="39"/>
      <c r="F418" s="39"/>
      <c r="G418" s="47" t="str">
        <f aca="false">IF(AND(B418="",D418=""),"",IF(B418="","Missing code",IF(C418="Unknown code","Unknown code",IF(D418="","Missing qty",IF(A418="","Missing date","")))))</f>
        <v/>
      </c>
    </row>
    <row r="419" customFormat="false" ht="15" hidden="false" customHeight="false" outlineLevel="0" collapsed="false">
      <c r="A419" s="44"/>
      <c r="B419" s="39"/>
      <c r="C419" s="45" t="str">
        <f aca="false">IF(B419="","",IFERROR(INDEX(Contract!$C$10:$C$23,MATCH(B419,Contract!$B$10:$B$23,0)),"Unknown code"))</f>
        <v/>
      </c>
      <c r="D419" s="46"/>
      <c r="E419" s="39"/>
      <c r="F419" s="39"/>
      <c r="G419" s="47" t="str">
        <f aca="false">IF(AND(B419="",D419=""),"",IF(B419="","Missing code",IF(C419="Unknown code","Unknown code",IF(D419="","Missing qty",IF(A419="","Missing date","")))))</f>
        <v/>
      </c>
    </row>
    <row r="420" customFormat="false" ht="15" hidden="false" customHeight="false" outlineLevel="0" collapsed="false">
      <c r="A420" s="44"/>
      <c r="B420" s="39"/>
      <c r="C420" s="45" t="str">
        <f aca="false">IF(B420="","",IFERROR(INDEX(Contract!$C$10:$C$23,MATCH(B420,Contract!$B$10:$B$23,0)),"Unknown code"))</f>
        <v/>
      </c>
      <c r="D420" s="46"/>
      <c r="E420" s="39"/>
      <c r="F420" s="39"/>
      <c r="G420" s="47" t="str">
        <f aca="false">IF(AND(B420="",D420=""),"",IF(B420="","Missing code",IF(C420="Unknown code","Unknown code",IF(D420="","Missing qty",IF(A420="","Missing date","")))))</f>
        <v/>
      </c>
    </row>
    <row r="421" customFormat="false" ht="15" hidden="false" customHeight="false" outlineLevel="0" collapsed="false">
      <c r="A421" s="44"/>
      <c r="B421" s="39"/>
      <c r="C421" s="45" t="str">
        <f aca="false">IF(B421="","",IFERROR(INDEX(Contract!$C$10:$C$23,MATCH(B421,Contract!$B$10:$B$23,0)),"Unknown code"))</f>
        <v/>
      </c>
      <c r="D421" s="46"/>
      <c r="E421" s="39"/>
      <c r="F421" s="39"/>
      <c r="G421" s="47" t="str">
        <f aca="false">IF(AND(B421="",D421=""),"",IF(B421="","Missing code",IF(C421="Unknown code","Unknown code",IF(D421="","Missing qty",IF(A421="","Missing date","")))))</f>
        <v/>
      </c>
    </row>
    <row r="422" customFormat="false" ht="15" hidden="false" customHeight="false" outlineLevel="0" collapsed="false">
      <c r="A422" s="44"/>
      <c r="B422" s="39"/>
      <c r="C422" s="45" t="str">
        <f aca="false">IF(B422="","",IFERROR(INDEX(Contract!$C$10:$C$23,MATCH(B422,Contract!$B$10:$B$23,0)),"Unknown code"))</f>
        <v/>
      </c>
      <c r="D422" s="46"/>
      <c r="E422" s="39"/>
      <c r="F422" s="39"/>
      <c r="G422" s="47" t="str">
        <f aca="false">IF(AND(B422="",D422=""),"",IF(B422="","Missing code",IF(C422="Unknown code","Unknown code",IF(D422="","Missing qty",IF(A422="","Missing date","")))))</f>
        <v/>
      </c>
    </row>
    <row r="423" customFormat="false" ht="15" hidden="false" customHeight="false" outlineLevel="0" collapsed="false">
      <c r="A423" s="44"/>
      <c r="B423" s="39"/>
      <c r="C423" s="45" t="str">
        <f aca="false">IF(B423="","",IFERROR(INDEX(Contract!$C$10:$C$23,MATCH(B423,Contract!$B$10:$B$23,0)),"Unknown code"))</f>
        <v/>
      </c>
      <c r="D423" s="46"/>
      <c r="E423" s="39"/>
      <c r="F423" s="39"/>
      <c r="G423" s="47" t="str">
        <f aca="false">IF(AND(B423="",D423=""),"",IF(B423="","Missing code",IF(C423="Unknown code","Unknown code",IF(D423="","Missing qty",IF(A423="","Missing date","")))))</f>
        <v/>
      </c>
    </row>
    <row r="424" customFormat="false" ht="15" hidden="false" customHeight="false" outlineLevel="0" collapsed="false">
      <c r="A424" s="44"/>
      <c r="B424" s="39"/>
      <c r="C424" s="45" t="str">
        <f aca="false">IF(B424="","",IFERROR(INDEX(Contract!$C$10:$C$23,MATCH(B424,Contract!$B$10:$B$23,0)),"Unknown code"))</f>
        <v/>
      </c>
      <c r="D424" s="46"/>
      <c r="E424" s="39"/>
      <c r="F424" s="39"/>
      <c r="G424" s="47" t="str">
        <f aca="false">IF(AND(B424="",D424=""),"",IF(B424="","Missing code",IF(C424="Unknown code","Unknown code",IF(D424="","Missing qty",IF(A424="","Missing date","")))))</f>
        <v/>
      </c>
    </row>
    <row r="425" customFormat="false" ht="15" hidden="false" customHeight="false" outlineLevel="0" collapsed="false">
      <c r="A425" s="44"/>
      <c r="B425" s="39"/>
      <c r="C425" s="45" t="str">
        <f aca="false">IF(B425="","",IFERROR(INDEX(Contract!$C$10:$C$23,MATCH(B425,Contract!$B$10:$B$23,0)),"Unknown code"))</f>
        <v/>
      </c>
      <c r="D425" s="46"/>
      <c r="E425" s="39"/>
      <c r="F425" s="39"/>
      <c r="G425" s="47" t="str">
        <f aca="false">IF(AND(B425="",D425=""),"",IF(B425="","Missing code",IF(C425="Unknown code","Unknown code",IF(D425="","Missing qty",IF(A425="","Missing date","")))))</f>
        <v/>
      </c>
    </row>
    <row r="426" customFormat="false" ht="15" hidden="false" customHeight="false" outlineLevel="0" collapsed="false">
      <c r="A426" s="44"/>
      <c r="B426" s="39"/>
      <c r="C426" s="45" t="str">
        <f aca="false">IF(B426="","",IFERROR(INDEX(Contract!$C$10:$C$23,MATCH(B426,Contract!$B$10:$B$23,0)),"Unknown code"))</f>
        <v/>
      </c>
      <c r="D426" s="46"/>
      <c r="E426" s="39"/>
      <c r="F426" s="39"/>
      <c r="G426" s="47" t="str">
        <f aca="false">IF(AND(B426="",D426=""),"",IF(B426="","Missing code",IF(C426="Unknown code","Unknown code",IF(D426="","Missing qty",IF(A426="","Missing date","")))))</f>
        <v/>
      </c>
    </row>
    <row r="427" customFormat="false" ht="15" hidden="false" customHeight="false" outlineLevel="0" collapsed="false">
      <c r="A427" s="44"/>
      <c r="B427" s="39"/>
      <c r="C427" s="45" t="str">
        <f aca="false">IF(B427="","",IFERROR(INDEX(Contract!$C$10:$C$23,MATCH(B427,Contract!$B$10:$B$23,0)),"Unknown code"))</f>
        <v/>
      </c>
      <c r="D427" s="46"/>
      <c r="E427" s="39"/>
      <c r="F427" s="39"/>
      <c r="G427" s="47" t="str">
        <f aca="false">IF(AND(B427="",D427=""),"",IF(B427="","Missing code",IF(C427="Unknown code","Unknown code",IF(D427="","Missing qty",IF(A427="","Missing date","")))))</f>
        <v/>
      </c>
    </row>
    <row r="428" customFormat="false" ht="15" hidden="false" customHeight="false" outlineLevel="0" collapsed="false">
      <c r="A428" s="44"/>
      <c r="B428" s="39"/>
      <c r="C428" s="45" t="str">
        <f aca="false">IF(B428="","",IFERROR(INDEX(Contract!$C$10:$C$23,MATCH(B428,Contract!$B$10:$B$23,0)),"Unknown code"))</f>
        <v/>
      </c>
      <c r="D428" s="46"/>
      <c r="E428" s="39"/>
      <c r="F428" s="39"/>
      <c r="G428" s="47" t="str">
        <f aca="false">IF(AND(B428="",D428=""),"",IF(B428="","Missing code",IF(C428="Unknown code","Unknown code",IF(D428="","Missing qty",IF(A428="","Missing date","")))))</f>
        <v/>
      </c>
    </row>
    <row r="429" customFormat="false" ht="15" hidden="false" customHeight="false" outlineLevel="0" collapsed="false">
      <c r="A429" s="44"/>
      <c r="B429" s="39"/>
      <c r="C429" s="45" t="str">
        <f aca="false">IF(B429="","",IFERROR(INDEX(Contract!$C$10:$C$23,MATCH(B429,Contract!$B$10:$B$23,0)),"Unknown code"))</f>
        <v/>
      </c>
      <c r="D429" s="46"/>
      <c r="E429" s="39"/>
      <c r="F429" s="39"/>
      <c r="G429" s="47" t="str">
        <f aca="false">IF(AND(B429="",D429=""),"",IF(B429="","Missing code",IF(C429="Unknown code","Unknown code",IF(D429="","Missing qty",IF(A429="","Missing date","")))))</f>
        <v/>
      </c>
    </row>
    <row r="430" customFormat="false" ht="15" hidden="false" customHeight="false" outlineLevel="0" collapsed="false">
      <c r="A430" s="44"/>
      <c r="B430" s="39"/>
      <c r="C430" s="45" t="str">
        <f aca="false">IF(B430="","",IFERROR(INDEX(Contract!$C$10:$C$23,MATCH(B430,Contract!$B$10:$B$23,0)),"Unknown code"))</f>
        <v/>
      </c>
      <c r="D430" s="46"/>
      <c r="E430" s="39"/>
      <c r="F430" s="39"/>
      <c r="G430" s="47" t="str">
        <f aca="false">IF(AND(B430="",D430=""),"",IF(B430="","Missing code",IF(C430="Unknown code","Unknown code",IF(D430="","Missing qty",IF(A430="","Missing date","")))))</f>
        <v/>
      </c>
    </row>
    <row r="431" customFormat="false" ht="15" hidden="false" customHeight="false" outlineLevel="0" collapsed="false">
      <c r="A431" s="44"/>
      <c r="B431" s="39"/>
      <c r="C431" s="45" t="str">
        <f aca="false">IF(B431="","",IFERROR(INDEX(Contract!$C$10:$C$23,MATCH(B431,Contract!$B$10:$B$23,0)),"Unknown code"))</f>
        <v/>
      </c>
      <c r="D431" s="46"/>
      <c r="E431" s="39"/>
      <c r="F431" s="39"/>
      <c r="G431" s="47" t="str">
        <f aca="false">IF(AND(B431="",D431=""),"",IF(B431="","Missing code",IF(C431="Unknown code","Unknown code",IF(D431="","Missing qty",IF(A431="","Missing date","")))))</f>
        <v/>
      </c>
    </row>
    <row r="432" customFormat="false" ht="15" hidden="false" customHeight="false" outlineLevel="0" collapsed="false">
      <c r="A432" s="44"/>
      <c r="B432" s="39"/>
      <c r="C432" s="45" t="str">
        <f aca="false">IF(B432="","",IFERROR(INDEX(Contract!$C$10:$C$23,MATCH(B432,Contract!$B$10:$B$23,0)),"Unknown code"))</f>
        <v/>
      </c>
      <c r="D432" s="46"/>
      <c r="E432" s="39"/>
      <c r="F432" s="39"/>
      <c r="G432" s="47" t="str">
        <f aca="false">IF(AND(B432="",D432=""),"",IF(B432="","Missing code",IF(C432="Unknown code","Unknown code",IF(D432="","Missing qty",IF(A432="","Missing date","")))))</f>
        <v/>
      </c>
    </row>
    <row r="433" customFormat="false" ht="15" hidden="false" customHeight="false" outlineLevel="0" collapsed="false">
      <c r="A433" s="44"/>
      <c r="B433" s="39"/>
      <c r="C433" s="45" t="str">
        <f aca="false">IF(B433="","",IFERROR(INDEX(Contract!$C$10:$C$23,MATCH(B433,Contract!$B$10:$B$23,0)),"Unknown code"))</f>
        <v/>
      </c>
      <c r="D433" s="46"/>
      <c r="E433" s="39"/>
      <c r="F433" s="39"/>
      <c r="G433" s="47" t="str">
        <f aca="false">IF(AND(B433="",D433=""),"",IF(B433="","Missing code",IF(C433="Unknown code","Unknown code",IF(D433="","Missing qty",IF(A433="","Missing date","")))))</f>
        <v/>
      </c>
    </row>
    <row r="434" customFormat="false" ht="15" hidden="false" customHeight="false" outlineLevel="0" collapsed="false">
      <c r="A434" s="44"/>
      <c r="B434" s="39"/>
      <c r="C434" s="45" t="str">
        <f aca="false">IF(B434="","",IFERROR(INDEX(Contract!$C$10:$C$23,MATCH(B434,Contract!$B$10:$B$23,0)),"Unknown code"))</f>
        <v/>
      </c>
      <c r="D434" s="46"/>
      <c r="E434" s="39"/>
      <c r="F434" s="39"/>
      <c r="G434" s="47" t="str">
        <f aca="false">IF(AND(B434="",D434=""),"",IF(B434="","Missing code",IF(C434="Unknown code","Unknown code",IF(D434="","Missing qty",IF(A434="","Missing date","")))))</f>
        <v/>
      </c>
    </row>
    <row r="435" customFormat="false" ht="15" hidden="false" customHeight="false" outlineLevel="0" collapsed="false">
      <c r="A435" s="44"/>
      <c r="B435" s="39"/>
      <c r="C435" s="45" t="str">
        <f aca="false">IF(B435="","",IFERROR(INDEX(Contract!$C$10:$C$23,MATCH(B435,Contract!$B$10:$B$23,0)),"Unknown code"))</f>
        <v/>
      </c>
      <c r="D435" s="46"/>
      <c r="E435" s="39"/>
      <c r="F435" s="39"/>
      <c r="G435" s="47" t="str">
        <f aca="false">IF(AND(B435="",D435=""),"",IF(B435="","Missing code",IF(C435="Unknown code","Unknown code",IF(D435="","Missing qty",IF(A435="","Missing date","")))))</f>
        <v/>
      </c>
    </row>
    <row r="436" customFormat="false" ht="15" hidden="false" customHeight="false" outlineLevel="0" collapsed="false">
      <c r="A436" s="44"/>
      <c r="B436" s="39"/>
      <c r="C436" s="45" t="str">
        <f aca="false">IF(B436="","",IFERROR(INDEX(Contract!$C$10:$C$23,MATCH(B436,Contract!$B$10:$B$23,0)),"Unknown code"))</f>
        <v/>
      </c>
      <c r="D436" s="46"/>
      <c r="E436" s="39"/>
      <c r="F436" s="39"/>
      <c r="G436" s="47" t="str">
        <f aca="false">IF(AND(B436="",D436=""),"",IF(B436="","Missing code",IF(C436="Unknown code","Unknown code",IF(D436="","Missing qty",IF(A436="","Missing date","")))))</f>
        <v/>
      </c>
    </row>
    <row r="437" customFormat="false" ht="15" hidden="false" customHeight="false" outlineLevel="0" collapsed="false">
      <c r="A437" s="44"/>
      <c r="B437" s="39"/>
      <c r="C437" s="45" t="str">
        <f aca="false">IF(B437="","",IFERROR(INDEX(Contract!$C$10:$C$23,MATCH(B437,Contract!$B$10:$B$23,0)),"Unknown code"))</f>
        <v/>
      </c>
      <c r="D437" s="46"/>
      <c r="E437" s="39"/>
      <c r="F437" s="39"/>
      <c r="G437" s="47" t="str">
        <f aca="false">IF(AND(B437="",D437=""),"",IF(B437="","Missing code",IF(C437="Unknown code","Unknown code",IF(D437="","Missing qty",IF(A437="","Missing date","")))))</f>
        <v/>
      </c>
    </row>
    <row r="438" customFormat="false" ht="15" hidden="false" customHeight="false" outlineLevel="0" collapsed="false">
      <c r="A438" s="44"/>
      <c r="B438" s="39"/>
      <c r="C438" s="45" t="str">
        <f aca="false">IF(B438="","",IFERROR(INDEX(Contract!$C$10:$C$23,MATCH(B438,Contract!$B$10:$B$23,0)),"Unknown code"))</f>
        <v/>
      </c>
      <c r="D438" s="46"/>
      <c r="E438" s="39"/>
      <c r="F438" s="39"/>
      <c r="G438" s="47" t="str">
        <f aca="false">IF(AND(B438="",D438=""),"",IF(B438="","Missing code",IF(C438="Unknown code","Unknown code",IF(D438="","Missing qty",IF(A438="","Missing date","")))))</f>
        <v/>
      </c>
    </row>
    <row r="439" customFormat="false" ht="15" hidden="false" customHeight="false" outlineLevel="0" collapsed="false">
      <c r="A439" s="44"/>
      <c r="B439" s="39"/>
      <c r="C439" s="45" t="str">
        <f aca="false">IF(B439="","",IFERROR(INDEX(Contract!$C$10:$C$23,MATCH(B439,Contract!$B$10:$B$23,0)),"Unknown code"))</f>
        <v/>
      </c>
      <c r="D439" s="46"/>
      <c r="E439" s="39"/>
      <c r="F439" s="39"/>
      <c r="G439" s="47" t="str">
        <f aca="false">IF(AND(B439="",D439=""),"",IF(B439="","Missing code",IF(C439="Unknown code","Unknown code",IF(D439="","Missing qty",IF(A439="","Missing date","")))))</f>
        <v/>
      </c>
    </row>
    <row r="440" customFormat="false" ht="15" hidden="false" customHeight="false" outlineLevel="0" collapsed="false">
      <c r="A440" s="44"/>
      <c r="B440" s="39"/>
      <c r="C440" s="45" t="str">
        <f aca="false">IF(B440="","",IFERROR(INDEX(Contract!$C$10:$C$23,MATCH(B440,Contract!$B$10:$B$23,0)),"Unknown code"))</f>
        <v/>
      </c>
      <c r="D440" s="46"/>
      <c r="E440" s="39"/>
      <c r="F440" s="39"/>
      <c r="G440" s="47" t="str">
        <f aca="false">IF(AND(B440="",D440=""),"",IF(B440="","Missing code",IF(C440="Unknown code","Unknown code",IF(D440="","Missing qty",IF(A440="","Missing date","")))))</f>
        <v/>
      </c>
    </row>
    <row r="441" customFormat="false" ht="15" hidden="false" customHeight="false" outlineLevel="0" collapsed="false">
      <c r="A441" s="44"/>
      <c r="B441" s="39"/>
      <c r="C441" s="45" t="str">
        <f aca="false">IF(B441="","",IFERROR(INDEX(Contract!$C$10:$C$23,MATCH(B441,Contract!$B$10:$B$23,0)),"Unknown code"))</f>
        <v/>
      </c>
      <c r="D441" s="46"/>
      <c r="E441" s="39"/>
      <c r="F441" s="39"/>
      <c r="G441" s="47" t="str">
        <f aca="false">IF(AND(B441="",D441=""),"",IF(B441="","Missing code",IF(C441="Unknown code","Unknown code",IF(D441="","Missing qty",IF(A441="","Missing date","")))))</f>
        <v/>
      </c>
    </row>
    <row r="442" customFormat="false" ht="15" hidden="false" customHeight="false" outlineLevel="0" collapsed="false">
      <c r="A442" s="44"/>
      <c r="B442" s="39"/>
      <c r="C442" s="45" t="str">
        <f aca="false">IF(B442="","",IFERROR(INDEX(Contract!$C$10:$C$23,MATCH(B442,Contract!$B$10:$B$23,0)),"Unknown code"))</f>
        <v/>
      </c>
      <c r="D442" s="46"/>
      <c r="E442" s="39"/>
      <c r="F442" s="39"/>
      <c r="G442" s="47" t="str">
        <f aca="false">IF(AND(B442="",D442=""),"",IF(B442="","Missing code",IF(C442="Unknown code","Unknown code",IF(D442="","Missing qty",IF(A442="","Missing date","")))))</f>
        <v/>
      </c>
    </row>
    <row r="443" customFormat="false" ht="15" hidden="false" customHeight="false" outlineLevel="0" collapsed="false">
      <c r="A443" s="44"/>
      <c r="B443" s="39"/>
      <c r="C443" s="45" t="str">
        <f aca="false">IF(B443="","",IFERROR(INDEX(Contract!$C$10:$C$23,MATCH(B443,Contract!$B$10:$B$23,0)),"Unknown code"))</f>
        <v/>
      </c>
      <c r="D443" s="46"/>
      <c r="E443" s="39"/>
      <c r="F443" s="39"/>
      <c r="G443" s="47" t="str">
        <f aca="false">IF(AND(B443="",D443=""),"",IF(B443="","Missing code",IF(C443="Unknown code","Unknown code",IF(D443="","Missing qty",IF(A443="","Missing date","")))))</f>
        <v/>
      </c>
    </row>
    <row r="444" customFormat="false" ht="15" hidden="false" customHeight="false" outlineLevel="0" collapsed="false">
      <c r="A444" s="44"/>
      <c r="B444" s="39"/>
      <c r="C444" s="45" t="str">
        <f aca="false">IF(B444="","",IFERROR(INDEX(Contract!$C$10:$C$23,MATCH(B444,Contract!$B$10:$B$23,0)),"Unknown code"))</f>
        <v/>
      </c>
      <c r="D444" s="46"/>
      <c r="E444" s="39"/>
      <c r="F444" s="39"/>
      <c r="G444" s="47" t="str">
        <f aca="false">IF(AND(B444="",D444=""),"",IF(B444="","Missing code",IF(C444="Unknown code","Unknown code",IF(D444="","Missing qty",IF(A444="","Missing date","")))))</f>
        <v/>
      </c>
    </row>
    <row r="445" customFormat="false" ht="15" hidden="false" customHeight="false" outlineLevel="0" collapsed="false">
      <c r="A445" s="44"/>
      <c r="B445" s="39"/>
      <c r="C445" s="45" t="str">
        <f aca="false">IF(B445="","",IFERROR(INDEX(Contract!$C$10:$C$23,MATCH(B445,Contract!$B$10:$B$23,0)),"Unknown code"))</f>
        <v/>
      </c>
      <c r="D445" s="46"/>
      <c r="E445" s="39"/>
      <c r="F445" s="39"/>
      <c r="G445" s="47" t="str">
        <f aca="false">IF(AND(B445="",D445=""),"",IF(B445="","Missing code",IF(C445="Unknown code","Unknown code",IF(D445="","Missing qty",IF(A445="","Missing date","")))))</f>
        <v/>
      </c>
    </row>
    <row r="446" customFormat="false" ht="15" hidden="false" customHeight="false" outlineLevel="0" collapsed="false">
      <c r="A446" s="44"/>
      <c r="B446" s="39"/>
      <c r="C446" s="45" t="str">
        <f aca="false">IF(B446="","",IFERROR(INDEX(Contract!$C$10:$C$23,MATCH(B446,Contract!$B$10:$B$23,0)),"Unknown code"))</f>
        <v/>
      </c>
      <c r="D446" s="46"/>
      <c r="E446" s="39"/>
      <c r="F446" s="39"/>
      <c r="G446" s="47" t="str">
        <f aca="false">IF(AND(B446="",D446=""),"",IF(B446="","Missing code",IF(C446="Unknown code","Unknown code",IF(D446="","Missing qty",IF(A446="","Missing date","")))))</f>
        <v/>
      </c>
    </row>
    <row r="447" customFormat="false" ht="15" hidden="false" customHeight="false" outlineLevel="0" collapsed="false">
      <c r="A447" s="44"/>
      <c r="B447" s="39"/>
      <c r="C447" s="45" t="str">
        <f aca="false">IF(B447="","",IFERROR(INDEX(Contract!$C$10:$C$23,MATCH(B447,Contract!$B$10:$B$23,0)),"Unknown code"))</f>
        <v/>
      </c>
      <c r="D447" s="46"/>
      <c r="E447" s="39"/>
      <c r="F447" s="39"/>
      <c r="G447" s="47" t="str">
        <f aca="false">IF(AND(B447="",D447=""),"",IF(B447="","Missing code",IF(C447="Unknown code","Unknown code",IF(D447="","Missing qty",IF(A447="","Missing date","")))))</f>
        <v/>
      </c>
    </row>
    <row r="448" customFormat="false" ht="15" hidden="false" customHeight="false" outlineLevel="0" collapsed="false">
      <c r="A448" s="44"/>
      <c r="B448" s="39"/>
      <c r="C448" s="45" t="str">
        <f aca="false">IF(B448="","",IFERROR(INDEX(Contract!$C$10:$C$23,MATCH(B448,Contract!$B$10:$B$23,0)),"Unknown code"))</f>
        <v/>
      </c>
      <c r="D448" s="46"/>
      <c r="E448" s="39"/>
      <c r="F448" s="39"/>
      <c r="G448" s="47" t="str">
        <f aca="false">IF(AND(B448="",D448=""),"",IF(B448="","Missing code",IF(C448="Unknown code","Unknown code",IF(D448="","Missing qty",IF(A448="","Missing date","")))))</f>
        <v/>
      </c>
    </row>
    <row r="449" customFormat="false" ht="15" hidden="false" customHeight="false" outlineLevel="0" collapsed="false">
      <c r="A449" s="44"/>
      <c r="B449" s="39"/>
      <c r="C449" s="45" t="str">
        <f aca="false">IF(B449="","",IFERROR(INDEX(Contract!$C$10:$C$23,MATCH(B449,Contract!$B$10:$B$23,0)),"Unknown code"))</f>
        <v/>
      </c>
      <c r="D449" s="46"/>
      <c r="E449" s="39"/>
      <c r="F449" s="39"/>
      <c r="G449" s="47" t="str">
        <f aca="false">IF(AND(B449="",D449=""),"",IF(B449="","Missing code",IF(C449="Unknown code","Unknown code",IF(D449="","Missing qty",IF(A449="","Missing date","")))))</f>
        <v/>
      </c>
    </row>
    <row r="450" customFormat="false" ht="15" hidden="false" customHeight="false" outlineLevel="0" collapsed="false">
      <c r="A450" s="44"/>
      <c r="B450" s="39"/>
      <c r="C450" s="45" t="str">
        <f aca="false">IF(B450="","",IFERROR(INDEX(Contract!$C$10:$C$23,MATCH(B450,Contract!$B$10:$B$23,0)),"Unknown code"))</f>
        <v/>
      </c>
      <c r="D450" s="46"/>
      <c r="E450" s="39"/>
      <c r="F450" s="39"/>
      <c r="G450" s="47" t="str">
        <f aca="false">IF(AND(B450="",D450=""),"",IF(B450="","Missing code",IF(C450="Unknown code","Unknown code",IF(D450="","Missing qty",IF(A450="","Missing date","")))))</f>
        <v/>
      </c>
    </row>
    <row r="451" customFormat="false" ht="15" hidden="false" customHeight="false" outlineLevel="0" collapsed="false">
      <c r="A451" s="44"/>
      <c r="B451" s="39"/>
      <c r="C451" s="45" t="str">
        <f aca="false">IF(B451="","",IFERROR(INDEX(Contract!$C$10:$C$23,MATCH(B451,Contract!$B$10:$B$23,0)),"Unknown code"))</f>
        <v/>
      </c>
      <c r="D451" s="46"/>
      <c r="E451" s="39"/>
      <c r="F451" s="39"/>
      <c r="G451" s="47" t="str">
        <f aca="false">IF(AND(B451="",D451=""),"",IF(B451="","Missing code",IF(C451="Unknown code","Unknown code",IF(D451="","Missing qty",IF(A451="","Missing date","")))))</f>
        <v/>
      </c>
    </row>
    <row r="452" customFormat="false" ht="15" hidden="false" customHeight="false" outlineLevel="0" collapsed="false">
      <c r="A452" s="44"/>
      <c r="B452" s="39"/>
      <c r="C452" s="45" t="str">
        <f aca="false">IF(B452="","",IFERROR(INDEX(Contract!$C$10:$C$23,MATCH(B452,Contract!$B$10:$B$23,0)),"Unknown code"))</f>
        <v/>
      </c>
      <c r="D452" s="46"/>
      <c r="E452" s="39"/>
      <c r="F452" s="39"/>
      <c r="G452" s="47" t="str">
        <f aca="false">IF(AND(B452="",D452=""),"",IF(B452="","Missing code",IF(C452="Unknown code","Unknown code",IF(D452="","Missing qty",IF(A452="","Missing date","")))))</f>
        <v/>
      </c>
    </row>
    <row r="453" customFormat="false" ht="15" hidden="false" customHeight="false" outlineLevel="0" collapsed="false">
      <c r="A453" s="44"/>
      <c r="B453" s="39"/>
      <c r="C453" s="45" t="str">
        <f aca="false">IF(B453="","",IFERROR(INDEX(Contract!$C$10:$C$23,MATCH(B453,Contract!$B$10:$B$23,0)),"Unknown code"))</f>
        <v/>
      </c>
      <c r="D453" s="46"/>
      <c r="E453" s="39"/>
      <c r="F453" s="39"/>
      <c r="G453" s="47" t="str">
        <f aca="false">IF(AND(B453="",D453=""),"",IF(B453="","Missing code",IF(C453="Unknown code","Unknown code",IF(D453="","Missing qty",IF(A453="","Missing date","")))))</f>
        <v/>
      </c>
    </row>
    <row r="454" customFormat="false" ht="15" hidden="false" customHeight="false" outlineLevel="0" collapsed="false">
      <c r="A454" s="44"/>
      <c r="B454" s="39"/>
      <c r="C454" s="45" t="str">
        <f aca="false">IF(B454="","",IFERROR(INDEX(Contract!$C$10:$C$23,MATCH(B454,Contract!$B$10:$B$23,0)),"Unknown code"))</f>
        <v/>
      </c>
      <c r="D454" s="46"/>
      <c r="E454" s="39"/>
      <c r="F454" s="39"/>
      <c r="G454" s="47" t="str">
        <f aca="false">IF(AND(B454="",D454=""),"",IF(B454="","Missing code",IF(C454="Unknown code","Unknown code",IF(D454="","Missing qty",IF(A454="","Missing date","")))))</f>
        <v/>
      </c>
    </row>
    <row r="455" customFormat="false" ht="15" hidden="false" customHeight="false" outlineLevel="0" collapsed="false">
      <c r="A455" s="44"/>
      <c r="B455" s="39"/>
      <c r="C455" s="45" t="str">
        <f aca="false">IF(B455="","",IFERROR(INDEX(Contract!$C$10:$C$23,MATCH(B455,Contract!$B$10:$B$23,0)),"Unknown code"))</f>
        <v/>
      </c>
      <c r="D455" s="46"/>
      <c r="E455" s="39"/>
      <c r="F455" s="39"/>
      <c r="G455" s="47" t="str">
        <f aca="false">IF(AND(B455="",D455=""),"",IF(B455="","Missing code",IF(C455="Unknown code","Unknown code",IF(D455="","Missing qty",IF(A455="","Missing date","")))))</f>
        <v/>
      </c>
    </row>
    <row r="456" customFormat="false" ht="15" hidden="false" customHeight="false" outlineLevel="0" collapsed="false">
      <c r="A456" s="44"/>
      <c r="B456" s="39"/>
      <c r="C456" s="45" t="str">
        <f aca="false">IF(B456="","",IFERROR(INDEX(Contract!$C$10:$C$23,MATCH(B456,Contract!$B$10:$B$23,0)),"Unknown code"))</f>
        <v/>
      </c>
      <c r="D456" s="46"/>
      <c r="E456" s="39"/>
      <c r="F456" s="39"/>
      <c r="G456" s="47" t="str">
        <f aca="false">IF(AND(B456="",D456=""),"",IF(B456="","Missing code",IF(C456="Unknown code","Unknown code",IF(D456="","Missing qty",IF(A456="","Missing date","")))))</f>
        <v/>
      </c>
    </row>
    <row r="457" customFormat="false" ht="15" hidden="false" customHeight="false" outlineLevel="0" collapsed="false">
      <c r="A457" s="44"/>
      <c r="B457" s="39"/>
      <c r="C457" s="45" t="str">
        <f aca="false">IF(B457="","",IFERROR(INDEX(Contract!$C$10:$C$23,MATCH(B457,Contract!$B$10:$B$23,0)),"Unknown code"))</f>
        <v/>
      </c>
      <c r="D457" s="46"/>
      <c r="E457" s="39"/>
      <c r="F457" s="39"/>
      <c r="G457" s="47" t="str">
        <f aca="false">IF(AND(B457="",D457=""),"",IF(B457="","Missing code",IF(C457="Unknown code","Unknown code",IF(D457="","Missing qty",IF(A457="","Missing date","")))))</f>
        <v/>
      </c>
    </row>
    <row r="458" customFormat="false" ht="15" hidden="false" customHeight="false" outlineLevel="0" collapsed="false">
      <c r="A458" s="44"/>
      <c r="B458" s="39"/>
      <c r="C458" s="45" t="str">
        <f aca="false">IF(B458="","",IFERROR(INDEX(Contract!$C$10:$C$23,MATCH(B458,Contract!$B$10:$B$23,0)),"Unknown code"))</f>
        <v/>
      </c>
      <c r="D458" s="46"/>
      <c r="E458" s="39"/>
      <c r="F458" s="39"/>
      <c r="G458" s="47" t="str">
        <f aca="false">IF(AND(B458="",D458=""),"",IF(B458="","Missing code",IF(C458="Unknown code","Unknown code",IF(D458="","Missing qty",IF(A458="","Missing date","")))))</f>
        <v/>
      </c>
    </row>
    <row r="459" customFormat="false" ht="15" hidden="false" customHeight="false" outlineLevel="0" collapsed="false">
      <c r="A459" s="44"/>
      <c r="B459" s="39"/>
      <c r="C459" s="45" t="str">
        <f aca="false">IF(B459="","",IFERROR(INDEX(Contract!$C$10:$C$23,MATCH(B459,Contract!$B$10:$B$23,0)),"Unknown code"))</f>
        <v/>
      </c>
      <c r="D459" s="46"/>
      <c r="E459" s="39"/>
      <c r="F459" s="39"/>
      <c r="G459" s="47" t="str">
        <f aca="false">IF(AND(B459="",D459=""),"",IF(B459="","Missing code",IF(C459="Unknown code","Unknown code",IF(D459="","Missing qty",IF(A459="","Missing date","")))))</f>
        <v/>
      </c>
    </row>
    <row r="460" customFormat="false" ht="15" hidden="false" customHeight="false" outlineLevel="0" collapsed="false">
      <c r="A460" s="44"/>
      <c r="B460" s="39"/>
      <c r="C460" s="45" t="str">
        <f aca="false">IF(B460="","",IFERROR(INDEX(Contract!$C$10:$C$23,MATCH(B460,Contract!$B$10:$B$23,0)),"Unknown code"))</f>
        <v/>
      </c>
      <c r="D460" s="46"/>
      <c r="E460" s="39"/>
      <c r="F460" s="39"/>
      <c r="G460" s="47" t="str">
        <f aca="false">IF(AND(B460="",D460=""),"",IF(B460="","Missing code",IF(C460="Unknown code","Unknown code",IF(D460="","Missing qty",IF(A460="","Missing date","")))))</f>
        <v/>
      </c>
    </row>
    <row r="461" customFormat="false" ht="15" hidden="false" customHeight="false" outlineLevel="0" collapsed="false">
      <c r="A461" s="44"/>
      <c r="B461" s="39"/>
      <c r="C461" s="45" t="str">
        <f aca="false">IF(B461="","",IFERROR(INDEX(Contract!$C$10:$C$23,MATCH(B461,Contract!$B$10:$B$23,0)),"Unknown code"))</f>
        <v/>
      </c>
      <c r="D461" s="46"/>
      <c r="E461" s="39"/>
      <c r="F461" s="39"/>
      <c r="G461" s="47" t="str">
        <f aca="false">IF(AND(B461="",D461=""),"",IF(B461="","Missing code",IF(C461="Unknown code","Unknown code",IF(D461="","Missing qty",IF(A461="","Missing date","")))))</f>
        <v/>
      </c>
    </row>
    <row r="462" customFormat="false" ht="15" hidden="false" customHeight="false" outlineLevel="0" collapsed="false">
      <c r="A462" s="44"/>
      <c r="B462" s="39"/>
      <c r="C462" s="45" t="str">
        <f aca="false">IF(B462="","",IFERROR(INDEX(Contract!$C$10:$C$23,MATCH(B462,Contract!$B$10:$B$23,0)),"Unknown code"))</f>
        <v/>
      </c>
      <c r="D462" s="46"/>
      <c r="E462" s="39"/>
      <c r="F462" s="39"/>
      <c r="G462" s="47" t="str">
        <f aca="false">IF(AND(B462="",D462=""),"",IF(B462="","Missing code",IF(C462="Unknown code","Unknown code",IF(D462="","Missing qty",IF(A462="","Missing date","")))))</f>
        <v/>
      </c>
    </row>
    <row r="463" customFormat="false" ht="15" hidden="false" customHeight="false" outlineLevel="0" collapsed="false">
      <c r="A463" s="44"/>
      <c r="B463" s="39"/>
      <c r="C463" s="45" t="str">
        <f aca="false">IF(B463="","",IFERROR(INDEX(Contract!$C$10:$C$23,MATCH(B463,Contract!$B$10:$B$23,0)),"Unknown code"))</f>
        <v/>
      </c>
      <c r="D463" s="46"/>
      <c r="E463" s="39"/>
      <c r="F463" s="39"/>
      <c r="G463" s="47" t="str">
        <f aca="false">IF(AND(B463="",D463=""),"",IF(B463="","Missing code",IF(C463="Unknown code","Unknown code",IF(D463="","Missing qty",IF(A463="","Missing date","")))))</f>
        <v/>
      </c>
    </row>
    <row r="464" customFormat="false" ht="15" hidden="false" customHeight="false" outlineLevel="0" collapsed="false">
      <c r="A464" s="44"/>
      <c r="B464" s="39"/>
      <c r="C464" s="45" t="str">
        <f aca="false">IF(B464="","",IFERROR(INDEX(Contract!$C$10:$C$23,MATCH(B464,Contract!$B$10:$B$23,0)),"Unknown code"))</f>
        <v/>
      </c>
      <c r="D464" s="46"/>
      <c r="E464" s="39"/>
      <c r="F464" s="39"/>
      <c r="G464" s="47" t="str">
        <f aca="false">IF(AND(B464="",D464=""),"",IF(B464="","Missing code",IF(C464="Unknown code","Unknown code",IF(D464="","Missing qty",IF(A464="","Missing date","")))))</f>
        <v/>
      </c>
    </row>
    <row r="465" customFormat="false" ht="15" hidden="false" customHeight="false" outlineLevel="0" collapsed="false">
      <c r="A465" s="44"/>
      <c r="B465" s="39"/>
      <c r="C465" s="45" t="str">
        <f aca="false">IF(B465="","",IFERROR(INDEX(Contract!$C$10:$C$23,MATCH(B465,Contract!$B$10:$B$23,0)),"Unknown code"))</f>
        <v/>
      </c>
      <c r="D465" s="46"/>
      <c r="E465" s="39"/>
      <c r="F465" s="39"/>
      <c r="G465" s="47" t="str">
        <f aca="false">IF(AND(B465="",D465=""),"",IF(B465="","Missing code",IF(C465="Unknown code","Unknown code",IF(D465="","Missing qty",IF(A465="","Missing date","")))))</f>
        <v/>
      </c>
    </row>
    <row r="466" customFormat="false" ht="15" hidden="false" customHeight="false" outlineLevel="0" collapsed="false">
      <c r="A466" s="44"/>
      <c r="B466" s="39"/>
      <c r="C466" s="45" t="str">
        <f aca="false">IF(B466="","",IFERROR(INDEX(Contract!$C$10:$C$23,MATCH(B466,Contract!$B$10:$B$23,0)),"Unknown code"))</f>
        <v/>
      </c>
      <c r="D466" s="46"/>
      <c r="E466" s="39"/>
      <c r="F466" s="39"/>
      <c r="G466" s="47" t="str">
        <f aca="false">IF(AND(B466="",D466=""),"",IF(B466="","Missing code",IF(C466="Unknown code","Unknown code",IF(D466="","Missing qty",IF(A466="","Missing date","")))))</f>
        <v/>
      </c>
    </row>
    <row r="467" customFormat="false" ht="15" hidden="false" customHeight="false" outlineLevel="0" collapsed="false">
      <c r="A467" s="44"/>
      <c r="B467" s="39"/>
      <c r="C467" s="45" t="str">
        <f aca="false">IF(B467="","",IFERROR(INDEX(Contract!$C$10:$C$23,MATCH(B467,Contract!$B$10:$B$23,0)),"Unknown code"))</f>
        <v/>
      </c>
      <c r="D467" s="46"/>
      <c r="E467" s="39"/>
      <c r="F467" s="39"/>
      <c r="G467" s="47" t="str">
        <f aca="false">IF(AND(B467="",D467=""),"",IF(B467="","Missing code",IF(C467="Unknown code","Unknown code",IF(D467="","Missing qty",IF(A467="","Missing date","")))))</f>
        <v/>
      </c>
    </row>
    <row r="468" customFormat="false" ht="15" hidden="false" customHeight="false" outlineLevel="0" collapsed="false">
      <c r="A468" s="44"/>
      <c r="B468" s="39"/>
      <c r="C468" s="45" t="str">
        <f aca="false">IF(B468="","",IFERROR(INDEX(Contract!$C$10:$C$23,MATCH(B468,Contract!$B$10:$B$23,0)),"Unknown code"))</f>
        <v/>
      </c>
      <c r="D468" s="46"/>
      <c r="E468" s="39"/>
      <c r="F468" s="39"/>
      <c r="G468" s="47" t="str">
        <f aca="false">IF(AND(B468="",D468=""),"",IF(B468="","Missing code",IF(C468="Unknown code","Unknown code",IF(D468="","Missing qty",IF(A468="","Missing date","")))))</f>
        <v/>
      </c>
    </row>
    <row r="469" customFormat="false" ht="15" hidden="false" customHeight="false" outlineLevel="0" collapsed="false">
      <c r="A469" s="44"/>
      <c r="B469" s="39"/>
      <c r="C469" s="45" t="str">
        <f aca="false">IF(B469="","",IFERROR(INDEX(Contract!$C$10:$C$23,MATCH(B469,Contract!$B$10:$B$23,0)),"Unknown code"))</f>
        <v/>
      </c>
      <c r="D469" s="46"/>
      <c r="E469" s="39"/>
      <c r="F469" s="39"/>
      <c r="G469" s="47" t="str">
        <f aca="false">IF(AND(B469="",D469=""),"",IF(B469="","Missing code",IF(C469="Unknown code","Unknown code",IF(D469="","Missing qty",IF(A469="","Missing date","")))))</f>
        <v/>
      </c>
    </row>
    <row r="470" customFormat="false" ht="15" hidden="false" customHeight="false" outlineLevel="0" collapsed="false">
      <c r="A470" s="44"/>
      <c r="B470" s="39"/>
      <c r="C470" s="45" t="str">
        <f aca="false">IF(B470="","",IFERROR(INDEX(Contract!$C$10:$C$23,MATCH(B470,Contract!$B$10:$B$23,0)),"Unknown code"))</f>
        <v/>
      </c>
      <c r="D470" s="46"/>
      <c r="E470" s="39"/>
      <c r="F470" s="39"/>
      <c r="G470" s="47" t="str">
        <f aca="false">IF(AND(B470="",D470=""),"",IF(B470="","Missing code",IF(C470="Unknown code","Unknown code",IF(D470="","Missing qty",IF(A470="","Missing date","")))))</f>
        <v/>
      </c>
    </row>
    <row r="471" customFormat="false" ht="15" hidden="false" customHeight="false" outlineLevel="0" collapsed="false">
      <c r="A471" s="44"/>
      <c r="B471" s="39"/>
      <c r="C471" s="45" t="str">
        <f aca="false">IF(B471="","",IFERROR(INDEX(Contract!$C$10:$C$23,MATCH(B471,Contract!$B$10:$B$23,0)),"Unknown code"))</f>
        <v/>
      </c>
      <c r="D471" s="46"/>
      <c r="E471" s="39"/>
      <c r="F471" s="39"/>
      <c r="G471" s="47" t="str">
        <f aca="false">IF(AND(B471="",D471=""),"",IF(B471="","Missing code",IF(C471="Unknown code","Unknown code",IF(D471="","Missing qty",IF(A471="","Missing date","")))))</f>
        <v/>
      </c>
    </row>
    <row r="472" customFormat="false" ht="15" hidden="false" customHeight="false" outlineLevel="0" collapsed="false">
      <c r="A472" s="44"/>
      <c r="B472" s="39"/>
      <c r="C472" s="45" t="str">
        <f aca="false">IF(B472="","",IFERROR(INDEX(Contract!$C$10:$C$23,MATCH(B472,Contract!$B$10:$B$23,0)),"Unknown code"))</f>
        <v/>
      </c>
      <c r="D472" s="46"/>
      <c r="E472" s="39"/>
      <c r="F472" s="39"/>
      <c r="G472" s="47" t="str">
        <f aca="false">IF(AND(B472="",D472=""),"",IF(B472="","Missing code",IF(C472="Unknown code","Unknown code",IF(D472="","Missing qty",IF(A472="","Missing date","")))))</f>
        <v/>
      </c>
    </row>
    <row r="473" customFormat="false" ht="15" hidden="false" customHeight="false" outlineLevel="0" collapsed="false">
      <c r="A473" s="44"/>
      <c r="B473" s="39"/>
      <c r="C473" s="45" t="str">
        <f aca="false">IF(B473="","",IFERROR(INDEX(Contract!$C$10:$C$23,MATCH(B473,Contract!$B$10:$B$23,0)),"Unknown code"))</f>
        <v/>
      </c>
      <c r="D473" s="46"/>
      <c r="E473" s="39"/>
      <c r="F473" s="39"/>
      <c r="G473" s="47" t="str">
        <f aca="false">IF(AND(B473="",D473=""),"",IF(B473="","Missing code",IF(C473="Unknown code","Unknown code",IF(D473="","Missing qty",IF(A473="","Missing date","")))))</f>
        <v/>
      </c>
    </row>
    <row r="474" customFormat="false" ht="15" hidden="false" customHeight="false" outlineLevel="0" collapsed="false">
      <c r="A474" s="44"/>
      <c r="B474" s="39"/>
      <c r="C474" s="45" t="str">
        <f aca="false">IF(B474="","",IFERROR(INDEX(Contract!$C$10:$C$23,MATCH(B474,Contract!$B$10:$B$23,0)),"Unknown code"))</f>
        <v/>
      </c>
      <c r="D474" s="46"/>
      <c r="E474" s="39"/>
      <c r="F474" s="39"/>
      <c r="G474" s="47" t="str">
        <f aca="false">IF(AND(B474="",D474=""),"",IF(B474="","Missing code",IF(C474="Unknown code","Unknown code",IF(D474="","Missing qty",IF(A474="","Missing date","")))))</f>
        <v/>
      </c>
    </row>
    <row r="475" customFormat="false" ht="15" hidden="false" customHeight="false" outlineLevel="0" collapsed="false">
      <c r="A475" s="44"/>
      <c r="B475" s="39"/>
      <c r="C475" s="45" t="str">
        <f aca="false">IF(B475="","",IFERROR(INDEX(Contract!$C$10:$C$23,MATCH(B475,Contract!$B$10:$B$23,0)),"Unknown code"))</f>
        <v/>
      </c>
      <c r="D475" s="46"/>
      <c r="E475" s="39"/>
      <c r="F475" s="39"/>
      <c r="G475" s="47" t="str">
        <f aca="false">IF(AND(B475="",D475=""),"",IF(B475="","Missing code",IF(C475="Unknown code","Unknown code",IF(D475="","Missing qty",IF(A475="","Missing date","")))))</f>
        <v/>
      </c>
    </row>
    <row r="476" customFormat="false" ht="15" hidden="false" customHeight="false" outlineLevel="0" collapsed="false">
      <c r="A476" s="44"/>
      <c r="B476" s="39"/>
      <c r="C476" s="45" t="str">
        <f aca="false">IF(B476="","",IFERROR(INDEX(Contract!$C$10:$C$23,MATCH(B476,Contract!$B$10:$B$23,0)),"Unknown code"))</f>
        <v/>
      </c>
      <c r="D476" s="46"/>
      <c r="E476" s="39"/>
      <c r="F476" s="39"/>
      <c r="G476" s="47" t="str">
        <f aca="false">IF(AND(B476="",D476=""),"",IF(B476="","Missing code",IF(C476="Unknown code","Unknown code",IF(D476="","Missing qty",IF(A476="","Missing date","")))))</f>
        <v/>
      </c>
    </row>
    <row r="477" customFormat="false" ht="15" hidden="false" customHeight="false" outlineLevel="0" collapsed="false">
      <c r="A477" s="44"/>
      <c r="B477" s="39"/>
      <c r="C477" s="45" t="str">
        <f aca="false">IF(B477="","",IFERROR(INDEX(Contract!$C$10:$C$23,MATCH(B477,Contract!$B$10:$B$23,0)),"Unknown code"))</f>
        <v/>
      </c>
      <c r="D477" s="46"/>
      <c r="E477" s="39"/>
      <c r="F477" s="39"/>
      <c r="G477" s="47" t="str">
        <f aca="false">IF(AND(B477="",D477=""),"",IF(B477="","Missing code",IF(C477="Unknown code","Unknown code",IF(D477="","Missing qty",IF(A477="","Missing date","")))))</f>
        <v/>
      </c>
    </row>
    <row r="478" customFormat="false" ht="15" hidden="false" customHeight="false" outlineLevel="0" collapsed="false">
      <c r="A478" s="44"/>
      <c r="B478" s="39"/>
      <c r="C478" s="45" t="str">
        <f aca="false">IF(B478="","",IFERROR(INDEX(Contract!$C$10:$C$23,MATCH(B478,Contract!$B$10:$B$23,0)),"Unknown code"))</f>
        <v/>
      </c>
      <c r="D478" s="46"/>
      <c r="E478" s="39"/>
      <c r="F478" s="39"/>
      <c r="G478" s="47" t="str">
        <f aca="false">IF(AND(B478="",D478=""),"",IF(B478="","Missing code",IF(C478="Unknown code","Unknown code",IF(D478="","Missing qty",IF(A478="","Missing date","")))))</f>
        <v/>
      </c>
    </row>
    <row r="479" customFormat="false" ht="15" hidden="false" customHeight="false" outlineLevel="0" collapsed="false">
      <c r="A479" s="44"/>
      <c r="B479" s="39"/>
      <c r="C479" s="45" t="str">
        <f aca="false">IF(B479="","",IFERROR(INDEX(Contract!$C$10:$C$23,MATCH(B479,Contract!$B$10:$B$23,0)),"Unknown code"))</f>
        <v/>
      </c>
      <c r="D479" s="46"/>
      <c r="E479" s="39"/>
      <c r="F479" s="39"/>
      <c r="G479" s="47" t="str">
        <f aca="false">IF(AND(B479="",D479=""),"",IF(B479="","Missing code",IF(C479="Unknown code","Unknown code",IF(D479="","Missing qty",IF(A479="","Missing date","")))))</f>
        <v/>
      </c>
    </row>
    <row r="480" customFormat="false" ht="15" hidden="false" customHeight="false" outlineLevel="0" collapsed="false">
      <c r="A480" s="44"/>
      <c r="B480" s="39"/>
      <c r="C480" s="45" t="str">
        <f aca="false">IF(B480="","",IFERROR(INDEX(Contract!$C$10:$C$23,MATCH(B480,Contract!$B$10:$B$23,0)),"Unknown code"))</f>
        <v/>
      </c>
      <c r="D480" s="46"/>
      <c r="E480" s="39"/>
      <c r="F480" s="39"/>
      <c r="G480" s="47" t="str">
        <f aca="false">IF(AND(B480="",D480=""),"",IF(B480="","Missing code",IF(C480="Unknown code","Unknown code",IF(D480="","Missing qty",IF(A480="","Missing date","")))))</f>
        <v/>
      </c>
    </row>
    <row r="481" customFormat="false" ht="15" hidden="false" customHeight="false" outlineLevel="0" collapsed="false">
      <c r="A481" s="44"/>
      <c r="B481" s="39"/>
      <c r="C481" s="45" t="str">
        <f aca="false">IF(B481="","",IFERROR(INDEX(Contract!$C$10:$C$23,MATCH(B481,Contract!$B$10:$B$23,0)),"Unknown code"))</f>
        <v/>
      </c>
      <c r="D481" s="46"/>
      <c r="E481" s="39"/>
      <c r="F481" s="39"/>
      <c r="G481" s="47" t="str">
        <f aca="false">IF(AND(B481="",D481=""),"",IF(B481="","Missing code",IF(C481="Unknown code","Unknown code",IF(D481="","Missing qty",IF(A481="","Missing date","")))))</f>
        <v/>
      </c>
    </row>
    <row r="482" customFormat="false" ht="15" hidden="false" customHeight="false" outlineLevel="0" collapsed="false">
      <c r="A482" s="44"/>
      <c r="B482" s="39"/>
      <c r="C482" s="45" t="str">
        <f aca="false">IF(B482="","",IFERROR(INDEX(Contract!$C$10:$C$23,MATCH(B482,Contract!$B$10:$B$23,0)),"Unknown code"))</f>
        <v/>
      </c>
      <c r="D482" s="46"/>
      <c r="E482" s="39"/>
      <c r="F482" s="39"/>
      <c r="G482" s="47" t="str">
        <f aca="false">IF(AND(B482="",D482=""),"",IF(B482="","Missing code",IF(C482="Unknown code","Unknown code",IF(D482="","Missing qty",IF(A482="","Missing date","")))))</f>
        <v/>
      </c>
    </row>
    <row r="483" customFormat="false" ht="15" hidden="false" customHeight="false" outlineLevel="0" collapsed="false">
      <c r="A483" s="44"/>
      <c r="B483" s="39"/>
      <c r="C483" s="45" t="str">
        <f aca="false">IF(B483="","",IFERROR(INDEX(Contract!$C$10:$C$23,MATCH(B483,Contract!$B$10:$B$23,0)),"Unknown code"))</f>
        <v/>
      </c>
      <c r="D483" s="46"/>
      <c r="E483" s="39"/>
      <c r="F483" s="39"/>
      <c r="G483" s="47" t="str">
        <f aca="false">IF(AND(B483="",D483=""),"",IF(B483="","Missing code",IF(C483="Unknown code","Unknown code",IF(D483="","Missing qty",IF(A483="","Missing date","")))))</f>
        <v/>
      </c>
    </row>
    <row r="484" customFormat="false" ht="15" hidden="false" customHeight="false" outlineLevel="0" collapsed="false">
      <c r="A484" s="44"/>
      <c r="B484" s="39"/>
      <c r="C484" s="45" t="str">
        <f aca="false">IF(B484="","",IFERROR(INDEX(Contract!$C$10:$C$23,MATCH(B484,Contract!$B$10:$B$23,0)),"Unknown code"))</f>
        <v/>
      </c>
      <c r="D484" s="46"/>
      <c r="E484" s="39"/>
      <c r="F484" s="39"/>
      <c r="G484" s="47" t="str">
        <f aca="false">IF(AND(B484="",D484=""),"",IF(B484="","Missing code",IF(C484="Unknown code","Unknown code",IF(D484="","Missing qty",IF(A484="","Missing date","")))))</f>
        <v/>
      </c>
    </row>
    <row r="485" customFormat="false" ht="15" hidden="false" customHeight="false" outlineLevel="0" collapsed="false">
      <c r="A485" s="44"/>
      <c r="B485" s="39"/>
      <c r="C485" s="45" t="str">
        <f aca="false">IF(B485="","",IFERROR(INDEX(Contract!$C$10:$C$23,MATCH(B485,Contract!$B$10:$B$23,0)),"Unknown code"))</f>
        <v/>
      </c>
      <c r="D485" s="46"/>
      <c r="E485" s="39"/>
      <c r="F485" s="39"/>
      <c r="G485" s="47" t="str">
        <f aca="false">IF(AND(B485="",D485=""),"",IF(B485="","Missing code",IF(C485="Unknown code","Unknown code",IF(D485="","Missing qty",IF(A485="","Missing date","")))))</f>
        <v/>
      </c>
    </row>
    <row r="486" customFormat="false" ht="15" hidden="false" customHeight="false" outlineLevel="0" collapsed="false">
      <c r="A486" s="44"/>
      <c r="B486" s="39"/>
      <c r="C486" s="45" t="str">
        <f aca="false">IF(B486="","",IFERROR(INDEX(Contract!$C$10:$C$23,MATCH(B486,Contract!$B$10:$B$23,0)),"Unknown code"))</f>
        <v/>
      </c>
      <c r="D486" s="46"/>
      <c r="E486" s="39"/>
      <c r="F486" s="39"/>
      <c r="G486" s="47" t="str">
        <f aca="false">IF(AND(B486="",D486=""),"",IF(B486="","Missing code",IF(C486="Unknown code","Unknown code",IF(D486="","Missing qty",IF(A486="","Missing date","")))))</f>
        <v/>
      </c>
    </row>
    <row r="487" customFormat="false" ht="15" hidden="false" customHeight="false" outlineLevel="0" collapsed="false">
      <c r="A487" s="44"/>
      <c r="B487" s="39"/>
      <c r="C487" s="45" t="str">
        <f aca="false">IF(B487="","",IFERROR(INDEX(Contract!$C$10:$C$23,MATCH(B487,Contract!$B$10:$B$23,0)),"Unknown code"))</f>
        <v/>
      </c>
      <c r="D487" s="46"/>
      <c r="E487" s="39"/>
      <c r="F487" s="39"/>
      <c r="G487" s="47" t="str">
        <f aca="false">IF(AND(B487="",D487=""),"",IF(B487="","Missing code",IF(C487="Unknown code","Unknown code",IF(D487="","Missing qty",IF(A487="","Missing date","")))))</f>
        <v/>
      </c>
    </row>
    <row r="488" customFormat="false" ht="15" hidden="false" customHeight="false" outlineLevel="0" collapsed="false">
      <c r="A488" s="44"/>
      <c r="B488" s="39"/>
      <c r="C488" s="45" t="str">
        <f aca="false">IF(B488="","",IFERROR(INDEX(Contract!$C$10:$C$23,MATCH(B488,Contract!$B$10:$B$23,0)),"Unknown code"))</f>
        <v/>
      </c>
      <c r="D488" s="46"/>
      <c r="E488" s="39"/>
      <c r="F488" s="39"/>
      <c r="G488" s="47" t="str">
        <f aca="false">IF(AND(B488="",D488=""),"",IF(B488="","Missing code",IF(C488="Unknown code","Unknown code",IF(D488="","Missing qty",IF(A488="","Missing date","")))))</f>
        <v/>
      </c>
    </row>
    <row r="489" customFormat="false" ht="15" hidden="false" customHeight="false" outlineLevel="0" collapsed="false">
      <c r="A489" s="44"/>
      <c r="B489" s="39"/>
      <c r="C489" s="45" t="str">
        <f aca="false">IF(B489="","",IFERROR(INDEX(Contract!$C$10:$C$23,MATCH(B489,Contract!$B$10:$B$23,0)),"Unknown code"))</f>
        <v/>
      </c>
      <c r="D489" s="46"/>
      <c r="E489" s="39"/>
      <c r="F489" s="39"/>
      <c r="G489" s="47" t="str">
        <f aca="false">IF(AND(B489="",D489=""),"",IF(B489="","Missing code",IF(C489="Unknown code","Unknown code",IF(D489="","Missing qty",IF(A489="","Missing date","")))))</f>
        <v/>
      </c>
    </row>
    <row r="490" customFormat="false" ht="15" hidden="false" customHeight="false" outlineLevel="0" collapsed="false">
      <c r="A490" s="44"/>
      <c r="B490" s="39"/>
      <c r="C490" s="45" t="str">
        <f aca="false">IF(B490="","",IFERROR(INDEX(Contract!$C$10:$C$23,MATCH(B490,Contract!$B$10:$B$23,0)),"Unknown code"))</f>
        <v/>
      </c>
      <c r="D490" s="46"/>
      <c r="E490" s="39"/>
      <c r="F490" s="39"/>
      <c r="G490" s="47" t="str">
        <f aca="false">IF(AND(B490="",D490=""),"",IF(B490="","Missing code",IF(C490="Unknown code","Unknown code",IF(D490="","Missing qty",IF(A490="","Missing date","")))))</f>
        <v/>
      </c>
    </row>
    <row r="491" customFormat="false" ht="15" hidden="false" customHeight="false" outlineLevel="0" collapsed="false">
      <c r="A491" s="44"/>
      <c r="B491" s="39"/>
      <c r="C491" s="45" t="str">
        <f aca="false">IF(B491="","",IFERROR(INDEX(Contract!$C$10:$C$23,MATCH(B491,Contract!$B$10:$B$23,0)),"Unknown code"))</f>
        <v/>
      </c>
      <c r="D491" s="46"/>
      <c r="E491" s="39"/>
      <c r="F491" s="39"/>
      <c r="G491" s="47" t="str">
        <f aca="false">IF(AND(B491="",D491=""),"",IF(B491="","Missing code",IF(C491="Unknown code","Unknown code",IF(D491="","Missing qty",IF(A491="","Missing date","")))))</f>
        <v/>
      </c>
    </row>
    <row r="492" customFormat="false" ht="15" hidden="false" customHeight="false" outlineLevel="0" collapsed="false">
      <c r="A492" s="44"/>
      <c r="B492" s="39"/>
      <c r="C492" s="45" t="str">
        <f aca="false">IF(B492="","",IFERROR(INDEX(Contract!$C$10:$C$23,MATCH(B492,Contract!$B$10:$B$23,0)),"Unknown code"))</f>
        <v/>
      </c>
      <c r="D492" s="46"/>
      <c r="E492" s="39"/>
      <c r="F492" s="39"/>
      <c r="G492" s="47" t="str">
        <f aca="false">IF(AND(B492="",D492=""),"",IF(B492="","Missing code",IF(C492="Unknown code","Unknown code",IF(D492="","Missing qty",IF(A492="","Missing date","")))))</f>
        <v/>
      </c>
    </row>
    <row r="493" customFormat="false" ht="15" hidden="false" customHeight="false" outlineLevel="0" collapsed="false">
      <c r="A493" s="44"/>
      <c r="B493" s="39"/>
      <c r="C493" s="45" t="str">
        <f aca="false">IF(B493="","",IFERROR(INDEX(Contract!$C$10:$C$23,MATCH(B493,Contract!$B$10:$B$23,0)),"Unknown code"))</f>
        <v/>
      </c>
      <c r="D493" s="46"/>
      <c r="E493" s="39"/>
      <c r="F493" s="39"/>
      <c r="G493" s="47" t="str">
        <f aca="false">IF(AND(B493="",D493=""),"",IF(B493="","Missing code",IF(C493="Unknown code","Unknown code",IF(D493="","Missing qty",IF(A493="","Missing date","")))))</f>
        <v/>
      </c>
    </row>
    <row r="494" customFormat="false" ht="15" hidden="false" customHeight="false" outlineLevel="0" collapsed="false">
      <c r="A494" s="44"/>
      <c r="B494" s="39"/>
      <c r="C494" s="45" t="str">
        <f aca="false">IF(B494="","",IFERROR(INDEX(Contract!$C$10:$C$23,MATCH(B494,Contract!$B$10:$B$23,0)),"Unknown code"))</f>
        <v/>
      </c>
      <c r="D494" s="46"/>
      <c r="E494" s="39"/>
      <c r="F494" s="39"/>
      <c r="G494" s="47" t="str">
        <f aca="false">IF(AND(B494="",D494=""),"",IF(B494="","Missing code",IF(C494="Unknown code","Unknown code",IF(D494="","Missing qty",IF(A494="","Missing date","")))))</f>
        <v/>
      </c>
    </row>
    <row r="495" customFormat="false" ht="15" hidden="false" customHeight="false" outlineLevel="0" collapsed="false">
      <c r="A495" s="44"/>
      <c r="B495" s="39"/>
      <c r="C495" s="45" t="str">
        <f aca="false">IF(B495="","",IFERROR(INDEX(Contract!$C$10:$C$23,MATCH(B495,Contract!$B$10:$B$23,0)),"Unknown code"))</f>
        <v/>
      </c>
      <c r="D495" s="46"/>
      <c r="E495" s="39"/>
      <c r="F495" s="39"/>
      <c r="G495" s="47" t="str">
        <f aca="false">IF(AND(B495="",D495=""),"",IF(B495="","Missing code",IF(C495="Unknown code","Unknown code",IF(D495="","Missing qty",IF(A495="","Missing date","")))))</f>
        <v/>
      </c>
    </row>
    <row r="496" customFormat="false" ht="15" hidden="false" customHeight="false" outlineLevel="0" collapsed="false">
      <c r="A496" s="44"/>
      <c r="B496" s="39"/>
      <c r="C496" s="45" t="str">
        <f aca="false">IF(B496="","",IFERROR(INDEX(Contract!$C$10:$C$23,MATCH(B496,Contract!$B$10:$B$23,0)),"Unknown code"))</f>
        <v/>
      </c>
      <c r="D496" s="46"/>
      <c r="E496" s="39"/>
      <c r="F496" s="39"/>
      <c r="G496" s="47" t="str">
        <f aca="false">IF(AND(B496="",D496=""),"",IF(B496="","Missing code",IF(C496="Unknown code","Unknown code",IF(D496="","Missing qty",IF(A496="","Missing date","")))))</f>
        <v/>
      </c>
    </row>
    <row r="497" customFormat="false" ht="15" hidden="false" customHeight="false" outlineLevel="0" collapsed="false">
      <c r="A497" s="44"/>
      <c r="B497" s="39"/>
      <c r="C497" s="45" t="str">
        <f aca="false">IF(B497="","",IFERROR(INDEX(Contract!$C$10:$C$23,MATCH(B497,Contract!$B$10:$B$23,0)),"Unknown code"))</f>
        <v/>
      </c>
      <c r="D497" s="46"/>
      <c r="E497" s="39"/>
      <c r="F497" s="39"/>
      <c r="G497" s="47" t="str">
        <f aca="false">IF(AND(B497="",D497=""),"",IF(B497="","Missing code",IF(C497="Unknown code","Unknown code",IF(D497="","Missing qty",IF(A497="","Missing date","")))))</f>
        <v/>
      </c>
    </row>
    <row r="498" customFormat="false" ht="15" hidden="false" customHeight="false" outlineLevel="0" collapsed="false">
      <c r="A498" s="44"/>
      <c r="B498" s="39"/>
      <c r="C498" s="45" t="str">
        <f aca="false">IF(B498="","",IFERROR(INDEX(Contract!$C$10:$C$23,MATCH(B498,Contract!$B$10:$B$23,0)),"Unknown code"))</f>
        <v/>
      </c>
      <c r="D498" s="46"/>
      <c r="E498" s="39"/>
      <c r="F498" s="39"/>
      <c r="G498" s="47" t="str">
        <f aca="false">IF(AND(B498="",D498=""),"",IF(B498="","Missing code",IF(C498="Unknown code","Unknown code",IF(D498="","Missing qty",IF(A498="","Missing date","")))))</f>
        <v/>
      </c>
    </row>
    <row r="499" customFormat="false" ht="15" hidden="false" customHeight="false" outlineLevel="0" collapsed="false">
      <c r="A499" s="44"/>
      <c r="B499" s="39"/>
      <c r="C499" s="45" t="str">
        <f aca="false">IF(B499="","",IFERROR(INDEX(Contract!$C$10:$C$23,MATCH(B499,Contract!$B$10:$B$23,0)),"Unknown code"))</f>
        <v/>
      </c>
      <c r="D499" s="46"/>
      <c r="E499" s="39"/>
      <c r="F499" s="39"/>
      <c r="G499" s="47" t="str">
        <f aca="false">IF(AND(B499="",D499=""),"",IF(B499="","Missing code",IF(C499="Unknown code","Unknown code",IF(D499="","Missing qty",IF(A499="","Missing date","")))))</f>
        <v/>
      </c>
    </row>
    <row r="500" customFormat="false" ht="15" hidden="false" customHeight="false" outlineLevel="0" collapsed="false">
      <c r="A500" s="44"/>
      <c r="B500" s="39"/>
      <c r="C500" s="45" t="str">
        <f aca="false">IF(B500="","",IFERROR(INDEX(Contract!$C$10:$C$23,MATCH(B500,Contract!$B$10:$B$23,0)),"Unknown code"))</f>
        <v/>
      </c>
      <c r="D500" s="46"/>
      <c r="E500" s="39"/>
      <c r="F500" s="39"/>
      <c r="G500" s="47" t="str">
        <f aca="false">IF(AND(B500="",D500=""),"",IF(B500="","Missing code",IF(C500="Unknown code","Unknown code",IF(D500="","Missing qty",IF(A500="","Missing date","")))))</f>
        <v/>
      </c>
    </row>
    <row r="501" customFormat="false" ht="15" hidden="false" customHeight="false" outlineLevel="0" collapsed="false">
      <c r="A501" s="44"/>
      <c r="B501" s="39"/>
      <c r="C501" s="45" t="str">
        <f aca="false">IF(B501="","",IFERROR(INDEX(Contract!$C$10:$C$23,MATCH(B501,Contract!$B$10:$B$23,0)),"Unknown code"))</f>
        <v/>
      </c>
      <c r="D501" s="46"/>
      <c r="E501" s="39"/>
      <c r="F501" s="39"/>
      <c r="G501" s="47" t="str">
        <f aca="false">IF(AND(B501="",D501=""),"",IF(B501="","Missing code",IF(C501="Unknown code","Unknown code",IF(D501="","Missing qty",IF(A501="","Missing date","")))))</f>
        <v/>
      </c>
    </row>
    <row r="502" customFormat="false" ht="15" hidden="false" customHeight="false" outlineLevel="0" collapsed="false">
      <c r="A502" s="44"/>
      <c r="B502" s="39"/>
      <c r="C502" s="45" t="str">
        <f aca="false">IF(B502="","",IFERROR(INDEX(Contract!$C$10:$C$23,MATCH(B502,Contract!$B$10:$B$23,0)),"Unknown code"))</f>
        <v/>
      </c>
      <c r="D502" s="46"/>
      <c r="E502" s="39"/>
      <c r="F502" s="39"/>
      <c r="G502" s="47" t="str">
        <f aca="false">IF(AND(B502="",D502=""),"",IF(B502="","Missing code",IF(C502="Unknown code","Unknown code",IF(D502="","Missing qty",IF(A502="","Missing date","")))))</f>
        <v/>
      </c>
    </row>
    <row r="503" customFormat="false" ht="15" hidden="false" customHeight="false" outlineLevel="0" collapsed="false">
      <c r="A503" s="44"/>
      <c r="B503" s="39"/>
      <c r="C503" s="45" t="str">
        <f aca="false">IF(B503="","",IFERROR(INDEX(Contract!$C$10:$C$23,MATCH(B503,Contract!$B$10:$B$23,0)),"Unknown code"))</f>
        <v/>
      </c>
      <c r="D503" s="46"/>
      <c r="E503" s="39"/>
      <c r="F503" s="39"/>
      <c r="G503" s="47" t="str">
        <f aca="false">IF(AND(B503="",D503=""),"",IF(B503="","Missing code",IF(C503="Unknown code","Unknown code",IF(D503="","Missing qty",IF(A503="","Missing date","")))))</f>
        <v/>
      </c>
    </row>
    <row r="504" customFormat="false" ht="15" hidden="false" customHeight="false" outlineLevel="0" collapsed="false">
      <c r="A504" s="44"/>
      <c r="B504" s="39"/>
      <c r="C504" s="45" t="str">
        <f aca="false">IF(B504="","",IFERROR(INDEX(Contract!$C$10:$C$23,MATCH(B504,Contract!$B$10:$B$23,0)),"Unknown code"))</f>
        <v/>
      </c>
      <c r="D504" s="46"/>
      <c r="E504" s="39"/>
      <c r="F504" s="39"/>
      <c r="G504" s="47" t="str">
        <f aca="false">IF(AND(B504="",D504=""),"",IF(B504="","Missing code",IF(C504="Unknown code","Unknown code",IF(D504="","Missing qty",IF(A504="","Missing date","")))))</f>
        <v/>
      </c>
    </row>
    <row r="505" customFormat="false" ht="15" hidden="false" customHeight="false" outlineLevel="0" collapsed="false">
      <c r="A505" s="44"/>
      <c r="B505" s="39"/>
      <c r="C505" s="45" t="str">
        <f aca="false">IF(B505="","",IFERROR(INDEX(Contract!$C$10:$C$23,MATCH(B505,Contract!$B$10:$B$23,0)),"Unknown code"))</f>
        <v/>
      </c>
      <c r="D505" s="46"/>
      <c r="E505" s="39"/>
      <c r="F505" s="39"/>
      <c r="G505" s="47" t="str">
        <f aca="false">IF(AND(B505="",D505=""),"",IF(B505="","Missing code",IF(C505="Unknown code","Unknown code",IF(D505="","Missing qty",IF(A505="","Missing date","")))))</f>
        <v/>
      </c>
    </row>
    <row r="506" customFormat="false" ht="15" hidden="false" customHeight="false" outlineLevel="0" collapsed="false">
      <c r="A506" s="44"/>
      <c r="B506" s="39"/>
      <c r="C506" s="45" t="str">
        <f aca="false">IF(B506="","",IFERROR(INDEX(Contract!$C$10:$C$23,MATCH(B506,Contract!$B$10:$B$23,0)),"Unknown code"))</f>
        <v/>
      </c>
      <c r="D506" s="46"/>
      <c r="E506" s="39"/>
      <c r="F506" s="39"/>
      <c r="G506" s="47" t="str">
        <f aca="false">IF(AND(B506="",D506=""),"",IF(B506="","Missing code",IF(C506="Unknown code","Unknown code",IF(D506="","Missing qty",IF(A506="","Missing date","")))))</f>
        <v/>
      </c>
    </row>
    <row r="507" customFormat="false" ht="15" hidden="false" customHeight="false" outlineLevel="0" collapsed="false">
      <c r="A507" s="44"/>
      <c r="B507" s="39"/>
      <c r="C507" s="45" t="str">
        <f aca="false">IF(B507="","",IFERROR(INDEX(Contract!$C$10:$C$23,MATCH(B507,Contract!$B$10:$B$23,0)),"Unknown code"))</f>
        <v/>
      </c>
      <c r="D507" s="46"/>
      <c r="E507" s="39"/>
      <c r="F507" s="39"/>
      <c r="G507" s="47" t="str">
        <f aca="false">IF(AND(B507="",D507=""),"",IF(B507="","Missing code",IF(C507="Unknown code","Unknown code",IF(D507="","Missing qty",IF(A507="","Missing date","")))))</f>
        <v/>
      </c>
    </row>
    <row r="508" customFormat="false" ht="15" hidden="false" customHeight="false" outlineLevel="0" collapsed="false">
      <c r="A508" s="44"/>
      <c r="B508" s="39"/>
      <c r="C508" s="45" t="str">
        <f aca="false">IF(B508="","",IFERROR(INDEX(Contract!$C$10:$C$23,MATCH(B508,Contract!$B$10:$B$23,0)),"Unknown code"))</f>
        <v/>
      </c>
      <c r="D508" s="46"/>
      <c r="E508" s="39"/>
      <c r="F508" s="39"/>
      <c r="G508" s="47" t="str">
        <f aca="false">IF(AND(B508="",D508=""),"",IF(B508="","Missing code",IF(C508="Unknown code","Unknown code",IF(D508="","Missing qty",IF(A508="","Missing date","")))))</f>
        <v/>
      </c>
    </row>
    <row r="509" customFormat="false" ht="15" hidden="false" customHeight="false" outlineLevel="0" collapsed="false">
      <c r="A509" s="44"/>
      <c r="B509" s="39"/>
      <c r="C509" s="45" t="str">
        <f aca="false">IF(B509="","",IFERROR(INDEX(Contract!$C$10:$C$23,MATCH(B509,Contract!$B$10:$B$23,0)),"Unknown code"))</f>
        <v/>
      </c>
      <c r="D509" s="46"/>
      <c r="E509" s="39"/>
      <c r="F509" s="39"/>
      <c r="G509" s="47" t="str">
        <f aca="false">IF(AND(B509="",D509=""),"",IF(B509="","Missing code",IF(C509="Unknown code","Unknown code",IF(D509="","Missing qty",IF(A509="","Missing date","")))))</f>
        <v/>
      </c>
    </row>
    <row r="510" customFormat="false" ht="15" hidden="false" customHeight="false" outlineLevel="0" collapsed="false">
      <c r="A510" s="44"/>
      <c r="B510" s="39"/>
      <c r="C510" s="45" t="str">
        <f aca="false">IF(B510="","",IFERROR(INDEX(Contract!$C$10:$C$23,MATCH(B510,Contract!$B$10:$B$23,0)),"Unknown code"))</f>
        <v/>
      </c>
      <c r="D510" s="46"/>
      <c r="E510" s="39"/>
      <c r="F510" s="39"/>
      <c r="G510" s="47" t="str">
        <f aca="false">IF(AND(B510="",D510=""),"",IF(B510="","Missing code",IF(C510="Unknown code","Unknown code",IF(D510="","Missing qty",IF(A510="","Missing date","")))))</f>
        <v/>
      </c>
    </row>
    <row r="511" customFormat="false" ht="15" hidden="false" customHeight="false" outlineLevel="0" collapsed="false">
      <c r="A511" s="44"/>
      <c r="B511" s="39"/>
      <c r="C511" s="45" t="str">
        <f aca="false">IF(B511="","",IFERROR(INDEX(Contract!$C$10:$C$23,MATCH(B511,Contract!$B$10:$B$23,0)),"Unknown code"))</f>
        <v/>
      </c>
      <c r="D511" s="46"/>
      <c r="E511" s="39"/>
      <c r="F511" s="39"/>
      <c r="G511" s="47" t="str">
        <f aca="false">IF(AND(B511="",D511=""),"",IF(B511="","Missing code",IF(C511="Unknown code","Unknown code",IF(D511="","Missing qty",IF(A511="","Missing date","")))))</f>
        <v/>
      </c>
    </row>
    <row r="512" customFormat="false" ht="15" hidden="false" customHeight="false" outlineLevel="0" collapsed="false">
      <c r="A512" s="44"/>
      <c r="B512" s="39"/>
      <c r="C512" s="45" t="str">
        <f aca="false">IF(B512="","",IFERROR(INDEX(Contract!$C$10:$C$23,MATCH(B512,Contract!$B$10:$B$23,0)),"Unknown code"))</f>
        <v/>
      </c>
      <c r="D512" s="46"/>
      <c r="E512" s="39"/>
      <c r="F512" s="39"/>
      <c r="G512" s="47" t="str">
        <f aca="false">IF(AND(B512="",D512=""),"",IF(B512="","Missing code",IF(C512="Unknown code","Unknown code",IF(D512="","Missing qty",IF(A512="","Missing date","")))))</f>
        <v/>
      </c>
    </row>
    <row r="513" customFormat="false" ht="15" hidden="false" customHeight="false" outlineLevel="0" collapsed="false">
      <c r="A513" s="44"/>
      <c r="B513" s="39"/>
      <c r="C513" s="45" t="str">
        <f aca="false">IF(B513="","",IFERROR(INDEX(Contract!$C$10:$C$23,MATCH(B513,Contract!$B$10:$B$23,0)),"Unknown code"))</f>
        <v/>
      </c>
      <c r="D513" s="46"/>
      <c r="E513" s="39"/>
      <c r="F513" s="39"/>
      <c r="G513" s="47" t="str">
        <f aca="false">IF(AND(B513="",D513=""),"",IF(B513="","Missing code",IF(C513="Unknown code","Unknown code",IF(D513="","Missing qty",IF(A513="","Missing date","")))))</f>
        <v/>
      </c>
    </row>
    <row r="514" customFormat="false" ht="15" hidden="false" customHeight="false" outlineLevel="0" collapsed="false">
      <c r="A514" s="44"/>
      <c r="B514" s="39"/>
      <c r="C514" s="45" t="str">
        <f aca="false">IF(B514="","",IFERROR(INDEX(Contract!$C$10:$C$23,MATCH(B514,Contract!$B$10:$B$23,0)),"Unknown code"))</f>
        <v/>
      </c>
      <c r="D514" s="46"/>
      <c r="E514" s="39"/>
      <c r="F514" s="39"/>
      <c r="G514" s="47" t="str">
        <f aca="false">IF(AND(B514="",D514=""),"",IF(B514="","Missing code",IF(C514="Unknown code","Unknown code",IF(D514="","Missing qty",IF(A514="","Missing date","")))))</f>
        <v/>
      </c>
    </row>
    <row r="515" customFormat="false" ht="15" hidden="false" customHeight="false" outlineLevel="0" collapsed="false">
      <c r="A515" s="44"/>
      <c r="B515" s="39"/>
      <c r="C515" s="45" t="str">
        <f aca="false">IF(B515="","",IFERROR(INDEX(Contract!$C$10:$C$23,MATCH(B515,Contract!$B$10:$B$23,0)),"Unknown code"))</f>
        <v/>
      </c>
      <c r="D515" s="46"/>
      <c r="E515" s="39"/>
      <c r="F515" s="39"/>
      <c r="G515" s="47" t="str">
        <f aca="false">IF(AND(B515="",D515=""),"",IF(B515="","Missing code",IF(C515="Unknown code","Unknown code",IF(D515="","Missing qty",IF(A515="","Missing date","")))))</f>
        <v/>
      </c>
    </row>
    <row r="516" customFormat="false" ht="15" hidden="false" customHeight="false" outlineLevel="0" collapsed="false">
      <c r="A516" s="44"/>
      <c r="B516" s="39"/>
      <c r="C516" s="45" t="str">
        <f aca="false">IF(B516="","",IFERROR(INDEX(Contract!$C$10:$C$23,MATCH(B516,Contract!$B$10:$B$23,0)),"Unknown code"))</f>
        <v/>
      </c>
      <c r="D516" s="46"/>
      <c r="E516" s="39"/>
      <c r="F516" s="39"/>
      <c r="G516" s="47" t="str">
        <f aca="false">IF(AND(B516="",D516=""),"",IF(B516="","Missing code",IF(C516="Unknown code","Unknown code",IF(D516="","Missing qty",IF(A516="","Missing date","")))))</f>
        <v/>
      </c>
    </row>
    <row r="517" customFormat="false" ht="15" hidden="false" customHeight="false" outlineLevel="0" collapsed="false">
      <c r="A517" s="44"/>
      <c r="B517" s="39"/>
      <c r="C517" s="45" t="str">
        <f aca="false">IF(B517="","",IFERROR(INDEX(Contract!$C$10:$C$23,MATCH(B517,Contract!$B$10:$B$23,0)),"Unknown code"))</f>
        <v/>
      </c>
      <c r="D517" s="46"/>
      <c r="E517" s="39"/>
      <c r="F517" s="39"/>
      <c r="G517" s="47" t="str">
        <f aca="false">IF(AND(B517="",D517=""),"",IF(B517="","Missing code",IF(C517="Unknown code","Unknown code",IF(D517="","Missing qty",IF(A517="","Missing date","")))))</f>
        <v/>
      </c>
    </row>
    <row r="518" customFormat="false" ht="15" hidden="false" customHeight="false" outlineLevel="0" collapsed="false">
      <c r="A518" s="44"/>
      <c r="B518" s="39"/>
      <c r="C518" s="45" t="str">
        <f aca="false">IF(B518="","",IFERROR(INDEX(Contract!$C$10:$C$23,MATCH(B518,Contract!$B$10:$B$23,0)),"Unknown code"))</f>
        <v/>
      </c>
      <c r="D518" s="46"/>
      <c r="E518" s="39"/>
      <c r="F518" s="39"/>
      <c r="G518" s="47" t="str">
        <f aca="false">IF(AND(B518="",D518=""),"",IF(B518="","Missing code",IF(C518="Unknown code","Unknown code",IF(D518="","Missing qty",IF(A518="","Missing date","")))))</f>
        <v/>
      </c>
    </row>
    <row r="519" customFormat="false" ht="15" hidden="false" customHeight="false" outlineLevel="0" collapsed="false">
      <c r="A519" s="44"/>
      <c r="B519" s="39"/>
      <c r="C519" s="45" t="str">
        <f aca="false">IF(B519="","",IFERROR(INDEX(Contract!$C$10:$C$23,MATCH(B519,Contract!$B$10:$B$23,0)),"Unknown code"))</f>
        <v/>
      </c>
      <c r="D519" s="46"/>
      <c r="E519" s="39"/>
      <c r="F519" s="39"/>
      <c r="G519" s="47" t="str">
        <f aca="false">IF(AND(B519="",D519=""),"",IF(B519="","Missing code",IF(C519="Unknown code","Unknown code",IF(D519="","Missing qty",IF(A519="","Missing date","")))))</f>
        <v/>
      </c>
    </row>
    <row r="520" customFormat="false" ht="15" hidden="false" customHeight="false" outlineLevel="0" collapsed="false">
      <c r="A520" s="44"/>
      <c r="B520" s="39"/>
      <c r="C520" s="45" t="str">
        <f aca="false">IF(B520="","",IFERROR(INDEX(Contract!$C$10:$C$23,MATCH(B520,Contract!$B$10:$B$23,0)),"Unknown code"))</f>
        <v/>
      </c>
      <c r="D520" s="46"/>
      <c r="E520" s="39"/>
      <c r="F520" s="39"/>
      <c r="G520" s="47" t="str">
        <f aca="false">IF(AND(B520="",D520=""),"",IF(B520="","Missing code",IF(C520="Unknown code","Unknown code",IF(D520="","Missing qty",IF(A520="","Missing date","")))))</f>
        <v/>
      </c>
    </row>
    <row r="521" customFormat="false" ht="15" hidden="false" customHeight="false" outlineLevel="0" collapsed="false">
      <c r="A521" s="44"/>
      <c r="B521" s="39"/>
      <c r="C521" s="45" t="str">
        <f aca="false">IF(B521="","",IFERROR(INDEX(Contract!$C$10:$C$23,MATCH(B521,Contract!$B$10:$B$23,0)),"Unknown code"))</f>
        <v/>
      </c>
      <c r="D521" s="46"/>
      <c r="E521" s="39"/>
      <c r="F521" s="39"/>
      <c r="G521" s="47" t="str">
        <f aca="false">IF(AND(B521="",D521=""),"",IF(B521="","Missing code",IF(C521="Unknown code","Unknown code",IF(D521="","Missing qty",IF(A521="","Missing date","")))))</f>
        <v/>
      </c>
    </row>
    <row r="522" customFormat="false" ht="15" hidden="false" customHeight="false" outlineLevel="0" collapsed="false">
      <c r="A522" s="44"/>
      <c r="B522" s="39"/>
      <c r="C522" s="45" t="str">
        <f aca="false">IF(B522="","",IFERROR(INDEX(Contract!$C$10:$C$23,MATCH(B522,Contract!$B$10:$B$23,0)),"Unknown code"))</f>
        <v/>
      </c>
      <c r="D522" s="46"/>
      <c r="E522" s="39"/>
      <c r="F522" s="39"/>
      <c r="G522" s="47" t="str">
        <f aca="false">IF(AND(B522="",D522=""),"",IF(B522="","Missing code",IF(C522="Unknown code","Unknown code",IF(D522="","Missing qty",IF(A522="","Missing date","")))))</f>
        <v/>
      </c>
    </row>
    <row r="523" customFormat="false" ht="15" hidden="false" customHeight="false" outlineLevel="0" collapsed="false">
      <c r="A523" s="44"/>
      <c r="B523" s="39"/>
      <c r="C523" s="45" t="str">
        <f aca="false">IF(B523="","",IFERROR(INDEX(Contract!$C$10:$C$23,MATCH(B523,Contract!$B$10:$B$23,0)),"Unknown code"))</f>
        <v/>
      </c>
      <c r="D523" s="46"/>
      <c r="E523" s="39"/>
      <c r="F523" s="39"/>
      <c r="G523" s="47" t="str">
        <f aca="false">IF(AND(B523="",D523=""),"",IF(B523="","Missing code",IF(C523="Unknown code","Unknown code",IF(D523="","Missing qty",IF(A523="","Missing date","")))))</f>
        <v/>
      </c>
    </row>
    <row r="524" customFormat="false" ht="15" hidden="false" customHeight="false" outlineLevel="0" collapsed="false">
      <c r="A524" s="44"/>
      <c r="B524" s="39"/>
      <c r="C524" s="45" t="str">
        <f aca="false">IF(B524="","",IFERROR(INDEX(Contract!$C$10:$C$23,MATCH(B524,Contract!$B$10:$B$23,0)),"Unknown code"))</f>
        <v/>
      </c>
      <c r="D524" s="46"/>
      <c r="E524" s="39"/>
      <c r="F524" s="39"/>
      <c r="G524" s="47" t="str">
        <f aca="false">IF(AND(B524="",D524=""),"",IF(B524="","Missing code",IF(C524="Unknown code","Unknown code",IF(D524="","Missing qty",IF(A524="","Missing date","")))))</f>
        <v/>
      </c>
    </row>
    <row r="525" customFormat="false" ht="15" hidden="false" customHeight="false" outlineLevel="0" collapsed="false">
      <c r="A525" s="44"/>
      <c r="B525" s="39"/>
      <c r="C525" s="45" t="str">
        <f aca="false">IF(B525="","",IFERROR(INDEX(Contract!$C$10:$C$23,MATCH(B525,Contract!$B$10:$B$23,0)),"Unknown code"))</f>
        <v/>
      </c>
      <c r="D525" s="46"/>
      <c r="E525" s="39"/>
      <c r="F525" s="39"/>
      <c r="G525" s="47" t="str">
        <f aca="false">IF(AND(B525="",D525=""),"",IF(B525="","Missing code",IF(C525="Unknown code","Unknown code",IF(D525="","Missing qty",IF(A525="","Missing date","")))))</f>
        <v/>
      </c>
    </row>
    <row r="526" customFormat="false" ht="15" hidden="false" customHeight="false" outlineLevel="0" collapsed="false">
      <c r="A526" s="44"/>
      <c r="B526" s="39"/>
      <c r="C526" s="45" t="str">
        <f aca="false">IF(B526="","",IFERROR(INDEX(Contract!$C$10:$C$23,MATCH(B526,Contract!$B$10:$B$23,0)),"Unknown code"))</f>
        <v/>
      </c>
      <c r="D526" s="46"/>
      <c r="E526" s="39"/>
      <c r="F526" s="39"/>
      <c r="G526" s="47" t="str">
        <f aca="false">IF(AND(B526="",D526=""),"",IF(B526="","Missing code",IF(C526="Unknown code","Unknown code",IF(D526="","Missing qty",IF(A526="","Missing date","")))))</f>
        <v/>
      </c>
    </row>
    <row r="527" customFormat="false" ht="15" hidden="false" customHeight="false" outlineLevel="0" collapsed="false">
      <c r="A527" s="44"/>
      <c r="B527" s="39"/>
      <c r="C527" s="45" t="str">
        <f aca="false">IF(B527="","",IFERROR(INDEX(Contract!$C$10:$C$23,MATCH(B527,Contract!$B$10:$B$23,0)),"Unknown code"))</f>
        <v/>
      </c>
      <c r="D527" s="46"/>
      <c r="E527" s="39"/>
      <c r="F527" s="39"/>
      <c r="G527" s="47" t="str">
        <f aca="false">IF(AND(B527="",D527=""),"",IF(B527="","Missing code",IF(C527="Unknown code","Unknown code",IF(D527="","Missing qty",IF(A527="","Missing date","")))))</f>
        <v/>
      </c>
    </row>
    <row r="528" customFormat="false" ht="15" hidden="false" customHeight="false" outlineLevel="0" collapsed="false">
      <c r="A528" s="44"/>
      <c r="B528" s="39"/>
      <c r="C528" s="45" t="str">
        <f aca="false">IF(B528="","",IFERROR(INDEX(Contract!$C$10:$C$23,MATCH(B528,Contract!$B$10:$B$23,0)),"Unknown code"))</f>
        <v/>
      </c>
      <c r="D528" s="46"/>
      <c r="E528" s="39"/>
      <c r="F528" s="39"/>
      <c r="G528" s="47" t="str">
        <f aca="false">IF(AND(B528="",D528=""),"",IF(B528="","Missing code",IF(C528="Unknown code","Unknown code",IF(D528="","Missing qty",IF(A528="","Missing date","")))))</f>
        <v/>
      </c>
    </row>
    <row r="529" customFormat="false" ht="15" hidden="false" customHeight="false" outlineLevel="0" collapsed="false">
      <c r="A529" s="44"/>
      <c r="B529" s="39"/>
      <c r="C529" s="45" t="str">
        <f aca="false">IF(B529="","",IFERROR(INDEX(Contract!$C$10:$C$23,MATCH(B529,Contract!$B$10:$B$23,0)),"Unknown code"))</f>
        <v/>
      </c>
      <c r="D529" s="46"/>
      <c r="E529" s="39"/>
      <c r="F529" s="39"/>
      <c r="G529" s="47" t="str">
        <f aca="false">IF(AND(B529="",D529=""),"",IF(B529="","Missing code",IF(C529="Unknown code","Unknown code",IF(D529="","Missing qty",IF(A529="","Missing date","")))))</f>
        <v/>
      </c>
    </row>
    <row r="530" customFormat="false" ht="15" hidden="false" customHeight="false" outlineLevel="0" collapsed="false">
      <c r="A530" s="44"/>
      <c r="B530" s="39"/>
      <c r="C530" s="45" t="str">
        <f aca="false">IF(B530="","",IFERROR(INDEX(Contract!$C$10:$C$23,MATCH(B530,Contract!$B$10:$B$23,0)),"Unknown code"))</f>
        <v/>
      </c>
      <c r="D530" s="46"/>
      <c r="E530" s="39"/>
      <c r="F530" s="39"/>
      <c r="G530" s="47" t="str">
        <f aca="false">IF(AND(B530="",D530=""),"",IF(B530="","Missing code",IF(C530="Unknown code","Unknown code",IF(D530="","Missing qty",IF(A530="","Missing date","")))))</f>
        <v/>
      </c>
    </row>
    <row r="531" customFormat="false" ht="15" hidden="false" customHeight="false" outlineLevel="0" collapsed="false">
      <c r="A531" s="44"/>
      <c r="B531" s="39"/>
      <c r="C531" s="45" t="str">
        <f aca="false">IF(B531="","",IFERROR(INDEX(Contract!$C$10:$C$23,MATCH(B531,Contract!$B$10:$B$23,0)),"Unknown code"))</f>
        <v/>
      </c>
      <c r="D531" s="46"/>
      <c r="E531" s="39"/>
      <c r="F531" s="39"/>
      <c r="G531" s="47" t="str">
        <f aca="false">IF(AND(B531="",D531=""),"",IF(B531="","Missing code",IF(C531="Unknown code","Unknown code",IF(D531="","Missing qty",IF(A531="","Missing date","")))))</f>
        <v/>
      </c>
    </row>
    <row r="532" customFormat="false" ht="15" hidden="false" customHeight="false" outlineLevel="0" collapsed="false">
      <c r="A532" s="44"/>
      <c r="B532" s="39"/>
      <c r="C532" s="45" t="str">
        <f aca="false">IF(B532="","",IFERROR(INDEX(Contract!$C$10:$C$23,MATCH(B532,Contract!$B$10:$B$23,0)),"Unknown code"))</f>
        <v/>
      </c>
      <c r="D532" s="46"/>
      <c r="E532" s="39"/>
      <c r="F532" s="39"/>
      <c r="G532" s="47" t="str">
        <f aca="false">IF(AND(B532="",D532=""),"",IF(B532="","Missing code",IF(C532="Unknown code","Unknown code",IF(D532="","Missing qty",IF(A532="","Missing date","")))))</f>
        <v/>
      </c>
    </row>
    <row r="533" customFormat="false" ht="15" hidden="false" customHeight="false" outlineLevel="0" collapsed="false">
      <c r="A533" s="44"/>
      <c r="B533" s="39"/>
      <c r="C533" s="45" t="str">
        <f aca="false">IF(B533="","",IFERROR(INDEX(Contract!$C$10:$C$23,MATCH(B533,Contract!$B$10:$B$23,0)),"Unknown code"))</f>
        <v/>
      </c>
      <c r="D533" s="46"/>
      <c r="E533" s="39"/>
      <c r="F533" s="39"/>
      <c r="G533" s="47" t="str">
        <f aca="false">IF(AND(B533="",D533=""),"",IF(B533="","Missing code",IF(C533="Unknown code","Unknown code",IF(D533="","Missing qty",IF(A533="","Missing date","")))))</f>
        <v/>
      </c>
    </row>
    <row r="534" customFormat="false" ht="15" hidden="false" customHeight="false" outlineLevel="0" collapsed="false">
      <c r="A534" s="44"/>
      <c r="B534" s="39"/>
      <c r="C534" s="45" t="str">
        <f aca="false">IF(B534="","",IFERROR(INDEX(Contract!$C$10:$C$23,MATCH(B534,Contract!$B$10:$B$23,0)),"Unknown code"))</f>
        <v/>
      </c>
      <c r="D534" s="46"/>
      <c r="E534" s="39"/>
      <c r="F534" s="39"/>
      <c r="G534" s="47" t="str">
        <f aca="false">IF(AND(B534="",D534=""),"",IF(B534="","Missing code",IF(C534="Unknown code","Unknown code",IF(D534="","Missing qty",IF(A534="","Missing date","")))))</f>
        <v/>
      </c>
    </row>
    <row r="535" customFormat="false" ht="15" hidden="false" customHeight="false" outlineLevel="0" collapsed="false">
      <c r="A535" s="44"/>
      <c r="B535" s="39"/>
      <c r="C535" s="45" t="str">
        <f aca="false">IF(B535="","",IFERROR(INDEX(Contract!$C$10:$C$23,MATCH(B535,Contract!$B$10:$B$23,0)),"Unknown code"))</f>
        <v/>
      </c>
      <c r="D535" s="46"/>
      <c r="E535" s="39"/>
      <c r="F535" s="39"/>
      <c r="G535" s="47" t="str">
        <f aca="false">IF(AND(B535="",D535=""),"",IF(B535="","Missing code",IF(C535="Unknown code","Unknown code",IF(D535="","Missing qty",IF(A535="","Missing date","")))))</f>
        <v/>
      </c>
    </row>
    <row r="536" customFormat="false" ht="15" hidden="false" customHeight="false" outlineLevel="0" collapsed="false">
      <c r="A536" s="44"/>
      <c r="B536" s="39"/>
      <c r="C536" s="45" t="str">
        <f aca="false">IF(B536="","",IFERROR(INDEX(Contract!$C$10:$C$23,MATCH(B536,Contract!$B$10:$B$23,0)),"Unknown code"))</f>
        <v/>
      </c>
      <c r="D536" s="46"/>
      <c r="E536" s="39"/>
      <c r="F536" s="39"/>
      <c r="G536" s="47" t="str">
        <f aca="false">IF(AND(B536="",D536=""),"",IF(B536="","Missing code",IF(C536="Unknown code","Unknown code",IF(D536="","Missing qty",IF(A536="","Missing date","")))))</f>
        <v/>
      </c>
    </row>
    <row r="537" customFormat="false" ht="15" hidden="false" customHeight="false" outlineLevel="0" collapsed="false">
      <c r="A537" s="44"/>
      <c r="B537" s="39"/>
      <c r="C537" s="45" t="str">
        <f aca="false">IF(B537="","",IFERROR(INDEX(Contract!$C$10:$C$23,MATCH(B537,Contract!$B$10:$B$23,0)),"Unknown code"))</f>
        <v/>
      </c>
      <c r="D537" s="46"/>
      <c r="E537" s="39"/>
      <c r="F537" s="39"/>
      <c r="G537" s="47" t="str">
        <f aca="false">IF(AND(B537="",D537=""),"",IF(B537="","Missing code",IF(C537="Unknown code","Unknown code",IF(D537="","Missing qty",IF(A537="","Missing date","")))))</f>
        <v/>
      </c>
    </row>
    <row r="538" customFormat="false" ht="15" hidden="false" customHeight="false" outlineLevel="0" collapsed="false">
      <c r="A538" s="44"/>
      <c r="B538" s="39"/>
      <c r="C538" s="45" t="str">
        <f aca="false">IF(B538="","",IFERROR(INDEX(Contract!$C$10:$C$23,MATCH(B538,Contract!$B$10:$B$23,0)),"Unknown code"))</f>
        <v/>
      </c>
      <c r="D538" s="46"/>
      <c r="E538" s="39"/>
      <c r="F538" s="39"/>
      <c r="G538" s="47" t="str">
        <f aca="false">IF(AND(B538="",D538=""),"",IF(B538="","Missing code",IF(C538="Unknown code","Unknown code",IF(D538="","Missing qty",IF(A538="","Missing date","")))))</f>
        <v/>
      </c>
    </row>
    <row r="539" customFormat="false" ht="15" hidden="false" customHeight="false" outlineLevel="0" collapsed="false">
      <c r="A539" s="44"/>
      <c r="B539" s="39"/>
      <c r="C539" s="45" t="str">
        <f aca="false">IF(B539="","",IFERROR(INDEX(Contract!$C$10:$C$23,MATCH(B539,Contract!$B$10:$B$23,0)),"Unknown code"))</f>
        <v/>
      </c>
      <c r="D539" s="46"/>
      <c r="E539" s="39"/>
      <c r="F539" s="39"/>
      <c r="G539" s="47" t="str">
        <f aca="false">IF(AND(B539="",D539=""),"",IF(B539="","Missing code",IF(C539="Unknown code","Unknown code",IF(D539="","Missing qty",IF(A539="","Missing date","")))))</f>
        <v/>
      </c>
    </row>
    <row r="540" customFormat="false" ht="15" hidden="false" customHeight="false" outlineLevel="0" collapsed="false">
      <c r="A540" s="44"/>
      <c r="B540" s="39"/>
      <c r="C540" s="45" t="str">
        <f aca="false">IF(B540="","",IFERROR(INDEX(Contract!$C$10:$C$23,MATCH(B540,Contract!$B$10:$B$23,0)),"Unknown code"))</f>
        <v/>
      </c>
      <c r="D540" s="46"/>
      <c r="E540" s="39"/>
      <c r="F540" s="39"/>
      <c r="G540" s="47" t="str">
        <f aca="false">IF(AND(B540="",D540=""),"",IF(B540="","Missing code",IF(C540="Unknown code","Unknown code",IF(D540="","Missing qty",IF(A540="","Missing date","")))))</f>
        <v/>
      </c>
    </row>
    <row r="541" customFormat="false" ht="15" hidden="false" customHeight="false" outlineLevel="0" collapsed="false">
      <c r="A541" s="44"/>
      <c r="B541" s="39"/>
      <c r="C541" s="45" t="str">
        <f aca="false">IF(B541="","",IFERROR(INDEX(Contract!$C$10:$C$23,MATCH(B541,Contract!$B$10:$B$23,0)),"Unknown code"))</f>
        <v/>
      </c>
      <c r="D541" s="46"/>
      <c r="E541" s="39"/>
      <c r="F541" s="39"/>
      <c r="G541" s="47" t="str">
        <f aca="false">IF(AND(B541="",D541=""),"",IF(B541="","Missing code",IF(C541="Unknown code","Unknown code",IF(D541="","Missing qty",IF(A541="","Missing date","")))))</f>
        <v/>
      </c>
    </row>
    <row r="542" customFormat="false" ht="15" hidden="false" customHeight="false" outlineLevel="0" collapsed="false">
      <c r="A542" s="44"/>
      <c r="B542" s="39"/>
      <c r="C542" s="45" t="str">
        <f aca="false">IF(B542="","",IFERROR(INDEX(Contract!$C$10:$C$23,MATCH(B542,Contract!$B$10:$B$23,0)),"Unknown code"))</f>
        <v/>
      </c>
      <c r="D542" s="46"/>
      <c r="E542" s="39"/>
      <c r="F542" s="39"/>
      <c r="G542" s="47" t="str">
        <f aca="false">IF(AND(B542="",D542=""),"",IF(B542="","Missing code",IF(C542="Unknown code","Unknown code",IF(D542="","Missing qty",IF(A542="","Missing date","")))))</f>
        <v/>
      </c>
    </row>
    <row r="543" customFormat="false" ht="15" hidden="false" customHeight="false" outlineLevel="0" collapsed="false">
      <c r="A543" s="44"/>
      <c r="B543" s="39"/>
      <c r="C543" s="45" t="str">
        <f aca="false">IF(B543="","",IFERROR(INDEX(Contract!$C$10:$C$23,MATCH(B543,Contract!$B$10:$B$23,0)),"Unknown code"))</f>
        <v/>
      </c>
      <c r="D543" s="46"/>
      <c r="E543" s="39"/>
      <c r="F543" s="39"/>
      <c r="G543" s="47" t="str">
        <f aca="false">IF(AND(B543="",D543=""),"",IF(B543="","Missing code",IF(C543="Unknown code","Unknown code",IF(D543="","Missing qty",IF(A543="","Missing date","")))))</f>
        <v/>
      </c>
    </row>
    <row r="544" customFormat="false" ht="15" hidden="false" customHeight="false" outlineLevel="0" collapsed="false">
      <c r="A544" s="44"/>
      <c r="B544" s="39"/>
      <c r="C544" s="45" t="str">
        <f aca="false">IF(B544="","",IFERROR(INDEX(Contract!$C$10:$C$23,MATCH(B544,Contract!$B$10:$B$23,0)),"Unknown code"))</f>
        <v/>
      </c>
      <c r="D544" s="46"/>
      <c r="E544" s="39"/>
      <c r="F544" s="39"/>
      <c r="G544" s="47" t="str">
        <f aca="false">IF(AND(B544="",D544=""),"",IF(B544="","Missing code",IF(C544="Unknown code","Unknown code",IF(D544="","Missing qty",IF(A544="","Missing date","")))))</f>
        <v/>
      </c>
    </row>
    <row r="545" customFormat="false" ht="15" hidden="false" customHeight="false" outlineLevel="0" collapsed="false">
      <c r="A545" s="44"/>
      <c r="B545" s="39"/>
      <c r="C545" s="45" t="str">
        <f aca="false">IF(B545="","",IFERROR(INDEX(Contract!$C$10:$C$23,MATCH(B545,Contract!$B$10:$B$23,0)),"Unknown code"))</f>
        <v/>
      </c>
      <c r="D545" s="46"/>
      <c r="E545" s="39"/>
      <c r="F545" s="39"/>
      <c r="G545" s="47" t="str">
        <f aca="false">IF(AND(B545="",D545=""),"",IF(B545="","Missing code",IF(C545="Unknown code","Unknown code",IF(D545="","Missing qty",IF(A545="","Missing date","")))))</f>
        <v/>
      </c>
    </row>
    <row r="546" customFormat="false" ht="15" hidden="false" customHeight="false" outlineLevel="0" collapsed="false">
      <c r="A546" s="44"/>
      <c r="B546" s="39"/>
      <c r="C546" s="45" t="str">
        <f aca="false">IF(B546="","",IFERROR(INDEX(Contract!$C$10:$C$23,MATCH(B546,Contract!$B$10:$B$23,0)),"Unknown code"))</f>
        <v/>
      </c>
      <c r="D546" s="46"/>
      <c r="E546" s="39"/>
      <c r="F546" s="39"/>
      <c r="G546" s="47" t="str">
        <f aca="false">IF(AND(B546="",D546=""),"",IF(B546="","Missing code",IF(C546="Unknown code","Unknown code",IF(D546="","Missing qty",IF(A546="","Missing date","")))))</f>
        <v/>
      </c>
    </row>
    <row r="547" customFormat="false" ht="15" hidden="false" customHeight="false" outlineLevel="0" collapsed="false">
      <c r="A547" s="44"/>
      <c r="B547" s="39"/>
      <c r="C547" s="45" t="str">
        <f aca="false">IF(B547="","",IFERROR(INDEX(Contract!$C$10:$C$23,MATCH(B547,Contract!$B$10:$B$23,0)),"Unknown code"))</f>
        <v/>
      </c>
      <c r="D547" s="46"/>
      <c r="E547" s="39"/>
      <c r="F547" s="39"/>
      <c r="G547" s="47" t="str">
        <f aca="false">IF(AND(B547="",D547=""),"",IF(B547="","Missing code",IF(C547="Unknown code","Unknown code",IF(D547="","Missing qty",IF(A547="","Missing date","")))))</f>
        <v/>
      </c>
    </row>
    <row r="548" customFormat="false" ht="15" hidden="false" customHeight="false" outlineLevel="0" collapsed="false">
      <c r="A548" s="44"/>
      <c r="B548" s="39"/>
      <c r="C548" s="45" t="str">
        <f aca="false">IF(B548="","",IFERROR(INDEX(Contract!$C$10:$C$23,MATCH(B548,Contract!$B$10:$B$23,0)),"Unknown code"))</f>
        <v/>
      </c>
      <c r="D548" s="46"/>
      <c r="E548" s="39"/>
      <c r="F548" s="39"/>
      <c r="G548" s="47" t="str">
        <f aca="false">IF(AND(B548="",D548=""),"",IF(B548="","Missing code",IF(C548="Unknown code","Unknown code",IF(D548="","Missing qty",IF(A548="","Missing date","")))))</f>
        <v/>
      </c>
    </row>
    <row r="549" customFormat="false" ht="15" hidden="false" customHeight="false" outlineLevel="0" collapsed="false">
      <c r="A549" s="44"/>
      <c r="B549" s="39"/>
      <c r="C549" s="45" t="str">
        <f aca="false">IF(B549="","",IFERROR(INDEX(Contract!$C$10:$C$23,MATCH(B549,Contract!$B$10:$B$23,0)),"Unknown code"))</f>
        <v/>
      </c>
      <c r="D549" s="46"/>
      <c r="E549" s="39"/>
      <c r="F549" s="39"/>
      <c r="G549" s="47" t="str">
        <f aca="false">IF(AND(B549="",D549=""),"",IF(B549="","Missing code",IF(C549="Unknown code","Unknown code",IF(D549="","Missing qty",IF(A549="","Missing date","")))))</f>
        <v/>
      </c>
    </row>
    <row r="550" customFormat="false" ht="15" hidden="false" customHeight="false" outlineLevel="0" collapsed="false">
      <c r="A550" s="44"/>
      <c r="B550" s="39"/>
      <c r="C550" s="45" t="str">
        <f aca="false">IF(B550="","",IFERROR(INDEX(Contract!$C$10:$C$23,MATCH(B550,Contract!$B$10:$B$23,0)),"Unknown code"))</f>
        <v/>
      </c>
      <c r="D550" s="46"/>
      <c r="E550" s="39"/>
      <c r="F550" s="39"/>
      <c r="G550" s="47" t="str">
        <f aca="false">IF(AND(B550="",D550=""),"",IF(B550="","Missing code",IF(C550="Unknown code","Unknown code",IF(D550="","Missing qty",IF(A550="","Missing date","")))))</f>
        <v/>
      </c>
    </row>
    <row r="551" customFormat="false" ht="15" hidden="false" customHeight="false" outlineLevel="0" collapsed="false">
      <c r="A551" s="44"/>
      <c r="B551" s="39"/>
      <c r="C551" s="45" t="str">
        <f aca="false">IF(B551="","",IFERROR(INDEX(Contract!$C$10:$C$23,MATCH(B551,Contract!$B$10:$B$23,0)),"Unknown code"))</f>
        <v/>
      </c>
      <c r="D551" s="46"/>
      <c r="E551" s="39"/>
      <c r="F551" s="39"/>
      <c r="G551" s="47" t="str">
        <f aca="false">IF(AND(B551="",D551=""),"",IF(B551="","Missing code",IF(C551="Unknown code","Unknown code",IF(D551="","Missing qty",IF(A551="","Missing date","")))))</f>
        <v/>
      </c>
    </row>
    <row r="552" customFormat="false" ht="15" hidden="false" customHeight="false" outlineLevel="0" collapsed="false">
      <c r="A552" s="44"/>
      <c r="B552" s="39"/>
      <c r="C552" s="45" t="str">
        <f aca="false">IF(B552="","",IFERROR(INDEX(Contract!$C$10:$C$23,MATCH(B552,Contract!$B$10:$B$23,0)),"Unknown code"))</f>
        <v/>
      </c>
      <c r="D552" s="46"/>
      <c r="E552" s="39"/>
      <c r="F552" s="39"/>
      <c r="G552" s="47" t="str">
        <f aca="false">IF(AND(B552="",D552=""),"",IF(B552="","Missing code",IF(C552="Unknown code","Unknown code",IF(D552="","Missing qty",IF(A552="","Missing date","")))))</f>
        <v/>
      </c>
    </row>
    <row r="553" customFormat="false" ht="15" hidden="false" customHeight="false" outlineLevel="0" collapsed="false">
      <c r="A553" s="44"/>
      <c r="B553" s="39"/>
      <c r="C553" s="45" t="str">
        <f aca="false">IF(B553="","",IFERROR(INDEX(Contract!$C$10:$C$23,MATCH(B553,Contract!$B$10:$B$23,0)),"Unknown code"))</f>
        <v/>
      </c>
      <c r="D553" s="46"/>
      <c r="E553" s="39"/>
      <c r="F553" s="39"/>
      <c r="G553" s="47" t="str">
        <f aca="false">IF(AND(B553="",D553=""),"",IF(B553="","Missing code",IF(C553="Unknown code","Unknown code",IF(D553="","Missing qty",IF(A553="","Missing date","")))))</f>
        <v/>
      </c>
    </row>
    <row r="554" customFormat="false" ht="15" hidden="false" customHeight="false" outlineLevel="0" collapsed="false">
      <c r="A554" s="44"/>
      <c r="B554" s="39"/>
      <c r="C554" s="45" t="str">
        <f aca="false">IF(B554="","",IFERROR(INDEX(Contract!$C$10:$C$23,MATCH(B554,Contract!$B$10:$B$23,0)),"Unknown code"))</f>
        <v/>
      </c>
      <c r="D554" s="46"/>
      <c r="E554" s="39"/>
      <c r="F554" s="39"/>
      <c r="G554" s="47" t="str">
        <f aca="false">IF(AND(B554="",D554=""),"",IF(B554="","Missing code",IF(C554="Unknown code","Unknown code",IF(D554="","Missing qty",IF(A554="","Missing date","")))))</f>
        <v/>
      </c>
    </row>
    <row r="555" customFormat="false" ht="15" hidden="false" customHeight="false" outlineLevel="0" collapsed="false">
      <c r="A555" s="44"/>
      <c r="B555" s="39"/>
      <c r="C555" s="45" t="str">
        <f aca="false">IF(B555="","",IFERROR(INDEX(Contract!$C$10:$C$23,MATCH(B555,Contract!$B$10:$B$23,0)),"Unknown code"))</f>
        <v/>
      </c>
      <c r="D555" s="46"/>
      <c r="E555" s="39"/>
      <c r="F555" s="39"/>
      <c r="G555" s="47" t="str">
        <f aca="false">IF(AND(B555="",D555=""),"",IF(B555="","Missing code",IF(C555="Unknown code","Unknown code",IF(D555="","Missing qty",IF(A555="","Missing date","")))))</f>
        <v/>
      </c>
    </row>
    <row r="556" customFormat="false" ht="15" hidden="false" customHeight="false" outlineLevel="0" collapsed="false">
      <c r="A556" s="44"/>
      <c r="B556" s="39"/>
      <c r="C556" s="45" t="str">
        <f aca="false">IF(B556="","",IFERROR(INDEX(Contract!$C$10:$C$23,MATCH(B556,Contract!$B$10:$B$23,0)),"Unknown code"))</f>
        <v/>
      </c>
      <c r="D556" s="46"/>
      <c r="E556" s="39"/>
      <c r="F556" s="39"/>
      <c r="G556" s="47" t="str">
        <f aca="false">IF(AND(B556="",D556=""),"",IF(B556="","Missing code",IF(C556="Unknown code","Unknown code",IF(D556="","Missing qty",IF(A556="","Missing date","")))))</f>
        <v/>
      </c>
    </row>
    <row r="557" customFormat="false" ht="15" hidden="false" customHeight="false" outlineLevel="0" collapsed="false">
      <c r="A557" s="44"/>
      <c r="B557" s="39"/>
      <c r="C557" s="45" t="str">
        <f aca="false">IF(B557="","",IFERROR(INDEX(Contract!$C$10:$C$23,MATCH(B557,Contract!$B$10:$B$23,0)),"Unknown code"))</f>
        <v/>
      </c>
      <c r="D557" s="46"/>
      <c r="E557" s="39"/>
      <c r="F557" s="39"/>
      <c r="G557" s="47" t="str">
        <f aca="false">IF(AND(B557="",D557=""),"",IF(B557="","Missing code",IF(C557="Unknown code","Unknown code",IF(D557="","Missing qty",IF(A557="","Missing date","")))))</f>
        <v/>
      </c>
    </row>
    <row r="558" customFormat="false" ht="15" hidden="false" customHeight="false" outlineLevel="0" collapsed="false">
      <c r="A558" s="44"/>
      <c r="B558" s="39"/>
      <c r="C558" s="45" t="str">
        <f aca="false">IF(B558="","",IFERROR(INDEX(Contract!$C$10:$C$23,MATCH(B558,Contract!$B$10:$B$23,0)),"Unknown code"))</f>
        <v/>
      </c>
      <c r="D558" s="46"/>
      <c r="E558" s="39"/>
      <c r="F558" s="39"/>
      <c r="G558" s="47" t="str">
        <f aca="false">IF(AND(B558="",D558=""),"",IF(B558="","Missing code",IF(C558="Unknown code","Unknown code",IF(D558="","Missing qty",IF(A558="","Missing date","")))))</f>
        <v/>
      </c>
    </row>
    <row r="559" customFormat="false" ht="15" hidden="false" customHeight="false" outlineLevel="0" collapsed="false">
      <c r="A559" s="44"/>
      <c r="B559" s="39"/>
      <c r="C559" s="45" t="str">
        <f aca="false">IF(B559="","",IFERROR(INDEX(Contract!$C$10:$C$23,MATCH(B559,Contract!$B$10:$B$23,0)),"Unknown code"))</f>
        <v/>
      </c>
      <c r="D559" s="46"/>
      <c r="E559" s="39"/>
      <c r="F559" s="39"/>
      <c r="G559" s="47" t="str">
        <f aca="false">IF(AND(B559="",D559=""),"",IF(B559="","Missing code",IF(C559="Unknown code","Unknown code",IF(D559="","Missing qty",IF(A559="","Missing date","")))))</f>
        <v/>
      </c>
    </row>
    <row r="560" customFormat="false" ht="15" hidden="false" customHeight="false" outlineLevel="0" collapsed="false">
      <c r="A560" s="44"/>
      <c r="B560" s="39"/>
      <c r="C560" s="45" t="str">
        <f aca="false">IF(B560="","",IFERROR(INDEX(Contract!$C$10:$C$23,MATCH(B560,Contract!$B$10:$B$23,0)),"Unknown code"))</f>
        <v/>
      </c>
      <c r="D560" s="46"/>
      <c r="E560" s="39"/>
      <c r="F560" s="39"/>
      <c r="G560" s="47" t="str">
        <f aca="false">IF(AND(B560="",D560=""),"",IF(B560="","Missing code",IF(C560="Unknown code","Unknown code",IF(D560="","Missing qty",IF(A560="","Missing date","")))))</f>
        <v/>
      </c>
    </row>
    <row r="561" customFormat="false" ht="15" hidden="false" customHeight="false" outlineLevel="0" collapsed="false">
      <c r="A561" s="44"/>
      <c r="B561" s="39"/>
      <c r="C561" s="45" t="str">
        <f aca="false">IF(B561="","",IFERROR(INDEX(Contract!$C$10:$C$23,MATCH(B561,Contract!$B$10:$B$23,0)),"Unknown code"))</f>
        <v/>
      </c>
      <c r="D561" s="46"/>
      <c r="E561" s="39"/>
      <c r="F561" s="39"/>
      <c r="G561" s="47" t="str">
        <f aca="false">IF(AND(B561="",D561=""),"",IF(B561="","Missing code",IF(C561="Unknown code","Unknown code",IF(D561="","Missing qty",IF(A561="","Missing date","")))))</f>
        <v/>
      </c>
    </row>
    <row r="562" customFormat="false" ht="15" hidden="false" customHeight="false" outlineLevel="0" collapsed="false">
      <c r="A562" s="44"/>
      <c r="B562" s="39"/>
      <c r="C562" s="45" t="str">
        <f aca="false">IF(B562="","",IFERROR(INDEX(Contract!$C$10:$C$23,MATCH(B562,Contract!$B$10:$B$23,0)),"Unknown code"))</f>
        <v/>
      </c>
      <c r="D562" s="46"/>
      <c r="E562" s="39"/>
      <c r="F562" s="39"/>
      <c r="G562" s="47" t="str">
        <f aca="false">IF(AND(B562="",D562=""),"",IF(B562="","Missing code",IF(C562="Unknown code","Unknown code",IF(D562="","Missing qty",IF(A562="","Missing date","")))))</f>
        <v/>
      </c>
    </row>
    <row r="563" customFormat="false" ht="15" hidden="false" customHeight="false" outlineLevel="0" collapsed="false">
      <c r="A563" s="44"/>
      <c r="B563" s="39"/>
      <c r="C563" s="45" t="str">
        <f aca="false">IF(B563="","",IFERROR(INDEX(Contract!$C$10:$C$23,MATCH(B563,Contract!$B$10:$B$23,0)),"Unknown code"))</f>
        <v/>
      </c>
      <c r="D563" s="46"/>
      <c r="E563" s="39"/>
      <c r="F563" s="39"/>
      <c r="G563" s="47" t="str">
        <f aca="false">IF(AND(B563="",D563=""),"",IF(B563="","Missing code",IF(C563="Unknown code","Unknown code",IF(D563="","Missing qty",IF(A563="","Missing date","")))))</f>
        <v/>
      </c>
    </row>
    <row r="564" customFormat="false" ht="15" hidden="false" customHeight="false" outlineLevel="0" collapsed="false">
      <c r="A564" s="44"/>
      <c r="B564" s="39"/>
      <c r="C564" s="45" t="str">
        <f aca="false">IF(B564="","",IFERROR(INDEX(Contract!$C$10:$C$23,MATCH(B564,Contract!$B$10:$B$23,0)),"Unknown code"))</f>
        <v/>
      </c>
      <c r="D564" s="46"/>
      <c r="E564" s="39"/>
      <c r="F564" s="39"/>
      <c r="G564" s="47" t="str">
        <f aca="false">IF(AND(B564="",D564=""),"",IF(B564="","Missing code",IF(C564="Unknown code","Unknown code",IF(D564="","Missing qty",IF(A564="","Missing date","")))))</f>
        <v/>
      </c>
    </row>
    <row r="565" customFormat="false" ht="15" hidden="false" customHeight="false" outlineLevel="0" collapsed="false">
      <c r="A565" s="44"/>
      <c r="B565" s="39"/>
      <c r="C565" s="45" t="str">
        <f aca="false">IF(B565="","",IFERROR(INDEX(Contract!$C$10:$C$23,MATCH(B565,Contract!$B$10:$B$23,0)),"Unknown code"))</f>
        <v/>
      </c>
      <c r="D565" s="46"/>
      <c r="E565" s="39"/>
      <c r="F565" s="39"/>
      <c r="G565" s="47" t="str">
        <f aca="false">IF(AND(B565="",D565=""),"",IF(B565="","Missing code",IF(C565="Unknown code","Unknown code",IF(D565="","Missing qty",IF(A565="","Missing date","")))))</f>
        <v/>
      </c>
    </row>
    <row r="566" customFormat="false" ht="15" hidden="false" customHeight="false" outlineLevel="0" collapsed="false">
      <c r="A566" s="44"/>
      <c r="B566" s="39"/>
      <c r="C566" s="45" t="str">
        <f aca="false">IF(B566="","",IFERROR(INDEX(Contract!$C$10:$C$23,MATCH(B566,Contract!$B$10:$B$23,0)),"Unknown code"))</f>
        <v/>
      </c>
      <c r="D566" s="46"/>
      <c r="E566" s="39"/>
      <c r="F566" s="39"/>
      <c r="G566" s="47" t="str">
        <f aca="false">IF(AND(B566="",D566=""),"",IF(B566="","Missing code",IF(C566="Unknown code","Unknown code",IF(D566="","Missing qty",IF(A566="","Missing date","")))))</f>
        <v/>
      </c>
    </row>
    <row r="567" customFormat="false" ht="15" hidden="false" customHeight="false" outlineLevel="0" collapsed="false">
      <c r="A567" s="44"/>
      <c r="B567" s="39"/>
      <c r="C567" s="45" t="str">
        <f aca="false">IF(B567="","",IFERROR(INDEX(Contract!$C$10:$C$23,MATCH(B567,Contract!$B$10:$B$23,0)),"Unknown code"))</f>
        <v/>
      </c>
      <c r="D567" s="46"/>
      <c r="E567" s="39"/>
      <c r="F567" s="39"/>
      <c r="G567" s="47" t="str">
        <f aca="false">IF(AND(B567="",D567=""),"",IF(B567="","Missing code",IF(C567="Unknown code","Unknown code",IF(D567="","Missing qty",IF(A567="","Missing date","")))))</f>
        <v/>
      </c>
    </row>
    <row r="568" customFormat="false" ht="15" hidden="false" customHeight="false" outlineLevel="0" collapsed="false">
      <c r="A568" s="44"/>
      <c r="B568" s="39"/>
      <c r="C568" s="45" t="str">
        <f aca="false">IF(B568="","",IFERROR(INDEX(Contract!$C$10:$C$23,MATCH(B568,Contract!$B$10:$B$23,0)),"Unknown code"))</f>
        <v/>
      </c>
      <c r="D568" s="46"/>
      <c r="E568" s="39"/>
      <c r="F568" s="39"/>
      <c r="G568" s="47" t="str">
        <f aca="false">IF(AND(B568="",D568=""),"",IF(B568="","Missing code",IF(C568="Unknown code","Unknown code",IF(D568="","Missing qty",IF(A568="","Missing date","")))))</f>
        <v/>
      </c>
    </row>
    <row r="569" customFormat="false" ht="15" hidden="false" customHeight="false" outlineLevel="0" collapsed="false">
      <c r="A569" s="44"/>
      <c r="B569" s="39"/>
      <c r="C569" s="45" t="str">
        <f aca="false">IF(B569="","",IFERROR(INDEX(Contract!$C$10:$C$23,MATCH(B569,Contract!$B$10:$B$23,0)),"Unknown code"))</f>
        <v/>
      </c>
      <c r="D569" s="46"/>
      <c r="E569" s="39"/>
      <c r="F569" s="39"/>
      <c r="G569" s="47" t="str">
        <f aca="false">IF(AND(B569="",D569=""),"",IF(B569="","Missing code",IF(C569="Unknown code","Unknown code",IF(D569="","Missing qty",IF(A569="","Missing date","")))))</f>
        <v/>
      </c>
    </row>
    <row r="570" customFormat="false" ht="15" hidden="false" customHeight="false" outlineLevel="0" collapsed="false">
      <c r="A570" s="44"/>
      <c r="B570" s="39"/>
      <c r="C570" s="45" t="str">
        <f aca="false">IF(B570="","",IFERROR(INDEX(Contract!$C$10:$C$23,MATCH(B570,Contract!$B$10:$B$23,0)),"Unknown code"))</f>
        <v/>
      </c>
      <c r="D570" s="46"/>
      <c r="E570" s="39"/>
      <c r="F570" s="39"/>
      <c r="G570" s="47" t="str">
        <f aca="false">IF(AND(B570="",D570=""),"",IF(B570="","Missing code",IF(C570="Unknown code","Unknown code",IF(D570="","Missing qty",IF(A570="","Missing date","")))))</f>
        <v/>
      </c>
    </row>
    <row r="571" customFormat="false" ht="15" hidden="false" customHeight="false" outlineLevel="0" collapsed="false">
      <c r="A571" s="44"/>
      <c r="B571" s="39"/>
      <c r="C571" s="45" t="str">
        <f aca="false">IF(B571="","",IFERROR(INDEX(Contract!$C$10:$C$23,MATCH(B571,Contract!$B$10:$B$23,0)),"Unknown code"))</f>
        <v/>
      </c>
      <c r="D571" s="46"/>
      <c r="E571" s="39"/>
      <c r="F571" s="39"/>
      <c r="G571" s="47" t="str">
        <f aca="false">IF(AND(B571="",D571=""),"",IF(B571="","Missing code",IF(C571="Unknown code","Unknown code",IF(D571="","Missing qty",IF(A571="","Missing date","")))))</f>
        <v/>
      </c>
    </row>
    <row r="572" customFormat="false" ht="15" hidden="false" customHeight="false" outlineLevel="0" collapsed="false">
      <c r="A572" s="44"/>
      <c r="B572" s="39"/>
      <c r="C572" s="45" t="str">
        <f aca="false">IF(B572="","",IFERROR(INDEX(Contract!$C$10:$C$23,MATCH(B572,Contract!$B$10:$B$23,0)),"Unknown code"))</f>
        <v/>
      </c>
      <c r="D572" s="46"/>
      <c r="E572" s="39"/>
      <c r="F572" s="39"/>
      <c r="G572" s="47" t="str">
        <f aca="false">IF(AND(B572="",D572=""),"",IF(B572="","Missing code",IF(C572="Unknown code","Unknown code",IF(D572="","Missing qty",IF(A572="","Missing date","")))))</f>
        <v/>
      </c>
    </row>
    <row r="573" customFormat="false" ht="15" hidden="false" customHeight="false" outlineLevel="0" collapsed="false">
      <c r="A573" s="44"/>
      <c r="B573" s="39"/>
      <c r="C573" s="45" t="str">
        <f aca="false">IF(B573="","",IFERROR(INDEX(Contract!$C$10:$C$23,MATCH(B573,Contract!$B$10:$B$23,0)),"Unknown code"))</f>
        <v/>
      </c>
      <c r="D573" s="46"/>
      <c r="E573" s="39"/>
      <c r="F573" s="39"/>
      <c r="G573" s="47" t="str">
        <f aca="false">IF(AND(B573="",D573=""),"",IF(B573="","Missing code",IF(C573="Unknown code","Unknown code",IF(D573="","Missing qty",IF(A573="","Missing date","")))))</f>
        <v/>
      </c>
    </row>
    <row r="574" customFormat="false" ht="15" hidden="false" customHeight="false" outlineLevel="0" collapsed="false">
      <c r="A574" s="44"/>
      <c r="B574" s="39"/>
      <c r="C574" s="45" t="str">
        <f aca="false">IF(B574="","",IFERROR(INDEX(Contract!$C$10:$C$23,MATCH(B574,Contract!$B$10:$B$23,0)),"Unknown code"))</f>
        <v/>
      </c>
      <c r="D574" s="46"/>
      <c r="E574" s="39"/>
      <c r="F574" s="39"/>
      <c r="G574" s="47" t="str">
        <f aca="false">IF(AND(B574="",D574=""),"",IF(B574="","Missing code",IF(C574="Unknown code","Unknown code",IF(D574="","Missing qty",IF(A574="","Missing date","")))))</f>
        <v/>
      </c>
    </row>
    <row r="575" customFormat="false" ht="15" hidden="false" customHeight="false" outlineLevel="0" collapsed="false">
      <c r="A575" s="44"/>
      <c r="B575" s="39"/>
      <c r="C575" s="45" t="str">
        <f aca="false">IF(B575="","",IFERROR(INDEX(Contract!$C$10:$C$23,MATCH(B575,Contract!$B$10:$B$23,0)),"Unknown code"))</f>
        <v/>
      </c>
      <c r="D575" s="46"/>
      <c r="E575" s="39"/>
      <c r="F575" s="39"/>
      <c r="G575" s="47" t="str">
        <f aca="false">IF(AND(B575="",D575=""),"",IF(B575="","Missing code",IF(C575="Unknown code","Unknown code",IF(D575="","Missing qty",IF(A575="","Missing date","")))))</f>
        <v/>
      </c>
    </row>
    <row r="576" customFormat="false" ht="15" hidden="false" customHeight="false" outlineLevel="0" collapsed="false">
      <c r="A576" s="44"/>
      <c r="B576" s="39"/>
      <c r="C576" s="45" t="str">
        <f aca="false">IF(B576="","",IFERROR(INDEX(Contract!$C$10:$C$23,MATCH(B576,Contract!$B$10:$B$23,0)),"Unknown code"))</f>
        <v/>
      </c>
      <c r="D576" s="46"/>
      <c r="E576" s="39"/>
      <c r="F576" s="39"/>
      <c r="G576" s="47" t="str">
        <f aca="false">IF(AND(B576="",D576=""),"",IF(B576="","Missing code",IF(C576="Unknown code","Unknown code",IF(D576="","Missing qty",IF(A576="","Missing date","")))))</f>
        <v/>
      </c>
    </row>
    <row r="577" customFormat="false" ht="15" hidden="false" customHeight="false" outlineLevel="0" collapsed="false">
      <c r="A577" s="44"/>
      <c r="B577" s="39"/>
      <c r="C577" s="45" t="str">
        <f aca="false">IF(B577="","",IFERROR(INDEX(Contract!$C$10:$C$23,MATCH(B577,Contract!$B$10:$B$23,0)),"Unknown code"))</f>
        <v/>
      </c>
      <c r="D577" s="46"/>
      <c r="E577" s="39"/>
      <c r="F577" s="39"/>
      <c r="G577" s="47" t="str">
        <f aca="false">IF(AND(B577="",D577=""),"",IF(B577="","Missing code",IF(C577="Unknown code","Unknown code",IF(D577="","Missing qty",IF(A577="","Missing date","")))))</f>
        <v/>
      </c>
    </row>
    <row r="578" customFormat="false" ht="15" hidden="false" customHeight="false" outlineLevel="0" collapsed="false">
      <c r="A578" s="44"/>
      <c r="B578" s="39"/>
      <c r="C578" s="45" t="str">
        <f aca="false">IF(B578="","",IFERROR(INDEX(Contract!$C$10:$C$23,MATCH(B578,Contract!$B$10:$B$23,0)),"Unknown code"))</f>
        <v/>
      </c>
      <c r="D578" s="46"/>
      <c r="E578" s="39"/>
      <c r="F578" s="39"/>
      <c r="G578" s="47" t="str">
        <f aca="false">IF(AND(B578="",D578=""),"",IF(B578="","Missing code",IF(C578="Unknown code","Unknown code",IF(D578="","Missing qty",IF(A578="","Missing date","")))))</f>
        <v/>
      </c>
    </row>
    <row r="579" customFormat="false" ht="15" hidden="false" customHeight="false" outlineLevel="0" collapsed="false">
      <c r="A579" s="44"/>
      <c r="B579" s="39"/>
      <c r="C579" s="45" t="str">
        <f aca="false">IF(B579="","",IFERROR(INDEX(Contract!$C$10:$C$23,MATCH(B579,Contract!$B$10:$B$23,0)),"Unknown code"))</f>
        <v/>
      </c>
      <c r="D579" s="46"/>
      <c r="E579" s="39"/>
      <c r="F579" s="39"/>
      <c r="G579" s="47" t="str">
        <f aca="false">IF(AND(B579="",D579=""),"",IF(B579="","Missing code",IF(C579="Unknown code","Unknown code",IF(D579="","Missing qty",IF(A579="","Missing date","")))))</f>
        <v/>
      </c>
    </row>
    <row r="580" customFormat="false" ht="15" hidden="false" customHeight="false" outlineLevel="0" collapsed="false">
      <c r="A580" s="44"/>
      <c r="B580" s="39"/>
      <c r="C580" s="45" t="str">
        <f aca="false">IF(B580="","",IFERROR(INDEX(Contract!$C$10:$C$23,MATCH(B580,Contract!$B$10:$B$23,0)),"Unknown code"))</f>
        <v/>
      </c>
      <c r="D580" s="46"/>
      <c r="E580" s="39"/>
      <c r="F580" s="39"/>
      <c r="G580" s="47" t="str">
        <f aca="false">IF(AND(B580="",D580=""),"",IF(B580="","Missing code",IF(C580="Unknown code","Unknown code",IF(D580="","Missing qty",IF(A580="","Missing date","")))))</f>
        <v/>
      </c>
    </row>
    <row r="581" customFormat="false" ht="15" hidden="false" customHeight="false" outlineLevel="0" collapsed="false">
      <c r="A581" s="44"/>
      <c r="B581" s="39"/>
      <c r="C581" s="45" t="str">
        <f aca="false">IF(B581="","",IFERROR(INDEX(Contract!$C$10:$C$23,MATCH(B581,Contract!$B$10:$B$23,0)),"Unknown code"))</f>
        <v/>
      </c>
      <c r="D581" s="46"/>
      <c r="E581" s="39"/>
      <c r="F581" s="39"/>
      <c r="G581" s="47" t="str">
        <f aca="false">IF(AND(B581="",D581=""),"",IF(B581="","Missing code",IF(C581="Unknown code","Unknown code",IF(D581="","Missing qty",IF(A581="","Missing date","")))))</f>
        <v/>
      </c>
    </row>
    <row r="582" customFormat="false" ht="15" hidden="false" customHeight="false" outlineLevel="0" collapsed="false">
      <c r="A582" s="44"/>
      <c r="B582" s="39"/>
      <c r="C582" s="45" t="str">
        <f aca="false">IF(B582="","",IFERROR(INDEX(Contract!$C$10:$C$23,MATCH(B582,Contract!$B$10:$B$23,0)),"Unknown code"))</f>
        <v/>
      </c>
      <c r="D582" s="46"/>
      <c r="E582" s="39"/>
      <c r="F582" s="39"/>
      <c r="G582" s="47" t="str">
        <f aca="false">IF(AND(B582="",D582=""),"",IF(B582="","Missing code",IF(C582="Unknown code","Unknown code",IF(D582="","Missing qty",IF(A582="","Missing date","")))))</f>
        <v/>
      </c>
    </row>
    <row r="583" customFormat="false" ht="15" hidden="false" customHeight="false" outlineLevel="0" collapsed="false">
      <c r="A583" s="44"/>
      <c r="B583" s="39"/>
      <c r="C583" s="45" t="str">
        <f aca="false">IF(B583="","",IFERROR(INDEX(Contract!$C$10:$C$23,MATCH(B583,Contract!$B$10:$B$23,0)),"Unknown code"))</f>
        <v/>
      </c>
      <c r="D583" s="46"/>
      <c r="E583" s="39"/>
      <c r="F583" s="39"/>
      <c r="G583" s="47" t="str">
        <f aca="false">IF(AND(B583="",D583=""),"",IF(B583="","Missing code",IF(C583="Unknown code","Unknown code",IF(D583="","Missing qty",IF(A583="","Missing date","")))))</f>
        <v/>
      </c>
    </row>
    <row r="584" customFormat="false" ht="15" hidden="false" customHeight="false" outlineLevel="0" collapsed="false">
      <c r="A584" s="44"/>
      <c r="B584" s="39"/>
      <c r="C584" s="45" t="str">
        <f aca="false">IF(B584="","",IFERROR(INDEX(Contract!$C$10:$C$23,MATCH(B584,Contract!$B$10:$B$23,0)),"Unknown code"))</f>
        <v/>
      </c>
      <c r="D584" s="46"/>
      <c r="E584" s="39"/>
      <c r="F584" s="39"/>
      <c r="G584" s="47" t="str">
        <f aca="false">IF(AND(B584="",D584=""),"",IF(B584="","Missing code",IF(C584="Unknown code","Unknown code",IF(D584="","Missing qty",IF(A584="","Missing date","")))))</f>
        <v/>
      </c>
    </row>
    <row r="585" customFormat="false" ht="15" hidden="false" customHeight="false" outlineLevel="0" collapsed="false">
      <c r="A585" s="44"/>
      <c r="B585" s="39"/>
      <c r="C585" s="45" t="str">
        <f aca="false">IF(B585="","",IFERROR(INDEX(Contract!$C$10:$C$23,MATCH(B585,Contract!$B$10:$B$23,0)),"Unknown code"))</f>
        <v/>
      </c>
      <c r="D585" s="46"/>
      <c r="E585" s="39"/>
      <c r="F585" s="39"/>
      <c r="G585" s="47" t="str">
        <f aca="false">IF(AND(B585="",D585=""),"",IF(B585="","Missing code",IF(C585="Unknown code","Unknown code",IF(D585="","Missing qty",IF(A585="","Missing date","")))))</f>
        <v/>
      </c>
    </row>
    <row r="586" customFormat="false" ht="15" hidden="false" customHeight="false" outlineLevel="0" collapsed="false">
      <c r="A586" s="44"/>
      <c r="B586" s="39"/>
      <c r="C586" s="45" t="str">
        <f aca="false">IF(B586="","",IFERROR(INDEX(Contract!$C$10:$C$23,MATCH(B586,Contract!$B$10:$B$23,0)),"Unknown code"))</f>
        <v/>
      </c>
      <c r="D586" s="46"/>
      <c r="E586" s="39"/>
      <c r="F586" s="39"/>
      <c r="G586" s="47" t="str">
        <f aca="false">IF(AND(B586="",D586=""),"",IF(B586="","Missing code",IF(C586="Unknown code","Unknown code",IF(D586="","Missing qty",IF(A586="","Missing date","")))))</f>
        <v/>
      </c>
    </row>
    <row r="587" customFormat="false" ht="15" hidden="false" customHeight="false" outlineLevel="0" collapsed="false">
      <c r="A587" s="44"/>
      <c r="B587" s="39"/>
      <c r="C587" s="45" t="str">
        <f aca="false">IF(B587="","",IFERROR(INDEX(Contract!$C$10:$C$23,MATCH(B587,Contract!$B$10:$B$23,0)),"Unknown code"))</f>
        <v/>
      </c>
      <c r="D587" s="46"/>
      <c r="E587" s="39"/>
      <c r="F587" s="39"/>
      <c r="G587" s="47" t="str">
        <f aca="false">IF(AND(B587="",D587=""),"",IF(B587="","Missing code",IF(C587="Unknown code","Unknown code",IF(D587="","Missing qty",IF(A587="","Missing date","")))))</f>
        <v/>
      </c>
    </row>
    <row r="588" customFormat="false" ht="15" hidden="false" customHeight="false" outlineLevel="0" collapsed="false">
      <c r="A588" s="44"/>
      <c r="B588" s="39"/>
      <c r="C588" s="45" t="str">
        <f aca="false">IF(B588="","",IFERROR(INDEX(Contract!$C$10:$C$23,MATCH(B588,Contract!$B$10:$B$23,0)),"Unknown code"))</f>
        <v/>
      </c>
      <c r="D588" s="46"/>
      <c r="E588" s="39"/>
      <c r="F588" s="39"/>
      <c r="G588" s="47" t="str">
        <f aca="false">IF(AND(B588="",D588=""),"",IF(B588="","Missing code",IF(C588="Unknown code","Unknown code",IF(D588="","Missing qty",IF(A588="","Missing date","")))))</f>
        <v/>
      </c>
    </row>
    <row r="589" customFormat="false" ht="15" hidden="false" customHeight="false" outlineLevel="0" collapsed="false">
      <c r="A589" s="44"/>
      <c r="B589" s="39"/>
      <c r="C589" s="45" t="str">
        <f aca="false">IF(B589="","",IFERROR(INDEX(Contract!$C$10:$C$23,MATCH(B589,Contract!$B$10:$B$23,0)),"Unknown code"))</f>
        <v/>
      </c>
      <c r="D589" s="46"/>
      <c r="E589" s="39"/>
      <c r="F589" s="39"/>
      <c r="G589" s="47" t="str">
        <f aca="false">IF(AND(B589="",D589=""),"",IF(B589="","Missing code",IF(C589="Unknown code","Unknown code",IF(D589="","Missing qty",IF(A589="","Missing date","")))))</f>
        <v/>
      </c>
    </row>
    <row r="590" customFormat="false" ht="15" hidden="false" customHeight="false" outlineLevel="0" collapsed="false">
      <c r="A590" s="44"/>
      <c r="B590" s="39"/>
      <c r="C590" s="45" t="str">
        <f aca="false">IF(B590="","",IFERROR(INDEX(Contract!$C$10:$C$23,MATCH(B590,Contract!$B$10:$B$23,0)),"Unknown code"))</f>
        <v/>
      </c>
      <c r="D590" s="46"/>
      <c r="E590" s="39"/>
      <c r="F590" s="39"/>
      <c r="G590" s="47" t="str">
        <f aca="false">IF(AND(B590="",D590=""),"",IF(B590="","Missing code",IF(C590="Unknown code","Unknown code",IF(D590="","Missing qty",IF(A590="","Missing date","")))))</f>
        <v/>
      </c>
    </row>
    <row r="591" customFormat="false" ht="15" hidden="false" customHeight="false" outlineLevel="0" collapsed="false">
      <c r="A591" s="44"/>
      <c r="B591" s="39"/>
      <c r="C591" s="45" t="str">
        <f aca="false">IF(B591="","",IFERROR(INDEX(Contract!$C$10:$C$23,MATCH(B591,Contract!$B$10:$B$23,0)),"Unknown code"))</f>
        <v/>
      </c>
      <c r="D591" s="46"/>
      <c r="E591" s="39"/>
      <c r="F591" s="39"/>
      <c r="G591" s="47" t="str">
        <f aca="false">IF(AND(B591="",D591=""),"",IF(B591="","Missing code",IF(C591="Unknown code","Unknown code",IF(D591="","Missing qty",IF(A591="","Missing date","")))))</f>
        <v/>
      </c>
    </row>
    <row r="592" customFormat="false" ht="15" hidden="false" customHeight="false" outlineLevel="0" collapsed="false">
      <c r="A592" s="44"/>
      <c r="B592" s="39"/>
      <c r="C592" s="45" t="str">
        <f aca="false">IF(B592="","",IFERROR(INDEX(Contract!$C$10:$C$23,MATCH(B592,Contract!$B$10:$B$23,0)),"Unknown code"))</f>
        <v/>
      </c>
      <c r="D592" s="46"/>
      <c r="E592" s="39"/>
      <c r="F592" s="39"/>
      <c r="G592" s="47" t="str">
        <f aca="false">IF(AND(B592="",D592=""),"",IF(B592="","Missing code",IF(C592="Unknown code","Unknown code",IF(D592="","Missing qty",IF(A592="","Missing date","")))))</f>
        <v/>
      </c>
    </row>
    <row r="593" customFormat="false" ht="15" hidden="false" customHeight="false" outlineLevel="0" collapsed="false">
      <c r="A593" s="44"/>
      <c r="B593" s="39"/>
      <c r="C593" s="45" t="str">
        <f aca="false">IF(B593="","",IFERROR(INDEX(Contract!$C$10:$C$23,MATCH(B593,Contract!$B$10:$B$23,0)),"Unknown code"))</f>
        <v/>
      </c>
      <c r="D593" s="46"/>
      <c r="E593" s="39"/>
      <c r="F593" s="39"/>
      <c r="G593" s="47" t="str">
        <f aca="false">IF(AND(B593="",D593=""),"",IF(B593="","Missing code",IF(C593="Unknown code","Unknown code",IF(D593="","Missing qty",IF(A593="","Missing date","")))))</f>
        <v/>
      </c>
    </row>
    <row r="594" customFormat="false" ht="15" hidden="false" customHeight="false" outlineLevel="0" collapsed="false">
      <c r="A594" s="44"/>
      <c r="B594" s="39"/>
      <c r="C594" s="45" t="str">
        <f aca="false">IF(B594="","",IFERROR(INDEX(Contract!$C$10:$C$23,MATCH(B594,Contract!$B$10:$B$23,0)),"Unknown code"))</f>
        <v/>
      </c>
      <c r="D594" s="46"/>
      <c r="E594" s="39"/>
      <c r="F594" s="39"/>
      <c r="G594" s="47" t="str">
        <f aca="false">IF(AND(B594="",D594=""),"",IF(B594="","Missing code",IF(C594="Unknown code","Unknown code",IF(D594="","Missing qty",IF(A594="","Missing date","")))))</f>
        <v/>
      </c>
    </row>
    <row r="595" customFormat="false" ht="15" hidden="false" customHeight="false" outlineLevel="0" collapsed="false">
      <c r="A595" s="44"/>
      <c r="B595" s="39"/>
      <c r="C595" s="45" t="str">
        <f aca="false">IF(B595="","",IFERROR(INDEX(Contract!$C$10:$C$23,MATCH(B595,Contract!$B$10:$B$23,0)),"Unknown code"))</f>
        <v/>
      </c>
      <c r="D595" s="46"/>
      <c r="E595" s="39"/>
      <c r="F595" s="39"/>
      <c r="G595" s="47" t="str">
        <f aca="false">IF(AND(B595="",D595=""),"",IF(B595="","Missing code",IF(C595="Unknown code","Unknown code",IF(D595="","Missing qty",IF(A595="","Missing date","")))))</f>
        <v/>
      </c>
    </row>
    <row r="596" customFormat="false" ht="15" hidden="false" customHeight="false" outlineLevel="0" collapsed="false">
      <c r="A596" s="44"/>
      <c r="B596" s="39"/>
      <c r="C596" s="45" t="str">
        <f aca="false">IF(B596="","",IFERROR(INDEX(Contract!$C$10:$C$23,MATCH(B596,Contract!$B$10:$B$23,0)),"Unknown code"))</f>
        <v/>
      </c>
      <c r="D596" s="46"/>
      <c r="E596" s="39"/>
      <c r="F596" s="39"/>
      <c r="G596" s="47" t="str">
        <f aca="false">IF(AND(B596="",D596=""),"",IF(B596="","Missing code",IF(C596="Unknown code","Unknown code",IF(D596="","Missing qty",IF(A596="","Missing date","")))))</f>
        <v/>
      </c>
    </row>
    <row r="597" customFormat="false" ht="15" hidden="false" customHeight="false" outlineLevel="0" collapsed="false">
      <c r="A597" s="44"/>
      <c r="B597" s="39"/>
      <c r="C597" s="45" t="str">
        <f aca="false">IF(B597="","",IFERROR(INDEX(Contract!$C$10:$C$23,MATCH(B597,Contract!$B$10:$B$23,0)),"Unknown code"))</f>
        <v/>
      </c>
      <c r="D597" s="46"/>
      <c r="E597" s="39"/>
      <c r="F597" s="39"/>
      <c r="G597" s="47" t="str">
        <f aca="false">IF(AND(B597="",D597=""),"",IF(B597="","Missing code",IF(C597="Unknown code","Unknown code",IF(D597="","Missing qty",IF(A597="","Missing date","")))))</f>
        <v/>
      </c>
    </row>
    <row r="598" customFormat="false" ht="15" hidden="false" customHeight="false" outlineLevel="0" collapsed="false">
      <c r="A598" s="44"/>
      <c r="B598" s="39"/>
      <c r="C598" s="45" t="str">
        <f aca="false">IF(B598="","",IFERROR(INDEX(Contract!$C$10:$C$23,MATCH(B598,Contract!$B$10:$B$23,0)),"Unknown code"))</f>
        <v/>
      </c>
      <c r="D598" s="46"/>
      <c r="E598" s="39"/>
      <c r="F598" s="39"/>
      <c r="G598" s="47" t="str">
        <f aca="false">IF(AND(B598="",D598=""),"",IF(B598="","Missing code",IF(C598="Unknown code","Unknown code",IF(D598="","Missing qty",IF(A598="","Missing date","")))))</f>
        <v/>
      </c>
    </row>
    <row r="599" customFormat="false" ht="15" hidden="false" customHeight="false" outlineLevel="0" collapsed="false">
      <c r="A599" s="44"/>
      <c r="B599" s="39"/>
      <c r="C599" s="45" t="str">
        <f aca="false">IF(B599="","",IFERROR(INDEX(Contract!$C$10:$C$23,MATCH(B599,Contract!$B$10:$B$23,0)),"Unknown code"))</f>
        <v/>
      </c>
      <c r="D599" s="46"/>
      <c r="E599" s="39"/>
      <c r="F599" s="39"/>
      <c r="G599" s="47" t="str">
        <f aca="false">IF(AND(B599="",D599=""),"",IF(B599="","Missing code",IF(C599="Unknown code","Unknown code",IF(D599="","Missing qty",IF(A599="","Missing date","")))))</f>
        <v/>
      </c>
    </row>
    <row r="600" customFormat="false" ht="15" hidden="false" customHeight="false" outlineLevel="0" collapsed="false">
      <c r="A600" s="44"/>
      <c r="B600" s="39"/>
      <c r="C600" s="45" t="str">
        <f aca="false">IF(B600="","",IFERROR(INDEX(Contract!$C$10:$C$23,MATCH(B600,Contract!$B$10:$B$23,0)),"Unknown code"))</f>
        <v/>
      </c>
      <c r="D600" s="46"/>
      <c r="E600" s="39"/>
      <c r="F600" s="39"/>
      <c r="G600" s="47" t="str">
        <f aca="false">IF(AND(B600="",D600=""),"",IF(B600="","Missing code",IF(C600="Unknown code","Unknown code",IF(D600="","Missing qty",IF(A600="","Missing date","")))))</f>
        <v/>
      </c>
    </row>
    <row r="601" customFormat="false" ht="15" hidden="false" customHeight="false" outlineLevel="0" collapsed="false">
      <c r="A601" s="44"/>
      <c r="B601" s="39"/>
      <c r="C601" s="45" t="str">
        <f aca="false">IF(B601="","",IFERROR(INDEX(Contract!$C$10:$C$23,MATCH(B601,Contract!$B$10:$B$23,0)),"Unknown code"))</f>
        <v/>
      </c>
      <c r="D601" s="46"/>
      <c r="E601" s="39"/>
      <c r="F601" s="39"/>
      <c r="G601" s="47" t="str">
        <f aca="false">IF(AND(B601="",D601=""),"",IF(B601="","Missing code",IF(C601="Unknown code","Unknown code",IF(D601="","Missing qty",IF(A601="","Missing date","")))))</f>
        <v/>
      </c>
    </row>
    <row r="602" customFormat="false" ht="15" hidden="false" customHeight="false" outlineLevel="0" collapsed="false">
      <c r="A602" s="44"/>
      <c r="B602" s="39"/>
      <c r="C602" s="45" t="str">
        <f aca="false">IF(B602="","",IFERROR(INDEX(Contract!$C$10:$C$23,MATCH(B602,Contract!$B$10:$B$23,0)),"Unknown code"))</f>
        <v/>
      </c>
      <c r="D602" s="46"/>
      <c r="E602" s="39"/>
      <c r="F602" s="39"/>
      <c r="G602" s="47" t="str">
        <f aca="false">IF(AND(B602="",D602=""),"",IF(B602="","Missing code",IF(C602="Unknown code","Unknown code",IF(D602="","Missing qty",IF(A602="","Missing date","")))))</f>
        <v/>
      </c>
    </row>
    <row r="603" customFormat="false" ht="15" hidden="false" customHeight="false" outlineLevel="0" collapsed="false">
      <c r="A603" s="44"/>
      <c r="B603" s="39"/>
      <c r="C603" s="45" t="str">
        <f aca="false">IF(B603="","",IFERROR(INDEX(Contract!$C$10:$C$23,MATCH(B603,Contract!$B$10:$B$23,0)),"Unknown code"))</f>
        <v/>
      </c>
      <c r="D603" s="46"/>
      <c r="E603" s="39"/>
      <c r="F603" s="39"/>
      <c r="G603" s="47" t="str">
        <f aca="false">IF(AND(B603="",D603=""),"",IF(B603="","Missing code",IF(C603="Unknown code","Unknown code",IF(D603="","Missing qty",IF(A603="","Missing date","")))))</f>
        <v/>
      </c>
    </row>
    <row r="604" customFormat="false" ht="15" hidden="false" customHeight="false" outlineLevel="0" collapsed="false">
      <c r="A604" s="44"/>
      <c r="B604" s="39"/>
      <c r="C604" s="45" t="str">
        <f aca="false">IF(B604="","",IFERROR(INDEX(Contract!$C$10:$C$23,MATCH(B604,Contract!$B$10:$B$23,0)),"Unknown code"))</f>
        <v/>
      </c>
      <c r="D604" s="46"/>
      <c r="E604" s="39"/>
      <c r="F604" s="39"/>
      <c r="G604" s="47" t="str">
        <f aca="false">IF(AND(B604="",D604=""),"",IF(B604="","Missing code",IF(C604="Unknown code","Unknown code",IF(D604="","Missing qty",IF(A604="","Missing date","")))))</f>
        <v/>
      </c>
    </row>
    <row r="605" customFormat="false" ht="15" hidden="false" customHeight="false" outlineLevel="0" collapsed="false">
      <c r="A605" s="44"/>
      <c r="B605" s="39"/>
      <c r="C605" s="45" t="str">
        <f aca="false">IF(B605="","",IFERROR(INDEX(Contract!$C$10:$C$23,MATCH(B605,Contract!$B$10:$B$23,0)),"Unknown code"))</f>
        <v/>
      </c>
      <c r="D605" s="46"/>
      <c r="E605" s="39"/>
      <c r="F605" s="39"/>
      <c r="G605" s="47" t="str">
        <f aca="false">IF(AND(B605="",D605=""),"",IF(B605="","Missing code",IF(C605="Unknown code","Unknown code",IF(D605="","Missing qty",IF(A605="","Missing date","")))))</f>
        <v/>
      </c>
    </row>
    <row r="606" customFormat="false" ht="15" hidden="false" customHeight="false" outlineLevel="0" collapsed="false">
      <c r="A606" s="44"/>
      <c r="B606" s="39"/>
      <c r="C606" s="45" t="str">
        <f aca="false">IF(B606="","",IFERROR(INDEX(Contract!$C$10:$C$23,MATCH(B606,Contract!$B$10:$B$23,0)),"Unknown code"))</f>
        <v/>
      </c>
      <c r="D606" s="46"/>
      <c r="E606" s="39"/>
      <c r="F606" s="39"/>
      <c r="G606" s="47" t="str">
        <f aca="false">IF(AND(B606="",D606=""),"",IF(B606="","Missing code",IF(C606="Unknown code","Unknown code",IF(D606="","Missing qty",IF(A606="","Missing date","")))))</f>
        <v/>
      </c>
    </row>
    <row r="607" customFormat="false" ht="15" hidden="false" customHeight="false" outlineLevel="0" collapsed="false">
      <c r="A607" s="44"/>
      <c r="B607" s="39"/>
      <c r="C607" s="45" t="str">
        <f aca="false">IF(B607="","",IFERROR(INDEX(Contract!$C$10:$C$23,MATCH(B607,Contract!$B$10:$B$23,0)),"Unknown code"))</f>
        <v/>
      </c>
      <c r="D607" s="46"/>
      <c r="E607" s="39"/>
      <c r="F607" s="39"/>
      <c r="G607" s="47" t="str">
        <f aca="false">IF(AND(B607="",D607=""),"",IF(B607="","Missing code",IF(C607="Unknown code","Unknown code",IF(D607="","Missing qty",IF(A607="","Missing date","")))))</f>
        <v/>
      </c>
    </row>
    <row r="608" customFormat="false" ht="15" hidden="false" customHeight="false" outlineLevel="0" collapsed="false">
      <c r="A608" s="44"/>
      <c r="B608" s="39"/>
      <c r="C608" s="45" t="str">
        <f aca="false">IF(B608="","",IFERROR(INDEX(Contract!$C$10:$C$23,MATCH(B608,Contract!$B$10:$B$23,0)),"Unknown code"))</f>
        <v/>
      </c>
      <c r="D608" s="46"/>
      <c r="E608" s="39"/>
      <c r="F608" s="39"/>
      <c r="G608" s="47" t="str">
        <f aca="false">IF(AND(B608="",D608=""),"",IF(B608="","Missing code",IF(C608="Unknown code","Unknown code",IF(D608="","Missing qty",IF(A608="","Missing date","")))))</f>
        <v/>
      </c>
    </row>
    <row r="609" customFormat="false" ht="15" hidden="false" customHeight="false" outlineLevel="0" collapsed="false">
      <c r="A609" s="44"/>
      <c r="B609" s="39"/>
      <c r="C609" s="45" t="str">
        <f aca="false">IF(B609="","",IFERROR(INDEX(Contract!$C$10:$C$23,MATCH(B609,Contract!$B$10:$B$23,0)),"Unknown code"))</f>
        <v/>
      </c>
      <c r="D609" s="46"/>
      <c r="E609" s="39"/>
      <c r="F609" s="39"/>
      <c r="G609" s="47" t="str">
        <f aca="false">IF(AND(B609="",D609=""),"",IF(B609="","Missing code",IF(C609="Unknown code","Unknown code",IF(D609="","Missing qty",IF(A609="","Missing date","")))))</f>
        <v/>
      </c>
    </row>
    <row r="610" customFormat="false" ht="15" hidden="false" customHeight="false" outlineLevel="0" collapsed="false">
      <c r="A610" s="44"/>
      <c r="B610" s="39"/>
      <c r="C610" s="45" t="str">
        <f aca="false">IF(B610="","",IFERROR(INDEX(Contract!$C$10:$C$23,MATCH(B610,Contract!$B$10:$B$23,0)),"Unknown code"))</f>
        <v/>
      </c>
      <c r="D610" s="46"/>
      <c r="E610" s="39"/>
      <c r="F610" s="39"/>
      <c r="G610" s="47" t="str">
        <f aca="false">IF(AND(B610="",D610=""),"",IF(B610="","Missing code",IF(C610="Unknown code","Unknown code",IF(D610="","Missing qty",IF(A610="","Missing date","")))))</f>
        <v/>
      </c>
    </row>
    <row r="611" customFormat="false" ht="15" hidden="false" customHeight="false" outlineLevel="0" collapsed="false">
      <c r="A611" s="44"/>
      <c r="B611" s="39"/>
      <c r="C611" s="45" t="str">
        <f aca="false">IF(B611="","",IFERROR(INDEX(Contract!$C$10:$C$23,MATCH(B611,Contract!$B$10:$B$23,0)),"Unknown code"))</f>
        <v/>
      </c>
      <c r="D611" s="46"/>
      <c r="E611" s="39"/>
      <c r="F611" s="39"/>
      <c r="G611" s="47" t="str">
        <f aca="false">IF(AND(B611="",D611=""),"",IF(B611="","Missing code",IF(C611="Unknown code","Unknown code",IF(D611="","Missing qty",IF(A611="","Missing date","")))))</f>
        <v/>
      </c>
    </row>
    <row r="612" customFormat="false" ht="15" hidden="false" customHeight="false" outlineLevel="0" collapsed="false">
      <c r="A612" s="44"/>
      <c r="B612" s="39"/>
      <c r="C612" s="45" t="str">
        <f aca="false">IF(B612="","",IFERROR(INDEX(Contract!$C$10:$C$23,MATCH(B612,Contract!$B$10:$B$23,0)),"Unknown code"))</f>
        <v/>
      </c>
      <c r="D612" s="46"/>
      <c r="E612" s="39"/>
      <c r="F612" s="39"/>
      <c r="G612" s="47" t="str">
        <f aca="false">IF(AND(B612="",D612=""),"",IF(B612="","Missing code",IF(C612="Unknown code","Unknown code",IF(D612="","Missing qty",IF(A612="","Missing date","")))))</f>
        <v/>
      </c>
    </row>
    <row r="613" customFormat="false" ht="15" hidden="false" customHeight="false" outlineLevel="0" collapsed="false">
      <c r="A613" s="44"/>
      <c r="B613" s="39"/>
      <c r="C613" s="45" t="str">
        <f aca="false">IF(B613="","",IFERROR(INDEX(Contract!$C$10:$C$23,MATCH(B613,Contract!$B$10:$B$23,0)),"Unknown code"))</f>
        <v/>
      </c>
      <c r="D613" s="46"/>
      <c r="E613" s="39"/>
      <c r="F613" s="39"/>
      <c r="G613" s="47" t="str">
        <f aca="false">IF(AND(B613="",D613=""),"",IF(B613="","Missing code",IF(C613="Unknown code","Unknown code",IF(D613="","Missing qty",IF(A613="","Missing date","")))))</f>
        <v/>
      </c>
    </row>
    <row r="614" customFormat="false" ht="15" hidden="false" customHeight="false" outlineLevel="0" collapsed="false">
      <c r="A614" s="44"/>
      <c r="B614" s="39"/>
      <c r="C614" s="45" t="str">
        <f aca="false">IF(B614="","",IFERROR(INDEX(Contract!$C$10:$C$23,MATCH(B614,Contract!$B$10:$B$23,0)),"Unknown code"))</f>
        <v/>
      </c>
      <c r="D614" s="46"/>
      <c r="E614" s="39"/>
      <c r="F614" s="39"/>
      <c r="G614" s="47" t="str">
        <f aca="false">IF(AND(B614="",D614=""),"",IF(B614="","Missing code",IF(C614="Unknown code","Unknown code",IF(D614="","Missing qty",IF(A614="","Missing date","")))))</f>
        <v/>
      </c>
    </row>
    <row r="615" customFormat="false" ht="15" hidden="false" customHeight="false" outlineLevel="0" collapsed="false">
      <c r="A615" s="44"/>
      <c r="B615" s="39"/>
      <c r="C615" s="45" t="str">
        <f aca="false">IF(B615="","",IFERROR(INDEX(Contract!$C$10:$C$23,MATCH(B615,Contract!$B$10:$B$23,0)),"Unknown code"))</f>
        <v/>
      </c>
      <c r="D615" s="46"/>
      <c r="E615" s="39"/>
      <c r="F615" s="39"/>
      <c r="G615" s="47" t="str">
        <f aca="false">IF(AND(B615="",D615=""),"",IF(B615="","Missing code",IF(C615="Unknown code","Unknown code",IF(D615="","Missing qty",IF(A615="","Missing date","")))))</f>
        <v/>
      </c>
    </row>
    <row r="616" customFormat="false" ht="15" hidden="false" customHeight="false" outlineLevel="0" collapsed="false">
      <c r="A616" s="44"/>
      <c r="B616" s="39"/>
      <c r="C616" s="45" t="str">
        <f aca="false">IF(B616="","",IFERROR(INDEX(Contract!$C$10:$C$23,MATCH(B616,Contract!$B$10:$B$23,0)),"Unknown code"))</f>
        <v/>
      </c>
      <c r="D616" s="46"/>
      <c r="E616" s="39"/>
      <c r="F616" s="39"/>
      <c r="G616" s="47" t="str">
        <f aca="false">IF(AND(B616="",D616=""),"",IF(B616="","Missing code",IF(C616="Unknown code","Unknown code",IF(D616="","Missing qty",IF(A616="","Missing date","")))))</f>
        <v/>
      </c>
    </row>
    <row r="617" customFormat="false" ht="15" hidden="false" customHeight="false" outlineLevel="0" collapsed="false">
      <c r="A617" s="44"/>
      <c r="B617" s="39"/>
      <c r="C617" s="45" t="str">
        <f aca="false">IF(B617="","",IFERROR(INDEX(Contract!$C$10:$C$23,MATCH(B617,Contract!$B$10:$B$23,0)),"Unknown code"))</f>
        <v/>
      </c>
      <c r="D617" s="46"/>
      <c r="E617" s="39"/>
      <c r="F617" s="39"/>
      <c r="G617" s="47" t="str">
        <f aca="false">IF(AND(B617="",D617=""),"",IF(B617="","Missing code",IF(C617="Unknown code","Unknown code",IF(D617="","Missing qty",IF(A617="","Missing date","")))))</f>
        <v/>
      </c>
    </row>
    <row r="618" customFormat="false" ht="15" hidden="false" customHeight="false" outlineLevel="0" collapsed="false">
      <c r="A618" s="44"/>
      <c r="B618" s="39"/>
      <c r="C618" s="45" t="str">
        <f aca="false">IF(B618="","",IFERROR(INDEX(Contract!$C$10:$C$23,MATCH(B618,Contract!$B$10:$B$23,0)),"Unknown code"))</f>
        <v/>
      </c>
      <c r="D618" s="46"/>
      <c r="E618" s="39"/>
      <c r="F618" s="39"/>
      <c r="G618" s="47" t="str">
        <f aca="false">IF(AND(B618="",D618=""),"",IF(B618="","Missing code",IF(C618="Unknown code","Unknown code",IF(D618="","Missing qty",IF(A618="","Missing date","")))))</f>
        <v/>
      </c>
    </row>
    <row r="619" customFormat="false" ht="15" hidden="false" customHeight="false" outlineLevel="0" collapsed="false">
      <c r="A619" s="44"/>
      <c r="B619" s="39"/>
      <c r="C619" s="45" t="str">
        <f aca="false">IF(B619="","",IFERROR(INDEX(Contract!$C$10:$C$23,MATCH(B619,Contract!$B$10:$B$23,0)),"Unknown code"))</f>
        <v/>
      </c>
      <c r="D619" s="46"/>
      <c r="E619" s="39"/>
      <c r="F619" s="39"/>
      <c r="G619" s="47" t="str">
        <f aca="false">IF(AND(B619="",D619=""),"",IF(B619="","Missing code",IF(C619="Unknown code","Unknown code",IF(D619="","Missing qty",IF(A619="","Missing date","")))))</f>
        <v/>
      </c>
    </row>
    <row r="620" customFormat="false" ht="15" hidden="false" customHeight="false" outlineLevel="0" collapsed="false">
      <c r="A620" s="44"/>
      <c r="B620" s="39"/>
      <c r="C620" s="45" t="str">
        <f aca="false">IF(B620="","",IFERROR(INDEX(Contract!$C$10:$C$23,MATCH(B620,Contract!$B$10:$B$23,0)),"Unknown code"))</f>
        <v/>
      </c>
      <c r="D620" s="46"/>
      <c r="E620" s="39"/>
      <c r="F620" s="39"/>
      <c r="G620" s="47" t="str">
        <f aca="false">IF(AND(B620="",D620=""),"",IF(B620="","Missing code",IF(C620="Unknown code","Unknown code",IF(D620="","Missing qty",IF(A620="","Missing date","")))))</f>
        <v/>
      </c>
    </row>
    <row r="621" customFormat="false" ht="15" hidden="false" customHeight="false" outlineLevel="0" collapsed="false">
      <c r="A621" s="44"/>
      <c r="B621" s="39"/>
      <c r="C621" s="45" t="str">
        <f aca="false">IF(B621="","",IFERROR(INDEX(Contract!$C$10:$C$23,MATCH(B621,Contract!$B$10:$B$23,0)),"Unknown code"))</f>
        <v/>
      </c>
      <c r="D621" s="46"/>
      <c r="E621" s="39"/>
      <c r="F621" s="39"/>
      <c r="G621" s="47" t="str">
        <f aca="false">IF(AND(B621="",D621=""),"",IF(B621="","Missing code",IF(C621="Unknown code","Unknown code",IF(D621="","Missing qty",IF(A621="","Missing date","")))))</f>
        <v/>
      </c>
    </row>
    <row r="622" customFormat="false" ht="15" hidden="false" customHeight="false" outlineLevel="0" collapsed="false">
      <c r="A622" s="44"/>
      <c r="B622" s="39"/>
      <c r="C622" s="45" t="str">
        <f aca="false">IF(B622="","",IFERROR(INDEX(Contract!$C$10:$C$23,MATCH(B622,Contract!$B$10:$B$23,0)),"Unknown code"))</f>
        <v/>
      </c>
      <c r="D622" s="46"/>
      <c r="E622" s="39"/>
      <c r="F622" s="39"/>
      <c r="G622" s="47" t="str">
        <f aca="false">IF(AND(B622="",D622=""),"",IF(B622="","Missing code",IF(C622="Unknown code","Unknown code",IF(D622="","Missing qty",IF(A622="","Missing date","")))))</f>
        <v/>
      </c>
    </row>
    <row r="623" customFormat="false" ht="15" hidden="false" customHeight="false" outlineLevel="0" collapsed="false">
      <c r="A623" s="44"/>
      <c r="B623" s="39"/>
      <c r="C623" s="45" t="str">
        <f aca="false">IF(B623="","",IFERROR(INDEX(Contract!$C$10:$C$23,MATCH(B623,Contract!$B$10:$B$23,0)),"Unknown code"))</f>
        <v/>
      </c>
      <c r="D623" s="46"/>
      <c r="E623" s="39"/>
      <c r="F623" s="39"/>
      <c r="G623" s="47" t="str">
        <f aca="false">IF(AND(B623="",D623=""),"",IF(B623="","Missing code",IF(C623="Unknown code","Unknown code",IF(D623="","Missing qty",IF(A623="","Missing date","")))))</f>
        <v/>
      </c>
    </row>
    <row r="624" customFormat="false" ht="15" hidden="false" customHeight="false" outlineLevel="0" collapsed="false">
      <c r="A624" s="44"/>
      <c r="B624" s="39"/>
      <c r="C624" s="45" t="str">
        <f aca="false">IF(B624="","",IFERROR(INDEX(Contract!$C$10:$C$23,MATCH(B624,Contract!$B$10:$B$23,0)),"Unknown code"))</f>
        <v/>
      </c>
      <c r="D624" s="46"/>
      <c r="E624" s="39"/>
      <c r="F624" s="39"/>
      <c r="G624" s="47" t="str">
        <f aca="false">IF(AND(B624="",D624=""),"",IF(B624="","Missing code",IF(C624="Unknown code","Unknown code",IF(D624="","Missing qty",IF(A624="","Missing date","")))))</f>
        <v/>
      </c>
    </row>
    <row r="625" customFormat="false" ht="15" hidden="false" customHeight="false" outlineLevel="0" collapsed="false">
      <c r="A625" s="44"/>
      <c r="B625" s="39"/>
      <c r="C625" s="45" t="str">
        <f aca="false">IF(B625="","",IFERROR(INDEX(Contract!$C$10:$C$23,MATCH(B625,Contract!$B$10:$B$23,0)),"Unknown code"))</f>
        <v/>
      </c>
      <c r="D625" s="46"/>
      <c r="E625" s="39"/>
      <c r="F625" s="39"/>
      <c r="G625" s="47" t="str">
        <f aca="false">IF(AND(B625="",D625=""),"",IF(B625="","Missing code",IF(C625="Unknown code","Unknown code",IF(D625="","Missing qty",IF(A625="","Missing date","")))))</f>
        <v/>
      </c>
    </row>
    <row r="626" customFormat="false" ht="15" hidden="false" customHeight="false" outlineLevel="0" collapsed="false">
      <c r="A626" s="44"/>
      <c r="B626" s="39"/>
      <c r="C626" s="45" t="str">
        <f aca="false">IF(B626="","",IFERROR(INDEX(Contract!$C$10:$C$23,MATCH(B626,Contract!$B$10:$B$23,0)),"Unknown code"))</f>
        <v/>
      </c>
      <c r="D626" s="46"/>
      <c r="E626" s="39"/>
      <c r="F626" s="39"/>
      <c r="G626" s="47" t="str">
        <f aca="false">IF(AND(B626="",D626=""),"",IF(B626="","Missing code",IF(C626="Unknown code","Unknown code",IF(D626="","Missing qty",IF(A626="","Missing date","")))))</f>
        <v/>
      </c>
    </row>
    <row r="627" customFormat="false" ht="15" hidden="false" customHeight="false" outlineLevel="0" collapsed="false">
      <c r="A627" s="44"/>
      <c r="B627" s="39"/>
      <c r="C627" s="45" t="str">
        <f aca="false">IF(B627="","",IFERROR(INDEX(Contract!$C$10:$C$23,MATCH(B627,Contract!$B$10:$B$23,0)),"Unknown code"))</f>
        <v/>
      </c>
      <c r="D627" s="46"/>
      <c r="E627" s="39"/>
      <c r="F627" s="39"/>
      <c r="G627" s="47" t="str">
        <f aca="false">IF(AND(B627="",D627=""),"",IF(B627="","Missing code",IF(C627="Unknown code","Unknown code",IF(D627="","Missing qty",IF(A627="","Missing date","")))))</f>
        <v/>
      </c>
    </row>
    <row r="628" customFormat="false" ht="15" hidden="false" customHeight="false" outlineLevel="0" collapsed="false">
      <c r="A628" s="44"/>
      <c r="B628" s="39"/>
      <c r="C628" s="45" t="str">
        <f aca="false">IF(B628="","",IFERROR(INDEX(Contract!$C$10:$C$23,MATCH(B628,Contract!$B$10:$B$23,0)),"Unknown code"))</f>
        <v/>
      </c>
      <c r="D628" s="46"/>
      <c r="E628" s="39"/>
      <c r="F628" s="39"/>
      <c r="G628" s="47" t="str">
        <f aca="false">IF(AND(B628="",D628=""),"",IF(B628="","Missing code",IF(C628="Unknown code","Unknown code",IF(D628="","Missing qty",IF(A628="","Missing date","")))))</f>
        <v/>
      </c>
    </row>
    <row r="629" customFormat="false" ht="15" hidden="false" customHeight="false" outlineLevel="0" collapsed="false">
      <c r="A629" s="44"/>
      <c r="B629" s="39"/>
      <c r="C629" s="45" t="str">
        <f aca="false">IF(B629="","",IFERROR(INDEX(Contract!$C$10:$C$23,MATCH(B629,Contract!$B$10:$B$23,0)),"Unknown code"))</f>
        <v/>
      </c>
      <c r="D629" s="46"/>
      <c r="E629" s="39"/>
      <c r="F629" s="39"/>
      <c r="G629" s="47" t="str">
        <f aca="false">IF(AND(B629="",D629=""),"",IF(B629="","Missing code",IF(C629="Unknown code","Unknown code",IF(D629="","Missing qty",IF(A629="","Missing date","")))))</f>
        <v/>
      </c>
    </row>
    <row r="630" customFormat="false" ht="15" hidden="false" customHeight="false" outlineLevel="0" collapsed="false">
      <c r="A630" s="44"/>
      <c r="B630" s="39"/>
      <c r="C630" s="45" t="str">
        <f aca="false">IF(B630="","",IFERROR(INDEX(Contract!$C$10:$C$23,MATCH(B630,Contract!$B$10:$B$23,0)),"Unknown code"))</f>
        <v/>
      </c>
      <c r="D630" s="46"/>
      <c r="E630" s="39"/>
      <c r="F630" s="39"/>
      <c r="G630" s="47" t="str">
        <f aca="false">IF(AND(B630="",D630=""),"",IF(B630="","Missing code",IF(C630="Unknown code","Unknown code",IF(D630="","Missing qty",IF(A630="","Missing date","")))))</f>
        <v/>
      </c>
    </row>
    <row r="631" customFormat="false" ht="15" hidden="false" customHeight="false" outlineLevel="0" collapsed="false">
      <c r="A631" s="44"/>
      <c r="B631" s="39"/>
      <c r="C631" s="45" t="str">
        <f aca="false">IF(B631="","",IFERROR(INDEX(Contract!$C$10:$C$23,MATCH(B631,Contract!$B$10:$B$23,0)),"Unknown code"))</f>
        <v/>
      </c>
      <c r="D631" s="46"/>
      <c r="E631" s="39"/>
      <c r="F631" s="39"/>
      <c r="G631" s="47" t="str">
        <f aca="false">IF(AND(B631="",D631=""),"",IF(B631="","Missing code",IF(C631="Unknown code","Unknown code",IF(D631="","Missing qty",IF(A631="","Missing date","")))))</f>
        <v/>
      </c>
    </row>
    <row r="632" customFormat="false" ht="15" hidden="false" customHeight="false" outlineLevel="0" collapsed="false">
      <c r="A632" s="44"/>
      <c r="B632" s="39"/>
      <c r="C632" s="45" t="str">
        <f aca="false">IF(B632="","",IFERROR(INDEX(Contract!$C$10:$C$23,MATCH(B632,Contract!$B$10:$B$23,0)),"Unknown code"))</f>
        <v/>
      </c>
      <c r="D632" s="46"/>
      <c r="E632" s="39"/>
      <c r="F632" s="39"/>
      <c r="G632" s="47" t="str">
        <f aca="false">IF(AND(B632="",D632=""),"",IF(B632="","Missing code",IF(C632="Unknown code","Unknown code",IF(D632="","Missing qty",IF(A632="","Missing date","")))))</f>
        <v/>
      </c>
    </row>
    <row r="633" customFormat="false" ht="15" hidden="false" customHeight="false" outlineLevel="0" collapsed="false">
      <c r="A633" s="44"/>
      <c r="B633" s="39"/>
      <c r="C633" s="45" t="str">
        <f aca="false">IF(B633="","",IFERROR(INDEX(Contract!$C$10:$C$23,MATCH(B633,Contract!$B$10:$B$23,0)),"Unknown code"))</f>
        <v/>
      </c>
      <c r="D633" s="46"/>
      <c r="E633" s="39"/>
      <c r="F633" s="39"/>
      <c r="G633" s="47" t="str">
        <f aca="false">IF(AND(B633="",D633=""),"",IF(B633="","Missing code",IF(C633="Unknown code","Unknown code",IF(D633="","Missing qty",IF(A633="","Missing date","")))))</f>
        <v/>
      </c>
    </row>
    <row r="634" customFormat="false" ht="15" hidden="false" customHeight="false" outlineLevel="0" collapsed="false">
      <c r="A634" s="44"/>
      <c r="B634" s="39"/>
      <c r="C634" s="45" t="str">
        <f aca="false">IF(B634="","",IFERROR(INDEX(Contract!$C$10:$C$23,MATCH(B634,Contract!$B$10:$B$23,0)),"Unknown code"))</f>
        <v/>
      </c>
      <c r="D634" s="46"/>
      <c r="E634" s="39"/>
      <c r="F634" s="39"/>
      <c r="G634" s="47" t="str">
        <f aca="false">IF(AND(B634="",D634=""),"",IF(B634="","Missing code",IF(C634="Unknown code","Unknown code",IF(D634="","Missing qty",IF(A634="","Missing date","")))))</f>
        <v/>
      </c>
    </row>
    <row r="635" customFormat="false" ht="15" hidden="false" customHeight="false" outlineLevel="0" collapsed="false">
      <c r="A635" s="44"/>
      <c r="B635" s="39"/>
      <c r="C635" s="45" t="str">
        <f aca="false">IF(B635="","",IFERROR(INDEX(Contract!$C$10:$C$23,MATCH(B635,Contract!$B$10:$B$23,0)),"Unknown code"))</f>
        <v/>
      </c>
      <c r="D635" s="46"/>
      <c r="E635" s="39"/>
      <c r="F635" s="39"/>
      <c r="G635" s="47" t="str">
        <f aca="false">IF(AND(B635="",D635=""),"",IF(B635="","Missing code",IF(C635="Unknown code","Unknown code",IF(D635="","Missing qty",IF(A635="","Missing date","")))))</f>
        <v/>
      </c>
    </row>
    <row r="636" customFormat="false" ht="15" hidden="false" customHeight="false" outlineLevel="0" collapsed="false">
      <c r="A636" s="44"/>
      <c r="B636" s="39"/>
      <c r="C636" s="45" t="str">
        <f aca="false">IF(B636="","",IFERROR(INDEX(Contract!$C$10:$C$23,MATCH(B636,Contract!$B$10:$B$23,0)),"Unknown code"))</f>
        <v/>
      </c>
      <c r="D636" s="46"/>
      <c r="E636" s="39"/>
      <c r="F636" s="39"/>
      <c r="G636" s="47" t="str">
        <f aca="false">IF(AND(B636="",D636=""),"",IF(B636="","Missing code",IF(C636="Unknown code","Unknown code",IF(D636="","Missing qty",IF(A636="","Missing date","")))))</f>
        <v/>
      </c>
    </row>
    <row r="637" customFormat="false" ht="15" hidden="false" customHeight="false" outlineLevel="0" collapsed="false">
      <c r="A637" s="44"/>
      <c r="B637" s="39"/>
      <c r="C637" s="45" t="str">
        <f aca="false">IF(B637="","",IFERROR(INDEX(Contract!$C$10:$C$23,MATCH(B637,Contract!$B$10:$B$23,0)),"Unknown code"))</f>
        <v/>
      </c>
      <c r="D637" s="46"/>
      <c r="E637" s="39"/>
      <c r="F637" s="39"/>
      <c r="G637" s="47" t="str">
        <f aca="false">IF(AND(B637="",D637=""),"",IF(B637="","Missing code",IF(C637="Unknown code","Unknown code",IF(D637="","Missing qty",IF(A637="","Missing date","")))))</f>
        <v/>
      </c>
    </row>
    <row r="638" customFormat="false" ht="15" hidden="false" customHeight="false" outlineLevel="0" collapsed="false">
      <c r="A638" s="44"/>
      <c r="B638" s="39"/>
      <c r="C638" s="45" t="str">
        <f aca="false">IF(B638="","",IFERROR(INDEX(Contract!$C$10:$C$23,MATCH(B638,Contract!$B$10:$B$23,0)),"Unknown code"))</f>
        <v/>
      </c>
      <c r="D638" s="46"/>
      <c r="E638" s="39"/>
      <c r="F638" s="39"/>
      <c r="G638" s="47" t="str">
        <f aca="false">IF(AND(B638="",D638=""),"",IF(B638="","Missing code",IF(C638="Unknown code","Unknown code",IF(D638="","Missing qty",IF(A638="","Missing date","")))))</f>
        <v/>
      </c>
    </row>
    <row r="639" customFormat="false" ht="15" hidden="false" customHeight="false" outlineLevel="0" collapsed="false">
      <c r="A639" s="44"/>
      <c r="B639" s="39"/>
      <c r="C639" s="45" t="str">
        <f aca="false">IF(B639="","",IFERROR(INDEX(Contract!$C$10:$C$23,MATCH(B639,Contract!$B$10:$B$23,0)),"Unknown code"))</f>
        <v/>
      </c>
      <c r="D639" s="46"/>
      <c r="E639" s="39"/>
      <c r="F639" s="39"/>
      <c r="G639" s="47" t="str">
        <f aca="false">IF(AND(B639="",D639=""),"",IF(B639="","Missing code",IF(C639="Unknown code","Unknown code",IF(D639="","Missing qty",IF(A639="","Missing date","")))))</f>
        <v/>
      </c>
    </row>
    <row r="640" customFormat="false" ht="15" hidden="false" customHeight="false" outlineLevel="0" collapsed="false">
      <c r="A640" s="44"/>
      <c r="B640" s="39"/>
      <c r="C640" s="45" t="str">
        <f aca="false">IF(B640="","",IFERROR(INDEX(Contract!$C$10:$C$23,MATCH(B640,Contract!$B$10:$B$23,0)),"Unknown code"))</f>
        <v/>
      </c>
      <c r="D640" s="46"/>
      <c r="E640" s="39"/>
      <c r="F640" s="39"/>
      <c r="G640" s="47" t="str">
        <f aca="false">IF(AND(B640="",D640=""),"",IF(B640="","Missing code",IF(C640="Unknown code","Unknown code",IF(D640="","Missing qty",IF(A640="","Missing date","")))))</f>
        <v/>
      </c>
    </row>
    <row r="641" customFormat="false" ht="15" hidden="false" customHeight="false" outlineLevel="0" collapsed="false">
      <c r="A641" s="44"/>
      <c r="B641" s="39"/>
      <c r="C641" s="45" t="str">
        <f aca="false">IF(B641="","",IFERROR(INDEX(Contract!$C$10:$C$23,MATCH(B641,Contract!$B$10:$B$23,0)),"Unknown code"))</f>
        <v/>
      </c>
      <c r="D641" s="46"/>
      <c r="E641" s="39"/>
      <c r="F641" s="39"/>
      <c r="G641" s="47" t="str">
        <f aca="false">IF(AND(B641="",D641=""),"",IF(B641="","Missing code",IF(C641="Unknown code","Unknown code",IF(D641="","Missing qty",IF(A641="","Missing date","")))))</f>
        <v/>
      </c>
    </row>
    <row r="642" customFormat="false" ht="15" hidden="false" customHeight="false" outlineLevel="0" collapsed="false">
      <c r="A642" s="44"/>
      <c r="B642" s="39"/>
      <c r="C642" s="45" t="str">
        <f aca="false">IF(B642="","",IFERROR(INDEX(Contract!$C$10:$C$23,MATCH(B642,Contract!$B$10:$B$23,0)),"Unknown code"))</f>
        <v/>
      </c>
      <c r="D642" s="46"/>
      <c r="E642" s="39"/>
      <c r="F642" s="39"/>
      <c r="G642" s="47" t="str">
        <f aca="false">IF(AND(B642="",D642=""),"",IF(B642="","Missing code",IF(C642="Unknown code","Unknown code",IF(D642="","Missing qty",IF(A642="","Missing date","")))))</f>
        <v/>
      </c>
    </row>
    <row r="643" customFormat="false" ht="15" hidden="false" customHeight="false" outlineLevel="0" collapsed="false">
      <c r="A643" s="44"/>
      <c r="B643" s="39"/>
      <c r="C643" s="45" t="str">
        <f aca="false">IF(B643="","",IFERROR(INDEX(Contract!$C$10:$C$23,MATCH(B643,Contract!$B$10:$B$23,0)),"Unknown code"))</f>
        <v/>
      </c>
      <c r="D643" s="46"/>
      <c r="E643" s="39"/>
      <c r="F643" s="39"/>
      <c r="G643" s="47" t="str">
        <f aca="false">IF(AND(B643="",D643=""),"",IF(B643="","Missing code",IF(C643="Unknown code","Unknown code",IF(D643="","Missing qty",IF(A643="","Missing date","")))))</f>
        <v/>
      </c>
    </row>
    <row r="644" customFormat="false" ht="15" hidden="false" customHeight="false" outlineLevel="0" collapsed="false">
      <c r="A644" s="44"/>
      <c r="B644" s="39"/>
      <c r="C644" s="45" t="str">
        <f aca="false">IF(B644="","",IFERROR(INDEX(Contract!$C$10:$C$23,MATCH(B644,Contract!$B$10:$B$23,0)),"Unknown code"))</f>
        <v/>
      </c>
      <c r="D644" s="46"/>
      <c r="E644" s="39"/>
      <c r="F644" s="39"/>
      <c r="G644" s="47" t="str">
        <f aca="false">IF(AND(B644="",D644=""),"",IF(B644="","Missing code",IF(C644="Unknown code","Unknown code",IF(D644="","Missing qty",IF(A644="","Missing date","")))))</f>
        <v/>
      </c>
    </row>
    <row r="645" customFormat="false" ht="15" hidden="false" customHeight="false" outlineLevel="0" collapsed="false">
      <c r="A645" s="44"/>
      <c r="B645" s="39"/>
      <c r="C645" s="45" t="str">
        <f aca="false">IF(B645="","",IFERROR(INDEX(Contract!$C$10:$C$23,MATCH(B645,Contract!$B$10:$B$23,0)),"Unknown code"))</f>
        <v/>
      </c>
      <c r="D645" s="46"/>
      <c r="E645" s="39"/>
      <c r="F645" s="39"/>
      <c r="G645" s="47" t="str">
        <f aca="false">IF(AND(B645="",D645=""),"",IF(B645="","Missing code",IF(C645="Unknown code","Unknown code",IF(D645="","Missing qty",IF(A645="","Missing date","")))))</f>
        <v/>
      </c>
    </row>
    <row r="646" customFormat="false" ht="15" hidden="false" customHeight="false" outlineLevel="0" collapsed="false">
      <c r="A646" s="44"/>
      <c r="B646" s="39"/>
      <c r="C646" s="45" t="str">
        <f aca="false">IF(B646="","",IFERROR(INDEX(Contract!$C$10:$C$23,MATCH(B646,Contract!$B$10:$B$23,0)),"Unknown code"))</f>
        <v/>
      </c>
      <c r="D646" s="46"/>
      <c r="E646" s="39"/>
      <c r="F646" s="39"/>
      <c r="G646" s="47" t="str">
        <f aca="false">IF(AND(B646="",D646=""),"",IF(B646="","Missing code",IF(C646="Unknown code","Unknown code",IF(D646="","Missing qty",IF(A646="","Missing date","")))))</f>
        <v/>
      </c>
    </row>
    <row r="647" customFormat="false" ht="15" hidden="false" customHeight="false" outlineLevel="0" collapsed="false">
      <c r="A647" s="44"/>
      <c r="B647" s="39"/>
      <c r="C647" s="45" t="str">
        <f aca="false">IF(B647="","",IFERROR(INDEX(Contract!$C$10:$C$23,MATCH(B647,Contract!$B$10:$B$23,0)),"Unknown code"))</f>
        <v/>
      </c>
      <c r="D647" s="46"/>
      <c r="E647" s="39"/>
      <c r="F647" s="39"/>
      <c r="G647" s="47" t="str">
        <f aca="false">IF(AND(B647="",D647=""),"",IF(B647="","Missing code",IF(C647="Unknown code","Unknown code",IF(D647="","Missing qty",IF(A647="","Missing date","")))))</f>
        <v/>
      </c>
    </row>
    <row r="648" customFormat="false" ht="15" hidden="false" customHeight="false" outlineLevel="0" collapsed="false">
      <c r="A648" s="44"/>
      <c r="B648" s="39"/>
      <c r="C648" s="45" t="str">
        <f aca="false">IF(B648="","",IFERROR(INDEX(Contract!$C$10:$C$23,MATCH(B648,Contract!$B$10:$B$23,0)),"Unknown code"))</f>
        <v/>
      </c>
      <c r="D648" s="46"/>
      <c r="E648" s="39"/>
      <c r="F648" s="39"/>
      <c r="G648" s="47" t="str">
        <f aca="false">IF(AND(B648="",D648=""),"",IF(B648="","Missing code",IF(C648="Unknown code","Unknown code",IF(D648="","Missing qty",IF(A648="","Missing date","")))))</f>
        <v/>
      </c>
    </row>
    <row r="649" customFormat="false" ht="15" hidden="false" customHeight="false" outlineLevel="0" collapsed="false">
      <c r="A649" s="44"/>
      <c r="B649" s="39"/>
      <c r="C649" s="45" t="str">
        <f aca="false">IF(B649="","",IFERROR(INDEX(Contract!$C$10:$C$23,MATCH(B649,Contract!$B$10:$B$23,0)),"Unknown code"))</f>
        <v/>
      </c>
      <c r="D649" s="46"/>
      <c r="E649" s="39"/>
      <c r="F649" s="39"/>
      <c r="G649" s="47" t="str">
        <f aca="false">IF(AND(B649="",D649=""),"",IF(B649="","Missing code",IF(C649="Unknown code","Unknown code",IF(D649="","Missing qty",IF(A649="","Missing date","")))))</f>
        <v/>
      </c>
    </row>
    <row r="650" customFormat="false" ht="15" hidden="false" customHeight="false" outlineLevel="0" collapsed="false">
      <c r="A650" s="44"/>
      <c r="B650" s="39"/>
      <c r="C650" s="45" t="str">
        <f aca="false">IF(B650="","",IFERROR(INDEX(Contract!$C$10:$C$23,MATCH(B650,Contract!$B$10:$B$23,0)),"Unknown code"))</f>
        <v/>
      </c>
      <c r="D650" s="46"/>
      <c r="E650" s="39"/>
      <c r="F650" s="39"/>
      <c r="G650" s="47" t="str">
        <f aca="false">IF(AND(B650="",D650=""),"",IF(B650="","Missing code",IF(C650="Unknown code","Unknown code",IF(D650="","Missing qty",IF(A650="","Missing date","")))))</f>
        <v/>
      </c>
    </row>
    <row r="651" customFormat="false" ht="15" hidden="false" customHeight="false" outlineLevel="0" collapsed="false">
      <c r="A651" s="44"/>
      <c r="B651" s="39"/>
      <c r="C651" s="45" t="str">
        <f aca="false">IF(B651="","",IFERROR(INDEX(Contract!$C$10:$C$23,MATCH(B651,Contract!$B$10:$B$23,0)),"Unknown code"))</f>
        <v/>
      </c>
      <c r="D651" s="46"/>
      <c r="E651" s="39"/>
      <c r="F651" s="39"/>
      <c r="G651" s="47" t="str">
        <f aca="false">IF(AND(B651="",D651=""),"",IF(B651="","Missing code",IF(C651="Unknown code","Unknown code",IF(D651="","Missing qty",IF(A651="","Missing date","")))))</f>
        <v/>
      </c>
    </row>
    <row r="652" customFormat="false" ht="15" hidden="false" customHeight="false" outlineLevel="0" collapsed="false">
      <c r="A652" s="44"/>
      <c r="B652" s="39"/>
      <c r="C652" s="45" t="str">
        <f aca="false">IF(B652="","",IFERROR(INDEX(Contract!$C$10:$C$23,MATCH(B652,Contract!$B$10:$B$23,0)),"Unknown code"))</f>
        <v/>
      </c>
      <c r="D652" s="46"/>
      <c r="E652" s="39"/>
      <c r="F652" s="39"/>
      <c r="G652" s="47" t="str">
        <f aca="false">IF(AND(B652="",D652=""),"",IF(B652="","Missing code",IF(C652="Unknown code","Unknown code",IF(D652="","Missing qty",IF(A652="","Missing date","")))))</f>
        <v/>
      </c>
    </row>
    <row r="653" customFormat="false" ht="15" hidden="false" customHeight="false" outlineLevel="0" collapsed="false">
      <c r="A653" s="44"/>
      <c r="B653" s="39"/>
      <c r="C653" s="45" t="str">
        <f aca="false">IF(B653="","",IFERROR(INDEX(Contract!$C$10:$C$23,MATCH(B653,Contract!$B$10:$B$23,0)),"Unknown code"))</f>
        <v/>
      </c>
      <c r="D653" s="46"/>
      <c r="E653" s="39"/>
      <c r="F653" s="39"/>
      <c r="G653" s="47" t="str">
        <f aca="false">IF(AND(B653="",D653=""),"",IF(B653="","Missing code",IF(C653="Unknown code","Unknown code",IF(D653="","Missing qty",IF(A653="","Missing date","")))))</f>
        <v/>
      </c>
    </row>
    <row r="654" customFormat="false" ht="15" hidden="false" customHeight="false" outlineLevel="0" collapsed="false">
      <c r="A654" s="44"/>
      <c r="B654" s="39"/>
      <c r="C654" s="45" t="str">
        <f aca="false">IF(B654="","",IFERROR(INDEX(Contract!$C$10:$C$23,MATCH(B654,Contract!$B$10:$B$23,0)),"Unknown code"))</f>
        <v/>
      </c>
      <c r="D654" s="46"/>
      <c r="E654" s="39"/>
      <c r="F654" s="39"/>
      <c r="G654" s="47" t="str">
        <f aca="false">IF(AND(B654="",D654=""),"",IF(B654="","Missing code",IF(C654="Unknown code","Unknown code",IF(D654="","Missing qty",IF(A654="","Missing date","")))))</f>
        <v/>
      </c>
    </row>
    <row r="655" customFormat="false" ht="15" hidden="false" customHeight="false" outlineLevel="0" collapsed="false">
      <c r="A655" s="44"/>
      <c r="B655" s="39"/>
      <c r="C655" s="45" t="str">
        <f aca="false">IF(B655="","",IFERROR(INDEX(Contract!$C$10:$C$23,MATCH(B655,Contract!$B$10:$B$23,0)),"Unknown code"))</f>
        <v/>
      </c>
      <c r="D655" s="46"/>
      <c r="E655" s="39"/>
      <c r="F655" s="39"/>
      <c r="G655" s="47" t="str">
        <f aca="false">IF(AND(B655="",D655=""),"",IF(B655="","Missing code",IF(C655="Unknown code","Unknown code",IF(D655="","Missing qty",IF(A655="","Missing date","")))))</f>
        <v/>
      </c>
    </row>
    <row r="656" customFormat="false" ht="15" hidden="false" customHeight="false" outlineLevel="0" collapsed="false">
      <c r="A656" s="44"/>
      <c r="B656" s="39"/>
      <c r="C656" s="45" t="str">
        <f aca="false">IF(B656="","",IFERROR(INDEX(Contract!$C$10:$C$23,MATCH(B656,Contract!$B$10:$B$23,0)),"Unknown code"))</f>
        <v/>
      </c>
      <c r="D656" s="46"/>
      <c r="E656" s="39"/>
      <c r="F656" s="39"/>
      <c r="G656" s="47" t="str">
        <f aca="false">IF(AND(B656="",D656=""),"",IF(B656="","Missing code",IF(C656="Unknown code","Unknown code",IF(D656="","Missing qty",IF(A656="","Missing date","")))))</f>
        <v/>
      </c>
    </row>
    <row r="657" customFormat="false" ht="15" hidden="false" customHeight="false" outlineLevel="0" collapsed="false">
      <c r="A657" s="44"/>
      <c r="B657" s="39"/>
      <c r="C657" s="45" t="str">
        <f aca="false">IF(B657="","",IFERROR(INDEX(Contract!$C$10:$C$23,MATCH(B657,Contract!$B$10:$B$23,0)),"Unknown code"))</f>
        <v/>
      </c>
      <c r="D657" s="46"/>
      <c r="E657" s="39"/>
      <c r="F657" s="39"/>
      <c r="G657" s="47" t="str">
        <f aca="false">IF(AND(B657="",D657=""),"",IF(B657="","Missing code",IF(C657="Unknown code","Unknown code",IF(D657="","Missing qty",IF(A657="","Missing date","")))))</f>
        <v/>
      </c>
    </row>
    <row r="658" customFormat="false" ht="15" hidden="false" customHeight="false" outlineLevel="0" collapsed="false">
      <c r="A658" s="44"/>
      <c r="B658" s="39"/>
      <c r="C658" s="45" t="str">
        <f aca="false">IF(B658="","",IFERROR(INDEX(Contract!$C$10:$C$23,MATCH(B658,Contract!$B$10:$B$23,0)),"Unknown code"))</f>
        <v/>
      </c>
      <c r="D658" s="46"/>
      <c r="E658" s="39"/>
      <c r="F658" s="39"/>
      <c r="G658" s="47" t="str">
        <f aca="false">IF(AND(B658="",D658=""),"",IF(B658="","Missing code",IF(C658="Unknown code","Unknown code",IF(D658="","Missing qty",IF(A658="","Missing date","")))))</f>
        <v/>
      </c>
    </row>
    <row r="659" customFormat="false" ht="15" hidden="false" customHeight="false" outlineLevel="0" collapsed="false">
      <c r="A659" s="44"/>
      <c r="B659" s="39"/>
      <c r="C659" s="45" t="str">
        <f aca="false">IF(B659="","",IFERROR(INDEX(Contract!$C$10:$C$23,MATCH(B659,Contract!$B$10:$B$23,0)),"Unknown code"))</f>
        <v/>
      </c>
      <c r="D659" s="46"/>
      <c r="E659" s="39"/>
      <c r="F659" s="39"/>
      <c r="G659" s="47" t="str">
        <f aca="false">IF(AND(B659="",D659=""),"",IF(B659="","Missing code",IF(C659="Unknown code","Unknown code",IF(D659="","Missing qty",IF(A659="","Missing date","")))))</f>
        <v/>
      </c>
    </row>
    <row r="660" customFormat="false" ht="15" hidden="false" customHeight="false" outlineLevel="0" collapsed="false">
      <c r="A660" s="44"/>
      <c r="B660" s="39"/>
      <c r="C660" s="45" t="str">
        <f aca="false">IF(B660="","",IFERROR(INDEX(Contract!$C$10:$C$23,MATCH(B660,Contract!$B$10:$B$23,0)),"Unknown code"))</f>
        <v/>
      </c>
      <c r="D660" s="46"/>
      <c r="E660" s="39"/>
      <c r="F660" s="39"/>
      <c r="G660" s="47" t="str">
        <f aca="false">IF(AND(B660="",D660=""),"",IF(B660="","Missing code",IF(C660="Unknown code","Unknown code",IF(D660="","Missing qty",IF(A660="","Missing date","")))))</f>
        <v/>
      </c>
    </row>
    <row r="661" customFormat="false" ht="15" hidden="false" customHeight="false" outlineLevel="0" collapsed="false">
      <c r="A661" s="44"/>
      <c r="B661" s="39"/>
      <c r="C661" s="45" t="str">
        <f aca="false">IF(B661="","",IFERROR(INDEX(Contract!$C$10:$C$23,MATCH(B661,Contract!$B$10:$B$23,0)),"Unknown code"))</f>
        <v/>
      </c>
      <c r="D661" s="46"/>
      <c r="E661" s="39"/>
      <c r="F661" s="39"/>
      <c r="G661" s="47" t="str">
        <f aca="false">IF(AND(B661="",D661=""),"",IF(B661="","Missing code",IF(C661="Unknown code","Unknown code",IF(D661="","Missing qty",IF(A661="","Missing date","")))))</f>
        <v/>
      </c>
    </row>
    <row r="662" customFormat="false" ht="15" hidden="false" customHeight="false" outlineLevel="0" collapsed="false">
      <c r="A662" s="44"/>
      <c r="B662" s="39"/>
      <c r="C662" s="45" t="str">
        <f aca="false">IF(B662="","",IFERROR(INDEX(Contract!$C$10:$C$23,MATCH(B662,Contract!$B$10:$B$23,0)),"Unknown code"))</f>
        <v/>
      </c>
      <c r="D662" s="46"/>
      <c r="E662" s="39"/>
      <c r="F662" s="39"/>
      <c r="G662" s="47" t="str">
        <f aca="false">IF(AND(B662="",D662=""),"",IF(B662="","Missing code",IF(C662="Unknown code","Unknown code",IF(D662="","Missing qty",IF(A662="","Missing date","")))))</f>
        <v/>
      </c>
    </row>
    <row r="663" customFormat="false" ht="15" hidden="false" customHeight="false" outlineLevel="0" collapsed="false">
      <c r="A663" s="44"/>
      <c r="B663" s="39"/>
      <c r="C663" s="45" t="str">
        <f aca="false">IF(B663="","",IFERROR(INDEX(Contract!$C$10:$C$23,MATCH(B663,Contract!$B$10:$B$23,0)),"Unknown code"))</f>
        <v/>
      </c>
      <c r="D663" s="46"/>
      <c r="E663" s="39"/>
      <c r="F663" s="39"/>
      <c r="G663" s="47" t="str">
        <f aca="false">IF(AND(B663="",D663=""),"",IF(B663="","Missing code",IF(C663="Unknown code","Unknown code",IF(D663="","Missing qty",IF(A663="","Missing date","")))))</f>
        <v/>
      </c>
    </row>
    <row r="664" customFormat="false" ht="15" hidden="false" customHeight="false" outlineLevel="0" collapsed="false">
      <c r="A664" s="44"/>
      <c r="B664" s="39"/>
      <c r="C664" s="45" t="str">
        <f aca="false">IF(B664="","",IFERROR(INDEX(Contract!$C$10:$C$23,MATCH(B664,Contract!$B$10:$B$23,0)),"Unknown code"))</f>
        <v/>
      </c>
      <c r="D664" s="46"/>
      <c r="E664" s="39"/>
      <c r="F664" s="39"/>
      <c r="G664" s="47" t="str">
        <f aca="false">IF(AND(B664="",D664=""),"",IF(B664="","Missing code",IF(C664="Unknown code","Unknown code",IF(D664="","Missing qty",IF(A664="","Missing date","")))))</f>
        <v/>
      </c>
    </row>
    <row r="665" customFormat="false" ht="15" hidden="false" customHeight="false" outlineLevel="0" collapsed="false">
      <c r="A665" s="44"/>
      <c r="B665" s="39"/>
      <c r="C665" s="45" t="str">
        <f aca="false">IF(B665="","",IFERROR(INDEX(Contract!$C$10:$C$23,MATCH(B665,Contract!$B$10:$B$23,0)),"Unknown code"))</f>
        <v/>
      </c>
      <c r="D665" s="46"/>
      <c r="E665" s="39"/>
      <c r="F665" s="39"/>
      <c r="G665" s="47" t="str">
        <f aca="false">IF(AND(B665="",D665=""),"",IF(B665="","Missing code",IF(C665="Unknown code","Unknown code",IF(D665="","Missing qty",IF(A665="","Missing date","")))))</f>
        <v/>
      </c>
    </row>
    <row r="666" customFormat="false" ht="15" hidden="false" customHeight="false" outlineLevel="0" collapsed="false">
      <c r="A666" s="44"/>
      <c r="B666" s="39"/>
      <c r="C666" s="45" t="str">
        <f aca="false">IF(B666="","",IFERROR(INDEX(Contract!$C$10:$C$23,MATCH(B666,Contract!$B$10:$B$23,0)),"Unknown code"))</f>
        <v/>
      </c>
      <c r="D666" s="46"/>
      <c r="E666" s="39"/>
      <c r="F666" s="39"/>
      <c r="G666" s="47" t="str">
        <f aca="false">IF(AND(B666="",D666=""),"",IF(B666="","Missing code",IF(C666="Unknown code","Unknown code",IF(D666="","Missing qty",IF(A666="","Missing date","")))))</f>
        <v/>
      </c>
    </row>
    <row r="667" customFormat="false" ht="15" hidden="false" customHeight="false" outlineLevel="0" collapsed="false">
      <c r="A667" s="44"/>
      <c r="B667" s="39"/>
      <c r="C667" s="45" t="str">
        <f aca="false">IF(B667="","",IFERROR(INDEX(Contract!$C$10:$C$23,MATCH(B667,Contract!$B$10:$B$23,0)),"Unknown code"))</f>
        <v/>
      </c>
      <c r="D667" s="46"/>
      <c r="E667" s="39"/>
      <c r="F667" s="39"/>
      <c r="G667" s="47" t="str">
        <f aca="false">IF(AND(B667="",D667=""),"",IF(B667="","Missing code",IF(C667="Unknown code","Unknown code",IF(D667="","Missing qty",IF(A667="","Missing date","")))))</f>
        <v/>
      </c>
    </row>
    <row r="668" customFormat="false" ht="15" hidden="false" customHeight="false" outlineLevel="0" collapsed="false">
      <c r="A668" s="44"/>
      <c r="B668" s="39"/>
      <c r="C668" s="45" t="str">
        <f aca="false">IF(B668="","",IFERROR(INDEX(Contract!$C$10:$C$23,MATCH(B668,Contract!$B$10:$B$23,0)),"Unknown code"))</f>
        <v/>
      </c>
      <c r="D668" s="46"/>
      <c r="E668" s="39"/>
      <c r="F668" s="39"/>
      <c r="G668" s="47" t="str">
        <f aca="false">IF(AND(B668="",D668=""),"",IF(B668="","Missing code",IF(C668="Unknown code","Unknown code",IF(D668="","Missing qty",IF(A668="","Missing date","")))))</f>
        <v/>
      </c>
    </row>
    <row r="669" customFormat="false" ht="15" hidden="false" customHeight="false" outlineLevel="0" collapsed="false">
      <c r="A669" s="44"/>
      <c r="B669" s="39"/>
      <c r="C669" s="45" t="str">
        <f aca="false">IF(B669="","",IFERROR(INDEX(Contract!$C$10:$C$23,MATCH(B669,Contract!$B$10:$B$23,0)),"Unknown code"))</f>
        <v/>
      </c>
      <c r="D669" s="46"/>
      <c r="E669" s="39"/>
      <c r="F669" s="39"/>
      <c r="G669" s="47" t="str">
        <f aca="false">IF(AND(B669="",D669=""),"",IF(B669="","Missing code",IF(C669="Unknown code","Unknown code",IF(D669="","Missing qty",IF(A669="","Missing date","")))))</f>
        <v/>
      </c>
    </row>
    <row r="670" customFormat="false" ht="15" hidden="false" customHeight="false" outlineLevel="0" collapsed="false">
      <c r="A670" s="44"/>
      <c r="B670" s="39"/>
      <c r="C670" s="45" t="str">
        <f aca="false">IF(B670="","",IFERROR(INDEX(Contract!$C$10:$C$23,MATCH(B670,Contract!$B$10:$B$23,0)),"Unknown code"))</f>
        <v/>
      </c>
      <c r="D670" s="46"/>
      <c r="E670" s="39"/>
      <c r="F670" s="39"/>
      <c r="G670" s="47" t="str">
        <f aca="false">IF(AND(B670="",D670=""),"",IF(B670="","Missing code",IF(C670="Unknown code","Unknown code",IF(D670="","Missing qty",IF(A670="","Missing date","")))))</f>
        <v/>
      </c>
    </row>
    <row r="671" customFormat="false" ht="15" hidden="false" customHeight="false" outlineLevel="0" collapsed="false">
      <c r="A671" s="44"/>
      <c r="B671" s="39"/>
      <c r="C671" s="45" t="str">
        <f aca="false">IF(B671="","",IFERROR(INDEX(Contract!$C$10:$C$23,MATCH(B671,Contract!$B$10:$B$23,0)),"Unknown code"))</f>
        <v/>
      </c>
      <c r="D671" s="46"/>
      <c r="E671" s="39"/>
      <c r="F671" s="39"/>
      <c r="G671" s="47" t="str">
        <f aca="false">IF(AND(B671="",D671=""),"",IF(B671="","Missing code",IF(C671="Unknown code","Unknown code",IF(D671="","Missing qty",IF(A671="","Missing date","")))))</f>
        <v/>
      </c>
    </row>
    <row r="672" customFormat="false" ht="15" hidden="false" customHeight="false" outlineLevel="0" collapsed="false">
      <c r="A672" s="44"/>
      <c r="B672" s="39"/>
      <c r="C672" s="45" t="str">
        <f aca="false">IF(B672="","",IFERROR(INDEX(Contract!$C$10:$C$23,MATCH(B672,Contract!$B$10:$B$23,0)),"Unknown code"))</f>
        <v/>
      </c>
      <c r="D672" s="46"/>
      <c r="E672" s="39"/>
      <c r="F672" s="39"/>
      <c r="G672" s="47" t="str">
        <f aca="false">IF(AND(B672="",D672=""),"",IF(B672="","Missing code",IF(C672="Unknown code","Unknown code",IF(D672="","Missing qty",IF(A672="","Missing date","")))))</f>
        <v/>
      </c>
    </row>
    <row r="673" customFormat="false" ht="15" hidden="false" customHeight="false" outlineLevel="0" collapsed="false">
      <c r="A673" s="44"/>
      <c r="B673" s="39"/>
      <c r="C673" s="45" t="str">
        <f aca="false">IF(B673="","",IFERROR(INDEX(Contract!$C$10:$C$23,MATCH(B673,Contract!$B$10:$B$23,0)),"Unknown code"))</f>
        <v/>
      </c>
      <c r="D673" s="46"/>
      <c r="E673" s="39"/>
      <c r="F673" s="39"/>
      <c r="G673" s="47" t="str">
        <f aca="false">IF(AND(B673="",D673=""),"",IF(B673="","Missing code",IF(C673="Unknown code","Unknown code",IF(D673="","Missing qty",IF(A673="","Missing date","")))))</f>
        <v/>
      </c>
    </row>
    <row r="674" customFormat="false" ht="15" hidden="false" customHeight="false" outlineLevel="0" collapsed="false">
      <c r="A674" s="44"/>
      <c r="B674" s="39"/>
      <c r="C674" s="45" t="str">
        <f aca="false">IF(B674="","",IFERROR(INDEX(Contract!$C$10:$C$23,MATCH(B674,Contract!$B$10:$B$23,0)),"Unknown code"))</f>
        <v/>
      </c>
      <c r="D674" s="46"/>
      <c r="E674" s="39"/>
      <c r="F674" s="39"/>
      <c r="G674" s="47" t="str">
        <f aca="false">IF(AND(B674="",D674=""),"",IF(B674="","Missing code",IF(C674="Unknown code","Unknown code",IF(D674="","Missing qty",IF(A674="","Missing date","")))))</f>
        <v/>
      </c>
    </row>
    <row r="675" customFormat="false" ht="15" hidden="false" customHeight="false" outlineLevel="0" collapsed="false">
      <c r="A675" s="44"/>
      <c r="B675" s="39"/>
      <c r="C675" s="45" t="str">
        <f aca="false">IF(B675="","",IFERROR(INDEX(Contract!$C$10:$C$23,MATCH(B675,Contract!$B$10:$B$23,0)),"Unknown code"))</f>
        <v/>
      </c>
      <c r="D675" s="46"/>
      <c r="E675" s="39"/>
      <c r="F675" s="39"/>
      <c r="G675" s="47" t="str">
        <f aca="false">IF(AND(B675="",D675=""),"",IF(B675="","Missing code",IF(C675="Unknown code","Unknown code",IF(D675="","Missing qty",IF(A675="","Missing date","")))))</f>
        <v/>
      </c>
    </row>
    <row r="676" customFormat="false" ht="15" hidden="false" customHeight="false" outlineLevel="0" collapsed="false">
      <c r="A676" s="44"/>
      <c r="B676" s="39"/>
      <c r="C676" s="45" t="str">
        <f aca="false">IF(B676="","",IFERROR(INDEX(Contract!$C$10:$C$23,MATCH(B676,Contract!$B$10:$B$23,0)),"Unknown code"))</f>
        <v/>
      </c>
      <c r="D676" s="46"/>
      <c r="E676" s="39"/>
      <c r="F676" s="39"/>
      <c r="G676" s="47" t="str">
        <f aca="false">IF(AND(B676="",D676=""),"",IF(B676="","Missing code",IF(C676="Unknown code","Unknown code",IF(D676="","Missing qty",IF(A676="","Missing date","")))))</f>
        <v/>
      </c>
    </row>
    <row r="677" customFormat="false" ht="15" hidden="false" customHeight="false" outlineLevel="0" collapsed="false">
      <c r="A677" s="44"/>
      <c r="B677" s="39"/>
      <c r="C677" s="45" t="str">
        <f aca="false">IF(B677="","",IFERROR(INDEX(Contract!$C$10:$C$23,MATCH(B677,Contract!$B$10:$B$23,0)),"Unknown code"))</f>
        <v/>
      </c>
      <c r="D677" s="46"/>
      <c r="E677" s="39"/>
      <c r="F677" s="39"/>
      <c r="G677" s="47" t="str">
        <f aca="false">IF(AND(B677="",D677=""),"",IF(B677="","Missing code",IF(C677="Unknown code","Unknown code",IF(D677="","Missing qty",IF(A677="","Missing date","")))))</f>
        <v/>
      </c>
    </row>
    <row r="678" customFormat="false" ht="15" hidden="false" customHeight="false" outlineLevel="0" collapsed="false">
      <c r="A678" s="44"/>
      <c r="B678" s="39"/>
      <c r="C678" s="45" t="str">
        <f aca="false">IF(B678="","",IFERROR(INDEX(Contract!$C$10:$C$23,MATCH(B678,Contract!$B$10:$B$23,0)),"Unknown code"))</f>
        <v/>
      </c>
      <c r="D678" s="46"/>
      <c r="E678" s="39"/>
      <c r="F678" s="39"/>
      <c r="G678" s="47" t="str">
        <f aca="false">IF(AND(B678="",D678=""),"",IF(B678="","Missing code",IF(C678="Unknown code","Unknown code",IF(D678="","Missing qty",IF(A678="","Missing date","")))))</f>
        <v/>
      </c>
    </row>
    <row r="679" customFormat="false" ht="15" hidden="false" customHeight="false" outlineLevel="0" collapsed="false">
      <c r="A679" s="44"/>
      <c r="B679" s="39"/>
      <c r="C679" s="45" t="str">
        <f aca="false">IF(B679="","",IFERROR(INDEX(Contract!$C$10:$C$23,MATCH(B679,Contract!$B$10:$B$23,0)),"Unknown code"))</f>
        <v/>
      </c>
      <c r="D679" s="46"/>
      <c r="E679" s="39"/>
      <c r="F679" s="39"/>
      <c r="G679" s="47" t="str">
        <f aca="false">IF(AND(B679="",D679=""),"",IF(B679="","Missing code",IF(C679="Unknown code","Unknown code",IF(D679="","Missing qty",IF(A679="","Missing date","")))))</f>
        <v/>
      </c>
    </row>
    <row r="680" customFormat="false" ht="15" hidden="false" customHeight="false" outlineLevel="0" collapsed="false">
      <c r="A680" s="44"/>
      <c r="B680" s="39"/>
      <c r="C680" s="45" t="str">
        <f aca="false">IF(B680="","",IFERROR(INDEX(Contract!$C$10:$C$23,MATCH(B680,Contract!$B$10:$B$23,0)),"Unknown code"))</f>
        <v/>
      </c>
      <c r="D680" s="46"/>
      <c r="E680" s="39"/>
      <c r="F680" s="39"/>
      <c r="G680" s="47" t="str">
        <f aca="false">IF(AND(B680="",D680=""),"",IF(B680="","Missing code",IF(C680="Unknown code","Unknown code",IF(D680="","Missing qty",IF(A680="","Missing date","")))))</f>
        <v/>
      </c>
    </row>
    <row r="681" customFormat="false" ht="15" hidden="false" customHeight="false" outlineLevel="0" collapsed="false">
      <c r="A681" s="44"/>
      <c r="B681" s="39"/>
      <c r="C681" s="45" t="str">
        <f aca="false">IF(B681="","",IFERROR(INDEX(Contract!$C$10:$C$23,MATCH(B681,Contract!$B$10:$B$23,0)),"Unknown code"))</f>
        <v/>
      </c>
      <c r="D681" s="46"/>
      <c r="E681" s="39"/>
      <c r="F681" s="39"/>
      <c r="G681" s="47" t="str">
        <f aca="false">IF(AND(B681="",D681=""),"",IF(B681="","Missing code",IF(C681="Unknown code","Unknown code",IF(D681="","Missing qty",IF(A681="","Missing date","")))))</f>
        <v/>
      </c>
    </row>
    <row r="682" customFormat="false" ht="15" hidden="false" customHeight="false" outlineLevel="0" collapsed="false">
      <c r="A682" s="44"/>
      <c r="B682" s="39"/>
      <c r="C682" s="45" t="str">
        <f aca="false">IF(B682="","",IFERROR(INDEX(Contract!$C$10:$C$23,MATCH(B682,Contract!$B$10:$B$23,0)),"Unknown code"))</f>
        <v/>
      </c>
      <c r="D682" s="46"/>
      <c r="E682" s="39"/>
      <c r="F682" s="39"/>
      <c r="G682" s="47" t="str">
        <f aca="false">IF(AND(B682="",D682=""),"",IF(B682="","Missing code",IF(C682="Unknown code","Unknown code",IF(D682="","Missing qty",IF(A682="","Missing date","")))))</f>
        <v/>
      </c>
    </row>
    <row r="683" customFormat="false" ht="15" hidden="false" customHeight="false" outlineLevel="0" collapsed="false">
      <c r="A683" s="44"/>
      <c r="B683" s="39"/>
      <c r="C683" s="45" t="str">
        <f aca="false">IF(B683="","",IFERROR(INDEX(Contract!$C$10:$C$23,MATCH(B683,Contract!$B$10:$B$23,0)),"Unknown code"))</f>
        <v/>
      </c>
      <c r="D683" s="46"/>
      <c r="E683" s="39"/>
      <c r="F683" s="39"/>
      <c r="G683" s="47" t="str">
        <f aca="false">IF(AND(B683="",D683=""),"",IF(B683="","Missing code",IF(C683="Unknown code","Unknown code",IF(D683="","Missing qty",IF(A683="","Missing date","")))))</f>
        <v/>
      </c>
    </row>
    <row r="684" customFormat="false" ht="15" hidden="false" customHeight="false" outlineLevel="0" collapsed="false">
      <c r="A684" s="44"/>
      <c r="B684" s="39"/>
      <c r="C684" s="45" t="str">
        <f aca="false">IF(B684="","",IFERROR(INDEX(Contract!$C$10:$C$23,MATCH(B684,Contract!$B$10:$B$23,0)),"Unknown code"))</f>
        <v/>
      </c>
      <c r="D684" s="46"/>
      <c r="E684" s="39"/>
      <c r="F684" s="39"/>
      <c r="G684" s="47" t="str">
        <f aca="false">IF(AND(B684="",D684=""),"",IF(B684="","Missing code",IF(C684="Unknown code","Unknown code",IF(D684="","Missing qty",IF(A684="","Missing date","")))))</f>
        <v/>
      </c>
    </row>
    <row r="685" customFormat="false" ht="15" hidden="false" customHeight="false" outlineLevel="0" collapsed="false">
      <c r="A685" s="44"/>
      <c r="B685" s="39"/>
      <c r="C685" s="45" t="str">
        <f aca="false">IF(B685="","",IFERROR(INDEX(Contract!$C$10:$C$23,MATCH(B685,Contract!$B$10:$B$23,0)),"Unknown code"))</f>
        <v/>
      </c>
      <c r="D685" s="46"/>
      <c r="E685" s="39"/>
      <c r="F685" s="39"/>
      <c r="G685" s="47" t="str">
        <f aca="false">IF(AND(B685="",D685=""),"",IF(B685="","Missing code",IF(C685="Unknown code","Unknown code",IF(D685="","Missing qty",IF(A685="","Missing date","")))))</f>
        <v/>
      </c>
    </row>
    <row r="686" customFormat="false" ht="15" hidden="false" customHeight="false" outlineLevel="0" collapsed="false">
      <c r="A686" s="44"/>
      <c r="B686" s="39"/>
      <c r="C686" s="45" t="str">
        <f aca="false">IF(B686="","",IFERROR(INDEX(Contract!$C$10:$C$23,MATCH(B686,Contract!$B$10:$B$23,0)),"Unknown code"))</f>
        <v/>
      </c>
      <c r="D686" s="46"/>
      <c r="E686" s="39"/>
      <c r="F686" s="39"/>
      <c r="G686" s="47" t="str">
        <f aca="false">IF(AND(B686="",D686=""),"",IF(B686="","Missing code",IF(C686="Unknown code","Unknown code",IF(D686="","Missing qty",IF(A686="","Missing date","")))))</f>
        <v/>
      </c>
    </row>
    <row r="687" customFormat="false" ht="15" hidden="false" customHeight="false" outlineLevel="0" collapsed="false">
      <c r="A687" s="44"/>
      <c r="B687" s="39"/>
      <c r="C687" s="45" t="str">
        <f aca="false">IF(B687="","",IFERROR(INDEX(Contract!$C$10:$C$23,MATCH(B687,Contract!$B$10:$B$23,0)),"Unknown code"))</f>
        <v/>
      </c>
      <c r="D687" s="46"/>
      <c r="E687" s="39"/>
      <c r="F687" s="39"/>
      <c r="G687" s="47" t="str">
        <f aca="false">IF(AND(B687="",D687=""),"",IF(B687="","Missing code",IF(C687="Unknown code","Unknown code",IF(D687="","Missing qty",IF(A687="","Missing date","")))))</f>
        <v/>
      </c>
    </row>
    <row r="688" customFormat="false" ht="15" hidden="false" customHeight="false" outlineLevel="0" collapsed="false">
      <c r="A688" s="44"/>
      <c r="B688" s="39"/>
      <c r="C688" s="45" t="str">
        <f aca="false">IF(B688="","",IFERROR(INDEX(Contract!$C$10:$C$23,MATCH(B688,Contract!$B$10:$B$23,0)),"Unknown code"))</f>
        <v/>
      </c>
      <c r="D688" s="46"/>
      <c r="E688" s="39"/>
      <c r="F688" s="39"/>
      <c r="G688" s="47" t="str">
        <f aca="false">IF(AND(B688="",D688=""),"",IF(B688="","Missing code",IF(C688="Unknown code","Unknown code",IF(D688="","Missing qty",IF(A688="","Missing date","")))))</f>
        <v/>
      </c>
    </row>
    <row r="689" customFormat="false" ht="15" hidden="false" customHeight="false" outlineLevel="0" collapsed="false">
      <c r="A689" s="44"/>
      <c r="B689" s="39"/>
      <c r="C689" s="45" t="str">
        <f aca="false">IF(B689="","",IFERROR(INDEX(Contract!$C$10:$C$23,MATCH(B689,Contract!$B$10:$B$23,0)),"Unknown code"))</f>
        <v/>
      </c>
      <c r="D689" s="46"/>
      <c r="E689" s="39"/>
      <c r="F689" s="39"/>
      <c r="G689" s="47" t="str">
        <f aca="false">IF(AND(B689="",D689=""),"",IF(B689="","Missing code",IF(C689="Unknown code","Unknown code",IF(D689="","Missing qty",IF(A689="","Missing date","")))))</f>
        <v/>
      </c>
    </row>
    <row r="690" customFormat="false" ht="15" hidden="false" customHeight="false" outlineLevel="0" collapsed="false">
      <c r="A690" s="44"/>
      <c r="B690" s="39"/>
      <c r="C690" s="45" t="str">
        <f aca="false">IF(B690="","",IFERROR(INDEX(Contract!$C$10:$C$23,MATCH(B690,Contract!$B$10:$B$23,0)),"Unknown code"))</f>
        <v/>
      </c>
      <c r="D690" s="46"/>
      <c r="E690" s="39"/>
      <c r="F690" s="39"/>
      <c r="G690" s="47" t="str">
        <f aca="false">IF(AND(B690="",D690=""),"",IF(B690="","Missing code",IF(C690="Unknown code","Unknown code",IF(D690="","Missing qty",IF(A690="","Missing date","")))))</f>
        <v/>
      </c>
    </row>
    <row r="691" customFormat="false" ht="15" hidden="false" customHeight="false" outlineLevel="0" collapsed="false">
      <c r="A691" s="44"/>
      <c r="B691" s="39"/>
      <c r="C691" s="45" t="str">
        <f aca="false">IF(B691="","",IFERROR(INDEX(Contract!$C$10:$C$23,MATCH(B691,Contract!$B$10:$B$23,0)),"Unknown code"))</f>
        <v/>
      </c>
      <c r="D691" s="46"/>
      <c r="E691" s="39"/>
      <c r="F691" s="39"/>
      <c r="G691" s="47" t="str">
        <f aca="false">IF(AND(B691="",D691=""),"",IF(B691="","Missing code",IF(C691="Unknown code","Unknown code",IF(D691="","Missing qty",IF(A691="","Missing date","")))))</f>
        <v/>
      </c>
    </row>
    <row r="692" customFormat="false" ht="15" hidden="false" customHeight="false" outlineLevel="0" collapsed="false">
      <c r="A692" s="44"/>
      <c r="B692" s="39"/>
      <c r="C692" s="45" t="str">
        <f aca="false">IF(B692="","",IFERROR(INDEX(Contract!$C$10:$C$23,MATCH(B692,Contract!$B$10:$B$23,0)),"Unknown code"))</f>
        <v/>
      </c>
      <c r="D692" s="46"/>
      <c r="E692" s="39"/>
      <c r="F692" s="39"/>
      <c r="G692" s="47" t="str">
        <f aca="false">IF(AND(B692="",D692=""),"",IF(B692="","Missing code",IF(C692="Unknown code","Unknown code",IF(D692="","Missing qty",IF(A692="","Missing date","")))))</f>
        <v/>
      </c>
    </row>
    <row r="693" customFormat="false" ht="15" hidden="false" customHeight="false" outlineLevel="0" collapsed="false">
      <c r="A693" s="44"/>
      <c r="B693" s="39"/>
      <c r="C693" s="45" t="str">
        <f aca="false">IF(B693="","",IFERROR(INDEX(Contract!$C$10:$C$23,MATCH(B693,Contract!$B$10:$B$23,0)),"Unknown code"))</f>
        <v/>
      </c>
      <c r="D693" s="46"/>
      <c r="E693" s="39"/>
      <c r="F693" s="39"/>
      <c r="G693" s="47" t="str">
        <f aca="false">IF(AND(B693="",D693=""),"",IF(B693="","Missing code",IF(C693="Unknown code","Unknown code",IF(D693="","Missing qty",IF(A693="","Missing date","")))))</f>
        <v/>
      </c>
    </row>
    <row r="694" customFormat="false" ht="15" hidden="false" customHeight="false" outlineLevel="0" collapsed="false">
      <c r="A694" s="44"/>
      <c r="B694" s="39"/>
      <c r="C694" s="45" t="str">
        <f aca="false">IF(B694="","",IFERROR(INDEX(Contract!$C$10:$C$23,MATCH(B694,Contract!$B$10:$B$23,0)),"Unknown code"))</f>
        <v/>
      </c>
      <c r="D694" s="46"/>
      <c r="E694" s="39"/>
      <c r="F694" s="39"/>
      <c r="G694" s="47" t="str">
        <f aca="false">IF(AND(B694="",D694=""),"",IF(B694="","Missing code",IF(C694="Unknown code","Unknown code",IF(D694="","Missing qty",IF(A694="","Missing date","")))))</f>
        <v/>
      </c>
    </row>
    <row r="695" customFormat="false" ht="15" hidden="false" customHeight="false" outlineLevel="0" collapsed="false">
      <c r="A695" s="44"/>
      <c r="B695" s="39"/>
      <c r="C695" s="45" t="str">
        <f aca="false">IF(B695="","",IFERROR(INDEX(Contract!$C$10:$C$23,MATCH(B695,Contract!$B$10:$B$23,0)),"Unknown code"))</f>
        <v/>
      </c>
      <c r="D695" s="46"/>
      <c r="E695" s="39"/>
      <c r="F695" s="39"/>
      <c r="G695" s="47" t="str">
        <f aca="false">IF(AND(B695="",D695=""),"",IF(B695="","Missing code",IF(C695="Unknown code","Unknown code",IF(D695="","Missing qty",IF(A695="","Missing date","")))))</f>
        <v/>
      </c>
    </row>
    <row r="696" customFormat="false" ht="15" hidden="false" customHeight="false" outlineLevel="0" collapsed="false">
      <c r="A696" s="44"/>
      <c r="B696" s="39"/>
      <c r="C696" s="45" t="str">
        <f aca="false">IF(B696="","",IFERROR(INDEX(Contract!$C$10:$C$23,MATCH(B696,Contract!$B$10:$B$23,0)),"Unknown code"))</f>
        <v/>
      </c>
      <c r="D696" s="46"/>
      <c r="E696" s="39"/>
      <c r="F696" s="39"/>
      <c r="G696" s="47" t="str">
        <f aca="false">IF(AND(B696="",D696=""),"",IF(B696="","Missing code",IF(C696="Unknown code","Unknown code",IF(D696="","Missing qty",IF(A696="","Missing date","")))))</f>
        <v/>
      </c>
    </row>
    <row r="697" customFormat="false" ht="15" hidden="false" customHeight="false" outlineLevel="0" collapsed="false">
      <c r="A697" s="44"/>
      <c r="B697" s="39"/>
      <c r="C697" s="45" t="str">
        <f aca="false">IF(B697="","",IFERROR(INDEX(Contract!$C$10:$C$23,MATCH(B697,Contract!$B$10:$B$23,0)),"Unknown code"))</f>
        <v/>
      </c>
      <c r="D697" s="46"/>
      <c r="E697" s="39"/>
      <c r="F697" s="39"/>
      <c r="G697" s="47" t="str">
        <f aca="false">IF(AND(B697="",D697=""),"",IF(B697="","Missing code",IF(C697="Unknown code","Unknown code",IF(D697="","Missing qty",IF(A697="","Missing date","")))))</f>
        <v/>
      </c>
    </row>
    <row r="698" customFormat="false" ht="15" hidden="false" customHeight="false" outlineLevel="0" collapsed="false">
      <c r="A698" s="44"/>
      <c r="B698" s="39"/>
      <c r="C698" s="45" t="str">
        <f aca="false">IF(B698="","",IFERROR(INDEX(Contract!$C$10:$C$23,MATCH(B698,Contract!$B$10:$B$23,0)),"Unknown code"))</f>
        <v/>
      </c>
      <c r="D698" s="46"/>
      <c r="E698" s="39"/>
      <c r="F698" s="39"/>
      <c r="G698" s="47" t="str">
        <f aca="false">IF(AND(B698="",D698=""),"",IF(B698="","Missing code",IF(C698="Unknown code","Unknown code",IF(D698="","Missing qty",IF(A698="","Missing date","")))))</f>
        <v/>
      </c>
    </row>
    <row r="699" customFormat="false" ht="15" hidden="false" customHeight="false" outlineLevel="0" collapsed="false">
      <c r="A699" s="44"/>
      <c r="B699" s="39"/>
      <c r="C699" s="45" t="str">
        <f aca="false">IF(B699="","",IFERROR(INDEX(Contract!$C$10:$C$23,MATCH(B699,Contract!$B$10:$B$23,0)),"Unknown code"))</f>
        <v/>
      </c>
      <c r="D699" s="46"/>
      <c r="E699" s="39"/>
      <c r="F699" s="39"/>
      <c r="G699" s="47" t="str">
        <f aca="false">IF(AND(B699="",D699=""),"",IF(B699="","Missing code",IF(C699="Unknown code","Unknown code",IF(D699="","Missing qty",IF(A699="","Missing date","")))))</f>
        <v/>
      </c>
    </row>
    <row r="700" customFormat="false" ht="15" hidden="false" customHeight="false" outlineLevel="0" collapsed="false">
      <c r="A700" s="44"/>
      <c r="B700" s="39"/>
      <c r="C700" s="45" t="str">
        <f aca="false">IF(B700="","",IFERROR(INDEX(Contract!$C$10:$C$23,MATCH(B700,Contract!$B$10:$B$23,0)),"Unknown code"))</f>
        <v/>
      </c>
      <c r="D700" s="46"/>
      <c r="E700" s="39"/>
      <c r="F700" s="39"/>
      <c r="G700" s="47" t="str">
        <f aca="false">IF(AND(B700="",D700=""),"",IF(B700="","Missing code",IF(C700="Unknown code","Unknown code",IF(D700="","Missing qty",IF(A700="","Missing date","")))))</f>
        <v/>
      </c>
    </row>
    <row r="701" customFormat="false" ht="15" hidden="false" customHeight="false" outlineLevel="0" collapsed="false">
      <c r="A701" s="44"/>
      <c r="B701" s="39"/>
      <c r="C701" s="45" t="str">
        <f aca="false">IF(B701="","",IFERROR(INDEX(Contract!$C$10:$C$23,MATCH(B701,Contract!$B$10:$B$23,0)),"Unknown code"))</f>
        <v/>
      </c>
      <c r="D701" s="46"/>
      <c r="E701" s="39"/>
      <c r="F701" s="39"/>
      <c r="G701" s="47" t="str">
        <f aca="false">IF(AND(B701="",D701=""),"",IF(B701="","Missing code",IF(C701="Unknown code","Unknown code",IF(D701="","Missing qty",IF(A701="","Missing date","")))))</f>
        <v/>
      </c>
    </row>
    <row r="702" customFormat="false" ht="15" hidden="false" customHeight="false" outlineLevel="0" collapsed="false">
      <c r="A702" s="44"/>
      <c r="B702" s="39"/>
      <c r="C702" s="45" t="str">
        <f aca="false">IF(B702="","",IFERROR(INDEX(Contract!$C$10:$C$23,MATCH(B702,Contract!$B$10:$B$23,0)),"Unknown code"))</f>
        <v/>
      </c>
      <c r="D702" s="46"/>
      <c r="E702" s="39"/>
      <c r="F702" s="39"/>
      <c r="G702" s="47" t="str">
        <f aca="false">IF(AND(B702="",D702=""),"",IF(B702="","Missing code",IF(C702="Unknown code","Unknown code",IF(D702="","Missing qty",IF(A702="","Missing date","")))))</f>
        <v/>
      </c>
    </row>
    <row r="703" customFormat="false" ht="15" hidden="false" customHeight="false" outlineLevel="0" collapsed="false">
      <c r="A703" s="44"/>
      <c r="B703" s="39"/>
      <c r="C703" s="45" t="str">
        <f aca="false">IF(B703="","",IFERROR(INDEX(Contract!$C$10:$C$23,MATCH(B703,Contract!$B$10:$B$23,0)),"Unknown code"))</f>
        <v/>
      </c>
      <c r="D703" s="46"/>
      <c r="E703" s="39"/>
      <c r="F703" s="39"/>
      <c r="G703" s="47" t="str">
        <f aca="false">IF(AND(B703="",D703=""),"",IF(B703="","Missing code",IF(C703="Unknown code","Unknown code",IF(D703="","Missing qty",IF(A703="","Missing date","")))))</f>
        <v/>
      </c>
    </row>
    <row r="704" customFormat="false" ht="15" hidden="false" customHeight="false" outlineLevel="0" collapsed="false">
      <c r="A704" s="44"/>
      <c r="B704" s="39"/>
      <c r="C704" s="45" t="str">
        <f aca="false">IF(B704="","",IFERROR(INDEX(Contract!$C$10:$C$23,MATCH(B704,Contract!$B$10:$B$23,0)),"Unknown code"))</f>
        <v/>
      </c>
      <c r="D704" s="46"/>
      <c r="E704" s="39"/>
      <c r="F704" s="39"/>
      <c r="G704" s="47" t="str">
        <f aca="false">IF(AND(B704="",D704=""),"",IF(B704="","Missing code",IF(C704="Unknown code","Unknown code",IF(D704="","Missing qty",IF(A704="","Missing date","")))))</f>
        <v/>
      </c>
    </row>
    <row r="705" customFormat="false" ht="15" hidden="false" customHeight="false" outlineLevel="0" collapsed="false">
      <c r="A705" s="44"/>
      <c r="B705" s="39"/>
      <c r="C705" s="45" t="str">
        <f aca="false">IF(B705="","",IFERROR(INDEX(Contract!$C$10:$C$23,MATCH(B705,Contract!$B$10:$B$23,0)),"Unknown code"))</f>
        <v/>
      </c>
      <c r="D705" s="46"/>
      <c r="E705" s="39"/>
      <c r="F705" s="39"/>
      <c r="G705" s="47" t="str">
        <f aca="false">IF(AND(B705="",D705=""),"",IF(B705="","Missing code",IF(C705="Unknown code","Unknown code",IF(D705="","Missing qty",IF(A705="","Missing date","")))))</f>
        <v/>
      </c>
    </row>
    <row r="706" customFormat="false" ht="15" hidden="false" customHeight="false" outlineLevel="0" collapsed="false">
      <c r="A706" s="44"/>
      <c r="B706" s="39"/>
      <c r="C706" s="45" t="str">
        <f aca="false">IF(B706="","",IFERROR(INDEX(Contract!$C$10:$C$23,MATCH(B706,Contract!$B$10:$B$23,0)),"Unknown code"))</f>
        <v/>
      </c>
      <c r="D706" s="46"/>
      <c r="E706" s="39"/>
      <c r="F706" s="39"/>
      <c r="G706" s="47" t="str">
        <f aca="false">IF(AND(B706="",D706=""),"",IF(B706="","Missing code",IF(C706="Unknown code","Unknown code",IF(D706="","Missing qty",IF(A706="","Missing date","")))))</f>
        <v/>
      </c>
    </row>
    <row r="707" customFormat="false" ht="15" hidden="false" customHeight="false" outlineLevel="0" collapsed="false">
      <c r="A707" s="44"/>
      <c r="B707" s="39"/>
      <c r="C707" s="45" t="str">
        <f aca="false">IF(B707="","",IFERROR(INDEX(Contract!$C$10:$C$23,MATCH(B707,Contract!$B$10:$B$23,0)),"Unknown code"))</f>
        <v/>
      </c>
      <c r="D707" s="46"/>
      <c r="E707" s="39"/>
      <c r="F707" s="39"/>
      <c r="G707" s="47" t="str">
        <f aca="false">IF(AND(B707="",D707=""),"",IF(B707="","Missing code",IF(C707="Unknown code","Unknown code",IF(D707="","Missing qty",IF(A707="","Missing date","")))))</f>
        <v/>
      </c>
    </row>
    <row r="708" customFormat="false" ht="15" hidden="false" customHeight="false" outlineLevel="0" collapsed="false">
      <c r="A708" s="44"/>
      <c r="B708" s="39"/>
      <c r="C708" s="45" t="str">
        <f aca="false">IF(B708="","",IFERROR(INDEX(Contract!$C$10:$C$23,MATCH(B708,Contract!$B$10:$B$23,0)),"Unknown code"))</f>
        <v/>
      </c>
      <c r="D708" s="46"/>
      <c r="E708" s="39"/>
      <c r="F708" s="39"/>
      <c r="G708" s="47" t="str">
        <f aca="false">IF(AND(B708="",D708=""),"",IF(B708="","Missing code",IF(C708="Unknown code","Unknown code",IF(D708="","Missing qty",IF(A708="","Missing date","")))))</f>
        <v/>
      </c>
    </row>
    <row r="709" customFormat="false" ht="15" hidden="false" customHeight="false" outlineLevel="0" collapsed="false">
      <c r="A709" s="44"/>
      <c r="B709" s="39"/>
      <c r="C709" s="45" t="str">
        <f aca="false">IF(B709="","",IFERROR(INDEX(Contract!$C$10:$C$23,MATCH(B709,Contract!$B$10:$B$23,0)),"Unknown code"))</f>
        <v/>
      </c>
      <c r="D709" s="46"/>
      <c r="E709" s="39"/>
      <c r="F709" s="39"/>
      <c r="G709" s="47" t="str">
        <f aca="false">IF(AND(B709="",D709=""),"",IF(B709="","Missing code",IF(C709="Unknown code","Unknown code",IF(D709="","Missing qty",IF(A709="","Missing date","")))))</f>
        <v/>
      </c>
    </row>
    <row r="710" customFormat="false" ht="15" hidden="false" customHeight="false" outlineLevel="0" collapsed="false">
      <c r="A710" s="44"/>
      <c r="B710" s="39"/>
      <c r="C710" s="45" t="str">
        <f aca="false">IF(B710="","",IFERROR(INDEX(Contract!$C$10:$C$23,MATCH(B710,Contract!$B$10:$B$23,0)),"Unknown code"))</f>
        <v/>
      </c>
      <c r="D710" s="46"/>
      <c r="E710" s="39"/>
      <c r="F710" s="39"/>
      <c r="G710" s="47" t="str">
        <f aca="false">IF(AND(B710="",D710=""),"",IF(B710="","Missing code",IF(C710="Unknown code","Unknown code",IF(D710="","Missing qty",IF(A710="","Missing date","")))))</f>
        <v/>
      </c>
    </row>
    <row r="711" customFormat="false" ht="15" hidden="false" customHeight="false" outlineLevel="0" collapsed="false">
      <c r="A711" s="44"/>
      <c r="B711" s="39"/>
      <c r="C711" s="45" t="str">
        <f aca="false">IF(B711="","",IFERROR(INDEX(Contract!$C$10:$C$23,MATCH(B711,Contract!$B$10:$B$23,0)),"Unknown code"))</f>
        <v/>
      </c>
      <c r="D711" s="46"/>
      <c r="E711" s="39"/>
      <c r="F711" s="39"/>
      <c r="G711" s="47" t="str">
        <f aca="false">IF(AND(B711="",D711=""),"",IF(B711="","Missing code",IF(C711="Unknown code","Unknown code",IF(D711="","Missing qty",IF(A711="","Missing date","")))))</f>
        <v/>
      </c>
    </row>
    <row r="712" customFormat="false" ht="15" hidden="false" customHeight="false" outlineLevel="0" collapsed="false">
      <c r="A712" s="44"/>
      <c r="B712" s="39"/>
      <c r="C712" s="45" t="str">
        <f aca="false">IF(B712="","",IFERROR(INDEX(Contract!$C$10:$C$23,MATCH(B712,Contract!$B$10:$B$23,0)),"Unknown code"))</f>
        <v/>
      </c>
      <c r="D712" s="46"/>
      <c r="E712" s="39"/>
      <c r="F712" s="39"/>
      <c r="G712" s="47" t="str">
        <f aca="false">IF(AND(B712="",D712=""),"",IF(B712="","Missing code",IF(C712="Unknown code","Unknown code",IF(D712="","Missing qty",IF(A712="","Missing date","")))))</f>
        <v/>
      </c>
    </row>
    <row r="713" customFormat="false" ht="15" hidden="false" customHeight="false" outlineLevel="0" collapsed="false">
      <c r="A713" s="44"/>
      <c r="B713" s="39"/>
      <c r="C713" s="45" t="str">
        <f aca="false">IF(B713="","",IFERROR(INDEX(Contract!$C$10:$C$23,MATCH(B713,Contract!$B$10:$B$23,0)),"Unknown code"))</f>
        <v/>
      </c>
      <c r="D713" s="46"/>
      <c r="E713" s="39"/>
      <c r="F713" s="39"/>
      <c r="G713" s="47" t="str">
        <f aca="false">IF(AND(B713="",D713=""),"",IF(B713="","Missing code",IF(C713="Unknown code","Unknown code",IF(D713="","Missing qty",IF(A713="","Missing date","")))))</f>
        <v/>
      </c>
    </row>
    <row r="714" customFormat="false" ht="15" hidden="false" customHeight="false" outlineLevel="0" collapsed="false">
      <c r="A714" s="44"/>
      <c r="B714" s="39"/>
      <c r="C714" s="45" t="str">
        <f aca="false">IF(B714="","",IFERROR(INDEX(Contract!$C$10:$C$23,MATCH(B714,Contract!$B$10:$B$23,0)),"Unknown code"))</f>
        <v/>
      </c>
      <c r="D714" s="46"/>
      <c r="E714" s="39"/>
      <c r="F714" s="39"/>
      <c r="G714" s="47" t="str">
        <f aca="false">IF(AND(B714="",D714=""),"",IF(B714="","Missing code",IF(C714="Unknown code","Unknown code",IF(D714="","Missing qty",IF(A714="","Missing date","")))))</f>
        <v/>
      </c>
    </row>
    <row r="715" customFormat="false" ht="15" hidden="false" customHeight="false" outlineLevel="0" collapsed="false">
      <c r="A715" s="44"/>
      <c r="B715" s="39"/>
      <c r="C715" s="45" t="str">
        <f aca="false">IF(B715="","",IFERROR(INDEX(Contract!$C$10:$C$23,MATCH(B715,Contract!$B$10:$B$23,0)),"Unknown code"))</f>
        <v/>
      </c>
      <c r="D715" s="46"/>
      <c r="E715" s="39"/>
      <c r="F715" s="39"/>
      <c r="G715" s="47" t="str">
        <f aca="false">IF(AND(B715="",D715=""),"",IF(B715="","Missing code",IF(C715="Unknown code","Unknown code",IF(D715="","Missing qty",IF(A715="","Missing date","")))))</f>
        <v/>
      </c>
    </row>
    <row r="716" customFormat="false" ht="15" hidden="false" customHeight="false" outlineLevel="0" collapsed="false">
      <c r="A716" s="44"/>
      <c r="B716" s="39"/>
      <c r="C716" s="45" t="str">
        <f aca="false">IF(B716="","",IFERROR(INDEX(Contract!$C$10:$C$23,MATCH(B716,Contract!$B$10:$B$23,0)),"Unknown code"))</f>
        <v/>
      </c>
      <c r="D716" s="46"/>
      <c r="E716" s="39"/>
      <c r="F716" s="39"/>
      <c r="G716" s="47" t="str">
        <f aca="false">IF(AND(B716="",D716=""),"",IF(B716="","Missing code",IF(C716="Unknown code","Unknown code",IF(D716="","Missing qty",IF(A716="","Missing date","")))))</f>
        <v/>
      </c>
    </row>
    <row r="717" customFormat="false" ht="15" hidden="false" customHeight="false" outlineLevel="0" collapsed="false">
      <c r="A717" s="44"/>
      <c r="B717" s="39"/>
      <c r="C717" s="45" t="str">
        <f aca="false">IF(B717="","",IFERROR(INDEX(Contract!$C$10:$C$23,MATCH(B717,Contract!$B$10:$B$23,0)),"Unknown code"))</f>
        <v/>
      </c>
      <c r="D717" s="46"/>
      <c r="E717" s="39"/>
      <c r="F717" s="39"/>
      <c r="G717" s="47" t="str">
        <f aca="false">IF(AND(B717="",D717=""),"",IF(B717="","Missing code",IF(C717="Unknown code","Unknown code",IF(D717="","Missing qty",IF(A717="","Missing date","")))))</f>
        <v/>
      </c>
    </row>
    <row r="718" customFormat="false" ht="15" hidden="false" customHeight="false" outlineLevel="0" collapsed="false">
      <c r="A718" s="44"/>
      <c r="B718" s="39"/>
      <c r="C718" s="45" t="str">
        <f aca="false">IF(B718="","",IFERROR(INDEX(Contract!$C$10:$C$23,MATCH(B718,Contract!$B$10:$B$23,0)),"Unknown code"))</f>
        <v/>
      </c>
      <c r="D718" s="46"/>
      <c r="E718" s="39"/>
      <c r="F718" s="39"/>
      <c r="G718" s="47" t="str">
        <f aca="false">IF(AND(B718="",D718=""),"",IF(B718="","Missing code",IF(C718="Unknown code","Unknown code",IF(D718="","Missing qty",IF(A718="","Missing date","")))))</f>
        <v/>
      </c>
    </row>
    <row r="719" customFormat="false" ht="15" hidden="false" customHeight="false" outlineLevel="0" collapsed="false">
      <c r="A719" s="44"/>
      <c r="B719" s="39"/>
      <c r="C719" s="45" t="str">
        <f aca="false">IF(B719="","",IFERROR(INDEX(Contract!$C$10:$C$23,MATCH(B719,Contract!$B$10:$B$23,0)),"Unknown code"))</f>
        <v/>
      </c>
      <c r="D719" s="46"/>
      <c r="E719" s="39"/>
      <c r="F719" s="39"/>
      <c r="G719" s="47" t="str">
        <f aca="false">IF(AND(B719="",D719=""),"",IF(B719="","Missing code",IF(C719="Unknown code","Unknown code",IF(D719="","Missing qty",IF(A719="","Missing date","")))))</f>
        <v/>
      </c>
    </row>
    <row r="720" customFormat="false" ht="15" hidden="false" customHeight="false" outlineLevel="0" collapsed="false">
      <c r="A720" s="44"/>
      <c r="B720" s="39"/>
      <c r="C720" s="45" t="str">
        <f aca="false">IF(B720="","",IFERROR(INDEX(Contract!$C$10:$C$23,MATCH(B720,Contract!$B$10:$B$23,0)),"Unknown code"))</f>
        <v/>
      </c>
      <c r="D720" s="46"/>
      <c r="E720" s="39"/>
      <c r="F720" s="39"/>
      <c r="G720" s="47" t="str">
        <f aca="false">IF(AND(B720="",D720=""),"",IF(B720="","Missing code",IF(C720="Unknown code","Unknown code",IF(D720="","Missing qty",IF(A720="","Missing date","")))))</f>
        <v/>
      </c>
    </row>
    <row r="721" customFormat="false" ht="15" hidden="false" customHeight="false" outlineLevel="0" collapsed="false">
      <c r="A721" s="44"/>
      <c r="B721" s="39"/>
      <c r="C721" s="45" t="str">
        <f aca="false">IF(B721="","",IFERROR(INDEX(Contract!$C$10:$C$23,MATCH(B721,Contract!$B$10:$B$23,0)),"Unknown code"))</f>
        <v/>
      </c>
      <c r="D721" s="46"/>
      <c r="E721" s="39"/>
      <c r="F721" s="39"/>
      <c r="G721" s="47" t="str">
        <f aca="false">IF(AND(B721="",D721=""),"",IF(B721="","Missing code",IF(C721="Unknown code","Unknown code",IF(D721="","Missing qty",IF(A721="","Missing date","")))))</f>
        <v/>
      </c>
    </row>
    <row r="722" customFormat="false" ht="15" hidden="false" customHeight="false" outlineLevel="0" collapsed="false">
      <c r="A722" s="44"/>
      <c r="B722" s="39"/>
      <c r="C722" s="45" t="str">
        <f aca="false">IF(B722="","",IFERROR(INDEX(Contract!$C$10:$C$23,MATCH(B722,Contract!$B$10:$B$23,0)),"Unknown code"))</f>
        <v/>
      </c>
      <c r="D722" s="46"/>
      <c r="E722" s="39"/>
      <c r="F722" s="39"/>
      <c r="G722" s="47" t="str">
        <f aca="false">IF(AND(B722="",D722=""),"",IF(B722="","Missing code",IF(C722="Unknown code","Unknown code",IF(D722="","Missing qty",IF(A722="","Missing date","")))))</f>
        <v/>
      </c>
    </row>
    <row r="723" customFormat="false" ht="15" hidden="false" customHeight="false" outlineLevel="0" collapsed="false">
      <c r="A723" s="44"/>
      <c r="B723" s="39"/>
      <c r="C723" s="45" t="str">
        <f aca="false">IF(B723="","",IFERROR(INDEX(Contract!$C$10:$C$23,MATCH(B723,Contract!$B$10:$B$23,0)),"Unknown code"))</f>
        <v/>
      </c>
      <c r="D723" s="46"/>
      <c r="E723" s="39"/>
      <c r="F723" s="39"/>
      <c r="G723" s="47" t="str">
        <f aca="false">IF(AND(B723="",D723=""),"",IF(B723="","Missing code",IF(C723="Unknown code","Unknown code",IF(D723="","Missing qty",IF(A723="","Missing date","")))))</f>
        <v/>
      </c>
    </row>
    <row r="724" customFormat="false" ht="15" hidden="false" customHeight="false" outlineLevel="0" collapsed="false">
      <c r="A724" s="44"/>
      <c r="B724" s="39"/>
      <c r="C724" s="45" t="str">
        <f aca="false">IF(B724="","",IFERROR(INDEX(Contract!$C$10:$C$23,MATCH(B724,Contract!$B$10:$B$23,0)),"Unknown code"))</f>
        <v/>
      </c>
      <c r="D724" s="46"/>
      <c r="E724" s="39"/>
      <c r="F724" s="39"/>
      <c r="G724" s="47" t="str">
        <f aca="false">IF(AND(B724="",D724=""),"",IF(B724="","Missing code",IF(C724="Unknown code","Unknown code",IF(D724="","Missing qty",IF(A724="","Missing date","")))))</f>
        <v/>
      </c>
    </row>
    <row r="725" customFormat="false" ht="15" hidden="false" customHeight="false" outlineLevel="0" collapsed="false">
      <c r="A725" s="44"/>
      <c r="B725" s="39"/>
      <c r="C725" s="45" t="str">
        <f aca="false">IF(B725="","",IFERROR(INDEX(Contract!$C$10:$C$23,MATCH(B725,Contract!$B$10:$B$23,0)),"Unknown code"))</f>
        <v/>
      </c>
      <c r="D725" s="46"/>
      <c r="E725" s="39"/>
      <c r="F725" s="39"/>
      <c r="G725" s="47" t="str">
        <f aca="false">IF(AND(B725="",D725=""),"",IF(B725="","Missing code",IF(C725="Unknown code","Unknown code",IF(D725="","Missing qty",IF(A725="","Missing date","")))))</f>
        <v/>
      </c>
    </row>
    <row r="726" customFormat="false" ht="15" hidden="false" customHeight="false" outlineLevel="0" collapsed="false">
      <c r="A726" s="44"/>
      <c r="B726" s="39"/>
      <c r="C726" s="45" t="str">
        <f aca="false">IF(B726="","",IFERROR(INDEX(Contract!$C$10:$C$23,MATCH(B726,Contract!$B$10:$B$23,0)),"Unknown code"))</f>
        <v/>
      </c>
      <c r="D726" s="46"/>
      <c r="E726" s="39"/>
      <c r="F726" s="39"/>
      <c r="G726" s="47" t="str">
        <f aca="false">IF(AND(B726="",D726=""),"",IF(B726="","Missing code",IF(C726="Unknown code","Unknown code",IF(D726="","Missing qty",IF(A726="","Missing date","")))))</f>
        <v/>
      </c>
    </row>
    <row r="727" customFormat="false" ht="15" hidden="false" customHeight="false" outlineLevel="0" collapsed="false">
      <c r="A727" s="44"/>
      <c r="B727" s="39"/>
      <c r="C727" s="45" t="str">
        <f aca="false">IF(B727="","",IFERROR(INDEX(Contract!$C$10:$C$23,MATCH(B727,Contract!$B$10:$B$23,0)),"Unknown code"))</f>
        <v/>
      </c>
      <c r="D727" s="46"/>
      <c r="E727" s="39"/>
      <c r="F727" s="39"/>
      <c r="G727" s="47" t="str">
        <f aca="false">IF(AND(B727="",D727=""),"",IF(B727="","Missing code",IF(C727="Unknown code","Unknown code",IF(D727="","Missing qty",IF(A727="","Missing date","")))))</f>
        <v/>
      </c>
    </row>
    <row r="728" customFormat="false" ht="15" hidden="false" customHeight="false" outlineLevel="0" collapsed="false">
      <c r="A728" s="44"/>
      <c r="B728" s="39"/>
      <c r="C728" s="45" t="str">
        <f aca="false">IF(B728="","",IFERROR(INDEX(Contract!$C$10:$C$23,MATCH(B728,Contract!$B$10:$B$23,0)),"Unknown code"))</f>
        <v/>
      </c>
      <c r="D728" s="46"/>
      <c r="E728" s="39"/>
      <c r="F728" s="39"/>
      <c r="G728" s="47" t="str">
        <f aca="false">IF(AND(B728="",D728=""),"",IF(B728="","Missing code",IF(C728="Unknown code","Unknown code",IF(D728="","Missing qty",IF(A728="","Missing date","")))))</f>
        <v/>
      </c>
    </row>
    <row r="729" customFormat="false" ht="15" hidden="false" customHeight="false" outlineLevel="0" collapsed="false">
      <c r="A729" s="44"/>
      <c r="B729" s="39"/>
      <c r="C729" s="45" t="str">
        <f aca="false">IF(B729="","",IFERROR(INDEX(Contract!$C$10:$C$23,MATCH(B729,Contract!$B$10:$B$23,0)),"Unknown code"))</f>
        <v/>
      </c>
      <c r="D729" s="46"/>
      <c r="E729" s="39"/>
      <c r="F729" s="39"/>
      <c r="G729" s="47" t="str">
        <f aca="false">IF(AND(B729="",D729=""),"",IF(B729="","Missing code",IF(C729="Unknown code","Unknown code",IF(D729="","Missing qty",IF(A729="","Missing date","")))))</f>
        <v/>
      </c>
    </row>
    <row r="730" customFormat="false" ht="15" hidden="false" customHeight="false" outlineLevel="0" collapsed="false">
      <c r="A730" s="44"/>
      <c r="B730" s="39"/>
      <c r="C730" s="45" t="str">
        <f aca="false">IF(B730="","",IFERROR(INDEX(Contract!$C$10:$C$23,MATCH(B730,Contract!$B$10:$B$23,0)),"Unknown code"))</f>
        <v/>
      </c>
      <c r="D730" s="46"/>
      <c r="E730" s="39"/>
      <c r="F730" s="39"/>
      <c r="G730" s="47" t="str">
        <f aca="false">IF(AND(B730="",D730=""),"",IF(B730="","Missing code",IF(C730="Unknown code","Unknown code",IF(D730="","Missing qty",IF(A730="","Missing date","")))))</f>
        <v/>
      </c>
    </row>
    <row r="731" customFormat="false" ht="15" hidden="false" customHeight="false" outlineLevel="0" collapsed="false">
      <c r="A731" s="44"/>
      <c r="B731" s="39"/>
      <c r="C731" s="45" t="str">
        <f aca="false">IF(B731="","",IFERROR(INDEX(Contract!$C$10:$C$23,MATCH(B731,Contract!$B$10:$B$23,0)),"Unknown code"))</f>
        <v/>
      </c>
      <c r="D731" s="46"/>
      <c r="E731" s="39"/>
      <c r="F731" s="39"/>
      <c r="G731" s="47" t="str">
        <f aca="false">IF(AND(B731="",D731=""),"",IF(B731="","Missing code",IF(C731="Unknown code","Unknown code",IF(D731="","Missing qty",IF(A731="","Missing date","")))))</f>
        <v/>
      </c>
    </row>
    <row r="732" customFormat="false" ht="15" hidden="false" customHeight="false" outlineLevel="0" collapsed="false">
      <c r="A732" s="44"/>
      <c r="B732" s="39"/>
      <c r="C732" s="45" t="str">
        <f aca="false">IF(B732="","",IFERROR(INDEX(Contract!$C$10:$C$23,MATCH(B732,Contract!$B$10:$B$23,0)),"Unknown code"))</f>
        <v/>
      </c>
      <c r="D732" s="46"/>
      <c r="E732" s="39"/>
      <c r="F732" s="39"/>
      <c r="G732" s="47" t="str">
        <f aca="false">IF(AND(B732="",D732=""),"",IF(B732="","Missing code",IF(C732="Unknown code","Unknown code",IF(D732="","Missing qty",IF(A732="","Missing date","")))))</f>
        <v/>
      </c>
    </row>
    <row r="733" customFormat="false" ht="15" hidden="false" customHeight="false" outlineLevel="0" collapsed="false">
      <c r="A733" s="44"/>
      <c r="B733" s="39"/>
      <c r="C733" s="45" t="str">
        <f aca="false">IF(B733="","",IFERROR(INDEX(Contract!$C$10:$C$23,MATCH(B733,Contract!$B$10:$B$23,0)),"Unknown code"))</f>
        <v/>
      </c>
      <c r="D733" s="46"/>
      <c r="E733" s="39"/>
      <c r="F733" s="39"/>
      <c r="G733" s="47" t="str">
        <f aca="false">IF(AND(B733="",D733=""),"",IF(B733="","Missing code",IF(C733="Unknown code","Unknown code",IF(D733="","Missing qty",IF(A733="","Missing date","")))))</f>
        <v/>
      </c>
    </row>
    <row r="734" customFormat="false" ht="15" hidden="false" customHeight="false" outlineLevel="0" collapsed="false">
      <c r="A734" s="44"/>
      <c r="B734" s="39"/>
      <c r="C734" s="45" t="str">
        <f aca="false">IF(B734="","",IFERROR(INDEX(Contract!$C$10:$C$23,MATCH(B734,Contract!$B$10:$B$23,0)),"Unknown code"))</f>
        <v/>
      </c>
      <c r="D734" s="46"/>
      <c r="E734" s="39"/>
      <c r="F734" s="39"/>
      <c r="G734" s="47" t="str">
        <f aca="false">IF(AND(B734="",D734=""),"",IF(B734="","Missing code",IF(C734="Unknown code","Unknown code",IF(D734="","Missing qty",IF(A734="","Missing date","")))))</f>
        <v/>
      </c>
    </row>
    <row r="735" customFormat="false" ht="15" hidden="false" customHeight="false" outlineLevel="0" collapsed="false">
      <c r="A735" s="44"/>
      <c r="B735" s="39"/>
      <c r="C735" s="45" t="str">
        <f aca="false">IF(B735="","",IFERROR(INDEX(Contract!$C$10:$C$23,MATCH(B735,Contract!$B$10:$B$23,0)),"Unknown code"))</f>
        <v/>
      </c>
      <c r="D735" s="46"/>
      <c r="E735" s="39"/>
      <c r="F735" s="39"/>
      <c r="G735" s="47" t="str">
        <f aca="false">IF(AND(B735="",D735=""),"",IF(B735="","Missing code",IF(C735="Unknown code","Unknown code",IF(D735="","Missing qty",IF(A735="","Missing date","")))))</f>
        <v/>
      </c>
    </row>
    <row r="736" customFormat="false" ht="15" hidden="false" customHeight="false" outlineLevel="0" collapsed="false">
      <c r="A736" s="44"/>
      <c r="B736" s="39"/>
      <c r="C736" s="45" t="str">
        <f aca="false">IF(B736="","",IFERROR(INDEX(Contract!$C$10:$C$23,MATCH(B736,Contract!$B$10:$B$23,0)),"Unknown code"))</f>
        <v/>
      </c>
      <c r="D736" s="46"/>
      <c r="E736" s="39"/>
      <c r="F736" s="39"/>
      <c r="G736" s="47" t="str">
        <f aca="false">IF(AND(B736="",D736=""),"",IF(B736="","Missing code",IF(C736="Unknown code","Unknown code",IF(D736="","Missing qty",IF(A736="","Missing date","")))))</f>
        <v/>
      </c>
    </row>
    <row r="737" customFormat="false" ht="15" hidden="false" customHeight="false" outlineLevel="0" collapsed="false">
      <c r="A737" s="44"/>
      <c r="B737" s="39"/>
      <c r="C737" s="45" t="str">
        <f aca="false">IF(B737="","",IFERROR(INDEX(Contract!$C$10:$C$23,MATCH(B737,Contract!$B$10:$B$23,0)),"Unknown code"))</f>
        <v/>
      </c>
      <c r="D737" s="46"/>
      <c r="E737" s="39"/>
      <c r="F737" s="39"/>
      <c r="G737" s="47" t="str">
        <f aca="false">IF(AND(B737="",D737=""),"",IF(B737="","Missing code",IF(C737="Unknown code","Unknown code",IF(D737="","Missing qty",IF(A737="","Missing date","")))))</f>
        <v/>
      </c>
    </row>
    <row r="738" customFormat="false" ht="15" hidden="false" customHeight="false" outlineLevel="0" collapsed="false">
      <c r="A738" s="44"/>
      <c r="B738" s="39"/>
      <c r="C738" s="45" t="str">
        <f aca="false">IF(B738="","",IFERROR(INDEX(Contract!$C$10:$C$23,MATCH(B738,Contract!$B$10:$B$23,0)),"Unknown code"))</f>
        <v/>
      </c>
      <c r="D738" s="46"/>
      <c r="E738" s="39"/>
      <c r="F738" s="39"/>
      <c r="G738" s="47" t="str">
        <f aca="false">IF(AND(B738="",D738=""),"",IF(B738="","Missing code",IF(C738="Unknown code","Unknown code",IF(D738="","Missing qty",IF(A738="","Missing date","")))))</f>
        <v/>
      </c>
    </row>
    <row r="739" customFormat="false" ht="15" hidden="false" customHeight="false" outlineLevel="0" collapsed="false">
      <c r="A739" s="44"/>
      <c r="B739" s="39"/>
      <c r="C739" s="45" t="str">
        <f aca="false">IF(B739="","",IFERROR(INDEX(Contract!$C$10:$C$23,MATCH(B739,Contract!$B$10:$B$23,0)),"Unknown code"))</f>
        <v/>
      </c>
      <c r="D739" s="46"/>
      <c r="E739" s="39"/>
      <c r="F739" s="39"/>
      <c r="G739" s="47" t="str">
        <f aca="false">IF(AND(B739="",D739=""),"",IF(B739="","Missing code",IF(C739="Unknown code","Unknown code",IF(D739="","Missing qty",IF(A739="","Missing date","")))))</f>
        <v/>
      </c>
    </row>
    <row r="740" customFormat="false" ht="15" hidden="false" customHeight="false" outlineLevel="0" collapsed="false">
      <c r="A740" s="44"/>
      <c r="B740" s="39"/>
      <c r="C740" s="45" t="str">
        <f aca="false">IF(B740="","",IFERROR(INDEX(Contract!$C$10:$C$23,MATCH(B740,Contract!$B$10:$B$23,0)),"Unknown code"))</f>
        <v/>
      </c>
      <c r="D740" s="46"/>
      <c r="E740" s="39"/>
      <c r="F740" s="39"/>
      <c r="G740" s="47" t="str">
        <f aca="false">IF(AND(B740="",D740=""),"",IF(B740="","Missing code",IF(C740="Unknown code","Unknown code",IF(D740="","Missing qty",IF(A740="","Missing date","")))))</f>
        <v/>
      </c>
    </row>
    <row r="741" customFormat="false" ht="15" hidden="false" customHeight="false" outlineLevel="0" collapsed="false">
      <c r="A741" s="44"/>
      <c r="B741" s="39"/>
      <c r="C741" s="45" t="str">
        <f aca="false">IF(B741="","",IFERROR(INDEX(Contract!$C$10:$C$23,MATCH(B741,Contract!$B$10:$B$23,0)),"Unknown code"))</f>
        <v/>
      </c>
      <c r="D741" s="46"/>
      <c r="E741" s="39"/>
      <c r="F741" s="39"/>
      <c r="G741" s="47" t="str">
        <f aca="false">IF(AND(B741="",D741=""),"",IF(B741="","Missing code",IF(C741="Unknown code","Unknown code",IF(D741="","Missing qty",IF(A741="","Missing date","")))))</f>
        <v/>
      </c>
    </row>
    <row r="742" customFormat="false" ht="15" hidden="false" customHeight="false" outlineLevel="0" collapsed="false">
      <c r="A742" s="44"/>
      <c r="B742" s="39"/>
      <c r="C742" s="45" t="str">
        <f aca="false">IF(B742="","",IFERROR(INDEX(Contract!$C$10:$C$23,MATCH(B742,Contract!$B$10:$B$23,0)),"Unknown code"))</f>
        <v/>
      </c>
      <c r="D742" s="46"/>
      <c r="E742" s="39"/>
      <c r="F742" s="39"/>
      <c r="G742" s="47" t="str">
        <f aca="false">IF(AND(B742="",D742=""),"",IF(B742="","Missing code",IF(C742="Unknown code","Unknown code",IF(D742="","Missing qty",IF(A742="","Missing date","")))))</f>
        <v/>
      </c>
    </row>
    <row r="743" customFormat="false" ht="15" hidden="false" customHeight="false" outlineLevel="0" collapsed="false">
      <c r="A743" s="44"/>
      <c r="B743" s="39"/>
      <c r="C743" s="45" t="str">
        <f aca="false">IF(B743="","",IFERROR(INDEX(Contract!$C$10:$C$23,MATCH(B743,Contract!$B$10:$B$23,0)),"Unknown code"))</f>
        <v/>
      </c>
      <c r="D743" s="46"/>
      <c r="E743" s="39"/>
      <c r="F743" s="39"/>
      <c r="G743" s="47" t="str">
        <f aca="false">IF(AND(B743="",D743=""),"",IF(B743="","Missing code",IF(C743="Unknown code","Unknown code",IF(D743="","Missing qty",IF(A743="","Missing date","")))))</f>
        <v/>
      </c>
    </row>
    <row r="744" customFormat="false" ht="15" hidden="false" customHeight="false" outlineLevel="0" collapsed="false">
      <c r="A744" s="44"/>
      <c r="B744" s="39"/>
      <c r="C744" s="45" t="str">
        <f aca="false">IF(B744="","",IFERROR(INDEX(Contract!$C$10:$C$23,MATCH(B744,Contract!$B$10:$B$23,0)),"Unknown code"))</f>
        <v/>
      </c>
      <c r="D744" s="46"/>
      <c r="E744" s="39"/>
      <c r="F744" s="39"/>
      <c r="G744" s="47" t="str">
        <f aca="false">IF(AND(B744="",D744=""),"",IF(B744="","Missing code",IF(C744="Unknown code","Unknown code",IF(D744="","Missing qty",IF(A744="","Missing date","")))))</f>
        <v/>
      </c>
    </row>
    <row r="745" customFormat="false" ht="15" hidden="false" customHeight="false" outlineLevel="0" collapsed="false">
      <c r="A745" s="44"/>
      <c r="B745" s="39"/>
      <c r="C745" s="45" t="str">
        <f aca="false">IF(B745="","",IFERROR(INDEX(Contract!$C$10:$C$23,MATCH(B745,Contract!$B$10:$B$23,0)),"Unknown code"))</f>
        <v/>
      </c>
      <c r="D745" s="46"/>
      <c r="E745" s="39"/>
      <c r="F745" s="39"/>
      <c r="G745" s="47" t="str">
        <f aca="false">IF(AND(B745="",D745=""),"",IF(B745="","Missing code",IF(C745="Unknown code","Unknown code",IF(D745="","Missing qty",IF(A745="","Missing date","")))))</f>
        <v/>
      </c>
    </row>
    <row r="746" customFormat="false" ht="15" hidden="false" customHeight="false" outlineLevel="0" collapsed="false">
      <c r="A746" s="44"/>
      <c r="B746" s="39"/>
      <c r="C746" s="45" t="str">
        <f aca="false">IF(B746="","",IFERROR(INDEX(Contract!$C$10:$C$23,MATCH(B746,Contract!$B$10:$B$23,0)),"Unknown code"))</f>
        <v/>
      </c>
      <c r="D746" s="46"/>
      <c r="E746" s="39"/>
      <c r="F746" s="39"/>
      <c r="G746" s="47" t="str">
        <f aca="false">IF(AND(B746="",D746=""),"",IF(B746="","Missing code",IF(C746="Unknown code","Unknown code",IF(D746="","Missing qty",IF(A746="","Missing date","")))))</f>
        <v/>
      </c>
    </row>
    <row r="747" customFormat="false" ht="15" hidden="false" customHeight="false" outlineLevel="0" collapsed="false">
      <c r="A747" s="44"/>
      <c r="B747" s="39"/>
      <c r="C747" s="45" t="str">
        <f aca="false">IF(B747="","",IFERROR(INDEX(Contract!$C$10:$C$23,MATCH(B747,Contract!$B$10:$B$23,0)),"Unknown code"))</f>
        <v/>
      </c>
      <c r="D747" s="46"/>
      <c r="E747" s="39"/>
      <c r="F747" s="39"/>
      <c r="G747" s="47" t="str">
        <f aca="false">IF(AND(B747="",D747=""),"",IF(B747="","Missing code",IF(C747="Unknown code","Unknown code",IF(D747="","Missing qty",IF(A747="","Missing date","")))))</f>
        <v/>
      </c>
    </row>
    <row r="748" customFormat="false" ht="15" hidden="false" customHeight="false" outlineLevel="0" collapsed="false">
      <c r="A748" s="44"/>
      <c r="B748" s="39"/>
      <c r="C748" s="45" t="str">
        <f aca="false">IF(B748="","",IFERROR(INDEX(Contract!$C$10:$C$23,MATCH(B748,Contract!$B$10:$B$23,0)),"Unknown code"))</f>
        <v/>
      </c>
      <c r="D748" s="46"/>
      <c r="E748" s="39"/>
      <c r="F748" s="39"/>
      <c r="G748" s="47" t="str">
        <f aca="false">IF(AND(B748="",D748=""),"",IF(B748="","Missing code",IF(C748="Unknown code","Unknown code",IF(D748="","Missing qty",IF(A748="","Missing date","")))))</f>
        <v/>
      </c>
    </row>
    <row r="749" customFormat="false" ht="15" hidden="false" customHeight="false" outlineLevel="0" collapsed="false">
      <c r="A749" s="44"/>
      <c r="B749" s="39"/>
      <c r="C749" s="45" t="str">
        <f aca="false">IF(B749="","",IFERROR(INDEX(Contract!$C$10:$C$23,MATCH(B749,Contract!$B$10:$B$23,0)),"Unknown code"))</f>
        <v/>
      </c>
      <c r="D749" s="46"/>
      <c r="E749" s="39"/>
      <c r="F749" s="39"/>
      <c r="G749" s="47" t="str">
        <f aca="false">IF(AND(B749="",D749=""),"",IF(B749="","Missing code",IF(C749="Unknown code","Unknown code",IF(D749="","Missing qty",IF(A749="","Missing date","")))))</f>
        <v/>
      </c>
    </row>
    <row r="750" customFormat="false" ht="15" hidden="false" customHeight="false" outlineLevel="0" collapsed="false">
      <c r="A750" s="44"/>
      <c r="B750" s="39"/>
      <c r="C750" s="45" t="str">
        <f aca="false">IF(B750="","",IFERROR(INDEX(Contract!$C$10:$C$23,MATCH(B750,Contract!$B$10:$B$23,0)),"Unknown code"))</f>
        <v/>
      </c>
      <c r="D750" s="46"/>
      <c r="E750" s="39"/>
      <c r="F750" s="39"/>
      <c r="G750" s="47" t="str">
        <f aca="false">IF(AND(B750="",D750=""),"",IF(B750="","Missing code",IF(C750="Unknown code","Unknown code",IF(D750="","Missing qty",IF(A750="","Missing date","")))))</f>
        <v/>
      </c>
    </row>
    <row r="751" customFormat="false" ht="15" hidden="false" customHeight="false" outlineLevel="0" collapsed="false">
      <c r="A751" s="44"/>
      <c r="B751" s="39"/>
      <c r="C751" s="45" t="str">
        <f aca="false">IF(B751="","",IFERROR(INDEX(Contract!$C$10:$C$23,MATCH(B751,Contract!$B$10:$B$23,0)),"Unknown code"))</f>
        <v/>
      </c>
      <c r="D751" s="46"/>
      <c r="E751" s="39"/>
      <c r="F751" s="39"/>
      <c r="G751" s="47" t="str">
        <f aca="false">IF(AND(B751="",D751=""),"",IF(B751="","Missing code",IF(C751="Unknown code","Unknown code",IF(D751="","Missing qty",IF(A751="","Missing date","")))))</f>
        <v/>
      </c>
    </row>
    <row r="752" customFormat="false" ht="15" hidden="false" customHeight="false" outlineLevel="0" collapsed="false">
      <c r="A752" s="44"/>
      <c r="B752" s="39"/>
      <c r="C752" s="45" t="str">
        <f aca="false">IF(B752="","",IFERROR(INDEX(Contract!$C$10:$C$23,MATCH(B752,Contract!$B$10:$B$23,0)),"Unknown code"))</f>
        <v/>
      </c>
      <c r="D752" s="46"/>
      <c r="E752" s="39"/>
      <c r="F752" s="39"/>
      <c r="G752" s="47" t="str">
        <f aca="false">IF(AND(B752="",D752=""),"",IF(B752="","Missing code",IF(C752="Unknown code","Unknown code",IF(D752="","Missing qty",IF(A752="","Missing date","")))))</f>
        <v/>
      </c>
    </row>
    <row r="753" customFormat="false" ht="15" hidden="false" customHeight="false" outlineLevel="0" collapsed="false">
      <c r="A753" s="44"/>
      <c r="B753" s="39"/>
      <c r="C753" s="45" t="str">
        <f aca="false">IF(B753="","",IFERROR(INDEX(Contract!$C$10:$C$23,MATCH(B753,Contract!$B$10:$B$23,0)),"Unknown code"))</f>
        <v/>
      </c>
      <c r="D753" s="46"/>
      <c r="E753" s="39"/>
      <c r="F753" s="39"/>
      <c r="G753" s="47" t="str">
        <f aca="false">IF(AND(B753="",D753=""),"",IF(B753="","Missing code",IF(C753="Unknown code","Unknown code",IF(D753="","Missing qty",IF(A753="","Missing date","")))))</f>
        <v/>
      </c>
    </row>
    <row r="754" customFormat="false" ht="15" hidden="false" customHeight="false" outlineLevel="0" collapsed="false">
      <c r="A754" s="44"/>
      <c r="B754" s="39"/>
      <c r="C754" s="45" t="str">
        <f aca="false">IF(B754="","",IFERROR(INDEX(Contract!$C$10:$C$23,MATCH(B754,Contract!$B$10:$B$23,0)),"Unknown code"))</f>
        <v/>
      </c>
      <c r="D754" s="46"/>
      <c r="E754" s="39"/>
      <c r="F754" s="39"/>
      <c r="G754" s="47" t="str">
        <f aca="false">IF(AND(B754="",D754=""),"",IF(B754="","Missing code",IF(C754="Unknown code","Unknown code",IF(D754="","Missing qty",IF(A754="","Missing date","")))))</f>
        <v/>
      </c>
    </row>
    <row r="755" customFormat="false" ht="15" hidden="false" customHeight="false" outlineLevel="0" collapsed="false">
      <c r="A755" s="44"/>
      <c r="B755" s="39"/>
      <c r="C755" s="45" t="str">
        <f aca="false">IF(B755="","",IFERROR(INDEX(Contract!$C$10:$C$23,MATCH(B755,Contract!$B$10:$B$23,0)),"Unknown code"))</f>
        <v/>
      </c>
      <c r="D755" s="46"/>
      <c r="E755" s="39"/>
      <c r="F755" s="39"/>
      <c r="G755" s="47" t="str">
        <f aca="false">IF(AND(B755="",D755=""),"",IF(B755="","Missing code",IF(C755="Unknown code","Unknown code",IF(D755="","Missing qty",IF(A755="","Missing date","")))))</f>
        <v/>
      </c>
    </row>
    <row r="756" customFormat="false" ht="15" hidden="false" customHeight="false" outlineLevel="0" collapsed="false">
      <c r="A756" s="44"/>
      <c r="B756" s="39"/>
      <c r="C756" s="45" t="str">
        <f aca="false">IF(B756="","",IFERROR(INDEX(Contract!$C$10:$C$23,MATCH(B756,Contract!$B$10:$B$23,0)),"Unknown code"))</f>
        <v/>
      </c>
      <c r="D756" s="46"/>
      <c r="E756" s="39"/>
      <c r="F756" s="39"/>
      <c r="G756" s="47" t="str">
        <f aca="false">IF(AND(B756="",D756=""),"",IF(B756="","Missing code",IF(C756="Unknown code","Unknown code",IF(D756="","Missing qty",IF(A756="","Missing date","")))))</f>
        <v/>
      </c>
    </row>
    <row r="757" customFormat="false" ht="15" hidden="false" customHeight="false" outlineLevel="0" collapsed="false">
      <c r="A757" s="44"/>
      <c r="B757" s="39"/>
      <c r="C757" s="45" t="str">
        <f aca="false">IF(B757="","",IFERROR(INDEX(Contract!$C$10:$C$23,MATCH(B757,Contract!$B$10:$B$23,0)),"Unknown code"))</f>
        <v/>
      </c>
      <c r="D757" s="46"/>
      <c r="E757" s="39"/>
      <c r="F757" s="39"/>
      <c r="G757" s="47" t="str">
        <f aca="false">IF(AND(B757="",D757=""),"",IF(B757="","Missing code",IF(C757="Unknown code","Unknown code",IF(D757="","Missing qty",IF(A757="","Missing date","")))))</f>
        <v/>
      </c>
    </row>
    <row r="758" customFormat="false" ht="15" hidden="false" customHeight="false" outlineLevel="0" collapsed="false">
      <c r="A758" s="44"/>
      <c r="B758" s="39"/>
      <c r="C758" s="45" t="str">
        <f aca="false">IF(B758="","",IFERROR(INDEX(Contract!$C$10:$C$23,MATCH(B758,Contract!$B$10:$B$23,0)),"Unknown code"))</f>
        <v/>
      </c>
      <c r="D758" s="46"/>
      <c r="E758" s="39"/>
      <c r="F758" s="39"/>
      <c r="G758" s="47" t="str">
        <f aca="false">IF(AND(B758="",D758=""),"",IF(B758="","Missing code",IF(C758="Unknown code","Unknown code",IF(D758="","Missing qty",IF(A758="","Missing date","")))))</f>
        <v/>
      </c>
    </row>
    <row r="759" customFormat="false" ht="15" hidden="false" customHeight="false" outlineLevel="0" collapsed="false">
      <c r="A759" s="44"/>
      <c r="B759" s="39"/>
      <c r="C759" s="45" t="str">
        <f aca="false">IF(B759="","",IFERROR(INDEX(Contract!$C$10:$C$23,MATCH(B759,Contract!$B$10:$B$23,0)),"Unknown code"))</f>
        <v/>
      </c>
      <c r="D759" s="46"/>
      <c r="E759" s="39"/>
      <c r="F759" s="39"/>
      <c r="G759" s="47" t="str">
        <f aca="false">IF(AND(B759="",D759=""),"",IF(B759="","Missing code",IF(C759="Unknown code","Unknown code",IF(D759="","Missing qty",IF(A759="","Missing date","")))))</f>
        <v/>
      </c>
    </row>
    <row r="760" customFormat="false" ht="15" hidden="false" customHeight="false" outlineLevel="0" collapsed="false">
      <c r="A760" s="44"/>
      <c r="B760" s="39"/>
      <c r="C760" s="45" t="str">
        <f aca="false">IF(B760="","",IFERROR(INDEX(Contract!$C$10:$C$23,MATCH(B760,Contract!$B$10:$B$23,0)),"Unknown code"))</f>
        <v/>
      </c>
      <c r="D760" s="46"/>
      <c r="E760" s="39"/>
      <c r="F760" s="39"/>
      <c r="G760" s="47" t="str">
        <f aca="false">IF(AND(B760="",D760=""),"",IF(B760="","Missing code",IF(C760="Unknown code","Unknown code",IF(D760="","Missing qty",IF(A760="","Missing date","")))))</f>
        <v/>
      </c>
    </row>
    <row r="761" customFormat="false" ht="15" hidden="false" customHeight="false" outlineLevel="0" collapsed="false">
      <c r="A761" s="44"/>
      <c r="B761" s="39"/>
      <c r="C761" s="45" t="str">
        <f aca="false">IF(B761="","",IFERROR(INDEX(Contract!$C$10:$C$23,MATCH(B761,Contract!$B$10:$B$23,0)),"Unknown code"))</f>
        <v/>
      </c>
      <c r="D761" s="46"/>
      <c r="E761" s="39"/>
      <c r="F761" s="39"/>
      <c r="G761" s="47" t="str">
        <f aca="false">IF(AND(B761="",D761=""),"",IF(B761="","Missing code",IF(C761="Unknown code","Unknown code",IF(D761="","Missing qty",IF(A761="","Missing date","")))))</f>
        <v/>
      </c>
    </row>
    <row r="762" customFormat="false" ht="15" hidden="false" customHeight="false" outlineLevel="0" collapsed="false">
      <c r="A762" s="44"/>
      <c r="B762" s="39"/>
      <c r="C762" s="45" t="str">
        <f aca="false">IF(B762="","",IFERROR(INDEX(Contract!$C$10:$C$23,MATCH(B762,Contract!$B$10:$B$23,0)),"Unknown code"))</f>
        <v/>
      </c>
      <c r="D762" s="46"/>
      <c r="E762" s="39"/>
      <c r="F762" s="39"/>
      <c r="G762" s="47" t="str">
        <f aca="false">IF(AND(B762="",D762=""),"",IF(B762="","Missing code",IF(C762="Unknown code","Unknown code",IF(D762="","Missing qty",IF(A762="","Missing date","")))))</f>
        <v/>
      </c>
    </row>
    <row r="763" customFormat="false" ht="15" hidden="false" customHeight="false" outlineLevel="0" collapsed="false">
      <c r="A763" s="44"/>
      <c r="B763" s="39"/>
      <c r="C763" s="45" t="str">
        <f aca="false">IF(B763="","",IFERROR(INDEX(Contract!$C$10:$C$23,MATCH(B763,Contract!$B$10:$B$23,0)),"Unknown code"))</f>
        <v/>
      </c>
      <c r="D763" s="46"/>
      <c r="E763" s="39"/>
      <c r="F763" s="39"/>
      <c r="G763" s="47" t="str">
        <f aca="false">IF(AND(B763="",D763=""),"",IF(B763="","Missing code",IF(C763="Unknown code","Unknown code",IF(D763="","Missing qty",IF(A763="","Missing date","")))))</f>
        <v/>
      </c>
    </row>
    <row r="764" customFormat="false" ht="15" hidden="false" customHeight="false" outlineLevel="0" collapsed="false">
      <c r="A764" s="44"/>
      <c r="B764" s="39"/>
      <c r="C764" s="45" t="str">
        <f aca="false">IF(B764="","",IFERROR(INDEX(Contract!$C$10:$C$23,MATCH(B764,Contract!$B$10:$B$23,0)),"Unknown code"))</f>
        <v/>
      </c>
      <c r="D764" s="46"/>
      <c r="E764" s="39"/>
      <c r="F764" s="39"/>
      <c r="G764" s="47" t="str">
        <f aca="false">IF(AND(B764="",D764=""),"",IF(B764="","Missing code",IF(C764="Unknown code","Unknown code",IF(D764="","Missing qty",IF(A764="","Missing date","")))))</f>
        <v/>
      </c>
    </row>
    <row r="765" customFormat="false" ht="15" hidden="false" customHeight="false" outlineLevel="0" collapsed="false">
      <c r="A765" s="44"/>
      <c r="B765" s="39"/>
      <c r="C765" s="45" t="str">
        <f aca="false">IF(B765="","",IFERROR(INDEX(Contract!$C$10:$C$23,MATCH(B765,Contract!$B$10:$B$23,0)),"Unknown code"))</f>
        <v/>
      </c>
      <c r="D765" s="46"/>
      <c r="E765" s="39"/>
      <c r="F765" s="39"/>
      <c r="G765" s="47" t="str">
        <f aca="false">IF(AND(B765="",D765=""),"",IF(B765="","Missing code",IF(C765="Unknown code","Unknown code",IF(D765="","Missing qty",IF(A765="","Missing date","")))))</f>
        <v/>
      </c>
    </row>
    <row r="766" customFormat="false" ht="15" hidden="false" customHeight="false" outlineLevel="0" collapsed="false">
      <c r="A766" s="44"/>
      <c r="B766" s="39"/>
      <c r="C766" s="45" t="str">
        <f aca="false">IF(B766="","",IFERROR(INDEX(Contract!$C$10:$C$23,MATCH(B766,Contract!$B$10:$B$23,0)),"Unknown code"))</f>
        <v/>
      </c>
      <c r="D766" s="46"/>
      <c r="E766" s="39"/>
      <c r="F766" s="39"/>
      <c r="G766" s="47" t="str">
        <f aca="false">IF(AND(B766="",D766=""),"",IF(B766="","Missing code",IF(C766="Unknown code","Unknown code",IF(D766="","Missing qty",IF(A766="","Missing date","")))))</f>
        <v/>
      </c>
    </row>
    <row r="767" customFormat="false" ht="15" hidden="false" customHeight="false" outlineLevel="0" collapsed="false">
      <c r="A767" s="44"/>
      <c r="B767" s="39"/>
      <c r="C767" s="45" t="str">
        <f aca="false">IF(B767="","",IFERROR(INDEX(Contract!$C$10:$C$23,MATCH(B767,Contract!$B$10:$B$23,0)),"Unknown code"))</f>
        <v/>
      </c>
      <c r="D767" s="46"/>
      <c r="E767" s="39"/>
      <c r="F767" s="39"/>
      <c r="G767" s="47" t="str">
        <f aca="false">IF(AND(B767="",D767=""),"",IF(B767="","Missing code",IF(C767="Unknown code","Unknown code",IF(D767="","Missing qty",IF(A767="","Missing date","")))))</f>
        <v/>
      </c>
    </row>
    <row r="768" customFormat="false" ht="15" hidden="false" customHeight="false" outlineLevel="0" collapsed="false">
      <c r="A768" s="44"/>
      <c r="B768" s="39"/>
      <c r="C768" s="45" t="str">
        <f aca="false">IF(B768="","",IFERROR(INDEX(Contract!$C$10:$C$23,MATCH(B768,Contract!$B$10:$B$23,0)),"Unknown code"))</f>
        <v/>
      </c>
      <c r="D768" s="46"/>
      <c r="E768" s="39"/>
      <c r="F768" s="39"/>
      <c r="G768" s="47" t="str">
        <f aca="false">IF(AND(B768="",D768=""),"",IF(B768="","Missing code",IF(C768="Unknown code","Unknown code",IF(D768="","Missing qty",IF(A768="","Missing date","")))))</f>
        <v/>
      </c>
    </row>
    <row r="769" customFormat="false" ht="15" hidden="false" customHeight="false" outlineLevel="0" collapsed="false">
      <c r="A769" s="44"/>
      <c r="B769" s="39"/>
      <c r="C769" s="45" t="str">
        <f aca="false">IF(B769="","",IFERROR(INDEX(Contract!$C$10:$C$23,MATCH(B769,Contract!$B$10:$B$23,0)),"Unknown code"))</f>
        <v/>
      </c>
      <c r="D769" s="46"/>
      <c r="E769" s="39"/>
      <c r="F769" s="39"/>
      <c r="G769" s="47" t="str">
        <f aca="false">IF(AND(B769="",D769=""),"",IF(B769="","Missing code",IF(C769="Unknown code","Unknown code",IF(D769="","Missing qty",IF(A769="","Missing date","")))))</f>
        <v/>
      </c>
    </row>
    <row r="770" customFormat="false" ht="15" hidden="false" customHeight="false" outlineLevel="0" collapsed="false">
      <c r="A770" s="44"/>
      <c r="B770" s="39"/>
      <c r="C770" s="45" t="str">
        <f aca="false">IF(B770="","",IFERROR(INDEX(Contract!$C$10:$C$23,MATCH(B770,Contract!$B$10:$B$23,0)),"Unknown code"))</f>
        <v/>
      </c>
      <c r="D770" s="46"/>
      <c r="E770" s="39"/>
      <c r="F770" s="39"/>
      <c r="G770" s="47" t="str">
        <f aca="false">IF(AND(B770="",D770=""),"",IF(B770="","Missing code",IF(C770="Unknown code","Unknown code",IF(D770="","Missing qty",IF(A770="","Missing date","")))))</f>
        <v/>
      </c>
    </row>
    <row r="771" customFormat="false" ht="15" hidden="false" customHeight="false" outlineLevel="0" collapsed="false">
      <c r="A771" s="44"/>
      <c r="B771" s="39"/>
      <c r="C771" s="45" t="str">
        <f aca="false">IF(B771="","",IFERROR(INDEX(Contract!$C$10:$C$23,MATCH(B771,Contract!$B$10:$B$23,0)),"Unknown code"))</f>
        <v/>
      </c>
      <c r="D771" s="46"/>
      <c r="E771" s="39"/>
      <c r="F771" s="39"/>
      <c r="G771" s="47" t="str">
        <f aca="false">IF(AND(B771="",D771=""),"",IF(B771="","Missing code",IF(C771="Unknown code","Unknown code",IF(D771="","Missing qty",IF(A771="","Missing date","")))))</f>
        <v/>
      </c>
    </row>
    <row r="772" customFormat="false" ht="15" hidden="false" customHeight="false" outlineLevel="0" collapsed="false">
      <c r="A772" s="44"/>
      <c r="B772" s="39"/>
      <c r="C772" s="45" t="str">
        <f aca="false">IF(B772="","",IFERROR(INDEX(Contract!$C$10:$C$23,MATCH(B772,Contract!$B$10:$B$23,0)),"Unknown code"))</f>
        <v/>
      </c>
      <c r="D772" s="46"/>
      <c r="E772" s="39"/>
      <c r="F772" s="39"/>
      <c r="G772" s="47" t="str">
        <f aca="false">IF(AND(B772="",D772=""),"",IF(B772="","Missing code",IF(C772="Unknown code","Unknown code",IF(D772="","Missing qty",IF(A772="","Missing date","")))))</f>
        <v/>
      </c>
    </row>
    <row r="773" customFormat="false" ht="15" hidden="false" customHeight="false" outlineLevel="0" collapsed="false">
      <c r="A773" s="44"/>
      <c r="B773" s="39"/>
      <c r="C773" s="45" t="str">
        <f aca="false">IF(B773="","",IFERROR(INDEX(Contract!$C$10:$C$23,MATCH(B773,Contract!$B$10:$B$23,0)),"Unknown code"))</f>
        <v/>
      </c>
      <c r="D773" s="46"/>
      <c r="E773" s="39"/>
      <c r="F773" s="39"/>
      <c r="G773" s="47" t="str">
        <f aca="false">IF(AND(B773="",D773=""),"",IF(B773="","Missing code",IF(C773="Unknown code","Unknown code",IF(D773="","Missing qty",IF(A773="","Missing date","")))))</f>
        <v/>
      </c>
    </row>
    <row r="774" customFormat="false" ht="15" hidden="false" customHeight="false" outlineLevel="0" collapsed="false">
      <c r="A774" s="44"/>
      <c r="B774" s="39"/>
      <c r="C774" s="45" t="str">
        <f aca="false">IF(B774="","",IFERROR(INDEX(Contract!$C$10:$C$23,MATCH(B774,Contract!$B$10:$B$23,0)),"Unknown code"))</f>
        <v/>
      </c>
      <c r="D774" s="46"/>
      <c r="E774" s="39"/>
      <c r="F774" s="39"/>
      <c r="G774" s="47" t="str">
        <f aca="false">IF(AND(B774="",D774=""),"",IF(B774="","Missing code",IF(C774="Unknown code","Unknown code",IF(D774="","Missing qty",IF(A774="","Missing date","")))))</f>
        <v/>
      </c>
    </row>
    <row r="775" customFormat="false" ht="15" hidden="false" customHeight="false" outlineLevel="0" collapsed="false">
      <c r="A775" s="44"/>
      <c r="B775" s="39"/>
      <c r="C775" s="45" t="str">
        <f aca="false">IF(B775="","",IFERROR(INDEX(Contract!$C$10:$C$23,MATCH(B775,Contract!$B$10:$B$23,0)),"Unknown code"))</f>
        <v/>
      </c>
      <c r="D775" s="46"/>
      <c r="E775" s="39"/>
      <c r="F775" s="39"/>
      <c r="G775" s="47" t="str">
        <f aca="false">IF(AND(B775="",D775=""),"",IF(B775="","Missing code",IF(C775="Unknown code","Unknown code",IF(D775="","Missing qty",IF(A775="","Missing date","")))))</f>
        <v/>
      </c>
    </row>
    <row r="776" customFormat="false" ht="15" hidden="false" customHeight="false" outlineLevel="0" collapsed="false">
      <c r="A776" s="44"/>
      <c r="B776" s="39"/>
      <c r="C776" s="45" t="str">
        <f aca="false">IF(B776="","",IFERROR(INDEX(Contract!$C$10:$C$23,MATCH(B776,Contract!$B$10:$B$23,0)),"Unknown code"))</f>
        <v/>
      </c>
      <c r="D776" s="46"/>
      <c r="E776" s="39"/>
      <c r="F776" s="39"/>
      <c r="G776" s="47" t="str">
        <f aca="false">IF(AND(B776="",D776=""),"",IF(B776="","Missing code",IF(C776="Unknown code","Unknown code",IF(D776="","Missing qty",IF(A776="","Missing date","")))))</f>
        <v/>
      </c>
    </row>
    <row r="777" customFormat="false" ht="15" hidden="false" customHeight="false" outlineLevel="0" collapsed="false">
      <c r="A777" s="44"/>
      <c r="B777" s="39"/>
      <c r="C777" s="45" t="str">
        <f aca="false">IF(B777="","",IFERROR(INDEX(Contract!$C$10:$C$23,MATCH(B777,Contract!$B$10:$B$23,0)),"Unknown code"))</f>
        <v/>
      </c>
      <c r="D777" s="46"/>
      <c r="E777" s="39"/>
      <c r="F777" s="39"/>
      <c r="G777" s="47" t="str">
        <f aca="false">IF(AND(B777="",D777=""),"",IF(B777="","Missing code",IF(C777="Unknown code","Unknown code",IF(D777="","Missing qty",IF(A777="","Missing date","")))))</f>
        <v/>
      </c>
    </row>
    <row r="778" customFormat="false" ht="15" hidden="false" customHeight="false" outlineLevel="0" collapsed="false">
      <c r="A778" s="44"/>
      <c r="B778" s="39"/>
      <c r="C778" s="45" t="str">
        <f aca="false">IF(B778="","",IFERROR(INDEX(Contract!$C$10:$C$23,MATCH(B778,Contract!$B$10:$B$23,0)),"Unknown code"))</f>
        <v/>
      </c>
      <c r="D778" s="46"/>
      <c r="E778" s="39"/>
      <c r="F778" s="39"/>
      <c r="G778" s="47" t="str">
        <f aca="false">IF(AND(B778="",D778=""),"",IF(B778="","Missing code",IF(C778="Unknown code","Unknown code",IF(D778="","Missing qty",IF(A778="","Missing date","")))))</f>
        <v/>
      </c>
    </row>
    <row r="779" customFormat="false" ht="15" hidden="false" customHeight="false" outlineLevel="0" collapsed="false">
      <c r="A779" s="44"/>
      <c r="B779" s="39"/>
      <c r="C779" s="45" t="str">
        <f aca="false">IF(B779="","",IFERROR(INDEX(Contract!$C$10:$C$23,MATCH(B779,Contract!$B$10:$B$23,0)),"Unknown code"))</f>
        <v/>
      </c>
      <c r="D779" s="46"/>
      <c r="E779" s="39"/>
      <c r="F779" s="39"/>
      <c r="G779" s="47" t="str">
        <f aca="false">IF(AND(B779="",D779=""),"",IF(B779="","Missing code",IF(C779="Unknown code","Unknown code",IF(D779="","Missing qty",IF(A779="","Missing date","")))))</f>
        <v/>
      </c>
    </row>
    <row r="780" customFormat="false" ht="15" hidden="false" customHeight="false" outlineLevel="0" collapsed="false">
      <c r="A780" s="44"/>
      <c r="B780" s="39"/>
      <c r="C780" s="45" t="str">
        <f aca="false">IF(B780="","",IFERROR(INDEX(Contract!$C$10:$C$23,MATCH(B780,Contract!$B$10:$B$23,0)),"Unknown code"))</f>
        <v/>
      </c>
      <c r="D780" s="46"/>
      <c r="E780" s="39"/>
      <c r="F780" s="39"/>
      <c r="G780" s="47" t="str">
        <f aca="false">IF(AND(B780="",D780=""),"",IF(B780="","Missing code",IF(C780="Unknown code","Unknown code",IF(D780="","Missing qty",IF(A780="","Missing date","")))))</f>
        <v/>
      </c>
    </row>
    <row r="781" customFormat="false" ht="15" hidden="false" customHeight="false" outlineLevel="0" collapsed="false">
      <c r="A781" s="44"/>
      <c r="B781" s="39"/>
      <c r="C781" s="45" t="str">
        <f aca="false">IF(B781="","",IFERROR(INDEX(Contract!$C$10:$C$23,MATCH(B781,Contract!$B$10:$B$23,0)),"Unknown code"))</f>
        <v/>
      </c>
      <c r="D781" s="46"/>
      <c r="E781" s="39"/>
      <c r="F781" s="39"/>
      <c r="G781" s="47" t="str">
        <f aca="false">IF(AND(B781="",D781=""),"",IF(B781="","Missing code",IF(C781="Unknown code","Unknown code",IF(D781="","Missing qty",IF(A781="","Missing date","")))))</f>
        <v/>
      </c>
    </row>
    <row r="782" customFormat="false" ht="15" hidden="false" customHeight="false" outlineLevel="0" collapsed="false">
      <c r="A782" s="44"/>
      <c r="B782" s="39"/>
      <c r="C782" s="45" t="str">
        <f aca="false">IF(B782="","",IFERROR(INDEX(Contract!$C$10:$C$23,MATCH(B782,Contract!$B$10:$B$23,0)),"Unknown code"))</f>
        <v/>
      </c>
      <c r="D782" s="46"/>
      <c r="E782" s="39"/>
      <c r="F782" s="39"/>
      <c r="G782" s="47" t="str">
        <f aca="false">IF(AND(B782="",D782=""),"",IF(B782="","Missing code",IF(C782="Unknown code","Unknown code",IF(D782="","Missing qty",IF(A782="","Missing date","")))))</f>
        <v/>
      </c>
    </row>
    <row r="783" customFormat="false" ht="15" hidden="false" customHeight="false" outlineLevel="0" collapsed="false">
      <c r="A783" s="44"/>
      <c r="B783" s="39"/>
      <c r="C783" s="45" t="str">
        <f aca="false">IF(B783="","",IFERROR(INDEX(Contract!$C$10:$C$23,MATCH(B783,Contract!$B$10:$B$23,0)),"Unknown code"))</f>
        <v/>
      </c>
      <c r="D783" s="46"/>
      <c r="E783" s="39"/>
      <c r="F783" s="39"/>
      <c r="G783" s="47" t="str">
        <f aca="false">IF(AND(B783="",D783=""),"",IF(B783="","Missing code",IF(C783="Unknown code","Unknown code",IF(D783="","Missing qty",IF(A783="","Missing date","")))))</f>
        <v/>
      </c>
    </row>
    <row r="784" customFormat="false" ht="15" hidden="false" customHeight="false" outlineLevel="0" collapsed="false">
      <c r="A784" s="44"/>
      <c r="B784" s="39"/>
      <c r="C784" s="45" t="str">
        <f aca="false">IF(B784="","",IFERROR(INDEX(Contract!$C$10:$C$23,MATCH(B784,Contract!$B$10:$B$23,0)),"Unknown code"))</f>
        <v/>
      </c>
      <c r="D784" s="46"/>
      <c r="E784" s="39"/>
      <c r="F784" s="39"/>
      <c r="G784" s="47" t="str">
        <f aca="false">IF(AND(B784="",D784=""),"",IF(B784="","Missing code",IF(C784="Unknown code","Unknown code",IF(D784="","Missing qty",IF(A784="","Missing date","")))))</f>
        <v/>
      </c>
    </row>
    <row r="785" customFormat="false" ht="15" hidden="false" customHeight="false" outlineLevel="0" collapsed="false">
      <c r="A785" s="44"/>
      <c r="B785" s="39"/>
      <c r="C785" s="45" t="str">
        <f aca="false">IF(B785="","",IFERROR(INDEX(Contract!$C$10:$C$23,MATCH(B785,Contract!$B$10:$B$23,0)),"Unknown code"))</f>
        <v/>
      </c>
      <c r="D785" s="46"/>
      <c r="E785" s="39"/>
      <c r="F785" s="39"/>
      <c r="G785" s="47" t="str">
        <f aca="false">IF(AND(B785="",D785=""),"",IF(B785="","Missing code",IF(C785="Unknown code","Unknown code",IF(D785="","Missing qty",IF(A785="","Missing date","")))))</f>
        <v/>
      </c>
    </row>
    <row r="786" customFormat="false" ht="15" hidden="false" customHeight="false" outlineLevel="0" collapsed="false">
      <c r="A786" s="44"/>
      <c r="B786" s="39"/>
      <c r="C786" s="45" t="str">
        <f aca="false">IF(B786="","",IFERROR(INDEX(Contract!$C$10:$C$23,MATCH(B786,Contract!$B$10:$B$23,0)),"Unknown code"))</f>
        <v/>
      </c>
      <c r="D786" s="46"/>
      <c r="E786" s="39"/>
      <c r="F786" s="39"/>
      <c r="G786" s="47" t="str">
        <f aca="false">IF(AND(B786="",D786=""),"",IF(B786="","Missing code",IF(C786="Unknown code","Unknown code",IF(D786="","Missing qty",IF(A786="","Missing date","")))))</f>
        <v/>
      </c>
    </row>
    <row r="787" customFormat="false" ht="15" hidden="false" customHeight="false" outlineLevel="0" collapsed="false">
      <c r="A787" s="44"/>
      <c r="B787" s="39"/>
      <c r="C787" s="45" t="str">
        <f aca="false">IF(B787="","",IFERROR(INDEX(Contract!$C$10:$C$23,MATCH(B787,Contract!$B$10:$B$23,0)),"Unknown code"))</f>
        <v/>
      </c>
      <c r="D787" s="46"/>
      <c r="E787" s="39"/>
      <c r="F787" s="39"/>
      <c r="G787" s="47" t="str">
        <f aca="false">IF(AND(B787="",D787=""),"",IF(B787="","Missing code",IF(C787="Unknown code","Unknown code",IF(D787="","Missing qty",IF(A787="","Missing date","")))))</f>
        <v/>
      </c>
    </row>
    <row r="788" customFormat="false" ht="15" hidden="false" customHeight="false" outlineLevel="0" collapsed="false">
      <c r="A788" s="44"/>
      <c r="B788" s="39"/>
      <c r="C788" s="45" t="str">
        <f aca="false">IF(B788="","",IFERROR(INDEX(Contract!$C$10:$C$23,MATCH(B788,Contract!$B$10:$B$23,0)),"Unknown code"))</f>
        <v/>
      </c>
      <c r="D788" s="46"/>
      <c r="E788" s="39"/>
      <c r="F788" s="39"/>
      <c r="G788" s="47" t="str">
        <f aca="false">IF(AND(B788="",D788=""),"",IF(B788="","Missing code",IF(C788="Unknown code","Unknown code",IF(D788="","Missing qty",IF(A788="","Missing date","")))))</f>
        <v/>
      </c>
    </row>
    <row r="789" customFormat="false" ht="15" hidden="false" customHeight="false" outlineLevel="0" collapsed="false">
      <c r="A789" s="44"/>
      <c r="B789" s="39"/>
      <c r="C789" s="45" t="str">
        <f aca="false">IF(B789="","",IFERROR(INDEX(Contract!$C$10:$C$23,MATCH(B789,Contract!$B$10:$B$23,0)),"Unknown code"))</f>
        <v/>
      </c>
      <c r="D789" s="46"/>
      <c r="E789" s="39"/>
      <c r="F789" s="39"/>
      <c r="G789" s="47" t="str">
        <f aca="false">IF(AND(B789="",D789=""),"",IF(B789="","Missing code",IF(C789="Unknown code","Unknown code",IF(D789="","Missing qty",IF(A789="","Missing date","")))))</f>
        <v/>
      </c>
    </row>
    <row r="790" customFormat="false" ht="15" hidden="false" customHeight="false" outlineLevel="0" collapsed="false">
      <c r="A790" s="44"/>
      <c r="B790" s="39"/>
      <c r="C790" s="45" t="str">
        <f aca="false">IF(B790="","",IFERROR(INDEX(Contract!$C$10:$C$23,MATCH(B790,Contract!$B$10:$B$23,0)),"Unknown code"))</f>
        <v/>
      </c>
      <c r="D790" s="46"/>
      <c r="E790" s="39"/>
      <c r="F790" s="39"/>
      <c r="G790" s="47" t="str">
        <f aca="false">IF(AND(B790="",D790=""),"",IF(B790="","Missing code",IF(C790="Unknown code","Unknown code",IF(D790="","Missing qty",IF(A790="","Missing date","")))))</f>
        <v/>
      </c>
    </row>
    <row r="791" customFormat="false" ht="15" hidden="false" customHeight="false" outlineLevel="0" collapsed="false">
      <c r="A791" s="44"/>
      <c r="B791" s="39"/>
      <c r="C791" s="45" t="str">
        <f aca="false">IF(B791="","",IFERROR(INDEX(Contract!$C$10:$C$23,MATCH(B791,Contract!$B$10:$B$23,0)),"Unknown code"))</f>
        <v/>
      </c>
      <c r="D791" s="46"/>
      <c r="E791" s="39"/>
      <c r="F791" s="39"/>
      <c r="G791" s="47" t="str">
        <f aca="false">IF(AND(B791="",D791=""),"",IF(B791="","Missing code",IF(C791="Unknown code","Unknown code",IF(D791="","Missing qty",IF(A791="","Missing date","")))))</f>
        <v/>
      </c>
    </row>
    <row r="792" customFormat="false" ht="15" hidden="false" customHeight="false" outlineLevel="0" collapsed="false">
      <c r="A792" s="44"/>
      <c r="B792" s="39"/>
      <c r="C792" s="45" t="str">
        <f aca="false">IF(B792="","",IFERROR(INDEX(Contract!$C$10:$C$23,MATCH(B792,Contract!$B$10:$B$23,0)),"Unknown code"))</f>
        <v/>
      </c>
      <c r="D792" s="46"/>
      <c r="E792" s="39"/>
      <c r="F792" s="39"/>
      <c r="G792" s="47" t="str">
        <f aca="false">IF(AND(B792="",D792=""),"",IF(B792="","Missing code",IF(C792="Unknown code","Unknown code",IF(D792="","Missing qty",IF(A792="","Missing date","")))))</f>
        <v/>
      </c>
    </row>
    <row r="793" customFormat="false" ht="15" hidden="false" customHeight="false" outlineLevel="0" collapsed="false">
      <c r="A793" s="44"/>
      <c r="B793" s="39"/>
      <c r="C793" s="45" t="str">
        <f aca="false">IF(B793="","",IFERROR(INDEX(Contract!$C$10:$C$23,MATCH(B793,Contract!$B$10:$B$23,0)),"Unknown code"))</f>
        <v/>
      </c>
      <c r="D793" s="46"/>
      <c r="E793" s="39"/>
      <c r="F793" s="39"/>
      <c r="G793" s="47" t="str">
        <f aca="false">IF(AND(B793="",D793=""),"",IF(B793="","Missing code",IF(C793="Unknown code","Unknown code",IF(D793="","Missing qty",IF(A793="","Missing date","")))))</f>
        <v/>
      </c>
    </row>
    <row r="794" customFormat="false" ht="15" hidden="false" customHeight="false" outlineLevel="0" collapsed="false">
      <c r="A794" s="44"/>
      <c r="B794" s="39"/>
      <c r="C794" s="45" t="str">
        <f aca="false">IF(B794="","",IFERROR(INDEX(Contract!$C$10:$C$23,MATCH(B794,Contract!$B$10:$B$23,0)),"Unknown code"))</f>
        <v/>
      </c>
      <c r="D794" s="46"/>
      <c r="E794" s="39"/>
      <c r="F794" s="39"/>
      <c r="G794" s="47" t="str">
        <f aca="false">IF(AND(B794="",D794=""),"",IF(B794="","Missing code",IF(C794="Unknown code","Unknown code",IF(D794="","Missing qty",IF(A794="","Missing date","")))))</f>
        <v/>
      </c>
    </row>
    <row r="795" customFormat="false" ht="15" hidden="false" customHeight="false" outlineLevel="0" collapsed="false">
      <c r="A795" s="44"/>
      <c r="B795" s="39"/>
      <c r="C795" s="45" t="str">
        <f aca="false">IF(B795="","",IFERROR(INDEX(Contract!$C$10:$C$23,MATCH(B795,Contract!$B$10:$B$23,0)),"Unknown code"))</f>
        <v/>
      </c>
      <c r="D795" s="46"/>
      <c r="E795" s="39"/>
      <c r="F795" s="39"/>
      <c r="G795" s="47" t="str">
        <f aca="false">IF(AND(B795="",D795=""),"",IF(B795="","Missing code",IF(C795="Unknown code","Unknown code",IF(D795="","Missing qty",IF(A795="","Missing date","")))))</f>
        <v/>
      </c>
    </row>
    <row r="796" customFormat="false" ht="15" hidden="false" customHeight="false" outlineLevel="0" collapsed="false">
      <c r="A796" s="44"/>
      <c r="B796" s="39"/>
      <c r="C796" s="45" t="str">
        <f aca="false">IF(B796="","",IFERROR(INDEX(Contract!$C$10:$C$23,MATCH(B796,Contract!$B$10:$B$23,0)),"Unknown code"))</f>
        <v/>
      </c>
      <c r="D796" s="46"/>
      <c r="E796" s="39"/>
      <c r="F796" s="39"/>
      <c r="G796" s="47" t="str">
        <f aca="false">IF(AND(B796="",D796=""),"",IF(B796="","Missing code",IF(C796="Unknown code","Unknown code",IF(D796="","Missing qty",IF(A796="","Missing date","")))))</f>
        <v/>
      </c>
    </row>
    <row r="797" customFormat="false" ht="15" hidden="false" customHeight="false" outlineLevel="0" collapsed="false">
      <c r="A797" s="44"/>
      <c r="B797" s="39"/>
      <c r="C797" s="45" t="str">
        <f aca="false">IF(B797="","",IFERROR(INDEX(Contract!$C$10:$C$23,MATCH(B797,Contract!$B$10:$B$23,0)),"Unknown code"))</f>
        <v/>
      </c>
      <c r="D797" s="46"/>
      <c r="E797" s="39"/>
      <c r="F797" s="39"/>
      <c r="G797" s="47" t="str">
        <f aca="false">IF(AND(B797="",D797=""),"",IF(B797="","Missing code",IF(C797="Unknown code","Unknown code",IF(D797="","Missing qty",IF(A797="","Missing date","")))))</f>
        <v/>
      </c>
    </row>
    <row r="798" customFormat="false" ht="15" hidden="false" customHeight="false" outlineLevel="0" collapsed="false">
      <c r="A798" s="44"/>
      <c r="B798" s="39"/>
      <c r="C798" s="45" t="str">
        <f aca="false">IF(B798="","",IFERROR(INDEX(Contract!$C$10:$C$23,MATCH(B798,Contract!$B$10:$B$23,0)),"Unknown code"))</f>
        <v/>
      </c>
      <c r="D798" s="46"/>
      <c r="E798" s="39"/>
      <c r="F798" s="39"/>
      <c r="G798" s="47" t="str">
        <f aca="false">IF(AND(B798="",D798=""),"",IF(B798="","Missing code",IF(C798="Unknown code","Unknown code",IF(D798="","Missing qty",IF(A798="","Missing date","")))))</f>
        <v/>
      </c>
    </row>
    <row r="799" customFormat="false" ht="15" hidden="false" customHeight="false" outlineLevel="0" collapsed="false">
      <c r="A799" s="44"/>
      <c r="B799" s="39"/>
      <c r="C799" s="45" t="str">
        <f aca="false">IF(B799="","",IFERROR(INDEX(Contract!$C$10:$C$23,MATCH(B799,Contract!$B$10:$B$23,0)),"Unknown code"))</f>
        <v/>
      </c>
      <c r="D799" s="46"/>
      <c r="E799" s="39"/>
      <c r="F799" s="39"/>
      <c r="G799" s="47" t="str">
        <f aca="false">IF(AND(B799="",D799=""),"",IF(B799="","Missing code",IF(C799="Unknown code","Unknown code",IF(D799="","Missing qty",IF(A799="","Missing date","")))))</f>
        <v/>
      </c>
    </row>
    <row r="800" customFormat="false" ht="15" hidden="false" customHeight="false" outlineLevel="0" collapsed="false">
      <c r="A800" s="44"/>
      <c r="B800" s="39"/>
      <c r="C800" s="45" t="str">
        <f aca="false">IF(B800="","",IFERROR(INDEX(Contract!$C$10:$C$23,MATCH(B800,Contract!$B$10:$B$23,0)),"Unknown code"))</f>
        <v/>
      </c>
      <c r="D800" s="46"/>
      <c r="E800" s="39"/>
      <c r="F800" s="39"/>
      <c r="G800" s="47" t="str">
        <f aca="false">IF(AND(B800="",D800=""),"",IF(B800="","Missing code",IF(C800="Unknown code","Unknown code",IF(D800="","Missing qty",IF(A800="","Missing date","")))))</f>
        <v/>
      </c>
    </row>
    <row r="801" customFormat="false" ht="15" hidden="false" customHeight="false" outlineLevel="0" collapsed="false">
      <c r="A801" s="44"/>
      <c r="B801" s="39"/>
      <c r="C801" s="45" t="str">
        <f aca="false">IF(B801="","",IFERROR(INDEX(Contract!$C$10:$C$23,MATCH(B801,Contract!$B$10:$B$23,0)),"Unknown code"))</f>
        <v/>
      </c>
      <c r="D801" s="46"/>
      <c r="E801" s="39"/>
      <c r="F801" s="39"/>
      <c r="G801" s="47" t="str">
        <f aca="false">IF(AND(B801="",D801=""),"",IF(B801="","Missing code",IF(C801="Unknown code","Unknown code",IF(D801="","Missing qty",IF(A801="","Missing date","")))))</f>
        <v/>
      </c>
    </row>
    <row r="802" customFormat="false" ht="15" hidden="false" customHeight="false" outlineLevel="0" collapsed="false">
      <c r="A802" s="44"/>
      <c r="B802" s="39"/>
      <c r="C802" s="45" t="str">
        <f aca="false">IF(B802="","",IFERROR(INDEX(Contract!$C$10:$C$23,MATCH(B802,Contract!$B$10:$B$23,0)),"Unknown code"))</f>
        <v/>
      </c>
      <c r="D802" s="46"/>
      <c r="E802" s="39"/>
      <c r="F802" s="39"/>
      <c r="G802" s="47" t="str">
        <f aca="false">IF(AND(B802="",D802=""),"",IF(B802="","Missing code",IF(C802="Unknown code","Unknown code",IF(D802="","Missing qty",IF(A802="","Missing date","")))))</f>
        <v/>
      </c>
    </row>
    <row r="803" customFormat="false" ht="15" hidden="false" customHeight="false" outlineLevel="0" collapsed="false">
      <c r="A803" s="44"/>
      <c r="B803" s="39"/>
      <c r="C803" s="45" t="str">
        <f aca="false">IF(B803="","",IFERROR(INDEX(Contract!$C$10:$C$23,MATCH(B803,Contract!$B$10:$B$23,0)),"Unknown code"))</f>
        <v/>
      </c>
      <c r="D803" s="46"/>
      <c r="E803" s="39"/>
      <c r="F803" s="39"/>
      <c r="G803" s="47" t="str">
        <f aca="false">IF(AND(B803="",D803=""),"",IF(B803="","Missing code",IF(C803="Unknown code","Unknown code",IF(D803="","Missing qty",IF(A803="","Missing date","")))))</f>
        <v/>
      </c>
    </row>
    <row r="804" customFormat="false" ht="15" hidden="false" customHeight="false" outlineLevel="0" collapsed="false">
      <c r="A804" s="44"/>
      <c r="B804" s="39"/>
      <c r="C804" s="45" t="str">
        <f aca="false">IF(B804="","",IFERROR(INDEX(Contract!$C$10:$C$23,MATCH(B804,Contract!$B$10:$B$23,0)),"Unknown code"))</f>
        <v/>
      </c>
      <c r="D804" s="46"/>
      <c r="E804" s="39"/>
      <c r="F804" s="39"/>
      <c r="G804" s="47" t="str">
        <f aca="false">IF(AND(B804="",D804=""),"",IF(B804="","Missing code",IF(C804="Unknown code","Unknown code",IF(D804="","Missing qty",IF(A804="","Missing date","")))))</f>
        <v/>
      </c>
    </row>
    <row r="805" customFormat="false" ht="15" hidden="false" customHeight="false" outlineLevel="0" collapsed="false">
      <c r="A805" s="44"/>
      <c r="B805" s="39"/>
      <c r="C805" s="45" t="str">
        <f aca="false">IF(B805="","",IFERROR(INDEX(Contract!$C$10:$C$23,MATCH(B805,Contract!$B$10:$B$23,0)),"Unknown code"))</f>
        <v/>
      </c>
      <c r="D805" s="46"/>
      <c r="E805" s="39"/>
      <c r="F805" s="39"/>
      <c r="G805" s="47" t="str">
        <f aca="false">IF(AND(B805="",D805=""),"",IF(B805="","Missing code",IF(C805="Unknown code","Unknown code",IF(D805="","Missing qty",IF(A805="","Missing date","")))))</f>
        <v/>
      </c>
    </row>
    <row r="806" customFormat="false" ht="15" hidden="false" customHeight="false" outlineLevel="0" collapsed="false">
      <c r="A806" s="44"/>
      <c r="B806" s="39"/>
      <c r="C806" s="45" t="str">
        <f aca="false">IF(B806="","",IFERROR(INDEX(Contract!$C$10:$C$23,MATCH(B806,Contract!$B$10:$B$23,0)),"Unknown code"))</f>
        <v/>
      </c>
      <c r="D806" s="46"/>
      <c r="E806" s="39"/>
      <c r="F806" s="39"/>
      <c r="G806" s="47" t="str">
        <f aca="false">IF(AND(B806="",D806=""),"",IF(B806="","Missing code",IF(C806="Unknown code","Unknown code",IF(D806="","Missing qty",IF(A806="","Missing date","")))))</f>
        <v/>
      </c>
    </row>
    <row r="807" customFormat="false" ht="15" hidden="false" customHeight="false" outlineLevel="0" collapsed="false">
      <c r="A807" s="44"/>
      <c r="B807" s="39"/>
      <c r="C807" s="45" t="str">
        <f aca="false">IF(B807="","",IFERROR(INDEX(Contract!$C$10:$C$23,MATCH(B807,Contract!$B$10:$B$23,0)),"Unknown code"))</f>
        <v/>
      </c>
      <c r="D807" s="46"/>
      <c r="E807" s="39"/>
      <c r="F807" s="39"/>
      <c r="G807" s="47" t="str">
        <f aca="false">IF(AND(B807="",D807=""),"",IF(B807="","Missing code",IF(C807="Unknown code","Unknown code",IF(D807="","Missing qty",IF(A807="","Missing date","")))))</f>
        <v/>
      </c>
    </row>
    <row r="808" customFormat="false" ht="15" hidden="false" customHeight="false" outlineLevel="0" collapsed="false">
      <c r="A808" s="44"/>
      <c r="B808" s="39"/>
      <c r="C808" s="45" t="str">
        <f aca="false">IF(B808="","",IFERROR(INDEX(Contract!$C$10:$C$23,MATCH(B808,Contract!$B$10:$B$23,0)),"Unknown code"))</f>
        <v/>
      </c>
      <c r="D808" s="46"/>
      <c r="E808" s="39"/>
      <c r="F808" s="39"/>
      <c r="G808" s="47" t="str">
        <f aca="false">IF(AND(B808="",D808=""),"",IF(B808="","Missing code",IF(C808="Unknown code","Unknown code",IF(D808="","Missing qty",IF(A808="","Missing date","")))))</f>
        <v/>
      </c>
    </row>
    <row r="809" customFormat="false" ht="15" hidden="false" customHeight="false" outlineLevel="0" collapsed="false">
      <c r="A809" s="44"/>
      <c r="B809" s="39"/>
      <c r="C809" s="45" t="str">
        <f aca="false">IF(B809="","",IFERROR(INDEX(Contract!$C$10:$C$23,MATCH(B809,Contract!$B$10:$B$23,0)),"Unknown code"))</f>
        <v/>
      </c>
      <c r="D809" s="46"/>
      <c r="E809" s="39"/>
      <c r="F809" s="39"/>
      <c r="G809" s="47" t="str">
        <f aca="false">IF(AND(B809="",D809=""),"",IF(B809="","Missing code",IF(C809="Unknown code","Unknown code",IF(D809="","Missing qty",IF(A809="","Missing date","")))))</f>
        <v/>
      </c>
    </row>
    <row r="810" customFormat="false" ht="15" hidden="false" customHeight="false" outlineLevel="0" collapsed="false">
      <c r="A810" s="44"/>
      <c r="B810" s="39"/>
      <c r="C810" s="45" t="str">
        <f aca="false">IF(B810="","",IFERROR(INDEX(Contract!$C$10:$C$23,MATCH(B810,Contract!$B$10:$B$23,0)),"Unknown code"))</f>
        <v/>
      </c>
      <c r="D810" s="46"/>
      <c r="E810" s="39"/>
      <c r="F810" s="39"/>
      <c r="G810" s="47" t="str">
        <f aca="false">IF(AND(B810="",D810=""),"",IF(B810="","Missing code",IF(C810="Unknown code","Unknown code",IF(D810="","Missing qty",IF(A810="","Missing date","")))))</f>
        <v/>
      </c>
    </row>
    <row r="811" customFormat="false" ht="15" hidden="false" customHeight="false" outlineLevel="0" collapsed="false">
      <c r="A811" s="44"/>
      <c r="B811" s="39"/>
      <c r="C811" s="45" t="str">
        <f aca="false">IF(B811="","",IFERROR(INDEX(Contract!$C$10:$C$23,MATCH(B811,Contract!$B$10:$B$23,0)),"Unknown code"))</f>
        <v/>
      </c>
      <c r="D811" s="46"/>
      <c r="E811" s="39"/>
      <c r="F811" s="39"/>
      <c r="G811" s="47" t="str">
        <f aca="false">IF(AND(B811="",D811=""),"",IF(B811="","Missing code",IF(C811="Unknown code","Unknown code",IF(D811="","Missing qty",IF(A811="","Missing date","")))))</f>
        <v/>
      </c>
    </row>
    <row r="812" customFormat="false" ht="15" hidden="false" customHeight="false" outlineLevel="0" collapsed="false">
      <c r="A812" s="44"/>
      <c r="B812" s="39"/>
      <c r="C812" s="45" t="str">
        <f aca="false">IF(B812="","",IFERROR(INDEX(Contract!$C$10:$C$23,MATCH(B812,Contract!$B$10:$B$23,0)),"Unknown code"))</f>
        <v/>
      </c>
      <c r="D812" s="46"/>
      <c r="E812" s="39"/>
      <c r="F812" s="39"/>
      <c r="G812" s="47" t="str">
        <f aca="false">IF(AND(B812="",D812=""),"",IF(B812="","Missing code",IF(C812="Unknown code","Unknown code",IF(D812="","Missing qty",IF(A812="","Missing date","")))))</f>
        <v/>
      </c>
    </row>
    <row r="813" customFormat="false" ht="15" hidden="false" customHeight="false" outlineLevel="0" collapsed="false">
      <c r="A813" s="44"/>
      <c r="B813" s="39"/>
      <c r="C813" s="45" t="str">
        <f aca="false">IF(B813="","",IFERROR(INDEX(Contract!$C$10:$C$23,MATCH(B813,Contract!$B$10:$B$23,0)),"Unknown code"))</f>
        <v/>
      </c>
      <c r="D813" s="46"/>
      <c r="E813" s="39"/>
      <c r="F813" s="39"/>
      <c r="G813" s="47" t="str">
        <f aca="false">IF(AND(B813="",D813=""),"",IF(B813="","Missing code",IF(C813="Unknown code","Unknown code",IF(D813="","Missing qty",IF(A813="","Missing date","")))))</f>
        <v/>
      </c>
    </row>
    <row r="814" customFormat="false" ht="15" hidden="false" customHeight="false" outlineLevel="0" collapsed="false">
      <c r="A814" s="44"/>
      <c r="B814" s="39"/>
      <c r="C814" s="45" t="str">
        <f aca="false">IF(B814="","",IFERROR(INDEX(Contract!$C$10:$C$23,MATCH(B814,Contract!$B$10:$B$23,0)),"Unknown code"))</f>
        <v/>
      </c>
      <c r="D814" s="46"/>
      <c r="E814" s="39"/>
      <c r="F814" s="39"/>
      <c r="G814" s="47" t="str">
        <f aca="false">IF(AND(B814="",D814=""),"",IF(B814="","Missing code",IF(C814="Unknown code","Unknown code",IF(D814="","Missing qty",IF(A814="","Missing date","")))))</f>
        <v/>
      </c>
    </row>
    <row r="815" customFormat="false" ht="15" hidden="false" customHeight="false" outlineLevel="0" collapsed="false">
      <c r="A815" s="44"/>
      <c r="B815" s="39"/>
      <c r="C815" s="45" t="str">
        <f aca="false">IF(B815="","",IFERROR(INDEX(Contract!$C$10:$C$23,MATCH(B815,Contract!$B$10:$B$23,0)),"Unknown code"))</f>
        <v/>
      </c>
      <c r="D815" s="46"/>
      <c r="E815" s="39"/>
      <c r="F815" s="39"/>
      <c r="G815" s="47" t="str">
        <f aca="false">IF(AND(B815="",D815=""),"",IF(B815="","Missing code",IF(C815="Unknown code","Unknown code",IF(D815="","Missing qty",IF(A815="","Missing date","")))))</f>
        <v/>
      </c>
    </row>
    <row r="816" customFormat="false" ht="15" hidden="false" customHeight="false" outlineLevel="0" collapsed="false">
      <c r="A816" s="44"/>
      <c r="B816" s="39"/>
      <c r="C816" s="45" t="str">
        <f aca="false">IF(B816="","",IFERROR(INDEX(Contract!$C$10:$C$23,MATCH(B816,Contract!$B$10:$B$23,0)),"Unknown code"))</f>
        <v/>
      </c>
      <c r="D816" s="46"/>
      <c r="E816" s="39"/>
      <c r="F816" s="39"/>
      <c r="G816" s="47" t="str">
        <f aca="false">IF(AND(B816="",D816=""),"",IF(B816="","Missing code",IF(C816="Unknown code","Unknown code",IF(D816="","Missing qty",IF(A816="","Missing date","")))))</f>
        <v/>
      </c>
    </row>
    <row r="817" customFormat="false" ht="15" hidden="false" customHeight="false" outlineLevel="0" collapsed="false">
      <c r="A817" s="44"/>
      <c r="B817" s="39"/>
      <c r="C817" s="45" t="str">
        <f aca="false">IF(B817="","",IFERROR(INDEX(Contract!$C$10:$C$23,MATCH(B817,Contract!$B$10:$B$23,0)),"Unknown code"))</f>
        <v/>
      </c>
      <c r="D817" s="46"/>
      <c r="E817" s="39"/>
      <c r="F817" s="39"/>
      <c r="G817" s="47" t="str">
        <f aca="false">IF(AND(B817="",D817=""),"",IF(B817="","Missing code",IF(C817="Unknown code","Unknown code",IF(D817="","Missing qty",IF(A817="","Missing date","")))))</f>
        <v/>
      </c>
    </row>
    <row r="818" customFormat="false" ht="15" hidden="false" customHeight="false" outlineLevel="0" collapsed="false">
      <c r="A818" s="44"/>
      <c r="B818" s="39"/>
      <c r="C818" s="45" t="str">
        <f aca="false">IF(B818="","",IFERROR(INDEX(Contract!$C$10:$C$23,MATCH(B818,Contract!$B$10:$B$23,0)),"Unknown code"))</f>
        <v/>
      </c>
      <c r="D818" s="46"/>
      <c r="E818" s="39"/>
      <c r="F818" s="39"/>
      <c r="G818" s="47" t="str">
        <f aca="false">IF(AND(B818="",D818=""),"",IF(B818="","Missing code",IF(C818="Unknown code","Unknown code",IF(D818="","Missing qty",IF(A818="","Missing date","")))))</f>
        <v/>
      </c>
    </row>
    <row r="819" customFormat="false" ht="15" hidden="false" customHeight="false" outlineLevel="0" collapsed="false">
      <c r="A819" s="44"/>
      <c r="B819" s="39"/>
      <c r="C819" s="45" t="str">
        <f aca="false">IF(B819="","",IFERROR(INDEX(Contract!$C$10:$C$23,MATCH(B819,Contract!$B$10:$B$23,0)),"Unknown code"))</f>
        <v/>
      </c>
      <c r="D819" s="46"/>
      <c r="E819" s="39"/>
      <c r="F819" s="39"/>
      <c r="G819" s="47" t="str">
        <f aca="false">IF(AND(B819="",D819=""),"",IF(B819="","Missing code",IF(C819="Unknown code","Unknown code",IF(D819="","Missing qty",IF(A819="","Missing date","")))))</f>
        <v/>
      </c>
    </row>
    <row r="820" customFormat="false" ht="15" hidden="false" customHeight="false" outlineLevel="0" collapsed="false">
      <c r="A820" s="44"/>
      <c r="B820" s="39"/>
      <c r="C820" s="45" t="str">
        <f aca="false">IF(B820="","",IFERROR(INDEX(Contract!$C$10:$C$23,MATCH(B820,Contract!$B$10:$B$23,0)),"Unknown code"))</f>
        <v/>
      </c>
      <c r="D820" s="46"/>
      <c r="E820" s="39"/>
      <c r="F820" s="39"/>
      <c r="G820" s="47" t="str">
        <f aca="false">IF(AND(B820="",D820=""),"",IF(B820="","Missing code",IF(C820="Unknown code","Unknown code",IF(D820="","Missing qty",IF(A820="","Missing date","")))))</f>
        <v/>
      </c>
    </row>
    <row r="821" customFormat="false" ht="15" hidden="false" customHeight="false" outlineLevel="0" collapsed="false">
      <c r="A821" s="44"/>
      <c r="B821" s="39"/>
      <c r="C821" s="45" t="str">
        <f aca="false">IF(B821="","",IFERROR(INDEX(Contract!$C$10:$C$23,MATCH(B821,Contract!$B$10:$B$23,0)),"Unknown code"))</f>
        <v/>
      </c>
      <c r="D821" s="46"/>
      <c r="E821" s="39"/>
      <c r="F821" s="39"/>
      <c r="G821" s="47" t="str">
        <f aca="false">IF(AND(B821="",D821=""),"",IF(B821="","Missing code",IF(C821="Unknown code","Unknown code",IF(D821="","Missing qty",IF(A821="","Missing date","")))))</f>
        <v/>
      </c>
    </row>
    <row r="822" customFormat="false" ht="15" hidden="false" customHeight="false" outlineLevel="0" collapsed="false">
      <c r="A822" s="44"/>
      <c r="B822" s="39"/>
      <c r="C822" s="45" t="str">
        <f aca="false">IF(B822="","",IFERROR(INDEX(Contract!$C$10:$C$23,MATCH(B822,Contract!$B$10:$B$23,0)),"Unknown code"))</f>
        <v/>
      </c>
      <c r="D822" s="46"/>
      <c r="E822" s="39"/>
      <c r="F822" s="39"/>
      <c r="G822" s="47" t="str">
        <f aca="false">IF(AND(B822="",D822=""),"",IF(B822="","Missing code",IF(C822="Unknown code","Unknown code",IF(D822="","Missing qty",IF(A822="","Missing date","")))))</f>
        <v/>
      </c>
    </row>
    <row r="823" customFormat="false" ht="15" hidden="false" customHeight="false" outlineLevel="0" collapsed="false">
      <c r="A823" s="44"/>
      <c r="B823" s="39"/>
      <c r="C823" s="45" t="str">
        <f aca="false">IF(B823="","",IFERROR(INDEX(Contract!$C$10:$C$23,MATCH(B823,Contract!$B$10:$B$23,0)),"Unknown code"))</f>
        <v/>
      </c>
      <c r="D823" s="46"/>
      <c r="E823" s="39"/>
      <c r="F823" s="39"/>
      <c r="G823" s="47" t="str">
        <f aca="false">IF(AND(B823="",D823=""),"",IF(B823="","Missing code",IF(C823="Unknown code","Unknown code",IF(D823="","Missing qty",IF(A823="","Missing date","")))))</f>
        <v/>
      </c>
    </row>
    <row r="824" customFormat="false" ht="15" hidden="false" customHeight="false" outlineLevel="0" collapsed="false">
      <c r="A824" s="44"/>
      <c r="B824" s="39"/>
      <c r="C824" s="45" t="str">
        <f aca="false">IF(B824="","",IFERROR(INDEX(Contract!$C$10:$C$23,MATCH(B824,Contract!$B$10:$B$23,0)),"Unknown code"))</f>
        <v/>
      </c>
      <c r="D824" s="46"/>
      <c r="E824" s="39"/>
      <c r="F824" s="39"/>
      <c r="G824" s="47" t="str">
        <f aca="false">IF(AND(B824="",D824=""),"",IF(B824="","Missing code",IF(C824="Unknown code","Unknown code",IF(D824="","Missing qty",IF(A824="","Missing date","")))))</f>
        <v/>
      </c>
    </row>
    <row r="825" customFormat="false" ht="15" hidden="false" customHeight="false" outlineLevel="0" collapsed="false">
      <c r="A825" s="44"/>
      <c r="B825" s="39"/>
      <c r="C825" s="45" t="str">
        <f aca="false">IF(B825="","",IFERROR(INDEX(Contract!$C$10:$C$23,MATCH(B825,Contract!$B$10:$B$23,0)),"Unknown code"))</f>
        <v/>
      </c>
      <c r="D825" s="46"/>
      <c r="E825" s="39"/>
      <c r="F825" s="39"/>
      <c r="G825" s="47" t="str">
        <f aca="false">IF(AND(B825="",D825=""),"",IF(B825="","Missing code",IF(C825="Unknown code","Unknown code",IF(D825="","Missing qty",IF(A825="","Missing date","")))))</f>
        <v/>
      </c>
    </row>
    <row r="826" customFormat="false" ht="15" hidden="false" customHeight="false" outlineLevel="0" collapsed="false">
      <c r="A826" s="44"/>
      <c r="B826" s="39"/>
      <c r="C826" s="45" t="str">
        <f aca="false">IF(B826="","",IFERROR(INDEX(Contract!$C$10:$C$23,MATCH(B826,Contract!$B$10:$B$23,0)),"Unknown code"))</f>
        <v/>
      </c>
      <c r="D826" s="46"/>
      <c r="E826" s="39"/>
      <c r="F826" s="39"/>
      <c r="G826" s="47" t="str">
        <f aca="false">IF(AND(B826="",D826=""),"",IF(B826="","Missing code",IF(C826="Unknown code","Unknown code",IF(D826="","Missing qty",IF(A826="","Missing date","")))))</f>
        <v/>
      </c>
    </row>
    <row r="827" customFormat="false" ht="15" hidden="false" customHeight="false" outlineLevel="0" collapsed="false">
      <c r="A827" s="44"/>
      <c r="B827" s="39"/>
      <c r="C827" s="45" t="str">
        <f aca="false">IF(B827="","",IFERROR(INDEX(Contract!$C$10:$C$23,MATCH(B827,Contract!$B$10:$B$23,0)),"Unknown code"))</f>
        <v/>
      </c>
      <c r="D827" s="46"/>
      <c r="E827" s="39"/>
      <c r="F827" s="39"/>
      <c r="G827" s="47" t="str">
        <f aca="false">IF(AND(B827="",D827=""),"",IF(B827="","Missing code",IF(C827="Unknown code","Unknown code",IF(D827="","Missing qty",IF(A827="","Missing date","")))))</f>
        <v/>
      </c>
    </row>
    <row r="828" customFormat="false" ht="15" hidden="false" customHeight="false" outlineLevel="0" collapsed="false">
      <c r="A828" s="44"/>
      <c r="B828" s="39"/>
      <c r="C828" s="45" t="str">
        <f aca="false">IF(B828="","",IFERROR(INDEX(Contract!$C$10:$C$23,MATCH(B828,Contract!$B$10:$B$23,0)),"Unknown code"))</f>
        <v/>
      </c>
      <c r="D828" s="46"/>
      <c r="E828" s="39"/>
      <c r="F828" s="39"/>
      <c r="G828" s="47" t="str">
        <f aca="false">IF(AND(B828="",D828=""),"",IF(B828="","Missing code",IF(C828="Unknown code","Unknown code",IF(D828="","Missing qty",IF(A828="","Missing date","")))))</f>
        <v/>
      </c>
    </row>
    <row r="829" customFormat="false" ht="15" hidden="false" customHeight="false" outlineLevel="0" collapsed="false">
      <c r="A829" s="44"/>
      <c r="B829" s="39"/>
      <c r="C829" s="45" t="str">
        <f aca="false">IF(B829="","",IFERROR(INDEX(Contract!$C$10:$C$23,MATCH(B829,Contract!$B$10:$B$23,0)),"Unknown code"))</f>
        <v/>
      </c>
      <c r="D829" s="46"/>
      <c r="E829" s="39"/>
      <c r="F829" s="39"/>
      <c r="G829" s="47" t="str">
        <f aca="false">IF(AND(B829="",D829=""),"",IF(B829="","Missing code",IF(C829="Unknown code","Unknown code",IF(D829="","Missing qty",IF(A829="","Missing date","")))))</f>
        <v/>
      </c>
    </row>
    <row r="830" customFormat="false" ht="15" hidden="false" customHeight="false" outlineLevel="0" collapsed="false">
      <c r="A830" s="44"/>
      <c r="B830" s="39"/>
      <c r="C830" s="45" t="str">
        <f aca="false">IF(B830="","",IFERROR(INDEX(Contract!$C$10:$C$23,MATCH(B830,Contract!$B$10:$B$23,0)),"Unknown code"))</f>
        <v/>
      </c>
      <c r="D830" s="46"/>
      <c r="E830" s="39"/>
      <c r="F830" s="39"/>
      <c r="G830" s="47" t="str">
        <f aca="false">IF(AND(B830="",D830=""),"",IF(B830="","Missing code",IF(C830="Unknown code","Unknown code",IF(D830="","Missing qty",IF(A830="","Missing date","")))))</f>
        <v/>
      </c>
    </row>
    <row r="831" customFormat="false" ht="15" hidden="false" customHeight="false" outlineLevel="0" collapsed="false">
      <c r="A831" s="44"/>
      <c r="B831" s="39"/>
      <c r="C831" s="45" t="str">
        <f aca="false">IF(B831="","",IFERROR(INDEX(Contract!$C$10:$C$23,MATCH(B831,Contract!$B$10:$B$23,0)),"Unknown code"))</f>
        <v/>
      </c>
      <c r="D831" s="46"/>
      <c r="E831" s="39"/>
      <c r="F831" s="39"/>
      <c r="G831" s="47" t="str">
        <f aca="false">IF(AND(B831="",D831=""),"",IF(B831="","Missing code",IF(C831="Unknown code","Unknown code",IF(D831="","Missing qty",IF(A831="","Missing date","")))))</f>
        <v/>
      </c>
    </row>
    <row r="832" customFormat="false" ht="15" hidden="false" customHeight="false" outlineLevel="0" collapsed="false">
      <c r="A832" s="44"/>
      <c r="B832" s="39"/>
      <c r="C832" s="45" t="str">
        <f aca="false">IF(B832="","",IFERROR(INDEX(Contract!$C$10:$C$23,MATCH(B832,Contract!$B$10:$B$23,0)),"Unknown code"))</f>
        <v/>
      </c>
      <c r="D832" s="46"/>
      <c r="E832" s="39"/>
      <c r="F832" s="39"/>
      <c r="G832" s="47" t="str">
        <f aca="false">IF(AND(B832="",D832=""),"",IF(B832="","Missing code",IF(C832="Unknown code","Unknown code",IF(D832="","Missing qty",IF(A832="","Missing date","")))))</f>
        <v/>
      </c>
    </row>
    <row r="833" customFormat="false" ht="15" hidden="false" customHeight="false" outlineLevel="0" collapsed="false">
      <c r="A833" s="44"/>
      <c r="B833" s="39"/>
      <c r="C833" s="45" t="str">
        <f aca="false">IF(B833="","",IFERROR(INDEX(Contract!$C$10:$C$23,MATCH(B833,Contract!$B$10:$B$23,0)),"Unknown code"))</f>
        <v/>
      </c>
      <c r="D833" s="46"/>
      <c r="E833" s="39"/>
      <c r="F833" s="39"/>
      <c r="G833" s="47" t="str">
        <f aca="false">IF(AND(B833="",D833=""),"",IF(B833="","Missing code",IF(C833="Unknown code","Unknown code",IF(D833="","Missing qty",IF(A833="","Missing date","")))))</f>
        <v/>
      </c>
    </row>
    <row r="834" customFormat="false" ht="15" hidden="false" customHeight="false" outlineLevel="0" collapsed="false">
      <c r="A834" s="44"/>
      <c r="B834" s="39"/>
      <c r="C834" s="45" t="str">
        <f aca="false">IF(B834="","",IFERROR(INDEX(Contract!$C$10:$C$23,MATCH(B834,Contract!$B$10:$B$23,0)),"Unknown code"))</f>
        <v/>
      </c>
      <c r="D834" s="46"/>
      <c r="E834" s="39"/>
      <c r="F834" s="39"/>
      <c r="G834" s="47" t="str">
        <f aca="false">IF(AND(B834="",D834=""),"",IF(B834="","Missing code",IF(C834="Unknown code","Unknown code",IF(D834="","Missing qty",IF(A834="","Missing date","")))))</f>
        <v/>
      </c>
    </row>
    <row r="835" customFormat="false" ht="15" hidden="false" customHeight="false" outlineLevel="0" collapsed="false">
      <c r="A835" s="44"/>
      <c r="B835" s="39"/>
      <c r="C835" s="45" t="str">
        <f aca="false">IF(B835="","",IFERROR(INDEX(Contract!$C$10:$C$23,MATCH(B835,Contract!$B$10:$B$23,0)),"Unknown code"))</f>
        <v/>
      </c>
      <c r="D835" s="46"/>
      <c r="E835" s="39"/>
      <c r="F835" s="39"/>
      <c r="G835" s="47" t="str">
        <f aca="false">IF(AND(B835="",D835=""),"",IF(B835="","Missing code",IF(C835="Unknown code","Unknown code",IF(D835="","Missing qty",IF(A835="","Missing date","")))))</f>
        <v/>
      </c>
    </row>
    <row r="836" customFormat="false" ht="15" hidden="false" customHeight="false" outlineLevel="0" collapsed="false">
      <c r="A836" s="44"/>
      <c r="B836" s="39"/>
      <c r="C836" s="45" t="str">
        <f aca="false">IF(B836="","",IFERROR(INDEX(Contract!$C$10:$C$23,MATCH(B836,Contract!$B$10:$B$23,0)),"Unknown code"))</f>
        <v/>
      </c>
      <c r="D836" s="46"/>
      <c r="E836" s="39"/>
      <c r="F836" s="39"/>
      <c r="G836" s="47" t="str">
        <f aca="false">IF(AND(B836="",D836=""),"",IF(B836="","Missing code",IF(C836="Unknown code","Unknown code",IF(D836="","Missing qty",IF(A836="","Missing date","")))))</f>
        <v/>
      </c>
    </row>
    <row r="837" customFormat="false" ht="15" hidden="false" customHeight="false" outlineLevel="0" collapsed="false">
      <c r="A837" s="44"/>
      <c r="B837" s="39"/>
      <c r="C837" s="45" t="str">
        <f aca="false">IF(B837="","",IFERROR(INDEX(Contract!$C$10:$C$23,MATCH(B837,Contract!$B$10:$B$23,0)),"Unknown code"))</f>
        <v/>
      </c>
      <c r="D837" s="46"/>
      <c r="E837" s="39"/>
      <c r="F837" s="39"/>
      <c r="G837" s="47" t="str">
        <f aca="false">IF(AND(B837="",D837=""),"",IF(B837="","Missing code",IF(C837="Unknown code","Unknown code",IF(D837="","Missing qty",IF(A837="","Missing date","")))))</f>
        <v/>
      </c>
    </row>
    <row r="838" customFormat="false" ht="15" hidden="false" customHeight="false" outlineLevel="0" collapsed="false">
      <c r="A838" s="44"/>
      <c r="B838" s="39"/>
      <c r="C838" s="45" t="str">
        <f aca="false">IF(B838="","",IFERROR(INDEX(Contract!$C$10:$C$23,MATCH(B838,Contract!$B$10:$B$23,0)),"Unknown code"))</f>
        <v/>
      </c>
      <c r="D838" s="46"/>
      <c r="E838" s="39"/>
      <c r="F838" s="39"/>
      <c r="G838" s="47" t="str">
        <f aca="false">IF(AND(B838="",D838=""),"",IF(B838="","Missing code",IF(C838="Unknown code","Unknown code",IF(D838="","Missing qty",IF(A838="","Missing date","")))))</f>
        <v/>
      </c>
    </row>
    <row r="839" customFormat="false" ht="15" hidden="false" customHeight="false" outlineLevel="0" collapsed="false">
      <c r="A839" s="44"/>
      <c r="B839" s="39"/>
      <c r="C839" s="45" t="str">
        <f aca="false">IF(B839="","",IFERROR(INDEX(Contract!$C$10:$C$23,MATCH(B839,Contract!$B$10:$B$23,0)),"Unknown code"))</f>
        <v/>
      </c>
      <c r="D839" s="46"/>
      <c r="E839" s="39"/>
      <c r="F839" s="39"/>
      <c r="G839" s="47" t="str">
        <f aca="false">IF(AND(B839="",D839=""),"",IF(B839="","Missing code",IF(C839="Unknown code","Unknown code",IF(D839="","Missing qty",IF(A839="","Missing date","")))))</f>
        <v/>
      </c>
    </row>
    <row r="840" customFormat="false" ht="15" hidden="false" customHeight="false" outlineLevel="0" collapsed="false">
      <c r="A840" s="44"/>
      <c r="B840" s="39"/>
      <c r="C840" s="45" t="str">
        <f aca="false">IF(B840="","",IFERROR(INDEX(Contract!$C$10:$C$23,MATCH(B840,Contract!$B$10:$B$23,0)),"Unknown code"))</f>
        <v/>
      </c>
      <c r="D840" s="46"/>
      <c r="E840" s="39"/>
      <c r="F840" s="39"/>
      <c r="G840" s="47" t="str">
        <f aca="false">IF(AND(B840="",D840=""),"",IF(B840="","Missing code",IF(C840="Unknown code","Unknown code",IF(D840="","Missing qty",IF(A840="","Missing date","")))))</f>
        <v/>
      </c>
    </row>
    <row r="841" customFormat="false" ht="15" hidden="false" customHeight="false" outlineLevel="0" collapsed="false">
      <c r="A841" s="44"/>
      <c r="B841" s="39"/>
      <c r="C841" s="45" t="str">
        <f aca="false">IF(B841="","",IFERROR(INDEX(Contract!$C$10:$C$23,MATCH(B841,Contract!$B$10:$B$23,0)),"Unknown code"))</f>
        <v/>
      </c>
      <c r="D841" s="46"/>
      <c r="E841" s="39"/>
      <c r="F841" s="39"/>
      <c r="G841" s="47" t="str">
        <f aca="false">IF(AND(B841="",D841=""),"",IF(B841="","Missing code",IF(C841="Unknown code","Unknown code",IF(D841="","Missing qty",IF(A841="","Missing date","")))))</f>
        <v/>
      </c>
    </row>
    <row r="842" customFormat="false" ht="15" hidden="false" customHeight="false" outlineLevel="0" collapsed="false">
      <c r="A842" s="44"/>
      <c r="B842" s="39"/>
      <c r="C842" s="45" t="str">
        <f aca="false">IF(B842="","",IFERROR(INDEX(Contract!$C$10:$C$23,MATCH(B842,Contract!$B$10:$B$23,0)),"Unknown code"))</f>
        <v/>
      </c>
      <c r="D842" s="46"/>
      <c r="E842" s="39"/>
      <c r="F842" s="39"/>
      <c r="G842" s="47" t="str">
        <f aca="false">IF(AND(B842="",D842=""),"",IF(B842="","Missing code",IF(C842="Unknown code","Unknown code",IF(D842="","Missing qty",IF(A842="","Missing date","")))))</f>
        <v/>
      </c>
    </row>
    <row r="843" customFormat="false" ht="15" hidden="false" customHeight="false" outlineLevel="0" collapsed="false">
      <c r="A843" s="44"/>
      <c r="B843" s="39"/>
      <c r="C843" s="45" t="str">
        <f aca="false">IF(B843="","",IFERROR(INDEX(Contract!$C$10:$C$23,MATCH(B843,Contract!$B$10:$B$23,0)),"Unknown code"))</f>
        <v/>
      </c>
      <c r="D843" s="46"/>
      <c r="E843" s="39"/>
      <c r="F843" s="39"/>
      <c r="G843" s="47" t="str">
        <f aca="false">IF(AND(B843="",D843=""),"",IF(B843="","Missing code",IF(C843="Unknown code","Unknown code",IF(D843="","Missing qty",IF(A843="","Missing date","")))))</f>
        <v/>
      </c>
    </row>
    <row r="844" customFormat="false" ht="15" hidden="false" customHeight="false" outlineLevel="0" collapsed="false">
      <c r="A844" s="44"/>
      <c r="B844" s="39"/>
      <c r="C844" s="45" t="str">
        <f aca="false">IF(B844="","",IFERROR(INDEX(Contract!$C$10:$C$23,MATCH(B844,Contract!$B$10:$B$23,0)),"Unknown code"))</f>
        <v/>
      </c>
      <c r="D844" s="46"/>
      <c r="E844" s="39"/>
      <c r="F844" s="39"/>
      <c r="G844" s="47" t="str">
        <f aca="false">IF(AND(B844="",D844=""),"",IF(B844="","Missing code",IF(C844="Unknown code","Unknown code",IF(D844="","Missing qty",IF(A844="","Missing date","")))))</f>
        <v/>
      </c>
    </row>
    <row r="845" customFormat="false" ht="15" hidden="false" customHeight="false" outlineLevel="0" collapsed="false">
      <c r="A845" s="44"/>
      <c r="B845" s="39"/>
      <c r="C845" s="45" t="str">
        <f aca="false">IF(B845="","",IFERROR(INDEX(Contract!$C$10:$C$23,MATCH(B845,Contract!$B$10:$B$23,0)),"Unknown code"))</f>
        <v/>
      </c>
      <c r="D845" s="46"/>
      <c r="E845" s="39"/>
      <c r="F845" s="39"/>
      <c r="G845" s="47" t="str">
        <f aca="false">IF(AND(B845="",D845=""),"",IF(B845="","Missing code",IF(C845="Unknown code","Unknown code",IF(D845="","Missing qty",IF(A845="","Missing date","")))))</f>
        <v/>
      </c>
    </row>
    <row r="846" customFormat="false" ht="15" hidden="false" customHeight="false" outlineLevel="0" collapsed="false">
      <c r="A846" s="44"/>
      <c r="B846" s="39"/>
      <c r="C846" s="45" t="str">
        <f aca="false">IF(B846="","",IFERROR(INDEX(Contract!$C$10:$C$23,MATCH(B846,Contract!$B$10:$B$23,0)),"Unknown code"))</f>
        <v/>
      </c>
      <c r="D846" s="46"/>
      <c r="E846" s="39"/>
      <c r="F846" s="39"/>
      <c r="G846" s="47" t="str">
        <f aca="false">IF(AND(B846="",D846=""),"",IF(B846="","Missing code",IF(C846="Unknown code","Unknown code",IF(D846="","Missing qty",IF(A846="","Missing date","")))))</f>
        <v/>
      </c>
    </row>
    <row r="847" customFormat="false" ht="15" hidden="false" customHeight="false" outlineLevel="0" collapsed="false">
      <c r="A847" s="44"/>
      <c r="B847" s="39"/>
      <c r="C847" s="45" t="str">
        <f aca="false">IF(B847="","",IFERROR(INDEX(Contract!$C$10:$C$23,MATCH(B847,Contract!$B$10:$B$23,0)),"Unknown code"))</f>
        <v/>
      </c>
      <c r="D847" s="46"/>
      <c r="E847" s="39"/>
      <c r="F847" s="39"/>
      <c r="G847" s="47" t="str">
        <f aca="false">IF(AND(B847="",D847=""),"",IF(B847="","Missing code",IF(C847="Unknown code","Unknown code",IF(D847="","Missing qty",IF(A847="","Missing date","")))))</f>
        <v/>
      </c>
    </row>
    <row r="848" customFormat="false" ht="15" hidden="false" customHeight="false" outlineLevel="0" collapsed="false">
      <c r="A848" s="44"/>
      <c r="B848" s="39"/>
      <c r="C848" s="45" t="str">
        <f aca="false">IF(B848="","",IFERROR(INDEX(Contract!$C$10:$C$23,MATCH(B848,Contract!$B$10:$B$23,0)),"Unknown code"))</f>
        <v/>
      </c>
      <c r="D848" s="46"/>
      <c r="E848" s="39"/>
      <c r="F848" s="39"/>
      <c r="G848" s="47" t="str">
        <f aca="false">IF(AND(B848="",D848=""),"",IF(B848="","Missing code",IF(C848="Unknown code","Unknown code",IF(D848="","Missing qty",IF(A848="","Missing date","")))))</f>
        <v/>
      </c>
    </row>
    <row r="849" customFormat="false" ht="15" hidden="false" customHeight="false" outlineLevel="0" collapsed="false">
      <c r="A849" s="44"/>
      <c r="B849" s="39"/>
      <c r="C849" s="45" t="str">
        <f aca="false">IF(B849="","",IFERROR(INDEX(Contract!$C$10:$C$23,MATCH(B849,Contract!$B$10:$B$23,0)),"Unknown code"))</f>
        <v/>
      </c>
      <c r="D849" s="46"/>
      <c r="E849" s="39"/>
      <c r="F849" s="39"/>
      <c r="G849" s="47" t="str">
        <f aca="false">IF(AND(B849="",D849=""),"",IF(B849="","Missing code",IF(C849="Unknown code","Unknown code",IF(D849="","Missing qty",IF(A849="","Missing date","")))))</f>
        <v/>
      </c>
    </row>
    <row r="850" customFormat="false" ht="15" hidden="false" customHeight="false" outlineLevel="0" collapsed="false">
      <c r="A850" s="44"/>
      <c r="B850" s="39"/>
      <c r="C850" s="45" t="str">
        <f aca="false">IF(B850="","",IFERROR(INDEX(Contract!$C$10:$C$23,MATCH(B850,Contract!$B$10:$B$23,0)),"Unknown code"))</f>
        <v/>
      </c>
      <c r="D850" s="46"/>
      <c r="E850" s="39"/>
      <c r="F850" s="39"/>
      <c r="G850" s="47" t="str">
        <f aca="false">IF(AND(B850="",D850=""),"",IF(B850="","Missing code",IF(C850="Unknown code","Unknown code",IF(D850="","Missing qty",IF(A850="","Missing date","")))))</f>
        <v/>
      </c>
    </row>
    <row r="851" customFormat="false" ht="15" hidden="false" customHeight="false" outlineLevel="0" collapsed="false">
      <c r="A851" s="44"/>
      <c r="B851" s="39"/>
      <c r="C851" s="45" t="str">
        <f aca="false">IF(B851="","",IFERROR(INDEX(Contract!$C$10:$C$23,MATCH(B851,Contract!$B$10:$B$23,0)),"Unknown code"))</f>
        <v/>
      </c>
      <c r="D851" s="46"/>
      <c r="E851" s="39"/>
      <c r="F851" s="39"/>
      <c r="G851" s="47" t="str">
        <f aca="false">IF(AND(B851="",D851=""),"",IF(B851="","Missing code",IF(C851="Unknown code","Unknown code",IF(D851="","Missing qty",IF(A851="","Missing date","")))))</f>
        <v/>
      </c>
    </row>
    <row r="852" customFormat="false" ht="15" hidden="false" customHeight="false" outlineLevel="0" collapsed="false">
      <c r="A852" s="44"/>
      <c r="B852" s="39"/>
      <c r="C852" s="45" t="str">
        <f aca="false">IF(B852="","",IFERROR(INDEX(Contract!$C$10:$C$23,MATCH(B852,Contract!$B$10:$B$23,0)),"Unknown code"))</f>
        <v/>
      </c>
      <c r="D852" s="46"/>
      <c r="E852" s="39"/>
      <c r="F852" s="39"/>
      <c r="G852" s="47" t="str">
        <f aca="false">IF(AND(B852="",D852=""),"",IF(B852="","Missing code",IF(C852="Unknown code","Unknown code",IF(D852="","Missing qty",IF(A852="","Missing date","")))))</f>
        <v/>
      </c>
    </row>
    <row r="853" customFormat="false" ht="15" hidden="false" customHeight="false" outlineLevel="0" collapsed="false">
      <c r="A853" s="44"/>
      <c r="B853" s="39"/>
      <c r="C853" s="45" t="str">
        <f aca="false">IF(B853="","",IFERROR(INDEX(Contract!$C$10:$C$23,MATCH(B853,Contract!$B$10:$B$23,0)),"Unknown code"))</f>
        <v/>
      </c>
      <c r="D853" s="46"/>
      <c r="E853" s="39"/>
      <c r="F853" s="39"/>
      <c r="G853" s="47" t="str">
        <f aca="false">IF(AND(B853="",D853=""),"",IF(B853="","Missing code",IF(C853="Unknown code","Unknown code",IF(D853="","Missing qty",IF(A853="","Missing date","")))))</f>
        <v/>
      </c>
    </row>
    <row r="854" customFormat="false" ht="15" hidden="false" customHeight="false" outlineLevel="0" collapsed="false">
      <c r="A854" s="44"/>
      <c r="B854" s="39"/>
      <c r="C854" s="45" t="str">
        <f aca="false">IF(B854="","",IFERROR(INDEX(Contract!$C$10:$C$23,MATCH(B854,Contract!$B$10:$B$23,0)),"Unknown code"))</f>
        <v/>
      </c>
      <c r="D854" s="46"/>
      <c r="E854" s="39"/>
      <c r="F854" s="39"/>
      <c r="G854" s="47" t="str">
        <f aca="false">IF(AND(B854="",D854=""),"",IF(B854="","Missing code",IF(C854="Unknown code","Unknown code",IF(D854="","Missing qty",IF(A854="","Missing date","")))))</f>
        <v/>
      </c>
    </row>
    <row r="855" customFormat="false" ht="15" hidden="false" customHeight="false" outlineLevel="0" collapsed="false">
      <c r="A855" s="44"/>
      <c r="B855" s="39"/>
      <c r="C855" s="45" t="str">
        <f aca="false">IF(B855="","",IFERROR(INDEX(Contract!$C$10:$C$23,MATCH(B855,Contract!$B$10:$B$23,0)),"Unknown code"))</f>
        <v/>
      </c>
      <c r="D855" s="46"/>
      <c r="E855" s="39"/>
      <c r="F855" s="39"/>
      <c r="G855" s="47" t="str">
        <f aca="false">IF(AND(B855="",D855=""),"",IF(B855="","Missing code",IF(C855="Unknown code","Unknown code",IF(D855="","Missing qty",IF(A855="","Missing date","")))))</f>
        <v/>
      </c>
    </row>
    <row r="856" customFormat="false" ht="15" hidden="false" customHeight="false" outlineLevel="0" collapsed="false">
      <c r="A856" s="44"/>
      <c r="B856" s="39"/>
      <c r="C856" s="45" t="str">
        <f aca="false">IF(B856="","",IFERROR(INDEX(Contract!$C$10:$C$23,MATCH(B856,Contract!$B$10:$B$23,0)),"Unknown code"))</f>
        <v/>
      </c>
      <c r="D856" s="46"/>
      <c r="E856" s="39"/>
      <c r="F856" s="39"/>
      <c r="G856" s="47" t="str">
        <f aca="false">IF(AND(B856="",D856=""),"",IF(B856="","Missing code",IF(C856="Unknown code","Unknown code",IF(D856="","Missing qty",IF(A856="","Missing date","")))))</f>
        <v/>
      </c>
    </row>
    <row r="857" customFormat="false" ht="15" hidden="false" customHeight="false" outlineLevel="0" collapsed="false">
      <c r="A857" s="44"/>
      <c r="B857" s="39"/>
      <c r="C857" s="45" t="str">
        <f aca="false">IF(B857="","",IFERROR(INDEX(Contract!$C$10:$C$23,MATCH(B857,Contract!$B$10:$B$23,0)),"Unknown code"))</f>
        <v/>
      </c>
      <c r="D857" s="46"/>
      <c r="E857" s="39"/>
      <c r="F857" s="39"/>
      <c r="G857" s="47" t="str">
        <f aca="false">IF(AND(B857="",D857=""),"",IF(B857="","Missing code",IF(C857="Unknown code","Unknown code",IF(D857="","Missing qty",IF(A857="","Missing date","")))))</f>
        <v/>
      </c>
    </row>
    <row r="858" customFormat="false" ht="15" hidden="false" customHeight="false" outlineLevel="0" collapsed="false">
      <c r="A858" s="44"/>
      <c r="B858" s="39"/>
      <c r="C858" s="45" t="str">
        <f aca="false">IF(B858="","",IFERROR(INDEX(Contract!$C$10:$C$23,MATCH(B858,Contract!$B$10:$B$23,0)),"Unknown code"))</f>
        <v/>
      </c>
      <c r="D858" s="46"/>
      <c r="E858" s="39"/>
      <c r="F858" s="39"/>
      <c r="G858" s="47" t="str">
        <f aca="false">IF(AND(B858="",D858=""),"",IF(B858="","Missing code",IF(C858="Unknown code","Unknown code",IF(D858="","Missing qty",IF(A858="","Missing date","")))))</f>
        <v/>
      </c>
    </row>
    <row r="859" customFormat="false" ht="15" hidden="false" customHeight="false" outlineLevel="0" collapsed="false">
      <c r="A859" s="44"/>
      <c r="B859" s="39"/>
      <c r="C859" s="45" t="str">
        <f aca="false">IF(B859="","",IFERROR(INDEX(Contract!$C$10:$C$23,MATCH(B859,Contract!$B$10:$B$23,0)),"Unknown code"))</f>
        <v/>
      </c>
      <c r="D859" s="46"/>
      <c r="E859" s="39"/>
      <c r="F859" s="39"/>
      <c r="G859" s="47" t="str">
        <f aca="false">IF(AND(B859="",D859=""),"",IF(B859="","Missing code",IF(C859="Unknown code","Unknown code",IF(D859="","Missing qty",IF(A859="","Missing date","")))))</f>
        <v/>
      </c>
    </row>
    <row r="860" customFormat="false" ht="15" hidden="false" customHeight="false" outlineLevel="0" collapsed="false">
      <c r="A860" s="44"/>
      <c r="B860" s="39"/>
      <c r="C860" s="45" t="str">
        <f aca="false">IF(B860="","",IFERROR(INDEX(Contract!$C$10:$C$23,MATCH(B860,Contract!$B$10:$B$23,0)),"Unknown code"))</f>
        <v/>
      </c>
      <c r="D860" s="46"/>
      <c r="E860" s="39"/>
      <c r="F860" s="39"/>
      <c r="G860" s="47" t="str">
        <f aca="false">IF(AND(B860="",D860=""),"",IF(B860="","Missing code",IF(C860="Unknown code","Unknown code",IF(D860="","Missing qty",IF(A860="","Missing date","")))))</f>
        <v/>
      </c>
    </row>
    <row r="861" customFormat="false" ht="15" hidden="false" customHeight="false" outlineLevel="0" collapsed="false">
      <c r="A861" s="44"/>
      <c r="B861" s="39"/>
      <c r="C861" s="45" t="str">
        <f aca="false">IF(B861="","",IFERROR(INDEX(Contract!$C$10:$C$23,MATCH(B861,Contract!$B$10:$B$23,0)),"Unknown code"))</f>
        <v/>
      </c>
      <c r="D861" s="46"/>
      <c r="E861" s="39"/>
      <c r="F861" s="39"/>
      <c r="G861" s="47" t="str">
        <f aca="false">IF(AND(B861="",D861=""),"",IF(B861="","Missing code",IF(C861="Unknown code","Unknown code",IF(D861="","Missing qty",IF(A861="","Missing date","")))))</f>
        <v/>
      </c>
    </row>
    <row r="862" customFormat="false" ht="15" hidden="false" customHeight="false" outlineLevel="0" collapsed="false">
      <c r="A862" s="44"/>
      <c r="B862" s="39"/>
      <c r="C862" s="45" t="str">
        <f aca="false">IF(B862="","",IFERROR(INDEX(Contract!$C$10:$C$23,MATCH(B862,Contract!$B$10:$B$23,0)),"Unknown code"))</f>
        <v/>
      </c>
      <c r="D862" s="46"/>
      <c r="E862" s="39"/>
      <c r="F862" s="39"/>
      <c r="G862" s="47" t="str">
        <f aca="false">IF(AND(B862="",D862=""),"",IF(B862="","Missing code",IF(C862="Unknown code","Unknown code",IF(D862="","Missing qty",IF(A862="","Missing date","")))))</f>
        <v/>
      </c>
    </row>
    <row r="863" customFormat="false" ht="15" hidden="false" customHeight="false" outlineLevel="0" collapsed="false">
      <c r="A863" s="44"/>
      <c r="B863" s="39"/>
      <c r="C863" s="45" t="str">
        <f aca="false">IF(B863="","",IFERROR(INDEX(Contract!$C$10:$C$23,MATCH(B863,Contract!$B$10:$B$23,0)),"Unknown code"))</f>
        <v/>
      </c>
      <c r="D863" s="46"/>
      <c r="E863" s="39"/>
      <c r="F863" s="39"/>
      <c r="G863" s="47" t="str">
        <f aca="false">IF(AND(B863="",D863=""),"",IF(B863="","Missing code",IF(C863="Unknown code","Unknown code",IF(D863="","Missing qty",IF(A863="","Missing date","")))))</f>
        <v/>
      </c>
    </row>
    <row r="864" customFormat="false" ht="15" hidden="false" customHeight="false" outlineLevel="0" collapsed="false">
      <c r="A864" s="44"/>
      <c r="B864" s="39"/>
      <c r="C864" s="45" t="str">
        <f aca="false">IF(B864="","",IFERROR(INDEX(Contract!$C$10:$C$23,MATCH(B864,Contract!$B$10:$B$23,0)),"Unknown code"))</f>
        <v/>
      </c>
      <c r="D864" s="46"/>
      <c r="E864" s="39"/>
      <c r="F864" s="39"/>
      <c r="G864" s="47" t="str">
        <f aca="false">IF(AND(B864="",D864=""),"",IF(B864="","Missing code",IF(C864="Unknown code","Unknown code",IF(D864="","Missing qty",IF(A864="","Missing date","")))))</f>
        <v/>
      </c>
    </row>
    <row r="865" customFormat="false" ht="15" hidden="false" customHeight="false" outlineLevel="0" collapsed="false">
      <c r="A865" s="44"/>
      <c r="B865" s="39"/>
      <c r="C865" s="45" t="str">
        <f aca="false">IF(B865="","",IFERROR(INDEX(Contract!$C$10:$C$23,MATCH(B865,Contract!$B$10:$B$23,0)),"Unknown code"))</f>
        <v/>
      </c>
      <c r="D865" s="46"/>
      <c r="E865" s="39"/>
      <c r="F865" s="39"/>
      <c r="G865" s="47" t="str">
        <f aca="false">IF(AND(B865="",D865=""),"",IF(B865="","Missing code",IF(C865="Unknown code","Unknown code",IF(D865="","Missing qty",IF(A865="","Missing date","")))))</f>
        <v/>
      </c>
    </row>
    <row r="866" customFormat="false" ht="15" hidden="false" customHeight="false" outlineLevel="0" collapsed="false">
      <c r="A866" s="44"/>
      <c r="B866" s="39"/>
      <c r="C866" s="45" t="str">
        <f aca="false">IF(B866="","",IFERROR(INDEX(Contract!$C$10:$C$23,MATCH(B866,Contract!$B$10:$B$23,0)),"Unknown code"))</f>
        <v/>
      </c>
      <c r="D866" s="46"/>
      <c r="E866" s="39"/>
      <c r="F866" s="39"/>
      <c r="G866" s="47" t="str">
        <f aca="false">IF(AND(B866="",D866=""),"",IF(B866="","Missing code",IF(C866="Unknown code","Unknown code",IF(D866="","Missing qty",IF(A866="","Missing date","")))))</f>
        <v/>
      </c>
    </row>
    <row r="867" customFormat="false" ht="15" hidden="false" customHeight="false" outlineLevel="0" collapsed="false">
      <c r="A867" s="44"/>
      <c r="B867" s="39"/>
      <c r="C867" s="45" t="str">
        <f aca="false">IF(B867="","",IFERROR(INDEX(Contract!$C$10:$C$23,MATCH(B867,Contract!$B$10:$B$23,0)),"Unknown code"))</f>
        <v/>
      </c>
      <c r="D867" s="46"/>
      <c r="E867" s="39"/>
      <c r="F867" s="39"/>
      <c r="G867" s="47" t="str">
        <f aca="false">IF(AND(B867="",D867=""),"",IF(B867="","Missing code",IF(C867="Unknown code","Unknown code",IF(D867="","Missing qty",IF(A867="","Missing date","")))))</f>
        <v/>
      </c>
    </row>
    <row r="868" customFormat="false" ht="15" hidden="false" customHeight="false" outlineLevel="0" collapsed="false">
      <c r="A868" s="44"/>
      <c r="B868" s="39"/>
      <c r="C868" s="45" t="str">
        <f aca="false">IF(B868="","",IFERROR(INDEX(Contract!$C$10:$C$23,MATCH(B868,Contract!$B$10:$B$23,0)),"Unknown code"))</f>
        <v/>
      </c>
      <c r="D868" s="46"/>
      <c r="E868" s="39"/>
      <c r="F868" s="39"/>
      <c r="G868" s="47" t="str">
        <f aca="false">IF(AND(B868="",D868=""),"",IF(B868="","Missing code",IF(C868="Unknown code","Unknown code",IF(D868="","Missing qty",IF(A868="","Missing date","")))))</f>
        <v/>
      </c>
    </row>
    <row r="869" customFormat="false" ht="15" hidden="false" customHeight="false" outlineLevel="0" collapsed="false">
      <c r="A869" s="44"/>
      <c r="B869" s="39"/>
      <c r="C869" s="45" t="str">
        <f aca="false">IF(B869="","",IFERROR(INDEX(Contract!$C$10:$C$23,MATCH(B869,Contract!$B$10:$B$23,0)),"Unknown code"))</f>
        <v/>
      </c>
      <c r="D869" s="46"/>
      <c r="E869" s="39"/>
      <c r="F869" s="39"/>
      <c r="G869" s="47" t="str">
        <f aca="false">IF(AND(B869="",D869=""),"",IF(B869="","Missing code",IF(C869="Unknown code","Unknown code",IF(D869="","Missing qty",IF(A869="","Missing date","")))))</f>
        <v/>
      </c>
    </row>
    <row r="870" customFormat="false" ht="15" hidden="false" customHeight="false" outlineLevel="0" collapsed="false">
      <c r="A870" s="44"/>
      <c r="B870" s="39"/>
      <c r="C870" s="45" t="str">
        <f aca="false">IF(B870="","",IFERROR(INDEX(Contract!$C$10:$C$23,MATCH(B870,Contract!$B$10:$B$23,0)),"Unknown code"))</f>
        <v/>
      </c>
      <c r="D870" s="46"/>
      <c r="E870" s="39"/>
      <c r="F870" s="39"/>
      <c r="G870" s="47" t="str">
        <f aca="false">IF(AND(B870="",D870=""),"",IF(B870="","Missing code",IF(C870="Unknown code","Unknown code",IF(D870="","Missing qty",IF(A870="","Missing date","")))))</f>
        <v/>
      </c>
    </row>
    <row r="871" customFormat="false" ht="15" hidden="false" customHeight="false" outlineLevel="0" collapsed="false">
      <c r="A871" s="44"/>
      <c r="B871" s="39"/>
      <c r="C871" s="45" t="str">
        <f aca="false">IF(B871="","",IFERROR(INDEX(Contract!$C$10:$C$23,MATCH(B871,Contract!$B$10:$B$23,0)),"Unknown code"))</f>
        <v/>
      </c>
      <c r="D871" s="46"/>
      <c r="E871" s="39"/>
      <c r="F871" s="39"/>
      <c r="G871" s="47" t="str">
        <f aca="false">IF(AND(B871="",D871=""),"",IF(B871="","Missing code",IF(C871="Unknown code","Unknown code",IF(D871="","Missing qty",IF(A871="","Missing date","")))))</f>
        <v/>
      </c>
    </row>
    <row r="872" customFormat="false" ht="15" hidden="false" customHeight="false" outlineLevel="0" collapsed="false">
      <c r="A872" s="44"/>
      <c r="B872" s="39"/>
      <c r="C872" s="45" t="str">
        <f aca="false">IF(B872="","",IFERROR(INDEX(Contract!$C$10:$C$23,MATCH(B872,Contract!$B$10:$B$23,0)),"Unknown code"))</f>
        <v/>
      </c>
      <c r="D872" s="46"/>
      <c r="E872" s="39"/>
      <c r="F872" s="39"/>
      <c r="G872" s="47" t="str">
        <f aca="false">IF(AND(B872="",D872=""),"",IF(B872="","Missing code",IF(C872="Unknown code","Unknown code",IF(D872="","Missing qty",IF(A872="","Missing date","")))))</f>
        <v/>
      </c>
    </row>
    <row r="873" customFormat="false" ht="15" hidden="false" customHeight="false" outlineLevel="0" collapsed="false">
      <c r="A873" s="44"/>
      <c r="B873" s="39"/>
      <c r="C873" s="45" t="str">
        <f aca="false">IF(B873="","",IFERROR(INDEX(Contract!$C$10:$C$23,MATCH(B873,Contract!$B$10:$B$23,0)),"Unknown code"))</f>
        <v/>
      </c>
      <c r="D873" s="46"/>
      <c r="E873" s="39"/>
      <c r="F873" s="39"/>
      <c r="G873" s="47" t="str">
        <f aca="false">IF(AND(B873="",D873=""),"",IF(B873="","Missing code",IF(C873="Unknown code","Unknown code",IF(D873="","Missing qty",IF(A873="","Missing date","")))))</f>
        <v/>
      </c>
    </row>
    <row r="874" customFormat="false" ht="15" hidden="false" customHeight="false" outlineLevel="0" collapsed="false">
      <c r="A874" s="44"/>
      <c r="B874" s="39"/>
      <c r="C874" s="45" t="str">
        <f aca="false">IF(B874="","",IFERROR(INDEX(Contract!$C$10:$C$23,MATCH(B874,Contract!$B$10:$B$23,0)),"Unknown code"))</f>
        <v/>
      </c>
      <c r="D874" s="46"/>
      <c r="E874" s="39"/>
      <c r="F874" s="39"/>
      <c r="G874" s="47" t="str">
        <f aca="false">IF(AND(B874="",D874=""),"",IF(B874="","Missing code",IF(C874="Unknown code","Unknown code",IF(D874="","Missing qty",IF(A874="","Missing date","")))))</f>
        <v/>
      </c>
    </row>
    <row r="875" customFormat="false" ht="15" hidden="false" customHeight="false" outlineLevel="0" collapsed="false">
      <c r="A875" s="44"/>
      <c r="B875" s="39"/>
      <c r="C875" s="45" t="str">
        <f aca="false">IF(B875="","",IFERROR(INDEX(Contract!$C$10:$C$23,MATCH(B875,Contract!$B$10:$B$23,0)),"Unknown code"))</f>
        <v/>
      </c>
      <c r="D875" s="46"/>
      <c r="E875" s="39"/>
      <c r="F875" s="39"/>
      <c r="G875" s="47" t="str">
        <f aca="false">IF(AND(B875="",D875=""),"",IF(B875="","Missing code",IF(C875="Unknown code","Unknown code",IF(D875="","Missing qty",IF(A875="","Missing date","")))))</f>
        <v/>
      </c>
    </row>
    <row r="876" customFormat="false" ht="15" hidden="false" customHeight="false" outlineLevel="0" collapsed="false">
      <c r="A876" s="44"/>
      <c r="B876" s="39"/>
      <c r="C876" s="45" t="str">
        <f aca="false">IF(B876="","",IFERROR(INDEX(Contract!$C$10:$C$23,MATCH(B876,Contract!$B$10:$B$23,0)),"Unknown code"))</f>
        <v/>
      </c>
      <c r="D876" s="46"/>
      <c r="E876" s="39"/>
      <c r="F876" s="39"/>
      <c r="G876" s="47" t="str">
        <f aca="false">IF(AND(B876="",D876=""),"",IF(B876="","Missing code",IF(C876="Unknown code","Unknown code",IF(D876="","Missing qty",IF(A876="","Missing date","")))))</f>
        <v/>
      </c>
    </row>
    <row r="877" customFormat="false" ht="15" hidden="false" customHeight="false" outlineLevel="0" collapsed="false">
      <c r="A877" s="44"/>
      <c r="B877" s="39"/>
      <c r="C877" s="45" t="str">
        <f aca="false">IF(B877="","",IFERROR(INDEX(Contract!$C$10:$C$23,MATCH(B877,Contract!$B$10:$B$23,0)),"Unknown code"))</f>
        <v/>
      </c>
      <c r="D877" s="46"/>
      <c r="E877" s="39"/>
      <c r="F877" s="39"/>
      <c r="G877" s="47" t="str">
        <f aca="false">IF(AND(B877="",D877=""),"",IF(B877="","Missing code",IF(C877="Unknown code","Unknown code",IF(D877="","Missing qty",IF(A877="","Missing date","")))))</f>
        <v/>
      </c>
    </row>
    <row r="878" customFormat="false" ht="15" hidden="false" customHeight="false" outlineLevel="0" collapsed="false">
      <c r="A878" s="44"/>
      <c r="B878" s="39"/>
      <c r="C878" s="45" t="str">
        <f aca="false">IF(B878="","",IFERROR(INDEX(Contract!$C$10:$C$23,MATCH(B878,Contract!$B$10:$B$23,0)),"Unknown code"))</f>
        <v/>
      </c>
      <c r="D878" s="46"/>
      <c r="E878" s="39"/>
      <c r="F878" s="39"/>
      <c r="G878" s="47" t="str">
        <f aca="false">IF(AND(B878="",D878=""),"",IF(B878="","Missing code",IF(C878="Unknown code","Unknown code",IF(D878="","Missing qty",IF(A878="","Missing date","")))))</f>
        <v/>
      </c>
    </row>
    <row r="879" customFormat="false" ht="15" hidden="false" customHeight="false" outlineLevel="0" collapsed="false">
      <c r="A879" s="44"/>
      <c r="B879" s="39"/>
      <c r="C879" s="45" t="str">
        <f aca="false">IF(B879="","",IFERROR(INDEX(Contract!$C$10:$C$23,MATCH(B879,Contract!$B$10:$B$23,0)),"Unknown code"))</f>
        <v/>
      </c>
      <c r="D879" s="46"/>
      <c r="E879" s="39"/>
      <c r="F879" s="39"/>
      <c r="G879" s="47" t="str">
        <f aca="false">IF(AND(B879="",D879=""),"",IF(B879="","Missing code",IF(C879="Unknown code","Unknown code",IF(D879="","Missing qty",IF(A879="","Missing date","")))))</f>
        <v/>
      </c>
    </row>
    <row r="880" customFormat="false" ht="15" hidden="false" customHeight="false" outlineLevel="0" collapsed="false">
      <c r="A880" s="44"/>
      <c r="B880" s="39"/>
      <c r="C880" s="45" t="str">
        <f aca="false">IF(B880="","",IFERROR(INDEX(Contract!$C$10:$C$23,MATCH(B880,Contract!$B$10:$B$23,0)),"Unknown code"))</f>
        <v/>
      </c>
      <c r="D880" s="46"/>
      <c r="E880" s="39"/>
      <c r="F880" s="39"/>
      <c r="G880" s="47" t="str">
        <f aca="false">IF(AND(B880="",D880=""),"",IF(B880="","Missing code",IF(C880="Unknown code","Unknown code",IF(D880="","Missing qty",IF(A880="","Missing date","")))))</f>
        <v/>
      </c>
    </row>
    <row r="881" customFormat="false" ht="15" hidden="false" customHeight="false" outlineLevel="0" collapsed="false">
      <c r="A881" s="44"/>
      <c r="B881" s="39"/>
      <c r="C881" s="45" t="str">
        <f aca="false">IF(B881="","",IFERROR(INDEX(Contract!$C$10:$C$23,MATCH(B881,Contract!$B$10:$B$23,0)),"Unknown code"))</f>
        <v/>
      </c>
      <c r="D881" s="46"/>
      <c r="E881" s="39"/>
      <c r="F881" s="39"/>
      <c r="G881" s="47" t="str">
        <f aca="false">IF(AND(B881="",D881=""),"",IF(B881="","Missing code",IF(C881="Unknown code","Unknown code",IF(D881="","Missing qty",IF(A881="","Missing date","")))))</f>
        <v/>
      </c>
    </row>
    <row r="882" customFormat="false" ht="15" hidden="false" customHeight="false" outlineLevel="0" collapsed="false">
      <c r="A882" s="44"/>
      <c r="B882" s="39"/>
      <c r="C882" s="45" t="str">
        <f aca="false">IF(B882="","",IFERROR(INDEX(Contract!$C$10:$C$23,MATCH(B882,Contract!$B$10:$B$23,0)),"Unknown code"))</f>
        <v/>
      </c>
      <c r="D882" s="46"/>
      <c r="E882" s="39"/>
      <c r="F882" s="39"/>
      <c r="G882" s="47" t="str">
        <f aca="false">IF(AND(B882="",D882=""),"",IF(B882="","Missing code",IF(C882="Unknown code","Unknown code",IF(D882="","Missing qty",IF(A882="","Missing date","")))))</f>
        <v/>
      </c>
    </row>
    <row r="883" customFormat="false" ht="15" hidden="false" customHeight="false" outlineLevel="0" collapsed="false">
      <c r="A883" s="44"/>
      <c r="B883" s="39"/>
      <c r="C883" s="45" t="str">
        <f aca="false">IF(B883="","",IFERROR(INDEX(Contract!$C$10:$C$23,MATCH(B883,Contract!$B$10:$B$23,0)),"Unknown code"))</f>
        <v/>
      </c>
      <c r="D883" s="46"/>
      <c r="E883" s="39"/>
      <c r="F883" s="39"/>
      <c r="G883" s="47" t="str">
        <f aca="false">IF(AND(B883="",D883=""),"",IF(B883="","Missing code",IF(C883="Unknown code","Unknown code",IF(D883="","Missing qty",IF(A883="","Missing date","")))))</f>
        <v/>
      </c>
    </row>
    <row r="884" customFormat="false" ht="15" hidden="false" customHeight="false" outlineLevel="0" collapsed="false">
      <c r="A884" s="44"/>
      <c r="B884" s="39"/>
      <c r="C884" s="45" t="str">
        <f aca="false">IF(B884="","",IFERROR(INDEX(Contract!$C$10:$C$23,MATCH(B884,Contract!$B$10:$B$23,0)),"Unknown code"))</f>
        <v/>
      </c>
      <c r="D884" s="46"/>
      <c r="E884" s="39"/>
      <c r="F884" s="39"/>
      <c r="G884" s="47" t="str">
        <f aca="false">IF(AND(B884="",D884=""),"",IF(B884="","Missing code",IF(C884="Unknown code","Unknown code",IF(D884="","Missing qty",IF(A884="","Missing date","")))))</f>
        <v/>
      </c>
    </row>
    <row r="885" customFormat="false" ht="15" hidden="false" customHeight="false" outlineLevel="0" collapsed="false">
      <c r="A885" s="44"/>
      <c r="B885" s="39"/>
      <c r="C885" s="45" t="str">
        <f aca="false">IF(B885="","",IFERROR(INDEX(Contract!$C$10:$C$23,MATCH(B885,Contract!$B$10:$B$23,0)),"Unknown code"))</f>
        <v/>
      </c>
      <c r="D885" s="46"/>
      <c r="E885" s="39"/>
      <c r="F885" s="39"/>
      <c r="G885" s="47" t="str">
        <f aca="false">IF(AND(B885="",D885=""),"",IF(B885="","Missing code",IF(C885="Unknown code","Unknown code",IF(D885="","Missing qty",IF(A885="","Missing date","")))))</f>
        <v/>
      </c>
    </row>
    <row r="886" customFormat="false" ht="15" hidden="false" customHeight="false" outlineLevel="0" collapsed="false">
      <c r="A886" s="44"/>
      <c r="B886" s="39"/>
      <c r="C886" s="45" t="str">
        <f aca="false">IF(B886="","",IFERROR(INDEX(Contract!$C$10:$C$23,MATCH(B886,Contract!$B$10:$B$23,0)),"Unknown code"))</f>
        <v/>
      </c>
      <c r="D886" s="46"/>
      <c r="E886" s="39"/>
      <c r="F886" s="39"/>
      <c r="G886" s="47" t="str">
        <f aca="false">IF(AND(B886="",D886=""),"",IF(B886="","Missing code",IF(C886="Unknown code","Unknown code",IF(D886="","Missing qty",IF(A886="","Missing date","")))))</f>
        <v/>
      </c>
    </row>
    <row r="887" customFormat="false" ht="15" hidden="false" customHeight="false" outlineLevel="0" collapsed="false">
      <c r="A887" s="44"/>
      <c r="B887" s="39"/>
      <c r="C887" s="45" t="str">
        <f aca="false">IF(B887="","",IFERROR(INDEX(Contract!$C$10:$C$23,MATCH(B887,Contract!$B$10:$B$23,0)),"Unknown code"))</f>
        <v/>
      </c>
      <c r="D887" s="46"/>
      <c r="E887" s="39"/>
      <c r="F887" s="39"/>
      <c r="G887" s="47" t="str">
        <f aca="false">IF(AND(B887="",D887=""),"",IF(B887="","Missing code",IF(C887="Unknown code","Unknown code",IF(D887="","Missing qty",IF(A887="","Missing date","")))))</f>
        <v/>
      </c>
    </row>
    <row r="888" customFormat="false" ht="15" hidden="false" customHeight="false" outlineLevel="0" collapsed="false">
      <c r="A888" s="44"/>
      <c r="B888" s="39"/>
      <c r="C888" s="45" t="str">
        <f aca="false">IF(B888="","",IFERROR(INDEX(Contract!$C$10:$C$23,MATCH(B888,Contract!$B$10:$B$23,0)),"Unknown code"))</f>
        <v/>
      </c>
      <c r="D888" s="46"/>
      <c r="E888" s="39"/>
      <c r="F888" s="39"/>
      <c r="G888" s="47" t="str">
        <f aca="false">IF(AND(B888="",D888=""),"",IF(B888="","Missing code",IF(C888="Unknown code","Unknown code",IF(D888="","Missing qty",IF(A888="","Missing date","")))))</f>
        <v/>
      </c>
    </row>
    <row r="889" customFormat="false" ht="15" hidden="false" customHeight="false" outlineLevel="0" collapsed="false">
      <c r="A889" s="44"/>
      <c r="B889" s="39"/>
      <c r="C889" s="45" t="str">
        <f aca="false">IF(B889="","",IFERROR(INDEX(Contract!$C$10:$C$23,MATCH(B889,Contract!$B$10:$B$23,0)),"Unknown code"))</f>
        <v/>
      </c>
      <c r="D889" s="46"/>
      <c r="E889" s="39"/>
      <c r="F889" s="39"/>
      <c r="G889" s="47" t="str">
        <f aca="false">IF(AND(B889="",D889=""),"",IF(B889="","Missing code",IF(C889="Unknown code","Unknown code",IF(D889="","Missing qty",IF(A889="","Missing date","")))))</f>
        <v/>
      </c>
    </row>
    <row r="890" customFormat="false" ht="15" hidden="false" customHeight="false" outlineLevel="0" collapsed="false">
      <c r="A890" s="44"/>
      <c r="B890" s="39"/>
      <c r="C890" s="45" t="str">
        <f aca="false">IF(B890="","",IFERROR(INDEX(Contract!$C$10:$C$23,MATCH(B890,Contract!$B$10:$B$23,0)),"Unknown code"))</f>
        <v/>
      </c>
      <c r="D890" s="46"/>
      <c r="E890" s="39"/>
      <c r="F890" s="39"/>
      <c r="G890" s="47" t="str">
        <f aca="false">IF(AND(B890="",D890=""),"",IF(B890="","Missing code",IF(C890="Unknown code","Unknown code",IF(D890="","Missing qty",IF(A890="","Missing date","")))))</f>
        <v/>
      </c>
    </row>
    <row r="891" customFormat="false" ht="15" hidden="false" customHeight="false" outlineLevel="0" collapsed="false">
      <c r="A891" s="44"/>
      <c r="B891" s="39"/>
      <c r="C891" s="45" t="str">
        <f aca="false">IF(B891="","",IFERROR(INDEX(Contract!$C$10:$C$23,MATCH(B891,Contract!$B$10:$B$23,0)),"Unknown code"))</f>
        <v/>
      </c>
      <c r="D891" s="46"/>
      <c r="E891" s="39"/>
      <c r="F891" s="39"/>
      <c r="G891" s="47" t="str">
        <f aca="false">IF(AND(B891="",D891=""),"",IF(B891="","Missing code",IF(C891="Unknown code","Unknown code",IF(D891="","Missing qty",IF(A891="","Missing date","")))))</f>
        <v/>
      </c>
    </row>
    <row r="892" customFormat="false" ht="15" hidden="false" customHeight="false" outlineLevel="0" collapsed="false">
      <c r="A892" s="44"/>
      <c r="B892" s="39"/>
      <c r="C892" s="45" t="str">
        <f aca="false">IF(B892="","",IFERROR(INDEX(Contract!$C$10:$C$23,MATCH(B892,Contract!$B$10:$B$23,0)),"Unknown code"))</f>
        <v/>
      </c>
      <c r="D892" s="46"/>
      <c r="E892" s="39"/>
      <c r="F892" s="39"/>
      <c r="G892" s="47" t="str">
        <f aca="false">IF(AND(B892="",D892=""),"",IF(B892="","Missing code",IF(C892="Unknown code","Unknown code",IF(D892="","Missing qty",IF(A892="","Missing date","")))))</f>
        <v/>
      </c>
    </row>
    <row r="893" customFormat="false" ht="15" hidden="false" customHeight="false" outlineLevel="0" collapsed="false">
      <c r="A893" s="44"/>
      <c r="B893" s="39"/>
      <c r="C893" s="45" t="str">
        <f aca="false">IF(B893="","",IFERROR(INDEX(Contract!$C$10:$C$23,MATCH(B893,Contract!$B$10:$B$23,0)),"Unknown code"))</f>
        <v/>
      </c>
      <c r="D893" s="46"/>
      <c r="E893" s="39"/>
      <c r="F893" s="39"/>
      <c r="G893" s="47" t="str">
        <f aca="false">IF(AND(B893="",D893=""),"",IF(B893="","Missing code",IF(C893="Unknown code","Unknown code",IF(D893="","Missing qty",IF(A893="","Missing date","")))))</f>
        <v/>
      </c>
    </row>
    <row r="894" customFormat="false" ht="15" hidden="false" customHeight="false" outlineLevel="0" collapsed="false">
      <c r="A894" s="44"/>
      <c r="B894" s="39"/>
      <c r="C894" s="45" t="str">
        <f aca="false">IF(B894="","",IFERROR(INDEX(Contract!$C$10:$C$23,MATCH(B894,Contract!$B$10:$B$23,0)),"Unknown code"))</f>
        <v/>
      </c>
      <c r="D894" s="46"/>
      <c r="E894" s="39"/>
      <c r="F894" s="39"/>
      <c r="G894" s="47" t="str">
        <f aca="false">IF(AND(B894="",D894=""),"",IF(B894="","Missing code",IF(C894="Unknown code","Unknown code",IF(D894="","Missing qty",IF(A894="","Missing date","")))))</f>
        <v/>
      </c>
    </row>
    <row r="895" customFormat="false" ht="15" hidden="false" customHeight="false" outlineLevel="0" collapsed="false">
      <c r="A895" s="44"/>
      <c r="B895" s="39"/>
      <c r="C895" s="45" t="str">
        <f aca="false">IF(B895="","",IFERROR(INDEX(Contract!$C$10:$C$23,MATCH(B895,Contract!$B$10:$B$23,0)),"Unknown code"))</f>
        <v/>
      </c>
      <c r="D895" s="46"/>
      <c r="E895" s="39"/>
      <c r="F895" s="39"/>
      <c r="G895" s="47" t="str">
        <f aca="false">IF(AND(B895="",D895=""),"",IF(B895="","Missing code",IF(C895="Unknown code","Unknown code",IF(D895="","Missing qty",IF(A895="","Missing date","")))))</f>
        <v/>
      </c>
    </row>
    <row r="896" customFormat="false" ht="15" hidden="false" customHeight="false" outlineLevel="0" collapsed="false">
      <c r="A896" s="44"/>
      <c r="B896" s="39"/>
      <c r="C896" s="45" t="str">
        <f aca="false">IF(B896="","",IFERROR(INDEX(Contract!$C$10:$C$23,MATCH(B896,Contract!$B$10:$B$23,0)),"Unknown code"))</f>
        <v/>
      </c>
      <c r="D896" s="46"/>
      <c r="E896" s="39"/>
      <c r="F896" s="39"/>
      <c r="G896" s="47" t="str">
        <f aca="false">IF(AND(B896="",D896=""),"",IF(B896="","Missing code",IF(C896="Unknown code","Unknown code",IF(D896="","Missing qty",IF(A896="","Missing date","")))))</f>
        <v/>
      </c>
    </row>
    <row r="897" customFormat="false" ht="15" hidden="false" customHeight="false" outlineLevel="0" collapsed="false">
      <c r="A897" s="44"/>
      <c r="B897" s="39"/>
      <c r="C897" s="45" t="str">
        <f aca="false">IF(B897="","",IFERROR(INDEX(Contract!$C$10:$C$23,MATCH(B897,Contract!$B$10:$B$23,0)),"Unknown code"))</f>
        <v/>
      </c>
      <c r="D897" s="46"/>
      <c r="E897" s="39"/>
      <c r="F897" s="39"/>
      <c r="G897" s="47" t="str">
        <f aca="false">IF(AND(B897="",D897=""),"",IF(B897="","Missing code",IF(C897="Unknown code","Unknown code",IF(D897="","Missing qty",IF(A897="","Missing date","")))))</f>
        <v/>
      </c>
    </row>
    <row r="898" customFormat="false" ht="15" hidden="false" customHeight="false" outlineLevel="0" collapsed="false">
      <c r="A898" s="44"/>
      <c r="B898" s="39"/>
      <c r="C898" s="45" t="str">
        <f aca="false">IF(B898="","",IFERROR(INDEX(Contract!$C$10:$C$23,MATCH(B898,Contract!$B$10:$B$23,0)),"Unknown code"))</f>
        <v/>
      </c>
      <c r="D898" s="46"/>
      <c r="E898" s="39"/>
      <c r="F898" s="39"/>
      <c r="G898" s="47" t="str">
        <f aca="false">IF(AND(B898="",D898=""),"",IF(B898="","Missing code",IF(C898="Unknown code","Unknown code",IF(D898="","Missing qty",IF(A898="","Missing date","")))))</f>
        <v/>
      </c>
    </row>
    <row r="899" customFormat="false" ht="15" hidden="false" customHeight="false" outlineLevel="0" collapsed="false">
      <c r="A899" s="44"/>
      <c r="B899" s="39"/>
      <c r="C899" s="45" t="str">
        <f aca="false">IF(B899="","",IFERROR(INDEX(Contract!$C$10:$C$23,MATCH(B899,Contract!$B$10:$B$23,0)),"Unknown code"))</f>
        <v/>
      </c>
      <c r="D899" s="46"/>
      <c r="E899" s="39"/>
      <c r="F899" s="39"/>
      <c r="G899" s="47" t="str">
        <f aca="false">IF(AND(B899="",D899=""),"",IF(B899="","Missing code",IF(C899="Unknown code","Unknown code",IF(D899="","Missing qty",IF(A899="","Missing date","")))))</f>
        <v/>
      </c>
    </row>
    <row r="900" customFormat="false" ht="15" hidden="false" customHeight="false" outlineLevel="0" collapsed="false">
      <c r="A900" s="44"/>
      <c r="B900" s="39"/>
      <c r="C900" s="45" t="str">
        <f aca="false">IF(B900="","",IFERROR(INDEX(Contract!$C$10:$C$23,MATCH(B900,Contract!$B$10:$B$23,0)),"Unknown code"))</f>
        <v/>
      </c>
      <c r="D900" s="46"/>
      <c r="E900" s="39"/>
      <c r="F900" s="39"/>
      <c r="G900" s="47" t="str">
        <f aca="false">IF(AND(B900="",D900=""),"",IF(B900="","Missing code",IF(C900="Unknown code","Unknown code",IF(D900="","Missing qty",IF(A900="","Missing date","")))))</f>
        <v/>
      </c>
    </row>
    <row r="901" customFormat="false" ht="15" hidden="false" customHeight="false" outlineLevel="0" collapsed="false">
      <c r="A901" s="44"/>
      <c r="B901" s="39"/>
      <c r="C901" s="45" t="str">
        <f aca="false">IF(B901="","",IFERROR(INDEX(Contract!$C$10:$C$23,MATCH(B901,Contract!$B$10:$B$23,0)),"Unknown code"))</f>
        <v/>
      </c>
      <c r="D901" s="46"/>
      <c r="E901" s="39"/>
      <c r="F901" s="39"/>
      <c r="G901" s="47" t="str">
        <f aca="false">IF(AND(B901="",D901=""),"",IF(B901="","Missing code",IF(C901="Unknown code","Unknown code",IF(D901="","Missing qty",IF(A901="","Missing date","")))))</f>
        <v/>
      </c>
    </row>
    <row r="902" customFormat="false" ht="15" hidden="false" customHeight="false" outlineLevel="0" collapsed="false">
      <c r="A902" s="44"/>
      <c r="B902" s="39"/>
      <c r="C902" s="45" t="str">
        <f aca="false">IF(B902="","",IFERROR(INDEX(Contract!$C$10:$C$23,MATCH(B902,Contract!$B$10:$B$23,0)),"Unknown code"))</f>
        <v/>
      </c>
      <c r="D902" s="46"/>
      <c r="E902" s="39"/>
      <c r="F902" s="39"/>
      <c r="G902" s="47" t="str">
        <f aca="false">IF(AND(B902="",D902=""),"",IF(B902="","Missing code",IF(C902="Unknown code","Unknown code",IF(D902="","Missing qty",IF(A902="","Missing date","")))))</f>
        <v/>
      </c>
    </row>
    <row r="903" customFormat="false" ht="15" hidden="false" customHeight="false" outlineLevel="0" collapsed="false">
      <c r="A903" s="44"/>
      <c r="B903" s="39"/>
      <c r="C903" s="45" t="str">
        <f aca="false">IF(B903="","",IFERROR(INDEX(Contract!$C$10:$C$23,MATCH(B903,Contract!$B$10:$B$23,0)),"Unknown code"))</f>
        <v/>
      </c>
      <c r="D903" s="46"/>
      <c r="E903" s="39"/>
      <c r="F903" s="39"/>
      <c r="G903" s="47" t="str">
        <f aca="false">IF(AND(B903="",D903=""),"",IF(B903="","Missing code",IF(C903="Unknown code","Unknown code",IF(D903="","Missing qty",IF(A903="","Missing date","")))))</f>
        <v/>
      </c>
    </row>
    <row r="904" customFormat="false" ht="15" hidden="false" customHeight="false" outlineLevel="0" collapsed="false">
      <c r="A904" s="44"/>
      <c r="B904" s="39"/>
      <c r="C904" s="45" t="str">
        <f aca="false">IF(B904="","",IFERROR(INDEX(Contract!$C$10:$C$23,MATCH(B904,Contract!$B$10:$B$23,0)),"Unknown code"))</f>
        <v/>
      </c>
      <c r="D904" s="46"/>
      <c r="E904" s="39"/>
      <c r="F904" s="39"/>
      <c r="G904" s="47" t="str">
        <f aca="false">IF(AND(B904="",D904=""),"",IF(B904="","Missing code",IF(C904="Unknown code","Unknown code",IF(D904="","Missing qty",IF(A904="","Missing date","")))))</f>
        <v/>
      </c>
    </row>
    <row r="905" customFormat="false" ht="15" hidden="false" customHeight="false" outlineLevel="0" collapsed="false">
      <c r="A905" s="44"/>
      <c r="B905" s="39"/>
      <c r="C905" s="45" t="str">
        <f aca="false">IF(B905="","",IFERROR(INDEX(Contract!$C$10:$C$23,MATCH(B905,Contract!$B$10:$B$23,0)),"Unknown code"))</f>
        <v/>
      </c>
      <c r="D905" s="46"/>
      <c r="E905" s="39"/>
      <c r="F905" s="39"/>
      <c r="G905" s="47" t="str">
        <f aca="false">IF(AND(B905="",D905=""),"",IF(B905="","Missing code",IF(C905="Unknown code","Unknown code",IF(D905="","Missing qty",IF(A905="","Missing date","")))))</f>
        <v/>
      </c>
    </row>
    <row r="906" customFormat="false" ht="15" hidden="false" customHeight="false" outlineLevel="0" collapsed="false">
      <c r="A906" s="44"/>
      <c r="B906" s="39"/>
      <c r="C906" s="45" t="str">
        <f aca="false">IF(B906="","",IFERROR(INDEX(Contract!$C$10:$C$23,MATCH(B906,Contract!$B$10:$B$23,0)),"Unknown code"))</f>
        <v/>
      </c>
      <c r="D906" s="46"/>
      <c r="E906" s="39"/>
      <c r="F906" s="39"/>
      <c r="G906" s="47" t="str">
        <f aca="false">IF(AND(B906="",D906=""),"",IF(B906="","Missing code",IF(C906="Unknown code","Unknown code",IF(D906="","Missing qty",IF(A906="","Missing date","")))))</f>
        <v/>
      </c>
    </row>
    <row r="907" customFormat="false" ht="15" hidden="false" customHeight="false" outlineLevel="0" collapsed="false">
      <c r="A907" s="44"/>
      <c r="B907" s="39"/>
      <c r="C907" s="45" t="str">
        <f aca="false">IF(B907="","",IFERROR(INDEX(Contract!$C$10:$C$23,MATCH(B907,Contract!$B$10:$B$23,0)),"Unknown code"))</f>
        <v/>
      </c>
      <c r="D907" s="46"/>
      <c r="E907" s="39"/>
      <c r="F907" s="39"/>
      <c r="G907" s="47" t="str">
        <f aca="false">IF(AND(B907="",D907=""),"",IF(B907="","Missing code",IF(C907="Unknown code","Unknown code",IF(D907="","Missing qty",IF(A907="","Missing date","")))))</f>
        <v/>
      </c>
    </row>
    <row r="908" customFormat="false" ht="15" hidden="false" customHeight="false" outlineLevel="0" collapsed="false">
      <c r="A908" s="44"/>
      <c r="B908" s="39"/>
      <c r="C908" s="45" t="str">
        <f aca="false">IF(B908="","",IFERROR(INDEX(Contract!$C$10:$C$23,MATCH(B908,Contract!$B$10:$B$23,0)),"Unknown code"))</f>
        <v/>
      </c>
      <c r="D908" s="46"/>
      <c r="E908" s="39"/>
      <c r="F908" s="39"/>
      <c r="G908" s="47" t="str">
        <f aca="false">IF(AND(B908="",D908=""),"",IF(B908="","Missing code",IF(C908="Unknown code","Unknown code",IF(D908="","Missing qty",IF(A908="","Missing date","")))))</f>
        <v/>
      </c>
    </row>
    <row r="909" customFormat="false" ht="15" hidden="false" customHeight="false" outlineLevel="0" collapsed="false">
      <c r="A909" s="44"/>
      <c r="B909" s="39"/>
      <c r="C909" s="45" t="str">
        <f aca="false">IF(B909="","",IFERROR(INDEX(Contract!$C$10:$C$23,MATCH(B909,Contract!$B$10:$B$23,0)),"Unknown code"))</f>
        <v/>
      </c>
      <c r="D909" s="46"/>
      <c r="E909" s="39"/>
      <c r="F909" s="39"/>
      <c r="G909" s="47" t="str">
        <f aca="false">IF(AND(B909="",D909=""),"",IF(B909="","Missing code",IF(C909="Unknown code","Unknown code",IF(D909="","Missing qty",IF(A909="","Missing date","")))))</f>
        <v/>
      </c>
    </row>
    <row r="910" customFormat="false" ht="15" hidden="false" customHeight="false" outlineLevel="0" collapsed="false">
      <c r="A910" s="44"/>
      <c r="B910" s="39"/>
      <c r="C910" s="45" t="str">
        <f aca="false">IF(B910="","",IFERROR(INDEX(Contract!$C$10:$C$23,MATCH(B910,Contract!$B$10:$B$23,0)),"Unknown code"))</f>
        <v/>
      </c>
      <c r="D910" s="46"/>
      <c r="E910" s="39"/>
      <c r="F910" s="39"/>
      <c r="G910" s="47" t="str">
        <f aca="false">IF(AND(B910="",D910=""),"",IF(B910="","Missing code",IF(C910="Unknown code","Unknown code",IF(D910="","Missing qty",IF(A910="","Missing date","")))))</f>
        <v/>
      </c>
    </row>
    <row r="911" customFormat="false" ht="15" hidden="false" customHeight="false" outlineLevel="0" collapsed="false">
      <c r="A911" s="44"/>
      <c r="B911" s="39"/>
      <c r="C911" s="45" t="str">
        <f aca="false">IF(B911="","",IFERROR(INDEX(Contract!$C$10:$C$23,MATCH(B911,Contract!$B$10:$B$23,0)),"Unknown code"))</f>
        <v/>
      </c>
      <c r="D911" s="46"/>
      <c r="E911" s="39"/>
      <c r="F911" s="39"/>
      <c r="G911" s="47" t="str">
        <f aca="false">IF(AND(B911="",D911=""),"",IF(B911="","Missing code",IF(C911="Unknown code","Unknown code",IF(D911="","Missing qty",IF(A911="","Missing date","")))))</f>
        <v/>
      </c>
    </row>
    <row r="912" customFormat="false" ht="15" hidden="false" customHeight="false" outlineLevel="0" collapsed="false">
      <c r="A912" s="44"/>
      <c r="B912" s="39"/>
      <c r="C912" s="45" t="str">
        <f aca="false">IF(B912="","",IFERROR(INDEX(Contract!$C$10:$C$23,MATCH(B912,Contract!$B$10:$B$23,0)),"Unknown code"))</f>
        <v/>
      </c>
      <c r="D912" s="46"/>
      <c r="E912" s="39"/>
      <c r="F912" s="39"/>
      <c r="G912" s="47" t="str">
        <f aca="false">IF(AND(B912="",D912=""),"",IF(B912="","Missing code",IF(C912="Unknown code","Unknown code",IF(D912="","Missing qty",IF(A912="","Missing date","")))))</f>
        <v/>
      </c>
    </row>
    <row r="913" customFormat="false" ht="15" hidden="false" customHeight="false" outlineLevel="0" collapsed="false">
      <c r="A913" s="44"/>
      <c r="B913" s="39"/>
      <c r="C913" s="45" t="str">
        <f aca="false">IF(B913="","",IFERROR(INDEX(Contract!$C$10:$C$23,MATCH(B913,Contract!$B$10:$B$23,0)),"Unknown code"))</f>
        <v/>
      </c>
      <c r="D913" s="46"/>
      <c r="E913" s="39"/>
      <c r="F913" s="39"/>
      <c r="G913" s="47" t="str">
        <f aca="false">IF(AND(B913="",D913=""),"",IF(B913="","Missing code",IF(C913="Unknown code","Unknown code",IF(D913="","Missing qty",IF(A913="","Missing date","")))))</f>
        <v/>
      </c>
    </row>
    <row r="914" customFormat="false" ht="15" hidden="false" customHeight="false" outlineLevel="0" collapsed="false">
      <c r="A914" s="44"/>
      <c r="B914" s="39"/>
      <c r="C914" s="45" t="str">
        <f aca="false">IF(B914="","",IFERROR(INDEX(Contract!$C$10:$C$23,MATCH(B914,Contract!$B$10:$B$23,0)),"Unknown code"))</f>
        <v/>
      </c>
      <c r="D914" s="46"/>
      <c r="E914" s="39"/>
      <c r="F914" s="39"/>
      <c r="G914" s="47" t="str">
        <f aca="false">IF(AND(B914="",D914=""),"",IF(B914="","Missing code",IF(C914="Unknown code","Unknown code",IF(D914="","Missing qty",IF(A914="","Missing date","")))))</f>
        <v/>
      </c>
    </row>
    <row r="915" customFormat="false" ht="15" hidden="false" customHeight="false" outlineLevel="0" collapsed="false">
      <c r="A915" s="44"/>
      <c r="B915" s="39"/>
      <c r="C915" s="45" t="str">
        <f aca="false">IF(B915="","",IFERROR(INDEX(Contract!$C$10:$C$23,MATCH(B915,Contract!$B$10:$B$23,0)),"Unknown code"))</f>
        <v/>
      </c>
      <c r="D915" s="46"/>
      <c r="E915" s="39"/>
      <c r="F915" s="39"/>
      <c r="G915" s="47" t="str">
        <f aca="false">IF(AND(B915="",D915=""),"",IF(B915="","Missing code",IF(C915="Unknown code","Unknown code",IF(D915="","Missing qty",IF(A915="","Missing date","")))))</f>
        <v/>
      </c>
    </row>
    <row r="916" customFormat="false" ht="15" hidden="false" customHeight="false" outlineLevel="0" collapsed="false">
      <c r="A916" s="44"/>
      <c r="B916" s="39"/>
      <c r="C916" s="45" t="str">
        <f aca="false">IF(B916="","",IFERROR(INDEX(Contract!$C$10:$C$23,MATCH(B916,Contract!$B$10:$B$23,0)),"Unknown code"))</f>
        <v/>
      </c>
      <c r="D916" s="46"/>
      <c r="E916" s="39"/>
      <c r="F916" s="39"/>
      <c r="G916" s="47" t="str">
        <f aca="false">IF(AND(B916="",D916=""),"",IF(B916="","Missing code",IF(C916="Unknown code","Unknown code",IF(D916="","Missing qty",IF(A916="","Missing date","")))))</f>
        <v/>
      </c>
    </row>
    <row r="917" customFormat="false" ht="15" hidden="false" customHeight="false" outlineLevel="0" collapsed="false">
      <c r="A917" s="44"/>
      <c r="B917" s="39"/>
      <c r="C917" s="45" t="str">
        <f aca="false">IF(B917="","",IFERROR(INDEX(Contract!$C$10:$C$23,MATCH(B917,Contract!$B$10:$B$23,0)),"Unknown code"))</f>
        <v/>
      </c>
      <c r="D917" s="46"/>
      <c r="E917" s="39"/>
      <c r="F917" s="39"/>
      <c r="G917" s="47" t="str">
        <f aca="false">IF(AND(B917="",D917=""),"",IF(B917="","Missing code",IF(C917="Unknown code","Unknown code",IF(D917="","Missing qty",IF(A917="","Missing date","")))))</f>
        <v/>
      </c>
    </row>
    <row r="918" customFormat="false" ht="15" hidden="false" customHeight="false" outlineLevel="0" collapsed="false">
      <c r="A918" s="44"/>
      <c r="B918" s="39"/>
      <c r="C918" s="45" t="str">
        <f aca="false">IF(B918="","",IFERROR(INDEX(Contract!$C$10:$C$23,MATCH(B918,Contract!$B$10:$B$23,0)),"Unknown code"))</f>
        <v/>
      </c>
      <c r="D918" s="46"/>
      <c r="E918" s="39"/>
      <c r="F918" s="39"/>
      <c r="G918" s="47" t="str">
        <f aca="false">IF(AND(B918="",D918=""),"",IF(B918="","Missing code",IF(C918="Unknown code","Unknown code",IF(D918="","Missing qty",IF(A918="","Missing date","")))))</f>
        <v/>
      </c>
    </row>
    <row r="919" customFormat="false" ht="15" hidden="false" customHeight="false" outlineLevel="0" collapsed="false">
      <c r="A919" s="44"/>
      <c r="B919" s="39"/>
      <c r="C919" s="45" t="str">
        <f aca="false">IF(B919="","",IFERROR(INDEX(Contract!$C$10:$C$23,MATCH(B919,Contract!$B$10:$B$23,0)),"Unknown code"))</f>
        <v/>
      </c>
      <c r="D919" s="46"/>
      <c r="E919" s="39"/>
      <c r="F919" s="39"/>
      <c r="G919" s="47" t="str">
        <f aca="false">IF(AND(B919="",D919=""),"",IF(B919="","Missing code",IF(C919="Unknown code","Unknown code",IF(D919="","Missing qty",IF(A919="","Missing date","")))))</f>
        <v/>
      </c>
    </row>
    <row r="920" customFormat="false" ht="15" hidden="false" customHeight="false" outlineLevel="0" collapsed="false">
      <c r="A920" s="44"/>
      <c r="B920" s="39"/>
      <c r="C920" s="45" t="str">
        <f aca="false">IF(B920="","",IFERROR(INDEX(Contract!$C$10:$C$23,MATCH(B920,Contract!$B$10:$B$23,0)),"Unknown code"))</f>
        <v/>
      </c>
      <c r="D920" s="46"/>
      <c r="E920" s="39"/>
      <c r="F920" s="39"/>
      <c r="G920" s="47" t="str">
        <f aca="false">IF(AND(B920="",D920=""),"",IF(B920="","Missing code",IF(C920="Unknown code","Unknown code",IF(D920="","Missing qty",IF(A920="","Missing date","")))))</f>
        <v/>
      </c>
    </row>
    <row r="921" customFormat="false" ht="15" hidden="false" customHeight="false" outlineLevel="0" collapsed="false">
      <c r="A921" s="44"/>
      <c r="B921" s="39"/>
      <c r="C921" s="45" t="str">
        <f aca="false">IF(B921="","",IFERROR(INDEX(Contract!$C$10:$C$23,MATCH(B921,Contract!$B$10:$B$23,0)),"Unknown code"))</f>
        <v/>
      </c>
      <c r="D921" s="46"/>
      <c r="E921" s="39"/>
      <c r="F921" s="39"/>
      <c r="G921" s="47" t="str">
        <f aca="false">IF(AND(B921="",D921=""),"",IF(B921="","Missing code",IF(C921="Unknown code","Unknown code",IF(D921="","Missing qty",IF(A921="","Missing date","")))))</f>
        <v/>
      </c>
    </row>
    <row r="922" customFormat="false" ht="15" hidden="false" customHeight="false" outlineLevel="0" collapsed="false">
      <c r="A922" s="44"/>
      <c r="B922" s="39"/>
      <c r="C922" s="45" t="str">
        <f aca="false">IF(B922="","",IFERROR(INDEX(Contract!$C$10:$C$23,MATCH(B922,Contract!$B$10:$B$23,0)),"Unknown code"))</f>
        <v/>
      </c>
      <c r="D922" s="46"/>
      <c r="E922" s="39"/>
      <c r="F922" s="39"/>
      <c r="G922" s="47" t="str">
        <f aca="false">IF(AND(B922="",D922=""),"",IF(B922="","Missing code",IF(C922="Unknown code","Unknown code",IF(D922="","Missing qty",IF(A922="","Missing date","")))))</f>
        <v/>
      </c>
    </row>
    <row r="923" customFormat="false" ht="15" hidden="false" customHeight="false" outlineLevel="0" collapsed="false">
      <c r="A923" s="44"/>
      <c r="B923" s="39"/>
      <c r="C923" s="45" t="str">
        <f aca="false">IF(B923="","",IFERROR(INDEX(Contract!$C$10:$C$23,MATCH(B923,Contract!$B$10:$B$23,0)),"Unknown code"))</f>
        <v/>
      </c>
      <c r="D923" s="46"/>
      <c r="E923" s="39"/>
      <c r="F923" s="39"/>
      <c r="G923" s="47" t="str">
        <f aca="false">IF(AND(B923="",D923=""),"",IF(B923="","Missing code",IF(C923="Unknown code","Unknown code",IF(D923="","Missing qty",IF(A923="","Missing date","")))))</f>
        <v/>
      </c>
    </row>
    <row r="924" customFormat="false" ht="15" hidden="false" customHeight="false" outlineLevel="0" collapsed="false">
      <c r="A924" s="44"/>
      <c r="B924" s="39"/>
      <c r="C924" s="45" t="str">
        <f aca="false">IF(B924="","",IFERROR(INDEX(Contract!$C$10:$C$23,MATCH(B924,Contract!$B$10:$B$23,0)),"Unknown code"))</f>
        <v/>
      </c>
      <c r="D924" s="46"/>
      <c r="E924" s="39"/>
      <c r="F924" s="39"/>
      <c r="G924" s="47" t="str">
        <f aca="false">IF(AND(B924="",D924=""),"",IF(B924="","Missing code",IF(C924="Unknown code","Unknown code",IF(D924="","Missing qty",IF(A924="","Missing date","")))))</f>
        <v/>
      </c>
    </row>
    <row r="925" customFormat="false" ht="15" hidden="false" customHeight="false" outlineLevel="0" collapsed="false">
      <c r="A925" s="44"/>
      <c r="B925" s="39"/>
      <c r="C925" s="45" t="str">
        <f aca="false">IF(B925="","",IFERROR(INDEX(Contract!$C$10:$C$23,MATCH(B925,Contract!$B$10:$B$23,0)),"Unknown code"))</f>
        <v/>
      </c>
      <c r="D925" s="46"/>
      <c r="E925" s="39"/>
      <c r="F925" s="39"/>
      <c r="G925" s="47" t="str">
        <f aca="false">IF(AND(B925="",D925=""),"",IF(B925="","Missing code",IF(C925="Unknown code","Unknown code",IF(D925="","Missing qty",IF(A925="","Missing date","")))))</f>
        <v/>
      </c>
    </row>
    <row r="926" customFormat="false" ht="15" hidden="false" customHeight="false" outlineLevel="0" collapsed="false">
      <c r="A926" s="44"/>
      <c r="B926" s="39"/>
      <c r="C926" s="45" t="str">
        <f aca="false">IF(B926="","",IFERROR(INDEX(Contract!$C$10:$C$23,MATCH(B926,Contract!$B$10:$B$23,0)),"Unknown code"))</f>
        <v/>
      </c>
      <c r="D926" s="46"/>
      <c r="E926" s="39"/>
      <c r="F926" s="39"/>
      <c r="G926" s="47" t="str">
        <f aca="false">IF(AND(B926="",D926=""),"",IF(B926="","Missing code",IF(C926="Unknown code","Unknown code",IF(D926="","Missing qty",IF(A926="","Missing date","")))))</f>
        <v/>
      </c>
    </row>
    <row r="927" customFormat="false" ht="15" hidden="false" customHeight="false" outlineLevel="0" collapsed="false">
      <c r="A927" s="44"/>
      <c r="B927" s="39"/>
      <c r="C927" s="45" t="str">
        <f aca="false">IF(B927="","",IFERROR(INDEX(Contract!$C$10:$C$23,MATCH(B927,Contract!$B$10:$B$23,0)),"Unknown code"))</f>
        <v/>
      </c>
      <c r="D927" s="46"/>
      <c r="E927" s="39"/>
      <c r="F927" s="39"/>
      <c r="G927" s="47" t="str">
        <f aca="false">IF(AND(B927="",D927=""),"",IF(B927="","Missing code",IF(C927="Unknown code","Unknown code",IF(D927="","Missing qty",IF(A927="","Missing date","")))))</f>
        <v/>
      </c>
    </row>
    <row r="928" customFormat="false" ht="15" hidden="false" customHeight="false" outlineLevel="0" collapsed="false">
      <c r="A928" s="44"/>
      <c r="B928" s="39"/>
      <c r="C928" s="45" t="str">
        <f aca="false">IF(B928="","",IFERROR(INDEX(Contract!$C$10:$C$23,MATCH(B928,Contract!$B$10:$B$23,0)),"Unknown code"))</f>
        <v/>
      </c>
      <c r="D928" s="46"/>
      <c r="E928" s="39"/>
      <c r="F928" s="39"/>
      <c r="G928" s="47" t="str">
        <f aca="false">IF(AND(B928="",D928=""),"",IF(B928="","Missing code",IF(C928="Unknown code","Unknown code",IF(D928="","Missing qty",IF(A928="","Missing date","")))))</f>
        <v/>
      </c>
    </row>
    <row r="929" customFormat="false" ht="15" hidden="false" customHeight="false" outlineLevel="0" collapsed="false">
      <c r="A929" s="44"/>
      <c r="B929" s="39"/>
      <c r="C929" s="45" t="str">
        <f aca="false">IF(B929="","",IFERROR(INDEX(Contract!$C$10:$C$23,MATCH(B929,Contract!$B$10:$B$23,0)),"Unknown code"))</f>
        <v/>
      </c>
      <c r="D929" s="46"/>
      <c r="E929" s="39"/>
      <c r="F929" s="39"/>
      <c r="G929" s="47" t="str">
        <f aca="false">IF(AND(B929="",D929=""),"",IF(B929="","Missing code",IF(C929="Unknown code","Unknown code",IF(D929="","Missing qty",IF(A929="","Missing date","")))))</f>
        <v/>
      </c>
    </row>
    <row r="930" customFormat="false" ht="15" hidden="false" customHeight="false" outlineLevel="0" collapsed="false">
      <c r="A930" s="44"/>
      <c r="B930" s="39"/>
      <c r="C930" s="45" t="str">
        <f aca="false">IF(B930="","",IFERROR(INDEX(Contract!$C$10:$C$23,MATCH(B930,Contract!$B$10:$B$23,0)),"Unknown code"))</f>
        <v/>
      </c>
      <c r="D930" s="46"/>
      <c r="E930" s="39"/>
      <c r="F930" s="39"/>
      <c r="G930" s="47" t="str">
        <f aca="false">IF(AND(B930="",D930=""),"",IF(B930="","Missing code",IF(C930="Unknown code","Unknown code",IF(D930="","Missing qty",IF(A930="","Missing date","")))))</f>
        <v/>
      </c>
    </row>
    <row r="931" customFormat="false" ht="15" hidden="false" customHeight="false" outlineLevel="0" collapsed="false">
      <c r="A931" s="44"/>
      <c r="B931" s="39"/>
      <c r="C931" s="45" t="str">
        <f aca="false">IF(B931="","",IFERROR(INDEX(Contract!$C$10:$C$23,MATCH(B931,Contract!$B$10:$B$23,0)),"Unknown code"))</f>
        <v/>
      </c>
      <c r="D931" s="46"/>
      <c r="E931" s="39"/>
      <c r="F931" s="39"/>
      <c r="G931" s="47" t="str">
        <f aca="false">IF(AND(B931="",D931=""),"",IF(B931="","Missing code",IF(C931="Unknown code","Unknown code",IF(D931="","Missing qty",IF(A931="","Missing date","")))))</f>
        <v/>
      </c>
    </row>
    <row r="932" customFormat="false" ht="15" hidden="false" customHeight="false" outlineLevel="0" collapsed="false">
      <c r="A932" s="44"/>
      <c r="B932" s="39"/>
      <c r="C932" s="45" t="str">
        <f aca="false">IF(B932="","",IFERROR(INDEX(Contract!$C$10:$C$23,MATCH(B932,Contract!$B$10:$B$23,0)),"Unknown code"))</f>
        <v/>
      </c>
      <c r="D932" s="46"/>
      <c r="E932" s="39"/>
      <c r="F932" s="39"/>
      <c r="G932" s="47" t="str">
        <f aca="false">IF(AND(B932="",D932=""),"",IF(B932="","Missing code",IF(C932="Unknown code","Unknown code",IF(D932="","Missing qty",IF(A932="","Missing date","")))))</f>
        <v/>
      </c>
    </row>
    <row r="933" customFormat="false" ht="15" hidden="false" customHeight="false" outlineLevel="0" collapsed="false">
      <c r="A933" s="44"/>
      <c r="B933" s="39"/>
      <c r="C933" s="45" t="str">
        <f aca="false">IF(B933="","",IFERROR(INDEX(Contract!$C$10:$C$23,MATCH(B933,Contract!$B$10:$B$23,0)),"Unknown code"))</f>
        <v/>
      </c>
      <c r="D933" s="46"/>
      <c r="E933" s="39"/>
      <c r="F933" s="39"/>
      <c r="G933" s="47" t="str">
        <f aca="false">IF(AND(B933="",D933=""),"",IF(B933="","Missing code",IF(C933="Unknown code","Unknown code",IF(D933="","Missing qty",IF(A933="","Missing date","")))))</f>
        <v/>
      </c>
    </row>
    <row r="934" customFormat="false" ht="15" hidden="false" customHeight="false" outlineLevel="0" collapsed="false">
      <c r="A934" s="44"/>
      <c r="B934" s="39"/>
      <c r="C934" s="45" t="str">
        <f aca="false">IF(B934="","",IFERROR(INDEX(Contract!$C$10:$C$23,MATCH(B934,Contract!$B$10:$B$23,0)),"Unknown code"))</f>
        <v/>
      </c>
      <c r="D934" s="46"/>
      <c r="E934" s="39"/>
      <c r="F934" s="39"/>
      <c r="G934" s="47" t="str">
        <f aca="false">IF(AND(B934="",D934=""),"",IF(B934="","Missing code",IF(C934="Unknown code","Unknown code",IF(D934="","Missing qty",IF(A934="","Missing date","")))))</f>
        <v/>
      </c>
    </row>
    <row r="935" customFormat="false" ht="15" hidden="false" customHeight="false" outlineLevel="0" collapsed="false">
      <c r="A935" s="44"/>
      <c r="B935" s="39"/>
      <c r="C935" s="45" t="str">
        <f aca="false">IF(B935="","",IFERROR(INDEX(Contract!$C$10:$C$23,MATCH(B935,Contract!$B$10:$B$23,0)),"Unknown code"))</f>
        <v/>
      </c>
      <c r="D935" s="46"/>
      <c r="E935" s="39"/>
      <c r="F935" s="39"/>
      <c r="G935" s="47" t="str">
        <f aca="false">IF(AND(B935="",D935=""),"",IF(B935="","Missing code",IF(C935="Unknown code","Unknown code",IF(D935="","Missing qty",IF(A935="","Missing date","")))))</f>
        <v/>
      </c>
    </row>
    <row r="936" customFormat="false" ht="15" hidden="false" customHeight="false" outlineLevel="0" collapsed="false">
      <c r="A936" s="44"/>
      <c r="B936" s="39"/>
      <c r="C936" s="45" t="str">
        <f aca="false">IF(B936="","",IFERROR(INDEX(Contract!$C$10:$C$23,MATCH(B936,Contract!$B$10:$B$23,0)),"Unknown code"))</f>
        <v/>
      </c>
      <c r="D936" s="46"/>
      <c r="E936" s="39"/>
      <c r="F936" s="39"/>
      <c r="G936" s="47" t="str">
        <f aca="false">IF(AND(B936="",D936=""),"",IF(B936="","Missing code",IF(C936="Unknown code","Unknown code",IF(D936="","Missing qty",IF(A936="","Missing date","")))))</f>
        <v/>
      </c>
    </row>
    <row r="937" customFormat="false" ht="15" hidden="false" customHeight="false" outlineLevel="0" collapsed="false">
      <c r="A937" s="44"/>
      <c r="B937" s="39"/>
      <c r="C937" s="45" t="str">
        <f aca="false">IF(B937="","",IFERROR(INDEX(Contract!$C$10:$C$23,MATCH(B937,Contract!$B$10:$B$23,0)),"Unknown code"))</f>
        <v/>
      </c>
      <c r="D937" s="46"/>
      <c r="E937" s="39"/>
      <c r="F937" s="39"/>
      <c r="G937" s="47" t="str">
        <f aca="false">IF(AND(B937="",D937=""),"",IF(B937="","Missing code",IF(C937="Unknown code","Unknown code",IF(D937="","Missing qty",IF(A937="","Missing date","")))))</f>
        <v/>
      </c>
    </row>
    <row r="938" customFormat="false" ht="15" hidden="false" customHeight="false" outlineLevel="0" collapsed="false">
      <c r="A938" s="44"/>
      <c r="B938" s="39"/>
      <c r="C938" s="45" t="str">
        <f aca="false">IF(B938="","",IFERROR(INDEX(Contract!$C$10:$C$23,MATCH(B938,Contract!$B$10:$B$23,0)),"Unknown code"))</f>
        <v/>
      </c>
      <c r="D938" s="46"/>
      <c r="E938" s="39"/>
      <c r="F938" s="39"/>
      <c r="G938" s="47" t="str">
        <f aca="false">IF(AND(B938="",D938=""),"",IF(B938="","Missing code",IF(C938="Unknown code","Unknown code",IF(D938="","Missing qty",IF(A938="","Missing date","")))))</f>
        <v/>
      </c>
    </row>
    <row r="939" customFormat="false" ht="15" hidden="false" customHeight="false" outlineLevel="0" collapsed="false">
      <c r="A939" s="44"/>
      <c r="B939" s="39"/>
      <c r="C939" s="45" t="str">
        <f aca="false">IF(B939="","",IFERROR(INDEX(Contract!$C$10:$C$23,MATCH(B939,Contract!$B$10:$B$23,0)),"Unknown code"))</f>
        <v/>
      </c>
      <c r="D939" s="46"/>
      <c r="E939" s="39"/>
      <c r="F939" s="39"/>
      <c r="G939" s="47" t="str">
        <f aca="false">IF(AND(B939="",D939=""),"",IF(B939="","Missing code",IF(C939="Unknown code","Unknown code",IF(D939="","Missing qty",IF(A939="","Missing date","")))))</f>
        <v/>
      </c>
    </row>
    <row r="940" customFormat="false" ht="15" hidden="false" customHeight="false" outlineLevel="0" collapsed="false">
      <c r="A940" s="44"/>
      <c r="B940" s="39"/>
      <c r="C940" s="45" t="str">
        <f aca="false">IF(B940="","",IFERROR(INDEX(Contract!$C$10:$C$23,MATCH(B940,Contract!$B$10:$B$23,0)),"Unknown code"))</f>
        <v/>
      </c>
      <c r="D940" s="46"/>
      <c r="E940" s="39"/>
      <c r="F940" s="39"/>
      <c r="G940" s="47" t="str">
        <f aca="false">IF(AND(B940="",D940=""),"",IF(B940="","Missing code",IF(C940="Unknown code","Unknown code",IF(D940="","Missing qty",IF(A940="","Missing date","")))))</f>
        <v/>
      </c>
    </row>
    <row r="941" customFormat="false" ht="15" hidden="false" customHeight="false" outlineLevel="0" collapsed="false">
      <c r="A941" s="44"/>
      <c r="B941" s="39"/>
      <c r="C941" s="45" t="str">
        <f aca="false">IF(B941="","",IFERROR(INDEX(Contract!$C$10:$C$23,MATCH(B941,Contract!$B$10:$B$23,0)),"Unknown code"))</f>
        <v/>
      </c>
      <c r="D941" s="46"/>
      <c r="E941" s="39"/>
      <c r="F941" s="39"/>
      <c r="G941" s="47" t="str">
        <f aca="false">IF(AND(B941="",D941=""),"",IF(B941="","Missing code",IF(C941="Unknown code","Unknown code",IF(D941="","Missing qty",IF(A941="","Missing date","")))))</f>
        <v/>
      </c>
    </row>
    <row r="942" customFormat="false" ht="15" hidden="false" customHeight="false" outlineLevel="0" collapsed="false">
      <c r="A942" s="44"/>
      <c r="B942" s="39"/>
      <c r="C942" s="45" t="str">
        <f aca="false">IF(B942="","",IFERROR(INDEX(Contract!$C$10:$C$23,MATCH(B942,Contract!$B$10:$B$23,0)),"Unknown code"))</f>
        <v/>
      </c>
      <c r="D942" s="46"/>
      <c r="E942" s="39"/>
      <c r="F942" s="39"/>
      <c r="G942" s="47" t="str">
        <f aca="false">IF(AND(B942="",D942=""),"",IF(B942="","Missing code",IF(C942="Unknown code","Unknown code",IF(D942="","Missing qty",IF(A942="","Missing date","")))))</f>
        <v/>
      </c>
    </row>
    <row r="943" customFormat="false" ht="15" hidden="false" customHeight="false" outlineLevel="0" collapsed="false">
      <c r="A943" s="44"/>
      <c r="B943" s="39"/>
      <c r="C943" s="45" t="str">
        <f aca="false">IF(B943="","",IFERROR(INDEX(Contract!$C$10:$C$23,MATCH(B943,Contract!$B$10:$B$23,0)),"Unknown code"))</f>
        <v/>
      </c>
      <c r="D943" s="46"/>
      <c r="E943" s="39"/>
      <c r="F943" s="39"/>
      <c r="G943" s="47" t="str">
        <f aca="false">IF(AND(B943="",D943=""),"",IF(B943="","Missing code",IF(C943="Unknown code","Unknown code",IF(D943="","Missing qty",IF(A943="","Missing date","")))))</f>
        <v/>
      </c>
    </row>
    <row r="944" customFormat="false" ht="15" hidden="false" customHeight="false" outlineLevel="0" collapsed="false">
      <c r="A944" s="44"/>
      <c r="B944" s="39"/>
      <c r="C944" s="45" t="str">
        <f aca="false">IF(B944="","",IFERROR(INDEX(Contract!$C$10:$C$23,MATCH(B944,Contract!$B$10:$B$23,0)),"Unknown code"))</f>
        <v/>
      </c>
      <c r="D944" s="46"/>
      <c r="E944" s="39"/>
      <c r="F944" s="39"/>
      <c r="G944" s="47" t="str">
        <f aca="false">IF(AND(B944="",D944=""),"",IF(B944="","Missing code",IF(C944="Unknown code","Unknown code",IF(D944="","Missing qty",IF(A944="","Missing date","")))))</f>
        <v/>
      </c>
    </row>
    <row r="945" customFormat="false" ht="15" hidden="false" customHeight="false" outlineLevel="0" collapsed="false">
      <c r="A945" s="44"/>
      <c r="B945" s="39"/>
      <c r="C945" s="45" t="str">
        <f aca="false">IF(B945="","",IFERROR(INDEX(Contract!$C$10:$C$23,MATCH(B945,Contract!$B$10:$B$23,0)),"Unknown code"))</f>
        <v/>
      </c>
      <c r="D945" s="46"/>
      <c r="E945" s="39"/>
      <c r="F945" s="39"/>
      <c r="G945" s="47" t="str">
        <f aca="false">IF(AND(B945="",D945=""),"",IF(B945="","Missing code",IF(C945="Unknown code","Unknown code",IF(D945="","Missing qty",IF(A945="","Missing date","")))))</f>
        <v/>
      </c>
    </row>
    <row r="946" customFormat="false" ht="15" hidden="false" customHeight="false" outlineLevel="0" collapsed="false">
      <c r="A946" s="44"/>
      <c r="B946" s="39"/>
      <c r="C946" s="45" t="str">
        <f aca="false">IF(B946="","",IFERROR(INDEX(Contract!$C$10:$C$23,MATCH(B946,Contract!$B$10:$B$23,0)),"Unknown code"))</f>
        <v/>
      </c>
      <c r="D946" s="46"/>
      <c r="E946" s="39"/>
      <c r="F946" s="39"/>
      <c r="G946" s="47" t="str">
        <f aca="false">IF(AND(B946="",D946=""),"",IF(B946="","Missing code",IF(C946="Unknown code","Unknown code",IF(D946="","Missing qty",IF(A946="","Missing date","")))))</f>
        <v/>
      </c>
    </row>
    <row r="947" customFormat="false" ht="15" hidden="false" customHeight="false" outlineLevel="0" collapsed="false">
      <c r="A947" s="44"/>
      <c r="B947" s="39"/>
      <c r="C947" s="45" t="str">
        <f aca="false">IF(B947="","",IFERROR(INDEX(Contract!$C$10:$C$23,MATCH(B947,Contract!$B$10:$B$23,0)),"Unknown code"))</f>
        <v/>
      </c>
      <c r="D947" s="46"/>
      <c r="E947" s="39"/>
      <c r="F947" s="39"/>
      <c r="G947" s="47" t="str">
        <f aca="false">IF(AND(B947="",D947=""),"",IF(B947="","Missing code",IF(C947="Unknown code","Unknown code",IF(D947="","Missing qty",IF(A947="","Missing date","")))))</f>
        <v/>
      </c>
    </row>
    <row r="948" customFormat="false" ht="15" hidden="false" customHeight="false" outlineLevel="0" collapsed="false">
      <c r="A948" s="44"/>
      <c r="B948" s="39"/>
      <c r="C948" s="45" t="str">
        <f aca="false">IF(B948="","",IFERROR(INDEX(Contract!$C$10:$C$23,MATCH(B948,Contract!$B$10:$B$23,0)),"Unknown code"))</f>
        <v/>
      </c>
      <c r="D948" s="46"/>
      <c r="E948" s="39"/>
      <c r="F948" s="39"/>
      <c r="G948" s="47" t="str">
        <f aca="false">IF(AND(B948="",D948=""),"",IF(B948="","Missing code",IF(C948="Unknown code","Unknown code",IF(D948="","Missing qty",IF(A948="","Missing date","")))))</f>
        <v/>
      </c>
    </row>
    <row r="949" customFormat="false" ht="15" hidden="false" customHeight="false" outlineLevel="0" collapsed="false">
      <c r="A949" s="44"/>
      <c r="B949" s="39"/>
      <c r="C949" s="45" t="str">
        <f aca="false">IF(B949="","",IFERROR(INDEX(Contract!$C$10:$C$23,MATCH(B949,Contract!$B$10:$B$23,0)),"Unknown code"))</f>
        <v/>
      </c>
      <c r="D949" s="46"/>
      <c r="E949" s="39"/>
      <c r="F949" s="39"/>
      <c r="G949" s="47" t="str">
        <f aca="false">IF(AND(B949="",D949=""),"",IF(B949="","Missing code",IF(C949="Unknown code","Unknown code",IF(D949="","Missing qty",IF(A949="","Missing date","")))))</f>
        <v/>
      </c>
    </row>
    <row r="950" customFormat="false" ht="15" hidden="false" customHeight="false" outlineLevel="0" collapsed="false">
      <c r="A950" s="44"/>
      <c r="B950" s="39"/>
      <c r="C950" s="45" t="str">
        <f aca="false">IF(B950="","",IFERROR(INDEX(Contract!$C$10:$C$23,MATCH(B950,Contract!$B$10:$B$23,0)),"Unknown code"))</f>
        <v/>
      </c>
      <c r="D950" s="46"/>
      <c r="E950" s="39"/>
      <c r="F950" s="39"/>
      <c r="G950" s="47" t="str">
        <f aca="false">IF(AND(B950="",D950=""),"",IF(B950="","Missing code",IF(C950="Unknown code","Unknown code",IF(D950="","Missing qty",IF(A950="","Missing date","")))))</f>
        <v/>
      </c>
    </row>
    <row r="951" customFormat="false" ht="15" hidden="false" customHeight="false" outlineLevel="0" collapsed="false">
      <c r="A951" s="44"/>
      <c r="B951" s="39"/>
      <c r="C951" s="45" t="str">
        <f aca="false">IF(B951="","",IFERROR(INDEX(Contract!$C$10:$C$23,MATCH(B951,Contract!$B$10:$B$23,0)),"Unknown code"))</f>
        <v/>
      </c>
      <c r="D951" s="46"/>
      <c r="E951" s="39"/>
      <c r="F951" s="39"/>
      <c r="G951" s="47" t="str">
        <f aca="false">IF(AND(B951="",D951=""),"",IF(B951="","Missing code",IF(C951="Unknown code","Unknown code",IF(D951="","Missing qty",IF(A951="","Missing date","")))))</f>
        <v/>
      </c>
    </row>
    <row r="952" customFormat="false" ht="15" hidden="false" customHeight="false" outlineLevel="0" collapsed="false">
      <c r="A952" s="44"/>
      <c r="B952" s="39"/>
      <c r="C952" s="45" t="str">
        <f aca="false">IF(B952="","",IFERROR(INDEX(Contract!$C$10:$C$23,MATCH(B952,Contract!$B$10:$B$23,0)),"Unknown code"))</f>
        <v/>
      </c>
      <c r="D952" s="46"/>
      <c r="E952" s="39"/>
      <c r="F952" s="39"/>
      <c r="G952" s="47" t="str">
        <f aca="false">IF(AND(B952="",D952=""),"",IF(B952="","Missing code",IF(C952="Unknown code","Unknown code",IF(D952="","Missing qty",IF(A952="","Missing date","")))))</f>
        <v/>
      </c>
    </row>
    <row r="953" customFormat="false" ht="15" hidden="false" customHeight="false" outlineLevel="0" collapsed="false">
      <c r="A953" s="44"/>
      <c r="B953" s="39"/>
      <c r="C953" s="45" t="str">
        <f aca="false">IF(B953="","",IFERROR(INDEX(Contract!$C$10:$C$23,MATCH(B953,Contract!$B$10:$B$23,0)),"Unknown code"))</f>
        <v/>
      </c>
      <c r="D953" s="46"/>
      <c r="E953" s="39"/>
      <c r="F953" s="39"/>
      <c r="G953" s="47" t="str">
        <f aca="false">IF(AND(B953="",D953=""),"",IF(B953="","Missing code",IF(C953="Unknown code","Unknown code",IF(D953="","Missing qty",IF(A953="","Missing date","")))))</f>
        <v/>
      </c>
    </row>
    <row r="954" customFormat="false" ht="15" hidden="false" customHeight="false" outlineLevel="0" collapsed="false">
      <c r="A954" s="44"/>
      <c r="B954" s="39"/>
      <c r="C954" s="45" t="str">
        <f aca="false">IF(B954="","",IFERROR(INDEX(Contract!$C$10:$C$23,MATCH(B954,Contract!$B$10:$B$23,0)),"Unknown code"))</f>
        <v/>
      </c>
      <c r="D954" s="46"/>
      <c r="E954" s="39"/>
      <c r="F954" s="39"/>
      <c r="G954" s="47" t="str">
        <f aca="false">IF(AND(B954="",D954=""),"",IF(B954="","Missing code",IF(C954="Unknown code","Unknown code",IF(D954="","Missing qty",IF(A954="","Missing date","")))))</f>
        <v/>
      </c>
    </row>
    <row r="955" customFormat="false" ht="15" hidden="false" customHeight="false" outlineLevel="0" collapsed="false">
      <c r="A955" s="44"/>
      <c r="B955" s="39"/>
      <c r="C955" s="45" t="str">
        <f aca="false">IF(B955="","",IFERROR(INDEX(Contract!$C$10:$C$23,MATCH(B955,Contract!$B$10:$B$23,0)),"Unknown code"))</f>
        <v/>
      </c>
      <c r="D955" s="46"/>
      <c r="E955" s="39"/>
      <c r="F955" s="39"/>
      <c r="G955" s="47" t="str">
        <f aca="false">IF(AND(B955="",D955=""),"",IF(B955="","Missing code",IF(C955="Unknown code","Unknown code",IF(D955="","Missing qty",IF(A955="","Missing date","")))))</f>
        <v/>
      </c>
    </row>
    <row r="956" customFormat="false" ht="15" hidden="false" customHeight="false" outlineLevel="0" collapsed="false">
      <c r="A956" s="44"/>
      <c r="B956" s="39"/>
      <c r="C956" s="45" t="str">
        <f aca="false">IF(B956="","",IFERROR(INDEX(Contract!$C$10:$C$23,MATCH(B956,Contract!$B$10:$B$23,0)),"Unknown code"))</f>
        <v/>
      </c>
      <c r="D956" s="46"/>
      <c r="E956" s="39"/>
      <c r="F956" s="39"/>
      <c r="G956" s="47" t="str">
        <f aca="false">IF(AND(B956="",D956=""),"",IF(B956="","Missing code",IF(C956="Unknown code","Unknown code",IF(D956="","Missing qty",IF(A956="","Missing date","")))))</f>
        <v/>
      </c>
    </row>
    <row r="957" customFormat="false" ht="15" hidden="false" customHeight="false" outlineLevel="0" collapsed="false">
      <c r="A957" s="44"/>
      <c r="B957" s="39"/>
      <c r="C957" s="45" t="str">
        <f aca="false">IF(B957="","",IFERROR(INDEX(Contract!$C$10:$C$23,MATCH(B957,Contract!$B$10:$B$23,0)),"Unknown code"))</f>
        <v/>
      </c>
      <c r="D957" s="46"/>
      <c r="E957" s="39"/>
      <c r="F957" s="39"/>
      <c r="G957" s="47" t="str">
        <f aca="false">IF(AND(B957="",D957=""),"",IF(B957="","Missing code",IF(C957="Unknown code","Unknown code",IF(D957="","Missing qty",IF(A957="","Missing date","")))))</f>
        <v/>
      </c>
    </row>
    <row r="958" customFormat="false" ht="15" hidden="false" customHeight="false" outlineLevel="0" collapsed="false">
      <c r="A958" s="44"/>
      <c r="B958" s="39"/>
      <c r="C958" s="45" t="str">
        <f aca="false">IF(B958="","",IFERROR(INDEX(Contract!$C$10:$C$23,MATCH(B958,Contract!$B$10:$B$23,0)),"Unknown code"))</f>
        <v/>
      </c>
      <c r="D958" s="46"/>
      <c r="E958" s="39"/>
      <c r="F958" s="39"/>
      <c r="G958" s="47" t="str">
        <f aca="false">IF(AND(B958="",D958=""),"",IF(B958="","Missing code",IF(C958="Unknown code","Unknown code",IF(D958="","Missing qty",IF(A958="","Missing date","")))))</f>
        <v/>
      </c>
    </row>
    <row r="959" customFormat="false" ht="15" hidden="false" customHeight="false" outlineLevel="0" collapsed="false">
      <c r="A959" s="44"/>
      <c r="B959" s="39"/>
      <c r="C959" s="45" t="str">
        <f aca="false">IF(B959="","",IFERROR(INDEX(Contract!$C$10:$C$23,MATCH(B959,Contract!$B$10:$B$23,0)),"Unknown code"))</f>
        <v/>
      </c>
      <c r="D959" s="46"/>
      <c r="E959" s="39"/>
      <c r="F959" s="39"/>
      <c r="G959" s="47" t="str">
        <f aca="false">IF(AND(B959="",D959=""),"",IF(B959="","Missing code",IF(C959="Unknown code","Unknown code",IF(D959="","Missing qty",IF(A959="","Missing date","")))))</f>
        <v/>
      </c>
    </row>
    <row r="960" customFormat="false" ht="15" hidden="false" customHeight="false" outlineLevel="0" collapsed="false">
      <c r="A960" s="44"/>
      <c r="B960" s="39"/>
      <c r="C960" s="45" t="str">
        <f aca="false">IF(B960="","",IFERROR(INDEX(Contract!$C$10:$C$23,MATCH(B960,Contract!$B$10:$B$23,0)),"Unknown code"))</f>
        <v/>
      </c>
      <c r="D960" s="46"/>
      <c r="E960" s="39"/>
      <c r="F960" s="39"/>
      <c r="G960" s="47" t="str">
        <f aca="false">IF(AND(B960="",D960=""),"",IF(B960="","Missing code",IF(C960="Unknown code","Unknown code",IF(D960="","Missing qty",IF(A960="","Missing date","")))))</f>
        <v/>
      </c>
    </row>
    <row r="961" customFormat="false" ht="15" hidden="false" customHeight="false" outlineLevel="0" collapsed="false">
      <c r="A961" s="44"/>
      <c r="B961" s="39"/>
      <c r="C961" s="45" t="str">
        <f aca="false">IF(B961="","",IFERROR(INDEX(Contract!$C$10:$C$23,MATCH(B961,Contract!$B$10:$B$23,0)),"Unknown code"))</f>
        <v/>
      </c>
      <c r="D961" s="46"/>
      <c r="E961" s="39"/>
      <c r="F961" s="39"/>
      <c r="G961" s="47" t="str">
        <f aca="false">IF(AND(B961="",D961=""),"",IF(B961="","Missing code",IF(C961="Unknown code","Unknown code",IF(D961="","Missing qty",IF(A961="","Missing date","")))))</f>
        <v/>
      </c>
    </row>
    <row r="962" customFormat="false" ht="15" hidden="false" customHeight="false" outlineLevel="0" collapsed="false">
      <c r="A962" s="44"/>
      <c r="B962" s="39"/>
      <c r="C962" s="45" t="str">
        <f aca="false">IF(B962="","",IFERROR(INDEX(Contract!$C$10:$C$23,MATCH(B962,Contract!$B$10:$B$23,0)),"Unknown code"))</f>
        <v/>
      </c>
      <c r="D962" s="46"/>
      <c r="E962" s="39"/>
      <c r="F962" s="39"/>
      <c r="G962" s="47" t="str">
        <f aca="false">IF(AND(B962="",D962=""),"",IF(B962="","Missing code",IF(C962="Unknown code","Unknown code",IF(D962="","Missing qty",IF(A962="","Missing date","")))))</f>
        <v/>
      </c>
    </row>
    <row r="963" customFormat="false" ht="15" hidden="false" customHeight="false" outlineLevel="0" collapsed="false">
      <c r="A963" s="44"/>
      <c r="B963" s="39"/>
      <c r="C963" s="45" t="str">
        <f aca="false">IF(B963="","",IFERROR(INDEX(Contract!$C$10:$C$23,MATCH(B963,Contract!$B$10:$B$23,0)),"Unknown code"))</f>
        <v/>
      </c>
      <c r="D963" s="46"/>
      <c r="E963" s="39"/>
      <c r="F963" s="39"/>
      <c r="G963" s="47" t="str">
        <f aca="false">IF(AND(B963="",D963=""),"",IF(B963="","Missing code",IF(C963="Unknown code","Unknown code",IF(D963="","Missing qty",IF(A963="","Missing date","")))))</f>
        <v/>
      </c>
    </row>
    <row r="964" customFormat="false" ht="15" hidden="false" customHeight="false" outlineLevel="0" collapsed="false">
      <c r="A964" s="44"/>
      <c r="B964" s="39"/>
      <c r="C964" s="45" t="str">
        <f aca="false">IF(B964="","",IFERROR(INDEX(Contract!$C$10:$C$23,MATCH(B964,Contract!$B$10:$B$23,0)),"Unknown code"))</f>
        <v/>
      </c>
      <c r="D964" s="46"/>
      <c r="E964" s="39"/>
      <c r="F964" s="39"/>
      <c r="G964" s="47" t="str">
        <f aca="false">IF(AND(B964="",D964=""),"",IF(B964="","Missing code",IF(C964="Unknown code","Unknown code",IF(D964="","Missing qty",IF(A964="","Missing date","")))))</f>
        <v/>
      </c>
    </row>
    <row r="965" customFormat="false" ht="15" hidden="false" customHeight="false" outlineLevel="0" collapsed="false">
      <c r="A965" s="44"/>
      <c r="B965" s="39"/>
      <c r="C965" s="45" t="str">
        <f aca="false">IF(B965="","",IFERROR(INDEX(Contract!$C$10:$C$23,MATCH(B965,Contract!$B$10:$B$23,0)),"Unknown code"))</f>
        <v/>
      </c>
      <c r="D965" s="46"/>
      <c r="E965" s="39"/>
      <c r="F965" s="39"/>
      <c r="G965" s="47" t="str">
        <f aca="false">IF(AND(B965="",D965=""),"",IF(B965="","Missing code",IF(C965="Unknown code","Unknown code",IF(D965="","Missing qty",IF(A965="","Missing date","")))))</f>
        <v/>
      </c>
    </row>
    <row r="966" customFormat="false" ht="15" hidden="false" customHeight="false" outlineLevel="0" collapsed="false">
      <c r="A966" s="44"/>
      <c r="B966" s="39"/>
      <c r="C966" s="45" t="str">
        <f aca="false">IF(B966="","",IFERROR(INDEX(Contract!$C$10:$C$23,MATCH(B966,Contract!$B$10:$B$23,0)),"Unknown code"))</f>
        <v/>
      </c>
      <c r="D966" s="46"/>
      <c r="E966" s="39"/>
      <c r="F966" s="39"/>
      <c r="G966" s="47" t="str">
        <f aca="false">IF(AND(B966="",D966=""),"",IF(B966="","Missing code",IF(C966="Unknown code","Unknown code",IF(D966="","Missing qty",IF(A966="","Missing date","")))))</f>
        <v/>
      </c>
    </row>
    <row r="967" customFormat="false" ht="15" hidden="false" customHeight="false" outlineLevel="0" collapsed="false">
      <c r="A967" s="44"/>
      <c r="B967" s="39"/>
      <c r="C967" s="45" t="str">
        <f aca="false">IF(B967="","",IFERROR(INDEX(Contract!$C$10:$C$23,MATCH(B967,Contract!$B$10:$B$23,0)),"Unknown code"))</f>
        <v/>
      </c>
      <c r="D967" s="46"/>
      <c r="E967" s="39"/>
      <c r="F967" s="39"/>
      <c r="G967" s="47" t="str">
        <f aca="false">IF(AND(B967="",D967=""),"",IF(B967="","Missing code",IF(C967="Unknown code","Unknown code",IF(D967="","Missing qty",IF(A967="","Missing date","")))))</f>
        <v/>
      </c>
    </row>
    <row r="968" customFormat="false" ht="15" hidden="false" customHeight="false" outlineLevel="0" collapsed="false">
      <c r="A968" s="44"/>
      <c r="B968" s="39"/>
      <c r="C968" s="45" t="str">
        <f aca="false">IF(B968="","",IFERROR(INDEX(Contract!$C$10:$C$23,MATCH(B968,Contract!$B$10:$B$23,0)),"Unknown code"))</f>
        <v/>
      </c>
      <c r="D968" s="46"/>
      <c r="E968" s="39"/>
      <c r="F968" s="39"/>
      <c r="G968" s="47" t="str">
        <f aca="false">IF(AND(B968="",D968=""),"",IF(B968="","Missing code",IF(C968="Unknown code","Unknown code",IF(D968="","Missing qty",IF(A968="","Missing date","")))))</f>
        <v/>
      </c>
    </row>
    <row r="969" customFormat="false" ht="15" hidden="false" customHeight="false" outlineLevel="0" collapsed="false">
      <c r="A969" s="44"/>
      <c r="B969" s="39"/>
      <c r="C969" s="45" t="str">
        <f aca="false">IF(B969="","",IFERROR(INDEX(Contract!$C$10:$C$23,MATCH(B969,Contract!$B$10:$B$23,0)),"Unknown code"))</f>
        <v/>
      </c>
      <c r="D969" s="46"/>
      <c r="E969" s="39"/>
      <c r="F969" s="39"/>
      <c r="G969" s="47" t="str">
        <f aca="false">IF(AND(B969="",D969=""),"",IF(B969="","Missing code",IF(C969="Unknown code","Unknown code",IF(D969="","Missing qty",IF(A969="","Missing date","")))))</f>
        <v/>
      </c>
    </row>
    <row r="970" customFormat="false" ht="15" hidden="false" customHeight="false" outlineLevel="0" collapsed="false">
      <c r="A970" s="44"/>
      <c r="B970" s="39"/>
      <c r="C970" s="45" t="str">
        <f aca="false">IF(B970="","",IFERROR(INDEX(Contract!$C$10:$C$23,MATCH(B970,Contract!$B$10:$B$23,0)),"Unknown code"))</f>
        <v/>
      </c>
      <c r="D970" s="46"/>
      <c r="E970" s="39"/>
      <c r="F970" s="39"/>
      <c r="G970" s="47" t="str">
        <f aca="false">IF(AND(B970="",D970=""),"",IF(B970="","Missing code",IF(C970="Unknown code","Unknown code",IF(D970="","Missing qty",IF(A970="","Missing date","")))))</f>
        <v/>
      </c>
    </row>
    <row r="971" customFormat="false" ht="15" hidden="false" customHeight="false" outlineLevel="0" collapsed="false">
      <c r="A971" s="44"/>
      <c r="B971" s="39"/>
      <c r="C971" s="45" t="str">
        <f aca="false">IF(B971="","",IFERROR(INDEX(Contract!$C$10:$C$23,MATCH(B971,Contract!$B$10:$B$23,0)),"Unknown code"))</f>
        <v/>
      </c>
      <c r="D971" s="46"/>
      <c r="E971" s="39"/>
      <c r="F971" s="39"/>
      <c r="G971" s="47" t="str">
        <f aca="false">IF(AND(B971="",D971=""),"",IF(B971="","Missing code",IF(C971="Unknown code","Unknown code",IF(D971="","Missing qty",IF(A971="","Missing date","")))))</f>
        <v/>
      </c>
    </row>
    <row r="972" customFormat="false" ht="15" hidden="false" customHeight="false" outlineLevel="0" collapsed="false">
      <c r="A972" s="44"/>
      <c r="B972" s="39"/>
      <c r="C972" s="45" t="str">
        <f aca="false">IF(B972="","",IFERROR(INDEX(Contract!$C$10:$C$23,MATCH(B972,Contract!$B$10:$B$23,0)),"Unknown code"))</f>
        <v/>
      </c>
      <c r="D972" s="46"/>
      <c r="E972" s="39"/>
      <c r="F972" s="39"/>
      <c r="G972" s="47" t="str">
        <f aca="false">IF(AND(B972="",D972=""),"",IF(B972="","Missing code",IF(C972="Unknown code","Unknown code",IF(D972="","Missing qty",IF(A972="","Missing date","")))))</f>
        <v/>
      </c>
    </row>
    <row r="973" customFormat="false" ht="15" hidden="false" customHeight="false" outlineLevel="0" collapsed="false">
      <c r="A973" s="44"/>
      <c r="B973" s="39"/>
      <c r="C973" s="45" t="str">
        <f aca="false">IF(B973="","",IFERROR(INDEX(Contract!$C$10:$C$23,MATCH(B973,Contract!$B$10:$B$23,0)),"Unknown code"))</f>
        <v/>
      </c>
      <c r="D973" s="46"/>
      <c r="E973" s="39"/>
      <c r="F973" s="39"/>
      <c r="G973" s="47" t="str">
        <f aca="false">IF(AND(B973="",D973=""),"",IF(B973="","Missing code",IF(C973="Unknown code","Unknown code",IF(D973="","Missing qty",IF(A973="","Missing date","")))))</f>
        <v/>
      </c>
    </row>
    <row r="974" customFormat="false" ht="15" hidden="false" customHeight="false" outlineLevel="0" collapsed="false">
      <c r="A974" s="44"/>
      <c r="B974" s="39"/>
      <c r="C974" s="45" t="str">
        <f aca="false">IF(B974="","",IFERROR(INDEX(Contract!$C$10:$C$23,MATCH(B974,Contract!$B$10:$B$23,0)),"Unknown code"))</f>
        <v/>
      </c>
      <c r="D974" s="46"/>
      <c r="E974" s="39"/>
      <c r="F974" s="39"/>
      <c r="G974" s="47" t="str">
        <f aca="false">IF(AND(B974="",D974=""),"",IF(B974="","Missing code",IF(C974="Unknown code","Unknown code",IF(D974="","Missing qty",IF(A974="","Missing date","")))))</f>
        <v/>
      </c>
    </row>
    <row r="975" customFormat="false" ht="15" hidden="false" customHeight="false" outlineLevel="0" collapsed="false">
      <c r="A975" s="44"/>
      <c r="B975" s="39"/>
      <c r="C975" s="45" t="str">
        <f aca="false">IF(B975="","",IFERROR(INDEX(Contract!$C$10:$C$23,MATCH(B975,Contract!$B$10:$B$23,0)),"Unknown code"))</f>
        <v/>
      </c>
      <c r="D975" s="46"/>
      <c r="E975" s="39"/>
      <c r="F975" s="39"/>
      <c r="G975" s="47" t="str">
        <f aca="false">IF(AND(B975="",D975=""),"",IF(B975="","Missing code",IF(C975="Unknown code","Unknown code",IF(D975="","Missing qty",IF(A975="","Missing date","")))))</f>
        <v/>
      </c>
    </row>
    <row r="976" customFormat="false" ht="15" hidden="false" customHeight="false" outlineLevel="0" collapsed="false">
      <c r="A976" s="44"/>
      <c r="B976" s="39"/>
      <c r="C976" s="45" t="str">
        <f aca="false">IF(B976="","",IFERROR(INDEX(Contract!$C$10:$C$23,MATCH(B976,Contract!$B$10:$B$23,0)),"Unknown code"))</f>
        <v/>
      </c>
      <c r="D976" s="46"/>
      <c r="E976" s="39"/>
      <c r="F976" s="39"/>
      <c r="G976" s="47" t="str">
        <f aca="false">IF(AND(B976="",D976=""),"",IF(B976="","Missing code",IF(C976="Unknown code","Unknown code",IF(D976="","Missing qty",IF(A976="","Missing date","")))))</f>
        <v/>
      </c>
    </row>
    <row r="977" customFormat="false" ht="15" hidden="false" customHeight="false" outlineLevel="0" collapsed="false">
      <c r="A977" s="44"/>
      <c r="B977" s="39"/>
      <c r="C977" s="45" t="str">
        <f aca="false">IF(B977="","",IFERROR(INDEX(Contract!$C$10:$C$23,MATCH(B977,Contract!$B$10:$B$23,0)),"Unknown code"))</f>
        <v/>
      </c>
      <c r="D977" s="46"/>
      <c r="E977" s="39"/>
      <c r="F977" s="39"/>
      <c r="G977" s="47" t="str">
        <f aca="false">IF(AND(B977="",D977=""),"",IF(B977="","Missing code",IF(C977="Unknown code","Unknown code",IF(D977="","Missing qty",IF(A977="","Missing date","")))))</f>
        <v/>
      </c>
    </row>
    <row r="978" customFormat="false" ht="15" hidden="false" customHeight="false" outlineLevel="0" collapsed="false">
      <c r="A978" s="44"/>
      <c r="B978" s="39"/>
      <c r="C978" s="45" t="str">
        <f aca="false">IF(B978="","",IFERROR(INDEX(Contract!$C$10:$C$23,MATCH(B978,Contract!$B$10:$B$23,0)),"Unknown code"))</f>
        <v/>
      </c>
      <c r="D978" s="46"/>
      <c r="E978" s="39"/>
      <c r="F978" s="39"/>
      <c r="G978" s="47" t="str">
        <f aca="false">IF(AND(B978="",D978=""),"",IF(B978="","Missing code",IF(C978="Unknown code","Unknown code",IF(D978="","Missing qty",IF(A978="","Missing date","")))))</f>
        <v/>
      </c>
    </row>
    <row r="979" customFormat="false" ht="15" hidden="false" customHeight="false" outlineLevel="0" collapsed="false">
      <c r="A979" s="44"/>
      <c r="B979" s="39"/>
      <c r="C979" s="45" t="str">
        <f aca="false">IF(B979="","",IFERROR(INDEX(Contract!$C$10:$C$23,MATCH(B979,Contract!$B$10:$B$23,0)),"Unknown code"))</f>
        <v/>
      </c>
      <c r="D979" s="46"/>
      <c r="E979" s="39"/>
      <c r="F979" s="39"/>
      <c r="G979" s="47" t="str">
        <f aca="false">IF(AND(B979="",D979=""),"",IF(B979="","Missing code",IF(C979="Unknown code","Unknown code",IF(D979="","Missing qty",IF(A979="","Missing date","")))))</f>
        <v/>
      </c>
    </row>
    <row r="980" customFormat="false" ht="15" hidden="false" customHeight="false" outlineLevel="0" collapsed="false">
      <c r="A980" s="44"/>
      <c r="B980" s="39"/>
      <c r="C980" s="45" t="str">
        <f aca="false">IF(B980="","",IFERROR(INDEX(Contract!$C$10:$C$23,MATCH(B980,Contract!$B$10:$B$23,0)),"Unknown code"))</f>
        <v/>
      </c>
      <c r="D980" s="46"/>
      <c r="E980" s="39"/>
      <c r="F980" s="39"/>
      <c r="G980" s="47" t="str">
        <f aca="false">IF(AND(B980="",D980=""),"",IF(B980="","Missing code",IF(C980="Unknown code","Unknown code",IF(D980="","Missing qty",IF(A980="","Missing date","")))))</f>
        <v/>
      </c>
    </row>
    <row r="981" customFormat="false" ht="15" hidden="false" customHeight="false" outlineLevel="0" collapsed="false">
      <c r="A981" s="44"/>
      <c r="B981" s="39"/>
      <c r="C981" s="45" t="str">
        <f aca="false">IF(B981="","",IFERROR(INDEX(Contract!$C$10:$C$23,MATCH(B981,Contract!$B$10:$B$23,0)),"Unknown code"))</f>
        <v/>
      </c>
      <c r="D981" s="46"/>
      <c r="E981" s="39"/>
      <c r="F981" s="39"/>
      <c r="G981" s="47" t="str">
        <f aca="false">IF(AND(B981="",D981=""),"",IF(B981="","Missing code",IF(C981="Unknown code","Unknown code",IF(D981="","Missing qty",IF(A981="","Missing date","")))))</f>
        <v/>
      </c>
    </row>
    <row r="982" customFormat="false" ht="15" hidden="false" customHeight="false" outlineLevel="0" collapsed="false">
      <c r="A982" s="44"/>
      <c r="B982" s="39"/>
      <c r="C982" s="45" t="str">
        <f aca="false">IF(B982="","",IFERROR(INDEX(Contract!$C$10:$C$23,MATCH(B982,Contract!$B$10:$B$23,0)),"Unknown code"))</f>
        <v/>
      </c>
      <c r="D982" s="46"/>
      <c r="E982" s="39"/>
      <c r="F982" s="39"/>
      <c r="G982" s="47" t="str">
        <f aca="false">IF(AND(B982="",D982=""),"",IF(B982="","Missing code",IF(C982="Unknown code","Unknown code",IF(D982="","Missing qty",IF(A982="","Missing date","")))))</f>
        <v/>
      </c>
    </row>
    <row r="983" customFormat="false" ht="15" hidden="false" customHeight="false" outlineLevel="0" collapsed="false">
      <c r="A983" s="44"/>
      <c r="B983" s="39"/>
      <c r="C983" s="45" t="str">
        <f aca="false">IF(B983="","",IFERROR(INDEX(Contract!$C$10:$C$23,MATCH(B983,Contract!$B$10:$B$23,0)),"Unknown code"))</f>
        <v/>
      </c>
      <c r="D983" s="46"/>
      <c r="E983" s="39"/>
      <c r="F983" s="39"/>
      <c r="G983" s="47" t="str">
        <f aca="false">IF(AND(B983="",D983=""),"",IF(B983="","Missing code",IF(C983="Unknown code","Unknown code",IF(D983="","Missing qty",IF(A983="","Missing date","")))))</f>
        <v/>
      </c>
    </row>
    <row r="984" customFormat="false" ht="15" hidden="false" customHeight="false" outlineLevel="0" collapsed="false">
      <c r="A984" s="44"/>
      <c r="B984" s="39"/>
      <c r="C984" s="45" t="str">
        <f aca="false">IF(B984="","",IFERROR(INDEX(Contract!$C$10:$C$23,MATCH(B984,Contract!$B$10:$B$23,0)),"Unknown code"))</f>
        <v/>
      </c>
      <c r="D984" s="46"/>
      <c r="E984" s="39"/>
      <c r="F984" s="39"/>
      <c r="G984" s="47" t="str">
        <f aca="false">IF(AND(B984="",D984=""),"",IF(B984="","Missing code",IF(C984="Unknown code","Unknown code",IF(D984="","Missing qty",IF(A984="","Missing date","")))))</f>
        <v/>
      </c>
    </row>
    <row r="985" customFormat="false" ht="15" hidden="false" customHeight="false" outlineLevel="0" collapsed="false">
      <c r="A985" s="44"/>
      <c r="B985" s="39"/>
      <c r="C985" s="45" t="str">
        <f aca="false">IF(B985="","",IFERROR(INDEX(Contract!$C$10:$C$23,MATCH(B985,Contract!$B$10:$B$23,0)),"Unknown code"))</f>
        <v/>
      </c>
      <c r="D985" s="46"/>
      <c r="E985" s="39"/>
      <c r="F985" s="39"/>
      <c r="G985" s="47" t="str">
        <f aca="false">IF(AND(B985="",D985=""),"",IF(B985="","Missing code",IF(C985="Unknown code","Unknown code",IF(D985="","Missing qty",IF(A985="","Missing date","")))))</f>
        <v/>
      </c>
    </row>
    <row r="986" customFormat="false" ht="15" hidden="false" customHeight="false" outlineLevel="0" collapsed="false">
      <c r="A986" s="44"/>
      <c r="B986" s="39"/>
      <c r="C986" s="45" t="str">
        <f aca="false">IF(B986="","",IFERROR(INDEX(Contract!$C$10:$C$23,MATCH(B986,Contract!$B$10:$B$23,0)),"Unknown code"))</f>
        <v/>
      </c>
      <c r="D986" s="46"/>
      <c r="E986" s="39"/>
      <c r="F986" s="39"/>
      <c r="G986" s="47" t="str">
        <f aca="false">IF(AND(B986="",D986=""),"",IF(B986="","Missing code",IF(C986="Unknown code","Unknown code",IF(D986="","Missing qty",IF(A986="","Missing date","")))))</f>
        <v/>
      </c>
    </row>
    <row r="987" customFormat="false" ht="15" hidden="false" customHeight="false" outlineLevel="0" collapsed="false">
      <c r="A987" s="44"/>
      <c r="B987" s="39"/>
      <c r="C987" s="45" t="str">
        <f aca="false">IF(B987="","",IFERROR(INDEX(Contract!$C$10:$C$23,MATCH(B987,Contract!$B$10:$B$23,0)),"Unknown code"))</f>
        <v/>
      </c>
      <c r="D987" s="46"/>
      <c r="E987" s="39"/>
      <c r="F987" s="39"/>
      <c r="G987" s="47" t="str">
        <f aca="false">IF(AND(B987="",D987=""),"",IF(B987="","Missing code",IF(C987="Unknown code","Unknown code",IF(D987="","Missing qty",IF(A987="","Missing date","")))))</f>
        <v/>
      </c>
    </row>
    <row r="988" customFormat="false" ht="15" hidden="false" customHeight="false" outlineLevel="0" collapsed="false">
      <c r="A988" s="44"/>
      <c r="B988" s="39"/>
      <c r="C988" s="45" t="str">
        <f aca="false">IF(B988="","",IFERROR(INDEX(Contract!$C$10:$C$23,MATCH(B988,Contract!$B$10:$B$23,0)),"Unknown code"))</f>
        <v/>
      </c>
      <c r="D988" s="46"/>
      <c r="E988" s="39"/>
      <c r="F988" s="39"/>
      <c r="G988" s="47" t="str">
        <f aca="false">IF(AND(B988="",D988=""),"",IF(B988="","Missing code",IF(C988="Unknown code","Unknown code",IF(D988="","Missing qty",IF(A988="","Missing date","")))))</f>
        <v/>
      </c>
    </row>
    <row r="989" customFormat="false" ht="15" hidden="false" customHeight="false" outlineLevel="0" collapsed="false">
      <c r="A989" s="44"/>
      <c r="B989" s="39"/>
      <c r="C989" s="45" t="str">
        <f aca="false">IF(B989="","",IFERROR(INDEX(Contract!$C$10:$C$23,MATCH(B989,Contract!$B$10:$B$23,0)),"Unknown code"))</f>
        <v/>
      </c>
      <c r="D989" s="46"/>
      <c r="E989" s="39"/>
      <c r="F989" s="39"/>
      <c r="G989" s="47" t="str">
        <f aca="false">IF(AND(B989="",D989=""),"",IF(B989="","Missing code",IF(C989="Unknown code","Unknown code",IF(D989="","Missing qty",IF(A989="","Missing date","")))))</f>
        <v/>
      </c>
    </row>
    <row r="990" customFormat="false" ht="15" hidden="false" customHeight="false" outlineLevel="0" collapsed="false">
      <c r="A990" s="44"/>
      <c r="B990" s="39"/>
      <c r="C990" s="45" t="str">
        <f aca="false">IF(B990="","",IFERROR(INDEX(Contract!$C$10:$C$23,MATCH(B990,Contract!$B$10:$B$23,0)),"Unknown code"))</f>
        <v/>
      </c>
      <c r="D990" s="46"/>
      <c r="E990" s="39"/>
      <c r="F990" s="39"/>
      <c r="G990" s="47" t="str">
        <f aca="false">IF(AND(B990="",D990=""),"",IF(B990="","Missing code",IF(C990="Unknown code","Unknown code",IF(D990="","Missing qty",IF(A990="","Missing date","")))))</f>
        <v/>
      </c>
    </row>
    <row r="991" customFormat="false" ht="15" hidden="false" customHeight="false" outlineLevel="0" collapsed="false">
      <c r="A991" s="44"/>
      <c r="B991" s="39"/>
      <c r="C991" s="45" t="str">
        <f aca="false">IF(B991="","",IFERROR(INDEX(Contract!$C$10:$C$23,MATCH(B991,Contract!$B$10:$B$23,0)),"Unknown code"))</f>
        <v/>
      </c>
      <c r="D991" s="46"/>
      <c r="E991" s="39"/>
      <c r="F991" s="39"/>
      <c r="G991" s="47" t="str">
        <f aca="false">IF(AND(B991="",D991=""),"",IF(B991="","Missing code",IF(C991="Unknown code","Unknown code",IF(D991="","Missing qty",IF(A991="","Missing date","")))))</f>
        <v/>
      </c>
    </row>
    <row r="992" customFormat="false" ht="15" hidden="false" customHeight="false" outlineLevel="0" collapsed="false">
      <c r="A992" s="44"/>
      <c r="B992" s="39"/>
      <c r="C992" s="45" t="str">
        <f aca="false">IF(B992="","",IFERROR(INDEX(Contract!$C$10:$C$23,MATCH(B992,Contract!$B$10:$B$23,0)),"Unknown code"))</f>
        <v/>
      </c>
      <c r="D992" s="46"/>
      <c r="E992" s="39"/>
      <c r="F992" s="39"/>
      <c r="G992" s="47" t="str">
        <f aca="false">IF(AND(B992="",D992=""),"",IF(B992="","Missing code",IF(C992="Unknown code","Unknown code",IF(D992="","Missing qty",IF(A992="","Missing date","")))))</f>
        <v/>
      </c>
    </row>
    <row r="993" customFormat="false" ht="15" hidden="false" customHeight="false" outlineLevel="0" collapsed="false">
      <c r="A993" s="44"/>
      <c r="B993" s="39"/>
      <c r="C993" s="45" t="str">
        <f aca="false">IF(B993="","",IFERROR(INDEX(Contract!$C$10:$C$23,MATCH(B993,Contract!$B$10:$B$23,0)),"Unknown code"))</f>
        <v/>
      </c>
      <c r="D993" s="46"/>
      <c r="E993" s="39"/>
      <c r="F993" s="39"/>
      <c r="G993" s="47" t="str">
        <f aca="false">IF(AND(B993="",D993=""),"",IF(B993="","Missing code",IF(C993="Unknown code","Unknown code",IF(D993="","Missing qty",IF(A993="","Missing date","")))))</f>
        <v/>
      </c>
    </row>
    <row r="994" customFormat="false" ht="15" hidden="false" customHeight="false" outlineLevel="0" collapsed="false">
      <c r="A994" s="44"/>
      <c r="B994" s="39"/>
      <c r="C994" s="45" t="str">
        <f aca="false">IF(B994="","",IFERROR(INDEX(Contract!$C$10:$C$23,MATCH(B994,Contract!$B$10:$B$23,0)),"Unknown code"))</f>
        <v/>
      </c>
      <c r="D994" s="46"/>
      <c r="E994" s="39"/>
      <c r="F994" s="39"/>
      <c r="G994" s="47" t="str">
        <f aca="false">IF(AND(B994="",D994=""),"",IF(B994="","Missing code",IF(C994="Unknown code","Unknown code",IF(D994="","Missing qty",IF(A994="","Missing date","")))))</f>
        <v/>
      </c>
    </row>
    <row r="995" customFormat="false" ht="15" hidden="false" customHeight="false" outlineLevel="0" collapsed="false">
      <c r="A995" s="44"/>
      <c r="B995" s="39"/>
      <c r="C995" s="45" t="str">
        <f aca="false">IF(B995="","",IFERROR(INDEX(Contract!$C$10:$C$23,MATCH(B995,Contract!$B$10:$B$23,0)),"Unknown code"))</f>
        <v/>
      </c>
      <c r="D995" s="46"/>
      <c r="E995" s="39"/>
      <c r="F995" s="39"/>
      <c r="G995" s="47" t="str">
        <f aca="false">IF(AND(B995="",D995=""),"",IF(B995="","Missing code",IF(C995="Unknown code","Unknown code",IF(D995="","Missing qty",IF(A995="","Missing date","")))))</f>
        <v/>
      </c>
    </row>
    <row r="996" customFormat="false" ht="15" hidden="false" customHeight="false" outlineLevel="0" collapsed="false">
      <c r="A996" s="44"/>
      <c r="B996" s="39"/>
      <c r="C996" s="45" t="str">
        <f aca="false">IF(B996="","",IFERROR(INDEX(Contract!$C$10:$C$23,MATCH(B996,Contract!$B$10:$B$23,0)),"Unknown code"))</f>
        <v/>
      </c>
      <c r="D996" s="46"/>
      <c r="E996" s="39"/>
      <c r="F996" s="39"/>
      <c r="G996" s="47" t="str">
        <f aca="false">IF(AND(B996="",D996=""),"",IF(B996="","Missing code",IF(C996="Unknown code","Unknown code",IF(D996="","Missing qty",IF(A996="","Missing date","")))))</f>
        <v/>
      </c>
    </row>
    <row r="997" customFormat="false" ht="15" hidden="false" customHeight="false" outlineLevel="0" collapsed="false">
      <c r="A997" s="44"/>
      <c r="B997" s="39"/>
      <c r="C997" s="45" t="str">
        <f aca="false">IF(B997="","",IFERROR(INDEX(Contract!$C$10:$C$23,MATCH(B997,Contract!$B$10:$B$23,0)),"Unknown code"))</f>
        <v/>
      </c>
      <c r="D997" s="46"/>
      <c r="E997" s="39"/>
      <c r="F997" s="39"/>
      <c r="G997" s="47" t="str">
        <f aca="false">IF(AND(B997="",D997=""),"",IF(B997="","Missing code",IF(C997="Unknown code","Unknown code",IF(D997="","Missing qty",IF(A997="","Missing date","")))))</f>
        <v/>
      </c>
    </row>
    <row r="998" customFormat="false" ht="15" hidden="false" customHeight="false" outlineLevel="0" collapsed="false">
      <c r="A998" s="44"/>
      <c r="B998" s="39"/>
      <c r="C998" s="45" t="str">
        <f aca="false">IF(B998="","",IFERROR(INDEX(Contract!$C$10:$C$23,MATCH(B998,Contract!$B$10:$B$23,0)),"Unknown code"))</f>
        <v/>
      </c>
      <c r="D998" s="46"/>
      <c r="E998" s="39"/>
      <c r="F998" s="39"/>
      <c r="G998" s="47" t="str">
        <f aca="false">IF(AND(B998="",D998=""),"",IF(B998="","Missing code",IF(C998="Unknown code","Unknown code",IF(D998="","Missing qty",IF(A998="","Missing date","")))))</f>
        <v/>
      </c>
    </row>
    <row r="999" customFormat="false" ht="15" hidden="false" customHeight="false" outlineLevel="0" collapsed="false">
      <c r="A999" s="44"/>
      <c r="B999" s="39"/>
      <c r="C999" s="45" t="str">
        <f aca="false">IF(B999="","",IFERROR(INDEX(Contract!$C$10:$C$23,MATCH(B999,Contract!$B$10:$B$23,0)),"Unknown code"))</f>
        <v/>
      </c>
      <c r="D999" s="46"/>
      <c r="E999" s="39"/>
      <c r="F999" s="39"/>
      <c r="G999" s="47" t="str">
        <f aca="false">IF(AND(B999="",D999=""),"",IF(B999="","Missing code",IF(C999="Unknown code","Unknown code",IF(D999="","Missing qty",IF(A999="","Missing date","")))))</f>
        <v/>
      </c>
    </row>
    <row r="1000" customFormat="false" ht="15" hidden="false" customHeight="false" outlineLevel="0" collapsed="false">
      <c r="A1000" s="44"/>
      <c r="B1000" s="39"/>
      <c r="C1000" s="45" t="str">
        <f aca="false">IF(B1000="","",IFERROR(INDEX(Contract!$C$10:$C$23,MATCH(B1000,Contract!$B$10:$B$23,0)),"Unknown code"))</f>
        <v/>
      </c>
      <c r="D1000" s="46"/>
      <c r="E1000" s="39"/>
      <c r="F1000" s="39"/>
      <c r="G1000" s="47" t="str">
        <f aca="false">IF(AND(B1000="",D1000=""),"",IF(B1000="","Missing code",IF(C1000="Unknown code","Unknown code",IF(D1000="","Missing qty",IF(A1000="","Missing date","")))))</f>
        <v/>
      </c>
    </row>
    <row r="1001" customFormat="false" ht="15" hidden="false" customHeight="false" outlineLevel="0" collapsed="false">
      <c r="A1001" s="44"/>
      <c r="B1001" s="39"/>
      <c r="C1001" s="45" t="str">
        <f aca="false">IF(B1001="","",IFERROR(INDEX(Contract!$C$10:$C$23,MATCH(B1001,Contract!$B$10:$B$23,0)),"Unknown code"))</f>
        <v/>
      </c>
      <c r="D1001" s="46"/>
      <c r="E1001" s="39"/>
      <c r="F1001" s="39"/>
      <c r="G1001" s="47" t="str">
        <f aca="false">IF(AND(B1001="",D1001=""),"",IF(B1001="","Missing code",IF(C1001="Unknown code","Unknown code",IF(D1001="","Missing qty",IF(A1001="","Missing date","")))))</f>
        <v/>
      </c>
    </row>
    <row r="1002" customFormat="false" ht="15" hidden="false" customHeight="false" outlineLevel="0" collapsed="false">
      <c r="A1002" s="44"/>
      <c r="B1002" s="39"/>
      <c r="C1002" s="45" t="str">
        <f aca="false">IF(B1002="","",IFERROR(INDEX(Contract!$C$10:$C$23,MATCH(B1002,Contract!$B$10:$B$23,0)),"Unknown code"))</f>
        <v/>
      </c>
      <c r="D1002" s="46"/>
      <c r="E1002" s="39"/>
      <c r="F1002" s="39"/>
      <c r="G1002" s="47" t="str">
        <f aca="false">IF(AND(B1002="",D1002=""),"",IF(B1002="","Missing code",IF(C1002="Unknown code","Unknown code",IF(D1002="","Missing qty",IF(A1002="","Missing date","")))))</f>
        <v/>
      </c>
    </row>
    <row r="1003" customFormat="false" ht="15" hidden="false" customHeight="false" outlineLevel="0" collapsed="false">
      <c r="A1003" s="44"/>
      <c r="B1003" s="39"/>
      <c r="C1003" s="45" t="str">
        <f aca="false">IF(B1003="","",IFERROR(INDEX(Contract!$C$10:$C$23,MATCH(B1003,Contract!$B$10:$B$23,0)),"Unknown code"))</f>
        <v/>
      </c>
      <c r="D1003" s="46"/>
      <c r="E1003" s="39"/>
      <c r="F1003" s="39"/>
      <c r="G1003" s="47" t="str">
        <f aca="false">IF(AND(B1003="",D1003=""),"",IF(B1003="","Missing code",IF(C1003="Unknown code","Unknown code",IF(D1003="","Missing qty",IF(A1003="","Missing date","")))))</f>
        <v/>
      </c>
    </row>
    <row r="1004" customFormat="false" ht="15" hidden="false" customHeight="false" outlineLevel="0" collapsed="false">
      <c r="A1004" s="44"/>
      <c r="B1004" s="39"/>
      <c r="C1004" s="45" t="str">
        <f aca="false">IF(B1004="","",IFERROR(INDEX(Contract!$C$10:$C$23,MATCH(B1004,Contract!$B$10:$B$23,0)),"Unknown code"))</f>
        <v/>
      </c>
      <c r="D1004" s="46"/>
      <c r="E1004" s="39"/>
      <c r="F1004" s="39"/>
      <c r="G1004" s="47" t="str">
        <f aca="false">IF(AND(B1004="",D1004=""),"",IF(B1004="","Missing code",IF(C1004="Unknown code","Unknown code",IF(D1004="","Missing qty",IF(A1004="","Missing date","")))))</f>
        <v/>
      </c>
    </row>
    <row r="1005" customFormat="false" ht="15" hidden="false" customHeight="false" outlineLevel="0" collapsed="false">
      <c r="A1005" s="44"/>
      <c r="B1005" s="39"/>
      <c r="C1005" s="45" t="str">
        <f aca="false">IF(B1005="","",IFERROR(INDEX(Contract!$C$10:$C$23,MATCH(B1005,Contract!$B$10:$B$23,0)),"Unknown code"))</f>
        <v/>
      </c>
      <c r="D1005" s="46"/>
      <c r="E1005" s="39"/>
      <c r="F1005" s="39"/>
      <c r="G1005" s="47" t="str">
        <f aca="false">IF(AND(B1005="",D1005=""),"",IF(B1005="","Missing code",IF(C1005="Unknown code","Unknown code",IF(D1005="","Missing qty",IF(A1005="","Missing date","")))))</f>
        <v/>
      </c>
    </row>
    <row r="1006" customFormat="false" ht="15" hidden="false" customHeight="false" outlineLevel="0" collapsed="false">
      <c r="A1006" s="44"/>
      <c r="B1006" s="39"/>
      <c r="C1006" s="45" t="str">
        <f aca="false">IF(B1006="","",IFERROR(INDEX(Contract!$C$10:$C$23,MATCH(B1006,Contract!$B$10:$B$23,0)),"Unknown code"))</f>
        <v/>
      </c>
      <c r="D1006" s="46"/>
      <c r="E1006" s="39"/>
      <c r="F1006" s="39"/>
      <c r="G1006" s="47" t="str">
        <f aca="false">IF(AND(B1006="",D1006=""),"",IF(B1006="","Missing code",IF(C1006="Unknown code","Unknown code",IF(D1006="","Missing qty",IF(A1006="","Missing date","")))))</f>
        <v/>
      </c>
    </row>
    <row r="1007" customFormat="false" ht="15" hidden="false" customHeight="false" outlineLevel="0" collapsed="false">
      <c r="A1007" s="44"/>
      <c r="B1007" s="39"/>
      <c r="C1007" s="45" t="str">
        <f aca="false">IF(B1007="","",IFERROR(INDEX(Contract!$C$10:$C$23,MATCH(B1007,Contract!$B$10:$B$23,0)),"Unknown code"))</f>
        <v/>
      </c>
      <c r="D1007" s="46"/>
      <c r="E1007" s="39"/>
      <c r="F1007" s="39"/>
      <c r="G1007" s="47" t="str">
        <f aca="false">IF(AND(B1007="",D1007=""),"",IF(B1007="","Missing code",IF(C1007="Unknown code","Unknown code",IF(D1007="","Missing qty",IF(A1007="","Missing date","")))))</f>
        <v/>
      </c>
    </row>
    <row r="1008" customFormat="false" ht="15" hidden="false" customHeight="false" outlineLevel="0" collapsed="false">
      <c r="A1008" s="44"/>
      <c r="B1008" s="39"/>
      <c r="C1008" s="45" t="str">
        <f aca="false">IF(B1008="","",IFERROR(INDEX(Contract!$C$10:$C$23,MATCH(B1008,Contract!$B$10:$B$23,0)),"Unknown code"))</f>
        <v/>
      </c>
      <c r="D1008" s="46"/>
      <c r="E1008" s="39"/>
      <c r="F1008" s="39"/>
      <c r="G1008" s="47" t="str">
        <f aca="false">IF(AND(B1008="",D1008=""),"",IF(B1008="","Missing code",IF(C1008="Unknown code","Unknown code",IF(D1008="","Missing qty",IF(A1008="","Missing date","")))))</f>
        <v/>
      </c>
    </row>
    <row r="1009" customFormat="false" ht="15" hidden="false" customHeight="false" outlineLevel="0" collapsed="false">
      <c r="A1009" s="44"/>
      <c r="B1009" s="39"/>
      <c r="C1009" s="45" t="str">
        <f aca="false">IF(B1009="","",IFERROR(INDEX(Contract!$C$10:$C$23,MATCH(B1009,Contract!$B$10:$B$23,0)),"Unknown code"))</f>
        <v/>
      </c>
      <c r="D1009" s="46"/>
      <c r="E1009" s="39"/>
      <c r="F1009" s="39"/>
      <c r="G1009" s="47" t="str">
        <f aca="false">IF(AND(B1009="",D1009=""),"",IF(B1009="","Missing code",IF(C1009="Unknown code","Unknown code",IF(D1009="","Missing qty",IF(A1009="","Missing date","")))))</f>
        <v/>
      </c>
    </row>
    <row r="1010" customFormat="false" ht="15" hidden="false" customHeight="false" outlineLevel="0" collapsed="false">
      <c r="A1010" s="44"/>
      <c r="B1010" s="39"/>
      <c r="C1010" s="45" t="str">
        <f aca="false">IF(B1010="","",IFERROR(INDEX(Contract!$C$10:$C$23,MATCH(B1010,Contract!$B$10:$B$23,0)),"Unknown code"))</f>
        <v/>
      </c>
      <c r="D1010" s="46"/>
      <c r="E1010" s="39"/>
      <c r="F1010" s="39"/>
      <c r="G1010" s="47" t="str">
        <f aca="false">IF(AND(B1010="",D1010=""),"",IF(B1010="","Missing code",IF(C1010="Unknown code","Unknown code",IF(D1010="","Missing qty",IF(A1010="","Missing date","")))))</f>
        <v/>
      </c>
    </row>
    <row r="1011" customFormat="false" ht="15" hidden="false" customHeight="false" outlineLevel="0" collapsed="false">
      <c r="A1011" s="44"/>
      <c r="B1011" s="39"/>
      <c r="C1011" s="45" t="str">
        <f aca="false">IF(B1011="","",IFERROR(INDEX(Contract!$C$10:$C$23,MATCH(B1011,Contract!$B$10:$B$23,0)),"Unknown code"))</f>
        <v/>
      </c>
      <c r="D1011" s="46"/>
      <c r="E1011" s="39"/>
      <c r="F1011" s="39"/>
      <c r="G1011" s="47" t="str">
        <f aca="false">IF(AND(B1011="",D1011=""),"",IF(B1011="","Missing code",IF(C1011="Unknown code","Unknown code",IF(D1011="","Missing qty",IF(A1011="","Missing date","")))))</f>
        <v/>
      </c>
    </row>
    <row r="1012" customFormat="false" ht="15" hidden="false" customHeight="false" outlineLevel="0" collapsed="false">
      <c r="A1012" s="44"/>
      <c r="B1012" s="39"/>
      <c r="C1012" s="45" t="str">
        <f aca="false">IF(B1012="","",IFERROR(INDEX(Contract!$C$10:$C$23,MATCH(B1012,Contract!$B$10:$B$23,0)),"Unknown code"))</f>
        <v/>
      </c>
      <c r="D1012" s="46"/>
      <c r="E1012" s="39"/>
      <c r="F1012" s="39"/>
      <c r="G1012" s="47" t="str">
        <f aca="false">IF(AND(B1012="",D1012=""),"",IF(B1012="","Missing code",IF(C1012="Unknown code","Unknown code",IF(D1012="","Missing qty",IF(A1012="","Missing date","")))))</f>
        <v/>
      </c>
    </row>
    <row r="1013" customFormat="false" ht="15" hidden="false" customHeight="false" outlineLevel="0" collapsed="false">
      <c r="A1013" s="44"/>
      <c r="B1013" s="39"/>
      <c r="C1013" s="45" t="str">
        <f aca="false">IF(B1013="","",IFERROR(INDEX(Contract!$C$10:$C$23,MATCH(B1013,Contract!$B$10:$B$23,0)),"Unknown code"))</f>
        <v/>
      </c>
      <c r="D1013" s="46"/>
      <c r="E1013" s="39"/>
      <c r="F1013" s="39"/>
      <c r="G1013" s="47" t="str">
        <f aca="false">IF(AND(B1013="",D1013=""),"",IF(B1013="","Missing code",IF(C1013="Unknown code","Unknown code",IF(D1013="","Missing qty",IF(A1013="","Missing date","")))))</f>
        <v/>
      </c>
    </row>
    <row r="1014" customFormat="false" ht="15" hidden="false" customHeight="false" outlineLevel="0" collapsed="false">
      <c r="A1014" s="44"/>
      <c r="B1014" s="39"/>
      <c r="C1014" s="45" t="str">
        <f aca="false">IF(B1014="","",IFERROR(INDEX(Contract!$C$10:$C$23,MATCH(B1014,Contract!$B$10:$B$23,0)),"Unknown code"))</f>
        <v/>
      </c>
      <c r="D1014" s="46"/>
      <c r="E1014" s="39"/>
      <c r="F1014" s="39"/>
      <c r="G1014" s="47" t="str">
        <f aca="false">IF(AND(B1014="",D1014=""),"",IF(B1014="","Missing code",IF(C1014="Unknown code","Unknown code",IF(D1014="","Missing qty",IF(A1014="","Missing date","")))))</f>
        <v/>
      </c>
    </row>
    <row r="1015" customFormat="false" ht="15" hidden="false" customHeight="false" outlineLevel="0" collapsed="false">
      <c r="A1015" s="44"/>
      <c r="B1015" s="39"/>
      <c r="C1015" s="45" t="str">
        <f aca="false">IF(B1015="","",IFERROR(INDEX(Contract!$C$10:$C$23,MATCH(B1015,Contract!$B$10:$B$23,0)),"Unknown code"))</f>
        <v/>
      </c>
      <c r="D1015" s="46"/>
      <c r="E1015" s="39"/>
      <c r="F1015" s="39"/>
      <c r="G1015" s="47" t="str">
        <f aca="false">IF(AND(B1015="",D1015=""),"",IF(B1015="","Missing code",IF(C1015="Unknown code","Unknown code",IF(D1015="","Missing qty",IF(A1015="","Missing date","")))))</f>
        <v/>
      </c>
    </row>
    <row r="1016" customFormat="false" ht="15" hidden="false" customHeight="false" outlineLevel="0" collapsed="false">
      <c r="A1016" s="44"/>
      <c r="B1016" s="39"/>
      <c r="C1016" s="45" t="str">
        <f aca="false">IF(B1016="","",IFERROR(INDEX(Contract!$C$10:$C$23,MATCH(B1016,Contract!$B$10:$B$23,0)),"Unknown code"))</f>
        <v/>
      </c>
      <c r="D1016" s="46"/>
      <c r="E1016" s="39"/>
      <c r="F1016" s="39"/>
      <c r="G1016" s="47" t="str">
        <f aca="false">IF(AND(B1016="",D1016=""),"",IF(B1016="","Missing code",IF(C1016="Unknown code","Unknown code",IF(D1016="","Missing qty",IF(A1016="","Missing date","")))))</f>
        <v/>
      </c>
    </row>
    <row r="1017" customFormat="false" ht="15" hidden="false" customHeight="false" outlineLevel="0" collapsed="false">
      <c r="A1017" s="44"/>
      <c r="B1017" s="39"/>
      <c r="C1017" s="45" t="str">
        <f aca="false">IF(B1017="","",IFERROR(INDEX(Contract!$C$10:$C$23,MATCH(B1017,Contract!$B$10:$B$23,0)),"Unknown code"))</f>
        <v/>
      </c>
      <c r="D1017" s="46"/>
      <c r="E1017" s="39"/>
      <c r="F1017" s="39"/>
      <c r="G1017" s="47" t="str">
        <f aca="false">IF(AND(B1017="",D1017=""),"",IF(B1017="","Missing code",IF(C1017="Unknown code","Unknown code",IF(D1017="","Missing qty",IF(A1017="","Missing date","")))))</f>
        <v/>
      </c>
    </row>
    <row r="1018" customFormat="false" ht="15" hidden="false" customHeight="false" outlineLevel="0" collapsed="false">
      <c r="A1018" s="44"/>
      <c r="B1018" s="39"/>
      <c r="C1018" s="45" t="str">
        <f aca="false">IF(B1018="","",IFERROR(INDEX(Contract!$C$10:$C$23,MATCH(B1018,Contract!$B$10:$B$23,0)),"Unknown code"))</f>
        <v/>
      </c>
      <c r="D1018" s="46"/>
      <c r="E1018" s="39"/>
      <c r="F1018" s="39"/>
      <c r="G1018" s="47" t="str">
        <f aca="false">IF(AND(B1018="",D1018=""),"",IF(B1018="","Missing code",IF(C1018="Unknown code","Unknown code",IF(D1018="","Missing qty",IF(A1018="","Missing date","")))))</f>
        <v/>
      </c>
    </row>
    <row r="1019" customFormat="false" ht="15" hidden="false" customHeight="false" outlineLevel="0" collapsed="false">
      <c r="A1019" s="44"/>
      <c r="B1019" s="39"/>
      <c r="C1019" s="45" t="str">
        <f aca="false">IF(B1019="","",IFERROR(INDEX(Contract!$C$10:$C$23,MATCH(B1019,Contract!$B$10:$B$23,0)),"Unknown code"))</f>
        <v/>
      </c>
      <c r="D1019" s="46"/>
      <c r="E1019" s="39"/>
      <c r="F1019" s="39"/>
      <c r="G1019" s="47" t="str">
        <f aca="false">IF(AND(B1019="",D1019=""),"",IF(B1019="","Missing code",IF(C1019="Unknown code","Unknown code",IF(D1019="","Missing qty",IF(A1019="","Missing date","")))))</f>
        <v/>
      </c>
    </row>
    <row r="1020" customFormat="false" ht="15" hidden="false" customHeight="false" outlineLevel="0" collapsed="false">
      <c r="A1020" s="44"/>
      <c r="B1020" s="39"/>
      <c r="C1020" s="45" t="str">
        <f aca="false">IF(B1020="","",IFERROR(INDEX(Contract!$C$10:$C$23,MATCH(B1020,Contract!$B$10:$B$23,0)),"Unknown code"))</f>
        <v/>
      </c>
      <c r="D1020" s="46"/>
      <c r="E1020" s="39"/>
      <c r="F1020" s="39"/>
      <c r="G1020" s="47" t="str">
        <f aca="false">IF(AND(B1020="",D1020=""),"",IF(B1020="","Missing code",IF(C1020="Unknown code","Unknown code",IF(D1020="","Missing qty",IF(A1020="","Missing date","")))))</f>
        <v/>
      </c>
    </row>
    <row r="1021" customFormat="false" ht="15" hidden="false" customHeight="false" outlineLevel="0" collapsed="false">
      <c r="A1021" s="44"/>
      <c r="B1021" s="39"/>
      <c r="C1021" s="45" t="str">
        <f aca="false">IF(B1021="","",IFERROR(INDEX(Contract!$C$10:$C$23,MATCH(B1021,Contract!$B$10:$B$23,0)),"Unknown code"))</f>
        <v/>
      </c>
      <c r="D1021" s="46"/>
      <c r="E1021" s="39"/>
      <c r="F1021" s="39"/>
      <c r="G1021" s="47" t="str">
        <f aca="false">IF(AND(B1021="",D1021=""),"",IF(B1021="","Missing code",IF(C1021="Unknown code","Unknown code",IF(D1021="","Missing qty",IF(A1021="","Missing date","")))))</f>
        <v/>
      </c>
    </row>
    <row r="1022" customFormat="false" ht="15" hidden="false" customHeight="false" outlineLevel="0" collapsed="false">
      <c r="A1022" s="44"/>
      <c r="B1022" s="39"/>
      <c r="C1022" s="45" t="str">
        <f aca="false">IF(B1022="","",IFERROR(INDEX(Contract!$C$10:$C$23,MATCH(B1022,Contract!$B$10:$B$23,0)),"Unknown code"))</f>
        <v/>
      </c>
      <c r="D1022" s="46"/>
      <c r="E1022" s="39"/>
      <c r="F1022" s="39"/>
      <c r="G1022" s="47" t="str">
        <f aca="false">IF(AND(B1022="",D1022=""),"",IF(B1022="","Missing code",IF(C1022="Unknown code","Unknown code",IF(D1022="","Missing qty",IF(A1022="","Missing date","")))))</f>
        <v/>
      </c>
    </row>
    <row r="1023" customFormat="false" ht="15" hidden="false" customHeight="false" outlineLevel="0" collapsed="false">
      <c r="A1023" s="44"/>
      <c r="B1023" s="39"/>
      <c r="C1023" s="45" t="str">
        <f aca="false">IF(B1023="","",IFERROR(INDEX(Contract!$C$10:$C$23,MATCH(B1023,Contract!$B$10:$B$23,0)),"Unknown code"))</f>
        <v/>
      </c>
      <c r="D1023" s="46"/>
      <c r="E1023" s="39"/>
      <c r="F1023" s="39"/>
      <c r="G1023" s="47" t="str">
        <f aca="false">IF(AND(B1023="",D1023=""),"",IF(B1023="","Missing code",IF(C1023="Unknown code","Unknown code",IF(D1023="","Missing qty",IF(A1023="","Missing date","")))))</f>
        <v/>
      </c>
    </row>
    <row r="1024" customFormat="false" ht="15" hidden="false" customHeight="false" outlineLevel="0" collapsed="false">
      <c r="A1024" s="44"/>
      <c r="B1024" s="39"/>
      <c r="C1024" s="45" t="str">
        <f aca="false">IF(B1024="","",IFERROR(INDEX(Contract!$C$10:$C$23,MATCH(B1024,Contract!$B$10:$B$23,0)),"Unknown code"))</f>
        <v/>
      </c>
      <c r="D1024" s="46"/>
      <c r="E1024" s="39"/>
      <c r="F1024" s="39"/>
      <c r="G1024" s="47" t="str">
        <f aca="false">IF(AND(B1024="",D1024=""),"",IF(B1024="","Missing code",IF(C1024="Unknown code","Unknown code",IF(D1024="","Missing qty",IF(A1024="","Missing date","")))))</f>
        <v/>
      </c>
    </row>
    <row r="1025" customFormat="false" ht="15" hidden="false" customHeight="false" outlineLevel="0" collapsed="false">
      <c r="A1025" s="44"/>
      <c r="B1025" s="39"/>
      <c r="C1025" s="45" t="str">
        <f aca="false">IF(B1025="","",IFERROR(INDEX(Contract!$C$10:$C$23,MATCH(B1025,Contract!$B$10:$B$23,0)),"Unknown code"))</f>
        <v/>
      </c>
      <c r="D1025" s="46"/>
      <c r="E1025" s="39"/>
      <c r="F1025" s="39"/>
      <c r="G1025" s="47" t="str">
        <f aca="false">IF(AND(B1025="",D1025=""),"",IF(B1025="","Missing code",IF(C1025="Unknown code","Unknown code",IF(D1025="","Missing qty",IF(A1025="","Missing date","")))))</f>
        <v/>
      </c>
    </row>
    <row r="1026" customFormat="false" ht="15" hidden="false" customHeight="false" outlineLevel="0" collapsed="false">
      <c r="A1026" s="44"/>
      <c r="B1026" s="39"/>
      <c r="C1026" s="45" t="str">
        <f aca="false">IF(B1026="","",IFERROR(INDEX(Contract!$C$10:$C$23,MATCH(B1026,Contract!$B$10:$B$23,0)),"Unknown code"))</f>
        <v/>
      </c>
      <c r="D1026" s="46"/>
      <c r="E1026" s="39"/>
      <c r="F1026" s="39"/>
      <c r="G1026" s="47" t="str">
        <f aca="false">IF(AND(B1026="",D1026=""),"",IF(B1026="","Missing code",IF(C1026="Unknown code","Unknown code",IF(D1026="","Missing qty",IF(A1026="","Missing date","")))))</f>
        <v/>
      </c>
    </row>
    <row r="1027" customFormat="false" ht="15" hidden="false" customHeight="false" outlineLevel="0" collapsed="false">
      <c r="A1027" s="44"/>
      <c r="B1027" s="39"/>
      <c r="C1027" s="45" t="str">
        <f aca="false">IF(B1027="","",IFERROR(INDEX(Contract!$C$10:$C$23,MATCH(B1027,Contract!$B$10:$B$23,0)),"Unknown code"))</f>
        <v/>
      </c>
      <c r="D1027" s="46"/>
      <c r="E1027" s="39"/>
      <c r="F1027" s="39"/>
      <c r="G1027" s="47" t="str">
        <f aca="false">IF(AND(B1027="",D1027=""),"",IF(B1027="","Missing code",IF(C1027="Unknown code","Unknown code",IF(D1027="","Missing qty",IF(A1027="","Missing date","")))))</f>
        <v/>
      </c>
    </row>
    <row r="1028" customFormat="false" ht="15" hidden="false" customHeight="false" outlineLevel="0" collapsed="false">
      <c r="A1028" s="44"/>
      <c r="B1028" s="39"/>
      <c r="C1028" s="45" t="str">
        <f aca="false">IF(B1028="","",IFERROR(INDEX(Contract!$C$10:$C$23,MATCH(B1028,Contract!$B$10:$B$23,0)),"Unknown code"))</f>
        <v/>
      </c>
      <c r="D1028" s="46"/>
      <c r="E1028" s="39"/>
      <c r="F1028" s="39"/>
      <c r="G1028" s="47" t="str">
        <f aca="false">IF(AND(B1028="",D1028=""),"",IF(B1028="","Missing code",IF(C1028="Unknown code","Unknown code",IF(D1028="","Missing qty",IF(A1028="","Missing date","")))))</f>
        <v/>
      </c>
    </row>
    <row r="1029" customFormat="false" ht="15" hidden="false" customHeight="false" outlineLevel="0" collapsed="false">
      <c r="A1029" s="44"/>
      <c r="B1029" s="39"/>
      <c r="C1029" s="45" t="str">
        <f aca="false">IF(B1029="","",IFERROR(INDEX(Contract!$C$10:$C$23,MATCH(B1029,Contract!$B$10:$B$23,0)),"Unknown code"))</f>
        <v/>
      </c>
      <c r="D1029" s="46"/>
      <c r="E1029" s="39"/>
      <c r="F1029" s="39"/>
      <c r="G1029" s="47" t="str">
        <f aca="false">IF(AND(B1029="",D1029=""),"",IF(B1029="","Missing code",IF(C1029="Unknown code","Unknown code",IF(D1029="","Missing qty",IF(A1029="","Missing date","")))))</f>
        <v/>
      </c>
    </row>
    <row r="1030" customFormat="false" ht="15" hidden="false" customHeight="false" outlineLevel="0" collapsed="false">
      <c r="A1030" s="44"/>
      <c r="B1030" s="39"/>
      <c r="C1030" s="45" t="str">
        <f aca="false">IF(B1030="","",IFERROR(INDEX(Contract!$C$10:$C$23,MATCH(B1030,Contract!$B$10:$B$23,0)),"Unknown code"))</f>
        <v/>
      </c>
      <c r="D1030" s="46"/>
      <c r="E1030" s="39"/>
      <c r="F1030" s="39"/>
      <c r="G1030" s="47" t="str">
        <f aca="false">IF(AND(B1030="",D1030=""),"",IF(B1030="","Missing code",IF(C1030="Unknown code","Unknown code",IF(D1030="","Missing qty",IF(A1030="","Missing date","")))))</f>
        <v/>
      </c>
    </row>
    <row r="1031" customFormat="false" ht="15" hidden="false" customHeight="false" outlineLevel="0" collapsed="false">
      <c r="A1031" s="44"/>
      <c r="B1031" s="39"/>
      <c r="C1031" s="45" t="str">
        <f aca="false">IF(B1031="","",IFERROR(INDEX(Contract!$C$10:$C$23,MATCH(B1031,Contract!$B$10:$B$23,0)),"Unknown code"))</f>
        <v/>
      </c>
      <c r="D1031" s="46"/>
      <c r="E1031" s="39"/>
      <c r="F1031" s="39"/>
      <c r="G1031" s="47" t="str">
        <f aca="false">IF(AND(B1031="",D1031=""),"",IF(B1031="","Missing code",IF(C1031="Unknown code","Unknown code",IF(D1031="","Missing qty",IF(A1031="","Missing date","")))))</f>
        <v/>
      </c>
    </row>
    <row r="1032" customFormat="false" ht="15" hidden="false" customHeight="false" outlineLevel="0" collapsed="false">
      <c r="A1032" s="44"/>
      <c r="B1032" s="39"/>
      <c r="C1032" s="45" t="str">
        <f aca="false">IF(B1032="","",IFERROR(INDEX(Contract!$C$10:$C$23,MATCH(B1032,Contract!$B$10:$B$23,0)),"Unknown code"))</f>
        <v/>
      </c>
      <c r="D1032" s="46"/>
      <c r="E1032" s="39"/>
      <c r="F1032" s="39"/>
      <c r="G1032" s="47" t="str">
        <f aca="false">IF(AND(B1032="",D1032=""),"",IF(B1032="","Missing code",IF(C1032="Unknown code","Unknown code",IF(D1032="","Missing qty",IF(A1032="","Missing date","")))))</f>
        <v/>
      </c>
    </row>
    <row r="1033" customFormat="false" ht="15" hidden="false" customHeight="false" outlineLevel="0" collapsed="false">
      <c r="A1033" s="44"/>
      <c r="B1033" s="39"/>
      <c r="C1033" s="45" t="str">
        <f aca="false">IF(B1033="","",IFERROR(INDEX(Contract!$C$10:$C$23,MATCH(B1033,Contract!$B$10:$B$23,0)),"Unknown code"))</f>
        <v/>
      </c>
      <c r="D1033" s="46"/>
      <c r="E1033" s="39"/>
      <c r="F1033" s="39"/>
      <c r="G1033" s="47" t="str">
        <f aca="false">IF(AND(B1033="",D1033=""),"",IF(B1033="","Missing code",IF(C1033="Unknown code","Unknown code",IF(D1033="","Missing qty",IF(A1033="","Missing date","")))))</f>
        <v/>
      </c>
    </row>
    <row r="1034" customFormat="false" ht="15" hidden="false" customHeight="false" outlineLevel="0" collapsed="false">
      <c r="A1034" s="44"/>
      <c r="B1034" s="39"/>
      <c r="C1034" s="45" t="str">
        <f aca="false">IF(B1034="","",IFERROR(INDEX(Contract!$C$10:$C$23,MATCH(B1034,Contract!$B$10:$B$23,0)),"Unknown code"))</f>
        <v/>
      </c>
      <c r="D1034" s="46"/>
      <c r="E1034" s="39"/>
      <c r="F1034" s="39"/>
      <c r="G1034" s="47" t="str">
        <f aca="false">IF(AND(B1034="",D1034=""),"",IF(B1034="","Missing code",IF(C1034="Unknown code","Unknown code",IF(D1034="","Missing qty",IF(A1034="","Missing date","")))))</f>
        <v/>
      </c>
    </row>
    <row r="1035" customFormat="false" ht="15" hidden="false" customHeight="false" outlineLevel="0" collapsed="false">
      <c r="A1035" s="44"/>
      <c r="B1035" s="39"/>
      <c r="C1035" s="45" t="str">
        <f aca="false">IF(B1035="","",IFERROR(INDEX(Contract!$C$10:$C$23,MATCH(B1035,Contract!$B$10:$B$23,0)),"Unknown code"))</f>
        <v/>
      </c>
      <c r="D1035" s="46"/>
      <c r="E1035" s="39"/>
      <c r="F1035" s="39"/>
      <c r="G1035" s="47" t="str">
        <f aca="false">IF(AND(B1035="",D1035=""),"",IF(B1035="","Missing code",IF(C1035="Unknown code","Unknown code",IF(D1035="","Missing qty",IF(A1035="","Missing date","")))))</f>
        <v/>
      </c>
    </row>
    <row r="1036" customFormat="false" ht="15" hidden="false" customHeight="false" outlineLevel="0" collapsed="false">
      <c r="A1036" s="44"/>
      <c r="B1036" s="39"/>
      <c r="C1036" s="45" t="str">
        <f aca="false">IF(B1036="","",IFERROR(INDEX(Contract!$C$10:$C$23,MATCH(B1036,Contract!$B$10:$B$23,0)),"Unknown code"))</f>
        <v/>
      </c>
      <c r="D1036" s="46"/>
      <c r="E1036" s="39"/>
      <c r="F1036" s="39"/>
      <c r="G1036" s="47" t="str">
        <f aca="false">IF(AND(B1036="",D1036=""),"",IF(B1036="","Missing code",IF(C1036="Unknown code","Unknown code",IF(D1036="","Missing qty",IF(A1036="","Missing date","")))))</f>
        <v/>
      </c>
    </row>
    <row r="1037" customFormat="false" ht="15" hidden="false" customHeight="false" outlineLevel="0" collapsed="false">
      <c r="A1037" s="44"/>
      <c r="B1037" s="39"/>
      <c r="C1037" s="45" t="str">
        <f aca="false">IF(B1037="","",IFERROR(INDEX(Contract!$C$10:$C$23,MATCH(B1037,Contract!$B$10:$B$23,0)),"Unknown code"))</f>
        <v/>
      </c>
      <c r="D1037" s="46"/>
      <c r="E1037" s="39"/>
      <c r="F1037" s="39"/>
      <c r="G1037" s="47" t="str">
        <f aca="false">IF(AND(B1037="",D1037=""),"",IF(B1037="","Missing code",IF(C1037="Unknown code","Unknown code",IF(D1037="","Missing qty",IF(A1037="","Missing date","")))))</f>
        <v/>
      </c>
    </row>
    <row r="1038" customFormat="false" ht="15" hidden="false" customHeight="false" outlineLevel="0" collapsed="false">
      <c r="A1038" s="44"/>
      <c r="B1038" s="39"/>
      <c r="C1038" s="45" t="str">
        <f aca="false">IF(B1038="","",IFERROR(INDEX(Contract!$C$10:$C$23,MATCH(B1038,Contract!$B$10:$B$23,0)),"Unknown code"))</f>
        <v/>
      </c>
      <c r="D1038" s="46"/>
      <c r="E1038" s="39"/>
      <c r="F1038" s="39"/>
      <c r="G1038" s="47" t="str">
        <f aca="false">IF(AND(B1038="",D1038=""),"",IF(B1038="","Missing code",IF(C1038="Unknown code","Unknown code",IF(D1038="","Missing qty",IF(A1038="","Missing date","")))))</f>
        <v/>
      </c>
    </row>
    <row r="1039" customFormat="false" ht="15" hidden="false" customHeight="false" outlineLevel="0" collapsed="false">
      <c r="A1039" s="44"/>
      <c r="B1039" s="39"/>
      <c r="C1039" s="45" t="str">
        <f aca="false">IF(B1039="","",IFERROR(INDEX(Contract!$C$10:$C$23,MATCH(B1039,Contract!$B$10:$B$23,0)),"Unknown code"))</f>
        <v/>
      </c>
      <c r="D1039" s="46"/>
      <c r="E1039" s="39"/>
      <c r="F1039" s="39"/>
      <c r="G1039" s="47" t="str">
        <f aca="false">IF(AND(B1039="",D1039=""),"",IF(B1039="","Missing code",IF(C1039="Unknown code","Unknown code",IF(D1039="","Missing qty",IF(A1039="","Missing date","")))))</f>
        <v/>
      </c>
    </row>
    <row r="1040" customFormat="false" ht="15" hidden="false" customHeight="false" outlineLevel="0" collapsed="false">
      <c r="A1040" s="44"/>
      <c r="B1040" s="39"/>
      <c r="C1040" s="45" t="str">
        <f aca="false">IF(B1040="","",IFERROR(INDEX(Contract!$C$10:$C$23,MATCH(B1040,Contract!$B$10:$B$23,0)),"Unknown code"))</f>
        <v/>
      </c>
      <c r="D1040" s="46"/>
      <c r="E1040" s="39"/>
      <c r="F1040" s="39"/>
      <c r="G1040" s="47" t="str">
        <f aca="false">IF(AND(B1040="",D1040=""),"",IF(B1040="","Missing code",IF(C1040="Unknown code","Unknown code",IF(D1040="","Missing qty",IF(A1040="","Missing date","")))))</f>
        <v/>
      </c>
    </row>
    <row r="1041" customFormat="false" ht="15" hidden="false" customHeight="false" outlineLevel="0" collapsed="false">
      <c r="A1041" s="44"/>
      <c r="B1041" s="39"/>
      <c r="C1041" s="45" t="str">
        <f aca="false">IF(B1041="","",IFERROR(INDEX(Contract!$C$10:$C$23,MATCH(B1041,Contract!$B$10:$B$23,0)),"Unknown code"))</f>
        <v/>
      </c>
      <c r="D1041" s="46"/>
      <c r="E1041" s="39"/>
      <c r="F1041" s="39"/>
      <c r="G1041" s="47" t="str">
        <f aca="false">IF(AND(B1041="",D1041=""),"",IF(B1041="","Missing code",IF(C1041="Unknown code","Unknown code",IF(D1041="","Missing qty",IF(A1041="","Missing date","")))))</f>
        <v/>
      </c>
    </row>
    <row r="1042" customFormat="false" ht="15" hidden="false" customHeight="false" outlineLevel="0" collapsed="false">
      <c r="A1042" s="44"/>
      <c r="B1042" s="39"/>
      <c r="C1042" s="45" t="str">
        <f aca="false">IF(B1042="","",IFERROR(INDEX(Contract!$C$10:$C$23,MATCH(B1042,Contract!$B$10:$B$23,0)),"Unknown code"))</f>
        <v/>
      </c>
      <c r="D1042" s="46"/>
      <c r="E1042" s="39"/>
      <c r="F1042" s="39"/>
      <c r="G1042" s="47" t="str">
        <f aca="false">IF(AND(B1042="",D1042=""),"",IF(B1042="","Missing code",IF(C1042="Unknown code","Unknown code",IF(D1042="","Missing qty",IF(A1042="","Missing date","")))))</f>
        <v/>
      </c>
    </row>
    <row r="1043" customFormat="false" ht="15" hidden="false" customHeight="false" outlineLevel="0" collapsed="false">
      <c r="A1043" s="44"/>
      <c r="B1043" s="39"/>
      <c r="C1043" s="45" t="str">
        <f aca="false">IF(B1043="","",IFERROR(INDEX(Contract!$C$10:$C$23,MATCH(B1043,Contract!$B$10:$B$23,0)),"Unknown code"))</f>
        <v/>
      </c>
      <c r="D1043" s="46"/>
      <c r="E1043" s="39"/>
      <c r="F1043" s="39"/>
      <c r="G1043" s="47" t="str">
        <f aca="false">IF(AND(B1043="",D1043=""),"",IF(B1043="","Missing code",IF(C1043="Unknown code","Unknown code",IF(D1043="","Missing qty",IF(A1043="","Missing date","")))))</f>
        <v/>
      </c>
    </row>
    <row r="1044" customFormat="false" ht="15" hidden="false" customHeight="false" outlineLevel="0" collapsed="false">
      <c r="A1044" s="44"/>
      <c r="B1044" s="39"/>
      <c r="C1044" s="45" t="str">
        <f aca="false">IF(B1044="","",IFERROR(INDEX(Contract!$C$10:$C$23,MATCH(B1044,Contract!$B$10:$B$23,0)),"Unknown code"))</f>
        <v/>
      </c>
      <c r="D1044" s="46"/>
      <c r="E1044" s="39"/>
      <c r="F1044" s="39"/>
      <c r="G1044" s="47" t="str">
        <f aca="false">IF(AND(B1044="",D1044=""),"",IF(B1044="","Missing code",IF(C1044="Unknown code","Unknown code",IF(D1044="","Missing qty",IF(A1044="","Missing date","")))))</f>
        <v/>
      </c>
    </row>
    <row r="1045" customFormat="false" ht="15" hidden="false" customHeight="false" outlineLevel="0" collapsed="false">
      <c r="A1045" s="44"/>
      <c r="B1045" s="39"/>
      <c r="C1045" s="45" t="str">
        <f aca="false">IF(B1045="","",IFERROR(INDEX(Contract!$C$10:$C$23,MATCH(B1045,Contract!$B$10:$B$23,0)),"Unknown code"))</f>
        <v/>
      </c>
      <c r="D1045" s="46"/>
      <c r="E1045" s="39"/>
      <c r="F1045" s="39"/>
      <c r="G1045" s="47" t="str">
        <f aca="false">IF(AND(B1045="",D1045=""),"",IF(B1045="","Missing code",IF(C1045="Unknown code","Unknown code",IF(D1045="","Missing qty",IF(A1045="","Missing date","")))))</f>
        <v/>
      </c>
    </row>
    <row r="1046" customFormat="false" ht="15" hidden="false" customHeight="false" outlineLevel="0" collapsed="false">
      <c r="A1046" s="44"/>
      <c r="B1046" s="39"/>
      <c r="C1046" s="45" t="str">
        <f aca="false">IF(B1046="","",IFERROR(INDEX(Contract!$C$10:$C$23,MATCH(B1046,Contract!$B$10:$B$23,0)),"Unknown code"))</f>
        <v/>
      </c>
      <c r="D1046" s="46"/>
      <c r="E1046" s="39"/>
      <c r="F1046" s="39"/>
      <c r="G1046" s="47" t="str">
        <f aca="false">IF(AND(B1046="",D1046=""),"",IF(B1046="","Missing code",IF(C1046="Unknown code","Unknown code",IF(D1046="","Missing qty",IF(A1046="","Missing date","")))))</f>
        <v/>
      </c>
    </row>
    <row r="1047" customFormat="false" ht="15" hidden="false" customHeight="false" outlineLevel="0" collapsed="false">
      <c r="A1047" s="44"/>
      <c r="B1047" s="39"/>
      <c r="C1047" s="45" t="str">
        <f aca="false">IF(B1047="","",IFERROR(INDEX(Contract!$C$10:$C$23,MATCH(B1047,Contract!$B$10:$B$23,0)),"Unknown code"))</f>
        <v/>
      </c>
      <c r="D1047" s="46"/>
      <c r="E1047" s="39"/>
      <c r="F1047" s="39"/>
      <c r="G1047" s="47" t="str">
        <f aca="false">IF(AND(B1047="",D1047=""),"",IF(B1047="","Missing code",IF(C1047="Unknown code","Unknown code",IF(D1047="","Missing qty",IF(A1047="","Missing date","")))))</f>
        <v/>
      </c>
    </row>
    <row r="1048" customFormat="false" ht="15" hidden="false" customHeight="false" outlineLevel="0" collapsed="false">
      <c r="A1048" s="44"/>
      <c r="B1048" s="39"/>
      <c r="C1048" s="45" t="str">
        <f aca="false">IF(B1048="","",IFERROR(INDEX(Contract!$C$10:$C$23,MATCH(B1048,Contract!$B$10:$B$23,0)),"Unknown code"))</f>
        <v/>
      </c>
      <c r="D1048" s="46"/>
      <c r="E1048" s="39"/>
      <c r="F1048" s="39"/>
      <c r="G1048" s="47" t="str">
        <f aca="false">IF(AND(B1048="",D1048=""),"",IF(B1048="","Missing code",IF(C1048="Unknown code","Unknown code",IF(D1048="","Missing qty",IF(A1048="","Missing date","")))))</f>
        <v/>
      </c>
    </row>
    <row r="1049" customFormat="false" ht="15" hidden="false" customHeight="false" outlineLevel="0" collapsed="false">
      <c r="A1049" s="44"/>
      <c r="B1049" s="39"/>
      <c r="C1049" s="45" t="str">
        <f aca="false">IF(B1049="","",IFERROR(INDEX(Contract!$C$10:$C$23,MATCH(B1049,Contract!$B$10:$B$23,0)),"Unknown code"))</f>
        <v/>
      </c>
      <c r="D1049" s="46"/>
      <c r="E1049" s="39"/>
      <c r="F1049" s="39"/>
      <c r="G1049" s="47" t="str">
        <f aca="false">IF(AND(B1049="",D1049=""),"",IF(B1049="","Missing code",IF(C1049="Unknown code","Unknown code",IF(D1049="","Missing qty",IF(A1049="","Missing date","")))))</f>
        <v/>
      </c>
    </row>
    <row r="1050" customFormat="false" ht="15" hidden="false" customHeight="false" outlineLevel="0" collapsed="false">
      <c r="A1050" s="44"/>
      <c r="B1050" s="39"/>
      <c r="C1050" s="45" t="str">
        <f aca="false">IF(B1050="","",IFERROR(INDEX(Contract!$C$10:$C$23,MATCH(B1050,Contract!$B$10:$B$23,0)),"Unknown code"))</f>
        <v/>
      </c>
      <c r="D1050" s="46"/>
      <c r="E1050" s="39"/>
      <c r="F1050" s="39"/>
      <c r="G1050" s="47" t="str">
        <f aca="false">IF(AND(B1050="",D1050=""),"",IF(B1050="","Missing code",IF(C1050="Unknown code","Unknown code",IF(D1050="","Missing qty",IF(A1050="","Missing date","")))))</f>
        <v/>
      </c>
    </row>
    <row r="1051" customFormat="false" ht="15" hidden="false" customHeight="false" outlineLevel="0" collapsed="false">
      <c r="A1051" s="44"/>
      <c r="B1051" s="39"/>
      <c r="C1051" s="45" t="str">
        <f aca="false">IF(B1051="","",IFERROR(INDEX(Contract!$C$10:$C$23,MATCH(B1051,Contract!$B$10:$B$23,0)),"Unknown code"))</f>
        <v/>
      </c>
      <c r="D1051" s="46"/>
      <c r="E1051" s="39"/>
      <c r="F1051" s="39"/>
      <c r="G1051" s="47" t="str">
        <f aca="false">IF(AND(B1051="",D1051=""),"",IF(B1051="","Missing code",IF(C1051="Unknown code","Unknown code",IF(D1051="","Missing qty",IF(A1051="","Missing date","")))))</f>
        <v/>
      </c>
    </row>
    <row r="1052" customFormat="false" ht="15" hidden="false" customHeight="false" outlineLevel="0" collapsed="false">
      <c r="A1052" s="44"/>
      <c r="B1052" s="39"/>
      <c r="C1052" s="45" t="str">
        <f aca="false">IF(B1052="","",IFERROR(INDEX(Contract!$C$10:$C$23,MATCH(B1052,Contract!$B$10:$B$23,0)),"Unknown code"))</f>
        <v/>
      </c>
      <c r="D1052" s="46"/>
      <c r="E1052" s="39"/>
      <c r="F1052" s="39"/>
      <c r="G1052" s="47" t="str">
        <f aca="false">IF(AND(B1052="",D1052=""),"",IF(B1052="","Missing code",IF(C1052="Unknown code","Unknown code",IF(D1052="","Missing qty",IF(A1052="","Missing date","")))))</f>
        <v/>
      </c>
    </row>
    <row r="1053" customFormat="false" ht="15" hidden="false" customHeight="false" outlineLevel="0" collapsed="false">
      <c r="A1053" s="44"/>
      <c r="B1053" s="39"/>
      <c r="C1053" s="45" t="str">
        <f aca="false">IF(B1053="","",IFERROR(INDEX(Contract!$C$10:$C$23,MATCH(B1053,Contract!$B$10:$B$23,0)),"Unknown code"))</f>
        <v/>
      </c>
      <c r="D1053" s="46"/>
      <c r="E1053" s="39"/>
      <c r="F1053" s="39"/>
      <c r="G1053" s="47" t="str">
        <f aca="false">IF(AND(B1053="",D1053=""),"",IF(B1053="","Missing code",IF(C1053="Unknown code","Unknown code",IF(D1053="","Missing qty",IF(A1053="","Missing date","")))))</f>
        <v/>
      </c>
    </row>
    <row r="1054" customFormat="false" ht="15" hidden="false" customHeight="false" outlineLevel="0" collapsed="false">
      <c r="A1054" s="44"/>
      <c r="B1054" s="39"/>
      <c r="C1054" s="45" t="str">
        <f aca="false">IF(B1054="","",IFERROR(INDEX(Contract!$C$10:$C$23,MATCH(B1054,Contract!$B$10:$B$23,0)),"Unknown code"))</f>
        <v/>
      </c>
      <c r="D1054" s="46"/>
      <c r="E1054" s="39"/>
      <c r="F1054" s="39"/>
      <c r="G1054" s="47" t="str">
        <f aca="false">IF(AND(B1054="",D1054=""),"",IF(B1054="","Missing code",IF(C1054="Unknown code","Unknown code",IF(D1054="","Missing qty",IF(A1054="","Missing date","")))))</f>
        <v/>
      </c>
    </row>
    <row r="1055" customFormat="false" ht="15" hidden="false" customHeight="false" outlineLevel="0" collapsed="false">
      <c r="A1055" s="44"/>
      <c r="B1055" s="39"/>
      <c r="C1055" s="45" t="str">
        <f aca="false">IF(B1055="","",IFERROR(INDEX(Contract!$C$10:$C$23,MATCH(B1055,Contract!$B$10:$B$23,0)),"Unknown code"))</f>
        <v/>
      </c>
      <c r="D1055" s="46"/>
      <c r="E1055" s="39"/>
      <c r="F1055" s="39"/>
      <c r="G1055" s="47" t="str">
        <f aca="false">IF(AND(B1055="",D1055=""),"",IF(B1055="","Missing code",IF(C1055="Unknown code","Unknown code",IF(D1055="","Missing qty",IF(A1055="","Missing date","")))))</f>
        <v/>
      </c>
    </row>
    <row r="1056" customFormat="false" ht="15" hidden="false" customHeight="false" outlineLevel="0" collapsed="false">
      <c r="A1056" s="44"/>
      <c r="B1056" s="39"/>
      <c r="C1056" s="45" t="str">
        <f aca="false">IF(B1056="","",IFERROR(INDEX(Contract!$C$10:$C$23,MATCH(B1056,Contract!$B$10:$B$23,0)),"Unknown code"))</f>
        <v/>
      </c>
      <c r="D1056" s="46"/>
      <c r="E1056" s="39"/>
      <c r="F1056" s="39"/>
      <c r="G1056" s="47" t="str">
        <f aca="false">IF(AND(B1056="",D1056=""),"",IF(B1056="","Missing code",IF(C1056="Unknown code","Unknown code",IF(D1056="","Missing qty",IF(A1056="","Missing date","")))))</f>
        <v/>
      </c>
    </row>
    <row r="1057" customFormat="false" ht="15" hidden="false" customHeight="false" outlineLevel="0" collapsed="false">
      <c r="A1057" s="44"/>
      <c r="B1057" s="39"/>
      <c r="C1057" s="45" t="str">
        <f aca="false">IF(B1057="","",IFERROR(INDEX(Contract!$C$10:$C$23,MATCH(B1057,Contract!$B$10:$B$23,0)),"Unknown code"))</f>
        <v/>
      </c>
      <c r="D1057" s="46"/>
      <c r="E1057" s="39"/>
      <c r="F1057" s="39"/>
      <c r="G1057" s="47" t="str">
        <f aca="false">IF(AND(B1057="",D1057=""),"",IF(B1057="","Missing code",IF(C1057="Unknown code","Unknown code",IF(D1057="","Missing qty",IF(A1057="","Missing date","")))))</f>
        <v/>
      </c>
    </row>
    <row r="1058" customFormat="false" ht="15" hidden="false" customHeight="false" outlineLevel="0" collapsed="false">
      <c r="A1058" s="44"/>
      <c r="B1058" s="39"/>
      <c r="C1058" s="45" t="str">
        <f aca="false">IF(B1058="","",IFERROR(INDEX(Contract!$C$10:$C$23,MATCH(B1058,Contract!$B$10:$B$23,0)),"Unknown code"))</f>
        <v/>
      </c>
      <c r="D1058" s="46"/>
      <c r="E1058" s="39"/>
      <c r="F1058" s="39"/>
      <c r="G1058" s="47" t="str">
        <f aca="false">IF(AND(B1058="",D1058=""),"",IF(B1058="","Missing code",IF(C1058="Unknown code","Unknown code",IF(D1058="","Missing qty",IF(A1058="","Missing date","")))))</f>
        <v/>
      </c>
    </row>
    <row r="1059" customFormat="false" ht="15" hidden="false" customHeight="false" outlineLevel="0" collapsed="false">
      <c r="A1059" s="44"/>
      <c r="B1059" s="39"/>
      <c r="C1059" s="45" t="str">
        <f aca="false">IF(B1059="","",IFERROR(INDEX(Contract!$C$10:$C$23,MATCH(B1059,Contract!$B$10:$B$23,0)),"Unknown code"))</f>
        <v/>
      </c>
      <c r="D1059" s="46"/>
      <c r="E1059" s="39"/>
      <c r="F1059" s="39"/>
      <c r="G1059" s="47" t="str">
        <f aca="false">IF(AND(B1059="",D1059=""),"",IF(B1059="","Missing code",IF(C1059="Unknown code","Unknown code",IF(D1059="","Missing qty",IF(A1059="","Missing date","")))))</f>
        <v/>
      </c>
    </row>
    <row r="1060" customFormat="false" ht="15" hidden="false" customHeight="false" outlineLevel="0" collapsed="false">
      <c r="A1060" s="44"/>
      <c r="B1060" s="39"/>
      <c r="C1060" s="45" t="str">
        <f aca="false">IF(B1060="","",IFERROR(INDEX(Contract!$C$10:$C$23,MATCH(B1060,Contract!$B$10:$B$23,0)),"Unknown code"))</f>
        <v/>
      </c>
      <c r="D1060" s="46"/>
      <c r="E1060" s="39"/>
      <c r="F1060" s="39"/>
      <c r="G1060" s="47" t="str">
        <f aca="false">IF(AND(B1060="",D1060=""),"",IF(B1060="","Missing code",IF(C1060="Unknown code","Unknown code",IF(D1060="","Missing qty",IF(A1060="","Missing date","")))))</f>
        <v/>
      </c>
    </row>
    <row r="1061" customFormat="false" ht="15" hidden="false" customHeight="false" outlineLevel="0" collapsed="false">
      <c r="A1061" s="44"/>
      <c r="B1061" s="39"/>
      <c r="C1061" s="45" t="str">
        <f aca="false">IF(B1061="","",IFERROR(INDEX(Contract!$C$10:$C$23,MATCH(B1061,Contract!$B$10:$B$23,0)),"Unknown code"))</f>
        <v/>
      </c>
      <c r="D1061" s="46"/>
      <c r="E1061" s="39"/>
      <c r="F1061" s="39"/>
      <c r="G1061" s="47" t="str">
        <f aca="false">IF(AND(B1061="",D1061=""),"",IF(B1061="","Missing code",IF(C1061="Unknown code","Unknown code",IF(D1061="","Missing qty",IF(A1061="","Missing date","")))))</f>
        <v/>
      </c>
    </row>
    <row r="1062" customFormat="false" ht="15" hidden="false" customHeight="false" outlineLevel="0" collapsed="false">
      <c r="A1062" s="44"/>
      <c r="B1062" s="39"/>
      <c r="C1062" s="45" t="str">
        <f aca="false">IF(B1062="","",IFERROR(INDEX(Contract!$C$10:$C$23,MATCH(B1062,Contract!$B$10:$B$23,0)),"Unknown code"))</f>
        <v/>
      </c>
      <c r="D1062" s="46"/>
      <c r="E1062" s="39"/>
      <c r="F1062" s="39"/>
      <c r="G1062" s="47" t="str">
        <f aca="false">IF(AND(B1062="",D1062=""),"",IF(B1062="","Missing code",IF(C1062="Unknown code","Unknown code",IF(D1062="","Missing qty",IF(A1062="","Missing date","")))))</f>
        <v/>
      </c>
    </row>
    <row r="1063" customFormat="false" ht="15" hidden="false" customHeight="false" outlineLevel="0" collapsed="false">
      <c r="A1063" s="44"/>
      <c r="B1063" s="39"/>
      <c r="C1063" s="45" t="str">
        <f aca="false">IF(B1063="","",IFERROR(INDEX(Contract!$C$10:$C$23,MATCH(B1063,Contract!$B$10:$B$23,0)),"Unknown code"))</f>
        <v/>
      </c>
      <c r="D1063" s="46"/>
      <c r="E1063" s="39"/>
      <c r="F1063" s="39"/>
      <c r="G1063" s="47" t="str">
        <f aca="false">IF(AND(B1063="",D1063=""),"",IF(B1063="","Missing code",IF(C1063="Unknown code","Unknown code",IF(D1063="","Missing qty",IF(A1063="","Missing date","")))))</f>
        <v/>
      </c>
    </row>
    <row r="1064" customFormat="false" ht="15" hidden="false" customHeight="false" outlineLevel="0" collapsed="false">
      <c r="A1064" s="44"/>
      <c r="B1064" s="39"/>
      <c r="C1064" s="45" t="str">
        <f aca="false">IF(B1064="","",IFERROR(INDEX(Contract!$C$10:$C$23,MATCH(B1064,Contract!$B$10:$B$23,0)),"Unknown code"))</f>
        <v/>
      </c>
      <c r="D1064" s="46"/>
      <c r="E1064" s="39"/>
      <c r="F1064" s="39"/>
      <c r="G1064" s="47" t="str">
        <f aca="false">IF(AND(B1064="",D1064=""),"",IF(B1064="","Missing code",IF(C1064="Unknown code","Unknown code",IF(D1064="","Missing qty",IF(A1064="","Missing date","")))))</f>
        <v/>
      </c>
    </row>
    <row r="1065" customFormat="false" ht="15" hidden="false" customHeight="false" outlineLevel="0" collapsed="false">
      <c r="A1065" s="44"/>
      <c r="B1065" s="39"/>
      <c r="C1065" s="45" t="str">
        <f aca="false">IF(B1065="","",IFERROR(INDEX(Contract!$C$10:$C$23,MATCH(B1065,Contract!$B$10:$B$23,0)),"Unknown code"))</f>
        <v/>
      </c>
      <c r="D1065" s="46"/>
      <c r="E1065" s="39"/>
      <c r="F1065" s="39"/>
      <c r="G1065" s="47" t="str">
        <f aca="false">IF(AND(B1065="",D1065=""),"",IF(B1065="","Missing code",IF(C1065="Unknown code","Unknown code",IF(D1065="","Missing qty",IF(A1065="","Missing date","")))))</f>
        <v/>
      </c>
    </row>
    <row r="1066" customFormat="false" ht="15" hidden="false" customHeight="false" outlineLevel="0" collapsed="false">
      <c r="A1066" s="44"/>
      <c r="B1066" s="39"/>
      <c r="C1066" s="45" t="str">
        <f aca="false">IF(B1066="","",IFERROR(INDEX(Contract!$C$10:$C$23,MATCH(B1066,Contract!$B$10:$B$23,0)),"Unknown code"))</f>
        <v/>
      </c>
      <c r="D1066" s="46"/>
      <c r="E1066" s="39"/>
      <c r="F1066" s="39"/>
      <c r="G1066" s="47" t="str">
        <f aca="false">IF(AND(B1066="",D1066=""),"",IF(B1066="","Missing code",IF(C1066="Unknown code","Unknown code",IF(D1066="","Missing qty",IF(A1066="","Missing date","")))))</f>
        <v/>
      </c>
    </row>
    <row r="1067" customFormat="false" ht="15" hidden="false" customHeight="false" outlineLevel="0" collapsed="false">
      <c r="A1067" s="44"/>
      <c r="B1067" s="39"/>
      <c r="C1067" s="45" t="str">
        <f aca="false">IF(B1067="","",IFERROR(INDEX(Contract!$C$10:$C$23,MATCH(B1067,Contract!$B$10:$B$23,0)),"Unknown code"))</f>
        <v/>
      </c>
      <c r="D1067" s="46"/>
      <c r="E1067" s="39"/>
      <c r="F1067" s="39"/>
      <c r="G1067" s="47" t="str">
        <f aca="false">IF(AND(B1067="",D1067=""),"",IF(B1067="","Missing code",IF(C1067="Unknown code","Unknown code",IF(D1067="","Missing qty",IF(A1067="","Missing date","")))))</f>
        <v/>
      </c>
    </row>
    <row r="1068" customFormat="false" ht="15" hidden="false" customHeight="false" outlineLevel="0" collapsed="false">
      <c r="A1068" s="44"/>
      <c r="B1068" s="39"/>
      <c r="C1068" s="45" t="str">
        <f aca="false">IF(B1068="","",IFERROR(INDEX(Contract!$C$10:$C$23,MATCH(B1068,Contract!$B$10:$B$23,0)),"Unknown code"))</f>
        <v/>
      </c>
      <c r="D1068" s="46"/>
      <c r="E1068" s="39"/>
      <c r="F1068" s="39"/>
      <c r="G1068" s="47" t="str">
        <f aca="false">IF(AND(B1068="",D1068=""),"",IF(B1068="","Missing code",IF(C1068="Unknown code","Unknown code",IF(D1068="","Missing qty",IF(A1068="","Missing date","")))))</f>
        <v/>
      </c>
    </row>
    <row r="1069" customFormat="false" ht="15" hidden="false" customHeight="false" outlineLevel="0" collapsed="false">
      <c r="A1069" s="44"/>
      <c r="B1069" s="39"/>
      <c r="C1069" s="45" t="str">
        <f aca="false">IF(B1069="","",IFERROR(INDEX(Contract!$C$10:$C$23,MATCH(B1069,Contract!$B$10:$B$23,0)),"Unknown code"))</f>
        <v/>
      </c>
      <c r="D1069" s="46"/>
      <c r="E1069" s="39"/>
      <c r="F1069" s="39"/>
      <c r="G1069" s="47" t="str">
        <f aca="false">IF(AND(B1069="",D1069=""),"",IF(B1069="","Missing code",IF(C1069="Unknown code","Unknown code",IF(D1069="","Missing qty",IF(A1069="","Missing date","")))))</f>
        <v/>
      </c>
    </row>
    <row r="1070" customFormat="false" ht="15" hidden="false" customHeight="false" outlineLevel="0" collapsed="false">
      <c r="A1070" s="44"/>
      <c r="B1070" s="39"/>
      <c r="C1070" s="45" t="str">
        <f aca="false">IF(B1070="","",IFERROR(INDEX(Contract!$C$10:$C$23,MATCH(B1070,Contract!$B$10:$B$23,0)),"Unknown code"))</f>
        <v/>
      </c>
      <c r="D1070" s="46"/>
      <c r="E1070" s="39"/>
      <c r="F1070" s="39"/>
      <c r="G1070" s="47" t="str">
        <f aca="false">IF(AND(B1070="",D1070=""),"",IF(B1070="","Missing code",IF(C1070="Unknown code","Unknown code",IF(D1070="","Missing qty",IF(A1070="","Missing date","")))))</f>
        <v/>
      </c>
    </row>
    <row r="1071" customFormat="false" ht="15" hidden="false" customHeight="false" outlineLevel="0" collapsed="false">
      <c r="A1071" s="44"/>
      <c r="B1071" s="39"/>
      <c r="C1071" s="45" t="str">
        <f aca="false">IF(B1071="","",IFERROR(INDEX(Contract!$C$10:$C$23,MATCH(B1071,Contract!$B$10:$B$23,0)),"Unknown code"))</f>
        <v/>
      </c>
      <c r="D1071" s="46"/>
      <c r="E1071" s="39"/>
      <c r="F1071" s="39"/>
      <c r="G1071" s="47" t="str">
        <f aca="false">IF(AND(B1071="",D1071=""),"",IF(B1071="","Missing code",IF(C1071="Unknown code","Unknown code",IF(D1071="","Missing qty",IF(A1071="","Missing date","")))))</f>
        <v/>
      </c>
    </row>
    <row r="1072" customFormat="false" ht="15" hidden="false" customHeight="false" outlineLevel="0" collapsed="false">
      <c r="A1072" s="44"/>
      <c r="B1072" s="39"/>
      <c r="C1072" s="45" t="str">
        <f aca="false">IF(B1072="","",IFERROR(INDEX(Contract!$C$10:$C$23,MATCH(B1072,Contract!$B$10:$B$23,0)),"Unknown code"))</f>
        <v/>
      </c>
      <c r="D1072" s="46"/>
      <c r="E1072" s="39"/>
      <c r="F1072" s="39"/>
      <c r="G1072" s="47" t="str">
        <f aca="false">IF(AND(B1072="",D1072=""),"",IF(B1072="","Missing code",IF(C1072="Unknown code","Unknown code",IF(D1072="","Missing qty",IF(A1072="","Missing date","")))))</f>
        <v/>
      </c>
    </row>
    <row r="1073" customFormat="false" ht="15" hidden="false" customHeight="false" outlineLevel="0" collapsed="false">
      <c r="A1073" s="44"/>
      <c r="B1073" s="39"/>
      <c r="C1073" s="45" t="str">
        <f aca="false">IF(B1073="","",IFERROR(INDEX(Contract!$C$10:$C$23,MATCH(B1073,Contract!$B$10:$B$23,0)),"Unknown code"))</f>
        <v/>
      </c>
      <c r="D1073" s="46"/>
      <c r="E1073" s="39"/>
      <c r="F1073" s="39"/>
      <c r="G1073" s="47" t="str">
        <f aca="false">IF(AND(B1073="",D1073=""),"",IF(B1073="","Missing code",IF(C1073="Unknown code","Unknown code",IF(D1073="","Missing qty",IF(A1073="","Missing date","")))))</f>
        <v/>
      </c>
    </row>
    <row r="1074" customFormat="false" ht="15" hidden="false" customHeight="false" outlineLevel="0" collapsed="false">
      <c r="A1074" s="44"/>
      <c r="B1074" s="39"/>
      <c r="C1074" s="45" t="str">
        <f aca="false">IF(B1074="","",IFERROR(INDEX(Contract!$C$10:$C$23,MATCH(B1074,Contract!$B$10:$B$23,0)),"Unknown code"))</f>
        <v/>
      </c>
      <c r="D1074" s="46"/>
      <c r="E1074" s="39"/>
      <c r="F1074" s="39"/>
      <c r="G1074" s="47" t="str">
        <f aca="false">IF(AND(B1074="",D1074=""),"",IF(B1074="","Missing code",IF(C1074="Unknown code","Unknown code",IF(D1074="","Missing qty",IF(A1074="","Missing date","")))))</f>
        <v/>
      </c>
    </row>
    <row r="1075" customFormat="false" ht="15" hidden="false" customHeight="false" outlineLevel="0" collapsed="false">
      <c r="A1075" s="44"/>
      <c r="B1075" s="39"/>
      <c r="C1075" s="45" t="str">
        <f aca="false">IF(B1075="","",IFERROR(INDEX(Contract!$C$10:$C$23,MATCH(B1075,Contract!$B$10:$B$23,0)),"Unknown code"))</f>
        <v/>
      </c>
      <c r="D1075" s="46"/>
      <c r="E1075" s="39"/>
      <c r="F1075" s="39"/>
      <c r="G1075" s="47" t="str">
        <f aca="false">IF(AND(B1075="",D1075=""),"",IF(B1075="","Missing code",IF(C1075="Unknown code","Unknown code",IF(D1075="","Missing qty",IF(A1075="","Missing date","")))))</f>
        <v/>
      </c>
    </row>
    <row r="1076" customFormat="false" ht="15" hidden="false" customHeight="false" outlineLevel="0" collapsed="false">
      <c r="A1076" s="44"/>
      <c r="B1076" s="39"/>
      <c r="C1076" s="45" t="str">
        <f aca="false">IF(B1076="","",IFERROR(INDEX(Contract!$C$10:$C$23,MATCH(B1076,Contract!$B$10:$B$23,0)),"Unknown code"))</f>
        <v/>
      </c>
      <c r="D1076" s="46"/>
      <c r="E1076" s="39"/>
      <c r="F1076" s="39"/>
      <c r="G1076" s="47" t="str">
        <f aca="false">IF(AND(B1076="",D1076=""),"",IF(B1076="","Missing code",IF(C1076="Unknown code","Unknown code",IF(D1076="","Missing qty",IF(A1076="","Missing date","")))))</f>
        <v/>
      </c>
    </row>
    <row r="1077" customFormat="false" ht="15" hidden="false" customHeight="false" outlineLevel="0" collapsed="false">
      <c r="A1077" s="44"/>
      <c r="B1077" s="39"/>
      <c r="C1077" s="45" t="str">
        <f aca="false">IF(B1077="","",IFERROR(INDEX(Contract!$C$10:$C$23,MATCH(B1077,Contract!$B$10:$B$23,0)),"Unknown code"))</f>
        <v/>
      </c>
      <c r="D1077" s="46"/>
      <c r="E1077" s="39"/>
      <c r="F1077" s="39"/>
      <c r="G1077" s="47" t="str">
        <f aca="false">IF(AND(B1077="",D1077=""),"",IF(B1077="","Missing code",IF(C1077="Unknown code","Unknown code",IF(D1077="","Missing qty",IF(A1077="","Missing date","")))))</f>
        <v/>
      </c>
    </row>
    <row r="1078" customFormat="false" ht="15" hidden="false" customHeight="false" outlineLevel="0" collapsed="false">
      <c r="A1078" s="44"/>
      <c r="B1078" s="39"/>
      <c r="C1078" s="45" t="str">
        <f aca="false">IF(B1078="","",IFERROR(INDEX(Contract!$C$10:$C$23,MATCH(B1078,Contract!$B$10:$B$23,0)),"Unknown code"))</f>
        <v/>
      </c>
      <c r="D1078" s="46"/>
      <c r="E1078" s="39"/>
      <c r="F1078" s="39"/>
      <c r="G1078" s="47" t="str">
        <f aca="false">IF(AND(B1078="",D1078=""),"",IF(B1078="","Missing code",IF(C1078="Unknown code","Unknown code",IF(D1078="","Missing qty",IF(A1078="","Missing date","")))))</f>
        <v/>
      </c>
    </row>
    <row r="1079" customFormat="false" ht="15" hidden="false" customHeight="false" outlineLevel="0" collapsed="false">
      <c r="A1079" s="44"/>
      <c r="B1079" s="39"/>
      <c r="C1079" s="45" t="str">
        <f aca="false">IF(B1079="","",IFERROR(INDEX(Contract!$C$10:$C$23,MATCH(B1079,Contract!$B$10:$B$23,0)),"Unknown code"))</f>
        <v/>
      </c>
      <c r="D1079" s="46"/>
      <c r="E1079" s="39"/>
      <c r="F1079" s="39"/>
      <c r="G1079" s="47" t="str">
        <f aca="false">IF(AND(B1079="",D1079=""),"",IF(B1079="","Missing code",IF(C1079="Unknown code","Unknown code",IF(D1079="","Missing qty",IF(A1079="","Missing date","")))))</f>
        <v/>
      </c>
    </row>
    <row r="1080" customFormat="false" ht="15" hidden="false" customHeight="false" outlineLevel="0" collapsed="false">
      <c r="A1080" s="44"/>
      <c r="B1080" s="39"/>
      <c r="C1080" s="45" t="str">
        <f aca="false">IF(B1080="","",IFERROR(INDEX(Contract!$C$10:$C$23,MATCH(B1080,Contract!$B$10:$B$23,0)),"Unknown code"))</f>
        <v/>
      </c>
      <c r="D1080" s="46"/>
      <c r="E1080" s="39"/>
      <c r="F1080" s="39"/>
      <c r="G1080" s="47" t="str">
        <f aca="false">IF(AND(B1080="",D1080=""),"",IF(B1080="","Missing code",IF(C1080="Unknown code","Unknown code",IF(D1080="","Missing qty",IF(A1080="","Missing date","")))))</f>
        <v/>
      </c>
    </row>
    <row r="1081" customFormat="false" ht="15" hidden="false" customHeight="false" outlineLevel="0" collapsed="false">
      <c r="A1081" s="44"/>
      <c r="B1081" s="39"/>
      <c r="C1081" s="45" t="str">
        <f aca="false">IF(B1081="","",IFERROR(INDEX(Contract!$C$10:$C$23,MATCH(B1081,Contract!$B$10:$B$23,0)),"Unknown code"))</f>
        <v/>
      </c>
      <c r="D1081" s="46"/>
      <c r="E1081" s="39"/>
      <c r="F1081" s="39"/>
      <c r="G1081" s="47" t="str">
        <f aca="false">IF(AND(B1081="",D1081=""),"",IF(B1081="","Missing code",IF(C1081="Unknown code","Unknown code",IF(D1081="","Missing qty",IF(A1081="","Missing date","")))))</f>
        <v/>
      </c>
    </row>
    <row r="1082" customFormat="false" ht="15" hidden="false" customHeight="false" outlineLevel="0" collapsed="false">
      <c r="A1082" s="44"/>
      <c r="B1082" s="39"/>
      <c r="C1082" s="45" t="str">
        <f aca="false">IF(B1082="","",IFERROR(INDEX(Contract!$C$10:$C$23,MATCH(B1082,Contract!$B$10:$B$23,0)),"Unknown code"))</f>
        <v/>
      </c>
      <c r="D1082" s="46"/>
      <c r="E1082" s="39"/>
      <c r="F1082" s="39"/>
      <c r="G1082" s="47" t="str">
        <f aca="false">IF(AND(B1082="",D1082=""),"",IF(B1082="","Missing code",IF(C1082="Unknown code","Unknown code",IF(D1082="","Missing qty",IF(A1082="","Missing date","")))))</f>
        <v/>
      </c>
    </row>
    <row r="1083" customFormat="false" ht="15" hidden="false" customHeight="false" outlineLevel="0" collapsed="false">
      <c r="A1083" s="44"/>
      <c r="B1083" s="39"/>
      <c r="C1083" s="45" t="str">
        <f aca="false">IF(B1083="","",IFERROR(INDEX(Contract!$C$10:$C$23,MATCH(B1083,Contract!$B$10:$B$23,0)),"Unknown code"))</f>
        <v/>
      </c>
      <c r="D1083" s="46"/>
      <c r="E1083" s="39"/>
      <c r="F1083" s="39"/>
      <c r="G1083" s="47" t="str">
        <f aca="false">IF(AND(B1083="",D1083=""),"",IF(B1083="","Missing code",IF(C1083="Unknown code","Unknown code",IF(D1083="","Missing qty",IF(A1083="","Missing date","")))))</f>
        <v/>
      </c>
    </row>
    <row r="1084" customFormat="false" ht="15" hidden="false" customHeight="false" outlineLevel="0" collapsed="false">
      <c r="A1084" s="44"/>
      <c r="B1084" s="39"/>
      <c r="C1084" s="45" t="str">
        <f aca="false">IF(B1084="","",IFERROR(INDEX(Contract!$C$10:$C$23,MATCH(B1084,Contract!$B$10:$B$23,0)),"Unknown code"))</f>
        <v/>
      </c>
      <c r="D1084" s="46"/>
      <c r="E1084" s="39"/>
      <c r="F1084" s="39"/>
      <c r="G1084" s="47" t="str">
        <f aca="false">IF(AND(B1084="",D1084=""),"",IF(B1084="","Missing code",IF(C1084="Unknown code","Unknown code",IF(D1084="","Missing qty",IF(A1084="","Missing date","")))))</f>
        <v/>
      </c>
    </row>
    <row r="1085" customFormat="false" ht="15" hidden="false" customHeight="false" outlineLevel="0" collapsed="false">
      <c r="A1085" s="44"/>
      <c r="B1085" s="39"/>
      <c r="C1085" s="45" t="str">
        <f aca="false">IF(B1085="","",IFERROR(INDEX(Contract!$C$10:$C$23,MATCH(B1085,Contract!$B$10:$B$23,0)),"Unknown code"))</f>
        <v/>
      </c>
      <c r="D1085" s="46"/>
      <c r="E1085" s="39"/>
      <c r="F1085" s="39"/>
      <c r="G1085" s="47" t="str">
        <f aca="false">IF(AND(B1085="",D1085=""),"",IF(B1085="","Missing code",IF(C1085="Unknown code","Unknown code",IF(D1085="","Missing qty",IF(A1085="","Missing date","")))))</f>
        <v/>
      </c>
    </row>
    <row r="1086" customFormat="false" ht="15" hidden="false" customHeight="false" outlineLevel="0" collapsed="false">
      <c r="A1086" s="44"/>
      <c r="B1086" s="39"/>
      <c r="C1086" s="45" t="str">
        <f aca="false">IF(B1086="","",IFERROR(INDEX(Contract!$C$10:$C$23,MATCH(B1086,Contract!$B$10:$B$23,0)),"Unknown code"))</f>
        <v/>
      </c>
      <c r="D1086" s="46"/>
      <c r="E1086" s="39"/>
      <c r="F1086" s="39"/>
      <c r="G1086" s="47" t="str">
        <f aca="false">IF(AND(B1086="",D1086=""),"",IF(B1086="","Missing code",IF(C1086="Unknown code","Unknown code",IF(D1086="","Missing qty",IF(A1086="","Missing date","")))))</f>
        <v/>
      </c>
    </row>
    <row r="1087" customFormat="false" ht="15" hidden="false" customHeight="false" outlineLevel="0" collapsed="false">
      <c r="A1087" s="44"/>
      <c r="B1087" s="39"/>
      <c r="C1087" s="45" t="str">
        <f aca="false">IF(B1087="","",IFERROR(INDEX(Contract!$C$10:$C$23,MATCH(B1087,Contract!$B$10:$B$23,0)),"Unknown code"))</f>
        <v/>
      </c>
      <c r="D1087" s="46"/>
      <c r="E1087" s="39"/>
      <c r="F1087" s="39"/>
      <c r="G1087" s="47" t="str">
        <f aca="false">IF(AND(B1087="",D1087=""),"",IF(B1087="","Missing code",IF(C1087="Unknown code","Unknown code",IF(D1087="","Missing qty",IF(A1087="","Missing date","")))))</f>
        <v/>
      </c>
    </row>
    <row r="1088" customFormat="false" ht="15" hidden="false" customHeight="false" outlineLevel="0" collapsed="false">
      <c r="A1088" s="44"/>
      <c r="B1088" s="39"/>
      <c r="C1088" s="45" t="str">
        <f aca="false">IF(B1088="","",IFERROR(INDEX(Contract!$C$10:$C$23,MATCH(B1088,Contract!$B$10:$B$23,0)),"Unknown code"))</f>
        <v/>
      </c>
      <c r="D1088" s="46"/>
      <c r="E1088" s="39"/>
      <c r="F1088" s="39"/>
      <c r="G1088" s="47" t="str">
        <f aca="false">IF(AND(B1088="",D1088=""),"",IF(B1088="","Missing code",IF(C1088="Unknown code","Unknown code",IF(D1088="","Missing qty",IF(A1088="","Missing date","")))))</f>
        <v/>
      </c>
    </row>
    <row r="1089" customFormat="false" ht="15" hidden="false" customHeight="false" outlineLevel="0" collapsed="false">
      <c r="A1089" s="44"/>
      <c r="B1089" s="39"/>
      <c r="C1089" s="45" t="str">
        <f aca="false">IF(B1089="","",IFERROR(INDEX(Contract!$C$10:$C$23,MATCH(B1089,Contract!$B$10:$B$23,0)),"Unknown code"))</f>
        <v/>
      </c>
      <c r="D1089" s="46"/>
      <c r="E1089" s="39"/>
      <c r="F1089" s="39"/>
      <c r="G1089" s="47" t="str">
        <f aca="false">IF(AND(B1089="",D1089=""),"",IF(B1089="","Missing code",IF(C1089="Unknown code","Unknown code",IF(D1089="","Missing qty",IF(A1089="","Missing date","")))))</f>
        <v/>
      </c>
    </row>
    <row r="1090" customFormat="false" ht="15" hidden="false" customHeight="false" outlineLevel="0" collapsed="false">
      <c r="A1090" s="44"/>
      <c r="B1090" s="39"/>
      <c r="C1090" s="45" t="str">
        <f aca="false">IF(B1090="","",IFERROR(INDEX(Contract!$C$10:$C$23,MATCH(B1090,Contract!$B$10:$B$23,0)),"Unknown code"))</f>
        <v/>
      </c>
      <c r="D1090" s="46"/>
      <c r="E1090" s="39"/>
      <c r="F1090" s="39"/>
      <c r="G1090" s="47" t="str">
        <f aca="false">IF(AND(B1090="",D1090=""),"",IF(B1090="","Missing code",IF(C1090="Unknown code","Unknown code",IF(D1090="","Missing qty",IF(A1090="","Missing date","")))))</f>
        <v/>
      </c>
    </row>
    <row r="1091" customFormat="false" ht="15" hidden="false" customHeight="false" outlineLevel="0" collapsed="false">
      <c r="A1091" s="44"/>
      <c r="B1091" s="39"/>
      <c r="C1091" s="45" t="str">
        <f aca="false">IF(B1091="","",IFERROR(INDEX(Contract!$C$10:$C$23,MATCH(B1091,Contract!$B$10:$B$23,0)),"Unknown code"))</f>
        <v/>
      </c>
      <c r="D1091" s="46"/>
      <c r="E1091" s="39"/>
      <c r="F1091" s="39"/>
      <c r="G1091" s="47" t="str">
        <f aca="false">IF(AND(B1091="",D1091=""),"",IF(B1091="","Missing code",IF(C1091="Unknown code","Unknown code",IF(D1091="","Missing qty",IF(A1091="","Missing date","")))))</f>
        <v/>
      </c>
    </row>
    <row r="1092" customFormat="false" ht="15" hidden="false" customHeight="false" outlineLevel="0" collapsed="false">
      <c r="A1092" s="44"/>
      <c r="B1092" s="39"/>
      <c r="C1092" s="45" t="str">
        <f aca="false">IF(B1092="","",IFERROR(INDEX(Contract!$C$10:$C$23,MATCH(B1092,Contract!$B$10:$B$23,0)),"Unknown code"))</f>
        <v/>
      </c>
      <c r="D1092" s="46"/>
      <c r="E1092" s="39"/>
      <c r="F1092" s="39"/>
      <c r="G1092" s="47" t="str">
        <f aca="false">IF(AND(B1092="",D1092=""),"",IF(B1092="","Missing code",IF(C1092="Unknown code","Unknown code",IF(D1092="","Missing qty",IF(A1092="","Missing date","")))))</f>
        <v/>
      </c>
    </row>
    <row r="1093" customFormat="false" ht="15" hidden="false" customHeight="false" outlineLevel="0" collapsed="false">
      <c r="A1093" s="44"/>
      <c r="B1093" s="39"/>
      <c r="C1093" s="45" t="str">
        <f aca="false">IF(B1093="","",IFERROR(INDEX(Contract!$C$10:$C$23,MATCH(B1093,Contract!$B$10:$B$23,0)),"Unknown code"))</f>
        <v/>
      </c>
      <c r="D1093" s="46"/>
      <c r="E1093" s="39"/>
      <c r="F1093" s="39"/>
      <c r="G1093" s="47" t="str">
        <f aca="false">IF(AND(B1093="",D1093=""),"",IF(B1093="","Missing code",IF(C1093="Unknown code","Unknown code",IF(D1093="","Missing qty",IF(A1093="","Missing date","")))))</f>
        <v/>
      </c>
    </row>
    <row r="1094" customFormat="false" ht="15" hidden="false" customHeight="false" outlineLevel="0" collapsed="false">
      <c r="A1094" s="44"/>
      <c r="B1094" s="39"/>
      <c r="C1094" s="45" t="str">
        <f aca="false">IF(B1094="","",IFERROR(INDEX(Contract!$C$10:$C$23,MATCH(B1094,Contract!$B$10:$B$23,0)),"Unknown code"))</f>
        <v/>
      </c>
      <c r="D1094" s="46"/>
      <c r="E1094" s="39"/>
      <c r="F1094" s="39"/>
      <c r="G1094" s="47" t="str">
        <f aca="false">IF(AND(B1094="",D1094=""),"",IF(B1094="","Missing code",IF(C1094="Unknown code","Unknown code",IF(D1094="","Missing qty",IF(A1094="","Missing date","")))))</f>
        <v/>
      </c>
    </row>
    <row r="1095" customFormat="false" ht="15" hidden="false" customHeight="false" outlineLevel="0" collapsed="false">
      <c r="A1095" s="44"/>
      <c r="B1095" s="39"/>
      <c r="C1095" s="45" t="str">
        <f aca="false">IF(B1095="","",IFERROR(INDEX(Contract!$C$10:$C$23,MATCH(B1095,Contract!$B$10:$B$23,0)),"Unknown code"))</f>
        <v/>
      </c>
      <c r="D1095" s="46"/>
      <c r="E1095" s="39"/>
      <c r="F1095" s="39"/>
      <c r="G1095" s="47" t="str">
        <f aca="false">IF(AND(B1095="",D1095=""),"",IF(B1095="","Missing code",IF(C1095="Unknown code","Unknown code",IF(D1095="","Missing qty",IF(A1095="","Missing date","")))))</f>
        <v/>
      </c>
    </row>
    <row r="1096" customFormat="false" ht="15" hidden="false" customHeight="false" outlineLevel="0" collapsed="false">
      <c r="A1096" s="44"/>
      <c r="B1096" s="39"/>
      <c r="C1096" s="45" t="str">
        <f aca="false">IF(B1096="","",IFERROR(INDEX(Contract!$C$10:$C$23,MATCH(B1096,Contract!$B$10:$B$23,0)),"Unknown code"))</f>
        <v/>
      </c>
      <c r="D1096" s="46"/>
      <c r="E1096" s="39"/>
      <c r="F1096" s="39"/>
      <c r="G1096" s="47" t="str">
        <f aca="false">IF(AND(B1096="",D1096=""),"",IF(B1096="","Missing code",IF(C1096="Unknown code","Unknown code",IF(D1096="","Missing qty",IF(A1096="","Missing date","")))))</f>
        <v/>
      </c>
    </row>
    <row r="1097" customFormat="false" ht="15" hidden="false" customHeight="false" outlineLevel="0" collapsed="false">
      <c r="A1097" s="44"/>
      <c r="B1097" s="39"/>
      <c r="C1097" s="45" t="str">
        <f aca="false">IF(B1097="","",IFERROR(INDEX(Contract!$C$10:$C$23,MATCH(B1097,Contract!$B$10:$B$23,0)),"Unknown code"))</f>
        <v/>
      </c>
      <c r="D1097" s="46"/>
      <c r="E1097" s="39"/>
      <c r="F1097" s="39"/>
      <c r="G1097" s="47" t="str">
        <f aca="false">IF(AND(B1097="",D1097=""),"",IF(B1097="","Missing code",IF(C1097="Unknown code","Unknown code",IF(D1097="","Missing qty",IF(A1097="","Missing date","")))))</f>
        <v/>
      </c>
    </row>
    <row r="1098" customFormat="false" ht="15" hidden="false" customHeight="false" outlineLevel="0" collapsed="false">
      <c r="A1098" s="44"/>
      <c r="B1098" s="39"/>
      <c r="C1098" s="45" t="str">
        <f aca="false">IF(B1098="","",IFERROR(INDEX(Contract!$C$10:$C$23,MATCH(B1098,Contract!$B$10:$B$23,0)),"Unknown code"))</f>
        <v/>
      </c>
      <c r="D1098" s="46"/>
      <c r="E1098" s="39"/>
      <c r="F1098" s="39"/>
      <c r="G1098" s="47" t="str">
        <f aca="false">IF(AND(B1098="",D1098=""),"",IF(B1098="","Missing code",IF(C1098="Unknown code","Unknown code",IF(D1098="","Missing qty",IF(A1098="","Missing date","")))))</f>
        <v/>
      </c>
    </row>
    <row r="1099" customFormat="false" ht="15" hidden="false" customHeight="false" outlineLevel="0" collapsed="false">
      <c r="A1099" s="44"/>
      <c r="B1099" s="39"/>
      <c r="C1099" s="45" t="str">
        <f aca="false">IF(B1099="","",IFERROR(INDEX(Contract!$C$10:$C$23,MATCH(B1099,Contract!$B$10:$B$23,0)),"Unknown code"))</f>
        <v/>
      </c>
      <c r="D1099" s="46"/>
      <c r="E1099" s="39"/>
      <c r="F1099" s="39"/>
      <c r="G1099" s="47" t="str">
        <f aca="false">IF(AND(B1099="",D1099=""),"",IF(B1099="","Missing code",IF(C1099="Unknown code","Unknown code",IF(D1099="","Missing qty",IF(A1099="","Missing date","")))))</f>
        <v/>
      </c>
    </row>
    <row r="1100" customFormat="false" ht="15" hidden="false" customHeight="false" outlineLevel="0" collapsed="false">
      <c r="A1100" s="44"/>
      <c r="B1100" s="39"/>
      <c r="C1100" s="45" t="str">
        <f aca="false">IF(B1100="","",IFERROR(INDEX(Contract!$C$10:$C$23,MATCH(B1100,Contract!$B$10:$B$23,0)),"Unknown code"))</f>
        <v/>
      </c>
      <c r="D1100" s="46"/>
      <c r="E1100" s="39"/>
      <c r="F1100" s="39"/>
      <c r="G1100" s="47" t="str">
        <f aca="false">IF(AND(B1100="",D1100=""),"",IF(B1100="","Missing code",IF(C1100="Unknown code","Unknown code",IF(D1100="","Missing qty",IF(A1100="","Missing date","")))))</f>
        <v/>
      </c>
    </row>
    <row r="1101" customFormat="false" ht="15" hidden="false" customHeight="false" outlineLevel="0" collapsed="false">
      <c r="A1101" s="44"/>
      <c r="B1101" s="39"/>
      <c r="C1101" s="45" t="str">
        <f aca="false">IF(B1101="","",IFERROR(INDEX(Contract!$C$10:$C$23,MATCH(B1101,Contract!$B$10:$B$23,0)),"Unknown code"))</f>
        <v/>
      </c>
      <c r="D1101" s="46"/>
      <c r="E1101" s="39"/>
      <c r="F1101" s="39"/>
      <c r="G1101" s="47" t="str">
        <f aca="false">IF(AND(B1101="",D1101=""),"",IF(B1101="","Missing code",IF(C1101="Unknown code","Unknown code",IF(D1101="","Missing qty",IF(A1101="","Missing date","")))))</f>
        <v/>
      </c>
    </row>
    <row r="1102" customFormat="false" ht="15" hidden="false" customHeight="false" outlineLevel="0" collapsed="false">
      <c r="A1102" s="44"/>
      <c r="B1102" s="39"/>
      <c r="C1102" s="45" t="str">
        <f aca="false">IF(B1102="","",IFERROR(INDEX(Contract!$C$10:$C$23,MATCH(B1102,Contract!$B$10:$B$23,0)),"Unknown code"))</f>
        <v/>
      </c>
      <c r="D1102" s="46"/>
      <c r="E1102" s="39"/>
      <c r="F1102" s="39"/>
      <c r="G1102" s="47" t="str">
        <f aca="false">IF(AND(B1102="",D1102=""),"",IF(B1102="","Missing code",IF(C1102="Unknown code","Unknown code",IF(D1102="","Missing qty",IF(A1102="","Missing date","")))))</f>
        <v/>
      </c>
    </row>
    <row r="1103" customFormat="false" ht="15" hidden="false" customHeight="false" outlineLevel="0" collapsed="false">
      <c r="A1103" s="44"/>
      <c r="B1103" s="39"/>
      <c r="C1103" s="45" t="str">
        <f aca="false">IF(B1103="","",IFERROR(INDEX(Contract!$C$10:$C$23,MATCH(B1103,Contract!$B$10:$B$23,0)),"Unknown code"))</f>
        <v/>
      </c>
      <c r="D1103" s="46"/>
      <c r="E1103" s="39"/>
      <c r="F1103" s="39"/>
      <c r="G1103" s="47" t="str">
        <f aca="false">IF(AND(B1103="",D1103=""),"",IF(B1103="","Missing code",IF(C1103="Unknown code","Unknown code",IF(D1103="","Missing qty",IF(A1103="","Missing date","")))))</f>
        <v/>
      </c>
    </row>
    <row r="1104" customFormat="false" ht="15" hidden="false" customHeight="false" outlineLevel="0" collapsed="false">
      <c r="A1104" s="44"/>
      <c r="B1104" s="39"/>
      <c r="C1104" s="45" t="str">
        <f aca="false">IF(B1104="","",IFERROR(INDEX(Contract!$C$10:$C$23,MATCH(B1104,Contract!$B$10:$B$23,0)),"Unknown code"))</f>
        <v/>
      </c>
      <c r="D1104" s="46"/>
      <c r="E1104" s="39"/>
      <c r="F1104" s="39"/>
      <c r="G1104" s="47" t="str">
        <f aca="false">IF(AND(B1104="",D1104=""),"",IF(B1104="","Missing code",IF(C1104="Unknown code","Unknown code",IF(D1104="","Missing qty",IF(A1104="","Missing date","")))))</f>
        <v/>
      </c>
    </row>
    <row r="1105" customFormat="false" ht="15" hidden="false" customHeight="false" outlineLevel="0" collapsed="false">
      <c r="A1105" s="44"/>
      <c r="B1105" s="39"/>
      <c r="C1105" s="45" t="str">
        <f aca="false">IF(B1105="","",IFERROR(INDEX(Contract!$C$10:$C$23,MATCH(B1105,Contract!$B$10:$B$23,0)),"Unknown code"))</f>
        <v/>
      </c>
      <c r="D1105" s="46"/>
      <c r="E1105" s="39"/>
      <c r="F1105" s="39"/>
      <c r="G1105" s="47" t="str">
        <f aca="false">IF(AND(B1105="",D1105=""),"",IF(B1105="","Missing code",IF(C1105="Unknown code","Unknown code",IF(D1105="","Missing qty",IF(A1105="","Missing date","")))))</f>
        <v/>
      </c>
    </row>
    <row r="1106" customFormat="false" ht="15" hidden="false" customHeight="false" outlineLevel="0" collapsed="false">
      <c r="A1106" s="44"/>
      <c r="B1106" s="39"/>
      <c r="C1106" s="45" t="str">
        <f aca="false">IF(B1106="","",IFERROR(INDEX(Contract!$C$10:$C$23,MATCH(B1106,Contract!$B$10:$B$23,0)),"Unknown code"))</f>
        <v/>
      </c>
      <c r="D1106" s="46"/>
      <c r="E1106" s="39"/>
      <c r="F1106" s="39"/>
      <c r="G1106" s="47" t="str">
        <f aca="false">IF(AND(B1106="",D1106=""),"",IF(B1106="","Missing code",IF(C1106="Unknown code","Unknown code",IF(D1106="","Missing qty",IF(A1106="","Missing date","")))))</f>
        <v/>
      </c>
    </row>
    <row r="1107" customFormat="false" ht="15" hidden="false" customHeight="false" outlineLevel="0" collapsed="false">
      <c r="A1107" s="44"/>
      <c r="B1107" s="39"/>
      <c r="C1107" s="45" t="str">
        <f aca="false">IF(B1107="","",IFERROR(INDEX(Contract!$C$10:$C$23,MATCH(B1107,Contract!$B$10:$B$23,0)),"Unknown code"))</f>
        <v/>
      </c>
      <c r="D1107" s="46"/>
      <c r="E1107" s="39"/>
      <c r="F1107" s="39"/>
      <c r="G1107" s="47" t="str">
        <f aca="false">IF(AND(B1107="",D1107=""),"",IF(B1107="","Missing code",IF(C1107="Unknown code","Unknown code",IF(D1107="","Missing qty",IF(A1107="","Missing date","")))))</f>
        <v/>
      </c>
    </row>
    <row r="1108" customFormat="false" ht="15" hidden="false" customHeight="false" outlineLevel="0" collapsed="false">
      <c r="A1108" s="44"/>
      <c r="B1108" s="39"/>
      <c r="C1108" s="45" t="str">
        <f aca="false">IF(B1108="","",IFERROR(INDEX(Contract!$C$10:$C$23,MATCH(B1108,Contract!$B$10:$B$23,0)),"Unknown code"))</f>
        <v/>
      </c>
      <c r="D1108" s="46"/>
      <c r="E1108" s="39"/>
      <c r="F1108" s="39"/>
      <c r="G1108" s="47" t="str">
        <f aca="false">IF(AND(B1108="",D1108=""),"",IF(B1108="","Missing code",IF(C1108="Unknown code","Unknown code",IF(D1108="","Missing qty",IF(A1108="","Missing date","")))))</f>
        <v/>
      </c>
    </row>
    <row r="1109" customFormat="false" ht="15" hidden="false" customHeight="false" outlineLevel="0" collapsed="false">
      <c r="A1109" s="44"/>
      <c r="B1109" s="39"/>
      <c r="C1109" s="45" t="str">
        <f aca="false">IF(B1109="","",IFERROR(INDEX(Contract!$C$10:$C$23,MATCH(B1109,Contract!$B$10:$B$23,0)),"Unknown code"))</f>
        <v/>
      </c>
      <c r="D1109" s="46"/>
      <c r="E1109" s="39"/>
      <c r="F1109" s="39"/>
      <c r="G1109" s="47" t="str">
        <f aca="false">IF(AND(B1109="",D1109=""),"",IF(B1109="","Missing code",IF(C1109="Unknown code","Unknown code",IF(D1109="","Missing qty",IF(A1109="","Missing date","")))))</f>
        <v/>
      </c>
    </row>
    <row r="1110" customFormat="false" ht="15" hidden="false" customHeight="false" outlineLevel="0" collapsed="false">
      <c r="A1110" s="44"/>
      <c r="B1110" s="39"/>
      <c r="C1110" s="45" t="str">
        <f aca="false">IF(B1110="","",IFERROR(INDEX(Contract!$C$10:$C$23,MATCH(B1110,Contract!$B$10:$B$23,0)),"Unknown code"))</f>
        <v/>
      </c>
      <c r="D1110" s="46"/>
      <c r="E1110" s="39"/>
      <c r="F1110" s="39"/>
      <c r="G1110" s="47" t="str">
        <f aca="false">IF(AND(B1110="",D1110=""),"",IF(B1110="","Missing code",IF(C1110="Unknown code","Unknown code",IF(D1110="","Missing qty",IF(A1110="","Missing date","")))))</f>
        <v/>
      </c>
    </row>
    <row r="1111" customFormat="false" ht="15" hidden="false" customHeight="false" outlineLevel="0" collapsed="false">
      <c r="A1111" s="44"/>
      <c r="B1111" s="39"/>
      <c r="C1111" s="45" t="str">
        <f aca="false">IF(B1111="","",IFERROR(INDEX(Contract!$C$10:$C$23,MATCH(B1111,Contract!$B$10:$B$23,0)),"Unknown code"))</f>
        <v/>
      </c>
      <c r="D1111" s="46"/>
      <c r="E1111" s="39"/>
      <c r="F1111" s="39"/>
      <c r="G1111" s="47" t="str">
        <f aca="false">IF(AND(B1111="",D1111=""),"",IF(B1111="","Missing code",IF(C1111="Unknown code","Unknown code",IF(D1111="","Missing qty",IF(A1111="","Missing date","")))))</f>
        <v/>
      </c>
    </row>
    <row r="1112" customFormat="false" ht="15" hidden="false" customHeight="false" outlineLevel="0" collapsed="false">
      <c r="A1112" s="44"/>
      <c r="B1112" s="39"/>
      <c r="C1112" s="45" t="str">
        <f aca="false">IF(B1112="","",IFERROR(INDEX(Contract!$C$10:$C$23,MATCH(B1112,Contract!$B$10:$B$23,0)),"Unknown code"))</f>
        <v/>
      </c>
      <c r="D1112" s="46"/>
      <c r="E1112" s="39"/>
      <c r="F1112" s="39"/>
      <c r="G1112" s="47" t="str">
        <f aca="false">IF(AND(B1112="",D1112=""),"",IF(B1112="","Missing code",IF(C1112="Unknown code","Unknown code",IF(D1112="","Missing qty",IF(A1112="","Missing date","")))))</f>
        <v/>
      </c>
    </row>
    <row r="1113" customFormat="false" ht="15" hidden="false" customHeight="false" outlineLevel="0" collapsed="false">
      <c r="A1113" s="44"/>
      <c r="B1113" s="39"/>
      <c r="C1113" s="45" t="str">
        <f aca="false">IF(B1113="","",IFERROR(INDEX(Contract!$C$10:$C$23,MATCH(B1113,Contract!$B$10:$B$23,0)),"Unknown code"))</f>
        <v/>
      </c>
      <c r="D1113" s="46"/>
      <c r="E1113" s="39"/>
      <c r="F1113" s="39"/>
      <c r="G1113" s="47" t="str">
        <f aca="false">IF(AND(B1113="",D1113=""),"",IF(B1113="","Missing code",IF(C1113="Unknown code","Unknown code",IF(D1113="","Missing qty",IF(A1113="","Missing date","")))))</f>
        <v/>
      </c>
    </row>
    <row r="1114" customFormat="false" ht="15" hidden="false" customHeight="false" outlineLevel="0" collapsed="false">
      <c r="A1114" s="44"/>
      <c r="B1114" s="39"/>
      <c r="C1114" s="45" t="str">
        <f aca="false">IF(B1114="","",IFERROR(INDEX(Contract!$C$10:$C$23,MATCH(B1114,Contract!$B$10:$B$23,0)),"Unknown code"))</f>
        <v/>
      </c>
      <c r="D1114" s="46"/>
      <c r="E1114" s="39"/>
      <c r="F1114" s="39"/>
      <c r="G1114" s="47" t="str">
        <f aca="false">IF(AND(B1114="",D1114=""),"",IF(B1114="","Missing code",IF(C1114="Unknown code","Unknown code",IF(D1114="","Missing qty",IF(A1114="","Missing date","")))))</f>
        <v/>
      </c>
    </row>
    <row r="1115" customFormat="false" ht="15" hidden="false" customHeight="false" outlineLevel="0" collapsed="false">
      <c r="A1115" s="44"/>
      <c r="B1115" s="39"/>
      <c r="C1115" s="45" t="str">
        <f aca="false">IF(B1115="","",IFERROR(INDEX(Contract!$C$10:$C$23,MATCH(B1115,Contract!$B$10:$B$23,0)),"Unknown code"))</f>
        <v/>
      </c>
      <c r="D1115" s="46"/>
      <c r="E1115" s="39"/>
      <c r="F1115" s="39"/>
      <c r="G1115" s="47" t="str">
        <f aca="false">IF(AND(B1115="",D1115=""),"",IF(B1115="","Missing code",IF(C1115="Unknown code","Unknown code",IF(D1115="","Missing qty",IF(A1115="","Missing date","")))))</f>
        <v/>
      </c>
    </row>
    <row r="1116" customFormat="false" ht="15" hidden="false" customHeight="false" outlineLevel="0" collapsed="false">
      <c r="A1116" s="44"/>
      <c r="B1116" s="39"/>
      <c r="C1116" s="45" t="str">
        <f aca="false">IF(B1116="","",IFERROR(INDEX(Contract!$C$10:$C$23,MATCH(B1116,Contract!$B$10:$B$23,0)),"Unknown code"))</f>
        <v/>
      </c>
      <c r="D1116" s="46"/>
      <c r="E1116" s="39"/>
      <c r="F1116" s="39"/>
      <c r="G1116" s="47" t="str">
        <f aca="false">IF(AND(B1116="",D1116=""),"",IF(B1116="","Missing code",IF(C1116="Unknown code","Unknown code",IF(D1116="","Missing qty",IF(A1116="","Missing date","")))))</f>
        <v/>
      </c>
    </row>
    <row r="1117" customFormat="false" ht="15" hidden="false" customHeight="false" outlineLevel="0" collapsed="false">
      <c r="A1117" s="44"/>
      <c r="B1117" s="39"/>
      <c r="C1117" s="45" t="str">
        <f aca="false">IF(B1117="","",IFERROR(INDEX(Contract!$C$10:$C$23,MATCH(B1117,Contract!$B$10:$B$23,0)),"Unknown code"))</f>
        <v/>
      </c>
      <c r="D1117" s="46"/>
      <c r="E1117" s="39"/>
      <c r="F1117" s="39"/>
      <c r="G1117" s="47" t="str">
        <f aca="false">IF(AND(B1117="",D1117=""),"",IF(B1117="","Missing code",IF(C1117="Unknown code","Unknown code",IF(D1117="","Missing qty",IF(A1117="","Missing date","")))))</f>
        <v/>
      </c>
    </row>
    <row r="1118" customFormat="false" ht="15" hidden="false" customHeight="false" outlineLevel="0" collapsed="false">
      <c r="A1118" s="44"/>
      <c r="B1118" s="39"/>
      <c r="C1118" s="45" t="str">
        <f aca="false">IF(B1118="","",IFERROR(INDEX(Contract!$C$10:$C$23,MATCH(B1118,Contract!$B$10:$B$23,0)),"Unknown code"))</f>
        <v/>
      </c>
      <c r="D1118" s="46"/>
      <c r="E1118" s="39"/>
      <c r="F1118" s="39"/>
      <c r="G1118" s="47" t="str">
        <f aca="false">IF(AND(B1118="",D1118=""),"",IF(B1118="","Missing code",IF(C1118="Unknown code","Unknown code",IF(D1118="","Missing qty",IF(A1118="","Missing date","")))))</f>
        <v/>
      </c>
    </row>
    <row r="1119" customFormat="false" ht="15" hidden="false" customHeight="false" outlineLevel="0" collapsed="false">
      <c r="A1119" s="44"/>
      <c r="B1119" s="39"/>
      <c r="C1119" s="45" t="str">
        <f aca="false">IF(B1119="","",IFERROR(INDEX(Contract!$C$10:$C$23,MATCH(B1119,Contract!$B$10:$B$23,0)),"Unknown code"))</f>
        <v/>
      </c>
      <c r="D1119" s="46"/>
      <c r="E1119" s="39"/>
      <c r="F1119" s="39"/>
      <c r="G1119" s="47" t="str">
        <f aca="false">IF(AND(B1119="",D1119=""),"",IF(B1119="","Missing code",IF(C1119="Unknown code","Unknown code",IF(D1119="","Missing qty",IF(A1119="","Missing date","")))))</f>
        <v/>
      </c>
    </row>
    <row r="1120" customFormat="false" ht="15" hidden="false" customHeight="false" outlineLevel="0" collapsed="false">
      <c r="A1120" s="44"/>
      <c r="B1120" s="39"/>
      <c r="C1120" s="45" t="str">
        <f aca="false">IF(B1120="","",IFERROR(INDEX(Contract!$C$10:$C$23,MATCH(B1120,Contract!$B$10:$B$23,0)),"Unknown code"))</f>
        <v/>
      </c>
      <c r="D1120" s="46"/>
      <c r="E1120" s="39"/>
      <c r="F1120" s="39"/>
      <c r="G1120" s="47" t="str">
        <f aca="false">IF(AND(B1120="",D1120=""),"",IF(B1120="","Missing code",IF(C1120="Unknown code","Unknown code",IF(D1120="","Missing qty",IF(A1120="","Missing date","")))))</f>
        <v/>
      </c>
    </row>
    <row r="1121" customFormat="false" ht="15" hidden="false" customHeight="false" outlineLevel="0" collapsed="false">
      <c r="A1121" s="44"/>
      <c r="B1121" s="39"/>
      <c r="C1121" s="45" t="str">
        <f aca="false">IF(B1121="","",IFERROR(INDEX(Contract!$C$10:$C$23,MATCH(B1121,Contract!$B$10:$B$23,0)),"Unknown code"))</f>
        <v/>
      </c>
      <c r="D1121" s="46"/>
      <c r="E1121" s="39"/>
      <c r="F1121" s="39"/>
      <c r="G1121" s="47" t="str">
        <f aca="false">IF(AND(B1121="",D1121=""),"",IF(B1121="","Missing code",IF(C1121="Unknown code","Unknown code",IF(D1121="","Missing qty",IF(A1121="","Missing date","")))))</f>
        <v/>
      </c>
    </row>
    <row r="1122" customFormat="false" ht="15" hidden="false" customHeight="false" outlineLevel="0" collapsed="false">
      <c r="A1122" s="44"/>
      <c r="B1122" s="39"/>
      <c r="C1122" s="45" t="str">
        <f aca="false">IF(B1122="","",IFERROR(INDEX(Contract!$C$10:$C$23,MATCH(B1122,Contract!$B$10:$B$23,0)),"Unknown code"))</f>
        <v/>
      </c>
      <c r="D1122" s="46"/>
      <c r="E1122" s="39"/>
      <c r="F1122" s="39"/>
      <c r="G1122" s="47" t="str">
        <f aca="false">IF(AND(B1122="",D1122=""),"",IF(B1122="","Missing code",IF(C1122="Unknown code","Unknown code",IF(D1122="","Missing qty",IF(A1122="","Missing date","")))))</f>
        <v/>
      </c>
    </row>
    <row r="1123" customFormat="false" ht="15" hidden="false" customHeight="false" outlineLevel="0" collapsed="false">
      <c r="A1123" s="44"/>
      <c r="B1123" s="39"/>
      <c r="C1123" s="45" t="str">
        <f aca="false">IF(B1123="","",IFERROR(INDEX(Contract!$C$10:$C$23,MATCH(B1123,Contract!$B$10:$B$23,0)),"Unknown code"))</f>
        <v/>
      </c>
      <c r="D1123" s="46"/>
      <c r="E1123" s="39"/>
      <c r="F1123" s="39"/>
      <c r="G1123" s="47" t="str">
        <f aca="false">IF(AND(B1123="",D1123=""),"",IF(B1123="","Missing code",IF(C1123="Unknown code","Unknown code",IF(D1123="","Missing qty",IF(A1123="","Missing date","")))))</f>
        <v/>
      </c>
    </row>
    <row r="1124" customFormat="false" ht="15" hidden="false" customHeight="false" outlineLevel="0" collapsed="false">
      <c r="A1124" s="44"/>
      <c r="B1124" s="39"/>
      <c r="C1124" s="45" t="str">
        <f aca="false">IF(B1124="","",IFERROR(INDEX(Contract!$C$10:$C$23,MATCH(B1124,Contract!$B$10:$B$23,0)),"Unknown code"))</f>
        <v/>
      </c>
      <c r="D1124" s="46"/>
      <c r="E1124" s="39"/>
      <c r="F1124" s="39"/>
      <c r="G1124" s="47" t="str">
        <f aca="false">IF(AND(B1124="",D1124=""),"",IF(B1124="","Missing code",IF(C1124="Unknown code","Unknown code",IF(D1124="","Missing qty",IF(A1124="","Missing date","")))))</f>
        <v/>
      </c>
    </row>
    <row r="1125" customFormat="false" ht="15" hidden="false" customHeight="false" outlineLevel="0" collapsed="false">
      <c r="A1125" s="44"/>
      <c r="B1125" s="39"/>
      <c r="C1125" s="45" t="str">
        <f aca="false">IF(B1125="","",IFERROR(INDEX(Contract!$C$10:$C$23,MATCH(B1125,Contract!$B$10:$B$23,0)),"Unknown code"))</f>
        <v/>
      </c>
      <c r="D1125" s="46"/>
      <c r="E1125" s="39"/>
      <c r="F1125" s="39"/>
      <c r="G1125" s="47" t="str">
        <f aca="false">IF(AND(B1125="",D1125=""),"",IF(B1125="","Missing code",IF(C1125="Unknown code","Unknown code",IF(D1125="","Missing qty",IF(A1125="","Missing date","")))))</f>
        <v/>
      </c>
    </row>
    <row r="1126" customFormat="false" ht="15" hidden="false" customHeight="false" outlineLevel="0" collapsed="false">
      <c r="A1126" s="44"/>
      <c r="B1126" s="39"/>
      <c r="C1126" s="45" t="str">
        <f aca="false">IF(B1126="","",IFERROR(INDEX(Contract!$C$10:$C$23,MATCH(B1126,Contract!$B$10:$B$23,0)),"Unknown code"))</f>
        <v/>
      </c>
      <c r="D1126" s="46"/>
      <c r="E1126" s="39"/>
      <c r="F1126" s="39"/>
      <c r="G1126" s="47" t="str">
        <f aca="false">IF(AND(B1126="",D1126=""),"",IF(B1126="","Missing code",IF(C1126="Unknown code","Unknown code",IF(D1126="","Missing qty",IF(A1126="","Missing date","")))))</f>
        <v/>
      </c>
    </row>
    <row r="1127" customFormat="false" ht="15" hidden="false" customHeight="false" outlineLevel="0" collapsed="false">
      <c r="A1127" s="44"/>
      <c r="B1127" s="39"/>
      <c r="C1127" s="45" t="str">
        <f aca="false">IF(B1127="","",IFERROR(INDEX(Contract!$C$10:$C$23,MATCH(B1127,Contract!$B$10:$B$23,0)),"Unknown code"))</f>
        <v/>
      </c>
      <c r="D1127" s="46"/>
      <c r="E1127" s="39"/>
      <c r="F1127" s="39"/>
      <c r="G1127" s="47" t="str">
        <f aca="false">IF(AND(B1127="",D1127=""),"",IF(B1127="","Missing code",IF(C1127="Unknown code","Unknown code",IF(D1127="","Missing qty",IF(A1127="","Missing date","")))))</f>
        <v/>
      </c>
    </row>
    <row r="1128" customFormat="false" ht="15" hidden="false" customHeight="false" outlineLevel="0" collapsed="false">
      <c r="A1128" s="44"/>
      <c r="B1128" s="39"/>
      <c r="C1128" s="45" t="str">
        <f aca="false">IF(B1128="","",IFERROR(INDEX(Contract!$C$10:$C$23,MATCH(B1128,Contract!$B$10:$B$23,0)),"Unknown code"))</f>
        <v/>
      </c>
      <c r="D1128" s="46"/>
      <c r="E1128" s="39"/>
      <c r="F1128" s="39"/>
      <c r="G1128" s="47" t="str">
        <f aca="false">IF(AND(B1128="",D1128=""),"",IF(B1128="","Missing code",IF(C1128="Unknown code","Unknown code",IF(D1128="","Missing qty",IF(A1128="","Missing date","")))))</f>
        <v/>
      </c>
    </row>
    <row r="1129" customFormat="false" ht="15" hidden="false" customHeight="false" outlineLevel="0" collapsed="false">
      <c r="A1129" s="44"/>
      <c r="B1129" s="39"/>
      <c r="C1129" s="45" t="str">
        <f aca="false">IF(B1129="","",IFERROR(INDEX(Contract!$C$10:$C$23,MATCH(B1129,Contract!$B$10:$B$23,0)),"Unknown code"))</f>
        <v/>
      </c>
      <c r="D1129" s="46"/>
      <c r="E1129" s="39"/>
      <c r="F1129" s="39"/>
      <c r="G1129" s="47" t="str">
        <f aca="false">IF(AND(B1129="",D1129=""),"",IF(B1129="","Missing code",IF(C1129="Unknown code","Unknown code",IF(D1129="","Missing qty",IF(A1129="","Missing date","")))))</f>
        <v/>
      </c>
    </row>
    <row r="1130" customFormat="false" ht="15" hidden="false" customHeight="false" outlineLevel="0" collapsed="false">
      <c r="A1130" s="44"/>
      <c r="B1130" s="39"/>
      <c r="C1130" s="45" t="str">
        <f aca="false">IF(B1130="","",IFERROR(INDEX(Contract!$C$10:$C$23,MATCH(B1130,Contract!$B$10:$B$23,0)),"Unknown code"))</f>
        <v/>
      </c>
      <c r="D1130" s="46"/>
      <c r="E1130" s="39"/>
      <c r="F1130" s="39"/>
      <c r="G1130" s="47" t="str">
        <f aca="false">IF(AND(B1130="",D1130=""),"",IF(B1130="","Missing code",IF(C1130="Unknown code","Unknown code",IF(D1130="","Missing qty",IF(A1130="","Missing date","")))))</f>
        <v/>
      </c>
    </row>
    <row r="1131" customFormat="false" ht="15" hidden="false" customHeight="false" outlineLevel="0" collapsed="false">
      <c r="A1131" s="44"/>
      <c r="B1131" s="39"/>
      <c r="C1131" s="45" t="str">
        <f aca="false">IF(B1131="","",IFERROR(INDEX(Contract!$C$10:$C$23,MATCH(B1131,Contract!$B$10:$B$23,0)),"Unknown code"))</f>
        <v/>
      </c>
      <c r="D1131" s="46"/>
      <c r="E1131" s="39"/>
      <c r="F1131" s="39"/>
      <c r="G1131" s="47" t="str">
        <f aca="false">IF(AND(B1131="",D1131=""),"",IF(B1131="","Missing code",IF(C1131="Unknown code","Unknown code",IF(D1131="","Missing qty",IF(A1131="","Missing date","")))))</f>
        <v/>
      </c>
    </row>
    <row r="1132" customFormat="false" ht="15" hidden="false" customHeight="false" outlineLevel="0" collapsed="false">
      <c r="A1132" s="44"/>
      <c r="B1132" s="39"/>
      <c r="C1132" s="45" t="str">
        <f aca="false">IF(B1132="","",IFERROR(INDEX(Contract!$C$10:$C$23,MATCH(B1132,Contract!$B$10:$B$23,0)),"Unknown code"))</f>
        <v/>
      </c>
      <c r="D1132" s="46"/>
      <c r="E1132" s="39"/>
      <c r="F1132" s="39"/>
      <c r="G1132" s="47" t="str">
        <f aca="false">IF(AND(B1132="",D1132=""),"",IF(B1132="","Missing code",IF(C1132="Unknown code","Unknown code",IF(D1132="","Missing qty",IF(A1132="","Missing date","")))))</f>
        <v/>
      </c>
    </row>
    <row r="1133" customFormat="false" ht="15" hidden="false" customHeight="false" outlineLevel="0" collapsed="false">
      <c r="A1133" s="44"/>
      <c r="B1133" s="39"/>
      <c r="C1133" s="45" t="str">
        <f aca="false">IF(B1133="","",IFERROR(INDEX(Contract!$C$10:$C$23,MATCH(B1133,Contract!$B$10:$B$23,0)),"Unknown code"))</f>
        <v/>
      </c>
      <c r="D1133" s="46"/>
      <c r="E1133" s="39"/>
      <c r="F1133" s="39"/>
      <c r="G1133" s="47" t="str">
        <f aca="false">IF(AND(B1133="",D1133=""),"",IF(B1133="","Missing code",IF(C1133="Unknown code","Unknown code",IF(D1133="","Missing qty",IF(A1133="","Missing date","")))))</f>
        <v/>
      </c>
    </row>
    <row r="1134" customFormat="false" ht="15" hidden="false" customHeight="false" outlineLevel="0" collapsed="false">
      <c r="A1134" s="44"/>
      <c r="B1134" s="39"/>
      <c r="C1134" s="45" t="str">
        <f aca="false">IF(B1134="","",IFERROR(INDEX(Contract!$C$10:$C$23,MATCH(B1134,Contract!$B$10:$B$23,0)),"Unknown code"))</f>
        <v/>
      </c>
      <c r="D1134" s="46"/>
      <c r="E1134" s="39"/>
      <c r="F1134" s="39"/>
      <c r="G1134" s="47" t="str">
        <f aca="false">IF(AND(B1134="",D1134=""),"",IF(B1134="","Missing code",IF(C1134="Unknown code","Unknown code",IF(D1134="","Missing qty",IF(A1134="","Missing date","")))))</f>
        <v/>
      </c>
    </row>
    <row r="1135" customFormat="false" ht="15" hidden="false" customHeight="false" outlineLevel="0" collapsed="false">
      <c r="A1135" s="44"/>
      <c r="B1135" s="39"/>
      <c r="C1135" s="45" t="str">
        <f aca="false">IF(B1135="","",IFERROR(INDEX(Contract!$C$10:$C$23,MATCH(B1135,Contract!$B$10:$B$23,0)),"Unknown code"))</f>
        <v/>
      </c>
      <c r="D1135" s="46"/>
      <c r="E1135" s="39"/>
      <c r="F1135" s="39"/>
      <c r="G1135" s="47" t="str">
        <f aca="false">IF(AND(B1135="",D1135=""),"",IF(B1135="","Missing code",IF(C1135="Unknown code","Unknown code",IF(D1135="","Missing qty",IF(A1135="","Missing date","")))))</f>
        <v/>
      </c>
    </row>
    <row r="1136" customFormat="false" ht="15" hidden="false" customHeight="false" outlineLevel="0" collapsed="false">
      <c r="A1136" s="44"/>
      <c r="B1136" s="39"/>
      <c r="C1136" s="45" t="str">
        <f aca="false">IF(B1136="","",IFERROR(INDEX(Contract!$C$10:$C$23,MATCH(B1136,Contract!$B$10:$B$23,0)),"Unknown code"))</f>
        <v/>
      </c>
      <c r="D1136" s="46"/>
      <c r="E1136" s="39"/>
      <c r="F1136" s="39"/>
      <c r="G1136" s="47" t="str">
        <f aca="false">IF(AND(B1136="",D1136=""),"",IF(B1136="","Missing code",IF(C1136="Unknown code","Unknown code",IF(D1136="","Missing qty",IF(A1136="","Missing date","")))))</f>
        <v/>
      </c>
    </row>
    <row r="1137" customFormat="false" ht="15" hidden="false" customHeight="false" outlineLevel="0" collapsed="false">
      <c r="A1137" s="44"/>
      <c r="B1137" s="39"/>
      <c r="C1137" s="45" t="str">
        <f aca="false">IF(B1137="","",IFERROR(INDEX(Contract!$C$10:$C$23,MATCH(B1137,Contract!$B$10:$B$23,0)),"Unknown code"))</f>
        <v/>
      </c>
      <c r="D1137" s="46"/>
      <c r="E1137" s="39"/>
      <c r="F1137" s="39"/>
      <c r="G1137" s="47" t="str">
        <f aca="false">IF(AND(B1137="",D1137=""),"",IF(B1137="","Missing code",IF(C1137="Unknown code","Unknown code",IF(D1137="","Missing qty",IF(A1137="","Missing date","")))))</f>
        <v/>
      </c>
    </row>
    <row r="1138" customFormat="false" ht="15" hidden="false" customHeight="false" outlineLevel="0" collapsed="false">
      <c r="A1138" s="44"/>
      <c r="B1138" s="39"/>
      <c r="C1138" s="45" t="str">
        <f aca="false">IF(B1138="","",IFERROR(INDEX(Contract!$C$10:$C$23,MATCH(B1138,Contract!$B$10:$B$23,0)),"Unknown code"))</f>
        <v/>
      </c>
      <c r="D1138" s="46"/>
      <c r="E1138" s="39"/>
      <c r="F1138" s="39"/>
      <c r="G1138" s="47" t="str">
        <f aca="false">IF(AND(B1138="",D1138=""),"",IF(B1138="","Missing code",IF(C1138="Unknown code","Unknown code",IF(D1138="","Missing qty",IF(A1138="","Missing date","")))))</f>
        <v/>
      </c>
    </row>
    <row r="1139" customFormat="false" ht="15" hidden="false" customHeight="false" outlineLevel="0" collapsed="false">
      <c r="A1139" s="44"/>
      <c r="B1139" s="39"/>
      <c r="C1139" s="45" t="str">
        <f aca="false">IF(B1139="","",IFERROR(INDEX(Contract!$C$10:$C$23,MATCH(B1139,Contract!$B$10:$B$23,0)),"Unknown code"))</f>
        <v/>
      </c>
      <c r="D1139" s="46"/>
      <c r="E1139" s="39"/>
      <c r="F1139" s="39"/>
      <c r="G1139" s="47" t="str">
        <f aca="false">IF(AND(B1139="",D1139=""),"",IF(B1139="","Missing code",IF(C1139="Unknown code","Unknown code",IF(D1139="","Missing qty",IF(A1139="","Missing date","")))))</f>
        <v/>
      </c>
    </row>
    <row r="1140" customFormat="false" ht="15" hidden="false" customHeight="false" outlineLevel="0" collapsed="false">
      <c r="A1140" s="44"/>
      <c r="B1140" s="39"/>
      <c r="C1140" s="45" t="str">
        <f aca="false">IF(B1140="","",IFERROR(INDEX(Contract!$C$10:$C$23,MATCH(B1140,Contract!$B$10:$B$23,0)),"Unknown code"))</f>
        <v/>
      </c>
      <c r="D1140" s="46"/>
      <c r="E1140" s="39"/>
      <c r="F1140" s="39"/>
      <c r="G1140" s="47" t="str">
        <f aca="false">IF(AND(B1140="",D1140=""),"",IF(B1140="","Missing code",IF(C1140="Unknown code","Unknown code",IF(D1140="","Missing qty",IF(A1140="","Missing date","")))))</f>
        <v/>
      </c>
    </row>
    <row r="1141" customFormat="false" ht="15" hidden="false" customHeight="false" outlineLevel="0" collapsed="false">
      <c r="A1141" s="44"/>
      <c r="B1141" s="39"/>
      <c r="C1141" s="45" t="str">
        <f aca="false">IF(B1141="","",IFERROR(INDEX(Contract!$C$10:$C$23,MATCH(B1141,Contract!$B$10:$B$23,0)),"Unknown code"))</f>
        <v/>
      </c>
      <c r="D1141" s="46"/>
      <c r="E1141" s="39"/>
      <c r="F1141" s="39"/>
      <c r="G1141" s="47" t="str">
        <f aca="false">IF(AND(B1141="",D1141=""),"",IF(B1141="","Missing code",IF(C1141="Unknown code","Unknown code",IF(D1141="","Missing qty",IF(A1141="","Missing date","")))))</f>
        <v/>
      </c>
    </row>
    <row r="1142" customFormat="false" ht="15" hidden="false" customHeight="false" outlineLevel="0" collapsed="false">
      <c r="A1142" s="44"/>
      <c r="B1142" s="39"/>
      <c r="C1142" s="45" t="str">
        <f aca="false">IF(B1142="","",IFERROR(INDEX(Contract!$C$10:$C$23,MATCH(B1142,Contract!$B$10:$B$23,0)),"Unknown code"))</f>
        <v/>
      </c>
      <c r="D1142" s="46"/>
      <c r="E1142" s="39"/>
      <c r="F1142" s="39"/>
      <c r="G1142" s="47" t="str">
        <f aca="false">IF(AND(B1142="",D1142=""),"",IF(B1142="","Missing code",IF(C1142="Unknown code","Unknown code",IF(D1142="","Missing qty",IF(A1142="","Missing date","")))))</f>
        <v/>
      </c>
    </row>
    <row r="1143" customFormat="false" ht="15" hidden="false" customHeight="false" outlineLevel="0" collapsed="false">
      <c r="A1143" s="44"/>
      <c r="B1143" s="39"/>
      <c r="C1143" s="45" t="str">
        <f aca="false">IF(B1143="","",IFERROR(INDEX(Contract!$C$10:$C$23,MATCH(B1143,Contract!$B$10:$B$23,0)),"Unknown code"))</f>
        <v/>
      </c>
      <c r="D1143" s="46"/>
      <c r="E1143" s="39"/>
      <c r="F1143" s="39"/>
      <c r="G1143" s="47" t="str">
        <f aca="false">IF(AND(B1143="",D1143=""),"",IF(B1143="","Missing code",IF(C1143="Unknown code","Unknown code",IF(D1143="","Missing qty",IF(A1143="","Missing date","")))))</f>
        <v/>
      </c>
    </row>
    <row r="1144" customFormat="false" ht="15" hidden="false" customHeight="false" outlineLevel="0" collapsed="false">
      <c r="A1144" s="44"/>
      <c r="B1144" s="39"/>
      <c r="C1144" s="45" t="str">
        <f aca="false">IF(B1144="","",IFERROR(INDEX(Contract!$C$10:$C$23,MATCH(B1144,Contract!$B$10:$B$23,0)),"Unknown code"))</f>
        <v/>
      </c>
      <c r="D1144" s="46"/>
      <c r="E1144" s="39"/>
      <c r="F1144" s="39"/>
      <c r="G1144" s="47" t="str">
        <f aca="false">IF(AND(B1144="",D1144=""),"",IF(B1144="","Missing code",IF(C1144="Unknown code","Unknown code",IF(D1144="","Missing qty",IF(A1144="","Missing date","")))))</f>
        <v/>
      </c>
    </row>
    <row r="1145" customFormat="false" ht="15" hidden="false" customHeight="false" outlineLevel="0" collapsed="false">
      <c r="A1145" s="44"/>
      <c r="B1145" s="39"/>
      <c r="C1145" s="45" t="str">
        <f aca="false">IF(B1145="","",IFERROR(INDEX(Contract!$C$10:$C$23,MATCH(B1145,Contract!$B$10:$B$23,0)),"Unknown code"))</f>
        <v/>
      </c>
      <c r="D1145" s="46"/>
      <c r="E1145" s="39"/>
      <c r="F1145" s="39"/>
      <c r="G1145" s="47" t="str">
        <f aca="false">IF(AND(B1145="",D1145=""),"",IF(B1145="","Missing code",IF(C1145="Unknown code","Unknown code",IF(D1145="","Missing qty",IF(A1145="","Missing date","")))))</f>
        <v/>
      </c>
    </row>
    <row r="1146" customFormat="false" ht="15" hidden="false" customHeight="false" outlineLevel="0" collapsed="false">
      <c r="A1146" s="44"/>
      <c r="B1146" s="39"/>
      <c r="C1146" s="45" t="str">
        <f aca="false">IF(B1146="","",IFERROR(INDEX(Contract!$C$10:$C$23,MATCH(B1146,Contract!$B$10:$B$23,0)),"Unknown code"))</f>
        <v/>
      </c>
      <c r="D1146" s="46"/>
      <c r="E1146" s="39"/>
      <c r="F1146" s="39"/>
      <c r="G1146" s="47" t="str">
        <f aca="false">IF(AND(B1146="",D1146=""),"",IF(B1146="","Missing code",IF(C1146="Unknown code","Unknown code",IF(D1146="","Missing qty",IF(A1146="","Missing date","")))))</f>
        <v/>
      </c>
    </row>
    <row r="1147" customFormat="false" ht="15" hidden="false" customHeight="false" outlineLevel="0" collapsed="false">
      <c r="A1147" s="44"/>
      <c r="B1147" s="39"/>
      <c r="C1147" s="45" t="str">
        <f aca="false">IF(B1147="","",IFERROR(INDEX(Contract!$C$10:$C$23,MATCH(B1147,Contract!$B$10:$B$23,0)),"Unknown code"))</f>
        <v/>
      </c>
      <c r="D1147" s="46"/>
      <c r="E1147" s="39"/>
      <c r="F1147" s="39"/>
      <c r="G1147" s="47" t="str">
        <f aca="false">IF(AND(B1147="",D1147=""),"",IF(B1147="","Missing code",IF(C1147="Unknown code","Unknown code",IF(D1147="","Missing qty",IF(A1147="","Missing date","")))))</f>
        <v/>
      </c>
    </row>
    <row r="1148" customFormat="false" ht="15" hidden="false" customHeight="false" outlineLevel="0" collapsed="false">
      <c r="A1148" s="44"/>
      <c r="B1148" s="39"/>
      <c r="C1148" s="45" t="str">
        <f aca="false">IF(B1148="","",IFERROR(INDEX(Contract!$C$10:$C$23,MATCH(B1148,Contract!$B$10:$B$23,0)),"Unknown code"))</f>
        <v/>
      </c>
      <c r="D1148" s="46"/>
      <c r="E1148" s="39"/>
      <c r="F1148" s="39"/>
      <c r="G1148" s="47" t="str">
        <f aca="false">IF(AND(B1148="",D1148=""),"",IF(B1148="","Missing code",IF(C1148="Unknown code","Unknown code",IF(D1148="","Missing qty",IF(A1148="","Missing date","")))))</f>
        <v/>
      </c>
    </row>
    <row r="1149" customFormat="false" ht="15" hidden="false" customHeight="false" outlineLevel="0" collapsed="false">
      <c r="A1149" s="44"/>
      <c r="B1149" s="39"/>
      <c r="C1149" s="45" t="str">
        <f aca="false">IF(B1149="","",IFERROR(INDEX(Contract!$C$10:$C$23,MATCH(B1149,Contract!$B$10:$B$23,0)),"Unknown code"))</f>
        <v/>
      </c>
      <c r="D1149" s="46"/>
      <c r="E1149" s="39"/>
      <c r="F1149" s="39"/>
      <c r="G1149" s="47" t="str">
        <f aca="false">IF(AND(B1149="",D1149=""),"",IF(B1149="","Missing code",IF(C1149="Unknown code","Unknown code",IF(D1149="","Missing qty",IF(A1149="","Missing date","")))))</f>
        <v/>
      </c>
    </row>
    <row r="1150" customFormat="false" ht="15" hidden="false" customHeight="false" outlineLevel="0" collapsed="false">
      <c r="A1150" s="44"/>
      <c r="B1150" s="39"/>
      <c r="C1150" s="45" t="str">
        <f aca="false">IF(B1150="","",IFERROR(INDEX(Contract!$C$10:$C$23,MATCH(B1150,Contract!$B$10:$B$23,0)),"Unknown code"))</f>
        <v/>
      </c>
      <c r="D1150" s="46"/>
      <c r="E1150" s="39"/>
      <c r="F1150" s="39"/>
      <c r="G1150" s="47" t="str">
        <f aca="false">IF(AND(B1150="",D1150=""),"",IF(B1150="","Missing code",IF(C1150="Unknown code","Unknown code",IF(D1150="","Missing qty",IF(A1150="","Missing date","")))))</f>
        <v/>
      </c>
    </row>
    <row r="1151" customFormat="false" ht="15" hidden="false" customHeight="false" outlineLevel="0" collapsed="false">
      <c r="A1151" s="44"/>
      <c r="B1151" s="39"/>
      <c r="C1151" s="45" t="str">
        <f aca="false">IF(B1151="","",IFERROR(INDEX(Contract!$C$10:$C$23,MATCH(B1151,Contract!$B$10:$B$23,0)),"Unknown code"))</f>
        <v/>
      </c>
      <c r="D1151" s="46"/>
      <c r="E1151" s="39"/>
      <c r="F1151" s="39"/>
      <c r="G1151" s="47" t="str">
        <f aca="false">IF(AND(B1151="",D1151=""),"",IF(B1151="","Missing code",IF(C1151="Unknown code","Unknown code",IF(D1151="","Missing qty",IF(A1151="","Missing date","")))))</f>
        <v/>
      </c>
    </row>
    <row r="1152" customFormat="false" ht="15" hidden="false" customHeight="false" outlineLevel="0" collapsed="false">
      <c r="A1152" s="44"/>
      <c r="B1152" s="39"/>
      <c r="C1152" s="45" t="str">
        <f aca="false">IF(B1152="","",IFERROR(INDEX(Contract!$C$10:$C$23,MATCH(B1152,Contract!$B$10:$B$23,0)),"Unknown code"))</f>
        <v/>
      </c>
      <c r="D1152" s="46"/>
      <c r="E1152" s="39"/>
      <c r="F1152" s="39"/>
      <c r="G1152" s="47" t="str">
        <f aca="false">IF(AND(B1152="",D1152=""),"",IF(B1152="","Missing code",IF(C1152="Unknown code","Unknown code",IF(D1152="","Missing qty",IF(A1152="","Missing date","")))))</f>
        <v/>
      </c>
    </row>
    <row r="1153" customFormat="false" ht="15" hidden="false" customHeight="false" outlineLevel="0" collapsed="false">
      <c r="A1153" s="44"/>
      <c r="B1153" s="39"/>
      <c r="C1153" s="45" t="str">
        <f aca="false">IF(B1153="","",IFERROR(INDEX(Contract!$C$10:$C$23,MATCH(B1153,Contract!$B$10:$B$23,0)),"Unknown code"))</f>
        <v/>
      </c>
      <c r="D1153" s="46"/>
      <c r="E1153" s="39"/>
      <c r="F1153" s="39"/>
      <c r="G1153" s="47" t="str">
        <f aca="false">IF(AND(B1153="",D1153=""),"",IF(B1153="","Missing code",IF(C1153="Unknown code","Unknown code",IF(D1153="","Missing qty",IF(A1153="","Missing date","")))))</f>
        <v/>
      </c>
    </row>
    <row r="1154" customFormat="false" ht="15" hidden="false" customHeight="false" outlineLevel="0" collapsed="false">
      <c r="A1154" s="44"/>
      <c r="B1154" s="39"/>
      <c r="C1154" s="45" t="str">
        <f aca="false">IF(B1154="","",IFERROR(INDEX(Contract!$C$10:$C$23,MATCH(B1154,Contract!$B$10:$B$23,0)),"Unknown code"))</f>
        <v/>
      </c>
      <c r="D1154" s="46"/>
      <c r="E1154" s="39"/>
      <c r="F1154" s="39"/>
      <c r="G1154" s="47" t="str">
        <f aca="false">IF(AND(B1154="",D1154=""),"",IF(B1154="","Missing code",IF(C1154="Unknown code","Unknown code",IF(D1154="","Missing qty",IF(A1154="","Missing date","")))))</f>
        <v/>
      </c>
    </row>
    <row r="1155" customFormat="false" ht="15" hidden="false" customHeight="false" outlineLevel="0" collapsed="false">
      <c r="A1155" s="44"/>
      <c r="B1155" s="39"/>
      <c r="C1155" s="45" t="str">
        <f aca="false">IF(B1155="","",IFERROR(INDEX(Contract!$C$10:$C$23,MATCH(B1155,Contract!$B$10:$B$23,0)),"Unknown code"))</f>
        <v/>
      </c>
      <c r="D1155" s="46"/>
      <c r="E1155" s="39"/>
      <c r="F1155" s="39"/>
      <c r="G1155" s="47" t="str">
        <f aca="false">IF(AND(B1155="",D1155=""),"",IF(B1155="","Missing code",IF(C1155="Unknown code","Unknown code",IF(D1155="","Missing qty",IF(A1155="","Missing date","")))))</f>
        <v/>
      </c>
    </row>
    <row r="1156" customFormat="false" ht="15" hidden="false" customHeight="false" outlineLevel="0" collapsed="false">
      <c r="A1156" s="44"/>
      <c r="B1156" s="39"/>
      <c r="C1156" s="45" t="str">
        <f aca="false">IF(B1156="","",IFERROR(INDEX(Contract!$C$10:$C$23,MATCH(B1156,Contract!$B$10:$B$23,0)),"Unknown code"))</f>
        <v/>
      </c>
      <c r="D1156" s="46"/>
      <c r="E1156" s="39"/>
      <c r="F1156" s="39"/>
      <c r="G1156" s="47" t="str">
        <f aca="false">IF(AND(B1156="",D1156=""),"",IF(B1156="","Missing code",IF(C1156="Unknown code","Unknown code",IF(D1156="","Missing qty",IF(A1156="","Missing date","")))))</f>
        <v/>
      </c>
    </row>
    <row r="1157" customFormat="false" ht="15" hidden="false" customHeight="false" outlineLevel="0" collapsed="false">
      <c r="A1157" s="44"/>
      <c r="B1157" s="39"/>
      <c r="C1157" s="45" t="str">
        <f aca="false">IF(B1157="","",IFERROR(INDEX(Contract!$C$10:$C$23,MATCH(B1157,Contract!$B$10:$B$23,0)),"Unknown code"))</f>
        <v/>
      </c>
      <c r="D1157" s="46"/>
      <c r="E1157" s="39"/>
      <c r="F1157" s="39"/>
      <c r="G1157" s="47" t="str">
        <f aca="false">IF(AND(B1157="",D1157=""),"",IF(B1157="","Missing code",IF(C1157="Unknown code","Unknown code",IF(D1157="","Missing qty",IF(A1157="","Missing date","")))))</f>
        <v/>
      </c>
    </row>
    <row r="1158" customFormat="false" ht="15" hidden="false" customHeight="false" outlineLevel="0" collapsed="false">
      <c r="A1158" s="44"/>
      <c r="B1158" s="39"/>
      <c r="C1158" s="45" t="str">
        <f aca="false">IF(B1158="","",IFERROR(INDEX(Contract!$C$10:$C$23,MATCH(B1158,Contract!$B$10:$B$23,0)),"Unknown code"))</f>
        <v/>
      </c>
      <c r="D1158" s="46"/>
      <c r="E1158" s="39"/>
      <c r="F1158" s="39"/>
      <c r="G1158" s="47" t="str">
        <f aca="false">IF(AND(B1158="",D1158=""),"",IF(B1158="","Missing code",IF(C1158="Unknown code","Unknown code",IF(D1158="","Missing qty",IF(A1158="","Missing date","")))))</f>
        <v/>
      </c>
    </row>
    <row r="1159" customFormat="false" ht="15" hidden="false" customHeight="false" outlineLevel="0" collapsed="false">
      <c r="A1159" s="44"/>
      <c r="B1159" s="39"/>
      <c r="C1159" s="45" t="str">
        <f aca="false">IF(B1159="","",IFERROR(INDEX(Contract!$C$10:$C$23,MATCH(B1159,Contract!$B$10:$B$23,0)),"Unknown code"))</f>
        <v/>
      </c>
      <c r="D1159" s="46"/>
      <c r="E1159" s="39"/>
      <c r="F1159" s="39"/>
      <c r="G1159" s="47" t="str">
        <f aca="false">IF(AND(B1159="",D1159=""),"",IF(B1159="","Missing code",IF(C1159="Unknown code","Unknown code",IF(D1159="","Missing qty",IF(A1159="","Missing date","")))))</f>
        <v/>
      </c>
    </row>
    <row r="1160" customFormat="false" ht="15" hidden="false" customHeight="false" outlineLevel="0" collapsed="false">
      <c r="A1160" s="44"/>
      <c r="B1160" s="39"/>
      <c r="C1160" s="45" t="str">
        <f aca="false">IF(B1160="","",IFERROR(INDEX(Contract!$C$10:$C$23,MATCH(B1160,Contract!$B$10:$B$23,0)),"Unknown code"))</f>
        <v/>
      </c>
      <c r="D1160" s="46"/>
      <c r="E1160" s="39"/>
      <c r="F1160" s="39"/>
      <c r="G1160" s="47" t="str">
        <f aca="false">IF(AND(B1160="",D1160=""),"",IF(B1160="","Missing code",IF(C1160="Unknown code","Unknown code",IF(D1160="","Missing qty",IF(A1160="","Missing date","")))))</f>
        <v/>
      </c>
    </row>
    <row r="1161" customFormat="false" ht="15" hidden="false" customHeight="false" outlineLevel="0" collapsed="false">
      <c r="A1161" s="44"/>
      <c r="B1161" s="39"/>
      <c r="C1161" s="45" t="str">
        <f aca="false">IF(B1161="","",IFERROR(INDEX(Contract!$C$10:$C$23,MATCH(B1161,Contract!$B$10:$B$23,0)),"Unknown code"))</f>
        <v/>
      </c>
      <c r="D1161" s="46"/>
      <c r="E1161" s="39"/>
      <c r="F1161" s="39"/>
      <c r="G1161" s="47" t="str">
        <f aca="false">IF(AND(B1161="",D1161=""),"",IF(B1161="","Missing code",IF(C1161="Unknown code","Unknown code",IF(D1161="","Missing qty",IF(A1161="","Missing date","")))))</f>
        <v/>
      </c>
    </row>
    <row r="1162" customFormat="false" ht="15" hidden="false" customHeight="false" outlineLevel="0" collapsed="false">
      <c r="A1162" s="44"/>
      <c r="B1162" s="39"/>
      <c r="C1162" s="45" t="str">
        <f aca="false">IF(B1162="","",IFERROR(INDEX(Contract!$C$10:$C$23,MATCH(B1162,Contract!$B$10:$B$23,0)),"Unknown code"))</f>
        <v/>
      </c>
      <c r="D1162" s="46"/>
      <c r="E1162" s="39"/>
      <c r="F1162" s="39"/>
      <c r="G1162" s="47" t="str">
        <f aca="false">IF(AND(B1162="",D1162=""),"",IF(B1162="","Missing code",IF(C1162="Unknown code","Unknown code",IF(D1162="","Missing qty",IF(A1162="","Missing date","")))))</f>
        <v/>
      </c>
    </row>
    <row r="1163" customFormat="false" ht="15" hidden="false" customHeight="false" outlineLevel="0" collapsed="false">
      <c r="A1163" s="44"/>
      <c r="B1163" s="39"/>
      <c r="C1163" s="45" t="str">
        <f aca="false">IF(B1163="","",IFERROR(INDEX(Contract!$C$10:$C$23,MATCH(B1163,Contract!$B$10:$B$23,0)),"Unknown code"))</f>
        <v/>
      </c>
      <c r="D1163" s="46"/>
      <c r="E1163" s="39"/>
      <c r="F1163" s="39"/>
      <c r="G1163" s="47" t="str">
        <f aca="false">IF(AND(B1163="",D1163=""),"",IF(B1163="","Missing code",IF(C1163="Unknown code","Unknown code",IF(D1163="","Missing qty",IF(A1163="","Missing date","")))))</f>
        <v/>
      </c>
    </row>
    <row r="1164" customFormat="false" ht="15" hidden="false" customHeight="false" outlineLevel="0" collapsed="false">
      <c r="A1164" s="44"/>
      <c r="B1164" s="39"/>
      <c r="C1164" s="45" t="str">
        <f aca="false">IF(B1164="","",IFERROR(INDEX(Contract!$C$10:$C$23,MATCH(B1164,Contract!$B$10:$B$23,0)),"Unknown code"))</f>
        <v/>
      </c>
      <c r="D1164" s="46"/>
      <c r="E1164" s="39"/>
      <c r="F1164" s="39"/>
      <c r="G1164" s="47" t="str">
        <f aca="false">IF(AND(B1164="",D1164=""),"",IF(B1164="","Missing code",IF(C1164="Unknown code","Unknown code",IF(D1164="","Missing qty",IF(A1164="","Missing date","")))))</f>
        <v/>
      </c>
    </row>
    <row r="1165" customFormat="false" ht="15" hidden="false" customHeight="false" outlineLevel="0" collapsed="false">
      <c r="A1165" s="44"/>
      <c r="B1165" s="39"/>
      <c r="C1165" s="45" t="str">
        <f aca="false">IF(B1165="","",IFERROR(INDEX(Contract!$C$10:$C$23,MATCH(B1165,Contract!$B$10:$B$23,0)),"Unknown code"))</f>
        <v/>
      </c>
      <c r="D1165" s="46"/>
      <c r="E1165" s="39"/>
      <c r="F1165" s="39"/>
      <c r="G1165" s="47" t="str">
        <f aca="false">IF(AND(B1165="",D1165=""),"",IF(B1165="","Missing code",IF(C1165="Unknown code","Unknown code",IF(D1165="","Missing qty",IF(A1165="","Missing date","")))))</f>
        <v/>
      </c>
    </row>
    <row r="1166" customFormat="false" ht="15" hidden="false" customHeight="false" outlineLevel="0" collapsed="false">
      <c r="A1166" s="44"/>
      <c r="B1166" s="39"/>
      <c r="C1166" s="45" t="str">
        <f aca="false">IF(B1166="","",IFERROR(INDEX(Contract!$C$10:$C$23,MATCH(B1166,Contract!$B$10:$B$23,0)),"Unknown code"))</f>
        <v/>
      </c>
      <c r="D1166" s="46"/>
      <c r="E1166" s="39"/>
      <c r="F1166" s="39"/>
      <c r="G1166" s="47" t="str">
        <f aca="false">IF(AND(B1166="",D1166=""),"",IF(B1166="","Missing code",IF(C1166="Unknown code","Unknown code",IF(D1166="","Missing qty",IF(A1166="","Missing date","")))))</f>
        <v/>
      </c>
    </row>
    <row r="1167" customFormat="false" ht="15" hidden="false" customHeight="false" outlineLevel="0" collapsed="false">
      <c r="A1167" s="44"/>
      <c r="B1167" s="39"/>
      <c r="C1167" s="45" t="str">
        <f aca="false">IF(B1167="","",IFERROR(INDEX(Contract!$C$10:$C$23,MATCH(B1167,Contract!$B$10:$B$23,0)),"Unknown code"))</f>
        <v/>
      </c>
      <c r="D1167" s="46"/>
      <c r="E1167" s="39"/>
      <c r="F1167" s="39"/>
      <c r="G1167" s="47" t="str">
        <f aca="false">IF(AND(B1167="",D1167=""),"",IF(B1167="","Missing code",IF(C1167="Unknown code","Unknown code",IF(D1167="","Missing qty",IF(A1167="","Missing date","")))))</f>
        <v/>
      </c>
    </row>
    <row r="1168" customFormat="false" ht="15" hidden="false" customHeight="false" outlineLevel="0" collapsed="false">
      <c r="A1168" s="44"/>
      <c r="B1168" s="39"/>
      <c r="C1168" s="45" t="str">
        <f aca="false">IF(B1168="","",IFERROR(INDEX(Contract!$C$10:$C$23,MATCH(B1168,Contract!$B$10:$B$23,0)),"Unknown code"))</f>
        <v/>
      </c>
      <c r="D1168" s="46"/>
      <c r="E1168" s="39"/>
      <c r="F1168" s="39"/>
      <c r="G1168" s="47" t="str">
        <f aca="false">IF(AND(B1168="",D1168=""),"",IF(B1168="","Missing code",IF(C1168="Unknown code","Unknown code",IF(D1168="","Missing qty",IF(A1168="","Missing date","")))))</f>
        <v/>
      </c>
    </row>
    <row r="1169" customFormat="false" ht="15" hidden="false" customHeight="false" outlineLevel="0" collapsed="false">
      <c r="A1169" s="44"/>
      <c r="B1169" s="39"/>
      <c r="C1169" s="45" t="str">
        <f aca="false">IF(B1169="","",IFERROR(INDEX(Contract!$C$10:$C$23,MATCH(B1169,Contract!$B$10:$B$23,0)),"Unknown code"))</f>
        <v/>
      </c>
      <c r="D1169" s="46"/>
      <c r="E1169" s="39"/>
      <c r="F1169" s="39"/>
      <c r="G1169" s="47" t="str">
        <f aca="false">IF(AND(B1169="",D1169=""),"",IF(B1169="","Missing code",IF(C1169="Unknown code","Unknown code",IF(D1169="","Missing qty",IF(A1169="","Missing date","")))))</f>
        <v/>
      </c>
    </row>
    <row r="1170" customFormat="false" ht="15" hidden="false" customHeight="false" outlineLevel="0" collapsed="false">
      <c r="A1170" s="44"/>
      <c r="B1170" s="39"/>
      <c r="C1170" s="45" t="str">
        <f aca="false">IF(B1170="","",IFERROR(INDEX(Contract!$C$10:$C$23,MATCH(B1170,Contract!$B$10:$B$23,0)),"Unknown code"))</f>
        <v/>
      </c>
      <c r="D1170" s="46"/>
      <c r="E1170" s="39"/>
      <c r="F1170" s="39"/>
      <c r="G1170" s="47" t="str">
        <f aca="false">IF(AND(B1170="",D1170=""),"",IF(B1170="","Missing code",IF(C1170="Unknown code","Unknown code",IF(D1170="","Missing qty",IF(A1170="","Missing date","")))))</f>
        <v/>
      </c>
    </row>
    <row r="1171" customFormat="false" ht="15" hidden="false" customHeight="false" outlineLevel="0" collapsed="false">
      <c r="A1171" s="44"/>
      <c r="B1171" s="39"/>
      <c r="C1171" s="45" t="str">
        <f aca="false">IF(B1171="","",IFERROR(INDEX(Contract!$C$10:$C$23,MATCH(B1171,Contract!$B$10:$B$23,0)),"Unknown code"))</f>
        <v/>
      </c>
      <c r="D1171" s="46"/>
      <c r="E1171" s="39"/>
      <c r="F1171" s="39"/>
      <c r="G1171" s="47" t="str">
        <f aca="false">IF(AND(B1171="",D1171=""),"",IF(B1171="","Missing code",IF(C1171="Unknown code","Unknown code",IF(D1171="","Missing qty",IF(A1171="","Missing date","")))))</f>
        <v/>
      </c>
    </row>
    <row r="1172" customFormat="false" ht="15" hidden="false" customHeight="false" outlineLevel="0" collapsed="false">
      <c r="A1172" s="44"/>
      <c r="B1172" s="39"/>
      <c r="C1172" s="45" t="str">
        <f aca="false">IF(B1172="","",IFERROR(INDEX(Contract!$C$10:$C$23,MATCH(B1172,Contract!$B$10:$B$23,0)),"Unknown code"))</f>
        <v/>
      </c>
      <c r="D1172" s="46"/>
      <c r="E1172" s="39"/>
      <c r="F1172" s="39"/>
      <c r="G1172" s="47" t="str">
        <f aca="false">IF(AND(B1172="",D1172=""),"",IF(B1172="","Missing code",IF(C1172="Unknown code","Unknown code",IF(D1172="","Missing qty",IF(A1172="","Missing date","")))))</f>
        <v/>
      </c>
    </row>
    <row r="1173" customFormat="false" ht="15" hidden="false" customHeight="false" outlineLevel="0" collapsed="false">
      <c r="A1173" s="44"/>
      <c r="B1173" s="39"/>
      <c r="C1173" s="45" t="str">
        <f aca="false">IF(B1173="","",IFERROR(INDEX(Contract!$C$10:$C$23,MATCH(B1173,Contract!$B$10:$B$23,0)),"Unknown code"))</f>
        <v/>
      </c>
      <c r="D1173" s="46"/>
      <c r="E1173" s="39"/>
      <c r="F1173" s="39"/>
      <c r="G1173" s="47" t="str">
        <f aca="false">IF(AND(B1173="",D1173=""),"",IF(B1173="","Missing code",IF(C1173="Unknown code","Unknown code",IF(D1173="","Missing qty",IF(A1173="","Missing date","")))))</f>
        <v/>
      </c>
    </row>
    <row r="1174" customFormat="false" ht="15" hidden="false" customHeight="false" outlineLevel="0" collapsed="false">
      <c r="A1174" s="44"/>
      <c r="B1174" s="39"/>
      <c r="C1174" s="45" t="str">
        <f aca="false">IF(B1174="","",IFERROR(INDEX(Contract!$C$10:$C$23,MATCH(B1174,Contract!$B$10:$B$23,0)),"Unknown code"))</f>
        <v/>
      </c>
      <c r="D1174" s="46"/>
      <c r="E1174" s="39"/>
      <c r="F1174" s="39"/>
      <c r="G1174" s="47" t="str">
        <f aca="false">IF(AND(B1174="",D1174=""),"",IF(B1174="","Missing code",IF(C1174="Unknown code","Unknown code",IF(D1174="","Missing qty",IF(A1174="","Missing date","")))))</f>
        <v/>
      </c>
    </row>
    <row r="1175" customFormat="false" ht="15" hidden="false" customHeight="false" outlineLevel="0" collapsed="false">
      <c r="A1175" s="44"/>
      <c r="B1175" s="39"/>
      <c r="C1175" s="45" t="str">
        <f aca="false">IF(B1175="","",IFERROR(INDEX(Contract!$C$10:$C$23,MATCH(B1175,Contract!$B$10:$B$23,0)),"Unknown code"))</f>
        <v/>
      </c>
      <c r="D1175" s="46"/>
      <c r="E1175" s="39"/>
      <c r="F1175" s="39"/>
      <c r="G1175" s="47" t="str">
        <f aca="false">IF(AND(B1175="",D1175=""),"",IF(B1175="","Missing code",IF(C1175="Unknown code","Unknown code",IF(D1175="","Missing qty",IF(A1175="","Missing date","")))))</f>
        <v/>
      </c>
    </row>
    <row r="1176" customFormat="false" ht="15" hidden="false" customHeight="false" outlineLevel="0" collapsed="false">
      <c r="A1176" s="44"/>
      <c r="B1176" s="39"/>
      <c r="C1176" s="45" t="str">
        <f aca="false">IF(B1176="","",IFERROR(INDEX(Contract!$C$10:$C$23,MATCH(B1176,Contract!$B$10:$B$23,0)),"Unknown code"))</f>
        <v/>
      </c>
      <c r="D1176" s="46"/>
      <c r="E1176" s="39"/>
      <c r="F1176" s="39"/>
      <c r="G1176" s="47" t="str">
        <f aca="false">IF(AND(B1176="",D1176=""),"",IF(B1176="","Missing code",IF(C1176="Unknown code","Unknown code",IF(D1176="","Missing qty",IF(A1176="","Missing date","")))))</f>
        <v/>
      </c>
    </row>
    <row r="1177" customFormat="false" ht="15" hidden="false" customHeight="false" outlineLevel="0" collapsed="false">
      <c r="A1177" s="44"/>
      <c r="B1177" s="39"/>
      <c r="C1177" s="45" t="str">
        <f aca="false">IF(B1177="","",IFERROR(INDEX(Contract!$C$10:$C$23,MATCH(B1177,Contract!$B$10:$B$23,0)),"Unknown code"))</f>
        <v/>
      </c>
      <c r="D1177" s="46"/>
      <c r="E1177" s="39"/>
      <c r="F1177" s="39"/>
      <c r="G1177" s="47" t="str">
        <f aca="false">IF(AND(B1177="",D1177=""),"",IF(B1177="","Missing code",IF(C1177="Unknown code","Unknown code",IF(D1177="","Missing qty",IF(A1177="","Missing date","")))))</f>
        <v/>
      </c>
    </row>
    <row r="1178" customFormat="false" ht="15" hidden="false" customHeight="false" outlineLevel="0" collapsed="false">
      <c r="A1178" s="44"/>
      <c r="B1178" s="39"/>
      <c r="C1178" s="45" t="str">
        <f aca="false">IF(B1178="","",IFERROR(INDEX(Contract!$C$10:$C$23,MATCH(B1178,Contract!$B$10:$B$23,0)),"Unknown code"))</f>
        <v/>
      </c>
      <c r="D1178" s="46"/>
      <c r="E1178" s="39"/>
      <c r="F1178" s="39"/>
      <c r="G1178" s="47" t="str">
        <f aca="false">IF(AND(B1178="",D1178=""),"",IF(B1178="","Missing code",IF(C1178="Unknown code","Unknown code",IF(D1178="","Missing qty",IF(A1178="","Missing date","")))))</f>
        <v/>
      </c>
    </row>
    <row r="1179" customFormat="false" ht="15" hidden="false" customHeight="false" outlineLevel="0" collapsed="false">
      <c r="A1179" s="44"/>
      <c r="B1179" s="39"/>
      <c r="C1179" s="45" t="str">
        <f aca="false">IF(B1179="","",IFERROR(INDEX(Contract!$C$10:$C$23,MATCH(B1179,Contract!$B$10:$B$23,0)),"Unknown code"))</f>
        <v/>
      </c>
      <c r="D1179" s="46"/>
      <c r="E1179" s="39"/>
      <c r="F1179" s="39"/>
      <c r="G1179" s="47" t="str">
        <f aca="false">IF(AND(B1179="",D1179=""),"",IF(B1179="","Missing code",IF(C1179="Unknown code","Unknown code",IF(D1179="","Missing qty",IF(A1179="","Missing date","")))))</f>
        <v/>
      </c>
    </row>
    <row r="1180" customFormat="false" ht="15" hidden="false" customHeight="false" outlineLevel="0" collapsed="false">
      <c r="A1180" s="44"/>
      <c r="B1180" s="39"/>
      <c r="C1180" s="45" t="str">
        <f aca="false">IF(B1180="","",IFERROR(INDEX(Contract!$C$10:$C$23,MATCH(B1180,Contract!$B$10:$B$23,0)),"Unknown code"))</f>
        <v/>
      </c>
      <c r="D1180" s="46"/>
      <c r="E1180" s="39"/>
      <c r="F1180" s="39"/>
      <c r="G1180" s="47" t="str">
        <f aca="false">IF(AND(B1180="",D1180=""),"",IF(B1180="","Missing code",IF(C1180="Unknown code","Unknown code",IF(D1180="","Missing qty",IF(A1180="","Missing date","")))))</f>
        <v/>
      </c>
    </row>
    <row r="1181" customFormat="false" ht="15" hidden="false" customHeight="false" outlineLevel="0" collapsed="false">
      <c r="A1181" s="44"/>
      <c r="B1181" s="39"/>
      <c r="C1181" s="45" t="str">
        <f aca="false">IF(B1181="","",IFERROR(INDEX(Contract!$C$10:$C$23,MATCH(B1181,Contract!$B$10:$B$23,0)),"Unknown code"))</f>
        <v/>
      </c>
      <c r="D1181" s="46"/>
      <c r="E1181" s="39"/>
      <c r="F1181" s="39"/>
      <c r="G1181" s="47" t="str">
        <f aca="false">IF(AND(B1181="",D1181=""),"",IF(B1181="","Missing code",IF(C1181="Unknown code","Unknown code",IF(D1181="","Missing qty",IF(A1181="","Missing date","")))))</f>
        <v/>
      </c>
    </row>
    <row r="1182" customFormat="false" ht="15" hidden="false" customHeight="false" outlineLevel="0" collapsed="false">
      <c r="A1182" s="44"/>
      <c r="B1182" s="39"/>
      <c r="C1182" s="45" t="str">
        <f aca="false">IF(B1182="","",IFERROR(INDEX(Contract!$C$10:$C$23,MATCH(B1182,Contract!$B$10:$B$23,0)),"Unknown code"))</f>
        <v/>
      </c>
      <c r="D1182" s="46"/>
      <c r="E1182" s="39"/>
      <c r="F1182" s="39"/>
      <c r="G1182" s="47" t="str">
        <f aca="false">IF(AND(B1182="",D1182=""),"",IF(B1182="","Missing code",IF(C1182="Unknown code","Unknown code",IF(D1182="","Missing qty",IF(A1182="","Missing date","")))))</f>
        <v/>
      </c>
    </row>
    <row r="1183" customFormat="false" ht="15" hidden="false" customHeight="false" outlineLevel="0" collapsed="false">
      <c r="A1183" s="44"/>
      <c r="B1183" s="39"/>
      <c r="C1183" s="45" t="str">
        <f aca="false">IF(B1183="","",IFERROR(INDEX(Contract!$C$10:$C$23,MATCH(B1183,Contract!$B$10:$B$23,0)),"Unknown code"))</f>
        <v/>
      </c>
      <c r="D1183" s="46"/>
      <c r="E1183" s="39"/>
      <c r="F1183" s="39"/>
      <c r="G1183" s="47" t="str">
        <f aca="false">IF(AND(B1183="",D1183=""),"",IF(B1183="","Missing code",IF(C1183="Unknown code","Unknown code",IF(D1183="","Missing qty",IF(A1183="","Missing date","")))))</f>
        <v/>
      </c>
    </row>
    <row r="1184" customFormat="false" ht="15" hidden="false" customHeight="false" outlineLevel="0" collapsed="false">
      <c r="A1184" s="44"/>
      <c r="B1184" s="39"/>
      <c r="C1184" s="45" t="str">
        <f aca="false">IF(B1184="","",IFERROR(INDEX(Contract!$C$10:$C$23,MATCH(B1184,Contract!$B$10:$B$23,0)),"Unknown code"))</f>
        <v/>
      </c>
      <c r="D1184" s="46"/>
      <c r="E1184" s="39"/>
      <c r="F1184" s="39"/>
      <c r="G1184" s="47" t="str">
        <f aca="false">IF(AND(B1184="",D1184=""),"",IF(B1184="","Missing code",IF(C1184="Unknown code","Unknown code",IF(D1184="","Missing qty",IF(A1184="","Missing date","")))))</f>
        <v/>
      </c>
    </row>
    <row r="1185" customFormat="false" ht="15" hidden="false" customHeight="false" outlineLevel="0" collapsed="false">
      <c r="A1185" s="44"/>
      <c r="B1185" s="39"/>
      <c r="C1185" s="45" t="str">
        <f aca="false">IF(B1185="","",IFERROR(INDEX(Contract!$C$10:$C$23,MATCH(B1185,Contract!$B$10:$B$23,0)),"Unknown code"))</f>
        <v/>
      </c>
      <c r="D1185" s="46"/>
      <c r="E1185" s="39"/>
      <c r="F1185" s="39"/>
      <c r="G1185" s="47" t="str">
        <f aca="false">IF(AND(B1185="",D1185=""),"",IF(B1185="","Missing code",IF(C1185="Unknown code","Unknown code",IF(D1185="","Missing qty",IF(A1185="","Missing date","")))))</f>
        <v/>
      </c>
    </row>
    <row r="1186" customFormat="false" ht="15" hidden="false" customHeight="false" outlineLevel="0" collapsed="false">
      <c r="A1186" s="44"/>
      <c r="B1186" s="39"/>
      <c r="C1186" s="45" t="str">
        <f aca="false">IF(B1186="","",IFERROR(INDEX(Contract!$C$10:$C$23,MATCH(B1186,Contract!$B$10:$B$23,0)),"Unknown code"))</f>
        <v/>
      </c>
      <c r="D1186" s="46"/>
      <c r="E1186" s="39"/>
      <c r="F1186" s="39"/>
      <c r="G1186" s="47" t="str">
        <f aca="false">IF(AND(B1186="",D1186=""),"",IF(B1186="","Missing code",IF(C1186="Unknown code","Unknown code",IF(D1186="","Missing qty",IF(A1186="","Missing date","")))))</f>
        <v/>
      </c>
    </row>
    <row r="1187" customFormat="false" ht="15" hidden="false" customHeight="false" outlineLevel="0" collapsed="false">
      <c r="A1187" s="44"/>
      <c r="B1187" s="39"/>
      <c r="C1187" s="45" t="str">
        <f aca="false">IF(B1187="","",IFERROR(INDEX(Contract!$C$10:$C$23,MATCH(B1187,Contract!$B$10:$B$23,0)),"Unknown code"))</f>
        <v/>
      </c>
      <c r="D1187" s="46"/>
      <c r="E1187" s="39"/>
      <c r="F1187" s="39"/>
      <c r="G1187" s="47" t="str">
        <f aca="false">IF(AND(B1187="",D1187=""),"",IF(B1187="","Missing code",IF(C1187="Unknown code","Unknown code",IF(D1187="","Missing qty",IF(A1187="","Missing date","")))))</f>
        <v/>
      </c>
    </row>
    <row r="1188" customFormat="false" ht="15" hidden="false" customHeight="false" outlineLevel="0" collapsed="false">
      <c r="A1188" s="44"/>
      <c r="B1188" s="39"/>
      <c r="C1188" s="45" t="str">
        <f aca="false">IF(B1188="","",IFERROR(INDEX(Contract!$C$10:$C$23,MATCH(B1188,Contract!$B$10:$B$23,0)),"Unknown code"))</f>
        <v/>
      </c>
      <c r="D1188" s="46"/>
      <c r="E1188" s="39"/>
      <c r="F1188" s="39"/>
      <c r="G1188" s="47" t="str">
        <f aca="false">IF(AND(B1188="",D1188=""),"",IF(B1188="","Missing code",IF(C1188="Unknown code","Unknown code",IF(D1188="","Missing qty",IF(A1188="","Missing date","")))))</f>
        <v/>
      </c>
    </row>
    <row r="1189" customFormat="false" ht="15" hidden="false" customHeight="false" outlineLevel="0" collapsed="false">
      <c r="A1189" s="44"/>
      <c r="B1189" s="39"/>
      <c r="C1189" s="45" t="str">
        <f aca="false">IF(B1189="","",IFERROR(INDEX(Contract!$C$10:$C$23,MATCH(B1189,Contract!$B$10:$B$23,0)),"Unknown code"))</f>
        <v/>
      </c>
      <c r="D1189" s="46"/>
      <c r="E1189" s="39"/>
      <c r="F1189" s="39"/>
      <c r="G1189" s="47" t="str">
        <f aca="false">IF(AND(B1189="",D1189=""),"",IF(B1189="","Missing code",IF(C1189="Unknown code","Unknown code",IF(D1189="","Missing qty",IF(A1189="","Missing date","")))))</f>
        <v/>
      </c>
    </row>
    <row r="1190" customFormat="false" ht="15" hidden="false" customHeight="false" outlineLevel="0" collapsed="false">
      <c r="A1190" s="44"/>
      <c r="B1190" s="39"/>
      <c r="C1190" s="45" t="str">
        <f aca="false">IF(B1190="","",IFERROR(INDEX(Contract!$C$10:$C$23,MATCH(B1190,Contract!$B$10:$B$23,0)),"Unknown code"))</f>
        <v/>
      </c>
      <c r="D1190" s="46"/>
      <c r="E1190" s="39"/>
      <c r="F1190" s="39"/>
      <c r="G1190" s="47" t="str">
        <f aca="false">IF(AND(B1190="",D1190=""),"",IF(B1190="","Missing code",IF(C1190="Unknown code","Unknown code",IF(D1190="","Missing qty",IF(A1190="","Missing date","")))))</f>
        <v/>
      </c>
    </row>
    <row r="1191" customFormat="false" ht="15" hidden="false" customHeight="false" outlineLevel="0" collapsed="false">
      <c r="A1191" s="44"/>
      <c r="B1191" s="39"/>
      <c r="C1191" s="45" t="str">
        <f aca="false">IF(B1191="","",IFERROR(INDEX(Contract!$C$10:$C$23,MATCH(B1191,Contract!$B$10:$B$23,0)),"Unknown code"))</f>
        <v/>
      </c>
      <c r="D1191" s="46"/>
      <c r="E1191" s="39"/>
      <c r="F1191" s="39"/>
      <c r="G1191" s="47" t="str">
        <f aca="false">IF(AND(B1191="",D1191=""),"",IF(B1191="","Missing code",IF(C1191="Unknown code","Unknown code",IF(D1191="","Missing qty",IF(A1191="","Missing date","")))))</f>
        <v/>
      </c>
    </row>
    <row r="1192" customFormat="false" ht="15" hidden="false" customHeight="false" outlineLevel="0" collapsed="false">
      <c r="A1192" s="44"/>
      <c r="B1192" s="39"/>
      <c r="C1192" s="45" t="str">
        <f aca="false">IF(B1192="","",IFERROR(INDEX(Contract!$C$10:$C$23,MATCH(B1192,Contract!$B$10:$B$23,0)),"Unknown code"))</f>
        <v/>
      </c>
      <c r="D1192" s="46"/>
      <c r="E1192" s="39"/>
      <c r="F1192" s="39"/>
      <c r="G1192" s="47" t="str">
        <f aca="false">IF(AND(B1192="",D1192=""),"",IF(B1192="","Missing code",IF(C1192="Unknown code","Unknown code",IF(D1192="","Missing qty",IF(A1192="","Missing date","")))))</f>
        <v/>
      </c>
    </row>
    <row r="1193" customFormat="false" ht="15" hidden="false" customHeight="false" outlineLevel="0" collapsed="false">
      <c r="A1193" s="44"/>
      <c r="B1193" s="39"/>
      <c r="C1193" s="45" t="str">
        <f aca="false">IF(B1193="","",IFERROR(INDEX(Contract!$C$10:$C$23,MATCH(B1193,Contract!$B$10:$B$23,0)),"Unknown code"))</f>
        <v/>
      </c>
      <c r="D1193" s="46"/>
      <c r="E1193" s="39"/>
      <c r="F1193" s="39"/>
      <c r="G1193" s="47" t="str">
        <f aca="false">IF(AND(B1193="",D1193=""),"",IF(B1193="","Missing code",IF(C1193="Unknown code","Unknown code",IF(D1193="","Missing qty",IF(A1193="","Missing date","")))))</f>
        <v/>
      </c>
    </row>
    <row r="1194" customFormat="false" ht="15" hidden="false" customHeight="false" outlineLevel="0" collapsed="false">
      <c r="A1194" s="44"/>
      <c r="B1194" s="39"/>
      <c r="C1194" s="45" t="str">
        <f aca="false">IF(B1194="","",IFERROR(INDEX(Contract!$C$10:$C$23,MATCH(B1194,Contract!$B$10:$B$23,0)),"Unknown code"))</f>
        <v/>
      </c>
      <c r="D1194" s="46"/>
      <c r="E1194" s="39"/>
      <c r="F1194" s="39"/>
      <c r="G1194" s="47" t="str">
        <f aca="false">IF(AND(B1194="",D1194=""),"",IF(B1194="","Missing code",IF(C1194="Unknown code","Unknown code",IF(D1194="","Missing qty",IF(A1194="","Missing date","")))))</f>
        <v/>
      </c>
    </row>
    <row r="1195" customFormat="false" ht="15" hidden="false" customHeight="false" outlineLevel="0" collapsed="false">
      <c r="A1195" s="44"/>
      <c r="B1195" s="39"/>
      <c r="C1195" s="45" t="str">
        <f aca="false">IF(B1195="","",IFERROR(INDEX(Contract!$C$10:$C$23,MATCH(B1195,Contract!$B$10:$B$23,0)),"Unknown code"))</f>
        <v/>
      </c>
      <c r="D1195" s="46"/>
      <c r="E1195" s="39"/>
      <c r="F1195" s="39"/>
      <c r="G1195" s="47" t="str">
        <f aca="false">IF(AND(B1195="",D1195=""),"",IF(B1195="","Missing code",IF(C1195="Unknown code","Unknown code",IF(D1195="","Missing qty",IF(A1195="","Missing date","")))))</f>
        <v/>
      </c>
    </row>
    <row r="1196" customFormat="false" ht="15" hidden="false" customHeight="false" outlineLevel="0" collapsed="false">
      <c r="A1196" s="44"/>
      <c r="B1196" s="39"/>
      <c r="C1196" s="45" t="str">
        <f aca="false">IF(B1196="","",IFERROR(INDEX(Contract!$C$10:$C$23,MATCH(B1196,Contract!$B$10:$B$23,0)),"Unknown code"))</f>
        <v/>
      </c>
      <c r="D1196" s="46"/>
      <c r="E1196" s="39"/>
      <c r="F1196" s="39"/>
      <c r="G1196" s="47" t="str">
        <f aca="false">IF(AND(B1196="",D1196=""),"",IF(B1196="","Missing code",IF(C1196="Unknown code","Unknown code",IF(D1196="","Missing qty",IF(A1196="","Missing date","")))))</f>
        <v/>
      </c>
    </row>
    <row r="1197" customFormat="false" ht="15" hidden="false" customHeight="false" outlineLevel="0" collapsed="false">
      <c r="A1197" s="44"/>
      <c r="B1197" s="39"/>
      <c r="C1197" s="45" t="str">
        <f aca="false">IF(B1197="","",IFERROR(INDEX(Contract!$C$10:$C$23,MATCH(B1197,Contract!$B$10:$B$23,0)),"Unknown code"))</f>
        <v/>
      </c>
      <c r="D1197" s="46"/>
      <c r="E1197" s="39"/>
      <c r="F1197" s="39"/>
      <c r="G1197" s="47" t="str">
        <f aca="false">IF(AND(B1197="",D1197=""),"",IF(B1197="","Missing code",IF(C1197="Unknown code","Unknown code",IF(D1197="","Missing qty",IF(A1197="","Missing date","")))))</f>
        <v/>
      </c>
    </row>
    <row r="1198" customFormat="false" ht="15" hidden="false" customHeight="false" outlineLevel="0" collapsed="false">
      <c r="A1198" s="44"/>
      <c r="B1198" s="39"/>
      <c r="C1198" s="45" t="str">
        <f aca="false">IF(B1198="","",IFERROR(INDEX(Contract!$C$10:$C$23,MATCH(B1198,Contract!$B$10:$B$23,0)),"Unknown code"))</f>
        <v/>
      </c>
      <c r="D1198" s="46"/>
      <c r="E1198" s="39"/>
      <c r="F1198" s="39"/>
      <c r="G1198" s="47" t="str">
        <f aca="false">IF(AND(B1198="",D1198=""),"",IF(B1198="","Missing code",IF(C1198="Unknown code","Unknown code",IF(D1198="","Missing qty",IF(A1198="","Missing date","")))))</f>
        <v/>
      </c>
    </row>
    <row r="1199" customFormat="false" ht="15" hidden="false" customHeight="false" outlineLevel="0" collapsed="false">
      <c r="A1199" s="44"/>
      <c r="B1199" s="39"/>
      <c r="C1199" s="45" t="str">
        <f aca="false">IF(B1199="","",IFERROR(INDEX(Contract!$C$10:$C$23,MATCH(B1199,Contract!$B$10:$B$23,0)),"Unknown code"))</f>
        <v/>
      </c>
      <c r="D1199" s="46"/>
      <c r="E1199" s="39"/>
      <c r="F1199" s="39"/>
      <c r="G1199" s="47" t="str">
        <f aca="false">IF(AND(B1199="",D1199=""),"",IF(B1199="","Missing code",IF(C1199="Unknown code","Unknown code",IF(D1199="","Missing qty",IF(A1199="","Missing date","")))))</f>
        <v/>
      </c>
    </row>
    <row r="1200" customFormat="false" ht="15" hidden="false" customHeight="false" outlineLevel="0" collapsed="false">
      <c r="A1200" s="44"/>
      <c r="B1200" s="39"/>
      <c r="C1200" s="45" t="str">
        <f aca="false">IF(B1200="","",IFERROR(INDEX(Contract!$C$10:$C$23,MATCH(B1200,Contract!$B$10:$B$23,0)),"Unknown code"))</f>
        <v/>
      </c>
      <c r="D1200" s="46"/>
      <c r="E1200" s="39"/>
      <c r="F1200" s="39"/>
      <c r="G1200" s="47" t="str">
        <f aca="false">IF(AND(B1200="",D1200=""),"",IF(B1200="","Missing code",IF(C1200="Unknown code","Unknown code",IF(D1200="","Missing qty",IF(A1200="","Missing date","")))))</f>
        <v/>
      </c>
    </row>
    <row r="1201" customFormat="false" ht="15" hidden="false" customHeight="false" outlineLevel="0" collapsed="false">
      <c r="A1201" s="44"/>
      <c r="B1201" s="39"/>
      <c r="C1201" s="45" t="str">
        <f aca="false">IF(B1201="","",IFERROR(INDEX(Contract!$C$10:$C$23,MATCH(B1201,Contract!$B$10:$B$23,0)),"Unknown code"))</f>
        <v/>
      </c>
      <c r="D1201" s="46"/>
      <c r="E1201" s="39"/>
      <c r="F1201" s="39"/>
      <c r="G1201" s="47" t="str">
        <f aca="false">IF(AND(B1201="",D1201=""),"",IF(B1201="","Missing code",IF(C1201="Unknown code","Unknown code",IF(D1201="","Missing qty",IF(A1201="","Missing date","")))))</f>
        <v/>
      </c>
    </row>
    <row r="1202" customFormat="false" ht="15" hidden="false" customHeight="false" outlineLevel="0" collapsed="false">
      <c r="A1202" s="44"/>
      <c r="B1202" s="39"/>
      <c r="C1202" s="45" t="str">
        <f aca="false">IF(B1202="","",IFERROR(INDEX(Contract!$C$10:$C$23,MATCH(B1202,Contract!$B$10:$B$23,0)),"Unknown code"))</f>
        <v/>
      </c>
      <c r="D1202" s="46"/>
      <c r="E1202" s="39"/>
      <c r="F1202" s="39"/>
      <c r="G1202" s="47" t="str">
        <f aca="false">IF(AND(B1202="",D1202=""),"",IF(B1202="","Missing code",IF(C1202="Unknown code","Unknown code",IF(D1202="","Missing qty",IF(A1202="","Missing date","")))))</f>
        <v/>
      </c>
    </row>
    <row r="1203" customFormat="false" ht="15" hidden="false" customHeight="false" outlineLevel="0" collapsed="false">
      <c r="A1203" s="44"/>
      <c r="B1203" s="39"/>
      <c r="C1203" s="45" t="str">
        <f aca="false">IF(B1203="","",IFERROR(INDEX(Contract!$C$10:$C$23,MATCH(B1203,Contract!$B$10:$B$23,0)),"Unknown code"))</f>
        <v/>
      </c>
      <c r="D1203" s="46"/>
      <c r="E1203" s="39"/>
      <c r="F1203" s="39"/>
      <c r="G1203" s="47" t="str">
        <f aca="false">IF(AND(B1203="",D1203=""),"",IF(B1203="","Missing code",IF(C1203="Unknown code","Unknown code",IF(D1203="","Missing qty",IF(A1203="","Missing date","")))))</f>
        <v/>
      </c>
    </row>
    <row r="1204" customFormat="false" ht="15" hidden="false" customHeight="false" outlineLevel="0" collapsed="false">
      <c r="A1204" s="44"/>
      <c r="B1204" s="39"/>
      <c r="C1204" s="45" t="str">
        <f aca="false">IF(B1204="","",IFERROR(INDEX(Contract!$C$10:$C$23,MATCH(B1204,Contract!$B$10:$B$23,0)),"Unknown code"))</f>
        <v/>
      </c>
      <c r="D1204" s="46"/>
      <c r="E1204" s="39"/>
      <c r="F1204" s="39"/>
      <c r="G1204" s="47" t="str">
        <f aca="false">IF(AND(B1204="",D1204=""),"",IF(B1204="","Missing code",IF(C1204="Unknown code","Unknown code",IF(D1204="","Missing qty",IF(A1204="","Missing date","")))))</f>
        <v/>
      </c>
    </row>
    <row r="1205" customFormat="false" ht="15" hidden="false" customHeight="false" outlineLevel="0" collapsed="false">
      <c r="A1205" s="44"/>
      <c r="B1205" s="39"/>
      <c r="C1205" s="45" t="str">
        <f aca="false">IF(B1205="","",IFERROR(INDEX(Contract!$C$10:$C$23,MATCH(B1205,Contract!$B$10:$B$23,0)),"Unknown code"))</f>
        <v/>
      </c>
      <c r="D1205" s="46"/>
      <c r="E1205" s="39"/>
      <c r="F1205" s="39"/>
      <c r="G1205" s="47" t="str">
        <f aca="false">IF(AND(B1205="",D1205=""),"",IF(B1205="","Missing code",IF(C1205="Unknown code","Unknown code",IF(D1205="","Missing qty",IF(A1205="","Missing date","")))))</f>
        <v/>
      </c>
    </row>
    <row r="1206" customFormat="false" ht="15" hidden="false" customHeight="false" outlineLevel="0" collapsed="false">
      <c r="A1206" s="44"/>
      <c r="B1206" s="39"/>
      <c r="C1206" s="45" t="str">
        <f aca="false">IF(B1206="","",IFERROR(INDEX(Contract!$C$10:$C$23,MATCH(B1206,Contract!$B$10:$B$23,0)),"Unknown code"))</f>
        <v/>
      </c>
      <c r="D1206" s="46"/>
      <c r="E1206" s="39"/>
      <c r="F1206" s="39"/>
      <c r="G1206" s="47" t="str">
        <f aca="false">IF(AND(B1206="",D1206=""),"",IF(B1206="","Missing code",IF(C1206="Unknown code","Unknown code",IF(D1206="","Missing qty",IF(A1206="","Missing date","")))))</f>
        <v/>
      </c>
    </row>
    <row r="1207" customFormat="false" ht="15" hidden="false" customHeight="false" outlineLevel="0" collapsed="false">
      <c r="A1207" s="44"/>
      <c r="B1207" s="39"/>
      <c r="C1207" s="45" t="str">
        <f aca="false">IF(B1207="","",IFERROR(INDEX(Contract!$C$10:$C$23,MATCH(B1207,Contract!$B$10:$B$23,0)),"Unknown code"))</f>
        <v/>
      </c>
      <c r="D1207" s="46"/>
      <c r="E1207" s="39"/>
      <c r="F1207" s="39"/>
      <c r="G1207" s="47" t="str">
        <f aca="false">IF(AND(B1207="",D1207=""),"",IF(B1207="","Missing code",IF(C1207="Unknown code","Unknown code",IF(D1207="","Missing qty",IF(A1207="","Missing date","")))))</f>
        <v/>
      </c>
    </row>
    <row r="1208" customFormat="false" ht="15" hidden="false" customHeight="false" outlineLevel="0" collapsed="false">
      <c r="A1208" s="44"/>
      <c r="B1208" s="39"/>
      <c r="C1208" s="45" t="str">
        <f aca="false">IF(B1208="","",IFERROR(INDEX(Contract!$C$10:$C$23,MATCH(B1208,Contract!$B$10:$B$23,0)),"Unknown code"))</f>
        <v/>
      </c>
      <c r="D1208" s="46"/>
      <c r="E1208" s="39"/>
      <c r="F1208" s="39"/>
      <c r="G1208" s="47" t="str">
        <f aca="false">IF(AND(B1208="",D1208=""),"",IF(B1208="","Missing code",IF(C1208="Unknown code","Unknown code",IF(D1208="","Missing qty",IF(A1208="","Missing date","")))))</f>
        <v/>
      </c>
    </row>
    <row r="1209" customFormat="false" ht="15" hidden="false" customHeight="false" outlineLevel="0" collapsed="false">
      <c r="A1209" s="44"/>
      <c r="B1209" s="39"/>
      <c r="C1209" s="45" t="str">
        <f aca="false">IF(B1209="","",IFERROR(INDEX(Contract!$C$10:$C$23,MATCH(B1209,Contract!$B$10:$B$23,0)),"Unknown code"))</f>
        <v/>
      </c>
      <c r="D1209" s="46"/>
      <c r="E1209" s="39"/>
      <c r="F1209" s="39"/>
      <c r="G1209" s="47" t="str">
        <f aca="false">IF(AND(B1209="",D1209=""),"",IF(B1209="","Missing code",IF(C1209="Unknown code","Unknown code",IF(D1209="","Missing qty",IF(A1209="","Missing date","")))))</f>
        <v/>
      </c>
    </row>
    <row r="1210" customFormat="false" ht="15" hidden="false" customHeight="false" outlineLevel="0" collapsed="false">
      <c r="A1210" s="44"/>
      <c r="B1210" s="39"/>
      <c r="C1210" s="45" t="str">
        <f aca="false">IF(B1210="","",IFERROR(INDEX(Contract!$C$10:$C$23,MATCH(B1210,Contract!$B$10:$B$23,0)),"Unknown code"))</f>
        <v/>
      </c>
      <c r="D1210" s="46"/>
      <c r="E1210" s="39"/>
      <c r="F1210" s="39"/>
      <c r="G1210" s="47" t="str">
        <f aca="false">IF(AND(B1210="",D1210=""),"",IF(B1210="","Missing code",IF(C1210="Unknown code","Unknown code",IF(D1210="","Missing qty",IF(A1210="","Missing date","")))))</f>
        <v/>
      </c>
    </row>
    <row r="1211" customFormat="false" ht="15" hidden="false" customHeight="false" outlineLevel="0" collapsed="false">
      <c r="A1211" s="44"/>
      <c r="B1211" s="39"/>
      <c r="C1211" s="45" t="str">
        <f aca="false">IF(B1211="","",IFERROR(INDEX(Contract!$C$10:$C$23,MATCH(B1211,Contract!$B$10:$B$23,0)),"Unknown code"))</f>
        <v/>
      </c>
      <c r="D1211" s="46"/>
      <c r="E1211" s="39"/>
      <c r="F1211" s="39"/>
      <c r="G1211" s="47" t="str">
        <f aca="false">IF(AND(B1211="",D1211=""),"",IF(B1211="","Missing code",IF(C1211="Unknown code","Unknown code",IF(D1211="","Missing qty",IF(A1211="","Missing date","")))))</f>
        <v/>
      </c>
    </row>
    <row r="1212" customFormat="false" ht="15" hidden="false" customHeight="false" outlineLevel="0" collapsed="false">
      <c r="A1212" s="44"/>
      <c r="B1212" s="39"/>
      <c r="C1212" s="45" t="str">
        <f aca="false">IF(B1212="","",IFERROR(INDEX(Contract!$C$10:$C$23,MATCH(B1212,Contract!$B$10:$B$23,0)),"Unknown code"))</f>
        <v/>
      </c>
      <c r="D1212" s="46"/>
      <c r="E1212" s="39"/>
      <c r="F1212" s="39"/>
      <c r="G1212" s="47" t="str">
        <f aca="false">IF(AND(B1212="",D1212=""),"",IF(B1212="","Missing code",IF(C1212="Unknown code","Unknown code",IF(D1212="","Missing qty",IF(A1212="","Missing date","")))))</f>
        <v/>
      </c>
    </row>
    <row r="1213" customFormat="false" ht="15" hidden="false" customHeight="false" outlineLevel="0" collapsed="false">
      <c r="A1213" s="44"/>
      <c r="B1213" s="39"/>
      <c r="C1213" s="45" t="str">
        <f aca="false">IF(B1213="","",IFERROR(INDEX(Contract!$C$10:$C$23,MATCH(B1213,Contract!$B$10:$B$23,0)),"Unknown code"))</f>
        <v/>
      </c>
      <c r="D1213" s="46"/>
      <c r="E1213" s="39"/>
      <c r="F1213" s="39"/>
      <c r="G1213" s="47" t="str">
        <f aca="false">IF(AND(B1213="",D1213=""),"",IF(B1213="","Missing code",IF(C1213="Unknown code","Unknown code",IF(D1213="","Missing qty",IF(A1213="","Missing date","")))))</f>
        <v/>
      </c>
    </row>
    <row r="1214" customFormat="false" ht="15" hidden="false" customHeight="false" outlineLevel="0" collapsed="false">
      <c r="A1214" s="44"/>
      <c r="B1214" s="39"/>
      <c r="C1214" s="45" t="str">
        <f aca="false">IF(B1214="","",IFERROR(INDEX(Contract!$C$10:$C$23,MATCH(B1214,Contract!$B$10:$B$23,0)),"Unknown code"))</f>
        <v/>
      </c>
      <c r="D1214" s="46"/>
      <c r="E1214" s="39"/>
      <c r="F1214" s="39"/>
      <c r="G1214" s="47" t="str">
        <f aca="false">IF(AND(B1214="",D1214=""),"",IF(B1214="","Missing code",IF(C1214="Unknown code","Unknown code",IF(D1214="","Missing qty",IF(A1214="","Missing date","")))))</f>
        <v/>
      </c>
    </row>
    <row r="1215" customFormat="false" ht="15" hidden="false" customHeight="false" outlineLevel="0" collapsed="false">
      <c r="A1215" s="44"/>
      <c r="B1215" s="39"/>
      <c r="C1215" s="45" t="str">
        <f aca="false">IF(B1215="","",IFERROR(INDEX(Contract!$C$10:$C$23,MATCH(B1215,Contract!$B$10:$B$23,0)),"Unknown code"))</f>
        <v/>
      </c>
      <c r="D1215" s="46"/>
      <c r="E1215" s="39"/>
      <c r="F1215" s="39"/>
      <c r="G1215" s="47" t="str">
        <f aca="false">IF(AND(B1215="",D1215=""),"",IF(B1215="","Missing code",IF(C1215="Unknown code","Unknown code",IF(D1215="","Missing qty",IF(A1215="","Missing date","")))))</f>
        <v/>
      </c>
    </row>
    <row r="1216" customFormat="false" ht="15" hidden="false" customHeight="false" outlineLevel="0" collapsed="false">
      <c r="A1216" s="44"/>
      <c r="B1216" s="39"/>
      <c r="C1216" s="45" t="str">
        <f aca="false">IF(B1216="","",IFERROR(INDEX(Contract!$C$10:$C$23,MATCH(B1216,Contract!$B$10:$B$23,0)),"Unknown code"))</f>
        <v/>
      </c>
      <c r="D1216" s="46"/>
      <c r="E1216" s="39"/>
      <c r="F1216" s="39"/>
      <c r="G1216" s="47" t="str">
        <f aca="false">IF(AND(B1216="",D1216=""),"",IF(B1216="","Missing code",IF(C1216="Unknown code","Unknown code",IF(D1216="","Missing qty",IF(A1216="","Missing date","")))))</f>
        <v/>
      </c>
    </row>
    <row r="1217" customFormat="false" ht="15" hidden="false" customHeight="false" outlineLevel="0" collapsed="false">
      <c r="A1217" s="44"/>
      <c r="B1217" s="39"/>
      <c r="C1217" s="45" t="str">
        <f aca="false">IF(B1217="","",IFERROR(INDEX(Contract!$C$10:$C$23,MATCH(B1217,Contract!$B$10:$B$23,0)),"Unknown code"))</f>
        <v/>
      </c>
      <c r="D1217" s="46"/>
      <c r="E1217" s="39"/>
      <c r="F1217" s="39"/>
      <c r="G1217" s="47" t="str">
        <f aca="false">IF(AND(B1217="",D1217=""),"",IF(B1217="","Missing code",IF(C1217="Unknown code","Unknown code",IF(D1217="","Missing qty",IF(A1217="","Missing date","")))))</f>
        <v/>
      </c>
    </row>
    <row r="1218" customFormat="false" ht="15" hidden="false" customHeight="false" outlineLevel="0" collapsed="false">
      <c r="A1218" s="44"/>
      <c r="B1218" s="39"/>
      <c r="C1218" s="45" t="str">
        <f aca="false">IF(B1218="","",IFERROR(INDEX(Contract!$C$10:$C$23,MATCH(B1218,Contract!$B$10:$B$23,0)),"Unknown code"))</f>
        <v/>
      </c>
      <c r="D1218" s="46"/>
      <c r="E1218" s="39"/>
      <c r="F1218" s="39"/>
      <c r="G1218" s="47" t="str">
        <f aca="false">IF(AND(B1218="",D1218=""),"",IF(B1218="","Missing code",IF(C1218="Unknown code","Unknown code",IF(D1218="","Missing qty",IF(A1218="","Missing date","")))))</f>
        <v/>
      </c>
    </row>
    <row r="1219" customFormat="false" ht="15" hidden="false" customHeight="false" outlineLevel="0" collapsed="false">
      <c r="A1219" s="44"/>
      <c r="B1219" s="39"/>
      <c r="C1219" s="45" t="str">
        <f aca="false">IF(B1219="","",IFERROR(INDEX(Contract!$C$10:$C$23,MATCH(B1219,Contract!$B$10:$B$23,0)),"Unknown code"))</f>
        <v/>
      </c>
      <c r="D1219" s="46"/>
      <c r="E1219" s="39"/>
      <c r="F1219" s="39"/>
      <c r="G1219" s="47" t="str">
        <f aca="false">IF(AND(B1219="",D1219=""),"",IF(B1219="","Missing code",IF(C1219="Unknown code","Unknown code",IF(D1219="","Missing qty",IF(A1219="","Missing date","")))))</f>
        <v/>
      </c>
    </row>
    <row r="1220" customFormat="false" ht="15" hidden="false" customHeight="false" outlineLevel="0" collapsed="false">
      <c r="A1220" s="44"/>
      <c r="B1220" s="39"/>
      <c r="C1220" s="45" t="str">
        <f aca="false">IF(B1220="","",IFERROR(INDEX(Contract!$C$10:$C$23,MATCH(B1220,Contract!$B$10:$B$23,0)),"Unknown code"))</f>
        <v/>
      </c>
      <c r="D1220" s="46"/>
      <c r="E1220" s="39"/>
      <c r="F1220" s="39"/>
      <c r="G1220" s="47" t="str">
        <f aca="false">IF(AND(B1220="",D1220=""),"",IF(B1220="","Missing code",IF(C1220="Unknown code","Unknown code",IF(D1220="","Missing qty",IF(A1220="","Missing date","")))))</f>
        <v/>
      </c>
    </row>
    <row r="1221" customFormat="false" ht="15" hidden="false" customHeight="false" outlineLevel="0" collapsed="false">
      <c r="A1221" s="44"/>
      <c r="B1221" s="39"/>
      <c r="C1221" s="45" t="str">
        <f aca="false">IF(B1221="","",IFERROR(INDEX(Contract!$C$10:$C$23,MATCH(B1221,Contract!$B$10:$B$23,0)),"Unknown code"))</f>
        <v/>
      </c>
      <c r="D1221" s="46"/>
      <c r="E1221" s="39"/>
      <c r="F1221" s="39"/>
      <c r="G1221" s="47" t="str">
        <f aca="false">IF(AND(B1221="",D1221=""),"",IF(B1221="","Missing code",IF(C1221="Unknown code","Unknown code",IF(D1221="","Missing qty",IF(A1221="","Missing date","")))))</f>
        <v/>
      </c>
    </row>
    <row r="1222" customFormat="false" ht="15" hidden="false" customHeight="false" outlineLevel="0" collapsed="false">
      <c r="A1222" s="44"/>
      <c r="B1222" s="39"/>
      <c r="C1222" s="45" t="str">
        <f aca="false">IF(B1222="","",IFERROR(INDEX(Contract!$C$10:$C$23,MATCH(B1222,Contract!$B$10:$B$23,0)),"Unknown code"))</f>
        <v/>
      </c>
      <c r="D1222" s="46"/>
      <c r="E1222" s="39"/>
      <c r="F1222" s="39"/>
      <c r="G1222" s="47" t="str">
        <f aca="false">IF(AND(B1222="",D1222=""),"",IF(B1222="","Missing code",IF(C1222="Unknown code","Unknown code",IF(D1222="","Missing qty",IF(A1222="","Missing date","")))))</f>
        <v/>
      </c>
    </row>
    <row r="1223" customFormat="false" ht="15" hidden="false" customHeight="false" outlineLevel="0" collapsed="false">
      <c r="A1223" s="44"/>
      <c r="B1223" s="39"/>
      <c r="C1223" s="45" t="str">
        <f aca="false">IF(B1223="","",IFERROR(INDEX(Contract!$C$10:$C$23,MATCH(B1223,Contract!$B$10:$B$23,0)),"Unknown code"))</f>
        <v/>
      </c>
      <c r="D1223" s="46"/>
      <c r="E1223" s="39"/>
      <c r="F1223" s="39"/>
      <c r="G1223" s="47" t="str">
        <f aca="false">IF(AND(B1223="",D1223=""),"",IF(B1223="","Missing code",IF(C1223="Unknown code","Unknown code",IF(D1223="","Missing qty",IF(A1223="","Missing date","")))))</f>
        <v/>
      </c>
    </row>
    <row r="1224" customFormat="false" ht="15" hidden="false" customHeight="false" outlineLevel="0" collapsed="false">
      <c r="A1224" s="44"/>
      <c r="B1224" s="39"/>
      <c r="C1224" s="45" t="str">
        <f aca="false">IF(B1224="","",IFERROR(INDEX(Contract!$C$10:$C$23,MATCH(B1224,Contract!$B$10:$B$23,0)),"Unknown code"))</f>
        <v/>
      </c>
      <c r="D1224" s="46"/>
      <c r="E1224" s="39"/>
      <c r="F1224" s="39"/>
      <c r="G1224" s="47" t="str">
        <f aca="false">IF(AND(B1224="",D1224=""),"",IF(B1224="","Missing code",IF(C1224="Unknown code","Unknown code",IF(D1224="","Missing qty",IF(A1224="","Missing date","")))))</f>
        <v/>
      </c>
    </row>
    <row r="1225" customFormat="false" ht="15" hidden="false" customHeight="false" outlineLevel="0" collapsed="false">
      <c r="A1225" s="44"/>
      <c r="B1225" s="39"/>
      <c r="C1225" s="45" t="str">
        <f aca="false">IF(B1225="","",IFERROR(INDEX(Contract!$C$10:$C$23,MATCH(B1225,Contract!$B$10:$B$23,0)),"Unknown code"))</f>
        <v/>
      </c>
      <c r="D1225" s="46"/>
      <c r="E1225" s="39"/>
      <c r="F1225" s="39"/>
      <c r="G1225" s="47" t="str">
        <f aca="false">IF(AND(B1225="",D1225=""),"",IF(B1225="","Missing code",IF(C1225="Unknown code","Unknown code",IF(D1225="","Missing qty",IF(A1225="","Missing date","")))))</f>
        <v/>
      </c>
    </row>
    <row r="1226" customFormat="false" ht="15" hidden="false" customHeight="false" outlineLevel="0" collapsed="false">
      <c r="A1226" s="44"/>
      <c r="B1226" s="39"/>
      <c r="C1226" s="45" t="str">
        <f aca="false">IF(B1226="","",IFERROR(INDEX(Contract!$C$10:$C$23,MATCH(B1226,Contract!$B$10:$B$23,0)),"Unknown code"))</f>
        <v/>
      </c>
      <c r="D1226" s="46"/>
      <c r="E1226" s="39"/>
      <c r="F1226" s="39"/>
      <c r="G1226" s="47" t="str">
        <f aca="false">IF(AND(B1226="",D1226=""),"",IF(B1226="","Missing code",IF(C1226="Unknown code","Unknown code",IF(D1226="","Missing qty",IF(A1226="","Missing date","")))))</f>
        <v/>
      </c>
    </row>
    <row r="1227" customFormat="false" ht="15" hidden="false" customHeight="false" outlineLevel="0" collapsed="false">
      <c r="A1227" s="44"/>
      <c r="B1227" s="39"/>
      <c r="C1227" s="45" t="str">
        <f aca="false">IF(B1227="","",IFERROR(INDEX(Contract!$C$10:$C$23,MATCH(B1227,Contract!$B$10:$B$23,0)),"Unknown code"))</f>
        <v/>
      </c>
      <c r="D1227" s="46"/>
      <c r="E1227" s="39"/>
      <c r="F1227" s="39"/>
      <c r="G1227" s="47" t="str">
        <f aca="false">IF(AND(B1227="",D1227=""),"",IF(B1227="","Missing code",IF(C1227="Unknown code","Unknown code",IF(D1227="","Missing qty",IF(A1227="","Missing date","")))))</f>
        <v/>
      </c>
    </row>
    <row r="1228" customFormat="false" ht="15" hidden="false" customHeight="false" outlineLevel="0" collapsed="false">
      <c r="A1228" s="44"/>
      <c r="B1228" s="39"/>
      <c r="C1228" s="45" t="str">
        <f aca="false">IF(B1228="","",IFERROR(INDEX(Contract!$C$10:$C$23,MATCH(B1228,Contract!$B$10:$B$23,0)),"Unknown code"))</f>
        <v/>
      </c>
      <c r="D1228" s="46"/>
      <c r="E1228" s="39"/>
      <c r="F1228" s="39"/>
      <c r="G1228" s="47" t="str">
        <f aca="false">IF(AND(B1228="",D1228=""),"",IF(B1228="","Missing code",IF(C1228="Unknown code","Unknown code",IF(D1228="","Missing qty",IF(A1228="","Missing date","")))))</f>
        <v/>
      </c>
    </row>
    <row r="1229" customFormat="false" ht="15" hidden="false" customHeight="false" outlineLevel="0" collapsed="false">
      <c r="A1229" s="44"/>
      <c r="B1229" s="39"/>
      <c r="C1229" s="45" t="str">
        <f aca="false">IF(B1229="","",IFERROR(INDEX(Contract!$C$10:$C$23,MATCH(B1229,Contract!$B$10:$B$23,0)),"Unknown code"))</f>
        <v/>
      </c>
      <c r="D1229" s="46"/>
      <c r="E1229" s="39"/>
      <c r="F1229" s="39"/>
      <c r="G1229" s="47" t="str">
        <f aca="false">IF(AND(B1229="",D1229=""),"",IF(B1229="","Missing code",IF(C1229="Unknown code","Unknown code",IF(D1229="","Missing qty",IF(A1229="","Missing date","")))))</f>
        <v/>
      </c>
    </row>
    <row r="1230" customFormat="false" ht="15" hidden="false" customHeight="false" outlineLevel="0" collapsed="false">
      <c r="A1230" s="44"/>
      <c r="B1230" s="39"/>
      <c r="C1230" s="45" t="str">
        <f aca="false">IF(B1230="","",IFERROR(INDEX(Contract!$C$10:$C$23,MATCH(B1230,Contract!$B$10:$B$23,0)),"Unknown code"))</f>
        <v/>
      </c>
      <c r="D1230" s="46"/>
      <c r="E1230" s="39"/>
      <c r="F1230" s="39"/>
      <c r="G1230" s="47" t="str">
        <f aca="false">IF(AND(B1230="",D1230=""),"",IF(B1230="","Missing code",IF(C1230="Unknown code","Unknown code",IF(D1230="","Missing qty",IF(A1230="","Missing date","")))))</f>
        <v/>
      </c>
    </row>
    <row r="1231" customFormat="false" ht="15" hidden="false" customHeight="false" outlineLevel="0" collapsed="false">
      <c r="A1231" s="44"/>
      <c r="B1231" s="39"/>
      <c r="C1231" s="45" t="str">
        <f aca="false">IF(B1231="","",IFERROR(INDEX(Contract!$C$10:$C$23,MATCH(B1231,Contract!$B$10:$B$23,0)),"Unknown code"))</f>
        <v/>
      </c>
      <c r="D1231" s="46"/>
      <c r="E1231" s="39"/>
      <c r="F1231" s="39"/>
      <c r="G1231" s="47" t="str">
        <f aca="false">IF(AND(B1231="",D1231=""),"",IF(B1231="","Missing code",IF(C1231="Unknown code","Unknown code",IF(D1231="","Missing qty",IF(A1231="","Missing date","")))))</f>
        <v/>
      </c>
    </row>
    <row r="1232" customFormat="false" ht="15" hidden="false" customHeight="false" outlineLevel="0" collapsed="false">
      <c r="A1232" s="44"/>
      <c r="B1232" s="39"/>
      <c r="C1232" s="45" t="str">
        <f aca="false">IF(B1232="","",IFERROR(INDEX(Contract!$C$10:$C$23,MATCH(B1232,Contract!$B$10:$B$23,0)),"Unknown code"))</f>
        <v/>
      </c>
      <c r="D1232" s="46"/>
      <c r="E1232" s="39"/>
      <c r="F1232" s="39"/>
      <c r="G1232" s="47" t="str">
        <f aca="false">IF(AND(B1232="",D1232=""),"",IF(B1232="","Missing code",IF(C1232="Unknown code","Unknown code",IF(D1232="","Missing qty",IF(A1232="","Missing date","")))))</f>
        <v/>
      </c>
    </row>
    <row r="1233" customFormat="false" ht="15" hidden="false" customHeight="false" outlineLevel="0" collapsed="false">
      <c r="A1233" s="44"/>
      <c r="B1233" s="39"/>
      <c r="C1233" s="45" t="str">
        <f aca="false">IF(B1233="","",IFERROR(INDEX(Contract!$C$10:$C$23,MATCH(B1233,Contract!$B$10:$B$23,0)),"Unknown code"))</f>
        <v/>
      </c>
      <c r="D1233" s="46"/>
      <c r="E1233" s="39"/>
      <c r="F1233" s="39"/>
      <c r="G1233" s="47" t="str">
        <f aca="false">IF(AND(B1233="",D1233=""),"",IF(B1233="","Missing code",IF(C1233="Unknown code","Unknown code",IF(D1233="","Missing qty",IF(A1233="","Missing date","")))))</f>
        <v/>
      </c>
    </row>
    <row r="1234" customFormat="false" ht="15" hidden="false" customHeight="false" outlineLevel="0" collapsed="false">
      <c r="A1234" s="44"/>
      <c r="B1234" s="39"/>
      <c r="C1234" s="45" t="str">
        <f aca="false">IF(B1234="","",IFERROR(INDEX(Contract!$C$10:$C$23,MATCH(B1234,Contract!$B$10:$B$23,0)),"Unknown code"))</f>
        <v/>
      </c>
      <c r="D1234" s="46"/>
      <c r="E1234" s="39"/>
      <c r="F1234" s="39"/>
      <c r="G1234" s="47" t="str">
        <f aca="false">IF(AND(B1234="",D1234=""),"",IF(B1234="","Missing code",IF(C1234="Unknown code","Unknown code",IF(D1234="","Missing qty",IF(A1234="","Missing date","")))))</f>
        <v/>
      </c>
    </row>
    <row r="1235" customFormat="false" ht="15" hidden="false" customHeight="false" outlineLevel="0" collapsed="false">
      <c r="A1235" s="44"/>
      <c r="B1235" s="39"/>
      <c r="C1235" s="45" t="str">
        <f aca="false">IF(B1235="","",IFERROR(INDEX(Contract!$C$10:$C$23,MATCH(B1235,Contract!$B$10:$B$23,0)),"Unknown code"))</f>
        <v/>
      </c>
      <c r="D1235" s="46"/>
      <c r="E1235" s="39"/>
      <c r="F1235" s="39"/>
      <c r="G1235" s="47" t="str">
        <f aca="false">IF(AND(B1235="",D1235=""),"",IF(B1235="","Missing code",IF(C1235="Unknown code","Unknown code",IF(D1235="","Missing qty",IF(A1235="","Missing date","")))))</f>
        <v/>
      </c>
    </row>
    <row r="1236" customFormat="false" ht="15" hidden="false" customHeight="false" outlineLevel="0" collapsed="false">
      <c r="A1236" s="44"/>
      <c r="B1236" s="39"/>
      <c r="C1236" s="45" t="str">
        <f aca="false">IF(B1236="","",IFERROR(INDEX(Contract!$C$10:$C$23,MATCH(B1236,Contract!$B$10:$B$23,0)),"Unknown code"))</f>
        <v/>
      </c>
      <c r="D1236" s="46"/>
      <c r="E1236" s="39"/>
      <c r="F1236" s="39"/>
      <c r="G1236" s="47" t="str">
        <f aca="false">IF(AND(B1236="",D1236=""),"",IF(B1236="","Missing code",IF(C1236="Unknown code","Unknown code",IF(D1236="","Missing qty",IF(A1236="","Missing date","")))))</f>
        <v/>
      </c>
    </row>
    <row r="1237" customFormat="false" ht="15" hidden="false" customHeight="false" outlineLevel="0" collapsed="false">
      <c r="A1237" s="44"/>
      <c r="B1237" s="39"/>
      <c r="C1237" s="45" t="str">
        <f aca="false">IF(B1237="","",IFERROR(INDEX(Contract!$C$10:$C$23,MATCH(B1237,Contract!$B$10:$B$23,0)),"Unknown code"))</f>
        <v/>
      </c>
      <c r="D1237" s="46"/>
      <c r="E1237" s="39"/>
      <c r="F1237" s="39"/>
      <c r="G1237" s="47" t="str">
        <f aca="false">IF(AND(B1237="",D1237=""),"",IF(B1237="","Missing code",IF(C1237="Unknown code","Unknown code",IF(D1237="","Missing qty",IF(A1237="","Missing date","")))))</f>
        <v/>
      </c>
    </row>
    <row r="1238" customFormat="false" ht="15" hidden="false" customHeight="false" outlineLevel="0" collapsed="false">
      <c r="A1238" s="44"/>
      <c r="B1238" s="39"/>
      <c r="C1238" s="45" t="str">
        <f aca="false">IF(B1238="","",IFERROR(INDEX(Contract!$C$10:$C$23,MATCH(B1238,Contract!$B$10:$B$23,0)),"Unknown code"))</f>
        <v/>
      </c>
      <c r="D1238" s="46"/>
      <c r="E1238" s="39"/>
      <c r="F1238" s="39"/>
      <c r="G1238" s="47" t="str">
        <f aca="false">IF(AND(B1238="",D1238=""),"",IF(B1238="","Missing code",IF(C1238="Unknown code","Unknown code",IF(D1238="","Missing qty",IF(A1238="","Missing date","")))))</f>
        <v/>
      </c>
    </row>
    <row r="1239" customFormat="false" ht="15" hidden="false" customHeight="false" outlineLevel="0" collapsed="false">
      <c r="A1239" s="44"/>
      <c r="B1239" s="39"/>
      <c r="C1239" s="45" t="str">
        <f aca="false">IF(B1239="","",IFERROR(INDEX(Contract!$C$10:$C$23,MATCH(B1239,Contract!$B$10:$B$23,0)),"Unknown code"))</f>
        <v/>
      </c>
      <c r="D1239" s="46"/>
      <c r="E1239" s="39"/>
      <c r="F1239" s="39"/>
      <c r="G1239" s="47" t="str">
        <f aca="false">IF(AND(B1239="",D1239=""),"",IF(B1239="","Missing code",IF(C1239="Unknown code","Unknown code",IF(D1239="","Missing qty",IF(A1239="","Missing date","")))))</f>
        <v/>
      </c>
    </row>
    <row r="1240" customFormat="false" ht="15" hidden="false" customHeight="false" outlineLevel="0" collapsed="false">
      <c r="A1240" s="44"/>
      <c r="B1240" s="39"/>
      <c r="C1240" s="45" t="str">
        <f aca="false">IF(B1240="","",IFERROR(INDEX(Contract!$C$10:$C$23,MATCH(B1240,Contract!$B$10:$B$23,0)),"Unknown code"))</f>
        <v/>
      </c>
      <c r="D1240" s="46"/>
      <c r="E1240" s="39"/>
      <c r="F1240" s="39"/>
      <c r="G1240" s="47" t="str">
        <f aca="false">IF(AND(B1240="",D1240=""),"",IF(B1240="","Missing code",IF(C1240="Unknown code","Unknown code",IF(D1240="","Missing qty",IF(A1240="","Missing date","")))))</f>
        <v/>
      </c>
    </row>
    <row r="1241" customFormat="false" ht="15" hidden="false" customHeight="false" outlineLevel="0" collapsed="false">
      <c r="A1241" s="44"/>
      <c r="B1241" s="39"/>
      <c r="C1241" s="45" t="str">
        <f aca="false">IF(B1241="","",IFERROR(INDEX(Contract!$C$10:$C$23,MATCH(B1241,Contract!$B$10:$B$23,0)),"Unknown code"))</f>
        <v/>
      </c>
      <c r="D1241" s="46"/>
      <c r="E1241" s="39"/>
      <c r="F1241" s="39"/>
      <c r="G1241" s="47" t="str">
        <f aca="false">IF(AND(B1241="",D1241=""),"",IF(B1241="","Missing code",IF(C1241="Unknown code","Unknown code",IF(D1241="","Missing qty",IF(A1241="","Missing date","")))))</f>
        <v/>
      </c>
    </row>
    <row r="1242" customFormat="false" ht="15" hidden="false" customHeight="false" outlineLevel="0" collapsed="false">
      <c r="A1242" s="44"/>
      <c r="B1242" s="39"/>
      <c r="C1242" s="45" t="str">
        <f aca="false">IF(B1242="","",IFERROR(INDEX(Contract!$C$10:$C$23,MATCH(B1242,Contract!$B$10:$B$23,0)),"Unknown code"))</f>
        <v/>
      </c>
      <c r="D1242" s="46"/>
      <c r="E1242" s="39"/>
      <c r="F1242" s="39"/>
      <c r="G1242" s="47" t="str">
        <f aca="false">IF(AND(B1242="",D1242=""),"",IF(B1242="","Missing code",IF(C1242="Unknown code","Unknown code",IF(D1242="","Missing qty",IF(A1242="","Missing date","")))))</f>
        <v/>
      </c>
    </row>
    <row r="1243" customFormat="false" ht="15" hidden="false" customHeight="false" outlineLevel="0" collapsed="false">
      <c r="A1243" s="44"/>
      <c r="B1243" s="39"/>
      <c r="C1243" s="45" t="str">
        <f aca="false">IF(B1243="","",IFERROR(INDEX(Contract!$C$10:$C$23,MATCH(B1243,Contract!$B$10:$B$23,0)),"Unknown code"))</f>
        <v/>
      </c>
      <c r="D1243" s="46"/>
      <c r="E1243" s="39"/>
      <c r="F1243" s="39"/>
      <c r="G1243" s="47" t="str">
        <f aca="false">IF(AND(B1243="",D1243=""),"",IF(B1243="","Missing code",IF(C1243="Unknown code","Unknown code",IF(D1243="","Missing qty",IF(A1243="","Missing date","")))))</f>
        <v/>
      </c>
    </row>
    <row r="1244" customFormat="false" ht="15" hidden="false" customHeight="false" outlineLevel="0" collapsed="false">
      <c r="A1244" s="44"/>
      <c r="B1244" s="39"/>
      <c r="C1244" s="45" t="str">
        <f aca="false">IF(B1244="","",IFERROR(INDEX(Contract!$C$10:$C$23,MATCH(B1244,Contract!$B$10:$B$23,0)),"Unknown code"))</f>
        <v/>
      </c>
      <c r="D1244" s="46"/>
      <c r="E1244" s="39"/>
      <c r="F1244" s="39"/>
      <c r="G1244" s="47" t="str">
        <f aca="false">IF(AND(B1244="",D1244=""),"",IF(B1244="","Missing code",IF(C1244="Unknown code","Unknown code",IF(D1244="","Missing qty",IF(A1244="","Missing date","")))))</f>
        <v/>
      </c>
    </row>
    <row r="1245" customFormat="false" ht="15" hidden="false" customHeight="false" outlineLevel="0" collapsed="false">
      <c r="A1245" s="44"/>
      <c r="B1245" s="39"/>
      <c r="C1245" s="45" t="str">
        <f aca="false">IF(B1245="","",IFERROR(INDEX(Contract!$C$10:$C$23,MATCH(B1245,Contract!$B$10:$B$23,0)),"Unknown code"))</f>
        <v/>
      </c>
      <c r="D1245" s="46"/>
      <c r="E1245" s="39"/>
      <c r="F1245" s="39"/>
      <c r="G1245" s="47" t="str">
        <f aca="false">IF(AND(B1245="",D1245=""),"",IF(B1245="","Missing code",IF(C1245="Unknown code","Unknown code",IF(D1245="","Missing qty",IF(A1245="","Missing date","")))))</f>
        <v/>
      </c>
    </row>
    <row r="1246" customFormat="false" ht="15" hidden="false" customHeight="false" outlineLevel="0" collapsed="false">
      <c r="A1246" s="44"/>
      <c r="B1246" s="39"/>
      <c r="C1246" s="45" t="str">
        <f aca="false">IF(B1246="","",IFERROR(INDEX(Contract!$C$10:$C$23,MATCH(B1246,Contract!$B$10:$B$23,0)),"Unknown code"))</f>
        <v/>
      </c>
      <c r="D1246" s="46"/>
      <c r="E1246" s="39"/>
      <c r="F1246" s="39"/>
      <c r="G1246" s="47" t="str">
        <f aca="false">IF(AND(B1246="",D1246=""),"",IF(B1246="","Missing code",IF(C1246="Unknown code","Unknown code",IF(D1246="","Missing qty",IF(A1246="","Missing date","")))))</f>
        <v/>
      </c>
    </row>
    <row r="1247" customFormat="false" ht="15" hidden="false" customHeight="false" outlineLevel="0" collapsed="false">
      <c r="A1247" s="44"/>
      <c r="B1247" s="39"/>
      <c r="C1247" s="45" t="str">
        <f aca="false">IF(B1247="","",IFERROR(INDEX(Contract!$C$10:$C$23,MATCH(B1247,Contract!$B$10:$B$23,0)),"Unknown code"))</f>
        <v/>
      </c>
      <c r="D1247" s="46"/>
      <c r="E1247" s="39"/>
      <c r="F1247" s="39"/>
      <c r="G1247" s="47" t="str">
        <f aca="false">IF(AND(B1247="",D1247=""),"",IF(B1247="","Missing code",IF(C1247="Unknown code","Unknown code",IF(D1247="","Missing qty",IF(A1247="","Missing date","")))))</f>
        <v/>
      </c>
    </row>
    <row r="1248" customFormat="false" ht="15" hidden="false" customHeight="false" outlineLevel="0" collapsed="false">
      <c r="A1248" s="44"/>
      <c r="B1248" s="39"/>
      <c r="C1248" s="45" t="str">
        <f aca="false">IF(B1248="","",IFERROR(INDEX(Contract!$C$10:$C$23,MATCH(B1248,Contract!$B$10:$B$23,0)),"Unknown code"))</f>
        <v/>
      </c>
      <c r="D1248" s="46"/>
      <c r="E1248" s="39"/>
      <c r="F1248" s="39"/>
      <c r="G1248" s="47" t="str">
        <f aca="false">IF(AND(B1248="",D1248=""),"",IF(B1248="","Missing code",IF(C1248="Unknown code","Unknown code",IF(D1248="","Missing qty",IF(A1248="","Missing date","")))))</f>
        <v/>
      </c>
    </row>
    <row r="1249" customFormat="false" ht="15" hidden="false" customHeight="false" outlineLevel="0" collapsed="false">
      <c r="A1249" s="44"/>
      <c r="B1249" s="39"/>
      <c r="C1249" s="45" t="str">
        <f aca="false">IF(B1249="","",IFERROR(INDEX(Contract!$C$10:$C$23,MATCH(B1249,Contract!$B$10:$B$23,0)),"Unknown code"))</f>
        <v/>
      </c>
      <c r="D1249" s="46"/>
      <c r="E1249" s="39"/>
      <c r="F1249" s="39"/>
      <c r="G1249" s="47" t="str">
        <f aca="false">IF(AND(B1249="",D1249=""),"",IF(B1249="","Missing code",IF(C1249="Unknown code","Unknown code",IF(D1249="","Missing qty",IF(A1249="","Missing date","")))))</f>
        <v/>
      </c>
    </row>
    <row r="1250" customFormat="false" ht="15" hidden="false" customHeight="false" outlineLevel="0" collapsed="false">
      <c r="A1250" s="44"/>
      <c r="B1250" s="39"/>
      <c r="C1250" s="45" t="str">
        <f aca="false">IF(B1250="","",IFERROR(INDEX(Contract!$C$10:$C$23,MATCH(B1250,Contract!$B$10:$B$23,0)),"Unknown code"))</f>
        <v/>
      </c>
      <c r="D1250" s="46"/>
      <c r="E1250" s="39"/>
      <c r="F1250" s="39"/>
      <c r="G1250" s="47" t="str">
        <f aca="false">IF(AND(B1250="",D1250=""),"",IF(B1250="","Missing code",IF(C1250="Unknown code","Unknown code",IF(D1250="","Missing qty",IF(A1250="","Missing date","")))))</f>
        <v/>
      </c>
    </row>
    <row r="1251" customFormat="false" ht="15" hidden="false" customHeight="false" outlineLevel="0" collapsed="false">
      <c r="A1251" s="44"/>
      <c r="B1251" s="39"/>
      <c r="C1251" s="45" t="str">
        <f aca="false">IF(B1251="","",IFERROR(INDEX(Contract!$C$10:$C$23,MATCH(B1251,Contract!$B$10:$B$23,0)),"Unknown code"))</f>
        <v/>
      </c>
      <c r="D1251" s="46"/>
      <c r="E1251" s="39"/>
      <c r="F1251" s="39"/>
      <c r="G1251" s="47" t="str">
        <f aca="false">IF(AND(B1251="",D1251=""),"",IF(B1251="","Missing code",IF(C1251="Unknown code","Unknown code",IF(D1251="","Missing qty",IF(A1251="","Missing date","")))))</f>
        <v/>
      </c>
    </row>
    <row r="1252" customFormat="false" ht="15" hidden="false" customHeight="false" outlineLevel="0" collapsed="false">
      <c r="A1252" s="44"/>
      <c r="B1252" s="39"/>
      <c r="C1252" s="45" t="str">
        <f aca="false">IF(B1252="","",IFERROR(INDEX(Contract!$C$10:$C$23,MATCH(B1252,Contract!$B$10:$B$23,0)),"Unknown code"))</f>
        <v/>
      </c>
      <c r="D1252" s="46"/>
      <c r="E1252" s="39"/>
      <c r="F1252" s="39"/>
      <c r="G1252" s="47" t="str">
        <f aca="false">IF(AND(B1252="",D1252=""),"",IF(B1252="","Missing code",IF(C1252="Unknown code","Unknown code",IF(D1252="","Missing qty",IF(A1252="","Missing date","")))))</f>
        <v/>
      </c>
    </row>
    <row r="1253" customFormat="false" ht="15" hidden="false" customHeight="false" outlineLevel="0" collapsed="false">
      <c r="A1253" s="44"/>
      <c r="B1253" s="39"/>
      <c r="C1253" s="45" t="str">
        <f aca="false">IF(B1253="","",IFERROR(INDEX(Contract!$C$10:$C$23,MATCH(B1253,Contract!$B$10:$B$23,0)),"Unknown code"))</f>
        <v/>
      </c>
      <c r="D1253" s="46"/>
      <c r="E1253" s="39"/>
      <c r="F1253" s="39"/>
      <c r="G1253" s="47" t="str">
        <f aca="false">IF(AND(B1253="",D1253=""),"",IF(B1253="","Missing code",IF(C1253="Unknown code","Unknown code",IF(D1253="","Missing qty",IF(A1253="","Missing date","")))))</f>
        <v/>
      </c>
    </row>
    <row r="1254" customFormat="false" ht="15" hidden="false" customHeight="false" outlineLevel="0" collapsed="false">
      <c r="A1254" s="44"/>
      <c r="B1254" s="39"/>
      <c r="C1254" s="45" t="str">
        <f aca="false">IF(B1254="","",IFERROR(INDEX(Contract!$C$10:$C$23,MATCH(B1254,Contract!$B$10:$B$23,0)),"Unknown code"))</f>
        <v/>
      </c>
      <c r="D1254" s="46"/>
      <c r="E1254" s="39"/>
      <c r="F1254" s="39"/>
      <c r="G1254" s="47" t="str">
        <f aca="false">IF(AND(B1254="",D1254=""),"",IF(B1254="","Missing code",IF(C1254="Unknown code","Unknown code",IF(D1254="","Missing qty",IF(A1254="","Missing date","")))))</f>
        <v/>
      </c>
    </row>
    <row r="1255" customFormat="false" ht="15" hidden="false" customHeight="false" outlineLevel="0" collapsed="false">
      <c r="A1255" s="44"/>
      <c r="B1255" s="39"/>
      <c r="C1255" s="45" t="str">
        <f aca="false">IF(B1255="","",IFERROR(INDEX(Contract!$C$10:$C$23,MATCH(B1255,Contract!$B$10:$B$23,0)),"Unknown code"))</f>
        <v/>
      </c>
      <c r="D1255" s="46"/>
      <c r="E1255" s="39"/>
      <c r="F1255" s="39"/>
      <c r="G1255" s="47" t="str">
        <f aca="false">IF(AND(B1255="",D1255=""),"",IF(B1255="","Missing code",IF(C1255="Unknown code","Unknown code",IF(D1255="","Missing qty",IF(A1255="","Missing date","")))))</f>
        <v/>
      </c>
    </row>
    <row r="1256" customFormat="false" ht="15" hidden="false" customHeight="false" outlineLevel="0" collapsed="false">
      <c r="A1256" s="44"/>
      <c r="B1256" s="39"/>
      <c r="C1256" s="45" t="str">
        <f aca="false">IF(B1256="","",IFERROR(INDEX(Contract!$C$10:$C$23,MATCH(B1256,Contract!$B$10:$B$23,0)),"Unknown code"))</f>
        <v/>
      </c>
      <c r="D1256" s="46"/>
      <c r="E1256" s="39"/>
      <c r="F1256" s="39"/>
      <c r="G1256" s="47" t="str">
        <f aca="false">IF(AND(B1256="",D1256=""),"",IF(B1256="","Missing code",IF(C1256="Unknown code","Unknown code",IF(D1256="","Missing qty",IF(A1256="","Missing date","")))))</f>
        <v/>
      </c>
    </row>
    <row r="1257" customFormat="false" ht="15" hidden="false" customHeight="false" outlineLevel="0" collapsed="false">
      <c r="A1257" s="44"/>
      <c r="B1257" s="39"/>
      <c r="C1257" s="45" t="str">
        <f aca="false">IF(B1257="","",IFERROR(INDEX(Contract!$C$10:$C$23,MATCH(B1257,Contract!$B$10:$B$23,0)),"Unknown code"))</f>
        <v/>
      </c>
      <c r="D1257" s="46"/>
      <c r="E1257" s="39"/>
      <c r="F1257" s="39"/>
      <c r="G1257" s="47" t="str">
        <f aca="false">IF(AND(B1257="",D1257=""),"",IF(B1257="","Missing code",IF(C1257="Unknown code","Unknown code",IF(D1257="","Missing qty",IF(A1257="","Missing date","")))))</f>
        <v/>
      </c>
    </row>
    <row r="1258" customFormat="false" ht="15" hidden="false" customHeight="false" outlineLevel="0" collapsed="false">
      <c r="A1258" s="44"/>
      <c r="B1258" s="39"/>
      <c r="C1258" s="45" t="str">
        <f aca="false">IF(B1258="","",IFERROR(INDEX(Contract!$C$10:$C$23,MATCH(B1258,Contract!$B$10:$B$23,0)),"Unknown code"))</f>
        <v/>
      </c>
      <c r="D1258" s="46"/>
      <c r="E1258" s="39"/>
      <c r="F1258" s="39"/>
      <c r="G1258" s="47" t="str">
        <f aca="false">IF(AND(B1258="",D1258=""),"",IF(B1258="","Missing code",IF(C1258="Unknown code","Unknown code",IF(D1258="","Missing qty",IF(A1258="","Missing date","")))))</f>
        <v/>
      </c>
    </row>
    <row r="1259" customFormat="false" ht="15" hidden="false" customHeight="false" outlineLevel="0" collapsed="false">
      <c r="A1259" s="44"/>
      <c r="B1259" s="39"/>
      <c r="C1259" s="45" t="str">
        <f aca="false">IF(B1259="","",IFERROR(INDEX(Contract!$C$10:$C$23,MATCH(B1259,Contract!$B$10:$B$23,0)),"Unknown code"))</f>
        <v/>
      </c>
      <c r="D1259" s="46"/>
      <c r="E1259" s="39"/>
      <c r="F1259" s="39"/>
      <c r="G1259" s="47" t="str">
        <f aca="false">IF(AND(B1259="",D1259=""),"",IF(B1259="","Missing code",IF(C1259="Unknown code","Unknown code",IF(D1259="","Missing qty",IF(A1259="","Missing date","")))))</f>
        <v/>
      </c>
    </row>
    <row r="1260" customFormat="false" ht="15" hidden="false" customHeight="false" outlineLevel="0" collapsed="false">
      <c r="A1260" s="44"/>
      <c r="B1260" s="39"/>
      <c r="C1260" s="45" t="str">
        <f aca="false">IF(B1260="","",IFERROR(INDEX(Contract!$C$10:$C$23,MATCH(B1260,Contract!$B$10:$B$23,0)),"Unknown code"))</f>
        <v/>
      </c>
      <c r="D1260" s="46"/>
      <c r="E1260" s="39"/>
      <c r="F1260" s="39"/>
      <c r="G1260" s="47" t="str">
        <f aca="false">IF(AND(B1260="",D1260=""),"",IF(B1260="","Missing code",IF(C1260="Unknown code","Unknown code",IF(D1260="","Missing qty",IF(A1260="","Missing date","")))))</f>
        <v/>
      </c>
    </row>
    <row r="1261" customFormat="false" ht="15" hidden="false" customHeight="false" outlineLevel="0" collapsed="false">
      <c r="A1261" s="44"/>
      <c r="B1261" s="39"/>
      <c r="C1261" s="45" t="str">
        <f aca="false">IF(B1261="","",IFERROR(INDEX(Contract!$C$10:$C$23,MATCH(B1261,Contract!$B$10:$B$23,0)),"Unknown code"))</f>
        <v/>
      </c>
      <c r="D1261" s="46"/>
      <c r="E1261" s="39"/>
      <c r="F1261" s="39"/>
      <c r="G1261" s="47" t="str">
        <f aca="false">IF(AND(B1261="",D1261=""),"",IF(B1261="","Missing code",IF(C1261="Unknown code","Unknown code",IF(D1261="","Missing qty",IF(A1261="","Missing date","")))))</f>
        <v/>
      </c>
    </row>
    <row r="1262" customFormat="false" ht="15" hidden="false" customHeight="false" outlineLevel="0" collapsed="false">
      <c r="A1262" s="44"/>
      <c r="B1262" s="39"/>
      <c r="C1262" s="45" t="str">
        <f aca="false">IF(B1262="","",IFERROR(INDEX(Contract!$C$10:$C$23,MATCH(B1262,Contract!$B$10:$B$23,0)),"Unknown code"))</f>
        <v/>
      </c>
      <c r="D1262" s="46"/>
      <c r="E1262" s="39"/>
      <c r="F1262" s="39"/>
      <c r="G1262" s="47" t="str">
        <f aca="false">IF(AND(B1262="",D1262=""),"",IF(B1262="","Missing code",IF(C1262="Unknown code","Unknown code",IF(D1262="","Missing qty",IF(A1262="","Missing date","")))))</f>
        <v/>
      </c>
    </row>
    <row r="1263" customFormat="false" ht="15" hidden="false" customHeight="false" outlineLevel="0" collapsed="false">
      <c r="A1263" s="44"/>
      <c r="B1263" s="39"/>
      <c r="C1263" s="45" t="str">
        <f aca="false">IF(B1263="","",IFERROR(INDEX(Contract!$C$10:$C$23,MATCH(B1263,Contract!$B$10:$B$23,0)),"Unknown code"))</f>
        <v/>
      </c>
      <c r="D1263" s="46"/>
      <c r="E1263" s="39"/>
      <c r="F1263" s="39"/>
      <c r="G1263" s="47" t="str">
        <f aca="false">IF(AND(B1263="",D1263=""),"",IF(B1263="","Missing code",IF(C1263="Unknown code","Unknown code",IF(D1263="","Missing qty",IF(A1263="","Missing date","")))))</f>
        <v/>
      </c>
    </row>
    <row r="1264" customFormat="false" ht="15" hidden="false" customHeight="false" outlineLevel="0" collapsed="false">
      <c r="A1264" s="44"/>
      <c r="B1264" s="39"/>
      <c r="C1264" s="45" t="str">
        <f aca="false">IF(B1264="","",IFERROR(INDEX(Contract!$C$10:$C$23,MATCH(B1264,Contract!$B$10:$B$23,0)),"Unknown code"))</f>
        <v/>
      </c>
      <c r="D1264" s="46"/>
      <c r="E1264" s="39"/>
      <c r="F1264" s="39"/>
      <c r="G1264" s="47" t="str">
        <f aca="false">IF(AND(B1264="",D1264=""),"",IF(B1264="","Missing code",IF(C1264="Unknown code","Unknown code",IF(D1264="","Missing qty",IF(A1264="","Missing date","")))))</f>
        <v/>
      </c>
    </row>
    <row r="1265" customFormat="false" ht="15" hidden="false" customHeight="false" outlineLevel="0" collapsed="false">
      <c r="A1265" s="44"/>
      <c r="B1265" s="39"/>
      <c r="C1265" s="45" t="str">
        <f aca="false">IF(B1265="","",IFERROR(INDEX(Contract!$C$10:$C$23,MATCH(B1265,Contract!$B$10:$B$23,0)),"Unknown code"))</f>
        <v/>
      </c>
      <c r="D1265" s="46"/>
      <c r="E1265" s="39"/>
      <c r="F1265" s="39"/>
      <c r="G1265" s="47" t="str">
        <f aca="false">IF(AND(B1265="",D1265=""),"",IF(B1265="","Missing code",IF(C1265="Unknown code","Unknown code",IF(D1265="","Missing qty",IF(A1265="","Missing date","")))))</f>
        <v/>
      </c>
    </row>
    <row r="1266" customFormat="false" ht="15" hidden="false" customHeight="false" outlineLevel="0" collapsed="false">
      <c r="A1266" s="44"/>
      <c r="B1266" s="39"/>
      <c r="C1266" s="45" t="str">
        <f aca="false">IF(B1266="","",IFERROR(INDEX(Contract!$C$10:$C$23,MATCH(B1266,Contract!$B$10:$B$23,0)),"Unknown code"))</f>
        <v/>
      </c>
      <c r="D1266" s="46"/>
      <c r="E1266" s="39"/>
      <c r="F1266" s="39"/>
      <c r="G1266" s="47" t="str">
        <f aca="false">IF(AND(B1266="",D1266=""),"",IF(B1266="","Missing code",IF(C1266="Unknown code","Unknown code",IF(D1266="","Missing qty",IF(A1266="","Missing date","")))))</f>
        <v/>
      </c>
    </row>
    <row r="1267" customFormat="false" ht="15" hidden="false" customHeight="false" outlineLevel="0" collapsed="false">
      <c r="A1267" s="44"/>
      <c r="B1267" s="39"/>
      <c r="C1267" s="45" t="str">
        <f aca="false">IF(B1267="","",IFERROR(INDEX(Contract!$C$10:$C$23,MATCH(B1267,Contract!$B$10:$B$23,0)),"Unknown code"))</f>
        <v/>
      </c>
      <c r="D1267" s="46"/>
      <c r="E1267" s="39"/>
      <c r="F1267" s="39"/>
      <c r="G1267" s="47" t="str">
        <f aca="false">IF(AND(B1267="",D1267=""),"",IF(B1267="","Missing code",IF(C1267="Unknown code","Unknown code",IF(D1267="","Missing qty",IF(A1267="","Missing date","")))))</f>
        <v/>
      </c>
    </row>
    <row r="1268" customFormat="false" ht="15" hidden="false" customHeight="false" outlineLevel="0" collapsed="false">
      <c r="A1268" s="44"/>
      <c r="B1268" s="39"/>
      <c r="C1268" s="45" t="str">
        <f aca="false">IF(B1268="","",IFERROR(INDEX(Contract!$C$10:$C$23,MATCH(B1268,Contract!$B$10:$B$23,0)),"Unknown code"))</f>
        <v/>
      </c>
      <c r="D1268" s="46"/>
      <c r="E1268" s="39"/>
      <c r="F1268" s="39"/>
      <c r="G1268" s="47" t="str">
        <f aca="false">IF(AND(B1268="",D1268=""),"",IF(B1268="","Missing code",IF(C1268="Unknown code","Unknown code",IF(D1268="","Missing qty",IF(A1268="","Missing date","")))))</f>
        <v/>
      </c>
    </row>
    <row r="1269" customFormat="false" ht="15" hidden="false" customHeight="false" outlineLevel="0" collapsed="false">
      <c r="A1269" s="44"/>
      <c r="B1269" s="39"/>
      <c r="C1269" s="45" t="str">
        <f aca="false">IF(B1269="","",IFERROR(INDEX(Contract!$C$10:$C$23,MATCH(B1269,Contract!$B$10:$B$23,0)),"Unknown code"))</f>
        <v/>
      </c>
      <c r="D1269" s="46"/>
      <c r="E1269" s="39"/>
      <c r="F1269" s="39"/>
      <c r="G1269" s="47" t="str">
        <f aca="false">IF(AND(B1269="",D1269=""),"",IF(B1269="","Missing code",IF(C1269="Unknown code","Unknown code",IF(D1269="","Missing qty",IF(A1269="","Missing date","")))))</f>
        <v/>
      </c>
    </row>
    <row r="1270" customFormat="false" ht="15" hidden="false" customHeight="false" outlineLevel="0" collapsed="false">
      <c r="A1270" s="44"/>
      <c r="B1270" s="39"/>
      <c r="C1270" s="45" t="str">
        <f aca="false">IF(B1270="","",IFERROR(INDEX(Contract!$C$10:$C$23,MATCH(B1270,Contract!$B$10:$B$23,0)),"Unknown code"))</f>
        <v/>
      </c>
      <c r="D1270" s="46"/>
      <c r="E1270" s="39"/>
      <c r="F1270" s="39"/>
      <c r="G1270" s="47" t="str">
        <f aca="false">IF(AND(B1270="",D1270=""),"",IF(B1270="","Missing code",IF(C1270="Unknown code","Unknown code",IF(D1270="","Missing qty",IF(A1270="","Missing date","")))))</f>
        <v/>
      </c>
    </row>
    <row r="1271" customFormat="false" ht="15" hidden="false" customHeight="false" outlineLevel="0" collapsed="false">
      <c r="A1271" s="44"/>
      <c r="B1271" s="39"/>
      <c r="C1271" s="45" t="str">
        <f aca="false">IF(B1271="","",IFERROR(INDEX(Contract!$C$10:$C$23,MATCH(B1271,Contract!$B$10:$B$23,0)),"Unknown code"))</f>
        <v/>
      </c>
      <c r="D1271" s="46"/>
      <c r="E1271" s="39"/>
      <c r="F1271" s="39"/>
      <c r="G1271" s="47" t="str">
        <f aca="false">IF(AND(B1271="",D1271=""),"",IF(B1271="","Missing code",IF(C1271="Unknown code","Unknown code",IF(D1271="","Missing qty",IF(A1271="","Missing date","")))))</f>
        <v/>
      </c>
    </row>
    <row r="1272" customFormat="false" ht="15" hidden="false" customHeight="false" outlineLevel="0" collapsed="false">
      <c r="A1272" s="44"/>
      <c r="B1272" s="39"/>
      <c r="C1272" s="45" t="str">
        <f aca="false">IF(B1272="","",IFERROR(INDEX(Contract!$C$10:$C$23,MATCH(B1272,Contract!$B$10:$B$23,0)),"Unknown code"))</f>
        <v/>
      </c>
      <c r="D1272" s="46"/>
      <c r="E1272" s="39"/>
      <c r="F1272" s="39"/>
      <c r="G1272" s="47" t="str">
        <f aca="false">IF(AND(B1272="",D1272=""),"",IF(B1272="","Missing code",IF(C1272="Unknown code","Unknown code",IF(D1272="","Missing qty",IF(A1272="","Missing date","")))))</f>
        <v/>
      </c>
    </row>
    <row r="1273" customFormat="false" ht="15" hidden="false" customHeight="false" outlineLevel="0" collapsed="false">
      <c r="A1273" s="44"/>
      <c r="B1273" s="39"/>
      <c r="C1273" s="45" t="str">
        <f aca="false">IF(B1273="","",IFERROR(INDEX(Contract!$C$10:$C$23,MATCH(B1273,Contract!$B$10:$B$23,0)),"Unknown code"))</f>
        <v/>
      </c>
      <c r="D1273" s="46"/>
      <c r="E1273" s="39"/>
      <c r="F1273" s="39"/>
      <c r="G1273" s="47" t="str">
        <f aca="false">IF(AND(B1273="",D1273=""),"",IF(B1273="","Missing code",IF(C1273="Unknown code","Unknown code",IF(D1273="","Missing qty",IF(A1273="","Missing date","")))))</f>
        <v/>
      </c>
    </row>
    <row r="1274" customFormat="false" ht="15" hidden="false" customHeight="false" outlineLevel="0" collapsed="false">
      <c r="A1274" s="44"/>
      <c r="B1274" s="39"/>
      <c r="C1274" s="45" t="str">
        <f aca="false">IF(B1274="","",IFERROR(INDEX(Contract!$C$10:$C$23,MATCH(B1274,Contract!$B$10:$B$23,0)),"Unknown code"))</f>
        <v/>
      </c>
      <c r="D1274" s="46"/>
      <c r="E1274" s="39"/>
      <c r="F1274" s="39"/>
      <c r="G1274" s="47" t="str">
        <f aca="false">IF(AND(B1274="",D1274=""),"",IF(B1274="","Missing code",IF(C1274="Unknown code","Unknown code",IF(D1274="","Missing qty",IF(A1274="","Missing date","")))))</f>
        <v/>
      </c>
    </row>
    <row r="1275" customFormat="false" ht="15" hidden="false" customHeight="false" outlineLevel="0" collapsed="false">
      <c r="A1275" s="44"/>
      <c r="B1275" s="39"/>
      <c r="C1275" s="45" t="str">
        <f aca="false">IF(B1275="","",IFERROR(INDEX(Contract!$C$10:$C$23,MATCH(B1275,Contract!$B$10:$B$23,0)),"Unknown code"))</f>
        <v/>
      </c>
      <c r="D1275" s="46"/>
      <c r="E1275" s="39"/>
      <c r="F1275" s="39"/>
      <c r="G1275" s="47" t="str">
        <f aca="false">IF(AND(B1275="",D1275=""),"",IF(B1275="","Missing code",IF(C1275="Unknown code","Unknown code",IF(D1275="","Missing qty",IF(A1275="","Missing date","")))))</f>
        <v/>
      </c>
    </row>
    <row r="1276" customFormat="false" ht="15" hidden="false" customHeight="false" outlineLevel="0" collapsed="false">
      <c r="A1276" s="44"/>
      <c r="B1276" s="39"/>
      <c r="C1276" s="45" t="str">
        <f aca="false">IF(B1276="","",IFERROR(INDEX(Contract!$C$10:$C$23,MATCH(B1276,Contract!$B$10:$B$23,0)),"Unknown code"))</f>
        <v/>
      </c>
      <c r="D1276" s="46"/>
      <c r="E1276" s="39"/>
      <c r="F1276" s="39"/>
      <c r="G1276" s="47" t="str">
        <f aca="false">IF(AND(B1276="",D1276=""),"",IF(B1276="","Missing code",IF(C1276="Unknown code","Unknown code",IF(D1276="","Missing qty",IF(A1276="","Missing date","")))))</f>
        <v/>
      </c>
    </row>
    <row r="1277" customFormat="false" ht="15" hidden="false" customHeight="false" outlineLevel="0" collapsed="false">
      <c r="A1277" s="44"/>
      <c r="B1277" s="39"/>
      <c r="C1277" s="45" t="str">
        <f aca="false">IF(B1277="","",IFERROR(INDEX(Contract!$C$10:$C$23,MATCH(B1277,Contract!$B$10:$B$23,0)),"Unknown code"))</f>
        <v/>
      </c>
      <c r="D1277" s="46"/>
      <c r="E1277" s="39"/>
      <c r="F1277" s="39"/>
      <c r="G1277" s="47" t="str">
        <f aca="false">IF(AND(B1277="",D1277=""),"",IF(B1277="","Missing code",IF(C1277="Unknown code","Unknown code",IF(D1277="","Missing qty",IF(A1277="","Missing date","")))))</f>
        <v/>
      </c>
    </row>
    <row r="1278" customFormat="false" ht="15" hidden="false" customHeight="false" outlineLevel="0" collapsed="false">
      <c r="A1278" s="44"/>
      <c r="B1278" s="39"/>
      <c r="C1278" s="45" t="str">
        <f aca="false">IF(B1278="","",IFERROR(INDEX(Contract!$C$10:$C$23,MATCH(B1278,Contract!$B$10:$B$23,0)),"Unknown code"))</f>
        <v/>
      </c>
      <c r="D1278" s="46"/>
      <c r="E1278" s="39"/>
      <c r="F1278" s="39"/>
      <c r="G1278" s="47" t="str">
        <f aca="false">IF(AND(B1278="",D1278=""),"",IF(B1278="","Missing code",IF(C1278="Unknown code","Unknown code",IF(D1278="","Missing qty",IF(A1278="","Missing date","")))))</f>
        <v/>
      </c>
    </row>
    <row r="1279" customFormat="false" ht="15" hidden="false" customHeight="false" outlineLevel="0" collapsed="false">
      <c r="A1279" s="44"/>
      <c r="B1279" s="39"/>
      <c r="C1279" s="45" t="str">
        <f aca="false">IF(B1279="","",IFERROR(INDEX(Contract!$C$10:$C$23,MATCH(B1279,Contract!$B$10:$B$23,0)),"Unknown code"))</f>
        <v/>
      </c>
      <c r="D1279" s="46"/>
      <c r="E1279" s="39"/>
      <c r="F1279" s="39"/>
      <c r="G1279" s="47" t="str">
        <f aca="false">IF(AND(B1279="",D1279=""),"",IF(B1279="","Missing code",IF(C1279="Unknown code","Unknown code",IF(D1279="","Missing qty",IF(A1279="","Missing date","")))))</f>
        <v/>
      </c>
    </row>
    <row r="1280" customFormat="false" ht="15" hidden="false" customHeight="false" outlineLevel="0" collapsed="false">
      <c r="A1280" s="44"/>
      <c r="B1280" s="39"/>
      <c r="C1280" s="45" t="str">
        <f aca="false">IF(B1280="","",IFERROR(INDEX(Contract!$C$10:$C$23,MATCH(B1280,Contract!$B$10:$B$23,0)),"Unknown code"))</f>
        <v/>
      </c>
      <c r="D1280" s="46"/>
      <c r="E1280" s="39"/>
      <c r="F1280" s="39"/>
      <c r="G1280" s="47" t="str">
        <f aca="false">IF(AND(B1280="",D1280=""),"",IF(B1280="","Missing code",IF(C1280="Unknown code","Unknown code",IF(D1280="","Missing qty",IF(A1280="","Missing date","")))))</f>
        <v/>
      </c>
    </row>
    <row r="1281" customFormat="false" ht="15" hidden="false" customHeight="false" outlineLevel="0" collapsed="false">
      <c r="A1281" s="44"/>
      <c r="B1281" s="39"/>
      <c r="C1281" s="45" t="str">
        <f aca="false">IF(B1281="","",IFERROR(INDEX(Contract!$C$10:$C$23,MATCH(B1281,Contract!$B$10:$B$23,0)),"Unknown code"))</f>
        <v/>
      </c>
      <c r="D1281" s="46"/>
      <c r="E1281" s="39"/>
      <c r="F1281" s="39"/>
      <c r="G1281" s="47" t="str">
        <f aca="false">IF(AND(B1281="",D1281=""),"",IF(B1281="","Missing code",IF(C1281="Unknown code","Unknown code",IF(D1281="","Missing qty",IF(A1281="","Missing date","")))))</f>
        <v/>
      </c>
    </row>
    <row r="1282" customFormat="false" ht="15" hidden="false" customHeight="false" outlineLevel="0" collapsed="false">
      <c r="A1282" s="44"/>
      <c r="B1282" s="39"/>
      <c r="C1282" s="45" t="str">
        <f aca="false">IF(B1282="","",IFERROR(INDEX(Contract!$C$10:$C$23,MATCH(B1282,Contract!$B$10:$B$23,0)),"Unknown code"))</f>
        <v/>
      </c>
      <c r="D1282" s="46"/>
      <c r="E1282" s="39"/>
      <c r="F1282" s="39"/>
      <c r="G1282" s="47" t="str">
        <f aca="false">IF(AND(B1282="",D1282=""),"",IF(B1282="","Missing code",IF(C1282="Unknown code","Unknown code",IF(D1282="","Missing qty",IF(A1282="","Missing date","")))))</f>
        <v/>
      </c>
    </row>
    <row r="1283" customFormat="false" ht="15" hidden="false" customHeight="false" outlineLevel="0" collapsed="false">
      <c r="A1283" s="44"/>
      <c r="B1283" s="39"/>
      <c r="C1283" s="45" t="str">
        <f aca="false">IF(B1283="","",IFERROR(INDEX(Contract!$C$10:$C$23,MATCH(B1283,Contract!$B$10:$B$23,0)),"Unknown code"))</f>
        <v/>
      </c>
      <c r="D1283" s="46"/>
      <c r="E1283" s="39"/>
      <c r="F1283" s="39"/>
      <c r="G1283" s="47" t="str">
        <f aca="false">IF(AND(B1283="",D1283=""),"",IF(B1283="","Missing code",IF(C1283="Unknown code","Unknown code",IF(D1283="","Missing qty",IF(A1283="","Missing date","")))))</f>
        <v/>
      </c>
    </row>
    <row r="1284" customFormat="false" ht="15" hidden="false" customHeight="false" outlineLevel="0" collapsed="false">
      <c r="A1284" s="44"/>
      <c r="B1284" s="39"/>
      <c r="C1284" s="45" t="str">
        <f aca="false">IF(B1284="","",IFERROR(INDEX(Contract!$C$10:$C$23,MATCH(B1284,Contract!$B$10:$B$23,0)),"Unknown code"))</f>
        <v/>
      </c>
      <c r="D1284" s="46"/>
      <c r="E1284" s="39"/>
      <c r="F1284" s="39"/>
      <c r="G1284" s="47" t="str">
        <f aca="false">IF(AND(B1284="",D1284=""),"",IF(B1284="","Missing code",IF(C1284="Unknown code","Unknown code",IF(D1284="","Missing qty",IF(A1284="","Missing date","")))))</f>
        <v/>
      </c>
    </row>
    <row r="1285" customFormat="false" ht="15" hidden="false" customHeight="false" outlineLevel="0" collapsed="false">
      <c r="A1285" s="44"/>
      <c r="B1285" s="39"/>
      <c r="C1285" s="45" t="str">
        <f aca="false">IF(B1285="","",IFERROR(INDEX(Contract!$C$10:$C$23,MATCH(B1285,Contract!$B$10:$B$23,0)),"Unknown code"))</f>
        <v/>
      </c>
      <c r="D1285" s="46"/>
      <c r="E1285" s="39"/>
      <c r="F1285" s="39"/>
      <c r="G1285" s="47" t="str">
        <f aca="false">IF(AND(B1285="",D1285=""),"",IF(B1285="","Missing code",IF(C1285="Unknown code","Unknown code",IF(D1285="","Missing qty",IF(A1285="","Missing date","")))))</f>
        <v/>
      </c>
    </row>
    <row r="1286" customFormat="false" ht="15" hidden="false" customHeight="false" outlineLevel="0" collapsed="false">
      <c r="A1286" s="44"/>
      <c r="B1286" s="39"/>
      <c r="C1286" s="45" t="str">
        <f aca="false">IF(B1286="","",IFERROR(INDEX(Contract!$C$10:$C$23,MATCH(B1286,Contract!$B$10:$B$23,0)),"Unknown code"))</f>
        <v/>
      </c>
      <c r="D1286" s="46"/>
      <c r="E1286" s="39"/>
      <c r="F1286" s="39"/>
      <c r="G1286" s="47" t="str">
        <f aca="false">IF(AND(B1286="",D1286=""),"",IF(B1286="","Missing code",IF(C1286="Unknown code","Unknown code",IF(D1286="","Missing qty",IF(A1286="","Missing date","")))))</f>
        <v/>
      </c>
    </row>
    <row r="1287" customFormat="false" ht="15" hidden="false" customHeight="false" outlineLevel="0" collapsed="false">
      <c r="A1287" s="44"/>
      <c r="B1287" s="39"/>
      <c r="C1287" s="45" t="str">
        <f aca="false">IF(B1287="","",IFERROR(INDEX(Contract!$C$10:$C$23,MATCH(B1287,Contract!$B$10:$B$23,0)),"Unknown code"))</f>
        <v/>
      </c>
      <c r="D1287" s="46"/>
      <c r="E1287" s="39"/>
      <c r="F1287" s="39"/>
      <c r="G1287" s="47" t="str">
        <f aca="false">IF(AND(B1287="",D1287=""),"",IF(B1287="","Missing code",IF(C1287="Unknown code","Unknown code",IF(D1287="","Missing qty",IF(A1287="","Missing date","")))))</f>
        <v/>
      </c>
    </row>
    <row r="1288" customFormat="false" ht="15" hidden="false" customHeight="false" outlineLevel="0" collapsed="false">
      <c r="A1288" s="44"/>
      <c r="B1288" s="39"/>
      <c r="C1288" s="45" t="str">
        <f aca="false">IF(B1288="","",IFERROR(INDEX(Contract!$C$10:$C$23,MATCH(B1288,Contract!$B$10:$B$23,0)),"Unknown code"))</f>
        <v/>
      </c>
      <c r="D1288" s="46"/>
      <c r="E1288" s="39"/>
      <c r="F1288" s="39"/>
      <c r="G1288" s="47" t="str">
        <f aca="false">IF(AND(B1288="",D1288=""),"",IF(B1288="","Missing code",IF(C1288="Unknown code","Unknown code",IF(D1288="","Missing qty",IF(A1288="","Missing date","")))))</f>
        <v/>
      </c>
    </row>
    <row r="1289" customFormat="false" ht="15" hidden="false" customHeight="false" outlineLevel="0" collapsed="false">
      <c r="A1289" s="44"/>
      <c r="B1289" s="39"/>
      <c r="C1289" s="45" t="str">
        <f aca="false">IF(B1289="","",IFERROR(INDEX(Contract!$C$10:$C$23,MATCH(B1289,Contract!$B$10:$B$23,0)),"Unknown code"))</f>
        <v/>
      </c>
      <c r="D1289" s="46"/>
      <c r="E1289" s="39"/>
      <c r="F1289" s="39"/>
      <c r="G1289" s="47" t="str">
        <f aca="false">IF(AND(B1289="",D1289=""),"",IF(B1289="","Missing code",IF(C1289="Unknown code","Unknown code",IF(D1289="","Missing qty",IF(A1289="","Missing date","")))))</f>
        <v/>
      </c>
    </row>
    <row r="1290" customFormat="false" ht="15" hidden="false" customHeight="false" outlineLevel="0" collapsed="false">
      <c r="A1290" s="44"/>
      <c r="B1290" s="39"/>
      <c r="C1290" s="45" t="str">
        <f aca="false">IF(B1290="","",IFERROR(INDEX(Contract!$C$10:$C$23,MATCH(B1290,Contract!$B$10:$B$23,0)),"Unknown code"))</f>
        <v/>
      </c>
      <c r="D1290" s="46"/>
      <c r="E1290" s="39"/>
      <c r="F1290" s="39"/>
      <c r="G1290" s="47" t="str">
        <f aca="false">IF(AND(B1290="",D1290=""),"",IF(B1290="","Missing code",IF(C1290="Unknown code","Unknown code",IF(D1290="","Missing qty",IF(A1290="","Missing date","")))))</f>
        <v/>
      </c>
    </row>
    <row r="1291" customFormat="false" ht="15" hidden="false" customHeight="false" outlineLevel="0" collapsed="false">
      <c r="A1291" s="44"/>
      <c r="B1291" s="39"/>
      <c r="C1291" s="45" t="str">
        <f aca="false">IF(B1291="","",IFERROR(INDEX(Contract!$C$10:$C$23,MATCH(B1291,Contract!$B$10:$B$23,0)),"Unknown code"))</f>
        <v/>
      </c>
      <c r="D1291" s="46"/>
      <c r="E1291" s="39"/>
      <c r="F1291" s="39"/>
      <c r="G1291" s="47" t="str">
        <f aca="false">IF(AND(B1291="",D1291=""),"",IF(B1291="","Missing code",IF(C1291="Unknown code","Unknown code",IF(D1291="","Missing qty",IF(A1291="","Missing date","")))))</f>
        <v/>
      </c>
    </row>
    <row r="1292" customFormat="false" ht="15" hidden="false" customHeight="false" outlineLevel="0" collapsed="false">
      <c r="A1292" s="44"/>
      <c r="B1292" s="39"/>
      <c r="C1292" s="45" t="str">
        <f aca="false">IF(B1292="","",IFERROR(INDEX(Contract!$C$10:$C$23,MATCH(B1292,Contract!$B$10:$B$23,0)),"Unknown code"))</f>
        <v/>
      </c>
      <c r="D1292" s="46"/>
      <c r="E1292" s="39"/>
      <c r="F1292" s="39"/>
      <c r="G1292" s="47" t="str">
        <f aca="false">IF(AND(B1292="",D1292=""),"",IF(B1292="","Missing code",IF(C1292="Unknown code","Unknown code",IF(D1292="","Missing qty",IF(A1292="","Missing date","")))))</f>
        <v/>
      </c>
    </row>
    <row r="1293" customFormat="false" ht="15" hidden="false" customHeight="false" outlineLevel="0" collapsed="false">
      <c r="A1293" s="44"/>
      <c r="B1293" s="39"/>
      <c r="C1293" s="45" t="str">
        <f aca="false">IF(B1293="","",IFERROR(INDEX(Contract!$C$10:$C$23,MATCH(B1293,Contract!$B$10:$B$23,0)),"Unknown code"))</f>
        <v/>
      </c>
      <c r="D1293" s="46"/>
      <c r="E1293" s="39"/>
      <c r="F1293" s="39"/>
      <c r="G1293" s="47" t="str">
        <f aca="false">IF(AND(B1293="",D1293=""),"",IF(B1293="","Missing code",IF(C1293="Unknown code","Unknown code",IF(D1293="","Missing qty",IF(A1293="","Missing date","")))))</f>
        <v/>
      </c>
    </row>
    <row r="1294" customFormat="false" ht="15" hidden="false" customHeight="false" outlineLevel="0" collapsed="false">
      <c r="A1294" s="44"/>
      <c r="B1294" s="39"/>
      <c r="C1294" s="45" t="str">
        <f aca="false">IF(B1294="","",IFERROR(INDEX(Contract!$C$10:$C$23,MATCH(B1294,Contract!$B$10:$B$23,0)),"Unknown code"))</f>
        <v/>
      </c>
      <c r="D1294" s="46"/>
      <c r="E1294" s="39"/>
      <c r="F1294" s="39"/>
      <c r="G1294" s="47" t="str">
        <f aca="false">IF(AND(B1294="",D1294=""),"",IF(B1294="","Missing code",IF(C1294="Unknown code","Unknown code",IF(D1294="","Missing qty",IF(A1294="","Missing date","")))))</f>
        <v/>
      </c>
    </row>
    <row r="1295" customFormat="false" ht="15" hidden="false" customHeight="false" outlineLevel="0" collapsed="false">
      <c r="A1295" s="44"/>
      <c r="B1295" s="39"/>
      <c r="C1295" s="45" t="str">
        <f aca="false">IF(B1295="","",IFERROR(INDEX(Contract!$C$10:$C$23,MATCH(B1295,Contract!$B$10:$B$23,0)),"Unknown code"))</f>
        <v/>
      </c>
      <c r="D1295" s="46"/>
      <c r="E1295" s="39"/>
      <c r="F1295" s="39"/>
      <c r="G1295" s="47" t="str">
        <f aca="false">IF(AND(B1295="",D1295=""),"",IF(B1295="","Missing code",IF(C1295="Unknown code","Unknown code",IF(D1295="","Missing qty",IF(A1295="","Missing date","")))))</f>
        <v/>
      </c>
    </row>
    <row r="1296" customFormat="false" ht="15" hidden="false" customHeight="false" outlineLevel="0" collapsed="false">
      <c r="A1296" s="44"/>
      <c r="B1296" s="39"/>
      <c r="C1296" s="45" t="str">
        <f aca="false">IF(B1296="","",IFERROR(INDEX(Contract!$C$10:$C$23,MATCH(B1296,Contract!$B$10:$B$23,0)),"Unknown code"))</f>
        <v/>
      </c>
      <c r="D1296" s="46"/>
      <c r="E1296" s="39"/>
      <c r="F1296" s="39"/>
      <c r="G1296" s="47" t="str">
        <f aca="false">IF(AND(B1296="",D1296=""),"",IF(B1296="","Missing code",IF(C1296="Unknown code","Unknown code",IF(D1296="","Missing qty",IF(A1296="","Missing date","")))))</f>
        <v/>
      </c>
    </row>
    <row r="1297" customFormat="false" ht="15" hidden="false" customHeight="false" outlineLevel="0" collapsed="false">
      <c r="A1297" s="44"/>
      <c r="B1297" s="39"/>
      <c r="C1297" s="45" t="str">
        <f aca="false">IF(B1297="","",IFERROR(INDEX(Contract!$C$10:$C$23,MATCH(B1297,Contract!$B$10:$B$23,0)),"Unknown code"))</f>
        <v/>
      </c>
      <c r="D1297" s="46"/>
      <c r="E1297" s="39"/>
      <c r="F1297" s="39"/>
      <c r="G1297" s="47" t="str">
        <f aca="false">IF(AND(B1297="",D1297=""),"",IF(B1297="","Missing code",IF(C1297="Unknown code","Unknown code",IF(D1297="","Missing qty",IF(A1297="","Missing date","")))))</f>
        <v/>
      </c>
    </row>
    <row r="1298" customFormat="false" ht="15" hidden="false" customHeight="false" outlineLevel="0" collapsed="false">
      <c r="A1298" s="44"/>
      <c r="B1298" s="39"/>
      <c r="C1298" s="45" t="str">
        <f aca="false">IF(B1298="","",IFERROR(INDEX(Contract!$C$10:$C$23,MATCH(B1298,Contract!$B$10:$B$23,0)),"Unknown code"))</f>
        <v/>
      </c>
      <c r="D1298" s="46"/>
      <c r="E1298" s="39"/>
      <c r="F1298" s="39"/>
      <c r="G1298" s="47" t="str">
        <f aca="false">IF(AND(B1298="",D1298=""),"",IF(B1298="","Missing code",IF(C1298="Unknown code","Unknown code",IF(D1298="","Missing qty",IF(A1298="","Missing date","")))))</f>
        <v/>
      </c>
    </row>
    <row r="1299" customFormat="false" ht="15" hidden="false" customHeight="false" outlineLevel="0" collapsed="false">
      <c r="A1299" s="44"/>
      <c r="B1299" s="39"/>
      <c r="C1299" s="45" t="str">
        <f aca="false">IF(B1299="","",IFERROR(INDEX(Contract!$C$10:$C$23,MATCH(B1299,Contract!$B$10:$B$23,0)),"Unknown code"))</f>
        <v/>
      </c>
      <c r="D1299" s="46"/>
      <c r="E1299" s="39"/>
      <c r="F1299" s="39"/>
      <c r="G1299" s="47" t="str">
        <f aca="false">IF(AND(B1299="",D1299=""),"",IF(B1299="","Missing code",IF(C1299="Unknown code","Unknown code",IF(D1299="","Missing qty",IF(A1299="","Missing date","")))))</f>
        <v/>
      </c>
    </row>
    <row r="1300" customFormat="false" ht="15" hidden="false" customHeight="false" outlineLevel="0" collapsed="false">
      <c r="A1300" s="44"/>
      <c r="B1300" s="39"/>
      <c r="C1300" s="45" t="str">
        <f aca="false">IF(B1300="","",IFERROR(INDEX(Contract!$C$10:$C$23,MATCH(B1300,Contract!$B$10:$B$23,0)),"Unknown code"))</f>
        <v/>
      </c>
      <c r="D1300" s="46"/>
      <c r="E1300" s="39"/>
      <c r="F1300" s="39"/>
      <c r="G1300" s="47" t="str">
        <f aca="false">IF(AND(B1300="",D1300=""),"",IF(B1300="","Missing code",IF(C1300="Unknown code","Unknown code",IF(D1300="","Missing qty",IF(A1300="","Missing date","")))))</f>
        <v/>
      </c>
    </row>
    <row r="1301" customFormat="false" ht="15" hidden="false" customHeight="false" outlineLevel="0" collapsed="false">
      <c r="A1301" s="44"/>
      <c r="B1301" s="39"/>
      <c r="C1301" s="45" t="str">
        <f aca="false">IF(B1301="","",IFERROR(INDEX(Contract!$C$10:$C$23,MATCH(B1301,Contract!$B$10:$B$23,0)),"Unknown code"))</f>
        <v/>
      </c>
      <c r="D1301" s="46"/>
      <c r="E1301" s="39"/>
      <c r="F1301" s="39"/>
      <c r="G1301" s="47" t="str">
        <f aca="false">IF(AND(B1301="",D1301=""),"",IF(B1301="","Missing code",IF(C1301="Unknown code","Unknown code",IF(D1301="","Missing qty",IF(A1301="","Missing date","")))))</f>
        <v/>
      </c>
    </row>
    <row r="1302" customFormat="false" ht="15" hidden="false" customHeight="false" outlineLevel="0" collapsed="false">
      <c r="A1302" s="44"/>
      <c r="B1302" s="39"/>
      <c r="C1302" s="45" t="str">
        <f aca="false">IF(B1302="","",IFERROR(INDEX(Contract!$C$10:$C$23,MATCH(B1302,Contract!$B$10:$B$23,0)),"Unknown code"))</f>
        <v/>
      </c>
      <c r="D1302" s="46"/>
      <c r="E1302" s="39"/>
      <c r="F1302" s="39"/>
      <c r="G1302" s="47" t="str">
        <f aca="false">IF(AND(B1302="",D1302=""),"",IF(B1302="","Missing code",IF(C1302="Unknown code","Unknown code",IF(D1302="","Missing qty",IF(A1302="","Missing date","")))))</f>
        <v/>
      </c>
    </row>
    <row r="1303" customFormat="false" ht="15" hidden="false" customHeight="false" outlineLevel="0" collapsed="false">
      <c r="A1303" s="44"/>
      <c r="B1303" s="39"/>
      <c r="C1303" s="45" t="str">
        <f aca="false">IF(B1303="","",IFERROR(INDEX(Contract!$C$10:$C$23,MATCH(B1303,Contract!$B$10:$B$23,0)),"Unknown code"))</f>
        <v/>
      </c>
      <c r="D1303" s="46"/>
      <c r="E1303" s="39"/>
      <c r="F1303" s="39"/>
      <c r="G1303" s="47" t="str">
        <f aca="false">IF(AND(B1303="",D1303=""),"",IF(B1303="","Missing code",IF(C1303="Unknown code","Unknown code",IF(D1303="","Missing qty",IF(A1303="","Missing date","")))))</f>
        <v/>
      </c>
    </row>
    <row r="1304" customFormat="false" ht="15" hidden="false" customHeight="false" outlineLevel="0" collapsed="false">
      <c r="A1304" s="44"/>
      <c r="B1304" s="39"/>
      <c r="C1304" s="45" t="str">
        <f aca="false">IF(B1304="","",IFERROR(INDEX(Contract!$C$10:$C$23,MATCH(B1304,Contract!$B$10:$B$23,0)),"Unknown code"))</f>
        <v/>
      </c>
      <c r="D1304" s="46"/>
      <c r="E1304" s="39"/>
      <c r="F1304" s="39"/>
      <c r="G1304" s="47" t="str">
        <f aca="false">IF(AND(B1304="",D1304=""),"",IF(B1304="","Missing code",IF(C1304="Unknown code","Unknown code",IF(D1304="","Missing qty",IF(A1304="","Missing date","")))))</f>
        <v/>
      </c>
    </row>
    <row r="1305" customFormat="false" ht="15" hidden="false" customHeight="false" outlineLevel="0" collapsed="false">
      <c r="A1305" s="44"/>
      <c r="B1305" s="39"/>
      <c r="C1305" s="45" t="str">
        <f aca="false">IF(B1305="","",IFERROR(INDEX(Contract!$C$10:$C$23,MATCH(B1305,Contract!$B$10:$B$23,0)),"Unknown code"))</f>
        <v/>
      </c>
      <c r="D1305" s="46"/>
      <c r="E1305" s="39"/>
      <c r="F1305" s="39"/>
      <c r="G1305" s="47" t="str">
        <f aca="false">IF(AND(B1305="",D1305=""),"",IF(B1305="","Missing code",IF(C1305="Unknown code","Unknown code",IF(D1305="","Missing qty",IF(A1305="","Missing date","")))))</f>
        <v/>
      </c>
    </row>
    <row r="1306" customFormat="false" ht="15" hidden="false" customHeight="false" outlineLevel="0" collapsed="false">
      <c r="A1306" s="44"/>
      <c r="B1306" s="39"/>
      <c r="C1306" s="45" t="str">
        <f aca="false">IF(B1306="","",IFERROR(INDEX(Contract!$C$10:$C$23,MATCH(B1306,Contract!$B$10:$B$23,0)),"Unknown code"))</f>
        <v/>
      </c>
      <c r="D1306" s="46"/>
      <c r="E1306" s="39"/>
      <c r="F1306" s="39"/>
      <c r="G1306" s="47" t="str">
        <f aca="false">IF(AND(B1306="",D1306=""),"",IF(B1306="","Missing code",IF(C1306="Unknown code","Unknown code",IF(D1306="","Missing qty",IF(A1306="","Missing date","")))))</f>
        <v/>
      </c>
    </row>
    <row r="1307" customFormat="false" ht="15" hidden="false" customHeight="false" outlineLevel="0" collapsed="false">
      <c r="A1307" s="44"/>
      <c r="B1307" s="39"/>
      <c r="C1307" s="45" t="str">
        <f aca="false">IF(B1307="","",IFERROR(INDEX(Contract!$C$10:$C$23,MATCH(B1307,Contract!$B$10:$B$23,0)),"Unknown code"))</f>
        <v/>
      </c>
      <c r="D1307" s="46"/>
      <c r="E1307" s="39"/>
      <c r="F1307" s="39"/>
      <c r="G1307" s="47" t="str">
        <f aca="false">IF(AND(B1307="",D1307=""),"",IF(B1307="","Missing code",IF(C1307="Unknown code","Unknown code",IF(D1307="","Missing qty",IF(A1307="","Missing date","")))))</f>
        <v/>
      </c>
    </row>
    <row r="1308" customFormat="false" ht="15" hidden="false" customHeight="false" outlineLevel="0" collapsed="false">
      <c r="A1308" s="44"/>
      <c r="B1308" s="39"/>
      <c r="C1308" s="45" t="str">
        <f aca="false">IF(B1308="","",IFERROR(INDEX(Contract!$C$10:$C$23,MATCH(B1308,Contract!$B$10:$B$23,0)),"Unknown code"))</f>
        <v/>
      </c>
      <c r="D1308" s="46"/>
      <c r="E1308" s="39"/>
      <c r="F1308" s="39"/>
      <c r="G1308" s="47" t="str">
        <f aca="false">IF(AND(B1308="",D1308=""),"",IF(B1308="","Missing code",IF(C1308="Unknown code","Unknown code",IF(D1308="","Missing qty",IF(A1308="","Missing date","")))))</f>
        <v/>
      </c>
    </row>
    <row r="1309" customFormat="false" ht="15" hidden="false" customHeight="false" outlineLevel="0" collapsed="false">
      <c r="A1309" s="44"/>
      <c r="B1309" s="39"/>
      <c r="C1309" s="45" t="str">
        <f aca="false">IF(B1309="","",IFERROR(INDEX(Contract!$C$10:$C$23,MATCH(B1309,Contract!$B$10:$B$23,0)),"Unknown code"))</f>
        <v/>
      </c>
      <c r="D1309" s="46"/>
      <c r="E1309" s="39"/>
      <c r="F1309" s="39"/>
      <c r="G1309" s="47" t="str">
        <f aca="false">IF(AND(B1309="",D1309=""),"",IF(B1309="","Missing code",IF(C1309="Unknown code","Unknown code",IF(D1309="","Missing qty",IF(A1309="","Missing date","")))))</f>
        <v/>
      </c>
    </row>
    <row r="1310" customFormat="false" ht="15" hidden="false" customHeight="false" outlineLevel="0" collapsed="false">
      <c r="A1310" s="44"/>
      <c r="B1310" s="39"/>
      <c r="C1310" s="45" t="str">
        <f aca="false">IF(B1310="","",IFERROR(INDEX(Contract!$C$10:$C$23,MATCH(B1310,Contract!$B$10:$B$23,0)),"Unknown code"))</f>
        <v/>
      </c>
      <c r="D1310" s="46"/>
      <c r="E1310" s="39"/>
      <c r="F1310" s="39"/>
      <c r="G1310" s="47" t="str">
        <f aca="false">IF(AND(B1310="",D1310=""),"",IF(B1310="","Missing code",IF(C1310="Unknown code","Unknown code",IF(D1310="","Missing qty",IF(A1310="","Missing date","")))))</f>
        <v/>
      </c>
    </row>
    <row r="1311" customFormat="false" ht="15" hidden="false" customHeight="false" outlineLevel="0" collapsed="false">
      <c r="A1311" s="44"/>
      <c r="B1311" s="39"/>
      <c r="C1311" s="45" t="str">
        <f aca="false">IF(B1311="","",IFERROR(INDEX(Contract!$C$10:$C$23,MATCH(B1311,Contract!$B$10:$B$23,0)),"Unknown code"))</f>
        <v/>
      </c>
      <c r="D1311" s="46"/>
      <c r="E1311" s="39"/>
      <c r="F1311" s="39"/>
      <c r="G1311" s="47" t="str">
        <f aca="false">IF(AND(B1311="",D1311=""),"",IF(B1311="","Missing code",IF(C1311="Unknown code","Unknown code",IF(D1311="","Missing qty",IF(A1311="","Missing date","")))))</f>
        <v/>
      </c>
    </row>
    <row r="1312" customFormat="false" ht="15" hidden="false" customHeight="false" outlineLevel="0" collapsed="false">
      <c r="A1312" s="44"/>
      <c r="B1312" s="39"/>
      <c r="C1312" s="45" t="str">
        <f aca="false">IF(B1312="","",IFERROR(INDEX(Contract!$C$10:$C$23,MATCH(B1312,Contract!$B$10:$B$23,0)),"Unknown code"))</f>
        <v/>
      </c>
      <c r="D1312" s="46"/>
      <c r="E1312" s="39"/>
      <c r="F1312" s="39"/>
      <c r="G1312" s="47" t="str">
        <f aca="false">IF(AND(B1312="",D1312=""),"",IF(B1312="","Missing code",IF(C1312="Unknown code","Unknown code",IF(D1312="","Missing qty",IF(A1312="","Missing date","")))))</f>
        <v/>
      </c>
    </row>
    <row r="1313" customFormat="false" ht="15" hidden="false" customHeight="false" outlineLevel="0" collapsed="false">
      <c r="A1313" s="44"/>
      <c r="B1313" s="39"/>
      <c r="C1313" s="45" t="str">
        <f aca="false">IF(B1313="","",IFERROR(INDEX(Contract!$C$10:$C$23,MATCH(B1313,Contract!$B$10:$B$23,0)),"Unknown code"))</f>
        <v/>
      </c>
      <c r="D1313" s="46"/>
      <c r="E1313" s="39"/>
      <c r="F1313" s="39"/>
      <c r="G1313" s="47" t="str">
        <f aca="false">IF(AND(B1313="",D1313=""),"",IF(B1313="","Missing code",IF(C1313="Unknown code","Unknown code",IF(D1313="","Missing qty",IF(A1313="","Missing date","")))))</f>
        <v/>
      </c>
    </row>
    <row r="1314" customFormat="false" ht="15" hidden="false" customHeight="false" outlineLevel="0" collapsed="false">
      <c r="A1314" s="44"/>
      <c r="B1314" s="39"/>
      <c r="C1314" s="45" t="str">
        <f aca="false">IF(B1314="","",IFERROR(INDEX(Contract!$C$10:$C$23,MATCH(B1314,Contract!$B$10:$B$23,0)),"Unknown code"))</f>
        <v/>
      </c>
      <c r="D1314" s="46"/>
      <c r="E1314" s="39"/>
      <c r="F1314" s="39"/>
      <c r="G1314" s="47" t="str">
        <f aca="false">IF(AND(B1314="",D1314=""),"",IF(B1314="","Missing code",IF(C1314="Unknown code","Unknown code",IF(D1314="","Missing qty",IF(A1314="","Missing date","")))))</f>
        <v/>
      </c>
    </row>
    <row r="1315" customFormat="false" ht="15" hidden="false" customHeight="false" outlineLevel="0" collapsed="false">
      <c r="A1315" s="44"/>
      <c r="B1315" s="39"/>
      <c r="C1315" s="45" t="str">
        <f aca="false">IF(B1315="","",IFERROR(INDEX(Contract!$C$10:$C$23,MATCH(B1315,Contract!$B$10:$B$23,0)),"Unknown code"))</f>
        <v/>
      </c>
      <c r="D1315" s="46"/>
      <c r="E1315" s="39"/>
      <c r="F1315" s="39"/>
      <c r="G1315" s="47" t="str">
        <f aca="false">IF(AND(B1315="",D1315=""),"",IF(B1315="","Missing code",IF(C1315="Unknown code","Unknown code",IF(D1315="","Missing qty",IF(A1315="","Missing date","")))))</f>
        <v/>
      </c>
    </row>
    <row r="1316" customFormat="false" ht="15" hidden="false" customHeight="false" outlineLevel="0" collapsed="false">
      <c r="A1316" s="44"/>
      <c r="B1316" s="39"/>
      <c r="C1316" s="45" t="str">
        <f aca="false">IF(B1316="","",IFERROR(INDEX(Contract!$C$10:$C$23,MATCH(B1316,Contract!$B$10:$B$23,0)),"Unknown code"))</f>
        <v/>
      </c>
      <c r="D1316" s="46"/>
      <c r="E1316" s="39"/>
      <c r="F1316" s="39"/>
      <c r="G1316" s="47" t="str">
        <f aca="false">IF(AND(B1316="",D1316=""),"",IF(B1316="","Missing code",IF(C1316="Unknown code","Unknown code",IF(D1316="","Missing qty",IF(A1316="","Missing date","")))))</f>
        <v/>
      </c>
    </row>
    <row r="1317" customFormat="false" ht="15" hidden="false" customHeight="false" outlineLevel="0" collapsed="false">
      <c r="A1317" s="44"/>
      <c r="B1317" s="39"/>
      <c r="C1317" s="45" t="str">
        <f aca="false">IF(B1317="","",IFERROR(INDEX(Contract!$C$10:$C$23,MATCH(B1317,Contract!$B$10:$B$23,0)),"Unknown code"))</f>
        <v/>
      </c>
      <c r="D1317" s="46"/>
      <c r="E1317" s="39"/>
      <c r="F1317" s="39"/>
      <c r="G1317" s="47" t="str">
        <f aca="false">IF(AND(B1317="",D1317=""),"",IF(B1317="","Missing code",IF(C1317="Unknown code","Unknown code",IF(D1317="","Missing qty",IF(A1317="","Missing date","")))))</f>
        <v/>
      </c>
    </row>
    <row r="1318" customFormat="false" ht="15" hidden="false" customHeight="false" outlineLevel="0" collapsed="false">
      <c r="A1318" s="44"/>
      <c r="B1318" s="39"/>
      <c r="C1318" s="45" t="str">
        <f aca="false">IF(B1318="","",IFERROR(INDEX(Contract!$C$10:$C$23,MATCH(B1318,Contract!$B$10:$B$23,0)),"Unknown code"))</f>
        <v/>
      </c>
      <c r="D1318" s="46"/>
      <c r="E1318" s="39"/>
      <c r="F1318" s="39"/>
      <c r="G1318" s="47" t="str">
        <f aca="false">IF(AND(B1318="",D1318=""),"",IF(B1318="","Missing code",IF(C1318="Unknown code","Unknown code",IF(D1318="","Missing qty",IF(A1318="","Missing date","")))))</f>
        <v/>
      </c>
    </row>
    <row r="1319" customFormat="false" ht="15" hidden="false" customHeight="false" outlineLevel="0" collapsed="false">
      <c r="A1319" s="44"/>
      <c r="B1319" s="39"/>
      <c r="C1319" s="45" t="str">
        <f aca="false">IF(B1319="","",IFERROR(INDEX(Contract!$C$10:$C$23,MATCH(B1319,Contract!$B$10:$B$23,0)),"Unknown code"))</f>
        <v/>
      </c>
      <c r="D1319" s="46"/>
      <c r="E1319" s="39"/>
      <c r="F1319" s="39"/>
      <c r="G1319" s="47" t="str">
        <f aca="false">IF(AND(B1319="",D1319=""),"",IF(B1319="","Missing code",IF(C1319="Unknown code","Unknown code",IF(D1319="","Missing qty",IF(A1319="","Missing date","")))))</f>
        <v/>
      </c>
    </row>
    <row r="1320" customFormat="false" ht="15" hidden="false" customHeight="false" outlineLevel="0" collapsed="false">
      <c r="A1320" s="44"/>
      <c r="B1320" s="39"/>
      <c r="C1320" s="45" t="str">
        <f aca="false">IF(B1320="","",IFERROR(INDEX(Contract!$C$10:$C$23,MATCH(B1320,Contract!$B$10:$B$23,0)),"Unknown code"))</f>
        <v/>
      </c>
      <c r="D1320" s="46"/>
      <c r="E1320" s="39"/>
      <c r="F1320" s="39"/>
      <c r="G1320" s="47" t="str">
        <f aca="false">IF(AND(B1320="",D1320=""),"",IF(B1320="","Missing code",IF(C1320="Unknown code","Unknown code",IF(D1320="","Missing qty",IF(A1320="","Missing date","")))))</f>
        <v/>
      </c>
    </row>
    <row r="1321" customFormat="false" ht="15" hidden="false" customHeight="false" outlineLevel="0" collapsed="false">
      <c r="A1321" s="44"/>
      <c r="B1321" s="39"/>
      <c r="C1321" s="45" t="str">
        <f aca="false">IF(B1321="","",IFERROR(INDEX(Contract!$C$10:$C$23,MATCH(B1321,Contract!$B$10:$B$23,0)),"Unknown code"))</f>
        <v/>
      </c>
      <c r="D1321" s="46"/>
      <c r="E1321" s="39"/>
      <c r="F1321" s="39"/>
      <c r="G1321" s="47" t="str">
        <f aca="false">IF(AND(B1321="",D1321=""),"",IF(B1321="","Missing code",IF(C1321="Unknown code","Unknown code",IF(D1321="","Missing qty",IF(A1321="","Missing date","")))))</f>
        <v/>
      </c>
    </row>
    <row r="1322" customFormat="false" ht="15" hidden="false" customHeight="false" outlineLevel="0" collapsed="false">
      <c r="A1322" s="44"/>
      <c r="B1322" s="39"/>
      <c r="C1322" s="45" t="str">
        <f aca="false">IF(B1322="","",IFERROR(INDEX(Contract!$C$10:$C$23,MATCH(B1322,Contract!$B$10:$B$23,0)),"Unknown code"))</f>
        <v/>
      </c>
      <c r="D1322" s="46"/>
      <c r="E1322" s="39"/>
      <c r="F1322" s="39"/>
      <c r="G1322" s="47" t="str">
        <f aca="false">IF(AND(B1322="",D1322=""),"",IF(B1322="","Missing code",IF(C1322="Unknown code","Unknown code",IF(D1322="","Missing qty",IF(A1322="","Missing date","")))))</f>
        <v/>
      </c>
    </row>
    <row r="1323" customFormat="false" ht="15" hidden="false" customHeight="false" outlineLevel="0" collapsed="false">
      <c r="A1323" s="44"/>
      <c r="B1323" s="39"/>
      <c r="C1323" s="45" t="str">
        <f aca="false">IF(B1323="","",IFERROR(INDEX(Contract!$C$10:$C$23,MATCH(B1323,Contract!$B$10:$B$23,0)),"Unknown code"))</f>
        <v/>
      </c>
      <c r="D1323" s="46"/>
      <c r="E1323" s="39"/>
      <c r="F1323" s="39"/>
      <c r="G1323" s="47" t="str">
        <f aca="false">IF(AND(B1323="",D1323=""),"",IF(B1323="","Missing code",IF(C1323="Unknown code","Unknown code",IF(D1323="","Missing qty",IF(A1323="","Missing date","")))))</f>
        <v/>
      </c>
    </row>
    <row r="1324" customFormat="false" ht="15" hidden="false" customHeight="false" outlineLevel="0" collapsed="false">
      <c r="A1324" s="44"/>
      <c r="B1324" s="39"/>
      <c r="C1324" s="45" t="str">
        <f aca="false">IF(B1324="","",IFERROR(INDEX(Contract!$C$10:$C$23,MATCH(B1324,Contract!$B$10:$B$23,0)),"Unknown code"))</f>
        <v/>
      </c>
      <c r="D1324" s="46"/>
      <c r="E1324" s="39"/>
      <c r="F1324" s="39"/>
      <c r="G1324" s="47" t="str">
        <f aca="false">IF(AND(B1324="",D1324=""),"",IF(B1324="","Missing code",IF(C1324="Unknown code","Unknown code",IF(D1324="","Missing qty",IF(A1324="","Missing date","")))))</f>
        <v/>
      </c>
    </row>
    <row r="1325" customFormat="false" ht="15" hidden="false" customHeight="false" outlineLevel="0" collapsed="false">
      <c r="A1325" s="44"/>
      <c r="B1325" s="39"/>
      <c r="C1325" s="45" t="str">
        <f aca="false">IF(B1325="","",IFERROR(INDEX(Contract!$C$10:$C$23,MATCH(B1325,Contract!$B$10:$B$23,0)),"Unknown code"))</f>
        <v/>
      </c>
      <c r="D1325" s="46"/>
      <c r="E1325" s="39"/>
      <c r="F1325" s="39"/>
      <c r="G1325" s="47" t="str">
        <f aca="false">IF(AND(B1325="",D1325=""),"",IF(B1325="","Missing code",IF(C1325="Unknown code","Unknown code",IF(D1325="","Missing qty",IF(A1325="","Missing date","")))))</f>
        <v/>
      </c>
    </row>
    <row r="1326" customFormat="false" ht="15" hidden="false" customHeight="false" outlineLevel="0" collapsed="false">
      <c r="A1326" s="44"/>
      <c r="B1326" s="39"/>
      <c r="C1326" s="45" t="str">
        <f aca="false">IF(B1326="","",IFERROR(INDEX(Contract!$C$10:$C$23,MATCH(B1326,Contract!$B$10:$B$23,0)),"Unknown code"))</f>
        <v/>
      </c>
      <c r="D1326" s="46"/>
      <c r="E1326" s="39"/>
      <c r="F1326" s="39"/>
      <c r="G1326" s="47" t="str">
        <f aca="false">IF(AND(B1326="",D1326=""),"",IF(B1326="","Missing code",IF(C1326="Unknown code","Unknown code",IF(D1326="","Missing qty",IF(A1326="","Missing date","")))))</f>
        <v/>
      </c>
    </row>
    <row r="1327" customFormat="false" ht="15" hidden="false" customHeight="false" outlineLevel="0" collapsed="false">
      <c r="A1327" s="44"/>
      <c r="B1327" s="39"/>
      <c r="C1327" s="45" t="str">
        <f aca="false">IF(B1327="","",IFERROR(INDEX(Contract!$C$10:$C$23,MATCH(B1327,Contract!$B$10:$B$23,0)),"Unknown code"))</f>
        <v/>
      </c>
      <c r="D1327" s="46"/>
      <c r="E1327" s="39"/>
      <c r="F1327" s="39"/>
      <c r="G1327" s="47" t="str">
        <f aca="false">IF(AND(B1327="",D1327=""),"",IF(B1327="","Missing code",IF(C1327="Unknown code","Unknown code",IF(D1327="","Missing qty",IF(A1327="","Missing date","")))))</f>
        <v/>
      </c>
    </row>
    <row r="1328" customFormat="false" ht="15" hidden="false" customHeight="false" outlineLevel="0" collapsed="false">
      <c r="A1328" s="44"/>
      <c r="B1328" s="39"/>
      <c r="C1328" s="45" t="str">
        <f aca="false">IF(B1328="","",IFERROR(INDEX(Contract!$C$10:$C$23,MATCH(B1328,Contract!$B$10:$B$23,0)),"Unknown code"))</f>
        <v/>
      </c>
      <c r="D1328" s="46"/>
      <c r="E1328" s="39"/>
      <c r="F1328" s="39"/>
      <c r="G1328" s="47" t="str">
        <f aca="false">IF(AND(B1328="",D1328=""),"",IF(B1328="","Missing code",IF(C1328="Unknown code","Unknown code",IF(D1328="","Missing qty",IF(A1328="","Missing date","")))))</f>
        <v/>
      </c>
    </row>
    <row r="1329" customFormat="false" ht="15" hidden="false" customHeight="false" outlineLevel="0" collapsed="false">
      <c r="A1329" s="44"/>
      <c r="B1329" s="39"/>
      <c r="C1329" s="45" t="str">
        <f aca="false">IF(B1329="","",IFERROR(INDEX(Contract!$C$10:$C$23,MATCH(B1329,Contract!$B$10:$B$23,0)),"Unknown code"))</f>
        <v/>
      </c>
      <c r="D1329" s="46"/>
      <c r="E1329" s="39"/>
      <c r="F1329" s="39"/>
      <c r="G1329" s="47" t="str">
        <f aca="false">IF(AND(B1329="",D1329=""),"",IF(B1329="","Missing code",IF(C1329="Unknown code","Unknown code",IF(D1329="","Missing qty",IF(A1329="","Missing date","")))))</f>
        <v/>
      </c>
    </row>
    <row r="1330" customFormat="false" ht="15" hidden="false" customHeight="false" outlineLevel="0" collapsed="false">
      <c r="A1330" s="44"/>
      <c r="B1330" s="39"/>
      <c r="C1330" s="45" t="str">
        <f aca="false">IF(B1330="","",IFERROR(INDEX(Contract!$C$10:$C$23,MATCH(B1330,Contract!$B$10:$B$23,0)),"Unknown code"))</f>
        <v/>
      </c>
      <c r="D1330" s="46"/>
      <c r="E1330" s="39"/>
      <c r="F1330" s="39"/>
      <c r="G1330" s="47" t="str">
        <f aca="false">IF(AND(B1330="",D1330=""),"",IF(B1330="","Missing code",IF(C1330="Unknown code","Unknown code",IF(D1330="","Missing qty",IF(A1330="","Missing date","")))))</f>
        <v/>
      </c>
    </row>
    <row r="1331" customFormat="false" ht="15" hidden="false" customHeight="false" outlineLevel="0" collapsed="false">
      <c r="A1331" s="44"/>
      <c r="B1331" s="39"/>
      <c r="C1331" s="45" t="str">
        <f aca="false">IF(B1331="","",IFERROR(INDEX(Contract!$C$10:$C$23,MATCH(B1331,Contract!$B$10:$B$23,0)),"Unknown code"))</f>
        <v/>
      </c>
      <c r="D1331" s="46"/>
      <c r="E1331" s="39"/>
      <c r="F1331" s="39"/>
      <c r="G1331" s="47" t="str">
        <f aca="false">IF(AND(B1331="",D1331=""),"",IF(B1331="","Missing code",IF(C1331="Unknown code","Unknown code",IF(D1331="","Missing qty",IF(A1331="","Missing date","")))))</f>
        <v/>
      </c>
    </row>
    <row r="1332" customFormat="false" ht="15" hidden="false" customHeight="false" outlineLevel="0" collapsed="false">
      <c r="A1332" s="44"/>
      <c r="B1332" s="39"/>
      <c r="C1332" s="45" t="str">
        <f aca="false">IF(B1332="","",IFERROR(INDEX(Contract!$C$10:$C$23,MATCH(B1332,Contract!$B$10:$B$23,0)),"Unknown code"))</f>
        <v/>
      </c>
      <c r="D1332" s="46"/>
      <c r="E1332" s="39"/>
      <c r="F1332" s="39"/>
      <c r="G1332" s="47" t="str">
        <f aca="false">IF(AND(B1332="",D1332=""),"",IF(B1332="","Missing code",IF(C1332="Unknown code","Unknown code",IF(D1332="","Missing qty",IF(A1332="","Missing date","")))))</f>
        <v/>
      </c>
    </row>
    <row r="1333" customFormat="false" ht="15" hidden="false" customHeight="false" outlineLevel="0" collapsed="false">
      <c r="A1333" s="44"/>
      <c r="B1333" s="39"/>
      <c r="C1333" s="45" t="str">
        <f aca="false">IF(B1333="","",IFERROR(INDEX(Contract!$C$10:$C$23,MATCH(B1333,Contract!$B$10:$B$23,0)),"Unknown code"))</f>
        <v/>
      </c>
      <c r="D1333" s="46"/>
      <c r="E1333" s="39"/>
      <c r="F1333" s="39"/>
      <c r="G1333" s="47" t="str">
        <f aca="false">IF(AND(B1333="",D1333=""),"",IF(B1333="","Missing code",IF(C1333="Unknown code","Unknown code",IF(D1333="","Missing qty",IF(A1333="","Missing date","")))))</f>
        <v/>
      </c>
    </row>
    <row r="1334" customFormat="false" ht="15" hidden="false" customHeight="false" outlineLevel="0" collapsed="false">
      <c r="A1334" s="44"/>
      <c r="B1334" s="39"/>
      <c r="C1334" s="45" t="str">
        <f aca="false">IF(B1334="","",IFERROR(INDEX(Contract!$C$10:$C$23,MATCH(B1334,Contract!$B$10:$B$23,0)),"Unknown code"))</f>
        <v/>
      </c>
      <c r="D1334" s="46"/>
      <c r="E1334" s="39"/>
      <c r="F1334" s="39"/>
      <c r="G1334" s="47" t="str">
        <f aca="false">IF(AND(B1334="",D1334=""),"",IF(B1334="","Missing code",IF(C1334="Unknown code","Unknown code",IF(D1334="","Missing qty",IF(A1334="","Missing date","")))))</f>
        <v/>
      </c>
    </row>
    <row r="1335" customFormat="false" ht="15" hidden="false" customHeight="false" outlineLevel="0" collapsed="false">
      <c r="A1335" s="44"/>
      <c r="B1335" s="39"/>
      <c r="C1335" s="45" t="str">
        <f aca="false">IF(B1335="","",IFERROR(INDEX(Contract!$C$10:$C$23,MATCH(B1335,Contract!$B$10:$B$23,0)),"Unknown code"))</f>
        <v/>
      </c>
      <c r="D1335" s="46"/>
      <c r="E1335" s="39"/>
      <c r="F1335" s="39"/>
      <c r="G1335" s="47" t="str">
        <f aca="false">IF(AND(B1335="",D1335=""),"",IF(B1335="","Missing code",IF(C1335="Unknown code","Unknown code",IF(D1335="","Missing qty",IF(A1335="","Missing date","")))))</f>
        <v/>
      </c>
    </row>
    <row r="1336" customFormat="false" ht="15" hidden="false" customHeight="false" outlineLevel="0" collapsed="false">
      <c r="A1336" s="44"/>
      <c r="B1336" s="39"/>
      <c r="C1336" s="45" t="str">
        <f aca="false">IF(B1336="","",IFERROR(INDEX(Contract!$C$10:$C$23,MATCH(B1336,Contract!$B$10:$B$23,0)),"Unknown code"))</f>
        <v/>
      </c>
      <c r="D1336" s="46"/>
      <c r="E1336" s="39"/>
      <c r="F1336" s="39"/>
      <c r="G1336" s="47" t="str">
        <f aca="false">IF(AND(B1336="",D1336=""),"",IF(B1336="","Missing code",IF(C1336="Unknown code","Unknown code",IF(D1336="","Missing qty",IF(A1336="","Missing date","")))))</f>
        <v/>
      </c>
    </row>
    <row r="1337" customFormat="false" ht="15" hidden="false" customHeight="false" outlineLevel="0" collapsed="false">
      <c r="A1337" s="44"/>
      <c r="B1337" s="39"/>
      <c r="C1337" s="45" t="str">
        <f aca="false">IF(B1337="","",IFERROR(INDEX(Contract!$C$10:$C$23,MATCH(B1337,Contract!$B$10:$B$23,0)),"Unknown code"))</f>
        <v/>
      </c>
      <c r="D1337" s="46"/>
      <c r="E1337" s="39"/>
      <c r="F1337" s="39"/>
      <c r="G1337" s="47" t="str">
        <f aca="false">IF(AND(B1337="",D1337=""),"",IF(B1337="","Missing code",IF(C1337="Unknown code","Unknown code",IF(D1337="","Missing qty",IF(A1337="","Missing date","")))))</f>
        <v/>
      </c>
    </row>
    <row r="1338" customFormat="false" ht="15" hidden="false" customHeight="false" outlineLevel="0" collapsed="false">
      <c r="A1338" s="44"/>
      <c r="B1338" s="39"/>
      <c r="C1338" s="45" t="str">
        <f aca="false">IF(B1338="","",IFERROR(INDEX(Contract!$C$10:$C$23,MATCH(B1338,Contract!$B$10:$B$23,0)),"Unknown code"))</f>
        <v/>
      </c>
      <c r="D1338" s="46"/>
      <c r="E1338" s="39"/>
      <c r="F1338" s="39"/>
      <c r="G1338" s="47" t="str">
        <f aca="false">IF(AND(B1338="",D1338=""),"",IF(B1338="","Missing code",IF(C1338="Unknown code","Unknown code",IF(D1338="","Missing qty",IF(A1338="","Missing date","")))))</f>
        <v/>
      </c>
    </row>
    <row r="1339" customFormat="false" ht="15" hidden="false" customHeight="false" outlineLevel="0" collapsed="false">
      <c r="A1339" s="44"/>
      <c r="B1339" s="39"/>
      <c r="C1339" s="45" t="str">
        <f aca="false">IF(B1339="","",IFERROR(INDEX(Contract!$C$10:$C$23,MATCH(B1339,Contract!$B$10:$B$23,0)),"Unknown code"))</f>
        <v/>
      </c>
      <c r="D1339" s="46"/>
      <c r="E1339" s="39"/>
      <c r="F1339" s="39"/>
      <c r="G1339" s="47" t="str">
        <f aca="false">IF(AND(B1339="",D1339=""),"",IF(B1339="","Missing code",IF(C1339="Unknown code","Unknown code",IF(D1339="","Missing qty",IF(A1339="","Missing date","")))))</f>
        <v/>
      </c>
    </row>
    <row r="1340" customFormat="false" ht="15" hidden="false" customHeight="false" outlineLevel="0" collapsed="false">
      <c r="A1340" s="44"/>
      <c r="B1340" s="39"/>
      <c r="C1340" s="45" t="str">
        <f aca="false">IF(B1340="","",IFERROR(INDEX(Contract!$C$10:$C$23,MATCH(B1340,Contract!$B$10:$B$23,0)),"Unknown code"))</f>
        <v/>
      </c>
      <c r="D1340" s="46"/>
      <c r="E1340" s="39"/>
      <c r="F1340" s="39"/>
      <c r="G1340" s="47" t="str">
        <f aca="false">IF(AND(B1340="",D1340=""),"",IF(B1340="","Missing code",IF(C1340="Unknown code","Unknown code",IF(D1340="","Missing qty",IF(A1340="","Missing date","")))))</f>
        <v/>
      </c>
    </row>
    <row r="1341" customFormat="false" ht="15" hidden="false" customHeight="false" outlineLevel="0" collapsed="false">
      <c r="A1341" s="44"/>
      <c r="B1341" s="39"/>
      <c r="C1341" s="45" t="str">
        <f aca="false">IF(B1341="","",IFERROR(INDEX(Contract!$C$10:$C$23,MATCH(B1341,Contract!$B$10:$B$23,0)),"Unknown code"))</f>
        <v/>
      </c>
      <c r="D1341" s="46"/>
      <c r="E1341" s="39"/>
      <c r="F1341" s="39"/>
      <c r="G1341" s="47" t="str">
        <f aca="false">IF(AND(B1341="",D1341=""),"",IF(B1341="","Missing code",IF(C1341="Unknown code","Unknown code",IF(D1341="","Missing qty",IF(A1341="","Missing date","")))))</f>
        <v/>
      </c>
    </row>
    <row r="1342" customFormat="false" ht="15" hidden="false" customHeight="false" outlineLevel="0" collapsed="false">
      <c r="A1342" s="44"/>
      <c r="B1342" s="39"/>
      <c r="C1342" s="45" t="str">
        <f aca="false">IF(B1342="","",IFERROR(INDEX(Contract!$C$10:$C$23,MATCH(B1342,Contract!$B$10:$B$23,0)),"Unknown code"))</f>
        <v/>
      </c>
      <c r="D1342" s="46"/>
      <c r="E1342" s="39"/>
      <c r="F1342" s="39"/>
      <c r="G1342" s="47" t="str">
        <f aca="false">IF(AND(B1342="",D1342=""),"",IF(B1342="","Missing code",IF(C1342="Unknown code","Unknown code",IF(D1342="","Missing qty",IF(A1342="","Missing date","")))))</f>
        <v/>
      </c>
    </row>
    <row r="1343" customFormat="false" ht="15" hidden="false" customHeight="false" outlineLevel="0" collapsed="false">
      <c r="A1343" s="44"/>
      <c r="B1343" s="39"/>
      <c r="C1343" s="45" t="str">
        <f aca="false">IF(B1343="","",IFERROR(INDEX(Contract!$C$10:$C$23,MATCH(B1343,Contract!$B$10:$B$23,0)),"Unknown code"))</f>
        <v/>
      </c>
      <c r="D1343" s="46"/>
      <c r="E1343" s="39"/>
      <c r="F1343" s="39"/>
      <c r="G1343" s="47" t="str">
        <f aca="false">IF(AND(B1343="",D1343=""),"",IF(B1343="","Missing code",IF(C1343="Unknown code","Unknown code",IF(D1343="","Missing qty",IF(A1343="","Missing date","")))))</f>
        <v/>
      </c>
    </row>
    <row r="1344" customFormat="false" ht="15" hidden="false" customHeight="false" outlineLevel="0" collapsed="false">
      <c r="A1344" s="44"/>
      <c r="B1344" s="39"/>
      <c r="C1344" s="45" t="str">
        <f aca="false">IF(B1344="","",IFERROR(INDEX(Contract!$C$10:$C$23,MATCH(B1344,Contract!$B$10:$B$23,0)),"Unknown code"))</f>
        <v/>
      </c>
      <c r="D1344" s="46"/>
      <c r="E1344" s="39"/>
      <c r="F1344" s="39"/>
      <c r="G1344" s="47" t="str">
        <f aca="false">IF(AND(B1344="",D1344=""),"",IF(B1344="","Missing code",IF(C1344="Unknown code","Unknown code",IF(D1344="","Missing qty",IF(A1344="","Missing date","")))))</f>
        <v/>
      </c>
    </row>
    <row r="1345" customFormat="false" ht="15" hidden="false" customHeight="false" outlineLevel="0" collapsed="false">
      <c r="A1345" s="44"/>
      <c r="B1345" s="39"/>
      <c r="C1345" s="45" t="str">
        <f aca="false">IF(B1345="","",IFERROR(INDEX(Contract!$C$10:$C$23,MATCH(B1345,Contract!$B$10:$B$23,0)),"Unknown code"))</f>
        <v/>
      </c>
      <c r="D1345" s="46"/>
      <c r="E1345" s="39"/>
      <c r="F1345" s="39"/>
      <c r="G1345" s="47" t="str">
        <f aca="false">IF(AND(B1345="",D1345=""),"",IF(B1345="","Missing code",IF(C1345="Unknown code","Unknown code",IF(D1345="","Missing qty",IF(A1345="","Missing date","")))))</f>
        <v/>
      </c>
    </row>
    <row r="1346" customFormat="false" ht="15" hidden="false" customHeight="false" outlineLevel="0" collapsed="false">
      <c r="A1346" s="44"/>
      <c r="B1346" s="39"/>
      <c r="C1346" s="45" t="str">
        <f aca="false">IF(B1346="","",IFERROR(INDEX(Contract!$C$10:$C$23,MATCH(B1346,Contract!$B$10:$B$23,0)),"Unknown code"))</f>
        <v/>
      </c>
      <c r="D1346" s="46"/>
      <c r="E1346" s="39"/>
      <c r="F1346" s="39"/>
      <c r="G1346" s="47" t="str">
        <f aca="false">IF(AND(B1346="",D1346=""),"",IF(B1346="","Missing code",IF(C1346="Unknown code","Unknown code",IF(D1346="","Missing qty",IF(A1346="","Missing date","")))))</f>
        <v/>
      </c>
    </row>
    <row r="1347" customFormat="false" ht="15" hidden="false" customHeight="false" outlineLevel="0" collapsed="false">
      <c r="A1347" s="44"/>
      <c r="B1347" s="39"/>
      <c r="C1347" s="45" t="str">
        <f aca="false">IF(B1347="","",IFERROR(INDEX(Contract!$C$10:$C$23,MATCH(B1347,Contract!$B$10:$B$23,0)),"Unknown code"))</f>
        <v/>
      </c>
      <c r="D1347" s="46"/>
      <c r="E1347" s="39"/>
      <c r="F1347" s="39"/>
      <c r="G1347" s="47" t="str">
        <f aca="false">IF(AND(B1347="",D1347=""),"",IF(B1347="","Missing code",IF(C1347="Unknown code","Unknown code",IF(D1347="","Missing qty",IF(A1347="","Missing date","")))))</f>
        <v/>
      </c>
    </row>
    <row r="1348" customFormat="false" ht="15" hidden="false" customHeight="false" outlineLevel="0" collapsed="false">
      <c r="A1348" s="44"/>
      <c r="B1348" s="39"/>
      <c r="C1348" s="45" t="str">
        <f aca="false">IF(B1348="","",IFERROR(INDEX(Contract!$C$10:$C$23,MATCH(B1348,Contract!$B$10:$B$23,0)),"Unknown code"))</f>
        <v/>
      </c>
      <c r="D1348" s="46"/>
      <c r="E1348" s="39"/>
      <c r="F1348" s="39"/>
      <c r="G1348" s="47" t="str">
        <f aca="false">IF(AND(B1348="",D1348=""),"",IF(B1348="","Missing code",IF(C1348="Unknown code","Unknown code",IF(D1348="","Missing qty",IF(A1348="","Missing date","")))))</f>
        <v/>
      </c>
    </row>
    <row r="1349" customFormat="false" ht="15" hidden="false" customHeight="false" outlineLevel="0" collapsed="false">
      <c r="A1349" s="44"/>
      <c r="B1349" s="39"/>
      <c r="C1349" s="45" t="str">
        <f aca="false">IF(B1349="","",IFERROR(INDEX(Contract!$C$10:$C$23,MATCH(B1349,Contract!$B$10:$B$23,0)),"Unknown code"))</f>
        <v/>
      </c>
      <c r="D1349" s="46"/>
      <c r="E1349" s="39"/>
      <c r="F1349" s="39"/>
      <c r="G1349" s="47" t="str">
        <f aca="false">IF(AND(B1349="",D1349=""),"",IF(B1349="","Missing code",IF(C1349="Unknown code","Unknown code",IF(D1349="","Missing qty",IF(A1349="","Missing date","")))))</f>
        <v/>
      </c>
    </row>
    <row r="1350" customFormat="false" ht="15" hidden="false" customHeight="false" outlineLevel="0" collapsed="false">
      <c r="A1350" s="44"/>
      <c r="B1350" s="39"/>
      <c r="C1350" s="45" t="str">
        <f aca="false">IF(B1350="","",IFERROR(INDEX(Contract!$C$10:$C$23,MATCH(B1350,Contract!$B$10:$B$23,0)),"Unknown code"))</f>
        <v/>
      </c>
      <c r="D1350" s="46"/>
      <c r="E1350" s="39"/>
      <c r="F1350" s="39"/>
      <c r="G1350" s="47" t="str">
        <f aca="false">IF(AND(B1350="",D1350=""),"",IF(B1350="","Missing code",IF(C1350="Unknown code","Unknown code",IF(D1350="","Missing qty",IF(A1350="","Missing date","")))))</f>
        <v/>
      </c>
    </row>
    <row r="1351" customFormat="false" ht="15" hidden="false" customHeight="false" outlineLevel="0" collapsed="false">
      <c r="A1351" s="44"/>
      <c r="B1351" s="39"/>
      <c r="C1351" s="45" t="str">
        <f aca="false">IF(B1351="","",IFERROR(INDEX(Contract!$C$10:$C$23,MATCH(B1351,Contract!$B$10:$B$23,0)),"Unknown code"))</f>
        <v/>
      </c>
      <c r="D1351" s="46"/>
      <c r="E1351" s="39"/>
      <c r="F1351" s="39"/>
      <c r="G1351" s="47" t="str">
        <f aca="false">IF(AND(B1351="",D1351=""),"",IF(B1351="","Missing code",IF(C1351="Unknown code","Unknown code",IF(D1351="","Missing qty",IF(A1351="","Missing date","")))))</f>
        <v/>
      </c>
    </row>
    <row r="1352" customFormat="false" ht="15" hidden="false" customHeight="false" outlineLevel="0" collapsed="false">
      <c r="A1352" s="44"/>
      <c r="B1352" s="39"/>
      <c r="C1352" s="45" t="str">
        <f aca="false">IF(B1352="","",IFERROR(INDEX(Contract!$C$10:$C$23,MATCH(B1352,Contract!$B$10:$B$23,0)),"Unknown code"))</f>
        <v/>
      </c>
      <c r="D1352" s="46"/>
      <c r="E1352" s="39"/>
      <c r="F1352" s="39"/>
      <c r="G1352" s="47" t="str">
        <f aca="false">IF(AND(B1352="",D1352=""),"",IF(B1352="","Missing code",IF(C1352="Unknown code","Unknown code",IF(D1352="","Missing qty",IF(A1352="","Missing date","")))))</f>
        <v/>
      </c>
    </row>
    <row r="1353" customFormat="false" ht="15" hidden="false" customHeight="false" outlineLevel="0" collapsed="false">
      <c r="A1353" s="44"/>
      <c r="B1353" s="39"/>
      <c r="C1353" s="45" t="str">
        <f aca="false">IF(B1353="","",IFERROR(INDEX(Contract!$C$10:$C$23,MATCH(B1353,Contract!$B$10:$B$23,0)),"Unknown code"))</f>
        <v/>
      </c>
      <c r="D1353" s="46"/>
      <c r="E1353" s="39"/>
      <c r="F1353" s="39"/>
      <c r="G1353" s="47" t="str">
        <f aca="false">IF(AND(B1353="",D1353=""),"",IF(B1353="","Missing code",IF(C1353="Unknown code","Unknown code",IF(D1353="","Missing qty",IF(A1353="","Missing date","")))))</f>
        <v/>
      </c>
    </row>
    <row r="1354" customFormat="false" ht="15" hidden="false" customHeight="false" outlineLevel="0" collapsed="false">
      <c r="A1354" s="44"/>
      <c r="B1354" s="39"/>
      <c r="C1354" s="45" t="str">
        <f aca="false">IF(B1354="","",IFERROR(INDEX(Contract!$C$10:$C$23,MATCH(B1354,Contract!$B$10:$B$23,0)),"Unknown code"))</f>
        <v/>
      </c>
      <c r="D1354" s="46"/>
      <c r="E1354" s="39"/>
      <c r="F1354" s="39"/>
      <c r="G1354" s="47" t="str">
        <f aca="false">IF(AND(B1354="",D1354=""),"",IF(B1354="","Missing code",IF(C1354="Unknown code","Unknown code",IF(D1354="","Missing qty",IF(A1354="","Missing date","")))))</f>
        <v/>
      </c>
    </row>
    <row r="1355" customFormat="false" ht="15" hidden="false" customHeight="false" outlineLevel="0" collapsed="false">
      <c r="A1355" s="44"/>
      <c r="B1355" s="39"/>
      <c r="C1355" s="45" t="str">
        <f aca="false">IF(B1355="","",IFERROR(INDEX(Contract!$C$10:$C$23,MATCH(B1355,Contract!$B$10:$B$23,0)),"Unknown code"))</f>
        <v/>
      </c>
      <c r="D1355" s="46"/>
      <c r="E1355" s="39"/>
      <c r="F1355" s="39"/>
      <c r="G1355" s="47" t="str">
        <f aca="false">IF(AND(B1355="",D1355=""),"",IF(B1355="","Missing code",IF(C1355="Unknown code","Unknown code",IF(D1355="","Missing qty",IF(A1355="","Missing date","")))))</f>
        <v/>
      </c>
    </row>
    <row r="1356" customFormat="false" ht="15" hidden="false" customHeight="false" outlineLevel="0" collapsed="false">
      <c r="A1356" s="44"/>
      <c r="B1356" s="39"/>
      <c r="C1356" s="45" t="str">
        <f aca="false">IF(B1356="","",IFERROR(INDEX(Contract!$C$10:$C$23,MATCH(B1356,Contract!$B$10:$B$23,0)),"Unknown code"))</f>
        <v/>
      </c>
      <c r="D1356" s="46"/>
      <c r="E1356" s="39"/>
      <c r="F1356" s="39"/>
      <c r="G1356" s="47" t="str">
        <f aca="false">IF(AND(B1356="",D1356=""),"",IF(B1356="","Missing code",IF(C1356="Unknown code","Unknown code",IF(D1356="","Missing qty",IF(A1356="","Missing date","")))))</f>
        <v/>
      </c>
    </row>
    <row r="1357" customFormat="false" ht="15" hidden="false" customHeight="false" outlineLevel="0" collapsed="false">
      <c r="A1357" s="44"/>
      <c r="B1357" s="39"/>
      <c r="C1357" s="45" t="str">
        <f aca="false">IF(B1357="","",IFERROR(INDEX(Contract!$C$10:$C$23,MATCH(B1357,Contract!$B$10:$B$23,0)),"Unknown code"))</f>
        <v/>
      </c>
      <c r="D1357" s="46"/>
      <c r="E1357" s="39"/>
      <c r="F1357" s="39"/>
      <c r="G1357" s="47" t="str">
        <f aca="false">IF(AND(B1357="",D1357=""),"",IF(B1357="","Missing code",IF(C1357="Unknown code","Unknown code",IF(D1357="","Missing qty",IF(A1357="","Missing date","")))))</f>
        <v/>
      </c>
    </row>
    <row r="1358" customFormat="false" ht="15" hidden="false" customHeight="false" outlineLevel="0" collapsed="false">
      <c r="A1358" s="44"/>
      <c r="B1358" s="39"/>
      <c r="C1358" s="45" t="str">
        <f aca="false">IF(B1358="","",IFERROR(INDEX(Contract!$C$10:$C$23,MATCH(B1358,Contract!$B$10:$B$23,0)),"Unknown code"))</f>
        <v/>
      </c>
      <c r="D1358" s="46"/>
      <c r="E1358" s="39"/>
      <c r="F1358" s="39"/>
      <c r="G1358" s="47" t="str">
        <f aca="false">IF(AND(B1358="",D1358=""),"",IF(B1358="","Missing code",IF(C1358="Unknown code","Unknown code",IF(D1358="","Missing qty",IF(A1358="","Missing date","")))))</f>
        <v/>
      </c>
    </row>
    <row r="1359" customFormat="false" ht="15" hidden="false" customHeight="false" outlineLevel="0" collapsed="false">
      <c r="A1359" s="44"/>
      <c r="B1359" s="39"/>
      <c r="C1359" s="45" t="str">
        <f aca="false">IF(B1359="","",IFERROR(INDEX(Contract!$C$10:$C$23,MATCH(B1359,Contract!$B$10:$B$23,0)),"Unknown code"))</f>
        <v/>
      </c>
      <c r="D1359" s="46"/>
      <c r="E1359" s="39"/>
      <c r="F1359" s="39"/>
      <c r="G1359" s="47" t="str">
        <f aca="false">IF(AND(B1359="",D1359=""),"",IF(B1359="","Missing code",IF(C1359="Unknown code","Unknown code",IF(D1359="","Missing qty",IF(A1359="","Missing date","")))))</f>
        <v/>
      </c>
    </row>
    <row r="1360" customFormat="false" ht="15" hidden="false" customHeight="false" outlineLevel="0" collapsed="false">
      <c r="A1360" s="44"/>
      <c r="B1360" s="39"/>
      <c r="C1360" s="45" t="str">
        <f aca="false">IF(B1360="","",IFERROR(INDEX(Contract!$C$10:$C$23,MATCH(B1360,Contract!$B$10:$B$23,0)),"Unknown code"))</f>
        <v/>
      </c>
      <c r="D1360" s="46"/>
      <c r="E1360" s="39"/>
      <c r="F1360" s="39"/>
      <c r="G1360" s="47" t="str">
        <f aca="false">IF(AND(B1360="",D1360=""),"",IF(B1360="","Missing code",IF(C1360="Unknown code","Unknown code",IF(D1360="","Missing qty",IF(A1360="","Missing date","")))))</f>
        <v/>
      </c>
    </row>
    <row r="1361" customFormat="false" ht="15" hidden="false" customHeight="false" outlineLevel="0" collapsed="false">
      <c r="A1361" s="44"/>
      <c r="B1361" s="39"/>
      <c r="C1361" s="45" t="str">
        <f aca="false">IF(B1361="","",IFERROR(INDEX(Contract!$C$10:$C$23,MATCH(B1361,Contract!$B$10:$B$23,0)),"Unknown code"))</f>
        <v/>
      </c>
      <c r="D1361" s="46"/>
      <c r="E1361" s="39"/>
      <c r="F1361" s="39"/>
      <c r="G1361" s="47" t="str">
        <f aca="false">IF(AND(B1361="",D1361=""),"",IF(B1361="","Missing code",IF(C1361="Unknown code","Unknown code",IF(D1361="","Missing qty",IF(A1361="","Missing date","")))))</f>
        <v/>
      </c>
    </row>
    <row r="1362" customFormat="false" ht="15" hidden="false" customHeight="false" outlineLevel="0" collapsed="false">
      <c r="A1362" s="44"/>
      <c r="B1362" s="39"/>
      <c r="C1362" s="45" t="str">
        <f aca="false">IF(B1362="","",IFERROR(INDEX(Contract!$C$10:$C$23,MATCH(B1362,Contract!$B$10:$B$23,0)),"Unknown code"))</f>
        <v/>
      </c>
      <c r="D1362" s="46"/>
      <c r="E1362" s="39"/>
      <c r="F1362" s="39"/>
      <c r="G1362" s="47" t="str">
        <f aca="false">IF(AND(B1362="",D1362=""),"",IF(B1362="","Missing code",IF(C1362="Unknown code","Unknown code",IF(D1362="","Missing qty",IF(A1362="","Missing date","")))))</f>
        <v/>
      </c>
    </row>
    <row r="1363" customFormat="false" ht="15" hidden="false" customHeight="false" outlineLevel="0" collapsed="false">
      <c r="A1363" s="44"/>
      <c r="B1363" s="39"/>
      <c r="C1363" s="45" t="str">
        <f aca="false">IF(B1363="","",IFERROR(INDEX(Contract!$C$10:$C$23,MATCH(B1363,Contract!$B$10:$B$23,0)),"Unknown code"))</f>
        <v/>
      </c>
      <c r="D1363" s="46"/>
      <c r="E1363" s="39"/>
      <c r="F1363" s="39"/>
      <c r="G1363" s="47" t="str">
        <f aca="false">IF(AND(B1363="",D1363=""),"",IF(B1363="","Missing code",IF(C1363="Unknown code","Unknown code",IF(D1363="","Missing qty",IF(A1363="","Missing date","")))))</f>
        <v/>
      </c>
    </row>
    <row r="1364" customFormat="false" ht="15" hidden="false" customHeight="false" outlineLevel="0" collapsed="false">
      <c r="A1364" s="44"/>
      <c r="B1364" s="39"/>
      <c r="C1364" s="45" t="str">
        <f aca="false">IF(B1364="","",IFERROR(INDEX(Contract!$C$10:$C$23,MATCH(B1364,Contract!$B$10:$B$23,0)),"Unknown code"))</f>
        <v/>
      </c>
      <c r="D1364" s="46"/>
      <c r="E1364" s="39"/>
      <c r="F1364" s="39"/>
      <c r="G1364" s="47" t="str">
        <f aca="false">IF(AND(B1364="",D1364=""),"",IF(B1364="","Missing code",IF(C1364="Unknown code","Unknown code",IF(D1364="","Missing qty",IF(A1364="","Missing date","")))))</f>
        <v/>
      </c>
    </row>
    <row r="1365" customFormat="false" ht="15" hidden="false" customHeight="false" outlineLevel="0" collapsed="false">
      <c r="A1365" s="44"/>
      <c r="B1365" s="39"/>
      <c r="C1365" s="45" t="str">
        <f aca="false">IF(B1365="","",IFERROR(INDEX(Contract!$C$10:$C$23,MATCH(B1365,Contract!$B$10:$B$23,0)),"Unknown code"))</f>
        <v/>
      </c>
      <c r="D1365" s="46"/>
      <c r="E1365" s="39"/>
      <c r="F1365" s="39"/>
      <c r="G1365" s="47" t="str">
        <f aca="false">IF(AND(B1365="",D1365=""),"",IF(B1365="","Missing code",IF(C1365="Unknown code","Unknown code",IF(D1365="","Missing qty",IF(A1365="","Missing date","")))))</f>
        <v/>
      </c>
    </row>
    <row r="1366" customFormat="false" ht="15" hidden="false" customHeight="false" outlineLevel="0" collapsed="false">
      <c r="A1366" s="44"/>
      <c r="B1366" s="39"/>
      <c r="C1366" s="45" t="str">
        <f aca="false">IF(B1366="","",IFERROR(INDEX(Contract!$C$10:$C$23,MATCH(B1366,Contract!$B$10:$B$23,0)),"Unknown code"))</f>
        <v/>
      </c>
      <c r="D1366" s="46"/>
      <c r="E1366" s="39"/>
      <c r="F1366" s="39"/>
      <c r="G1366" s="47" t="str">
        <f aca="false">IF(AND(B1366="",D1366=""),"",IF(B1366="","Missing code",IF(C1366="Unknown code","Unknown code",IF(D1366="","Missing qty",IF(A1366="","Missing date","")))))</f>
        <v/>
      </c>
    </row>
    <row r="1367" customFormat="false" ht="15" hidden="false" customHeight="false" outlineLevel="0" collapsed="false">
      <c r="A1367" s="44"/>
      <c r="B1367" s="39"/>
      <c r="C1367" s="45" t="str">
        <f aca="false">IF(B1367="","",IFERROR(INDEX(Contract!$C$10:$C$23,MATCH(B1367,Contract!$B$10:$B$23,0)),"Unknown code"))</f>
        <v/>
      </c>
      <c r="D1367" s="46"/>
      <c r="E1367" s="39"/>
      <c r="F1367" s="39"/>
      <c r="G1367" s="47" t="str">
        <f aca="false">IF(AND(B1367="",D1367=""),"",IF(B1367="","Missing code",IF(C1367="Unknown code","Unknown code",IF(D1367="","Missing qty",IF(A1367="","Missing date","")))))</f>
        <v/>
      </c>
    </row>
    <row r="1368" customFormat="false" ht="15" hidden="false" customHeight="false" outlineLevel="0" collapsed="false">
      <c r="A1368" s="44"/>
      <c r="B1368" s="39"/>
      <c r="C1368" s="45" t="str">
        <f aca="false">IF(B1368="","",IFERROR(INDEX(Contract!$C$10:$C$23,MATCH(B1368,Contract!$B$10:$B$23,0)),"Unknown code"))</f>
        <v/>
      </c>
      <c r="D1368" s="46"/>
      <c r="E1368" s="39"/>
      <c r="F1368" s="39"/>
      <c r="G1368" s="47" t="str">
        <f aca="false">IF(AND(B1368="",D1368=""),"",IF(B1368="","Missing code",IF(C1368="Unknown code","Unknown code",IF(D1368="","Missing qty",IF(A1368="","Missing date","")))))</f>
        <v/>
      </c>
    </row>
    <row r="1369" customFormat="false" ht="15" hidden="false" customHeight="false" outlineLevel="0" collapsed="false">
      <c r="A1369" s="44"/>
      <c r="B1369" s="39"/>
      <c r="C1369" s="45" t="str">
        <f aca="false">IF(B1369="","",IFERROR(INDEX(Contract!$C$10:$C$23,MATCH(B1369,Contract!$B$10:$B$23,0)),"Unknown code"))</f>
        <v/>
      </c>
      <c r="D1369" s="46"/>
      <c r="E1369" s="39"/>
      <c r="F1369" s="39"/>
      <c r="G1369" s="47" t="str">
        <f aca="false">IF(AND(B1369="",D1369=""),"",IF(B1369="","Missing code",IF(C1369="Unknown code","Unknown code",IF(D1369="","Missing qty",IF(A1369="","Missing date","")))))</f>
        <v/>
      </c>
    </row>
    <row r="1370" customFormat="false" ht="15" hidden="false" customHeight="false" outlineLevel="0" collapsed="false">
      <c r="A1370" s="44"/>
      <c r="B1370" s="39"/>
      <c r="C1370" s="45" t="str">
        <f aca="false">IF(B1370="","",IFERROR(INDEX(Contract!$C$10:$C$23,MATCH(B1370,Contract!$B$10:$B$23,0)),"Unknown code"))</f>
        <v/>
      </c>
      <c r="D1370" s="46"/>
      <c r="E1370" s="39"/>
      <c r="F1370" s="39"/>
      <c r="G1370" s="47" t="str">
        <f aca="false">IF(AND(B1370="",D1370=""),"",IF(B1370="","Missing code",IF(C1370="Unknown code","Unknown code",IF(D1370="","Missing qty",IF(A1370="","Missing date","")))))</f>
        <v/>
      </c>
    </row>
    <row r="1371" customFormat="false" ht="15" hidden="false" customHeight="false" outlineLevel="0" collapsed="false">
      <c r="A1371" s="44"/>
      <c r="B1371" s="39"/>
      <c r="C1371" s="45" t="str">
        <f aca="false">IF(B1371="","",IFERROR(INDEX(Contract!$C$10:$C$23,MATCH(B1371,Contract!$B$10:$B$23,0)),"Unknown code"))</f>
        <v/>
      </c>
      <c r="D1371" s="46"/>
      <c r="E1371" s="39"/>
      <c r="F1371" s="39"/>
      <c r="G1371" s="47" t="str">
        <f aca="false">IF(AND(B1371="",D1371=""),"",IF(B1371="","Missing code",IF(C1371="Unknown code","Unknown code",IF(D1371="","Missing qty",IF(A1371="","Missing date","")))))</f>
        <v/>
      </c>
    </row>
    <row r="1372" customFormat="false" ht="15" hidden="false" customHeight="false" outlineLevel="0" collapsed="false">
      <c r="A1372" s="44"/>
      <c r="B1372" s="39"/>
      <c r="C1372" s="45" t="str">
        <f aca="false">IF(B1372="","",IFERROR(INDEX(Contract!$C$10:$C$23,MATCH(B1372,Contract!$B$10:$B$23,0)),"Unknown code"))</f>
        <v/>
      </c>
      <c r="D1372" s="46"/>
      <c r="E1372" s="39"/>
      <c r="F1372" s="39"/>
      <c r="G1372" s="47" t="str">
        <f aca="false">IF(AND(B1372="",D1372=""),"",IF(B1372="","Missing code",IF(C1372="Unknown code","Unknown code",IF(D1372="","Missing qty",IF(A1372="","Missing date","")))))</f>
        <v/>
      </c>
    </row>
    <row r="1373" customFormat="false" ht="15" hidden="false" customHeight="false" outlineLevel="0" collapsed="false">
      <c r="A1373" s="44"/>
      <c r="B1373" s="39"/>
      <c r="C1373" s="45" t="str">
        <f aca="false">IF(B1373="","",IFERROR(INDEX(Contract!$C$10:$C$23,MATCH(B1373,Contract!$B$10:$B$23,0)),"Unknown code"))</f>
        <v/>
      </c>
      <c r="D1373" s="46"/>
      <c r="E1373" s="39"/>
      <c r="F1373" s="39"/>
      <c r="G1373" s="47" t="str">
        <f aca="false">IF(AND(B1373="",D1373=""),"",IF(B1373="","Missing code",IF(C1373="Unknown code","Unknown code",IF(D1373="","Missing qty",IF(A1373="","Missing date","")))))</f>
        <v/>
      </c>
    </row>
    <row r="1374" customFormat="false" ht="15" hidden="false" customHeight="false" outlineLevel="0" collapsed="false">
      <c r="A1374" s="44"/>
      <c r="B1374" s="39"/>
      <c r="C1374" s="45" t="str">
        <f aca="false">IF(B1374="","",IFERROR(INDEX(Contract!$C$10:$C$23,MATCH(B1374,Contract!$B$10:$B$23,0)),"Unknown code"))</f>
        <v/>
      </c>
      <c r="D1374" s="46"/>
      <c r="E1374" s="39"/>
      <c r="F1374" s="39"/>
      <c r="G1374" s="47" t="str">
        <f aca="false">IF(AND(B1374="",D1374=""),"",IF(B1374="","Missing code",IF(C1374="Unknown code","Unknown code",IF(D1374="","Missing qty",IF(A1374="","Missing date","")))))</f>
        <v/>
      </c>
    </row>
    <row r="1375" customFormat="false" ht="15" hidden="false" customHeight="false" outlineLevel="0" collapsed="false">
      <c r="A1375" s="44"/>
      <c r="B1375" s="39"/>
      <c r="C1375" s="45" t="str">
        <f aca="false">IF(B1375="","",IFERROR(INDEX(Contract!$C$10:$C$23,MATCH(B1375,Contract!$B$10:$B$23,0)),"Unknown code"))</f>
        <v/>
      </c>
      <c r="D1375" s="46"/>
      <c r="E1375" s="39"/>
      <c r="F1375" s="39"/>
      <c r="G1375" s="47" t="str">
        <f aca="false">IF(AND(B1375="",D1375=""),"",IF(B1375="","Missing code",IF(C1375="Unknown code","Unknown code",IF(D1375="","Missing qty",IF(A1375="","Missing date","")))))</f>
        <v/>
      </c>
    </row>
    <row r="1376" customFormat="false" ht="15" hidden="false" customHeight="false" outlineLevel="0" collapsed="false">
      <c r="A1376" s="44"/>
      <c r="B1376" s="39"/>
      <c r="C1376" s="45" t="str">
        <f aca="false">IF(B1376="","",IFERROR(INDEX(Contract!$C$10:$C$23,MATCH(B1376,Contract!$B$10:$B$23,0)),"Unknown code"))</f>
        <v/>
      </c>
      <c r="D1376" s="46"/>
      <c r="E1376" s="39"/>
      <c r="F1376" s="39"/>
      <c r="G1376" s="47" t="str">
        <f aca="false">IF(AND(B1376="",D1376=""),"",IF(B1376="","Missing code",IF(C1376="Unknown code","Unknown code",IF(D1376="","Missing qty",IF(A1376="","Missing date","")))))</f>
        <v/>
      </c>
    </row>
    <row r="1377" customFormat="false" ht="15" hidden="false" customHeight="false" outlineLevel="0" collapsed="false">
      <c r="A1377" s="44"/>
      <c r="B1377" s="39"/>
      <c r="C1377" s="45" t="str">
        <f aca="false">IF(B1377="","",IFERROR(INDEX(Contract!$C$10:$C$23,MATCH(B1377,Contract!$B$10:$B$23,0)),"Unknown code"))</f>
        <v/>
      </c>
      <c r="D1377" s="46"/>
      <c r="E1377" s="39"/>
      <c r="F1377" s="39"/>
      <c r="G1377" s="47" t="str">
        <f aca="false">IF(AND(B1377="",D1377=""),"",IF(B1377="","Missing code",IF(C1377="Unknown code","Unknown code",IF(D1377="","Missing qty",IF(A1377="","Missing date","")))))</f>
        <v/>
      </c>
    </row>
    <row r="1378" customFormat="false" ht="15" hidden="false" customHeight="false" outlineLevel="0" collapsed="false">
      <c r="A1378" s="44"/>
      <c r="B1378" s="39"/>
      <c r="C1378" s="45" t="str">
        <f aca="false">IF(B1378="","",IFERROR(INDEX(Contract!$C$10:$C$23,MATCH(B1378,Contract!$B$10:$B$23,0)),"Unknown code"))</f>
        <v/>
      </c>
      <c r="D1378" s="46"/>
      <c r="E1378" s="39"/>
      <c r="F1378" s="39"/>
      <c r="G1378" s="47" t="str">
        <f aca="false">IF(AND(B1378="",D1378=""),"",IF(B1378="","Missing code",IF(C1378="Unknown code","Unknown code",IF(D1378="","Missing qty",IF(A1378="","Missing date","")))))</f>
        <v/>
      </c>
    </row>
    <row r="1379" customFormat="false" ht="15" hidden="false" customHeight="false" outlineLevel="0" collapsed="false">
      <c r="A1379" s="44"/>
      <c r="B1379" s="39"/>
      <c r="C1379" s="45" t="str">
        <f aca="false">IF(B1379="","",IFERROR(INDEX(Contract!$C$10:$C$23,MATCH(B1379,Contract!$B$10:$B$23,0)),"Unknown code"))</f>
        <v/>
      </c>
      <c r="D1379" s="46"/>
      <c r="E1379" s="39"/>
      <c r="F1379" s="39"/>
      <c r="G1379" s="47" t="str">
        <f aca="false">IF(AND(B1379="",D1379=""),"",IF(B1379="","Missing code",IF(C1379="Unknown code","Unknown code",IF(D1379="","Missing qty",IF(A1379="","Missing date","")))))</f>
        <v/>
      </c>
    </row>
    <row r="1380" customFormat="false" ht="15" hidden="false" customHeight="false" outlineLevel="0" collapsed="false">
      <c r="A1380" s="44"/>
      <c r="B1380" s="39"/>
      <c r="C1380" s="45" t="str">
        <f aca="false">IF(B1380="","",IFERROR(INDEX(Contract!$C$10:$C$23,MATCH(B1380,Contract!$B$10:$B$23,0)),"Unknown code"))</f>
        <v/>
      </c>
      <c r="D1380" s="46"/>
      <c r="E1380" s="39"/>
      <c r="F1380" s="39"/>
      <c r="G1380" s="47" t="str">
        <f aca="false">IF(AND(B1380="",D1380=""),"",IF(B1380="","Missing code",IF(C1380="Unknown code","Unknown code",IF(D1380="","Missing qty",IF(A1380="","Missing date","")))))</f>
        <v/>
      </c>
    </row>
    <row r="1381" customFormat="false" ht="15" hidden="false" customHeight="false" outlineLevel="0" collapsed="false">
      <c r="A1381" s="44"/>
      <c r="B1381" s="39"/>
      <c r="C1381" s="45" t="str">
        <f aca="false">IF(B1381="","",IFERROR(INDEX(Contract!$C$10:$C$23,MATCH(B1381,Contract!$B$10:$B$23,0)),"Unknown code"))</f>
        <v/>
      </c>
      <c r="D1381" s="46"/>
      <c r="E1381" s="39"/>
      <c r="F1381" s="39"/>
      <c r="G1381" s="47" t="str">
        <f aca="false">IF(AND(B1381="",D1381=""),"",IF(B1381="","Missing code",IF(C1381="Unknown code","Unknown code",IF(D1381="","Missing qty",IF(A1381="","Missing date","")))))</f>
        <v/>
      </c>
    </row>
    <row r="1382" customFormat="false" ht="15" hidden="false" customHeight="false" outlineLevel="0" collapsed="false">
      <c r="A1382" s="44"/>
      <c r="B1382" s="39"/>
      <c r="C1382" s="45" t="str">
        <f aca="false">IF(B1382="","",IFERROR(INDEX(Contract!$C$10:$C$23,MATCH(B1382,Contract!$B$10:$B$23,0)),"Unknown code"))</f>
        <v/>
      </c>
      <c r="D1382" s="46"/>
      <c r="E1382" s="39"/>
      <c r="F1382" s="39"/>
      <c r="G1382" s="47" t="str">
        <f aca="false">IF(AND(B1382="",D1382=""),"",IF(B1382="","Missing code",IF(C1382="Unknown code","Unknown code",IF(D1382="","Missing qty",IF(A1382="","Missing date","")))))</f>
        <v/>
      </c>
    </row>
    <row r="1383" customFormat="false" ht="15" hidden="false" customHeight="false" outlineLevel="0" collapsed="false">
      <c r="A1383" s="44"/>
      <c r="B1383" s="39"/>
      <c r="C1383" s="45" t="str">
        <f aca="false">IF(B1383="","",IFERROR(INDEX(Contract!$C$10:$C$23,MATCH(B1383,Contract!$B$10:$B$23,0)),"Unknown code"))</f>
        <v/>
      </c>
      <c r="D1383" s="46"/>
      <c r="E1383" s="39"/>
      <c r="F1383" s="39"/>
      <c r="G1383" s="47" t="str">
        <f aca="false">IF(AND(B1383="",D1383=""),"",IF(B1383="","Missing code",IF(C1383="Unknown code","Unknown code",IF(D1383="","Missing qty",IF(A1383="","Missing date","")))))</f>
        <v/>
      </c>
    </row>
    <row r="1384" customFormat="false" ht="15" hidden="false" customHeight="false" outlineLevel="0" collapsed="false">
      <c r="A1384" s="44"/>
      <c r="B1384" s="39"/>
      <c r="C1384" s="45" t="str">
        <f aca="false">IF(B1384="","",IFERROR(INDEX(Contract!$C$10:$C$23,MATCH(B1384,Contract!$B$10:$B$23,0)),"Unknown code"))</f>
        <v/>
      </c>
      <c r="D1384" s="46"/>
      <c r="E1384" s="39"/>
      <c r="F1384" s="39"/>
      <c r="G1384" s="47" t="str">
        <f aca="false">IF(AND(B1384="",D1384=""),"",IF(B1384="","Missing code",IF(C1384="Unknown code","Unknown code",IF(D1384="","Missing qty",IF(A1384="","Missing date","")))))</f>
        <v/>
      </c>
    </row>
    <row r="1385" customFormat="false" ht="15" hidden="false" customHeight="false" outlineLevel="0" collapsed="false">
      <c r="A1385" s="44"/>
      <c r="B1385" s="39"/>
      <c r="C1385" s="45" t="str">
        <f aca="false">IF(B1385="","",IFERROR(INDEX(Contract!$C$10:$C$23,MATCH(B1385,Contract!$B$10:$B$23,0)),"Unknown code"))</f>
        <v/>
      </c>
      <c r="D1385" s="46"/>
      <c r="E1385" s="39"/>
      <c r="F1385" s="39"/>
      <c r="G1385" s="47" t="str">
        <f aca="false">IF(AND(B1385="",D1385=""),"",IF(B1385="","Missing code",IF(C1385="Unknown code","Unknown code",IF(D1385="","Missing qty",IF(A1385="","Missing date","")))))</f>
        <v/>
      </c>
    </row>
    <row r="1386" customFormat="false" ht="15" hidden="false" customHeight="false" outlineLevel="0" collapsed="false">
      <c r="A1386" s="44"/>
      <c r="B1386" s="39"/>
      <c r="C1386" s="45" t="str">
        <f aca="false">IF(B1386="","",IFERROR(INDEX(Contract!$C$10:$C$23,MATCH(B1386,Contract!$B$10:$B$23,0)),"Unknown code"))</f>
        <v/>
      </c>
      <c r="D1386" s="46"/>
      <c r="E1386" s="39"/>
      <c r="F1386" s="39"/>
      <c r="G1386" s="47" t="str">
        <f aca="false">IF(AND(B1386="",D1386=""),"",IF(B1386="","Missing code",IF(C1386="Unknown code","Unknown code",IF(D1386="","Missing qty",IF(A1386="","Missing date","")))))</f>
        <v/>
      </c>
    </row>
    <row r="1387" customFormat="false" ht="15" hidden="false" customHeight="false" outlineLevel="0" collapsed="false">
      <c r="A1387" s="44"/>
      <c r="B1387" s="39"/>
      <c r="C1387" s="45" t="str">
        <f aca="false">IF(B1387="","",IFERROR(INDEX(Contract!$C$10:$C$23,MATCH(B1387,Contract!$B$10:$B$23,0)),"Unknown code"))</f>
        <v/>
      </c>
      <c r="D1387" s="46"/>
      <c r="E1387" s="39"/>
      <c r="F1387" s="39"/>
      <c r="G1387" s="47" t="str">
        <f aca="false">IF(AND(B1387="",D1387=""),"",IF(B1387="","Missing code",IF(C1387="Unknown code","Unknown code",IF(D1387="","Missing qty",IF(A1387="","Missing date","")))))</f>
        <v/>
      </c>
    </row>
    <row r="1388" customFormat="false" ht="15" hidden="false" customHeight="false" outlineLevel="0" collapsed="false">
      <c r="A1388" s="44"/>
      <c r="B1388" s="39"/>
      <c r="C1388" s="45" t="str">
        <f aca="false">IF(B1388="","",IFERROR(INDEX(Contract!$C$10:$C$23,MATCH(B1388,Contract!$B$10:$B$23,0)),"Unknown code"))</f>
        <v/>
      </c>
      <c r="D1388" s="46"/>
      <c r="E1388" s="39"/>
      <c r="F1388" s="39"/>
      <c r="G1388" s="47" t="str">
        <f aca="false">IF(AND(B1388="",D1388=""),"",IF(B1388="","Missing code",IF(C1388="Unknown code","Unknown code",IF(D1388="","Missing qty",IF(A1388="","Missing date","")))))</f>
        <v/>
      </c>
    </row>
    <row r="1389" customFormat="false" ht="15" hidden="false" customHeight="false" outlineLevel="0" collapsed="false">
      <c r="A1389" s="44"/>
      <c r="B1389" s="39"/>
      <c r="C1389" s="45" t="str">
        <f aca="false">IF(B1389="","",IFERROR(INDEX(Contract!$C$10:$C$23,MATCH(B1389,Contract!$B$10:$B$23,0)),"Unknown code"))</f>
        <v/>
      </c>
      <c r="D1389" s="46"/>
      <c r="E1389" s="39"/>
      <c r="F1389" s="39"/>
      <c r="G1389" s="47" t="str">
        <f aca="false">IF(AND(B1389="",D1389=""),"",IF(B1389="","Missing code",IF(C1389="Unknown code","Unknown code",IF(D1389="","Missing qty",IF(A1389="","Missing date","")))))</f>
        <v/>
      </c>
    </row>
    <row r="1390" customFormat="false" ht="15" hidden="false" customHeight="false" outlineLevel="0" collapsed="false">
      <c r="A1390" s="44"/>
      <c r="B1390" s="39"/>
      <c r="C1390" s="45" t="str">
        <f aca="false">IF(B1390="","",IFERROR(INDEX(Contract!$C$10:$C$23,MATCH(B1390,Contract!$B$10:$B$23,0)),"Unknown code"))</f>
        <v/>
      </c>
      <c r="D1390" s="46"/>
      <c r="E1390" s="39"/>
      <c r="F1390" s="39"/>
      <c r="G1390" s="47" t="str">
        <f aca="false">IF(AND(B1390="",D1390=""),"",IF(B1390="","Missing code",IF(C1390="Unknown code","Unknown code",IF(D1390="","Missing qty",IF(A1390="","Missing date","")))))</f>
        <v/>
      </c>
    </row>
    <row r="1391" customFormat="false" ht="15" hidden="false" customHeight="false" outlineLevel="0" collapsed="false">
      <c r="A1391" s="44"/>
      <c r="B1391" s="39"/>
      <c r="C1391" s="45" t="str">
        <f aca="false">IF(B1391="","",IFERROR(INDEX(Contract!$C$10:$C$23,MATCH(B1391,Contract!$B$10:$B$23,0)),"Unknown code"))</f>
        <v/>
      </c>
      <c r="D1391" s="46"/>
      <c r="E1391" s="39"/>
      <c r="F1391" s="39"/>
      <c r="G1391" s="47" t="str">
        <f aca="false">IF(AND(B1391="",D1391=""),"",IF(B1391="","Missing code",IF(C1391="Unknown code","Unknown code",IF(D1391="","Missing qty",IF(A1391="","Missing date","")))))</f>
        <v/>
      </c>
    </row>
    <row r="1392" customFormat="false" ht="15" hidden="false" customHeight="false" outlineLevel="0" collapsed="false">
      <c r="A1392" s="44"/>
      <c r="B1392" s="39"/>
      <c r="C1392" s="45" t="str">
        <f aca="false">IF(B1392="","",IFERROR(INDEX(Contract!$C$10:$C$23,MATCH(B1392,Contract!$B$10:$B$23,0)),"Unknown code"))</f>
        <v/>
      </c>
      <c r="D1392" s="46"/>
      <c r="E1392" s="39"/>
      <c r="F1392" s="39"/>
      <c r="G1392" s="47" t="str">
        <f aca="false">IF(AND(B1392="",D1392=""),"",IF(B1392="","Missing code",IF(C1392="Unknown code","Unknown code",IF(D1392="","Missing qty",IF(A1392="","Missing date","")))))</f>
        <v/>
      </c>
    </row>
    <row r="1393" customFormat="false" ht="15" hidden="false" customHeight="false" outlineLevel="0" collapsed="false">
      <c r="A1393" s="44"/>
      <c r="B1393" s="39"/>
      <c r="C1393" s="45" t="str">
        <f aca="false">IF(B1393="","",IFERROR(INDEX(Contract!$C$10:$C$23,MATCH(B1393,Contract!$B$10:$B$23,0)),"Unknown code"))</f>
        <v/>
      </c>
      <c r="D1393" s="46"/>
      <c r="E1393" s="39"/>
      <c r="F1393" s="39"/>
      <c r="G1393" s="47" t="str">
        <f aca="false">IF(AND(B1393="",D1393=""),"",IF(B1393="","Missing code",IF(C1393="Unknown code","Unknown code",IF(D1393="","Missing qty",IF(A1393="","Missing date","")))))</f>
        <v/>
      </c>
    </row>
    <row r="1394" customFormat="false" ht="15" hidden="false" customHeight="false" outlineLevel="0" collapsed="false">
      <c r="A1394" s="44"/>
      <c r="B1394" s="39"/>
      <c r="C1394" s="45" t="str">
        <f aca="false">IF(B1394="","",IFERROR(INDEX(Contract!$C$10:$C$23,MATCH(B1394,Contract!$B$10:$B$23,0)),"Unknown code"))</f>
        <v/>
      </c>
      <c r="D1394" s="46"/>
      <c r="E1394" s="39"/>
      <c r="F1394" s="39"/>
      <c r="G1394" s="47" t="str">
        <f aca="false">IF(AND(B1394="",D1394=""),"",IF(B1394="","Missing code",IF(C1394="Unknown code","Unknown code",IF(D1394="","Missing qty",IF(A1394="","Missing date","")))))</f>
        <v/>
      </c>
    </row>
    <row r="1395" customFormat="false" ht="15" hidden="false" customHeight="false" outlineLevel="0" collapsed="false">
      <c r="A1395" s="44"/>
      <c r="B1395" s="39"/>
      <c r="C1395" s="45" t="str">
        <f aca="false">IF(B1395="","",IFERROR(INDEX(Contract!$C$10:$C$23,MATCH(B1395,Contract!$B$10:$B$23,0)),"Unknown code"))</f>
        <v/>
      </c>
      <c r="D1395" s="46"/>
      <c r="E1395" s="39"/>
      <c r="F1395" s="39"/>
      <c r="G1395" s="47" t="str">
        <f aca="false">IF(AND(B1395="",D1395=""),"",IF(B1395="","Missing code",IF(C1395="Unknown code","Unknown code",IF(D1395="","Missing qty",IF(A1395="","Missing date","")))))</f>
        <v/>
      </c>
    </row>
    <row r="1396" customFormat="false" ht="15" hidden="false" customHeight="false" outlineLevel="0" collapsed="false">
      <c r="A1396" s="44"/>
      <c r="B1396" s="39"/>
      <c r="C1396" s="45" t="str">
        <f aca="false">IF(B1396="","",IFERROR(INDEX(Contract!$C$10:$C$23,MATCH(B1396,Contract!$B$10:$B$23,0)),"Unknown code"))</f>
        <v/>
      </c>
      <c r="D1396" s="46"/>
      <c r="E1396" s="39"/>
      <c r="F1396" s="39"/>
      <c r="G1396" s="47" t="str">
        <f aca="false">IF(AND(B1396="",D1396=""),"",IF(B1396="","Missing code",IF(C1396="Unknown code","Unknown code",IF(D1396="","Missing qty",IF(A1396="","Missing date","")))))</f>
        <v/>
      </c>
    </row>
    <row r="1397" customFormat="false" ht="15" hidden="false" customHeight="false" outlineLevel="0" collapsed="false">
      <c r="A1397" s="44"/>
      <c r="B1397" s="39"/>
      <c r="C1397" s="45" t="str">
        <f aca="false">IF(B1397="","",IFERROR(INDEX(Contract!$C$10:$C$23,MATCH(B1397,Contract!$B$10:$B$23,0)),"Unknown code"))</f>
        <v/>
      </c>
      <c r="D1397" s="46"/>
      <c r="E1397" s="39"/>
      <c r="F1397" s="39"/>
      <c r="G1397" s="47" t="str">
        <f aca="false">IF(AND(B1397="",D1397=""),"",IF(B1397="","Missing code",IF(C1397="Unknown code","Unknown code",IF(D1397="","Missing qty",IF(A1397="","Missing date","")))))</f>
        <v/>
      </c>
    </row>
    <row r="1398" customFormat="false" ht="15" hidden="false" customHeight="false" outlineLevel="0" collapsed="false">
      <c r="A1398" s="44"/>
      <c r="B1398" s="39"/>
      <c r="C1398" s="45" t="str">
        <f aca="false">IF(B1398="","",IFERROR(INDEX(Contract!$C$10:$C$23,MATCH(B1398,Contract!$B$10:$B$23,0)),"Unknown code"))</f>
        <v/>
      </c>
      <c r="D1398" s="46"/>
      <c r="E1398" s="39"/>
      <c r="F1398" s="39"/>
      <c r="G1398" s="47" t="str">
        <f aca="false">IF(AND(B1398="",D1398=""),"",IF(B1398="","Missing code",IF(C1398="Unknown code","Unknown code",IF(D1398="","Missing qty",IF(A1398="","Missing date","")))))</f>
        <v/>
      </c>
    </row>
    <row r="1399" customFormat="false" ht="15" hidden="false" customHeight="false" outlineLevel="0" collapsed="false">
      <c r="A1399" s="44"/>
      <c r="B1399" s="39"/>
      <c r="C1399" s="45" t="str">
        <f aca="false">IF(B1399="","",IFERROR(INDEX(Contract!$C$10:$C$23,MATCH(B1399,Contract!$B$10:$B$23,0)),"Unknown code"))</f>
        <v/>
      </c>
      <c r="D1399" s="46"/>
      <c r="E1399" s="39"/>
      <c r="F1399" s="39"/>
      <c r="G1399" s="47" t="str">
        <f aca="false">IF(AND(B1399="",D1399=""),"",IF(B1399="","Missing code",IF(C1399="Unknown code","Unknown code",IF(D1399="","Missing qty",IF(A1399="","Missing date","")))))</f>
        <v/>
      </c>
    </row>
    <row r="1400" customFormat="false" ht="15" hidden="false" customHeight="false" outlineLevel="0" collapsed="false">
      <c r="A1400" s="44"/>
      <c r="B1400" s="39"/>
      <c r="C1400" s="45" t="str">
        <f aca="false">IF(B1400="","",IFERROR(INDEX(Contract!$C$10:$C$23,MATCH(B1400,Contract!$B$10:$B$23,0)),"Unknown code"))</f>
        <v/>
      </c>
      <c r="D1400" s="46"/>
      <c r="E1400" s="39"/>
      <c r="F1400" s="39"/>
      <c r="G1400" s="47" t="str">
        <f aca="false">IF(AND(B1400="",D1400=""),"",IF(B1400="","Missing code",IF(C1400="Unknown code","Unknown code",IF(D1400="","Missing qty",IF(A1400="","Missing date","")))))</f>
        <v/>
      </c>
    </row>
    <row r="1401" customFormat="false" ht="15" hidden="false" customHeight="false" outlineLevel="0" collapsed="false">
      <c r="A1401" s="44"/>
      <c r="B1401" s="39"/>
      <c r="C1401" s="45" t="str">
        <f aca="false">IF(B1401="","",IFERROR(INDEX(Contract!$C$10:$C$23,MATCH(B1401,Contract!$B$10:$B$23,0)),"Unknown code"))</f>
        <v/>
      </c>
      <c r="D1401" s="46"/>
      <c r="E1401" s="39"/>
      <c r="F1401" s="39"/>
      <c r="G1401" s="47" t="str">
        <f aca="false">IF(AND(B1401="",D1401=""),"",IF(B1401="","Missing code",IF(C1401="Unknown code","Unknown code",IF(D1401="","Missing qty",IF(A1401="","Missing date","")))))</f>
        <v/>
      </c>
    </row>
    <row r="1402" customFormat="false" ht="15" hidden="false" customHeight="false" outlineLevel="0" collapsed="false">
      <c r="A1402" s="44"/>
      <c r="B1402" s="39"/>
      <c r="C1402" s="45" t="str">
        <f aca="false">IF(B1402="","",IFERROR(INDEX(Contract!$C$10:$C$23,MATCH(B1402,Contract!$B$10:$B$23,0)),"Unknown code"))</f>
        <v/>
      </c>
      <c r="D1402" s="46"/>
      <c r="E1402" s="39"/>
      <c r="F1402" s="39"/>
      <c r="G1402" s="47" t="str">
        <f aca="false">IF(AND(B1402="",D1402=""),"",IF(B1402="","Missing code",IF(C1402="Unknown code","Unknown code",IF(D1402="","Missing qty",IF(A1402="","Missing date","")))))</f>
        <v/>
      </c>
    </row>
    <row r="1403" customFormat="false" ht="15" hidden="false" customHeight="false" outlineLevel="0" collapsed="false">
      <c r="A1403" s="44"/>
      <c r="B1403" s="39"/>
      <c r="C1403" s="45" t="str">
        <f aca="false">IF(B1403="","",IFERROR(INDEX(Contract!$C$10:$C$23,MATCH(B1403,Contract!$B$10:$B$23,0)),"Unknown code"))</f>
        <v/>
      </c>
      <c r="D1403" s="46"/>
      <c r="E1403" s="39"/>
      <c r="F1403" s="39"/>
      <c r="G1403" s="47" t="str">
        <f aca="false">IF(AND(B1403="",D1403=""),"",IF(B1403="","Missing code",IF(C1403="Unknown code","Unknown code",IF(D1403="","Missing qty",IF(A1403="","Missing date","")))))</f>
        <v/>
      </c>
    </row>
    <row r="1404" customFormat="false" ht="15" hidden="false" customHeight="false" outlineLevel="0" collapsed="false">
      <c r="A1404" s="44"/>
      <c r="B1404" s="39"/>
      <c r="C1404" s="45" t="str">
        <f aca="false">IF(B1404="","",IFERROR(INDEX(Contract!$C$10:$C$23,MATCH(B1404,Contract!$B$10:$B$23,0)),"Unknown code"))</f>
        <v/>
      </c>
      <c r="D1404" s="46"/>
      <c r="E1404" s="39"/>
      <c r="F1404" s="39"/>
      <c r="G1404" s="47" t="str">
        <f aca="false">IF(AND(B1404="",D1404=""),"",IF(B1404="","Missing code",IF(C1404="Unknown code","Unknown code",IF(D1404="","Missing qty",IF(A1404="","Missing date","")))))</f>
        <v/>
      </c>
    </row>
    <row r="1405" customFormat="false" ht="15" hidden="false" customHeight="false" outlineLevel="0" collapsed="false">
      <c r="A1405" s="44"/>
      <c r="B1405" s="39"/>
      <c r="C1405" s="45" t="str">
        <f aca="false">IF(B1405="","",IFERROR(INDEX(Contract!$C$10:$C$23,MATCH(B1405,Contract!$B$10:$B$23,0)),"Unknown code"))</f>
        <v/>
      </c>
      <c r="D1405" s="46"/>
      <c r="E1405" s="39"/>
      <c r="F1405" s="39"/>
      <c r="G1405" s="47" t="str">
        <f aca="false">IF(AND(B1405="",D1405=""),"",IF(B1405="","Missing code",IF(C1405="Unknown code","Unknown code",IF(D1405="","Missing qty",IF(A1405="","Missing date","")))))</f>
        <v/>
      </c>
    </row>
    <row r="1406" customFormat="false" ht="15" hidden="false" customHeight="false" outlineLevel="0" collapsed="false">
      <c r="A1406" s="44"/>
      <c r="B1406" s="39"/>
      <c r="C1406" s="45" t="str">
        <f aca="false">IF(B1406="","",IFERROR(INDEX(Contract!$C$10:$C$23,MATCH(B1406,Contract!$B$10:$B$23,0)),"Unknown code"))</f>
        <v/>
      </c>
      <c r="D1406" s="46"/>
      <c r="E1406" s="39"/>
      <c r="F1406" s="39"/>
      <c r="G1406" s="47" t="str">
        <f aca="false">IF(AND(B1406="",D1406=""),"",IF(B1406="","Missing code",IF(C1406="Unknown code","Unknown code",IF(D1406="","Missing qty",IF(A1406="","Missing date","")))))</f>
        <v/>
      </c>
    </row>
    <row r="1407" customFormat="false" ht="15" hidden="false" customHeight="false" outlineLevel="0" collapsed="false">
      <c r="A1407" s="44"/>
      <c r="B1407" s="39"/>
      <c r="C1407" s="45" t="str">
        <f aca="false">IF(B1407="","",IFERROR(INDEX(Contract!$C$10:$C$23,MATCH(B1407,Contract!$B$10:$B$23,0)),"Unknown code"))</f>
        <v/>
      </c>
      <c r="D1407" s="46"/>
      <c r="E1407" s="39"/>
      <c r="F1407" s="39"/>
      <c r="G1407" s="47" t="str">
        <f aca="false">IF(AND(B1407="",D1407=""),"",IF(B1407="","Missing code",IF(C1407="Unknown code","Unknown code",IF(D1407="","Missing qty",IF(A1407="","Missing date","")))))</f>
        <v/>
      </c>
    </row>
    <row r="1408" customFormat="false" ht="15" hidden="false" customHeight="false" outlineLevel="0" collapsed="false">
      <c r="A1408" s="44"/>
      <c r="B1408" s="39"/>
      <c r="C1408" s="45" t="str">
        <f aca="false">IF(B1408="","",IFERROR(INDEX(Contract!$C$10:$C$23,MATCH(B1408,Contract!$B$10:$B$23,0)),"Unknown code"))</f>
        <v/>
      </c>
      <c r="D1408" s="46"/>
      <c r="E1408" s="39"/>
      <c r="F1408" s="39"/>
      <c r="G1408" s="47" t="str">
        <f aca="false">IF(AND(B1408="",D1408=""),"",IF(B1408="","Missing code",IF(C1408="Unknown code","Unknown code",IF(D1408="","Missing qty",IF(A1408="","Missing date","")))))</f>
        <v/>
      </c>
    </row>
    <row r="1409" customFormat="false" ht="15" hidden="false" customHeight="false" outlineLevel="0" collapsed="false">
      <c r="A1409" s="44"/>
      <c r="B1409" s="39"/>
      <c r="C1409" s="45" t="str">
        <f aca="false">IF(B1409="","",IFERROR(INDEX(Contract!$C$10:$C$23,MATCH(B1409,Contract!$B$10:$B$23,0)),"Unknown code"))</f>
        <v/>
      </c>
      <c r="D1409" s="46"/>
      <c r="E1409" s="39"/>
      <c r="F1409" s="39"/>
      <c r="G1409" s="47" t="str">
        <f aca="false">IF(AND(B1409="",D1409=""),"",IF(B1409="","Missing code",IF(C1409="Unknown code","Unknown code",IF(D1409="","Missing qty",IF(A1409="","Missing date","")))))</f>
        <v/>
      </c>
    </row>
    <row r="1410" customFormat="false" ht="15" hidden="false" customHeight="false" outlineLevel="0" collapsed="false">
      <c r="A1410" s="44"/>
      <c r="B1410" s="39"/>
      <c r="C1410" s="45" t="str">
        <f aca="false">IF(B1410="","",IFERROR(INDEX(Contract!$C$10:$C$23,MATCH(B1410,Contract!$B$10:$B$23,0)),"Unknown code"))</f>
        <v/>
      </c>
      <c r="D1410" s="46"/>
      <c r="E1410" s="39"/>
      <c r="F1410" s="39"/>
      <c r="G1410" s="47" t="str">
        <f aca="false">IF(AND(B1410="",D1410=""),"",IF(B1410="","Missing code",IF(C1410="Unknown code","Unknown code",IF(D1410="","Missing qty",IF(A1410="","Missing date","")))))</f>
        <v/>
      </c>
    </row>
    <row r="1411" customFormat="false" ht="15" hidden="false" customHeight="false" outlineLevel="0" collapsed="false">
      <c r="A1411" s="44"/>
      <c r="B1411" s="39"/>
      <c r="C1411" s="45" t="str">
        <f aca="false">IF(B1411="","",IFERROR(INDEX(Contract!$C$10:$C$23,MATCH(B1411,Contract!$B$10:$B$23,0)),"Unknown code"))</f>
        <v/>
      </c>
      <c r="D1411" s="46"/>
      <c r="E1411" s="39"/>
      <c r="F1411" s="39"/>
      <c r="G1411" s="47" t="str">
        <f aca="false">IF(AND(B1411="",D1411=""),"",IF(B1411="","Missing code",IF(C1411="Unknown code","Unknown code",IF(D1411="","Missing qty",IF(A1411="","Missing date","")))))</f>
        <v/>
      </c>
    </row>
    <row r="1412" customFormat="false" ht="15" hidden="false" customHeight="false" outlineLevel="0" collapsed="false">
      <c r="A1412" s="44"/>
      <c r="B1412" s="39"/>
      <c r="C1412" s="45" t="str">
        <f aca="false">IF(B1412="","",IFERROR(INDEX(Contract!$C$10:$C$23,MATCH(B1412,Contract!$B$10:$B$23,0)),"Unknown code"))</f>
        <v/>
      </c>
      <c r="D1412" s="46"/>
      <c r="E1412" s="39"/>
      <c r="F1412" s="39"/>
      <c r="G1412" s="47" t="str">
        <f aca="false">IF(AND(B1412="",D1412=""),"",IF(B1412="","Missing code",IF(C1412="Unknown code","Unknown code",IF(D1412="","Missing qty",IF(A1412="","Missing date","")))))</f>
        <v/>
      </c>
    </row>
    <row r="1413" customFormat="false" ht="15" hidden="false" customHeight="false" outlineLevel="0" collapsed="false">
      <c r="A1413" s="44"/>
      <c r="B1413" s="39"/>
      <c r="C1413" s="45" t="str">
        <f aca="false">IF(B1413="","",IFERROR(INDEX(Contract!$C$10:$C$23,MATCH(B1413,Contract!$B$10:$B$23,0)),"Unknown code"))</f>
        <v/>
      </c>
      <c r="D1413" s="46"/>
      <c r="E1413" s="39"/>
      <c r="F1413" s="39"/>
      <c r="G1413" s="47" t="str">
        <f aca="false">IF(AND(B1413="",D1413=""),"",IF(B1413="","Missing code",IF(C1413="Unknown code","Unknown code",IF(D1413="","Missing qty",IF(A1413="","Missing date","")))))</f>
        <v/>
      </c>
    </row>
    <row r="1414" customFormat="false" ht="15" hidden="false" customHeight="false" outlineLevel="0" collapsed="false">
      <c r="A1414" s="44"/>
      <c r="B1414" s="39"/>
      <c r="C1414" s="45" t="str">
        <f aca="false">IF(B1414="","",IFERROR(INDEX(Contract!$C$10:$C$23,MATCH(B1414,Contract!$B$10:$B$23,0)),"Unknown code"))</f>
        <v/>
      </c>
      <c r="D1414" s="46"/>
      <c r="E1414" s="39"/>
      <c r="F1414" s="39"/>
      <c r="G1414" s="47" t="str">
        <f aca="false">IF(AND(B1414="",D1414=""),"",IF(B1414="","Missing code",IF(C1414="Unknown code","Unknown code",IF(D1414="","Missing qty",IF(A1414="","Missing date","")))))</f>
        <v/>
      </c>
    </row>
    <row r="1415" customFormat="false" ht="15" hidden="false" customHeight="false" outlineLevel="0" collapsed="false">
      <c r="A1415" s="44"/>
      <c r="B1415" s="39"/>
      <c r="C1415" s="45" t="str">
        <f aca="false">IF(B1415="","",IFERROR(INDEX(Contract!$C$10:$C$23,MATCH(B1415,Contract!$B$10:$B$23,0)),"Unknown code"))</f>
        <v/>
      </c>
      <c r="D1415" s="46"/>
      <c r="E1415" s="39"/>
      <c r="F1415" s="39"/>
      <c r="G1415" s="47" t="str">
        <f aca="false">IF(AND(B1415="",D1415=""),"",IF(B1415="","Missing code",IF(C1415="Unknown code","Unknown code",IF(D1415="","Missing qty",IF(A1415="","Missing date","")))))</f>
        <v/>
      </c>
    </row>
    <row r="1416" customFormat="false" ht="15" hidden="false" customHeight="false" outlineLevel="0" collapsed="false">
      <c r="A1416" s="44"/>
      <c r="B1416" s="39"/>
      <c r="C1416" s="45" t="str">
        <f aca="false">IF(B1416="","",IFERROR(INDEX(Contract!$C$10:$C$23,MATCH(B1416,Contract!$B$10:$B$23,0)),"Unknown code"))</f>
        <v/>
      </c>
      <c r="D1416" s="46"/>
      <c r="E1416" s="39"/>
      <c r="F1416" s="39"/>
      <c r="G1416" s="47" t="str">
        <f aca="false">IF(AND(B1416="",D1416=""),"",IF(B1416="","Missing code",IF(C1416="Unknown code","Unknown code",IF(D1416="","Missing qty",IF(A1416="","Missing date","")))))</f>
        <v/>
      </c>
    </row>
    <row r="1417" customFormat="false" ht="15" hidden="false" customHeight="false" outlineLevel="0" collapsed="false">
      <c r="A1417" s="44"/>
      <c r="B1417" s="39"/>
      <c r="C1417" s="45" t="str">
        <f aca="false">IF(B1417="","",IFERROR(INDEX(Contract!$C$10:$C$23,MATCH(B1417,Contract!$B$10:$B$23,0)),"Unknown code"))</f>
        <v/>
      </c>
      <c r="D1417" s="46"/>
      <c r="E1417" s="39"/>
      <c r="F1417" s="39"/>
      <c r="G1417" s="47" t="str">
        <f aca="false">IF(AND(B1417="",D1417=""),"",IF(B1417="","Missing code",IF(C1417="Unknown code","Unknown code",IF(D1417="","Missing qty",IF(A1417="","Missing date","")))))</f>
        <v/>
      </c>
    </row>
    <row r="1418" customFormat="false" ht="15" hidden="false" customHeight="false" outlineLevel="0" collapsed="false">
      <c r="A1418" s="44"/>
      <c r="B1418" s="39"/>
      <c r="C1418" s="45" t="str">
        <f aca="false">IF(B1418="","",IFERROR(INDEX(Contract!$C$10:$C$23,MATCH(B1418,Contract!$B$10:$B$23,0)),"Unknown code"))</f>
        <v/>
      </c>
      <c r="D1418" s="46"/>
      <c r="E1418" s="39"/>
      <c r="F1418" s="39"/>
      <c r="G1418" s="47" t="str">
        <f aca="false">IF(AND(B1418="",D1418=""),"",IF(B1418="","Missing code",IF(C1418="Unknown code","Unknown code",IF(D1418="","Missing qty",IF(A1418="","Missing date","")))))</f>
        <v/>
      </c>
    </row>
    <row r="1419" customFormat="false" ht="15" hidden="false" customHeight="false" outlineLevel="0" collapsed="false">
      <c r="A1419" s="44"/>
      <c r="B1419" s="39"/>
      <c r="C1419" s="45" t="str">
        <f aca="false">IF(B1419="","",IFERROR(INDEX(Contract!$C$10:$C$23,MATCH(B1419,Contract!$B$10:$B$23,0)),"Unknown code"))</f>
        <v/>
      </c>
      <c r="D1419" s="46"/>
      <c r="E1419" s="39"/>
      <c r="F1419" s="39"/>
      <c r="G1419" s="47" t="str">
        <f aca="false">IF(AND(B1419="",D1419=""),"",IF(B1419="","Missing code",IF(C1419="Unknown code","Unknown code",IF(D1419="","Missing qty",IF(A1419="","Missing date","")))))</f>
        <v/>
      </c>
    </row>
    <row r="1420" customFormat="false" ht="15" hidden="false" customHeight="false" outlineLevel="0" collapsed="false">
      <c r="A1420" s="44"/>
      <c r="B1420" s="39"/>
      <c r="C1420" s="45" t="str">
        <f aca="false">IF(B1420="","",IFERROR(INDEX(Contract!$C$10:$C$23,MATCH(B1420,Contract!$B$10:$B$23,0)),"Unknown code"))</f>
        <v/>
      </c>
      <c r="D1420" s="46"/>
      <c r="E1420" s="39"/>
      <c r="F1420" s="39"/>
      <c r="G1420" s="47" t="str">
        <f aca="false">IF(AND(B1420="",D1420=""),"",IF(B1420="","Missing code",IF(C1420="Unknown code","Unknown code",IF(D1420="","Missing qty",IF(A1420="","Missing date","")))))</f>
        <v/>
      </c>
    </row>
    <row r="1421" customFormat="false" ht="15" hidden="false" customHeight="false" outlineLevel="0" collapsed="false">
      <c r="A1421" s="44"/>
      <c r="B1421" s="39"/>
      <c r="C1421" s="45" t="str">
        <f aca="false">IF(B1421="","",IFERROR(INDEX(Contract!$C$10:$C$23,MATCH(B1421,Contract!$B$10:$B$23,0)),"Unknown code"))</f>
        <v/>
      </c>
      <c r="D1421" s="46"/>
      <c r="E1421" s="39"/>
      <c r="F1421" s="39"/>
      <c r="G1421" s="47" t="str">
        <f aca="false">IF(AND(B1421="",D1421=""),"",IF(B1421="","Missing code",IF(C1421="Unknown code","Unknown code",IF(D1421="","Missing qty",IF(A1421="","Missing date","")))))</f>
        <v/>
      </c>
    </row>
    <row r="1422" customFormat="false" ht="15" hidden="false" customHeight="false" outlineLevel="0" collapsed="false">
      <c r="A1422" s="44"/>
      <c r="B1422" s="39"/>
      <c r="C1422" s="45" t="str">
        <f aca="false">IF(B1422="","",IFERROR(INDEX(Contract!$C$10:$C$23,MATCH(B1422,Contract!$B$10:$B$23,0)),"Unknown code"))</f>
        <v/>
      </c>
      <c r="D1422" s="46"/>
      <c r="E1422" s="39"/>
      <c r="F1422" s="39"/>
      <c r="G1422" s="47" t="str">
        <f aca="false">IF(AND(B1422="",D1422=""),"",IF(B1422="","Missing code",IF(C1422="Unknown code","Unknown code",IF(D1422="","Missing qty",IF(A1422="","Missing date","")))))</f>
        <v/>
      </c>
    </row>
    <row r="1423" customFormat="false" ht="15" hidden="false" customHeight="false" outlineLevel="0" collapsed="false">
      <c r="A1423" s="44"/>
      <c r="B1423" s="39"/>
      <c r="C1423" s="45" t="str">
        <f aca="false">IF(B1423="","",IFERROR(INDEX(Contract!$C$10:$C$23,MATCH(B1423,Contract!$B$10:$B$23,0)),"Unknown code"))</f>
        <v/>
      </c>
      <c r="D1423" s="46"/>
      <c r="E1423" s="39"/>
      <c r="F1423" s="39"/>
      <c r="G1423" s="47" t="str">
        <f aca="false">IF(AND(B1423="",D1423=""),"",IF(B1423="","Missing code",IF(C1423="Unknown code","Unknown code",IF(D1423="","Missing qty",IF(A1423="","Missing date","")))))</f>
        <v/>
      </c>
    </row>
    <row r="1424" customFormat="false" ht="15" hidden="false" customHeight="false" outlineLevel="0" collapsed="false">
      <c r="A1424" s="44"/>
      <c r="B1424" s="39"/>
      <c r="C1424" s="45" t="str">
        <f aca="false">IF(B1424="","",IFERROR(INDEX(Contract!$C$10:$C$23,MATCH(B1424,Contract!$B$10:$B$23,0)),"Unknown code"))</f>
        <v/>
      </c>
      <c r="D1424" s="46"/>
      <c r="E1424" s="39"/>
      <c r="F1424" s="39"/>
      <c r="G1424" s="47" t="str">
        <f aca="false">IF(AND(B1424="",D1424=""),"",IF(B1424="","Missing code",IF(C1424="Unknown code","Unknown code",IF(D1424="","Missing qty",IF(A1424="","Missing date","")))))</f>
        <v/>
      </c>
    </row>
    <row r="1425" customFormat="false" ht="15" hidden="false" customHeight="false" outlineLevel="0" collapsed="false">
      <c r="A1425" s="44"/>
      <c r="B1425" s="39"/>
      <c r="C1425" s="45" t="str">
        <f aca="false">IF(B1425="","",IFERROR(INDEX(Contract!$C$10:$C$23,MATCH(B1425,Contract!$B$10:$B$23,0)),"Unknown code"))</f>
        <v/>
      </c>
      <c r="D1425" s="46"/>
      <c r="E1425" s="39"/>
      <c r="F1425" s="39"/>
      <c r="G1425" s="47" t="str">
        <f aca="false">IF(AND(B1425="",D1425=""),"",IF(B1425="","Missing code",IF(C1425="Unknown code","Unknown code",IF(D1425="","Missing qty",IF(A1425="","Missing date","")))))</f>
        <v/>
      </c>
    </row>
    <row r="1426" customFormat="false" ht="15" hidden="false" customHeight="false" outlineLevel="0" collapsed="false">
      <c r="A1426" s="44"/>
      <c r="B1426" s="39"/>
      <c r="C1426" s="45" t="str">
        <f aca="false">IF(B1426="","",IFERROR(INDEX(Contract!$C$10:$C$23,MATCH(B1426,Contract!$B$10:$B$23,0)),"Unknown code"))</f>
        <v/>
      </c>
      <c r="D1426" s="46"/>
      <c r="E1426" s="39"/>
      <c r="F1426" s="39"/>
      <c r="G1426" s="47" t="str">
        <f aca="false">IF(AND(B1426="",D1426=""),"",IF(B1426="","Missing code",IF(C1426="Unknown code","Unknown code",IF(D1426="","Missing qty",IF(A1426="","Missing date","")))))</f>
        <v/>
      </c>
    </row>
    <row r="1427" customFormat="false" ht="15" hidden="false" customHeight="false" outlineLevel="0" collapsed="false">
      <c r="A1427" s="44"/>
      <c r="B1427" s="39"/>
      <c r="C1427" s="45" t="str">
        <f aca="false">IF(B1427="","",IFERROR(INDEX(Contract!$C$10:$C$23,MATCH(B1427,Contract!$B$10:$B$23,0)),"Unknown code"))</f>
        <v/>
      </c>
      <c r="D1427" s="46"/>
      <c r="E1427" s="39"/>
      <c r="F1427" s="39"/>
      <c r="G1427" s="47" t="str">
        <f aca="false">IF(AND(B1427="",D1427=""),"",IF(B1427="","Missing code",IF(C1427="Unknown code","Unknown code",IF(D1427="","Missing qty",IF(A1427="","Missing date","")))))</f>
        <v/>
      </c>
    </row>
    <row r="1428" customFormat="false" ht="15" hidden="false" customHeight="false" outlineLevel="0" collapsed="false">
      <c r="A1428" s="44"/>
      <c r="B1428" s="39"/>
      <c r="C1428" s="45" t="str">
        <f aca="false">IF(B1428="","",IFERROR(INDEX(Contract!$C$10:$C$23,MATCH(B1428,Contract!$B$10:$B$23,0)),"Unknown code"))</f>
        <v/>
      </c>
      <c r="D1428" s="46"/>
      <c r="E1428" s="39"/>
      <c r="F1428" s="39"/>
      <c r="G1428" s="47" t="str">
        <f aca="false">IF(AND(B1428="",D1428=""),"",IF(B1428="","Missing code",IF(C1428="Unknown code","Unknown code",IF(D1428="","Missing qty",IF(A1428="","Missing date","")))))</f>
        <v/>
      </c>
    </row>
    <row r="1429" customFormat="false" ht="15" hidden="false" customHeight="false" outlineLevel="0" collapsed="false">
      <c r="A1429" s="44"/>
      <c r="B1429" s="39"/>
      <c r="C1429" s="45" t="str">
        <f aca="false">IF(B1429="","",IFERROR(INDEX(Contract!$C$10:$C$23,MATCH(B1429,Contract!$B$10:$B$23,0)),"Unknown code"))</f>
        <v/>
      </c>
      <c r="D1429" s="46"/>
      <c r="E1429" s="39"/>
      <c r="F1429" s="39"/>
      <c r="G1429" s="47" t="str">
        <f aca="false">IF(AND(B1429="",D1429=""),"",IF(B1429="","Missing code",IF(C1429="Unknown code","Unknown code",IF(D1429="","Missing qty",IF(A1429="","Missing date","")))))</f>
        <v/>
      </c>
    </row>
    <row r="1430" customFormat="false" ht="15" hidden="false" customHeight="false" outlineLevel="0" collapsed="false">
      <c r="A1430" s="44"/>
      <c r="B1430" s="39"/>
      <c r="C1430" s="45" t="str">
        <f aca="false">IF(B1430="","",IFERROR(INDEX(Contract!$C$10:$C$23,MATCH(B1430,Contract!$B$10:$B$23,0)),"Unknown code"))</f>
        <v/>
      </c>
      <c r="D1430" s="46"/>
      <c r="E1430" s="39"/>
      <c r="F1430" s="39"/>
      <c r="G1430" s="47" t="str">
        <f aca="false">IF(AND(B1430="",D1430=""),"",IF(B1430="","Missing code",IF(C1430="Unknown code","Unknown code",IF(D1430="","Missing qty",IF(A1430="","Missing date","")))))</f>
        <v/>
      </c>
    </row>
    <row r="1431" customFormat="false" ht="15" hidden="false" customHeight="false" outlineLevel="0" collapsed="false">
      <c r="A1431" s="44"/>
      <c r="B1431" s="39"/>
      <c r="C1431" s="45" t="str">
        <f aca="false">IF(B1431="","",IFERROR(INDEX(Contract!$C$10:$C$23,MATCH(B1431,Contract!$B$10:$B$23,0)),"Unknown code"))</f>
        <v/>
      </c>
      <c r="D1431" s="46"/>
      <c r="E1431" s="39"/>
      <c r="F1431" s="39"/>
      <c r="G1431" s="47" t="str">
        <f aca="false">IF(AND(B1431="",D1431=""),"",IF(B1431="","Missing code",IF(C1431="Unknown code","Unknown code",IF(D1431="","Missing qty",IF(A1431="","Missing date","")))))</f>
        <v/>
      </c>
    </row>
    <row r="1432" customFormat="false" ht="15" hidden="false" customHeight="false" outlineLevel="0" collapsed="false">
      <c r="A1432" s="44"/>
      <c r="B1432" s="39"/>
      <c r="C1432" s="45" t="str">
        <f aca="false">IF(B1432="","",IFERROR(INDEX(Contract!$C$10:$C$23,MATCH(B1432,Contract!$B$10:$B$23,0)),"Unknown code"))</f>
        <v/>
      </c>
      <c r="D1432" s="46"/>
      <c r="E1432" s="39"/>
      <c r="F1432" s="39"/>
      <c r="G1432" s="47" t="str">
        <f aca="false">IF(AND(B1432="",D1432=""),"",IF(B1432="","Missing code",IF(C1432="Unknown code","Unknown code",IF(D1432="","Missing qty",IF(A1432="","Missing date","")))))</f>
        <v/>
      </c>
    </row>
    <row r="1433" customFormat="false" ht="15" hidden="false" customHeight="false" outlineLevel="0" collapsed="false">
      <c r="A1433" s="44"/>
      <c r="B1433" s="39"/>
      <c r="C1433" s="45" t="str">
        <f aca="false">IF(B1433="","",IFERROR(INDEX(Contract!$C$10:$C$23,MATCH(B1433,Contract!$B$10:$B$23,0)),"Unknown code"))</f>
        <v/>
      </c>
      <c r="D1433" s="46"/>
      <c r="E1433" s="39"/>
      <c r="F1433" s="39"/>
      <c r="G1433" s="47" t="str">
        <f aca="false">IF(AND(B1433="",D1433=""),"",IF(B1433="","Missing code",IF(C1433="Unknown code","Unknown code",IF(D1433="","Missing qty",IF(A1433="","Missing date","")))))</f>
        <v/>
      </c>
    </row>
    <row r="1434" customFormat="false" ht="15" hidden="false" customHeight="false" outlineLevel="0" collapsed="false">
      <c r="A1434" s="44"/>
      <c r="B1434" s="39"/>
      <c r="C1434" s="45" t="str">
        <f aca="false">IF(B1434="","",IFERROR(INDEX(Contract!$C$10:$C$23,MATCH(B1434,Contract!$B$10:$B$23,0)),"Unknown code"))</f>
        <v/>
      </c>
      <c r="D1434" s="46"/>
      <c r="E1434" s="39"/>
      <c r="F1434" s="39"/>
      <c r="G1434" s="47" t="str">
        <f aca="false">IF(AND(B1434="",D1434=""),"",IF(B1434="","Missing code",IF(C1434="Unknown code","Unknown code",IF(D1434="","Missing qty",IF(A1434="","Missing date","")))))</f>
        <v/>
      </c>
    </row>
    <row r="1435" customFormat="false" ht="15" hidden="false" customHeight="false" outlineLevel="0" collapsed="false">
      <c r="A1435" s="44"/>
      <c r="B1435" s="39"/>
      <c r="C1435" s="45" t="str">
        <f aca="false">IF(B1435="","",IFERROR(INDEX(Contract!$C$10:$C$23,MATCH(B1435,Contract!$B$10:$B$23,0)),"Unknown code"))</f>
        <v/>
      </c>
      <c r="D1435" s="46"/>
      <c r="E1435" s="39"/>
      <c r="F1435" s="39"/>
      <c r="G1435" s="47" t="str">
        <f aca="false">IF(AND(B1435="",D1435=""),"",IF(B1435="","Missing code",IF(C1435="Unknown code","Unknown code",IF(D1435="","Missing qty",IF(A1435="","Missing date","")))))</f>
        <v/>
      </c>
    </row>
    <row r="1436" customFormat="false" ht="15" hidden="false" customHeight="false" outlineLevel="0" collapsed="false">
      <c r="A1436" s="44"/>
      <c r="B1436" s="39"/>
      <c r="C1436" s="45" t="str">
        <f aca="false">IF(B1436="","",IFERROR(INDEX(Contract!$C$10:$C$23,MATCH(B1436,Contract!$B$10:$B$23,0)),"Unknown code"))</f>
        <v/>
      </c>
      <c r="D1436" s="46"/>
      <c r="E1436" s="39"/>
      <c r="F1436" s="39"/>
      <c r="G1436" s="47" t="str">
        <f aca="false">IF(AND(B1436="",D1436=""),"",IF(B1436="","Missing code",IF(C1436="Unknown code","Unknown code",IF(D1436="","Missing qty",IF(A1436="","Missing date","")))))</f>
        <v/>
      </c>
    </row>
    <row r="1437" customFormat="false" ht="15" hidden="false" customHeight="false" outlineLevel="0" collapsed="false">
      <c r="A1437" s="44"/>
      <c r="B1437" s="39"/>
      <c r="C1437" s="45" t="str">
        <f aca="false">IF(B1437="","",IFERROR(INDEX(Contract!$C$10:$C$23,MATCH(B1437,Contract!$B$10:$B$23,0)),"Unknown code"))</f>
        <v/>
      </c>
      <c r="D1437" s="46"/>
      <c r="E1437" s="39"/>
      <c r="F1437" s="39"/>
      <c r="G1437" s="47" t="str">
        <f aca="false">IF(AND(B1437="",D1437=""),"",IF(B1437="","Missing code",IF(C1437="Unknown code","Unknown code",IF(D1437="","Missing qty",IF(A1437="","Missing date","")))))</f>
        <v/>
      </c>
    </row>
    <row r="1438" customFormat="false" ht="15" hidden="false" customHeight="false" outlineLevel="0" collapsed="false">
      <c r="A1438" s="44"/>
      <c r="B1438" s="39"/>
      <c r="C1438" s="45" t="str">
        <f aca="false">IF(B1438="","",IFERROR(INDEX(Contract!$C$10:$C$23,MATCH(B1438,Contract!$B$10:$B$23,0)),"Unknown code"))</f>
        <v/>
      </c>
      <c r="D1438" s="46"/>
      <c r="E1438" s="39"/>
      <c r="F1438" s="39"/>
      <c r="G1438" s="47" t="str">
        <f aca="false">IF(AND(B1438="",D1438=""),"",IF(B1438="","Missing code",IF(C1438="Unknown code","Unknown code",IF(D1438="","Missing qty",IF(A1438="","Missing date","")))))</f>
        <v/>
      </c>
    </row>
    <row r="1439" customFormat="false" ht="15" hidden="false" customHeight="false" outlineLevel="0" collapsed="false">
      <c r="A1439" s="44"/>
      <c r="B1439" s="39"/>
      <c r="C1439" s="45" t="str">
        <f aca="false">IF(B1439="","",IFERROR(INDEX(Contract!$C$10:$C$23,MATCH(B1439,Contract!$B$10:$B$23,0)),"Unknown code"))</f>
        <v/>
      </c>
      <c r="D1439" s="46"/>
      <c r="E1439" s="39"/>
      <c r="F1439" s="39"/>
      <c r="G1439" s="47" t="str">
        <f aca="false">IF(AND(B1439="",D1439=""),"",IF(B1439="","Missing code",IF(C1439="Unknown code","Unknown code",IF(D1439="","Missing qty",IF(A1439="","Missing date","")))))</f>
        <v/>
      </c>
    </row>
    <row r="1440" customFormat="false" ht="15" hidden="false" customHeight="false" outlineLevel="0" collapsed="false">
      <c r="A1440" s="44"/>
      <c r="B1440" s="39"/>
      <c r="C1440" s="45" t="str">
        <f aca="false">IF(B1440="","",IFERROR(INDEX(Contract!$C$10:$C$23,MATCH(B1440,Contract!$B$10:$B$23,0)),"Unknown code"))</f>
        <v/>
      </c>
      <c r="D1440" s="46"/>
      <c r="E1440" s="39"/>
      <c r="F1440" s="39"/>
      <c r="G1440" s="47" t="str">
        <f aca="false">IF(AND(B1440="",D1440=""),"",IF(B1440="","Missing code",IF(C1440="Unknown code","Unknown code",IF(D1440="","Missing qty",IF(A1440="","Missing date","")))))</f>
        <v/>
      </c>
    </row>
    <row r="1441" customFormat="false" ht="15" hidden="false" customHeight="false" outlineLevel="0" collapsed="false">
      <c r="A1441" s="44"/>
      <c r="B1441" s="39"/>
      <c r="C1441" s="45" t="str">
        <f aca="false">IF(B1441="","",IFERROR(INDEX(Contract!$C$10:$C$23,MATCH(B1441,Contract!$B$10:$B$23,0)),"Unknown code"))</f>
        <v/>
      </c>
      <c r="D1441" s="46"/>
      <c r="E1441" s="39"/>
      <c r="F1441" s="39"/>
      <c r="G1441" s="47" t="str">
        <f aca="false">IF(AND(B1441="",D1441=""),"",IF(B1441="","Missing code",IF(C1441="Unknown code","Unknown code",IF(D1441="","Missing qty",IF(A1441="","Missing date","")))))</f>
        <v/>
      </c>
    </row>
    <row r="1442" customFormat="false" ht="15" hidden="false" customHeight="false" outlineLevel="0" collapsed="false">
      <c r="A1442" s="44"/>
      <c r="B1442" s="39"/>
      <c r="C1442" s="45" t="str">
        <f aca="false">IF(B1442="","",IFERROR(INDEX(Contract!$C$10:$C$23,MATCH(B1442,Contract!$B$10:$B$23,0)),"Unknown code"))</f>
        <v/>
      </c>
      <c r="D1442" s="46"/>
      <c r="E1442" s="39"/>
      <c r="F1442" s="39"/>
      <c r="G1442" s="47" t="str">
        <f aca="false">IF(AND(B1442="",D1442=""),"",IF(B1442="","Missing code",IF(C1442="Unknown code","Unknown code",IF(D1442="","Missing qty",IF(A1442="","Missing date","")))))</f>
        <v/>
      </c>
    </row>
    <row r="1443" customFormat="false" ht="15" hidden="false" customHeight="false" outlineLevel="0" collapsed="false">
      <c r="A1443" s="44"/>
      <c r="B1443" s="39"/>
      <c r="C1443" s="45" t="str">
        <f aca="false">IF(B1443="","",IFERROR(INDEX(Contract!$C$10:$C$23,MATCH(B1443,Contract!$B$10:$B$23,0)),"Unknown code"))</f>
        <v/>
      </c>
      <c r="D1443" s="46"/>
      <c r="E1443" s="39"/>
      <c r="F1443" s="39"/>
      <c r="G1443" s="47" t="str">
        <f aca="false">IF(AND(B1443="",D1443=""),"",IF(B1443="","Missing code",IF(C1443="Unknown code","Unknown code",IF(D1443="","Missing qty",IF(A1443="","Missing date","")))))</f>
        <v/>
      </c>
    </row>
    <row r="1444" customFormat="false" ht="15" hidden="false" customHeight="false" outlineLevel="0" collapsed="false">
      <c r="A1444" s="44"/>
      <c r="B1444" s="39"/>
      <c r="C1444" s="45" t="str">
        <f aca="false">IF(B1444="","",IFERROR(INDEX(Contract!$C$10:$C$23,MATCH(B1444,Contract!$B$10:$B$23,0)),"Unknown code"))</f>
        <v/>
      </c>
      <c r="D1444" s="46"/>
      <c r="E1444" s="39"/>
      <c r="F1444" s="39"/>
      <c r="G1444" s="47" t="str">
        <f aca="false">IF(AND(B1444="",D1444=""),"",IF(B1444="","Missing code",IF(C1444="Unknown code","Unknown code",IF(D1444="","Missing qty",IF(A1444="","Missing date","")))))</f>
        <v/>
      </c>
    </row>
    <row r="1445" customFormat="false" ht="15" hidden="false" customHeight="false" outlineLevel="0" collapsed="false">
      <c r="A1445" s="44"/>
      <c r="B1445" s="39"/>
      <c r="C1445" s="45" t="str">
        <f aca="false">IF(B1445="","",IFERROR(INDEX(Contract!$C$10:$C$23,MATCH(B1445,Contract!$B$10:$B$23,0)),"Unknown code"))</f>
        <v/>
      </c>
      <c r="D1445" s="46"/>
      <c r="E1445" s="39"/>
      <c r="F1445" s="39"/>
      <c r="G1445" s="47" t="str">
        <f aca="false">IF(AND(B1445="",D1445=""),"",IF(B1445="","Missing code",IF(C1445="Unknown code","Unknown code",IF(D1445="","Missing qty",IF(A1445="","Missing date","")))))</f>
        <v/>
      </c>
    </row>
    <row r="1446" customFormat="false" ht="15" hidden="false" customHeight="false" outlineLevel="0" collapsed="false">
      <c r="A1446" s="44"/>
      <c r="B1446" s="39"/>
      <c r="C1446" s="45" t="str">
        <f aca="false">IF(B1446="","",IFERROR(INDEX(Contract!$C$10:$C$23,MATCH(B1446,Contract!$B$10:$B$23,0)),"Unknown code"))</f>
        <v/>
      </c>
      <c r="D1446" s="46"/>
      <c r="E1446" s="39"/>
      <c r="F1446" s="39"/>
      <c r="G1446" s="47" t="str">
        <f aca="false">IF(AND(B1446="",D1446=""),"",IF(B1446="","Missing code",IF(C1446="Unknown code","Unknown code",IF(D1446="","Missing qty",IF(A1446="","Missing date","")))))</f>
        <v/>
      </c>
    </row>
    <row r="1447" customFormat="false" ht="15" hidden="false" customHeight="false" outlineLevel="0" collapsed="false">
      <c r="A1447" s="44"/>
      <c r="B1447" s="39"/>
      <c r="C1447" s="45" t="str">
        <f aca="false">IF(B1447="","",IFERROR(INDEX(Contract!$C$10:$C$23,MATCH(B1447,Contract!$B$10:$B$23,0)),"Unknown code"))</f>
        <v/>
      </c>
      <c r="D1447" s="46"/>
      <c r="E1447" s="39"/>
      <c r="F1447" s="39"/>
      <c r="G1447" s="47" t="str">
        <f aca="false">IF(AND(B1447="",D1447=""),"",IF(B1447="","Missing code",IF(C1447="Unknown code","Unknown code",IF(D1447="","Missing qty",IF(A1447="","Missing date","")))))</f>
        <v/>
      </c>
    </row>
    <row r="1448" customFormat="false" ht="15" hidden="false" customHeight="false" outlineLevel="0" collapsed="false">
      <c r="A1448" s="44"/>
      <c r="B1448" s="39"/>
      <c r="C1448" s="45" t="str">
        <f aca="false">IF(B1448="","",IFERROR(INDEX(Contract!$C$10:$C$23,MATCH(B1448,Contract!$B$10:$B$23,0)),"Unknown code"))</f>
        <v/>
      </c>
      <c r="D1448" s="46"/>
      <c r="E1448" s="39"/>
      <c r="F1448" s="39"/>
      <c r="G1448" s="47" t="str">
        <f aca="false">IF(AND(B1448="",D1448=""),"",IF(B1448="","Missing code",IF(C1448="Unknown code","Unknown code",IF(D1448="","Missing qty",IF(A1448="","Missing date","")))))</f>
        <v/>
      </c>
    </row>
    <row r="1449" customFormat="false" ht="15" hidden="false" customHeight="false" outlineLevel="0" collapsed="false">
      <c r="A1449" s="44"/>
      <c r="B1449" s="39"/>
      <c r="C1449" s="45" t="str">
        <f aca="false">IF(B1449="","",IFERROR(INDEX(Contract!$C$10:$C$23,MATCH(B1449,Contract!$B$10:$B$23,0)),"Unknown code"))</f>
        <v/>
      </c>
      <c r="D1449" s="46"/>
      <c r="E1449" s="39"/>
      <c r="F1449" s="39"/>
      <c r="G1449" s="47" t="str">
        <f aca="false">IF(AND(B1449="",D1449=""),"",IF(B1449="","Missing code",IF(C1449="Unknown code","Unknown code",IF(D1449="","Missing qty",IF(A1449="","Missing date","")))))</f>
        <v/>
      </c>
    </row>
    <row r="1450" customFormat="false" ht="15" hidden="false" customHeight="false" outlineLevel="0" collapsed="false">
      <c r="A1450" s="44"/>
      <c r="B1450" s="39"/>
      <c r="C1450" s="45" t="str">
        <f aca="false">IF(B1450="","",IFERROR(INDEX(Contract!$C$10:$C$23,MATCH(B1450,Contract!$B$10:$B$23,0)),"Unknown code"))</f>
        <v/>
      </c>
      <c r="D1450" s="46"/>
      <c r="E1450" s="39"/>
      <c r="F1450" s="39"/>
      <c r="G1450" s="47" t="str">
        <f aca="false">IF(AND(B1450="",D1450=""),"",IF(B1450="","Missing code",IF(C1450="Unknown code","Unknown code",IF(D1450="","Missing qty",IF(A1450="","Missing date","")))))</f>
        <v/>
      </c>
    </row>
    <row r="1451" customFormat="false" ht="15" hidden="false" customHeight="false" outlineLevel="0" collapsed="false">
      <c r="A1451" s="44"/>
      <c r="B1451" s="39"/>
      <c r="C1451" s="45" t="str">
        <f aca="false">IF(B1451="","",IFERROR(INDEX(Contract!$C$10:$C$23,MATCH(B1451,Contract!$B$10:$B$23,0)),"Unknown code"))</f>
        <v/>
      </c>
      <c r="D1451" s="46"/>
      <c r="E1451" s="39"/>
      <c r="F1451" s="39"/>
      <c r="G1451" s="47" t="str">
        <f aca="false">IF(AND(B1451="",D1451=""),"",IF(B1451="","Missing code",IF(C1451="Unknown code","Unknown code",IF(D1451="","Missing qty",IF(A1451="","Missing date","")))))</f>
        <v/>
      </c>
    </row>
    <row r="1452" customFormat="false" ht="15" hidden="false" customHeight="false" outlineLevel="0" collapsed="false">
      <c r="A1452" s="44"/>
      <c r="B1452" s="39"/>
      <c r="C1452" s="45" t="str">
        <f aca="false">IF(B1452="","",IFERROR(INDEX(Contract!$C$10:$C$23,MATCH(B1452,Contract!$B$10:$B$23,0)),"Unknown code"))</f>
        <v/>
      </c>
      <c r="D1452" s="46"/>
      <c r="E1452" s="39"/>
      <c r="F1452" s="39"/>
      <c r="G1452" s="47" t="str">
        <f aca="false">IF(AND(B1452="",D1452=""),"",IF(B1452="","Missing code",IF(C1452="Unknown code","Unknown code",IF(D1452="","Missing qty",IF(A1452="","Missing date","")))))</f>
        <v/>
      </c>
    </row>
    <row r="1453" customFormat="false" ht="15" hidden="false" customHeight="false" outlineLevel="0" collapsed="false">
      <c r="A1453" s="44"/>
      <c r="B1453" s="39"/>
      <c r="C1453" s="45" t="str">
        <f aca="false">IF(B1453="","",IFERROR(INDEX(Contract!$C$10:$C$23,MATCH(B1453,Contract!$B$10:$B$23,0)),"Unknown code"))</f>
        <v/>
      </c>
      <c r="D1453" s="46"/>
      <c r="E1453" s="39"/>
      <c r="F1453" s="39"/>
      <c r="G1453" s="47" t="str">
        <f aca="false">IF(AND(B1453="",D1453=""),"",IF(B1453="","Missing code",IF(C1453="Unknown code","Unknown code",IF(D1453="","Missing qty",IF(A1453="","Missing date","")))))</f>
        <v/>
      </c>
    </row>
    <row r="1454" customFormat="false" ht="15" hidden="false" customHeight="false" outlineLevel="0" collapsed="false">
      <c r="A1454" s="44"/>
      <c r="B1454" s="39"/>
      <c r="C1454" s="45" t="str">
        <f aca="false">IF(B1454="","",IFERROR(INDEX(Contract!$C$10:$C$23,MATCH(B1454,Contract!$B$10:$B$23,0)),"Unknown code"))</f>
        <v/>
      </c>
      <c r="D1454" s="46"/>
      <c r="E1454" s="39"/>
      <c r="F1454" s="39"/>
      <c r="G1454" s="47" t="str">
        <f aca="false">IF(AND(B1454="",D1454=""),"",IF(B1454="","Missing code",IF(C1454="Unknown code","Unknown code",IF(D1454="","Missing qty",IF(A1454="","Missing date","")))))</f>
        <v/>
      </c>
    </row>
    <row r="1455" customFormat="false" ht="15" hidden="false" customHeight="false" outlineLevel="0" collapsed="false">
      <c r="A1455" s="44"/>
      <c r="B1455" s="39"/>
      <c r="C1455" s="45" t="str">
        <f aca="false">IF(B1455="","",IFERROR(INDEX(Contract!$C$10:$C$23,MATCH(B1455,Contract!$B$10:$B$23,0)),"Unknown code"))</f>
        <v/>
      </c>
      <c r="D1455" s="46"/>
      <c r="E1455" s="39"/>
      <c r="F1455" s="39"/>
      <c r="G1455" s="47" t="str">
        <f aca="false">IF(AND(B1455="",D1455=""),"",IF(B1455="","Missing code",IF(C1455="Unknown code","Unknown code",IF(D1455="","Missing qty",IF(A1455="","Missing date","")))))</f>
        <v/>
      </c>
    </row>
    <row r="1456" customFormat="false" ht="15" hidden="false" customHeight="false" outlineLevel="0" collapsed="false">
      <c r="A1456" s="44"/>
      <c r="B1456" s="39"/>
      <c r="C1456" s="45" t="str">
        <f aca="false">IF(B1456="","",IFERROR(INDEX(Contract!$C$10:$C$23,MATCH(B1456,Contract!$B$10:$B$23,0)),"Unknown code"))</f>
        <v/>
      </c>
      <c r="D1456" s="46"/>
      <c r="E1456" s="39"/>
      <c r="F1456" s="39"/>
      <c r="G1456" s="47" t="str">
        <f aca="false">IF(AND(B1456="",D1456=""),"",IF(B1456="","Missing code",IF(C1456="Unknown code","Unknown code",IF(D1456="","Missing qty",IF(A1456="","Missing date","")))))</f>
        <v/>
      </c>
    </row>
    <row r="1457" customFormat="false" ht="15" hidden="false" customHeight="false" outlineLevel="0" collapsed="false">
      <c r="A1457" s="44"/>
      <c r="B1457" s="39"/>
      <c r="C1457" s="45" t="str">
        <f aca="false">IF(B1457="","",IFERROR(INDEX(Contract!$C$10:$C$23,MATCH(B1457,Contract!$B$10:$B$23,0)),"Unknown code"))</f>
        <v/>
      </c>
      <c r="D1457" s="46"/>
      <c r="E1457" s="39"/>
      <c r="F1457" s="39"/>
      <c r="G1457" s="47" t="str">
        <f aca="false">IF(AND(B1457="",D1457=""),"",IF(B1457="","Missing code",IF(C1457="Unknown code","Unknown code",IF(D1457="","Missing qty",IF(A1457="","Missing date","")))))</f>
        <v/>
      </c>
    </row>
    <row r="1458" customFormat="false" ht="15" hidden="false" customHeight="false" outlineLevel="0" collapsed="false">
      <c r="A1458" s="44"/>
      <c r="B1458" s="39"/>
      <c r="C1458" s="45" t="str">
        <f aca="false">IF(B1458="","",IFERROR(INDEX(Contract!$C$10:$C$23,MATCH(B1458,Contract!$B$10:$B$23,0)),"Unknown code"))</f>
        <v/>
      </c>
      <c r="D1458" s="46"/>
      <c r="E1458" s="39"/>
      <c r="F1458" s="39"/>
      <c r="G1458" s="47" t="str">
        <f aca="false">IF(AND(B1458="",D1458=""),"",IF(B1458="","Missing code",IF(C1458="Unknown code","Unknown code",IF(D1458="","Missing qty",IF(A1458="","Missing date","")))))</f>
        <v/>
      </c>
    </row>
    <row r="1459" customFormat="false" ht="15" hidden="false" customHeight="false" outlineLevel="0" collapsed="false">
      <c r="A1459" s="44"/>
      <c r="B1459" s="39"/>
      <c r="C1459" s="45" t="str">
        <f aca="false">IF(B1459="","",IFERROR(INDEX(Contract!$C$10:$C$23,MATCH(B1459,Contract!$B$10:$B$23,0)),"Unknown code"))</f>
        <v/>
      </c>
      <c r="D1459" s="46"/>
      <c r="E1459" s="39"/>
      <c r="F1459" s="39"/>
      <c r="G1459" s="47" t="str">
        <f aca="false">IF(AND(B1459="",D1459=""),"",IF(B1459="","Missing code",IF(C1459="Unknown code","Unknown code",IF(D1459="","Missing qty",IF(A1459="","Missing date","")))))</f>
        <v/>
      </c>
    </row>
    <row r="1460" customFormat="false" ht="15" hidden="false" customHeight="false" outlineLevel="0" collapsed="false">
      <c r="A1460" s="44"/>
      <c r="B1460" s="39"/>
      <c r="C1460" s="45" t="str">
        <f aca="false">IF(B1460="","",IFERROR(INDEX(Contract!$C$10:$C$23,MATCH(B1460,Contract!$B$10:$B$23,0)),"Unknown code"))</f>
        <v/>
      </c>
      <c r="D1460" s="46"/>
      <c r="E1460" s="39"/>
      <c r="F1460" s="39"/>
      <c r="G1460" s="47" t="str">
        <f aca="false">IF(AND(B1460="",D1460=""),"",IF(B1460="","Missing code",IF(C1460="Unknown code","Unknown code",IF(D1460="","Missing qty",IF(A1460="","Missing date","")))))</f>
        <v/>
      </c>
    </row>
    <row r="1461" customFormat="false" ht="15" hidden="false" customHeight="false" outlineLevel="0" collapsed="false">
      <c r="A1461" s="44"/>
      <c r="B1461" s="39"/>
      <c r="C1461" s="45" t="str">
        <f aca="false">IF(B1461="","",IFERROR(INDEX(Contract!$C$10:$C$23,MATCH(B1461,Contract!$B$10:$B$23,0)),"Unknown code"))</f>
        <v/>
      </c>
      <c r="D1461" s="46"/>
      <c r="E1461" s="39"/>
      <c r="F1461" s="39"/>
      <c r="G1461" s="47" t="str">
        <f aca="false">IF(AND(B1461="",D1461=""),"",IF(B1461="","Missing code",IF(C1461="Unknown code","Unknown code",IF(D1461="","Missing qty",IF(A1461="","Missing date","")))))</f>
        <v/>
      </c>
    </row>
    <row r="1462" customFormat="false" ht="15" hidden="false" customHeight="false" outlineLevel="0" collapsed="false">
      <c r="A1462" s="44"/>
      <c r="B1462" s="39"/>
      <c r="C1462" s="45" t="str">
        <f aca="false">IF(B1462="","",IFERROR(INDEX(Contract!$C$10:$C$23,MATCH(B1462,Contract!$B$10:$B$23,0)),"Unknown code"))</f>
        <v/>
      </c>
      <c r="D1462" s="46"/>
      <c r="E1462" s="39"/>
      <c r="F1462" s="39"/>
      <c r="G1462" s="47" t="str">
        <f aca="false">IF(AND(B1462="",D1462=""),"",IF(B1462="","Missing code",IF(C1462="Unknown code","Unknown code",IF(D1462="","Missing qty",IF(A1462="","Missing date","")))))</f>
        <v/>
      </c>
    </row>
    <row r="1463" customFormat="false" ht="15" hidden="false" customHeight="false" outlineLevel="0" collapsed="false">
      <c r="A1463" s="44"/>
      <c r="B1463" s="39"/>
      <c r="C1463" s="45" t="str">
        <f aca="false">IF(B1463="","",IFERROR(INDEX(Contract!$C$10:$C$23,MATCH(B1463,Contract!$B$10:$B$23,0)),"Unknown code"))</f>
        <v/>
      </c>
      <c r="D1463" s="46"/>
      <c r="E1463" s="39"/>
      <c r="F1463" s="39"/>
      <c r="G1463" s="47" t="str">
        <f aca="false">IF(AND(B1463="",D1463=""),"",IF(B1463="","Missing code",IF(C1463="Unknown code","Unknown code",IF(D1463="","Missing qty",IF(A1463="","Missing date","")))))</f>
        <v/>
      </c>
    </row>
    <row r="1464" customFormat="false" ht="15" hidden="false" customHeight="false" outlineLevel="0" collapsed="false">
      <c r="A1464" s="44"/>
      <c r="B1464" s="39"/>
      <c r="C1464" s="45" t="str">
        <f aca="false">IF(B1464="","",IFERROR(INDEX(Contract!$C$10:$C$23,MATCH(B1464,Contract!$B$10:$B$23,0)),"Unknown code"))</f>
        <v/>
      </c>
      <c r="D1464" s="46"/>
      <c r="E1464" s="39"/>
      <c r="F1464" s="39"/>
      <c r="G1464" s="47" t="str">
        <f aca="false">IF(AND(B1464="",D1464=""),"",IF(B1464="","Missing code",IF(C1464="Unknown code","Unknown code",IF(D1464="","Missing qty",IF(A1464="","Missing date","")))))</f>
        <v/>
      </c>
    </row>
    <row r="1465" customFormat="false" ht="15" hidden="false" customHeight="false" outlineLevel="0" collapsed="false">
      <c r="A1465" s="44"/>
      <c r="B1465" s="39"/>
      <c r="C1465" s="45" t="str">
        <f aca="false">IF(B1465="","",IFERROR(INDEX(Contract!$C$10:$C$23,MATCH(B1465,Contract!$B$10:$B$23,0)),"Unknown code"))</f>
        <v/>
      </c>
      <c r="D1465" s="46"/>
      <c r="E1465" s="39"/>
      <c r="F1465" s="39"/>
      <c r="G1465" s="47" t="str">
        <f aca="false">IF(AND(B1465="",D1465=""),"",IF(B1465="","Missing code",IF(C1465="Unknown code","Unknown code",IF(D1465="","Missing qty",IF(A1465="","Missing date","")))))</f>
        <v/>
      </c>
    </row>
    <row r="1466" customFormat="false" ht="15" hidden="false" customHeight="false" outlineLevel="0" collapsed="false">
      <c r="A1466" s="44"/>
      <c r="B1466" s="39"/>
      <c r="C1466" s="45" t="str">
        <f aca="false">IF(B1466="","",IFERROR(INDEX(Contract!$C$10:$C$23,MATCH(B1466,Contract!$B$10:$B$23,0)),"Unknown code"))</f>
        <v/>
      </c>
      <c r="D1466" s="46"/>
      <c r="E1466" s="39"/>
      <c r="F1466" s="39"/>
      <c r="G1466" s="47" t="str">
        <f aca="false">IF(AND(B1466="",D1466=""),"",IF(B1466="","Missing code",IF(C1466="Unknown code","Unknown code",IF(D1466="","Missing qty",IF(A1466="","Missing date","")))))</f>
        <v/>
      </c>
    </row>
    <row r="1467" customFormat="false" ht="15" hidden="false" customHeight="false" outlineLevel="0" collapsed="false">
      <c r="A1467" s="44"/>
      <c r="B1467" s="39"/>
      <c r="C1467" s="45" t="str">
        <f aca="false">IF(B1467="","",IFERROR(INDEX(Contract!$C$10:$C$23,MATCH(B1467,Contract!$B$10:$B$23,0)),"Unknown code"))</f>
        <v/>
      </c>
      <c r="D1467" s="46"/>
      <c r="E1467" s="39"/>
      <c r="F1467" s="39"/>
      <c r="G1467" s="47" t="str">
        <f aca="false">IF(AND(B1467="",D1467=""),"",IF(B1467="","Missing code",IF(C1467="Unknown code","Unknown code",IF(D1467="","Missing qty",IF(A1467="","Missing date","")))))</f>
        <v/>
      </c>
    </row>
    <row r="1468" customFormat="false" ht="15" hidden="false" customHeight="false" outlineLevel="0" collapsed="false">
      <c r="A1468" s="44"/>
      <c r="B1468" s="39"/>
      <c r="C1468" s="45" t="str">
        <f aca="false">IF(B1468="","",IFERROR(INDEX(Contract!$C$10:$C$23,MATCH(B1468,Contract!$B$10:$B$23,0)),"Unknown code"))</f>
        <v/>
      </c>
      <c r="D1468" s="46"/>
      <c r="E1468" s="39"/>
      <c r="F1468" s="39"/>
      <c r="G1468" s="47" t="str">
        <f aca="false">IF(AND(B1468="",D1468=""),"",IF(B1468="","Missing code",IF(C1468="Unknown code","Unknown code",IF(D1468="","Missing qty",IF(A1468="","Missing date","")))))</f>
        <v/>
      </c>
    </row>
    <row r="1469" customFormat="false" ht="15" hidden="false" customHeight="false" outlineLevel="0" collapsed="false">
      <c r="A1469" s="44"/>
      <c r="B1469" s="39"/>
      <c r="C1469" s="45" t="str">
        <f aca="false">IF(B1469="","",IFERROR(INDEX(Contract!$C$10:$C$23,MATCH(B1469,Contract!$B$10:$B$23,0)),"Unknown code"))</f>
        <v/>
      </c>
      <c r="D1469" s="46"/>
      <c r="E1469" s="39"/>
      <c r="F1469" s="39"/>
      <c r="G1469" s="47" t="str">
        <f aca="false">IF(AND(B1469="",D1469=""),"",IF(B1469="","Missing code",IF(C1469="Unknown code","Unknown code",IF(D1469="","Missing qty",IF(A1469="","Missing date","")))))</f>
        <v/>
      </c>
    </row>
    <row r="1470" customFormat="false" ht="15" hidden="false" customHeight="false" outlineLevel="0" collapsed="false">
      <c r="A1470" s="44"/>
      <c r="B1470" s="39"/>
      <c r="C1470" s="45" t="str">
        <f aca="false">IF(B1470="","",IFERROR(INDEX(Contract!$C$10:$C$23,MATCH(B1470,Contract!$B$10:$B$23,0)),"Unknown code"))</f>
        <v/>
      </c>
      <c r="D1470" s="46"/>
      <c r="E1470" s="39"/>
      <c r="F1470" s="39"/>
      <c r="G1470" s="47" t="str">
        <f aca="false">IF(AND(B1470="",D1470=""),"",IF(B1470="","Missing code",IF(C1470="Unknown code","Unknown code",IF(D1470="","Missing qty",IF(A1470="","Missing date","")))))</f>
        <v/>
      </c>
    </row>
    <row r="1471" customFormat="false" ht="15" hidden="false" customHeight="false" outlineLevel="0" collapsed="false">
      <c r="A1471" s="44"/>
      <c r="B1471" s="39"/>
      <c r="C1471" s="45" t="str">
        <f aca="false">IF(B1471="","",IFERROR(INDEX(Contract!$C$10:$C$23,MATCH(B1471,Contract!$B$10:$B$23,0)),"Unknown code"))</f>
        <v/>
      </c>
      <c r="D1471" s="46"/>
      <c r="E1471" s="39"/>
      <c r="F1471" s="39"/>
      <c r="G1471" s="47" t="str">
        <f aca="false">IF(AND(B1471="",D1471=""),"",IF(B1471="","Missing code",IF(C1471="Unknown code","Unknown code",IF(D1471="","Missing qty",IF(A1471="","Missing date","")))))</f>
        <v/>
      </c>
    </row>
    <row r="1472" customFormat="false" ht="15" hidden="false" customHeight="false" outlineLevel="0" collapsed="false">
      <c r="A1472" s="44"/>
      <c r="B1472" s="39"/>
      <c r="C1472" s="45" t="str">
        <f aca="false">IF(B1472="","",IFERROR(INDEX(Contract!$C$10:$C$23,MATCH(B1472,Contract!$B$10:$B$23,0)),"Unknown code"))</f>
        <v/>
      </c>
      <c r="D1472" s="46"/>
      <c r="E1472" s="39"/>
      <c r="F1472" s="39"/>
      <c r="G1472" s="47" t="str">
        <f aca="false">IF(AND(B1472="",D1472=""),"",IF(B1472="","Missing code",IF(C1472="Unknown code","Unknown code",IF(D1472="","Missing qty",IF(A1472="","Missing date","")))))</f>
        <v/>
      </c>
    </row>
    <row r="1473" customFormat="false" ht="15" hidden="false" customHeight="false" outlineLevel="0" collapsed="false">
      <c r="A1473" s="44"/>
      <c r="B1473" s="39"/>
      <c r="C1473" s="45" t="str">
        <f aca="false">IF(B1473="","",IFERROR(INDEX(Contract!$C$10:$C$23,MATCH(B1473,Contract!$B$10:$B$23,0)),"Unknown code"))</f>
        <v/>
      </c>
      <c r="D1473" s="46"/>
      <c r="E1473" s="39"/>
      <c r="F1473" s="39"/>
      <c r="G1473" s="47" t="str">
        <f aca="false">IF(AND(B1473="",D1473=""),"",IF(B1473="","Missing code",IF(C1473="Unknown code","Unknown code",IF(D1473="","Missing qty",IF(A1473="","Missing date","")))))</f>
        <v/>
      </c>
    </row>
    <row r="1474" customFormat="false" ht="15" hidden="false" customHeight="false" outlineLevel="0" collapsed="false">
      <c r="A1474" s="44"/>
      <c r="B1474" s="39"/>
      <c r="C1474" s="45" t="str">
        <f aca="false">IF(B1474="","",IFERROR(INDEX(Contract!$C$10:$C$23,MATCH(B1474,Contract!$B$10:$B$23,0)),"Unknown code"))</f>
        <v/>
      </c>
      <c r="D1474" s="46"/>
      <c r="E1474" s="39"/>
      <c r="F1474" s="39"/>
      <c r="G1474" s="47" t="str">
        <f aca="false">IF(AND(B1474="",D1474=""),"",IF(B1474="","Missing code",IF(C1474="Unknown code","Unknown code",IF(D1474="","Missing qty",IF(A1474="","Missing date","")))))</f>
        <v/>
      </c>
    </row>
    <row r="1475" customFormat="false" ht="15" hidden="false" customHeight="false" outlineLevel="0" collapsed="false">
      <c r="A1475" s="44"/>
      <c r="B1475" s="39"/>
      <c r="C1475" s="45" t="str">
        <f aca="false">IF(B1475="","",IFERROR(INDEX(Contract!$C$10:$C$23,MATCH(B1475,Contract!$B$10:$B$23,0)),"Unknown code"))</f>
        <v/>
      </c>
      <c r="D1475" s="46"/>
      <c r="E1475" s="39"/>
      <c r="F1475" s="39"/>
      <c r="G1475" s="47" t="str">
        <f aca="false">IF(AND(B1475="",D1475=""),"",IF(B1475="","Missing code",IF(C1475="Unknown code","Unknown code",IF(D1475="","Missing qty",IF(A1475="","Missing date","")))))</f>
        <v/>
      </c>
    </row>
    <row r="1476" customFormat="false" ht="15" hidden="false" customHeight="false" outlineLevel="0" collapsed="false">
      <c r="A1476" s="44"/>
      <c r="B1476" s="39"/>
      <c r="C1476" s="45" t="str">
        <f aca="false">IF(B1476="","",IFERROR(INDEX(Contract!$C$10:$C$23,MATCH(B1476,Contract!$B$10:$B$23,0)),"Unknown code"))</f>
        <v/>
      </c>
      <c r="D1476" s="46"/>
      <c r="E1476" s="39"/>
      <c r="F1476" s="39"/>
      <c r="G1476" s="47" t="str">
        <f aca="false">IF(AND(B1476="",D1476=""),"",IF(B1476="","Missing code",IF(C1476="Unknown code","Unknown code",IF(D1476="","Missing qty",IF(A1476="","Missing date","")))))</f>
        <v/>
      </c>
    </row>
    <row r="1477" customFormat="false" ht="15" hidden="false" customHeight="false" outlineLevel="0" collapsed="false">
      <c r="A1477" s="44"/>
      <c r="B1477" s="39"/>
      <c r="C1477" s="45" t="str">
        <f aca="false">IF(B1477="","",IFERROR(INDEX(Contract!$C$10:$C$23,MATCH(B1477,Contract!$B$10:$B$23,0)),"Unknown code"))</f>
        <v/>
      </c>
      <c r="D1477" s="46"/>
      <c r="E1477" s="39"/>
      <c r="F1477" s="39"/>
      <c r="G1477" s="47" t="str">
        <f aca="false">IF(AND(B1477="",D1477=""),"",IF(B1477="","Missing code",IF(C1477="Unknown code","Unknown code",IF(D1477="","Missing qty",IF(A1477="","Missing date","")))))</f>
        <v/>
      </c>
    </row>
    <row r="1478" customFormat="false" ht="15" hidden="false" customHeight="false" outlineLevel="0" collapsed="false">
      <c r="A1478" s="44"/>
      <c r="B1478" s="39"/>
      <c r="C1478" s="45" t="str">
        <f aca="false">IF(B1478="","",IFERROR(INDEX(Contract!$C$10:$C$23,MATCH(B1478,Contract!$B$10:$B$23,0)),"Unknown code"))</f>
        <v/>
      </c>
      <c r="D1478" s="46"/>
      <c r="E1478" s="39"/>
      <c r="F1478" s="39"/>
      <c r="G1478" s="47" t="str">
        <f aca="false">IF(AND(B1478="",D1478=""),"",IF(B1478="","Missing code",IF(C1478="Unknown code","Unknown code",IF(D1478="","Missing qty",IF(A1478="","Missing date","")))))</f>
        <v/>
      </c>
    </row>
    <row r="1479" customFormat="false" ht="15" hidden="false" customHeight="false" outlineLevel="0" collapsed="false">
      <c r="A1479" s="44"/>
      <c r="B1479" s="39"/>
      <c r="C1479" s="45" t="str">
        <f aca="false">IF(B1479="","",IFERROR(INDEX(Contract!$C$10:$C$23,MATCH(B1479,Contract!$B$10:$B$23,0)),"Unknown code"))</f>
        <v/>
      </c>
      <c r="D1479" s="46"/>
      <c r="E1479" s="39"/>
      <c r="F1479" s="39"/>
      <c r="G1479" s="47" t="str">
        <f aca="false">IF(AND(B1479="",D1479=""),"",IF(B1479="","Missing code",IF(C1479="Unknown code","Unknown code",IF(D1479="","Missing qty",IF(A1479="","Missing date","")))))</f>
        <v/>
      </c>
    </row>
    <row r="1480" customFormat="false" ht="15" hidden="false" customHeight="false" outlineLevel="0" collapsed="false">
      <c r="A1480" s="44"/>
      <c r="B1480" s="39"/>
      <c r="C1480" s="45" t="str">
        <f aca="false">IF(B1480="","",IFERROR(INDEX(Contract!$C$10:$C$23,MATCH(B1480,Contract!$B$10:$B$23,0)),"Unknown code"))</f>
        <v/>
      </c>
      <c r="D1480" s="46"/>
      <c r="E1480" s="39"/>
      <c r="F1480" s="39"/>
      <c r="G1480" s="47" t="str">
        <f aca="false">IF(AND(B1480="",D1480=""),"",IF(B1480="","Missing code",IF(C1480="Unknown code","Unknown code",IF(D1480="","Missing qty",IF(A1480="","Missing date","")))))</f>
        <v/>
      </c>
    </row>
    <row r="1481" customFormat="false" ht="15" hidden="false" customHeight="false" outlineLevel="0" collapsed="false">
      <c r="A1481" s="44"/>
      <c r="B1481" s="39"/>
      <c r="C1481" s="45" t="str">
        <f aca="false">IF(B1481="","",IFERROR(INDEX(Contract!$C$10:$C$23,MATCH(B1481,Contract!$B$10:$B$23,0)),"Unknown code"))</f>
        <v/>
      </c>
      <c r="D1481" s="46"/>
      <c r="E1481" s="39"/>
      <c r="F1481" s="39"/>
      <c r="G1481" s="47" t="str">
        <f aca="false">IF(AND(B1481="",D1481=""),"",IF(B1481="","Missing code",IF(C1481="Unknown code","Unknown code",IF(D1481="","Missing qty",IF(A1481="","Missing date","")))))</f>
        <v/>
      </c>
    </row>
    <row r="1482" customFormat="false" ht="15" hidden="false" customHeight="false" outlineLevel="0" collapsed="false">
      <c r="A1482" s="44"/>
      <c r="B1482" s="39"/>
      <c r="C1482" s="45" t="str">
        <f aca="false">IF(B1482="","",IFERROR(INDEX(Contract!$C$10:$C$23,MATCH(B1482,Contract!$B$10:$B$23,0)),"Unknown code"))</f>
        <v/>
      </c>
      <c r="D1482" s="46"/>
      <c r="E1482" s="39"/>
      <c r="F1482" s="39"/>
      <c r="G1482" s="47" t="str">
        <f aca="false">IF(AND(B1482="",D1482=""),"",IF(B1482="","Missing code",IF(C1482="Unknown code","Unknown code",IF(D1482="","Missing qty",IF(A1482="","Missing date","")))))</f>
        <v/>
      </c>
    </row>
    <row r="1483" customFormat="false" ht="15" hidden="false" customHeight="false" outlineLevel="0" collapsed="false">
      <c r="A1483" s="44"/>
      <c r="B1483" s="39"/>
      <c r="C1483" s="45" t="str">
        <f aca="false">IF(B1483="","",IFERROR(INDEX(Contract!$C$10:$C$23,MATCH(B1483,Contract!$B$10:$B$23,0)),"Unknown code"))</f>
        <v/>
      </c>
      <c r="D1483" s="46"/>
      <c r="E1483" s="39"/>
      <c r="F1483" s="39"/>
      <c r="G1483" s="47" t="str">
        <f aca="false">IF(AND(B1483="",D1483=""),"",IF(B1483="","Missing code",IF(C1483="Unknown code","Unknown code",IF(D1483="","Missing qty",IF(A1483="","Missing date","")))))</f>
        <v/>
      </c>
    </row>
    <row r="1484" customFormat="false" ht="15" hidden="false" customHeight="false" outlineLevel="0" collapsed="false">
      <c r="A1484" s="44"/>
      <c r="B1484" s="39"/>
      <c r="C1484" s="45" t="str">
        <f aca="false">IF(B1484="","",IFERROR(INDEX(Contract!$C$10:$C$23,MATCH(B1484,Contract!$B$10:$B$23,0)),"Unknown code"))</f>
        <v/>
      </c>
      <c r="D1484" s="46"/>
      <c r="E1484" s="39"/>
      <c r="F1484" s="39"/>
      <c r="G1484" s="47" t="str">
        <f aca="false">IF(AND(B1484="",D1484=""),"",IF(B1484="","Missing code",IF(C1484="Unknown code","Unknown code",IF(D1484="","Missing qty",IF(A1484="","Missing date","")))))</f>
        <v/>
      </c>
    </row>
    <row r="1485" customFormat="false" ht="15" hidden="false" customHeight="false" outlineLevel="0" collapsed="false">
      <c r="A1485" s="44"/>
      <c r="B1485" s="39"/>
      <c r="C1485" s="45" t="str">
        <f aca="false">IF(B1485="","",IFERROR(INDEX(Contract!$C$10:$C$23,MATCH(B1485,Contract!$B$10:$B$23,0)),"Unknown code"))</f>
        <v/>
      </c>
      <c r="D1485" s="46"/>
      <c r="E1485" s="39"/>
      <c r="F1485" s="39"/>
      <c r="G1485" s="47" t="str">
        <f aca="false">IF(AND(B1485="",D1485=""),"",IF(B1485="","Missing code",IF(C1485="Unknown code","Unknown code",IF(D1485="","Missing qty",IF(A1485="","Missing date","")))))</f>
        <v/>
      </c>
    </row>
    <row r="1486" customFormat="false" ht="15" hidden="false" customHeight="false" outlineLevel="0" collapsed="false">
      <c r="A1486" s="44"/>
      <c r="B1486" s="39"/>
      <c r="C1486" s="45" t="str">
        <f aca="false">IF(B1486="","",IFERROR(INDEX(Contract!$C$10:$C$23,MATCH(B1486,Contract!$B$10:$B$23,0)),"Unknown code"))</f>
        <v/>
      </c>
      <c r="D1486" s="46"/>
      <c r="E1486" s="39"/>
      <c r="F1486" s="39"/>
      <c r="G1486" s="47" t="str">
        <f aca="false">IF(AND(B1486="",D1486=""),"",IF(B1486="","Missing code",IF(C1486="Unknown code","Unknown code",IF(D1486="","Missing qty",IF(A1486="","Missing date","")))))</f>
        <v/>
      </c>
    </row>
    <row r="1487" customFormat="false" ht="15" hidden="false" customHeight="false" outlineLevel="0" collapsed="false">
      <c r="A1487" s="44"/>
      <c r="B1487" s="39"/>
      <c r="C1487" s="45" t="str">
        <f aca="false">IF(B1487="","",IFERROR(INDEX(Contract!$C$10:$C$23,MATCH(B1487,Contract!$B$10:$B$23,0)),"Unknown code"))</f>
        <v/>
      </c>
      <c r="D1487" s="46"/>
      <c r="E1487" s="39"/>
      <c r="F1487" s="39"/>
      <c r="G1487" s="47" t="str">
        <f aca="false">IF(AND(B1487="",D1487=""),"",IF(B1487="","Missing code",IF(C1487="Unknown code","Unknown code",IF(D1487="","Missing qty",IF(A1487="","Missing date","")))))</f>
        <v/>
      </c>
    </row>
    <row r="1488" customFormat="false" ht="15" hidden="false" customHeight="false" outlineLevel="0" collapsed="false">
      <c r="A1488" s="44"/>
      <c r="B1488" s="39"/>
      <c r="C1488" s="45" t="str">
        <f aca="false">IF(B1488="","",IFERROR(INDEX(Contract!$C$10:$C$23,MATCH(B1488,Contract!$B$10:$B$23,0)),"Unknown code"))</f>
        <v/>
      </c>
      <c r="D1488" s="46"/>
      <c r="E1488" s="39"/>
      <c r="F1488" s="39"/>
      <c r="G1488" s="47" t="str">
        <f aca="false">IF(AND(B1488="",D1488=""),"",IF(B1488="","Missing code",IF(C1488="Unknown code","Unknown code",IF(D1488="","Missing qty",IF(A1488="","Missing date","")))))</f>
        <v/>
      </c>
    </row>
    <row r="1489" customFormat="false" ht="15" hidden="false" customHeight="false" outlineLevel="0" collapsed="false">
      <c r="A1489" s="44"/>
      <c r="B1489" s="39"/>
      <c r="C1489" s="45" t="str">
        <f aca="false">IF(B1489="","",IFERROR(INDEX(Contract!$C$10:$C$23,MATCH(B1489,Contract!$B$10:$B$23,0)),"Unknown code"))</f>
        <v/>
      </c>
      <c r="D1489" s="46"/>
      <c r="E1489" s="39"/>
      <c r="F1489" s="39"/>
      <c r="G1489" s="47" t="str">
        <f aca="false">IF(AND(B1489="",D1489=""),"",IF(B1489="","Missing code",IF(C1489="Unknown code","Unknown code",IF(D1489="","Missing qty",IF(A1489="","Missing date","")))))</f>
        <v/>
      </c>
    </row>
    <row r="1490" customFormat="false" ht="15" hidden="false" customHeight="false" outlineLevel="0" collapsed="false">
      <c r="A1490" s="44"/>
      <c r="B1490" s="39"/>
      <c r="C1490" s="45" t="str">
        <f aca="false">IF(B1490="","",IFERROR(INDEX(Contract!$C$10:$C$23,MATCH(B1490,Contract!$B$10:$B$23,0)),"Unknown code"))</f>
        <v/>
      </c>
      <c r="D1490" s="46"/>
      <c r="E1490" s="39"/>
      <c r="F1490" s="39"/>
      <c r="G1490" s="47" t="str">
        <f aca="false">IF(AND(B1490="",D1490=""),"",IF(B1490="","Missing code",IF(C1490="Unknown code","Unknown code",IF(D1490="","Missing qty",IF(A1490="","Missing date","")))))</f>
        <v/>
      </c>
    </row>
    <row r="1491" customFormat="false" ht="15" hidden="false" customHeight="false" outlineLevel="0" collapsed="false">
      <c r="A1491" s="44"/>
      <c r="B1491" s="39"/>
      <c r="C1491" s="45" t="str">
        <f aca="false">IF(B1491="","",IFERROR(INDEX(Contract!$C$10:$C$23,MATCH(B1491,Contract!$B$10:$B$23,0)),"Unknown code"))</f>
        <v/>
      </c>
      <c r="D1491" s="46"/>
      <c r="E1491" s="39"/>
      <c r="F1491" s="39"/>
      <c r="G1491" s="47" t="str">
        <f aca="false">IF(AND(B1491="",D1491=""),"",IF(B1491="","Missing code",IF(C1491="Unknown code","Unknown code",IF(D1491="","Missing qty",IF(A1491="","Missing date","")))))</f>
        <v/>
      </c>
    </row>
    <row r="1492" customFormat="false" ht="15" hidden="false" customHeight="false" outlineLevel="0" collapsed="false">
      <c r="A1492" s="44"/>
      <c r="B1492" s="39"/>
      <c r="C1492" s="45" t="str">
        <f aca="false">IF(B1492="","",IFERROR(INDEX(Contract!$C$10:$C$23,MATCH(B1492,Contract!$B$10:$B$23,0)),"Unknown code"))</f>
        <v/>
      </c>
      <c r="D1492" s="46"/>
      <c r="E1492" s="39"/>
      <c r="F1492" s="39"/>
      <c r="G1492" s="47" t="str">
        <f aca="false">IF(AND(B1492="",D1492=""),"",IF(B1492="","Missing code",IF(C1492="Unknown code","Unknown code",IF(D1492="","Missing qty",IF(A1492="","Missing date","")))))</f>
        <v/>
      </c>
    </row>
    <row r="1493" customFormat="false" ht="15" hidden="false" customHeight="false" outlineLevel="0" collapsed="false">
      <c r="A1493" s="44"/>
      <c r="B1493" s="39"/>
      <c r="C1493" s="45" t="str">
        <f aca="false">IF(B1493="","",IFERROR(INDEX(Contract!$C$10:$C$23,MATCH(B1493,Contract!$B$10:$B$23,0)),"Unknown code"))</f>
        <v/>
      </c>
      <c r="D1493" s="46"/>
      <c r="E1493" s="39"/>
      <c r="F1493" s="39"/>
      <c r="G1493" s="47" t="str">
        <f aca="false">IF(AND(B1493="",D1493=""),"",IF(B1493="","Missing code",IF(C1493="Unknown code","Unknown code",IF(D1493="","Missing qty",IF(A1493="","Missing date","")))))</f>
        <v/>
      </c>
    </row>
    <row r="1494" customFormat="false" ht="15" hidden="false" customHeight="false" outlineLevel="0" collapsed="false">
      <c r="A1494" s="44"/>
      <c r="B1494" s="39"/>
      <c r="C1494" s="45" t="str">
        <f aca="false">IF(B1494="","",IFERROR(INDEX(Contract!$C$10:$C$23,MATCH(B1494,Contract!$B$10:$B$23,0)),"Unknown code"))</f>
        <v/>
      </c>
      <c r="D1494" s="46"/>
      <c r="E1494" s="39"/>
      <c r="F1494" s="39"/>
      <c r="G1494" s="47" t="str">
        <f aca="false">IF(AND(B1494="",D1494=""),"",IF(B1494="","Missing code",IF(C1494="Unknown code","Unknown code",IF(D1494="","Missing qty",IF(A1494="","Missing date","")))))</f>
        <v/>
      </c>
    </row>
    <row r="1495" customFormat="false" ht="15" hidden="false" customHeight="false" outlineLevel="0" collapsed="false">
      <c r="A1495" s="44"/>
      <c r="B1495" s="39"/>
      <c r="C1495" s="45" t="str">
        <f aca="false">IF(B1495="","",IFERROR(INDEX(Contract!$C$10:$C$23,MATCH(B1495,Contract!$B$10:$B$23,0)),"Unknown code"))</f>
        <v/>
      </c>
      <c r="D1495" s="46"/>
      <c r="E1495" s="39"/>
      <c r="F1495" s="39"/>
      <c r="G1495" s="47" t="str">
        <f aca="false">IF(AND(B1495="",D1495=""),"",IF(B1495="","Missing code",IF(C1495="Unknown code","Unknown code",IF(D1495="","Missing qty",IF(A1495="","Missing date","")))))</f>
        <v/>
      </c>
    </row>
    <row r="1496" customFormat="false" ht="15" hidden="false" customHeight="false" outlineLevel="0" collapsed="false">
      <c r="A1496" s="44"/>
      <c r="B1496" s="39"/>
      <c r="C1496" s="45" t="str">
        <f aca="false">IF(B1496="","",IFERROR(INDEX(Contract!$C$10:$C$23,MATCH(B1496,Contract!$B$10:$B$23,0)),"Unknown code"))</f>
        <v/>
      </c>
      <c r="D1496" s="46"/>
      <c r="E1496" s="39"/>
      <c r="F1496" s="39"/>
      <c r="G1496" s="47" t="str">
        <f aca="false">IF(AND(B1496="",D1496=""),"",IF(B1496="","Missing code",IF(C1496="Unknown code","Unknown code",IF(D1496="","Missing qty",IF(A1496="","Missing date","")))))</f>
        <v/>
      </c>
    </row>
    <row r="1497" customFormat="false" ht="15" hidden="false" customHeight="false" outlineLevel="0" collapsed="false">
      <c r="A1497" s="44"/>
      <c r="B1497" s="39"/>
      <c r="C1497" s="45" t="str">
        <f aca="false">IF(B1497="","",IFERROR(INDEX(Contract!$C$10:$C$23,MATCH(B1497,Contract!$B$10:$B$23,0)),"Unknown code"))</f>
        <v/>
      </c>
      <c r="D1497" s="46"/>
      <c r="E1497" s="39"/>
      <c r="F1497" s="39"/>
      <c r="G1497" s="47" t="str">
        <f aca="false">IF(AND(B1497="",D1497=""),"",IF(B1497="","Missing code",IF(C1497="Unknown code","Unknown code",IF(D1497="","Missing qty",IF(A1497="","Missing date","")))))</f>
        <v/>
      </c>
    </row>
    <row r="1498" customFormat="false" ht="15" hidden="false" customHeight="false" outlineLevel="0" collapsed="false">
      <c r="A1498" s="44"/>
      <c r="B1498" s="39"/>
      <c r="C1498" s="45" t="str">
        <f aca="false">IF(B1498="","",IFERROR(INDEX(Contract!$C$10:$C$23,MATCH(B1498,Contract!$B$10:$B$23,0)),"Unknown code"))</f>
        <v/>
      </c>
      <c r="D1498" s="46"/>
      <c r="E1498" s="39"/>
      <c r="F1498" s="39"/>
      <c r="G1498" s="47" t="str">
        <f aca="false">IF(AND(B1498="",D1498=""),"",IF(B1498="","Missing code",IF(C1498="Unknown code","Unknown code",IF(D1498="","Missing qty",IF(A1498="","Missing date","")))))</f>
        <v/>
      </c>
    </row>
    <row r="1499" customFormat="false" ht="15" hidden="false" customHeight="false" outlineLevel="0" collapsed="false">
      <c r="A1499" s="44"/>
      <c r="B1499" s="39"/>
      <c r="C1499" s="45" t="str">
        <f aca="false">IF(B1499="","",IFERROR(INDEX(Contract!$C$10:$C$23,MATCH(B1499,Contract!$B$10:$B$23,0)),"Unknown code"))</f>
        <v/>
      </c>
      <c r="D1499" s="46"/>
      <c r="E1499" s="39"/>
      <c r="F1499" s="39"/>
      <c r="G1499" s="47" t="str">
        <f aca="false">IF(AND(B1499="",D1499=""),"",IF(B1499="","Missing code",IF(C1499="Unknown code","Unknown code",IF(D1499="","Missing qty",IF(A1499="","Missing date","")))))</f>
        <v/>
      </c>
    </row>
    <row r="1500" customFormat="false" ht="15" hidden="false" customHeight="false" outlineLevel="0" collapsed="false">
      <c r="A1500" s="44"/>
      <c r="B1500" s="39"/>
      <c r="C1500" s="45" t="str">
        <f aca="false">IF(B1500="","",IFERROR(INDEX(Contract!$C$10:$C$23,MATCH(B1500,Contract!$B$10:$B$23,0)),"Unknown code"))</f>
        <v/>
      </c>
      <c r="D1500" s="46"/>
      <c r="E1500" s="39"/>
      <c r="F1500" s="39"/>
      <c r="G1500" s="47" t="str">
        <f aca="false">IF(AND(B1500="",D1500=""),"",IF(B1500="","Missing code",IF(C1500="Unknown code","Unknown code",IF(D1500="","Missing qty",IF(A1500="","Missing date","")))))</f>
        <v/>
      </c>
    </row>
    <row r="1501" customFormat="false" ht="15" hidden="false" customHeight="false" outlineLevel="0" collapsed="false">
      <c r="A1501" s="44"/>
      <c r="B1501" s="39"/>
      <c r="C1501" s="45" t="str">
        <f aca="false">IF(B1501="","",IFERROR(INDEX(Contract!$C$10:$C$23,MATCH(B1501,Contract!$B$10:$B$23,0)),"Unknown code"))</f>
        <v/>
      </c>
      <c r="D1501" s="46"/>
      <c r="E1501" s="39"/>
      <c r="F1501" s="39"/>
      <c r="G1501" s="47" t="str">
        <f aca="false">IF(AND(B1501="",D1501=""),"",IF(B1501="","Missing code",IF(C1501="Unknown code","Unknown code",IF(D1501="","Missing qty",IF(A1501="","Missing date","")))))</f>
        <v/>
      </c>
    </row>
    <row r="1502" customFormat="false" ht="15" hidden="false" customHeight="false" outlineLevel="0" collapsed="false">
      <c r="A1502" s="44"/>
      <c r="B1502" s="39"/>
      <c r="C1502" s="45" t="str">
        <f aca="false">IF(B1502="","",IFERROR(INDEX(Contract!$C$10:$C$23,MATCH(B1502,Contract!$B$10:$B$23,0)),"Unknown code"))</f>
        <v/>
      </c>
      <c r="D1502" s="46"/>
      <c r="E1502" s="39"/>
      <c r="F1502" s="39"/>
      <c r="G1502" s="47" t="str">
        <f aca="false">IF(AND(B1502="",D1502=""),"",IF(B1502="","Missing code",IF(C1502="Unknown code","Unknown code",IF(D1502="","Missing qty",IF(A1502="","Missing date","")))))</f>
        <v/>
      </c>
    </row>
    <row r="1503" customFormat="false" ht="15" hidden="false" customHeight="false" outlineLevel="0" collapsed="false">
      <c r="A1503" s="44"/>
      <c r="B1503" s="39"/>
      <c r="C1503" s="45" t="str">
        <f aca="false">IF(B1503="","",IFERROR(INDEX(Contract!$C$10:$C$23,MATCH(B1503,Contract!$B$10:$B$23,0)),"Unknown code"))</f>
        <v/>
      </c>
      <c r="D1503" s="46"/>
      <c r="E1503" s="39"/>
      <c r="F1503" s="39"/>
      <c r="G1503" s="47" t="str">
        <f aca="false">IF(AND(B1503="",D1503=""),"",IF(B1503="","Missing code",IF(C1503="Unknown code","Unknown code",IF(D1503="","Missing qty",IF(A1503="","Missing date","")))))</f>
        <v/>
      </c>
    </row>
    <row r="1504" customFormat="false" ht="15" hidden="false" customHeight="false" outlineLevel="0" collapsed="false">
      <c r="A1504" s="44"/>
      <c r="B1504" s="39"/>
      <c r="C1504" s="45" t="str">
        <f aca="false">IF(B1504="","",IFERROR(INDEX(Contract!$C$10:$C$23,MATCH(B1504,Contract!$B$10:$B$23,0)),"Unknown code"))</f>
        <v/>
      </c>
      <c r="D1504" s="46"/>
      <c r="E1504" s="39"/>
      <c r="F1504" s="39"/>
      <c r="G1504" s="47" t="str">
        <f aca="false">IF(AND(B1504="",D1504=""),"",IF(B1504="","Missing code",IF(C1504="Unknown code","Unknown code",IF(D1504="","Missing qty",IF(A1504="","Missing date","")))))</f>
        <v/>
      </c>
    </row>
    <row r="1505" customFormat="false" ht="15" hidden="false" customHeight="false" outlineLevel="0" collapsed="false">
      <c r="A1505" s="44"/>
      <c r="B1505" s="39"/>
      <c r="C1505" s="45" t="str">
        <f aca="false">IF(B1505="","",IFERROR(INDEX(Contract!$C$10:$C$23,MATCH(B1505,Contract!$B$10:$B$23,0)),"Unknown code"))</f>
        <v/>
      </c>
      <c r="D1505" s="46"/>
      <c r="E1505" s="39"/>
      <c r="F1505" s="39"/>
      <c r="G1505" s="47" t="str">
        <f aca="false">IF(AND(B1505="",D1505=""),"",IF(B1505="","Missing code",IF(C1505="Unknown code","Unknown code",IF(D1505="","Missing qty",IF(A1505="","Missing date","")))))</f>
        <v/>
      </c>
    </row>
  </sheetData>
  <autoFilter ref="A5:G1505"/>
  <conditionalFormatting sqref="G6:G1505">
    <cfRule type="expression" priority="2" aboveAverage="0" equalAverage="0" bottom="0" percent="0" rank="0" text="" dxfId="17">
      <formula>$G6&lt;&gt;""</formula>
    </cfRule>
  </conditionalFormatting>
  <dataValidations count="3">
    <dataValidation allowBlank="true" error="Pick an assy code from the contract." errorStyle="stop" operator="between" showDropDown="false" showErrorMessage="true" showInputMessage="false" sqref="B6:B1505" type="list">
      <formula1>Contract!$B$10:$B$23</formula1>
      <formula2>0</formula2>
    </dataValidation>
    <dataValidation allowBlank="true" error="Enter a whole number (use a negative number to correct a mistake)." errorStyle="stop" operator="notEqual" showDropDown="false" showErrorMessage="true" showInputMessage="false" sqref="D6:D1505" type="whole">
      <formula1>0</formula1>
      <formula2>0</formula2>
    </dataValidation>
    <dataValidation allowBlank="true" error="Enter a date, e.g. 03/10/2026" errorStyle="stop" operator="greaterThan" showDropDown="false" showErrorMessage="true" showInputMessage="false" sqref="A6:A1505" type="date">
      <formula1>40000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05"/>
  </cols>
  <sheetData>
    <row r="2" customFormat="false" ht="22.05" hidden="false" customHeight="false" outlineLevel="0" collapsed="false">
      <c r="B2" s="48" t="s">
        <v>82</v>
      </c>
    </row>
    <row r="5" customFormat="false" ht="15" hidden="false" customHeight="false" outlineLevel="0" collapsed="false">
      <c r="B5" s="49" t="s">
        <v>83</v>
      </c>
    </row>
    <row r="6" customFormat="false" ht="33.75" hidden="false" customHeight="true" outlineLevel="0" collapsed="false">
      <c r="B6" s="50" t="s">
        <v>84</v>
      </c>
      <c r="C6" s="51" t="s">
        <v>85</v>
      </c>
    </row>
    <row r="7" customFormat="false" ht="33.75" hidden="false" customHeight="true" outlineLevel="0" collapsed="false">
      <c r="B7" s="50" t="s">
        <v>86</v>
      </c>
      <c r="C7" s="51" t="s">
        <v>87</v>
      </c>
    </row>
    <row r="8" customFormat="false" ht="33.75" hidden="false" customHeight="true" outlineLevel="0" collapsed="false">
      <c r="B8" s="50" t="s">
        <v>88</v>
      </c>
      <c r="C8" s="51" t="s">
        <v>89</v>
      </c>
    </row>
    <row r="9" customFormat="false" ht="33.75" hidden="false" customHeight="true" outlineLevel="0" collapsed="false">
      <c r="B9" s="50" t="s">
        <v>90</v>
      </c>
      <c r="C9" s="51" t="s">
        <v>91</v>
      </c>
    </row>
    <row r="11" customFormat="false" ht="15" hidden="false" customHeight="false" outlineLevel="0" collapsed="false">
      <c r="B11" s="49" t="s">
        <v>92</v>
      </c>
    </row>
    <row r="12" customFormat="false" ht="33.75" hidden="false" customHeight="true" outlineLevel="0" collapsed="false">
      <c r="B12" s="50" t="s">
        <v>93</v>
      </c>
      <c r="C12" s="51" t="s">
        <v>94</v>
      </c>
    </row>
    <row r="13" customFormat="false" ht="33.75" hidden="false" customHeight="true" outlineLevel="0" collapsed="false">
      <c r="B13" s="50" t="s">
        <v>95</v>
      </c>
      <c r="C13" s="51" t="s">
        <v>96</v>
      </c>
    </row>
    <row r="14" customFormat="false" ht="33.75" hidden="false" customHeight="true" outlineLevel="0" collapsed="false">
      <c r="B14" s="50" t="s">
        <v>97</v>
      </c>
      <c r="C14" s="51" t="s">
        <v>98</v>
      </c>
    </row>
    <row r="15" customFormat="false" ht="33.75" hidden="false" customHeight="true" outlineLevel="0" collapsed="false">
      <c r="B15" s="50" t="s">
        <v>99</v>
      </c>
      <c r="C15" s="51" t="s">
        <v>100</v>
      </c>
    </row>
    <row r="16" customFormat="false" ht="33.75" hidden="false" customHeight="true" outlineLevel="0" collapsed="false">
      <c r="B16" s="50" t="s">
        <v>101</v>
      </c>
      <c r="C16" s="5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2026-10-04T12:01:29Z</dcterms:created>
  <dc:creator>openpyxl</dc:creator>
  <dc:description/>
  <dc:language>en-US</dc:language>
  <cp:lastModifiedBy/>
  <dcterms:modified xsi:type="dcterms:W3CDTF">2026-10-04T12:01:30Z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